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rkavi\Desktop\"/>
    </mc:Choice>
  </mc:AlternateContent>
  <xr:revisionPtr revIDLastSave="0" documentId="13_ncr:1_{73EC7A1F-7384-46B7-A42A-F5FF3FFE1619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Information" sheetId="2" r:id="rId1"/>
    <sheet name="Peptides" sheetId="9" r:id="rId2"/>
    <sheet name="EC number" sheetId="3" r:id="rId3"/>
    <sheet name="Metabolites" sheetId="8" r:id="rId4"/>
    <sheet name="Enzymes" sheetId="6" r:id="rId5"/>
    <sheet name="Reactions" sheetId="4" r:id="rId6"/>
  </sheets>
  <calcPr calcId="191029"/>
  <customWorkbookViews>
    <customWorkbookView name="Ashmitha Senthilkumar - Personal View" guid="{F9B45C10-3ABA-4AFD-861C-93BE5D0D4A37}" mergeInterval="0" personalView="1" maximized="1" xWindow="-11" yWindow="-11" windowWidth="1942" windowHeight="1030" activeSheetId="3"/>
  </customWorkbookViews>
</workbook>
</file>

<file path=xl/calcChain.xml><?xml version="1.0" encoding="utf-8"?>
<calcChain xmlns="http://schemas.openxmlformats.org/spreadsheetml/2006/main">
  <c r="H2" i="6" l="1"/>
  <c r="N2" i="6"/>
  <c r="E61" i="4"/>
  <c r="J61" i="4" s="1"/>
  <c r="K61" i="4" s="1"/>
  <c r="E62" i="4"/>
  <c r="J62" i="4"/>
  <c r="K62" i="4" s="1"/>
  <c r="E148" i="4"/>
  <c r="J148" i="4" s="1"/>
  <c r="K148" i="4" s="1"/>
  <c r="E200" i="4"/>
  <c r="J200" i="4" s="1"/>
  <c r="K200" i="4" s="1"/>
  <c r="E215" i="4"/>
  <c r="J215" i="4"/>
  <c r="K215" i="4" s="1"/>
  <c r="E290" i="4"/>
  <c r="J290" i="4"/>
  <c r="K290" i="4" s="1"/>
  <c r="E364" i="4"/>
  <c r="J364" i="4" s="1"/>
  <c r="K364" i="4" s="1"/>
  <c r="E365" i="4"/>
  <c r="J365" i="4" s="1"/>
  <c r="K365" i="4" s="1"/>
  <c r="E372" i="4"/>
  <c r="J372" i="4"/>
  <c r="K372" i="4" s="1"/>
  <c r="E453" i="4"/>
  <c r="J453" i="4"/>
  <c r="K453" i="4" s="1"/>
  <c r="C199" i="6"/>
  <c r="D199" i="6"/>
  <c r="E199" i="6"/>
  <c r="F199" i="6"/>
  <c r="H199" i="6"/>
  <c r="J199" i="6"/>
  <c r="K199" i="6"/>
  <c r="L199" i="6"/>
  <c r="M199" i="6"/>
  <c r="N199" i="6"/>
  <c r="C200" i="6"/>
  <c r="L200" i="6" s="1"/>
  <c r="D200" i="6"/>
  <c r="E200" i="6"/>
  <c r="F200" i="6"/>
  <c r="H200" i="6"/>
  <c r="J200" i="6"/>
  <c r="C201" i="6"/>
  <c r="D201" i="6"/>
  <c r="E201" i="6"/>
  <c r="F201" i="6"/>
  <c r="H201" i="6"/>
  <c r="J201" i="6"/>
  <c r="C202" i="6"/>
  <c r="D202" i="6"/>
  <c r="E202" i="6"/>
  <c r="F202" i="6"/>
  <c r="H202" i="6"/>
  <c r="J202" i="6"/>
  <c r="L202" i="6"/>
  <c r="C203" i="6"/>
  <c r="D203" i="6"/>
  <c r="E203" i="6"/>
  <c r="F203" i="6"/>
  <c r="H203" i="6"/>
  <c r="J203" i="6"/>
  <c r="C204" i="6"/>
  <c r="D204" i="6"/>
  <c r="E204" i="6"/>
  <c r="F204" i="6"/>
  <c r="H204" i="6"/>
  <c r="J204" i="6"/>
  <c r="K204" i="6"/>
  <c r="L204" i="6"/>
  <c r="M204" i="6"/>
  <c r="N204" i="6"/>
  <c r="C205" i="6"/>
  <c r="D205" i="6"/>
  <c r="E205" i="6"/>
  <c r="F205" i="6"/>
  <c r="H205" i="6"/>
  <c r="J205" i="6"/>
  <c r="K205" i="6"/>
  <c r="L205" i="6"/>
  <c r="M205" i="6"/>
  <c r="N205" i="6"/>
  <c r="C206" i="6"/>
  <c r="N206" i="6" s="1"/>
  <c r="D206" i="6"/>
  <c r="E206" i="6"/>
  <c r="F206" i="6"/>
  <c r="H206" i="6"/>
  <c r="J206" i="6"/>
  <c r="K206" i="6"/>
  <c r="L206" i="6"/>
  <c r="C207" i="6"/>
  <c r="D207" i="6"/>
  <c r="E207" i="6"/>
  <c r="F207" i="6"/>
  <c r="H207" i="6"/>
  <c r="J207" i="6"/>
  <c r="M207" i="6"/>
  <c r="N207" i="6"/>
  <c r="C208" i="6"/>
  <c r="D208" i="6"/>
  <c r="E208" i="6"/>
  <c r="F208" i="6"/>
  <c r="H208" i="6"/>
  <c r="J208" i="6"/>
  <c r="C209" i="6"/>
  <c r="D209" i="6"/>
  <c r="E209" i="6"/>
  <c r="F209" i="6"/>
  <c r="H209" i="6"/>
  <c r="J209" i="6"/>
  <c r="K209" i="6"/>
  <c r="C210" i="6"/>
  <c r="D210" i="6"/>
  <c r="E210" i="6"/>
  <c r="F210" i="6"/>
  <c r="H210" i="6"/>
  <c r="J210" i="6"/>
  <c r="K210" i="6"/>
  <c r="L210" i="6"/>
  <c r="M210" i="6"/>
  <c r="N210" i="6"/>
  <c r="C211" i="6"/>
  <c r="D211" i="6"/>
  <c r="E211" i="6"/>
  <c r="F211" i="6"/>
  <c r="H211" i="6"/>
  <c r="J211" i="6"/>
  <c r="K211" i="6"/>
  <c r="L211" i="6"/>
  <c r="M211" i="6"/>
  <c r="N211" i="6"/>
  <c r="C212" i="6"/>
  <c r="D212" i="6"/>
  <c r="E212" i="6"/>
  <c r="F212" i="6"/>
  <c r="H212" i="6"/>
  <c r="J212" i="6"/>
  <c r="L212" i="6"/>
  <c r="M212" i="6"/>
  <c r="N212" i="6"/>
  <c r="C213" i="6"/>
  <c r="D213" i="6"/>
  <c r="E213" i="6"/>
  <c r="F213" i="6"/>
  <c r="H213" i="6"/>
  <c r="J213" i="6"/>
  <c r="C214" i="6"/>
  <c r="D214" i="6"/>
  <c r="E214" i="6"/>
  <c r="F214" i="6"/>
  <c r="H214" i="6"/>
  <c r="J214" i="6"/>
  <c r="L214" i="6"/>
  <c r="C215" i="6"/>
  <c r="D215" i="6"/>
  <c r="E215" i="6"/>
  <c r="F215" i="6"/>
  <c r="H215" i="6"/>
  <c r="J215" i="6"/>
  <c r="K215" i="6"/>
  <c r="L215" i="6"/>
  <c r="N215" i="6"/>
  <c r="C216" i="6"/>
  <c r="D216" i="6"/>
  <c r="E216" i="6"/>
  <c r="F216" i="6"/>
  <c r="H216" i="6"/>
  <c r="J216" i="6"/>
  <c r="K216" i="6"/>
  <c r="L216" i="6"/>
  <c r="M216" i="6"/>
  <c r="N216" i="6"/>
  <c r="C217" i="6"/>
  <c r="D217" i="6"/>
  <c r="E217" i="6"/>
  <c r="F217" i="6"/>
  <c r="H217" i="6"/>
  <c r="J217" i="6"/>
  <c r="K217" i="6"/>
  <c r="L217" i="6"/>
  <c r="M217" i="6"/>
  <c r="N217" i="6"/>
  <c r="C218" i="6"/>
  <c r="N218" i="6" s="1"/>
  <c r="D218" i="6"/>
  <c r="E218" i="6"/>
  <c r="F218" i="6"/>
  <c r="H218" i="6"/>
  <c r="J218" i="6"/>
  <c r="K218" i="6"/>
  <c r="L218" i="6"/>
  <c r="C219" i="6"/>
  <c r="D219" i="6"/>
  <c r="E219" i="6"/>
  <c r="F219" i="6"/>
  <c r="H219" i="6"/>
  <c r="J219" i="6"/>
  <c r="K219" i="6"/>
  <c r="L219" i="6"/>
  <c r="M219" i="6"/>
  <c r="N219" i="6"/>
  <c r="C220" i="6"/>
  <c r="D220" i="6"/>
  <c r="E220" i="6"/>
  <c r="F220" i="6"/>
  <c r="H220" i="6"/>
  <c r="I220" i="6"/>
  <c r="J220" i="6"/>
  <c r="L220" i="6"/>
  <c r="M220" i="6"/>
  <c r="N220" i="6"/>
  <c r="C221" i="6"/>
  <c r="D221" i="6"/>
  <c r="E221" i="6"/>
  <c r="F221" i="6"/>
  <c r="H221" i="6"/>
  <c r="J221" i="6"/>
  <c r="C222" i="6"/>
  <c r="D222" i="6"/>
  <c r="E222" i="6"/>
  <c r="F222" i="6"/>
  <c r="H222" i="6"/>
  <c r="I222" i="6"/>
  <c r="J222" i="6"/>
  <c r="C223" i="6"/>
  <c r="D223" i="6"/>
  <c r="E223" i="6"/>
  <c r="F223" i="6"/>
  <c r="H223" i="6"/>
  <c r="I223" i="6"/>
  <c r="J223" i="6"/>
  <c r="L223" i="6"/>
  <c r="C224" i="6"/>
  <c r="M224" i="6" s="1"/>
  <c r="D224" i="6"/>
  <c r="E224" i="6"/>
  <c r="F224" i="6"/>
  <c r="H224" i="6"/>
  <c r="J224" i="6"/>
  <c r="C225" i="6"/>
  <c r="G225" i="6" s="1"/>
  <c r="D225" i="6"/>
  <c r="E225" i="6"/>
  <c r="F225" i="6"/>
  <c r="H225" i="6"/>
  <c r="I225" i="6"/>
  <c r="J225" i="6"/>
  <c r="K225" i="6"/>
  <c r="L225" i="6"/>
  <c r="N225" i="6"/>
  <c r="C226" i="6"/>
  <c r="G226" i="6" s="1"/>
  <c r="D226" i="6"/>
  <c r="E226" i="6"/>
  <c r="F226" i="6"/>
  <c r="H226" i="6"/>
  <c r="I226" i="6"/>
  <c r="J226" i="6"/>
  <c r="K226" i="6"/>
  <c r="L226" i="6"/>
  <c r="M226" i="6"/>
  <c r="N226" i="6"/>
  <c r="C227" i="6"/>
  <c r="D227" i="6"/>
  <c r="E227" i="6"/>
  <c r="F227" i="6"/>
  <c r="H227" i="6"/>
  <c r="I227" i="6"/>
  <c r="J227" i="6"/>
  <c r="C228" i="6"/>
  <c r="G228" i="6" s="1"/>
  <c r="D228" i="6"/>
  <c r="E228" i="6"/>
  <c r="F228" i="6"/>
  <c r="H228" i="6"/>
  <c r="I228" i="6"/>
  <c r="J228" i="6"/>
  <c r="K228" i="6"/>
  <c r="L228" i="6"/>
  <c r="M228" i="6"/>
  <c r="N228" i="6"/>
  <c r="C229" i="6"/>
  <c r="G229" i="6" s="1"/>
  <c r="D229" i="6"/>
  <c r="E229" i="6"/>
  <c r="F229" i="6"/>
  <c r="H229" i="6"/>
  <c r="I229" i="6"/>
  <c r="J229" i="6"/>
  <c r="K229" i="6"/>
  <c r="L229" i="6"/>
  <c r="C230" i="6"/>
  <c r="D230" i="6"/>
  <c r="E230" i="6"/>
  <c r="F230" i="6"/>
  <c r="H230" i="6"/>
  <c r="J230" i="6"/>
  <c r="K230" i="6"/>
  <c r="L230" i="6"/>
  <c r="M230" i="6"/>
  <c r="N230" i="6"/>
  <c r="C231" i="6"/>
  <c r="D231" i="6"/>
  <c r="E231" i="6"/>
  <c r="F231" i="6"/>
  <c r="H231" i="6"/>
  <c r="J231" i="6"/>
  <c r="K231" i="6"/>
  <c r="L231" i="6"/>
  <c r="M231" i="6"/>
  <c r="N231" i="6"/>
  <c r="C232" i="6"/>
  <c r="D232" i="6"/>
  <c r="E232" i="6"/>
  <c r="F232" i="6"/>
  <c r="H232" i="6"/>
  <c r="J232" i="6"/>
  <c r="L232" i="6"/>
  <c r="M232" i="6"/>
  <c r="N232" i="6"/>
  <c r="C233" i="6"/>
  <c r="D233" i="6"/>
  <c r="E233" i="6"/>
  <c r="F233" i="6"/>
  <c r="H233" i="6"/>
  <c r="J233" i="6"/>
  <c r="C234" i="6"/>
  <c r="D234" i="6"/>
  <c r="E234" i="6"/>
  <c r="F234" i="6"/>
  <c r="H234" i="6"/>
  <c r="I234" i="6"/>
  <c r="J234" i="6"/>
  <c r="K234" i="6"/>
  <c r="C235" i="6"/>
  <c r="D235" i="6"/>
  <c r="E235" i="6"/>
  <c r="F235" i="6"/>
  <c r="H235" i="6"/>
  <c r="I235" i="6"/>
  <c r="J235" i="6"/>
  <c r="L235" i="6"/>
  <c r="C236" i="6"/>
  <c r="D236" i="6"/>
  <c r="E236" i="6"/>
  <c r="F236" i="6"/>
  <c r="H236" i="6"/>
  <c r="J236" i="6"/>
  <c r="C237" i="6"/>
  <c r="G237" i="6" s="1"/>
  <c r="D237" i="6"/>
  <c r="E237" i="6"/>
  <c r="F237" i="6"/>
  <c r="H237" i="6"/>
  <c r="I237" i="6"/>
  <c r="J237" i="6"/>
  <c r="K237" i="6"/>
  <c r="L237" i="6"/>
  <c r="N237" i="6"/>
  <c r="C238" i="6"/>
  <c r="G238" i="6" s="1"/>
  <c r="D238" i="6"/>
  <c r="E238" i="6"/>
  <c r="F238" i="6"/>
  <c r="H238" i="6"/>
  <c r="I238" i="6"/>
  <c r="J238" i="6"/>
  <c r="K238" i="6"/>
  <c r="L238" i="6"/>
  <c r="M238" i="6"/>
  <c r="N238" i="6"/>
  <c r="C239" i="6"/>
  <c r="G239" i="6" s="1"/>
  <c r="D239" i="6"/>
  <c r="E239" i="6"/>
  <c r="F239" i="6"/>
  <c r="H239" i="6"/>
  <c r="I239" i="6"/>
  <c r="J239" i="6"/>
  <c r="K239" i="6"/>
  <c r="L239" i="6"/>
  <c r="C240" i="6"/>
  <c r="G240" i="6" s="1"/>
  <c r="D240" i="6"/>
  <c r="E240" i="6"/>
  <c r="F240" i="6"/>
  <c r="H240" i="6"/>
  <c r="I240" i="6"/>
  <c r="J240" i="6"/>
  <c r="K240" i="6"/>
  <c r="L240" i="6"/>
  <c r="M240" i="6"/>
  <c r="N240" i="6"/>
  <c r="C241" i="6"/>
  <c r="G241" i="6" s="1"/>
  <c r="D241" i="6"/>
  <c r="E241" i="6"/>
  <c r="F241" i="6"/>
  <c r="H241" i="6"/>
  <c r="I241" i="6"/>
  <c r="J241" i="6"/>
  <c r="K241" i="6"/>
  <c r="L241" i="6"/>
  <c r="M241" i="6"/>
  <c r="N241" i="6"/>
  <c r="C242" i="6"/>
  <c r="D242" i="6"/>
  <c r="E242" i="6"/>
  <c r="F242" i="6"/>
  <c r="H242" i="6"/>
  <c r="J242" i="6"/>
  <c r="K242" i="6"/>
  <c r="L242" i="6"/>
  <c r="M242" i="6"/>
  <c r="N242" i="6"/>
  <c r="C243" i="6"/>
  <c r="D243" i="6"/>
  <c r="E243" i="6"/>
  <c r="F243" i="6"/>
  <c r="H243" i="6"/>
  <c r="J243" i="6"/>
  <c r="L243" i="6"/>
  <c r="M243" i="6"/>
  <c r="C244" i="6"/>
  <c r="D244" i="6"/>
  <c r="E244" i="6"/>
  <c r="F244" i="6"/>
  <c r="H244" i="6"/>
  <c r="J244" i="6"/>
  <c r="N244" i="6"/>
  <c r="C245" i="6"/>
  <c r="D245" i="6"/>
  <c r="E245" i="6"/>
  <c r="F245" i="6"/>
  <c r="H245" i="6"/>
  <c r="J245" i="6"/>
  <c r="C246" i="6"/>
  <c r="D246" i="6"/>
  <c r="E246" i="6"/>
  <c r="F246" i="6"/>
  <c r="H246" i="6"/>
  <c r="I246" i="6"/>
  <c r="J246" i="6"/>
  <c r="K246" i="6"/>
  <c r="N246" i="6"/>
  <c r="C247" i="6"/>
  <c r="D247" i="6"/>
  <c r="E247" i="6"/>
  <c r="F247" i="6"/>
  <c r="H247" i="6"/>
  <c r="J247" i="6"/>
  <c r="C248" i="6"/>
  <c r="D248" i="6"/>
  <c r="E248" i="6"/>
  <c r="F248" i="6"/>
  <c r="H248" i="6"/>
  <c r="J248" i="6"/>
  <c r="C249" i="6"/>
  <c r="G249" i="6" s="1"/>
  <c r="D249" i="6"/>
  <c r="E249" i="6"/>
  <c r="F249" i="6"/>
  <c r="H249" i="6"/>
  <c r="I249" i="6"/>
  <c r="J249" i="6"/>
  <c r="K249" i="6"/>
  <c r="L249" i="6"/>
  <c r="N249" i="6"/>
  <c r="C250" i="6"/>
  <c r="G250" i="6" s="1"/>
  <c r="D250" i="6"/>
  <c r="E250" i="6"/>
  <c r="F250" i="6"/>
  <c r="H250" i="6"/>
  <c r="I250" i="6"/>
  <c r="J250" i="6"/>
  <c r="K250" i="6"/>
  <c r="L250" i="6"/>
  <c r="M250" i="6"/>
  <c r="N250" i="6"/>
  <c r="C251" i="6"/>
  <c r="G251" i="6" s="1"/>
  <c r="D251" i="6"/>
  <c r="E251" i="6"/>
  <c r="F251" i="6"/>
  <c r="H251" i="6"/>
  <c r="I251" i="6"/>
  <c r="J251" i="6"/>
  <c r="K251" i="6"/>
  <c r="L251" i="6"/>
  <c r="M251" i="6"/>
  <c r="N251" i="6"/>
  <c r="C252" i="6"/>
  <c r="G252" i="6" s="1"/>
  <c r="D252" i="6"/>
  <c r="E252" i="6"/>
  <c r="F252" i="6"/>
  <c r="H252" i="6"/>
  <c r="I252" i="6"/>
  <c r="J252" i="6"/>
  <c r="K252" i="6"/>
  <c r="L252" i="6"/>
  <c r="M252" i="6"/>
  <c r="N252" i="6"/>
  <c r="C253" i="6"/>
  <c r="K253" i="6" s="1"/>
  <c r="D253" i="6"/>
  <c r="E253" i="6"/>
  <c r="F253" i="6"/>
  <c r="H253" i="6"/>
  <c r="J253" i="6"/>
  <c r="C254" i="6"/>
  <c r="D254" i="6"/>
  <c r="E254" i="6"/>
  <c r="F254" i="6"/>
  <c r="H254" i="6"/>
  <c r="J254" i="6"/>
  <c r="L254" i="6"/>
  <c r="C255" i="6"/>
  <c r="D255" i="6"/>
  <c r="E255" i="6"/>
  <c r="F255" i="6"/>
  <c r="H255" i="6"/>
  <c r="J255" i="6"/>
  <c r="N255" i="6"/>
  <c r="C256" i="6"/>
  <c r="I256" i="6" s="1"/>
  <c r="D256" i="6"/>
  <c r="E256" i="6"/>
  <c r="F256" i="6"/>
  <c r="H256" i="6"/>
  <c r="J256" i="6"/>
  <c r="C257" i="6"/>
  <c r="D257" i="6"/>
  <c r="E257" i="6"/>
  <c r="F257" i="6"/>
  <c r="H257" i="6"/>
  <c r="J257" i="6"/>
  <c r="M257" i="6"/>
  <c r="N257" i="6"/>
  <c r="C258" i="6"/>
  <c r="D258" i="6"/>
  <c r="E258" i="6"/>
  <c r="F258" i="6"/>
  <c r="H258" i="6"/>
  <c r="I258" i="6"/>
  <c r="J258" i="6"/>
  <c r="K258" i="6"/>
  <c r="N258" i="6"/>
  <c r="C259" i="6"/>
  <c r="D259" i="6"/>
  <c r="E259" i="6"/>
  <c r="F259" i="6"/>
  <c r="H259" i="6"/>
  <c r="J259" i="6"/>
  <c r="C260" i="6"/>
  <c r="D260" i="6"/>
  <c r="E260" i="6"/>
  <c r="F260" i="6"/>
  <c r="H260" i="6"/>
  <c r="I260" i="6"/>
  <c r="J260" i="6"/>
  <c r="C261" i="6"/>
  <c r="G261" i="6" s="1"/>
  <c r="D261" i="6"/>
  <c r="E261" i="6"/>
  <c r="F261" i="6"/>
  <c r="H261" i="6"/>
  <c r="I261" i="6"/>
  <c r="J261" i="6"/>
  <c r="K261" i="6"/>
  <c r="L261" i="6"/>
  <c r="N261" i="6"/>
  <c r="C262" i="6"/>
  <c r="G262" i="6" s="1"/>
  <c r="D262" i="6"/>
  <c r="E262" i="6"/>
  <c r="F262" i="6"/>
  <c r="H262" i="6"/>
  <c r="I262" i="6"/>
  <c r="J262" i="6"/>
  <c r="K262" i="6"/>
  <c r="L262" i="6"/>
  <c r="M262" i="6"/>
  <c r="N262" i="6"/>
  <c r="C263" i="6"/>
  <c r="K263" i="6" s="1"/>
  <c r="D263" i="6"/>
  <c r="E263" i="6"/>
  <c r="F263" i="6"/>
  <c r="H263" i="6"/>
  <c r="J263" i="6"/>
  <c r="C264" i="6"/>
  <c r="G264" i="6" s="1"/>
  <c r="D264" i="6"/>
  <c r="E264" i="6"/>
  <c r="F264" i="6"/>
  <c r="H264" i="6"/>
  <c r="I264" i="6"/>
  <c r="J264" i="6"/>
  <c r="K264" i="6"/>
  <c r="L264" i="6"/>
  <c r="M264" i="6"/>
  <c r="N264" i="6"/>
  <c r="C265" i="6"/>
  <c r="D265" i="6"/>
  <c r="E265" i="6"/>
  <c r="F265" i="6"/>
  <c r="H265" i="6"/>
  <c r="J265" i="6"/>
  <c r="L265" i="6"/>
  <c r="M265" i="6"/>
  <c r="C266" i="6"/>
  <c r="D266" i="6"/>
  <c r="E266" i="6"/>
  <c r="F266" i="6"/>
  <c r="H266" i="6"/>
  <c r="J266" i="6"/>
  <c r="N266" i="6"/>
  <c r="C267" i="6"/>
  <c r="D267" i="6"/>
  <c r="E267" i="6"/>
  <c r="F267" i="6"/>
  <c r="H267" i="6"/>
  <c r="J267" i="6"/>
  <c r="C268" i="6"/>
  <c r="N268" i="6" s="1"/>
  <c r="D268" i="6"/>
  <c r="E268" i="6"/>
  <c r="F268" i="6"/>
  <c r="H268" i="6"/>
  <c r="I268" i="6"/>
  <c r="J268" i="6"/>
  <c r="L268" i="6"/>
  <c r="C269" i="6"/>
  <c r="D269" i="6"/>
  <c r="E269" i="6"/>
  <c r="F269" i="6"/>
  <c r="H269" i="6"/>
  <c r="J269" i="6"/>
  <c r="M269" i="6"/>
  <c r="N269" i="6"/>
  <c r="C270" i="6"/>
  <c r="D270" i="6"/>
  <c r="E270" i="6"/>
  <c r="F270" i="6"/>
  <c r="H270" i="6"/>
  <c r="J270" i="6"/>
  <c r="C271" i="6"/>
  <c r="D271" i="6"/>
  <c r="E271" i="6"/>
  <c r="F271" i="6"/>
  <c r="H271" i="6"/>
  <c r="J271" i="6"/>
  <c r="C272" i="6"/>
  <c r="D272" i="6"/>
  <c r="E272" i="6"/>
  <c r="F272" i="6"/>
  <c r="H272" i="6"/>
  <c r="I272" i="6"/>
  <c r="J272" i="6"/>
  <c r="K272" i="6"/>
  <c r="C273" i="6"/>
  <c r="D273" i="6"/>
  <c r="E273" i="6"/>
  <c r="F273" i="6"/>
  <c r="H273" i="6"/>
  <c r="I273" i="6"/>
  <c r="J273" i="6"/>
  <c r="K273" i="6"/>
  <c r="L273" i="6"/>
  <c r="N273" i="6"/>
  <c r="C274" i="6"/>
  <c r="G274" i="6" s="1"/>
  <c r="D274" i="6"/>
  <c r="E274" i="6"/>
  <c r="F274" i="6"/>
  <c r="H274" i="6"/>
  <c r="I274" i="6"/>
  <c r="J274" i="6"/>
  <c r="K274" i="6"/>
  <c r="L274" i="6"/>
  <c r="M274" i="6"/>
  <c r="N274" i="6"/>
  <c r="C275" i="6"/>
  <c r="D275" i="6"/>
  <c r="E275" i="6"/>
  <c r="F275" i="6"/>
  <c r="H275" i="6"/>
  <c r="J275" i="6"/>
  <c r="K275" i="6"/>
  <c r="L275" i="6"/>
  <c r="M275" i="6"/>
  <c r="N275" i="6"/>
  <c r="C276" i="6"/>
  <c r="G276" i="6" s="1"/>
  <c r="D276" i="6"/>
  <c r="E276" i="6"/>
  <c r="F276" i="6"/>
  <c r="H276" i="6"/>
  <c r="I276" i="6"/>
  <c r="J276" i="6"/>
  <c r="K276" i="6"/>
  <c r="L276" i="6"/>
  <c r="M276" i="6"/>
  <c r="N276" i="6"/>
  <c r="C277" i="6"/>
  <c r="M277" i="6" s="1"/>
  <c r="D277" i="6"/>
  <c r="E277" i="6"/>
  <c r="F277" i="6"/>
  <c r="H277" i="6"/>
  <c r="J277" i="6"/>
  <c r="C278" i="6"/>
  <c r="N278" i="6" s="1"/>
  <c r="D278" i="6"/>
  <c r="E278" i="6"/>
  <c r="F278" i="6"/>
  <c r="H278" i="6"/>
  <c r="J278" i="6"/>
  <c r="C279" i="6"/>
  <c r="D279" i="6"/>
  <c r="E279" i="6"/>
  <c r="F279" i="6"/>
  <c r="H279" i="6"/>
  <c r="J279" i="6"/>
  <c r="C280" i="6"/>
  <c r="K280" i="6" s="1"/>
  <c r="D280" i="6"/>
  <c r="E280" i="6"/>
  <c r="F280" i="6"/>
  <c r="H280" i="6"/>
  <c r="J280" i="6"/>
  <c r="C281" i="6"/>
  <c r="D281" i="6"/>
  <c r="E281" i="6"/>
  <c r="F281" i="6"/>
  <c r="H281" i="6"/>
  <c r="J281" i="6"/>
  <c r="L281" i="6"/>
  <c r="M281" i="6"/>
  <c r="N281" i="6"/>
  <c r="C282" i="6"/>
  <c r="D282" i="6"/>
  <c r="E282" i="6"/>
  <c r="F282" i="6"/>
  <c r="H282" i="6"/>
  <c r="I282" i="6"/>
  <c r="J282" i="6"/>
  <c r="K282" i="6"/>
  <c r="M282" i="6"/>
  <c r="N282" i="6"/>
  <c r="C283" i="6"/>
  <c r="D283" i="6"/>
  <c r="E283" i="6"/>
  <c r="F283" i="6"/>
  <c r="H283" i="6"/>
  <c r="J283" i="6"/>
  <c r="C284" i="6"/>
  <c r="D284" i="6"/>
  <c r="E284" i="6"/>
  <c r="F284" i="6"/>
  <c r="H284" i="6"/>
  <c r="J284" i="6"/>
  <c r="C285" i="6"/>
  <c r="D285" i="6"/>
  <c r="E285" i="6"/>
  <c r="F285" i="6"/>
  <c r="H285" i="6"/>
  <c r="I285" i="6"/>
  <c r="J285" i="6"/>
  <c r="K285" i="6"/>
  <c r="C286" i="6"/>
  <c r="G286" i="6" s="1"/>
  <c r="D286" i="6"/>
  <c r="E286" i="6"/>
  <c r="F286" i="6"/>
  <c r="H286" i="6"/>
  <c r="I286" i="6"/>
  <c r="J286" i="6"/>
  <c r="K286" i="6"/>
  <c r="L286" i="6"/>
  <c r="M286" i="6"/>
  <c r="N286" i="6"/>
  <c r="C287" i="6"/>
  <c r="G287" i="6" s="1"/>
  <c r="D287" i="6"/>
  <c r="E287" i="6"/>
  <c r="F287" i="6"/>
  <c r="H287" i="6"/>
  <c r="I287" i="6"/>
  <c r="J287" i="6"/>
  <c r="K287" i="6"/>
  <c r="L287" i="6"/>
  <c r="M287" i="6"/>
  <c r="N287" i="6"/>
  <c r="C288" i="6"/>
  <c r="G288" i="6" s="1"/>
  <c r="D288" i="6"/>
  <c r="E288" i="6"/>
  <c r="F288" i="6"/>
  <c r="H288" i="6"/>
  <c r="I288" i="6"/>
  <c r="J288" i="6"/>
  <c r="K288" i="6"/>
  <c r="L288" i="6"/>
  <c r="M288" i="6"/>
  <c r="N288" i="6"/>
  <c r="C289" i="6"/>
  <c r="G289" i="6" s="1"/>
  <c r="D289" i="6"/>
  <c r="E289" i="6"/>
  <c r="F289" i="6"/>
  <c r="H289" i="6"/>
  <c r="I289" i="6"/>
  <c r="J289" i="6"/>
  <c r="C290" i="6"/>
  <c r="M290" i="6" s="1"/>
  <c r="D290" i="6"/>
  <c r="E290" i="6"/>
  <c r="F290" i="6"/>
  <c r="H290" i="6"/>
  <c r="J290" i="6"/>
  <c r="K290" i="6"/>
  <c r="C291" i="6"/>
  <c r="D291" i="6"/>
  <c r="E291" i="6"/>
  <c r="F291" i="6"/>
  <c r="H291" i="6"/>
  <c r="J291" i="6"/>
  <c r="L291" i="6"/>
  <c r="M291" i="6"/>
  <c r="N291" i="6"/>
  <c r="C292" i="6"/>
  <c r="D292" i="6"/>
  <c r="E292" i="6"/>
  <c r="F292" i="6"/>
  <c r="H292" i="6"/>
  <c r="J292" i="6"/>
  <c r="M292" i="6"/>
  <c r="N292" i="6"/>
  <c r="C293" i="6"/>
  <c r="D293" i="6"/>
  <c r="E293" i="6"/>
  <c r="F293" i="6"/>
  <c r="H293" i="6"/>
  <c r="J293" i="6"/>
  <c r="C294" i="6"/>
  <c r="D294" i="6"/>
  <c r="E294" i="6"/>
  <c r="F294" i="6"/>
  <c r="H294" i="6"/>
  <c r="I294" i="6"/>
  <c r="J294" i="6"/>
  <c r="K294" i="6"/>
  <c r="M294" i="6"/>
  <c r="C295" i="6"/>
  <c r="D295" i="6"/>
  <c r="E295" i="6"/>
  <c r="F295" i="6"/>
  <c r="H295" i="6"/>
  <c r="I295" i="6"/>
  <c r="J295" i="6"/>
  <c r="L295" i="6"/>
  <c r="N295" i="6"/>
  <c r="C296" i="6"/>
  <c r="D296" i="6"/>
  <c r="E296" i="6"/>
  <c r="F296" i="6"/>
  <c r="H296" i="6"/>
  <c r="J296" i="6"/>
  <c r="C297" i="6"/>
  <c r="D297" i="6"/>
  <c r="E297" i="6"/>
  <c r="F297" i="6"/>
  <c r="H297" i="6"/>
  <c r="J297" i="6"/>
  <c r="N297" i="6"/>
  <c r="C298" i="6"/>
  <c r="G298" i="6" s="1"/>
  <c r="D298" i="6"/>
  <c r="E298" i="6"/>
  <c r="F298" i="6"/>
  <c r="H298" i="6"/>
  <c r="I298" i="6"/>
  <c r="J298" i="6"/>
  <c r="K298" i="6"/>
  <c r="L298" i="6"/>
  <c r="M298" i="6"/>
  <c r="N298" i="6"/>
  <c r="C299" i="6"/>
  <c r="I299" i="6" s="1"/>
  <c r="D299" i="6"/>
  <c r="E299" i="6"/>
  <c r="F299" i="6"/>
  <c r="H299" i="6"/>
  <c r="J299" i="6"/>
  <c r="C300" i="6"/>
  <c r="G300" i="6" s="1"/>
  <c r="D300" i="6"/>
  <c r="E300" i="6"/>
  <c r="F300" i="6"/>
  <c r="H300" i="6"/>
  <c r="I300" i="6"/>
  <c r="J300" i="6"/>
  <c r="K300" i="6"/>
  <c r="L300" i="6"/>
  <c r="M300" i="6"/>
  <c r="N300" i="6"/>
  <c r="C301" i="6"/>
  <c r="G301" i="6" s="1"/>
  <c r="D301" i="6"/>
  <c r="E301" i="6"/>
  <c r="F301" i="6"/>
  <c r="H301" i="6"/>
  <c r="I301" i="6"/>
  <c r="J301" i="6"/>
  <c r="K301" i="6"/>
  <c r="L301" i="6"/>
  <c r="M301" i="6"/>
  <c r="C302" i="6"/>
  <c r="G302" i="6" s="1"/>
  <c r="D302" i="6"/>
  <c r="E302" i="6"/>
  <c r="F302" i="6"/>
  <c r="H302" i="6"/>
  <c r="I302" i="6"/>
  <c r="J302" i="6"/>
  <c r="K302" i="6"/>
  <c r="L302" i="6"/>
  <c r="M302" i="6"/>
  <c r="N302" i="6"/>
  <c r="C303" i="6"/>
  <c r="D303" i="6"/>
  <c r="E303" i="6"/>
  <c r="F303" i="6"/>
  <c r="H303" i="6"/>
  <c r="J303" i="6"/>
  <c r="K303" i="6"/>
  <c r="L303" i="6"/>
  <c r="M303" i="6"/>
  <c r="N303" i="6"/>
  <c r="C304" i="6"/>
  <c r="D304" i="6"/>
  <c r="E304" i="6"/>
  <c r="F304" i="6"/>
  <c r="H304" i="6"/>
  <c r="J304" i="6"/>
  <c r="K304" i="6"/>
  <c r="L304" i="6"/>
  <c r="M304" i="6"/>
  <c r="N304" i="6"/>
  <c r="C305" i="6"/>
  <c r="M305" i="6" s="1"/>
  <c r="D305" i="6"/>
  <c r="E305" i="6"/>
  <c r="F305" i="6"/>
  <c r="H305" i="6"/>
  <c r="J305" i="6"/>
  <c r="C306" i="6"/>
  <c r="D306" i="6"/>
  <c r="E306" i="6"/>
  <c r="F306" i="6"/>
  <c r="H306" i="6"/>
  <c r="I306" i="6"/>
  <c r="J306" i="6"/>
  <c r="C307" i="6"/>
  <c r="D307" i="6"/>
  <c r="E307" i="6"/>
  <c r="F307" i="6"/>
  <c r="H307" i="6"/>
  <c r="I307" i="6"/>
  <c r="J307" i="6"/>
  <c r="L307" i="6"/>
  <c r="C308" i="6"/>
  <c r="D308" i="6"/>
  <c r="E308" i="6"/>
  <c r="F308" i="6"/>
  <c r="H308" i="6"/>
  <c r="I308" i="6"/>
  <c r="J308" i="6"/>
  <c r="K308" i="6"/>
  <c r="M308" i="6"/>
  <c r="C309" i="6"/>
  <c r="L309" i="6" s="1"/>
  <c r="D309" i="6"/>
  <c r="E309" i="6"/>
  <c r="F309" i="6"/>
  <c r="H309" i="6"/>
  <c r="J309" i="6"/>
  <c r="C310" i="6"/>
  <c r="G310" i="6" s="1"/>
  <c r="D310" i="6"/>
  <c r="E310" i="6"/>
  <c r="F310" i="6"/>
  <c r="H310" i="6"/>
  <c r="I310" i="6"/>
  <c r="J310" i="6"/>
  <c r="K310" i="6"/>
  <c r="L310" i="6"/>
  <c r="M310" i="6"/>
  <c r="N310" i="6"/>
  <c r="C311" i="6"/>
  <c r="D311" i="6"/>
  <c r="E311" i="6"/>
  <c r="F311" i="6"/>
  <c r="H311" i="6"/>
  <c r="J311" i="6"/>
  <c r="M311" i="6"/>
  <c r="N311" i="6"/>
  <c r="C312" i="6"/>
  <c r="G312" i="6" s="1"/>
  <c r="D312" i="6"/>
  <c r="E312" i="6"/>
  <c r="F312" i="6"/>
  <c r="H312" i="6"/>
  <c r="I312" i="6"/>
  <c r="J312" i="6"/>
  <c r="K312" i="6"/>
  <c r="L312" i="6"/>
  <c r="M312" i="6"/>
  <c r="N312" i="6"/>
  <c r="C313" i="6"/>
  <c r="I313" i="6" s="1"/>
  <c r="D313" i="6"/>
  <c r="E313" i="6"/>
  <c r="F313" i="6"/>
  <c r="H313" i="6"/>
  <c r="J313" i="6"/>
  <c r="C314" i="6"/>
  <c r="D314" i="6"/>
  <c r="E314" i="6"/>
  <c r="F314" i="6"/>
  <c r="H314" i="6"/>
  <c r="I314" i="6"/>
  <c r="J314" i="6"/>
  <c r="K314" i="6"/>
  <c r="C315" i="6"/>
  <c r="D315" i="6"/>
  <c r="E315" i="6"/>
  <c r="F315" i="6"/>
  <c r="H315" i="6"/>
  <c r="J315" i="6"/>
  <c r="K315" i="6"/>
  <c r="L315" i="6"/>
  <c r="M315" i="6"/>
  <c r="C316" i="6"/>
  <c r="G316" i="6" s="1"/>
  <c r="D316" i="6"/>
  <c r="E316" i="6"/>
  <c r="F316" i="6"/>
  <c r="H316" i="6"/>
  <c r="I316" i="6"/>
  <c r="J316" i="6"/>
  <c r="K316" i="6"/>
  <c r="L316" i="6"/>
  <c r="M316" i="6"/>
  <c r="N316" i="6"/>
  <c r="C317" i="6"/>
  <c r="D317" i="6"/>
  <c r="E317" i="6"/>
  <c r="F317" i="6"/>
  <c r="H317" i="6"/>
  <c r="J317" i="6"/>
  <c r="L317" i="6"/>
  <c r="M317" i="6"/>
  <c r="N317" i="6"/>
  <c r="C318" i="6"/>
  <c r="N318" i="6" s="1"/>
  <c r="D318" i="6"/>
  <c r="E318" i="6"/>
  <c r="F318" i="6"/>
  <c r="H318" i="6"/>
  <c r="J318" i="6"/>
  <c r="K318" i="6"/>
  <c r="C319" i="6"/>
  <c r="D319" i="6"/>
  <c r="E319" i="6"/>
  <c r="F319" i="6"/>
  <c r="H319" i="6"/>
  <c r="J319" i="6"/>
  <c r="C320" i="6"/>
  <c r="D320" i="6"/>
  <c r="E320" i="6"/>
  <c r="F320" i="6"/>
  <c r="H320" i="6"/>
  <c r="J320" i="6"/>
  <c r="C321" i="6"/>
  <c r="D321" i="6"/>
  <c r="E321" i="6"/>
  <c r="F321" i="6"/>
  <c r="H321" i="6"/>
  <c r="I321" i="6"/>
  <c r="J321" i="6"/>
  <c r="K321" i="6"/>
  <c r="L321" i="6"/>
  <c r="N321" i="6"/>
  <c r="C322" i="6"/>
  <c r="G322" i="6" s="1"/>
  <c r="D322" i="6"/>
  <c r="E322" i="6"/>
  <c r="F322" i="6"/>
  <c r="H322" i="6"/>
  <c r="I322" i="6"/>
  <c r="J322" i="6"/>
  <c r="K322" i="6"/>
  <c r="L322" i="6"/>
  <c r="M322" i="6"/>
  <c r="N322" i="6"/>
  <c r="C323" i="6"/>
  <c r="D323" i="6"/>
  <c r="E323" i="6"/>
  <c r="F323" i="6"/>
  <c r="H323" i="6"/>
  <c r="J323" i="6"/>
  <c r="K323" i="6"/>
  <c r="L323" i="6"/>
  <c r="M323" i="6"/>
  <c r="N323" i="6"/>
  <c r="C324" i="6"/>
  <c r="G324" i="6" s="1"/>
  <c r="D324" i="6"/>
  <c r="E324" i="6"/>
  <c r="F324" i="6"/>
  <c r="H324" i="6"/>
  <c r="I324" i="6"/>
  <c r="J324" i="6"/>
  <c r="K324" i="6"/>
  <c r="L324" i="6"/>
  <c r="M324" i="6"/>
  <c r="N324" i="6"/>
  <c r="C325" i="6"/>
  <c r="L325" i="6" s="1"/>
  <c r="D325" i="6"/>
  <c r="E325" i="6"/>
  <c r="F325" i="6"/>
  <c r="H325" i="6"/>
  <c r="J325" i="6"/>
  <c r="C326" i="6"/>
  <c r="M326" i="6" s="1"/>
  <c r="D326" i="6"/>
  <c r="E326" i="6"/>
  <c r="F326" i="6"/>
  <c r="H326" i="6"/>
  <c r="J326" i="6"/>
  <c r="C327" i="6"/>
  <c r="D327" i="6"/>
  <c r="E327" i="6"/>
  <c r="F327" i="6"/>
  <c r="H327" i="6"/>
  <c r="J327" i="6"/>
  <c r="C328" i="6"/>
  <c r="I328" i="6" s="1"/>
  <c r="D328" i="6"/>
  <c r="E328" i="6"/>
  <c r="F328" i="6"/>
  <c r="H328" i="6"/>
  <c r="J328" i="6"/>
  <c r="C329" i="6"/>
  <c r="D329" i="6"/>
  <c r="E329" i="6"/>
  <c r="F329" i="6"/>
  <c r="H329" i="6"/>
  <c r="J329" i="6"/>
  <c r="L329" i="6"/>
  <c r="M329" i="6"/>
  <c r="N329" i="6"/>
  <c r="C330" i="6"/>
  <c r="D330" i="6"/>
  <c r="E330" i="6"/>
  <c r="F330" i="6"/>
  <c r="H330" i="6"/>
  <c r="I330" i="6"/>
  <c r="J330" i="6"/>
  <c r="K330" i="6"/>
  <c r="M330" i="6"/>
  <c r="N330" i="6"/>
  <c r="E454" i="4"/>
  <c r="J454" i="4" s="1"/>
  <c r="K454" i="4" s="1"/>
  <c r="E452" i="4"/>
  <c r="J452" i="4" s="1"/>
  <c r="K452" i="4" s="1"/>
  <c r="E451" i="4"/>
  <c r="J451" i="4" s="1"/>
  <c r="K451" i="4" s="1"/>
  <c r="E450" i="4"/>
  <c r="J450" i="4" s="1"/>
  <c r="K450" i="4" s="1"/>
  <c r="E449" i="4"/>
  <c r="J449" i="4" s="1"/>
  <c r="K449" i="4" s="1"/>
  <c r="E448" i="4"/>
  <c r="J448" i="4" s="1"/>
  <c r="K448" i="4" s="1"/>
  <c r="E447" i="4"/>
  <c r="J447" i="4" s="1"/>
  <c r="K447" i="4" s="1"/>
  <c r="E446" i="4"/>
  <c r="J446" i="4" s="1"/>
  <c r="K446" i="4" s="1"/>
  <c r="E445" i="4"/>
  <c r="J445" i="4" s="1"/>
  <c r="K445" i="4" s="1"/>
  <c r="E444" i="4"/>
  <c r="J444" i="4" s="1"/>
  <c r="K444" i="4" s="1"/>
  <c r="E443" i="4"/>
  <c r="J443" i="4" s="1"/>
  <c r="K443" i="4" s="1"/>
  <c r="E442" i="4"/>
  <c r="J442" i="4" s="1"/>
  <c r="K442" i="4" s="1"/>
  <c r="E441" i="4"/>
  <c r="J441" i="4" s="1"/>
  <c r="K441" i="4" s="1"/>
  <c r="E440" i="4"/>
  <c r="J440" i="4" s="1"/>
  <c r="K440" i="4" s="1"/>
  <c r="E439" i="4"/>
  <c r="J439" i="4" s="1"/>
  <c r="K439" i="4" s="1"/>
  <c r="E438" i="4"/>
  <c r="J438" i="4" s="1"/>
  <c r="K438" i="4" s="1"/>
  <c r="E437" i="4"/>
  <c r="J437" i="4" s="1"/>
  <c r="K437" i="4" s="1"/>
  <c r="E436" i="4"/>
  <c r="J436" i="4" s="1"/>
  <c r="K436" i="4" s="1"/>
  <c r="E435" i="4"/>
  <c r="J435" i="4" s="1"/>
  <c r="K435" i="4" s="1"/>
  <c r="E434" i="4"/>
  <c r="J434" i="4" s="1"/>
  <c r="K434" i="4" s="1"/>
  <c r="E433" i="4"/>
  <c r="J433" i="4" s="1"/>
  <c r="K433" i="4" s="1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E432" i="4"/>
  <c r="J432" i="4" s="1"/>
  <c r="G320" i="6" l="1"/>
  <c r="L320" i="6"/>
  <c r="N320" i="6"/>
  <c r="M320" i="6"/>
  <c r="G296" i="6"/>
  <c r="L296" i="6"/>
  <c r="N296" i="6"/>
  <c r="I296" i="6"/>
  <c r="N200" i="6"/>
  <c r="N325" i="6"/>
  <c r="G306" i="6"/>
  <c r="L306" i="6"/>
  <c r="N306" i="6"/>
  <c r="K306" i="6"/>
  <c r="M306" i="6"/>
  <c r="G208" i="6"/>
  <c r="I208" i="6"/>
  <c r="K208" i="6"/>
  <c r="M208" i="6"/>
  <c r="N208" i="6"/>
  <c r="L208" i="6"/>
  <c r="M325" i="6"/>
  <c r="K299" i="6"/>
  <c r="G254" i="6"/>
  <c r="I254" i="6"/>
  <c r="K254" i="6"/>
  <c r="G222" i="6"/>
  <c r="L222" i="6"/>
  <c r="M222" i="6"/>
  <c r="K222" i="6"/>
  <c r="N222" i="6"/>
  <c r="K328" i="6"/>
  <c r="G314" i="6"/>
  <c r="L314" i="6"/>
  <c r="M314" i="6"/>
  <c r="N314" i="6"/>
  <c r="G297" i="6"/>
  <c r="M297" i="6"/>
  <c r="I297" i="6"/>
  <c r="L297" i="6"/>
  <c r="K297" i="6"/>
  <c r="G265" i="6"/>
  <c r="K265" i="6"/>
  <c r="I265" i="6"/>
  <c r="N263" i="6"/>
  <c r="N253" i="6"/>
  <c r="M289" i="6"/>
  <c r="G260" i="6"/>
  <c r="L260" i="6"/>
  <c r="N260" i="6"/>
  <c r="K260" i="6"/>
  <c r="M260" i="6"/>
  <c r="G212" i="6"/>
  <c r="I212" i="6"/>
  <c r="K212" i="6"/>
  <c r="N326" i="6"/>
  <c r="G319" i="6"/>
  <c r="K319" i="6"/>
  <c r="M319" i="6"/>
  <c r="I319" i="6"/>
  <c r="N319" i="6"/>
  <c r="L319" i="6"/>
  <c r="N309" i="6"/>
  <c r="L253" i="6"/>
  <c r="G305" i="6"/>
  <c r="I305" i="6"/>
  <c r="K305" i="6"/>
  <c r="L305" i="6"/>
  <c r="G277" i="6"/>
  <c r="I277" i="6"/>
  <c r="K277" i="6"/>
  <c r="L277" i="6"/>
  <c r="G221" i="6"/>
  <c r="I221" i="6"/>
  <c r="K221" i="6"/>
  <c r="L221" i="6"/>
  <c r="M221" i="6"/>
  <c r="G200" i="6"/>
  <c r="I200" i="6"/>
  <c r="G259" i="6"/>
  <c r="K259" i="6"/>
  <c r="M259" i="6"/>
  <c r="N259" i="6"/>
  <c r="L259" i="6"/>
  <c r="I259" i="6"/>
  <c r="G203" i="6"/>
  <c r="I203" i="6"/>
  <c r="M203" i="6"/>
  <c r="G280" i="6"/>
  <c r="L280" i="6"/>
  <c r="M280" i="6"/>
  <c r="N280" i="6"/>
  <c r="G267" i="6"/>
  <c r="I267" i="6"/>
  <c r="K267" i="6"/>
  <c r="L267" i="6"/>
  <c r="N267" i="6"/>
  <c r="M267" i="6"/>
  <c r="G224" i="6"/>
  <c r="L224" i="6"/>
  <c r="N224" i="6"/>
  <c r="I224" i="6"/>
  <c r="G236" i="6"/>
  <c r="L236" i="6"/>
  <c r="N236" i="6"/>
  <c r="K236" i="6"/>
  <c r="I236" i="6"/>
  <c r="G270" i="6"/>
  <c r="L270" i="6"/>
  <c r="M270" i="6"/>
  <c r="I270" i="6"/>
  <c r="G248" i="6"/>
  <c r="L248" i="6"/>
  <c r="N248" i="6"/>
  <c r="I248" i="6"/>
  <c r="M248" i="6"/>
  <c r="K248" i="6"/>
  <c r="M200" i="6"/>
  <c r="N289" i="6"/>
  <c r="N221" i="6"/>
  <c r="G327" i="6"/>
  <c r="I327" i="6"/>
  <c r="K327" i="6"/>
  <c r="L327" i="6"/>
  <c r="M327" i="6"/>
  <c r="N327" i="6"/>
  <c r="K320" i="6"/>
  <c r="M296" i="6"/>
  <c r="G291" i="6"/>
  <c r="I291" i="6"/>
  <c r="K291" i="6"/>
  <c r="M253" i="6"/>
  <c r="G311" i="6"/>
  <c r="I311" i="6"/>
  <c r="K311" i="6"/>
  <c r="L311" i="6"/>
  <c r="K296" i="6"/>
  <c r="N290" i="6"/>
  <c r="L289" i="6"/>
  <c r="G279" i="6"/>
  <c r="I279" i="6"/>
  <c r="K279" i="6"/>
  <c r="N279" i="6"/>
  <c r="L279" i="6"/>
  <c r="M279" i="6"/>
  <c r="G271" i="6"/>
  <c r="K271" i="6"/>
  <c r="M271" i="6"/>
  <c r="I271" i="6"/>
  <c r="N271" i="6"/>
  <c r="L271" i="6"/>
  <c r="L263" i="6"/>
  <c r="G255" i="6"/>
  <c r="I255" i="6"/>
  <c r="M255" i="6"/>
  <c r="K255" i="6"/>
  <c r="L255" i="6"/>
  <c r="K224" i="6"/>
  <c r="G323" i="6"/>
  <c r="I323" i="6"/>
  <c r="I320" i="6"/>
  <c r="G307" i="6"/>
  <c r="K307" i="6"/>
  <c r="M307" i="6"/>
  <c r="N307" i="6"/>
  <c r="K289" i="6"/>
  <c r="G285" i="6"/>
  <c r="M285" i="6"/>
  <c r="L285" i="6"/>
  <c r="N285" i="6"/>
  <c r="I280" i="6"/>
  <c r="G275" i="6"/>
  <c r="I275" i="6"/>
  <c r="N270" i="6"/>
  <c r="G266" i="6"/>
  <c r="I266" i="6"/>
  <c r="M266" i="6"/>
  <c r="L266" i="6"/>
  <c r="K266" i="6"/>
  <c r="N254" i="6"/>
  <c r="G244" i="6"/>
  <c r="K244" i="6"/>
  <c r="L244" i="6"/>
  <c r="M244" i="6"/>
  <c r="I244" i="6"/>
  <c r="M236" i="6"/>
  <c r="G227" i="6"/>
  <c r="K227" i="6"/>
  <c r="N227" i="6"/>
  <c r="L227" i="6"/>
  <c r="M227" i="6"/>
  <c r="I215" i="6"/>
  <c r="G215" i="6"/>
  <c r="M215" i="6"/>
  <c r="G283" i="6"/>
  <c r="K283" i="6"/>
  <c r="M283" i="6"/>
  <c r="I283" i="6"/>
  <c r="G247" i="6"/>
  <c r="K247" i="6"/>
  <c r="M247" i="6"/>
  <c r="N247" i="6"/>
  <c r="I247" i="6"/>
  <c r="G325" i="6"/>
  <c r="I325" i="6"/>
  <c r="K325" i="6"/>
  <c r="G299" i="6"/>
  <c r="L299" i="6"/>
  <c r="M299" i="6"/>
  <c r="N299" i="6"/>
  <c r="G328" i="6"/>
  <c r="L328" i="6"/>
  <c r="M328" i="6"/>
  <c r="N328" i="6"/>
  <c r="G313" i="6"/>
  <c r="K313" i="6"/>
  <c r="L313" i="6"/>
  <c r="N313" i="6"/>
  <c r="M313" i="6"/>
  <c r="G256" i="6"/>
  <c r="K256" i="6"/>
  <c r="L256" i="6"/>
  <c r="N256" i="6"/>
  <c r="M256" i="6"/>
  <c r="G233" i="6"/>
  <c r="I233" i="6"/>
  <c r="K233" i="6"/>
  <c r="L233" i="6"/>
  <c r="N233" i="6"/>
  <c r="M233" i="6"/>
  <c r="G293" i="6"/>
  <c r="I293" i="6"/>
  <c r="K293" i="6"/>
  <c r="L293" i="6"/>
  <c r="M293" i="6"/>
  <c r="N293" i="6"/>
  <c r="G245" i="6"/>
  <c r="I245" i="6"/>
  <c r="K245" i="6"/>
  <c r="L245" i="6"/>
  <c r="M245" i="6"/>
  <c r="N245" i="6"/>
  <c r="G201" i="6"/>
  <c r="I201" i="6"/>
  <c r="K201" i="6"/>
  <c r="L201" i="6"/>
  <c r="N201" i="6"/>
  <c r="M201" i="6"/>
  <c r="G326" i="6"/>
  <c r="I326" i="6"/>
  <c r="L326" i="6"/>
  <c r="K326" i="6"/>
  <c r="G284" i="6"/>
  <c r="L284" i="6"/>
  <c r="N284" i="6"/>
  <c r="I284" i="6"/>
  <c r="K284" i="6"/>
  <c r="M284" i="6"/>
  <c r="G263" i="6"/>
  <c r="I263" i="6"/>
  <c r="G253" i="6"/>
  <c r="I253" i="6"/>
  <c r="G309" i="6"/>
  <c r="M309" i="6"/>
  <c r="I309" i="6"/>
  <c r="N283" i="6"/>
  <c r="G278" i="6"/>
  <c r="I278" i="6"/>
  <c r="K278" i="6"/>
  <c r="L278" i="6"/>
  <c r="G318" i="6"/>
  <c r="L318" i="6"/>
  <c r="I318" i="6"/>
  <c r="N305" i="6"/>
  <c r="G290" i="6"/>
  <c r="I290" i="6"/>
  <c r="L283" i="6"/>
  <c r="N277" i="6"/>
  <c r="L247" i="6"/>
  <c r="N203" i="6"/>
  <c r="G243" i="6"/>
  <c r="I243" i="6"/>
  <c r="K243" i="6"/>
  <c r="L203" i="6"/>
  <c r="K200" i="6"/>
  <c r="M263" i="6"/>
  <c r="K203" i="6"/>
  <c r="M318" i="6"/>
  <c r="K309" i="6"/>
  <c r="G304" i="6"/>
  <c r="I304" i="6"/>
  <c r="G292" i="6"/>
  <c r="I292" i="6"/>
  <c r="L292" i="6"/>
  <c r="K292" i="6"/>
  <c r="L290" i="6"/>
  <c r="M278" i="6"/>
  <c r="K270" i="6"/>
  <c r="N265" i="6"/>
  <c r="M254" i="6"/>
  <c r="N243" i="6"/>
  <c r="G232" i="6"/>
  <c r="K232" i="6"/>
  <c r="I232" i="6"/>
  <c r="I213" i="6"/>
  <c r="G213" i="6"/>
  <c r="K213" i="6"/>
  <c r="L213" i="6"/>
  <c r="N213" i="6"/>
  <c r="M213" i="6"/>
  <c r="I209" i="6"/>
  <c r="G209" i="6"/>
  <c r="M209" i="6"/>
  <c r="L209" i="6"/>
  <c r="N209" i="6"/>
  <c r="G294" i="6"/>
  <c r="L294" i="6"/>
  <c r="G269" i="6"/>
  <c r="I269" i="6"/>
  <c r="K269" i="6"/>
  <c r="L269" i="6"/>
  <c r="G246" i="6"/>
  <c r="L246" i="6"/>
  <c r="M246" i="6"/>
  <c r="G230" i="6"/>
  <c r="I230" i="6"/>
  <c r="G219" i="6"/>
  <c r="I219" i="6"/>
  <c r="I207" i="6"/>
  <c r="G207" i="6"/>
  <c r="K207" i="6"/>
  <c r="L207" i="6"/>
  <c r="G281" i="6"/>
  <c r="I281" i="6"/>
  <c r="K281" i="6"/>
  <c r="G223" i="6"/>
  <c r="K223" i="6"/>
  <c r="M223" i="6"/>
  <c r="N223" i="6"/>
  <c r="G321" i="6"/>
  <c r="M321" i="6"/>
  <c r="G308" i="6"/>
  <c r="L308" i="6"/>
  <c r="N308" i="6"/>
  <c r="G295" i="6"/>
  <c r="K295" i="6"/>
  <c r="M295" i="6"/>
  <c r="G273" i="6"/>
  <c r="M273" i="6"/>
  <c r="G235" i="6"/>
  <c r="K235" i="6"/>
  <c r="M235" i="6"/>
  <c r="N235" i="6"/>
  <c r="N229" i="6"/>
  <c r="G272" i="6"/>
  <c r="L272" i="6"/>
  <c r="N272" i="6"/>
  <c r="G268" i="6"/>
  <c r="K268" i="6"/>
  <c r="G257" i="6"/>
  <c r="I257" i="6"/>
  <c r="K257" i="6"/>
  <c r="L257" i="6"/>
  <c r="G234" i="6"/>
  <c r="L234" i="6"/>
  <c r="M234" i="6"/>
  <c r="G218" i="6"/>
  <c r="I218" i="6"/>
  <c r="G214" i="6"/>
  <c r="I214" i="6"/>
  <c r="K214" i="6"/>
  <c r="M214" i="6"/>
  <c r="N214" i="6"/>
  <c r="G206" i="6"/>
  <c r="I206" i="6"/>
  <c r="I202" i="6"/>
  <c r="G202" i="6"/>
  <c r="K202" i="6"/>
  <c r="M202" i="6"/>
  <c r="N202" i="6"/>
  <c r="G329" i="6"/>
  <c r="I329" i="6"/>
  <c r="K329" i="6"/>
  <c r="G315" i="6"/>
  <c r="I315" i="6"/>
  <c r="N239" i="6"/>
  <c r="G330" i="6"/>
  <c r="L330" i="6"/>
  <c r="G317" i="6"/>
  <c r="I317" i="6"/>
  <c r="K317" i="6"/>
  <c r="N315" i="6"/>
  <c r="G303" i="6"/>
  <c r="I303" i="6"/>
  <c r="N301" i="6"/>
  <c r="N294" i="6"/>
  <c r="G282" i="6"/>
  <c r="L282" i="6"/>
  <c r="M272" i="6"/>
  <c r="M268" i="6"/>
  <c r="G258" i="6"/>
  <c r="L258" i="6"/>
  <c r="M258" i="6"/>
  <c r="G242" i="6"/>
  <c r="I242" i="6"/>
  <c r="M239" i="6"/>
  <c r="N234" i="6"/>
  <c r="G231" i="6"/>
  <c r="I231" i="6"/>
  <c r="M229" i="6"/>
  <c r="G220" i="6"/>
  <c r="K220" i="6"/>
  <c r="M218" i="6"/>
  <c r="M206" i="6"/>
  <c r="G216" i="6"/>
  <c r="I216" i="6"/>
  <c r="G210" i="6"/>
  <c r="I210" i="6"/>
  <c r="I204" i="6"/>
  <c r="G204" i="6"/>
  <c r="M261" i="6"/>
  <c r="M249" i="6"/>
  <c r="M237" i="6"/>
  <c r="M225" i="6"/>
  <c r="I217" i="6"/>
  <c r="G217" i="6"/>
  <c r="I211" i="6"/>
  <c r="G211" i="6"/>
  <c r="I205" i="6"/>
  <c r="G205" i="6"/>
  <c r="I199" i="6"/>
  <c r="G199" i="6"/>
  <c r="K432" i="4"/>
  <c r="E117" i="4" l="1"/>
  <c r="J117" i="4" s="1"/>
  <c r="K117" i="4" l="1"/>
  <c r="E116" i="4"/>
  <c r="J116" i="4" s="1"/>
  <c r="K116" i="4" l="1"/>
  <c r="D75" i="6" l="1"/>
  <c r="C75" i="6" s="1"/>
  <c r="D76" i="6"/>
  <c r="C76" i="6" s="1"/>
  <c r="D77" i="6"/>
  <c r="C77" i="6" s="1"/>
  <c r="D78" i="6"/>
  <c r="C78" i="6" s="1"/>
  <c r="D79" i="6"/>
  <c r="C79" i="6" s="1"/>
  <c r="D80" i="6"/>
  <c r="C80" i="6" s="1"/>
  <c r="D81" i="6"/>
  <c r="C81" i="6" s="1"/>
  <c r="D82" i="6"/>
  <c r="C82" i="6" s="1"/>
  <c r="D83" i="6"/>
  <c r="C83" i="6" s="1"/>
  <c r="D84" i="6"/>
  <c r="C84" i="6" s="1"/>
  <c r="D85" i="6"/>
  <c r="C85" i="6" s="1"/>
  <c r="D86" i="6"/>
  <c r="C86" i="6" s="1"/>
  <c r="D87" i="6"/>
  <c r="C87" i="6" s="1"/>
  <c r="D88" i="6"/>
  <c r="C88" i="6" s="1"/>
  <c r="D89" i="6"/>
  <c r="C89" i="6" s="1"/>
  <c r="D90" i="6"/>
  <c r="C90" i="6" s="1"/>
  <c r="D91" i="6"/>
  <c r="C91" i="6" s="1"/>
  <c r="D92" i="6"/>
  <c r="C92" i="6" s="1"/>
  <c r="D93" i="6"/>
  <c r="C93" i="6" s="1"/>
  <c r="D94" i="6"/>
  <c r="C94" i="6" s="1"/>
  <c r="D95" i="6"/>
  <c r="C95" i="6" s="1"/>
  <c r="D96" i="6"/>
  <c r="C96" i="6" s="1"/>
  <c r="D97" i="6"/>
  <c r="C97" i="6" s="1"/>
  <c r="D98" i="6"/>
  <c r="C98" i="6" s="1"/>
  <c r="D99" i="6"/>
  <c r="C99" i="6" s="1"/>
  <c r="D100" i="6"/>
  <c r="C100" i="6" s="1"/>
  <c r="D101" i="6"/>
  <c r="C101" i="6" s="1"/>
  <c r="D102" i="6"/>
  <c r="C102" i="6" s="1"/>
  <c r="D103" i="6"/>
  <c r="C103" i="6" s="1"/>
  <c r="D104" i="6"/>
  <c r="C104" i="6" s="1"/>
  <c r="D105" i="6"/>
  <c r="C105" i="6" s="1"/>
  <c r="D106" i="6"/>
  <c r="C106" i="6" s="1"/>
  <c r="D107" i="6"/>
  <c r="C107" i="6" s="1"/>
  <c r="D108" i="6"/>
  <c r="C108" i="6" s="1"/>
  <c r="D109" i="6"/>
  <c r="C109" i="6" s="1"/>
  <c r="D110" i="6"/>
  <c r="C110" i="6" s="1"/>
  <c r="D111" i="6"/>
  <c r="C111" i="6" s="1"/>
  <c r="D112" i="6"/>
  <c r="C112" i="6" s="1"/>
  <c r="D113" i="6"/>
  <c r="C113" i="6" s="1"/>
  <c r="D114" i="6"/>
  <c r="C114" i="6" s="1"/>
  <c r="D115" i="6"/>
  <c r="C115" i="6" s="1"/>
  <c r="D116" i="6"/>
  <c r="C116" i="6" s="1"/>
  <c r="D117" i="6"/>
  <c r="C117" i="6" s="1"/>
  <c r="D118" i="6"/>
  <c r="C118" i="6" s="1"/>
  <c r="D119" i="6"/>
  <c r="C119" i="6" s="1"/>
  <c r="D120" i="6"/>
  <c r="C120" i="6" s="1"/>
  <c r="D121" i="6"/>
  <c r="C121" i="6" s="1"/>
  <c r="D122" i="6"/>
  <c r="C122" i="6" s="1"/>
  <c r="D123" i="6"/>
  <c r="C123" i="6" s="1"/>
  <c r="D124" i="6"/>
  <c r="C124" i="6" s="1"/>
  <c r="D125" i="6"/>
  <c r="C125" i="6" s="1"/>
  <c r="D126" i="6"/>
  <c r="C126" i="6" s="1"/>
  <c r="D127" i="6"/>
  <c r="C127" i="6" s="1"/>
  <c r="D128" i="6"/>
  <c r="C128" i="6" s="1"/>
  <c r="D129" i="6"/>
  <c r="C129" i="6" s="1"/>
  <c r="D130" i="6"/>
  <c r="C130" i="6" s="1"/>
  <c r="D131" i="6"/>
  <c r="C131" i="6" s="1"/>
  <c r="D132" i="6"/>
  <c r="C132" i="6" s="1"/>
  <c r="D133" i="6"/>
  <c r="C133" i="6" s="1"/>
  <c r="D134" i="6"/>
  <c r="C134" i="6" s="1"/>
  <c r="D135" i="6"/>
  <c r="C135" i="6" s="1"/>
  <c r="D136" i="6"/>
  <c r="C136" i="6" s="1"/>
  <c r="D137" i="6"/>
  <c r="C137" i="6" s="1"/>
  <c r="D138" i="6"/>
  <c r="C138" i="6" s="1"/>
  <c r="D139" i="6"/>
  <c r="C139" i="6" s="1"/>
  <c r="D140" i="6"/>
  <c r="C140" i="6" s="1"/>
  <c r="D141" i="6"/>
  <c r="C141" i="6" s="1"/>
  <c r="D142" i="6"/>
  <c r="C142" i="6" s="1"/>
  <c r="D143" i="6"/>
  <c r="C143" i="6" s="1"/>
  <c r="D144" i="6"/>
  <c r="C144" i="6" s="1"/>
  <c r="D145" i="6"/>
  <c r="C145" i="6" s="1"/>
  <c r="D146" i="6"/>
  <c r="C146" i="6" s="1"/>
  <c r="D147" i="6"/>
  <c r="C147" i="6" s="1"/>
  <c r="D148" i="6"/>
  <c r="C148" i="6" s="1"/>
  <c r="D149" i="6"/>
  <c r="C149" i="6" s="1"/>
  <c r="D150" i="6"/>
  <c r="C150" i="6" s="1"/>
  <c r="D151" i="6"/>
  <c r="C151" i="6" s="1"/>
  <c r="D152" i="6"/>
  <c r="C152" i="6" s="1"/>
  <c r="D153" i="6"/>
  <c r="C153" i="6" s="1"/>
  <c r="D154" i="6"/>
  <c r="C154" i="6" s="1"/>
  <c r="D155" i="6"/>
  <c r="C155" i="6" s="1"/>
  <c r="D156" i="6"/>
  <c r="C156" i="6" s="1"/>
  <c r="D157" i="6"/>
  <c r="C157" i="6" s="1"/>
  <c r="D158" i="6"/>
  <c r="C158" i="6" s="1"/>
  <c r="D159" i="6"/>
  <c r="C159" i="6" s="1"/>
  <c r="D160" i="6"/>
  <c r="C160" i="6" s="1"/>
  <c r="D161" i="6"/>
  <c r="C161" i="6" s="1"/>
  <c r="D162" i="6"/>
  <c r="C162" i="6" s="1"/>
  <c r="D163" i="6"/>
  <c r="C163" i="6" s="1"/>
  <c r="D164" i="6"/>
  <c r="C164" i="6" s="1"/>
  <c r="D165" i="6"/>
  <c r="C165" i="6" s="1"/>
  <c r="D166" i="6"/>
  <c r="C166" i="6" s="1"/>
  <c r="D167" i="6"/>
  <c r="C167" i="6" s="1"/>
  <c r="D168" i="6"/>
  <c r="C168" i="6" s="1"/>
  <c r="D169" i="6"/>
  <c r="C169" i="6" s="1"/>
  <c r="D170" i="6"/>
  <c r="C170" i="6" s="1"/>
  <c r="D171" i="6"/>
  <c r="C171" i="6" s="1"/>
  <c r="D172" i="6"/>
  <c r="C172" i="6" s="1"/>
  <c r="D173" i="6"/>
  <c r="C173" i="6" s="1"/>
  <c r="D174" i="6"/>
  <c r="C174" i="6" s="1"/>
  <c r="D175" i="6"/>
  <c r="C175" i="6" s="1"/>
  <c r="D176" i="6"/>
  <c r="C176" i="6" s="1"/>
  <c r="D177" i="6"/>
  <c r="C177" i="6" s="1"/>
  <c r="D178" i="6"/>
  <c r="C178" i="6" s="1"/>
  <c r="D179" i="6"/>
  <c r="C179" i="6" s="1"/>
  <c r="D180" i="6"/>
  <c r="C180" i="6" s="1"/>
  <c r="D181" i="6"/>
  <c r="C181" i="6" s="1"/>
  <c r="D182" i="6"/>
  <c r="C182" i="6" s="1"/>
  <c r="D183" i="6"/>
  <c r="C183" i="6" s="1"/>
  <c r="D184" i="6"/>
  <c r="C184" i="6" s="1"/>
  <c r="D185" i="6"/>
  <c r="C185" i="6" s="1"/>
  <c r="D186" i="6"/>
  <c r="C186" i="6" s="1"/>
  <c r="D187" i="6"/>
  <c r="C187" i="6" s="1"/>
  <c r="D188" i="6"/>
  <c r="C188" i="6" s="1"/>
  <c r="D189" i="6"/>
  <c r="C189" i="6" s="1"/>
  <c r="D190" i="6"/>
  <c r="C190" i="6" s="1"/>
  <c r="D191" i="6"/>
  <c r="C191" i="6" s="1"/>
  <c r="D192" i="6"/>
  <c r="C192" i="6" s="1"/>
  <c r="D193" i="6"/>
  <c r="C193" i="6" s="1"/>
  <c r="D194" i="6"/>
  <c r="C194" i="6" s="1"/>
  <c r="D195" i="6"/>
  <c r="C195" i="6" s="1"/>
  <c r="D196" i="6"/>
  <c r="C196" i="6" s="1"/>
  <c r="D197" i="6"/>
  <c r="C197" i="6" s="1"/>
  <c r="D198" i="6"/>
  <c r="C198" i="6" s="1"/>
  <c r="D2" i="6"/>
  <c r="C2" i="6" s="1"/>
  <c r="D3" i="6"/>
  <c r="C3" i="6" s="1"/>
  <c r="D4" i="6"/>
  <c r="C4" i="6" s="1"/>
  <c r="D5" i="6"/>
  <c r="C5" i="6" s="1"/>
  <c r="D6" i="6"/>
  <c r="C6" i="6" s="1"/>
  <c r="D7" i="6"/>
  <c r="C7" i="6" s="1"/>
  <c r="D8" i="6"/>
  <c r="C8" i="6" s="1"/>
  <c r="D9" i="6"/>
  <c r="C9" i="6" s="1"/>
  <c r="D10" i="6"/>
  <c r="C10" i="6" s="1"/>
  <c r="D11" i="6"/>
  <c r="C11" i="6" s="1"/>
  <c r="D12" i="6"/>
  <c r="C12" i="6" s="1"/>
  <c r="D13" i="6"/>
  <c r="C13" i="6" s="1"/>
  <c r="D14" i="6"/>
  <c r="C14" i="6" s="1"/>
  <c r="D15" i="6"/>
  <c r="C15" i="6" s="1"/>
  <c r="D16" i="6"/>
  <c r="C16" i="6" s="1"/>
  <c r="D17" i="6"/>
  <c r="C17" i="6" s="1"/>
  <c r="D18" i="6"/>
  <c r="C18" i="6" s="1"/>
  <c r="D19" i="6"/>
  <c r="C19" i="6" s="1"/>
  <c r="D20" i="6"/>
  <c r="C20" i="6" s="1"/>
  <c r="D21" i="6"/>
  <c r="C21" i="6" s="1"/>
  <c r="D22" i="6"/>
  <c r="C22" i="6" s="1"/>
  <c r="D23" i="6"/>
  <c r="C23" i="6" s="1"/>
  <c r="D24" i="6"/>
  <c r="C24" i="6" s="1"/>
  <c r="D25" i="6"/>
  <c r="C25" i="6" s="1"/>
  <c r="D26" i="6"/>
  <c r="C26" i="6" s="1"/>
  <c r="D27" i="6"/>
  <c r="C27" i="6" s="1"/>
  <c r="D28" i="6"/>
  <c r="C28" i="6" s="1"/>
  <c r="D29" i="6"/>
  <c r="C29" i="6" s="1"/>
  <c r="D30" i="6"/>
  <c r="C30" i="6" s="1"/>
  <c r="D31" i="6"/>
  <c r="C31" i="6" s="1"/>
  <c r="D32" i="6"/>
  <c r="C32" i="6" s="1"/>
  <c r="D33" i="6"/>
  <c r="C33" i="6" s="1"/>
  <c r="D34" i="6"/>
  <c r="C34" i="6" s="1"/>
  <c r="D35" i="6"/>
  <c r="C35" i="6" s="1"/>
  <c r="D36" i="6"/>
  <c r="C36" i="6" s="1"/>
  <c r="D37" i="6"/>
  <c r="C37" i="6" s="1"/>
  <c r="D38" i="6"/>
  <c r="C38" i="6" s="1"/>
  <c r="D39" i="6"/>
  <c r="C39" i="6" s="1"/>
  <c r="D40" i="6"/>
  <c r="C40" i="6" s="1"/>
  <c r="D41" i="6"/>
  <c r="C41" i="6" s="1"/>
  <c r="D42" i="6"/>
  <c r="C42" i="6" s="1"/>
  <c r="D43" i="6"/>
  <c r="C43" i="6" s="1"/>
  <c r="D44" i="6"/>
  <c r="C44" i="6" s="1"/>
  <c r="D45" i="6"/>
  <c r="C45" i="6" s="1"/>
  <c r="D46" i="6"/>
  <c r="C46" i="6" s="1"/>
  <c r="D47" i="6"/>
  <c r="C47" i="6" s="1"/>
  <c r="D48" i="6"/>
  <c r="C48" i="6" s="1"/>
  <c r="D49" i="6"/>
  <c r="C49" i="6" s="1"/>
  <c r="D50" i="6"/>
  <c r="C50" i="6" s="1"/>
  <c r="D51" i="6"/>
  <c r="C51" i="6" s="1"/>
  <c r="D52" i="6"/>
  <c r="C52" i="6" s="1"/>
  <c r="D53" i="6"/>
  <c r="C53" i="6" s="1"/>
  <c r="D54" i="6"/>
  <c r="C54" i="6" s="1"/>
  <c r="D55" i="6"/>
  <c r="C55" i="6" s="1"/>
  <c r="D56" i="6"/>
  <c r="C56" i="6" s="1"/>
  <c r="D57" i="6"/>
  <c r="C57" i="6" s="1"/>
  <c r="D58" i="6"/>
  <c r="C58" i="6" s="1"/>
  <c r="D59" i="6"/>
  <c r="C59" i="6" s="1"/>
  <c r="D60" i="6"/>
  <c r="C60" i="6" s="1"/>
  <c r="D61" i="6"/>
  <c r="C61" i="6" s="1"/>
  <c r="D62" i="6"/>
  <c r="C62" i="6" s="1"/>
  <c r="D63" i="6"/>
  <c r="C63" i="6" s="1"/>
  <c r="D64" i="6"/>
  <c r="C64" i="6" s="1"/>
  <c r="D65" i="6"/>
  <c r="C65" i="6" s="1"/>
  <c r="D66" i="6"/>
  <c r="C66" i="6" s="1"/>
  <c r="D67" i="6"/>
  <c r="C67" i="6" s="1"/>
  <c r="D68" i="6"/>
  <c r="C68" i="6" s="1"/>
  <c r="D69" i="6"/>
  <c r="C69" i="6" s="1"/>
  <c r="D70" i="6"/>
  <c r="C70" i="6" s="1"/>
  <c r="D71" i="6"/>
  <c r="C71" i="6" s="1"/>
  <c r="D72" i="6"/>
  <c r="C72" i="6" s="1"/>
  <c r="D73" i="6"/>
  <c r="C73" i="6" s="1"/>
  <c r="D74" i="6"/>
  <c r="C74" i="6" s="1"/>
  <c r="J67" i="6" l="1"/>
  <c r="H67" i="6"/>
  <c r="J55" i="6"/>
  <c r="H55" i="6"/>
  <c r="J30" i="6"/>
  <c r="H30" i="6"/>
  <c r="J186" i="6"/>
  <c r="H186" i="6"/>
  <c r="J165" i="6"/>
  <c r="H165" i="6"/>
  <c r="J134" i="6"/>
  <c r="H134" i="6"/>
  <c r="J125" i="6"/>
  <c r="H125" i="6"/>
  <c r="J107" i="6"/>
  <c r="H107" i="6"/>
  <c r="J85" i="6"/>
  <c r="H85" i="6"/>
  <c r="H79" i="6"/>
  <c r="J79" i="6"/>
  <c r="J66" i="6"/>
  <c r="H66" i="6"/>
  <c r="J53" i="6"/>
  <c r="H53" i="6"/>
  <c r="J48" i="6"/>
  <c r="H48" i="6"/>
  <c r="J43" i="6"/>
  <c r="H43" i="6"/>
  <c r="J35" i="6"/>
  <c r="H35" i="6"/>
  <c r="J29" i="6"/>
  <c r="H29" i="6"/>
  <c r="J14" i="6"/>
  <c r="H14" i="6"/>
  <c r="J5" i="6"/>
  <c r="H5" i="6"/>
  <c r="J185" i="6"/>
  <c r="H185" i="6"/>
  <c r="J171" i="6"/>
  <c r="H171" i="6"/>
  <c r="H170" i="6"/>
  <c r="J170" i="6"/>
  <c r="H148" i="6"/>
  <c r="J148" i="6"/>
  <c r="J145" i="6"/>
  <c r="H145" i="6"/>
  <c r="H140" i="6"/>
  <c r="J140" i="6"/>
  <c r="H133" i="6"/>
  <c r="J133" i="6"/>
  <c r="H129" i="6"/>
  <c r="J129" i="6"/>
  <c r="H122" i="6"/>
  <c r="J122" i="6"/>
  <c r="H114" i="6"/>
  <c r="J114" i="6"/>
  <c r="H106" i="6"/>
  <c r="J106" i="6"/>
  <c r="H88" i="6"/>
  <c r="J88" i="6"/>
  <c r="H78" i="6"/>
  <c r="J78" i="6"/>
  <c r="J73" i="6"/>
  <c r="H73" i="6"/>
  <c r="J36" i="6"/>
  <c r="H36" i="6"/>
  <c r="J191" i="6"/>
  <c r="H191" i="6"/>
  <c r="J180" i="6"/>
  <c r="H180" i="6"/>
  <c r="J160" i="6"/>
  <c r="H160" i="6"/>
  <c r="J149" i="6"/>
  <c r="H149" i="6"/>
  <c r="J141" i="6"/>
  <c r="H141" i="6"/>
  <c r="J118" i="6"/>
  <c r="H118" i="6"/>
  <c r="J102" i="6"/>
  <c r="H102" i="6"/>
  <c r="J98" i="6"/>
  <c r="H98" i="6"/>
  <c r="J80" i="6"/>
  <c r="H80" i="6"/>
  <c r="J72" i="6"/>
  <c r="H72" i="6"/>
  <c r="J65" i="6"/>
  <c r="H65" i="6"/>
  <c r="H46" i="6"/>
  <c r="J46" i="6"/>
  <c r="H39" i="6"/>
  <c r="J39" i="6"/>
  <c r="J28" i="6"/>
  <c r="H28" i="6"/>
  <c r="H23" i="6"/>
  <c r="J23" i="6"/>
  <c r="H13" i="6"/>
  <c r="J13" i="6"/>
  <c r="J196" i="6"/>
  <c r="H196" i="6"/>
  <c r="J184" i="6"/>
  <c r="H184" i="6"/>
  <c r="J179" i="6"/>
  <c r="H179" i="6"/>
  <c r="J169" i="6"/>
  <c r="H169" i="6"/>
  <c r="J164" i="6"/>
  <c r="H164" i="6"/>
  <c r="J156" i="6"/>
  <c r="H156" i="6"/>
  <c r="J144" i="6"/>
  <c r="H144" i="6"/>
  <c r="J139" i="6"/>
  <c r="H139" i="6"/>
  <c r="J128" i="6"/>
  <c r="H128" i="6"/>
  <c r="H124" i="6"/>
  <c r="J124" i="6"/>
  <c r="J113" i="6"/>
  <c r="H113" i="6"/>
  <c r="J105" i="6"/>
  <c r="H105" i="6"/>
  <c r="H93" i="6"/>
  <c r="J93" i="6"/>
  <c r="H84" i="6"/>
  <c r="J84" i="6"/>
  <c r="H77" i="6"/>
  <c r="J77" i="6"/>
  <c r="J61" i="6"/>
  <c r="H61" i="6"/>
  <c r="H42" i="6"/>
  <c r="J42" i="6"/>
  <c r="H34" i="6"/>
  <c r="J34" i="6"/>
  <c r="H22" i="6"/>
  <c r="J22" i="6"/>
  <c r="J18" i="6"/>
  <c r="H18" i="6"/>
  <c r="J17" i="6"/>
  <c r="H17" i="6"/>
  <c r="H16" i="6"/>
  <c r="J16" i="6"/>
  <c r="H12" i="6"/>
  <c r="J12" i="6"/>
  <c r="H9" i="6"/>
  <c r="J9" i="6"/>
  <c r="H8" i="6"/>
  <c r="J8" i="6"/>
  <c r="H4" i="6"/>
  <c r="J4" i="6"/>
  <c r="J198" i="6"/>
  <c r="H198" i="6"/>
  <c r="J190" i="6"/>
  <c r="H190" i="6"/>
  <c r="J183" i="6"/>
  <c r="H183" i="6"/>
  <c r="J178" i="6"/>
  <c r="H178" i="6"/>
  <c r="H174" i="6"/>
  <c r="J174" i="6"/>
  <c r="J154" i="6"/>
  <c r="H154" i="6"/>
  <c r="J138" i="6"/>
  <c r="H138" i="6"/>
  <c r="J132" i="6"/>
  <c r="H132" i="6"/>
  <c r="J127" i="6"/>
  <c r="H127" i="6"/>
  <c r="J121" i="6"/>
  <c r="H121" i="6"/>
  <c r="J117" i="6"/>
  <c r="H117" i="6"/>
  <c r="J112" i="6"/>
  <c r="H112" i="6"/>
  <c r="J92" i="6"/>
  <c r="H92" i="6"/>
  <c r="J83" i="6"/>
  <c r="H83" i="6"/>
  <c r="J76" i="6"/>
  <c r="H76" i="6"/>
  <c r="J44" i="6"/>
  <c r="H44" i="6"/>
  <c r="J157" i="6"/>
  <c r="H157" i="6"/>
  <c r="J54" i="6"/>
  <c r="H54" i="6"/>
  <c r="H60" i="6"/>
  <c r="J60" i="6"/>
  <c r="H59" i="6"/>
  <c r="J59" i="6"/>
  <c r="H27" i="6"/>
  <c r="J27" i="6"/>
  <c r="H21" i="6"/>
  <c r="J21" i="6"/>
  <c r="H11" i="6"/>
  <c r="J11" i="6"/>
  <c r="H3" i="6"/>
  <c r="J3" i="6"/>
  <c r="J197" i="6"/>
  <c r="H197" i="6"/>
  <c r="J194" i="6"/>
  <c r="H194" i="6"/>
  <c r="J189" i="6"/>
  <c r="H189" i="6"/>
  <c r="J177" i="6"/>
  <c r="H177" i="6"/>
  <c r="J173" i="6"/>
  <c r="H173" i="6"/>
  <c r="J168" i="6"/>
  <c r="H168" i="6"/>
  <c r="J163" i="6"/>
  <c r="H163" i="6"/>
  <c r="J153" i="6"/>
  <c r="H153" i="6"/>
  <c r="J147" i="6"/>
  <c r="H147" i="6"/>
  <c r="J143" i="6"/>
  <c r="H143" i="6"/>
  <c r="J137" i="6"/>
  <c r="H137" i="6"/>
  <c r="J131" i="6"/>
  <c r="H131" i="6"/>
  <c r="J126" i="6"/>
  <c r="H126" i="6"/>
  <c r="J115" i="6"/>
  <c r="H115" i="6"/>
  <c r="J111" i="6"/>
  <c r="H111" i="6"/>
  <c r="J104" i="6"/>
  <c r="H104" i="6"/>
  <c r="J101" i="6"/>
  <c r="H101" i="6"/>
  <c r="J97" i="6"/>
  <c r="H97" i="6"/>
  <c r="J87" i="6"/>
  <c r="H87" i="6"/>
  <c r="J19" i="6"/>
  <c r="H19" i="6"/>
  <c r="J52" i="6"/>
  <c r="H52" i="6"/>
  <c r="H71" i="6"/>
  <c r="J71" i="6"/>
  <c r="H64" i="6"/>
  <c r="J64" i="6"/>
  <c r="H56" i="6"/>
  <c r="J56" i="6"/>
  <c r="H51" i="6"/>
  <c r="J51" i="6"/>
  <c r="H45" i="6"/>
  <c r="J45" i="6"/>
  <c r="H70" i="6"/>
  <c r="J70" i="6"/>
  <c r="H63" i="6"/>
  <c r="J63" i="6"/>
  <c r="H58" i="6"/>
  <c r="J58" i="6"/>
  <c r="H47" i="6"/>
  <c r="J47" i="6"/>
  <c r="H41" i="6"/>
  <c r="J41" i="6"/>
  <c r="H38" i="6"/>
  <c r="J38" i="6"/>
  <c r="H33" i="6"/>
  <c r="J33" i="6"/>
  <c r="H26" i="6"/>
  <c r="J26" i="6"/>
  <c r="H7" i="6"/>
  <c r="J7" i="6"/>
  <c r="J195" i="6"/>
  <c r="H195" i="6"/>
  <c r="J193" i="6"/>
  <c r="H193" i="6"/>
  <c r="J172" i="6"/>
  <c r="H172" i="6"/>
  <c r="J162" i="6"/>
  <c r="H162" i="6"/>
  <c r="J159" i="6"/>
  <c r="H159" i="6"/>
  <c r="J155" i="6"/>
  <c r="H155" i="6"/>
  <c r="J152" i="6"/>
  <c r="H152" i="6"/>
  <c r="J136" i="6"/>
  <c r="H136" i="6"/>
  <c r="J116" i="6"/>
  <c r="H116" i="6"/>
  <c r="J109" i="6"/>
  <c r="H109" i="6"/>
  <c r="J96" i="6"/>
  <c r="H96" i="6"/>
  <c r="J91" i="6"/>
  <c r="H91" i="6"/>
  <c r="J86" i="6"/>
  <c r="H86" i="6"/>
  <c r="J82" i="6"/>
  <c r="H82" i="6"/>
  <c r="J175" i="6"/>
  <c r="H175" i="6"/>
  <c r="J69" i="6"/>
  <c r="H69" i="6"/>
  <c r="J57" i="6"/>
  <c r="H57" i="6"/>
  <c r="J50" i="6"/>
  <c r="H50" i="6"/>
  <c r="H40" i="6"/>
  <c r="J40" i="6"/>
  <c r="H37" i="6"/>
  <c r="J37" i="6"/>
  <c r="H32" i="6"/>
  <c r="J32" i="6"/>
  <c r="H20" i="6"/>
  <c r="J20" i="6"/>
  <c r="H10" i="6"/>
  <c r="J10" i="6"/>
  <c r="J2" i="6"/>
  <c r="J188" i="6"/>
  <c r="H188" i="6"/>
  <c r="J182" i="6"/>
  <c r="H182" i="6"/>
  <c r="J167" i="6"/>
  <c r="H167" i="6"/>
  <c r="J161" i="6"/>
  <c r="H161" i="6"/>
  <c r="J151" i="6"/>
  <c r="H151" i="6"/>
  <c r="J146" i="6"/>
  <c r="H146" i="6"/>
  <c r="J130" i="6"/>
  <c r="H130" i="6"/>
  <c r="J123" i="6"/>
  <c r="H123" i="6"/>
  <c r="J120" i="6"/>
  <c r="H120" i="6"/>
  <c r="J119" i="6"/>
  <c r="H119" i="6"/>
  <c r="J110" i="6"/>
  <c r="H110" i="6"/>
  <c r="J100" i="6"/>
  <c r="H100" i="6"/>
  <c r="J95" i="6"/>
  <c r="H95" i="6"/>
  <c r="J90" i="6"/>
  <c r="H90" i="6"/>
  <c r="J24" i="6"/>
  <c r="H24" i="6"/>
  <c r="J74" i="6"/>
  <c r="H74" i="6"/>
  <c r="J68" i="6"/>
  <c r="H68" i="6"/>
  <c r="J62" i="6"/>
  <c r="H62" i="6"/>
  <c r="J49" i="6"/>
  <c r="H49" i="6"/>
  <c r="J31" i="6"/>
  <c r="H31" i="6"/>
  <c r="J25" i="6"/>
  <c r="H25" i="6"/>
  <c r="J15" i="6"/>
  <c r="H15" i="6"/>
  <c r="J6" i="6"/>
  <c r="H6" i="6"/>
  <c r="H192" i="6"/>
  <c r="J192" i="6"/>
  <c r="J187" i="6"/>
  <c r="H187" i="6"/>
  <c r="H181" i="6"/>
  <c r="J181" i="6"/>
  <c r="J176" i="6"/>
  <c r="H176" i="6"/>
  <c r="H166" i="6"/>
  <c r="J166" i="6"/>
  <c r="J158" i="6"/>
  <c r="H158" i="6"/>
  <c r="J150" i="6"/>
  <c r="H150" i="6"/>
  <c r="H142" i="6"/>
  <c r="J142" i="6"/>
  <c r="J135" i="6"/>
  <c r="H135" i="6"/>
  <c r="H108" i="6"/>
  <c r="J108" i="6"/>
  <c r="J103" i="6"/>
  <c r="H103" i="6"/>
  <c r="J99" i="6"/>
  <c r="H99" i="6"/>
  <c r="J94" i="6"/>
  <c r="H94" i="6"/>
  <c r="H89" i="6"/>
  <c r="J89" i="6"/>
  <c r="J81" i="6"/>
  <c r="H81" i="6"/>
  <c r="J75" i="6"/>
  <c r="H75" i="6"/>
  <c r="N56" i="6" l="1"/>
  <c r="M56" i="6"/>
  <c r="N120" i="6"/>
  <c r="M120" i="6"/>
  <c r="N163" i="6"/>
  <c r="M163" i="6"/>
  <c r="N3" i="6"/>
  <c r="M3" i="6"/>
  <c r="N157" i="6"/>
  <c r="M157" i="6"/>
  <c r="N117" i="6"/>
  <c r="M117" i="6"/>
  <c r="N183" i="6"/>
  <c r="M183" i="6"/>
  <c r="N17" i="6"/>
  <c r="M17" i="6"/>
  <c r="N84" i="6"/>
  <c r="M84" i="6"/>
  <c r="M156" i="6"/>
  <c r="N156" i="6"/>
  <c r="N23" i="6"/>
  <c r="M23" i="6"/>
  <c r="N46" i="6"/>
  <c r="M46" i="6"/>
  <c r="N80" i="6"/>
  <c r="M80" i="6"/>
  <c r="M191" i="6"/>
  <c r="N191" i="6"/>
  <c r="N114" i="6"/>
  <c r="M114" i="6"/>
  <c r="N170" i="6"/>
  <c r="M170" i="6"/>
  <c r="N79" i="6"/>
  <c r="M79" i="6"/>
  <c r="N30" i="6"/>
  <c r="M30" i="6"/>
  <c r="N185" i="6"/>
  <c r="M185" i="6"/>
  <c r="N125" i="6"/>
  <c r="M125" i="6"/>
  <c r="M167" i="6"/>
  <c r="N167" i="6"/>
  <c r="N42" i="6"/>
  <c r="M42" i="6"/>
  <c r="N88" i="6"/>
  <c r="M88" i="6"/>
  <c r="M103" i="6"/>
  <c r="N103" i="6"/>
  <c r="N182" i="6"/>
  <c r="M182" i="6"/>
  <c r="M152" i="6"/>
  <c r="N152" i="6"/>
  <c r="N187" i="6"/>
  <c r="M187" i="6"/>
  <c r="N95" i="6"/>
  <c r="M95" i="6"/>
  <c r="N33" i="6"/>
  <c r="M33" i="6"/>
  <c r="N4" i="6"/>
  <c r="M4" i="6"/>
  <c r="N123" i="6"/>
  <c r="M123" i="6"/>
  <c r="N151" i="6"/>
  <c r="M151" i="6"/>
  <c r="N10" i="6"/>
  <c r="M10" i="6"/>
  <c r="N175" i="6"/>
  <c r="M175" i="6"/>
  <c r="M47" i="6"/>
  <c r="N47" i="6"/>
  <c r="N64" i="6"/>
  <c r="M64" i="6"/>
  <c r="N104" i="6"/>
  <c r="M104" i="6"/>
  <c r="N147" i="6"/>
  <c r="M147" i="6"/>
  <c r="N194" i="6"/>
  <c r="M194" i="6"/>
  <c r="N60" i="6"/>
  <c r="M60" i="6"/>
  <c r="N174" i="6"/>
  <c r="M174" i="6"/>
  <c r="N12" i="6"/>
  <c r="M12" i="6"/>
  <c r="M61" i="6"/>
  <c r="N61" i="6"/>
  <c r="N139" i="6"/>
  <c r="M139" i="6"/>
  <c r="N196" i="6"/>
  <c r="M196" i="6"/>
  <c r="N28" i="6"/>
  <c r="M28" i="6"/>
  <c r="M160" i="6"/>
  <c r="N160" i="6"/>
  <c r="N14" i="6"/>
  <c r="M14" i="6"/>
  <c r="N53" i="6"/>
  <c r="M53" i="6"/>
  <c r="N165" i="6"/>
  <c r="M165" i="6"/>
  <c r="M6" i="6"/>
  <c r="N6" i="6"/>
  <c r="N146" i="6"/>
  <c r="M146" i="6"/>
  <c r="N92" i="6"/>
  <c r="M92" i="6"/>
  <c r="N9" i="6"/>
  <c r="M9" i="6"/>
  <c r="M145" i="6"/>
  <c r="N145" i="6"/>
  <c r="N48" i="6"/>
  <c r="M48" i="6"/>
  <c r="N63" i="6"/>
  <c r="M63" i="6"/>
  <c r="N50" i="6"/>
  <c r="M50" i="6"/>
  <c r="N87" i="6"/>
  <c r="M87" i="6"/>
  <c r="M188" i="6"/>
  <c r="N188" i="6"/>
  <c r="N37" i="6"/>
  <c r="M37" i="6"/>
  <c r="N86" i="6"/>
  <c r="M86" i="6"/>
  <c r="N155" i="6"/>
  <c r="M155" i="6"/>
  <c r="N7" i="6"/>
  <c r="M7" i="6"/>
  <c r="N19" i="6"/>
  <c r="M19" i="6"/>
  <c r="N115" i="6"/>
  <c r="M115" i="6"/>
  <c r="N168" i="6"/>
  <c r="M168" i="6"/>
  <c r="N11" i="6"/>
  <c r="M11" i="6"/>
  <c r="N121" i="6"/>
  <c r="M121" i="6"/>
  <c r="N190" i="6"/>
  <c r="M190" i="6"/>
  <c r="M18" i="6"/>
  <c r="N18" i="6"/>
  <c r="N93" i="6"/>
  <c r="M93" i="6"/>
  <c r="N164" i="6"/>
  <c r="M164" i="6"/>
  <c r="N98" i="6"/>
  <c r="M98" i="6"/>
  <c r="N36" i="6"/>
  <c r="M36" i="6"/>
  <c r="N122" i="6"/>
  <c r="M122" i="6"/>
  <c r="N171" i="6"/>
  <c r="M171" i="6"/>
  <c r="N29" i="6"/>
  <c r="M29" i="6"/>
  <c r="N85" i="6"/>
  <c r="M85" i="6"/>
  <c r="M55" i="6"/>
  <c r="N55" i="6"/>
  <c r="N150" i="6"/>
  <c r="M150" i="6"/>
  <c r="M2" i="6"/>
  <c r="N116" i="6"/>
  <c r="M116" i="6"/>
  <c r="N41" i="6"/>
  <c r="M41" i="6"/>
  <c r="N101" i="6"/>
  <c r="M101" i="6"/>
  <c r="N149" i="6"/>
  <c r="M149" i="6"/>
  <c r="N31" i="6"/>
  <c r="M31" i="6"/>
  <c r="N52" i="6"/>
  <c r="M52" i="6"/>
  <c r="N130" i="6"/>
  <c r="M130" i="6"/>
  <c r="N45" i="6"/>
  <c r="M45" i="6"/>
  <c r="N177" i="6"/>
  <c r="M177" i="6"/>
  <c r="N132" i="6"/>
  <c r="M132" i="6"/>
  <c r="N133" i="6"/>
  <c r="M133" i="6"/>
  <c r="N94" i="6"/>
  <c r="M94" i="6"/>
  <c r="N158" i="6"/>
  <c r="M158" i="6"/>
  <c r="N15" i="6"/>
  <c r="M15" i="6"/>
  <c r="N81" i="6"/>
  <c r="M81" i="6"/>
  <c r="N176" i="6"/>
  <c r="M176" i="6"/>
  <c r="N142" i="6"/>
  <c r="M142" i="6"/>
  <c r="N192" i="6"/>
  <c r="M192" i="6"/>
  <c r="N62" i="6"/>
  <c r="M62" i="6"/>
  <c r="N100" i="6"/>
  <c r="M100" i="6"/>
  <c r="N57" i="6"/>
  <c r="M57" i="6"/>
  <c r="N109" i="6"/>
  <c r="M109" i="6"/>
  <c r="N159" i="6"/>
  <c r="M159" i="6"/>
  <c r="N172" i="6"/>
  <c r="M172" i="6"/>
  <c r="N38" i="6"/>
  <c r="M38" i="6"/>
  <c r="N51" i="6"/>
  <c r="M51" i="6"/>
  <c r="N97" i="6"/>
  <c r="M97" i="6"/>
  <c r="M137" i="6"/>
  <c r="N137" i="6"/>
  <c r="N197" i="6"/>
  <c r="M197" i="6"/>
  <c r="M27" i="6"/>
  <c r="N27" i="6"/>
  <c r="N83" i="6"/>
  <c r="M83" i="6"/>
  <c r="N138" i="6"/>
  <c r="M138" i="6"/>
  <c r="N8" i="6"/>
  <c r="M8" i="6"/>
  <c r="N34" i="6"/>
  <c r="M34" i="6"/>
  <c r="M124" i="6"/>
  <c r="N124" i="6"/>
  <c r="N179" i="6"/>
  <c r="M179" i="6"/>
  <c r="N39" i="6"/>
  <c r="M39" i="6"/>
  <c r="N65" i="6"/>
  <c r="M65" i="6"/>
  <c r="N141" i="6"/>
  <c r="M141" i="6"/>
  <c r="M78" i="6"/>
  <c r="N78" i="6"/>
  <c r="N129" i="6"/>
  <c r="M129" i="6"/>
  <c r="N140" i="6"/>
  <c r="M140" i="6"/>
  <c r="N43" i="6"/>
  <c r="M43" i="6"/>
  <c r="N134" i="6"/>
  <c r="M134" i="6"/>
  <c r="N135" i="6"/>
  <c r="M135" i="6"/>
  <c r="N59" i="6"/>
  <c r="M59" i="6"/>
  <c r="N154" i="6"/>
  <c r="M154" i="6"/>
  <c r="N184" i="6"/>
  <c r="M184" i="6"/>
  <c r="N24" i="6"/>
  <c r="M24" i="6"/>
  <c r="N32" i="6"/>
  <c r="M32" i="6"/>
  <c r="N108" i="6"/>
  <c r="M108" i="6"/>
  <c r="N110" i="6"/>
  <c r="M110" i="6"/>
  <c r="N162" i="6"/>
  <c r="M162" i="6"/>
  <c r="N131" i="6"/>
  <c r="M131" i="6"/>
  <c r="N76" i="6"/>
  <c r="M76" i="6"/>
  <c r="N113" i="6"/>
  <c r="M113" i="6"/>
  <c r="N73" i="6"/>
  <c r="M73" i="6"/>
  <c r="N148" i="6"/>
  <c r="M148" i="6"/>
  <c r="N99" i="6"/>
  <c r="M99" i="6"/>
  <c r="N181" i="6"/>
  <c r="M181" i="6"/>
  <c r="N25" i="6"/>
  <c r="M25" i="6"/>
  <c r="M74" i="6"/>
  <c r="N74" i="6"/>
  <c r="N161" i="6"/>
  <c r="M161" i="6"/>
  <c r="N20" i="6"/>
  <c r="M20" i="6"/>
  <c r="N136" i="6"/>
  <c r="M136" i="6"/>
  <c r="N193" i="6"/>
  <c r="M193" i="6"/>
  <c r="M58" i="6"/>
  <c r="N58" i="6"/>
  <c r="N71" i="6"/>
  <c r="M71" i="6"/>
  <c r="N153" i="6"/>
  <c r="M153" i="6"/>
  <c r="N54" i="6"/>
  <c r="M54" i="6"/>
  <c r="N112" i="6"/>
  <c r="M112" i="6"/>
  <c r="M178" i="6"/>
  <c r="N178" i="6"/>
  <c r="N16" i="6"/>
  <c r="M16" i="6"/>
  <c r="N77" i="6"/>
  <c r="M77" i="6"/>
  <c r="N144" i="6"/>
  <c r="M144" i="6"/>
  <c r="N13" i="6"/>
  <c r="M13" i="6"/>
  <c r="M72" i="6"/>
  <c r="N72" i="6"/>
  <c r="N180" i="6"/>
  <c r="M180" i="6"/>
  <c r="N106" i="6"/>
  <c r="M106" i="6"/>
  <c r="N66" i="6"/>
  <c r="M66" i="6"/>
  <c r="N186" i="6"/>
  <c r="M186" i="6"/>
  <c r="N75" i="6"/>
  <c r="M75" i="6"/>
  <c r="N68" i="6"/>
  <c r="M68" i="6"/>
  <c r="N69" i="6"/>
  <c r="M69" i="6"/>
  <c r="N5" i="6"/>
  <c r="M5" i="6"/>
  <c r="M82" i="6"/>
  <c r="N82" i="6"/>
  <c r="N111" i="6"/>
  <c r="M111" i="6"/>
  <c r="N49" i="6"/>
  <c r="M49" i="6"/>
  <c r="N96" i="6"/>
  <c r="M96" i="6"/>
  <c r="N21" i="6"/>
  <c r="M21" i="6"/>
  <c r="N118" i="6"/>
  <c r="M118" i="6"/>
  <c r="N166" i="6"/>
  <c r="M166" i="6"/>
  <c r="N119" i="6"/>
  <c r="M119" i="6"/>
  <c r="M89" i="6"/>
  <c r="N89" i="6"/>
  <c r="N90" i="6"/>
  <c r="M90" i="6"/>
  <c r="N40" i="6"/>
  <c r="M40" i="6"/>
  <c r="N91" i="6"/>
  <c r="M91" i="6"/>
  <c r="N195" i="6"/>
  <c r="M195" i="6"/>
  <c r="N26" i="6"/>
  <c r="M26" i="6"/>
  <c r="N70" i="6"/>
  <c r="M70" i="6"/>
  <c r="N126" i="6"/>
  <c r="M126" i="6"/>
  <c r="N143" i="6"/>
  <c r="M143" i="6"/>
  <c r="N173" i="6"/>
  <c r="M173" i="6"/>
  <c r="N189" i="6"/>
  <c r="M189" i="6"/>
  <c r="N44" i="6"/>
  <c r="M44" i="6"/>
  <c r="N127" i="6"/>
  <c r="M127" i="6"/>
  <c r="N198" i="6"/>
  <c r="M198" i="6"/>
  <c r="N22" i="6"/>
  <c r="M22" i="6"/>
  <c r="N105" i="6"/>
  <c r="M105" i="6"/>
  <c r="N128" i="6"/>
  <c r="M128" i="6"/>
  <c r="N169" i="6"/>
  <c r="M169" i="6"/>
  <c r="N102" i="6"/>
  <c r="M102" i="6"/>
  <c r="M35" i="6"/>
  <c r="N35" i="6"/>
  <c r="M107" i="6"/>
  <c r="N107" i="6"/>
  <c r="N67" i="6"/>
  <c r="M67" i="6"/>
  <c r="L129" i="6"/>
  <c r="I129" i="6"/>
  <c r="K129" i="6"/>
  <c r="G129" i="6"/>
  <c r="L81" i="6"/>
  <c r="K81" i="6"/>
  <c r="I81" i="6"/>
  <c r="G81" i="6"/>
  <c r="L89" i="6"/>
  <c r="K89" i="6"/>
  <c r="I89" i="6"/>
  <c r="G89" i="6"/>
  <c r="L110" i="6"/>
  <c r="K110" i="6"/>
  <c r="I110" i="6"/>
  <c r="G110" i="6"/>
  <c r="L167" i="6"/>
  <c r="K167" i="6"/>
  <c r="I167" i="6"/>
  <c r="G167" i="6"/>
  <c r="K188" i="6"/>
  <c r="L188" i="6"/>
  <c r="I188" i="6"/>
  <c r="G188" i="6"/>
  <c r="L197" i="6"/>
  <c r="K197" i="6"/>
  <c r="I197" i="6"/>
  <c r="G197" i="6"/>
  <c r="I148" i="6"/>
  <c r="L148" i="6"/>
  <c r="K148" i="6"/>
  <c r="G148" i="6"/>
  <c r="L99" i="6"/>
  <c r="K99" i="6"/>
  <c r="I99" i="6"/>
  <c r="G99" i="6"/>
  <c r="L103" i="6"/>
  <c r="K103" i="6"/>
  <c r="I103" i="6"/>
  <c r="G103" i="6"/>
  <c r="L142" i="6"/>
  <c r="K142" i="6"/>
  <c r="I142" i="6"/>
  <c r="G142" i="6"/>
  <c r="K150" i="6"/>
  <c r="L150" i="6"/>
  <c r="I150" i="6"/>
  <c r="G150" i="6"/>
  <c r="K158" i="6"/>
  <c r="L158" i="6"/>
  <c r="I158" i="6"/>
  <c r="G158" i="6"/>
  <c r="K166" i="6"/>
  <c r="L166" i="6"/>
  <c r="I166" i="6"/>
  <c r="G166" i="6"/>
  <c r="K176" i="6"/>
  <c r="L176" i="6"/>
  <c r="I176" i="6"/>
  <c r="G176" i="6"/>
  <c r="K187" i="6"/>
  <c r="L187" i="6"/>
  <c r="I187" i="6"/>
  <c r="G187" i="6"/>
  <c r="L6" i="6"/>
  <c r="K6" i="6"/>
  <c r="I6" i="6"/>
  <c r="G6" i="6"/>
  <c r="L31" i="6"/>
  <c r="K31" i="6"/>
  <c r="I31" i="6"/>
  <c r="G31" i="6"/>
  <c r="L62" i="6"/>
  <c r="K62" i="6"/>
  <c r="I62" i="6"/>
  <c r="G62" i="6"/>
  <c r="L90" i="6"/>
  <c r="K90" i="6"/>
  <c r="I90" i="6"/>
  <c r="G90" i="6"/>
  <c r="L100" i="6"/>
  <c r="K100" i="6"/>
  <c r="I100" i="6"/>
  <c r="G100" i="6"/>
  <c r="K120" i="6"/>
  <c r="L120" i="6"/>
  <c r="I120" i="6"/>
  <c r="G120" i="6"/>
  <c r="L130" i="6"/>
  <c r="K130" i="6"/>
  <c r="I130" i="6"/>
  <c r="G130" i="6"/>
  <c r="L151" i="6"/>
  <c r="K151" i="6"/>
  <c r="I151" i="6"/>
  <c r="G151" i="6"/>
  <c r="L10" i="6"/>
  <c r="K10" i="6"/>
  <c r="I10" i="6"/>
  <c r="G10" i="6"/>
  <c r="L20" i="6"/>
  <c r="K20" i="6"/>
  <c r="I20" i="6"/>
  <c r="G20" i="6"/>
  <c r="L32" i="6"/>
  <c r="I32" i="6"/>
  <c r="K32" i="6"/>
  <c r="G32" i="6"/>
  <c r="L40" i="6"/>
  <c r="K40" i="6"/>
  <c r="I40" i="6"/>
  <c r="G40" i="6"/>
  <c r="L57" i="6"/>
  <c r="K57" i="6"/>
  <c r="I57" i="6"/>
  <c r="G57" i="6"/>
  <c r="K175" i="6"/>
  <c r="I175" i="6"/>
  <c r="L175" i="6"/>
  <c r="G175" i="6"/>
  <c r="L86" i="6"/>
  <c r="K86" i="6"/>
  <c r="I86" i="6"/>
  <c r="G86" i="6"/>
  <c r="L96" i="6"/>
  <c r="K96" i="6"/>
  <c r="I96" i="6"/>
  <c r="G96" i="6"/>
  <c r="L109" i="6"/>
  <c r="I109" i="6"/>
  <c r="G109" i="6"/>
  <c r="K109" i="6"/>
  <c r="L116" i="6"/>
  <c r="K116" i="6"/>
  <c r="I116" i="6"/>
  <c r="G116" i="6"/>
  <c r="L136" i="6"/>
  <c r="K136" i="6"/>
  <c r="I136" i="6"/>
  <c r="G136" i="6"/>
  <c r="K155" i="6"/>
  <c r="L155" i="6"/>
  <c r="I155" i="6"/>
  <c r="G155" i="6"/>
  <c r="L162" i="6"/>
  <c r="K162" i="6"/>
  <c r="I162" i="6"/>
  <c r="G162" i="6"/>
  <c r="K172" i="6"/>
  <c r="L172" i="6"/>
  <c r="I172" i="6"/>
  <c r="G172" i="6"/>
  <c r="L193" i="6"/>
  <c r="K193" i="6"/>
  <c r="I193" i="6"/>
  <c r="G193" i="6"/>
  <c r="L26" i="6"/>
  <c r="K26" i="6"/>
  <c r="I26" i="6"/>
  <c r="G26" i="6"/>
  <c r="L38" i="6"/>
  <c r="K38" i="6"/>
  <c r="I38" i="6"/>
  <c r="G38" i="6"/>
  <c r="L63" i="6"/>
  <c r="K63" i="6"/>
  <c r="I63" i="6"/>
  <c r="G63" i="6"/>
  <c r="L70" i="6"/>
  <c r="K70" i="6"/>
  <c r="I70" i="6"/>
  <c r="G70" i="6"/>
  <c r="L45" i="6"/>
  <c r="I45" i="6"/>
  <c r="K45" i="6"/>
  <c r="G45" i="6"/>
  <c r="L56" i="6"/>
  <c r="K56" i="6"/>
  <c r="G56" i="6"/>
  <c r="I56" i="6"/>
  <c r="L71" i="6"/>
  <c r="K71" i="6"/>
  <c r="I71" i="6"/>
  <c r="G71" i="6"/>
  <c r="L52" i="6"/>
  <c r="K52" i="6"/>
  <c r="I52" i="6"/>
  <c r="G52" i="6"/>
  <c r="L87" i="6"/>
  <c r="K87" i="6"/>
  <c r="I87" i="6"/>
  <c r="G87" i="6"/>
  <c r="L97" i="6"/>
  <c r="K97" i="6"/>
  <c r="I97" i="6"/>
  <c r="G97" i="6"/>
  <c r="L101" i="6"/>
  <c r="K101" i="6"/>
  <c r="I101" i="6"/>
  <c r="G101" i="6"/>
  <c r="L115" i="6"/>
  <c r="K115" i="6"/>
  <c r="I115" i="6"/>
  <c r="G115" i="6"/>
  <c r="L126" i="6"/>
  <c r="K126" i="6"/>
  <c r="I126" i="6"/>
  <c r="G126" i="6"/>
  <c r="L137" i="6"/>
  <c r="K137" i="6"/>
  <c r="I137" i="6"/>
  <c r="G137" i="6"/>
  <c r="L147" i="6"/>
  <c r="K147" i="6"/>
  <c r="I147" i="6"/>
  <c r="G147" i="6"/>
  <c r="L163" i="6"/>
  <c r="K163" i="6"/>
  <c r="I163" i="6"/>
  <c r="G163" i="6"/>
  <c r="L173" i="6"/>
  <c r="K173" i="6"/>
  <c r="I173" i="6"/>
  <c r="G173" i="6"/>
  <c r="L194" i="6"/>
  <c r="K194" i="6"/>
  <c r="I194" i="6"/>
  <c r="G194" i="6"/>
  <c r="L3" i="6"/>
  <c r="K3" i="6"/>
  <c r="I3" i="6"/>
  <c r="G3" i="6"/>
  <c r="L27" i="6"/>
  <c r="I27" i="6"/>
  <c r="K27" i="6"/>
  <c r="G27" i="6"/>
  <c r="L60" i="6"/>
  <c r="K60" i="6"/>
  <c r="I60" i="6"/>
  <c r="G60" i="6"/>
  <c r="L54" i="6"/>
  <c r="K54" i="6"/>
  <c r="I54" i="6"/>
  <c r="G54" i="6"/>
  <c r="L157" i="6"/>
  <c r="K157" i="6"/>
  <c r="I157" i="6"/>
  <c r="G157" i="6"/>
  <c r="L44" i="6"/>
  <c r="K44" i="6"/>
  <c r="G44" i="6"/>
  <c r="I44" i="6"/>
  <c r="L117" i="6"/>
  <c r="K117" i="6"/>
  <c r="I117" i="6"/>
  <c r="G117" i="6"/>
  <c r="L127" i="6"/>
  <c r="K127" i="6"/>
  <c r="I127" i="6"/>
  <c r="G127" i="6"/>
  <c r="L138" i="6"/>
  <c r="K138" i="6"/>
  <c r="I138" i="6"/>
  <c r="G138" i="6"/>
  <c r="K174" i="6"/>
  <c r="L174" i="6"/>
  <c r="I174" i="6"/>
  <c r="G174" i="6"/>
  <c r="L183" i="6"/>
  <c r="K183" i="6"/>
  <c r="I183" i="6"/>
  <c r="G183" i="6"/>
  <c r="L198" i="6"/>
  <c r="K198" i="6"/>
  <c r="G198" i="6"/>
  <c r="I198" i="6"/>
  <c r="L4" i="6"/>
  <c r="K4" i="6"/>
  <c r="I4" i="6"/>
  <c r="G4" i="6"/>
  <c r="L9" i="6"/>
  <c r="K9" i="6"/>
  <c r="G9" i="6"/>
  <c r="I9" i="6"/>
  <c r="L16" i="6"/>
  <c r="K16" i="6"/>
  <c r="I16" i="6"/>
  <c r="G16" i="6"/>
  <c r="K18" i="6"/>
  <c r="L18" i="6"/>
  <c r="I18" i="6"/>
  <c r="G18" i="6"/>
  <c r="L61" i="6"/>
  <c r="K61" i="6"/>
  <c r="I61" i="6"/>
  <c r="G61" i="6"/>
  <c r="L77" i="6"/>
  <c r="K77" i="6"/>
  <c r="I77" i="6"/>
  <c r="G77" i="6"/>
  <c r="L84" i="6"/>
  <c r="K84" i="6"/>
  <c r="I84" i="6"/>
  <c r="G84" i="6"/>
  <c r="L93" i="6"/>
  <c r="K93" i="6"/>
  <c r="I93" i="6"/>
  <c r="G93" i="6"/>
  <c r="L105" i="6"/>
  <c r="K105" i="6"/>
  <c r="I105" i="6"/>
  <c r="G105" i="6"/>
  <c r="L113" i="6"/>
  <c r="K113" i="6"/>
  <c r="I113" i="6"/>
  <c r="G113" i="6"/>
  <c r="L124" i="6"/>
  <c r="K124" i="6"/>
  <c r="I124" i="6"/>
  <c r="G124" i="6"/>
  <c r="K144" i="6"/>
  <c r="L144" i="6"/>
  <c r="I144" i="6"/>
  <c r="G144" i="6"/>
  <c r="K169" i="6"/>
  <c r="L169" i="6"/>
  <c r="I169" i="6"/>
  <c r="G169" i="6"/>
  <c r="K179" i="6"/>
  <c r="L179" i="6"/>
  <c r="I179" i="6"/>
  <c r="G179" i="6"/>
  <c r="K196" i="6"/>
  <c r="L196" i="6"/>
  <c r="I196" i="6"/>
  <c r="G196" i="6"/>
  <c r="K13" i="6"/>
  <c r="I13" i="6"/>
  <c r="L13" i="6"/>
  <c r="G13" i="6"/>
  <c r="L23" i="6"/>
  <c r="K23" i="6"/>
  <c r="I23" i="6"/>
  <c r="G23" i="6"/>
  <c r="L65" i="6"/>
  <c r="K65" i="6"/>
  <c r="I65" i="6"/>
  <c r="G65" i="6"/>
  <c r="L102" i="6"/>
  <c r="K102" i="6"/>
  <c r="I102" i="6"/>
  <c r="G102" i="6"/>
  <c r="L149" i="6"/>
  <c r="K149" i="6"/>
  <c r="I149" i="6"/>
  <c r="G149" i="6"/>
  <c r="L191" i="6"/>
  <c r="I191" i="6"/>
  <c r="K191" i="6"/>
  <c r="G191" i="6"/>
  <c r="L36" i="6"/>
  <c r="K36" i="6"/>
  <c r="I36" i="6"/>
  <c r="G36" i="6"/>
  <c r="L73" i="6"/>
  <c r="K73" i="6"/>
  <c r="I73" i="6"/>
  <c r="G73" i="6"/>
  <c r="L88" i="6"/>
  <c r="I88" i="6"/>
  <c r="K88" i="6"/>
  <c r="G88" i="6"/>
  <c r="L140" i="6"/>
  <c r="K140" i="6"/>
  <c r="I140" i="6"/>
  <c r="G140" i="6"/>
  <c r="L185" i="6"/>
  <c r="K185" i="6"/>
  <c r="I185" i="6"/>
  <c r="G185" i="6"/>
  <c r="L5" i="6"/>
  <c r="K5" i="6"/>
  <c r="I5" i="6"/>
  <c r="G5" i="6"/>
  <c r="K29" i="6"/>
  <c r="L29" i="6"/>
  <c r="I29" i="6"/>
  <c r="G29" i="6"/>
  <c r="L53" i="6"/>
  <c r="K53" i="6"/>
  <c r="I53" i="6"/>
  <c r="G53" i="6"/>
  <c r="K66" i="6"/>
  <c r="L66" i="6"/>
  <c r="I66" i="6"/>
  <c r="G66" i="6"/>
  <c r="L85" i="6"/>
  <c r="K85" i="6"/>
  <c r="I85" i="6"/>
  <c r="G85" i="6"/>
  <c r="K125" i="6"/>
  <c r="L125" i="6"/>
  <c r="I125" i="6"/>
  <c r="G125" i="6"/>
  <c r="L165" i="6"/>
  <c r="K165" i="6"/>
  <c r="I165" i="6"/>
  <c r="G165" i="6"/>
  <c r="L186" i="6"/>
  <c r="K186" i="6"/>
  <c r="I186" i="6"/>
  <c r="G186" i="6"/>
  <c r="L55" i="6"/>
  <c r="K55" i="6"/>
  <c r="I55" i="6"/>
  <c r="G55" i="6"/>
  <c r="L108" i="6"/>
  <c r="K108" i="6"/>
  <c r="I108" i="6"/>
  <c r="G108" i="6"/>
  <c r="K159" i="6"/>
  <c r="L159" i="6"/>
  <c r="I159" i="6"/>
  <c r="G159" i="6"/>
  <c r="L195" i="6"/>
  <c r="K195" i="6"/>
  <c r="I195" i="6"/>
  <c r="G195" i="6"/>
  <c r="L39" i="6"/>
  <c r="K39" i="6"/>
  <c r="I39" i="6"/>
  <c r="G39" i="6"/>
  <c r="K135" i="6"/>
  <c r="L135" i="6"/>
  <c r="I135" i="6"/>
  <c r="G135" i="6"/>
  <c r="K181" i="6"/>
  <c r="L181" i="6"/>
  <c r="I181" i="6"/>
  <c r="G181" i="6"/>
  <c r="L123" i="6"/>
  <c r="K123" i="6"/>
  <c r="I123" i="6"/>
  <c r="G123" i="6"/>
  <c r="L182" i="6"/>
  <c r="K182" i="6"/>
  <c r="I182" i="6"/>
  <c r="G182" i="6"/>
  <c r="L143" i="6"/>
  <c r="K143" i="6"/>
  <c r="I143" i="6"/>
  <c r="G143" i="6"/>
  <c r="L189" i="6"/>
  <c r="K189" i="6"/>
  <c r="I189" i="6"/>
  <c r="G189" i="6"/>
  <c r="L128" i="6"/>
  <c r="K128" i="6"/>
  <c r="I128" i="6"/>
  <c r="G128" i="6"/>
  <c r="L28" i="6"/>
  <c r="K28" i="6"/>
  <c r="I28" i="6"/>
  <c r="G28" i="6"/>
  <c r="L46" i="6"/>
  <c r="K46" i="6"/>
  <c r="I46" i="6"/>
  <c r="G46" i="6"/>
  <c r="L75" i="6"/>
  <c r="K75" i="6"/>
  <c r="I75" i="6"/>
  <c r="G75" i="6"/>
  <c r="L94" i="6"/>
  <c r="K94" i="6"/>
  <c r="I94" i="6"/>
  <c r="G94" i="6"/>
  <c r="K192" i="6"/>
  <c r="L192" i="6"/>
  <c r="I192" i="6"/>
  <c r="G192" i="6"/>
  <c r="L15" i="6"/>
  <c r="K15" i="6"/>
  <c r="I15" i="6"/>
  <c r="G15" i="6"/>
  <c r="L25" i="6"/>
  <c r="K25" i="6"/>
  <c r="I25" i="6"/>
  <c r="G25" i="6"/>
  <c r="L49" i="6"/>
  <c r="I49" i="6"/>
  <c r="K49" i="6"/>
  <c r="G49" i="6"/>
  <c r="L68" i="6"/>
  <c r="K68" i="6"/>
  <c r="I68" i="6"/>
  <c r="G68" i="6"/>
  <c r="L74" i="6"/>
  <c r="K74" i="6"/>
  <c r="I74" i="6"/>
  <c r="G74" i="6"/>
  <c r="L24" i="6"/>
  <c r="K24" i="6"/>
  <c r="I24" i="6"/>
  <c r="G24" i="6"/>
  <c r="K95" i="6"/>
  <c r="L95" i="6"/>
  <c r="I95" i="6"/>
  <c r="G95" i="6"/>
  <c r="K119" i="6"/>
  <c r="I119" i="6"/>
  <c r="L119" i="6"/>
  <c r="G119" i="6"/>
  <c r="L146" i="6"/>
  <c r="K146" i="6"/>
  <c r="I146" i="6"/>
  <c r="G146" i="6"/>
  <c r="L161" i="6"/>
  <c r="I161" i="6"/>
  <c r="K161" i="6"/>
  <c r="G161" i="6"/>
  <c r="L2" i="6"/>
  <c r="K2" i="6"/>
  <c r="I2" i="6"/>
  <c r="G2" i="6"/>
  <c r="L37" i="6"/>
  <c r="K37" i="6"/>
  <c r="I37" i="6"/>
  <c r="G37" i="6"/>
  <c r="L50" i="6"/>
  <c r="K50" i="6"/>
  <c r="I50" i="6"/>
  <c r="G50" i="6"/>
  <c r="L69" i="6"/>
  <c r="K69" i="6"/>
  <c r="I69" i="6"/>
  <c r="G69" i="6"/>
  <c r="L82" i="6"/>
  <c r="K82" i="6"/>
  <c r="I82" i="6"/>
  <c r="G82" i="6"/>
  <c r="L91" i="6"/>
  <c r="K91" i="6"/>
  <c r="I91" i="6"/>
  <c r="G91" i="6"/>
  <c r="L152" i="6"/>
  <c r="I152" i="6"/>
  <c r="K152" i="6"/>
  <c r="G152" i="6"/>
  <c r="L7" i="6"/>
  <c r="K7" i="6"/>
  <c r="I7" i="6"/>
  <c r="G7" i="6"/>
  <c r="L33" i="6"/>
  <c r="K33" i="6"/>
  <c r="I33" i="6"/>
  <c r="G33" i="6"/>
  <c r="L41" i="6"/>
  <c r="K41" i="6"/>
  <c r="I41" i="6"/>
  <c r="G41" i="6"/>
  <c r="L47" i="6"/>
  <c r="K47" i="6"/>
  <c r="I47" i="6"/>
  <c r="G47" i="6"/>
  <c r="L58" i="6"/>
  <c r="K58" i="6"/>
  <c r="I58" i="6"/>
  <c r="G58" i="6"/>
  <c r="L51" i="6"/>
  <c r="I51" i="6"/>
  <c r="K51" i="6"/>
  <c r="G51" i="6"/>
  <c r="L64" i="6"/>
  <c r="I64" i="6"/>
  <c r="G64" i="6"/>
  <c r="K64" i="6"/>
  <c r="L19" i="6"/>
  <c r="I19" i="6"/>
  <c r="G19" i="6"/>
  <c r="K19" i="6"/>
  <c r="K104" i="6"/>
  <c r="L104" i="6"/>
  <c r="I104" i="6"/>
  <c r="G104" i="6"/>
  <c r="L111" i="6"/>
  <c r="K111" i="6"/>
  <c r="I111" i="6"/>
  <c r="G111" i="6"/>
  <c r="L131" i="6"/>
  <c r="K131" i="6"/>
  <c r="I131" i="6"/>
  <c r="G131" i="6"/>
  <c r="L153" i="6"/>
  <c r="I153" i="6"/>
  <c r="G153" i="6"/>
  <c r="K153" i="6"/>
  <c r="L168" i="6"/>
  <c r="I168" i="6"/>
  <c r="K168" i="6"/>
  <c r="G168" i="6"/>
  <c r="L177" i="6"/>
  <c r="K177" i="6"/>
  <c r="I177" i="6"/>
  <c r="G177" i="6"/>
  <c r="L11" i="6"/>
  <c r="I11" i="6"/>
  <c r="G11" i="6"/>
  <c r="K11" i="6"/>
  <c r="L21" i="6"/>
  <c r="I21" i="6"/>
  <c r="K21" i="6"/>
  <c r="G21" i="6"/>
  <c r="L59" i="6"/>
  <c r="K59" i="6"/>
  <c r="I59" i="6"/>
  <c r="G59" i="6"/>
  <c r="L76" i="6"/>
  <c r="K76" i="6"/>
  <c r="I76" i="6"/>
  <c r="G76" i="6"/>
  <c r="L83" i="6"/>
  <c r="K83" i="6"/>
  <c r="I83" i="6"/>
  <c r="G83" i="6"/>
  <c r="L92" i="6"/>
  <c r="K92" i="6"/>
  <c r="I92" i="6"/>
  <c r="G92" i="6"/>
  <c r="L112" i="6"/>
  <c r="K112" i="6"/>
  <c r="I112" i="6"/>
  <c r="G112" i="6"/>
  <c r="L121" i="6"/>
  <c r="K121" i="6"/>
  <c r="I121" i="6"/>
  <c r="G121" i="6"/>
  <c r="L132" i="6"/>
  <c r="K132" i="6"/>
  <c r="I132" i="6"/>
  <c r="G132" i="6"/>
  <c r="L154" i="6"/>
  <c r="K154" i="6"/>
  <c r="I154" i="6"/>
  <c r="G154" i="6"/>
  <c r="K178" i="6"/>
  <c r="L178" i="6"/>
  <c r="I178" i="6"/>
  <c r="G178" i="6"/>
  <c r="L190" i="6"/>
  <c r="K190" i="6"/>
  <c r="I190" i="6"/>
  <c r="G190" i="6"/>
  <c r="L8" i="6"/>
  <c r="K8" i="6"/>
  <c r="I8" i="6"/>
  <c r="G8" i="6"/>
  <c r="L12" i="6"/>
  <c r="K12" i="6"/>
  <c r="I12" i="6"/>
  <c r="G12" i="6"/>
  <c r="L17" i="6"/>
  <c r="K17" i="6"/>
  <c r="G17" i="6"/>
  <c r="I17" i="6"/>
  <c r="L22" i="6"/>
  <c r="K22" i="6"/>
  <c r="I22" i="6"/>
  <c r="G22" i="6"/>
  <c r="L34" i="6"/>
  <c r="K34" i="6"/>
  <c r="I34" i="6"/>
  <c r="G34" i="6"/>
  <c r="L42" i="6"/>
  <c r="K42" i="6"/>
  <c r="I42" i="6"/>
  <c r="G42" i="6"/>
  <c r="L139" i="6"/>
  <c r="K139" i="6"/>
  <c r="I139" i="6"/>
  <c r="G139" i="6"/>
  <c r="K156" i="6"/>
  <c r="L156" i="6"/>
  <c r="I156" i="6"/>
  <c r="G156" i="6"/>
  <c r="K164" i="6"/>
  <c r="L164" i="6"/>
  <c r="I164" i="6"/>
  <c r="G164" i="6"/>
  <c r="K184" i="6"/>
  <c r="L184" i="6"/>
  <c r="I184" i="6"/>
  <c r="G184" i="6"/>
  <c r="L72" i="6"/>
  <c r="K72" i="6"/>
  <c r="I72" i="6"/>
  <c r="G72" i="6"/>
  <c r="L80" i="6"/>
  <c r="K80" i="6"/>
  <c r="I80" i="6"/>
  <c r="G80" i="6"/>
  <c r="L98" i="6"/>
  <c r="K98" i="6"/>
  <c r="I98" i="6"/>
  <c r="G98" i="6"/>
  <c r="L118" i="6"/>
  <c r="K118" i="6"/>
  <c r="I118" i="6"/>
  <c r="G118" i="6"/>
  <c r="L141" i="6"/>
  <c r="K141" i="6"/>
  <c r="I141" i="6"/>
  <c r="G141" i="6"/>
  <c r="L160" i="6"/>
  <c r="I160" i="6"/>
  <c r="K160" i="6"/>
  <c r="G160" i="6"/>
  <c r="K180" i="6"/>
  <c r="L180" i="6"/>
  <c r="I180" i="6"/>
  <c r="G180" i="6"/>
  <c r="L78" i="6"/>
  <c r="K78" i="6"/>
  <c r="I78" i="6"/>
  <c r="G78" i="6"/>
  <c r="L106" i="6"/>
  <c r="K106" i="6"/>
  <c r="I106" i="6"/>
  <c r="G106" i="6"/>
  <c r="L114" i="6"/>
  <c r="I114" i="6"/>
  <c r="K114" i="6"/>
  <c r="G114" i="6"/>
  <c r="L122" i="6"/>
  <c r="K122" i="6"/>
  <c r="I122" i="6"/>
  <c r="G122" i="6"/>
  <c r="L133" i="6"/>
  <c r="K133" i="6"/>
  <c r="I133" i="6"/>
  <c r="G133" i="6"/>
  <c r="L145" i="6"/>
  <c r="K145" i="6"/>
  <c r="I145" i="6"/>
  <c r="G145" i="6"/>
  <c r="L170" i="6"/>
  <c r="K170" i="6"/>
  <c r="I170" i="6"/>
  <c r="G170" i="6"/>
  <c r="L171" i="6"/>
  <c r="K171" i="6"/>
  <c r="I171" i="6"/>
  <c r="G171" i="6"/>
  <c r="L14" i="6"/>
  <c r="K14" i="6"/>
  <c r="I14" i="6"/>
  <c r="G14" i="6"/>
  <c r="L35" i="6"/>
  <c r="K35" i="6"/>
  <c r="I35" i="6"/>
  <c r="G35" i="6"/>
  <c r="L43" i="6"/>
  <c r="I43" i="6"/>
  <c r="K43" i="6"/>
  <c r="G43" i="6"/>
  <c r="L48" i="6"/>
  <c r="K48" i="6"/>
  <c r="I48" i="6"/>
  <c r="G48" i="6"/>
  <c r="L79" i="6"/>
  <c r="K79" i="6"/>
  <c r="I79" i="6"/>
  <c r="G79" i="6"/>
  <c r="L107" i="6"/>
  <c r="K107" i="6"/>
  <c r="I107" i="6"/>
  <c r="G107" i="6"/>
  <c r="K134" i="6"/>
  <c r="L134" i="6"/>
  <c r="I134" i="6"/>
  <c r="G134" i="6"/>
  <c r="L30" i="6"/>
  <c r="K30" i="6"/>
  <c r="I30" i="6"/>
  <c r="G30" i="6"/>
  <c r="L67" i="6"/>
  <c r="K67" i="6"/>
  <c r="I67" i="6"/>
  <c r="G67" i="6"/>
  <c r="E2" i="4"/>
  <c r="E82" i="4"/>
  <c r="J82" i="4" s="1"/>
  <c r="E266" i="4"/>
  <c r="J266" i="4" s="1"/>
  <c r="E250" i="4"/>
  <c r="J250" i="4" s="1"/>
  <c r="E431" i="4"/>
  <c r="J431" i="4" s="1"/>
  <c r="E175" i="4"/>
  <c r="J175" i="4" s="1"/>
  <c r="E214" i="4"/>
  <c r="J214" i="4" s="1"/>
  <c r="E185" i="4"/>
  <c r="J185" i="4" s="1"/>
  <c r="E397" i="4"/>
  <c r="J397" i="4" s="1"/>
  <c r="E205" i="4"/>
  <c r="J205" i="4" s="1"/>
  <c r="E395" i="4"/>
  <c r="J395" i="4" s="1"/>
  <c r="E331" i="4"/>
  <c r="J331" i="4" s="1"/>
  <c r="E382" i="4"/>
  <c r="J382" i="4" s="1"/>
  <c r="E393" i="4"/>
  <c r="J393" i="4" s="1"/>
  <c r="E232" i="4"/>
  <c r="J232" i="4" s="1"/>
  <c r="E392" i="4"/>
  <c r="J392" i="4" s="1"/>
  <c r="E208" i="4"/>
  <c r="J208" i="4" s="1"/>
  <c r="E396" i="4"/>
  <c r="J396" i="4" s="1"/>
  <c r="E421" i="4"/>
  <c r="J421" i="4" s="1"/>
  <c r="E422" i="4"/>
  <c r="J422" i="4" s="1"/>
  <c r="E212" i="4"/>
  <c r="J212" i="4" s="1"/>
  <c r="E226" i="4"/>
  <c r="J226" i="4" s="1"/>
  <c r="E386" i="4"/>
  <c r="J386" i="4" s="1"/>
  <c r="E424" i="4"/>
  <c r="J424" i="4" s="1"/>
  <c r="E379" i="4"/>
  <c r="J379" i="4" s="1"/>
  <c r="E380" i="4"/>
  <c r="J380" i="4" s="1"/>
  <c r="E377" i="4"/>
  <c r="J377" i="4" s="1"/>
  <c r="E410" i="4"/>
  <c r="J410" i="4" s="1"/>
  <c r="E411" i="4"/>
  <c r="J411" i="4" s="1"/>
  <c r="E387" i="4"/>
  <c r="J387" i="4" s="1"/>
  <c r="E388" i="4"/>
  <c r="J388" i="4" s="1"/>
  <c r="E376" i="4"/>
  <c r="J376" i="4" s="1"/>
  <c r="E157" i="4"/>
  <c r="J157" i="4" s="1"/>
  <c r="E384" i="4"/>
  <c r="J384" i="4" s="1"/>
  <c r="E228" i="4"/>
  <c r="J228" i="4" s="1"/>
  <c r="E211" i="4"/>
  <c r="J211" i="4" s="1"/>
  <c r="E178" i="4"/>
  <c r="J178" i="4" s="1"/>
  <c r="E221" i="4"/>
  <c r="J221" i="4" s="1"/>
  <c r="E169" i="4"/>
  <c r="J169" i="4" s="1"/>
  <c r="E390" i="4"/>
  <c r="J390" i="4" s="1"/>
  <c r="E218" i="4"/>
  <c r="J218" i="4" s="1"/>
  <c r="E383" i="4"/>
  <c r="J383" i="4" s="1"/>
  <c r="E206" i="4"/>
  <c r="J206" i="4" s="1"/>
  <c r="E394" i="4"/>
  <c r="J394" i="4" s="1"/>
  <c r="E389" i="4"/>
  <c r="J389" i="4" s="1"/>
  <c r="E207" i="4"/>
  <c r="J207" i="4" s="1"/>
  <c r="E171" i="4"/>
  <c r="J171" i="4" s="1"/>
  <c r="E213" i="4"/>
  <c r="J213" i="4" s="1"/>
  <c r="E177" i="4"/>
  <c r="J177" i="4" s="1"/>
  <c r="E167" i="4"/>
  <c r="J167" i="4" s="1"/>
  <c r="E179" i="4"/>
  <c r="J179" i="4" s="1"/>
  <c r="E184" i="4"/>
  <c r="J184" i="4" s="1"/>
  <c r="E425" i="4"/>
  <c r="J425" i="4" s="1"/>
  <c r="E426" i="4"/>
  <c r="J426" i="4" s="1"/>
  <c r="E193" i="4"/>
  <c r="J193" i="4" s="1"/>
  <c r="E219" i="4"/>
  <c r="J219" i="4" s="1"/>
  <c r="E222" i="4"/>
  <c r="J222" i="4" s="1"/>
  <c r="E391" i="4"/>
  <c r="J391" i="4" s="1"/>
  <c r="E183" i="4"/>
  <c r="J183" i="4" s="1"/>
  <c r="E224" i="4"/>
  <c r="J224" i="4" s="1"/>
  <c r="E194" i="4"/>
  <c r="J194" i="4" s="1"/>
  <c r="E172" i="4"/>
  <c r="J172" i="4" s="1"/>
  <c r="E203" i="4"/>
  <c r="J203" i="4" s="1"/>
  <c r="E204" i="4"/>
  <c r="J204" i="4" s="1"/>
  <c r="E416" i="4"/>
  <c r="J416" i="4" s="1"/>
  <c r="E417" i="4"/>
  <c r="J417" i="4" s="1"/>
  <c r="E180" i="4"/>
  <c r="J180" i="4" s="1"/>
  <c r="E398" i="4"/>
  <c r="J398" i="4" s="1"/>
  <c r="E181" i="4"/>
  <c r="J181" i="4" s="1"/>
  <c r="E124" i="4"/>
  <c r="J124" i="4" s="1"/>
  <c r="E176" i="4"/>
  <c r="J176" i="4" s="1"/>
  <c r="E202" i="4"/>
  <c r="J202" i="4" s="1"/>
  <c r="E403" i="4"/>
  <c r="J403" i="4" s="1"/>
  <c r="E199" i="4"/>
  <c r="J199" i="4" s="1"/>
  <c r="E210" i="4"/>
  <c r="J210" i="4" s="1"/>
  <c r="E229" i="4"/>
  <c r="J229" i="4" s="1"/>
  <c r="E329" i="4"/>
  <c r="J329" i="4" s="1"/>
  <c r="E225" i="4"/>
  <c r="J225" i="4" s="1"/>
  <c r="E404" i="4"/>
  <c r="J404" i="4" s="1"/>
  <c r="E198" i="4"/>
  <c r="J198" i="4" s="1"/>
  <c r="E427" i="4"/>
  <c r="J427" i="4" s="1"/>
  <c r="E407" i="4"/>
  <c r="J407" i="4" s="1"/>
  <c r="E408" i="4"/>
  <c r="J408" i="4" s="1"/>
  <c r="E406" i="4"/>
  <c r="J406" i="4" s="1"/>
  <c r="E182" i="4"/>
  <c r="J182" i="4" s="1"/>
  <c r="E420" i="4"/>
  <c r="J420" i="4" s="1"/>
  <c r="E217" i="4"/>
  <c r="J217" i="4" s="1"/>
  <c r="E405" i="4"/>
  <c r="J405" i="4" s="1"/>
  <c r="E402" i="4"/>
  <c r="J402" i="4" s="1"/>
  <c r="E399" i="4"/>
  <c r="J399" i="4" s="1"/>
  <c r="E140" i="4"/>
  <c r="J140" i="4" s="1"/>
  <c r="E378" i="4"/>
  <c r="J378" i="4" s="1"/>
  <c r="E158" i="4"/>
  <c r="J158" i="4" s="1"/>
  <c r="E400" i="4"/>
  <c r="J400" i="4" s="1"/>
  <c r="E430" i="4"/>
  <c r="J430" i="4" s="1"/>
  <c r="E108" i="4"/>
  <c r="J108" i="4" s="1"/>
  <c r="E109" i="4"/>
  <c r="J109" i="4" s="1"/>
  <c r="E159" i="4"/>
  <c r="J159" i="4" s="1"/>
  <c r="E141" i="4"/>
  <c r="J141" i="4" s="1"/>
  <c r="E328" i="4"/>
  <c r="J328" i="4" s="1"/>
  <c r="E256" i="4"/>
  <c r="J256" i="4" s="1"/>
  <c r="E300" i="4"/>
  <c r="J300" i="4" s="1"/>
  <c r="E320" i="4"/>
  <c r="J320" i="4" s="1"/>
  <c r="E428" i="4"/>
  <c r="J428" i="4" s="1"/>
  <c r="E78" i="4"/>
  <c r="J78" i="4" s="1"/>
  <c r="E80" i="4"/>
  <c r="J80" i="4" s="1"/>
  <c r="E81" i="4"/>
  <c r="J81" i="4" s="1"/>
  <c r="E83" i="4"/>
  <c r="J83" i="4" s="1"/>
  <c r="E84" i="4"/>
  <c r="J84" i="4" s="1"/>
  <c r="E85" i="4"/>
  <c r="J85" i="4" s="1"/>
  <c r="E86" i="4"/>
  <c r="J86" i="4" s="1"/>
  <c r="E74" i="4"/>
  <c r="J74" i="4" s="1"/>
  <c r="E79" i="4"/>
  <c r="J79" i="4" s="1"/>
  <c r="E87" i="4"/>
  <c r="J87" i="4" s="1"/>
  <c r="E89" i="4"/>
  <c r="J89" i="4" s="1"/>
  <c r="E269" i="4"/>
  <c r="J269" i="4" s="1"/>
  <c r="E125" i="4"/>
  <c r="J125" i="4" s="1"/>
  <c r="E297" i="4"/>
  <c r="J297" i="4" s="1"/>
  <c r="E51" i="4"/>
  <c r="J51" i="4" s="1"/>
  <c r="E99" i="4"/>
  <c r="J99" i="4" s="1"/>
  <c r="E110" i="4"/>
  <c r="J110" i="4" s="1"/>
  <c r="E260" i="4"/>
  <c r="J260" i="4" s="1"/>
  <c r="E105" i="4"/>
  <c r="J105" i="4" s="1"/>
  <c r="E103" i="4"/>
  <c r="J103" i="4" s="1"/>
  <c r="E349" i="4"/>
  <c r="J349" i="4" s="1"/>
  <c r="E355" i="4"/>
  <c r="J355" i="4" s="1"/>
  <c r="E223" i="4"/>
  <c r="J223" i="4" s="1"/>
  <c r="E348" i="4"/>
  <c r="J348" i="4" s="1"/>
  <c r="E352" i="4"/>
  <c r="J352" i="4" s="1"/>
  <c r="E356" i="4"/>
  <c r="J356" i="4" s="1"/>
  <c r="E353" i="4"/>
  <c r="J353" i="4" s="1"/>
  <c r="E239" i="4"/>
  <c r="J239" i="4" s="1"/>
  <c r="E186" i="4"/>
  <c r="J186" i="4" s="1"/>
  <c r="E233" i="4"/>
  <c r="J233" i="4" s="1"/>
  <c r="E415" i="4"/>
  <c r="J415" i="4" s="1"/>
  <c r="E195" i="4"/>
  <c r="J195" i="4" s="1"/>
  <c r="E196" i="4"/>
  <c r="J196" i="4" s="1"/>
  <c r="E144" i="4"/>
  <c r="J144" i="4" s="1"/>
  <c r="E323" i="4"/>
  <c r="J323" i="4" s="1"/>
  <c r="E284" i="4"/>
  <c r="J284" i="4" s="1"/>
  <c r="E285" i="4"/>
  <c r="J285" i="4" s="1"/>
  <c r="E270" i="4"/>
  <c r="J270" i="4" s="1"/>
  <c r="E187" i="4"/>
  <c r="J187" i="4" s="1"/>
  <c r="E234" i="4"/>
  <c r="J234" i="4" s="1"/>
  <c r="E160" i="4"/>
  <c r="J160" i="4" s="1"/>
  <c r="E230" i="4"/>
  <c r="J230" i="4" s="1"/>
  <c r="E231" i="4"/>
  <c r="J231" i="4" s="1"/>
  <c r="E161" i="4"/>
  <c r="J161" i="4" s="1"/>
  <c r="E401" i="4"/>
  <c r="J401" i="4" s="1"/>
  <c r="E301" i="4"/>
  <c r="J301" i="4" s="1"/>
  <c r="E412" i="4"/>
  <c r="J412" i="4" s="1"/>
  <c r="E418" i="4"/>
  <c r="J418" i="4" s="1"/>
  <c r="E423" i="4"/>
  <c r="J423" i="4" s="1"/>
  <c r="E429" i="4"/>
  <c r="J429" i="4" s="1"/>
  <c r="E152" i="4"/>
  <c r="J152" i="4" s="1"/>
  <c r="E92" i="4"/>
  <c r="J92" i="4" s="1"/>
  <c r="E216" i="4"/>
  <c r="J216" i="4" s="1"/>
  <c r="E71" i="4"/>
  <c r="J71" i="4" s="1"/>
  <c r="E142" i="4"/>
  <c r="J142" i="4" s="1"/>
  <c r="E168" i="4"/>
  <c r="J168" i="4" s="1"/>
  <c r="E209" i="4"/>
  <c r="J209" i="4" s="1"/>
  <c r="E188" i="4"/>
  <c r="J188" i="4" s="1"/>
  <c r="E235" i="4"/>
  <c r="J235" i="4" s="1"/>
  <c r="E162" i="4"/>
  <c r="J162" i="4" s="1"/>
  <c r="E252" i="4"/>
  <c r="J252" i="4" s="1"/>
  <c r="E163" i="4"/>
  <c r="J163" i="4" s="1"/>
  <c r="E227" i="4"/>
  <c r="J227" i="4" s="1"/>
  <c r="E145" i="4"/>
  <c r="J145" i="4" s="1"/>
  <c r="E189" i="4"/>
  <c r="J189" i="4" s="1"/>
  <c r="E164" i="4"/>
  <c r="J164" i="4" s="1"/>
  <c r="E165" i="4"/>
  <c r="J165" i="4" s="1"/>
  <c r="E146" i="4"/>
  <c r="J146" i="4" s="1"/>
  <c r="E48" i="4"/>
  <c r="J48" i="4" s="1"/>
  <c r="E289" i="4"/>
  <c r="J289" i="4" s="1"/>
  <c r="E118" i="4"/>
  <c r="J118" i="4" s="1"/>
  <c r="E174" i="4"/>
  <c r="J174" i="4" s="1"/>
  <c r="E362" i="4"/>
  <c r="J362" i="4" s="1"/>
  <c r="E27" i="4"/>
  <c r="J27" i="4" s="1"/>
  <c r="E29" i="4"/>
  <c r="J29" i="4" s="1"/>
  <c r="E30" i="4"/>
  <c r="J30" i="4" s="1"/>
  <c r="E100" i="4"/>
  <c r="J100" i="4" s="1"/>
  <c r="E147" i="4"/>
  <c r="J147" i="4" s="1"/>
  <c r="E68" i="4"/>
  <c r="J68" i="4" s="1"/>
  <c r="E258" i="4"/>
  <c r="J258" i="4" s="1"/>
  <c r="E111" i="4"/>
  <c r="J111" i="4" s="1"/>
  <c r="E59" i="4"/>
  <c r="J59" i="4" s="1"/>
  <c r="E60" i="4"/>
  <c r="J60" i="4" s="1"/>
  <c r="E414" i="4"/>
  <c r="J414" i="4" s="1"/>
  <c r="E271" i="4"/>
  <c r="J271" i="4" s="1"/>
  <c r="E133" i="4"/>
  <c r="J133" i="4" s="1"/>
  <c r="E3" i="4"/>
  <c r="J3" i="4" s="1"/>
  <c r="E360" i="4"/>
  <c r="J360" i="4" s="1"/>
  <c r="E359" i="4"/>
  <c r="J359" i="4" s="1"/>
  <c r="E153" i="4"/>
  <c r="J153" i="4" s="1"/>
  <c r="E369" i="4"/>
  <c r="J369" i="4" s="1"/>
  <c r="E315" i="4"/>
  <c r="J315" i="4" s="1"/>
  <c r="E272" i="4"/>
  <c r="J272" i="4" s="1"/>
  <c r="E127" i="4"/>
  <c r="J127" i="4" s="1"/>
  <c r="E66" i="4"/>
  <c r="J66" i="4" s="1"/>
  <c r="E190" i="4"/>
  <c r="J190" i="4" s="1"/>
  <c r="E240" i="4"/>
  <c r="J240" i="4" s="1"/>
  <c r="E43" i="4"/>
  <c r="J43" i="4" s="1"/>
  <c r="E93" i="4"/>
  <c r="J93" i="4" s="1"/>
  <c r="E273" i="4"/>
  <c r="J273" i="4" s="1"/>
  <c r="E122" i="4"/>
  <c r="J122" i="4" s="1"/>
  <c r="E128" i="4"/>
  <c r="J128" i="4" s="1"/>
  <c r="E322" i="4"/>
  <c r="J322" i="4" s="1"/>
  <c r="E339" i="4"/>
  <c r="J339" i="4" s="1"/>
  <c r="E286" i="4"/>
  <c r="J286" i="4" s="1"/>
  <c r="E335" i="4"/>
  <c r="J335" i="4" s="1"/>
  <c r="E31" i="4"/>
  <c r="J31" i="4" s="1"/>
  <c r="E98" i="4"/>
  <c r="J98" i="4" s="1"/>
  <c r="E298" i="4"/>
  <c r="J298" i="4" s="1"/>
  <c r="E106" i="4"/>
  <c r="J106" i="4" s="1"/>
  <c r="E101" i="4"/>
  <c r="J101" i="4" s="1"/>
  <c r="E154" i="4"/>
  <c r="J154" i="4" s="1"/>
  <c r="E21" i="4"/>
  <c r="J21" i="4" s="1"/>
  <c r="E251" i="4"/>
  <c r="J251" i="4" s="1"/>
  <c r="E351" i="4"/>
  <c r="J351" i="4" s="1"/>
  <c r="E191" i="4"/>
  <c r="J191" i="4" s="1"/>
  <c r="E236" i="4"/>
  <c r="J236" i="4" s="1"/>
  <c r="E237" i="4"/>
  <c r="J237" i="4" s="1"/>
  <c r="E35" i="4"/>
  <c r="J35" i="4" s="1"/>
  <c r="E317" i="4"/>
  <c r="J317" i="4" s="1"/>
  <c r="E4" i="4"/>
  <c r="J4" i="4" s="1"/>
  <c r="E94" i="4"/>
  <c r="J94" i="4" s="1"/>
  <c r="E96" i="4"/>
  <c r="J96" i="4" s="1"/>
  <c r="E143" i="4"/>
  <c r="J143" i="4" s="1"/>
  <c r="E274" i="4"/>
  <c r="J274" i="4" s="1"/>
  <c r="E302" i="4"/>
  <c r="J302" i="4" s="1"/>
  <c r="E338" i="4"/>
  <c r="J338" i="4" s="1"/>
  <c r="E24" i="4"/>
  <c r="J24" i="4" s="1"/>
  <c r="E25" i="4"/>
  <c r="J25" i="4" s="1"/>
  <c r="E255" i="4"/>
  <c r="J255" i="4" s="1"/>
  <c r="E63" i="4"/>
  <c r="J63" i="4" s="1"/>
  <c r="E192" i="4"/>
  <c r="J192" i="4" s="1"/>
  <c r="E241" i="4"/>
  <c r="J241" i="4" s="1"/>
  <c r="E44" i="4"/>
  <c r="J44" i="4" s="1"/>
  <c r="E332" i="4"/>
  <c r="J332" i="4" s="1"/>
  <c r="E55" i="4"/>
  <c r="J55" i="4" s="1"/>
  <c r="E314" i="4"/>
  <c r="J314" i="4" s="1"/>
  <c r="E52" i="4"/>
  <c r="J52" i="4" s="1"/>
  <c r="E69" i="4"/>
  <c r="J69" i="4" s="1"/>
  <c r="E26" i="4"/>
  <c r="J26" i="4" s="1"/>
  <c r="E287" i="4"/>
  <c r="J287" i="4" s="1"/>
  <c r="E319" i="4"/>
  <c r="J319" i="4" s="1"/>
  <c r="E112" i="4"/>
  <c r="J112" i="4" s="1"/>
  <c r="E310" i="4"/>
  <c r="J310" i="4" s="1"/>
  <c r="E275" i="4"/>
  <c r="J275" i="4" s="1"/>
  <c r="E36" i="4"/>
  <c r="J36" i="4" s="1"/>
  <c r="E276" i="4"/>
  <c r="J276" i="4" s="1"/>
  <c r="E277" i="4"/>
  <c r="J277" i="4" s="1"/>
  <c r="E278" i="4"/>
  <c r="J278" i="4" s="1"/>
  <c r="E90" i="4"/>
  <c r="J90" i="4" s="1"/>
  <c r="E113" i="4"/>
  <c r="J113" i="4" s="1"/>
  <c r="E155" i="4"/>
  <c r="J155" i="4" s="1"/>
  <c r="E64" i="4"/>
  <c r="J64" i="4" s="1"/>
  <c r="E65" i="4"/>
  <c r="J65" i="4" s="1"/>
  <c r="E5" i="4"/>
  <c r="J5" i="4" s="1"/>
  <c r="E50" i="4"/>
  <c r="J50" i="4" s="1"/>
  <c r="E346" i="4"/>
  <c r="J346" i="4" s="1"/>
  <c r="E279" i="4"/>
  <c r="J279" i="4" s="1"/>
  <c r="E242" i="4"/>
  <c r="J242" i="4" s="1"/>
  <c r="E45" i="4"/>
  <c r="J45" i="4" s="1"/>
  <c r="E243" i="4"/>
  <c r="J243" i="4" s="1"/>
  <c r="E46" i="4"/>
  <c r="J46" i="4" s="1"/>
  <c r="E6" i="4"/>
  <c r="J6" i="4" s="1"/>
  <c r="E7" i="4"/>
  <c r="J7" i="4" s="1"/>
  <c r="E291" i="4"/>
  <c r="J291" i="4" s="1"/>
  <c r="E115" i="4"/>
  <c r="J115" i="4" s="1"/>
  <c r="E149" i="4"/>
  <c r="J149" i="4" s="1"/>
  <c r="E56" i="4"/>
  <c r="J56" i="4" s="1"/>
  <c r="E318" i="4"/>
  <c r="J318" i="4" s="1"/>
  <c r="E334" i="4"/>
  <c r="J334" i="4" s="1"/>
  <c r="E102" i="4"/>
  <c r="J102" i="4" s="1"/>
  <c r="E324" i="4"/>
  <c r="J324" i="4" s="1"/>
  <c r="E150" i="4"/>
  <c r="J150" i="4" s="1"/>
  <c r="E57" i="4"/>
  <c r="J57" i="4" s="1"/>
  <c r="E336" i="4"/>
  <c r="J336" i="4" s="1"/>
  <c r="E354" i="4"/>
  <c r="J354" i="4" s="1"/>
  <c r="E58" i="4"/>
  <c r="J58" i="4" s="1"/>
  <c r="E280" i="4"/>
  <c r="J280" i="4" s="1"/>
  <c r="E123" i="4"/>
  <c r="J123" i="4" s="1"/>
  <c r="E129" i="4"/>
  <c r="J129" i="4" s="1"/>
  <c r="E371" i="4"/>
  <c r="J371" i="4" s="1"/>
  <c r="E350" i="4"/>
  <c r="J350" i="4" s="1"/>
  <c r="E363" i="4"/>
  <c r="J363" i="4" s="1"/>
  <c r="E333" i="4"/>
  <c r="J333" i="4" s="1"/>
  <c r="E170" i="4"/>
  <c r="J170" i="4" s="1"/>
  <c r="E244" i="4"/>
  <c r="J244" i="4" s="1"/>
  <c r="E47" i="4"/>
  <c r="J47" i="4" s="1"/>
  <c r="E325" i="4"/>
  <c r="J325" i="4" s="1"/>
  <c r="E37" i="4"/>
  <c r="J37" i="4" s="1"/>
  <c r="E114" i="4"/>
  <c r="J114" i="4" s="1"/>
  <c r="E8" i="4"/>
  <c r="J8" i="4" s="1"/>
  <c r="E261" i="4"/>
  <c r="J261" i="4" s="1"/>
  <c r="E303" i="4"/>
  <c r="J303" i="4" s="1"/>
  <c r="E357" i="4"/>
  <c r="J357" i="4" s="1"/>
  <c r="E373" i="4"/>
  <c r="J373" i="4" s="1"/>
  <c r="E257" i="4"/>
  <c r="J257" i="4" s="1"/>
  <c r="E267" i="4"/>
  <c r="J267" i="4" s="1"/>
  <c r="E136" i="4"/>
  <c r="J136" i="4" s="1"/>
  <c r="E137" i="4"/>
  <c r="J137" i="4" s="1"/>
  <c r="E138" i="4"/>
  <c r="J138" i="4" s="1"/>
  <c r="E139" i="4"/>
  <c r="J139" i="4" s="1"/>
  <c r="E53" i="4"/>
  <c r="J53" i="4" s="1"/>
  <c r="E54" i="4"/>
  <c r="J54" i="4" s="1"/>
  <c r="E166" i="4"/>
  <c r="J166" i="4" s="1"/>
  <c r="E201" i="4"/>
  <c r="J201" i="4" s="1"/>
  <c r="E341" i="4"/>
  <c r="J341" i="4" s="1"/>
  <c r="E327" i="4"/>
  <c r="J327" i="4" s="1"/>
  <c r="E119" i="4"/>
  <c r="J119" i="4" s="1"/>
  <c r="E268" i="4"/>
  <c r="J268" i="4" s="1"/>
  <c r="E366" i="4"/>
  <c r="J366" i="4" s="1"/>
  <c r="E28" i="4"/>
  <c r="J28" i="4" s="1"/>
  <c r="E281" i="4"/>
  <c r="J281" i="4" s="1"/>
  <c r="E413" i="4"/>
  <c r="J413" i="4" s="1"/>
  <c r="E321" i="4"/>
  <c r="J321" i="4" s="1"/>
  <c r="E38" i="4"/>
  <c r="J38" i="4" s="1"/>
  <c r="E49" i="4"/>
  <c r="J49" i="4" s="1"/>
  <c r="E70" i="4"/>
  <c r="J70" i="4" s="1"/>
  <c r="E9" i="4"/>
  <c r="J9" i="4" s="1"/>
  <c r="E292" i="4"/>
  <c r="J292" i="4" s="1"/>
  <c r="E381" i="4"/>
  <c r="J381" i="4" s="1"/>
  <c r="E385" i="4"/>
  <c r="J385" i="4" s="1"/>
  <c r="E304" i="4"/>
  <c r="J304" i="4" s="1"/>
  <c r="E107" i="4"/>
  <c r="J107" i="4" s="1"/>
  <c r="E246" i="4"/>
  <c r="J246" i="4" s="1"/>
  <c r="E247" i="4"/>
  <c r="J247" i="4" s="1"/>
  <c r="E156" i="4"/>
  <c r="J156" i="4" s="1"/>
  <c r="E130" i="4"/>
  <c r="J130" i="4" s="1"/>
  <c r="E97" i="4"/>
  <c r="J97" i="4" s="1"/>
  <c r="E367" i="4"/>
  <c r="J367" i="4" s="1"/>
  <c r="E282" i="4"/>
  <c r="J282" i="4" s="1"/>
  <c r="E88" i="4"/>
  <c r="J88" i="4" s="1"/>
  <c r="E10" i="4"/>
  <c r="J10" i="4" s="1"/>
  <c r="E361" i="4"/>
  <c r="J361" i="4" s="1"/>
  <c r="E72" i="4"/>
  <c r="J72" i="4" s="1"/>
  <c r="E73" i="4"/>
  <c r="J73" i="4" s="1"/>
  <c r="E121" i="4"/>
  <c r="J121" i="4" s="1"/>
  <c r="E75" i="4"/>
  <c r="J75" i="4" s="1"/>
  <c r="E340" i="4"/>
  <c r="J340" i="4" s="1"/>
  <c r="E337" i="4"/>
  <c r="J337" i="4" s="1"/>
  <c r="E347" i="4"/>
  <c r="J347" i="4" s="1"/>
  <c r="E343" i="4"/>
  <c r="J343" i="4" s="1"/>
  <c r="E358" i="4"/>
  <c r="J358" i="4" s="1"/>
  <c r="E95" i="4"/>
  <c r="J95" i="4" s="1"/>
  <c r="E265" i="4"/>
  <c r="J265" i="4" s="1"/>
  <c r="E33" i="4"/>
  <c r="J33" i="4" s="1"/>
  <c r="E34" i="4"/>
  <c r="J34" i="4" s="1"/>
  <c r="E39" i="4"/>
  <c r="J39" i="4" s="1"/>
  <c r="E40" i="4"/>
  <c r="J40" i="4" s="1"/>
  <c r="E41" i="4"/>
  <c r="J41" i="4" s="1"/>
  <c r="E91" i="4"/>
  <c r="J91" i="4" s="1"/>
  <c r="E312" i="4"/>
  <c r="J312" i="4" s="1"/>
  <c r="E330" i="4"/>
  <c r="J330" i="4" s="1"/>
  <c r="E76" i="4"/>
  <c r="J76" i="4" s="1"/>
  <c r="E294" i="4"/>
  <c r="J294" i="4" s="1"/>
  <c r="E126" i="4"/>
  <c r="J126" i="4" s="1"/>
  <c r="E253" i="4"/>
  <c r="J253" i="4" s="1"/>
  <c r="E326" i="4"/>
  <c r="J326" i="4" s="1"/>
  <c r="E288" i="4"/>
  <c r="J288" i="4" s="1"/>
  <c r="E344" i="4"/>
  <c r="J344" i="4" s="1"/>
  <c r="E254" i="4"/>
  <c r="J254" i="4" s="1"/>
  <c r="E305" i="4"/>
  <c r="J305" i="4" s="1"/>
  <c r="E299" i="4"/>
  <c r="J299" i="4" s="1"/>
  <c r="E11" i="4"/>
  <c r="J11" i="4" s="1"/>
  <c r="E306" i="4"/>
  <c r="J306" i="4" s="1"/>
  <c r="E307" i="4"/>
  <c r="J307" i="4" s="1"/>
  <c r="E308" i="4"/>
  <c r="J308" i="4" s="1"/>
  <c r="E309" i="4"/>
  <c r="J309" i="4" s="1"/>
  <c r="E12" i="4"/>
  <c r="J12" i="4" s="1"/>
  <c r="E77" i="4"/>
  <c r="J77" i="4" s="1"/>
  <c r="E22" i="4"/>
  <c r="J22" i="4" s="1"/>
  <c r="E134" i="4"/>
  <c r="J134" i="4" s="1"/>
  <c r="E135" i="4"/>
  <c r="J135" i="4" s="1"/>
  <c r="E151" i="4"/>
  <c r="J151" i="4" s="1"/>
  <c r="E23" i="4"/>
  <c r="J23" i="4" s="1"/>
  <c r="E342" i="4"/>
  <c r="J342" i="4" s="1"/>
  <c r="E370" i="4"/>
  <c r="J370" i="4" s="1"/>
  <c r="E295" i="4"/>
  <c r="J295" i="4" s="1"/>
  <c r="E296" i="4"/>
  <c r="J296" i="4" s="1"/>
  <c r="E283" i="4"/>
  <c r="J283" i="4" s="1"/>
  <c r="E311" i="4"/>
  <c r="J311" i="4" s="1"/>
  <c r="E13" i="4"/>
  <c r="J13" i="4" s="1"/>
  <c r="E14" i="4"/>
  <c r="J14" i="4" s="1"/>
  <c r="E15" i="4"/>
  <c r="J15" i="4" s="1"/>
  <c r="E368" i="4"/>
  <c r="J368" i="4" s="1"/>
  <c r="E16" i="4"/>
  <c r="J16" i="4" s="1"/>
  <c r="E131" i="4"/>
  <c r="J131" i="4" s="1"/>
  <c r="E120" i="4"/>
  <c r="J120" i="4" s="1"/>
  <c r="E375" i="4"/>
  <c r="J375" i="4" s="1"/>
  <c r="E245" i="4"/>
  <c r="J245" i="4" s="1"/>
  <c r="E313" i="4"/>
  <c r="J313" i="4" s="1"/>
  <c r="E173" i="4"/>
  <c r="J173" i="4" s="1"/>
  <c r="E17" i="4"/>
  <c r="J17" i="4" s="1"/>
  <c r="E32" i="4"/>
  <c r="J32" i="4" s="1"/>
  <c r="E374" i="4"/>
  <c r="J374" i="4" s="1"/>
  <c r="E259" i="4"/>
  <c r="J259" i="4" s="1"/>
  <c r="E18" i="4"/>
  <c r="J18" i="4" s="1"/>
  <c r="E19" i="4"/>
  <c r="J19" i="4" s="1"/>
  <c r="E20" i="4"/>
  <c r="J20" i="4" s="1"/>
  <c r="E132" i="4"/>
  <c r="J132" i="4" s="1"/>
  <c r="E419" i="4"/>
  <c r="J419" i="4" s="1"/>
  <c r="E197" i="4"/>
  <c r="J197" i="4" s="1"/>
  <c r="E293" i="4"/>
  <c r="J293" i="4" s="1"/>
  <c r="E316" i="4"/>
  <c r="J316" i="4" s="1"/>
  <c r="E248" i="4"/>
  <c r="J248" i="4" s="1"/>
  <c r="E249" i="4"/>
  <c r="J249" i="4" s="1"/>
  <c r="E409" i="4"/>
  <c r="J409" i="4" s="1"/>
  <c r="E238" i="4"/>
  <c r="J238" i="4" s="1"/>
  <c r="E104" i="4"/>
  <c r="J104" i="4" s="1"/>
  <c r="E263" i="4"/>
  <c r="J263" i="4" s="1"/>
  <c r="E42" i="4"/>
  <c r="J42" i="4" s="1"/>
  <c r="E262" i="4"/>
  <c r="J262" i="4" s="1"/>
  <c r="E264" i="4"/>
  <c r="J264" i="4" s="1"/>
  <c r="E345" i="4"/>
  <c r="J345" i="4" s="1"/>
  <c r="E220" i="4"/>
  <c r="J220" i="4" s="1"/>
  <c r="E67" i="4"/>
  <c r="J67" i="4" s="1"/>
  <c r="J2" i="4" l="1"/>
  <c r="K2" i="4" s="1"/>
  <c r="K311" i="4"/>
  <c r="K299" i="4"/>
  <c r="K130" i="4"/>
  <c r="K413" i="4"/>
  <c r="K333" i="4"/>
  <c r="K324" i="4"/>
  <c r="K155" i="4"/>
  <c r="K314" i="4"/>
  <c r="K338" i="4"/>
  <c r="K21" i="4"/>
  <c r="K240" i="4"/>
  <c r="K414" i="4"/>
  <c r="K174" i="4"/>
  <c r="K230" i="4"/>
  <c r="K415" i="4"/>
  <c r="K355" i="4"/>
  <c r="K85" i="4"/>
  <c r="K108" i="4"/>
  <c r="K407" i="4"/>
  <c r="K183" i="4"/>
  <c r="K157" i="4"/>
  <c r="K396" i="4"/>
  <c r="K250" i="4"/>
  <c r="K248" i="4"/>
  <c r="K18" i="4"/>
  <c r="K120" i="4"/>
  <c r="K283" i="4"/>
  <c r="K151" i="4"/>
  <c r="K40" i="4"/>
  <c r="K343" i="4"/>
  <c r="K72" i="4"/>
  <c r="K156" i="4"/>
  <c r="K292" i="4"/>
  <c r="K281" i="4"/>
  <c r="K119" i="4"/>
  <c r="K138" i="4"/>
  <c r="K261" i="4"/>
  <c r="K280" i="4"/>
  <c r="K102" i="4"/>
  <c r="K6" i="4"/>
  <c r="K243" i="4"/>
  <c r="K242" i="4"/>
  <c r="K113" i="4"/>
  <c r="K112" i="4"/>
  <c r="K55" i="4"/>
  <c r="K302" i="4"/>
  <c r="K154" i="4"/>
  <c r="K335" i="4"/>
  <c r="K43" i="4"/>
  <c r="K190" i="4"/>
  <c r="K360" i="4"/>
  <c r="K189" i="4"/>
  <c r="K423" i="4"/>
  <c r="K160" i="4"/>
  <c r="K270" i="4"/>
  <c r="K349" i="4"/>
  <c r="K125" i="4"/>
  <c r="K84" i="4"/>
  <c r="K430" i="4"/>
  <c r="K217" i="4"/>
  <c r="K427" i="4"/>
  <c r="K199" i="4"/>
  <c r="K417" i="4"/>
  <c r="K391" i="4"/>
  <c r="K167" i="4"/>
  <c r="K376" i="4"/>
  <c r="K379" i="4"/>
  <c r="K232" i="4"/>
  <c r="K266" i="4"/>
  <c r="K249" i="4"/>
  <c r="K309" i="4"/>
  <c r="K73" i="4"/>
  <c r="K268" i="4"/>
  <c r="K123" i="4"/>
  <c r="K7" i="4"/>
  <c r="K310" i="4"/>
  <c r="K35" i="4"/>
  <c r="K359" i="4"/>
  <c r="K68" i="4"/>
  <c r="K164" i="4"/>
  <c r="K429" i="4"/>
  <c r="K187" i="4"/>
  <c r="K239" i="4"/>
  <c r="K297" i="4"/>
  <c r="K320" i="4"/>
  <c r="K405" i="4"/>
  <c r="K179" i="4"/>
  <c r="K169" i="4"/>
  <c r="K67" i="4"/>
  <c r="K262" i="4"/>
  <c r="K316" i="4"/>
  <c r="K259" i="4"/>
  <c r="K131" i="4"/>
  <c r="K135" i="4"/>
  <c r="K308" i="4"/>
  <c r="K305" i="4"/>
  <c r="K294" i="4"/>
  <c r="K39" i="4"/>
  <c r="K347" i="4"/>
  <c r="K361" i="4"/>
  <c r="K247" i="4"/>
  <c r="K9" i="4"/>
  <c r="K28" i="4"/>
  <c r="K327" i="4"/>
  <c r="K137" i="4"/>
  <c r="K8" i="4"/>
  <c r="K58" i="4"/>
  <c r="K334" i="4"/>
  <c r="K46" i="4"/>
  <c r="K45" i="4"/>
  <c r="K279" i="4"/>
  <c r="K90" i="4"/>
  <c r="K319" i="4"/>
  <c r="K332" i="4"/>
  <c r="K241" i="4"/>
  <c r="K274" i="4"/>
  <c r="K101" i="4"/>
  <c r="K286" i="4"/>
  <c r="K66" i="4"/>
  <c r="K3" i="4"/>
  <c r="K147" i="4"/>
  <c r="K118" i="4"/>
  <c r="K145" i="4"/>
  <c r="K168" i="4"/>
  <c r="K418" i="4"/>
  <c r="K285" i="4"/>
  <c r="K353" i="4"/>
  <c r="K103" i="4"/>
  <c r="K269" i="4"/>
  <c r="K300" i="4"/>
  <c r="K400" i="4"/>
  <c r="K198" i="4"/>
  <c r="K403" i="4"/>
  <c r="K416" i="4"/>
  <c r="K222" i="4"/>
  <c r="K177" i="4"/>
  <c r="K221" i="4"/>
  <c r="K424" i="4"/>
  <c r="K208" i="4"/>
  <c r="K393" i="4"/>
  <c r="K205" i="4"/>
  <c r="K82" i="4"/>
  <c r="K19" i="4"/>
  <c r="K126" i="4"/>
  <c r="K380" i="4"/>
  <c r="K220" i="4"/>
  <c r="K42" i="4"/>
  <c r="K293" i="4"/>
  <c r="K374" i="4"/>
  <c r="K16" i="4"/>
  <c r="K296" i="4"/>
  <c r="K134" i="4"/>
  <c r="K254" i="4"/>
  <c r="K76" i="4"/>
  <c r="K34" i="4"/>
  <c r="K337" i="4"/>
  <c r="K10" i="4"/>
  <c r="K246" i="4"/>
  <c r="K366" i="4"/>
  <c r="K341" i="4"/>
  <c r="K136" i="4"/>
  <c r="K114" i="4"/>
  <c r="K363" i="4"/>
  <c r="K318" i="4"/>
  <c r="K346" i="4"/>
  <c r="K278" i="4"/>
  <c r="K287" i="4"/>
  <c r="K44" i="4"/>
  <c r="K192" i="4"/>
  <c r="K143" i="4"/>
  <c r="K106" i="4"/>
  <c r="K339" i="4"/>
  <c r="K127" i="4"/>
  <c r="K60" i="4"/>
  <c r="K100" i="4"/>
  <c r="K227" i="4"/>
  <c r="K142" i="4"/>
  <c r="K412" i="4"/>
  <c r="K284" i="4"/>
  <c r="K356" i="4"/>
  <c r="K105" i="4"/>
  <c r="K89" i="4"/>
  <c r="K83" i="4"/>
  <c r="K256" i="4"/>
  <c r="K158" i="4"/>
  <c r="K404" i="4"/>
  <c r="K202" i="4"/>
  <c r="K204" i="4"/>
  <c r="K219" i="4"/>
  <c r="K213" i="4"/>
  <c r="K206" i="4"/>
  <c r="K178" i="4"/>
  <c r="K388" i="4"/>
  <c r="K386" i="4"/>
  <c r="K392" i="4"/>
  <c r="K397" i="4"/>
  <c r="K298" i="4"/>
  <c r="K322" i="4"/>
  <c r="K272" i="4"/>
  <c r="K59" i="4"/>
  <c r="K30" i="4"/>
  <c r="K289" i="4"/>
  <c r="K163" i="4"/>
  <c r="K71" i="4"/>
  <c r="K301" i="4"/>
  <c r="K323" i="4"/>
  <c r="K260" i="4"/>
  <c r="K87" i="4"/>
  <c r="K81" i="4"/>
  <c r="K328" i="4"/>
  <c r="K378" i="4"/>
  <c r="K420" i="4"/>
  <c r="K225" i="4"/>
  <c r="K176" i="4"/>
  <c r="K203" i="4"/>
  <c r="K193" i="4"/>
  <c r="K171" i="4"/>
  <c r="K383" i="4"/>
  <c r="K211" i="4"/>
  <c r="K387" i="4"/>
  <c r="K226" i="4"/>
  <c r="K382" i="4"/>
  <c r="K185" i="4"/>
  <c r="K313" i="4"/>
  <c r="K23" i="4"/>
  <c r="K41" i="4"/>
  <c r="K381" i="4"/>
  <c r="K139" i="4"/>
  <c r="K263" i="4"/>
  <c r="K22" i="4"/>
  <c r="K344" i="4"/>
  <c r="K330" i="4"/>
  <c r="K33" i="4"/>
  <c r="K88" i="4"/>
  <c r="K107" i="4"/>
  <c r="K70" i="4"/>
  <c r="K201" i="4"/>
  <c r="K267" i="4"/>
  <c r="K37" i="4"/>
  <c r="K350" i="4"/>
  <c r="K354" i="4"/>
  <c r="K56" i="4"/>
  <c r="K50" i="4"/>
  <c r="K277" i="4"/>
  <c r="K26" i="4"/>
  <c r="K63" i="4"/>
  <c r="K96" i="4"/>
  <c r="K236" i="4"/>
  <c r="K264" i="4"/>
  <c r="K104" i="4"/>
  <c r="K419" i="4"/>
  <c r="K17" i="4"/>
  <c r="K15" i="4"/>
  <c r="K295" i="4"/>
  <c r="K77" i="4"/>
  <c r="K288" i="4"/>
  <c r="K265" i="4"/>
  <c r="K340" i="4"/>
  <c r="K282" i="4"/>
  <c r="K49" i="4"/>
  <c r="K166" i="4"/>
  <c r="K257" i="4"/>
  <c r="K325" i="4"/>
  <c r="K244" i="4"/>
  <c r="K336" i="4"/>
  <c r="K149" i="4"/>
  <c r="K5" i="4"/>
  <c r="K276" i="4"/>
  <c r="K255" i="4"/>
  <c r="K94" i="4"/>
  <c r="K191" i="4"/>
  <c r="K98" i="4"/>
  <c r="K128" i="4"/>
  <c r="K315" i="4"/>
  <c r="K133" i="4"/>
  <c r="K111" i="4"/>
  <c r="K29" i="4"/>
  <c r="K48" i="4"/>
  <c r="K235" i="4"/>
  <c r="K216" i="4"/>
  <c r="K401" i="4"/>
  <c r="K144" i="4"/>
  <c r="K352" i="4"/>
  <c r="K110" i="4"/>
  <c r="K79" i="4"/>
  <c r="K80" i="4"/>
  <c r="K141" i="4"/>
  <c r="K140" i="4"/>
  <c r="K182" i="4"/>
  <c r="K329" i="4"/>
  <c r="K124" i="4"/>
  <c r="K172" i="4"/>
  <c r="K426" i="4"/>
  <c r="K207" i="4"/>
  <c r="K218" i="4"/>
  <c r="K411" i="4"/>
  <c r="K212" i="4"/>
  <c r="K331" i="4"/>
  <c r="K345" i="4"/>
  <c r="K197" i="4"/>
  <c r="K32" i="4"/>
  <c r="K368" i="4"/>
  <c r="K307" i="4"/>
  <c r="K238" i="4"/>
  <c r="K132" i="4"/>
  <c r="K173" i="4"/>
  <c r="K14" i="4"/>
  <c r="K370" i="4"/>
  <c r="K12" i="4"/>
  <c r="K306" i="4"/>
  <c r="K326" i="4"/>
  <c r="K312" i="4"/>
  <c r="K95" i="4"/>
  <c r="K75" i="4"/>
  <c r="K367" i="4"/>
  <c r="K304" i="4"/>
  <c r="K38" i="4"/>
  <c r="K54" i="4"/>
  <c r="K373" i="4"/>
  <c r="K47" i="4"/>
  <c r="K371" i="4"/>
  <c r="K57" i="4"/>
  <c r="K115" i="4"/>
  <c r="K65" i="4"/>
  <c r="K36" i="4"/>
  <c r="K69" i="4"/>
  <c r="K25" i="4"/>
  <c r="K4" i="4"/>
  <c r="K237" i="4"/>
  <c r="K351" i="4"/>
  <c r="K31" i="4"/>
  <c r="K122" i="4"/>
  <c r="K369" i="4"/>
  <c r="K271" i="4"/>
  <c r="K258" i="4"/>
  <c r="K27" i="4"/>
  <c r="K146" i="4"/>
  <c r="K252" i="4"/>
  <c r="K188" i="4"/>
  <c r="K92" i="4"/>
  <c r="K161" i="4"/>
  <c r="K196" i="4"/>
  <c r="K233" i="4"/>
  <c r="K348" i="4"/>
  <c r="K99" i="4"/>
  <c r="K74" i="4"/>
  <c r="K78" i="4"/>
  <c r="K159" i="4"/>
  <c r="K399" i="4"/>
  <c r="K406" i="4"/>
  <c r="K229" i="4"/>
  <c r="K181" i="4"/>
  <c r="K194" i="4"/>
  <c r="K425" i="4"/>
  <c r="K389" i="4"/>
  <c r="K390" i="4"/>
  <c r="K228" i="4"/>
  <c r="K410" i="4"/>
  <c r="K422" i="4"/>
  <c r="K395" i="4"/>
  <c r="K214" i="4"/>
  <c r="K375" i="4"/>
  <c r="K358" i="4"/>
  <c r="K303" i="4"/>
  <c r="K93" i="4"/>
  <c r="K180" i="4"/>
  <c r="K409" i="4"/>
  <c r="K20" i="4"/>
  <c r="K245" i="4"/>
  <c r="K13" i="4"/>
  <c r="K342" i="4"/>
  <c r="K11" i="4"/>
  <c r="K253" i="4"/>
  <c r="K91" i="4"/>
  <c r="K121" i="4"/>
  <c r="K97" i="4"/>
  <c r="K385" i="4"/>
  <c r="K321" i="4"/>
  <c r="K53" i="4"/>
  <c r="K357" i="4"/>
  <c r="K170" i="4"/>
  <c r="K129" i="4"/>
  <c r="K150" i="4"/>
  <c r="K291" i="4"/>
  <c r="K64" i="4"/>
  <c r="K275" i="4"/>
  <c r="K52" i="4"/>
  <c r="K24" i="4"/>
  <c r="K317" i="4"/>
  <c r="K251" i="4"/>
  <c r="K273" i="4"/>
  <c r="K153" i="4"/>
  <c r="K362" i="4"/>
  <c r="K165" i="4"/>
  <c r="K162" i="4"/>
  <c r="K209" i="4"/>
  <c r="K152" i="4"/>
  <c r="K231" i="4"/>
  <c r="K234" i="4"/>
  <c r="K195" i="4"/>
  <c r="K186" i="4"/>
  <c r="K223" i="4"/>
  <c r="K51" i="4"/>
  <c r="K86" i="4"/>
  <c r="K428" i="4"/>
  <c r="K109" i="4"/>
  <c r="K402" i="4"/>
  <c r="K408" i="4"/>
  <c r="K210" i="4"/>
  <c r="K398" i="4"/>
  <c r="K224" i="4"/>
  <c r="K184" i="4"/>
  <c r="K394" i="4"/>
  <c r="K384" i="4"/>
  <c r="K377" i="4"/>
  <c r="K421" i="4"/>
  <c r="K175" i="4"/>
  <c r="K431" i="4"/>
</calcChain>
</file>

<file path=xl/sharedStrings.xml><?xml version="1.0" encoding="utf-8"?>
<sst xmlns="http://schemas.openxmlformats.org/spreadsheetml/2006/main" count="26027" uniqueCount="10960">
  <si>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</si>
  <si>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</si>
  <si>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</si>
  <si>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</si>
  <si>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</si>
  <si>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</si>
  <si>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</si>
  <si>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</si>
  <si>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</si>
  <si>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</si>
  <si>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</si>
  <si>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</si>
  <si>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</si>
  <si>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plus</t>
  </si>
  <si>
    <t>chromosomal replication initiator protein DnaA</t>
  </si>
  <si>
    <t>dnaA</t>
  </si>
  <si>
    <t>protein-coding</t>
  </si>
  <si>
    <t>dnaN</t>
  </si>
  <si>
    <t>WP_003549381.1</t>
  </si>
  <si>
    <t>LBA_RS00010</t>
  </si>
  <si>
    <t>DNA replication/repair protein RecF</t>
  </si>
  <si>
    <t>recF</t>
  </si>
  <si>
    <t>DNA topoisomerase (ATP-hydrolyzing) subunit B</t>
  </si>
  <si>
    <t>gyrB</t>
  </si>
  <si>
    <t>DNA gyrase subunit A</t>
  </si>
  <si>
    <t>gyrA</t>
  </si>
  <si>
    <t>30S ribosomal protein S6</t>
  </si>
  <si>
    <t>rpsF</t>
  </si>
  <si>
    <t>single-stranded DNA-binding protein</t>
  </si>
  <si>
    <t>30S ribosomal protein S18</t>
  </si>
  <si>
    <t>rpsR</t>
  </si>
  <si>
    <t>50S ribosomal protein L9</t>
  </si>
  <si>
    <t>rplI</t>
  </si>
  <si>
    <t>replicative DNA helicase</t>
  </si>
  <si>
    <t>dnaB</t>
  </si>
  <si>
    <t>ROK family protein</t>
  </si>
  <si>
    <t>minus</t>
  </si>
  <si>
    <t>DUF2974 domain-containing protein</t>
  </si>
  <si>
    <t>tRNA-Thr</t>
  </si>
  <si>
    <t>tRNA</t>
  </si>
  <si>
    <t>hypothetical protein</t>
  </si>
  <si>
    <t>C69 family dipeptidase</t>
  </si>
  <si>
    <t>LPXTG cell wall anchor domain-containing protein</t>
  </si>
  <si>
    <t>putative ABC transporter permease</t>
  </si>
  <si>
    <t>ECF transporter S component</t>
  </si>
  <si>
    <t>uncharacterized gene</t>
  </si>
  <si>
    <t>pseudogene</t>
  </si>
  <si>
    <t>AI-2E family transporter</t>
  </si>
  <si>
    <t>ATP-binding cassette domain-containing protein</t>
  </si>
  <si>
    <t>branched-chain amino acid ABC transporter permease</t>
  </si>
  <si>
    <t>WP_025079808.1</t>
  </si>
  <si>
    <t>LBA_RS00250</t>
  </si>
  <si>
    <t>Cof-type HAD-IIB family hydrolase</t>
  </si>
  <si>
    <t>D-2-hydroxyacid dehydrogenase</t>
  </si>
  <si>
    <t>exodeoxyribonuclease III</t>
  </si>
  <si>
    <t>amino acid permease</t>
  </si>
  <si>
    <t>DEAD/DEAH box helicase</t>
  </si>
  <si>
    <t>WP_011254017.1</t>
  </si>
  <si>
    <t>LBA_RS00285</t>
  </si>
  <si>
    <t>WP_025079807.1</t>
  </si>
  <si>
    <t>LBA_RS00290</t>
  </si>
  <si>
    <t>peptide deformylase</t>
  </si>
  <si>
    <t>WP_011254019.1</t>
  </si>
  <si>
    <t>LBA_RS00295</t>
  </si>
  <si>
    <t>16S ribosomal RNA</t>
  </si>
  <si>
    <t>rRNA</t>
  </si>
  <si>
    <t>23S ribosomal RNA</t>
  </si>
  <si>
    <t>5S ribosomal RNA</t>
  </si>
  <si>
    <t>rrf</t>
  </si>
  <si>
    <t>tRNA-Asn</t>
  </si>
  <si>
    <t>LysR family transcriptional regulator</t>
  </si>
  <si>
    <t>glycosyltransferase</t>
  </si>
  <si>
    <t>1-acyl-sn-glycerol-3-phosphate acyltransferase</t>
  </si>
  <si>
    <t>ABC transporter ATP-binding protein</t>
  </si>
  <si>
    <t>tRNA-Lys</t>
  </si>
  <si>
    <t>cell wall metabolism sensor histidine kinase WalK</t>
  </si>
  <si>
    <t>WP_011254027.1</t>
  </si>
  <si>
    <t>LBA_RS00410</t>
  </si>
  <si>
    <t>23S rRNA (pseudouridine(1915)-N(3))-methyltransferase RlmH</t>
  </si>
  <si>
    <t>rlmH</t>
  </si>
  <si>
    <t>WP_003548590.1</t>
  </si>
  <si>
    <t>LBA_RS00435</t>
  </si>
  <si>
    <t>helix-turn-helix transcriptional regulator</t>
  </si>
  <si>
    <t>CPBP family intramembrane glutamic endopeptidase</t>
  </si>
  <si>
    <t>WP_003548604.1</t>
  </si>
  <si>
    <t>LBA_RS00465</t>
  </si>
  <si>
    <t>AraC family transcriptional regulator</t>
  </si>
  <si>
    <t>zinc metalloprotease HtpX</t>
  </si>
  <si>
    <t>htpX</t>
  </si>
  <si>
    <t>LemA family protein</t>
  </si>
  <si>
    <t>DUF805 domain-containing protein</t>
  </si>
  <si>
    <t>amino acid ABC transporter ATP-binding protein</t>
  </si>
  <si>
    <t>TerC family protein</t>
  </si>
  <si>
    <t>WP_015613281.1</t>
  </si>
  <si>
    <t>LBA_RS00575</t>
  </si>
  <si>
    <t>alpha/beta hydrolase</t>
  </si>
  <si>
    <t>ATP-binding protein</t>
  </si>
  <si>
    <t>ribose-phosphate diphosphokinase</t>
  </si>
  <si>
    <t>WP_003548712.1</t>
  </si>
  <si>
    <t>LBA_RS00645</t>
  </si>
  <si>
    <t>TetR/AcrR family transcriptional regulator</t>
  </si>
  <si>
    <t>D-alanine--D-alanine ligase family protein</t>
  </si>
  <si>
    <t>MerR family transcriptional regulator</t>
  </si>
  <si>
    <t>N-acetylglucosamine-6-phosphate deacetylase</t>
  </si>
  <si>
    <t>WP_011254054.1</t>
  </si>
  <si>
    <t>LBA_RS00705</t>
  </si>
  <si>
    <t>nucleoside 2-deoxyribosyltransferase</t>
  </si>
  <si>
    <t>PTS sugar transporter subunit IIA</t>
  </si>
  <si>
    <t>WP_003548752.1</t>
  </si>
  <si>
    <t>LBA_RS00720</t>
  </si>
  <si>
    <t>universal stress protein</t>
  </si>
  <si>
    <t>DNA-3-methyladenine glycosylase I</t>
  </si>
  <si>
    <t>metallophosphoesterase</t>
  </si>
  <si>
    <t>WP_003548773.1</t>
  </si>
  <si>
    <t>LBA_RS00765</t>
  </si>
  <si>
    <t>anaerobic ribonucleoside-triphosphate reductase</t>
  </si>
  <si>
    <t>nrdD</t>
  </si>
  <si>
    <t>WP_011254061.1</t>
  </si>
  <si>
    <t>LBA_RS00775</t>
  </si>
  <si>
    <t>anaerobic ribonucleoside-triphosphate reductase activating protein</t>
  </si>
  <si>
    <t>nrdG</t>
  </si>
  <si>
    <t>MFS transporter</t>
  </si>
  <si>
    <t>pyroglutamyl-peptidase I</t>
  </si>
  <si>
    <t>LCP family protein</t>
  </si>
  <si>
    <t>WP_003548818.1</t>
  </si>
  <si>
    <t>LBA_RS00895</t>
  </si>
  <si>
    <t>LTA synthase family protein</t>
  </si>
  <si>
    <t>tyrosine--tRNA ligase</t>
  </si>
  <si>
    <t>tyrS</t>
  </si>
  <si>
    <t>WP_003548823.1</t>
  </si>
  <si>
    <t>LBA_RS00910</t>
  </si>
  <si>
    <t>C1 family peptidase</t>
  </si>
  <si>
    <t>IMP dehydrogenase</t>
  </si>
  <si>
    <t>ABC transporter permease</t>
  </si>
  <si>
    <t>Hsp20/alpha crystallin family protein</t>
  </si>
  <si>
    <t>transcription elongation factor GreA</t>
  </si>
  <si>
    <t>tRNA-Gly</t>
  </si>
  <si>
    <t>tryptophan--tRNA ligase</t>
  </si>
  <si>
    <t>trpS</t>
  </si>
  <si>
    <t>WP_003548870.1</t>
  </si>
  <si>
    <t>LBA_RS01000</t>
  </si>
  <si>
    <t>TPM domain-containing protein</t>
  </si>
  <si>
    <t>methionine--tRNA ligase</t>
  </si>
  <si>
    <t>metG</t>
  </si>
  <si>
    <t>WP_011254078.1</t>
  </si>
  <si>
    <t>LBA_RS01020</t>
  </si>
  <si>
    <t>TatD family hydrolase</t>
  </si>
  <si>
    <t>16S rRNA (adenine(1518)-N(6)/adenine(1519)-N(6))-dimethyltransferase RsmA</t>
  </si>
  <si>
    <t>rsmA</t>
  </si>
  <si>
    <t>WP_003548878.1</t>
  </si>
  <si>
    <t>LBA_RS01035</t>
  </si>
  <si>
    <t>bifunctional UDP-N-acetylglucosamine diphosphorylase/glucosamine-1-phosphate N-acetyltransferase GlmU</t>
  </si>
  <si>
    <t>glmU</t>
  </si>
  <si>
    <t>WP_003548882.1</t>
  </si>
  <si>
    <t>LBA_RS01050</t>
  </si>
  <si>
    <t>WP_011254081.1</t>
  </si>
  <si>
    <t>LBA_RS01080</t>
  </si>
  <si>
    <t>MurR/RpiR family transcriptional regulator</t>
  </si>
  <si>
    <t>HD domain-containing protein</t>
  </si>
  <si>
    <t>WP_003548904.1</t>
  </si>
  <si>
    <t>LBA_RS01115</t>
  </si>
  <si>
    <t>CTP synthase</t>
  </si>
  <si>
    <t>WP_011254085.1</t>
  </si>
  <si>
    <t>LBA_RS01120</t>
  </si>
  <si>
    <t>UDP-N-acetylglucosamine 1-carboxyvinyltransferase</t>
  </si>
  <si>
    <t>WP_011254086.1</t>
  </si>
  <si>
    <t>LBA_RS01125</t>
  </si>
  <si>
    <t>helix-turn-helix domain-containing protein</t>
  </si>
  <si>
    <t>nucleobase:cation symporter-2 family protein</t>
  </si>
  <si>
    <t>xanthine phosphoribosyltransferase</t>
  </si>
  <si>
    <t>WP_011254090.1</t>
  </si>
  <si>
    <t>LBA_RS01150</t>
  </si>
  <si>
    <t>glutamine-hydrolyzing GMP synthase</t>
  </si>
  <si>
    <t>guaA</t>
  </si>
  <si>
    <t>WP_003548925.1</t>
  </si>
  <si>
    <t>LBA_RS01165</t>
  </si>
  <si>
    <t>LytTR family DNA-binding domain-containing protein</t>
  </si>
  <si>
    <t>GNAT family N-acetyltransferase</t>
  </si>
  <si>
    <t>methylated-DNA--[protein]-cysteine S-methyltransferase</t>
  </si>
  <si>
    <t>WP_003548951.1</t>
  </si>
  <si>
    <t>LBA_RS01225</t>
  </si>
  <si>
    <t>WP_003548972.1</t>
  </si>
  <si>
    <t>LBA_RS01255</t>
  </si>
  <si>
    <t>alpha-glucosidase</t>
  </si>
  <si>
    <t>UDP-N-acetylmuramoyl-tripeptide--D-alanyl-D-alanine ligase</t>
  </si>
  <si>
    <t>murF</t>
  </si>
  <si>
    <t>WP_003548990.1</t>
  </si>
  <si>
    <t>LBA_RS01280</t>
  </si>
  <si>
    <t>holo-ACP synthase</t>
  </si>
  <si>
    <t>WP_011254099.1</t>
  </si>
  <si>
    <t>LBA_RS01290</t>
  </si>
  <si>
    <t>alanine racemase</t>
  </si>
  <si>
    <t>alr</t>
  </si>
  <si>
    <t>WP_003548996.1</t>
  </si>
  <si>
    <t>LBA_RS01295</t>
  </si>
  <si>
    <t>L-lactate dehydrogenase</t>
  </si>
  <si>
    <t>WP_003549000.1</t>
  </si>
  <si>
    <t>LBA_RS01305</t>
  </si>
  <si>
    <t>aminoacyl-tRNA hydrolase</t>
  </si>
  <si>
    <t>pth</t>
  </si>
  <si>
    <t>WP_003549001.1</t>
  </si>
  <si>
    <t>LBA_RS01310</t>
  </si>
  <si>
    <t>transcription-repair coupling factor</t>
  </si>
  <si>
    <t>mfd</t>
  </si>
  <si>
    <t>septum formation initiator family protein</t>
  </si>
  <si>
    <t>tRNA lysidine(34) synthetase TilS</t>
  </si>
  <si>
    <t>tilS</t>
  </si>
  <si>
    <t>WP_003549010.1</t>
  </si>
  <si>
    <t>LBA_RS01335</t>
  </si>
  <si>
    <t>ATP-dependent zinc metalloprotease FtsH</t>
  </si>
  <si>
    <t>ftsH</t>
  </si>
  <si>
    <t>tRNA dihydrouridine synthase DusB</t>
  </si>
  <si>
    <t>dusB</t>
  </si>
  <si>
    <t>lysine--tRNA ligase</t>
  </si>
  <si>
    <t>lysS</t>
  </si>
  <si>
    <t>WP_011254107.1</t>
  </si>
  <si>
    <t>LBA_RS01355</t>
  </si>
  <si>
    <t>tRNA-Pro</t>
  </si>
  <si>
    <t>ATP-dependent Clp protease ATP-binding subunit</t>
  </si>
  <si>
    <t>DNA-directed RNA polymerase subunit beta</t>
  </si>
  <si>
    <t>DNA-directed RNA polymerase subunit beta'</t>
  </si>
  <si>
    <t>30S ribosomal protein S12</t>
  </si>
  <si>
    <t>rpsL</t>
  </si>
  <si>
    <t>30S ribosomal protein S7</t>
  </si>
  <si>
    <t>rpsG</t>
  </si>
  <si>
    <t>elongation factor G</t>
  </si>
  <si>
    <t>fusA</t>
  </si>
  <si>
    <t>30S ribosomal protein S10</t>
  </si>
  <si>
    <t>rpsJ</t>
  </si>
  <si>
    <t>50S ribosomal protein L3</t>
  </si>
  <si>
    <t>rplC</t>
  </si>
  <si>
    <t>50S ribosomal protein L4</t>
  </si>
  <si>
    <t>rplD</t>
  </si>
  <si>
    <t>50S ribosomal protein L23</t>
  </si>
  <si>
    <t>rplW</t>
  </si>
  <si>
    <t>50S ribosomal protein L2</t>
  </si>
  <si>
    <t>rplB</t>
  </si>
  <si>
    <t>rpsS</t>
  </si>
  <si>
    <t>50S ribosomal protein L22</t>
  </si>
  <si>
    <t>rplV</t>
  </si>
  <si>
    <t>30S ribosomal protein S3</t>
  </si>
  <si>
    <t>rpsC</t>
  </si>
  <si>
    <t>50S ribosomal protein L16</t>
  </si>
  <si>
    <t>rplP</t>
  </si>
  <si>
    <t>50S ribosomal protein L29</t>
  </si>
  <si>
    <t>rpmC</t>
  </si>
  <si>
    <t>30S ribosomal protein S17</t>
  </si>
  <si>
    <t>rpsQ</t>
  </si>
  <si>
    <t>50S ribosomal protein L14</t>
  </si>
  <si>
    <t>rplN</t>
  </si>
  <si>
    <t>50S ribosomal protein L24</t>
  </si>
  <si>
    <t>rplX</t>
  </si>
  <si>
    <t>50S ribosomal protein L5</t>
  </si>
  <si>
    <t>rplE</t>
  </si>
  <si>
    <t>type Z 30S ribosomal protein S14</t>
  </si>
  <si>
    <t>30S ribosomal protein S8</t>
  </si>
  <si>
    <t>rpsH</t>
  </si>
  <si>
    <t>50S ribosomal protein L6</t>
  </si>
  <si>
    <t>rplF</t>
  </si>
  <si>
    <t>50S ribosomal protein L18</t>
  </si>
  <si>
    <t>rplR</t>
  </si>
  <si>
    <t>30S ribosomal protein S5</t>
  </si>
  <si>
    <t>rpsE</t>
  </si>
  <si>
    <t>50S ribosomal protein L30</t>
  </si>
  <si>
    <t>rpmD</t>
  </si>
  <si>
    <t>50S ribosomal protein L15</t>
  </si>
  <si>
    <t>rplO</t>
  </si>
  <si>
    <t>preprotein translocase subunit SecY</t>
  </si>
  <si>
    <t>secY</t>
  </si>
  <si>
    <t>adenylate kinase</t>
  </si>
  <si>
    <t>WP_003549045.1</t>
  </si>
  <si>
    <t>LBA_RS01525</t>
  </si>
  <si>
    <t>translation initiation factor IF-1</t>
  </si>
  <si>
    <t>infA</t>
  </si>
  <si>
    <t>50S ribosomal protein L36</t>
  </si>
  <si>
    <t>rpmJ</t>
  </si>
  <si>
    <t>30S ribosomal protein S13</t>
  </si>
  <si>
    <t>rpsM</t>
  </si>
  <si>
    <t>30S ribosomal protein S11</t>
  </si>
  <si>
    <t>rpsK</t>
  </si>
  <si>
    <t>DNA-directed RNA polymerase subunit alpha</t>
  </si>
  <si>
    <t>50S ribosomal protein L17</t>
  </si>
  <si>
    <t>rplQ</t>
  </si>
  <si>
    <t>energy-coupling factor transporter ATPase</t>
  </si>
  <si>
    <t>tRNA pseudouridine(38-40) synthase TruA</t>
  </si>
  <si>
    <t>truA</t>
  </si>
  <si>
    <t>WP_003549053.1</t>
  </si>
  <si>
    <t>LBA_RS01575</t>
  </si>
  <si>
    <t>50S ribosomal protein L13</t>
  </si>
  <si>
    <t>rplM</t>
  </si>
  <si>
    <t>30S ribosomal protein S9</t>
  </si>
  <si>
    <t>rpsI</t>
  </si>
  <si>
    <t>site-specific integrase</t>
  </si>
  <si>
    <t>sulfite exporter TauE/SafE family protein</t>
  </si>
  <si>
    <t>histidine phosphatase family protein</t>
  </si>
  <si>
    <t>cation diffusion facilitator family transporter</t>
  </si>
  <si>
    <t>AAA family ATPase</t>
  </si>
  <si>
    <t>dUTP diphosphatase</t>
  </si>
  <si>
    <t>DNA repair protein RadA</t>
  </si>
  <si>
    <t>glutamate--tRNA ligase</t>
  </si>
  <si>
    <t>gltX</t>
  </si>
  <si>
    <t>WP_011254122.1</t>
  </si>
  <si>
    <t>LBA_RS01700</t>
  </si>
  <si>
    <t>cysteine--tRNA ligase</t>
  </si>
  <si>
    <t>cysS</t>
  </si>
  <si>
    <t>WP_003549082.1</t>
  </si>
  <si>
    <t>LBA_RS01705</t>
  </si>
  <si>
    <t>23S rRNA (guanosine(2251)-2'-O)-methyltransferase RlmB</t>
  </si>
  <si>
    <t>rlmB</t>
  </si>
  <si>
    <t>WP_003549089.1</t>
  </si>
  <si>
    <t>LBA_RS01735</t>
  </si>
  <si>
    <t>1-deoxy-D-xylulose-5-phosphate synthase</t>
  </si>
  <si>
    <t>WP_003549091.1</t>
  </si>
  <si>
    <t>LBA_RS01745</t>
  </si>
  <si>
    <t>50S ribosomal protein L33</t>
  </si>
  <si>
    <t>rpmG</t>
  </si>
  <si>
    <t>preprotein translocase subunit SecE</t>
  </si>
  <si>
    <t>secE</t>
  </si>
  <si>
    <t>transcription termination/antitermination protein NusG</t>
  </si>
  <si>
    <t>nusG</t>
  </si>
  <si>
    <t>50S ribosomal protein L11</t>
  </si>
  <si>
    <t>rplK</t>
  </si>
  <si>
    <t>50S ribosomal protein L1</t>
  </si>
  <si>
    <t>rplA</t>
  </si>
  <si>
    <t>phosphate ABC transporter permease subunit PstC</t>
  </si>
  <si>
    <t>pstC</t>
  </si>
  <si>
    <t>phosphate ABC transporter permease PstA</t>
  </si>
  <si>
    <t>pstA</t>
  </si>
  <si>
    <t>phosphate ABC transporter ATP-binding protein PstB</t>
  </si>
  <si>
    <t>pstB</t>
  </si>
  <si>
    <t>phosphate signaling complex protein PhoU</t>
  </si>
  <si>
    <t>phoU</t>
  </si>
  <si>
    <t>AEC family transporter</t>
  </si>
  <si>
    <t>50S ribosomal protein L10</t>
  </si>
  <si>
    <t>rplJ</t>
  </si>
  <si>
    <t>50S ribosomal protein L7/L12</t>
  </si>
  <si>
    <t>rplL</t>
  </si>
  <si>
    <t>tRNA adenosine(34) deaminase TadA</t>
  </si>
  <si>
    <t>tadA</t>
  </si>
  <si>
    <t>WP_011254132.1</t>
  </si>
  <si>
    <t>LBA_RS01840</t>
  </si>
  <si>
    <t>signal recognition particle sRNA small type</t>
  </si>
  <si>
    <t>ffs</t>
  </si>
  <si>
    <t>other</t>
  </si>
  <si>
    <t>DNA polymerase III subunit gamma/tau</t>
  </si>
  <si>
    <t>dnaX</t>
  </si>
  <si>
    <t>recombination mediator RecR</t>
  </si>
  <si>
    <t>recR</t>
  </si>
  <si>
    <t>dTMP kinase</t>
  </si>
  <si>
    <t>tmk</t>
  </si>
  <si>
    <t>DNA polymerase III subunit delta</t>
  </si>
  <si>
    <t>16S rRNA (cytidine(1402)-2'-O)-methyltransferase</t>
  </si>
  <si>
    <t>rsmI</t>
  </si>
  <si>
    <t>WP_003549119.1</t>
  </si>
  <si>
    <t>LBA_RS01895</t>
  </si>
  <si>
    <t>tRNA (adenosine(37)-N6)-threonylcarbamoyltransferase complex dimerization subunit type 1 TsaB</t>
  </si>
  <si>
    <t>tsaB</t>
  </si>
  <si>
    <t>ribosomal protein S18-alanine N-acetyltransferase</t>
  </si>
  <si>
    <t>rimI</t>
  </si>
  <si>
    <t>WP_003549125.1</t>
  </si>
  <si>
    <t>LBA_RS01915</t>
  </si>
  <si>
    <t>tRNA (adenosine(37)-N6)-threonylcarbamoyltransferase complex transferase subunit TsaD</t>
  </si>
  <si>
    <t>tsaD</t>
  </si>
  <si>
    <t>WP_003549127.1</t>
  </si>
  <si>
    <t>LBA_RS01920</t>
  </si>
  <si>
    <t>WP_011254138.1</t>
  </si>
  <si>
    <t>LBA_RS01925</t>
  </si>
  <si>
    <t>GntR family transcriptional regulator</t>
  </si>
  <si>
    <t>WP_003549137.1</t>
  </si>
  <si>
    <t>LBA_RS01945</t>
  </si>
  <si>
    <t>WP_044304031.1</t>
  </si>
  <si>
    <t>LBA_RS01950</t>
  </si>
  <si>
    <t>ABC-F family ATP-binding cassette domain-containing protein</t>
  </si>
  <si>
    <t>LacI family DNA-binding transcriptional regulator</t>
  </si>
  <si>
    <t>WP_003549147.1</t>
  </si>
  <si>
    <t>LBA_RS01970</t>
  </si>
  <si>
    <t>WP_011254141.1</t>
  </si>
  <si>
    <t>LBA_RS01975</t>
  </si>
  <si>
    <t>co-chaperone GroES</t>
  </si>
  <si>
    <t>groES</t>
  </si>
  <si>
    <t>chaperonin GroEL</t>
  </si>
  <si>
    <t>groL</t>
  </si>
  <si>
    <t>Holliday junction branch migration protein RuvA</t>
  </si>
  <si>
    <t>ruvA</t>
  </si>
  <si>
    <t>Holliday junction branch migration DNA helicase RuvB</t>
  </si>
  <si>
    <t>ruvB</t>
  </si>
  <si>
    <t>preprotein translocase subunit YajC</t>
  </si>
  <si>
    <t>yajC</t>
  </si>
  <si>
    <t>glucose-6-phosphate dehydrogenase</t>
  </si>
  <si>
    <t>zwf</t>
  </si>
  <si>
    <t>WP_003549170.1</t>
  </si>
  <si>
    <t>LBA_RS02030</t>
  </si>
  <si>
    <t>DNA polymerase IV</t>
  </si>
  <si>
    <t>dinB</t>
  </si>
  <si>
    <t>WP_011254146.1</t>
  </si>
  <si>
    <t>LBA_RS02040</t>
  </si>
  <si>
    <t>alanine--tRNA ligase</t>
  </si>
  <si>
    <t>alaS</t>
  </si>
  <si>
    <t>WP_003549179.1</t>
  </si>
  <si>
    <t>LBA_RS02050</t>
  </si>
  <si>
    <t>Holliday junction resolvase RuvX</t>
  </si>
  <si>
    <t>ruvX</t>
  </si>
  <si>
    <t>thioredoxin</t>
  </si>
  <si>
    <t>trxA</t>
  </si>
  <si>
    <t>mscL</t>
  </si>
  <si>
    <t>glutamate racemase</t>
  </si>
  <si>
    <t>murI</t>
  </si>
  <si>
    <t>WP_003549203.1</t>
  </si>
  <si>
    <t>LBA_RS02090</t>
  </si>
  <si>
    <t>DUF948 domain-containing protein</t>
  </si>
  <si>
    <t>substrate-binding domain-containing protein</t>
  </si>
  <si>
    <t>bifunctional UDP-sugar hydrolase/5'-nucleotidase</t>
  </si>
  <si>
    <t>NAD(P)/FAD-dependent oxidoreductase</t>
  </si>
  <si>
    <t>tRNA-Ile</t>
  </si>
  <si>
    <t>tRNA-Ala</t>
  </si>
  <si>
    <t>tRNA-Val</t>
  </si>
  <si>
    <t>tRNA-Leu</t>
  </si>
  <si>
    <t>tRNA-Arg</t>
  </si>
  <si>
    <t>tRNA-Met</t>
  </si>
  <si>
    <t>tRNA-Asp</t>
  </si>
  <si>
    <t>tRNA-Phe</t>
  </si>
  <si>
    <t>tRNA-Ser</t>
  </si>
  <si>
    <t>(deoxy)nucleoside triphosphate pyrophosphohydrolase</t>
  </si>
  <si>
    <t>tRNA-Glu</t>
  </si>
  <si>
    <t>tRNA-Tyr</t>
  </si>
  <si>
    <t>tRNA-Trp</t>
  </si>
  <si>
    <t>tRNA-His</t>
  </si>
  <si>
    <t>tRNA-Gln</t>
  </si>
  <si>
    <t>tRNA-Cys</t>
  </si>
  <si>
    <t>preprotein translocase subunit SecG</t>
  </si>
  <si>
    <t>secG</t>
  </si>
  <si>
    <t>SsrA-binding protein SmpB</t>
  </si>
  <si>
    <t>smpB</t>
  </si>
  <si>
    <t>DapH/DapD/GlmU-related protein</t>
  </si>
  <si>
    <t>bifunctional acetaldehyde-CoA/alcohol dehydrogenase</t>
  </si>
  <si>
    <t>adhE</t>
  </si>
  <si>
    <t>WP_003546132.1</t>
  </si>
  <si>
    <t>LBA_RS02435</t>
  </si>
  <si>
    <t>glutamine--fructose-6-phosphate transaminase (isomerizing)</t>
  </si>
  <si>
    <t>glmS</t>
  </si>
  <si>
    <t>WP_003546133.1</t>
  </si>
  <si>
    <t>LBA_RS02440</t>
  </si>
  <si>
    <t>WP_011254162.1</t>
  </si>
  <si>
    <t>LBA_RS02445</t>
  </si>
  <si>
    <t>carboxymuconolactone decarboxylase family protein</t>
  </si>
  <si>
    <t>WP_003546143.1</t>
  </si>
  <si>
    <t>LBA_RS02460</t>
  </si>
  <si>
    <t>ammonium transporter</t>
  </si>
  <si>
    <t>DNA adenine methylase</t>
  </si>
  <si>
    <t>tyrosine-type recombinase/integrase</t>
  </si>
  <si>
    <t>metallophosphoesterase family protein</t>
  </si>
  <si>
    <t>sugar ABC transporter substrate-binding protein</t>
  </si>
  <si>
    <t>sugar ABC transporter permease</t>
  </si>
  <si>
    <t>carbohydrate ABC transporter permease</t>
  </si>
  <si>
    <t>sucrose phosphorylase</t>
  </si>
  <si>
    <t>gtfA</t>
  </si>
  <si>
    <t>WP_003546237.1</t>
  </si>
  <si>
    <t>LBA_RS02650</t>
  </si>
  <si>
    <t>WP_011254173.1</t>
  </si>
  <si>
    <t>LBA_RS02700</t>
  </si>
  <si>
    <t>nicotinate phosphoribosyltransferase</t>
  </si>
  <si>
    <t>WP_011254174.1</t>
  </si>
  <si>
    <t>LBA_RS02715</t>
  </si>
  <si>
    <t>WP_003546262.1</t>
  </si>
  <si>
    <t>LBA_RS02720</t>
  </si>
  <si>
    <t>NAD-dependent DNA ligase LigA</t>
  </si>
  <si>
    <t>ligA</t>
  </si>
  <si>
    <t>WP_003546277.1</t>
  </si>
  <si>
    <t>LBA_RS02765</t>
  </si>
  <si>
    <t>Asp-tRNA(Asn)/Glu-tRNA(Gln) amidotransferase subunit GatC</t>
  </si>
  <si>
    <t>gatC</t>
  </si>
  <si>
    <t>Asp-tRNA(Asn)/Glu-tRNA(Gln) amidotransferase subunit GatA</t>
  </si>
  <si>
    <t>gatA</t>
  </si>
  <si>
    <t>Asp-tRNA(Asn)/Glu-tRNA(Gln) amidotransferase subunit GatB</t>
  </si>
  <si>
    <t>gatB</t>
  </si>
  <si>
    <t>WP_003546298.1</t>
  </si>
  <si>
    <t>LBA_RS02810</t>
  </si>
  <si>
    <t>cation transporter</t>
  </si>
  <si>
    <t>Crp/Fnr family transcriptional regulator</t>
  </si>
  <si>
    <t>phage portal protein</t>
  </si>
  <si>
    <t>oleate hydratase</t>
  </si>
  <si>
    <t>WP_003546333.1</t>
  </si>
  <si>
    <t>LBA_RS02915</t>
  </si>
  <si>
    <t>aldo/keto reductase</t>
  </si>
  <si>
    <t>WP_003546345.1</t>
  </si>
  <si>
    <t>LBA_RS02950</t>
  </si>
  <si>
    <t>transporter substrate-binding domain-containing protein</t>
  </si>
  <si>
    <t>WP_003546365.1</t>
  </si>
  <si>
    <t>LBA_RS03015</t>
  </si>
  <si>
    <t>amino acid ABC transporter permease</t>
  </si>
  <si>
    <t>extracellular solute-binding protein</t>
  </si>
  <si>
    <t>ribokinase</t>
  </si>
  <si>
    <t>WP_011254195.1</t>
  </si>
  <si>
    <t>LBA_RS03060</t>
  </si>
  <si>
    <t>ribose-5-phosphate isomerase RpiA</t>
  </si>
  <si>
    <t>rpiA</t>
  </si>
  <si>
    <t>WP_011254196.1</t>
  </si>
  <si>
    <t>LBA_RS03065</t>
  </si>
  <si>
    <t>KUP/HAK/KT family potassium transporter</t>
  </si>
  <si>
    <t>nucleoside hydrolase</t>
  </si>
  <si>
    <t>transcriptional regulator</t>
  </si>
  <si>
    <t>DeoR/GlpR family DNA-binding transcription regulator</t>
  </si>
  <si>
    <t>patatin family protein</t>
  </si>
  <si>
    <t>GHKL domain-containing protein</t>
  </si>
  <si>
    <t>PTS glucose transporter subunit IIA</t>
  </si>
  <si>
    <t>hemolysin family protein</t>
  </si>
  <si>
    <t>hypoxanthine phosphoribosyltransferase</t>
  </si>
  <si>
    <t>hpt</t>
  </si>
  <si>
    <t>WP_011254205.1</t>
  </si>
  <si>
    <t>LBA_RS03190</t>
  </si>
  <si>
    <t>IS3 family transposase</t>
  </si>
  <si>
    <t>WP_011254207.1</t>
  </si>
  <si>
    <t>LBA_RS03230</t>
  </si>
  <si>
    <t>GtrA family protein</t>
  </si>
  <si>
    <t>type I methionyl aminopeptidase</t>
  </si>
  <si>
    <t>map</t>
  </si>
  <si>
    <t>WP_003546456.1</t>
  </si>
  <si>
    <t>LBA_RS03255</t>
  </si>
  <si>
    <t>WP_003546460.1</t>
  </si>
  <si>
    <t>LBA_RS03270</t>
  </si>
  <si>
    <t>phosphoenolpyruvate--protein phosphotransferase</t>
  </si>
  <si>
    <t>ptsP</t>
  </si>
  <si>
    <t>WP_011254212.1</t>
  </si>
  <si>
    <t>LBA_RS03335</t>
  </si>
  <si>
    <t>GTP pyrophosphokinase family protein</t>
  </si>
  <si>
    <t>NAD kinase</t>
  </si>
  <si>
    <t>WP_011254215.1</t>
  </si>
  <si>
    <t>LBA_RS03370</t>
  </si>
  <si>
    <t>RluA family pseudouridine synthase</t>
  </si>
  <si>
    <t>tRNA (cytidine(34)-2'-O)-methyltransferase</t>
  </si>
  <si>
    <t>WP_003546513.1</t>
  </si>
  <si>
    <t>LBA_RS03410</t>
  </si>
  <si>
    <t>DNA translocase FtsK</t>
  </si>
  <si>
    <t>SDR family NAD(P)-dependent oxidoreductase</t>
  </si>
  <si>
    <t>CDP-diacylglycerol--glycerol-3-phosphate 3-phosphatidyltransferase</t>
  </si>
  <si>
    <t>pgsA</t>
  </si>
  <si>
    <t>WP_003546529.1</t>
  </si>
  <si>
    <t>LBA_RS03445</t>
  </si>
  <si>
    <t>recombinase RecA</t>
  </si>
  <si>
    <t>recA</t>
  </si>
  <si>
    <t>MraY family glycosyltransferase</t>
  </si>
  <si>
    <t>YigZ family protein</t>
  </si>
  <si>
    <t>ComF family protein</t>
  </si>
  <si>
    <t>preprotein translocase subunit SecA</t>
  </si>
  <si>
    <t>secA</t>
  </si>
  <si>
    <t>peptide chain release factor 2</t>
  </si>
  <si>
    <t>prfB</t>
  </si>
  <si>
    <t>prolipoprotein diacylglyceryl transferase</t>
  </si>
  <si>
    <t>lgt</t>
  </si>
  <si>
    <t>NAD(P)H-dependent glycerol-3-phosphate dehydrogenase</t>
  </si>
  <si>
    <t>WP_003546563.1</t>
  </si>
  <si>
    <t>LBA_RS03510</t>
  </si>
  <si>
    <t>WP_011254223.1</t>
  </si>
  <si>
    <t>LBA_RS03515</t>
  </si>
  <si>
    <t>glucose-1-phosphate adenylyltransferase</t>
  </si>
  <si>
    <t>WP_003546570.1</t>
  </si>
  <si>
    <t>LBA_RS03525</t>
  </si>
  <si>
    <t>glgA</t>
  </si>
  <si>
    <t>WP_003546574.1</t>
  </si>
  <si>
    <t>LBA_RS03535</t>
  </si>
  <si>
    <t>glycogen/starch/alpha-glucan phosphorylase</t>
  </si>
  <si>
    <t>WP_003546577.1</t>
  </si>
  <si>
    <t>LBA_RS03540</t>
  </si>
  <si>
    <t>excinuclease ABC subunit UvrB</t>
  </si>
  <si>
    <t>uvrB</t>
  </si>
  <si>
    <t>excinuclease ABC subunit UvrA</t>
  </si>
  <si>
    <t>uvrA</t>
  </si>
  <si>
    <t>RNase adapter RapZ</t>
  </si>
  <si>
    <t>rapZ</t>
  </si>
  <si>
    <t>DNA-binding protein WhiA</t>
  </si>
  <si>
    <t>whiA</t>
  </si>
  <si>
    <t>type I glyceraldehyde-3-phosphate dehydrogenase</t>
  </si>
  <si>
    <t>gap</t>
  </si>
  <si>
    <t>phosphoglycerate kinase</t>
  </si>
  <si>
    <t>WP_003546602.1</t>
  </si>
  <si>
    <t>LBA_RS03615</t>
  </si>
  <si>
    <t>triose-phosphate isomerase</t>
  </si>
  <si>
    <t>tpiA</t>
  </si>
  <si>
    <t>WP_003546605.1</t>
  </si>
  <si>
    <t>LBA_RS03620</t>
  </si>
  <si>
    <t>uracil-DNA glycosylase</t>
  </si>
  <si>
    <t>phosphate acetyltransferase</t>
  </si>
  <si>
    <t>pta</t>
  </si>
  <si>
    <t>WP_011254227.1</t>
  </si>
  <si>
    <t>LBA_RS03640</t>
  </si>
  <si>
    <t>tRNA (adenosine(37)-N6)-threonylcarbamoyltransferase complex ATPase subunit type 1 TsaE</t>
  </si>
  <si>
    <t>tsaE</t>
  </si>
  <si>
    <t>UDP-N-acetylmuramate dehydrogenase</t>
  </si>
  <si>
    <t>WP_003546624.1</t>
  </si>
  <si>
    <t>LBA_RS03655</t>
  </si>
  <si>
    <t>ABC transporter substrate-binding protein</t>
  </si>
  <si>
    <t>WP_011254229.1</t>
  </si>
  <si>
    <t>LBA_RS03680</t>
  </si>
  <si>
    <t>phosphoglucosamine mutase</t>
  </si>
  <si>
    <t>glmM</t>
  </si>
  <si>
    <t>WP_003546635.1</t>
  </si>
  <si>
    <t>LBA_RS03690</t>
  </si>
  <si>
    <t>low molecular weight protein-tyrosine-phosphatase</t>
  </si>
  <si>
    <t>glycerate kinase</t>
  </si>
  <si>
    <t>WP_003546645.1</t>
  </si>
  <si>
    <t>LBA_RS03715</t>
  </si>
  <si>
    <t>PRD domain-containing protein</t>
  </si>
  <si>
    <t>VanZ family protein</t>
  </si>
  <si>
    <t>YebC/PmpR family DNA-binding transcriptional regulator</t>
  </si>
  <si>
    <t>class I SAM-dependent methyltransferase</t>
  </si>
  <si>
    <t>transfer-messenger RNA</t>
  </si>
  <si>
    <t>ssrA</t>
  </si>
  <si>
    <t>SdpI family protein</t>
  </si>
  <si>
    <t>response regulator transcription factor</t>
  </si>
  <si>
    <t>glucose-6-phosphate isomerase</t>
  </si>
  <si>
    <t>WP_003546706.1</t>
  </si>
  <si>
    <t>LBA_RS03850</t>
  </si>
  <si>
    <t>Mur ligase family protein</t>
  </si>
  <si>
    <t>WP_015613340.1</t>
  </si>
  <si>
    <t>LBA_RS03925</t>
  </si>
  <si>
    <t>peptide chain release factor 1</t>
  </si>
  <si>
    <t>prfA</t>
  </si>
  <si>
    <t>peptide chain release factor N(5)-glutamine methyltransferase</t>
  </si>
  <si>
    <t>prmC</t>
  </si>
  <si>
    <t>WP_003546736.1</t>
  </si>
  <si>
    <t>LBA_RS03935</t>
  </si>
  <si>
    <t>L-threonylcarbamoyladenylate synthase</t>
  </si>
  <si>
    <t>WP_029779746.1</t>
  </si>
  <si>
    <t>LBA_RS03940</t>
  </si>
  <si>
    <t>uracil phosphoribosyltransferase</t>
  </si>
  <si>
    <t>upp</t>
  </si>
  <si>
    <t>F0F1 ATP synthase subunit A</t>
  </si>
  <si>
    <t>atpB</t>
  </si>
  <si>
    <t>WP_003546739.1</t>
  </si>
  <si>
    <t>LBA_RS03950</t>
  </si>
  <si>
    <t>atpE</t>
  </si>
  <si>
    <t>F0F1 ATP synthase subunit B</t>
  </si>
  <si>
    <t>F0F1 ATP synthase subunit delta</t>
  </si>
  <si>
    <t>F0F1 ATP synthase subunit alpha</t>
  </si>
  <si>
    <t>atpA</t>
  </si>
  <si>
    <t>F0F1 ATP synthase subunit gamma</t>
  </si>
  <si>
    <t>F0F1 ATP synthase subunit beta</t>
  </si>
  <si>
    <t>atpD</t>
  </si>
  <si>
    <t>F0F1 ATP synthase subunit epsilon</t>
  </si>
  <si>
    <t>membrane protein insertion efficiency factor YidD</t>
  </si>
  <si>
    <t>yidD</t>
  </si>
  <si>
    <t>FtsW/RodA/SpoVE family cell cycle protein</t>
  </si>
  <si>
    <t>WP_003546752.1</t>
  </si>
  <si>
    <t>LBA_RS04010</t>
  </si>
  <si>
    <t>replication-associated recombination protein A</t>
  </si>
  <si>
    <t>30S ribosomal protein S4</t>
  </si>
  <si>
    <t>rpsD</t>
  </si>
  <si>
    <t>cysteine desulfurase family protein</t>
  </si>
  <si>
    <t>WP_003546762.1</t>
  </si>
  <si>
    <t>LBA_RS04050</t>
  </si>
  <si>
    <t>pseudouridine synthase</t>
  </si>
  <si>
    <t>valine--tRNA ligase</t>
  </si>
  <si>
    <t>WP_011254252.1</t>
  </si>
  <si>
    <t>LBA_RS04065</t>
  </si>
  <si>
    <t>folylpolyglutamate synthase/dihydrofolate synthase family protein</t>
  </si>
  <si>
    <t>HAD family phosphatase</t>
  </si>
  <si>
    <t>division/cell wall cluster transcriptional repressor MraZ</t>
  </si>
  <si>
    <t>mraZ</t>
  </si>
  <si>
    <t>16S rRNA (cytosine(1402)-N(4))-methyltransferase RsmH</t>
  </si>
  <si>
    <t>rsmH</t>
  </si>
  <si>
    <t>WP_003546789.1</t>
  </si>
  <si>
    <t>LBA_RS04115</t>
  </si>
  <si>
    <t>phospho-N-acetylmuramoyl-pentapeptide-transferase</t>
  </si>
  <si>
    <t>mraY</t>
  </si>
  <si>
    <t>WP_003546795.1</t>
  </si>
  <si>
    <t>LBA_RS04130</t>
  </si>
  <si>
    <t>UDP-N-acetylmuramoyl-L-alanine--D-glutamate ligase</t>
  </si>
  <si>
    <t>murD</t>
  </si>
  <si>
    <t>WP_003546797.1</t>
  </si>
  <si>
    <t>LBA_RS04135</t>
  </si>
  <si>
    <t>WP_011254256.1</t>
  </si>
  <si>
    <t>LBA_RS04140</t>
  </si>
  <si>
    <t>cell division protein FtsZ</t>
  </si>
  <si>
    <t>ftsZ</t>
  </si>
  <si>
    <t>cell division protein SepF</t>
  </si>
  <si>
    <t>DivIVA domain-containing protein</t>
  </si>
  <si>
    <t>ileS</t>
  </si>
  <si>
    <t>WP_011254260.1</t>
  </si>
  <si>
    <t>LBA_RS04180</t>
  </si>
  <si>
    <t>NUDIX hydrolase</t>
  </si>
  <si>
    <t>WP_011254262.1</t>
  </si>
  <si>
    <t>LBA_RS04200</t>
  </si>
  <si>
    <t>WP_003546824.1</t>
  </si>
  <si>
    <t>LBA_RS04210</t>
  </si>
  <si>
    <t>tetratricopeptide repeat protein</t>
  </si>
  <si>
    <t>ribonuclease J</t>
  </si>
  <si>
    <t>def</t>
  </si>
  <si>
    <t>translational GTPase TypA</t>
  </si>
  <si>
    <t>typA</t>
  </si>
  <si>
    <t>16S rRNA (guanine(966)-N(2))-methyltransferase RsmD</t>
  </si>
  <si>
    <t>rsmD</t>
  </si>
  <si>
    <t>WP_003546846.1</t>
  </si>
  <si>
    <t>LBA_RS04270</t>
  </si>
  <si>
    <t>pantetheine-phosphate adenylyltransferase</t>
  </si>
  <si>
    <t>coaD</t>
  </si>
  <si>
    <t>WP_003546847.1</t>
  </si>
  <si>
    <t>LBA_RS04275</t>
  </si>
  <si>
    <t>helix-hairpin-helix domain-containing protein</t>
  </si>
  <si>
    <t>holA</t>
  </si>
  <si>
    <t>30S ribosomal protein S20</t>
  </si>
  <si>
    <t>rpsT</t>
  </si>
  <si>
    <t>rpsO</t>
  </si>
  <si>
    <t>elongation factor Tu</t>
  </si>
  <si>
    <t>tuf</t>
  </si>
  <si>
    <t>trigger factor</t>
  </si>
  <si>
    <t>tig</t>
  </si>
  <si>
    <t>WP_003546863.1</t>
  </si>
  <si>
    <t>LBA_RS04325</t>
  </si>
  <si>
    <t>ATP-dependent Clp protease ATP-binding subunit ClpX</t>
  </si>
  <si>
    <t>clpX</t>
  </si>
  <si>
    <t>diaminopimelate epimerase</t>
  </si>
  <si>
    <t>dapF</t>
  </si>
  <si>
    <t>WP_003546870.1</t>
  </si>
  <si>
    <t>LBA_RS04340</t>
  </si>
  <si>
    <t>aspartate kinase</t>
  </si>
  <si>
    <t>WP_003546873.1</t>
  </si>
  <si>
    <t>LBA_RS04345</t>
  </si>
  <si>
    <t>diaminopimelate decarboxylase</t>
  </si>
  <si>
    <t>WP_011254268.1</t>
  </si>
  <si>
    <t>LBA_RS04350</t>
  </si>
  <si>
    <t>4-hydroxy-tetrahydrodipicolinate synthase</t>
  </si>
  <si>
    <t>dapA</t>
  </si>
  <si>
    <t>WP_003546883.1</t>
  </si>
  <si>
    <t>LBA_RS04365</t>
  </si>
  <si>
    <t>4-hydroxy-tetrahydrodipicolinate reductase</t>
  </si>
  <si>
    <t>dapB</t>
  </si>
  <si>
    <t>WP_003546885.1</t>
  </si>
  <si>
    <t>LBA_RS04370</t>
  </si>
  <si>
    <t>aminotransferase class I/II-fold pyridoxal phosphate-dependent enzyme</t>
  </si>
  <si>
    <t>aspartate-semialdehyde dehydrogenase</t>
  </si>
  <si>
    <t>WP_011254270.1</t>
  </si>
  <si>
    <t>LBA_RS04380</t>
  </si>
  <si>
    <t>FMN-binding protein</t>
  </si>
  <si>
    <t>WP_003546921.1</t>
  </si>
  <si>
    <t>LBA_RS04460</t>
  </si>
  <si>
    <t>PTS sugar transporter subunit IIB</t>
  </si>
  <si>
    <t>glycoside hydrolase family 1 protein</t>
  </si>
  <si>
    <t>nitroreductase family protein</t>
  </si>
  <si>
    <t>phosphopyruvate hydratase</t>
  </si>
  <si>
    <t>eno</t>
  </si>
  <si>
    <t>WP_003546959.1</t>
  </si>
  <si>
    <t>LBA_RS04535</t>
  </si>
  <si>
    <t>phosphatase PAP2 family protein</t>
  </si>
  <si>
    <t>choloylglycine hydrolase</t>
  </si>
  <si>
    <t>bsh</t>
  </si>
  <si>
    <t>WP_003546965.1</t>
  </si>
  <si>
    <t>LBA_RS04550</t>
  </si>
  <si>
    <t>thymidylate synthase</t>
  </si>
  <si>
    <t>WP_003546979.1</t>
  </si>
  <si>
    <t>LBA_RS04595</t>
  </si>
  <si>
    <t>dihydrofolate reductase</t>
  </si>
  <si>
    <t>WP_003546982.1</t>
  </si>
  <si>
    <t>LBA_RS04600</t>
  </si>
  <si>
    <t>HAD-IC family P-type ATPase</t>
  </si>
  <si>
    <t>MetQ/NlpA family ABC transporter substrate-binding protein</t>
  </si>
  <si>
    <t>methionine ABC transporter ATP-binding protein</t>
  </si>
  <si>
    <t>methionine ABC transporter permease</t>
  </si>
  <si>
    <t>WP_003546995.1</t>
  </si>
  <si>
    <t>LBA_RS04625</t>
  </si>
  <si>
    <t>WP_003547009.1</t>
  </si>
  <si>
    <t>LBA_RS04660</t>
  </si>
  <si>
    <t>WP_003547014.1</t>
  </si>
  <si>
    <t>LBA_RS04670</t>
  </si>
  <si>
    <t>WP_011254287.1</t>
  </si>
  <si>
    <t>LBA_RS04675</t>
  </si>
  <si>
    <t>transporter</t>
  </si>
  <si>
    <t>Cys-tRNA(Pro) deacylase</t>
  </si>
  <si>
    <t>ybaK</t>
  </si>
  <si>
    <t>D-aminoacyl-tRNA deacylase</t>
  </si>
  <si>
    <t>dtd</t>
  </si>
  <si>
    <t>WP_003547036.1</t>
  </si>
  <si>
    <t>LBA_RS04740</t>
  </si>
  <si>
    <t>histidine--tRNA ligase</t>
  </si>
  <si>
    <t>hisS</t>
  </si>
  <si>
    <t>aspartate--tRNA ligase</t>
  </si>
  <si>
    <t>aspS</t>
  </si>
  <si>
    <t>WP_003547039.1</t>
  </si>
  <si>
    <t>LBA_RS04750</t>
  </si>
  <si>
    <t>WP_011254293.1</t>
  </si>
  <si>
    <t>LBA_RS04760</t>
  </si>
  <si>
    <t>WP_003547047.1</t>
  </si>
  <si>
    <t>LBA_RS04770</t>
  </si>
  <si>
    <t>DedA family protein</t>
  </si>
  <si>
    <t>excinuclease ABC subunit UvrC</t>
  </si>
  <si>
    <t>uvrC</t>
  </si>
  <si>
    <t>GTPase ObgE</t>
  </si>
  <si>
    <t>obgE</t>
  </si>
  <si>
    <t>SDR family oxidoreductase</t>
  </si>
  <si>
    <t>50S ribosomal protein L32</t>
  </si>
  <si>
    <t>rpmF</t>
  </si>
  <si>
    <t>DNA polymerase III subunit alpha</t>
  </si>
  <si>
    <t>WP_003547070.1</t>
  </si>
  <si>
    <t>LBA_RS04840</t>
  </si>
  <si>
    <t>pyruvate kinase</t>
  </si>
  <si>
    <t>pyk</t>
  </si>
  <si>
    <t>WP_003547072.1</t>
  </si>
  <si>
    <t>LBA_RS04845</t>
  </si>
  <si>
    <t>site-specific tyrosine recombinase XerD</t>
  </si>
  <si>
    <t>xerD</t>
  </si>
  <si>
    <t>SMC-Scp complex subunit ScpB</t>
  </si>
  <si>
    <t>scpB</t>
  </si>
  <si>
    <t>WP_011254302.1</t>
  </si>
  <si>
    <t>LBA_RS04890</t>
  </si>
  <si>
    <t>30S ribosomal protein S1</t>
  </si>
  <si>
    <t>rpsA</t>
  </si>
  <si>
    <t>der</t>
  </si>
  <si>
    <t>HU family DNA-binding protein</t>
  </si>
  <si>
    <t>CCA tRNA nucleotidyltransferase</t>
  </si>
  <si>
    <t>WP_003547116.1</t>
  </si>
  <si>
    <t>LBA_RS04920</t>
  </si>
  <si>
    <t>hemolysin III family protein</t>
  </si>
  <si>
    <t>sodium:proton antiporter</t>
  </si>
  <si>
    <t>ribonuclease HII</t>
  </si>
  <si>
    <t>DNA-processing protein DprA</t>
  </si>
  <si>
    <t>type I DNA topoisomerase</t>
  </si>
  <si>
    <t>topA</t>
  </si>
  <si>
    <t>site-specific tyrosine recombinase/integron integrase</t>
  </si>
  <si>
    <t>xerA</t>
  </si>
  <si>
    <t>aldose 1-epimerase family protein</t>
  </si>
  <si>
    <t>CrcB family protein</t>
  </si>
  <si>
    <t>DNA helicase RecQ</t>
  </si>
  <si>
    <t>recQ</t>
  </si>
  <si>
    <t>WP_003547183.1</t>
  </si>
  <si>
    <t>LBA_RS05065</t>
  </si>
  <si>
    <t>serine hydrolase</t>
  </si>
  <si>
    <t>MerR family DNA-binding transcriptional regulator</t>
  </si>
  <si>
    <t>Rrf2 family transcriptional regulator</t>
  </si>
  <si>
    <t>branched-chain amino acid transport system II carrier protein</t>
  </si>
  <si>
    <t>brnQ</t>
  </si>
  <si>
    <t>amidohydrolase family protein</t>
  </si>
  <si>
    <t>type 1 glutamine amidotransferase</t>
  </si>
  <si>
    <t>alpha/beta fold hydrolase</t>
  </si>
  <si>
    <t>WP_003547389.1</t>
  </si>
  <si>
    <t>LBA_RS05415</t>
  </si>
  <si>
    <t>5-methyltetrahydropteroyltriglutamate--homocysteine S-methyltransferase</t>
  </si>
  <si>
    <t>WP_003547400.1</t>
  </si>
  <si>
    <t>LBA_RS05440</t>
  </si>
  <si>
    <t>S-ribosylhomocysteine lyase</t>
  </si>
  <si>
    <t>WP_003547404.1</t>
  </si>
  <si>
    <t>LBA_RS05445</t>
  </si>
  <si>
    <t>phosphoenolpyruvate carboxylase</t>
  </si>
  <si>
    <t>WP_011254335.1</t>
  </si>
  <si>
    <t>LBA_RS05490</t>
  </si>
  <si>
    <t>helicase</t>
  </si>
  <si>
    <t>WP_003547474.1</t>
  </si>
  <si>
    <t>LBA_RS05635</t>
  </si>
  <si>
    <t>WP_003547481.1</t>
  </si>
  <si>
    <t>LBA_RS05655</t>
  </si>
  <si>
    <t>peptidylprolyl isomerase</t>
  </si>
  <si>
    <t>Fic family protein</t>
  </si>
  <si>
    <t>MarR family winged helix-turn-helix transcriptional regulator</t>
  </si>
  <si>
    <t>signal peptidase II</t>
  </si>
  <si>
    <t>lspA</t>
  </si>
  <si>
    <t>formate--tetrahydrofolate ligase</t>
  </si>
  <si>
    <t>WP_011254358.1</t>
  </si>
  <si>
    <t>LBA_RS05775</t>
  </si>
  <si>
    <t>class I SAM-dependent RNA methyltransferase</t>
  </si>
  <si>
    <t>rnpB</t>
  </si>
  <si>
    <t>RNase_P_RNA</t>
  </si>
  <si>
    <t>endonuclease III</t>
  </si>
  <si>
    <t>nth</t>
  </si>
  <si>
    <t>PD-(D/E)XK nuclease family protein</t>
  </si>
  <si>
    <t>WP_003547572.1</t>
  </si>
  <si>
    <t>LBA_RS05850</t>
  </si>
  <si>
    <t>WP_003547574.1</t>
  </si>
  <si>
    <t>LBA_RS05855</t>
  </si>
  <si>
    <t>WP_011254368.1</t>
  </si>
  <si>
    <t>LBA_RS05860</t>
  </si>
  <si>
    <t>WP_011254369.1</t>
  </si>
  <si>
    <t>LBA_RS05865</t>
  </si>
  <si>
    <t>lepB</t>
  </si>
  <si>
    <t>Nif3-like dinuclear metal center hexameric protein</t>
  </si>
  <si>
    <t>M23 family metallopeptidase</t>
  </si>
  <si>
    <t>DNA primase</t>
  </si>
  <si>
    <t>dnaG</t>
  </si>
  <si>
    <t>WP_003547620.1</t>
  </si>
  <si>
    <t>LBA_RS05975</t>
  </si>
  <si>
    <t>DNA repair protein RecO</t>
  </si>
  <si>
    <t>recO</t>
  </si>
  <si>
    <t>GTPase Era</t>
  </si>
  <si>
    <t>era</t>
  </si>
  <si>
    <t>rRNA maturation RNase YbeY</t>
  </si>
  <si>
    <t>ybeY</t>
  </si>
  <si>
    <t>PhoH family protein</t>
  </si>
  <si>
    <t>WP_003547717.1</t>
  </si>
  <si>
    <t>LBA_RS06025</t>
  </si>
  <si>
    <t>homoserine kinase</t>
  </si>
  <si>
    <t>WP_003547723.1</t>
  </si>
  <si>
    <t>LBA_RS06040</t>
  </si>
  <si>
    <t>homoserine dehydrogenase</t>
  </si>
  <si>
    <t>WP_003547725.1</t>
  </si>
  <si>
    <t>LBA_RS06045</t>
  </si>
  <si>
    <t>threonine synthase</t>
  </si>
  <si>
    <t>thrC</t>
  </si>
  <si>
    <t>WP_003547727.1</t>
  </si>
  <si>
    <t>LBA_RS06050</t>
  </si>
  <si>
    <t>sugar O-acetyltransferase</t>
  </si>
  <si>
    <t>FAD-dependent oxidoreductase</t>
  </si>
  <si>
    <t>WP_011254390.1</t>
  </si>
  <si>
    <t>LBA_RS06125</t>
  </si>
  <si>
    <t>homoserine O-succinyltransferase</t>
  </si>
  <si>
    <t>WP_003547772.1</t>
  </si>
  <si>
    <t>LBA_RS06155</t>
  </si>
  <si>
    <t>WP_003547775.1</t>
  </si>
  <si>
    <t>LBA_RS06165</t>
  </si>
  <si>
    <t>adenine phosphoribosyltransferase</t>
  </si>
  <si>
    <t>WP_003547784.1</t>
  </si>
  <si>
    <t>LBA_RS06175</t>
  </si>
  <si>
    <t>translation elongation factor 4</t>
  </si>
  <si>
    <t>lepA</t>
  </si>
  <si>
    <t>molecular chaperone DnaJ</t>
  </si>
  <si>
    <t>dnaJ</t>
  </si>
  <si>
    <t>molecular chaperone DnaK</t>
  </si>
  <si>
    <t>dnaK</t>
  </si>
  <si>
    <t>nucleotide exchange factor GrpE</t>
  </si>
  <si>
    <t>grpE</t>
  </si>
  <si>
    <t>heat-inducible transcriptional repressor HrcA</t>
  </si>
  <si>
    <t>hrcA</t>
  </si>
  <si>
    <t>WP_003547803.1</t>
  </si>
  <si>
    <t>LBA_RS06220</t>
  </si>
  <si>
    <t>translation initiation factor IF-2</t>
  </si>
  <si>
    <t>infB</t>
  </si>
  <si>
    <t>transcription termination factor NusA</t>
  </si>
  <si>
    <t>nusA</t>
  </si>
  <si>
    <t>PolC-type DNA polymerase III</t>
  </si>
  <si>
    <t>proline--tRNA ligase</t>
  </si>
  <si>
    <t>WP_003547819.1</t>
  </si>
  <si>
    <t>LBA_RS06265</t>
  </si>
  <si>
    <t>phosphatidate cytidylyltransferase</t>
  </si>
  <si>
    <t>WP_003547823.1</t>
  </si>
  <si>
    <t>LBA_RS06275</t>
  </si>
  <si>
    <t>isoprenyl transferase</t>
  </si>
  <si>
    <t>frr</t>
  </si>
  <si>
    <t>UMP kinase</t>
  </si>
  <si>
    <t>pyrH</t>
  </si>
  <si>
    <t>WP_011254400.1</t>
  </si>
  <si>
    <t>LBA_RS06290</t>
  </si>
  <si>
    <t>translation elongation factor Ts</t>
  </si>
  <si>
    <t>tsf</t>
  </si>
  <si>
    <t>30S ribosomal protein S2</t>
  </si>
  <si>
    <t>rpsB</t>
  </si>
  <si>
    <t>GIY-YIG nuclease family protein</t>
  </si>
  <si>
    <t>M13 family metallopeptidase</t>
  </si>
  <si>
    <t>transcriptional repressor LexA</t>
  </si>
  <si>
    <t>lexA</t>
  </si>
  <si>
    <t>glycosyltransferase family 2 protein</t>
  </si>
  <si>
    <t>50S ribosomal protein L19</t>
  </si>
  <si>
    <t>rplS</t>
  </si>
  <si>
    <t>tRNA (guanosine(37)-N1)-methyltransferase TrmD</t>
  </si>
  <si>
    <t>trmD</t>
  </si>
  <si>
    <t>WP_011254407.1</t>
  </si>
  <si>
    <t>LBA_RS06380</t>
  </si>
  <si>
    <t>ribosome maturation factor RimM</t>
  </si>
  <si>
    <t>rimM</t>
  </si>
  <si>
    <t>30S ribosomal protein S16</t>
  </si>
  <si>
    <t>rpsP</t>
  </si>
  <si>
    <t>signal recognition particle protein</t>
  </si>
  <si>
    <t>ffh</t>
  </si>
  <si>
    <t>signal recognition particle-docking protein FtsY</t>
  </si>
  <si>
    <t>ftsY</t>
  </si>
  <si>
    <t>chromosome segregation protein SMC</t>
  </si>
  <si>
    <t>smc</t>
  </si>
  <si>
    <t>ribonuclease III</t>
  </si>
  <si>
    <t>rnc</t>
  </si>
  <si>
    <t>WP_003547901.1</t>
  </si>
  <si>
    <t>LBA_RS06475</t>
  </si>
  <si>
    <t>ATP-dependent DNA helicase RecG</t>
  </si>
  <si>
    <t>50S ribosomal protein L28</t>
  </si>
  <si>
    <t>rpmB</t>
  </si>
  <si>
    <t>thiamine diphosphokinase</t>
  </si>
  <si>
    <t>WP_011254415.1</t>
  </si>
  <si>
    <t>LBA_RS06505</t>
  </si>
  <si>
    <t>ribulose-phosphate 3-epimerase</t>
  </si>
  <si>
    <t>rpe</t>
  </si>
  <si>
    <t>WP_003547914.1</t>
  </si>
  <si>
    <t>LBA_RS06510</t>
  </si>
  <si>
    <t>Stk1 family PASTA domain-containing Ser/Thr kinase</t>
  </si>
  <si>
    <t>pknB</t>
  </si>
  <si>
    <t>WP_011254418.1</t>
  </si>
  <si>
    <t>LBA_RS06530</t>
  </si>
  <si>
    <t>methionyl-tRNA formyltransferase</t>
  </si>
  <si>
    <t>fmt</t>
  </si>
  <si>
    <t>WP_003547919.1</t>
  </si>
  <si>
    <t>LBA_RS06535</t>
  </si>
  <si>
    <t>primosomal protein N'</t>
  </si>
  <si>
    <t>priA</t>
  </si>
  <si>
    <t>DNA-directed RNA polymerase subunit omega</t>
  </si>
  <si>
    <t>rpoZ</t>
  </si>
  <si>
    <t>guanylate kinase</t>
  </si>
  <si>
    <t>gmk</t>
  </si>
  <si>
    <t>WP_003547929.1</t>
  </si>
  <si>
    <t>LBA_RS06550</t>
  </si>
  <si>
    <t>DNA repair protein RecN</t>
  </si>
  <si>
    <t>recN</t>
  </si>
  <si>
    <t>polyprenyl synthetase family protein</t>
  </si>
  <si>
    <t>exodeoxyribonuclease VII small subunit</t>
  </si>
  <si>
    <t>exodeoxyribonuclease VII large subunit</t>
  </si>
  <si>
    <t>xseA</t>
  </si>
  <si>
    <t>bifunctional methylenetetrahydrofolate dehydrogenase/methenyltetrahydrofolate cyclohydrolase</t>
  </si>
  <si>
    <t>transcription antitermination factor NusB</t>
  </si>
  <si>
    <t>nusB</t>
  </si>
  <si>
    <t>elongation factor P</t>
  </si>
  <si>
    <t>efp</t>
  </si>
  <si>
    <t>aminopeptidase P family protein</t>
  </si>
  <si>
    <t>50S ribosomal protein L27</t>
  </si>
  <si>
    <t>rpmA</t>
  </si>
  <si>
    <t>50S ribosomal protein L21</t>
  </si>
  <si>
    <t>rplU</t>
  </si>
  <si>
    <t>branched-chain amino acid aminotransferase</t>
  </si>
  <si>
    <t>WP_003547958.1</t>
  </si>
  <si>
    <t>LBA_RS06630</t>
  </si>
  <si>
    <t>WP_003547962.1</t>
  </si>
  <si>
    <t>LBA_RS06635</t>
  </si>
  <si>
    <t>DUF2207 domain-containing protein</t>
  </si>
  <si>
    <t>membrane protein</t>
  </si>
  <si>
    <t>beta-galactosidase</t>
  </si>
  <si>
    <t>peptide-methionine (R)-S-oxide reductase MsrB</t>
  </si>
  <si>
    <t>msrB</t>
  </si>
  <si>
    <t>WP_003548013.1</t>
  </si>
  <si>
    <t>LBA_RS06770</t>
  </si>
  <si>
    <t>carbamoyl-phosphate synthase large subunit</t>
  </si>
  <si>
    <t>carB</t>
  </si>
  <si>
    <t>WP_011254441.1</t>
  </si>
  <si>
    <t>LBA_RS06795</t>
  </si>
  <si>
    <t>glutamine-hydrolyzing carbamoyl-phosphate synthase small subunit</t>
  </si>
  <si>
    <t>carA</t>
  </si>
  <si>
    <t>dihydroorotase</t>
  </si>
  <si>
    <t>WP_011254442.1</t>
  </si>
  <si>
    <t>LBA_RS06805</t>
  </si>
  <si>
    <t>WP_003548032.1</t>
  </si>
  <si>
    <t>LBA_RS06810</t>
  </si>
  <si>
    <t>dihydroorotate dehydrogenase</t>
  </si>
  <si>
    <t>WP_011254443.1</t>
  </si>
  <si>
    <t>LBA_RS06820</t>
  </si>
  <si>
    <t>orotidine-5'-phosphate decarboxylase</t>
  </si>
  <si>
    <t>pyrF</t>
  </si>
  <si>
    <t>WP_003548039.1</t>
  </si>
  <si>
    <t>LBA_RS06825</t>
  </si>
  <si>
    <t>orotate phosphoribosyltransferase</t>
  </si>
  <si>
    <t>pyrE</t>
  </si>
  <si>
    <t>WP_003548040.1</t>
  </si>
  <si>
    <t>LBA_RS06830</t>
  </si>
  <si>
    <t>cation-translocating P-type ATPase</t>
  </si>
  <si>
    <t>ClC family H(+)/Cl(-) exchange transporter</t>
  </si>
  <si>
    <t>L-serine ammonia-lyase</t>
  </si>
  <si>
    <t>metal-sulfur cluster assembly factor</t>
  </si>
  <si>
    <t>type II toxin-antitoxin system YafQ family toxin</t>
  </si>
  <si>
    <t>type II toxin-antitoxin system PemK/MazF family toxin</t>
  </si>
  <si>
    <t>GyrI-like domain-containing protein</t>
  </si>
  <si>
    <t>WP_011254455.1</t>
  </si>
  <si>
    <t>LBA_RS06955</t>
  </si>
  <si>
    <t>OsmC family protein</t>
  </si>
  <si>
    <t>WP_003548125.1</t>
  </si>
  <si>
    <t>LBA_RS07050</t>
  </si>
  <si>
    <t>MIP/aquaporin family protein</t>
  </si>
  <si>
    <t>alpha-galactosidase</t>
  </si>
  <si>
    <t>MDR family MFS transporter</t>
  </si>
  <si>
    <t>DUF4160 domain-containing protein</t>
  </si>
  <si>
    <t>UDP-glucose--hexose-1-phosphate uridylyltransferase</t>
  </si>
  <si>
    <t>WP_003548166.1</t>
  </si>
  <si>
    <t>LBA_RS07155</t>
  </si>
  <si>
    <t>galactokinase</t>
  </si>
  <si>
    <t>WP_003548167.1</t>
  </si>
  <si>
    <t>LBA_RS07160</t>
  </si>
  <si>
    <t>glycoside hydrolase family 2 TIM barrel-domain containing protein</t>
  </si>
  <si>
    <t>UDP-glucose 4-epimerase GalE</t>
  </si>
  <si>
    <t>galE</t>
  </si>
  <si>
    <t>WP_003548187.1</t>
  </si>
  <si>
    <t>LBA_RS07205</t>
  </si>
  <si>
    <t>sugar ABC transporter ATP-binding protein</t>
  </si>
  <si>
    <t>WP_011254480.1</t>
  </si>
  <si>
    <t>LBA_RS07280</t>
  </si>
  <si>
    <t>transketolase</t>
  </si>
  <si>
    <t>type I glutamate--ammonia ligase</t>
  </si>
  <si>
    <t>glnA</t>
  </si>
  <si>
    <t>WP_003548245.1</t>
  </si>
  <si>
    <t>LBA_RS07360</t>
  </si>
  <si>
    <t>tRNA (adenosine(37)-N6)-dimethylallyltransferase MiaA</t>
  </si>
  <si>
    <t>miaA</t>
  </si>
  <si>
    <t>WP_003548247.1</t>
  </si>
  <si>
    <t>LBA_RS07370</t>
  </si>
  <si>
    <t>rhodanese-like domain-containing protein</t>
  </si>
  <si>
    <t>rhomboid family intramembrane serine protease</t>
  </si>
  <si>
    <t>5-formyltetrahydrofolate cyclo-ligase</t>
  </si>
  <si>
    <t>WP_003548253.1</t>
  </si>
  <si>
    <t>LBA_RS07390</t>
  </si>
  <si>
    <t>penicillin-binding protein 2</t>
  </si>
  <si>
    <t>phenylalanine--tRNA ligase subunit beta</t>
  </si>
  <si>
    <t>pheT</t>
  </si>
  <si>
    <t>WP_003548294.1</t>
  </si>
  <si>
    <t>LBA_RS07445</t>
  </si>
  <si>
    <t>phenylalanine--tRNA ligase subunit alpha</t>
  </si>
  <si>
    <t>pheS</t>
  </si>
  <si>
    <t>RNA methyltransferase</t>
  </si>
  <si>
    <t>acylphosphatase</t>
  </si>
  <si>
    <t>membrane protein insertase YidC</t>
  </si>
  <si>
    <t>yidC</t>
  </si>
  <si>
    <t>ribosome silencing factor</t>
  </si>
  <si>
    <t>rsfS</t>
  </si>
  <si>
    <t>WP_003548313.1</t>
  </si>
  <si>
    <t>LBA_RS07500</t>
  </si>
  <si>
    <t>nicotinate-nucleotide adenylyltransferase</t>
  </si>
  <si>
    <t>WP_003548315.1</t>
  </si>
  <si>
    <t>LBA_RS07505</t>
  </si>
  <si>
    <t>WP_003548323.1</t>
  </si>
  <si>
    <t>LBA_RS07525</t>
  </si>
  <si>
    <t>50S ribosomal protein L20</t>
  </si>
  <si>
    <t>rplT</t>
  </si>
  <si>
    <t>50S ribosomal protein L35</t>
  </si>
  <si>
    <t>rpmI</t>
  </si>
  <si>
    <t>translation initiation factor IF-3</t>
  </si>
  <si>
    <t>infC</t>
  </si>
  <si>
    <t>threonine--tRNA ligase</t>
  </si>
  <si>
    <t>thrS</t>
  </si>
  <si>
    <t>WP_003548338.1</t>
  </si>
  <si>
    <t>LBA_RS07560</t>
  </si>
  <si>
    <t>transcriptional regulator NrdR</t>
  </si>
  <si>
    <t>nrdR</t>
  </si>
  <si>
    <t>dephospho-CoA kinase</t>
  </si>
  <si>
    <t>coaE</t>
  </si>
  <si>
    <t>WP_003548347.1</t>
  </si>
  <si>
    <t>LBA_RS07580</t>
  </si>
  <si>
    <t>DNA polymerase I</t>
  </si>
  <si>
    <t>polA</t>
  </si>
  <si>
    <t>phosphoribosylamine--glycine ligase</t>
  </si>
  <si>
    <t>purD</t>
  </si>
  <si>
    <t>WP_003548355.1</t>
  </si>
  <si>
    <t>LBA_RS07595</t>
  </si>
  <si>
    <t>bifunctional phosphoribosylaminoimidazolecarboxamide formyltransferase/IMP cyclohydrolase</t>
  </si>
  <si>
    <t>purH</t>
  </si>
  <si>
    <t>WP_003548356.1</t>
  </si>
  <si>
    <t>LBA_RS07600</t>
  </si>
  <si>
    <t>WP_003548358.1</t>
  </si>
  <si>
    <t>LBA_RS07605</t>
  </si>
  <si>
    <t>phosphoribosylformylglycinamidine cyclo-ligase</t>
  </si>
  <si>
    <t>purM</t>
  </si>
  <si>
    <t>WP_011254495.1</t>
  </si>
  <si>
    <t>LBA_RS07610</t>
  </si>
  <si>
    <t>amidophosphoribosyltransferase</t>
  </si>
  <si>
    <t>purF</t>
  </si>
  <si>
    <t>WP_003548364.1</t>
  </si>
  <si>
    <t>LBA_RS07615</t>
  </si>
  <si>
    <t>WP_003548368.1</t>
  </si>
  <si>
    <t>LBA_RS07625</t>
  </si>
  <si>
    <t>phosphoribosylaminoimidazolesuccinocarboxamide synthase</t>
  </si>
  <si>
    <t>purC</t>
  </si>
  <si>
    <t>WP_003548371.1</t>
  </si>
  <si>
    <t>LBA_RS07635</t>
  </si>
  <si>
    <t>5-(carboxyamino)imidazole ribonucleotide synthase</t>
  </si>
  <si>
    <t>purK</t>
  </si>
  <si>
    <t>WP_011254497.1</t>
  </si>
  <si>
    <t>LBA_RS07640</t>
  </si>
  <si>
    <t>5-(carboxyamino)imidazole ribonucleotide mutase</t>
  </si>
  <si>
    <t>purE</t>
  </si>
  <si>
    <t>WP_003548377.1</t>
  </si>
  <si>
    <t>LBA_RS07645</t>
  </si>
  <si>
    <t>SPFH domain-containing protein</t>
  </si>
  <si>
    <t>type II toxin-antitoxin system RelB/DinJ family antitoxin</t>
  </si>
  <si>
    <t>MATE family efflux transporter</t>
  </si>
  <si>
    <t>glucose PTS transporter subunit IIA</t>
  </si>
  <si>
    <t>UDP-N-acetylmuramate--L-alanine ligase</t>
  </si>
  <si>
    <t>murC</t>
  </si>
  <si>
    <t>WP_003548413.1</t>
  </si>
  <si>
    <t>LBA_RS07730</t>
  </si>
  <si>
    <t>tRNA (guanosine(46)-N7)-methyltransferase TrmB</t>
  </si>
  <si>
    <t>trmB</t>
  </si>
  <si>
    <t>WP_003548419.1</t>
  </si>
  <si>
    <t>LBA_RS07745</t>
  </si>
  <si>
    <t>WP_011254509.1</t>
  </si>
  <si>
    <t>LBA_RS07815</t>
  </si>
  <si>
    <t>arginine--tRNA ligase</t>
  </si>
  <si>
    <t>argS</t>
  </si>
  <si>
    <t>WP_003548463.1</t>
  </si>
  <si>
    <t>LBA_RS07825</t>
  </si>
  <si>
    <t>PspC domain-containing protein</t>
  </si>
  <si>
    <t>cupin domain-containing protein</t>
  </si>
  <si>
    <t>leucine--tRNA ligase</t>
  </si>
  <si>
    <t>leuS</t>
  </si>
  <si>
    <t>WP_003548508.1</t>
  </si>
  <si>
    <t>LBA_RS07910</t>
  </si>
  <si>
    <t>methionine adenosyltransferase</t>
  </si>
  <si>
    <t>metK</t>
  </si>
  <si>
    <t>WP_003548514.1</t>
  </si>
  <si>
    <t>LBA_RS07935</t>
  </si>
  <si>
    <t>serine--tRNA ligase</t>
  </si>
  <si>
    <t>serS</t>
  </si>
  <si>
    <t>WP_011254519.1</t>
  </si>
  <si>
    <t>LBA_RS07985</t>
  </si>
  <si>
    <t>zinc ribbon domain-containing protein</t>
  </si>
  <si>
    <t>magnesium transporter CorA family protein</t>
  </si>
  <si>
    <t>WP_003550009.1</t>
  </si>
  <si>
    <t>LBA_RS08195</t>
  </si>
  <si>
    <t>FtsX-like permease family protein</t>
  </si>
  <si>
    <t>WP_003549954.1</t>
  </si>
  <si>
    <t>LBA_RS08305</t>
  </si>
  <si>
    <t>WP_011254545.1</t>
  </si>
  <si>
    <t>LBA_RS08350</t>
  </si>
  <si>
    <t>type I pullulanase</t>
  </si>
  <si>
    <t>pulA</t>
  </si>
  <si>
    <t>IS110 family transposase</t>
  </si>
  <si>
    <t>flippase</t>
  </si>
  <si>
    <t>glf</t>
  </si>
  <si>
    <t>sugar transferase</t>
  </si>
  <si>
    <t>WP_003549866.1</t>
  </si>
  <si>
    <t>LBA_RS08510</t>
  </si>
  <si>
    <t>GTPase HflX</t>
  </si>
  <si>
    <t>hflX</t>
  </si>
  <si>
    <t>C40 family peptidase</t>
  </si>
  <si>
    <t>class Ib ribonucleoside-diphosphate reductase assembly flavoprotein NrdI</t>
  </si>
  <si>
    <t>nrdI</t>
  </si>
  <si>
    <t>WP_011254563.1</t>
  </si>
  <si>
    <t>LBA_RS08580</t>
  </si>
  <si>
    <t>pyridoxamine 5'-phosphate oxidase family protein</t>
  </si>
  <si>
    <t>WP_011254569.1</t>
  </si>
  <si>
    <t>LBA_RS08660</t>
  </si>
  <si>
    <t>metal ABC transporter permease</t>
  </si>
  <si>
    <t>WP_003549796.1</t>
  </si>
  <si>
    <t>LBA_RS08700</t>
  </si>
  <si>
    <t>redox-regulated ATPase YchF</t>
  </si>
  <si>
    <t>ychF</t>
  </si>
  <si>
    <t>ParB/RepB/Spo0J family partition protein</t>
  </si>
  <si>
    <t>16S rRNA (guanine(527)-N(7))-methyltransferase RsmG</t>
  </si>
  <si>
    <t>rsmG</t>
  </si>
  <si>
    <t>WP_003549696.1</t>
  </si>
  <si>
    <t>LBA_RS08920</t>
  </si>
  <si>
    <t>FAD:protein FMN transferase</t>
  </si>
  <si>
    <t>NAD(P)H-dependent oxidoreductase</t>
  </si>
  <si>
    <t>acyltransferase family protein</t>
  </si>
  <si>
    <t>WP_003549649.1</t>
  </si>
  <si>
    <t>LBA_RS09045</t>
  </si>
  <si>
    <t>WP_003549628.1</t>
  </si>
  <si>
    <t>LBA_RS09095</t>
  </si>
  <si>
    <t>WP_003549614.1</t>
  </si>
  <si>
    <t>LBA_RS09145</t>
  </si>
  <si>
    <t>bifunctional hydroxymethylpyrimidine kinase/phosphomethylpyrimidine kinase</t>
  </si>
  <si>
    <t>thiD</t>
  </si>
  <si>
    <t>WP_003549612.1</t>
  </si>
  <si>
    <t>LBA_RS09150</t>
  </si>
  <si>
    <t>DMT family transporter</t>
  </si>
  <si>
    <t>EamA family transporter</t>
  </si>
  <si>
    <t>adenylosuccinate lyase</t>
  </si>
  <si>
    <t>purB</t>
  </si>
  <si>
    <t>WP_011254607.1</t>
  </si>
  <si>
    <t>LBA_RS09200</t>
  </si>
  <si>
    <t>adenylosuccinate synthase</t>
  </si>
  <si>
    <t>WP_003549585.1</t>
  </si>
  <si>
    <t>LBA_RS09205</t>
  </si>
  <si>
    <t>WP_011254608.1</t>
  </si>
  <si>
    <t>LBA_RS09210</t>
  </si>
  <si>
    <t>WP_003549578.1</t>
  </si>
  <si>
    <t>LBA_RS09230</t>
  </si>
  <si>
    <t>gamma-glutamyl-gamma-aminobutyrate hydrolase family protein</t>
  </si>
  <si>
    <t>signal peptidase I</t>
  </si>
  <si>
    <t>DUF975 family protein</t>
  </si>
  <si>
    <t>WP_003549523.1</t>
  </si>
  <si>
    <t>LBA_RS09355</t>
  </si>
  <si>
    <t>cation:proton antiporter</t>
  </si>
  <si>
    <t>CHAP domain-containing protein</t>
  </si>
  <si>
    <t>glucosamine-6-phosphate deaminase</t>
  </si>
  <si>
    <t>nagB</t>
  </si>
  <si>
    <t>WP_003549469.1</t>
  </si>
  <si>
    <t>LBA_RS09475</t>
  </si>
  <si>
    <t>NCS2 family permease</t>
  </si>
  <si>
    <t>NADP-dependent phosphogluconate dehydrogenase</t>
  </si>
  <si>
    <t>gndA</t>
  </si>
  <si>
    <t>WP_011254636.1</t>
  </si>
  <si>
    <t>LBA_RS09585</t>
  </si>
  <si>
    <t>WP_011254637.1</t>
  </si>
  <si>
    <t>LBA_RS09590</t>
  </si>
  <si>
    <t>ribonuclease P protein component</t>
  </si>
  <si>
    <t>rnpA</t>
  </si>
  <si>
    <t>50S ribosomal protein L34</t>
  </si>
  <si>
    <t>rpmH</t>
  </si>
  <si>
    <t>NCBI RefSeq assembly</t>
  </si>
  <si>
    <t>BioSample ID</t>
  </si>
  <si>
    <t xml:space="preserve">Sample name </t>
  </si>
  <si>
    <t xml:space="preserve">Assembly number </t>
  </si>
  <si>
    <t>Chromosome ref seq</t>
  </si>
  <si>
    <t>URL</t>
  </si>
  <si>
    <t>EC Number</t>
  </si>
  <si>
    <t>5.6.2.2</t>
  </si>
  <si>
    <t>3.4.-.-</t>
  </si>
  <si>
    <t>6.1.1.2</t>
  </si>
  <si>
    <t>2.4.1.1</t>
  </si>
  <si>
    <t>4.1.1.31</t>
  </si>
  <si>
    <t>2.7.7.65</t>
  </si>
  <si>
    <t>KEGG Enzyme URL</t>
  </si>
  <si>
    <t>KEGG Reaction URL</t>
  </si>
  <si>
    <t>Reactants</t>
  </si>
  <si>
    <t>Products</t>
  </si>
  <si>
    <t>C00021</t>
  </si>
  <si>
    <t>C00019</t>
  </si>
  <si>
    <t>C04734</t>
  </si>
  <si>
    <t>C00606</t>
  </si>
  <si>
    <t>C00008</t>
  </si>
  <si>
    <t>C00013</t>
  </si>
  <si>
    <t>C00044</t>
  </si>
  <si>
    <t>C11039</t>
  </si>
  <si>
    <t>C21031</t>
  </si>
  <si>
    <t>C00002</t>
  </si>
  <si>
    <t>C00158</t>
  </si>
  <si>
    <t>C00001</t>
  </si>
  <si>
    <t>C00438</t>
  </si>
  <si>
    <t>C00009</t>
  </si>
  <si>
    <t>C00149</t>
  </si>
  <si>
    <t>C00680</t>
  </si>
  <si>
    <t>C04751</t>
  </si>
  <si>
    <t>C15667</t>
  </si>
  <si>
    <t>C01103</t>
  </si>
  <si>
    <t>C04352</t>
  </si>
  <si>
    <t>C00313</t>
  </si>
  <si>
    <t>C00673</t>
  </si>
  <si>
    <t>C00566</t>
  </si>
  <si>
    <t>C00631</t>
  </si>
  <si>
    <t>C03356</t>
  </si>
  <si>
    <t>C03195</t>
  </si>
  <si>
    <t>C03794</t>
  </si>
  <si>
    <t>C04823</t>
  </si>
  <si>
    <t>C22395</t>
  </si>
  <si>
    <t>C03539</t>
  </si>
  <si>
    <t>C00041</t>
  </si>
  <si>
    <t>C00133</t>
  </si>
  <si>
    <t>C00025</t>
  </si>
  <si>
    <t>C00217</t>
  </si>
  <si>
    <t>C00666</t>
  </si>
  <si>
    <t>C00199</t>
  </si>
  <si>
    <t>C00231</t>
  </si>
  <si>
    <t>C00043</t>
  </si>
  <si>
    <t>C01170</t>
  </si>
  <si>
    <t>C00029</t>
  </si>
  <si>
    <t>C00052</t>
  </si>
  <si>
    <t>C00203</t>
  </si>
  <si>
    <t>C00842</t>
  </si>
  <si>
    <t>C02097</t>
  </si>
  <si>
    <t>C03798</t>
  </si>
  <si>
    <t>C03633</t>
  </si>
  <si>
    <t>C00118</t>
  </si>
  <si>
    <t>C00111</t>
  </si>
  <si>
    <t>C00117</t>
  </si>
  <si>
    <t>C02962</t>
  </si>
  <si>
    <t>C18096</t>
  </si>
  <si>
    <t>C00668</t>
  </si>
  <si>
    <t>C05345</t>
  </si>
  <si>
    <t>C00092</t>
  </si>
  <si>
    <t>C00085</t>
  </si>
  <si>
    <t>C01172</t>
  </si>
  <si>
    <t>C02501</t>
  </si>
  <si>
    <t>C03453</t>
  </si>
  <si>
    <t>C07478</t>
  </si>
  <si>
    <t>C07479</t>
  </si>
  <si>
    <t>C00129</t>
  </si>
  <si>
    <t>C00235</t>
  </si>
  <si>
    <t>C06156</t>
  </si>
  <si>
    <t>C00352</t>
  </si>
  <si>
    <t>C00663</t>
  </si>
  <si>
    <t>C00868</t>
  </si>
  <si>
    <t>C02764</t>
  </si>
  <si>
    <t>C08353</t>
  </si>
  <si>
    <t>C16639</t>
  </si>
  <si>
    <t xml:space="preserve">New EC number </t>
  </si>
  <si>
    <t>C00405 * C00066 * C00037 * C01635</t>
  </si>
  <si>
    <t>C00013 * C20565</t>
  </si>
  <si>
    <t>C00002 * C00001</t>
  </si>
  <si>
    <t>C00008 * C00009</t>
  </si>
  <si>
    <t>C00002 * C00003</t>
  </si>
  <si>
    <t>C00008 * C00006</t>
  </si>
  <si>
    <t>C00002 * C00020</t>
  </si>
  <si>
    <t>C00008 * C00206</t>
  </si>
  <si>
    <t>C00002 * C00022</t>
  </si>
  <si>
    <t>C00008 * C00074</t>
  </si>
  <si>
    <t>C00002 * C00025 * C00014</t>
  </si>
  <si>
    <t>C00008 * C00009 * C00064</t>
  </si>
  <si>
    <t>C00002 * C00033</t>
  </si>
  <si>
    <t>C00008 * C00227</t>
  </si>
  <si>
    <t>C00002 * C00033 * C04298</t>
  </si>
  <si>
    <t>C00020 * C00013 * C04334</t>
  </si>
  <si>
    <t>C00002 * C00036</t>
  </si>
  <si>
    <t>C00008 * C00074 * C00011</t>
  </si>
  <si>
    <t>C00002 * C00037 * C01642</t>
  </si>
  <si>
    <t>C00020 * C00013 * C02412</t>
  </si>
  <si>
    <t>C00002 * C00041 * C01635</t>
  </si>
  <si>
    <t>C00020 * C00013 * C00886</t>
  </si>
  <si>
    <t>C00002 * C00046</t>
  </si>
  <si>
    <t>C00013 * C00046</t>
  </si>
  <si>
    <t>C00002 * C00047 * C01646</t>
  </si>
  <si>
    <t>C00020 * C00013 * C01931</t>
  </si>
  <si>
    <t>C00002 * C00049</t>
  </si>
  <si>
    <t>C00008 * C03082</t>
  </si>
  <si>
    <t>C00002 * C00049 * C00014</t>
  </si>
  <si>
    <t>C00020 * C00013 * C00152</t>
  </si>
  <si>
    <t>C00002 * C00049 * C00064 * C00001</t>
  </si>
  <si>
    <t>C00020 * C00013 * C00152 * C00025</t>
  </si>
  <si>
    <t>C00002 * C00055</t>
  </si>
  <si>
    <t>C00008 * C00112</t>
  </si>
  <si>
    <t>C00002 * C00061</t>
  </si>
  <si>
    <t>C00013 * C00016</t>
  </si>
  <si>
    <t>C00002 * C00062 * C01636</t>
  </si>
  <si>
    <t>C00020 * C00013 * C02163</t>
  </si>
  <si>
    <t>C00002 * C00064 * C00288 * C00001</t>
  </si>
  <si>
    <t>C00008 * C00009 * C00025 * C00169</t>
  </si>
  <si>
    <t>C00002 * C00065 * C01650</t>
  </si>
  <si>
    <t>C00020 * C00013 * C02553</t>
  </si>
  <si>
    <t>C00002 * C00065 * C16636</t>
  </si>
  <si>
    <t>C00020 * C00013 * C06481</t>
  </si>
  <si>
    <t>C00002 * C00073 * C01647</t>
  </si>
  <si>
    <t>C00020 * C00013 * C02430</t>
  </si>
  <si>
    <t>C00002 * C00075 * C00014</t>
  </si>
  <si>
    <t>C00008 * C00009 * C00063</t>
  </si>
  <si>
    <t>C00002 * C00075 * C00064 * C00001</t>
  </si>
  <si>
    <t>C00002 * C00078 * C01652</t>
  </si>
  <si>
    <t>C00020 * C00013 * C03512</t>
  </si>
  <si>
    <t>C00002 * C00079 * C01648</t>
  </si>
  <si>
    <t>C00020 * C00013 * C03511</t>
  </si>
  <si>
    <t>C00002 * C00082 * C00787</t>
  </si>
  <si>
    <t>C00020 * C00013 * C02839</t>
  </si>
  <si>
    <t>C00002 * C00085</t>
  </si>
  <si>
    <t>C00008 * C00354</t>
  </si>
  <si>
    <t>C00002 * C00097 * C01639</t>
  </si>
  <si>
    <t>C00020 * C00013 * C03125</t>
  </si>
  <si>
    <t>C00002 * C00103</t>
  </si>
  <si>
    <t>C00013 * C00498</t>
  </si>
  <si>
    <t>C00002 * C00105</t>
  </si>
  <si>
    <t>C00008 * C00015</t>
  </si>
  <si>
    <t>C00002 * C00116</t>
  </si>
  <si>
    <t>C00008 * C00093</t>
  </si>
  <si>
    <t>C00002 * C00117</t>
  </si>
  <si>
    <t>C00020 * C00119</t>
  </si>
  <si>
    <t>C00002 * C00121</t>
  </si>
  <si>
    <t>C00008 * C00117</t>
  </si>
  <si>
    <t>C00002 * C00123 * C01645</t>
  </si>
  <si>
    <t>C00020 * C00013 * C02047</t>
  </si>
  <si>
    <t>C00002 * C00133 * C00653</t>
  </si>
  <si>
    <t>C00020 * C00013 * C04260</t>
  </si>
  <si>
    <t>C00002 * C00133 * G13167</t>
  </si>
  <si>
    <t>C00020 * C00013 * G13180</t>
  </si>
  <si>
    <t>C00002 * C00133 * G13170</t>
  </si>
  <si>
    <t>C00020 * C00013 * G13171</t>
  </si>
  <si>
    <t>C00002 * C00133 * G13174</t>
  </si>
  <si>
    <t>C00020 * C00013 * G13175</t>
  </si>
  <si>
    <t>C00002 * C00133 * G13176</t>
  </si>
  <si>
    <t>C00020 * C00013 * G13177</t>
  </si>
  <si>
    <t>C00002 * C00133 * G13178</t>
  </si>
  <si>
    <t>C00020 * C00013 * C13179</t>
  </si>
  <si>
    <t>C00002 * C00133 * G13185</t>
  </si>
  <si>
    <t>C00020 * C00013 * G13186</t>
  </si>
  <si>
    <t>C00002 * C00133 * G13192</t>
  </si>
  <si>
    <t>C00020 * C00013 * G13193</t>
  </si>
  <si>
    <t>C00002 * C00144</t>
  </si>
  <si>
    <t>C00008 * C00035</t>
  </si>
  <si>
    <t>C00002 * C00148 * C01649</t>
  </si>
  <si>
    <t>C00020 * C00013 * C02702</t>
  </si>
  <si>
    <t>C00002 * C00163</t>
  </si>
  <si>
    <t>C00008 * C02876</t>
  </si>
  <si>
    <t>C00002 * C00183 * C01653</t>
  </si>
  <si>
    <t>C00020 * C00013 * C02554</t>
  </si>
  <si>
    <t>C00002 * C00188 * C01651</t>
  </si>
  <si>
    <t>C00020 * C00013 * C02992</t>
  </si>
  <si>
    <t>C00002 * C00197</t>
  </si>
  <si>
    <t>C00008 * C00236</t>
  </si>
  <si>
    <t>C00002 * C00214</t>
  </si>
  <si>
    <t>C00008 * C00364</t>
  </si>
  <si>
    <t>C00002 * C00239</t>
  </si>
  <si>
    <t>C00008 * C00705</t>
  </si>
  <si>
    <t>C00002 * C00255</t>
  </si>
  <si>
    <t>C00008 * C00061</t>
  </si>
  <si>
    <t>C00002 * C00257</t>
  </si>
  <si>
    <t>C00008 * C00345</t>
  </si>
  <si>
    <t>C00002 * C00258</t>
  </si>
  <si>
    <t>C00008 * C00197</t>
  </si>
  <si>
    <t>C00002 * C00263</t>
  </si>
  <si>
    <t>C00008 * C01102</t>
  </si>
  <si>
    <t>C00002 * C00288</t>
  </si>
  <si>
    <t>C00008 * C20969</t>
  </si>
  <si>
    <t>C00002 * C00288 * C00014</t>
  </si>
  <si>
    <t>C00008 * C00009 * C00169</t>
  </si>
  <si>
    <t>C00002 * C00299</t>
  </si>
  <si>
    <t>C00008 * C00105</t>
  </si>
  <si>
    <t>C00002 * C00362</t>
  </si>
  <si>
    <t>C00008 * C00361</t>
  </si>
  <si>
    <t>C00002 * C00378</t>
  </si>
  <si>
    <t>C00020 * C00068</t>
  </si>
  <si>
    <t>C00002 * C00407 * C01644</t>
  </si>
  <si>
    <t>C00020 * C00013 * C03127</t>
  </si>
  <si>
    <t>C00002 * C00418</t>
  </si>
  <si>
    <t>C00008 * C01107</t>
  </si>
  <si>
    <t>C00002 * C00455</t>
  </si>
  <si>
    <t>C00013 * C00003</t>
  </si>
  <si>
    <t>C00002 * C00475</t>
  </si>
  <si>
    <t>C00008 * C00055</t>
  </si>
  <si>
    <t>C00002 * C00526</t>
  </si>
  <si>
    <t>C00008 * C00365</t>
  </si>
  <si>
    <t>C00002 * C00585</t>
  </si>
  <si>
    <t>C00008 * C01167</t>
  </si>
  <si>
    <t>C00002 * C00615</t>
  </si>
  <si>
    <t>C00002 * C00655 * C00014</t>
  </si>
  <si>
    <t>C00020 * C00013 * C00144</t>
  </si>
  <si>
    <t>C00002 * C00655 * C00064 * C00001</t>
  </si>
  <si>
    <t>C00020 * C00013 * C00144 * C00025</t>
  </si>
  <si>
    <t>C00002 * C00831</t>
  </si>
  <si>
    <t>C00008 * C01134</t>
  </si>
  <si>
    <t>C00002 * C00857 * C00014</t>
  </si>
  <si>
    <t>C00020 * C00013 * C00003</t>
  </si>
  <si>
    <t>C00002 * C00864</t>
  </si>
  <si>
    <t>C00008 * C03492</t>
  </si>
  <si>
    <t>C00002 * C00882</t>
  </si>
  <si>
    <t>C19771 * C00147</t>
  </si>
  <si>
    <t>C00008 * C00010</t>
  </si>
  <si>
    <t>C00002 * C00984</t>
  </si>
  <si>
    <t>C00008 * C00446</t>
  </si>
  <si>
    <t>C00002 * C01050 * C00041</t>
  </si>
  <si>
    <t>C00008 * C00009 * C01212</t>
  </si>
  <si>
    <t>C00002 * C01094</t>
  </si>
  <si>
    <t>C00008 * C05378</t>
  </si>
  <si>
    <t>C00002 * C01107</t>
  </si>
  <si>
    <t>C00008 * C01143</t>
  </si>
  <si>
    <t>C00002 * C01134</t>
  </si>
  <si>
    <t>C00013 * C00882</t>
  </si>
  <si>
    <t>C00002 * C01143</t>
  </si>
  <si>
    <t>C00008 * C00009 * C00129 * C00011</t>
  </si>
  <si>
    <t>C00002 * C01185</t>
  </si>
  <si>
    <t>C00013 * C00857</t>
  </si>
  <si>
    <t>C00002 * C01212 * C00217</t>
  </si>
  <si>
    <t>C00008 * C00009 * C00692</t>
  </si>
  <si>
    <t>C00002 * C01279</t>
  </si>
  <si>
    <t>C00008 * C04556</t>
  </si>
  <si>
    <t>C00002 * C01563</t>
  </si>
  <si>
    <t>C00008 * C00169</t>
  </si>
  <si>
    <t>C00002 * C03090 * C00037</t>
  </si>
  <si>
    <t>C00008 * C00009 * C03838</t>
  </si>
  <si>
    <t>C00002 * C03373 * C00288</t>
  </si>
  <si>
    <t>C00008 * C00009 * C15667</t>
  </si>
  <si>
    <t>C00002 * C03479 * C00080</t>
  </si>
  <si>
    <t>C00008 * C00009 * C00445</t>
  </si>
  <si>
    <t>C00002 * C04079</t>
  </si>
  <si>
    <t>C00008 * C04352</t>
  </si>
  <si>
    <t>C00002 * C04376 * C00064 * C00001</t>
  </si>
  <si>
    <t>C00008 * C00009 * C04640 * C00025</t>
  </si>
  <si>
    <t>C00002 * C04556</t>
  </si>
  <si>
    <t>C00008 * C04752</t>
  </si>
  <si>
    <t>C00002 * C04640</t>
  </si>
  <si>
    <t>C00008 * C00009 * C03373</t>
  </si>
  <si>
    <t>C00002 * C04751 * C00049</t>
  </si>
  <si>
    <t>C00008 * C00009 * C04823</t>
  </si>
  <si>
    <t>C00002 * C04877 * C00993</t>
  </si>
  <si>
    <t>C00008 * C00009 * C04882</t>
  </si>
  <si>
    <t>C00002 * C05335 * C00001</t>
  </si>
  <si>
    <t>C00009 * C00013 * C05691</t>
  </si>
  <si>
    <t>C00002 * C05335 * C01647</t>
  </si>
  <si>
    <t>C00020 * C00013 * C05336</t>
  </si>
  <si>
    <t>C00002 * C05382</t>
  </si>
  <si>
    <t>C00008 * C00447</t>
  </si>
  <si>
    <t>C00002 * C05892 * C00993</t>
  </si>
  <si>
    <t>C00008 * C00009 * C04702</t>
  </si>
  <si>
    <t>C00003 * C00039 * C02128</t>
  </si>
  <si>
    <t>C00020 * C00455 * C00039</t>
  </si>
  <si>
    <t>C00003 * C01997 * C00001</t>
  </si>
  <si>
    <t>C00153 * C02415 * C20658 * C00080</t>
  </si>
  <si>
    <t>C00003 * C20743 * C00001</t>
  </si>
  <si>
    <t>C00153 * C02188 * C20658 * C00080</t>
  </si>
  <si>
    <t>C00004 * C05345</t>
  </si>
  <si>
    <t>C00009 * C00013 * C00019</t>
  </si>
  <si>
    <t>C00002 * C00073 * C00001</t>
  </si>
  <si>
    <t>C00009 * C00036</t>
  </si>
  <si>
    <t>C00001 * C00074</t>
  </si>
  <si>
    <t>C00010 * C03688</t>
  </si>
  <si>
    <t>C00054 * C00229</t>
  </si>
  <si>
    <t>C00012 * C00001</t>
  </si>
  <si>
    <t>C00148 * C00012</t>
  </si>
  <si>
    <t>C00013 * C00001</t>
  </si>
  <si>
    <t>C00014 * C20969</t>
  </si>
  <si>
    <t>C01563 * C00009</t>
  </si>
  <si>
    <t>C00019 * C00155</t>
  </si>
  <si>
    <t>C00021 * C00073</t>
  </si>
  <si>
    <t>C00019 * C00240</t>
  </si>
  <si>
    <t>C00021 * C04153</t>
  </si>
  <si>
    <t>C00019 * C01977</t>
  </si>
  <si>
    <t>C00021 * C04157</t>
  </si>
  <si>
    <t>C00021 * C04160</t>
  </si>
  <si>
    <t>C00020 * C00001</t>
  </si>
  <si>
    <t>C00212 * C00009</t>
  </si>
  <si>
    <t>C00020 * C00013</t>
  </si>
  <si>
    <t>C00147 * C00119</t>
  </si>
  <si>
    <t>C00021 * C00001</t>
  </si>
  <si>
    <t>C03539 * C00147</t>
  </si>
  <si>
    <t>C00022 * C00009 * C00007</t>
  </si>
  <si>
    <t>C00227 * C00027 * C00011</t>
  </si>
  <si>
    <t>C00022 * C00118</t>
  </si>
  <si>
    <t>C11437 * C00011</t>
  </si>
  <si>
    <t>C00024 * C00009</t>
  </si>
  <si>
    <t>C00010 * C00227</t>
  </si>
  <si>
    <t>C00024 * C00158</t>
  </si>
  <si>
    <t>C00033 * C00566</t>
  </si>
  <si>
    <t>C00024 * C03803</t>
  </si>
  <si>
    <t>C00010 * C04341</t>
  </si>
  <si>
    <t>C00024 * C06156</t>
  </si>
  <si>
    <t>C00010 * C04501</t>
  </si>
  <si>
    <t>C00029 * C00446</t>
  </si>
  <si>
    <t>C00103 * C00052</t>
  </si>
  <si>
    <t>C00043 * C00001</t>
  </si>
  <si>
    <t>C00645 * C00015</t>
  </si>
  <si>
    <t>C16463 * C00013</t>
  </si>
  <si>
    <t>C00044 * C00022</t>
  </si>
  <si>
    <t>C00035 * C00074</t>
  </si>
  <si>
    <t>C00044 * C00046</t>
  </si>
  <si>
    <t>C00044 * C00130 * C00049</t>
  </si>
  <si>
    <t>C00035 * C00009 * C03794</t>
  </si>
  <si>
    <t>C00044 * C00299</t>
  </si>
  <si>
    <t>C00035 * C00105</t>
  </si>
  <si>
    <t>C00044 * C00475</t>
  </si>
  <si>
    <t>C00035 * C00055</t>
  </si>
  <si>
    <t>C00049 * C00026</t>
  </si>
  <si>
    <t>C00036 * C00025</t>
  </si>
  <si>
    <t>C00041 * C00011</t>
  </si>
  <si>
    <t>C00053 * C00001</t>
  </si>
  <si>
    <t>C00224 * C00009</t>
  </si>
  <si>
    <t>C00054 * C00001</t>
  </si>
  <si>
    <t>C00020 * C00009</t>
  </si>
  <si>
    <t>C00055 * C00001</t>
  </si>
  <si>
    <t>C00475 * C00009</t>
  </si>
  <si>
    <t>C00063 * C00022</t>
  </si>
  <si>
    <t>C00112 * C00074</t>
  </si>
  <si>
    <t>C00063 * C00046</t>
  </si>
  <si>
    <t>C00063 * C00085</t>
  </si>
  <si>
    <t>C00112 * C00354</t>
  </si>
  <si>
    <t>C00063 * C00093</t>
  </si>
  <si>
    <t>C00013 * C00513</t>
  </si>
  <si>
    <t>C00063 * C00416</t>
  </si>
  <si>
    <t>C00013 * C00269</t>
  </si>
  <si>
    <t>C00063 * C01097</t>
  </si>
  <si>
    <t>C00112 * C03785</t>
  </si>
  <si>
    <t>C00063 * C03492 * C00097</t>
  </si>
  <si>
    <t>C00055 * C00013 * C04352</t>
  </si>
  <si>
    <t>C00064 * C00001</t>
  </si>
  <si>
    <t>C00025 * C00014</t>
  </si>
  <si>
    <t>C00064 * C00085</t>
  </si>
  <si>
    <t>C00025 * C00352</t>
  </si>
  <si>
    <t>C00065 * C01217</t>
  </si>
  <si>
    <t>C04377 * C00037 * C00001</t>
  </si>
  <si>
    <t>C00068 * C00008</t>
  </si>
  <si>
    <t>C03028 * C00020</t>
  </si>
  <si>
    <t>C00073 * C00343 * C00001</t>
  </si>
  <si>
    <t>C15999 * C00342</t>
  </si>
  <si>
    <t>C00074 * C00043</t>
  </si>
  <si>
    <t>C04631 * C00009</t>
  </si>
  <si>
    <t>C00074 * C00184</t>
  </si>
  <si>
    <t>C00022 * C00111</t>
  </si>
  <si>
    <t>C00074 * C00615</t>
  </si>
  <si>
    <t>C00022 * C04261</t>
  </si>
  <si>
    <t>C00075 * C00022</t>
  </si>
  <si>
    <t>C00015 * C00074</t>
  </si>
  <si>
    <t>C00075 * C00046</t>
  </si>
  <si>
    <t>C00075 * C00085</t>
  </si>
  <si>
    <t>C00015 * C00354</t>
  </si>
  <si>
    <t>C00075 * C00103</t>
  </si>
  <si>
    <t>C00013 * C00029</t>
  </si>
  <si>
    <t>C00075 * C01097</t>
  </si>
  <si>
    <t>C00015 * C03785</t>
  </si>
  <si>
    <t>C00075 * C04501</t>
  </si>
  <si>
    <t>C00013 * C00043</t>
  </si>
  <si>
    <t>C00079 * C00026</t>
  </si>
  <si>
    <t>C00166 * C00025</t>
  </si>
  <si>
    <t>C00081 * C00022</t>
  </si>
  <si>
    <t>C00104 * C00074</t>
  </si>
  <si>
    <t>C00081 * C00085</t>
  </si>
  <si>
    <t>C00104 * C00354</t>
  </si>
  <si>
    <t>C00081 * C01097</t>
  </si>
  <si>
    <t>C00104 * C03785</t>
  </si>
  <si>
    <t>C00082 * C00026</t>
  </si>
  <si>
    <t>C01179 * C00025</t>
  </si>
  <si>
    <t>C00084 * C00010 * C00003</t>
  </si>
  <si>
    <t>C00024 * C00004 * C00080</t>
  </si>
  <si>
    <t>C00089 * C00001</t>
  </si>
  <si>
    <t>C00095 * C00031</t>
  </si>
  <si>
    <t>C02336 * C00267</t>
  </si>
  <si>
    <t>C00089 * C00009</t>
  </si>
  <si>
    <t>C00095 * C00103</t>
  </si>
  <si>
    <t>C00089 * C04261</t>
  </si>
  <si>
    <t>C16688 * C00615</t>
  </si>
  <si>
    <t>C00092 * C00006</t>
  </si>
  <si>
    <t>C01236 * C00005 * C00080</t>
  </si>
  <si>
    <t>C00093 * C00003</t>
  </si>
  <si>
    <t>C00111 * C00004 * C00080</t>
  </si>
  <si>
    <t>C00093 * C00006</t>
  </si>
  <si>
    <t>C00111 * C00005 * C00080</t>
  </si>
  <si>
    <t>C00093 * C00040</t>
  </si>
  <si>
    <t>C00681 * C00010</t>
  </si>
  <si>
    <t>C00097 * C00026</t>
  </si>
  <si>
    <t>C00957 * C00025</t>
  </si>
  <si>
    <t>C00957 * C00302</t>
  </si>
  <si>
    <t>C00097 * C00051 * C00006</t>
  </si>
  <si>
    <t>C05526 * C00005</t>
  </si>
  <si>
    <t>C00097 * C02342</t>
  </si>
  <si>
    <t>C00065 * C04161</t>
  </si>
  <si>
    <t>C00100 * C00009</t>
  </si>
  <si>
    <t>C02876 * C00010</t>
  </si>
  <si>
    <t>C00101 * C00003</t>
  </si>
  <si>
    <t>C00415 * C00004 * C00080</t>
  </si>
  <si>
    <t>C00101 * C00006</t>
  </si>
  <si>
    <t>C00415 * C00005 * C00080</t>
  </si>
  <si>
    <t>C00101 * C00058 * C00002</t>
  </si>
  <si>
    <t>C00008 * C00009 * C00234</t>
  </si>
  <si>
    <t>C00105 * C00001</t>
  </si>
  <si>
    <t>C00299 * C00009</t>
  </si>
  <si>
    <t>C00105 * C00013</t>
  </si>
  <si>
    <t>C00106 * C00119</t>
  </si>
  <si>
    <t>C00114 * C00003</t>
  </si>
  <si>
    <t>C00576 * C00004 * C00080</t>
  </si>
  <si>
    <t>C00114 * C00006</t>
  </si>
  <si>
    <t>C00576 * C00005 * C00080</t>
  </si>
  <si>
    <t>C00123 * C00026</t>
  </si>
  <si>
    <t>C00233 * C00025</t>
  </si>
  <si>
    <t>C00130 * C00001</t>
  </si>
  <si>
    <t>C00294 * C00009</t>
  </si>
  <si>
    <t>C00130 * C00013</t>
  </si>
  <si>
    <t>C00262 * C00119</t>
  </si>
  <si>
    <t>C00130 * C00014 * C00006</t>
  </si>
  <si>
    <t>C00144 * C00005 * C00080</t>
  </si>
  <si>
    <t>C00131 * C00022</t>
  </si>
  <si>
    <t>C00206 * C00074</t>
  </si>
  <si>
    <t>C00131 * C00039</t>
  </si>
  <si>
    <t>C00013 * C00039</t>
  </si>
  <si>
    <t>C00131 * C00343 * C00001</t>
  </si>
  <si>
    <t>C00002 * C00342</t>
  </si>
  <si>
    <t>C00143 * C00037 * C00001</t>
  </si>
  <si>
    <t>C00101 * C00065</t>
  </si>
  <si>
    <t>C00144 * C00001</t>
  </si>
  <si>
    <t>C00387 * C00009</t>
  </si>
  <si>
    <t>C00144 * C00013</t>
  </si>
  <si>
    <t>C00242 * C00119</t>
  </si>
  <si>
    <t>C00186 * C00011</t>
  </si>
  <si>
    <t>C00122 * C00001</t>
  </si>
  <si>
    <t>C00157 * C00001</t>
  </si>
  <si>
    <t>C00416 * C00114</t>
  </si>
  <si>
    <t>C00033 * C00036</t>
  </si>
  <si>
    <t>C00160 * C00007</t>
  </si>
  <si>
    <t>C00048 * C00027</t>
  </si>
  <si>
    <t>C00169 * C00049</t>
  </si>
  <si>
    <t>C00009 * C00438</t>
  </si>
  <si>
    <t>C00170 * C00001</t>
  </si>
  <si>
    <t>C00147 * C03089</t>
  </si>
  <si>
    <t>C00173 * C00009</t>
  </si>
  <si>
    <t>C02133 * C00229</t>
  </si>
  <si>
    <t>C00173 * C00093</t>
  </si>
  <si>
    <t>C00681 * C00229</t>
  </si>
  <si>
    <t>C00183 * C00026</t>
  </si>
  <si>
    <t>C00141 * C00025</t>
  </si>
  <si>
    <t>C00186  * C00003</t>
  </si>
  <si>
    <t>C00022 * C00004 * C00080</t>
  </si>
  <si>
    <t>C00188 * C00002 * C00288 * C00080</t>
  </si>
  <si>
    <t>C20641 * C00013 * C00001</t>
  </si>
  <si>
    <t>C00201 * C00022</t>
  </si>
  <si>
    <t>C00454 * C00074</t>
  </si>
  <si>
    <t>C00201 * C00046</t>
  </si>
  <si>
    <t>C00201 * C20864</t>
  </si>
  <si>
    <t>C00206 * C00343 * C00001</t>
  </si>
  <si>
    <t>C00342 * C00008</t>
  </si>
  <si>
    <t>C00212 * C00001</t>
  </si>
  <si>
    <t>C00294 * C00014</t>
  </si>
  <si>
    <t>C00226 * C00003</t>
  </si>
  <si>
    <t>C00071 * C00004 * C00080</t>
  </si>
  <si>
    <t>C00234 * C03838</t>
  </si>
  <si>
    <t>C00101 * C04376</t>
  </si>
  <si>
    <t>C00234 * C04677</t>
  </si>
  <si>
    <t>C00101 * C04734</t>
  </si>
  <si>
    <t>C00235 * C17324</t>
  </si>
  <si>
    <t>C00013 * C04432</t>
  </si>
  <si>
    <t>C00239 * C00001</t>
  </si>
  <si>
    <t>C00881 * C00009</t>
  </si>
  <si>
    <t>C00241 * C00001</t>
  </si>
  <si>
    <t>C00060 * C00014</t>
  </si>
  <si>
    <t>C00256 * C00357</t>
  </si>
  <si>
    <t>C16698 * C00001</t>
  </si>
  <si>
    <t>C00263 * C00003</t>
  </si>
  <si>
    <t>C00441 * C00004 * C00080</t>
  </si>
  <si>
    <t>C00263 * C00006</t>
  </si>
  <si>
    <t>C00441 * C00005 * C00080</t>
  </si>
  <si>
    <t>C00269 * C00093</t>
  </si>
  <si>
    <t>C00055 * C03892</t>
  </si>
  <si>
    <t>C00272 * C00006</t>
  </si>
  <si>
    <t>C02953 * C00005 * C00080</t>
  </si>
  <si>
    <t>C00286 * C00022</t>
  </si>
  <si>
    <t>C00361 * C00074</t>
  </si>
  <si>
    <t>C00286 * C00039</t>
  </si>
  <si>
    <t>C00286 * C00343 * C00001</t>
  </si>
  <si>
    <t>C00044 * C00342</t>
  </si>
  <si>
    <t>C00798 * C00011</t>
  </si>
  <si>
    <t>C00314 * C00007</t>
  </si>
  <si>
    <t>C00250 * C00027</t>
  </si>
  <si>
    <t>C00337 * C00001</t>
  </si>
  <si>
    <t>C00337 * C00003</t>
  </si>
  <si>
    <t>C00295 * C00080 * C00004</t>
  </si>
  <si>
    <t>C00342 * C00006</t>
  </si>
  <si>
    <t>C00343 * C00005 * C00080</t>
  </si>
  <si>
    <t>C00345 * C00006</t>
  </si>
  <si>
    <t>C00199 * C00011 * C00005 * C00080</t>
  </si>
  <si>
    <t>C00350 * C00001</t>
  </si>
  <si>
    <t>C00189 * C00416</t>
  </si>
  <si>
    <t>C00352 * C00001</t>
  </si>
  <si>
    <t>C00085 * C00014</t>
  </si>
  <si>
    <t>C00356 * C00010</t>
  </si>
  <si>
    <t>C00024 * C00001 * C00332</t>
  </si>
  <si>
    <t>C00357 * C00001</t>
  </si>
  <si>
    <t>C00352 * C00033</t>
  </si>
  <si>
    <t>C00360 * C00001</t>
  </si>
  <si>
    <t>C00559 * C00009</t>
  </si>
  <si>
    <t>C00361 * C00343 * C00001</t>
  </si>
  <si>
    <t>C00035 * C00342</t>
  </si>
  <si>
    <t>C00362 * C00001</t>
  </si>
  <si>
    <t>C00330 * C00009</t>
  </si>
  <si>
    <t>C00364 * C00001</t>
  </si>
  <si>
    <t>C00214 * C00009</t>
  </si>
  <si>
    <t>C00365 * C00001</t>
  </si>
  <si>
    <t>C00526 * C00009</t>
  </si>
  <si>
    <t>C00365 * C00143</t>
  </si>
  <si>
    <t>C00415 * C00364</t>
  </si>
  <si>
    <t>C00369 * C00009</t>
  </si>
  <si>
    <t>C00718 * C00103</t>
  </si>
  <si>
    <t>C00407 * C00026</t>
  </si>
  <si>
    <t>C00671 * C00025</t>
  </si>
  <si>
    <t>C00415 * C00003</t>
  </si>
  <si>
    <t>C00504 * C00004 * C00080</t>
  </si>
  <si>
    <t>C00415 * C00006</t>
  </si>
  <si>
    <t>C00504 * C00005 * C00080</t>
  </si>
  <si>
    <t>C00418 * C00003</t>
  </si>
  <si>
    <t>C00772 * C00004 * C00080</t>
  </si>
  <si>
    <t>C00441 * C00009 * C00006</t>
  </si>
  <si>
    <t>C03082 * C00005 * C00080</t>
  </si>
  <si>
    <t>C00441 * C00022</t>
  </si>
  <si>
    <t>C20258 * C00001</t>
  </si>
  <si>
    <t>C00455 * C00001</t>
  </si>
  <si>
    <t>C03150 * C00009</t>
  </si>
  <si>
    <t>C00458 * C00039</t>
  </si>
  <si>
    <t>C00458 * C00343 * C00001</t>
  </si>
  <si>
    <t>C00063 * C00342</t>
  </si>
  <si>
    <t>C00459 * C00039</t>
  </si>
  <si>
    <t>C00460 * C00343 * C00001</t>
  </si>
  <si>
    <t>C00075 * C00342</t>
  </si>
  <si>
    <t>C00469 * C00003</t>
  </si>
  <si>
    <t>C00084 * C00004 * C00080</t>
  </si>
  <si>
    <t>C00473 * C00003</t>
  </si>
  <si>
    <t>C00376 * C00004 * C00080</t>
  </si>
  <si>
    <t>C00492 * C00001</t>
  </si>
  <si>
    <t>C05402 * C00095</t>
  </si>
  <si>
    <t>C00498 * C00718</t>
  </si>
  <si>
    <t>C00008 * C00718</t>
  </si>
  <si>
    <t>C00506 * C00026</t>
  </si>
  <si>
    <t>C05528 * C00025</t>
  </si>
  <si>
    <t>C00534 * C00001 * C00007</t>
  </si>
  <si>
    <t>C00250 * C00014 * C00027</t>
  </si>
  <si>
    <t>C00559 * C00001</t>
  </si>
  <si>
    <t>C05512 * C00014</t>
  </si>
  <si>
    <t>C00024 * C00036</t>
  </si>
  <si>
    <t>C00605 * C00093</t>
  </si>
  <si>
    <t>C00010 * C00681</t>
  </si>
  <si>
    <t>C00041 * C09306</t>
  </si>
  <si>
    <t>C00606 * C00026</t>
  </si>
  <si>
    <t>C05527 * C00025</t>
  </si>
  <si>
    <t>C00627 * C00007</t>
  </si>
  <si>
    <t>C00027 * C00018</t>
  </si>
  <si>
    <t>C00074 * C00001</t>
  </si>
  <si>
    <t>C01170 * C00001</t>
  </si>
  <si>
    <t>C00647 * C00001 * C00007</t>
  </si>
  <si>
    <t>C00018 * C00014 * C00027</t>
  </si>
  <si>
    <t>C00655 * C00001</t>
  </si>
  <si>
    <t>C01762 * C00009</t>
  </si>
  <si>
    <t>C00655 * C00013</t>
  </si>
  <si>
    <t>C00385 * C00119</t>
  </si>
  <si>
    <t>C00118 * C00084</t>
  </si>
  <si>
    <t>C00673 * C00008</t>
  </si>
  <si>
    <t>C01801 * C00002</t>
  </si>
  <si>
    <t>C00677 * C00039</t>
  </si>
  <si>
    <t>C00677 * C00343 * C00001</t>
  </si>
  <si>
    <t>C03802 * C00342</t>
  </si>
  <si>
    <t>C00047 * C00011</t>
  </si>
  <si>
    <t>C00705 * C00343 * C00001</t>
  </si>
  <si>
    <t>C00342 * C00112</t>
  </si>
  <si>
    <t>C00718 * C00009</t>
  </si>
  <si>
    <t>C00756 * C00003</t>
  </si>
  <si>
    <t>C01545 * C00004 * C00080</t>
  </si>
  <si>
    <t>C00798 * C00209</t>
  </si>
  <si>
    <t>C00058 * C00313</t>
  </si>
  <si>
    <t>C00819 * C00001</t>
  </si>
  <si>
    <t>C00217 * C00014</t>
  </si>
  <si>
    <t>C00868 * C15812 * C00002</t>
  </si>
  <si>
    <t>C17322 * C15811 * C00020 * C00013</t>
  </si>
  <si>
    <t>C00934 * C00001</t>
  </si>
  <si>
    <t>C11477 * C00009</t>
  </si>
  <si>
    <t>C00979 * C00283</t>
  </si>
  <si>
    <t>C00097 * C00033</t>
  </si>
  <si>
    <t>C00979 * C00320 * C00342 * C00080</t>
  </si>
  <si>
    <t>C00097 * C00094 * C00343 * C00033</t>
  </si>
  <si>
    <t>C00979 * C01528</t>
  </si>
  <si>
    <t>C05688 * C00033</t>
  </si>
  <si>
    <t>C01005 * C00283</t>
  </si>
  <si>
    <t>C00097 * C00009</t>
  </si>
  <si>
    <t>C01050 * C00003</t>
  </si>
  <si>
    <t>C04631 * C00004 * C00080</t>
  </si>
  <si>
    <t>C01050 * C00006</t>
  </si>
  <si>
    <t>C04631 * C00005 * C00080</t>
  </si>
  <si>
    <t>C01097 * C00002</t>
  </si>
  <si>
    <t>C03785 * C00008</t>
  </si>
  <si>
    <t>C01102 * C00001</t>
  </si>
  <si>
    <t>C00188 * C00009</t>
  </si>
  <si>
    <t>C00105 * C00011</t>
  </si>
  <si>
    <t>C01103 * C00013</t>
  </si>
  <si>
    <t>C00295 * C00119</t>
  </si>
  <si>
    <t>C01167 * C00001</t>
  </si>
  <si>
    <t>C00585 * C00009</t>
  </si>
  <si>
    <t>C01172 * C00006</t>
  </si>
  <si>
    <t>C01185 * C00001</t>
  </si>
  <si>
    <t>C05841 * C00009</t>
  </si>
  <si>
    <t>C01185 * C00013 * C00008 * C00009</t>
  </si>
  <si>
    <t>C00253 * C00119 * C00002 * C00001 * C00080</t>
  </si>
  <si>
    <t>C01260 * C00001</t>
  </si>
  <si>
    <t>C01346 * C00343 * C00001</t>
  </si>
  <si>
    <t>C00342 * C00015</t>
  </si>
  <si>
    <t>C01412 * C00010 * C00003</t>
  </si>
  <si>
    <t>C00136 * C00004 * C00080</t>
  </si>
  <si>
    <t>C01612 * C00003</t>
  </si>
  <si>
    <t>C01450 * C00004 * C00080</t>
  </si>
  <si>
    <t>C01613 * C00001</t>
  </si>
  <si>
    <t>C05404 * C00095</t>
  </si>
  <si>
    <t>C01638 * C00049 * C00002</t>
  </si>
  <si>
    <t>C02984 * C00013 * C00020</t>
  </si>
  <si>
    <t>C01641 * C00025 * C00002</t>
  </si>
  <si>
    <t>C02987 * C00013 * C00020</t>
  </si>
  <si>
    <t>C01921 * C00001</t>
  </si>
  <si>
    <t>C00695 * C00037</t>
  </si>
  <si>
    <t>C02133 * C00093</t>
  </si>
  <si>
    <t>C00681 * C00009</t>
  </si>
  <si>
    <t>C02211 * C00063</t>
  </si>
  <si>
    <t>C19078 * C00013</t>
  </si>
  <si>
    <t>C02211 * C00063 * C00002</t>
  </si>
  <si>
    <t>C19085 * C00013</t>
  </si>
  <si>
    <t>C02356 * C00026</t>
  </si>
  <si>
    <t>C00109 * C00025</t>
  </si>
  <si>
    <t>C02380 * C00119</t>
  </si>
  <si>
    <t>C04646 * C00013</t>
  </si>
  <si>
    <t>C02430 * C00234</t>
  </si>
  <si>
    <t>C00101 * C03294</t>
  </si>
  <si>
    <t>C02520 * C00001</t>
  </si>
  <si>
    <t>C00911 * C00009</t>
  </si>
  <si>
    <t>C02583 * C00019</t>
  </si>
  <si>
    <t>C20858 * C00021</t>
  </si>
  <si>
    <t>C02909 * C00003</t>
  </si>
  <si>
    <t>C14099 * C00004 * C00080</t>
  </si>
  <si>
    <t>C03023 * C00343 * C00001</t>
  </si>
  <si>
    <t>C03895 * C00342</t>
  </si>
  <si>
    <t>C15653 * C00342</t>
  </si>
  <si>
    <t>C03090 * C00013 * C00025</t>
  </si>
  <si>
    <t>C00064 * C00119 * C00001</t>
  </si>
  <si>
    <t>C03172 * C00155</t>
  </si>
  <si>
    <t>C00712 * C00001</t>
  </si>
  <si>
    <t>C04309 * C00001</t>
  </si>
  <si>
    <t>C11838 * C00155</t>
  </si>
  <si>
    <t>C00122 * C00020</t>
  </si>
  <si>
    <t>C03838 * C00445 * C00001</t>
  </si>
  <si>
    <t>C04376 * C00101</t>
  </si>
  <si>
    <t>C03880 * C00001</t>
  </si>
  <si>
    <t>C03523 * C00066</t>
  </si>
  <si>
    <t>C03972 * C00003 * C00001</t>
  </si>
  <si>
    <t>C20258 * C00004 * C00080</t>
  </si>
  <si>
    <t>C03972 * C00006 * C00001</t>
  </si>
  <si>
    <t>C20258 * C00005 * C00080</t>
  </si>
  <si>
    <t>C04232 * C00343 * C00001</t>
  </si>
  <si>
    <t>C03723 * C00342</t>
  </si>
  <si>
    <t>C04232 * C03170 * C00001</t>
  </si>
  <si>
    <t>C03723 * C02090</t>
  </si>
  <si>
    <t>C04232 * C16664 * C00001</t>
  </si>
  <si>
    <t>C03723 * C16663</t>
  </si>
  <si>
    <t>C04250 * C02743</t>
  </si>
  <si>
    <t>C03800 * C11475</t>
  </si>
  <si>
    <t>C04258 * C00001</t>
  </si>
  <si>
    <t>C00058 * C03617</t>
  </si>
  <si>
    <t>C01134 * C00011</t>
  </si>
  <si>
    <t>C04489 * C00155</t>
  </si>
  <si>
    <t>C04144 * C00073</t>
  </si>
  <si>
    <t>C04534 * C00001</t>
  </si>
  <si>
    <t>C00031 * C00092</t>
  </si>
  <si>
    <t>C04677 * C00013</t>
  </si>
  <si>
    <t>C04051 * C00119</t>
  </si>
  <si>
    <t>C04702 * C17556</t>
  </si>
  <si>
    <t>C00105 * C04851</t>
  </si>
  <si>
    <t>C03373 * C00011</t>
  </si>
  <si>
    <t>C04756 * C00001</t>
  </si>
  <si>
    <t>C15647 * C00189</t>
  </si>
  <si>
    <t>C00122 * C04677</t>
  </si>
  <si>
    <t>C04851 * C00043</t>
  </si>
  <si>
    <t>C05893 * C00015</t>
  </si>
  <si>
    <t>C04882 * C17556</t>
  </si>
  <si>
    <t>C00105 * C05897</t>
  </si>
  <si>
    <t>C05122 * C00001</t>
  </si>
  <si>
    <t>C00695 * C00245</t>
  </si>
  <si>
    <t>C05198 * C00001</t>
  </si>
  <si>
    <t>C22288 * C00147</t>
  </si>
  <si>
    <t>C05444 * C00003</t>
  </si>
  <si>
    <t>C05445 * C00004 * C00080</t>
  </si>
  <si>
    <t>C05463 * C00001</t>
  </si>
  <si>
    <t>C04483 * C00245</t>
  </si>
  <si>
    <t>C05464 * C00001</t>
  </si>
  <si>
    <t>C04483 * C00037</t>
  </si>
  <si>
    <t>C05465 * C00001</t>
  </si>
  <si>
    <t>C02528 * C00245</t>
  </si>
  <si>
    <t>C05466 * C00001</t>
  </si>
  <si>
    <t>C02528 * C00037</t>
  </si>
  <si>
    <t>C05576 * C00003</t>
  </si>
  <si>
    <t>C05577 * C00004 * C00080</t>
  </si>
  <si>
    <t>C05698 * C04489</t>
  </si>
  <si>
    <t>C05335 * C04144</t>
  </si>
  <si>
    <t>C05823 * C00003</t>
  </si>
  <si>
    <t>C00957 * C00004 * C00080</t>
  </si>
  <si>
    <t>C05893 * C11826</t>
  </si>
  <si>
    <t>C04574 * C11826</t>
  </si>
  <si>
    <t>C05897 * C00043</t>
  </si>
  <si>
    <t>C05898 * C00015</t>
  </si>
  <si>
    <t>C05898 * C11827</t>
  </si>
  <si>
    <t>C04574 * C11827</t>
  </si>
  <si>
    <t>C05947 * C00026</t>
  </si>
  <si>
    <t>C05946 * C00025</t>
  </si>
  <si>
    <t>C05984 * C00003</t>
  </si>
  <si>
    <t>C00109 * C00004 * C00080</t>
  </si>
  <si>
    <t>C06055 * C00001</t>
  </si>
  <si>
    <t>C06056 * C00009</t>
  </si>
  <si>
    <t>C06187 * C00001</t>
  </si>
  <si>
    <t>C00530 * C01172</t>
  </si>
  <si>
    <t>C06188 * C00001</t>
  </si>
  <si>
    <t>C02323 * C01172</t>
  </si>
  <si>
    <t>C06196 * C00001</t>
  </si>
  <si>
    <t>C05512 * C00009</t>
  </si>
  <si>
    <t>C06376 * C00001</t>
  </si>
  <si>
    <t>C06377 * C00033</t>
  </si>
  <si>
    <t>C06611 * C00003</t>
  </si>
  <si>
    <t>C06613 * C00004 * C00080</t>
  </si>
  <si>
    <t>C06612 * C00003</t>
  </si>
  <si>
    <t>C16348 * C00004 * C00080</t>
  </si>
  <si>
    <t>C06899 * C00004 * C00080</t>
  </si>
  <si>
    <t>C07490 * C00003 * C00001</t>
  </si>
  <si>
    <t>C07645 * C00004 * C00080</t>
  </si>
  <si>
    <t>C16551 * C00003</t>
  </si>
  <si>
    <t>C07648 * C00119</t>
  </si>
  <si>
    <t>C16619 * C00013</t>
  </si>
  <si>
    <t>C07649 * C00119</t>
  </si>
  <si>
    <t>C16634 * C00013</t>
  </si>
  <si>
    <t>C11439 * C00001</t>
  </si>
  <si>
    <t>C11440 * C00058</t>
  </si>
  <si>
    <t>C11736 * C00002</t>
  </si>
  <si>
    <t>C04242 * C00008</t>
  </si>
  <si>
    <t>C14089 * C00003</t>
  </si>
  <si>
    <t>C14090 * C00004 * C00080</t>
  </si>
  <si>
    <t>C15565 * C00007</t>
  </si>
  <si>
    <t>C00161 * C00027</t>
  </si>
  <si>
    <t>C15812 * C15813 * C00030</t>
  </si>
  <si>
    <t>C00020 * C15814 * C15811 * C00028</t>
  </si>
  <si>
    <t>C16310 * C00004 * C00080</t>
  </si>
  <si>
    <t>C08492 * C00003</t>
  </si>
  <si>
    <t>C16586 * C00003</t>
  </si>
  <si>
    <t>C16587 * C00004 * C00080</t>
  </si>
  <si>
    <t>C16595 * C00003</t>
  </si>
  <si>
    <t>C16596 * C00004 * C00080</t>
  </si>
  <si>
    <t>C16614 * C00119</t>
  </si>
  <si>
    <t>C16615 * C00013</t>
  </si>
  <si>
    <t>C16618 * C00002 * C00064 * C00001</t>
  </si>
  <si>
    <t>C16619 * C00020 * C00013 * C00025</t>
  </si>
  <si>
    <t>C16633 * C00002</t>
  </si>
  <si>
    <t>C16634 * C00008</t>
  </si>
  <si>
    <t>C16688 * C00001</t>
  </si>
  <si>
    <t>C00095 * C00092</t>
  </si>
  <si>
    <t>C17324 * C00001</t>
  </si>
  <si>
    <t>C20451 * C00014</t>
  </si>
  <si>
    <t>C19078 * C00063</t>
  </si>
  <si>
    <t>C19080 * C00013</t>
  </si>
  <si>
    <t>C19080 * C00002</t>
  </si>
  <si>
    <t>C19722 * C00047 * C00002</t>
  </si>
  <si>
    <t>C19723 * C00020 * C00013 * C00001</t>
  </si>
  <si>
    <t>C19771 * C03688</t>
  </si>
  <si>
    <t>C00229 * C00013</t>
  </si>
  <si>
    <t>C20641 * C17324</t>
  </si>
  <si>
    <t>C00020 * C20751</t>
  </si>
  <si>
    <t>C20658 * C00001</t>
  </si>
  <si>
    <t>C00301 * C00033</t>
  </si>
  <si>
    <t>C21750 * C00343 * C00001</t>
  </si>
  <si>
    <t>C21748 * C00342</t>
  </si>
  <si>
    <t>C21811 * C00001</t>
  </si>
  <si>
    <t>C21812 * C00133</t>
  </si>
  <si>
    <t>C22131 * C00001</t>
  </si>
  <si>
    <t>C22441 * C00122</t>
  </si>
  <si>
    <t>C22441 * C00002</t>
  </si>
  <si>
    <t>C22442 * C00008</t>
  </si>
  <si>
    <t>G00249 * C00001</t>
  </si>
  <si>
    <t>G01275 * C00095</t>
  </si>
  <si>
    <t>G00278 * C00001</t>
  </si>
  <si>
    <t>G00501 * C00095</t>
  </si>
  <si>
    <t>G00370 * C00001</t>
  </si>
  <si>
    <t>G00370 * C00009</t>
  </si>
  <si>
    <t>G10495 * C00009</t>
  </si>
  <si>
    <t>G10495 * C00103</t>
  </si>
  <si>
    <t>G10495 * G11109</t>
  </si>
  <si>
    <t>G10495 * G11113</t>
  </si>
  <si>
    <t>G10508 * C00001</t>
  </si>
  <si>
    <t>C02336 * C00668</t>
  </si>
  <si>
    <t>G10518 * C00001</t>
  </si>
  <si>
    <t>G10545 * C00009</t>
  </si>
  <si>
    <t>G10551 * G10610</t>
  </si>
  <si>
    <t>G10550 * G10619</t>
  </si>
  <si>
    <t>G10552 * G10610</t>
  </si>
  <si>
    <t>G10553 * G10619</t>
  </si>
  <si>
    <t>G10553 * G10554</t>
  </si>
  <si>
    <t>C04574 * G10554</t>
  </si>
  <si>
    <t>G10555 * G10557</t>
  </si>
  <si>
    <t>C04574 * G10557</t>
  </si>
  <si>
    <t>G10556 * G10610</t>
  </si>
  <si>
    <t>1_8_1_9</t>
  </si>
  <si>
    <t>2_1_1_182</t>
  </si>
  <si>
    <t>3_1_1_96</t>
  </si>
  <si>
    <t>2_7_7_85</t>
  </si>
  <si>
    <t>7_1_2_2</t>
  </si>
  <si>
    <t>2_7_1_23</t>
  </si>
  <si>
    <t>2_7_4_3</t>
  </si>
  <si>
    <t>2_7_1_40</t>
  </si>
  <si>
    <t>6_3_1_2</t>
  </si>
  <si>
    <t>2_7_2_1</t>
  </si>
  <si>
    <t>6_2_1_22</t>
  </si>
  <si>
    <t>4_1_1_49</t>
  </si>
  <si>
    <t>6_1_1_14</t>
  </si>
  <si>
    <t>6_1_1_7</t>
  </si>
  <si>
    <t>2_7_7_6</t>
  </si>
  <si>
    <t>6_1_1_6</t>
  </si>
  <si>
    <t>2_7_2_4</t>
  </si>
  <si>
    <t>6_3_1_1</t>
  </si>
  <si>
    <t>6_3_5_4</t>
  </si>
  <si>
    <t>2_7_4_25</t>
  </si>
  <si>
    <t>2_7_7_2</t>
  </si>
  <si>
    <t>6_1_1_19</t>
  </si>
  <si>
    <t>6_3_5_5</t>
  </si>
  <si>
    <t>6_1_1_11</t>
  </si>
  <si>
    <t>6_1_1_10</t>
  </si>
  <si>
    <t>6_3_4_2</t>
  </si>
  <si>
    <t>6_1_1_2</t>
  </si>
  <si>
    <t>6_1_1_20</t>
  </si>
  <si>
    <t>6_1_1_1</t>
  </si>
  <si>
    <t>2_7_1_11</t>
  </si>
  <si>
    <t>6_1_1_16</t>
  </si>
  <si>
    <t>2_7_7_27</t>
  </si>
  <si>
    <t>2_7_4_22</t>
  </si>
  <si>
    <t>2_7_1_30</t>
  </si>
  <si>
    <t>2_7_6_1</t>
  </si>
  <si>
    <t>2_7_1_15</t>
  </si>
  <si>
    <t>6_1_1_4</t>
  </si>
  <si>
    <t>6_1_1_13</t>
  </si>
  <si>
    <t>2_7_4_8</t>
  </si>
  <si>
    <t>6_1_1_15</t>
  </si>
  <si>
    <t>6_1_1_9</t>
  </si>
  <si>
    <t>6_1_1_3</t>
  </si>
  <si>
    <t>2_7_2_3</t>
  </si>
  <si>
    <t>2_7_1_21</t>
  </si>
  <si>
    <t>2_7_1_26</t>
  </si>
  <si>
    <t>2_7_1_12</t>
  </si>
  <si>
    <t>2_7_1_31</t>
  </si>
  <si>
    <t>2_7_1_39</t>
  </si>
  <si>
    <t>2_7_1_48</t>
  </si>
  <si>
    <t>2_7_6_2</t>
  </si>
  <si>
    <t>6_1_1_5</t>
  </si>
  <si>
    <t>2_7_1_36</t>
  </si>
  <si>
    <t>2_7_7_18</t>
  </si>
  <si>
    <t>2_7_10_2</t>
  </si>
  <si>
    <t>2_7_13_3</t>
  </si>
  <si>
    <t>6_3_5_2</t>
  </si>
  <si>
    <t>2_7_1_33</t>
  </si>
  <si>
    <t>6_3_1_5</t>
  </si>
  <si>
    <t>2_4_2_52</t>
  </si>
  <si>
    <t>2_7_1_24</t>
  </si>
  <si>
    <t>2_7_1_6</t>
  </si>
  <si>
    <t>6_3_2_8</t>
  </si>
  <si>
    <t>2_7_1_56</t>
  </si>
  <si>
    <t>2_7_4_2</t>
  </si>
  <si>
    <t>2_7_7_3</t>
  </si>
  <si>
    <t>4_1_1_33</t>
  </si>
  <si>
    <t>6_3_2_9</t>
  </si>
  <si>
    <t>2_7_1_49</t>
  </si>
  <si>
    <t>6_3_4_13</t>
  </si>
  <si>
    <t>6_3_4_18</t>
  </si>
  <si>
    <t>6_3_3_2</t>
  </si>
  <si>
    <t>6_3_5_3</t>
  </si>
  <si>
    <t>2_7_4_7</t>
  </si>
  <si>
    <t>6_3_3_1</t>
  </si>
  <si>
    <t>6_3_2_6</t>
  </si>
  <si>
    <t>6_3_2_10</t>
  </si>
  <si>
    <t>2_5_1_6</t>
  </si>
  <si>
    <t>6_5_1_2</t>
  </si>
  <si>
    <t>2_3_1_286</t>
  </si>
  <si>
    <t>4_1_1_31</t>
  </si>
  <si>
    <t>2_7_8_7</t>
  </si>
  <si>
    <t>3_4_11_5</t>
  </si>
  <si>
    <t>3_6_1_1</t>
  </si>
  <si>
    <t>2_1_1_170</t>
  </si>
  <si>
    <t>2_1_1_176</t>
  </si>
  <si>
    <t>2_1_1_177</t>
  </si>
  <si>
    <t>2_1_1_190</t>
  </si>
  <si>
    <t>2_1_1_198</t>
  </si>
  <si>
    <t>2_1_1_199</t>
  </si>
  <si>
    <t>2_1_1_207</t>
  </si>
  <si>
    <t>2_1_1_10</t>
  </si>
  <si>
    <t>2_1_1_171</t>
  </si>
  <si>
    <t>2_1_1_228</t>
  </si>
  <si>
    <t>2_1_1_33</t>
  </si>
  <si>
    <t>3_1_3_5</t>
  </si>
  <si>
    <t>2_4_2_7</t>
  </si>
  <si>
    <t>3_2_2_9</t>
  </si>
  <si>
    <t>1_2_3_3</t>
  </si>
  <si>
    <t>2_2_1_7</t>
  </si>
  <si>
    <t>2_3_1_8</t>
  </si>
  <si>
    <t>2_8_3_10</t>
  </si>
  <si>
    <t>2_3_1_266</t>
  </si>
  <si>
    <t>2_3_1_157</t>
  </si>
  <si>
    <t>5_1_1_3</t>
  </si>
  <si>
    <t>5_1_3_2</t>
  </si>
  <si>
    <t>2_7_7_12</t>
  </si>
  <si>
    <t>5_1_1_1</t>
  </si>
  <si>
    <t>5_1_3_14</t>
  </si>
  <si>
    <t>2_7_7_65</t>
  </si>
  <si>
    <t>6_3_4_4</t>
  </si>
  <si>
    <t>2_6_1_1</t>
  </si>
  <si>
    <t>4_1_1_12</t>
  </si>
  <si>
    <t>3_1_3_7</t>
  </si>
  <si>
    <t>2_7_7_39</t>
  </si>
  <si>
    <t>2_7_7_41</t>
  </si>
  <si>
    <t>6_3_2_5</t>
  </si>
  <si>
    <t>3_5_1_2</t>
  </si>
  <si>
    <t>2_6_1_16</t>
  </si>
  <si>
    <t>2_1_2_1</t>
  </si>
  <si>
    <t>1_8_4_11</t>
  </si>
  <si>
    <t>2_5_1_7</t>
  </si>
  <si>
    <t>2_7_1_121</t>
  </si>
  <si>
    <t>2_7_3_9</t>
  </si>
  <si>
    <t>2_7_7_9</t>
  </si>
  <si>
    <t>2_7_7_23</t>
  </si>
  <si>
    <t>1_2_1_10</t>
  </si>
  <si>
    <t>3_2_1_26</t>
  </si>
  <si>
    <t>2_4_1_7</t>
  </si>
  <si>
    <t>2_7_1_211</t>
  </si>
  <si>
    <t>5_3_1_9</t>
  </si>
  <si>
    <t>1_1_1_49</t>
  </si>
  <si>
    <t>1_1_1_94</t>
  </si>
  <si>
    <t>2_3_1_15</t>
  </si>
  <si>
    <t>2_8_1_4</t>
  </si>
  <si>
    <t>1_5_1_3</t>
  </si>
  <si>
    <t>6_3_4_3</t>
  </si>
  <si>
    <t>2_4_2_9</t>
  </si>
  <si>
    <t>1_1_1_1</t>
  </si>
  <si>
    <t>5_3_1_6</t>
  </si>
  <si>
    <t>5_3_1_1</t>
  </si>
  <si>
    <t>2_6_1_42</t>
  </si>
  <si>
    <t>5_3_3_2</t>
  </si>
  <si>
    <t>3_5_4_10</t>
  </si>
  <si>
    <t>2_4_2_8</t>
  </si>
  <si>
    <t>1_7_1_7</t>
  </si>
  <si>
    <t>2_7_7_7</t>
  </si>
  <si>
    <t>1_17_4_2</t>
  </si>
  <si>
    <t>2_4_2_22</t>
  </si>
  <si>
    <t>4_1_1_101</t>
  </si>
  <si>
    <t>4_2_1_2</t>
  </si>
  <si>
    <t>3_1_4_4</t>
  </si>
  <si>
    <t>4_1_3_6</t>
  </si>
  <si>
    <t>1_1_3_15</t>
  </si>
  <si>
    <t>2_1_3_2</t>
  </si>
  <si>
    <t>2_3_1_274</t>
  </si>
  <si>
    <t>1_1_1_27</t>
  </si>
  <si>
    <t>2_7_7_87</t>
  </si>
  <si>
    <t>5_1_3_1</t>
  </si>
  <si>
    <t>1_17_4_1</t>
  </si>
  <si>
    <t>3_5_4_4</t>
  </si>
  <si>
    <t>2_1_2_2</t>
  </si>
  <si>
    <t>2_1_2_3</t>
  </si>
  <si>
    <t>2_5_1_75</t>
  </si>
  <si>
    <t>4_2_1_126</t>
  </si>
  <si>
    <t>1_1_1_3</t>
  </si>
  <si>
    <t>2_7_8_5</t>
  </si>
  <si>
    <t>4_1_1_8</t>
  </si>
  <si>
    <t>1_4_3_5</t>
  </si>
  <si>
    <t>3_5_2_3</t>
  </si>
  <si>
    <t>1_3_1_14</t>
  </si>
  <si>
    <t>1_1_1_44</t>
  </si>
  <si>
    <t>3_5_99_6</t>
  </si>
  <si>
    <t>2_3_3_10</t>
  </si>
  <si>
    <t>3_5_1_25</t>
  </si>
  <si>
    <t>2_1_1_45</t>
  </si>
  <si>
    <t>2_4_1_1</t>
  </si>
  <si>
    <t>1_2_1_11</t>
  </si>
  <si>
    <t>4_3_3_7</t>
  </si>
  <si>
    <t>2_4_1_21</t>
  </si>
  <si>
    <t>4_1_3_34</t>
  </si>
  <si>
    <t>4_2_1_11</t>
  </si>
  <si>
    <t>5_4_2_6</t>
  </si>
  <si>
    <t>5_1_1_7</t>
  </si>
  <si>
    <t>4_1_2_4</t>
  </si>
  <si>
    <t>4_1_1_20</t>
  </si>
  <si>
    <t>2_8_3_16</t>
  </si>
  <si>
    <t>5_4_99_12</t>
  </si>
  <si>
    <t>2_8_1_13</t>
  </si>
  <si>
    <t>3_1_3_23</t>
  </si>
  <si>
    <t>2_5_1_47</t>
  </si>
  <si>
    <t>1_3_1_98</t>
  </si>
  <si>
    <t>4_2_3_1</t>
  </si>
  <si>
    <t>4_1_1_23</t>
  </si>
  <si>
    <t>2_4_2_10</t>
  </si>
  <si>
    <t>3_1_3_48</t>
  </si>
  <si>
    <t>6_3_4_21</t>
  </si>
  <si>
    <t>3_6_1_41</t>
  </si>
  <si>
    <t>6_1_1_12</t>
  </si>
  <si>
    <t>6_1_1_17</t>
  </si>
  <si>
    <t>3_5_1_24</t>
  </si>
  <si>
    <t>2_3_1_275</t>
  </si>
  <si>
    <t>2_7_7_72</t>
  </si>
  <si>
    <t>2_1_2_9</t>
  </si>
  <si>
    <t>5_3_2_6</t>
  </si>
  <si>
    <t>2_1_1_297</t>
  </si>
  <si>
    <t>1_8_4_12</t>
  </si>
  <si>
    <t>2_4_2_14</t>
  </si>
  <si>
    <t>4_2_1_53</t>
  </si>
  <si>
    <t>4_4_1_21</t>
  </si>
  <si>
    <t>4_3_2_2</t>
  </si>
  <si>
    <t>5_2_1_8</t>
  </si>
  <si>
    <t>3_1_1_29</t>
  </si>
  <si>
    <t>1_17_1_8</t>
  </si>
  <si>
    <t>2_1_1_63</t>
  </si>
  <si>
    <t>3_5_1_88</t>
  </si>
  <si>
    <t>4_1_1_36</t>
  </si>
  <si>
    <t>2_1_1_14</t>
  </si>
  <si>
    <t>3_2_1_86</t>
  </si>
  <si>
    <t>2_7_8_13</t>
  </si>
  <si>
    <t>4_1_1_21</t>
  </si>
  <si>
    <t>2_4_1_227</t>
  </si>
  <si>
    <t>2_4_99_28</t>
  </si>
  <si>
    <t>5_4_2_10</t>
  </si>
  <si>
    <t>5_4_99_62</t>
  </si>
  <si>
    <t>5_4_99_18</t>
  </si>
  <si>
    <t>3_5_4_33</t>
  </si>
  <si>
    <t>6_3_4_19</t>
  </si>
  <si>
    <t>2_7_7_61</t>
  </si>
  <si>
    <t>2_3_1_234</t>
  </si>
  <si>
    <t>3_1_1_106</t>
  </si>
  <si>
    <t>3_1_1_103</t>
  </si>
  <si>
    <t>Enzymes</t>
  </si>
  <si>
    <t>No.</t>
  </si>
  <si>
    <t xml:space="preserve">Rate Law </t>
  </si>
  <si>
    <t xml:space="preserve"> Equation </t>
  </si>
  <si>
    <t xml:space="preserve">Enzymes </t>
  </si>
  <si>
    <t xml:space="preserve">Translation Rate Law </t>
  </si>
  <si>
    <t>Enzyme mRNA</t>
  </si>
  <si>
    <t>C00003</t>
  </si>
  <si>
    <t>C00020</t>
  </si>
  <si>
    <t>C00061</t>
  </si>
  <si>
    <t>C00051</t>
  </si>
  <si>
    <t>C00060</t>
  </si>
  <si>
    <t>C00080</t>
  </si>
  <si>
    <t>C00081</t>
  </si>
  <si>
    <t>C00006</t>
  </si>
  <si>
    <t>C00005 * C00080 * C18902</t>
  </si>
  <si>
    <t>C00006 * C00001 * C05703</t>
  </si>
  <si>
    <t>C00073</t>
  </si>
  <si>
    <t>C00019 * C20648</t>
  </si>
  <si>
    <t>C00021 * C20796</t>
  </si>
  <si>
    <t>C01528 * C00006 * C00001</t>
  </si>
  <si>
    <t>C05684 * C00005 * C00080</t>
  </si>
  <si>
    <t>C05464</t>
  </si>
  <si>
    <t>C00655</t>
  </si>
  <si>
    <t>C00027</t>
  </si>
  <si>
    <t>C03800</t>
  </si>
  <si>
    <t>C00095</t>
  </si>
  <si>
    <t>C02336</t>
  </si>
  <si>
    <t>C05684</t>
  </si>
  <si>
    <t>C00233</t>
  </si>
  <si>
    <t>C04702</t>
  </si>
  <si>
    <t>C00201</t>
  </si>
  <si>
    <t>C06377</t>
  </si>
  <si>
    <t>C05465</t>
  </si>
  <si>
    <t>C00089</t>
  </si>
  <si>
    <t>C01613</t>
  </si>
  <si>
    <t>C00131</t>
  </si>
  <si>
    <t>C00286</t>
  </si>
  <si>
    <t>C00058</t>
  </si>
  <si>
    <t>C00718</t>
  </si>
  <si>
    <t>C00459</t>
  </si>
  <si>
    <t>C00144</t>
  </si>
  <si>
    <t>C21812</t>
  </si>
  <si>
    <t>C00301</t>
  </si>
  <si>
    <t>C05576</t>
  </si>
  <si>
    <t>C06611</t>
  </si>
  <si>
    <t>C00097</t>
  </si>
  <si>
    <t>C00506</t>
  </si>
  <si>
    <t>C00269</t>
  </si>
  <si>
    <t>C00212</t>
  </si>
  <si>
    <t>C03082</t>
  </si>
  <si>
    <t>C04631</t>
  </si>
  <si>
    <t>C00458</t>
  </si>
  <si>
    <t>C00350</t>
  </si>
  <si>
    <t>C04376</t>
  </si>
  <si>
    <t>C06188</t>
  </si>
  <si>
    <t>C00018</t>
  </si>
  <si>
    <t>C00504</t>
  </si>
  <si>
    <t>C05897</t>
  </si>
  <si>
    <t>G10551</t>
  </si>
  <si>
    <t>C01102</t>
  </si>
  <si>
    <t>C00250</t>
  </si>
  <si>
    <t>C00415</t>
  </si>
  <si>
    <t>C00103</t>
  </si>
  <si>
    <t>C00075</t>
  </si>
  <si>
    <t>C00798</t>
  </si>
  <si>
    <t>C00239</t>
  </si>
  <si>
    <t>G10518</t>
  </si>
  <si>
    <t>C11440</t>
  </si>
  <si>
    <t>C00585</t>
  </si>
  <si>
    <t>C22288</t>
  </si>
  <si>
    <t>C00418</t>
  </si>
  <si>
    <t>C00469</t>
  </si>
  <si>
    <t>C02909</t>
  </si>
  <si>
    <t>C05444</t>
  </si>
  <si>
    <t>C05947</t>
  </si>
  <si>
    <t>C00064</t>
  </si>
  <si>
    <t>C00123</t>
  </si>
  <si>
    <t>C00183</t>
  </si>
  <si>
    <t>C00407</t>
  </si>
  <si>
    <t>C02356</t>
  </si>
  <si>
    <t>C00004</t>
  </si>
  <si>
    <t>C00063</t>
  </si>
  <si>
    <t>C01097</t>
  </si>
  <si>
    <t>C00074</t>
  </si>
  <si>
    <t>C11736</t>
  </si>
  <si>
    <t>C00294</t>
  </si>
  <si>
    <t>C00881</t>
  </si>
  <si>
    <t>C00157</t>
  </si>
  <si>
    <t>C00492</t>
  </si>
  <si>
    <t>C00054</t>
  </si>
  <si>
    <t>C00299</t>
  </si>
  <si>
    <t>G10552</t>
  </si>
  <si>
    <t>C00104</t>
  </si>
  <si>
    <t>C00101</t>
  </si>
  <si>
    <t>C06196</t>
  </si>
  <si>
    <t>C04483</t>
  </si>
  <si>
    <t>C05526</t>
  </si>
  <si>
    <t>C05893</t>
  </si>
  <si>
    <t>C00136</t>
  </si>
  <si>
    <t>C03895</t>
  </si>
  <si>
    <t>C00035</t>
  </si>
  <si>
    <t>C04377</t>
  </si>
  <si>
    <t>C00361</t>
  </si>
  <si>
    <t>C02520</t>
  </si>
  <si>
    <t>C00360</t>
  </si>
  <si>
    <t>C00055</t>
  </si>
  <si>
    <t>C00105</t>
  </si>
  <si>
    <t>C15812</t>
  </si>
  <si>
    <t>C00053</t>
  </si>
  <si>
    <t>C00130</t>
  </si>
  <si>
    <t>C00010</t>
  </si>
  <si>
    <t>C00455</t>
  </si>
  <si>
    <t>C01185</t>
  </si>
  <si>
    <t>C00364</t>
  </si>
  <si>
    <t>C00365</t>
  </si>
  <si>
    <t>C00362</t>
  </si>
  <si>
    <t>C19771</t>
  </si>
  <si>
    <t>C21811</t>
  </si>
  <si>
    <t>C00645</t>
  </si>
  <si>
    <t>C04756</t>
  </si>
  <si>
    <t>C04882</t>
  </si>
  <si>
    <t>C00114</t>
  </si>
  <si>
    <t>C00024</t>
  </si>
  <si>
    <t>C01167</t>
  </si>
  <si>
    <t>C15653</t>
  </si>
  <si>
    <t>C00756</t>
  </si>
  <si>
    <t>C01612</t>
  </si>
  <si>
    <t>C03785</t>
  </si>
  <si>
    <t>C00022</t>
  </si>
  <si>
    <t>C20658</t>
  </si>
  <si>
    <t>C22131</t>
  </si>
  <si>
    <t>C03880</t>
  </si>
  <si>
    <t>C01801</t>
  </si>
  <si>
    <t>C00934</t>
  </si>
  <si>
    <t>C04242</t>
  </si>
  <si>
    <t>C16688</t>
  </si>
  <si>
    <t>C00226</t>
  </si>
  <si>
    <t>C00473</t>
  </si>
  <si>
    <t>C06612</t>
  </si>
  <si>
    <t>C06899</t>
  </si>
  <si>
    <t>C07645</t>
  </si>
  <si>
    <t>C14089</t>
  </si>
  <si>
    <t>C16310</t>
  </si>
  <si>
    <t>C16586</t>
  </si>
  <si>
    <t>C16595</t>
  </si>
  <si>
    <t>C00186</t>
  </si>
  <si>
    <t>C05823</t>
  </si>
  <si>
    <t>C05984</t>
  </si>
  <si>
    <t>C00263</t>
  </si>
  <si>
    <t>C00345</t>
  </si>
  <si>
    <t>C00093</t>
  </si>
  <si>
    <t>C00160</t>
  </si>
  <si>
    <t>C15565</t>
  </si>
  <si>
    <t>C03972</t>
  </si>
  <si>
    <t>C00206</t>
  </si>
  <si>
    <t>C00705</t>
  </si>
  <si>
    <t>C01346</t>
  </si>
  <si>
    <t>C04232</t>
  </si>
  <si>
    <t>C21750</t>
  </si>
  <si>
    <t>C00460</t>
  </si>
  <si>
    <t>C00677</t>
  </si>
  <si>
    <t>C00084</t>
  </si>
  <si>
    <t>C01412</t>
  </si>
  <si>
    <t>C00441</t>
  </si>
  <si>
    <t>C00337</t>
  </si>
  <si>
    <t>C01050</t>
  </si>
  <si>
    <t>C00314</t>
  </si>
  <si>
    <t>C00534</t>
  </si>
  <si>
    <t>C00627</t>
  </si>
  <si>
    <t>C00647</t>
  </si>
  <si>
    <t>C00272</t>
  </si>
  <si>
    <t>C00005</t>
  </si>
  <si>
    <t>C00342</t>
  </si>
  <si>
    <t>C01528</t>
  </si>
  <si>
    <t>C03023</t>
  </si>
  <si>
    <t>C03172</t>
  </si>
  <si>
    <t>C04489</t>
  </si>
  <si>
    <t>C05698</t>
  </si>
  <si>
    <t>C02583</t>
  </si>
  <si>
    <t>C04250</t>
  </si>
  <si>
    <t>C00065</t>
  </si>
  <si>
    <t>C00143</t>
  </si>
  <si>
    <t>C00234</t>
  </si>
  <si>
    <t>C03838</t>
  </si>
  <si>
    <t>C02430</t>
  </si>
  <si>
    <t>C00169</t>
  </si>
  <si>
    <t>C00173</t>
  </si>
  <si>
    <t>C00605</t>
  </si>
  <si>
    <t>C20641</t>
  </si>
  <si>
    <t>C02133</t>
  </si>
  <si>
    <t>C00100</t>
  </si>
  <si>
    <t>C00356</t>
  </si>
  <si>
    <t>C00369</t>
  </si>
  <si>
    <t>G10495</t>
  </si>
  <si>
    <t>G10545</t>
  </si>
  <si>
    <t>C00498</t>
  </si>
  <si>
    <t>C04851</t>
  </si>
  <si>
    <t>G10556</t>
  </si>
  <si>
    <t>G00370</t>
  </si>
  <si>
    <t>C07649</t>
  </si>
  <si>
    <t>C03090</t>
  </si>
  <si>
    <t>C04677</t>
  </si>
  <si>
    <t>C02380</t>
  </si>
  <si>
    <t>C07648</t>
  </si>
  <si>
    <t>C16614</t>
  </si>
  <si>
    <t>C05898</t>
  </si>
  <si>
    <t>G10553</t>
  </si>
  <si>
    <t>G10555</t>
  </si>
  <si>
    <t>C00979</t>
  </si>
  <si>
    <t>C01005</t>
  </si>
  <si>
    <t>C00049</t>
  </si>
  <si>
    <t>C00079</t>
  </si>
  <si>
    <t>C00082</t>
  </si>
  <si>
    <t>C16633</t>
  </si>
  <si>
    <t>C00068</t>
  </si>
  <si>
    <t>C22441</t>
  </si>
  <si>
    <t>C02211</t>
  </si>
  <si>
    <t>C19078</t>
  </si>
  <si>
    <t>C19080</t>
  </si>
  <si>
    <t>C00188</t>
  </si>
  <si>
    <t>G00249</t>
  </si>
  <si>
    <t>G00278</t>
  </si>
  <si>
    <t>G10508</t>
  </si>
  <si>
    <t>C04534</t>
  </si>
  <si>
    <t>C06187</t>
  </si>
  <si>
    <t>C00170</t>
  </si>
  <si>
    <t>C05198</t>
  </si>
  <si>
    <t>C00012</t>
  </si>
  <si>
    <t>C00241</t>
  </si>
  <si>
    <t>C00819</t>
  </si>
  <si>
    <t>C01921</t>
  </si>
  <si>
    <t>C05122</t>
  </si>
  <si>
    <t>C05463</t>
  </si>
  <si>
    <t>C05466</t>
  </si>
  <si>
    <t>C00357</t>
  </si>
  <si>
    <t>C06376</t>
  </si>
  <si>
    <t>C04258</t>
  </si>
  <si>
    <t>C11439</t>
  </si>
  <si>
    <t>C17324</t>
  </si>
  <si>
    <t>C00559</t>
  </si>
  <si>
    <t>C01260</t>
  </si>
  <si>
    <t>C00256</t>
  </si>
  <si>
    <t>C06055</t>
  </si>
  <si>
    <t>C01638</t>
  </si>
  <si>
    <t>C01641</t>
  </si>
  <si>
    <t>C19722</t>
  </si>
  <si>
    <t>C16618</t>
  </si>
  <si>
    <t>C00014</t>
  </si>
  <si>
    <t>C00576</t>
  </si>
  <si>
    <t>C00071</t>
  </si>
  <si>
    <t>C00772</t>
  </si>
  <si>
    <t>C00376</t>
  </si>
  <si>
    <t>C01545</t>
  </si>
  <si>
    <t>C01450</t>
  </si>
  <si>
    <t>C14099</t>
  </si>
  <si>
    <t>C05445</t>
  </si>
  <si>
    <t>C05577</t>
  </si>
  <si>
    <t>C06613</t>
  </si>
  <si>
    <t>C16348</t>
  </si>
  <si>
    <t>C07490</t>
  </si>
  <si>
    <t>C16551</t>
  </si>
  <si>
    <t>C14090</t>
  </si>
  <si>
    <t>C08492</t>
  </si>
  <si>
    <t>C16587</t>
  </si>
  <si>
    <t>C16596</t>
  </si>
  <si>
    <t>C00957</t>
  </si>
  <si>
    <t>C00109</t>
  </si>
  <si>
    <t>C01236</t>
  </si>
  <si>
    <t>C00048</t>
  </si>
  <si>
    <t>C00161</t>
  </si>
  <si>
    <t>C20258</t>
  </si>
  <si>
    <t>C03723</t>
  </si>
  <si>
    <t>C21748</t>
  </si>
  <si>
    <t>C03802</t>
  </si>
  <si>
    <t>C00227</t>
  </si>
  <si>
    <t>C00295</t>
  </si>
  <si>
    <t>C02953</t>
  </si>
  <si>
    <t>C00343</t>
  </si>
  <si>
    <t>C15999</t>
  </si>
  <si>
    <t>C04144</t>
  </si>
  <si>
    <t>C05335</t>
  </si>
  <si>
    <t>C20858</t>
  </si>
  <si>
    <t>C11437</t>
  </si>
  <si>
    <t>C00681</t>
  </si>
  <si>
    <t>C00153</t>
  </si>
  <si>
    <t>C02876</t>
  </si>
  <si>
    <t>G10550</t>
  </si>
  <si>
    <t>C16634</t>
  </si>
  <si>
    <t>C00242</t>
  </si>
  <si>
    <t>C00385</t>
  </si>
  <si>
    <t>C00147</t>
  </si>
  <si>
    <t>C04051</t>
  </si>
  <si>
    <t>C00262</t>
  </si>
  <si>
    <t>C04646</t>
  </si>
  <si>
    <t>C16619</t>
  </si>
  <si>
    <t>C16615</t>
  </si>
  <si>
    <t>C00106</t>
  </si>
  <si>
    <t>C04574</t>
  </si>
  <si>
    <t>C05688</t>
  </si>
  <si>
    <t>C00036</t>
  </si>
  <si>
    <t>C00166</t>
  </si>
  <si>
    <t>C01179</t>
  </si>
  <si>
    <t>C05528</t>
  </si>
  <si>
    <t>C05527</t>
  </si>
  <si>
    <t>C05946</t>
  </si>
  <si>
    <t>C00141</t>
  </si>
  <si>
    <t>C00671</t>
  </si>
  <si>
    <t>C00112</t>
  </si>
  <si>
    <t>C00015</t>
  </si>
  <si>
    <t>C00454</t>
  </si>
  <si>
    <t>C03028</t>
  </si>
  <si>
    <t>C22442</t>
  </si>
  <si>
    <t>C00229</t>
  </si>
  <si>
    <t>C16463</t>
  </si>
  <si>
    <t>C19085</t>
  </si>
  <si>
    <t>C17322</t>
  </si>
  <si>
    <t>C00033</t>
  </si>
  <si>
    <t>C03523</t>
  </si>
  <si>
    <t>C00405</t>
  </si>
  <si>
    <t>C11477</t>
  </si>
  <si>
    <t>C00475</t>
  </si>
  <si>
    <t>C00387</t>
  </si>
  <si>
    <t>C00330</t>
  </si>
  <si>
    <t>C00214</t>
  </si>
  <si>
    <t>C00526</t>
  </si>
  <si>
    <t>C03150</t>
  </si>
  <si>
    <t>C01762</t>
  </si>
  <si>
    <t>C05841</t>
  </si>
  <si>
    <t>C00911</t>
  </si>
  <si>
    <t>C05512</t>
  </si>
  <si>
    <t>C00224</t>
  </si>
  <si>
    <t>C00416</t>
  </si>
  <si>
    <t>C00189</t>
  </si>
  <si>
    <t>C15647</t>
  </si>
  <si>
    <t>C05402</t>
  </si>
  <si>
    <t>C05404</t>
  </si>
  <si>
    <t>G01275</t>
  </si>
  <si>
    <t>G00501</t>
  </si>
  <si>
    <t>C00031</t>
  </si>
  <si>
    <t>C00530</t>
  </si>
  <si>
    <t>C02323</t>
  </si>
  <si>
    <t>C00148</t>
  </si>
  <si>
    <t>C00695</t>
  </si>
  <si>
    <t>C02528</t>
  </si>
  <si>
    <t>C20451</t>
  </si>
  <si>
    <t>C00047</t>
  </si>
  <si>
    <t>C03373</t>
  </si>
  <si>
    <t>C01134</t>
  </si>
  <si>
    <t>C04309</t>
  </si>
  <si>
    <t>C16698</t>
  </si>
  <si>
    <t>C00122</t>
  </si>
  <si>
    <t>C00712</t>
  </si>
  <si>
    <t>C06056</t>
  </si>
  <si>
    <t>C11838</t>
  </si>
  <si>
    <t>C02984</t>
  </si>
  <si>
    <t>C02987</t>
  </si>
  <si>
    <t>C19723</t>
  </si>
  <si>
    <t>C00253</t>
  </si>
  <si>
    <t>C01563</t>
  </si>
  <si>
    <t>C00007</t>
  </si>
  <si>
    <t>C00011</t>
  </si>
  <si>
    <t>C00016</t>
  </si>
  <si>
    <t>C00026</t>
  </si>
  <si>
    <t>C00037</t>
  </si>
  <si>
    <t>C00039</t>
  </si>
  <si>
    <t>C00040</t>
  </si>
  <si>
    <t>C00046</t>
  </si>
  <si>
    <t>C00062</t>
  </si>
  <si>
    <t>C00066</t>
  </si>
  <si>
    <t>C00078</t>
  </si>
  <si>
    <t>C00094</t>
  </si>
  <si>
    <t>C00116</t>
  </si>
  <si>
    <t>C00119</t>
  </si>
  <si>
    <t>C00121</t>
  </si>
  <si>
    <t>C00155</t>
  </si>
  <si>
    <t>C00163</t>
  </si>
  <si>
    <t>C00184</t>
  </si>
  <si>
    <t>C00197</t>
  </si>
  <si>
    <t>C00209</t>
  </si>
  <si>
    <t>C00236</t>
  </si>
  <si>
    <t>C00240</t>
  </si>
  <si>
    <t>C00245</t>
  </si>
  <si>
    <t>C00255</t>
  </si>
  <si>
    <t>C00257</t>
  </si>
  <si>
    <t>C00258</t>
  </si>
  <si>
    <t>C00267</t>
  </si>
  <si>
    <t>C00283</t>
  </si>
  <si>
    <t>C00288</t>
  </si>
  <si>
    <t>C00302</t>
  </si>
  <si>
    <t>C00320</t>
  </si>
  <si>
    <t>C00354</t>
  </si>
  <si>
    <t>C00378</t>
  </si>
  <si>
    <t>C00445</t>
  </si>
  <si>
    <t>C00446</t>
  </si>
  <si>
    <t>C00447</t>
  </si>
  <si>
    <t>C00513</t>
  </si>
  <si>
    <t>C00615</t>
  </si>
  <si>
    <t>C00831</t>
  </si>
  <si>
    <t>C00857</t>
  </si>
  <si>
    <t>C00864</t>
  </si>
  <si>
    <t>C00882</t>
  </si>
  <si>
    <t>C00984</t>
  </si>
  <si>
    <t>C01094</t>
  </si>
  <si>
    <t>C01107</t>
  </si>
  <si>
    <t>C01143</t>
  </si>
  <si>
    <t>C01212</t>
  </si>
  <si>
    <t>C01217</t>
  </si>
  <si>
    <t>C01279</t>
  </si>
  <si>
    <t>C01977</t>
  </si>
  <si>
    <t>C01997</t>
  </si>
  <si>
    <t>C02090</t>
  </si>
  <si>
    <t>C02188</t>
  </si>
  <si>
    <t>C02342</t>
  </si>
  <si>
    <t>C02415</t>
  </si>
  <si>
    <t>C02743</t>
  </si>
  <si>
    <t>C03089</t>
  </si>
  <si>
    <t>C03170</t>
  </si>
  <si>
    <t>C03294</t>
  </si>
  <si>
    <t>C03479</t>
  </si>
  <si>
    <t>C03492</t>
  </si>
  <si>
    <t>C03617</t>
  </si>
  <si>
    <t>C03688</t>
  </si>
  <si>
    <t>C03803</t>
  </si>
  <si>
    <t>C03892</t>
  </si>
  <si>
    <t>C04079</t>
  </si>
  <si>
    <t>C04153</t>
  </si>
  <si>
    <t>C04157</t>
  </si>
  <si>
    <t>C04160</t>
  </si>
  <si>
    <t>C04161</t>
  </si>
  <si>
    <t>C04261</t>
  </si>
  <si>
    <t>C04341</t>
  </si>
  <si>
    <t>C04432</t>
  </si>
  <si>
    <t>C04501</t>
  </si>
  <si>
    <t>C04556</t>
  </si>
  <si>
    <t>C04640</t>
  </si>
  <si>
    <t>C04752</t>
  </si>
  <si>
    <t>C04877</t>
  </si>
  <si>
    <t>C05378</t>
  </si>
  <si>
    <t>C05382</t>
  </si>
  <si>
    <t>C05892</t>
  </si>
  <si>
    <t>C09306</t>
  </si>
  <si>
    <t>C11475</t>
  </si>
  <si>
    <t>C11826</t>
  </si>
  <si>
    <t>C11827</t>
  </si>
  <si>
    <t>C15811</t>
  </si>
  <si>
    <t>C15813</t>
  </si>
  <si>
    <t>C15814</t>
  </si>
  <si>
    <t>C16663</t>
  </si>
  <si>
    <t>C16664</t>
  </si>
  <si>
    <t>C17556</t>
  </si>
  <si>
    <t>C20565</t>
  </si>
  <si>
    <t>C20648</t>
  </si>
  <si>
    <t>C20743</t>
  </si>
  <si>
    <t>C20751</t>
  </si>
  <si>
    <t>C20796</t>
  </si>
  <si>
    <t>C20864</t>
  </si>
  <si>
    <t>C20969</t>
  </si>
  <si>
    <t>G10554</t>
  </si>
  <si>
    <t>G10557</t>
  </si>
  <si>
    <t>G10610</t>
  </si>
  <si>
    <t>G10619</t>
  </si>
  <si>
    <t>G11109</t>
  </si>
  <si>
    <t>G11113</t>
  </si>
  <si>
    <t>C00030</t>
  </si>
  <si>
    <t>C00152</t>
  </si>
  <si>
    <t>C00332</t>
  </si>
  <si>
    <t>C00653</t>
  </si>
  <si>
    <t>C00692</t>
  </si>
  <si>
    <t>C00787</t>
  </si>
  <si>
    <t>C00886</t>
  </si>
  <si>
    <t>C00993</t>
  </si>
  <si>
    <t>C01635</t>
  </si>
  <si>
    <t>C01636</t>
  </si>
  <si>
    <t>C01639</t>
  </si>
  <si>
    <t>C01642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</si>
  <si>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</si>
  <si>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</si>
  <si>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</si>
  <si>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</si>
  <si>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</si>
  <si>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</si>
  <si>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</si>
  <si>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</si>
  <si>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</si>
  <si>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</si>
  <si>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C01931</t>
  </si>
  <si>
    <t>C02047</t>
  </si>
  <si>
    <t>C02128</t>
  </si>
  <si>
    <t>C02163</t>
  </si>
  <si>
    <t>C02412</t>
  </si>
  <si>
    <t>C02553</t>
  </si>
  <si>
    <t>C02554</t>
  </si>
  <si>
    <t>C02702</t>
  </si>
  <si>
    <t>C02839</t>
  </si>
  <si>
    <t>C02992</t>
  </si>
  <si>
    <t>C03125</t>
  </si>
  <si>
    <t>C03127</t>
  </si>
  <si>
    <t>C03511</t>
  </si>
  <si>
    <t>C03512</t>
  </si>
  <si>
    <t>C04260</t>
  </si>
  <si>
    <t>C04298</t>
  </si>
  <si>
    <t>C04334</t>
  </si>
  <si>
    <t>C05336</t>
  </si>
  <si>
    <t>C05691</t>
  </si>
  <si>
    <t>C05703</t>
  </si>
  <si>
    <t>C06481</t>
  </si>
  <si>
    <t>C13179</t>
  </si>
  <si>
    <t>C16636</t>
  </si>
  <si>
    <t>C18902</t>
  </si>
  <si>
    <t>G13167</t>
  </si>
  <si>
    <t>G13170</t>
  </si>
  <si>
    <t>G13171</t>
  </si>
  <si>
    <t>G13174</t>
  </si>
  <si>
    <t>G13175</t>
  </si>
  <si>
    <t>G13176</t>
  </si>
  <si>
    <t>G13177</t>
  </si>
  <si>
    <t>G13178</t>
  </si>
  <si>
    <t>G13180</t>
  </si>
  <si>
    <t>G13185</t>
  </si>
  <si>
    <t>G13186</t>
  </si>
  <si>
    <t>G13192</t>
  </si>
  <si>
    <t>G13193</t>
  </si>
  <si>
    <t>C00028</t>
  </si>
  <si>
    <t>Water</t>
  </si>
  <si>
    <t>ATP</t>
  </si>
  <si>
    <t>NAD+</t>
  </si>
  <si>
    <t>NADH</t>
  </si>
  <si>
    <t>NADPH</t>
  </si>
  <si>
    <t>NADP+</t>
  </si>
  <si>
    <t>Oxygen</t>
  </si>
  <si>
    <t>ADP</t>
  </si>
  <si>
    <t xml:space="preserve">Phosphoric Acid </t>
  </si>
  <si>
    <t>CoA</t>
  </si>
  <si>
    <t xml:space="preserve">Carbon Dioxide </t>
  </si>
  <si>
    <t>peptide</t>
  </si>
  <si>
    <t xml:space="preserve">Diphosphoric Acid </t>
  </si>
  <si>
    <t>Ammonia</t>
  </si>
  <si>
    <t>UDP</t>
  </si>
  <si>
    <t>FAD</t>
  </si>
  <si>
    <t>SAM</t>
  </si>
  <si>
    <t>AMP</t>
  </si>
  <si>
    <t>S-Adenosyl-L-Homocysteine(SAH)</t>
  </si>
  <si>
    <t>Pyridoxal Phosphate(PLP)</t>
  </si>
  <si>
    <t xml:space="preserve">Pyruvate </t>
  </si>
  <si>
    <t>Acetyl-CoA</t>
  </si>
  <si>
    <t xml:space="preserve">2-Oxoglutarate </t>
  </si>
  <si>
    <t xml:space="preserve">Hydrogen Peroxide </t>
  </si>
  <si>
    <t>Acceptor</t>
  </si>
  <si>
    <t xml:space="preserve">Reduced Acceptor </t>
  </si>
  <si>
    <t>D-Glucose</t>
  </si>
  <si>
    <t>L-Glutamate</t>
  </si>
  <si>
    <t>Acetate</t>
  </si>
  <si>
    <t>GDP</t>
  </si>
  <si>
    <t>Oxaloacetate</t>
  </si>
  <si>
    <t>Glycine</t>
  </si>
  <si>
    <t>DNA</t>
  </si>
  <si>
    <t>Acyl-CoA</t>
  </si>
  <si>
    <t>L-Alanine</t>
  </si>
  <si>
    <t>UDP-N-Acetyl-Alpha-D-Glucosamine</t>
  </si>
  <si>
    <t>GTP</t>
  </si>
  <si>
    <t>RNA</t>
  </si>
  <si>
    <t>L-Lysine</t>
  </si>
  <si>
    <t>Glyoxylate</t>
  </si>
  <si>
    <t>L-Aspartate</t>
  </si>
  <si>
    <t>Glutathione</t>
  </si>
  <si>
    <t>UDP-D-Galactose</t>
  </si>
  <si>
    <t>3'-Phosphoadenylyl Sulfate/PAPS</t>
  </si>
  <si>
    <t xml:space="preserve">Adenosine 3',5'-bisphosphate </t>
  </si>
  <si>
    <t>Cytidine-5'-monophosphate/CMP</t>
  </si>
  <si>
    <t>Formate</t>
  </si>
  <si>
    <t xml:space="preserve">Carboxylate </t>
  </si>
  <si>
    <t>Flavin Mononucleotide/FMN</t>
  </si>
  <si>
    <t>L-Arginine</t>
  </si>
  <si>
    <t>CTP</t>
  </si>
  <si>
    <t>L-Glutamine</t>
  </si>
  <si>
    <t>L-Serine</t>
  </si>
  <si>
    <t xml:space="preserve">Thiamin Diphosphate </t>
  </si>
  <si>
    <t xml:space="preserve">Aldehyde </t>
  </si>
  <si>
    <t xml:space="preserve">L-Methionine </t>
  </si>
  <si>
    <t xml:space="preserve">Phosphoenolpyruvate </t>
  </si>
  <si>
    <t>UTP</t>
  </si>
  <si>
    <t>L-Tryptophan</t>
  </si>
  <si>
    <t>L-Phenylalanine</t>
  </si>
  <si>
    <t>H+</t>
  </si>
  <si>
    <t>ITP</t>
  </si>
  <si>
    <t>L-Tyrosine</t>
  </si>
  <si>
    <t>Acetaldehyde</t>
  </si>
  <si>
    <t xml:space="preserve">D-Fructose </t>
  </si>
  <si>
    <t xml:space="preserve">Sucrose </t>
  </si>
  <si>
    <t xml:space="preserve">sn-Glycerol 3-Phosphate </t>
  </si>
  <si>
    <t xml:space="preserve">Sulfite </t>
  </si>
  <si>
    <t xml:space="preserve">L-Cysteine </t>
  </si>
  <si>
    <t>Propanoyl-CoA</t>
  </si>
  <si>
    <t xml:space="preserve">Tetrahydrofolate </t>
  </si>
  <si>
    <t xml:space="preserve">Glucose 1-Phosphate </t>
  </si>
  <si>
    <t>IDP</t>
  </si>
  <si>
    <t>UMP</t>
  </si>
  <si>
    <t>Uracil</t>
  </si>
  <si>
    <t xml:space="preserve">2-Oxobutanoate </t>
  </si>
  <si>
    <t xml:space="preserve">Glycerone Phosphate </t>
  </si>
  <si>
    <t>CDP</t>
  </si>
  <si>
    <t xml:space="preserve">Choline </t>
  </si>
  <si>
    <t>Glycerol</t>
  </si>
  <si>
    <t xml:space="preserve">D-Ribose 5-Phosphate </t>
  </si>
  <si>
    <t xml:space="preserve">D-Glyceraldehyde 3-Phosphate </t>
  </si>
  <si>
    <t xml:space="preserve">5-Phospho-alpha-D-ribose 1-diphosphate </t>
  </si>
  <si>
    <t>D-Ribose</t>
  </si>
  <si>
    <t>Fumarate</t>
  </si>
  <si>
    <t>L-Leucine</t>
  </si>
  <si>
    <t xml:space="preserve">Isopentenyl Diphosphate </t>
  </si>
  <si>
    <t>IMP</t>
  </si>
  <si>
    <t>dATP</t>
  </si>
  <si>
    <t>D-Alanine</t>
  </si>
  <si>
    <t>Butanoyl-CoA</t>
  </si>
  <si>
    <t xml:space="preserve">3-Methyl-2-oxobutanoic acid </t>
  </si>
  <si>
    <t>5,10-Methylenetetrahydrofolate</t>
  </si>
  <si>
    <t>GMP</t>
  </si>
  <si>
    <t>Adenine</t>
  </si>
  <si>
    <t xml:space="preserve">L-Proline </t>
  </si>
  <si>
    <t>(S)-Malate</t>
  </si>
  <si>
    <t>L-Asparagine</t>
  </si>
  <si>
    <t>Nicotinamide</t>
  </si>
  <si>
    <t>L-Homocysteine</t>
  </si>
  <si>
    <t xml:space="preserve">Phosphatidylcholine </t>
  </si>
  <si>
    <t>Citrate</t>
  </si>
  <si>
    <t>Glycolate</t>
  </si>
  <si>
    <t>2-Oxo acid</t>
  </si>
  <si>
    <t>Propanoate</t>
  </si>
  <si>
    <t>Phenylpyruvate</t>
  </si>
  <si>
    <t xml:space="preserve">Carbamoyl Phosphate </t>
  </si>
  <si>
    <t xml:space="preserve">5'-Methylthioadenosine </t>
  </si>
  <si>
    <t>Acyl-[acyl-carrier protein]</t>
  </si>
  <si>
    <t>L-Valine</t>
  </si>
  <si>
    <t>Glycerone</t>
  </si>
  <si>
    <t>(S)-Lactate</t>
  </si>
  <si>
    <t>L-Threonine</t>
  </si>
  <si>
    <t xml:space="preserve">Ethanolamine </t>
  </si>
  <si>
    <t xml:space="preserve">3-Phospho-D-glycerate </t>
  </si>
  <si>
    <t xml:space="preserve">D-Ribulose 5-phosphate </t>
  </si>
  <si>
    <t>NTP</t>
  </si>
  <si>
    <t>UDP-N-acetyl-D-galactosamine</t>
  </si>
  <si>
    <t>dADP</t>
  </si>
  <si>
    <t xml:space="preserve">Oxalate </t>
  </si>
  <si>
    <t xml:space="preserve">Adenosine </t>
  </si>
  <si>
    <t xml:space="preserve">Thymidine </t>
  </si>
  <si>
    <t xml:space="preserve">D-Glutamate </t>
  </si>
  <si>
    <t xml:space="preserve">Adenylyl Sulfate </t>
  </si>
  <si>
    <t>Primary Alcohol</t>
  </si>
  <si>
    <t>Acetyl Phosphate</t>
  </si>
  <si>
    <t xml:space="preserve">Acyl-carrier protein </t>
  </si>
  <si>
    <t xml:space="preserve">D-Xylulose 5-Phosphate </t>
  </si>
  <si>
    <t xml:space="preserve">4-Methyl-2-oxopentanoate </t>
  </si>
  <si>
    <t>10-Formyltetrahydrofolate</t>
  </si>
  <si>
    <t>Dimethylallyl diphosphate</t>
  </si>
  <si>
    <t>3-Phospho-D-glyceroyl phosphate</t>
  </si>
  <si>
    <t>dCMP</t>
  </si>
  <si>
    <t>Amide</t>
  </si>
  <si>
    <t>Guanine</t>
  </si>
  <si>
    <t>Taurine</t>
  </si>
  <si>
    <t>Pyridoxal</t>
  </si>
  <si>
    <t>Nicotinate</t>
  </si>
  <si>
    <t>Riboflavin</t>
  </si>
  <si>
    <t>(R)-Lactate</t>
  </si>
  <si>
    <t xml:space="preserve">D-Gluconic Acid </t>
  </si>
  <si>
    <t>D-Glycerate</t>
  </si>
  <si>
    <t>Hypoxanthine</t>
  </si>
  <si>
    <t>L-Homoserine</t>
  </si>
  <si>
    <t>CDP-diacylglycerol</t>
  </si>
  <si>
    <t>Tetrahydrobiopterin</t>
  </si>
  <si>
    <t xml:space="preserve">Hydrogen Sulfide </t>
  </si>
  <si>
    <t>dGTP</t>
  </si>
  <si>
    <t>HCO3-</t>
  </si>
  <si>
    <t>Inosine</t>
  </si>
  <si>
    <t>Orotate</t>
  </si>
  <si>
    <t>Uridine</t>
  </si>
  <si>
    <t>ADP-ribose</t>
  </si>
  <si>
    <t xml:space="preserve">Glutamate </t>
  </si>
  <si>
    <t>Oxalyl-CoA</t>
  </si>
  <si>
    <t>Pyridoxine</t>
  </si>
  <si>
    <t>Thiosulfate</t>
  </si>
  <si>
    <t>Deoxyguanosine</t>
  </si>
  <si>
    <t>Acetoacetyl-CoA</t>
  </si>
  <si>
    <t>(S)-Dihydroorotate</t>
  </si>
  <si>
    <t>Thioredoxin</t>
  </si>
  <si>
    <t xml:space="preserve">Thioredoxin disulfide </t>
  </si>
  <si>
    <t>6-Phospho-D-gluconate</t>
  </si>
  <si>
    <t>Phosphatidylethanolamine</t>
  </si>
  <si>
    <t>D-Glucosamine 6-phosphate</t>
  </si>
  <si>
    <t>D-Fructose 1,6-bisphosphate</t>
  </si>
  <si>
    <t>(S)-3-Hydroxy-3-methylglutaryl-CoA</t>
  </si>
  <si>
    <t>N-Acetyl-D-glucosamine 6-phosphate</t>
  </si>
  <si>
    <t>dAMP</t>
  </si>
  <si>
    <t>dGDP</t>
  </si>
  <si>
    <t>dGMP</t>
  </si>
  <si>
    <t>dTMP</t>
  </si>
  <si>
    <t>dUMP</t>
  </si>
  <si>
    <t>Starch</t>
  </si>
  <si>
    <t>Retinal</t>
  </si>
  <si>
    <t>Thiamine</t>
  </si>
  <si>
    <t>Xanthine</t>
  </si>
  <si>
    <t xml:space="preserve">Guanosine </t>
  </si>
  <si>
    <t>D-Amino acid</t>
  </si>
  <si>
    <t>L-Isoleucine</t>
  </si>
  <si>
    <t>Dihydrofolate</t>
  </si>
  <si>
    <t>Phosphatidate</t>
  </si>
  <si>
    <t>N-Carbamoyl-L-aspartate</t>
  </si>
  <si>
    <t>( R )-Mevalonate</t>
  </si>
  <si>
    <t>L-Aspartate 4-semialdehyde</t>
  </si>
  <si>
    <t>5,10-Methenyltetrahydrofolate</t>
  </si>
  <si>
    <t xml:space="preserve">alpha-D-Galactose 1-phosphate </t>
  </si>
  <si>
    <t>Sedoheptulose 1,7-bisphosphate</t>
  </si>
  <si>
    <t>NDP</t>
  </si>
  <si>
    <t>Nicotinamide-D-ribonucleotide</t>
  </si>
  <si>
    <t>dCTP</t>
  </si>
  <si>
    <t>dTTP</t>
  </si>
  <si>
    <t>dUTP</t>
  </si>
  <si>
    <t>Ethanol</t>
  </si>
  <si>
    <t>Retinol</t>
  </si>
  <si>
    <t>Cytidine</t>
  </si>
  <si>
    <t>Raffinose</t>
  </si>
  <si>
    <t>ADP-glucose</t>
  </si>
  <si>
    <t>Folate</t>
  </si>
  <si>
    <t>L-Cysteate</t>
  </si>
  <si>
    <t>CDP-glycerol</t>
  </si>
  <si>
    <t>Deoxyuridine</t>
  </si>
  <si>
    <t>Hydroquinone</t>
  </si>
  <si>
    <t>Pyridoxamine</t>
  </si>
  <si>
    <t>Deoxyadenosine</t>
  </si>
  <si>
    <t>(3S)-Citryl-CoA</t>
  </si>
  <si>
    <t xml:space="preserve">Betaine aldehyde </t>
  </si>
  <si>
    <t>Protein tyrosine</t>
  </si>
  <si>
    <t>2,3-Dehydroacyl-CoA</t>
  </si>
  <si>
    <t>3-Sulfino-L-alanine</t>
  </si>
  <si>
    <t>Protein histidine</t>
  </si>
  <si>
    <t>Pyridoxine phosphate</t>
  </si>
  <si>
    <t>2-Phospho-D-glycerate</t>
  </si>
  <si>
    <t>N-Acetyl-D-mannosamine</t>
  </si>
  <si>
    <t>Pyridoxamine phosphate</t>
  </si>
  <si>
    <t>Poly(ribitol phosphate)</t>
  </si>
  <si>
    <t>Xanthosine 5'-phosphate</t>
  </si>
  <si>
    <t>beta-D-Glucose 1-phosphate</t>
  </si>
  <si>
    <t>LL-2,6-Diaminoheptanedioate</t>
  </si>
  <si>
    <t xml:space="preserve">alpha-D-Glucose 6-phosphate </t>
  </si>
  <si>
    <t>(S)-3-Methyl-2-oxopentanoic acid</t>
  </si>
  <si>
    <t>2-Deoxy-D-ribose 5-phosphate</t>
  </si>
  <si>
    <t>Deoxynucleoside triphosphate</t>
  </si>
  <si>
    <t>meso-2,6-Diaminoheptanedioate</t>
  </si>
  <si>
    <t>1-Acyl-sn-glycerol 3-phosphate</t>
  </si>
  <si>
    <t>UDP-N-acetylmuramoyl-L-alanyl-D-glutamate</t>
  </si>
  <si>
    <t>Cholic Acid</t>
  </si>
  <si>
    <t>dCDP</t>
  </si>
  <si>
    <t>(9Z)-Octadecenoic acid</t>
  </si>
  <si>
    <t>Amylose</t>
  </si>
  <si>
    <t>1-Octanol</t>
  </si>
  <si>
    <t>Mevaldate</t>
  </si>
  <si>
    <t>tRNA(Tyr)</t>
  </si>
  <si>
    <t>Formyl-CoA</t>
  </si>
  <si>
    <t>D-Glutamine</t>
  </si>
  <si>
    <t>dTDP-glucose</t>
  </si>
  <si>
    <t xml:space="preserve">Pantethiene </t>
  </si>
  <si>
    <t>Deamino-NAD+</t>
  </si>
  <si>
    <t>Pantothenate</t>
  </si>
  <si>
    <t>tRNA uridine</t>
  </si>
  <si>
    <t>Deoxycytidine</t>
  </si>
  <si>
    <t>Dephospho-CoA</t>
  </si>
  <si>
    <t>L-Alanyl-tRNA</t>
  </si>
  <si>
    <t>Ribonucleoside</t>
  </si>
  <si>
    <t>sugar phosphate</t>
  </si>
  <si>
    <t>Mercaptopyruvate</t>
  </si>
  <si>
    <t>O-Acetyl-L-serine</t>
  </si>
  <si>
    <t>alpha-D-Galactose</t>
  </si>
  <si>
    <t>D-Alanyl-D-alanine</t>
  </si>
  <si>
    <t>O-Phospho-L-serine</t>
  </si>
  <si>
    <t>UDP-N-acetylmuramate</t>
  </si>
  <si>
    <t>D-Fructose 1-phosphate</t>
  </si>
  <si>
    <t>D-Tagatose 6-phosphate</t>
  </si>
  <si>
    <t>O-Phospho-L-homoserine</t>
  </si>
  <si>
    <t xml:space="preserve">Orotidine 5'-phosphate </t>
  </si>
  <si>
    <t>(R)-5-Phosphomevalonate</t>
  </si>
  <si>
    <t>Pantetheine 4'-phosphate</t>
  </si>
  <si>
    <t>(R)-5-Diphosphomevalonate</t>
  </si>
  <si>
    <t>Protein tyrosine phosphate</t>
  </si>
  <si>
    <t>UDP-N-acetyl-D-mannosamine</t>
  </si>
  <si>
    <t>beta-D-Glucose 6-phosphate</t>
  </si>
  <si>
    <t>3-(4-Hydroxyphenyl)pyruvate</t>
  </si>
  <si>
    <t>Nicotinate D-ribonucleotide</t>
  </si>
  <si>
    <t>UDP-N-acetylmuramoyl-L-alanine</t>
  </si>
  <si>
    <t>5,6,7,8-Tetrahydromethanopterin</t>
  </si>
  <si>
    <t>D-Glucono-1,5-lactone 6-phosphate</t>
  </si>
  <si>
    <t>P1,P4-Bis(5'-adenosyl)tetraphosphate</t>
  </si>
  <si>
    <t>4-Amino-5-hydroxymethyl-2-methylpyrimidine</t>
  </si>
  <si>
    <t>dUDP</t>
  </si>
  <si>
    <t>Butanal</t>
  </si>
  <si>
    <t>Ketone</t>
  </si>
  <si>
    <t>Hydrogen Selenide</t>
  </si>
  <si>
    <t>Octanal</t>
  </si>
  <si>
    <t>Carbamate</t>
  </si>
  <si>
    <t>Secondary alcohol</t>
  </si>
  <si>
    <t>Stachyose</t>
  </si>
  <si>
    <t>tRNA(Ala)</t>
  </si>
  <si>
    <t>tRNA(Arg)</t>
  </si>
  <si>
    <t>tRNA(Asp)</t>
  </si>
  <si>
    <t>tRNA(Cys)</t>
  </si>
  <si>
    <t>tRNA(Glu)</t>
  </si>
  <si>
    <t>tRNA(Gly)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</si>
  <si>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</si>
  <si>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</si>
  <si>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</si>
  <si>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</si>
  <si>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</si>
  <si>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</si>
  <si>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</si>
  <si>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</si>
  <si>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</si>
  <si>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</si>
  <si>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Xanthosine</t>
  </si>
  <si>
    <t>Deoxyribose</t>
  </si>
  <si>
    <t>Glycocholate</t>
  </si>
  <si>
    <t>L-Lysyl-tRNA</t>
  </si>
  <si>
    <t>tRNA guanine</t>
  </si>
  <si>
    <t>Histone N6-acetyl-L-lysine</t>
  </si>
  <si>
    <t>L-Leucyl-tRNA</t>
  </si>
  <si>
    <t>Trypanothione</t>
  </si>
  <si>
    <t>dTDP-galactose</t>
  </si>
  <si>
    <t>5'-Phospho-DNA</t>
  </si>
  <si>
    <t xml:space="preserve">Acyl phosphate </t>
  </si>
  <si>
    <t>L-Arginyl-tRNA(Arg)</t>
  </si>
  <si>
    <t>Protein lysine</t>
  </si>
  <si>
    <t>tRNA precursor</t>
  </si>
  <si>
    <t>Salicyl alcohol</t>
  </si>
  <si>
    <t>beta-D-Fructose</t>
  </si>
  <si>
    <t xml:space="preserve"> 'Activated'  tRNA</t>
  </si>
  <si>
    <t>6-Mercaptopurine</t>
  </si>
  <si>
    <t>Glycyl-tRNA(Gly)</t>
  </si>
  <si>
    <t>Histone-L-lysine</t>
  </si>
  <si>
    <t>L-Methionyl-tRNA</t>
  </si>
  <si>
    <t>2-Hydroxymuconate</t>
  </si>
  <si>
    <t>5'-Ribonucleotide</t>
  </si>
  <si>
    <t>Chenodeoxycholate</t>
  </si>
  <si>
    <t>L-Seryl-tRNA(Ser)</t>
  </si>
  <si>
    <t xml:space="preserve">L-Valyl-tRNA(Val) </t>
  </si>
  <si>
    <t>Protein glutamine</t>
  </si>
  <si>
    <t>L-Prolyl-tRNA(Pro)</t>
  </si>
  <si>
    <t>[Protein]-L-cysteine </t>
  </si>
  <si>
    <t>tRNA pseudouridine</t>
  </si>
  <si>
    <t>L-Tyrosyl-tRNA(Tyr)</t>
  </si>
  <si>
    <t>Propanoyl phosphate</t>
  </si>
  <si>
    <t>(2-Naphthyl)methanol</t>
  </si>
  <si>
    <t>7,8-Dihydrobiopterin</t>
  </si>
  <si>
    <t>D-Allose 6-phosphate</t>
  </si>
  <si>
    <t>L-Aspartyl-tRNA(Asp)</t>
  </si>
  <si>
    <t>L-Glutamyl-tRNA(Glu)</t>
  </si>
  <si>
    <t>L-Threonyl-tRNA(Thr)</t>
  </si>
  <si>
    <t xml:space="preserve">Peptide-L-methionine </t>
  </si>
  <si>
    <t xml:space="preserve">Thiamine Triphosphate </t>
  </si>
  <si>
    <t>(S)-2-Aminobutanoate</t>
  </si>
  <si>
    <t>4-Phospho-L-aspartate</t>
  </si>
  <si>
    <t>5-Methylthio-D-ribose</t>
  </si>
  <si>
    <t>5-Phosphoribosylamine</t>
  </si>
  <si>
    <t>L-Cysteinyl-tRNA(Cys)</t>
  </si>
  <si>
    <t>L-Isoleucyl-tRNA(Ile)</t>
  </si>
  <si>
    <t>Nicotinamide-beta-riboside</t>
  </si>
  <si>
    <t>Trypanothione disulfide</t>
  </si>
  <si>
    <t>S-Methyl-L-methionine</t>
  </si>
  <si>
    <t>(R)-10-Hydroxystearate</t>
  </si>
  <si>
    <t>N-Formylmethionyl-tRNA</t>
  </si>
  <si>
    <t>3-Phospho-D-erythronate</t>
  </si>
  <si>
    <t>Aminoimidazole Ribotide</t>
  </si>
  <si>
    <t>gamma-Oxalocrotonate</t>
  </si>
  <si>
    <t>Folinic Acid</t>
  </si>
  <si>
    <t>D-4'-Phosphopantothenate</t>
  </si>
  <si>
    <t>L-Phenylalanyl-tRNA(Phe)</t>
  </si>
  <si>
    <t>L-Tryptophanyl-tRNA(Trp)</t>
  </si>
  <si>
    <t xml:space="preserve">N-Substituted amino acid </t>
  </si>
  <si>
    <t>S-Ribosyl-L-homocysteine</t>
  </si>
  <si>
    <t>L-Methionylaminoacyl-tRNA</t>
  </si>
  <si>
    <t>Peptidylproline (omega=0)</t>
  </si>
  <si>
    <t>Apo-[acyl-carrier protein]</t>
  </si>
  <si>
    <t>Ribonucleoside diphosphate</t>
  </si>
  <si>
    <t>D-Tagatose 1,6-bisphosphate</t>
  </si>
  <si>
    <t>N6-(1,2-Dicarboxyethyl)-AMP</t>
  </si>
  <si>
    <t>Peptidylproline (omega=180)</t>
  </si>
  <si>
    <t>Protein S-methyl-L-cysteine</t>
  </si>
  <si>
    <t>Ribonucleoside triphosphate</t>
  </si>
  <si>
    <t>Ribosomal-protein L-alanine</t>
  </si>
  <si>
    <t>5'-Phosphoribosylglycinamide</t>
  </si>
  <si>
    <t>N-Substituted aminoacyl-tRNA</t>
  </si>
  <si>
    <t>Phosphatidylglycerophosphate</t>
  </si>
  <si>
    <t>Peptide-L-methionine (S)-S-oxide</t>
  </si>
  <si>
    <t>2,3,4,5-Tetrahydrodipicolinate</t>
  </si>
  <si>
    <t>5-Amino-4-imidazolecarboxyamide</t>
  </si>
  <si>
    <t>N-((R)-Pantothenoyl)-L-cysteine</t>
  </si>
  <si>
    <t>Tetrahydropteroyltri-L-glutamate</t>
  </si>
  <si>
    <t>rRNA containing N2-methylguanine</t>
  </si>
  <si>
    <t>tRNA containing N1-methylguanine</t>
  </si>
  <si>
    <t>tRNA containing N7-methylguanine</t>
  </si>
  <si>
    <t>tRNA containing a thionucleotide</t>
  </si>
  <si>
    <t>2'-Deoxyribonucleoside diphosphate</t>
  </si>
  <si>
    <t>5-Fluorodeoxyuridine monophosphate</t>
  </si>
  <si>
    <t>DNA containing 6-O-methylguanine</t>
  </si>
  <si>
    <t>N-Formyl-L-methionylaminoacyl-tRNA</t>
  </si>
  <si>
    <t>O-D-Alanyl-poly(ribitol phosphate)</t>
  </si>
  <si>
    <t>Protein N(pi)-phospho-L-histidine</t>
  </si>
  <si>
    <t>Holo-[citrate (pro-3S)-lyase]</t>
  </si>
  <si>
    <t>Phosphoenol-4-deoxy-3-tetrulosonate</t>
  </si>
  <si>
    <t>Acetyl-[citrate (pro-3S)-lyase]</t>
  </si>
  <si>
    <t>Ribosomal-protein N-acetyl-L-alanine</t>
  </si>
  <si>
    <t>( R )- 4' - Phosphopantothenoyl -L-cysteine</t>
  </si>
  <si>
    <t>5'-Phosphoribosyl-N-formylglycinamide</t>
  </si>
  <si>
    <t>5,10-Methylenetetrahydromenthanopterin</t>
  </si>
  <si>
    <t>tRNA containing 6-isopentenyladenosine</t>
  </si>
  <si>
    <t>Deoxycholic acid</t>
  </si>
  <si>
    <t>5-Methyltetrahydropteroyltri-L-glutamate</t>
  </si>
  <si>
    <t>N-Acetyl-alpha-D-glucosamine 1-phosphate</t>
  </si>
  <si>
    <t>6-Phospho-beta-D-glucosyl-(1,4)-D-glucose</t>
  </si>
  <si>
    <t>4-Amino-2-methyl-5-(phosphooxymethyl)pyrimidine</t>
  </si>
  <si>
    <t>di-trans,poly-cis-Undecaprenyl diphosphate</t>
  </si>
  <si>
    <t>UDP-N-acetyl-3-(1-carboxyvinyl)-D-glucosamine</t>
  </si>
  <si>
    <t>2-(Formamido)-N1-(5'-phosphoribosyl)acetamidine</t>
  </si>
  <si>
    <t>6-Thioinosine-5'-monophosphate</t>
  </si>
  <si>
    <t>1-(5'-Phosphoribosyl)-5-amino-4-imidazolecarboxamide</t>
  </si>
  <si>
    <t>UDPMurNAc(oyl-L-Ala-D-gamma-Glu-L-Lys-D-Ala-D-Ala)</t>
  </si>
  <si>
    <t>1-(5'-Phosphoribosyl)-5-formamido-4-imidazolecarboxamide</t>
  </si>
  <si>
    <t>1-(5-Phospho-D-ribosyl)-5-amino-4-imidazolecarboxylate</t>
  </si>
  <si>
    <t>4-Amino-5-hydroxymethyl-2-methylpyrimidine diphosphate</t>
  </si>
  <si>
    <t>O-1-Alk-1-enyl-2-acyl-sn-glycero-3-phosphoethanolamine</t>
  </si>
  <si>
    <t>1-(5'-Phosphoribosyl)-5-amino-4-(N-succinocarboxamide)-imidazole</t>
  </si>
  <si>
    <t>MurAc(oyl-L-Ala-D-gamma-Glu-L-Lys-D-Ala-D-Ala)-diphospho-undecaprenol</t>
  </si>
  <si>
    <t>UDP-N-acetylmuramoyl-L-alanyl-gamma-D-glutamyl-meso-2,6-diaminopimelate</t>
  </si>
  <si>
    <t xml:space="preserve">UDP-N-acetylmuramoyl-L-alanyl-D-glutamyl-6-carboxyl-L-lysyl-D-alanyl-D-alanine </t>
  </si>
  <si>
    <t>Taurocholate</t>
  </si>
  <si>
    <t>5'-Deoxyadenosine</t>
  </si>
  <si>
    <t>L-Selenomethionine</t>
  </si>
  <si>
    <t>Selenomethionyl-tRNA(Met)</t>
  </si>
  <si>
    <t>beta-D-Fructose 6-phosphate</t>
  </si>
  <si>
    <t>beta-D-Fructose 1,6-bisphosphate</t>
  </si>
  <si>
    <t>Sedoheptulose 7-phosphate</t>
  </si>
  <si>
    <t>Melibiose</t>
  </si>
  <si>
    <t>D-Gal alpha 1-&gt;6D-Gal alpha 1-&gt;6D-Glucose</t>
  </si>
  <si>
    <t>3alpha,7alpha,26-Trihydroxy-5beta-cholestane</t>
  </si>
  <si>
    <t>3alpha,7alpha-Dihydroxy-5beta-cholestan-26-al</t>
  </si>
  <si>
    <t>Taurodeoxycholate</t>
  </si>
  <si>
    <t>Glycodeoxycholate</t>
  </si>
  <si>
    <t>Taurochenodeoxycholate</t>
  </si>
  <si>
    <t>Glycochenodeoxycholate</t>
  </si>
  <si>
    <t>Deoxyinosine</t>
  </si>
  <si>
    <t>S-Glutathionyl-L-cysteine</t>
  </si>
  <si>
    <t>3-Sulfinylpyruvate</t>
  </si>
  <si>
    <t>3-Sulfopyruvate</t>
  </si>
  <si>
    <t>3,4-Dihydroxyphenylethyleneglycol</t>
  </si>
  <si>
    <t>3,4-Dihydroxymandelaldehyde</t>
  </si>
  <si>
    <t>Selenite</t>
  </si>
  <si>
    <t>L-Selenocysteine</t>
  </si>
  <si>
    <t>Se-Adenosylselenomethionine</t>
  </si>
  <si>
    <t>Selenohomocysteine</t>
  </si>
  <si>
    <t>Methaneselenol</t>
  </si>
  <si>
    <t>3-Mercaptolactate</t>
  </si>
  <si>
    <t>Nicotinate D-ribonucleoside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</si>
  <si>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</si>
  <si>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</si>
  <si>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</si>
  <si>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</si>
  <si>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(4R)-4-Hydroxy-2-oxoglutarate</t>
  </si>
  <si>
    <t>L-erythro-4-Hydroxyglutamate</t>
  </si>
  <si>
    <t xml:space="preserve">2-Hydroxybutanoic acid </t>
  </si>
  <si>
    <t>O-Phospho-4-hydroxy-L-threonine</t>
  </si>
  <si>
    <t>4-Hydroxy-L-threonine</t>
  </si>
  <si>
    <t>alpha-D-Glucosamine 1-phosphate</t>
  </si>
  <si>
    <t>Arbutin 6-phosphate</t>
  </si>
  <si>
    <t>Salicin 6-phosphate</t>
  </si>
  <si>
    <t>2'-Deoxyinosine 5'-phosphate</t>
  </si>
  <si>
    <t>N-Acetyl-D-galactosamine 6-phosphate</t>
  </si>
  <si>
    <t xml:space="preserve">D-Galactosamine 6-phosphate </t>
  </si>
  <si>
    <t>L-Seryl-tRNA(Sec)</t>
  </si>
  <si>
    <t>trans-3-Chloro-2-propene-1-ol</t>
  </si>
  <si>
    <t>cis-3-Chloro-2-propene-1-ol</t>
  </si>
  <si>
    <t>trans-3-Chloroallyl aldehyde</t>
  </si>
  <si>
    <t>Chloral hydrate</t>
  </si>
  <si>
    <t>2-Hydroxy-5-methyl-cis,cis-muconate</t>
  </si>
  <si>
    <t>2-Oxo-5-methyl-cis-muconate</t>
  </si>
  <si>
    <t>Trichloroethanol</t>
  </si>
  <si>
    <t>Aldophosphamide</t>
  </si>
  <si>
    <t>Thioguanine</t>
  </si>
  <si>
    <t>5-FU</t>
  </si>
  <si>
    <t>beta-D-Ribopyranose</t>
  </si>
  <si>
    <t>3-Hexenol</t>
  </si>
  <si>
    <t>2'-Deoxy-5-hydroxymethylcytidine-5'-triphosphate</t>
  </si>
  <si>
    <t>1-Deoxy-D-xylulose 5-phosphate</t>
  </si>
  <si>
    <t>Formyl-L-methionyl peptide</t>
  </si>
  <si>
    <t>Methionyl peptide</t>
  </si>
  <si>
    <t>DNA containing guanine</t>
  </si>
  <si>
    <t>Sugar</t>
  </si>
  <si>
    <t>5-Fluorodeoxyuridine</t>
  </si>
  <si>
    <t>[GlcNAc-(1-&gt;4)-Mur2Ac(oyl-L-Ala-g-D-Glu-L-Lys-D-Ala-D-Ala)]n-diphosphoundecaprenol</t>
  </si>
  <si>
    <t>[GlcNAc-(1-&gt;4)-Mur2Ac(oyl-L-Ala-g-D-Glu-A2pm-D-Ala-D-Ala)]n-diphosphoundecaprenol</t>
  </si>
  <si>
    <t>(S)-4,5-Dihydroxypentane-2,3-dione</t>
  </si>
  <si>
    <t>Fleroxacin</t>
  </si>
  <si>
    <t>1-Hydroxymethylnaphthalene</t>
  </si>
  <si>
    <t>1-Naphthaldehyde</t>
  </si>
  <si>
    <t>2-Naphthaldehyde</t>
  </si>
  <si>
    <t>(S)-2-Hydroxyacid</t>
  </si>
  <si>
    <t>2-Acyl-1-(1-alkenyl)-sn-glycero-3-phosphate</t>
  </si>
  <si>
    <t>Peptide-L-methionine (R)-S-oxide</t>
  </si>
  <si>
    <t>5-Carboxyamino-1-(5-phospho-D-ribosyl)imidazole</t>
  </si>
  <si>
    <t>[Enzyme]-cysteine</t>
  </si>
  <si>
    <t>[Enzyme]-S-sulfanylcysteine</t>
  </si>
  <si>
    <t>Adenylyl-[sulfur-carrier protein]</t>
  </si>
  <si>
    <t>Thiocarboxy-[sulfur-carrier protein]</t>
  </si>
  <si>
    <t>L-Methionine (S)-S-oxide</t>
  </si>
  <si>
    <t>3-Hexenal</t>
  </si>
  <si>
    <t>cis-3-Chloroallyl aldehyde</t>
  </si>
  <si>
    <t>3',5'-Cyclic diGMP</t>
  </si>
  <si>
    <t>Alcophosphamide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</si>
  <si>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</si>
  <si>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</si>
  <si>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</si>
  <si>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</si>
  <si>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</si>
  <si>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6-Methylthiopurine 5'-monophosphate ribonucleotide</t>
  </si>
  <si>
    <t>6-Thioxanthine 5'-monophosphate</t>
  </si>
  <si>
    <t>6-Thioguanosine monophosphate</t>
  </si>
  <si>
    <t>5-Fluorouridine</t>
  </si>
  <si>
    <t>5-Fluorouridine monophosphate</t>
  </si>
  <si>
    <t>tRNA(Sec)</t>
  </si>
  <si>
    <t>beta-D-Ribofuranose</t>
  </si>
  <si>
    <t xml:space="preserve">Tryparedoxin </t>
  </si>
  <si>
    <t>Tryparedoxin disulfide</t>
  </si>
  <si>
    <t>Sucrose 6-phosphate</t>
  </si>
  <si>
    <t>N-Acetylmuramic acid 6-phosphate</t>
  </si>
  <si>
    <t>tRNA containing 2-thiouridine</t>
  </si>
  <si>
    <t>tRNA adenine</t>
  </si>
  <si>
    <t>di-trans,poly-cis-Undecaprenyl phosphate</t>
  </si>
  <si>
    <t>D-Allulose 6-phosphate</t>
  </si>
  <si>
    <t xml:space="preserve">Methylselenic acid </t>
  </si>
  <si>
    <t>tRNA with a 3' cytidine</t>
  </si>
  <si>
    <t>tRNA with a 3' CC end</t>
  </si>
  <si>
    <t>tRNA with a 3' CCA end</t>
  </si>
  <si>
    <t>[tRNA(Ile2)]-cytidine34</t>
  </si>
  <si>
    <t>[tRNA(Ile2)]-lysidine34</t>
  </si>
  <si>
    <t>2'-(5-Triphosphoribosyl)-3'-dephospho-CoA</t>
  </si>
  <si>
    <t>(2S,4S)-4-Hydroxy-2,3,4,5-tetrahydrodipicolinate</t>
  </si>
  <si>
    <t>tRNA hypoxanthine</t>
  </si>
  <si>
    <t>Cyclic di-3',5'-adenylate</t>
  </si>
  <si>
    <t>L-Threonylcarbamoyladenylate</t>
  </si>
  <si>
    <t>Adenine in rRNA</t>
  </si>
  <si>
    <t>O-Acetyl-ADP-ribose</t>
  </si>
  <si>
    <t>Protein N6-acetyl-L-lysine</t>
  </si>
  <si>
    <t>N6-L-Threonylcarbamoyladenine in tRNA</t>
  </si>
  <si>
    <t>N6-Dimethyladenine in rRNA</t>
  </si>
  <si>
    <t>Protein N5-methyl-L-glutamine</t>
  </si>
  <si>
    <t>5'Triphospho-[mRNA]</t>
  </si>
  <si>
    <t>Carboxyphosphate</t>
  </si>
  <si>
    <t>5-Hydroxymethylcytosine in DNA</t>
  </si>
  <si>
    <t>5-Fluorouridine diphosphate</t>
  </si>
  <si>
    <t>5-Fluorodeoxyuridine diphosphate</t>
  </si>
  <si>
    <t>[(4-D-Ala)-(2-GlcNAc)-Rib-ol-P]n-[Gro-P]m-beta-ManNAc-(1-&gt;4)-alpha-GlcNAc-P-peptidoglycan</t>
  </si>
  <si>
    <t>[(2-GlcNAc)-Rib-ol-P]n-[Gro-P]m-beta-ManNAc-(1-&gt;4)-alpha-GlcNAc-P-peptidoglycan</t>
  </si>
  <si>
    <t>Protodeoxyviolaceinic acid</t>
  </si>
  <si>
    <t>5-Deoxy-D-ribose</t>
  </si>
  <si>
    <t xml:space="preserve"> N6-Succino-2-amino-2'-deoxyadenylate</t>
  </si>
  <si>
    <t>dZMP</t>
  </si>
  <si>
    <t>dZDP</t>
  </si>
  <si>
    <t>UDP-glucose</t>
  </si>
  <si>
    <t xml:space="preserve">alpha-D-Glucose </t>
  </si>
  <si>
    <t xml:space="preserve">Sulfur Dioxide </t>
  </si>
  <si>
    <t>Object</t>
  </si>
  <si>
    <t>Manninotriose</t>
  </si>
  <si>
    <t>1,4-alpha-D-Glucan</t>
  </si>
  <si>
    <t>Sucrose 6'-phosphate</t>
  </si>
  <si>
    <t>UDP-N-acetyl-D-glucosamine</t>
  </si>
  <si>
    <t>alpha-Glycosylated WTA</t>
  </si>
  <si>
    <t>beta-Glycosylated WTA</t>
  </si>
  <si>
    <t>alpha-O-GlcNAcylated WTA</t>
  </si>
  <si>
    <t>beta-O-GlcNAcylated WTA</t>
  </si>
  <si>
    <t>(GlcNAc)1 (MurNAc)1 (*)1 (D-Ala-D-Ala-A2pm-gamma-D-Glu-Ala)1 (PP-Und)1</t>
  </si>
  <si>
    <t xml:space="preserve"> (Glc)2 (P)1</t>
  </si>
  <si>
    <t>(GlcNAc)1 (MurNAc)1 (D-Ala-D-Ala-Lys-D-Glu-Ala)1 (PP-Und)1</t>
  </si>
  <si>
    <t>(MurNAc)1 (D-Ala-D-Ala-Lys-D-Glu-Ala)1 (PP-Und)1</t>
  </si>
  <si>
    <t>(GlcNAc)1 (MurNAc)1 (D-Ala-D-Ala-Lys-gamma-D-Glu-Ala)1 (PP-Und)1</t>
  </si>
  <si>
    <t>(GlcNAc)1 (MurNAc)1 (*)1 (D-Ala-D-Ala-Lys-gamma-D-Glu-Ala)1 (PP-Und)1</t>
  </si>
  <si>
    <t>(GlcNAc)1 (MurNAc)1 (D-Ala-D-Ala-A2pm-gamma-D-Glu-Ala)1 (PP-Und)1</t>
  </si>
  <si>
    <t>(MurNAc)1 (D-Ala-D-Ala-Lys-gamma-D-Glu-Ala)1 (PP-Und)1</t>
  </si>
  <si>
    <t>(MurNAc)1 (D-Ala-D-Ala-A2pm-gamma-D-Glu-Ala)1 (PP-Und)1</t>
  </si>
  <si>
    <t>(Ala)1 (Glc)1 (GlcNAc)1 (Gro)1 (ManNAc)1 (Rib-ol)2 (*)1 (P)3 (PP-Und)1</t>
  </si>
  <si>
    <t>(Ala)1 (GlcNAc)2 (Gro)2 (ManNAc)1 (Rib-ol)1 (*)1 (P)3 (PP-Und)1</t>
  </si>
  <si>
    <t xml:space="preserve"> (GlcNAc)2 (Gro)2 (ManNAc)1 (Rib-ol)1 (*)1 (P)3 (PP-Und)1</t>
  </si>
  <si>
    <t>(Ala)1 (Glc)1 (GlcNAc)1 (Gro)2 (ManNAc)1 (*)1 (P)2 (PP-Und)1</t>
  </si>
  <si>
    <t xml:space="preserve"> (DAG)1 (Glc)2 (GlcNAc)1 (Gro)2 (*)1 (P)2</t>
  </si>
  <si>
    <t>(Ala)1 (DAG)1 (Glc)2 (GlcNAc)1 (Gro)2 (*)1 (P)2</t>
  </si>
  <si>
    <t>(DAG)1 (Gal)2 (Glc)1 (Gro)2 (*)1 (P)2</t>
  </si>
  <si>
    <t>(Ala)1 (DAG)1 (Gal)2 (Glc)1 (Gro)2 (*)1 (P)2</t>
  </si>
  <si>
    <t>Assembly level</t>
  </si>
  <si>
    <t>Complete Genome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</si>
  <si>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</si>
  <si>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</si>
  <si>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</si>
  <si>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</si>
  <si>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</si>
  <si>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</si>
  <si>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</si>
  <si>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</si>
  <si>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</si>
  <si>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</si>
  <si>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 xml:space="preserve">Genes </t>
  </si>
  <si>
    <t xml:space="preserve">Protein-coding </t>
  </si>
  <si>
    <t xml:space="preserve">Chromosome </t>
  </si>
  <si>
    <t>Ref Seq</t>
  </si>
  <si>
    <t>GenBank</t>
  </si>
  <si>
    <t xml:space="preserve">CheckM analysis </t>
  </si>
  <si>
    <t>Completeness</t>
  </si>
  <si>
    <t>Contamination</t>
  </si>
  <si>
    <t>Metabolites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</si>
  <si>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</si>
  <si>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</si>
  <si>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</si>
  <si>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</si>
  <si>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</si>
  <si>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>Transcription Equation</t>
  </si>
  <si>
    <t>Translation Equation</t>
  </si>
  <si>
    <t>C00114 + C00003</t>
  </si>
  <si>
    <t>C00114 + C00006</t>
  </si>
  <si>
    <t>C00226 + C00003</t>
  </si>
  <si>
    <t>C00418 + C00003</t>
  </si>
  <si>
    <t>C00469 + C00003</t>
  </si>
  <si>
    <t>C00473 + C00003</t>
  </si>
  <si>
    <t>C00756 + C00003</t>
  </si>
  <si>
    <t>C01612 + C00003</t>
  </si>
  <si>
    <t>C02909 + C00003</t>
  </si>
  <si>
    <t>C05444 + C00003</t>
  </si>
  <si>
    <t>C05576 + C00003</t>
  </si>
  <si>
    <t>C06611 + C00003</t>
  </si>
  <si>
    <t>C06612 + C00003</t>
  </si>
  <si>
    <t>C06899 + C00004 + C00080</t>
  </si>
  <si>
    <t>C07645 + C00004 + C00080</t>
  </si>
  <si>
    <t>C14089 + C00003</t>
  </si>
  <si>
    <t>C16310 + C00004 + C00080</t>
  </si>
  <si>
    <t>C16586 + C00003</t>
  </si>
  <si>
    <t>C16595 + C00003</t>
  </si>
  <si>
    <t>C00186  + C00003</t>
  </si>
  <si>
    <t>C05823 + C00003</t>
  </si>
  <si>
    <t>C05984 + C00003</t>
  </si>
  <si>
    <t>C00263 + C00003</t>
  </si>
  <si>
    <t>C00263 + C00006</t>
  </si>
  <si>
    <t>C00345 + C00006</t>
  </si>
  <si>
    <t>C00092 + C00006</t>
  </si>
  <si>
    <t>C01172 + C00006</t>
  </si>
  <si>
    <t>C00093 + C00003</t>
  </si>
  <si>
    <t>C00093 + C00006</t>
  </si>
  <si>
    <t>C00160 + C00007</t>
  </si>
  <si>
    <t>C15565 + C00007</t>
  </si>
  <si>
    <t>C03972 + C00003 + C00001</t>
  </si>
  <si>
    <t>C03972 + C00006 + C00001</t>
  </si>
  <si>
    <t>C00206 + C00343 + C00001</t>
  </si>
  <si>
    <t>C00361 + C00343 + C00001</t>
  </si>
  <si>
    <t>C00705 + C00343 + C00001</t>
  </si>
  <si>
    <t>C01346 + C00343 + C00001</t>
  </si>
  <si>
    <t>C04232 + C00343 + C00001</t>
  </si>
  <si>
    <t>C04232 + C03170 + C00001</t>
  </si>
  <si>
    <t>C04232 + C16664 + C00001</t>
  </si>
  <si>
    <t>C21750 + C00343 + C00001</t>
  </si>
  <si>
    <t>C00131 + C00343 + C00001</t>
  </si>
  <si>
    <t>C00286 + C00343 + C00001</t>
  </si>
  <si>
    <t>C00458 + C00343 + C00001</t>
  </si>
  <si>
    <t>C00460 + C00343 + C00001</t>
  </si>
  <si>
    <t>C00677 + C00343 + C00001</t>
  </si>
  <si>
    <t>C00084 + C00010 + C00003</t>
  </si>
  <si>
    <t>C01412 + C00010 + C00003</t>
  </si>
  <si>
    <t>C00441 + C00009 + C00006</t>
  </si>
  <si>
    <t>C00022 + C00009 + C00007</t>
  </si>
  <si>
    <t>C00337 + C00003</t>
  </si>
  <si>
    <t>C01050 + C00003</t>
  </si>
  <si>
    <t>C01050 + C00006</t>
  </si>
  <si>
    <t>C00314 + C00007</t>
  </si>
  <si>
    <t>C00534 + C00001 + C00007</t>
  </si>
  <si>
    <t>C00627 + C00007</t>
  </si>
  <si>
    <t>C00647 + C00001 + C00007</t>
  </si>
  <si>
    <t>C00101 + C00003</t>
  </si>
  <si>
    <t>C00101 + C00006</t>
  </si>
  <si>
    <t>C00272 + C00006</t>
  </si>
  <si>
    <t>C00415 + C00003</t>
  </si>
  <si>
    <t>C00415 + C00006</t>
  </si>
  <si>
    <t>C00130 + C00014 + C00006</t>
  </si>
  <si>
    <t>C00005 + C00080 + C18902</t>
  </si>
  <si>
    <t>C00097 + C00051 + C00006</t>
  </si>
  <si>
    <t>C00342 + C00006</t>
  </si>
  <si>
    <t>C01528 + C00006 + C00001</t>
  </si>
  <si>
    <t>C00073 + C00343 + C00001</t>
  </si>
  <si>
    <t>C03023 + C00343 + C00001</t>
  </si>
  <si>
    <t>C00019 + C00155</t>
  </si>
  <si>
    <t>C03172 + C00155</t>
  </si>
  <si>
    <t>C04489 + C00155</t>
  </si>
  <si>
    <t>C05698 + C04489</t>
  </si>
  <si>
    <t>C00019 + C00240</t>
  </si>
  <si>
    <t>C00019 + C20648</t>
  </si>
  <si>
    <t>C00019 + C01977</t>
  </si>
  <si>
    <t>C02583 + C00019</t>
  </si>
  <si>
    <t>C00365 + C00143</t>
  </si>
  <si>
    <t>C04250 + C02743</t>
  </si>
  <si>
    <t>C00065 + C01217</t>
  </si>
  <si>
    <t>C00143 + C00037 + C00001</t>
  </si>
  <si>
    <t>C00234 + C03838</t>
  </si>
  <si>
    <t>C03838 + C00445 + C00001</t>
  </si>
  <si>
    <t>C00234 + C04677</t>
  </si>
  <si>
    <t>C02430 + C00234</t>
  </si>
  <si>
    <t>C00169 + C00049</t>
  </si>
  <si>
    <t>C00022 + C00118</t>
  </si>
  <si>
    <t>C00093 + C00040</t>
  </si>
  <si>
    <t>C00173 + C00093</t>
  </si>
  <si>
    <t>C00605 + C00093</t>
  </si>
  <si>
    <t>C00024 + C06156</t>
  </si>
  <si>
    <t>C20641 + C17324</t>
  </si>
  <si>
    <t>C00024 + C03803</t>
  </si>
  <si>
    <t>C00173 + C00009</t>
  </si>
  <si>
    <t>C02133 + C00093</t>
  </si>
  <si>
    <t>C00003 + C01997 + C00001</t>
  </si>
  <si>
    <t>C00003 + C20743 + C00001</t>
  </si>
  <si>
    <t>C00024 + C00009</t>
  </si>
  <si>
    <t>C00100 + C00009</t>
  </si>
  <si>
    <t>C00356 + C00010</t>
  </si>
  <si>
    <t>C00369 + C00009</t>
  </si>
  <si>
    <t>C00718 + C00009</t>
  </si>
  <si>
    <t>C00498 + C00718</t>
  </si>
  <si>
    <t>C04851 + C00043</t>
  </si>
  <si>
    <t>C05897 + C00043</t>
  </si>
  <si>
    <t>C00089 + C00009</t>
  </si>
  <si>
    <t>C01103 + C00013</t>
  </si>
  <si>
    <t>C07649 + C00119</t>
  </si>
  <si>
    <t>C03090 + C00013 + C00025</t>
  </si>
  <si>
    <t>C00144 + C00013</t>
  </si>
  <si>
    <t>C00655 + C00013</t>
  </si>
  <si>
    <t>C00002 + C00882</t>
  </si>
  <si>
    <t>C00020 + C00013</t>
  </si>
  <si>
    <t>C04677 + C00013</t>
  </si>
  <si>
    <t>C00130 + C00013</t>
  </si>
  <si>
    <t>C02380 + C00119</t>
  </si>
  <si>
    <t>C07648 + C00119</t>
  </si>
  <si>
    <t>C16614 + C00119</t>
  </si>
  <si>
    <t>C00105 + C00013</t>
  </si>
  <si>
    <t>C05893 + C11826</t>
  </si>
  <si>
    <t>C05898 + C11827</t>
  </si>
  <si>
    <t>C00979 + C00283</t>
  </si>
  <si>
    <t>C00979 + C00320 + C00342 + C00080</t>
  </si>
  <si>
    <t>C00979 + C01528</t>
  </si>
  <si>
    <t>C01005 + C00283</t>
  </si>
  <si>
    <t>C00002 + C05335 + C00001</t>
  </si>
  <si>
    <t>C00009 + C00013 + C00019</t>
  </si>
  <si>
    <t>C00074 + C00043</t>
  </si>
  <si>
    <t>C00235 + C17324</t>
  </si>
  <si>
    <t>C00049 + C00026</t>
  </si>
  <si>
    <t>C00079 + C00026</t>
  </si>
  <si>
    <t>C00082 + C00026</t>
  </si>
  <si>
    <t>C00097 + C00026</t>
  </si>
  <si>
    <t>C00506 + C00026</t>
  </si>
  <si>
    <t>C00606 + C00026</t>
  </si>
  <si>
    <t>C05947 + C00026</t>
  </si>
  <si>
    <t>C00064 + C00085</t>
  </si>
  <si>
    <t>C00123 + C00026</t>
  </si>
  <si>
    <t>C00183 + C00026</t>
  </si>
  <si>
    <t>C00407 + C00026</t>
  </si>
  <si>
    <t>C02356 + C00026</t>
  </si>
  <si>
    <t>C00002 + C00085</t>
  </si>
  <si>
    <t>C00002 + C05382</t>
  </si>
  <si>
    <t>C00004 + C05345</t>
  </si>
  <si>
    <t>C00063 + C00085</t>
  </si>
  <si>
    <t>C00063 + C01097</t>
  </si>
  <si>
    <t>C00075 + C00085</t>
  </si>
  <si>
    <t>C00075 + C01097</t>
  </si>
  <si>
    <t>C00081 + C00085</t>
  </si>
  <si>
    <t>C00081 + C01097</t>
  </si>
  <si>
    <t>C01097 + C00002</t>
  </si>
  <si>
    <t>C00002 + C00257</t>
  </si>
  <si>
    <t>C00074 + C00184</t>
  </si>
  <si>
    <t>C00002 + C00121</t>
  </si>
  <si>
    <t>C00673 + C00008</t>
  </si>
  <si>
    <t>C00002 + C00214</t>
  </si>
  <si>
    <t>C00002 + C00526</t>
  </si>
  <si>
    <t>C11736 + C00002</t>
  </si>
  <si>
    <t>C00089 + C04261</t>
  </si>
  <si>
    <t>C00002 + C00003</t>
  </si>
  <si>
    <t>C00002 + C00255</t>
  </si>
  <si>
    <t>C00002 + C00116</t>
  </si>
  <si>
    <t>C00002 + C00258</t>
  </si>
  <si>
    <t>C00002 + C00831</t>
  </si>
  <si>
    <t>C00002 + C00864</t>
  </si>
  <si>
    <t>C00002 + C04079</t>
  </si>
  <si>
    <t>C00002 + C00418</t>
  </si>
  <si>
    <t>C00002 + C00263</t>
  </si>
  <si>
    <t>C00002 + C00022</t>
  </si>
  <si>
    <t>C00044 + C00022</t>
  </si>
  <si>
    <t>C00063 + C00022</t>
  </si>
  <si>
    <t>C00075 + C00022</t>
  </si>
  <si>
    <t>C00081 + C00022</t>
  </si>
  <si>
    <t>C00131 + C00022</t>
  </si>
  <si>
    <t>C00201 + C00022</t>
  </si>
  <si>
    <t>C00286 + C00022</t>
  </si>
  <si>
    <t>C00002 + C00299</t>
  </si>
  <si>
    <t>C00002 + C00475</t>
  </si>
  <si>
    <t>C00044 + C00299</t>
  </si>
  <si>
    <t>C00044 + C00475</t>
  </si>
  <si>
    <t>C16633 + C00002</t>
  </si>
  <si>
    <t>C00002 + C01279</t>
  </si>
  <si>
    <t>C00002 + C01094</t>
  </si>
  <si>
    <t>C00002 + C00984</t>
  </si>
  <si>
    <t>C00002 + C00585</t>
  </si>
  <si>
    <t>C00002 + C00615</t>
  </si>
  <si>
    <t>C00002 + C00033</t>
  </si>
  <si>
    <t>C00002 + C00163</t>
  </si>
  <si>
    <t>C00002 + C00197</t>
  </si>
  <si>
    <t>C00002 + C00049</t>
  </si>
  <si>
    <t>C00074 + C00615</t>
  </si>
  <si>
    <t>C00002 + C01107</t>
  </si>
  <si>
    <t>C00002 + C00105</t>
  </si>
  <si>
    <t>C00002 + C00055</t>
  </si>
  <si>
    <t>C00002 + C00239</t>
  </si>
  <si>
    <t>C00002 + C00020</t>
  </si>
  <si>
    <t>C00068 + C00008</t>
  </si>
  <si>
    <t>C00002 + C04556</t>
  </si>
  <si>
    <t>C00002 + C00144</t>
  </si>
  <si>
    <t>C00002 + C00362</t>
  </si>
  <si>
    <t>C22441 + C00002</t>
  </si>
  <si>
    <t>C00002 + C00117</t>
  </si>
  <si>
    <t>C00002 + C00378</t>
  </si>
  <si>
    <t>C00029 + C00446</t>
  </si>
  <si>
    <t>C00002 + C00455</t>
  </si>
  <si>
    <t>C00002 + C01185</t>
  </si>
  <si>
    <t>C00002 + C00061</t>
  </si>
  <si>
    <t>C00075 + C04501</t>
  </si>
  <si>
    <t>C00002 + C00103</t>
  </si>
  <si>
    <t>C00002 + C01134</t>
  </si>
  <si>
    <t>C00063 + C00093</t>
  </si>
  <si>
    <t>C00063 + C00416</t>
  </si>
  <si>
    <t>C00002 + C00046</t>
  </si>
  <si>
    <t>C00044 + C00046</t>
  </si>
  <si>
    <t>C00063 + C00046</t>
  </si>
  <si>
    <t>C00075 + C00046</t>
  </si>
  <si>
    <t>C00201 + C00046</t>
  </si>
  <si>
    <t>C00201 + C20864</t>
  </si>
  <si>
    <t>C19771 + C03688</t>
  </si>
  <si>
    <t>C00131 + C00039</t>
  </si>
  <si>
    <t>C00286 + C00039</t>
  </si>
  <si>
    <t>C00458 + C00039</t>
  </si>
  <si>
    <t>C00459 + C00039</t>
  </si>
  <si>
    <t>C00677 + C00039</t>
  </si>
  <si>
    <t>C02211 + C00063</t>
  </si>
  <si>
    <t>C02211 + C00063 + C00002</t>
  </si>
  <si>
    <t>C19078 + C00063</t>
  </si>
  <si>
    <t>C19080 + C00002</t>
  </si>
  <si>
    <t>C00188 + C00002 + C00288 + C00080</t>
  </si>
  <si>
    <t>C00075 + C00103</t>
  </si>
  <si>
    <t>C04702 + C17556</t>
  </si>
  <si>
    <t>C04882 + C17556</t>
  </si>
  <si>
    <t>C00269 + C00093</t>
  </si>
  <si>
    <t>C00010 + C03688</t>
  </si>
  <si>
    <t>C00868 + C15812 + C00002</t>
  </si>
  <si>
    <t>C00097 + C02342</t>
  </si>
  <si>
    <t>C15812 + C15813 + C00030</t>
  </si>
  <si>
    <t>C00024 + C00158</t>
  </si>
  <si>
    <t>C00798 + C00209</t>
  </si>
  <si>
    <t>C21811 + C00001</t>
  </si>
  <si>
    <t>C20658 + C00001</t>
  </si>
  <si>
    <t>C22131 + C00001</t>
  </si>
  <si>
    <t>C03880 + C00001</t>
  </si>
  <si>
    <t>C00934 + C00001</t>
  </si>
  <si>
    <t>C01167 + C00001</t>
  </si>
  <si>
    <t>C00020 + C00001</t>
  </si>
  <si>
    <t>C00055 + C00001</t>
  </si>
  <si>
    <t>C00105 + C00001</t>
  </si>
  <si>
    <t>C00130 + C00001</t>
  </si>
  <si>
    <t>C00144 + C00001</t>
  </si>
  <si>
    <t>C00239 + C00001</t>
  </si>
  <si>
    <t>C00360 + C00001</t>
  </si>
  <si>
    <t>C00362 + C00001</t>
  </si>
  <si>
    <t>C00364 + C00001</t>
  </si>
  <si>
    <t>C00365 + C00001</t>
  </si>
  <si>
    <t>C00455 + C00001</t>
  </si>
  <si>
    <t>C00655 + C00001</t>
  </si>
  <si>
    <t>C01185 + C00001</t>
  </si>
  <si>
    <t>C02520 + C00001</t>
  </si>
  <si>
    <t>C06196 + C00001</t>
  </si>
  <si>
    <t>C00053 + C00001</t>
  </si>
  <si>
    <t>C00054 + C00001</t>
  </si>
  <si>
    <t>C00157 + C00001</t>
  </si>
  <si>
    <t>C00350 + C00001</t>
  </si>
  <si>
    <t>C04756 + C00001</t>
  </si>
  <si>
    <t>C00089 + C00001</t>
  </si>
  <si>
    <t>C00492 + C00001</t>
  </si>
  <si>
    <t>C01613 + C00001</t>
  </si>
  <si>
    <t>C16688 + C00001</t>
  </si>
  <si>
    <t>C04534 + C00001</t>
  </si>
  <si>
    <t>C06187 + C00001</t>
  </si>
  <si>
    <t>C06188 + C00001</t>
  </si>
  <si>
    <t>C00021 + C00001</t>
  </si>
  <si>
    <t>C00170 + C00001</t>
  </si>
  <si>
    <t>C05198 + C00001</t>
  </si>
  <si>
    <t>C00012 + C00001</t>
  </si>
  <si>
    <t>C00064 + C00001</t>
  </si>
  <si>
    <t>C00241 + C00001</t>
  </si>
  <si>
    <t>C00819 + C00001</t>
  </si>
  <si>
    <t>C01921 + C00001</t>
  </si>
  <si>
    <t>C05122 + C00001</t>
  </si>
  <si>
    <t>C05463 + C00001</t>
  </si>
  <si>
    <t>C05464 + C00001</t>
  </si>
  <si>
    <t>C05465 + C00001</t>
  </si>
  <si>
    <t>C05466 + C00001</t>
  </si>
  <si>
    <t>C00357 + C00001</t>
  </si>
  <si>
    <t>C06376 + C00001</t>
  </si>
  <si>
    <t>C04258 + C00001</t>
  </si>
  <si>
    <t>C11439 + C00001</t>
  </si>
  <si>
    <t>C00337 + C00001</t>
  </si>
  <si>
    <t>C17324 + C00001</t>
  </si>
  <si>
    <t>C00212 + C00001</t>
  </si>
  <si>
    <t>C00559 + C00001</t>
  </si>
  <si>
    <t>C00352 + C00001</t>
  </si>
  <si>
    <t>C00013 + C00001</t>
  </si>
  <si>
    <t>C01260 + C00001</t>
  </si>
  <si>
    <t>C00009 + C00036</t>
  </si>
  <si>
    <t>C00002 + C01143</t>
  </si>
  <si>
    <t>C00002 + C00036</t>
  </si>
  <si>
    <t>C00256 + C00357</t>
  </si>
  <si>
    <t>C01102 + C00001</t>
  </si>
  <si>
    <t>C06055 + C00001</t>
  </si>
  <si>
    <t>C00441 + C00022</t>
  </si>
  <si>
    <t>C00043 + C00001</t>
  </si>
  <si>
    <t>C00645 + C00015</t>
  </si>
  <si>
    <t>C00002 + C00082 + C00787</t>
  </si>
  <si>
    <t>C00002 + C00073 + C01647</t>
  </si>
  <si>
    <t>C00002 + C05335 + C01647</t>
  </si>
  <si>
    <t>C00002 + C00065 + C01650</t>
  </si>
  <si>
    <t>C00002 + C00065 + C16636</t>
  </si>
  <si>
    <t>C01638 + C00049 + C00002</t>
  </si>
  <si>
    <t>C00002 + C00037 + C01642</t>
  </si>
  <si>
    <t>C00002 + C00148 + C01649</t>
  </si>
  <si>
    <t>C00002 + C00097 + C01639</t>
  </si>
  <si>
    <t>C01641 + C00025 + C00002</t>
  </si>
  <si>
    <t>C00002 + C00062 + C01636</t>
  </si>
  <si>
    <t>C00002 + C00078 + C01652</t>
  </si>
  <si>
    <t>C00002 + C00079 + C01648</t>
  </si>
  <si>
    <t>C00002 + C00188 + C01651</t>
  </si>
  <si>
    <t>C00002 + C00123 + C01645</t>
  </si>
  <si>
    <t>C00002 + C00407 + C01644</t>
  </si>
  <si>
    <t>C00002 + C00047 + C01646</t>
  </si>
  <si>
    <t>C00002 + C00041 + C01635</t>
  </si>
  <si>
    <t>C00002 + C00183 + C01653</t>
  </si>
  <si>
    <t>C00002 + C00033 + C04298</t>
  </si>
  <si>
    <t>C00002 + C00049 + C00014</t>
  </si>
  <si>
    <t>C00002 + C00025 + C00014</t>
  </si>
  <si>
    <t>C00002 + C00857 + C00014</t>
  </si>
  <si>
    <t>C00002 + C04877 + C00993</t>
  </si>
  <si>
    <t>C00002 + C05892 + C00993</t>
  </si>
  <si>
    <t>C00063 + C03492 + C00097</t>
  </si>
  <si>
    <t>C00002 + C04751 + C00049</t>
  </si>
  <si>
    <t>C00002 + C01050 + C00041</t>
  </si>
  <si>
    <t>C00002 + C01212 + C00217</t>
  </si>
  <si>
    <t>C00002 + C04640</t>
  </si>
  <si>
    <t>C00002 + C03479 + C00080</t>
  </si>
  <si>
    <t>C00002 + C03090 + C00037</t>
  </si>
  <si>
    <t>C00002 + C03373 + C00288</t>
  </si>
  <si>
    <t>C19722 + C00047 + C00002</t>
  </si>
  <si>
    <t>C00002 + C00075 + C00014</t>
  </si>
  <si>
    <t>C00002 + C00075 + C00064 + C00001</t>
  </si>
  <si>
    <t>C01185 + C00013 + C00008 + C00009</t>
  </si>
  <si>
    <t>C00101 + C00058 + C00002</t>
  </si>
  <si>
    <t>C00044 + C00130 + C00049</t>
  </si>
  <si>
    <t>C00002 + C00655 + C00014</t>
  </si>
  <si>
    <t>C00002 + C00655 + C00064 + C00001</t>
  </si>
  <si>
    <t>C16618 + C00002 + C00064 + C00001</t>
  </si>
  <si>
    <t>C00002 + C04376 + C00064 + C00001</t>
  </si>
  <si>
    <t>C00002 + C00049 + C00064 + C00001</t>
  </si>
  <si>
    <t>C00002 + C00064 + C00288 + C00001</t>
  </si>
  <si>
    <t>C00002 + C00288</t>
  </si>
  <si>
    <t>C00002 + C00288 + C00014</t>
  </si>
  <si>
    <t>C00002 + C01563</t>
  </si>
  <si>
    <t>C00014 + C20969</t>
  </si>
  <si>
    <t>C00003 + C00039 + C02128</t>
  </si>
  <si>
    <t>C00002 + C00001</t>
  </si>
  <si>
    <t>Reactants (Addition)</t>
  </si>
  <si>
    <t>C00576 + C00004 + C00080</t>
  </si>
  <si>
    <t>C00576 + C00005 + C00080</t>
  </si>
  <si>
    <t>C00071 + C00004 + C00080</t>
  </si>
  <si>
    <t>C00772 + C00004 + C00080</t>
  </si>
  <si>
    <t>C00084 + C00004 + C00080</t>
  </si>
  <si>
    <t>C00376 + C00004 + C00080</t>
  </si>
  <si>
    <t>C01545 + C00004 + C00080</t>
  </si>
  <si>
    <t>C01450 + C00004 + C00080</t>
  </si>
  <si>
    <t>C14099 + C00004 + C00080</t>
  </si>
  <si>
    <t>C05445 + C00004 + C00080</t>
  </si>
  <si>
    <t>C05577 + C00004 + C00080</t>
  </si>
  <si>
    <t>C06613 + C00004 + C00080</t>
  </si>
  <si>
    <t>C16348 + C00004 + C00080</t>
  </si>
  <si>
    <t>C07490 + C00003 + C00001</t>
  </si>
  <si>
    <t>C16551 + C00003</t>
  </si>
  <si>
    <t>C14090 + C00004 + C00080</t>
  </si>
  <si>
    <t>C08492 + C00003</t>
  </si>
  <si>
    <t>C16587 + C00004 + C00080</t>
  </si>
  <si>
    <t>C16596 + C00004 + C00080</t>
  </si>
  <si>
    <t>C00022 + C00004 + C00080</t>
  </si>
  <si>
    <t>C00957 + C00004 + C00080</t>
  </si>
  <si>
    <t>C00109 + C00004 + C00080</t>
  </si>
  <si>
    <t>C00441 + C00004 + C00080</t>
  </si>
  <si>
    <t>C00441 + C00005 + C00080</t>
  </si>
  <si>
    <t>C00199 + C00011 + C00005 + C00080</t>
  </si>
  <si>
    <t>C01236 + C00005 + C00080</t>
  </si>
  <si>
    <t>C00111 + C00004 + C00080</t>
  </si>
  <si>
    <t>C00111 + C00005 + C00080</t>
  </si>
  <si>
    <t>C00048 + C00027</t>
  </si>
  <si>
    <t>C00161 + C00027</t>
  </si>
  <si>
    <t>C20258 + C00004 + C00080</t>
  </si>
  <si>
    <t>C20258 + C00005 + C00080</t>
  </si>
  <si>
    <t>C00342 + C00008</t>
  </si>
  <si>
    <t>C00035 + C00342</t>
  </si>
  <si>
    <t>C00342 + C00112</t>
  </si>
  <si>
    <t>C00342 + C00015</t>
  </si>
  <si>
    <t>C03723 + C00342</t>
  </si>
  <si>
    <t>C03723 + C02090</t>
  </si>
  <si>
    <t>C03723 + C16663</t>
  </si>
  <si>
    <t>C21748 + C00342</t>
  </si>
  <si>
    <t>C00002 + C00342</t>
  </si>
  <si>
    <t>C00044 + C00342</t>
  </si>
  <si>
    <t>C00063 + C00342</t>
  </si>
  <si>
    <t>C00075 + C00342</t>
  </si>
  <si>
    <t>C03802 + C00342</t>
  </si>
  <si>
    <t>C00024 + C00004 + C00080</t>
  </si>
  <si>
    <t>C00136 + C00004 + C00080</t>
  </si>
  <si>
    <t>C03082 + C00005 + C00080</t>
  </si>
  <si>
    <t>C00227 + C00027 + C00011</t>
  </si>
  <si>
    <t>C00295 + C00080 + C00004</t>
  </si>
  <si>
    <t>C04631 + C00004 + C00080</t>
  </si>
  <si>
    <t>C04631 + C00005 + C00080</t>
  </si>
  <si>
    <t>C00250 + C00027</t>
  </si>
  <si>
    <t>C00250 + C00014 + C00027</t>
  </si>
  <si>
    <t>C00027 + C00018</t>
  </si>
  <si>
    <t>C00018 + C00014 + C00027</t>
  </si>
  <si>
    <t>C00504 + C00004 + C00080</t>
  </si>
  <si>
    <t>C00504 + C00005 + C00080</t>
  </si>
  <si>
    <t>C00415 + C00004 + C00080</t>
  </si>
  <si>
    <t>C00415 + C00005 + C00080</t>
  </si>
  <si>
    <t>C02953 + C00005 + C00080</t>
  </si>
  <si>
    <t>C00144 + C00005 + C00080</t>
  </si>
  <si>
    <t>C00006 + C00001 + C05703</t>
  </si>
  <si>
    <t>C05526 + C00005</t>
  </si>
  <si>
    <t>C00343 + C00005 + C00080</t>
  </si>
  <si>
    <t>C05684 + C00005 + C00080</t>
  </si>
  <si>
    <t>C15999 + C00342</t>
  </si>
  <si>
    <t>C03895 + C00342</t>
  </si>
  <si>
    <t>C15653 + C00342</t>
  </si>
  <si>
    <t>C00021 + C00073</t>
  </si>
  <si>
    <t>C04144 + C00073</t>
  </si>
  <si>
    <t>C05335 + C04144</t>
  </si>
  <si>
    <t>C00021 + C04153</t>
  </si>
  <si>
    <t>C00021 + C20796</t>
  </si>
  <si>
    <t>C00021 + C04157</t>
  </si>
  <si>
    <t>C20858 + C00021</t>
  </si>
  <si>
    <t>C00021 + C04160</t>
  </si>
  <si>
    <t>C00415 + C00364</t>
  </si>
  <si>
    <t>C03800 + C11475</t>
  </si>
  <si>
    <t>C04377 + C00037 + C00001</t>
  </si>
  <si>
    <t>C00101 + C00065</t>
  </si>
  <si>
    <t>C00101 + C04376</t>
  </si>
  <si>
    <t>C04376 + C00101</t>
  </si>
  <si>
    <t>C00101 + C04734</t>
  </si>
  <si>
    <t>C00101 + C03294</t>
  </si>
  <si>
    <t>C00009 + C00438</t>
  </si>
  <si>
    <t>C11437 + C00011</t>
  </si>
  <si>
    <t>C00681 + C00010</t>
  </si>
  <si>
    <t>C00681 + C00229</t>
  </si>
  <si>
    <t>C00010 + C00681</t>
  </si>
  <si>
    <t>C00010 + C04501</t>
  </si>
  <si>
    <t>C00020 + C20751</t>
  </si>
  <si>
    <t>C00010 + C04341</t>
  </si>
  <si>
    <t>C02133 + C00229</t>
  </si>
  <si>
    <t>C00681 + C00009</t>
  </si>
  <si>
    <t>C00153 + C02415 + C20658 + C00080</t>
  </si>
  <si>
    <t>C00153 + C02188 + C20658 + C00080</t>
  </si>
  <si>
    <t>C00010 + C00227</t>
  </si>
  <si>
    <t>C02876 + C00010</t>
  </si>
  <si>
    <t>C00024 + C00001 + C00332</t>
  </si>
  <si>
    <t>C00718 + C00103</t>
  </si>
  <si>
    <t>C00008 + C00718</t>
  </si>
  <si>
    <t>C05893 + C00015</t>
  </si>
  <si>
    <t>C05898 + C00015</t>
  </si>
  <si>
    <t>C00095 + C00103</t>
  </si>
  <si>
    <t>C00295 + C00119</t>
  </si>
  <si>
    <t>C16634 + C00013</t>
  </si>
  <si>
    <t>C00064 + C00119 + C00001</t>
  </si>
  <si>
    <t>C00242 + C00119</t>
  </si>
  <si>
    <t>C00385 + C00119</t>
  </si>
  <si>
    <t>C19771 + C00147</t>
  </si>
  <si>
    <t>C00147 + C00119</t>
  </si>
  <si>
    <t>C04051 + C00119</t>
  </si>
  <si>
    <t>C00262 + C00119</t>
  </si>
  <si>
    <t>C04646 + C00013</t>
  </si>
  <si>
    <t>C16619 + C00013</t>
  </si>
  <si>
    <t>C16615 + C00013</t>
  </si>
  <si>
    <t>C00106 + C00119</t>
  </si>
  <si>
    <t>C04574 + C11826</t>
  </si>
  <si>
    <t>C04574 + C11827</t>
  </si>
  <si>
    <t>C00097 + C00033</t>
  </si>
  <si>
    <t>C00097 + C00094 + C00343 + C00033</t>
  </si>
  <si>
    <t>C05688 + C00033</t>
  </si>
  <si>
    <t>C00097 + C00009</t>
  </si>
  <si>
    <t>C00009 + C00013 + C05691</t>
  </si>
  <si>
    <t>C00002 + C00073 + C00001</t>
  </si>
  <si>
    <t>C04631 + C00009</t>
  </si>
  <si>
    <t>C00013 + C04432</t>
  </si>
  <si>
    <t>C00036 + C00025</t>
  </si>
  <si>
    <t>C00166 + C00025</t>
  </si>
  <si>
    <t>C01179 + C00025</t>
  </si>
  <si>
    <t>C00957 + C00025</t>
  </si>
  <si>
    <t>C00957 + C00302</t>
  </si>
  <si>
    <t>C05528 + C00025</t>
  </si>
  <si>
    <t>C05527 + C00025</t>
  </si>
  <si>
    <t>C05946 + C00025</t>
  </si>
  <si>
    <t>C00025 + C00352</t>
  </si>
  <si>
    <t>C00233 + C00025</t>
  </si>
  <si>
    <t>C00141 + C00025</t>
  </si>
  <si>
    <t>C00671 + C00025</t>
  </si>
  <si>
    <t>C00109 + C00025</t>
  </si>
  <si>
    <t>C00008 + C00354</t>
  </si>
  <si>
    <t>C00008 + C00447</t>
  </si>
  <si>
    <t>C00008 + C05378</t>
  </si>
  <si>
    <t>C00112 + C00354</t>
  </si>
  <si>
    <t>C00112 + C03785</t>
  </si>
  <si>
    <t>C00015 + C00354</t>
  </si>
  <si>
    <t>C00015 + C03785</t>
  </si>
  <si>
    <t>C00104 + C00354</t>
  </si>
  <si>
    <t>C00104 + C03785</t>
  </si>
  <si>
    <t>C03785 + C00008</t>
  </si>
  <si>
    <t>C00008 + C00345</t>
  </si>
  <si>
    <t>C00022 + C00111</t>
  </si>
  <si>
    <t>C00008 + C00117</t>
  </si>
  <si>
    <t>C01801 + C00002</t>
  </si>
  <si>
    <t>C00008 + C00364</t>
  </si>
  <si>
    <t>C00008 + C00365</t>
  </si>
  <si>
    <t>C04242 + C00008</t>
  </si>
  <si>
    <t>C16688 + C00615</t>
  </si>
  <si>
    <t>C00008 + C00006</t>
  </si>
  <si>
    <t>C00008 + C00010</t>
  </si>
  <si>
    <t>C00008 + C00061</t>
  </si>
  <si>
    <t>C00008 + C00093</t>
  </si>
  <si>
    <t>C00008 + C00197</t>
  </si>
  <si>
    <t>C00008 + C01134</t>
  </si>
  <si>
    <t>C00008 + C03492</t>
  </si>
  <si>
    <t>C00008 + C04352</t>
  </si>
  <si>
    <t>C00008 + C01107</t>
  </si>
  <si>
    <t>C00008 + C01102</t>
  </si>
  <si>
    <t>C00008 + C00074</t>
  </si>
  <si>
    <t>C00035 + C00074</t>
  </si>
  <si>
    <t>C00112 + C00074</t>
  </si>
  <si>
    <t>C00015 + C00074</t>
  </si>
  <si>
    <t>C00104 + C00074</t>
  </si>
  <si>
    <t>C00206 + C00074</t>
  </si>
  <si>
    <t>C00454 + C00074</t>
  </si>
  <si>
    <t>C00361 + C00074</t>
  </si>
  <si>
    <t>C00008 + C00105</t>
  </si>
  <si>
    <t>C00008 + C00055</t>
  </si>
  <si>
    <t>C00035 + C00105</t>
  </si>
  <si>
    <t>C00035 + C00055</t>
  </si>
  <si>
    <t>C16634 + C00008</t>
  </si>
  <si>
    <t>C00008 + C04556</t>
  </si>
  <si>
    <t>C00008 + C00446</t>
  </si>
  <si>
    <t>C00008 + C01167</t>
  </si>
  <si>
    <t>C00008 + C00227</t>
  </si>
  <si>
    <t>C00008 + C02876</t>
  </si>
  <si>
    <t>C00008 + C00236</t>
  </si>
  <si>
    <t>C00008 + C03082</t>
  </si>
  <si>
    <t>C00022 + C04261</t>
  </si>
  <si>
    <t>C00008 + C01143</t>
  </si>
  <si>
    <t>C00008 + C00015</t>
  </si>
  <si>
    <t>C00008 + C00112</t>
  </si>
  <si>
    <t>C00008 + C00705</t>
  </si>
  <si>
    <t>C00008 + C00206</t>
  </si>
  <si>
    <t>C03028 + C00020</t>
  </si>
  <si>
    <t>C00008 + C04752</t>
  </si>
  <si>
    <t>C00008 + C00035</t>
  </si>
  <si>
    <t>C00008 + C00361</t>
  </si>
  <si>
    <t>C22442 + C00008</t>
  </si>
  <si>
    <t>C00020 + C00119</t>
  </si>
  <si>
    <t>C00020 + C00068</t>
  </si>
  <si>
    <t>C00103 + C00052</t>
  </si>
  <si>
    <t>C00013 + C00003</t>
  </si>
  <si>
    <t>C00013 + C00857</t>
  </si>
  <si>
    <t>C00013 + C00016</t>
  </si>
  <si>
    <t>C00013 + C00043</t>
  </si>
  <si>
    <t>C00013 + C00498</t>
  </si>
  <si>
    <t>C00013 + C00882</t>
  </si>
  <si>
    <t>C00013 + C00513</t>
  </si>
  <si>
    <t>C00013 + C00269</t>
  </si>
  <si>
    <t>C00013 + C00046</t>
  </si>
  <si>
    <t>C00229 + C00013</t>
  </si>
  <si>
    <t>C16463 + C00013</t>
  </si>
  <si>
    <t>C00013 + C00039</t>
  </si>
  <si>
    <t>C19078 + C00013</t>
  </si>
  <si>
    <t>C19085 + C00013</t>
  </si>
  <si>
    <t>C19080 + C00013</t>
  </si>
  <si>
    <t>C00013 + C20565</t>
  </si>
  <si>
    <t>C20641 + C00013 + C00001</t>
  </si>
  <si>
    <t>C00013 + C00029</t>
  </si>
  <si>
    <t>C00105 + C04851</t>
  </si>
  <si>
    <t>C00105 + C05897</t>
  </si>
  <si>
    <t>C00055 + C03892</t>
  </si>
  <si>
    <t>C00054 + C00229</t>
  </si>
  <si>
    <t>C17322 + C15811 + C00020 + C00013</t>
  </si>
  <si>
    <t>C00065 + C04161</t>
  </si>
  <si>
    <t>C00020 + C15814 + C15811 + C00028</t>
  </si>
  <si>
    <t>C00033 + C00566</t>
  </si>
  <si>
    <t>C00058 + C00313</t>
  </si>
  <si>
    <t>C21812 + C00133</t>
  </si>
  <si>
    <t>C00301 + C00033</t>
  </si>
  <si>
    <t>C03523 + C00066</t>
  </si>
  <si>
    <t>C00405 + C00066 + C00037 + C01635</t>
  </si>
  <si>
    <t>C11477 + C00009</t>
  </si>
  <si>
    <t>C00585 + C00009</t>
  </si>
  <si>
    <t>C00212 + C00009</t>
  </si>
  <si>
    <t>C00475 + C00009</t>
  </si>
  <si>
    <t>C00299 + C00009</t>
  </si>
  <si>
    <t>C00294 + C00009</t>
  </si>
  <si>
    <t>C00387 + C00009</t>
  </si>
  <si>
    <t>C00881 + C00009</t>
  </si>
  <si>
    <t>C00559 + C00009</t>
  </si>
  <si>
    <t>C00330 + C00009</t>
  </si>
  <si>
    <t>C00214 + C00009</t>
  </si>
  <si>
    <t>C00526 + C00009</t>
  </si>
  <si>
    <t>C03150 + C00009</t>
  </si>
  <si>
    <t>C01762 + C00009</t>
  </si>
  <si>
    <t>C05841 + C00009</t>
  </si>
  <si>
    <t>C00911 + C00009</t>
  </si>
  <si>
    <t>C05512 + C00009</t>
  </si>
  <si>
    <t>C00224 + C00009</t>
  </si>
  <si>
    <t>C00020 + C00009</t>
  </si>
  <si>
    <t>C00416 + C00114</t>
  </si>
  <si>
    <t>C00189 + C00416</t>
  </si>
  <si>
    <t>C15647 + C00189</t>
  </si>
  <si>
    <t>C00095 + C00031</t>
  </si>
  <si>
    <t>C02336 + C00267</t>
  </si>
  <si>
    <t>C05402 + C00095</t>
  </si>
  <si>
    <t>C05404 + C00095</t>
  </si>
  <si>
    <t>C00095 + C00092</t>
  </si>
  <si>
    <t>C00031 + C00092</t>
  </si>
  <si>
    <t>C00530 + C01172</t>
  </si>
  <si>
    <t>C02323 + C01172</t>
  </si>
  <si>
    <t>C03539 + C00147</t>
  </si>
  <si>
    <t>C00147 + C03089</t>
  </si>
  <si>
    <t>C22288 + C00147</t>
  </si>
  <si>
    <t>C00148 + C00012</t>
  </si>
  <si>
    <t>C00025 + C00014</t>
  </si>
  <si>
    <t>C00060 + C00014</t>
  </si>
  <si>
    <t>C00217 + C00014</t>
  </si>
  <si>
    <t>C00695 + C00037</t>
  </si>
  <si>
    <t>C00695 + C00245</t>
  </si>
  <si>
    <t>C04483 + C00245</t>
  </si>
  <si>
    <t>C04483 + C00037</t>
  </si>
  <si>
    <t>C02528 + C00245</t>
  </si>
  <si>
    <t>C02528 + C00037</t>
  </si>
  <si>
    <t>C00352 + C00033</t>
  </si>
  <si>
    <t>C06377 + C00033</t>
  </si>
  <si>
    <t>C00058 + C03617</t>
  </si>
  <si>
    <t>C11440 + C00058</t>
  </si>
  <si>
    <t>C20451 + C00014</t>
  </si>
  <si>
    <t>C00294 + C00014</t>
  </si>
  <si>
    <t>C05512 + C00014</t>
  </si>
  <si>
    <t>C00085 + C00014</t>
  </si>
  <si>
    <t>C00186 + C00011</t>
  </si>
  <si>
    <t>C00041 + C00011</t>
  </si>
  <si>
    <t>C00041 + C09306</t>
  </si>
  <si>
    <t>C00047 + C00011</t>
  </si>
  <si>
    <t>C03373 + C00011</t>
  </si>
  <si>
    <t>C00105 + C00011</t>
  </si>
  <si>
    <t>C00001 + C00074</t>
  </si>
  <si>
    <t>C00008 + C00009 + C00129 + C00011</t>
  </si>
  <si>
    <t>C01134 + C00011</t>
  </si>
  <si>
    <t>C00008 + C00074 + C00011</t>
  </si>
  <si>
    <t>C00798 + C00011</t>
  </si>
  <si>
    <t>C00118 + C00084</t>
  </si>
  <si>
    <t>C00024 + C00036</t>
  </si>
  <si>
    <t>C00033 + C00036</t>
  </si>
  <si>
    <t>C00074 + C00001</t>
  </si>
  <si>
    <t>C04309 + C00001</t>
  </si>
  <si>
    <t>C16698 + C00001</t>
  </si>
  <si>
    <t>C00122 + C00001</t>
  </si>
  <si>
    <t>C00712 + C00001</t>
  </si>
  <si>
    <t>C00188 + C00009</t>
  </si>
  <si>
    <t>C06056 + C00009</t>
  </si>
  <si>
    <t>C00122 + C00020</t>
  </si>
  <si>
    <t>C00122 + C04677</t>
  </si>
  <si>
    <t>C22441 + C00122</t>
  </si>
  <si>
    <t>C20258 + C00001</t>
  </si>
  <si>
    <t>C11838 + C00155</t>
  </si>
  <si>
    <t>C01170 + C00001</t>
  </si>
  <si>
    <t>C00020 + C00013 + C02839</t>
  </si>
  <si>
    <t>C00020 + C00013 + C02430</t>
  </si>
  <si>
    <t>C00020 + C00013 + C05336</t>
  </si>
  <si>
    <t>C00020 + C00013 + C02553</t>
  </si>
  <si>
    <t>C00020 + C00013 + C06481</t>
  </si>
  <si>
    <t>C02984 + C00013 + C00020</t>
  </si>
  <si>
    <t>C00020 + C00013 + C02412</t>
  </si>
  <si>
    <t>C00020 + C00013 + C02702</t>
  </si>
  <si>
    <t>C00020 + C00013 + C03125</t>
  </si>
  <si>
    <t>C02987 + C00013 + C00020</t>
  </si>
  <si>
    <t>C00020 + C00013 + C02163</t>
  </si>
  <si>
    <t>C00020 + C00013 + C03512</t>
  </si>
  <si>
    <t>C00020 + C00013 + C03511</t>
  </si>
  <si>
    <t>C00020 + C00013 + C02992</t>
  </si>
  <si>
    <t>C00020 + C00013 + C02047</t>
  </si>
  <si>
    <t>C00020 + C00013 + C03127</t>
  </si>
  <si>
    <t>C00020 + C00013 + C01931</t>
  </si>
  <si>
    <t>C00020 + C00013 + C00886</t>
  </si>
  <si>
    <t>C00020 + C00013 + C02554</t>
  </si>
  <si>
    <t>C00020 + C00013 + C04334</t>
  </si>
  <si>
    <t>C00020 + C00013 + C00152</t>
  </si>
  <si>
    <t>C00008 + C00009 + C00064</t>
  </si>
  <si>
    <t>C00020 + C00013 + C00003</t>
  </si>
  <si>
    <t>C00008 + C00009 + C04882</t>
  </si>
  <si>
    <t>C00008 + C00009 + C04702</t>
  </si>
  <si>
    <t>C00055 + C00013 + C04352</t>
  </si>
  <si>
    <t>C00008 + C00009 + C04823</t>
  </si>
  <si>
    <t>C00008 + C00009 + C01212</t>
  </si>
  <si>
    <t>C00008 + C00009 + C00692</t>
  </si>
  <si>
    <t>C00008 + C00009 + C03373</t>
  </si>
  <si>
    <t>C00008 + C00009 + C00445</t>
  </si>
  <si>
    <t>C00008 + C00009 + C03838</t>
  </si>
  <si>
    <t>C00008 + C00009 + C15667</t>
  </si>
  <si>
    <t>C19723 + C00020 + C00013 + C00001</t>
  </si>
  <si>
    <t>C00008 + C00009 + C00063</t>
  </si>
  <si>
    <t>C00253 + C00119 + C00002 + C00001 + C00080</t>
  </si>
  <si>
    <t>C00008 + C00009 + C00234</t>
  </si>
  <si>
    <t>C00035 + C00009 + C03794</t>
  </si>
  <si>
    <t>C00020 + C00013 + C00144</t>
  </si>
  <si>
    <t>C00020 + C00013 + C00144 + C00025</t>
  </si>
  <si>
    <t>C16619 + C00020 + C00013 + C00025</t>
  </si>
  <si>
    <t>C00008 + C00009 + C04640 + C00025</t>
  </si>
  <si>
    <t>C00020 + C00013 + C00152 + C00025</t>
  </si>
  <si>
    <t>C00008 + C00009 + C00025 + C00169</t>
  </si>
  <si>
    <t>C00008 + C20969</t>
  </si>
  <si>
    <t>C00008 + C00009 + C00169</t>
  </si>
  <si>
    <t>C00008 + C00169</t>
  </si>
  <si>
    <t>C01563 + C00009</t>
  </si>
  <si>
    <t>C00020 + C00455 + C00039</t>
  </si>
  <si>
    <t>C00008 + C00009</t>
  </si>
  <si>
    <t>Products (Addition)</t>
  </si>
  <si>
    <t>Products (Multiplication)</t>
  </si>
  <si>
    <t>Reactants (Multiplication)</t>
  </si>
  <si>
    <t>C00002  + C00133  + C00653</t>
  </si>
  <si>
    <t>C00002  + C00133  + G13167</t>
  </si>
  <si>
    <t>C00002  + C00133  + G13170</t>
  </si>
  <si>
    <t>C00002  + C00133  + G13174</t>
  </si>
  <si>
    <t>C00002  + C00133  + G13176</t>
  </si>
  <si>
    <t>C00002  + C00133  + G13178</t>
  </si>
  <si>
    <t>C00002  + C00133  + G13185</t>
  </si>
  <si>
    <t>C00002  + C00133  + G13192</t>
  </si>
  <si>
    <t>G10553  + G10554</t>
  </si>
  <si>
    <t>G10555  + G10557</t>
  </si>
  <si>
    <t>G10551  + G10610</t>
  </si>
  <si>
    <t>G10552  + G10610</t>
  </si>
  <si>
    <t>G10556  + G10610</t>
  </si>
  <si>
    <t>G10518  + C00001</t>
  </si>
  <si>
    <t>G10495  + G11109</t>
  </si>
  <si>
    <t>G10495  + C00009</t>
  </si>
  <si>
    <t>G10545  + C00009</t>
  </si>
  <si>
    <t>G00370  + C00009</t>
  </si>
  <si>
    <t>G00249  + C00001</t>
  </si>
  <si>
    <t>G00278  + C00001</t>
  </si>
  <si>
    <t>G00370  + C00001</t>
  </si>
  <si>
    <t>G10508  + C00001</t>
  </si>
  <si>
    <t>C00020  + C00013  + C04260</t>
  </si>
  <si>
    <t>C00020  + C00013  + G13180</t>
  </si>
  <si>
    <t>C00020  + C00013  + G13171</t>
  </si>
  <si>
    <t>C00020  + C00013  + G13175</t>
  </si>
  <si>
    <t>C00020  + C00013  + G13177</t>
  </si>
  <si>
    <t>C00020  + C00013  + C13179</t>
  </si>
  <si>
    <t>C00020  + C00013  + G13186</t>
  </si>
  <si>
    <t>C00020  + C00013  + G13193</t>
  </si>
  <si>
    <t>C04574  + G10554</t>
  </si>
  <si>
    <t>C04574  + G10557</t>
  </si>
  <si>
    <t>G10550  + G10619</t>
  </si>
  <si>
    <t>G10553  + G10619</t>
  </si>
  <si>
    <t>C00031  + C00092</t>
  </si>
  <si>
    <t>G10495  + G11113</t>
  </si>
  <si>
    <t>G10495  + C00103</t>
  </si>
  <si>
    <t>C00095  + C00103</t>
  </si>
  <si>
    <t>G01275  + C00095</t>
  </si>
  <si>
    <t>G00501  + C00095</t>
  </si>
  <si>
    <t>C00095  + C00031</t>
  </si>
  <si>
    <t>C02336  + C00267</t>
  </si>
  <si>
    <t>C02336  + C00668</t>
  </si>
  <si>
    <t>No</t>
  </si>
  <si>
    <t>Initial Concentration (mM)</t>
  </si>
  <si>
    <t>Enzyme Turnover (/s)</t>
  </si>
  <si>
    <t>Enzyme Km (mM)</t>
  </si>
  <si>
    <t>BBBR_RS09860</t>
  </si>
  <si>
    <t>WP_003827866.1</t>
  </si>
  <si>
    <t>NZ_AP012324.1</t>
  </si>
  <si>
    <t>BBBR_RS09855</t>
  </si>
  <si>
    <t>WP_019727627.1</t>
  </si>
  <si>
    <t>BBBR_RS10565</t>
  </si>
  <si>
    <t>WP_003827864.1</t>
  </si>
  <si>
    <t>BBBR_RS09845</t>
  </si>
  <si>
    <t>WP_025263371.1</t>
  </si>
  <si>
    <t>BBBR_RS09840</t>
  </si>
  <si>
    <t>WP_003827862.1</t>
  </si>
  <si>
    <t>R3H domain-containing nucleic acid-binding protein</t>
  </si>
  <si>
    <t>BBBR_RS09835</t>
  </si>
  <si>
    <t>WP_003827861.1</t>
  </si>
  <si>
    <t>BBBR_RS09830</t>
  </si>
  <si>
    <t>WP_003827858.1</t>
  </si>
  <si>
    <t>ParA family protein</t>
  </si>
  <si>
    <t>BBBR_RS09825</t>
  </si>
  <si>
    <t>WP_003827857.1</t>
  </si>
  <si>
    <t>BBBR_RS09820</t>
  </si>
  <si>
    <t>WP_003827856.1</t>
  </si>
  <si>
    <t>BBBR_RS09815</t>
  </si>
  <si>
    <t>WP_003827855.1</t>
  </si>
  <si>
    <t>murJ</t>
  </si>
  <si>
    <t>murein biosynthesis integral membrane protein MurJ</t>
  </si>
  <si>
    <t>BBBR_RS09810</t>
  </si>
  <si>
    <t>WP_003827854.1</t>
  </si>
  <si>
    <t>DUF6049 family protein</t>
  </si>
  <si>
    <t>BBBR_RS10990</t>
  </si>
  <si>
    <t>WP_015439368.1</t>
  </si>
  <si>
    <t>BBBR_RS09800</t>
  </si>
  <si>
    <t>WP_003827852.1</t>
  </si>
  <si>
    <t>BBBR_RS09795</t>
  </si>
  <si>
    <t>WP_003827851.1</t>
  </si>
  <si>
    <t>LytR C-terminal domain-containing protein</t>
  </si>
  <si>
    <t>BBBR_RS09790</t>
  </si>
  <si>
    <t>WP_003827850.1</t>
  </si>
  <si>
    <t>4-(cytidine 5'-diphospho)-2-C-methyl-D-erythritol kinase</t>
  </si>
  <si>
    <t>BBBR_RS09785</t>
  </si>
  <si>
    <t>WP_003827849.1</t>
  </si>
  <si>
    <t>BBBR_RS09780</t>
  </si>
  <si>
    <t>WP_025332548.1</t>
  </si>
  <si>
    <t>G5 domain-containing protein</t>
  </si>
  <si>
    <t>BBBR_RS09775</t>
  </si>
  <si>
    <t>BBBR_RS09770</t>
  </si>
  <si>
    <t>WP_015439364.1</t>
  </si>
  <si>
    <t>thioredoxin domain-containing protein</t>
  </si>
  <si>
    <t>BBBR_RS09765</t>
  </si>
  <si>
    <t>WP_003827846.1</t>
  </si>
  <si>
    <t>serine/threonine protein kinase</t>
  </si>
  <si>
    <t>BBBR_RS09760</t>
  </si>
  <si>
    <t>BBBR_RS09755</t>
  </si>
  <si>
    <t>WP_003827844.1</t>
  </si>
  <si>
    <t>potassium channel family protein</t>
  </si>
  <si>
    <t>BBBR_RS09750</t>
  </si>
  <si>
    <t>WP_003827843.1</t>
  </si>
  <si>
    <t>DUF3990 domain-containing protein</t>
  </si>
  <si>
    <t>BBBR_RS09745</t>
  </si>
  <si>
    <t>WP_003827842.1</t>
  </si>
  <si>
    <t>BBBR_RS09740</t>
  </si>
  <si>
    <t>WP_032738097.1</t>
  </si>
  <si>
    <t>glycoside hydrolase family 3 C-terminal domain-containing protein</t>
  </si>
  <si>
    <t>BBBR_RS09735</t>
  </si>
  <si>
    <t>WP_003827840.1</t>
  </si>
  <si>
    <t>BBBR_RS11395</t>
  </si>
  <si>
    <t>WP_367908254.1</t>
  </si>
  <si>
    <t>BBBR_RS09725</t>
  </si>
  <si>
    <t>WP_014484431.1</t>
  </si>
  <si>
    <t>glutaredoxin family protein</t>
  </si>
  <si>
    <t>BBBR_RS09720</t>
  </si>
  <si>
    <t>WP_003827838.1</t>
  </si>
  <si>
    <t>BBBR_RS09715</t>
  </si>
  <si>
    <t>WP_003827837.1</t>
  </si>
  <si>
    <t>nrdE</t>
  </si>
  <si>
    <t>class 1b ribonucleoside-diphosphate reductase subunit alpha</t>
  </si>
  <si>
    <t>BBBR_RS09710</t>
  </si>
  <si>
    <t>WP_003827836.1</t>
  </si>
  <si>
    <t>nrdF</t>
  </si>
  <si>
    <t>class 1b ribonucleoside-diphosphate reductase subunit beta</t>
  </si>
  <si>
    <t>BBBR_RS09705</t>
  </si>
  <si>
    <t>WP_003827835.1</t>
  </si>
  <si>
    <t>BBBR_RS09700</t>
  </si>
  <si>
    <t>WP_015439358.1</t>
  </si>
  <si>
    <t>BBBR_RS09695</t>
  </si>
  <si>
    <t>WP_015439357.1</t>
  </si>
  <si>
    <t>BBBR_RS09690</t>
  </si>
  <si>
    <t>WP_003827832.1</t>
  </si>
  <si>
    <t>BBBR_RS09685</t>
  </si>
  <si>
    <t>WP_003827831.1</t>
  </si>
  <si>
    <t>BBBR_RS09680</t>
  </si>
  <si>
    <t>WP_003827830.1</t>
  </si>
  <si>
    <t>PTS ascorbate transporter subunit IIC</t>
  </si>
  <si>
    <t>BBBR_RS09675</t>
  </si>
  <si>
    <t>BBBR_RS09670</t>
  </si>
  <si>
    <t>WP_003827827.1</t>
  </si>
  <si>
    <t>BBBR_RS10555</t>
  </si>
  <si>
    <t>BBBR_RS09665</t>
  </si>
  <si>
    <t>WP_225851449.1</t>
  </si>
  <si>
    <t>IS481 family transposase</t>
  </si>
  <si>
    <t>BBBR_RS09660</t>
  </si>
  <si>
    <t>WP_003827824.1</t>
  </si>
  <si>
    <t>BBBR_RS09655</t>
  </si>
  <si>
    <t>WP_003827823.1</t>
  </si>
  <si>
    <t>BBBR_RS09650</t>
  </si>
  <si>
    <t>WP_003827822.1</t>
  </si>
  <si>
    <t>BBBR_RS09645</t>
  </si>
  <si>
    <t>WP_003827821.1</t>
  </si>
  <si>
    <t>BBBR_RS09640</t>
  </si>
  <si>
    <t>WP_003833030.1</t>
  </si>
  <si>
    <t>BBBR_RS11390</t>
  </si>
  <si>
    <t>WP_003827819.1</t>
  </si>
  <si>
    <t>BBBR_RS11385</t>
  </si>
  <si>
    <t>WP_003827818.1</t>
  </si>
  <si>
    <t>BBBR_RS10550</t>
  </si>
  <si>
    <t>BBBR_RS09620</t>
  </si>
  <si>
    <t>WP_014484423.1</t>
  </si>
  <si>
    <t>BBBR_RS09615</t>
  </si>
  <si>
    <t>WP_003827814.1</t>
  </si>
  <si>
    <t>DUF4032 domain-containing protein</t>
  </si>
  <si>
    <t>BBBR_RS09610</t>
  </si>
  <si>
    <t>WP_003827813.1</t>
  </si>
  <si>
    <t>BBBR_RS09605</t>
  </si>
  <si>
    <t>WP_003827812.1</t>
  </si>
  <si>
    <t>D-hexose-6-phosphate mutarotase</t>
  </si>
  <si>
    <t>BBBR_RS09600</t>
  </si>
  <si>
    <t>WP_003827811.1</t>
  </si>
  <si>
    <t>BBBR_RS09595</t>
  </si>
  <si>
    <t>WP_032738199.1</t>
  </si>
  <si>
    <t>BBBR_RS09590</t>
  </si>
  <si>
    <t>WP_003827809.1</t>
  </si>
  <si>
    <t>nagE</t>
  </si>
  <si>
    <t>N-acetylglucosamine-specific PTS transporter subunit IIBC</t>
  </si>
  <si>
    <t>BBBR_RS09585</t>
  </si>
  <si>
    <t>WP_003827808.1</t>
  </si>
  <si>
    <t>BBBR_RS09580</t>
  </si>
  <si>
    <t>WP_003827807.1</t>
  </si>
  <si>
    <t>BBBR_RS09575</t>
  </si>
  <si>
    <t>WP_003827806.1</t>
  </si>
  <si>
    <t>BBBR_RS09570</t>
  </si>
  <si>
    <t>WP_032738095.1</t>
  </si>
  <si>
    <t>FIVAR domain-containing protein</t>
  </si>
  <si>
    <t>BBBR_RS09565</t>
  </si>
  <si>
    <t>WP_003827803.1</t>
  </si>
  <si>
    <t>dcd</t>
  </si>
  <si>
    <t>dCTP deaminase</t>
  </si>
  <si>
    <t>BBBR_RS09560</t>
  </si>
  <si>
    <t>WP_003827802.1</t>
  </si>
  <si>
    <t>BBBR_RS09555</t>
  </si>
  <si>
    <t>WP_003827801.1</t>
  </si>
  <si>
    <t>BBBR_RS09550</t>
  </si>
  <si>
    <t>WP_003827800.1</t>
  </si>
  <si>
    <t>BBBR_RS09545</t>
  </si>
  <si>
    <t>WP_014484419.1</t>
  </si>
  <si>
    <t>BBBR_RS09540</t>
  </si>
  <si>
    <t>WP_032738094.1</t>
  </si>
  <si>
    <t>BBBR_RS09535</t>
  </si>
  <si>
    <t>WP_032738093.1</t>
  </si>
  <si>
    <t>BBBR_RS09530</t>
  </si>
  <si>
    <t>WP_032738092.1</t>
  </si>
  <si>
    <t>ROK family transcriptional regulator</t>
  </si>
  <si>
    <t>BBBR_RS09525</t>
  </si>
  <si>
    <t>WP_003827793.1</t>
  </si>
  <si>
    <t>BBBR_RS09520</t>
  </si>
  <si>
    <t>WP_003827792.1</t>
  </si>
  <si>
    <t>BBBR_RS09515</t>
  </si>
  <si>
    <t>WP_003827791.1</t>
  </si>
  <si>
    <t>BBBR_RS09510</t>
  </si>
  <si>
    <t>WP_032738091.1</t>
  </si>
  <si>
    <t>BBBR_RS09505</t>
  </si>
  <si>
    <t>WP_003827787.1</t>
  </si>
  <si>
    <t>ilvA</t>
  </si>
  <si>
    <t>threonine ammonia-lyase</t>
  </si>
  <si>
    <t>BBBR_RS09500</t>
  </si>
  <si>
    <t>WP_003827786.1</t>
  </si>
  <si>
    <t>Sir2 family NAD-dependent protein deacetylase</t>
  </si>
  <si>
    <t>BBBR_RS09495</t>
  </si>
  <si>
    <t>BBBR_RS09490</t>
  </si>
  <si>
    <t>BBBR_RS09485</t>
  </si>
  <si>
    <t>BBBR_RS09480</t>
  </si>
  <si>
    <t>WP_003829580.1</t>
  </si>
  <si>
    <t>BBBR_RS09475</t>
  </si>
  <si>
    <t>WP_003829582.1</t>
  </si>
  <si>
    <t>YhgE/Pip domain-containing protein</t>
  </si>
  <si>
    <t>BBBR_RS09470</t>
  </si>
  <si>
    <t>WP_003829585.1</t>
  </si>
  <si>
    <t>BBBR_RS09465</t>
  </si>
  <si>
    <t>WP_003829587.1</t>
  </si>
  <si>
    <t>BBBR_RS09460</t>
  </si>
  <si>
    <t>WP_003829589.1</t>
  </si>
  <si>
    <t>DUF4235 domain-containing protein</t>
  </si>
  <si>
    <t>BBBR_RS09455</t>
  </si>
  <si>
    <t>WP_003829591.1</t>
  </si>
  <si>
    <t>BBBR_RS09450</t>
  </si>
  <si>
    <t>WP_003829594.1</t>
  </si>
  <si>
    <t>BBBR_RS09445</t>
  </si>
  <si>
    <t>WP_003829597.1</t>
  </si>
  <si>
    <t>BBBR_RS09440</t>
  </si>
  <si>
    <t>WP_014484409.1</t>
  </si>
  <si>
    <t>BBBR_RS09435</t>
  </si>
  <si>
    <t>WP_003829602.1</t>
  </si>
  <si>
    <t>BBBR_RS09430</t>
  </si>
  <si>
    <t>WP_003829604.1</t>
  </si>
  <si>
    <t>YesL family protein</t>
  </si>
  <si>
    <t>BBBR_RS09425</t>
  </si>
  <si>
    <t>WP_003829606.1</t>
  </si>
  <si>
    <t>BBBR_RS09420</t>
  </si>
  <si>
    <t>WP_003829607.1</t>
  </si>
  <si>
    <t>BBBR_RS09415</t>
  </si>
  <si>
    <t>WP_032738280.1</t>
  </si>
  <si>
    <t>BBBR_RS09410</t>
  </si>
  <si>
    <t>WP_014484406.1</t>
  </si>
  <si>
    <t>BBBR_RS10535</t>
  </si>
  <si>
    <t>WP_231858621.1</t>
  </si>
  <si>
    <t>DUF1684 domain-containing protein</t>
  </si>
  <si>
    <t>BBBR_RS09405</t>
  </si>
  <si>
    <t>WP_003829614.1</t>
  </si>
  <si>
    <t>BBBR_RS09400</t>
  </si>
  <si>
    <t>WP_003829615.1</t>
  </si>
  <si>
    <t>BBBR_RS09395</t>
  </si>
  <si>
    <t>WP_032738281.1</t>
  </si>
  <si>
    <t>BBBR_RS09390</t>
  </si>
  <si>
    <t>WP_003829619.1</t>
  </si>
  <si>
    <t>BBBR_RS09385</t>
  </si>
  <si>
    <t>WP_015439311.1</t>
  </si>
  <si>
    <t>BBBR_RS09380</t>
  </si>
  <si>
    <t>BBBR_RS09375</t>
  </si>
  <si>
    <t>WP_003829622.1</t>
  </si>
  <si>
    <t>BBBR_RS11185</t>
  </si>
  <si>
    <t>WP_225851453.1</t>
  </si>
  <si>
    <t>BBBR_RS09365</t>
  </si>
  <si>
    <t>WP_025263332.1</t>
  </si>
  <si>
    <t>BBBR_RS09360</t>
  </si>
  <si>
    <t>WP_025263331.1</t>
  </si>
  <si>
    <t>BBBR_RS09355</t>
  </si>
  <si>
    <t>WP_032738331.1</t>
  </si>
  <si>
    <t>BBBR_RS09350</t>
  </si>
  <si>
    <t>BBBR_RS09345</t>
  </si>
  <si>
    <t>BBBR_RS09335</t>
  </si>
  <si>
    <t>BBBR_RS09330</t>
  </si>
  <si>
    <t>WP_003829635.1</t>
  </si>
  <si>
    <t>BBBR_RS09325</t>
  </si>
  <si>
    <t>WP_003829636.1</t>
  </si>
  <si>
    <t>BBBR_RS09320</t>
  </si>
  <si>
    <t>WP_003829637.1</t>
  </si>
  <si>
    <t>BBBR_RS09315</t>
  </si>
  <si>
    <t>WP_003829638.1</t>
  </si>
  <si>
    <t>BBBR_RS09310</t>
  </si>
  <si>
    <t>WP_003829639.1</t>
  </si>
  <si>
    <t>BBBR_RS09305</t>
  </si>
  <si>
    <t>WP_003829640.1</t>
  </si>
  <si>
    <t>BBBR_RS09300</t>
  </si>
  <si>
    <t>WP_003829641.1</t>
  </si>
  <si>
    <t>class II glutamine amidotransferase</t>
  </si>
  <si>
    <t>BBBR_RS09295</t>
  </si>
  <si>
    <t>WP_003829642.1</t>
  </si>
  <si>
    <t>BBBR_RS10980</t>
  </si>
  <si>
    <t>WP_003829643.1</t>
  </si>
  <si>
    <t>BBBR_RS09285</t>
  </si>
  <si>
    <t>WP_003829644.1</t>
  </si>
  <si>
    <t>BBBR_RS09280</t>
  </si>
  <si>
    <t>WP_025300093.1</t>
  </si>
  <si>
    <t>BBBR_RS09275</t>
  </si>
  <si>
    <t>WP_003829646.1</t>
  </si>
  <si>
    <t>glycoside hydrolase family 25 protein</t>
  </si>
  <si>
    <t>BBBR_RS09270</t>
  </si>
  <si>
    <t>WP_003829647.1</t>
  </si>
  <si>
    <t>L,D-transpeptidase family protein</t>
  </si>
  <si>
    <t>BBBR_RS09265</t>
  </si>
  <si>
    <t>WP_003829648.1</t>
  </si>
  <si>
    <t>BBBR_RS09260</t>
  </si>
  <si>
    <t>WP_003829649.1</t>
  </si>
  <si>
    <t>BBBR_RS09255</t>
  </si>
  <si>
    <t>WP_003829650.1</t>
  </si>
  <si>
    <t>BBBR_RS09250</t>
  </si>
  <si>
    <t>WP_003829651.1</t>
  </si>
  <si>
    <t>rfbB</t>
  </si>
  <si>
    <t>dTDP-glucose 4,6-dehydratase</t>
  </si>
  <si>
    <t>BBBR_RS09245</t>
  </si>
  <si>
    <t>WP_003829652.1</t>
  </si>
  <si>
    <t>bifunctional dTDP-4-dehydrorhamnose 3,5-epimerase family protein/NAD(P)-dependent oxidoreductase</t>
  </si>
  <si>
    <t>BBBR_RS09240</t>
  </si>
  <si>
    <t>WP_003829653.1</t>
  </si>
  <si>
    <t>rfbA</t>
  </si>
  <si>
    <t>glucose-1-phosphate thymidylyltransferase RfbA</t>
  </si>
  <si>
    <t>BBBR_RS09235</t>
  </si>
  <si>
    <t>WP_003829655.1</t>
  </si>
  <si>
    <t>BBBR_RS09230</t>
  </si>
  <si>
    <t>WP_003829656.1</t>
  </si>
  <si>
    <t>BBBR_RS10520</t>
  </si>
  <si>
    <t>WP_003829657.1</t>
  </si>
  <si>
    <t>BBBR_RS09220</t>
  </si>
  <si>
    <t>WP_003829658.1</t>
  </si>
  <si>
    <t>BBBR_RS09215</t>
  </si>
  <si>
    <t>WP_003829659.1</t>
  </si>
  <si>
    <t>DUF2142 domain-containing protein</t>
  </si>
  <si>
    <t>BBBR_RS09210</t>
  </si>
  <si>
    <t>WP_003829660.1</t>
  </si>
  <si>
    <t>BBBR_RS11180</t>
  </si>
  <si>
    <t>WP_014484366.1</t>
  </si>
  <si>
    <t>BBBR_RS11175</t>
  </si>
  <si>
    <t>WP_003829663.1</t>
  </si>
  <si>
    <t>BBBR_RS09200</t>
  </si>
  <si>
    <t>WP_003829664.1</t>
  </si>
  <si>
    <t>BBBR_RS09195</t>
  </si>
  <si>
    <t>WP_003829665.1</t>
  </si>
  <si>
    <t>xylB</t>
  </si>
  <si>
    <t>xylulokinase</t>
  </si>
  <si>
    <t>BBBR_RS09190</t>
  </si>
  <si>
    <t>WP_016462677.1</t>
  </si>
  <si>
    <t>autoinducer 2 ABC transporter substrate-binding protein</t>
  </si>
  <si>
    <t>BBBR_RS09185</t>
  </si>
  <si>
    <t>WP_016462676.1</t>
  </si>
  <si>
    <t>BBBR_RS09180</t>
  </si>
  <si>
    <t>WP_003829668.1</t>
  </si>
  <si>
    <t>BBBR_RS09175</t>
  </si>
  <si>
    <t>WP_003829669.1</t>
  </si>
  <si>
    <t>BBBR_RS09170</t>
  </si>
  <si>
    <t>WP_003829670.1</t>
  </si>
  <si>
    <t>SIS domain-containing protein</t>
  </si>
  <si>
    <t>BBBR_RS11170</t>
  </si>
  <si>
    <t>WP_047928392.1</t>
  </si>
  <si>
    <t>BBBR_RS11165</t>
  </si>
  <si>
    <t>BBBR_RS09155</t>
  </si>
  <si>
    <t>WP_003829676.1</t>
  </si>
  <si>
    <t>BBBR_RS09150</t>
  </si>
  <si>
    <t>WP_003829677.1</t>
  </si>
  <si>
    <t>BBBR_RS09145</t>
  </si>
  <si>
    <t>WP_032738285.1</t>
  </si>
  <si>
    <t>UDP-galactopyranose mutase</t>
  </si>
  <si>
    <t>BBBR_RS09140</t>
  </si>
  <si>
    <t>WP_225851396.1</t>
  </si>
  <si>
    <t>BBBR_RS09135</t>
  </si>
  <si>
    <t>WP_032738286.1</t>
  </si>
  <si>
    <t>DUF4190 domain-containing protein</t>
  </si>
  <si>
    <t>BBBR_RS09130</t>
  </si>
  <si>
    <t>WP_003829683.1</t>
  </si>
  <si>
    <t>fumarylacetoacetate hydrolase family protein</t>
  </si>
  <si>
    <t>BBBR_RS09125</t>
  </si>
  <si>
    <t>WP_003829684.1</t>
  </si>
  <si>
    <t>BBBR_RS09120</t>
  </si>
  <si>
    <t>WP_032738335.1</t>
  </si>
  <si>
    <t>clpB</t>
  </si>
  <si>
    <t>ATP-dependent chaperone ClpB</t>
  </si>
  <si>
    <t>BBBR_RS09115</t>
  </si>
  <si>
    <t>WP_032738287.1</t>
  </si>
  <si>
    <t>gluQRS</t>
  </si>
  <si>
    <t>tRNA glutamyl-Q(34) synthetase GluQRS</t>
  </si>
  <si>
    <t>BBBR_RS09110</t>
  </si>
  <si>
    <t>WP_003829687.1</t>
  </si>
  <si>
    <t>glycerophosphodiester phosphodiesterase family protein</t>
  </si>
  <si>
    <t>BBBR_RS09105</t>
  </si>
  <si>
    <t>WP_003829688.1</t>
  </si>
  <si>
    <t>BBBR_RS09100</t>
  </si>
  <si>
    <t>WP_015439273.1</t>
  </si>
  <si>
    <t>BBBR_RS09095</t>
  </si>
  <si>
    <t>WP_025263304.1</t>
  </si>
  <si>
    <t>BBBR_RS09090</t>
  </si>
  <si>
    <t>WP_003829692.1</t>
  </si>
  <si>
    <t>BBBR_RS09085</t>
  </si>
  <si>
    <t>WP_003829694.1</t>
  </si>
  <si>
    <t>BBBR_RS09080</t>
  </si>
  <si>
    <t>WP_077420406.1</t>
  </si>
  <si>
    <t>BBBR_RS09075</t>
  </si>
  <si>
    <t>WP_003829697.1</t>
  </si>
  <si>
    <t>glycogen debranching N-terminal domain-containing protein</t>
  </si>
  <si>
    <t>BBBR_RS09070</t>
  </si>
  <si>
    <t>WP_015439270.1</t>
  </si>
  <si>
    <t>BBBR_RS09065</t>
  </si>
  <si>
    <t>WP_032738288.1</t>
  </si>
  <si>
    <t>NUDIX domain-containing protein</t>
  </si>
  <si>
    <t>BBBR_RS09060</t>
  </si>
  <si>
    <t>WP_003829706.1</t>
  </si>
  <si>
    <t>RNA degradosome polyphosphate kinase</t>
  </si>
  <si>
    <t>BBBR_RS09055</t>
  </si>
  <si>
    <t>WP_003829713.1</t>
  </si>
  <si>
    <t>BBBR_RS09050</t>
  </si>
  <si>
    <t>WP_003829715.1</t>
  </si>
  <si>
    <t>IclR family transcriptional regulator</t>
  </si>
  <si>
    <t>BBBR_RS09045</t>
  </si>
  <si>
    <t>WP_003829717.1</t>
  </si>
  <si>
    <t>leuC</t>
  </si>
  <si>
    <t>3-isopropylmalate dehydratase large subunit</t>
  </si>
  <si>
    <t>BBBR_RS09040</t>
  </si>
  <si>
    <t>WP_003829718.1</t>
  </si>
  <si>
    <t>leuD</t>
  </si>
  <si>
    <t>3-isopropylmalate dehydratase small subunit</t>
  </si>
  <si>
    <t>BBBR_RS09035</t>
  </si>
  <si>
    <t>WP_003829719.1</t>
  </si>
  <si>
    <t>BBBR_RS10495</t>
  </si>
  <si>
    <t>WP_003829722.1</t>
  </si>
  <si>
    <t>BBBR_RS09025</t>
  </si>
  <si>
    <t>BBBR_RS09020</t>
  </si>
  <si>
    <t>WP_003829726.1</t>
  </si>
  <si>
    <t>BBBR_RS09015</t>
  </si>
  <si>
    <t>WP_003829727.1</t>
  </si>
  <si>
    <t>L-2-amino-thiazoline-4-carboxylic acid hydrolase</t>
  </si>
  <si>
    <t>BBBR_RS09010</t>
  </si>
  <si>
    <t>WP_003829728.1</t>
  </si>
  <si>
    <t>BBBR_RS09005</t>
  </si>
  <si>
    <t>WP_003829729.1</t>
  </si>
  <si>
    <t>BBBR_RS09000</t>
  </si>
  <si>
    <t>WP_003829730.1</t>
  </si>
  <si>
    <t>BBBR_RS08995</t>
  </si>
  <si>
    <t>WP_014484337.1</t>
  </si>
  <si>
    <t>FAD/NAD(P)-binding oxidoreductase</t>
  </si>
  <si>
    <t>BBBR_RS08990</t>
  </si>
  <si>
    <t>WP_003829734.1</t>
  </si>
  <si>
    <t>murA</t>
  </si>
  <si>
    <t>BBBR_RS08985</t>
  </si>
  <si>
    <t>WP_003829736.1</t>
  </si>
  <si>
    <t>BBBR_RS08980</t>
  </si>
  <si>
    <t>WP_003829738.1</t>
  </si>
  <si>
    <t>BBBR_RS08975</t>
  </si>
  <si>
    <t>WP_003829742.1</t>
  </si>
  <si>
    <t>BBBR_RS08970</t>
  </si>
  <si>
    <t>WP_032738289.1</t>
  </si>
  <si>
    <t>BBBR_RS08965</t>
  </si>
  <si>
    <t>WP_003829745.1</t>
  </si>
  <si>
    <t>BBBR_RS08960</t>
  </si>
  <si>
    <t>WP_003829747.1</t>
  </si>
  <si>
    <t>glucose PTS transporter subunit EIIB</t>
  </si>
  <si>
    <t>BBBR_RS08955</t>
  </si>
  <si>
    <t>WP_015439259.1</t>
  </si>
  <si>
    <t>BBBR_RS08950</t>
  </si>
  <si>
    <t>WP_003829750.1</t>
  </si>
  <si>
    <t>BBBR_RS08945</t>
  </si>
  <si>
    <t>WP_003829751.1</t>
  </si>
  <si>
    <t>Maf family nucleotide pyrophosphatase</t>
  </si>
  <si>
    <t>BBBR_RS08940</t>
  </si>
  <si>
    <t>WP_003829754.1</t>
  </si>
  <si>
    <t>N-acetyltransferase</t>
  </si>
  <si>
    <t>BBBR_RS08935</t>
  </si>
  <si>
    <t>WP_003829756.1</t>
  </si>
  <si>
    <t>DUF1778 domain-containing protein</t>
  </si>
  <si>
    <t>BBBR_RS08930</t>
  </si>
  <si>
    <t>WP_003829758.1</t>
  </si>
  <si>
    <t>BBBR_RS08925</t>
  </si>
  <si>
    <t>WP_003829760.1</t>
  </si>
  <si>
    <t>BBBR_RS08920</t>
  </si>
  <si>
    <t>WP_015439258.1</t>
  </si>
  <si>
    <t>BBBR_RS08915</t>
  </si>
  <si>
    <t>WP_003829764.1</t>
  </si>
  <si>
    <t>enolase C-terminal domain-like protein</t>
  </si>
  <si>
    <t>BBBR_RS08910</t>
  </si>
  <si>
    <t>WP_013141362.1</t>
  </si>
  <si>
    <t>BBBR_RS08905</t>
  </si>
  <si>
    <t>WP_013141361.1</t>
  </si>
  <si>
    <t>BBBR_RS08900</t>
  </si>
  <si>
    <t>WP_003829768.1</t>
  </si>
  <si>
    <t>amidohydrolase</t>
  </si>
  <si>
    <t>BBBR_RS08895</t>
  </si>
  <si>
    <t>WP_003829769.1</t>
  </si>
  <si>
    <t>dihydrodipicolinate synthase family protein</t>
  </si>
  <si>
    <t>BBBR_RS08890</t>
  </si>
  <si>
    <t>WP_014484327.1</t>
  </si>
  <si>
    <t>BBBR_RS08885</t>
  </si>
  <si>
    <t>WP_003829771.1</t>
  </si>
  <si>
    <t>dapE</t>
  </si>
  <si>
    <t>succinyl-diaminopimelate desuccinylase</t>
  </si>
  <si>
    <t>BBBR_RS08880</t>
  </si>
  <si>
    <t>WP_032738290.1</t>
  </si>
  <si>
    <t>Rne/Rng family ribonuclease</t>
  </si>
  <si>
    <t>BBBR_RS08875</t>
  </si>
  <si>
    <t>WP_014484324.1</t>
  </si>
  <si>
    <t>BBBR_RS08870</t>
  </si>
  <si>
    <t>WP_003829776.1</t>
  </si>
  <si>
    <t>BBBR_RS08865</t>
  </si>
  <si>
    <t>WP_003829777.1</t>
  </si>
  <si>
    <t>BBBR_RS08860</t>
  </si>
  <si>
    <t>WP_015439254.1</t>
  </si>
  <si>
    <t>proB</t>
  </si>
  <si>
    <t>glutamate 5-kinase</t>
  </si>
  <si>
    <t>BBBR_RS08855</t>
  </si>
  <si>
    <t>WP_032738291.1</t>
  </si>
  <si>
    <t>immunoglobulin-like domain-containing protein</t>
  </si>
  <si>
    <t>BBBR_RS08850</t>
  </si>
  <si>
    <t>WP_032738292.1</t>
  </si>
  <si>
    <t>pyridoxal phosphate-dependent aminotransferase</t>
  </si>
  <si>
    <t>BBBR_RS08845</t>
  </si>
  <si>
    <t>BBBR_RS08840</t>
  </si>
  <si>
    <t>WP_003829781.1</t>
  </si>
  <si>
    <t>BBBR_RS08835</t>
  </si>
  <si>
    <t>WP_003829782.1</t>
  </si>
  <si>
    <t>BBBR_RS08830</t>
  </si>
  <si>
    <t>WP_003829783.1</t>
  </si>
  <si>
    <t>BBBR_RS08825</t>
  </si>
  <si>
    <t>WP_003829785.1</t>
  </si>
  <si>
    <t>BBBR_RS08820</t>
  </si>
  <si>
    <t>WP_003829786.1</t>
  </si>
  <si>
    <t>BBBR_RS08815</t>
  </si>
  <si>
    <t>WP_021649514.1</t>
  </si>
  <si>
    <t>CdaR family transcriptional regulator</t>
  </si>
  <si>
    <t>BBBR_RS08810</t>
  </si>
  <si>
    <t>WP_032738293.1</t>
  </si>
  <si>
    <t>DUF6020 family protein</t>
  </si>
  <si>
    <t>BBBR_RS08805</t>
  </si>
  <si>
    <t>WP_003829789.1</t>
  </si>
  <si>
    <t>biotin--[acetyl-CoA-carboxylase] ligase</t>
  </si>
  <si>
    <t>BBBR_RS08800</t>
  </si>
  <si>
    <t>WP_003829790.1</t>
  </si>
  <si>
    <t>biotin transporter BioY</t>
  </si>
  <si>
    <t>BBBR_RS08795</t>
  </si>
  <si>
    <t>WP_025300055.1</t>
  </si>
  <si>
    <t>biotin carboxylase N-terminal domain-containing protein</t>
  </si>
  <si>
    <t>BBBR_RS08790</t>
  </si>
  <si>
    <t>WP_003829794.1</t>
  </si>
  <si>
    <t>acyl-CoA carboxylase subunit beta</t>
  </si>
  <si>
    <t>BBBR_RS08785</t>
  </si>
  <si>
    <t>WP_003829795.1</t>
  </si>
  <si>
    <t>type I polyketide synthase</t>
  </si>
  <si>
    <t>BBBR_RS11160</t>
  </si>
  <si>
    <t>WP_003829798.1</t>
  </si>
  <si>
    <t>BBBR_RS11155</t>
  </si>
  <si>
    <t>BBBR_RS08775</t>
  </si>
  <si>
    <t>WP_003829799.1</t>
  </si>
  <si>
    <t>BBBR_RS08770</t>
  </si>
  <si>
    <t>BBBR_RS08765</t>
  </si>
  <si>
    <t>BBBR_RS08760</t>
  </si>
  <si>
    <t>BBBR_RS09945</t>
  </si>
  <si>
    <t>WP_003829800.1</t>
  </si>
  <si>
    <t>BBBR_RS08750</t>
  </si>
  <si>
    <t>WP_003829801.1</t>
  </si>
  <si>
    <t>BBBR_RS08745</t>
  </si>
  <si>
    <t>WP_003829802.1</t>
  </si>
  <si>
    <t>BBBR_RS08740</t>
  </si>
  <si>
    <t>WP_003829804.1</t>
  </si>
  <si>
    <t>BBBR_RS08735</t>
  </si>
  <si>
    <t>WP_003829805.1</t>
  </si>
  <si>
    <t>BBBR_RS08730</t>
  </si>
  <si>
    <t>WP_032738294.1</t>
  </si>
  <si>
    <t>BBBR_RS10970</t>
  </si>
  <si>
    <t>WP_003829807.1</t>
  </si>
  <si>
    <t>BBBR_RS08720</t>
  </si>
  <si>
    <t>WP_003829808.1</t>
  </si>
  <si>
    <t>BBBR_RS08715</t>
  </si>
  <si>
    <t>WP_003829809.1</t>
  </si>
  <si>
    <t>BBBR_RS08710</t>
  </si>
  <si>
    <t>WP_015439235.1</t>
  </si>
  <si>
    <t>carbohydrate kinase family protein</t>
  </si>
  <si>
    <t>BBBR_RS08705</t>
  </si>
  <si>
    <t>WP_003829811.1</t>
  </si>
  <si>
    <t>BBBR_RS08700</t>
  </si>
  <si>
    <t>WP_032738295.1</t>
  </si>
  <si>
    <t>BBBR_RS08695</t>
  </si>
  <si>
    <t>WP_003829813.1</t>
  </si>
  <si>
    <t>BBBR_RS08690</t>
  </si>
  <si>
    <t>WP_404801535.1</t>
  </si>
  <si>
    <t>BBBR_RS08685</t>
  </si>
  <si>
    <t>WP_025263267.1</t>
  </si>
  <si>
    <t>U32 family peptidase</t>
  </si>
  <si>
    <t>BBBR_RS08680</t>
  </si>
  <si>
    <t>WP_003829816.1</t>
  </si>
  <si>
    <t>polyphenol oxidase family protein</t>
  </si>
  <si>
    <t>BBBR_RS08675</t>
  </si>
  <si>
    <t>WP_003829817.1</t>
  </si>
  <si>
    <t>IspD/TarI family cytidylyltransferase</t>
  </si>
  <si>
    <t>BBBR_RS08670</t>
  </si>
  <si>
    <t>WP_003829818.1</t>
  </si>
  <si>
    <t>BBBR_RS08665</t>
  </si>
  <si>
    <t>WP_003829819.1</t>
  </si>
  <si>
    <t>BBBR_RS08660</t>
  </si>
  <si>
    <t>WP_003829820.1</t>
  </si>
  <si>
    <t>BBBR_RS08655</t>
  </si>
  <si>
    <t>WP_003829821.1</t>
  </si>
  <si>
    <t>3-deoxy-7-phosphoheptulonate synthase</t>
  </si>
  <si>
    <t>BBBR_RS08650</t>
  </si>
  <si>
    <t>WP_003829822.1</t>
  </si>
  <si>
    <t>BBBR_RS08645</t>
  </si>
  <si>
    <t>WP_003829823.1</t>
  </si>
  <si>
    <t>mtnN</t>
  </si>
  <si>
    <t>5'-methylthioadenosine/S-adenosylhomocysteine nucleosidase</t>
  </si>
  <si>
    <t>BBBR_RS08640</t>
  </si>
  <si>
    <t>WP_032738296.1</t>
  </si>
  <si>
    <t>BBBR_RS08635</t>
  </si>
  <si>
    <t>WP_003829825.1</t>
  </si>
  <si>
    <t>BBBR_RS08630</t>
  </si>
  <si>
    <t>WP_003829826.1</t>
  </si>
  <si>
    <t>BBBR_RS08625</t>
  </si>
  <si>
    <t>WP_003829827.1</t>
  </si>
  <si>
    <t>pstS</t>
  </si>
  <si>
    <t>phosphate ABC transporter substrate-binding protein PstS</t>
  </si>
  <si>
    <t>BBBR_RS08620</t>
  </si>
  <si>
    <t>WP_003829828.1</t>
  </si>
  <si>
    <t>BBBR_RS08615</t>
  </si>
  <si>
    <t>WP_003829829.1</t>
  </si>
  <si>
    <t>BBBR_RS08610</t>
  </si>
  <si>
    <t>WP_003829830.1</t>
  </si>
  <si>
    <t>BBBR_RS08605</t>
  </si>
  <si>
    <t>WP_003829831.1</t>
  </si>
  <si>
    <t>BBBR_RS08600</t>
  </si>
  <si>
    <t>WP_003829832.1</t>
  </si>
  <si>
    <t>BBBR_RS08595</t>
  </si>
  <si>
    <t>WP_003829834.1</t>
  </si>
  <si>
    <t>BBBR_RS08590</t>
  </si>
  <si>
    <t>WP_003829835.1</t>
  </si>
  <si>
    <t>BBBR_RS08585</t>
  </si>
  <si>
    <t>WP_047928320.1</t>
  </si>
  <si>
    <t>FHA domain-containing protein</t>
  </si>
  <si>
    <t>BBBR_RS08580</t>
  </si>
  <si>
    <t>WP_032738297.1</t>
  </si>
  <si>
    <t>BBBR_RS08575</t>
  </si>
  <si>
    <t>WP_003831504.1</t>
  </si>
  <si>
    <t>BBBR_RS08570</t>
  </si>
  <si>
    <t>WP_003829839.1</t>
  </si>
  <si>
    <t>SAF domain-containing protein</t>
  </si>
  <si>
    <t>BBBR_RS08565</t>
  </si>
  <si>
    <t>WP_014484273.1</t>
  </si>
  <si>
    <t>FmdB family zinc ribbon protein</t>
  </si>
  <si>
    <t>BBBR_RS08560</t>
  </si>
  <si>
    <t>WP_003829841.1</t>
  </si>
  <si>
    <t>BBBR_RS08555</t>
  </si>
  <si>
    <t>WP_003829842.1</t>
  </si>
  <si>
    <t>BBBR_RS08550</t>
  </si>
  <si>
    <t>WP_003829843.1</t>
  </si>
  <si>
    <t>magnesium transporter</t>
  </si>
  <si>
    <t>BBBR_RS08545</t>
  </si>
  <si>
    <t>WP_003829844.1</t>
  </si>
  <si>
    <t>BBBR_RS08540</t>
  </si>
  <si>
    <t>BBBR_RS08535</t>
  </si>
  <si>
    <t>BBBR_RS08530</t>
  </si>
  <si>
    <t>BBBR_RS08525</t>
  </si>
  <si>
    <t>WP_007053013.1</t>
  </si>
  <si>
    <t>BBBR_RS08520</t>
  </si>
  <si>
    <t>WP_003829847.1</t>
  </si>
  <si>
    <t>BBBR_RS08515</t>
  </si>
  <si>
    <t>WP_003829848.1</t>
  </si>
  <si>
    <t>BBBR_RS08510</t>
  </si>
  <si>
    <t>WP_003829849.1</t>
  </si>
  <si>
    <t>fdxA</t>
  </si>
  <si>
    <t>ferredoxin</t>
  </si>
  <si>
    <t>BBBR_RS08505</t>
  </si>
  <si>
    <t>WP_003829850.1</t>
  </si>
  <si>
    <t>dapC</t>
  </si>
  <si>
    <t>succinyldiaminopimelate transaminase</t>
  </si>
  <si>
    <t>BBBR_RS08500</t>
  </si>
  <si>
    <t>WP_025300032.1</t>
  </si>
  <si>
    <t>BBBR_RS08495</t>
  </si>
  <si>
    <t>BBBR_RS08490</t>
  </si>
  <si>
    <t>WP_003829853.1</t>
  </si>
  <si>
    <t>IS607 family transposase</t>
  </si>
  <si>
    <t>BBBR_RS08485</t>
  </si>
  <si>
    <t>WP_003829854.1</t>
  </si>
  <si>
    <t>tnpB</t>
  </si>
  <si>
    <t>IS607 family element RNA-guided endonuclease TnpB</t>
  </si>
  <si>
    <t>BBBR_RS08480</t>
  </si>
  <si>
    <t>WP_134816823.1</t>
  </si>
  <si>
    <t>BBBR_RS08475</t>
  </si>
  <si>
    <t>BBBR_RS10965</t>
  </si>
  <si>
    <t>WP_016462593.1</t>
  </si>
  <si>
    <t>BBBR_RS08470</t>
  </si>
  <si>
    <t>WP_003829857.1</t>
  </si>
  <si>
    <t>BBBR_RS08465</t>
  </si>
  <si>
    <t>WP_003829858.1</t>
  </si>
  <si>
    <t>BBBR_RS08460</t>
  </si>
  <si>
    <t>WP_003829859.1</t>
  </si>
  <si>
    <t>BBBR_RS08455</t>
  </si>
  <si>
    <t>WP_003829860.1</t>
  </si>
  <si>
    <t>BBBR_RS08450</t>
  </si>
  <si>
    <t>WP_003829861.1</t>
  </si>
  <si>
    <t>BBBR_RS08445</t>
  </si>
  <si>
    <t>BBBR_RS08440</t>
  </si>
  <si>
    <t>WP_003829863.1</t>
  </si>
  <si>
    <t>D-2-hydroxyacid dehydrogenase family protein</t>
  </si>
  <si>
    <t>BBBR_RS08435</t>
  </si>
  <si>
    <t>WP_003829864.1</t>
  </si>
  <si>
    <t>BBBR_RS08430</t>
  </si>
  <si>
    <t>WP_003829865.1</t>
  </si>
  <si>
    <t>AbrB family transcriptional regulator</t>
  </si>
  <si>
    <t>BBBR_RS08425</t>
  </si>
  <si>
    <t>WP_003829866.1</t>
  </si>
  <si>
    <t>malQ</t>
  </si>
  <si>
    <t>4-alpha-glucanotransferase</t>
  </si>
  <si>
    <t>BBBR_RS08420</t>
  </si>
  <si>
    <t>WP_003829867.1</t>
  </si>
  <si>
    <t>BBBR_RS08415</t>
  </si>
  <si>
    <t>WP_003829868.1</t>
  </si>
  <si>
    <t>BBBR_RS08410</t>
  </si>
  <si>
    <t>WP_003829869.1</t>
  </si>
  <si>
    <t>glgX</t>
  </si>
  <si>
    <t>glycogen debranching protein GlgX</t>
  </si>
  <si>
    <t>BBBR_RS08405</t>
  </si>
  <si>
    <t>WP_003829871.1</t>
  </si>
  <si>
    <t>zinc-dependent alcohol dehydrogenase family protein</t>
  </si>
  <si>
    <t>BBBR_RS08400</t>
  </si>
  <si>
    <t>WP_003829872.1</t>
  </si>
  <si>
    <t>BBBR_RS08395</t>
  </si>
  <si>
    <t>WP_014484259.1</t>
  </si>
  <si>
    <t>VOC family protein</t>
  </si>
  <si>
    <t>BBBR_RS08390</t>
  </si>
  <si>
    <t>WP_003829874.1</t>
  </si>
  <si>
    <t>BBBR_RS08385</t>
  </si>
  <si>
    <t>WP_003829875.1</t>
  </si>
  <si>
    <t>BBBR_RS08380</t>
  </si>
  <si>
    <t>WP_003829876.1</t>
  </si>
  <si>
    <t>NAD(P)-dependent alcohol dehydrogenase</t>
  </si>
  <si>
    <t>BBBR_RS08375</t>
  </si>
  <si>
    <t>WP_032738298.1</t>
  </si>
  <si>
    <t>BBBR_RS08370</t>
  </si>
  <si>
    <t>WP_003829878.1</t>
  </si>
  <si>
    <t>BBBR_RS08365</t>
  </si>
  <si>
    <t>WP_003829880.1</t>
  </si>
  <si>
    <t>YwiC-like family protein</t>
  </si>
  <si>
    <t>BBBR_RS08360</t>
  </si>
  <si>
    <t>WP_003829882.1</t>
  </si>
  <si>
    <t>budA</t>
  </si>
  <si>
    <t>acetolactate decarboxylase</t>
  </si>
  <si>
    <t>BBBR_RS08355</t>
  </si>
  <si>
    <t>WP_003827292.1</t>
  </si>
  <si>
    <t>BBBR_RS08350</t>
  </si>
  <si>
    <t>WP_003829884.1</t>
  </si>
  <si>
    <t>BBBR_RS08345</t>
  </si>
  <si>
    <t>WP_003829885.1</t>
  </si>
  <si>
    <t>BBBR_RS08340</t>
  </si>
  <si>
    <t>WP_003829886.1</t>
  </si>
  <si>
    <t>BBBR_RS08335</t>
  </si>
  <si>
    <t>WP_003829887.1</t>
  </si>
  <si>
    <t>BBBR_RS08330</t>
  </si>
  <si>
    <t>WP_003814508.1</t>
  </si>
  <si>
    <t>30S ribosomal protein S19</t>
  </si>
  <si>
    <t>BBBR_RS08325</t>
  </si>
  <si>
    <t>WP_003829888.1</t>
  </si>
  <si>
    <t>BBBR_RS08320</t>
  </si>
  <si>
    <t>WP_003829889.1</t>
  </si>
  <si>
    <t>BBBR_RS08315</t>
  </si>
  <si>
    <t>WP_003829890.1</t>
  </si>
  <si>
    <t>BBBR_RS08310</t>
  </si>
  <si>
    <t>WP_003829891.1</t>
  </si>
  <si>
    <t>BBBR_RS08305</t>
  </si>
  <si>
    <t>WP_007055338.1</t>
  </si>
  <si>
    <t>BBBR_RS08300</t>
  </si>
  <si>
    <t>WP_003829893.1</t>
  </si>
  <si>
    <t>BBBR_RS08295</t>
  </si>
  <si>
    <t>WP_003829894.1</t>
  </si>
  <si>
    <t>BBBR_RS08290</t>
  </si>
  <si>
    <t>WP_003829895.1</t>
  </si>
  <si>
    <t>BBBR_RS08285</t>
  </si>
  <si>
    <t>WP_003814530.1</t>
  </si>
  <si>
    <t>BBBR_RS08280</t>
  </si>
  <si>
    <t>WP_003829896.1</t>
  </si>
  <si>
    <t>BBBR_RS08275</t>
  </si>
  <si>
    <t>WP_003829897.1</t>
  </si>
  <si>
    <t>BBBR_RS08270</t>
  </si>
  <si>
    <t>WP_003829898.1</t>
  </si>
  <si>
    <t>BBBR_RS08265</t>
  </si>
  <si>
    <t>WP_003829899.1</t>
  </si>
  <si>
    <t>BBBR_RS08260</t>
  </si>
  <si>
    <t>WP_015439202.1</t>
  </si>
  <si>
    <t>BBBR_RS08255</t>
  </si>
  <si>
    <t>WP_003829901.1</t>
  </si>
  <si>
    <t>BBBR_RS08250</t>
  </si>
  <si>
    <t>WP_003829903.1</t>
  </si>
  <si>
    <t>BBBR_RS08245</t>
  </si>
  <si>
    <t>WP_003829904.1</t>
  </si>
  <si>
    <t>BBBR_RS08240</t>
  </si>
  <si>
    <t>WP_003808114.1</t>
  </si>
  <si>
    <t>BBBR_RS08235</t>
  </si>
  <si>
    <t>WP_003808136.1</t>
  </si>
  <si>
    <t>BBBR_RS08230</t>
  </si>
  <si>
    <t>WP_003829906.1</t>
  </si>
  <si>
    <t>BBBR_RS08225</t>
  </si>
  <si>
    <t>WP_003829907.1</t>
  </si>
  <si>
    <t>BBBR_RS08220</t>
  </si>
  <si>
    <t>WP_003829908.1</t>
  </si>
  <si>
    <t>BBBR_RS08215</t>
  </si>
  <si>
    <t>WP_003829909.1</t>
  </si>
  <si>
    <t>BBBR_RS08210</t>
  </si>
  <si>
    <t>WP_003829910.1</t>
  </si>
  <si>
    <t>BBBR_RS08205</t>
  </si>
  <si>
    <t>WP_032738299.1</t>
  </si>
  <si>
    <t>circularly permuted type 2 ATP-grasp protein</t>
  </si>
  <si>
    <t>BBBR_RS08200</t>
  </si>
  <si>
    <t>WP_032738300.1</t>
  </si>
  <si>
    <t>transglutaminase family protein</t>
  </si>
  <si>
    <t>BBBR_RS08195</t>
  </si>
  <si>
    <t>BBBR_RS08190</t>
  </si>
  <si>
    <t>WP_003829913.1</t>
  </si>
  <si>
    <t>BBBR_RS08185</t>
  </si>
  <si>
    <t>WP_025263245.1</t>
  </si>
  <si>
    <t>BBBR_RS08180</t>
  </si>
  <si>
    <t>WP_003829915.1</t>
  </si>
  <si>
    <t>BBBR_RS08175</t>
  </si>
  <si>
    <t>WP_032738301.1</t>
  </si>
  <si>
    <t>BBBR_RS08170</t>
  </si>
  <si>
    <t>WP_003829918.1</t>
  </si>
  <si>
    <t>rbfA</t>
  </si>
  <si>
    <t>30S ribosome-binding factor RbfA</t>
  </si>
  <si>
    <t>BBBR_RS08165</t>
  </si>
  <si>
    <t>WP_032738302.1</t>
  </si>
  <si>
    <t>BBBR_RS08160</t>
  </si>
  <si>
    <t>WP_003829920.1</t>
  </si>
  <si>
    <t>riboflavin kinase</t>
  </si>
  <si>
    <t>BBBR_RS08155</t>
  </si>
  <si>
    <t>WP_032738303.1</t>
  </si>
  <si>
    <t>BBBR_RS08150</t>
  </si>
  <si>
    <t>WP_003829922.1</t>
  </si>
  <si>
    <t>BBBR_RS10460</t>
  </si>
  <si>
    <t>WP_004268639.1</t>
  </si>
  <si>
    <t>30S ribosomal protein bS22</t>
  </si>
  <si>
    <t>BBBR_RS08145</t>
  </si>
  <si>
    <t>WP_003829925.1</t>
  </si>
  <si>
    <t>BBBR_RS08140</t>
  </si>
  <si>
    <t>WP_003829927.1</t>
  </si>
  <si>
    <t>ribonuclease H</t>
  </si>
  <si>
    <t>BBBR_RS08135</t>
  </si>
  <si>
    <t>WP_003829929.1</t>
  </si>
  <si>
    <t>BBBR_RS08130</t>
  </si>
  <si>
    <t>WP_014484242.1</t>
  </si>
  <si>
    <t>BBBR_RS08125</t>
  </si>
  <si>
    <t>WP_032738305.1</t>
  </si>
  <si>
    <t>BBBR_RS08120</t>
  </si>
  <si>
    <t>WP_003829934.1</t>
  </si>
  <si>
    <t>pgm</t>
  </si>
  <si>
    <t>phosphoglucomutase (alpha-D-glucose-1,6-bisphosphate-dependent)</t>
  </si>
  <si>
    <t>BBBR_RS08115</t>
  </si>
  <si>
    <t>WP_003829937.1</t>
  </si>
  <si>
    <t>BBBR_RS08110</t>
  </si>
  <si>
    <t>WP_003829939.1</t>
  </si>
  <si>
    <t>BBBR_RS08105</t>
  </si>
  <si>
    <t>WP_032738306.1</t>
  </si>
  <si>
    <t>diacylglycerol kinase family protein</t>
  </si>
  <si>
    <t>BBBR_RS08100</t>
  </si>
  <si>
    <t>WP_014484237.1</t>
  </si>
  <si>
    <t>BBBR_RS08095</t>
  </si>
  <si>
    <t>BBBR_RS08090</t>
  </si>
  <si>
    <t>WP_003829945.1</t>
  </si>
  <si>
    <t>BBBR_RS08085</t>
  </si>
  <si>
    <t>WP_003829947.1</t>
  </si>
  <si>
    <t>BBBR_RS08080</t>
  </si>
  <si>
    <t>WP_003829949.1</t>
  </si>
  <si>
    <t>BBBR_RS08075</t>
  </si>
  <si>
    <t>WP_003829950.1</t>
  </si>
  <si>
    <t>gnpA</t>
  </si>
  <si>
    <t>1,3-beta-galactosyl-N-acetylhexosamine phosphorylase</t>
  </si>
  <si>
    <t>BBBR_RS08070</t>
  </si>
  <si>
    <t>WP_003829953.1</t>
  </si>
  <si>
    <t>nahK</t>
  </si>
  <si>
    <t>N-acetylhexosamine 1-kinase</t>
  </si>
  <si>
    <t>BBBR_RS08065</t>
  </si>
  <si>
    <t>WP_003829954.1</t>
  </si>
  <si>
    <t>BBBR_RS08060</t>
  </si>
  <si>
    <t>WP_003829955.1</t>
  </si>
  <si>
    <t>BBBR_RS08055</t>
  </si>
  <si>
    <t>WP_025332434.1</t>
  </si>
  <si>
    <t>BBBR_RS08050</t>
  </si>
  <si>
    <t>WP_025332433.1</t>
  </si>
  <si>
    <t>BBBR_RS08045</t>
  </si>
  <si>
    <t>WP_003829958.1</t>
  </si>
  <si>
    <t>BBBR_RS08040</t>
  </si>
  <si>
    <t>WP_032738307.1</t>
  </si>
  <si>
    <t>S9 family peptidase</t>
  </si>
  <si>
    <t>BBBR_RS08035</t>
  </si>
  <si>
    <t>WP_003829960.1</t>
  </si>
  <si>
    <t>DUF4125 family protein</t>
  </si>
  <si>
    <t>BBBR_RS08030</t>
  </si>
  <si>
    <t>WP_003829961.1</t>
  </si>
  <si>
    <t>DUF4037 domain-containing protein</t>
  </si>
  <si>
    <t>BBBR_RS08025</t>
  </si>
  <si>
    <t>WP_003829962.1</t>
  </si>
  <si>
    <t>BBBR_RS08020</t>
  </si>
  <si>
    <t>WP_223261670.1</t>
  </si>
  <si>
    <t>maltose ABC transporter permease</t>
  </si>
  <si>
    <t>BBBR_RS08015</t>
  </si>
  <si>
    <t>BBBR_RS08010</t>
  </si>
  <si>
    <t>WP_003829965.1</t>
  </si>
  <si>
    <t>BBBR_RS08005</t>
  </si>
  <si>
    <t>WP_033892452.1</t>
  </si>
  <si>
    <t>menA</t>
  </si>
  <si>
    <t>1,4-dihydroxy-2-naphthoate octaprenyltransferase</t>
  </si>
  <si>
    <t>BBBR_RS08000</t>
  </si>
  <si>
    <t>WP_003829967.1</t>
  </si>
  <si>
    <t>phosphoglyceromutase</t>
  </si>
  <si>
    <t>BBBR_RS07995</t>
  </si>
  <si>
    <t>WP_003829968.1</t>
  </si>
  <si>
    <t>BBBR_RS07990</t>
  </si>
  <si>
    <t>WP_019727328.1</t>
  </si>
  <si>
    <t>BBBR_RS07985</t>
  </si>
  <si>
    <t>WP_003829971.1</t>
  </si>
  <si>
    <t>BBBR_RS07980</t>
  </si>
  <si>
    <t>WP_003829972.1</t>
  </si>
  <si>
    <t>serC</t>
  </si>
  <si>
    <t>phosphoserine transaminase</t>
  </si>
  <si>
    <t>BBBR_RS07975</t>
  </si>
  <si>
    <t>WP_003829974.1</t>
  </si>
  <si>
    <t>BBBR_RS07970</t>
  </si>
  <si>
    <t>WP_003829978.1</t>
  </si>
  <si>
    <t>NlpC/P60 family protein</t>
  </si>
  <si>
    <t>BBBR_RS07965</t>
  </si>
  <si>
    <t>WP_003829981.1</t>
  </si>
  <si>
    <t>BBBR_RS07960</t>
  </si>
  <si>
    <t>WP_032738308.1</t>
  </si>
  <si>
    <t>BBBR_RS07955</t>
  </si>
  <si>
    <t>WP_003829986.1</t>
  </si>
  <si>
    <t>BBBR_RS07950</t>
  </si>
  <si>
    <t>WP_015439172.1</t>
  </si>
  <si>
    <t>BBBR_RS07945</t>
  </si>
  <si>
    <t>WP_003829989.1</t>
  </si>
  <si>
    <t>BBBR_RS07940</t>
  </si>
  <si>
    <t>WP_015439171.1</t>
  </si>
  <si>
    <t>BBBR_RS11275</t>
  </si>
  <si>
    <t>BBBR_RS07930</t>
  </si>
  <si>
    <t>WP_003829995.1</t>
  </si>
  <si>
    <t>BBBR_RS07925</t>
  </si>
  <si>
    <t>WP_003829997.1</t>
  </si>
  <si>
    <t>BBBR_RS07920</t>
  </si>
  <si>
    <t>WP_003830000.1</t>
  </si>
  <si>
    <t>BBBR_RS11270</t>
  </si>
  <si>
    <t>BBBR_RS10760</t>
  </si>
  <si>
    <t>WP_003830005.1</t>
  </si>
  <si>
    <t>BBBR_RS07910</t>
  </si>
  <si>
    <t>WP_003830007.1</t>
  </si>
  <si>
    <t>family 20 glycosylhydrolase</t>
  </si>
  <si>
    <t>BBBR_RS10755</t>
  </si>
  <si>
    <t>WP_003830009.1</t>
  </si>
  <si>
    <t>BBBR_RS07905</t>
  </si>
  <si>
    <t>WP_047928295.1</t>
  </si>
  <si>
    <t>BBBR_RS07900</t>
  </si>
  <si>
    <t>WP_003830012.1</t>
  </si>
  <si>
    <t>BBBR_RS07895</t>
  </si>
  <si>
    <t>WP_003830014.1</t>
  </si>
  <si>
    <t>transposase</t>
  </si>
  <si>
    <t>BBBR_RS07890</t>
  </si>
  <si>
    <t>WP_003830015.1</t>
  </si>
  <si>
    <t>BBBR_RS10750</t>
  </si>
  <si>
    <t>BBBR_RS07885</t>
  </si>
  <si>
    <t>WP_003830017.1</t>
  </si>
  <si>
    <t>BBBR_RS07880</t>
  </si>
  <si>
    <t>WP_032738309.1</t>
  </si>
  <si>
    <t>glycoside-pentoside-hexuronide (GPH):cation symporter</t>
  </si>
  <si>
    <t>BBBR_RS07875</t>
  </si>
  <si>
    <t>WP_003830024.1</t>
  </si>
  <si>
    <t>BBBR_RS07870</t>
  </si>
  <si>
    <t>BBBR_RS07865</t>
  </si>
  <si>
    <t>WP_032738310.1</t>
  </si>
  <si>
    <t>BBBR_RS07860</t>
  </si>
  <si>
    <t>BBBR_RS07855</t>
  </si>
  <si>
    <t>BBBR_RS07850</t>
  </si>
  <si>
    <t>WP_003830029.1</t>
  </si>
  <si>
    <t>BBBR_RS07845</t>
  </si>
  <si>
    <t>WP_014484170.1</t>
  </si>
  <si>
    <t>fucO</t>
  </si>
  <si>
    <t>lactaldehyde reductase</t>
  </si>
  <si>
    <t>BBBR_RS07840</t>
  </si>
  <si>
    <t>WP_003830034.1</t>
  </si>
  <si>
    <t>BBBR_RS07835</t>
  </si>
  <si>
    <t>WP_003830035.1</t>
  </si>
  <si>
    <t>BBBR_RS07830</t>
  </si>
  <si>
    <t>WP_003830036.1</t>
  </si>
  <si>
    <t>BBBR_RS07825</t>
  </si>
  <si>
    <t>WP_225851403.1</t>
  </si>
  <si>
    <t>BBBR_RS07820</t>
  </si>
  <si>
    <t>WP_003830039.1</t>
  </si>
  <si>
    <t>BBBR_RS07815</t>
  </si>
  <si>
    <t>WP_032738311.1</t>
  </si>
  <si>
    <t>D-alanyl-D-alanine carboxypeptidase/D-alanyl-D-alanine-endopeptidase</t>
  </si>
  <si>
    <t>BBBR_RS07810</t>
  </si>
  <si>
    <t>WP_003830046.1</t>
  </si>
  <si>
    <t>BBBR_RS07805</t>
  </si>
  <si>
    <t>WP_003830048.1</t>
  </si>
  <si>
    <t>BBBR_RS07800</t>
  </si>
  <si>
    <t>WP_003830049.1</t>
  </si>
  <si>
    <t>BBBR_RS07795</t>
  </si>
  <si>
    <t>WP_014484165.1</t>
  </si>
  <si>
    <t>folE</t>
  </si>
  <si>
    <t>GTP cyclohydrolase I FolE</t>
  </si>
  <si>
    <t>BBBR_RS07790</t>
  </si>
  <si>
    <t>WP_003830054.1</t>
  </si>
  <si>
    <t>folP</t>
  </si>
  <si>
    <t>dihydropteroate synthase</t>
  </si>
  <si>
    <t>BBBR_RS07785</t>
  </si>
  <si>
    <t>WP_003830057.1</t>
  </si>
  <si>
    <t>folK</t>
  </si>
  <si>
    <t>2-amino-4-hydroxy-6-hydroxymethyldihydropteridine diphosphokinase</t>
  </si>
  <si>
    <t>BBBR_RS07780</t>
  </si>
  <si>
    <t>WP_014484163.1</t>
  </si>
  <si>
    <t>DUF3180 domain-containing protein</t>
  </si>
  <si>
    <t>BBBR_RS07775</t>
  </si>
  <si>
    <t>WP_003830060.1</t>
  </si>
  <si>
    <t>acyl-CoA thioesterase II</t>
  </si>
  <si>
    <t>BBBR_RS07770</t>
  </si>
  <si>
    <t>WP_003830062.1</t>
  </si>
  <si>
    <t>ettA</t>
  </si>
  <si>
    <t>energy-dependent translational throttle protein EttA</t>
  </si>
  <si>
    <t>BBBR_RS07765</t>
  </si>
  <si>
    <t>WP_003830067.1</t>
  </si>
  <si>
    <t>BBBR_RS07760</t>
  </si>
  <si>
    <t>BBBR_RS07750</t>
  </si>
  <si>
    <t>WP_003830071.1</t>
  </si>
  <si>
    <t>ROK family glucokinase</t>
  </si>
  <si>
    <t>BBBR_RS07745</t>
  </si>
  <si>
    <t>WP_003830074.1</t>
  </si>
  <si>
    <t>BBBR_RS07740</t>
  </si>
  <si>
    <t>WP_003830075.1</t>
  </si>
  <si>
    <t>BBBR_RS07735</t>
  </si>
  <si>
    <t>WP_015439109.1</t>
  </si>
  <si>
    <t>BBBR_RS07730</t>
  </si>
  <si>
    <t>WP_003830078.1</t>
  </si>
  <si>
    <t>BBBR_RS07725</t>
  </si>
  <si>
    <t>WP_003830084.1</t>
  </si>
  <si>
    <t>BBBR_RS07720</t>
  </si>
  <si>
    <t>WP_003830086.1</t>
  </si>
  <si>
    <t>lincomycin resistance protein LmrB</t>
  </si>
  <si>
    <t>BBBR_RS07715</t>
  </si>
  <si>
    <t>BBBR_RS07710</t>
  </si>
  <si>
    <t>WP_003830110.1</t>
  </si>
  <si>
    <t>rpmE</t>
  </si>
  <si>
    <t>50S ribosomal protein L31</t>
  </si>
  <si>
    <t>BBBR_RS07705</t>
  </si>
  <si>
    <t>WP_003830112.1</t>
  </si>
  <si>
    <t>BBBR_RS07700</t>
  </si>
  <si>
    <t>WP_015439107.1</t>
  </si>
  <si>
    <t>BBBR_RS07695</t>
  </si>
  <si>
    <t>WP_015439106.1</t>
  </si>
  <si>
    <t>BBBR_RS07690</t>
  </si>
  <si>
    <t>WP_003830120.1</t>
  </si>
  <si>
    <t>BBBR_RS07685</t>
  </si>
  <si>
    <t>WP_003830122.1</t>
  </si>
  <si>
    <t>BBBR_RS07680</t>
  </si>
  <si>
    <t>WP_003830124.1</t>
  </si>
  <si>
    <t>BBBR_RS07675</t>
  </si>
  <si>
    <t>WP_003830126.1</t>
  </si>
  <si>
    <t>BBBR_RS07670</t>
  </si>
  <si>
    <t>WP_015439103.1</t>
  </si>
  <si>
    <t>BBBR_RS07665</t>
  </si>
  <si>
    <t>WP_003830129.1</t>
  </si>
  <si>
    <t>BBBR_RS07660</t>
  </si>
  <si>
    <t>WP_003830131.1</t>
  </si>
  <si>
    <t>guaB</t>
  </si>
  <si>
    <t>BBBR_RS07655</t>
  </si>
  <si>
    <t>WP_014484149.1</t>
  </si>
  <si>
    <t>orn</t>
  </si>
  <si>
    <t>oligoribonuclease</t>
  </si>
  <si>
    <t>BBBR_RS07650</t>
  </si>
  <si>
    <t>WP_003830135.1</t>
  </si>
  <si>
    <t>PIF1 family ATP-dependent DNA helicase</t>
  </si>
  <si>
    <t>BBBR_RS07645</t>
  </si>
  <si>
    <t>WP_003830136.1</t>
  </si>
  <si>
    <t>amrS</t>
  </si>
  <si>
    <t>AmmeMemoRadiSam system radical SAM enzyme</t>
  </si>
  <si>
    <t>BBBR_RS07640</t>
  </si>
  <si>
    <t>WP_015439100.1</t>
  </si>
  <si>
    <t>BBBR_RS07635</t>
  </si>
  <si>
    <t>WP_003830140.1</t>
  </si>
  <si>
    <t>BBBR_RS07630</t>
  </si>
  <si>
    <t>WP_003830142.1</t>
  </si>
  <si>
    <t>BBBR_RS07625</t>
  </si>
  <si>
    <t>WP_025341874.1</t>
  </si>
  <si>
    <t>HdeD family acid-resistance protein</t>
  </si>
  <si>
    <t>BBBR_RS07620</t>
  </si>
  <si>
    <t>WP_003830150.1</t>
  </si>
  <si>
    <t>BBBR_RS07615</t>
  </si>
  <si>
    <t>WP_032738312.1</t>
  </si>
  <si>
    <t>citrate synthase</t>
  </si>
  <si>
    <t>BBBR_RS07610</t>
  </si>
  <si>
    <t>WP_003830155.1</t>
  </si>
  <si>
    <t>dapD</t>
  </si>
  <si>
    <t>2,3,4,5-tetrahydropyridine-2,6-dicarboxylate N-succinyltransferase</t>
  </si>
  <si>
    <t>BBBR_RS07605</t>
  </si>
  <si>
    <t>WP_003830157.1</t>
  </si>
  <si>
    <t>BBBR_RS07600</t>
  </si>
  <si>
    <t>WP_003830159.1</t>
  </si>
  <si>
    <t>BBBR_RS07595</t>
  </si>
  <si>
    <t>WP_025301368.1</t>
  </si>
  <si>
    <t>very short patch repair endonuclease</t>
  </si>
  <si>
    <t>BBBR_RS07590</t>
  </si>
  <si>
    <t>WP_016462497.1</t>
  </si>
  <si>
    <t>Gfo/Idh/MocA family protein</t>
  </si>
  <si>
    <t>BBBR_RS07585</t>
  </si>
  <si>
    <t>WP_003830166.1</t>
  </si>
  <si>
    <t>BBBR_RS07580</t>
  </si>
  <si>
    <t>WP_025222020.1</t>
  </si>
  <si>
    <t>Ppx/GppA phosphatase family protein</t>
  </si>
  <si>
    <t>BBBR_RS07575</t>
  </si>
  <si>
    <t>WP_016462494.1</t>
  </si>
  <si>
    <t>endonuclease/exonuclease/phosphatase family protein</t>
  </si>
  <si>
    <t>BBBR_RS07570</t>
  </si>
  <si>
    <t>BBBR_RS07565</t>
  </si>
  <si>
    <t>WP_003830170.1</t>
  </si>
  <si>
    <t>BBBR_RS07560</t>
  </si>
  <si>
    <t>WP_003830172.1</t>
  </si>
  <si>
    <t>large conductance mechanosensitive channel protein MscL</t>
  </si>
  <si>
    <t>BBBR_RS07555</t>
  </si>
  <si>
    <t>WP_003830174.1</t>
  </si>
  <si>
    <t>long-chain fatty acid--CoA ligase</t>
  </si>
  <si>
    <t>BBBR_RS07550</t>
  </si>
  <si>
    <t>WP_025301366.1</t>
  </si>
  <si>
    <t>BBBR_RS07545</t>
  </si>
  <si>
    <t>WP_003830177.1</t>
  </si>
  <si>
    <t>BBBR_RS07540</t>
  </si>
  <si>
    <t>WP_025263154.1</t>
  </si>
  <si>
    <t>BBBR_RS07535</t>
  </si>
  <si>
    <t>WP_003830182.1</t>
  </si>
  <si>
    <t>BBBR_RS07530</t>
  </si>
  <si>
    <t>WP_003830184.1</t>
  </si>
  <si>
    <t>BBBR_RS07525</t>
  </si>
  <si>
    <t>WP_003830185.1</t>
  </si>
  <si>
    <t>acyl-CoA dehydratase activase-related protein</t>
  </si>
  <si>
    <t>BBBR_RS07520</t>
  </si>
  <si>
    <t>WP_003830187.1</t>
  </si>
  <si>
    <t>glutamate-cysteine ligase family protein</t>
  </si>
  <si>
    <t>BBBR_RS07515</t>
  </si>
  <si>
    <t>WP_003830189.1</t>
  </si>
  <si>
    <t>BBBR_RS07510</t>
  </si>
  <si>
    <t>WP_003830190.1</t>
  </si>
  <si>
    <t>glycoside hydrolase family 3 N-terminal domain-containing protein</t>
  </si>
  <si>
    <t>BBBR_RS10955</t>
  </si>
  <si>
    <t>WP_003830192.1</t>
  </si>
  <si>
    <t>BBBR_RS07500</t>
  </si>
  <si>
    <t>WP_016462486.1</t>
  </si>
  <si>
    <t>nucleotidyltransferase family protein</t>
  </si>
  <si>
    <t>BBBR_RS07495</t>
  </si>
  <si>
    <t>WP_003830196.1</t>
  </si>
  <si>
    <t>nucleotidyltransferase substrate binding protein</t>
  </si>
  <si>
    <t>BBBR_RS07490</t>
  </si>
  <si>
    <t>WP_003830199.1</t>
  </si>
  <si>
    <t>glycoside hydrolase family 5 protein</t>
  </si>
  <si>
    <t>BBBR_RS07485</t>
  </si>
  <si>
    <t>WP_003830200.1</t>
  </si>
  <si>
    <t>BBBR_RS07480</t>
  </si>
  <si>
    <t>WP_003830202.1</t>
  </si>
  <si>
    <t>exo-alpha-(1-&gt;6)-L-arabinopyranosidase</t>
  </si>
  <si>
    <t>BBBR_RS07475</t>
  </si>
  <si>
    <t>WP_003830203.1</t>
  </si>
  <si>
    <t>BBBR_RS07470</t>
  </si>
  <si>
    <t>WP_003830206.1</t>
  </si>
  <si>
    <t>BBBR_RS07465</t>
  </si>
  <si>
    <t>WP_003830208.1</t>
  </si>
  <si>
    <t>BBBR_RS07460</t>
  </si>
  <si>
    <t>WP_003830211.1</t>
  </si>
  <si>
    <t>BBBR_RS07455</t>
  </si>
  <si>
    <t>WP_025299959.1</t>
  </si>
  <si>
    <t>BBBR_RS07450</t>
  </si>
  <si>
    <t>WP_003830214.1</t>
  </si>
  <si>
    <t>rihC</t>
  </si>
  <si>
    <t>ribonucleoside hydrolase RihC</t>
  </si>
  <si>
    <t>BBBR_RS07445</t>
  </si>
  <si>
    <t>WP_003830216.1</t>
  </si>
  <si>
    <t>dcuC</t>
  </si>
  <si>
    <t>C4-dicarboxylate transporter DcuC</t>
  </si>
  <si>
    <t>BBBR_RS07440</t>
  </si>
  <si>
    <t>WP_025299957.1</t>
  </si>
  <si>
    <t>BBBR_RS07435</t>
  </si>
  <si>
    <t>WP_003830220.1</t>
  </si>
  <si>
    <t>mupirocin-resistant isoleucine--tRNA ligase</t>
  </si>
  <si>
    <t>BBBR_RS07430</t>
  </si>
  <si>
    <t>WP_014483317.1</t>
  </si>
  <si>
    <t>BBBR_RS07425</t>
  </si>
  <si>
    <t>WP_003830226.1</t>
  </si>
  <si>
    <t>ABC transporter permease subunit</t>
  </si>
  <si>
    <t>BBBR_RS07420</t>
  </si>
  <si>
    <t>WP_003830228.1</t>
  </si>
  <si>
    <t>BBBR_RS07415</t>
  </si>
  <si>
    <t>WP_003830229.1</t>
  </si>
  <si>
    <t>BBBR_RS07410</t>
  </si>
  <si>
    <t>WP_003830231.1</t>
  </si>
  <si>
    <t>alkaline phosphatase family protein</t>
  </si>
  <si>
    <t>BBBR_RS07405</t>
  </si>
  <si>
    <t>WP_025299953.1</t>
  </si>
  <si>
    <t>PBECR4 domain-containing protein</t>
  </si>
  <si>
    <t>BBBR_RS07400</t>
  </si>
  <si>
    <t>WP_225851402.1</t>
  </si>
  <si>
    <t>type I restriction endonuclease subunit R</t>
  </si>
  <si>
    <t>BBBR_RS07395</t>
  </si>
  <si>
    <t>WP_003830240.1</t>
  </si>
  <si>
    <t>class I SAM-dependent DNA methyltransferase</t>
  </si>
  <si>
    <t>BBBR_RS10430</t>
  </si>
  <si>
    <t>WP_033501742.1</t>
  </si>
  <si>
    <t>restriction endonuclease subunit S</t>
  </si>
  <si>
    <t>BBBR_RS07390</t>
  </si>
  <si>
    <t>WP_080543820.1</t>
  </si>
  <si>
    <t>BBBR_RS07385</t>
  </si>
  <si>
    <t>WP_003830245.1</t>
  </si>
  <si>
    <t>BBBR_RS09940</t>
  </si>
  <si>
    <t>WP_197540523.1</t>
  </si>
  <si>
    <t>BBBR_RS07375</t>
  </si>
  <si>
    <t>WP_003830250.1</t>
  </si>
  <si>
    <t>BBBR_RS07370</t>
  </si>
  <si>
    <t>WP_003830251.1</t>
  </si>
  <si>
    <t>BBBR_RS07365</t>
  </si>
  <si>
    <t>WP_003830252.1</t>
  </si>
  <si>
    <t>ilvD</t>
  </si>
  <si>
    <t>dihydroxy-acid dehydratase</t>
  </si>
  <si>
    <t>BBBR_RS07360</t>
  </si>
  <si>
    <t>WP_003830253.1</t>
  </si>
  <si>
    <t>BBBR_RS07355</t>
  </si>
  <si>
    <t>WP_003830255.1</t>
  </si>
  <si>
    <t>BBBR_RS07350</t>
  </si>
  <si>
    <t>WP_003830258.1</t>
  </si>
  <si>
    <t>BBBR_RS07345</t>
  </si>
  <si>
    <t>WP_003830261.1</t>
  </si>
  <si>
    <t>serB</t>
  </si>
  <si>
    <t>phosphoserine phosphatase SerB</t>
  </si>
  <si>
    <t>BBBR_RS07340</t>
  </si>
  <si>
    <t>WP_003830263.1</t>
  </si>
  <si>
    <t>BBBR_RS07335</t>
  </si>
  <si>
    <t>arc</t>
  </si>
  <si>
    <t>BBBR_RS07330</t>
  </si>
  <si>
    <t>WP_032738313.1</t>
  </si>
  <si>
    <t>BBBR_RS07325</t>
  </si>
  <si>
    <t>WP_003830268.1</t>
  </si>
  <si>
    <t>BBBR_RS07320</t>
  </si>
  <si>
    <t>WP_003830269.1</t>
  </si>
  <si>
    <t>BBBR_RS07315</t>
  </si>
  <si>
    <t>WP_003830270.1</t>
  </si>
  <si>
    <t>BBBR_RS07310</t>
  </si>
  <si>
    <t>WP_003830271.1</t>
  </si>
  <si>
    <t>PTS fructose transporter subunit IIB</t>
  </si>
  <si>
    <t>BBBR_RS07305</t>
  </si>
  <si>
    <t>WP_003830272.1</t>
  </si>
  <si>
    <t>PTS fructose transporter subunit IIC</t>
  </si>
  <si>
    <t>BBBR_RS07300</t>
  </si>
  <si>
    <t>WP_014483527.1</t>
  </si>
  <si>
    <t>alsE</t>
  </si>
  <si>
    <t>D-allulose 6-phosphate 3-epimerase</t>
  </si>
  <si>
    <t>BBBR_RS07295</t>
  </si>
  <si>
    <t>WP_032738314.1</t>
  </si>
  <si>
    <t>dop</t>
  </si>
  <si>
    <t>depupylase/deamidase Dop</t>
  </si>
  <si>
    <t>BBBR_RS07290</t>
  </si>
  <si>
    <t>WP_014483529.1</t>
  </si>
  <si>
    <t>inositol monophosphatase family protein</t>
  </si>
  <si>
    <t>BBBR_RS07285</t>
  </si>
  <si>
    <t>WP_003830276.1</t>
  </si>
  <si>
    <t>ubiquitin-like protein Pup</t>
  </si>
  <si>
    <t>BBBR_RS07280</t>
  </si>
  <si>
    <t>WP_003830277.1</t>
  </si>
  <si>
    <t>pafA</t>
  </si>
  <si>
    <t>Pup--protein ligase</t>
  </si>
  <si>
    <t>BBBR_RS07275</t>
  </si>
  <si>
    <t>WP_003830278.1</t>
  </si>
  <si>
    <t>BBBR_RS07270</t>
  </si>
  <si>
    <t>WP_003830279.1</t>
  </si>
  <si>
    <t>YbhN family protein</t>
  </si>
  <si>
    <t>BBBR_RS07265</t>
  </si>
  <si>
    <t>WP_003830280.1</t>
  </si>
  <si>
    <t>BBBR_RS07260</t>
  </si>
  <si>
    <t>WP_003830281.1</t>
  </si>
  <si>
    <t>BBBR_RS07255</t>
  </si>
  <si>
    <t>WP_003830282.1</t>
  </si>
  <si>
    <t>BBBR_RS10950</t>
  </si>
  <si>
    <t>WP_003830283.1</t>
  </si>
  <si>
    <t>BBBR_RS07245</t>
  </si>
  <si>
    <t>WP_003830284.1</t>
  </si>
  <si>
    <t>DUF6466 family protein</t>
  </si>
  <si>
    <t>BBBR_RS07240</t>
  </si>
  <si>
    <t>WP_015439040.1</t>
  </si>
  <si>
    <t>VWA domain-containing protein</t>
  </si>
  <si>
    <t>BBBR_RS07235</t>
  </si>
  <si>
    <t>WP_003830286.1</t>
  </si>
  <si>
    <t>BBBR_RS07230</t>
  </si>
  <si>
    <t>WP_003830287.1</t>
  </si>
  <si>
    <t>BBBR_RS07225</t>
  </si>
  <si>
    <t>WP_003830288.1</t>
  </si>
  <si>
    <t>DUF58 domain-containing protein</t>
  </si>
  <si>
    <t>BBBR_RS07220</t>
  </si>
  <si>
    <t>WP_003830289.1</t>
  </si>
  <si>
    <t>MoxR family ATPase</t>
  </si>
  <si>
    <t>BBBR_RS07215</t>
  </si>
  <si>
    <t>WP_003830290.1</t>
  </si>
  <si>
    <t>BBBR_RS07210</t>
  </si>
  <si>
    <t>WP_032738315.1</t>
  </si>
  <si>
    <t>BBBR_RS07205</t>
  </si>
  <si>
    <t>WP_003830292.1</t>
  </si>
  <si>
    <t>cold-shock protein</t>
  </si>
  <si>
    <t>BBBR_RS07200</t>
  </si>
  <si>
    <t>WP_003830293.1</t>
  </si>
  <si>
    <t>BBBR_RS07195</t>
  </si>
  <si>
    <t>WP_003830294.1</t>
  </si>
  <si>
    <t>WXG100 family type VII secretion target</t>
  </si>
  <si>
    <t>BBBR_RS07190</t>
  </si>
  <si>
    <t>WP_003830295.1</t>
  </si>
  <si>
    <t>BBBR_RS07185</t>
  </si>
  <si>
    <t>WP_003830296.1</t>
  </si>
  <si>
    <t>BBBR_RS07180</t>
  </si>
  <si>
    <t>WP_003830297.1</t>
  </si>
  <si>
    <t>BBBR_RS07175</t>
  </si>
  <si>
    <t>WP_003830298.1</t>
  </si>
  <si>
    <t>BBBR_RS07170</t>
  </si>
  <si>
    <t>WP_003830299.1</t>
  </si>
  <si>
    <t>DUF3027 domain-containing protein</t>
  </si>
  <si>
    <t>BBBR_RS07165</t>
  </si>
  <si>
    <t>BBBR_RS07160</t>
  </si>
  <si>
    <t>WP_003830303.1</t>
  </si>
  <si>
    <t>BBBR_RS07155</t>
  </si>
  <si>
    <t>WP_003830304.1</t>
  </si>
  <si>
    <t>BBBR_RS07150</t>
  </si>
  <si>
    <t>WP_003830305.1</t>
  </si>
  <si>
    <t>PucR family transcriptional regulator</t>
  </si>
  <si>
    <t>BBBR_RS07145</t>
  </si>
  <si>
    <t>WP_025263108.1</t>
  </si>
  <si>
    <t>BBBR_RS07140</t>
  </si>
  <si>
    <t>WP_047928283.1</t>
  </si>
  <si>
    <t>BBBR_RS07135</t>
  </si>
  <si>
    <t>WP_032738316.1</t>
  </si>
  <si>
    <t>creatininase</t>
  </si>
  <si>
    <t>BBBR_RS07130</t>
  </si>
  <si>
    <t>WP_003830309.1</t>
  </si>
  <si>
    <t>BBBR_RS07125</t>
  </si>
  <si>
    <t>WP_015439026.1</t>
  </si>
  <si>
    <t>DUF349 domain-containing protein</t>
  </si>
  <si>
    <t>BBBR_RS07120</t>
  </si>
  <si>
    <t>WP_025263105.1</t>
  </si>
  <si>
    <t>BBBR_RS07115</t>
  </si>
  <si>
    <t>WP_003830312.1</t>
  </si>
  <si>
    <t>BBBR_RS07110</t>
  </si>
  <si>
    <t>WP_003830314.1</t>
  </si>
  <si>
    <t>YbaK/EbsC family protein</t>
  </si>
  <si>
    <t>BBBR_RS07105</t>
  </si>
  <si>
    <t>WP_014483547.1</t>
  </si>
  <si>
    <t>BBBR_RS07100</t>
  </si>
  <si>
    <t>WP_003830316.1</t>
  </si>
  <si>
    <t>glutamate ABC transporter substrate-binding protein</t>
  </si>
  <si>
    <t>BBBR_RS07095</t>
  </si>
  <si>
    <t>WP_003830317.1</t>
  </si>
  <si>
    <t>BBBR_RS07090</t>
  </si>
  <si>
    <t>WP_003830318.1</t>
  </si>
  <si>
    <t>BBBR_RS07085</t>
  </si>
  <si>
    <t>WP_003830319.1</t>
  </si>
  <si>
    <t>BBBR_RS07080</t>
  </si>
  <si>
    <t>WP_015439022.1</t>
  </si>
  <si>
    <t>LysE/ArgO family amino acid transporter</t>
  </si>
  <si>
    <t>BBBR_RS07075</t>
  </si>
  <si>
    <t>WP_003830321.1</t>
  </si>
  <si>
    <t>PLP-dependent aminotransferase family protein</t>
  </si>
  <si>
    <t>BBBR_RS07070</t>
  </si>
  <si>
    <t>WP_003830322.1</t>
  </si>
  <si>
    <t>polyphosphate kinase 2 family protein</t>
  </si>
  <si>
    <t>BBBR_RS07065</t>
  </si>
  <si>
    <t>WP_016462438.1</t>
  </si>
  <si>
    <t>RNA helicase</t>
  </si>
  <si>
    <t>BBBR_RS07060</t>
  </si>
  <si>
    <t>WP_003830324.1</t>
  </si>
  <si>
    <t>BBBR_RS10945</t>
  </si>
  <si>
    <t>WP_003830325.1</t>
  </si>
  <si>
    <t>BBBR_RS07050</t>
  </si>
  <si>
    <t>WP_003830326.1</t>
  </si>
  <si>
    <t>histidine kinase</t>
  </si>
  <si>
    <t>BBBR_RS07045</t>
  </si>
  <si>
    <t>WP_003830327.1</t>
  </si>
  <si>
    <t>BBBR_RS07040</t>
  </si>
  <si>
    <t>WP_003830329.1</t>
  </si>
  <si>
    <t>BBBR_RS07035</t>
  </si>
  <si>
    <t>WP_003830330.1</t>
  </si>
  <si>
    <t>BBBR_RS07030</t>
  </si>
  <si>
    <t>WP_003830331.1</t>
  </si>
  <si>
    <t>phage holin family protein</t>
  </si>
  <si>
    <t>BBBR_RS07025</t>
  </si>
  <si>
    <t>WP_003830332.1</t>
  </si>
  <si>
    <t>YhbY family RNA-binding protein</t>
  </si>
  <si>
    <t>BBBR_RS07020</t>
  </si>
  <si>
    <t>WP_003830333.1</t>
  </si>
  <si>
    <t>BBBR_RS07015</t>
  </si>
  <si>
    <t>WP_015439013.1</t>
  </si>
  <si>
    <t>BBBR_RS07010</t>
  </si>
  <si>
    <t>WP_003830335.1</t>
  </si>
  <si>
    <t>BBBR_RS07005</t>
  </si>
  <si>
    <t>WP_014483558.1</t>
  </si>
  <si>
    <t>BBBR_RS07000</t>
  </si>
  <si>
    <t>WP_014483559.1</t>
  </si>
  <si>
    <t>ppgK</t>
  </si>
  <si>
    <t>polyphosphate--glucose phosphotransferase</t>
  </si>
  <si>
    <t>BBBR_RS06995</t>
  </si>
  <si>
    <t>WP_014483560.1</t>
  </si>
  <si>
    <t>glycoside hydrolase family 32 protein</t>
  </si>
  <si>
    <t>BBBR_RS06990</t>
  </si>
  <si>
    <t>WP_012577172.1</t>
  </si>
  <si>
    <t>BBBR_RS06985</t>
  </si>
  <si>
    <t>WP_047928274.1</t>
  </si>
  <si>
    <t>BBBR_RS06980</t>
  </si>
  <si>
    <t>WP_003830341.1</t>
  </si>
  <si>
    <t>serU</t>
  </si>
  <si>
    <t>serpin-like protein SerU</t>
  </si>
  <si>
    <t>BBBR_RS06975</t>
  </si>
  <si>
    <t>WP_003830342.1</t>
  </si>
  <si>
    <t>BBBR_RS06970</t>
  </si>
  <si>
    <t>WP_003830343.1</t>
  </si>
  <si>
    <t>BBBR_RS06965</t>
  </si>
  <si>
    <t>WP_032738318.1</t>
  </si>
  <si>
    <t>serK</t>
  </si>
  <si>
    <t>serpin regulatory histidine kinase SerK</t>
  </si>
  <si>
    <t>BBBR_RS06960</t>
  </si>
  <si>
    <t>WP_003830345.1</t>
  </si>
  <si>
    <t>BBBR_RS06955</t>
  </si>
  <si>
    <t>WP_003830347.1</t>
  </si>
  <si>
    <t>thiamine-binding protein</t>
  </si>
  <si>
    <t>BBBR_RS06950</t>
  </si>
  <si>
    <t>WP_014483565.1</t>
  </si>
  <si>
    <t>BBBR_RS06945</t>
  </si>
  <si>
    <t>WP_003830351.1</t>
  </si>
  <si>
    <t>26S protease regulatory subunit</t>
  </si>
  <si>
    <t>BBBR_RS06940</t>
  </si>
  <si>
    <t>WP_003830353.1</t>
  </si>
  <si>
    <t>thiC</t>
  </si>
  <si>
    <t>phosphomethylpyrimidine synthase ThiC</t>
  </si>
  <si>
    <t>BBBR_RS06935</t>
  </si>
  <si>
    <t>WP_032738319.1</t>
  </si>
  <si>
    <t>hydroxyethylthiazole kinase</t>
  </si>
  <si>
    <t>BBBR_RS06930</t>
  </si>
  <si>
    <t>WP_003830357.1</t>
  </si>
  <si>
    <t>glycine--tRNA ligase</t>
  </si>
  <si>
    <t>BBBR_RS06925</t>
  </si>
  <si>
    <t>WP_025299936.1</t>
  </si>
  <si>
    <t>BBBR_RS06920</t>
  </si>
  <si>
    <t>WP_003830362.1</t>
  </si>
  <si>
    <t>BBBR_RS06915</t>
  </si>
  <si>
    <t>WP_003830364.1</t>
  </si>
  <si>
    <t>BBBR_RS06910</t>
  </si>
  <si>
    <t>WP_003830366.1</t>
  </si>
  <si>
    <t>YggT family protein</t>
  </si>
  <si>
    <t>BBBR_RS06905</t>
  </si>
  <si>
    <t>WP_003830369.1</t>
  </si>
  <si>
    <t>BBBR_RS06900</t>
  </si>
  <si>
    <t>WP_003830371.1</t>
  </si>
  <si>
    <t>BBBR_RS06895</t>
  </si>
  <si>
    <t>WP_003830374.1</t>
  </si>
  <si>
    <t>BBBR_RS06890</t>
  </si>
  <si>
    <t>WP_003830376.1</t>
  </si>
  <si>
    <t>YafY family protein</t>
  </si>
  <si>
    <t>BBBR_RS06885</t>
  </si>
  <si>
    <t>WP_003830378.1</t>
  </si>
  <si>
    <t>dnaE</t>
  </si>
  <si>
    <t>BBBR_RS06880</t>
  </si>
  <si>
    <t>WP_003830380.1</t>
  </si>
  <si>
    <t>DUF4186 domain-containing protein</t>
  </si>
  <si>
    <t>BBBR_RS06875</t>
  </si>
  <si>
    <t>WP_003830381.1</t>
  </si>
  <si>
    <t>BBBR_RS06870</t>
  </si>
  <si>
    <t>WP_003830383.1</t>
  </si>
  <si>
    <t>BBBR_RS06865</t>
  </si>
  <si>
    <t>BBBR_RS06860</t>
  </si>
  <si>
    <t>BBBR_RS06855</t>
  </si>
  <si>
    <t>BBBR_RS06850</t>
  </si>
  <si>
    <t>BBBR_RS06845</t>
  </si>
  <si>
    <t>WP_003830400.1</t>
  </si>
  <si>
    <t>BBBR_RS06840</t>
  </si>
  <si>
    <t>WP_003830401.1</t>
  </si>
  <si>
    <t>BBBR_RS06835</t>
  </si>
  <si>
    <t>WP_003830403.1</t>
  </si>
  <si>
    <t>BBBR_RS06830</t>
  </si>
  <si>
    <t>WP_003830405.1</t>
  </si>
  <si>
    <t>glycosyl hydrolase family 95 catalytic domain-containing protein</t>
  </si>
  <si>
    <t>BBBR_RS06825</t>
  </si>
  <si>
    <t>WP_003830406.1</t>
  </si>
  <si>
    <t>BBBR_RS06820</t>
  </si>
  <si>
    <t>WP_003830407.1</t>
  </si>
  <si>
    <t>BBBR_RS06815</t>
  </si>
  <si>
    <t>WP_003830409.1</t>
  </si>
  <si>
    <t>hisD</t>
  </si>
  <si>
    <t>histidinol dehydrogenase</t>
  </si>
  <si>
    <t>BBBR_RS06810</t>
  </si>
  <si>
    <t>WP_003830410.1</t>
  </si>
  <si>
    <t>histidinol-phosphate transaminase</t>
  </si>
  <si>
    <t>BBBR_RS06805</t>
  </si>
  <si>
    <t>WP_014483581.1</t>
  </si>
  <si>
    <t>hisB</t>
  </si>
  <si>
    <t>imidazoleglycerol-phosphate dehydratase HisB</t>
  </si>
  <si>
    <t>BBBR_RS06800</t>
  </si>
  <si>
    <t>WP_003830413.1</t>
  </si>
  <si>
    <t>BBBR_RS06795</t>
  </si>
  <si>
    <t>WP_003830414.1</t>
  </si>
  <si>
    <t>hisH</t>
  </si>
  <si>
    <t>imidazole glycerol phosphate synthase subunit HisH</t>
  </si>
  <si>
    <t>BBBR_RS06790</t>
  </si>
  <si>
    <t>WP_003830416.1</t>
  </si>
  <si>
    <t>bifunctional 1-(5-phosphoribosyl)-5-((5-phosphoribosylamino)methylideneamino)imidazole-4-carboxamide isomerase/phosphoribosylanthranilate isomerase PriA</t>
  </si>
  <si>
    <t>BBBR_RS06785</t>
  </si>
  <si>
    <t>WP_014483584.1</t>
  </si>
  <si>
    <t>DUF2252 domain-containing protein</t>
  </si>
  <si>
    <t>BBBR_RS06780</t>
  </si>
  <si>
    <t>WP_003830419.1</t>
  </si>
  <si>
    <t>BBBR_RS06775</t>
  </si>
  <si>
    <t>WP_003830420.1</t>
  </si>
  <si>
    <t>BBBR_RS06770</t>
  </si>
  <si>
    <t>WP_003830422.1</t>
  </si>
  <si>
    <t>DUF3418 domain-containing protein</t>
  </si>
  <si>
    <t>BBBR_RS06765</t>
  </si>
  <si>
    <t>WP_014483586.1</t>
  </si>
  <si>
    <t>BBBR_RS06760</t>
  </si>
  <si>
    <t>WP_032738350.1</t>
  </si>
  <si>
    <t>BBBR_RS06755</t>
  </si>
  <si>
    <t>WP_003830428.1</t>
  </si>
  <si>
    <t>BBBR_RS06750</t>
  </si>
  <si>
    <t>WP_019727435.1</t>
  </si>
  <si>
    <t>BBBR_RS06745</t>
  </si>
  <si>
    <t>WP_003830434.1</t>
  </si>
  <si>
    <t>BBBR_RS06740</t>
  </si>
  <si>
    <t>WP_003830436.1</t>
  </si>
  <si>
    <t>LysM peptidoglycan-binding domain-containing protein</t>
  </si>
  <si>
    <t>BBBR_RS06735</t>
  </si>
  <si>
    <t>WP_015438975.1</t>
  </si>
  <si>
    <t>BBBR_RS06730</t>
  </si>
  <si>
    <t>WP_003830440.1</t>
  </si>
  <si>
    <t>serA</t>
  </si>
  <si>
    <t>phosphoglycerate dehydrogenase</t>
  </si>
  <si>
    <t>BBBR_RS06725</t>
  </si>
  <si>
    <t>WP_019727436.1</t>
  </si>
  <si>
    <t>BBBR_RS06720</t>
  </si>
  <si>
    <t>WP_003830445.1</t>
  </si>
  <si>
    <t>BBBR_RS06715</t>
  </si>
  <si>
    <t>WP_003830446.1</t>
  </si>
  <si>
    <t>BBBR_RS06710</t>
  </si>
  <si>
    <t>WP_032738320.1</t>
  </si>
  <si>
    <t>BBBR_RS06705</t>
  </si>
  <si>
    <t>WP_003830449.1</t>
  </si>
  <si>
    <t>BBBR_RS06700</t>
  </si>
  <si>
    <t>WP_003830451.1</t>
  </si>
  <si>
    <t>BBBR_RS06695</t>
  </si>
  <si>
    <t>WP_003830453.1</t>
  </si>
  <si>
    <t>BBBR_RS06690</t>
  </si>
  <si>
    <t>WP_014483592.1</t>
  </si>
  <si>
    <t>BBBR_RS06685</t>
  </si>
  <si>
    <t>WP_003830457.1</t>
  </si>
  <si>
    <t>BBBR_RS06680</t>
  </si>
  <si>
    <t>WP_003830458.1</t>
  </si>
  <si>
    <t>ftsW</t>
  </si>
  <si>
    <t>putative lipid II flippase FtsW</t>
  </si>
  <si>
    <t>BBBR_RS06675</t>
  </si>
  <si>
    <t>WP_003830459.1</t>
  </si>
  <si>
    <t>BBBR_RS06670</t>
  </si>
  <si>
    <t>WP_003830460.1</t>
  </si>
  <si>
    <t>BBBR_RS06665</t>
  </si>
  <si>
    <t>WP_003830462.1</t>
  </si>
  <si>
    <t>cell division protein FtsQ/DivIB</t>
  </si>
  <si>
    <t>BBBR_RS09935</t>
  </si>
  <si>
    <t>BBBR_RS06660</t>
  </si>
  <si>
    <t>WP_225851437.1</t>
  </si>
  <si>
    <t>BBBR_RS06655</t>
  </si>
  <si>
    <t>WP_003830466.1</t>
  </si>
  <si>
    <t>BBBR_RS06650</t>
  </si>
  <si>
    <t>WP_225851438.1</t>
  </si>
  <si>
    <t>ImmA/IrrE family metallo-endopeptidase</t>
  </si>
  <si>
    <t>BBBR_RS06645</t>
  </si>
  <si>
    <t>WP_003830469.1</t>
  </si>
  <si>
    <t>BBBR_RS06640</t>
  </si>
  <si>
    <t>WP_003830471.1</t>
  </si>
  <si>
    <t>BBBR_RS06635</t>
  </si>
  <si>
    <t>WP_003830473.1</t>
  </si>
  <si>
    <t>BBBR_RS10745</t>
  </si>
  <si>
    <t>WP_003830475.1</t>
  </si>
  <si>
    <t>BBBR_RS06630</t>
  </si>
  <si>
    <t>WP_019727444.1</t>
  </si>
  <si>
    <t>BBBR_RS06625</t>
  </si>
  <si>
    <t>WP_003830479.1</t>
  </si>
  <si>
    <t>BBBR_RS11215</t>
  </si>
  <si>
    <t>WP_170163973.1</t>
  </si>
  <si>
    <t>DNA cytosine methyltransferase</t>
  </si>
  <si>
    <t>BBBR_RS11210</t>
  </si>
  <si>
    <t>WP_157960032.1</t>
  </si>
  <si>
    <t>BBBR_RS06615</t>
  </si>
  <si>
    <t>WP_003830486.1</t>
  </si>
  <si>
    <t>phage antirepressor Ant</t>
  </si>
  <si>
    <t>BBBR_RS06610</t>
  </si>
  <si>
    <t>WP_003830487.1</t>
  </si>
  <si>
    <t>AlpA family transcriptional regulator</t>
  </si>
  <si>
    <t>BBBR_RS06605</t>
  </si>
  <si>
    <t>WP_003830489.1</t>
  </si>
  <si>
    <t>BBBR_RS10940</t>
  </si>
  <si>
    <t>WP_003830490.1</t>
  </si>
  <si>
    <t>BBBR_RS06600</t>
  </si>
  <si>
    <t>WP_003830492.1</t>
  </si>
  <si>
    <t>YqaJ viral recombinase family protein</t>
  </si>
  <si>
    <t>BBBR_RS06595</t>
  </si>
  <si>
    <t>WP_003830494.1</t>
  </si>
  <si>
    <t>recombinase RecT</t>
  </si>
  <si>
    <t>BBBR_RS10935</t>
  </si>
  <si>
    <t>WP_003830496.1</t>
  </si>
  <si>
    <t>BBBR_RS06590</t>
  </si>
  <si>
    <t>WP_003830498.1</t>
  </si>
  <si>
    <t>BBBR_RS06585</t>
  </si>
  <si>
    <t>WP_003830503.1</t>
  </si>
  <si>
    <t>BBBR_RS06580</t>
  </si>
  <si>
    <t>WP_003830506.1</t>
  </si>
  <si>
    <t>BBBR_RS06575</t>
  </si>
  <si>
    <t>WP_003830508.1</t>
  </si>
  <si>
    <t>BBBR_RS06570</t>
  </si>
  <si>
    <t>WP_003830510.1</t>
  </si>
  <si>
    <t>BBBR_RS06565</t>
  </si>
  <si>
    <t>WP_003830512.1</t>
  </si>
  <si>
    <t>BBBR_RS10930</t>
  </si>
  <si>
    <t>WP_003830514.1</t>
  </si>
  <si>
    <t>BBBR_RS06560</t>
  </si>
  <si>
    <t>WP_019727445.1</t>
  </si>
  <si>
    <t>phage N-6-adenine-methyltransferase</t>
  </si>
  <si>
    <t>BBBR_RS06555</t>
  </si>
  <si>
    <t>WP_003830520.1</t>
  </si>
  <si>
    <t>BBBR_RS06550</t>
  </si>
  <si>
    <t>WP_003830521.1</t>
  </si>
  <si>
    <t>BBBR_RS06545</t>
  </si>
  <si>
    <t>WP_003830522.1</t>
  </si>
  <si>
    <t>BBBR_RS06540</t>
  </si>
  <si>
    <t>WP_003830524.1</t>
  </si>
  <si>
    <t>BBBR_RS06535</t>
  </si>
  <si>
    <t>WP_003830526.1</t>
  </si>
  <si>
    <t>BBBR_RS06530</t>
  </si>
  <si>
    <t>WP_003830527.1</t>
  </si>
  <si>
    <t>BBBR_RS06525</t>
  </si>
  <si>
    <t>WP_003830528.1</t>
  </si>
  <si>
    <t>BBBR_RS06515</t>
  </si>
  <si>
    <t>WP_003830531.1</t>
  </si>
  <si>
    <t>BBBR_RS06510</t>
  </si>
  <si>
    <t>WP_003830532.1</t>
  </si>
  <si>
    <t>BBBR_RS06505</t>
  </si>
  <si>
    <t>WP_003830533.1</t>
  </si>
  <si>
    <t>BBBR_RS06500</t>
  </si>
  <si>
    <t>WP_003830534.1</t>
  </si>
  <si>
    <t>BBBR_RS06495</t>
  </si>
  <si>
    <t>WP_003830535.1</t>
  </si>
  <si>
    <t>HK97 family phage prohead protease</t>
  </si>
  <si>
    <t>BBBR_RS06490</t>
  </si>
  <si>
    <t>WP_003830536.1</t>
  </si>
  <si>
    <t>phage major capsid protein</t>
  </si>
  <si>
    <t>BBBR_RS06485</t>
  </si>
  <si>
    <t>WP_019727447.1</t>
  </si>
  <si>
    <t>BBBR_RS06480</t>
  </si>
  <si>
    <t>WP_003830538.1</t>
  </si>
  <si>
    <t>BBBR_RS06475</t>
  </si>
  <si>
    <t>WP_003830539.1</t>
  </si>
  <si>
    <t>BBBR_RS06470</t>
  </si>
  <si>
    <t>WP_003830540.1</t>
  </si>
  <si>
    <t>HK97 gp10 family phage protein</t>
  </si>
  <si>
    <t>BBBR_RS06465</t>
  </si>
  <si>
    <t>WP_003830541.1</t>
  </si>
  <si>
    <t>BBBR_RS06460</t>
  </si>
  <si>
    <t>WP_003830542.1</t>
  </si>
  <si>
    <t>BBBR_RS06455</t>
  </si>
  <si>
    <t>WP_225851439.1</t>
  </si>
  <si>
    <t>BBBR_RS06450</t>
  </si>
  <si>
    <t>WP_003830544.1</t>
  </si>
  <si>
    <t>BBBR_RS06445</t>
  </si>
  <si>
    <t>WP_003830545.1</t>
  </si>
  <si>
    <t>BBBR_RS06440</t>
  </si>
  <si>
    <t>WP_003830546.1</t>
  </si>
  <si>
    <t>BBBR_RS06435</t>
  </si>
  <si>
    <t>WP_003830547.1</t>
  </si>
  <si>
    <t>BBBR_RS06430</t>
  </si>
  <si>
    <t>WP_003830548.1</t>
  </si>
  <si>
    <t>BBBR_RS06425</t>
  </si>
  <si>
    <t>WP_225851440.1</t>
  </si>
  <si>
    <t>nitrate reductase</t>
  </si>
  <si>
    <t>BBBR_RS06420</t>
  </si>
  <si>
    <t>WP_003830550.1</t>
  </si>
  <si>
    <t>BBBR_RS10925</t>
  </si>
  <si>
    <t>WP_003830551.1</t>
  </si>
  <si>
    <t>BBBR_RS06415</t>
  </si>
  <si>
    <t>WP_047928254.1</t>
  </si>
  <si>
    <t>BBBR_RS06410</t>
  </si>
  <si>
    <t>WP_225851441.1</t>
  </si>
  <si>
    <t>BBBR_RS06405</t>
  </si>
  <si>
    <t>WP_003830553.1</t>
  </si>
  <si>
    <t>BBBR_RS06400</t>
  </si>
  <si>
    <t>WP_003830554.1</t>
  </si>
  <si>
    <t>BBBR_RS10920</t>
  </si>
  <si>
    <t>WP_154646685.1</t>
  </si>
  <si>
    <t>BBBR_RS06395</t>
  </si>
  <si>
    <t>WP_225851442.1</t>
  </si>
  <si>
    <t>BBBR_RS06390</t>
  </si>
  <si>
    <t>WP_003830557.1</t>
  </si>
  <si>
    <t>N-acetylmuramoyl-L-alanine amidase</t>
  </si>
  <si>
    <t>BBBR_RS06385</t>
  </si>
  <si>
    <t>WP_003830558.1</t>
  </si>
  <si>
    <t>BBBR_RS06380</t>
  </si>
  <si>
    <t>WP_003830560.1</t>
  </si>
  <si>
    <t>BBBR_RS06375</t>
  </si>
  <si>
    <t>WP_003830561.1</t>
  </si>
  <si>
    <t>BBBR_RS10735</t>
  </si>
  <si>
    <t>WP_100198989.1</t>
  </si>
  <si>
    <t>BBBR_RS06370</t>
  </si>
  <si>
    <t>WP_003830564.1</t>
  </si>
  <si>
    <t>BBBR_RS06365</t>
  </si>
  <si>
    <t>BBBR_RS11380</t>
  </si>
  <si>
    <t>WP_003830566.1</t>
  </si>
  <si>
    <t>BBBR_RS11375</t>
  </si>
  <si>
    <t>WP_003830567.1</t>
  </si>
  <si>
    <t>BBBR_RS06350</t>
  </si>
  <si>
    <t>WP_003830569.1</t>
  </si>
  <si>
    <t>carbohydrate kinase</t>
  </si>
  <si>
    <t>BBBR_RS06345</t>
  </si>
  <si>
    <t>WP_003830571.1</t>
  </si>
  <si>
    <t>BBBR_RS06340</t>
  </si>
  <si>
    <t>WP_003830573.1</t>
  </si>
  <si>
    <t>BBBR_RS06335</t>
  </si>
  <si>
    <t>WP_003830575.1</t>
  </si>
  <si>
    <t>BBBR_RS06330</t>
  </si>
  <si>
    <t>WP_014483599.1</t>
  </si>
  <si>
    <t>BBBR_RS06325</t>
  </si>
  <si>
    <t>WP_003830578.1</t>
  </si>
  <si>
    <t>BBBR_RS06320</t>
  </si>
  <si>
    <t>WP_003830579.1</t>
  </si>
  <si>
    <t>BBBR_RS06315</t>
  </si>
  <si>
    <t>WP_014483600.1</t>
  </si>
  <si>
    <t>BBBR_RS06310</t>
  </si>
  <si>
    <t>WP_003830582.1</t>
  </si>
  <si>
    <t>BBBR_RS06305</t>
  </si>
  <si>
    <t>WP_003830583.1</t>
  </si>
  <si>
    <t>BBBR_RS06300</t>
  </si>
  <si>
    <t>BBBR_RS06295</t>
  </si>
  <si>
    <t>WP_032738322.1</t>
  </si>
  <si>
    <t>BBBR_RS06290</t>
  </si>
  <si>
    <t>WP_003830586.1</t>
  </si>
  <si>
    <t>UDP-N-acetylmuramoyl-L-alanyl-D-glutamate--2,6-diaminopimelate ligase</t>
  </si>
  <si>
    <t>BBBR_RS06285</t>
  </si>
  <si>
    <t>WP_003830587.1</t>
  </si>
  <si>
    <t>sigma-70 family RNA polymerase sigma factor</t>
  </si>
  <si>
    <t>BBBR_RS06280</t>
  </si>
  <si>
    <t>WP_003830588.1</t>
  </si>
  <si>
    <t>BBBR_RS11370</t>
  </si>
  <si>
    <t>WP_003817083.1</t>
  </si>
  <si>
    <t>50S ribosomal protein bL37</t>
  </si>
  <si>
    <t>BBBR_RS06275</t>
  </si>
  <si>
    <t>WP_003830590.1</t>
  </si>
  <si>
    <t>BBBR_RS06270</t>
  </si>
  <si>
    <t>WP_003830591.1</t>
  </si>
  <si>
    <t>BBBR_RS06265</t>
  </si>
  <si>
    <t>WP_014483607.1</t>
  </si>
  <si>
    <t>4-hydroxy-3-methylbut-2-enyl diphosphate reductase</t>
  </si>
  <si>
    <t>BBBR_RS06260</t>
  </si>
  <si>
    <t>WP_003830593.1</t>
  </si>
  <si>
    <t>BBBR_RS06255</t>
  </si>
  <si>
    <t>WP_003830594.1</t>
  </si>
  <si>
    <t>BBBR_RS06250</t>
  </si>
  <si>
    <t>WP_003830595.1</t>
  </si>
  <si>
    <t>BBBR_RS06245</t>
  </si>
  <si>
    <t>WP_003830596.1</t>
  </si>
  <si>
    <t>BBBR_RS06240</t>
  </si>
  <si>
    <t>WP_047928382.1</t>
  </si>
  <si>
    <t>BBBR_RS06235</t>
  </si>
  <si>
    <t>WP_014483610.1</t>
  </si>
  <si>
    <t>BBBR_RS06230</t>
  </si>
  <si>
    <t>WP_003830599.1</t>
  </si>
  <si>
    <t>BBBR_RS06225</t>
  </si>
  <si>
    <t>WP_003830600.1</t>
  </si>
  <si>
    <t>BBBR_RS06220</t>
  </si>
  <si>
    <t>WP_003830601.1</t>
  </si>
  <si>
    <t>BBBR_RS06215</t>
  </si>
  <si>
    <t>WP_025263063.1</t>
  </si>
  <si>
    <t>BBBR_RS06210</t>
  </si>
  <si>
    <t>WP_003830603.1</t>
  </si>
  <si>
    <t>ScpA family protein</t>
  </si>
  <si>
    <t>BBBR_RS06205</t>
  </si>
  <si>
    <t>WP_003830604.1</t>
  </si>
  <si>
    <t>BBBR_RS06200</t>
  </si>
  <si>
    <t>WP_015438942.1</t>
  </si>
  <si>
    <t>NrtR DNA-binding winged helix domain-containing protein</t>
  </si>
  <si>
    <t>BBBR_RS06195</t>
  </si>
  <si>
    <t>WP_003830606.1</t>
  </si>
  <si>
    <t>nadA</t>
  </si>
  <si>
    <t>quinolinate synthase NadA</t>
  </si>
  <si>
    <t>BBBR_RS06190</t>
  </si>
  <si>
    <t>WP_032738323.1</t>
  </si>
  <si>
    <t>nadB</t>
  </si>
  <si>
    <t>L-aspartate oxidase</t>
  </si>
  <si>
    <t>BBBR_RS06185</t>
  </si>
  <si>
    <t>WP_003830608.1</t>
  </si>
  <si>
    <t>nadC</t>
  </si>
  <si>
    <t>carboxylating nicotinate-nucleotide diphosphorylase</t>
  </si>
  <si>
    <t>BBBR_RS06180</t>
  </si>
  <si>
    <t>WP_003830609.1</t>
  </si>
  <si>
    <t>BBBR_RS06175</t>
  </si>
  <si>
    <t>BBBR_RS06170</t>
  </si>
  <si>
    <t>WP_003830611.1</t>
  </si>
  <si>
    <t>BBBR_RS06165</t>
  </si>
  <si>
    <t>WP_015438937.1</t>
  </si>
  <si>
    <t>BBBR_RS06160</t>
  </si>
  <si>
    <t>WP_003830613.1</t>
  </si>
  <si>
    <t>PadR family transcriptional regulator</t>
  </si>
  <si>
    <t>BBBR_RS06155</t>
  </si>
  <si>
    <t>WP_003830614.1</t>
  </si>
  <si>
    <t>BBBR_RS06150</t>
  </si>
  <si>
    <t>WP_019727473.1</t>
  </si>
  <si>
    <t>alcohol dehydrogenase</t>
  </si>
  <si>
    <t>BBBR_RS06145</t>
  </si>
  <si>
    <t>WP_003830616.1</t>
  </si>
  <si>
    <t>prephenate dehydratase domain-containing protein</t>
  </si>
  <si>
    <t>BBBR_RS06140</t>
  </si>
  <si>
    <t>WP_003830617.1</t>
  </si>
  <si>
    <t>prephenate dehydrogenase/arogenate dehydrogenase family protein</t>
  </si>
  <si>
    <t>BBBR_RS06135</t>
  </si>
  <si>
    <t>WP_025263055.1</t>
  </si>
  <si>
    <t>DUF6725 family protein</t>
  </si>
  <si>
    <t>BBBR_RS06130</t>
  </si>
  <si>
    <t>WP_003830619.1</t>
  </si>
  <si>
    <t>BBBR_RS06125</t>
  </si>
  <si>
    <t>WP_003830620.1</t>
  </si>
  <si>
    <t>BBBR_RS06120</t>
  </si>
  <si>
    <t>WP_003830621.1</t>
  </si>
  <si>
    <t>tyrosine recombinase XerC</t>
  </si>
  <si>
    <t>BBBR_RS06115</t>
  </si>
  <si>
    <t>WP_003830622.1</t>
  </si>
  <si>
    <t>BBBR_RS06110</t>
  </si>
  <si>
    <t>WP_003830623.1</t>
  </si>
  <si>
    <t>BBBR_RS06105</t>
  </si>
  <si>
    <t>WP_003830624.1</t>
  </si>
  <si>
    <t>BBBR_RS06100</t>
  </si>
  <si>
    <t>WP_003830625.1</t>
  </si>
  <si>
    <t>BBBR_RS06095</t>
  </si>
  <si>
    <t>WP_003830626.1</t>
  </si>
  <si>
    <t>BBBR_RS06090</t>
  </si>
  <si>
    <t>WP_003830627.1</t>
  </si>
  <si>
    <t>DUF3710 domain-containing protein</t>
  </si>
  <si>
    <t>BBBR_RS06085</t>
  </si>
  <si>
    <t>WP_003830628.1</t>
  </si>
  <si>
    <t>DUF3159 domain-containing protein</t>
  </si>
  <si>
    <t>BBBR_RS06080</t>
  </si>
  <si>
    <t>WP_003830629.1</t>
  </si>
  <si>
    <t>BBBR_RS06075</t>
  </si>
  <si>
    <t>WP_003830630.1</t>
  </si>
  <si>
    <t>BBBR_RS06070</t>
  </si>
  <si>
    <t>WP_003830631.1</t>
  </si>
  <si>
    <t>BBBR_RS06065</t>
  </si>
  <si>
    <t>WP_032738324.1</t>
  </si>
  <si>
    <t>acnA</t>
  </si>
  <si>
    <t>aconitate hydratase AcnA</t>
  </si>
  <si>
    <t>BBBR_RS06060</t>
  </si>
  <si>
    <t>WP_003830633.1</t>
  </si>
  <si>
    <t>BBBR_RS06055</t>
  </si>
  <si>
    <t>WP_003830634.1</t>
  </si>
  <si>
    <t>BBBR_RS06050</t>
  </si>
  <si>
    <t>WP_003830635.1</t>
  </si>
  <si>
    <t>Bax inhibitor-1/YccA family protein</t>
  </si>
  <si>
    <t>BBBR_RS06045</t>
  </si>
  <si>
    <t>WP_003830636.1</t>
  </si>
  <si>
    <t>BBBR_RS06040</t>
  </si>
  <si>
    <t>WP_003830637.1</t>
  </si>
  <si>
    <t>BBBR_RS06035</t>
  </si>
  <si>
    <t>WP_016462777.1</t>
  </si>
  <si>
    <t>miaB</t>
  </si>
  <si>
    <t>tRNA (N6-isopentenyl adenosine(37)-C2)-methylthiotransferase MiaB</t>
  </si>
  <si>
    <t>BBBR_RS06030</t>
  </si>
  <si>
    <t>WP_003830639.1</t>
  </si>
  <si>
    <t>BBBR_RS06025</t>
  </si>
  <si>
    <t>WP_033892489.1</t>
  </si>
  <si>
    <t>BBBR_RS06020</t>
  </si>
  <si>
    <t>WP_003830641.1</t>
  </si>
  <si>
    <t>BBBR_RS06015</t>
  </si>
  <si>
    <t>WP_015438915.1</t>
  </si>
  <si>
    <t>BBBR_RS06010</t>
  </si>
  <si>
    <t>WP_003830643.1</t>
  </si>
  <si>
    <t>CinA family protein</t>
  </si>
  <si>
    <t>BBBR_RS06005</t>
  </si>
  <si>
    <t>WP_003830644.1</t>
  </si>
  <si>
    <t>BBBR_RS06000</t>
  </si>
  <si>
    <t>WP_003830645.1</t>
  </si>
  <si>
    <t>DUF3046 domain-containing protein</t>
  </si>
  <si>
    <t>BBBR_RS05995</t>
  </si>
  <si>
    <t>WP_014483649.1</t>
  </si>
  <si>
    <t>BBBR_RS05990</t>
  </si>
  <si>
    <t>WP_003830647.1</t>
  </si>
  <si>
    <t>regulatory protein RecX</t>
  </si>
  <si>
    <t>BBBR_RS09915</t>
  </si>
  <si>
    <t>RNase P RNA component class A</t>
  </si>
  <si>
    <t>BBBR_RS05985</t>
  </si>
  <si>
    <t>WP_014483651.1</t>
  </si>
  <si>
    <t>hpf</t>
  </si>
  <si>
    <t>ribosome hibernation-promoting factor, HPF/YfiA family</t>
  </si>
  <si>
    <t>BBBR_RS05980</t>
  </si>
  <si>
    <t>WP_025341805.1</t>
  </si>
  <si>
    <t>BBBR_RS05975</t>
  </si>
  <si>
    <t>WP_003830650.1</t>
  </si>
  <si>
    <t>trpD</t>
  </si>
  <si>
    <t>anthranilate phosphoribosyltransferase</t>
  </si>
  <si>
    <t>BBBR_RS05970</t>
  </si>
  <si>
    <t>WP_032738326.1</t>
  </si>
  <si>
    <t>BBBR_RS05965</t>
  </si>
  <si>
    <t>WP_025332326.1</t>
  </si>
  <si>
    <t>BBBR_RS05960</t>
  </si>
  <si>
    <t>WP_003830653.1</t>
  </si>
  <si>
    <t>BBBR_RS05955</t>
  </si>
  <si>
    <t>WP_003830655.1</t>
  </si>
  <si>
    <t>BBBR_RS05950</t>
  </si>
  <si>
    <t>WP_003830656.1</t>
  </si>
  <si>
    <t>DUF4192 family protein</t>
  </si>
  <si>
    <t>BBBR_RS05945</t>
  </si>
  <si>
    <t>WP_003830657.1</t>
  </si>
  <si>
    <t>RNA polymerase sigma factor</t>
  </si>
  <si>
    <t>BBBR_RS05940</t>
  </si>
  <si>
    <t>WP_003830658.1</t>
  </si>
  <si>
    <t>type IIA DNA topoisomerase subunit B</t>
  </si>
  <si>
    <t>BBBR_RS05935</t>
  </si>
  <si>
    <t>WP_003830659.1</t>
  </si>
  <si>
    <t>sugar MFS transporter</t>
  </si>
  <si>
    <t>BBBR_RS05930</t>
  </si>
  <si>
    <t>WP_003830660.1</t>
  </si>
  <si>
    <t>BBBR_RS05925</t>
  </si>
  <si>
    <t>BBBR_RS11365</t>
  </si>
  <si>
    <t>BBBR_RS05920</t>
  </si>
  <si>
    <t>WP_003830665.1</t>
  </si>
  <si>
    <t>BBBR_RS11140</t>
  </si>
  <si>
    <t>WP_223261712.1</t>
  </si>
  <si>
    <t>BBBR_RS05910</t>
  </si>
  <si>
    <t>WP_003830667.1</t>
  </si>
  <si>
    <t>DNA topoisomerase (ATP-hydrolyzing) subunit A</t>
  </si>
  <si>
    <t>BBBR_RS05905</t>
  </si>
  <si>
    <t>WP_003830669.1</t>
  </si>
  <si>
    <t>BBBR_RS05900</t>
  </si>
  <si>
    <t>WP_003830671.1</t>
  </si>
  <si>
    <t>sepH</t>
  </si>
  <si>
    <t>septation protein SepH</t>
  </si>
  <si>
    <t>BBBR_RS05895</t>
  </si>
  <si>
    <t>WP_003830675.1</t>
  </si>
  <si>
    <t>DUF4193 domain-containing protein</t>
  </si>
  <si>
    <t>BBBR_RS05890</t>
  </si>
  <si>
    <t>WP_003830677.1</t>
  </si>
  <si>
    <t>dut</t>
  </si>
  <si>
    <t>BBBR_RS05885</t>
  </si>
  <si>
    <t>WP_025341798.1</t>
  </si>
  <si>
    <t>bifunctional (p)ppGpp synthetase/guanosine-3',5'-bis(diphosphate) 3'-pyrophosphohydrolase</t>
  </si>
  <si>
    <t>BBBR_RS05880</t>
  </si>
  <si>
    <t>WP_032738358.1</t>
  </si>
  <si>
    <t>BBBR_RS05870</t>
  </si>
  <si>
    <t>WP_003830682.1</t>
  </si>
  <si>
    <t>BBBR_RS05865</t>
  </si>
  <si>
    <t>WP_003830683.1</t>
  </si>
  <si>
    <t>BBBR_RS11260</t>
  </si>
  <si>
    <t>WP_003830684.1</t>
  </si>
  <si>
    <t>BBBR_RS10910</t>
  </si>
  <si>
    <t>WP_003830686.1</t>
  </si>
  <si>
    <t>BBBR_RS05845</t>
  </si>
  <si>
    <t>WP_003830687.1</t>
  </si>
  <si>
    <t>BBBR_RS11135</t>
  </si>
  <si>
    <t>WP_003830688.1</t>
  </si>
  <si>
    <t>BBBR_RS05840</t>
  </si>
  <si>
    <t>WP_003830689.1</t>
  </si>
  <si>
    <t>BBBR_RS05835</t>
  </si>
  <si>
    <t>WP_003830690.1</t>
  </si>
  <si>
    <t>WhiB family transcriptional regulator</t>
  </si>
  <si>
    <t>BBBR_RS05830</t>
  </si>
  <si>
    <t>WP_019727506.1</t>
  </si>
  <si>
    <t>BBBR_RS05825</t>
  </si>
  <si>
    <t>WP_003830692.1</t>
  </si>
  <si>
    <t>BBBR_RS05820</t>
  </si>
  <si>
    <t>WP_003830693.1</t>
  </si>
  <si>
    <t>BBBR_RS05815</t>
  </si>
  <si>
    <t>WP_019727507.1</t>
  </si>
  <si>
    <t>BBBR_RS05810</t>
  </si>
  <si>
    <t>WP_225851443.1</t>
  </si>
  <si>
    <t>BBBR_RS05805</t>
  </si>
  <si>
    <t>WP_003817136.1</t>
  </si>
  <si>
    <t>BBBR_RS05800</t>
  </si>
  <si>
    <t>WP_003830698.1</t>
  </si>
  <si>
    <t>type IV secretion system protein</t>
  </si>
  <si>
    <t>BBBR_RS05795</t>
  </si>
  <si>
    <t>WP_003830699.1</t>
  </si>
  <si>
    <t>PrgI family protein</t>
  </si>
  <si>
    <t>BBBR_RS05790</t>
  </si>
  <si>
    <t>WP_003830700.1</t>
  </si>
  <si>
    <t>VirB4-like conjugal transfer ATPase, CD1110 family</t>
  </si>
  <si>
    <t>BBBR_RS05785</t>
  </si>
  <si>
    <t>WP_003830701.1</t>
  </si>
  <si>
    <t>lytic transglycosylase domain-containing protein</t>
  </si>
  <si>
    <t>BBBR_RS05780</t>
  </si>
  <si>
    <t>WP_003830702.1</t>
  </si>
  <si>
    <t>BBBR_RS05775</t>
  </si>
  <si>
    <t>WP_003830703.1</t>
  </si>
  <si>
    <t>BBBR_RS05770</t>
  </si>
  <si>
    <t>WP_019727510.1</t>
  </si>
  <si>
    <t>ParB/Srx family N-terminal domain-containing protein</t>
  </si>
  <si>
    <t>BBBR_RS05765</t>
  </si>
  <si>
    <t>WP_225851444.1</t>
  </si>
  <si>
    <t>BBBR_RS05760</t>
  </si>
  <si>
    <t>WP_019727511.1</t>
  </si>
  <si>
    <t>BBBR_RS05755</t>
  </si>
  <si>
    <t>WP_003830709.1</t>
  </si>
  <si>
    <t>VirD4-like conjugal transfer protein, CD1115 family</t>
  </si>
  <si>
    <t>BBBR_RS05750</t>
  </si>
  <si>
    <t>WP_003830710.1</t>
  </si>
  <si>
    <t>BBBR_RS05745</t>
  </si>
  <si>
    <t>WP_003830711.1</t>
  </si>
  <si>
    <t>BBBR_RS05740</t>
  </si>
  <si>
    <t>WP_003830712.1</t>
  </si>
  <si>
    <t>BBBR_RS05735</t>
  </si>
  <si>
    <t>WP_003830713.1</t>
  </si>
  <si>
    <t>PcfB family protein</t>
  </si>
  <si>
    <t>BBBR_RS05730</t>
  </si>
  <si>
    <t>WP_003830714.1</t>
  </si>
  <si>
    <t>relaxase/mobilization nuclease domain-containing protein</t>
  </si>
  <si>
    <t>BBBR_RS05725</t>
  </si>
  <si>
    <t>WP_003830715.1</t>
  </si>
  <si>
    <t>MobC family plasmid mobilization relaxosome protein</t>
  </si>
  <si>
    <t>BBBR_RS05720</t>
  </si>
  <si>
    <t>WP_003830717.1</t>
  </si>
  <si>
    <t>DUF2442 domain-containing protein</t>
  </si>
  <si>
    <t>BBBR_RS05715</t>
  </si>
  <si>
    <t>WP_003830718.1</t>
  </si>
  <si>
    <t>BBBR_RS05710</t>
  </si>
  <si>
    <t>WP_003830720.1</t>
  </si>
  <si>
    <t>BBBR_RS05705</t>
  </si>
  <si>
    <t>WP_003830722.1</t>
  </si>
  <si>
    <t>LPD28 domain-containing protein</t>
  </si>
  <si>
    <t>BBBR_RS05700</t>
  </si>
  <si>
    <t>WP_019727516.1</t>
  </si>
  <si>
    <t>BBBR_RS05695</t>
  </si>
  <si>
    <t>WP_003830724.1</t>
  </si>
  <si>
    <t>type IA DNA topoisomerase</t>
  </si>
  <si>
    <t>BBBR_RS05690</t>
  </si>
  <si>
    <t>WP_003830725.1</t>
  </si>
  <si>
    <t>BBBR_RS05685</t>
  </si>
  <si>
    <t>WP_050755806.1</t>
  </si>
  <si>
    <t>BBBR_RS05680</t>
  </si>
  <si>
    <t>WP_003830727.1</t>
  </si>
  <si>
    <t>BBBR_RS05675</t>
  </si>
  <si>
    <t>WP_003830728.1</t>
  </si>
  <si>
    <t>BBBR_RS05670</t>
  </si>
  <si>
    <t>WP_003830729.1</t>
  </si>
  <si>
    <t>antitoxin VbhA family protein</t>
  </si>
  <si>
    <t>BBBR_RS05665</t>
  </si>
  <si>
    <t>WP_025299870.1</t>
  </si>
  <si>
    <t>BBBR_RS05660</t>
  </si>
  <si>
    <t>WP_003830731.1</t>
  </si>
  <si>
    <t>BBBR_RS10905</t>
  </si>
  <si>
    <t>WP_003830732.1</t>
  </si>
  <si>
    <t>BBBR_RS05655</t>
  </si>
  <si>
    <t>WP_014483669.1</t>
  </si>
  <si>
    <t>BBBR_RS05650</t>
  </si>
  <si>
    <t>WP_003830734.1</t>
  </si>
  <si>
    <t>HipA domain-containing protein</t>
  </si>
  <si>
    <t>BBBR_RS05645</t>
  </si>
  <si>
    <t>WP_106620608.1</t>
  </si>
  <si>
    <t>BBBR_RS10725</t>
  </si>
  <si>
    <t>WP_003830736.1</t>
  </si>
  <si>
    <t>BBBR_RS11130</t>
  </si>
  <si>
    <t>WP_047928229.1</t>
  </si>
  <si>
    <t>BBBR_RS10720</t>
  </si>
  <si>
    <t>WP_003830738.1</t>
  </si>
  <si>
    <t>integrase core domain-containing protein</t>
  </si>
  <si>
    <t>BBBR_RS10715</t>
  </si>
  <si>
    <t>WP_003830743.1</t>
  </si>
  <si>
    <t>4'-phosphopantetheinyl transferase</t>
  </si>
  <si>
    <t>BBBR_RS05620</t>
  </si>
  <si>
    <t>WP_003830742.1</t>
  </si>
  <si>
    <t>BBBR_RS05615</t>
  </si>
  <si>
    <t>WP_032738328.1</t>
  </si>
  <si>
    <t>BBBR_RS10710</t>
  </si>
  <si>
    <t>BBBR_RS05605</t>
  </si>
  <si>
    <t>WP_014483356.1</t>
  </si>
  <si>
    <t>BBBR_RS10700</t>
  </si>
  <si>
    <t>BBBR_RS11125</t>
  </si>
  <si>
    <t>WP_003830737.1</t>
  </si>
  <si>
    <t>BBBR_RS10695</t>
  </si>
  <si>
    <t>WP_032738269.1</t>
  </si>
  <si>
    <t>BBBR_RS05585</t>
  </si>
  <si>
    <t>WP_003829563.1</t>
  </si>
  <si>
    <t>BBBR_RS05580</t>
  </si>
  <si>
    <t>WP_003829562.1</t>
  </si>
  <si>
    <t>vWA domain-containing protein</t>
  </si>
  <si>
    <t>BBBR_RS05575</t>
  </si>
  <si>
    <t>WP_003829561.1</t>
  </si>
  <si>
    <t>BBBR_RS05570</t>
  </si>
  <si>
    <t>WP_003829560.1</t>
  </si>
  <si>
    <t>alpha-mannosidase</t>
  </si>
  <si>
    <t>BBBR_RS05565</t>
  </si>
  <si>
    <t>WP_003829559.1</t>
  </si>
  <si>
    <t>BBBR_RS05560</t>
  </si>
  <si>
    <t>WP_225851457.1</t>
  </si>
  <si>
    <t>BBBR_RS05555</t>
  </si>
  <si>
    <t>WP_003829557.1</t>
  </si>
  <si>
    <t>BBBR_RS05550</t>
  </si>
  <si>
    <t>WP_003829556.1</t>
  </si>
  <si>
    <t>BBBR_RS05545</t>
  </si>
  <si>
    <t>WP_003829555.1</t>
  </si>
  <si>
    <t>BBBR_RS05540</t>
  </si>
  <si>
    <t>WP_003829554.1</t>
  </si>
  <si>
    <t>BBBR_RS11120</t>
  </si>
  <si>
    <t>WP_003829553.1</t>
  </si>
  <si>
    <t>BBBR_RS11115</t>
  </si>
  <si>
    <t>WP_308755220.1</t>
  </si>
  <si>
    <t>BBBR_RS05525</t>
  </si>
  <si>
    <t>WP_032738196.1</t>
  </si>
  <si>
    <t>AGE family epimerase/isomerase</t>
  </si>
  <si>
    <t>BBBR_RS05520</t>
  </si>
  <si>
    <t>WP_003829550.1</t>
  </si>
  <si>
    <t>glycoside hydrolase family 125 protein</t>
  </si>
  <si>
    <t>BBBR_RS10900</t>
  </si>
  <si>
    <t>WP_003829548.1</t>
  </si>
  <si>
    <t>BBBR_RS05515</t>
  </si>
  <si>
    <t>WP_003829547.1</t>
  </si>
  <si>
    <t>BBBR_RS05510</t>
  </si>
  <si>
    <t>WP_015438880.1</t>
  </si>
  <si>
    <t>BBBR_RS05505</t>
  </si>
  <si>
    <t>WP_032738195.1</t>
  </si>
  <si>
    <t>BBBR_RS05500</t>
  </si>
  <si>
    <t>WP_029575532.1</t>
  </si>
  <si>
    <t>BBBR_RS05495</t>
  </si>
  <si>
    <t>WP_003829542.1</t>
  </si>
  <si>
    <t>THUMP-like domain-containing protein</t>
  </si>
  <si>
    <t>BBBR_RS05490</t>
  </si>
  <si>
    <t>WP_003829541.1</t>
  </si>
  <si>
    <t>BBBR_RS05485</t>
  </si>
  <si>
    <t>WP_003829540.1</t>
  </si>
  <si>
    <t>BBBR_RS05480</t>
  </si>
  <si>
    <t>WP_003829539.1</t>
  </si>
  <si>
    <t>BBBR_RS05475</t>
  </si>
  <si>
    <t>WP_003829537.1</t>
  </si>
  <si>
    <t>BBBR_RS05470</t>
  </si>
  <si>
    <t>WP_223261714.1</t>
  </si>
  <si>
    <t>BBBR_RS05465</t>
  </si>
  <si>
    <t>WP_003829533.1</t>
  </si>
  <si>
    <t>ComEC/Rec2 family competence protein</t>
  </si>
  <si>
    <t>BBBR_RS05460</t>
  </si>
  <si>
    <t>WP_003829531.1</t>
  </si>
  <si>
    <t>BBBR_RS05455</t>
  </si>
  <si>
    <t>WP_003829530.1</t>
  </si>
  <si>
    <t>BBBR_RS05450</t>
  </si>
  <si>
    <t>WP_003829527.1</t>
  </si>
  <si>
    <t>BBBR_RS05445</t>
  </si>
  <si>
    <t>WP_003829525.1</t>
  </si>
  <si>
    <t>BBBR_RS05440</t>
  </si>
  <si>
    <t>WP_003829524.1</t>
  </si>
  <si>
    <t>BBBR_RS05435</t>
  </si>
  <si>
    <t>BBBR_RS05430</t>
  </si>
  <si>
    <t>WP_003829522.1</t>
  </si>
  <si>
    <t>BBBR_RS05425</t>
  </si>
  <si>
    <t>WP_014483693.1</t>
  </si>
  <si>
    <t>sensor histidine kinase</t>
  </si>
  <si>
    <t>BBBR_RS05420</t>
  </si>
  <si>
    <t>WP_012577399.1</t>
  </si>
  <si>
    <t>BBBR_RS05415</t>
  </si>
  <si>
    <t>WP_003829518.1</t>
  </si>
  <si>
    <t>BBBR_RS05410</t>
  </si>
  <si>
    <t>WP_003829516.1</t>
  </si>
  <si>
    <t>BBBR_RS05405</t>
  </si>
  <si>
    <t>WP_003829514.1</t>
  </si>
  <si>
    <t>BBBR_RS05400</t>
  </si>
  <si>
    <t>WP_003829512.1</t>
  </si>
  <si>
    <t>BBBR_RS10895</t>
  </si>
  <si>
    <t>BBBR_RS05390</t>
  </si>
  <si>
    <t>WP_003829505.1</t>
  </si>
  <si>
    <t>BBBR_RS11110</t>
  </si>
  <si>
    <t>WP_225851436.1</t>
  </si>
  <si>
    <t>BBBR_RS10360</t>
  </si>
  <si>
    <t>WP_223261716.1</t>
  </si>
  <si>
    <t>BBBR_RS09895</t>
  </si>
  <si>
    <t>WP_025332297.1</t>
  </si>
  <si>
    <t>integrase</t>
  </si>
  <si>
    <t>BBBR_RS05375</t>
  </si>
  <si>
    <t>BBBR_RS05370</t>
  </si>
  <si>
    <t>WP_025332296.1</t>
  </si>
  <si>
    <t>BBBR_RS05365</t>
  </si>
  <si>
    <t>WP_003829499.1</t>
  </si>
  <si>
    <t>BBBR_RS05360</t>
  </si>
  <si>
    <t>WP_003829497.1</t>
  </si>
  <si>
    <t>NADP-dependent isocitrate dehydrogenase</t>
  </si>
  <si>
    <t>BBBR_RS05355</t>
  </si>
  <si>
    <t>WP_003829495.1</t>
  </si>
  <si>
    <t>GuaB3 family IMP dehydrogenase-related protein</t>
  </si>
  <si>
    <t>BBBR_RS05350</t>
  </si>
  <si>
    <t>WP_003829492.1</t>
  </si>
  <si>
    <t>BBBR_RS05345</t>
  </si>
  <si>
    <t>WP_003829491.1</t>
  </si>
  <si>
    <t>BBBR_RS05340</t>
  </si>
  <si>
    <t>WP_003829490.1</t>
  </si>
  <si>
    <t>BBBR_RS05335</t>
  </si>
  <si>
    <t>WP_015438854.1</t>
  </si>
  <si>
    <t>BBBR_RS05330</t>
  </si>
  <si>
    <t>WP_003829482.1</t>
  </si>
  <si>
    <t>BBBR_RS05325</t>
  </si>
  <si>
    <t>WP_003829481.1</t>
  </si>
  <si>
    <t>BBBR_RS05320</t>
  </si>
  <si>
    <t>WP_003829479.1</t>
  </si>
  <si>
    <t>ribosome recycling factor</t>
  </si>
  <si>
    <t>BBBR_RS05315</t>
  </si>
  <si>
    <t>WP_014483702.1</t>
  </si>
  <si>
    <t>BBBR_RS05310</t>
  </si>
  <si>
    <t>WP_003829477.1</t>
  </si>
  <si>
    <t>rlmN</t>
  </si>
  <si>
    <t>23S rRNA (adenine(2503)-C(2))-methyltransferase RlmN</t>
  </si>
  <si>
    <t>BBBR_RS05305</t>
  </si>
  <si>
    <t>WP_230578549.1</t>
  </si>
  <si>
    <t>DJ-1/PfpI family protein</t>
  </si>
  <si>
    <t>BBBR_RS05300</t>
  </si>
  <si>
    <t>WP_003829472.1</t>
  </si>
  <si>
    <t>hisF</t>
  </si>
  <si>
    <t>imidazole glycerol phosphate synthase subunit HisF</t>
  </si>
  <si>
    <t>BBBR_RS05295</t>
  </si>
  <si>
    <t>WP_015438852.1</t>
  </si>
  <si>
    <t>hisI</t>
  </si>
  <si>
    <t>phosphoribosyl-AMP cyclohydrolase</t>
  </si>
  <si>
    <t>BBBR_RS05290</t>
  </si>
  <si>
    <t>WP_003829468.1</t>
  </si>
  <si>
    <t>trpE</t>
  </si>
  <si>
    <t>anthranilate synthase component I</t>
  </si>
  <si>
    <t>BBBR_RS05285</t>
  </si>
  <si>
    <t>WP_225851434.1</t>
  </si>
  <si>
    <t>DUF1287 domain-containing protein</t>
  </si>
  <si>
    <t>BBBR_RS05280</t>
  </si>
  <si>
    <t>WP_025332295.1</t>
  </si>
  <si>
    <t>BBBR_RS10890</t>
  </si>
  <si>
    <t>WP_003831803.1</t>
  </si>
  <si>
    <t>BBBR_RS05270</t>
  </si>
  <si>
    <t>WP_014483707.1</t>
  </si>
  <si>
    <t>DUF488 domain-containing protein</t>
  </si>
  <si>
    <t>BBBR_RS05265</t>
  </si>
  <si>
    <t>WP_003829454.1</t>
  </si>
  <si>
    <t>BBBR_RS05260</t>
  </si>
  <si>
    <t>WP_025262999.1</t>
  </si>
  <si>
    <t>BBBR_RS10885</t>
  </si>
  <si>
    <t>WP_324291860.1</t>
  </si>
  <si>
    <t>BBBR_RS10880</t>
  </si>
  <si>
    <t>WP_003829448.1</t>
  </si>
  <si>
    <t>BBBR_RS10875</t>
  </si>
  <si>
    <t>WP_007056267.1</t>
  </si>
  <si>
    <t>BBBR_RS10870</t>
  </si>
  <si>
    <t>WP_032738192.1</t>
  </si>
  <si>
    <t>BBBR_RS05235</t>
  </si>
  <si>
    <t>WP_003829444.1</t>
  </si>
  <si>
    <t>BBBR_RS05230</t>
  </si>
  <si>
    <t>WP_003829442.1</t>
  </si>
  <si>
    <t>BBBR_RS05225</t>
  </si>
  <si>
    <t>WP_003829441.1</t>
  </si>
  <si>
    <t>BBBR_RS05220</t>
  </si>
  <si>
    <t>WP_003829440.1</t>
  </si>
  <si>
    <t>DUF2089 family protein</t>
  </si>
  <si>
    <t>BBBR_RS05215</t>
  </si>
  <si>
    <t>WP_012577746.1</t>
  </si>
  <si>
    <t>BBBR_RS05210</t>
  </si>
  <si>
    <t>WP_012577745.1</t>
  </si>
  <si>
    <t>BBBR_RS05205</t>
  </si>
  <si>
    <t>WP_003829437.1</t>
  </si>
  <si>
    <t>BBBR_RS05200</t>
  </si>
  <si>
    <t>WP_003829436.1</t>
  </si>
  <si>
    <t>BBBR_RS05195</t>
  </si>
  <si>
    <t>WP_003829435.1</t>
  </si>
  <si>
    <t>BBBR_RS05190</t>
  </si>
  <si>
    <t>BBBR_RS10865</t>
  </si>
  <si>
    <t>WP_162531455.1</t>
  </si>
  <si>
    <t>BBBR_RS05185</t>
  </si>
  <si>
    <t>WP_003829431.1</t>
  </si>
  <si>
    <t>BBBR_RS05180</t>
  </si>
  <si>
    <t>WP_012577741.1</t>
  </si>
  <si>
    <t>BBBR_RS05175</t>
  </si>
  <si>
    <t>WP_003829429.1</t>
  </si>
  <si>
    <t>BBBR_RS05170</t>
  </si>
  <si>
    <t>WP_014484916.1</t>
  </si>
  <si>
    <t>BBBR_RS05165</t>
  </si>
  <si>
    <t>WP_003829427.1</t>
  </si>
  <si>
    <t>BBBR_RS05160</t>
  </si>
  <si>
    <t>WP_003829426.1</t>
  </si>
  <si>
    <t>superoxide dismutase</t>
  </si>
  <si>
    <t>BBBR_RS05155</t>
  </si>
  <si>
    <t>WP_003829425.1</t>
  </si>
  <si>
    <t>BBBR_RS05150</t>
  </si>
  <si>
    <t>WP_225851433.1</t>
  </si>
  <si>
    <t>murein hydrolase transporter LrgB</t>
  </si>
  <si>
    <t>BBBR_RS05145</t>
  </si>
  <si>
    <t>WP_003829423.1</t>
  </si>
  <si>
    <t>BBBR_RS05140</t>
  </si>
  <si>
    <t>WP_003829422.1</t>
  </si>
  <si>
    <t>BBBR_RS05135</t>
  </si>
  <si>
    <t>WP_050755804.1</t>
  </si>
  <si>
    <t>BBBR_RS11205</t>
  </si>
  <si>
    <t>WP_003829419.1</t>
  </si>
  <si>
    <t>BBBR_RS10670</t>
  </si>
  <si>
    <t>WP_003829418.1</t>
  </si>
  <si>
    <t>BBBR_RS05125</t>
  </si>
  <si>
    <t>WP_003829417.1</t>
  </si>
  <si>
    <t>BBBR_RS05120</t>
  </si>
  <si>
    <t>WP_014483711.1</t>
  </si>
  <si>
    <t>BBBR_RS05115</t>
  </si>
  <si>
    <t>WP_050755802.1</t>
  </si>
  <si>
    <t>BBBR_RS05110</t>
  </si>
  <si>
    <t>WP_003829413.1</t>
  </si>
  <si>
    <t>BBBR_RS05105</t>
  </si>
  <si>
    <t>WP_003829412.1</t>
  </si>
  <si>
    <t>BBBR_RS05100</t>
  </si>
  <si>
    <t>WP_013140733.1</t>
  </si>
  <si>
    <t>BBBR_RS05095</t>
  </si>
  <si>
    <t>WP_003829410.1</t>
  </si>
  <si>
    <t>BBBR_RS05090</t>
  </si>
  <si>
    <t>WP_032738189.1</t>
  </si>
  <si>
    <t>BBBR_RS10860</t>
  </si>
  <si>
    <t>WP_003829406.1</t>
  </si>
  <si>
    <t>BBBR_RS05080</t>
  </si>
  <si>
    <t>WP_011068121.1</t>
  </si>
  <si>
    <t>Abi family protein</t>
  </si>
  <si>
    <t>BBBR_RS05075</t>
  </si>
  <si>
    <t>WP_003829403.1</t>
  </si>
  <si>
    <t>BBBR_RS05070</t>
  </si>
  <si>
    <t>WP_003829402.1</t>
  </si>
  <si>
    <t>BBBR_RS11255</t>
  </si>
  <si>
    <t>BBBR_RS05065</t>
  </si>
  <si>
    <t>WP_003829401.1</t>
  </si>
  <si>
    <t>aminotransferase class V-fold PLP-dependent enzyme</t>
  </si>
  <si>
    <t>BBBR_RS05060</t>
  </si>
  <si>
    <t>WP_003829400.1</t>
  </si>
  <si>
    <t>BBBR_RS10320</t>
  </si>
  <si>
    <t>WP_404801533.1</t>
  </si>
  <si>
    <t>BBBR_RS05055</t>
  </si>
  <si>
    <t>WP_003829397.1</t>
  </si>
  <si>
    <t>BBBR_RS05050</t>
  </si>
  <si>
    <t>WP_025262986.1</t>
  </si>
  <si>
    <t>deoxyribonuclease IV</t>
  </si>
  <si>
    <t>BBBR_RS05045</t>
  </si>
  <si>
    <t>WP_003829395.1</t>
  </si>
  <si>
    <t>SOS response-associated peptidase</t>
  </si>
  <si>
    <t>BBBR_RS05040</t>
  </si>
  <si>
    <t>WP_003829394.1</t>
  </si>
  <si>
    <t>bifunctional indole-3-glycerol phosphate synthase/tryptophan synthase subunit beta</t>
  </si>
  <si>
    <t>BBBR_RS05035</t>
  </si>
  <si>
    <t>WP_007054259.1</t>
  </si>
  <si>
    <t>trpA</t>
  </si>
  <si>
    <t>tryptophan synthase subunit alpha</t>
  </si>
  <si>
    <t>BBBR_RS05030</t>
  </si>
  <si>
    <t>WP_003829391.1</t>
  </si>
  <si>
    <t>BBBR_RS05025</t>
  </si>
  <si>
    <t>WP_003829390.1</t>
  </si>
  <si>
    <t>BBBR_RS05020</t>
  </si>
  <si>
    <t>WP_003829389.1</t>
  </si>
  <si>
    <t>phosphoribosyl-ATP diphosphatase</t>
  </si>
  <si>
    <t>BBBR_RS05015</t>
  </si>
  <si>
    <t>WP_003829388.1</t>
  </si>
  <si>
    <t>hisG</t>
  </si>
  <si>
    <t>ATP phosphoribosyltransferase</t>
  </si>
  <si>
    <t>BBBR_RS05010</t>
  </si>
  <si>
    <t>WP_003829387.1</t>
  </si>
  <si>
    <t>CDP-alcohol phosphatidyltransferase family protein</t>
  </si>
  <si>
    <t>BBBR_RS05005</t>
  </si>
  <si>
    <t>WP_025299835.1</t>
  </si>
  <si>
    <t>DUF881 domain-containing protein</t>
  </si>
  <si>
    <t>BBBR_RS05000</t>
  </si>
  <si>
    <t>WP_003829384.1</t>
  </si>
  <si>
    <t>small basic family protein</t>
  </si>
  <si>
    <t>BBBR_RS04995</t>
  </si>
  <si>
    <t>WP_015438816.1</t>
  </si>
  <si>
    <t>BBBR_RS04990</t>
  </si>
  <si>
    <t>WP_003829382.1</t>
  </si>
  <si>
    <t>BBBR_RS04985</t>
  </si>
  <si>
    <t>WP_003829381.1</t>
  </si>
  <si>
    <t>BBBR_RS04980</t>
  </si>
  <si>
    <t>WP_003829380.1</t>
  </si>
  <si>
    <t>BBBR_RS04975</t>
  </si>
  <si>
    <t>WP_003829379.1</t>
  </si>
  <si>
    <t>BBBR_RS04970</t>
  </si>
  <si>
    <t>WP_015438812.1</t>
  </si>
  <si>
    <t>HAD family hydrolase</t>
  </si>
  <si>
    <t>BBBR_RS04965</t>
  </si>
  <si>
    <t>WP_003829377.1</t>
  </si>
  <si>
    <t>RNA polymerase-binding protein RbpA</t>
  </si>
  <si>
    <t>BBBR_RS04960</t>
  </si>
  <si>
    <t>WP_003829376.1</t>
  </si>
  <si>
    <t>BBBR_RS04955</t>
  </si>
  <si>
    <t>WP_003829375.1</t>
  </si>
  <si>
    <t>BBBR_RS04950</t>
  </si>
  <si>
    <t>WP_003829374.1</t>
  </si>
  <si>
    <t>BBBR_RS04945</t>
  </si>
  <si>
    <t>WP_003829373.1</t>
  </si>
  <si>
    <t>UTP--glucose-1-phosphate uridylyltransferase</t>
  </si>
  <si>
    <t>BBBR_RS04940</t>
  </si>
  <si>
    <t>WP_003829372.1</t>
  </si>
  <si>
    <t>BBBR_RS04935</t>
  </si>
  <si>
    <t>BBBR_RS04930</t>
  </si>
  <si>
    <t>WP_003829371.1</t>
  </si>
  <si>
    <t>bifunctional cytidylate kinase/GTPase Der</t>
  </si>
  <si>
    <t>BBBR_RS04925</t>
  </si>
  <si>
    <t>WP_014483735.1</t>
  </si>
  <si>
    <t>BBBR_RS04920</t>
  </si>
  <si>
    <t>WP_003829368.1</t>
  </si>
  <si>
    <t>BBBR_RS11105</t>
  </si>
  <si>
    <t>WP_033519558.1</t>
  </si>
  <si>
    <t>BBBR_RS04915</t>
  </si>
  <si>
    <t>WP_003829367.1</t>
  </si>
  <si>
    <t>BBBR_RS04910</t>
  </si>
  <si>
    <t>WP_003829366.1</t>
  </si>
  <si>
    <t>DUF6350 family protein</t>
  </si>
  <si>
    <t>BBBR_RS04905</t>
  </si>
  <si>
    <t>WP_003829365.1</t>
  </si>
  <si>
    <t>sucD</t>
  </si>
  <si>
    <t>succinate--CoA ligase subunit alpha</t>
  </si>
  <si>
    <t>BBBR_RS04900</t>
  </si>
  <si>
    <t>WP_003829364.1</t>
  </si>
  <si>
    <t>sucC</t>
  </si>
  <si>
    <t>ADP-forming succinate--CoA ligase subunit beta</t>
  </si>
  <si>
    <t>BBBR_RS04895</t>
  </si>
  <si>
    <t>WP_003829363.1</t>
  </si>
  <si>
    <t>BBBR_RS04890</t>
  </si>
  <si>
    <t>WP_019728116.1</t>
  </si>
  <si>
    <t>BBBR_RS04885</t>
  </si>
  <si>
    <t>WP_003829361.1</t>
  </si>
  <si>
    <t>BBBR_RS04880</t>
  </si>
  <si>
    <t>WP_003829360.1</t>
  </si>
  <si>
    <t>BBBR_RS04875</t>
  </si>
  <si>
    <t>WP_003829359.1</t>
  </si>
  <si>
    <t>ruvC</t>
  </si>
  <si>
    <t>crossover junction endodeoxyribonuclease RuvC</t>
  </si>
  <si>
    <t>BBBR_RS04870</t>
  </si>
  <si>
    <t>WP_003829358.1</t>
  </si>
  <si>
    <t>BBBR_RS04865</t>
  </si>
  <si>
    <t>WP_032738186.1</t>
  </si>
  <si>
    <t>HIT domain-containing protein</t>
  </si>
  <si>
    <t>BBBR_RS04860</t>
  </si>
  <si>
    <t>WP_003829356.1</t>
  </si>
  <si>
    <t>BBBR_RS04855</t>
  </si>
  <si>
    <t>BBBR_RS04850</t>
  </si>
  <si>
    <t>BBBR_RS04845</t>
  </si>
  <si>
    <t>BBBR_RS04840</t>
  </si>
  <si>
    <t>BBBR_RS04835</t>
  </si>
  <si>
    <t>BBBR_RS04830</t>
  </si>
  <si>
    <t>BBBR_RS04825</t>
  </si>
  <si>
    <t>WP_003829353.1</t>
  </si>
  <si>
    <t>undecaprenyl-diphosphate phosphatase</t>
  </si>
  <si>
    <t>BBBR_RS04820</t>
  </si>
  <si>
    <t>WP_025299825.1</t>
  </si>
  <si>
    <t>fructosamine kinase family protein</t>
  </si>
  <si>
    <t>BBBR_RS04815</t>
  </si>
  <si>
    <t>WP_003829351.1</t>
  </si>
  <si>
    <t>BBBR_RS04810</t>
  </si>
  <si>
    <t>WP_025301236.1</t>
  </si>
  <si>
    <t>BBBR_RS04805</t>
  </si>
  <si>
    <t>WP_003829349.1</t>
  </si>
  <si>
    <t>tkt</t>
  </si>
  <si>
    <t>BBBR_RS04800</t>
  </si>
  <si>
    <t>WP_003829348.1</t>
  </si>
  <si>
    <t>tal</t>
  </si>
  <si>
    <t>transaldolase</t>
  </si>
  <si>
    <t>BBBR_RS04795</t>
  </si>
  <si>
    <t>WP_014483750.1</t>
  </si>
  <si>
    <t>BBBR_RS04790</t>
  </si>
  <si>
    <t>WP_003829346.1</t>
  </si>
  <si>
    <t>BBBR_RS04785</t>
  </si>
  <si>
    <t>WP_003829345.1</t>
  </si>
  <si>
    <t>BBBR_RS04775</t>
  </si>
  <si>
    <t>WP_003829344.1</t>
  </si>
  <si>
    <t>BBBR_RS04770</t>
  </si>
  <si>
    <t>WP_003829343.1</t>
  </si>
  <si>
    <t>BBBR_RS04765</t>
  </si>
  <si>
    <t>WP_003829342.1</t>
  </si>
  <si>
    <t>BBBR_RS04760</t>
  </si>
  <si>
    <t>WP_025299821.1</t>
  </si>
  <si>
    <t>BBBR_RS04755</t>
  </si>
  <si>
    <t>WP_014483752.1</t>
  </si>
  <si>
    <t>BBBR_RS04750</t>
  </si>
  <si>
    <t>WP_003829339.1</t>
  </si>
  <si>
    <t>BBBR_RS04745</t>
  </si>
  <si>
    <t>WP_003829338.1</t>
  </si>
  <si>
    <t>BBBR_RS04740</t>
  </si>
  <si>
    <t>WP_025332269.1</t>
  </si>
  <si>
    <t>shikimate dehydrogenase</t>
  </si>
  <si>
    <t>BBBR_RS04735</t>
  </si>
  <si>
    <t>WP_033892632.1</t>
  </si>
  <si>
    <t>BBBR_RS04730</t>
  </si>
  <si>
    <t>WP_003829334.1</t>
  </si>
  <si>
    <t>BBBR_RS04725</t>
  </si>
  <si>
    <t>WP_003829332.1</t>
  </si>
  <si>
    <t>BBBR_RS04720</t>
  </si>
  <si>
    <t>WP_003829330.1</t>
  </si>
  <si>
    <t>MptD family putative ECF transporter S component</t>
  </si>
  <si>
    <t>BBBR_RS11100</t>
  </si>
  <si>
    <t>WP_003829329.1</t>
  </si>
  <si>
    <t>BBBR_RS11095</t>
  </si>
  <si>
    <t>WP_225851431.1</t>
  </si>
  <si>
    <t>BBBR_RS11090</t>
  </si>
  <si>
    <t>WP_225851430.1</t>
  </si>
  <si>
    <t>BBBR_RS04705</t>
  </si>
  <si>
    <t>WP_003829327.1</t>
  </si>
  <si>
    <t>BBBR_RS04700</t>
  </si>
  <si>
    <t>WP_003829326.1</t>
  </si>
  <si>
    <t>BBBR_RS04695</t>
  </si>
  <si>
    <t>WP_003829324.1</t>
  </si>
  <si>
    <t>bifunctional ADP-dependent NAD(P)H-hydrate dehydratase/NAD(P)H-hydrate epimerase</t>
  </si>
  <si>
    <t>BBBR_RS04690</t>
  </si>
  <si>
    <t>WP_003829323.1</t>
  </si>
  <si>
    <t>BBBR_RS04685</t>
  </si>
  <si>
    <t>WP_003829322.1</t>
  </si>
  <si>
    <t>BBBR_RS04680</t>
  </si>
  <si>
    <t>WP_003829321.1</t>
  </si>
  <si>
    <t>BBBR_RS04675</t>
  </si>
  <si>
    <t>WP_003829320.1</t>
  </si>
  <si>
    <t>BBBR_RS04670</t>
  </si>
  <si>
    <t>WP_003829319.1</t>
  </si>
  <si>
    <t>BBBR_RS04665</t>
  </si>
  <si>
    <t>WP_015438794.1</t>
  </si>
  <si>
    <t>BBBR_RS04660</t>
  </si>
  <si>
    <t>WP_015438793.1</t>
  </si>
  <si>
    <t>dihydroorotate dehydrogenase electron transfer subunit</t>
  </si>
  <si>
    <t>BBBR_RS04655</t>
  </si>
  <si>
    <t>WP_003829316.1</t>
  </si>
  <si>
    <t>BBBR_RS04650</t>
  </si>
  <si>
    <t>WP_003829315.1</t>
  </si>
  <si>
    <t>BBBR_RS04645</t>
  </si>
  <si>
    <t>WP_003829314.1</t>
  </si>
  <si>
    <t>aspartate carbamoyltransferase regulatory subunit</t>
  </si>
  <si>
    <t>BBBR_RS04640</t>
  </si>
  <si>
    <t>WP_003829313.1</t>
  </si>
  <si>
    <t>pyrB</t>
  </si>
  <si>
    <t>aspartate carbamoyltransferase</t>
  </si>
  <si>
    <t>BBBR_RS04635</t>
  </si>
  <si>
    <t>WP_003829312.1</t>
  </si>
  <si>
    <t>bifunctional [glutamine synthetase] adenylyltransferase/[glutamine synthetase]-adenylyl-L-tyrosine phosphorylase</t>
  </si>
  <si>
    <t>BBBR_RS04630</t>
  </si>
  <si>
    <t>WP_014483762.1</t>
  </si>
  <si>
    <t>BBBR_RS04625</t>
  </si>
  <si>
    <t>WP_025262964.1</t>
  </si>
  <si>
    <t>metF</t>
  </si>
  <si>
    <t>methylenetetrahydrofolate reductase [NAD(P)H]</t>
  </si>
  <si>
    <t>BBBR_RS04620</t>
  </si>
  <si>
    <t>WP_003829308.1</t>
  </si>
  <si>
    <t>metE</t>
  </si>
  <si>
    <t>BBBR_RS04615</t>
  </si>
  <si>
    <t>WP_003829307.1</t>
  </si>
  <si>
    <t>BBBR_RS04610</t>
  </si>
  <si>
    <t>WP_003829306.1</t>
  </si>
  <si>
    <t>tRNA (adenine-N1)-methyltransferase</t>
  </si>
  <si>
    <t>BBBR_RS04605</t>
  </si>
  <si>
    <t>WP_025221667.1</t>
  </si>
  <si>
    <t>phospholipase</t>
  </si>
  <si>
    <t>BBBR_RS04600</t>
  </si>
  <si>
    <t>WP_019728136.1</t>
  </si>
  <si>
    <t>BBBR_RS04595</t>
  </si>
  <si>
    <t>WP_016463036.1</t>
  </si>
  <si>
    <t>tenA</t>
  </si>
  <si>
    <t>thiaminase II</t>
  </si>
  <si>
    <t>BBBR_RS04590</t>
  </si>
  <si>
    <t>WP_003829299.1</t>
  </si>
  <si>
    <t>phosphoesterase</t>
  </si>
  <si>
    <t>BBBR_RS04585</t>
  </si>
  <si>
    <t>WP_003829298.1</t>
  </si>
  <si>
    <t>macro domain-containing protein</t>
  </si>
  <si>
    <t>BBBR_RS04580</t>
  </si>
  <si>
    <t>WP_003829297.1</t>
  </si>
  <si>
    <t>BBBR_RS10300</t>
  </si>
  <si>
    <t>BBBR_RS04575</t>
  </si>
  <si>
    <t>WP_032738184.1</t>
  </si>
  <si>
    <t>BBBR_RS04570</t>
  </si>
  <si>
    <t>WP_003829294.1</t>
  </si>
  <si>
    <t>peroxiredoxin</t>
  </si>
  <si>
    <t>BBBR_RS04565</t>
  </si>
  <si>
    <t>WP_003829293.1</t>
  </si>
  <si>
    <t>BBBR_RS04560</t>
  </si>
  <si>
    <t>WP_003829292.1</t>
  </si>
  <si>
    <t>BBBR_RS04555</t>
  </si>
  <si>
    <t>WP_003829291.1</t>
  </si>
  <si>
    <t>BBBR_RS04550</t>
  </si>
  <si>
    <t>WP_003829290.1</t>
  </si>
  <si>
    <t>glycogen synthase</t>
  </si>
  <si>
    <t>BBBR_RS04545</t>
  </si>
  <si>
    <t>WP_032738182.1</t>
  </si>
  <si>
    <t>BBBR_RS04540</t>
  </si>
  <si>
    <t>WP_003829288.1</t>
  </si>
  <si>
    <t>DUF5696 domain-containing protein</t>
  </si>
  <si>
    <t>BBBR_RS04535</t>
  </si>
  <si>
    <t>WP_003829287.1</t>
  </si>
  <si>
    <t>BBBR_RS04530</t>
  </si>
  <si>
    <t>WP_003829286.1</t>
  </si>
  <si>
    <t>glutamate synthase subunit beta</t>
  </si>
  <si>
    <t>BBBR_RS04525</t>
  </si>
  <si>
    <t>WP_032738180.1</t>
  </si>
  <si>
    <t>gltB</t>
  </si>
  <si>
    <t>glutamate synthase large subunit</t>
  </si>
  <si>
    <t>BBBR_RS10290</t>
  </si>
  <si>
    <t>WP_003829283.1</t>
  </si>
  <si>
    <t>BBBR_RS04515</t>
  </si>
  <si>
    <t>WP_003829282.1</t>
  </si>
  <si>
    <t>BBBR_RS11200</t>
  </si>
  <si>
    <t>WP_003829280.1</t>
  </si>
  <si>
    <t>BBBR_RS04510</t>
  </si>
  <si>
    <t>WP_003829278.1</t>
  </si>
  <si>
    <t>hemW</t>
  </si>
  <si>
    <t>radical SAM family heme chaperone HemW</t>
  </si>
  <si>
    <t>BBBR_RS04505</t>
  </si>
  <si>
    <t>WP_003829277.1</t>
  </si>
  <si>
    <t>BBBR_RS04500</t>
  </si>
  <si>
    <t>WP_003829276.1</t>
  </si>
  <si>
    <t>BBBR_RS04495</t>
  </si>
  <si>
    <t>WP_003829275.1</t>
  </si>
  <si>
    <t>trimeric intracellular cation channel family protein</t>
  </si>
  <si>
    <t>BBBR_RS04490</t>
  </si>
  <si>
    <t>WP_003829273.1</t>
  </si>
  <si>
    <t>MazG family protein</t>
  </si>
  <si>
    <t>BBBR_RS04485</t>
  </si>
  <si>
    <t>WP_003829272.1</t>
  </si>
  <si>
    <t>BBBR_RS04480</t>
  </si>
  <si>
    <t>WP_014483788.1</t>
  </si>
  <si>
    <t>50S ribosomal protein L25/general stress protein Ctc</t>
  </si>
  <si>
    <t>BBBR_RS04475</t>
  </si>
  <si>
    <t>WP_003829269.1</t>
  </si>
  <si>
    <t>OFA family MFS transporter</t>
  </si>
  <si>
    <t>BBBR_RS04470</t>
  </si>
  <si>
    <t>WP_003829268.1</t>
  </si>
  <si>
    <t>NAD(P)(+) transhydrogenase (Re/Si-specific) subunit beta</t>
  </si>
  <si>
    <t>BBBR_RS04465</t>
  </si>
  <si>
    <t>WP_003829267.1</t>
  </si>
  <si>
    <t>NAD(P) transhydrogenase subunit alpha</t>
  </si>
  <si>
    <t>BBBR_RS04460</t>
  </si>
  <si>
    <t>WP_003829266.1</t>
  </si>
  <si>
    <t>BBBR_RS04455</t>
  </si>
  <si>
    <t>WP_003829265.1</t>
  </si>
  <si>
    <t>BBBR_RS04450</t>
  </si>
  <si>
    <t>WP_003829264.1</t>
  </si>
  <si>
    <t>BBBR_RS04445</t>
  </si>
  <si>
    <t>WP_003829263.1</t>
  </si>
  <si>
    <t>BBBR_RS04440</t>
  </si>
  <si>
    <t>WP_003829262.1</t>
  </si>
  <si>
    <t>BBBR_RS04435</t>
  </si>
  <si>
    <t>WP_014483794.1</t>
  </si>
  <si>
    <t>BBBR_RS04430</t>
  </si>
  <si>
    <t>WP_014483795.1</t>
  </si>
  <si>
    <t>histidine triad nucleotide-binding protein</t>
  </si>
  <si>
    <t>BBBR_RS04425</t>
  </si>
  <si>
    <t>WP_003829259.1</t>
  </si>
  <si>
    <t>16S rRNA (uracil(1498)-N(3))-methyltransferase</t>
  </si>
  <si>
    <t>BBBR_RS04420</t>
  </si>
  <si>
    <t>BBBR_RS04415</t>
  </si>
  <si>
    <t>WP_003829258.1</t>
  </si>
  <si>
    <t>BBBR_RS04410</t>
  </si>
  <si>
    <t>WP_003829256.1</t>
  </si>
  <si>
    <t>glgC</t>
  </si>
  <si>
    <t>BBBR_RS04405</t>
  </si>
  <si>
    <t>WP_003829255.1</t>
  </si>
  <si>
    <t>BBBR_RS04400</t>
  </si>
  <si>
    <t>WP_003829254.1</t>
  </si>
  <si>
    <t>sufU</t>
  </si>
  <si>
    <t>Fe-S cluster assembly sulfur transfer protein SufU</t>
  </si>
  <si>
    <t>BBBR_RS04395</t>
  </si>
  <si>
    <t>WP_003829253.1</t>
  </si>
  <si>
    <t>cysteine desulfurase</t>
  </si>
  <si>
    <t>BBBR_RS04390</t>
  </si>
  <si>
    <t>WP_003829252.1</t>
  </si>
  <si>
    <t>sufC</t>
  </si>
  <si>
    <t>Fe-S cluster assembly ATPase SufC</t>
  </si>
  <si>
    <t>BBBR_RS04385</t>
  </si>
  <si>
    <t>WP_003829251.1</t>
  </si>
  <si>
    <t>sufD</t>
  </si>
  <si>
    <t>Fe-S cluster assembly protein SufD</t>
  </si>
  <si>
    <t>BBBR_RS04380</t>
  </si>
  <si>
    <t>WP_003829250.1</t>
  </si>
  <si>
    <t>sufB</t>
  </si>
  <si>
    <t>Fe-S cluster assembly protein SufB</t>
  </si>
  <si>
    <t>BBBR_RS04375</t>
  </si>
  <si>
    <t>WP_003829249.1</t>
  </si>
  <si>
    <t>BBBR_RS04370</t>
  </si>
  <si>
    <t>WP_003829248.1</t>
  </si>
  <si>
    <t>BBBR_RS04365</t>
  </si>
  <si>
    <t>WP_025221555.1</t>
  </si>
  <si>
    <t>aroQ</t>
  </si>
  <si>
    <t>type II 3-dehydroquinate dehydratase</t>
  </si>
  <si>
    <t>BBBR_RS04360</t>
  </si>
  <si>
    <t>WP_003829245.1</t>
  </si>
  <si>
    <t>bifunctional shikimate kinase/3-dehydroquinate synthase</t>
  </si>
  <si>
    <t>BBBR_RS04355</t>
  </si>
  <si>
    <t>WP_003829244.1</t>
  </si>
  <si>
    <t>aroC</t>
  </si>
  <si>
    <t>chorismate synthase</t>
  </si>
  <si>
    <t>BBBR_RS04350</t>
  </si>
  <si>
    <t>WP_003829243.1</t>
  </si>
  <si>
    <t>peptidase A24</t>
  </si>
  <si>
    <t>BBBR_RS04345</t>
  </si>
  <si>
    <t>WP_003829242.1</t>
  </si>
  <si>
    <t>mltG</t>
  </si>
  <si>
    <t>endolytic transglycosylase MltG</t>
  </si>
  <si>
    <t>BBBR_RS04340</t>
  </si>
  <si>
    <t>WP_003829241.1</t>
  </si>
  <si>
    <t>BBBR_RS04335</t>
  </si>
  <si>
    <t>WP_003829240.1</t>
  </si>
  <si>
    <t>BBBR_RS04330</t>
  </si>
  <si>
    <t>WP_003829239.1</t>
  </si>
  <si>
    <t>BBBR_RS04325</t>
  </si>
  <si>
    <t>WP_003829238.1</t>
  </si>
  <si>
    <t>BBBR_RS04320</t>
  </si>
  <si>
    <t>WP_032738178.1</t>
  </si>
  <si>
    <t>BBBR_RS04315</t>
  </si>
  <si>
    <t>WP_003829236.1</t>
  </si>
  <si>
    <t>BBBR_RS04310</t>
  </si>
  <si>
    <t>WP_003829235.1</t>
  </si>
  <si>
    <t>BBBR_RS04305</t>
  </si>
  <si>
    <t>WP_003829234.1</t>
  </si>
  <si>
    <t>BBBR_RS04300</t>
  </si>
  <si>
    <t>WP_003829233.1</t>
  </si>
  <si>
    <t>BBBR_RS04295</t>
  </si>
  <si>
    <t>WP_225851429.1</t>
  </si>
  <si>
    <t>BBBR_RS04290</t>
  </si>
  <si>
    <t>WP_003829229.1</t>
  </si>
  <si>
    <t>cytidine deaminase</t>
  </si>
  <si>
    <t>BBBR_RS04285</t>
  </si>
  <si>
    <t>WP_003829227.1</t>
  </si>
  <si>
    <t>BBBR_RS04280</t>
  </si>
  <si>
    <t>WP_003829226.1</t>
  </si>
  <si>
    <t>BBBR_RS04275</t>
  </si>
  <si>
    <t>WP_003829224.1</t>
  </si>
  <si>
    <t>BBBR_RS04270</t>
  </si>
  <si>
    <t>WP_025262940.1</t>
  </si>
  <si>
    <t>BBBR_RS04265</t>
  </si>
  <si>
    <t>WP_003829220.1</t>
  </si>
  <si>
    <t>DUF4418 family protein</t>
  </si>
  <si>
    <t>BBBR_RS04260</t>
  </si>
  <si>
    <t>WP_025262939.1</t>
  </si>
  <si>
    <t>ATP-dependent helicase</t>
  </si>
  <si>
    <t>BBBR_RS04255</t>
  </si>
  <si>
    <t>WP_003829216.1</t>
  </si>
  <si>
    <t>BBBR_RS04250</t>
  </si>
  <si>
    <t>WP_003829213.1</t>
  </si>
  <si>
    <t>BBBR_RS04245</t>
  </si>
  <si>
    <t>WP_003829211.1</t>
  </si>
  <si>
    <t>BBBR_RS04240</t>
  </si>
  <si>
    <t>WP_003829200.1</t>
  </si>
  <si>
    <t>DUF2975 domain-containing protein</t>
  </si>
  <si>
    <t>BBBR_RS04235</t>
  </si>
  <si>
    <t>WP_003829196.1</t>
  </si>
  <si>
    <t>BBBR_RS04230</t>
  </si>
  <si>
    <t>WP_032738177.1</t>
  </si>
  <si>
    <t>BBBR_RS04225</t>
  </si>
  <si>
    <t>WP_003829190.1</t>
  </si>
  <si>
    <t>isochorismatase family protein</t>
  </si>
  <si>
    <t>BBBR_RS04220</t>
  </si>
  <si>
    <t>WP_003829188.1</t>
  </si>
  <si>
    <t>Type 1 glutamine amidotransferase-like domain-containing protein</t>
  </si>
  <si>
    <t>BBBR_RS04215</t>
  </si>
  <si>
    <t>WP_025262936.1</t>
  </si>
  <si>
    <t>BBBR_RS11085</t>
  </si>
  <si>
    <t>WP_225851428.1</t>
  </si>
  <si>
    <t>BBBR_RS11080</t>
  </si>
  <si>
    <t>WP_223261661.1</t>
  </si>
  <si>
    <t>BBBR_RS04205</t>
  </si>
  <si>
    <t>WP_015438736.1</t>
  </si>
  <si>
    <t>BBBR_RS04200</t>
  </si>
  <si>
    <t>WP_003829180.1</t>
  </si>
  <si>
    <t>BBBR_RS04195</t>
  </si>
  <si>
    <t>WP_003829179.1</t>
  </si>
  <si>
    <t>BBBR_RS04190</t>
  </si>
  <si>
    <t>WP_025262935.1</t>
  </si>
  <si>
    <t>BBBR_RS04185</t>
  </si>
  <si>
    <t>WP_003829177.1</t>
  </si>
  <si>
    <t>BBBR_RS04180</t>
  </si>
  <si>
    <t>WP_003829171.1</t>
  </si>
  <si>
    <t>response regulator</t>
  </si>
  <si>
    <t>BBBR_RS04175</t>
  </si>
  <si>
    <t>WP_003829170.1</t>
  </si>
  <si>
    <t>DUF47 domain-containing protein</t>
  </si>
  <si>
    <t>BBBR_RS04170</t>
  </si>
  <si>
    <t>WP_003829169.1</t>
  </si>
  <si>
    <t>inorganic phosphate transporter</t>
  </si>
  <si>
    <t>BBBR_RS04165</t>
  </si>
  <si>
    <t>WP_032738176.1</t>
  </si>
  <si>
    <t>alpha-amylase family protein</t>
  </si>
  <si>
    <t>BBBR_RS04160</t>
  </si>
  <si>
    <t>WP_003829166.1</t>
  </si>
  <si>
    <t>BBBR_RS04155</t>
  </si>
  <si>
    <t>WP_003829163.1</t>
  </si>
  <si>
    <t>uracil-xanthine permease family protein</t>
  </si>
  <si>
    <t>BBBR_RS04150</t>
  </si>
  <si>
    <t>WP_003829161.1</t>
  </si>
  <si>
    <t>BBBR_RS04145</t>
  </si>
  <si>
    <t>WP_003829159.1</t>
  </si>
  <si>
    <t>haloacid dehalogenase-like hydrolase</t>
  </si>
  <si>
    <t>BBBR_RS04140</t>
  </si>
  <si>
    <t>WP_003829157.1</t>
  </si>
  <si>
    <t>BBBR_RS11360</t>
  </si>
  <si>
    <t>BBBR_RS04130</t>
  </si>
  <si>
    <t>WP_015438725.1</t>
  </si>
  <si>
    <t>BBBR_RS04125</t>
  </si>
  <si>
    <t>BBBR_RS04120</t>
  </si>
  <si>
    <t>WP_225851426.1</t>
  </si>
  <si>
    <t>BBBR_RS04115</t>
  </si>
  <si>
    <t>WP_003829152.1</t>
  </si>
  <si>
    <t>BBBR_RS04110</t>
  </si>
  <si>
    <t>WP_003829150.1</t>
  </si>
  <si>
    <t>anaerobic sulfatase maturase</t>
  </si>
  <si>
    <t>BBBR_RS04105</t>
  </si>
  <si>
    <t>WP_003829148.1</t>
  </si>
  <si>
    <t>sulfatase-like hydrolase/transferase</t>
  </si>
  <si>
    <t>BBBR_RS04100</t>
  </si>
  <si>
    <t>WP_003829146.1</t>
  </si>
  <si>
    <t>sugar porter family MFS transporter</t>
  </si>
  <si>
    <t>BBBR_RS04095</t>
  </si>
  <si>
    <t>WP_003829144.1</t>
  </si>
  <si>
    <t>BBBR_RS04090</t>
  </si>
  <si>
    <t>WP_003829142.1</t>
  </si>
  <si>
    <t>BBBR_RS04085</t>
  </si>
  <si>
    <t>WP_003829141.1</t>
  </si>
  <si>
    <t>BBBR_RS04080</t>
  </si>
  <si>
    <t>WP_003829139.1</t>
  </si>
  <si>
    <t>BBBR_RS04075</t>
  </si>
  <si>
    <t>WP_003829137.1</t>
  </si>
  <si>
    <t>BBBR_RS04070</t>
  </si>
  <si>
    <t>glgP</t>
  </si>
  <si>
    <t>BBBR_RS10655</t>
  </si>
  <si>
    <t>BBBR_RS04065</t>
  </si>
  <si>
    <t>WP_019728045.1</t>
  </si>
  <si>
    <t>BBBR_RS04055</t>
  </si>
  <si>
    <t>WP_025262926.1</t>
  </si>
  <si>
    <t>BBBR_RS04050</t>
  </si>
  <si>
    <t>WP_003829121.1</t>
  </si>
  <si>
    <t>BBBR_RS04045</t>
  </si>
  <si>
    <t>WP_003829118.1</t>
  </si>
  <si>
    <t>BBBR_RS04040</t>
  </si>
  <si>
    <t>WP_003829116.1</t>
  </si>
  <si>
    <t>HipA family kinase</t>
  </si>
  <si>
    <t>BBBR_RS04035</t>
  </si>
  <si>
    <t>WP_003829112.1</t>
  </si>
  <si>
    <t>BBBR_RS04030</t>
  </si>
  <si>
    <t>WP_003829109.1</t>
  </si>
  <si>
    <t>BBBR_RS10260</t>
  </si>
  <si>
    <t>WP_003829107.1</t>
  </si>
  <si>
    <t>BBBR_RS04020</t>
  </si>
  <si>
    <t>WP_003829104.1</t>
  </si>
  <si>
    <t>BBBR_RS04015</t>
  </si>
  <si>
    <t>WP_032738175.1</t>
  </si>
  <si>
    <t>YccF domain-containing protein</t>
  </si>
  <si>
    <t>BBBR_RS04010</t>
  </si>
  <si>
    <t>WP_053001023.1</t>
  </si>
  <si>
    <t>BBBR_RS10250</t>
  </si>
  <si>
    <t>BBBR_RS04005</t>
  </si>
  <si>
    <t>WP_003829091.1</t>
  </si>
  <si>
    <t>BBBR_RS04000</t>
  </si>
  <si>
    <t>WP_003829089.1</t>
  </si>
  <si>
    <t>BBBR_RS03995</t>
  </si>
  <si>
    <t>WP_225851421.1</t>
  </si>
  <si>
    <t>BBBR_RS10245</t>
  </si>
  <si>
    <t>WP_048349503.1</t>
  </si>
  <si>
    <t>TfoX/Sxy family protein</t>
  </si>
  <si>
    <t>BBBR_RS03990</t>
  </si>
  <si>
    <t>WP_003833466.1</t>
  </si>
  <si>
    <t>BBBR_RS03985</t>
  </si>
  <si>
    <t>WP_003829080.1</t>
  </si>
  <si>
    <t>BBBR_RS03980</t>
  </si>
  <si>
    <t>WP_229058298.1</t>
  </si>
  <si>
    <t>BBBR_RS03975</t>
  </si>
  <si>
    <t>WP_003829075.1</t>
  </si>
  <si>
    <t>BBBR_RS03970</t>
  </si>
  <si>
    <t>WP_003829073.1</t>
  </si>
  <si>
    <t>BBBR_RS03965</t>
  </si>
  <si>
    <t>WP_003829071.1</t>
  </si>
  <si>
    <t>BBBR_RS03960</t>
  </si>
  <si>
    <t>WP_003829067.1</t>
  </si>
  <si>
    <t>proC</t>
  </si>
  <si>
    <t>pyrroline-5-carboxylate reductase</t>
  </si>
  <si>
    <t>BBBR_RS03955</t>
  </si>
  <si>
    <t>WP_014483852.1</t>
  </si>
  <si>
    <t>BBBR_RS03950</t>
  </si>
  <si>
    <t>WP_047928211.1</t>
  </si>
  <si>
    <t>BBBR_RS03945</t>
  </si>
  <si>
    <t>WP_003829060.1</t>
  </si>
  <si>
    <t>BBBR_RS03940</t>
  </si>
  <si>
    <t>WP_003829059.1</t>
  </si>
  <si>
    <t>BBBR_RS03935</t>
  </si>
  <si>
    <t>WP_025262921.1</t>
  </si>
  <si>
    <t>BBBR_RS03930</t>
  </si>
  <si>
    <t>WP_003829053.1</t>
  </si>
  <si>
    <t>O-acetylhomoserine aminocarboxypropyltransferase/cysteine synthase family protein</t>
  </si>
  <si>
    <t>BBBR_RS03925</t>
  </si>
  <si>
    <t>WP_003829051.1</t>
  </si>
  <si>
    <t>pyridoxamine kinase</t>
  </si>
  <si>
    <t>BBBR_RS11355</t>
  </si>
  <si>
    <t>BBBR_RS03910</t>
  </si>
  <si>
    <t>WP_003829046.1</t>
  </si>
  <si>
    <t>YraN family protein</t>
  </si>
  <si>
    <t>BBBR_RS03905</t>
  </si>
  <si>
    <t>WP_003829045.1</t>
  </si>
  <si>
    <t>YifB family Mg chelatase-like AAA ATPase</t>
  </si>
  <si>
    <t>BBBR_RS03900</t>
  </si>
  <si>
    <t>WP_003829044.1</t>
  </si>
  <si>
    <t>BBBR_RS03895</t>
  </si>
  <si>
    <t>WP_025301173.1</t>
  </si>
  <si>
    <t>BBBR_RS03890</t>
  </si>
  <si>
    <t>WP_003829042.1</t>
  </si>
  <si>
    <t>succinate dehydrogenase/fumarate reductase iron-sulfur subunit</t>
  </si>
  <si>
    <t>BBBR_RS03885</t>
  </si>
  <si>
    <t>WP_003829041.1</t>
  </si>
  <si>
    <t>O-methyltransferase</t>
  </si>
  <si>
    <t>BBBR_RS03880</t>
  </si>
  <si>
    <t>WP_042994122.1</t>
  </si>
  <si>
    <t>TIGR00730 family Rossman fold protein</t>
  </si>
  <si>
    <t>BBBR_RS03875</t>
  </si>
  <si>
    <t>WP_003829039.1</t>
  </si>
  <si>
    <t>Na+/H+ antiporter NhaA</t>
  </si>
  <si>
    <t>BBBR_RS03870</t>
  </si>
  <si>
    <t>WP_003829038.1</t>
  </si>
  <si>
    <t>MalY/PatB family protein</t>
  </si>
  <si>
    <t>BBBR_RS03865</t>
  </si>
  <si>
    <t>BBBR_RS03860</t>
  </si>
  <si>
    <t>BBBR_RS03855</t>
  </si>
  <si>
    <t>WP_003829037.1</t>
  </si>
  <si>
    <t>BBBR_RS03850</t>
  </si>
  <si>
    <t>WP_003829035.1</t>
  </si>
  <si>
    <t>ATP-dependent Clp protease proteolytic subunit</t>
  </si>
  <si>
    <t>BBBR_RS03845</t>
  </si>
  <si>
    <t>WP_003833421.1</t>
  </si>
  <si>
    <t>BBBR_RS03840</t>
  </si>
  <si>
    <t>WP_003829031.1</t>
  </si>
  <si>
    <t>BBBR_RS03835</t>
  </si>
  <si>
    <t>WP_003829029.1</t>
  </si>
  <si>
    <t>chloride channel protein</t>
  </si>
  <si>
    <t>BBBR_RS03830</t>
  </si>
  <si>
    <t>WP_003829027.1</t>
  </si>
  <si>
    <t>BBBR_RS03825</t>
  </si>
  <si>
    <t>WP_003829026.1</t>
  </si>
  <si>
    <t>HRDC domain-containing protein</t>
  </si>
  <si>
    <t>BBBR_RS03820</t>
  </si>
  <si>
    <t>WP_003833428.1</t>
  </si>
  <si>
    <t>DUF3000 family protein</t>
  </si>
  <si>
    <t>BBBR_RS03815</t>
  </si>
  <si>
    <t>WP_003833429.1</t>
  </si>
  <si>
    <t>pflA</t>
  </si>
  <si>
    <t>pyruvate formate-lyase-activating protein</t>
  </si>
  <si>
    <t>BBBR_RS03810</t>
  </si>
  <si>
    <t>WP_003829019.1</t>
  </si>
  <si>
    <t>pflB</t>
  </si>
  <si>
    <t>formate C-acetyltransferase</t>
  </si>
  <si>
    <t>BBBR_RS03805</t>
  </si>
  <si>
    <t>WP_003829017.1</t>
  </si>
  <si>
    <t>BBBR_RS03800</t>
  </si>
  <si>
    <t>WP_003829015.1</t>
  </si>
  <si>
    <t>NAD+ synthase</t>
  </si>
  <si>
    <t>BBBR_RS03795</t>
  </si>
  <si>
    <t>WP_003829014.1</t>
  </si>
  <si>
    <t>M20 family metallopeptidase</t>
  </si>
  <si>
    <t>BBBR_RS03790</t>
  </si>
  <si>
    <t>WP_003829012.1</t>
  </si>
  <si>
    <t>BBBR_RS03785</t>
  </si>
  <si>
    <t>WP_003829011.1</t>
  </si>
  <si>
    <t>BBBR_RS03780</t>
  </si>
  <si>
    <t>WP_003829010.1</t>
  </si>
  <si>
    <t>BBBR_RS03775</t>
  </si>
  <si>
    <t>WP_032738172.1</t>
  </si>
  <si>
    <t>BBBR_RS03770</t>
  </si>
  <si>
    <t>BBBR_RS03765</t>
  </si>
  <si>
    <t>BBBR_RS03760</t>
  </si>
  <si>
    <t>WP_003829007.1</t>
  </si>
  <si>
    <t>BBBR_RS03755</t>
  </si>
  <si>
    <t>WP_003829005.1</t>
  </si>
  <si>
    <t>BBBR_RS03750</t>
  </si>
  <si>
    <t>WP_003829004.1</t>
  </si>
  <si>
    <t>BBBR_RS03745</t>
  </si>
  <si>
    <t>WP_025262910.1</t>
  </si>
  <si>
    <t>phosphoketolase</t>
  </si>
  <si>
    <t>BBBR_RS03740</t>
  </si>
  <si>
    <t>WP_003828999.1</t>
  </si>
  <si>
    <t>BBBR_RS03735</t>
  </si>
  <si>
    <t>WP_230580159.1</t>
  </si>
  <si>
    <t>BBBR_RS03730</t>
  </si>
  <si>
    <t>WP_003828991.1</t>
  </si>
  <si>
    <t>BBBR_RS03725</t>
  </si>
  <si>
    <t>WP_003828989.1</t>
  </si>
  <si>
    <t>BBBR_RS03720</t>
  </si>
  <si>
    <t>WP_003828987.1</t>
  </si>
  <si>
    <t>BBBR_RS03715</t>
  </si>
  <si>
    <t>WP_019728013.1</t>
  </si>
  <si>
    <t>BBBR_RS10225</t>
  </si>
  <si>
    <t>WP_328514877.1</t>
  </si>
  <si>
    <t>BBBR_RS03710</t>
  </si>
  <si>
    <t>WP_003828981.1</t>
  </si>
  <si>
    <t>istA</t>
  </si>
  <si>
    <t>IS21 family transposase</t>
  </si>
  <si>
    <t>BBBR_RS03705</t>
  </si>
  <si>
    <t>BBBR_RS10215</t>
  </si>
  <si>
    <t>BBBR_RS03690</t>
  </si>
  <si>
    <t>WP_019728011.1</t>
  </si>
  <si>
    <t>BBBR_RS03685</t>
  </si>
  <si>
    <t>WP_003828966.1</t>
  </si>
  <si>
    <t>BBBR_RS03680</t>
  </si>
  <si>
    <t>WP_003828965.1</t>
  </si>
  <si>
    <t>BBBR_RS03675</t>
  </si>
  <si>
    <t>WP_003828964.1</t>
  </si>
  <si>
    <t>BBBR_RS03670</t>
  </si>
  <si>
    <t>WP_003828963.1</t>
  </si>
  <si>
    <t>BBBR_RS03665</t>
  </si>
  <si>
    <t>WP_003828961.1</t>
  </si>
  <si>
    <t>BBBR_RS03660</t>
  </si>
  <si>
    <t>WP_032738170.1</t>
  </si>
  <si>
    <t>BBBR_RS03655</t>
  </si>
  <si>
    <t>BBBR_RS03645</t>
  </si>
  <si>
    <t>WP_016463131.1</t>
  </si>
  <si>
    <t>BBBR_RS03640</t>
  </si>
  <si>
    <t>WP_003828955.1</t>
  </si>
  <si>
    <t>acetate/propionate family kinase</t>
  </si>
  <si>
    <t>BBBR_RS03635</t>
  </si>
  <si>
    <t>WP_003828954.1</t>
  </si>
  <si>
    <t>aroA</t>
  </si>
  <si>
    <t>3-phosphoshikimate 1-carboxyvinyltransferase</t>
  </si>
  <si>
    <t>BBBR_RS03630</t>
  </si>
  <si>
    <t>WP_003828952.1</t>
  </si>
  <si>
    <t>BBBR_RS03625</t>
  </si>
  <si>
    <t>WP_025262908.1</t>
  </si>
  <si>
    <t>DUF3800 domain-containing protein</t>
  </si>
  <si>
    <t>BBBR_RS03620</t>
  </si>
  <si>
    <t>BBBR_RS03615</t>
  </si>
  <si>
    <t>WP_080543808.1</t>
  </si>
  <si>
    <t>BBBR_RS03610</t>
  </si>
  <si>
    <t>WP_003828946.1</t>
  </si>
  <si>
    <t>BBBR_RS03605</t>
  </si>
  <si>
    <t>WP_003828945.1</t>
  </si>
  <si>
    <t>BBBR_RS03600</t>
  </si>
  <si>
    <t>WP_032738251.1</t>
  </si>
  <si>
    <t>BBBR_RS03595</t>
  </si>
  <si>
    <t>WP_003828941.1</t>
  </si>
  <si>
    <t>BBBR_RS03590</t>
  </si>
  <si>
    <t>WP_003828939.1</t>
  </si>
  <si>
    <t>BBBR_RS03585</t>
  </si>
  <si>
    <t>WP_003828937.1</t>
  </si>
  <si>
    <t>BBBR_RS03580</t>
  </si>
  <si>
    <t>WP_003828936.1</t>
  </si>
  <si>
    <t>BBBR_RS03575</t>
  </si>
  <si>
    <t>WP_003828934.1</t>
  </si>
  <si>
    <t>ANTAR domain-containing response regulator</t>
  </si>
  <si>
    <t>BBBR_RS03570</t>
  </si>
  <si>
    <t>BBBR_RS03565</t>
  </si>
  <si>
    <t>WP_003828931.1</t>
  </si>
  <si>
    <t>BBBR_RS03560</t>
  </si>
  <si>
    <t>WP_014483884.1</t>
  </si>
  <si>
    <t>BBBR_RS03555</t>
  </si>
  <si>
    <t>WP_003828927.1</t>
  </si>
  <si>
    <t>BBBR_RS03550</t>
  </si>
  <si>
    <t>WP_003828925.1</t>
  </si>
  <si>
    <t>BBBR_RS03545</t>
  </si>
  <si>
    <t>WP_025262906.1</t>
  </si>
  <si>
    <t>BBBR_RS03540</t>
  </si>
  <si>
    <t>WP_003828920.1</t>
  </si>
  <si>
    <t>BBBR_RS03535</t>
  </si>
  <si>
    <t>WP_003828919.1</t>
  </si>
  <si>
    <t>BBBR_RS03530</t>
  </si>
  <si>
    <t>WP_003828917.1</t>
  </si>
  <si>
    <t>metal ABC transporter solute-binding protein</t>
  </si>
  <si>
    <t>BBBR_RS03525</t>
  </si>
  <si>
    <t>WP_003828915.1</t>
  </si>
  <si>
    <t>BBBR_RS03520</t>
  </si>
  <si>
    <t>WP_003828914.1</t>
  </si>
  <si>
    <t>BBBR_RS03515</t>
  </si>
  <si>
    <t>WP_003828912.1</t>
  </si>
  <si>
    <t>ispF</t>
  </si>
  <si>
    <t>2-C-methyl-D-erythritol 2,4-cyclodiphosphate synthase</t>
  </si>
  <si>
    <t>BBBR_RS03510</t>
  </si>
  <si>
    <t>WP_003828909.1</t>
  </si>
  <si>
    <t>CarD family transcriptional regulator</t>
  </si>
  <si>
    <t>BBBR_RS03505</t>
  </si>
  <si>
    <t>WP_003828908.1</t>
  </si>
  <si>
    <t>glgB</t>
  </si>
  <si>
    <t>1,4-alpha-glucan branching protein GlgB</t>
  </si>
  <si>
    <t>BBBR_RS03500</t>
  </si>
  <si>
    <t>WP_003828907.1</t>
  </si>
  <si>
    <t>BBBR_RS03495</t>
  </si>
  <si>
    <t>WP_003828906.1</t>
  </si>
  <si>
    <t>BBBR_RS03490</t>
  </si>
  <si>
    <t>WP_003828904.1</t>
  </si>
  <si>
    <t>BBBR_RS03485</t>
  </si>
  <si>
    <t>WP_003828902.1</t>
  </si>
  <si>
    <t>HAD-IIB family hydrolase</t>
  </si>
  <si>
    <t>BBBR_RS03480</t>
  </si>
  <si>
    <t>WP_025221423.1</t>
  </si>
  <si>
    <t>metallopeptidase family protein</t>
  </si>
  <si>
    <t>BBBR_RS03475</t>
  </si>
  <si>
    <t>WP_003828897.1</t>
  </si>
  <si>
    <t>DUF5719 family protein</t>
  </si>
  <si>
    <t>BBBR_RS03470</t>
  </si>
  <si>
    <t>WP_003828896.1</t>
  </si>
  <si>
    <t>BBBR_RS03465</t>
  </si>
  <si>
    <t>WP_003828894.1</t>
  </si>
  <si>
    <t>BBBR_RS11065</t>
  </si>
  <si>
    <t>WP_014483897.1</t>
  </si>
  <si>
    <t>BBBR_RS03455</t>
  </si>
  <si>
    <t>WP_225851424.1</t>
  </si>
  <si>
    <t>BBBR_RS03450</t>
  </si>
  <si>
    <t>WP_003828889.1</t>
  </si>
  <si>
    <t>FtsK/SpoIIIE domain-containing protein</t>
  </si>
  <si>
    <t>BBBR_RS03445</t>
  </si>
  <si>
    <t>WP_003828887.1</t>
  </si>
  <si>
    <t>BBBR_RS03440</t>
  </si>
  <si>
    <t>WP_025262901.1</t>
  </si>
  <si>
    <t>BBBR_RS03435</t>
  </si>
  <si>
    <t>WP_032738248.1</t>
  </si>
  <si>
    <t>BBBR_RS03430</t>
  </si>
  <si>
    <t>WP_003828884.1</t>
  </si>
  <si>
    <t>BBBR_RS03425</t>
  </si>
  <si>
    <t>WP_003828883.1</t>
  </si>
  <si>
    <t>FKBP-type peptidyl-prolyl cis-trans isomerase</t>
  </si>
  <si>
    <t>BBBR_RS03420</t>
  </si>
  <si>
    <t>WP_015438654.1</t>
  </si>
  <si>
    <t>BBBR_RS03415</t>
  </si>
  <si>
    <t>WP_003828879.1</t>
  </si>
  <si>
    <t>BBBR_RS03410</t>
  </si>
  <si>
    <t>BBBR_RS03405</t>
  </si>
  <si>
    <t>WP_003828878.1</t>
  </si>
  <si>
    <t>BBBR_RS03400</t>
  </si>
  <si>
    <t>WP_003828877.1</t>
  </si>
  <si>
    <t>DUF501 domain-containing protein</t>
  </si>
  <si>
    <t>BBBR_RS03395</t>
  </si>
  <si>
    <t>WP_003828876.1</t>
  </si>
  <si>
    <t>BBBR_RS03390</t>
  </si>
  <si>
    <t>WP_003828875.1</t>
  </si>
  <si>
    <t>BBBR_RS03385</t>
  </si>
  <si>
    <t>WP_033892596.1</t>
  </si>
  <si>
    <t>BBBR_RS03380</t>
  </si>
  <si>
    <t>WP_003828873.1</t>
  </si>
  <si>
    <t>BBBR_RS03375</t>
  </si>
  <si>
    <t>WP_003828872.1</t>
  </si>
  <si>
    <t>BBBR_RS03370</t>
  </si>
  <si>
    <t>WP_025262900.1</t>
  </si>
  <si>
    <t>BBBR_RS03365</t>
  </si>
  <si>
    <t>WP_003828870.1</t>
  </si>
  <si>
    <t>UPF0182 family protein</t>
  </si>
  <si>
    <t>BBBR_RS10205</t>
  </si>
  <si>
    <t>BBBR_RS03355</t>
  </si>
  <si>
    <t>WP_003828867.1</t>
  </si>
  <si>
    <t>nadD</t>
  </si>
  <si>
    <t>BBBR_RS03350</t>
  </si>
  <si>
    <t>WP_003828866.1</t>
  </si>
  <si>
    <t>BBBR_RS03345</t>
  </si>
  <si>
    <t>WP_003828865.1</t>
  </si>
  <si>
    <t>glutamate-5-semialdehyde dehydrogenase</t>
  </si>
  <si>
    <t>BBBR_RS03340</t>
  </si>
  <si>
    <t>WP_003828864.1</t>
  </si>
  <si>
    <t>BBBR_RS03335</t>
  </si>
  <si>
    <t>WP_003828863.1</t>
  </si>
  <si>
    <t>TnpV protein</t>
  </si>
  <si>
    <t>BBBR_RS03330</t>
  </si>
  <si>
    <t>WP_025262895.1</t>
  </si>
  <si>
    <t>ABC-2 transporter permease</t>
  </si>
  <si>
    <t>BBBR_RS03325</t>
  </si>
  <si>
    <t>WP_003828859.1</t>
  </si>
  <si>
    <t>BBBR_RS03320</t>
  </si>
  <si>
    <t>WP_014485765.1</t>
  </si>
  <si>
    <t>BBBR_RS03315</t>
  </si>
  <si>
    <t>WP_003828856.1</t>
  </si>
  <si>
    <t>BBBR_RS03310</t>
  </si>
  <si>
    <t>WP_106620594.1</t>
  </si>
  <si>
    <t>BBBR_RS03305</t>
  </si>
  <si>
    <t>WP_003828852.1</t>
  </si>
  <si>
    <t>BBBR_RS03300</t>
  </si>
  <si>
    <t>WP_003828850.1</t>
  </si>
  <si>
    <t>BBBR_RS03295</t>
  </si>
  <si>
    <t>WP_003831237.1</t>
  </si>
  <si>
    <t>BBBR_RS03290</t>
  </si>
  <si>
    <t>WP_003828846.1</t>
  </si>
  <si>
    <t>BBBR_RS03285</t>
  </si>
  <si>
    <t>BBBR_RS03280</t>
  </si>
  <si>
    <t>WP_003828843.1</t>
  </si>
  <si>
    <t>BBBR_RS03275</t>
  </si>
  <si>
    <t>WP_019727962.1</t>
  </si>
  <si>
    <t>TlyA family RNA methyltransferase</t>
  </si>
  <si>
    <t>BBBR_RS10850</t>
  </si>
  <si>
    <t>WP_003828837.1</t>
  </si>
  <si>
    <t>BBBR_RS03270</t>
  </si>
  <si>
    <t>WP_003828836.1</t>
  </si>
  <si>
    <t>HAD-IIA family hydrolase</t>
  </si>
  <si>
    <t>BBBR_RS03265</t>
  </si>
  <si>
    <t>WP_032738165.1</t>
  </si>
  <si>
    <t>lipopolysaccharide assembly protein LapB</t>
  </si>
  <si>
    <t>BBBR_RS03260</t>
  </si>
  <si>
    <t>WP_003828830.1</t>
  </si>
  <si>
    <t>BBBR_RS03255</t>
  </si>
  <si>
    <t>WP_003828828.1</t>
  </si>
  <si>
    <t>BBBR_RS03250</t>
  </si>
  <si>
    <t>WP_003828826.1</t>
  </si>
  <si>
    <t>BBBR_RS03245</t>
  </si>
  <si>
    <t>WP_014483927.1</t>
  </si>
  <si>
    <t>BBBR_RS03240</t>
  </si>
  <si>
    <t>WP_003828820.1</t>
  </si>
  <si>
    <t>BBBR_RS03235</t>
  </si>
  <si>
    <t>WP_025299683.1</t>
  </si>
  <si>
    <t>thiF</t>
  </si>
  <si>
    <t>thiazole biosynthesis adenylyltransferase ThiF</t>
  </si>
  <si>
    <t>BBBR_RS03230</t>
  </si>
  <si>
    <t>WP_003828815.1</t>
  </si>
  <si>
    <t>thiazole synthase</t>
  </si>
  <si>
    <t>BBBR_RS03225</t>
  </si>
  <si>
    <t>WP_003828811.1</t>
  </si>
  <si>
    <t>thiS</t>
  </si>
  <si>
    <t>sulfur carrier protein ThiS</t>
  </si>
  <si>
    <t>BBBR_RS03220</t>
  </si>
  <si>
    <t>WP_003828810.1</t>
  </si>
  <si>
    <t>argH</t>
  </si>
  <si>
    <t>argininosuccinate lyase</t>
  </si>
  <si>
    <t>BBBR_RS03215</t>
  </si>
  <si>
    <t>WP_003828808.1</t>
  </si>
  <si>
    <t>BBBR_RS03210</t>
  </si>
  <si>
    <t>WP_003828806.1</t>
  </si>
  <si>
    <t>Txe/YoeB family addiction module toxin</t>
  </si>
  <si>
    <t>BBBR_RS11060</t>
  </si>
  <si>
    <t>WP_230580166.1</t>
  </si>
  <si>
    <t>BBBR_RS11055</t>
  </si>
  <si>
    <t>WP_225851425.1</t>
  </si>
  <si>
    <t>BBBR_RS11350</t>
  </si>
  <si>
    <t>BBBR_RS03195</t>
  </si>
  <si>
    <t>WP_003828800.1</t>
  </si>
  <si>
    <t>argininosuccinate synthase</t>
  </si>
  <si>
    <t>BBBR_RS03190</t>
  </si>
  <si>
    <t>WP_003828799.1</t>
  </si>
  <si>
    <t>argR</t>
  </si>
  <si>
    <t>arginine repressor</t>
  </si>
  <si>
    <t>BBBR_RS03185</t>
  </si>
  <si>
    <t>WP_014483932.1</t>
  </si>
  <si>
    <t>argF</t>
  </si>
  <si>
    <t>ornithine carbamoyltransferase</t>
  </si>
  <si>
    <t>BBBR_RS03180</t>
  </si>
  <si>
    <t>WP_003828796.1</t>
  </si>
  <si>
    <t>acetylornithine transaminase</t>
  </si>
  <si>
    <t>BBBR_RS03175</t>
  </si>
  <si>
    <t>WP_003828794.1</t>
  </si>
  <si>
    <t>argB</t>
  </si>
  <si>
    <t>acetylglutamate kinase</t>
  </si>
  <si>
    <t>BBBR_RS03170</t>
  </si>
  <si>
    <t>WP_003828792.1</t>
  </si>
  <si>
    <t>argJ</t>
  </si>
  <si>
    <t>bifunctional glutamate N-acetyltransferase/amino-acid acetyltransferase ArgJ</t>
  </si>
  <si>
    <t>BBBR_RS03165</t>
  </si>
  <si>
    <t>WP_032738164.1</t>
  </si>
  <si>
    <t>argC</t>
  </si>
  <si>
    <t>N-acetyl-gamma-glutamyl-phosphate reductase</t>
  </si>
  <si>
    <t>BBBR_RS03160</t>
  </si>
  <si>
    <t>WP_032738163.1</t>
  </si>
  <si>
    <t>BBBR_RS03155</t>
  </si>
  <si>
    <t>WP_003828785.1</t>
  </si>
  <si>
    <t>BBBR_RS03150</t>
  </si>
  <si>
    <t>WP_003828784.1</t>
  </si>
  <si>
    <t>BBBR_RS03145</t>
  </si>
  <si>
    <t>WP_003828782.1</t>
  </si>
  <si>
    <t>BBBR_RS03140</t>
  </si>
  <si>
    <t>WP_047928367.1</t>
  </si>
  <si>
    <t>energy-coupling factor transporter transmembrane protein EcfT</t>
  </si>
  <si>
    <t>BBBR_RS03135</t>
  </si>
  <si>
    <t>WP_003828778.1</t>
  </si>
  <si>
    <t>BBBR_RS03130</t>
  </si>
  <si>
    <t>WP_003828776.1</t>
  </si>
  <si>
    <t>BBBR_RS03125</t>
  </si>
  <si>
    <t>WP_003828773.1</t>
  </si>
  <si>
    <t>dipeptidase</t>
  </si>
  <si>
    <t>BBBR_RS03120</t>
  </si>
  <si>
    <t>WP_003828771.1</t>
  </si>
  <si>
    <t>DUF3043 domain-containing protein</t>
  </si>
  <si>
    <t>BBBR_RS03115</t>
  </si>
  <si>
    <t>WP_003828769.1</t>
  </si>
  <si>
    <t>BBBR_RS03110</t>
  </si>
  <si>
    <t>WP_003828768.1</t>
  </si>
  <si>
    <t>DUF4191 domain-containing protein</t>
  </si>
  <si>
    <t>BBBR_RS03105</t>
  </si>
  <si>
    <t>WP_003828766.1</t>
  </si>
  <si>
    <t>BBBR_RS03100</t>
  </si>
  <si>
    <t>WP_003828763.1</t>
  </si>
  <si>
    <t>Mrp/NBP35 family ATP-binding protein</t>
  </si>
  <si>
    <t>BBBR_RS03095</t>
  </si>
  <si>
    <t>WP_003828762.1</t>
  </si>
  <si>
    <t>BBBR_RS03090</t>
  </si>
  <si>
    <t>BBBR_RS11345</t>
  </si>
  <si>
    <t>BBBR_RS03085</t>
  </si>
  <si>
    <t>WP_225851420.1</t>
  </si>
  <si>
    <t>BBBR_RS10195</t>
  </si>
  <si>
    <t>WP_003828756.1</t>
  </si>
  <si>
    <t>BBBR_RS03080</t>
  </si>
  <si>
    <t>WP_003828754.1</t>
  </si>
  <si>
    <t>BBBR_RS03075</t>
  </si>
  <si>
    <t>WP_003828752.1</t>
  </si>
  <si>
    <t>BBBR_RS03070</t>
  </si>
  <si>
    <t>WP_025301126.1</t>
  </si>
  <si>
    <t>BBBR_RS03065</t>
  </si>
  <si>
    <t>WP_025301125.1</t>
  </si>
  <si>
    <t>BBBR_RS03060</t>
  </si>
  <si>
    <t>WP_014483951.1</t>
  </si>
  <si>
    <t>BBBR_RS03055</t>
  </si>
  <si>
    <t>WP_014483952.1</t>
  </si>
  <si>
    <t>BBBR_RS03050</t>
  </si>
  <si>
    <t>WP_003828742.1</t>
  </si>
  <si>
    <t>BBBR_RS03045</t>
  </si>
  <si>
    <t>WP_003828740.1</t>
  </si>
  <si>
    <t>ispG</t>
  </si>
  <si>
    <t>flavodoxin-dependent (E)-4-hydroxy-3-methylbut-2-enyl-diphosphate synthase</t>
  </si>
  <si>
    <t>BBBR_RS03040</t>
  </si>
  <si>
    <t>WP_003828739.1</t>
  </si>
  <si>
    <t>dxr</t>
  </si>
  <si>
    <t>1-deoxy-D-xylulose-5-phosphate reductoisomerase</t>
  </si>
  <si>
    <t>BBBR_RS03035</t>
  </si>
  <si>
    <t>WP_003828738.1</t>
  </si>
  <si>
    <t>BBBR_RS03030</t>
  </si>
  <si>
    <t>BBBR_RS03025</t>
  </si>
  <si>
    <t>WP_003828737.1</t>
  </si>
  <si>
    <t>DUF3052 domain-containing protein</t>
  </si>
  <si>
    <t>BBBR_RS03020</t>
  </si>
  <si>
    <t>WP_003828735.1</t>
  </si>
  <si>
    <t>S16 family serine protease</t>
  </si>
  <si>
    <t>BBBR_RS03015</t>
  </si>
  <si>
    <t>WP_003828733.1</t>
  </si>
  <si>
    <t>zinc-dependent metalloprotease</t>
  </si>
  <si>
    <t>BBBR_RS03010</t>
  </si>
  <si>
    <t>WP_014483956.1</t>
  </si>
  <si>
    <t>BBBR_RS03005</t>
  </si>
  <si>
    <t>WP_003828727.1</t>
  </si>
  <si>
    <t>phosphotransferase</t>
  </si>
  <si>
    <t>BBBR_RS03000</t>
  </si>
  <si>
    <t>WP_003828725.1</t>
  </si>
  <si>
    <t>DUF3107 domain-containing protein</t>
  </si>
  <si>
    <t>BBBR_RS02995</t>
  </si>
  <si>
    <t>WP_003828724.1</t>
  </si>
  <si>
    <t>PHP domain-containing protein</t>
  </si>
  <si>
    <t>BBBR_RS02990</t>
  </si>
  <si>
    <t>WP_025262874.1</t>
  </si>
  <si>
    <t>vitamin K epoxide reductase family protein</t>
  </si>
  <si>
    <t>BBBR_RS02985</t>
  </si>
  <si>
    <t>WP_003828721.1</t>
  </si>
  <si>
    <t>BBBR_RS02980</t>
  </si>
  <si>
    <t>WP_003828719.1</t>
  </si>
  <si>
    <t>BBBR_RS02975</t>
  </si>
  <si>
    <t>WP_003828717.1</t>
  </si>
  <si>
    <t>BBBR_RS02970</t>
  </si>
  <si>
    <t>WP_016462405.1</t>
  </si>
  <si>
    <t>DUF4143 domain-containing protein</t>
  </si>
  <si>
    <t>BBBR_RS02965</t>
  </si>
  <si>
    <t>WP_003828713.1</t>
  </si>
  <si>
    <t>BBBR_RS11245</t>
  </si>
  <si>
    <t>BBBR_RS02960</t>
  </si>
  <si>
    <t>WP_014483965.1</t>
  </si>
  <si>
    <t>BBBR_RS02955</t>
  </si>
  <si>
    <t>WP_003828708.1</t>
  </si>
  <si>
    <t>mycoredoxin</t>
  </si>
  <si>
    <t>BBBR_RS02950</t>
  </si>
  <si>
    <t>WP_003828706.1</t>
  </si>
  <si>
    <t>PLP-dependent aspartate aminotransferase family protein</t>
  </si>
  <si>
    <t>BBBR_RS02945</t>
  </si>
  <si>
    <t>WP_019727934.1</t>
  </si>
  <si>
    <t>BBBR_RS02940</t>
  </si>
  <si>
    <t>WP_003828703.1</t>
  </si>
  <si>
    <t>translation factor GTPase family protein</t>
  </si>
  <si>
    <t>BBBR_RS02935</t>
  </si>
  <si>
    <t>WP_003828702.1</t>
  </si>
  <si>
    <t>BBBR_RS02930</t>
  </si>
  <si>
    <t>WP_003828701.1</t>
  </si>
  <si>
    <t>BBBR_RS02925</t>
  </si>
  <si>
    <t>WP_003828700.1</t>
  </si>
  <si>
    <t>BBBR_RS02920</t>
  </si>
  <si>
    <t>WP_003828699.1</t>
  </si>
  <si>
    <t>BBBR_RS02915</t>
  </si>
  <si>
    <t>WP_003828698.1</t>
  </si>
  <si>
    <t>BBBR_RS02910</t>
  </si>
  <si>
    <t>WP_003828697.1</t>
  </si>
  <si>
    <t>BBBR_RS02905</t>
  </si>
  <si>
    <t>WP_003828696.1</t>
  </si>
  <si>
    <t>BBBR_RS02900</t>
  </si>
  <si>
    <t>WP_014483972.1</t>
  </si>
  <si>
    <t>BBBR_RS02895</t>
  </si>
  <si>
    <t>WP_003828694.1</t>
  </si>
  <si>
    <t>BBBR_RS02890</t>
  </si>
  <si>
    <t>WP_003828693.1</t>
  </si>
  <si>
    <t>BBBR_RS02885</t>
  </si>
  <si>
    <t>WP_032738160.1</t>
  </si>
  <si>
    <t>L,D-transpeptidase</t>
  </si>
  <si>
    <t>BBBR_RS11050</t>
  </si>
  <si>
    <t>WP_003828691.1</t>
  </si>
  <si>
    <t>BBBR_RS02875</t>
  </si>
  <si>
    <t>WP_225851419.1</t>
  </si>
  <si>
    <t>BBBR_RS02870</t>
  </si>
  <si>
    <t>WP_225851418.1</t>
  </si>
  <si>
    <t>BBBR_RS10845</t>
  </si>
  <si>
    <t>WP_003828687.1</t>
  </si>
  <si>
    <t>BBBR_RS02865</t>
  </si>
  <si>
    <t>WP_003828686.1</t>
  </si>
  <si>
    <t>methyltransferase domain-containing protein</t>
  </si>
  <si>
    <t>BBBR_RS02860</t>
  </si>
  <si>
    <t>WP_003828685.1</t>
  </si>
  <si>
    <t>3-hydroxyacyl-CoA dehydrogenase family protein</t>
  </si>
  <si>
    <t>BBBR_RS02855</t>
  </si>
  <si>
    <t>WP_003828683.1</t>
  </si>
  <si>
    <t>BBBR_RS02850</t>
  </si>
  <si>
    <t>WP_047928207.1</t>
  </si>
  <si>
    <t>BBBR_RS02845</t>
  </si>
  <si>
    <t>WP_003828681.1</t>
  </si>
  <si>
    <t>BBBR_RS02840</t>
  </si>
  <si>
    <t>WP_016462391.1</t>
  </si>
  <si>
    <t>BBBR_RS02835</t>
  </si>
  <si>
    <t>WP_003828679.1</t>
  </si>
  <si>
    <t>BBBR_RS02825</t>
  </si>
  <si>
    <t>WP_172644903.1</t>
  </si>
  <si>
    <t>endonuclease III domain-containing protein</t>
  </si>
  <si>
    <t>BBBR_RS02820</t>
  </si>
  <si>
    <t>WP_080543806.1</t>
  </si>
  <si>
    <t>BBBR_RS02815</t>
  </si>
  <si>
    <t>WP_003828676.1</t>
  </si>
  <si>
    <t>BBBR_RS02810</t>
  </si>
  <si>
    <t>WP_003828674.1</t>
  </si>
  <si>
    <t>BBBR_RS02805</t>
  </si>
  <si>
    <t>WP_225851417.1</t>
  </si>
  <si>
    <t>BBBR_RS02800</t>
  </si>
  <si>
    <t>WP_003828672.1</t>
  </si>
  <si>
    <t>BBBR_RS02795</t>
  </si>
  <si>
    <t>WP_003828671.1</t>
  </si>
  <si>
    <t>BBBR_RS02790</t>
  </si>
  <si>
    <t>WP_225851416.1</t>
  </si>
  <si>
    <t>BBBR_RS02785</t>
  </si>
  <si>
    <t>WP_003828669.1</t>
  </si>
  <si>
    <t>BBBR_RS02780</t>
  </si>
  <si>
    <t>WP_003828668.1</t>
  </si>
  <si>
    <t>BBBR_RS02775</t>
  </si>
  <si>
    <t>WP_003828667.1</t>
  </si>
  <si>
    <t>BBBR_RS02770</t>
  </si>
  <si>
    <t>WP_003828666.1</t>
  </si>
  <si>
    <t>BBBR_RS02765</t>
  </si>
  <si>
    <t>WP_047928206.1</t>
  </si>
  <si>
    <t>BBBR_RS02760</t>
  </si>
  <si>
    <t>WP_003828664.1</t>
  </si>
  <si>
    <t>BBBR_RS02755</t>
  </si>
  <si>
    <t>WP_003828663.1</t>
  </si>
  <si>
    <t>BBBR_RS02750</t>
  </si>
  <si>
    <t>WP_025262858.1</t>
  </si>
  <si>
    <t>BBBR_RS02745</t>
  </si>
  <si>
    <t>WP_003828661.1</t>
  </si>
  <si>
    <t>BBBR_RS02740</t>
  </si>
  <si>
    <t>BBBR_RS11045</t>
  </si>
  <si>
    <t>WP_003828659.1</t>
  </si>
  <si>
    <t>BBBR_RS02735</t>
  </si>
  <si>
    <t>WP_003828658.1</t>
  </si>
  <si>
    <t>YeiH family protein</t>
  </si>
  <si>
    <t>BBBR_RS02730</t>
  </si>
  <si>
    <t>WP_003828657.1</t>
  </si>
  <si>
    <t>BBBR_RS10630</t>
  </si>
  <si>
    <t>BBBR_RS02720</t>
  </si>
  <si>
    <t>WP_003828654.1</t>
  </si>
  <si>
    <t>BBBR_RS02715</t>
  </si>
  <si>
    <t>WP_003828653.1</t>
  </si>
  <si>
    <t>BBBR_RS02710</t>
  </si>
  <si>
    <t>WP_003828652.1</t>
  </si>
  <si>
    <t>BBBR_RS02705</t>
  </si>
  <si>
    <t>WP_003813881.1</t>
  </si>
  <si>
    <t>BBBR_RS02700</t>
  </si>
  <si>
    <t>BBBR_RS02695</t>
  </si>
  <si>
    <t>BBBR_RS02690</t>
  </si>
  <si>
    <t>WP_003828650.1</t>
  </si>
  <si>
    <t>low specificity L-threonine aldolase</t>
  </si>
  <si>
    <t>BBBR_RS02685</t>
  </si>
  <si>
    <t>WP_003828649.1</t>
  </si>
  <si>
    <t>BBBR_RS02680</t>
  </si>
  <si>
    <t>WP_025262857.1</t>
  </si>
  <si>
    <t>BBBR_RS02675</t>
  </si>
  <si>
    <t>WP_003828647.1</t>
  </si>
  <si>
    <t>purT</t>
  </si>
  <si>
    <t>formate-dependent phosphoribosylglycinamide formyltransferase</t>
  </si>
  <si>
    <t>BBBR_RS02670</t>
  </si>
  <si>
    <t>WP_003828646.1</t>
  </si>
  <si>
    <t>BBBR_RS02665</t>
  </si>
  <si>
    <t>WP_003828644.1</t>
  </si>
  <si>
    <t>phosphoribosylformylglycinamidine synthase</t>
  </si>
  <si>
    <t>BBBR_RS02660</t>
  </si>
  <si>
    <t>WP_003828641.1</t>
  </si>
  <si>
    <t>BBBR_RS02655</t>
  </si>
  <si>
    <t>WP_003828638.1</t>
  </si>
  <si>
    <t>BBBR_RS02650</t>
  </si>
  <si>
    <t>WP_003828635.1</t>
  </si>
  <si>
    <t>DUF6320 domain-containing protein</t>
  </si>
  <si>
    <t>BBBR_RS02645</t>
  </si>
  <si>
    <t>WP_115786396.1</t>
  </si>
  <si>
    <t>FxLYD domain-containing protein</t>
  </si>
  <si>
    <t>BBBR_RS02640</t>
  </si>
  <si>
    <t>BBBR_RS02635</t>
  </si>
  <si>
    <t>WP_225851415.1</t>
  </si>
  <si>
    <t>BBBR_RS02630</t>
  </si>
  <si>
    <t>WP_225851414.1</t>
  </si>
  <si>
    <t>BBBR_RS02625</t>
  </si>
  <si>
    <t>WP_054321862.1</t>
  </si>
  <si>
    <t>BBBR_RS02620</t>
  </si>
  <si>
    <t>WP_015438564.1</t>
  </si>
  <si>
    <t>DNA-deoxyinosine glycosylase</t>
  </si>
  <si>
    <t>BBBR_RS10840</t>
  </si>
  <si>
    <t>WP_003828626.1</t>
  </si>
  <si>
    <t>BBBR_RS02610</t>
  </si>
  <si>
    <t>WP_003828624.1</t>
  </si>
  <si>
    <t>BBBR_RS02605</t>
  </si>
  <si>
    <t>WP_161786248.1</t>
  </si>
  <si>
    <t>Y-family DNA polymerase</t>
  </si>
  <si>
    <t>BBBR_RS02600</t>
  </si>
  <si>
    <t>WP_032738158.1</t>
  </si>
  <si>
    <t>BBBR_RS02595</t>
  </si>
  <si>
    <t>WP_003828613.1</t>
  </si>
  <si>
    <t>BBBR_RS02590</t>
  </si>
  <si>
    <t>WP_003828611.1</t>
  </si>
  <si>
    <t>BBBR_RS02585</t>
  </si>
  <si>
    <t>WP_033892580.1</t>
  </si>
  <si>
    <t>aldehyde dehydrogenase family protein</t>
  </si>
  <si>
    <t>BBBR_RS02580</t>
  </si>
  <si>
    <t>WP_003828608.1</t>
  </si>
  <si>
    <t>BBBR_RS02575</t>
  </si>
  <si>
    <t>WP_032738157.1</t>
  </si>
  <si>
    <t>BBBR_RS11340</t>
  </si>
  <si>
    <t>rpsN</t>
  </si>
  <si>
    <t>BBBR_RS11335</t>
  </si>
  <si>
    <t>WP_074525341.1</t>
  </si>
  <si>
    <t>ZinT/AdcA family metal-binding protein</t>
  </si>
  <si>
    <t>BBBR_RS02565</t>
  </si>
  <si>
    <t>WP_047928203.1</t>
  </si>
  <si>
    <t>permease</t>
  </si>
  <si>
    <t>BBBR_RS02560</t>
  </si>
  <si>
    <t>WP_003828595.1</t>
  </si>
  <si>
    <t>TIGR03943 family putative permease subunit</t>
  </si>
  <si>
    <t>BBBR_RS02555</t>
  </si>
  <si>
    <t>WP_003828593.1</t>
  </si>
  <si>
    <t>Fur family transcriptional regulator</t>
  </si>
  <si>
    <t>BBBR_RS02550</t>
  </si>
  <si>
    <t>WP_003828592.1</t>
  </si>
  <si>
    <t>BBBR_RS02545</t>
  </si>
  <si>
    <t>WP_003828590.1</t>
  </si>
  <si>
    <t>TetR-like C-terminal domain-containing protein</t>
  </si>
  <si>
    <t>BBBR_RS02540</t>
  </si>
  <si>
    <t>BBBR_RS02535</t>
  </si>
  <si>
    <t>WP_003828586.1</t>
  </si>
  <si>
    <t>BBBR_RS02530</t>
  </si>
  <si>
    <t>WP_225851413.1</t>
  </si>
  <si>
    <t>BBBR_RS02525</t>
  </si>
  <si>
    <t>WP_003828581.1</t>
  </si>
  <si>
    <t>BBBR_RS02520</t>
  </si>
  <si>
    <t>WP_014484029.1</t>
  </si>
  <si>
    <t>BBBR_RS02515</t>
  </si>
  <si>
    <t>WP_032738155.1</t>
  </si>
  <si>
    <t>BBBR_RS02510</t>
  </si>
  <si>
    <t>WP_003828576.1</t>
  </si>
  <si>
    <t>zinc-binding dehydrogenase</t>
  </si>
  <si>
    <t>BBBR_RS02505</t>
  </si>
  <si>
    <t>WP_032738154.1</t>
  </si>
  <si>
    <t>BBBR_RS02500</t>
  </si>
  <si>
    <t>WP_019727897.1</t>
  </si>
  <si>
    <t>BBBR_RS02495</t>
  </si>
  <si>
    <t>WP_003828571.1</t>
  </si>
  <si>
    <t>BBBR_RS02490</t>
  </si>
  <si>
    <t>WP_003828568.1</t>
  </si>
  <si>
    <t>BBBR_RS10625</t>
  </si>
  <si>
    <t>BBBR_RS02485</t>
  </si>
  <si>
    <t>WP_019727896.1</t>
  </si>
  <si>
    <t>peptide-methionine (S)-S-oxide reductase</t>
  </si>
  <si>
    <t>BBBR_RS02480</t>
  </si>
  <si>
    <t>WP_003828562.1</t>
  </si>
  <si>
    <t>BBBR_RS02475</t>
  </si>
  <si>
    <t>BBBR_RS02470</t>
  </si>
  <si>
    <t>WP_025332131.1</t>
  </si>
  <si>
    <t>BBBR_RS02465</t>
  </si>
  <si>
    <t>WP_003828552.1</t>
  </si>
  <si>
    <t>BBBR_RS02460</t>
  </si>
  <si>
    <t>WP_003828550.1</t>
  </si>
  <si>
    <t>BBBR_RS02455</t>
  </si>
  <si>
    <t>WP_003828547.1</t>
  </si>
  <si>
    <t>BBBR_RS02450</t>
  </si>
  <si>
    <t>BBBR_RS02445</t>
  </si>
  <si>
    <t>WP_003828545.1</t>
  </si>
  <si>
    <t>BBBR_RS11330</t>
  </si>
  <si>
    <t>BBBR_RS02435</t>
  </si>
  <si>
    <t>WP_014484040.1</t>
  </si>
  <si>
    <t>BBBR_RS02430</t>
  </si>
  <si>
    <t>WP_003828537.1</t>
  </si>
  <si>
    <t>anion transporter</t>
  </si>
  <si>
    <t>BBBR_RS02425</t>
  </si>
  <si>
    <t>WP_003828535.1</t>
  </si>
  <si>
    <t>BBBR_RS02420</t>
  </si>
  <si>
    <t>WP_015438539.1</t>
  </si>
  <si>
    <t>pdxT</t>
  </si>
  <si>
    <t>pyridoxal 5'-phosphate synthase glutaminase subunit PdxT</t>
  </si>
  <si>
    <t>BBBR_RS02415</t>
  </si>
  <si>
    <t>WP_032738153.1</t>
  </si>
  <si>
    <t>pdxS</t>
  </si>
  <si>
    <t>pyridoxal 5'-phosphate synthase lyase subunit PdxS</t>
  </si>
  <si>
    <t>BBBR_RS02410</t>
  </si>
  <si>
    <t>WP_003828530.1</t>
  </si>
  <si>
    <t>DUF6364 family protein</t>
  </si>
  <si>
    <t>BBBR_RS02405</t>
  </si>
  <si>
    <t>WP_003828527.1</t>
  </si>
  <si>
    <t>PIN domain-containing protein</t>
  </si>
  <si>
    <t>BBBR_RS02400</t>
  </si>
  <si>
    <t>WP_003828525.1</t>
  </si>
  <si>
    <t>BBBR_RS02395</t>
  </si>
  <si>
    <t>WP_003828522.1</t>
  </si>
  <si>
    <t>deoxyguanosinetriphosphate triphosphohydrolase</t>
  </si>
  <si>
    <t>BBBR_RS02390</t>
  </si>
  <si>
    <t>WP_003828521.1</t>
  </si>
  <si>
    <t>BBBR_RS02385</t>
  </si>
  <si>
    <t>WP_003828519.1</t>
  </si>
  <si>
    <t>BBBR_RS02380</t>
  </si>
  <si>
    <t>WP_015438533.1</t>
  </si>
  <si>
    <t>serine O-acetyltransferase</t>
  </si>
  <si>
    <t>BBBR_RS02375</t>
  </si>
  <si>
    <t>WP_003828516.1</t>
  </si>
  <si>
    <t>BBBR_RS02370</t>
  </si>
  <si>
    <t>WP_032738229.1</t>
  </si>
  <si>
    <t>BBBR_RS02365</t>
  </si>
  <si>
    <t>WP_003828511.1</t>
  </si>
  <si>
    <t>cystathionine gamma-synthase</t>
  </si>
  <si>
    <t>BBBR_RS02360</t>
  </si>
  <si>
    <t>WP_003828510.1</t>
  </si>
  <si>
    <t>pyridoxal-phosphate dependent enzyme</t>
  </si>
  <si>
    <t>BBBR_RS02355</t>
  </si>
  <si>
    <t>WP_003828508.1</t>
  </si>
  <si>
    <t>BBBR_RS02350</t>
  </si>
  <si>
    <t>WP_003828506.1</t>
  </si>
  <si>
    <t>BBBR_RS02345</t>
  </si>
  <si>
    <t>WP_003828505.1</t>
  </si>
  <si>
    <t>BBBR_RS02340</t>
  </si>
  <si>
    <t>WP_003828503.1</t>
  </si>
  <si>
    <t>BBBR_RS02335</t>
  </si>
  <si>
    <t>WP_003828501.1</t>
  </si>
  <si>
    <t>BBBR_RS02330</t>
  </si>
  <si>
    <t>WP_033892577.1</t>
  </si>
  <si>
    <t>type III pantothenate kinase</t>
  </si>
  <si>
    <t>BBBR_RS02325</t>
  </si>
  <si>
    <t>WP_003828495.1</t>
  </si>
  <si>
    <t>BBBR_RS02320</t>
  </si>
  <si>
    <t>WP_003828494.1</t>
  </si>
  <si>
    <t>BBBR_RS02315</t>
  </si>
  <si>
    <t>WP_003828493.1</t>
  </si>
  <si>
    <t>BBBR_RS02310</t>
  </si>
  <si>
    <t>WP_003828491.1</t>
  </si>
  <si>
    <t>BBBR_RS02305</t>
  </si>
  <si>
    <t>WP_003828490.1</t>
  </si>
  <si>
    <t>BBBR_RS02300</t>
  </si>
  <si>
    <t>WP_003828488.1</t>
  </si>
  <si>
    <t>BBBR_RS02295</t>
  </si>
  <si>
    <t>WP_003828487.1</t>
  </si>
  <si>
    <t>BBBR_RS02290</t>
  </si>
  <si>
    <t>WP_003828486.1</t>
  </si>
  <si>
    <t>BBBR_RS02285</t>
  </si>
  <si>
    <t>WP_003828485.1</t>
  </si>
  <si>
    <t>BBBR_RS02280</t>
  </si>
  <si>
    <t>WP_003828484.1</t>
  </si>
  <si>
    <t>BBBR_RS02275</t>
  </si>
  <si>
    <t>WP_003828483.1</t>
  </si>
  <si>
    <t>BBBR_RS02270</t>
  </si>
  <si>
    <t>WP_003828481.1</t>
  </si>
  <si>
    <t>BBBR_RS02265</t>
  </si>
  <si>
    <t>WP_003828480.1</t>
  </si>
  <si>
    <t>BBBR_RS02260</t>
  </si>
  <si>
    <t>WP_014484063.1</t>
  </si>
  <si>
    <t>BBBR_RS02255</t>
  </si>
  <si>
    <t>WP_003828477.1</t>
  </si>
  <si>
    <t>ftsX</t>
  </si>
  <si>
    <t>permease-like cell division protein FtsX</t>
  </si>
  <si>
    <t>BBBR_RS02250</t>
  </si>
  <si>
    <t>WP_003828475.1</t>
  </si>
  <si>
    <t>ftsE</t>
  </si>
  <si>
    <t>cell division ATP-binding protein FtsE</t>
  </si>
  <si>
    <t>BBBR_RS02245</t>
  </si>
  <si>
    <t>WP_003828473.1</t>
  </si>
  <si>
    <t>BBBR_RS11195</t>
  </si>
  <si>
    <t>WP_003828472.1</t>
  </si>
  <si>
    <t>BBBR_RS02240</t>
  </si>
  <si>
    <t>WP_003828470.1</t>
  </si>
  <si>
    <t>DNA polymerase III subunit epsilon</t>
  </si>
  <si>
    <t>BBBR_RS02235</t>
  </si>
  <si>
    <t>WP_003828469.1</t>
  </si>
  <si>
    <t>BBBR_RS02230</t>
  </si>
  <si>
    <t>WP_032738150.1</t>
  </si>
  <si>
    <t>BBBR_RS02225</t>
  </si>
  <si>
    <t>WP_003828465.1</t>
  </si>
  <si>
    <t>pepN</t>
  </si>
  <si>
    <t>aminopeptidase N</t>
  </si>
  <si>
    <t>BBBR_RS02220</t>
  </si>
  <si>
    <t>WP_003828464.1</t>
  </si>
  <si>
    <t>BBBR_RS02215</t>
  </si>
  <si>
    <t>WP_003828462.1</t>
  </si>
  <si>
    <t>BBBR_RS02210</t>
  </si>
  <si>
    <t>WP_003828460.1</t>
  </si>
  <si>
    <t>BBBR_RS02205</t>
  </si>
  <si>
    <t>WP_014484068.1</t>
  </si>
  <si>
    <t>BBBR_RS02200</t>
  </si>
  <si>
    <t>WP_003828456.1</t>
  </si>
  <si>
    <t>UvrD-helicase domain-containing protein</t>
  </si>
  <si>
    <t>BBBR_RS02195</t>
  </si>
  <si>
    <t>WP_003828454.1</t>
  </si>
  <si>
    <t>BBBR_RS02190</t>
  </si>
  <si>
    <t>WP_003828453.1</t>
  </si>
  <si>
    <t>serine/threonine-protein kinase</t>
  </si>
  <si>
    <t>BBBR_RS02185</t>
  </si>
  <si>
    <t>WP_003828451.1</t>
  </si>
  <si>
    <t>BBBR_RS02180</t>
  </si>
  <si>
    <t>WP_003832681.1</t>
  </si>
  <si>
    <t>BBBR_RS02175</t>
  </si>
  <si>
    <t>WP_003828440.1</t>
  </si>
  <si>
    <t>transglutaminase-like domain-containing protein</t>
  </si>
  <si>
    <t>BBBR_RS02170</t>
  </si>
  <si>
    <t>WP_003828438.1</t>
  </si>
  <si>
    <t>BBBR_RS02165</t>
  </si>
  <si>
    <t>WP_003828436.1</t>
  </si>
  <si>
    <t>BBBR_RS02160</t>
  </si>
  <si>
    <t>WP_003828435.1</t>
  </si>
  <si>
    <t>BBBR_RS02155</t>
  </si>
  <si>
    <t>WP_003828430.1</t>
  </si>
  <si>
    <t>A/G-specific adenine glycosylase</t>
  </si>
  <si>
    <t>BBBR_RS02150</t>
  </si>
  <si>
    <t>WP_003828427.1</t>
  </si>
  <si>
    <t>BBBR_RS02140</t>
  </si>
  <si>
    <t>WP_007051324.1</t>
  </si>
  <si>
    <t>PFL family protein</t>
  </si>
  <si>
    <t>BBBR_RS02135</t>
  </si>
  <si>
    <t>WP_003828420.1</t>
  </si>
  <si>
    <t>ACT domain-containing protein</t>
  </si>
  <si>
    <t>BBBR_RS02130</t>
  </si>
  <si>
    <t>WP_003828415.1</t>
  </si>
  <si>
    <t>galK</t>
  </si>
  <si>
    <t>BBBR_RS02125</t>
  </si>
  <si>
    <t>WP_003828414.1</t>
  </si>
  <si>
    <t>galT</t>
  </si>
  <si>
    <t>galactose-1-phosphate uridylyltransferase</t>
  </si>
  <si>
    <t>BBBR_RS02120</t>
  </si>
  <si>
    <t>WP_003828412.1</t>
  </si>
  <si>
    <t>BBBR_RS02115</t>
  </si>
  <si>
    <t>WP_025332090.1</t>
  </si>
  <si>
    <t>quinone-dependent dihydroorotate dehydrogenase</t>
  </si>
  <si>
    <t>BBBR_RS02110</t>
  </si>
  <si>
    <t>WP_003828409.1</t>
  </si>
  <si>
    <t>NADH:flavin oxidoreductase/NADH oxidase</t>
  </si>
  <si>
    <t>BBBR_RS02105</t>
  </si>
  <si>
    <t>WP_003828408.1</t>
  </si>
  <si>
    <t>transglycosylase domain-containing protein</t>
  </si>
  <si>
    <t>BBBR_RS02100</t>
  </si>
  <si>
    <t>WP_015438494.1</t>
  </si>
  <si>
    <t>BBBR_RS02095</t>
  </si>
  <si>
    <t>WP_032738149.1</t>
  </si>
  <si>
    <t>lipoyl protein ligase domain-containing protein</t>
  </si>
  <si>
    <t>BBBR_RS02090</t>
  </si>
  <si>
    <t>WP_003828403.1</t>
  </si>
  <si>
    <t>3-isopropylmalate dehydrogenase</t>
  </si>
  <si>
    <t>BBBR_RS02085</t>
  </si>
  <si>
    <t>BBBR_RS02080</t>
  </si>
  <si>
    <t>WP_014484083.1</t>
  </si>
  <si>
    <t>App1 family protein</t>
  </si>
  <si>
    <t>BBBR_RS02075</t>
  </si>
  <si>
    <t>WP_003828399.1</t>
  </si>
  <si>
    <t>gcvH</t>
  </si>
  <si>
    <t>glycine cleavage system protein GcvH</t>
  </si>
  <si>
    <t>BBBR_RS02070</t>
  </si>
  <si>
    <t>WP_003828398.1</t>
  </si>
  <si>
    <t>nudC</t>
  </si>
  <si>
    <t>NAD(+) diphosphatase</t>
  </si>
  <si>
    <t>BBBR_RS02065</t>
  </si>
  <si>
    <t>WP_003828396.1</t>
  </si>
  <si>
    <t>BBBR_RS02060</t>
  </si>
  <si>
    <t>WP_003828392.1</t>
  </si>
  <si>
    <t>NUDIX hydrolase family protein</t>
  </si>
  <si>
    <t>BBBR_RS02055</t>
  </si>
  <si>
    <t>WP_003828388.1</t>
  </si>
  <si>
    <t>BBBR_RS02050</t>
  </si>
  <si>
    <t>WP_003828386.1</t>
  </si>
  <si>
    <t>BBBR_RS02045</t>
  </si>
  <si>
    <t>WP_003828385.1</t>
  </si>
  <si>
    <t>BBBR_RS02040</t>
  </si>
  <si>
    <t>WP_003828384.1</t>
  </si>
  <si>
    <t>polysaccharide biosynthesis tyrosine autokinase</t>
  </si>
  <si>
    <t>BBBR_RS02035</t>
  </si>
  <si>
    <t>WP_014484088.1</t>
  </si>
  <si>
    <t>BBBR_RS02030</t>
  </si>
  <si>
    <t>WP_014484089.1</t>
  </si>
  <si>
    <t>BBBR_RS11235</t>
  </si>
  <si>
    <t>BBBR_RS02025</t>
  </si>
  <si>
    <t>WP_225851452.1</t>
  </si>
  <si>
    <t>BBBR_RS02020</t>
  </si>
  <si>
    <t>WP_003828368.1</t>
  </si>
  <si>
    <t>BBBR_RS02015</t>
  </si>
  <si>
    <t>BBBR_RS02010</t>
  </si>
  <si>
    <t>WP_003828361.1</t>
  </si>
  <si>
    <t>istB</t>
  </si>
  <si>
    <t>IS21-like element helper ATPase IstB</t>
  </si>
  <si>
    <t>BBBR_RS11325</t>
  </si>
  <si>
    <t>WP_080989100.1</t>
  </si>
  <si>
    <t>BBBR_RS11320</t>
  </si>
  <si>
    <t>WP_350028973.1</t>
  </si>
  <si>
    <t>BBBR_RS02000</t>
  </si>
  <si>
    <t>BBBR_RS10835</t>
  </si>
  <si>
    <t>WP_162832099.1</t>
  </si>
  <si>
    <t>BBBR_RS01990</t>
  </si>
  <si>
    <t>WP_003828348.1</t>
  </si>
  <si>
    <t>BBBR_RS10830</t>
  </si>
  <si>
    <t>WP_003828347.1</t>
  </si>
  <si>
    <t>BBBR_RS01980</t>
  </si>
  <si>
    <t>WP_100218423.1</t>
  </si>
  <si>
    <t>BBBR_RS01970</t>
  </si>
  <si>
    <t>WP_014483510.1</t>
  </si>
  <si>
    <t>BBBR_RS01965</t>
  </si>
  <si>
    <t>WP_217268971.1</t>
  </si>
  <si>
    <t>BBBR_RS10075</t>
  </si>
  <si>
    <t>BBBR_RS01950</t>
  </si>
  <si>
    <t>WP_014483509.1</t>
  </si>
  <si>
    <t>thiamine pyrophosphate-binding protein</t>
  </si>
  <si>
    <t>BBBR_RS01945</t>
  </si>
  <si>
    <t>WP_014483508.1</t>
  </si>
  <si>
    <t>BBBR_RS01940</t>
  </si>
  <si>
    <t>WP_225851456.1</t>
  </si>
  <si>
    <t>BBBR_RS10070</t>
  </si>
  <si>
    <t>WP_080543803.1</t>
  </si>
  <si>
    <t>polysaccharide pyruvyl transferase family protein</t>
  </si>
  <si>
    <t>BBBR_RS10065</t>
  </si>
  <si>
    <t>WP_225851455.1</t>
  </si>
  <si>
    <t>BBBR_RS01930</t>
  </si>
  <si>
    <t>WP_231858619.1</t>
  </si>
  <si>
    <t>BBBR_RS01925</t>
  </si>
  <si>
    <t>WP_003828318.1</t>
  </si>
  <si>
    <t>glycosyltransferase family 1 protein</t>
  </si>
  <si>
    <t>BBBR_RS01920</t>
  </si>
  <si>
    <t>WP_025299570.1</t>
  </si>
  <si>
    <t>IS30 family transposase</t>
  </si>
  <si>
    <t>BBBR_RS01915</t>
  </si>
  <si>
    <t>WP_003828316.1</t>
  </si>
  <si>
    <t>BBBR_RS01910</t>
  </si>
  <si>
    <t>WP_032738145.1</t>
  </si>
  <si>
    <t>low molecular weight phosphatase family protein</t>
  </si>
  <si>
    <t>BBBR_RS01905</t>
  </si>
  <si>
    <t>WP_003828314.1</t>
  </si>
  <si>
    <t>BBBR_RS01900</t>
  </si>
  <si>
    <t>WP_080543802.1</t>
  </si>
  <si>
    <t>DUF4012 domain-containing protein</t>
  </si>
  <si>
    <t>BBBR_RS01895</t>
  </si>
  <si>
    <t>WP_003828312.1</t>
  </si>
  <si>
    <t>BBBR_RS01890</t>
  </si>
  <si>
    <t>WP_015438447.1</t>
  </si>
  <si>
    <t>Nramp family divalent metal transporter</t>
  </si>
  <si>
    <t>BBBR_RS11230</t>
  </si>
  <si>
    <t>BBBR_RS01885</t>
  </si>
  <si>
    <t>WP_032738143.1</t>
  </si>
  <si>
    <t>HNH endonuclease family protein</t>
  </si>
  <si>
    <t>BBBR_RS01880</t>
  </si>
  <si>
    <t>WP_003828308.1</t>
  </si>
  <si>
    <t>BBBR_RS01875</t>
  </si>
  <si>
    <t>WP_003828307.1</t>
  </si>
  <si>
    <t>BBBR_RS01870</t>
  </si>
  <si>
    <t>WP_003828306.1</t>
  </si>
  <si>
    <t>BBBR_RS01865</t>
  </si>
  <si>
    <t>BBBR_RS01860</t>
  </si>
  <si>
    <t>WP_047928357.1</t>
  </si>
  <si>
    <t>BBBR_RS01855</t>
  </si>
  <si>
    <t>WP_003828303.1</t>
  </si>
  <si>
    <t>BBBR_RS01845</t>
  </si>
  <si>
    <t>WP_225851412.1</t>
  </si>
  <si>
    <t>BBBR_RS01840</t>
  </si>
  <si>
    <t>WP_003828299.1</t>
  </si>
  <si>
    <t>BBBR_RS11035</t>
  </si>
  <si>
    <t>BBBR_RS01825</t>
  </si>
  <si>
    <t>WP_014483487.1</t>
  </si>
  <si>
    <t>BBBR_RS10615</t>
  </si>
  <si>
    <t>BBBR_RS01820</t>
  </si>
  <si>
    <t>WP_015438436.1</t>
  </si>
  <si>
    <t>BBBR_RS01815</t>
  </si>
  <si>
    <t>WP_003828281.1</t>
  </si>
  <si>
    <t>BBBR_RS01810</t>
  </si>
  <si>
    <t>WP_014483483.1</t>
  </si>
  <si>
    <t>BBBR_RS01805</t>
  </si>
  <si>
    <t>WP_014483482.1</t>
  </si>
  <si>
    <t>BBBR_RS01800</t>
  </si>
  <si>
    <t>WP_003828273.1</t>
  </si>
  <si>
    <t>BBBR_RS01795</t>
  </si>
  <si>
    <t>WP_003828272.1</t>
  </si>
  <si>
    <t>nitrate/sulfonate/bicarbonate ABC transporter ATP-binding protein</t>
  </si>
  <si>
    <t>BBBR_RS01790</t>
  </si>
  <si>
    <t>WP_003828271.1</t>
  </si>
  <si>
    <t>pgi</t>
  </si>
  <si>
    <t>BBBR_RS01785</t>
  </si>
  <si>
    <t>BBBR_RS01780</t>
  </si>
  <si>
    <t>BBBR_RS01775</t>
  </si>
  <si>
    <t>WP_003828269.1</t>
  </si>
  <si>
    <t>BBBR_RS01770</t>
  </si>
  <si>
    <t>WP_003828268.1</t>
  </si>
  <si>
    <t>non-canonical purine NTP pyrophosphatase</t>
  </si>
  <si>
    <t>BBBR_RS01765</t>
  </si>
  <si>
    <t>WP_032734604.1</t>
  </si>
  <si>
    <t>rph</t>
  </si>
  <si>
    <t>ribonuclease PH</t>
  </si>
  <si>
    <t>BBBR_RS01760</t>
  </si>
  <si>
    <t>WP_003828266.1</t>
  </si>
  <si>
    <t>BBBR_RS01755</t>
  </si>
  <si>
    <t>WP_003828265.1</t>
  </si>
  <si>
    <t>Pr6Pr family membrane protein</t>
  </si>
  <si>
    <t>BBBR_RS01750</t>
  </si>
  <si>
    <t>WP_016462241.1</t>
  </si>
  <si>
    <t>BBBR_RS01745</t>
  </si>
  <si>
    <t>WP_003828263.1</t>
  </si>
  <si>
    <t>BBBR_RS01740</t>
  </si>
  <si>
    <t>WP_003828262.1</t>
  </si>
  <si>
    <t>DUF3039 domain-containing protein</t>
  </si>
  <si>
    <t>BBBR_RS01735</t>
  </si>
  <si>
    <t>WP_003828261.1</t>
  </si>
  <si>
    <t>BBBR_RS01730</t>
  </si>
  <si>
    <t>WP_003828260.1</t>
  </si>
  <si>
    <t>BBBR_RS01725</t>
  </si>
  <si>
    <t>WP_003828259.1</t>
  </si>
  <si>
    <t>DUF177 domain-containing protein</t>
  </si>
  <si>
    <t>BBBR_RS01720</t>
  </si>
  <si>
    <t>WP_003828258.1</t>
  </si>
  <si>
    <t>BBBR_RS01715</t>
  </si>
  <si>
    <t>WP_003828257.1</t>
  </si>
  <si>
    <t>BBBR_RS01710</t>
  </si>
  <si>
    <t>WP_003828256.1</t>
  </si>
  <si>
    <t>acetolactate synthase large subunit</t>
  </si>
  <si>
    <t>BBBR_RS01705</t>
  </si>
  <si>
    <t>WP_019727819.1</t>
  </si>
  <si>
    <t>ilvN</t>
  </si>
  <si>
    <t>acetolactate synthase small subunit</t>
  </si>
  <si>
    <t>BBBR_RS01700</t>
  </si>
  <si>
    <t>WP_003828253.1</t>
  </si>
  <si>
    <t>FitA-like ribbon-helix-helix domain-containing protein</t>
  </si>
  <si>
    <t>BBBR_RS01695</t>
  </si>
  <si>
    <t>WP_003828252.1</t>
  </si>
  <si>
    <t>type II toxin-antitoxin system VapC family toxin</t>
  </si>
  <si>
    <t>BBBR_RS01690</t>
  </si>
  <si>
    <t>WP_003828251.1</t>
  </si>
  <si>
    <t>BBBR_RS10040</t>
  </si>
  <si>
    <t>WP_162832097.1</t>
  </si>
  <si>
    <t>BBBR_RS01685</t>
  </si>
  <si>
    <t>WP_003828249.1</t>
  </si>
  <si>
    <t>type II restriction enzyme</t>
  </si>
  <si>
    <t>BBBR_RS01680</t>
  </si>
  <si>
    <t>WP_025262758.1</t>
  </si>
  <si>
    <t>BBBR_RS01675</t>
  </si>
  <si>
    <t>WP_003828247.1</t>
  </si>
  <si>
    <t>BBBR_RS01670</t>
  </si>
  <si>
    <t>WP_003828246.1</t>
  </si>
  <si>
    <t>BBBR_RS01665</t>
  </si>
  <si>
    <t>WP_003828244.1</t>
  </si>
  <si>
    <t>BBBR_RS01660</t>
  </si>
  <si>
    <t>WP_003828243.1</t>
  </si>
  <si>
    <t>BBBR_RS01655</t>
  </si>
  <si>
    <t>WP_003828242.1</t>
  </si>
  <si>
    <t>BBBR_RS01650</t>
  </si>
  <si>
    <t>WP_003828241.1</t>
  </si>
  <si>
    <t>RNA-binding protein</t>
  </si>
  <si>
    <t>BBBR_RS01645</t>
  </si>
  <si>
    <t>WP_003828240.1</t>
  </si>
  <si>
    <t>BBBR_RS01640</t>
  </si>
  <si>
    <t>WP_003828239.1</t>
  </si>
  <si>
    <t>BBBR_RS01635</t>
  </si>
  <si>
    <t>WP_025262755.1</t>
  </si>
  <si>
    <t>BBBR_RS10825</t>
  </si>
  <si>
    <t>WP_003828237.1</t>
  </si>
  <si>
    <t>BBBR_RS01625</t>
  </si>
  <si>
    <t>WP_003828236.1</t>
  </si>
  <si>
    <t>BBBR_RS01620</t>
  </si>
  <si>
    <t>WP_003828235.1</t>
  </si>
  <si>
    <t>BBBR_RS01615</t>
  </si>
  <si>
    <t>WP_003828234.1</t>
  </si>
  <si>
    <t>BBBR_RS01610</t>
  </si>
  <si>
    <t>WP_032738133.1</t>
  </si>
  <si>
    <t>BBBR_RS01605</t>
  </si>
  <si>
    <t>WP_003828232.1</t>
  </si>
  <si>
    <t>BBBR_RS01600</t>
  </si>
  <si>
    <t>WP_003828231.1</t>
  </si>
  <si>
    <t>BBBR_RS01595</t>
  </si>
  <si>
    <t>WP_014483455.1</t>
  </si>
  <si>
    <t>polyribonucleotide nucleotidyltransferase</t>
  </si>
  <si>
    <t>BBBR_RS01590</t>
  </si>
  <si>
    <t>WP_003828229.1</t>
  </si>
  <si>
    <t>30S ribosomal protein S15</t>
  </si>
  <si>
    <t>BBBR_RS01585</t>
  </si>
  <si>
    <t>WP_003828228.1</t>
  </si>
  <si>
    <t>BBBR_RS10020</t>
  </si>
  <si>
    <t>WP_032738132.1</t>
  </si>
  <si>
    <t>BBBR_RS01575</t>
  </si>
  <si>
    <t>WP_003828226.1</t>
  </si>
  <si>
    <t>BBBR_RS01570</t>
  </si>
  <si>
    <t>WP_003828225.1</t>
  </si>
  <si>
    <t>isopeptide-forming domain-containing fimbrial protein</t>
  </si>
  <si>
    <t>BBBR_RS01565</t>
  </si>
  <si>
    <t>WP_003828224.1</t>
  </si>
  <si>
    <t>BBBR_RS01560</t>
  </si>
  <si>
    <t>WP_032738220.1</t>
  </si>
  <si>
    <t>BBBR_RS01555</t>
  </si>
  <si>
    <t>BBBR_RS01550</t>
  </si>
  <si>
    <t>WP_015438405.1</t>
  </si>
  <si>
    <t>BBBR_RS11225</t>
  </si>
  <si>
    <t>BBBR_RS01540</t>
  </si>
  <si>
    <t>WP_014483447.1</t>
  </si>
  <si>
    <t>BBBR_RS01535</t>
  </si>
  <si>
    <t>WP_003828218.1</t>
  </si>
  <si>
    <t>BBBR_RS01530</t>
  </si>
  <si>
    <t>WP_003828217.1</t>
  </si>
  <si>
    <t>BBBR_RS01525</t>
  </si>
  <si>
    <t>WP_014483444.1</t>
  </si>
  <si>
    <t>BBBR_RS01520</t>
  </si>
  <si>
    <t>BBBR_RS01515</t>
  </si>
  <si>
    <t>WP_003828214.1</t>
  </si>
  <si>
    <t>BBBR_RS01510</t>
  </si>
  <si>
    <t>WP_003828213.1</t>
  </si>
  <si>
    <t>BBBR_RS01505</t>
  </si>
  <si>
    <t>WP_015438401.1</t>
  </si>
  <si>
    <t>BBBR_RS01500</t>
  </si>
  <si>
    <t>WP_003828211.1</t>
  </si>
  <si>
    <t>BBBR_RS01495</t>
  </si>
  <si>
    <t>WP_014483439.1</t>
  </si>
  <si>
    <t>BBBR_RS01490</t>
  </si>
  <si>
    <t>WP_003828208.1</t>
  </si>
  <si>
    <t>BBBR_RS01485</t>
  </si>
  <si>
    <t>WP_032738131.1</t>
  </si>
  <si>
    <t>BBBR_RS01480</t>
  </si>
  <si>
    <t>WP_003828206.1</t>
  </si>
  <si>
    <t>BBBR_RS11015</t>
  </si>
  <si>
    <t>WP_003828203.1</t>
  </si>
  <si>
    <t>BBBR_RS01470</t>
  </si>
  <si>
    <t>WP_003828202.1</t>
  </si>
  <si>
    <t>aspartate ammonia-lyase</t>
  </si>
  <si>
    <t>BBBR_RS01465</t>
  </si>
  <si>
    <t>WP_032738130.1</t>
  </si>
  <si>
    <t>mechanosensitive ion channel family protein</t>
  </si>
  <si>
    <t>BBBR_RS01460</t>
  </si>
  <si>
    <t>WP_003828200.1</t>
  </si>
  <si>
    <t>BBBR_RS01455</t>
  </si>
  <si>
    <t>WP_003828199.1</t>
  </si>
  <si>
    <t>BBBR_RS01450</t>
  </si>
  <si>
    <t>WP_044051860.1</t>
  </si>
  <si>
    <t>iron ABC transporter permease</t>
  </si>
  <si>
    <t>BBBR_RS01445</t>
  </si>
  <si>
    <t>WP_003828197.1</t>
  </si>
  <si>
    <t>BBBR_RS01440</t>
  </si>
  <si>
    <t>WP_032738129.1</t>
  </si>
  <si>
    <t>BBBR_RS01435</t>
  </si>
  <si>
    <t>WP_032738127.1</t>
  </si>
  <si>
    <t>BBBR_RS01430</t>
  </si>
  <si>
    <t>WP_014483426.1</t>
  </si>
  <si>
    <t>BBBR_RS01425</t>
  </si>
  <si>
    <t>WP_032738218.1</t>
  </si>
  <si>
    <t>BBBR_RS01420</t>
  </si>
  <si>
    <t>WP_003828192.1</t>
  </si>
  <si>
    <t>Rid family detoxifying hydrolase</t>
  </si>
  <si>
    <t>BBBR_RS10820</t>
  </si>
  <si>
    <t>WP_162832098.1</t>
  </si>
  <si>
    <t>BBBR_RS01415</t>
  </si>
  <si>
    <t>BBBR_RS01410</t>
  </si>
  <si>
    <t>WP_003828190.1</t>
  </si>
  <si>
    <t>adenylate cyclase</t>
  </si>
  <si>
    <t>BBBR_RS01405</t>
  </si>
  <si>
    <t>WP_003828189.1</t>
  </si>
  <si>
    <t>BBBR_RS01400</t>
  </si>
  <si>
    <t>WP_003828188.1</t>
  </si>
  <si>
    <t>BBBR_RS01395</t>
  </si>
  <si>
    <t>WP_016462197.1</t>
  </si>
  <si>
    <t>BBBR_RS01390</t>
  </si>
  <si>
    <t>WP_003828186.1</t>
  </si>
  <si>
    <t>BBBR_RS01385</t>
  </si>
  <si>
    <t>WP_003828185.1</t>
  </si>
  <si>
    <t>nucS</t>
  </si>
  <si>
    <t>endonuclease NucS</t>
  </si>
  <si>
    <t>BBBR_RS01380</t>
  </si>
  <si>
    <t>WP_003828184.1</t>
  </si>
  <si>
    <t>BBBR_RS01375</t>
  </si>
  <si>
    <t>WP_003828183.1</t>
  </si>
  <si>
    <t>BBBR_RS01370</t>
  </si>
  <si>
    <t>WP_003828182.1</t>
  </si>
  <si>
    <t>BBBR_RS01365</t>
  </si>
  <si>
    <t>WP_003828181.1</t>
  </si>
  <si>
    <t>BBBR_RS01360</t>
  </si>
  <si>
    <t>WP_003828180.1</t>
  </si>
  <si>
    <t>BBBR_RS01355</t>
  </si>
  <si>
    <t>WP_003828179.1</t>
  </si>
  <si>
    <t>BBBR_RS01350</t>
  </si>
  <si>
    <t>WP_003828178.1</t>
  </si>
  <si>
    <t>ATP synthase F0 subunit C</t>
  </si>
  <si>
    <t>BBBR_RS01345</t>
  </si>
  <si>
    <t>WP_003828177.1</t>
  </si>
  <si>
    <t>BBBR_RS01340</t>
  </si>
  <si>
    <t>WP_014483418.1</t>
  </si>
  <si>
    <t>metA</t>
  </si>
  <si>
    <t>BBBR_RS01335</t>
  </si>
  <si>
    <t>BBBR_RS01330</t>
  </si>
  <si>
    <t>WP_016462149.1</t>
  </si>
  <si>
    <t>BBBR_RS01325</t>
  </si>
  <si>
    <t>WP_032738217.1</t>
  </si>
  <si>
    <t>alpha-1,4-glucan--maltose-1-phosphate maltosyltransferase</t>
  </si>
  <si>
    <t>BBBR_RS01320</t>
  </si>
  <si>
    <t>WP_003828172.1</t>
  </si>
  <si>
    <t>inorganic diphosphatase</t>
  </si>
  <si>
    <t>BBBR_RS01315</t>
  </si>
  <si>
    <t>WP_003828171.1</t>
  </si>
  <si>
    <t>manganese efflux pump MntP family protein</t>
  </si>
  <si>
    <t>BBBR_RS01310</t>
  </si>
  <si>
    <t>WP_003828170.1</t>
  </si>
  <si>
    <t>BBBR_RS01305</t>
  </si>
  <si>
    <t>WP_003828169.1</t>
  </si>
  <si>
    <t>BBBR_RS01300</t>
  </si>
  <si>
    <t>WP_003828168.1</t>
  </si>
  <si>
    <t>BBBR_RS01295</t>
  </si>
  <si>
    <t>WP_003828167.1</t>
  </si>
  <si>
    <t>BBBR_RS01290</t>
  </si>
  <si>
    <t>WP_003828166.1</t>
  </si>
  <si>
    <t>valS</t>
  </si>
  <si>
    <t>BBBR_RS01285</t>
  </si>
  <si>
    <t>WP_003828165.1</t>
  </si>
  <si>
    <t>BBBR_RS01280</t>
  </si>
  <si>
    <t>WP_014483408.1</t>
  </si>
  <si>
    <t>chorismate mutase</t>
  </si>
  <si>
    <t>BBBR_RS01270</t>
  </si>
  <si>
    <t>WP_003828162.1</t>
  </si>
  <si>
    <t>glycoside hydrolase family 36 protein</t>
  </si>
  <si>
    <t>BBBR_RS01265</t>
  </si>
  <si>
    <t>WP_003828161.1</t>
  </si>
  <si>
    <t>BBBR_RS01260</t>
  </si>
  <si>
    <t>WP_014483406.1</t>
  </si>
  <si>
    <t>BBBR_RS01255</t>
  </si>
  <si>
    <t>WP_003828159.1</t>
  </si>
  <si>
    <t>BBBR_RS01250</t>
  </si>
  <si>
    <t>WP_223261651.1</t>
  </si>
  <si>
    <t>BBBR_RS01245</t>
  </si>
  <si>
    <t>WP_226799783.1</t>
  </si>
  <si>
    <t>ISL3 family transposase</t>
  </si>
  <si>
    <t>BBBR_RS01240</t>
  </si>
  <si>
    <t>WP_003828155.1</t>
  </si>
  <si>
    <t>aminotransferase class IV</t>
  </si>
  <si>
    <t>BBBR_RS01235</t>
  </si>
  <si>
    <t>WP_014483404.1</t>
  </si>
  <si>
    <t>rho</t>
  </si>
  <si>
    <t>transcription termination factor Rho</t>
  </si>
  <si>
    <t>BBBR_RS01230</t>
  </si>
  <si>
    <t>WP_014483403.1</t>
  </si>
  <si>
    <t>BBBR_RS01225</t>
  </si>
  <si>
    <t>WP_003828150.1</t>
  </si>
  <si>
    <t>DUF2469 domain-containing protein</t>
  </si>
  <si>
    <t>BBBR_RS01220</t>
  </si>
  <si>
    <t>WP_003828149.1</t>
  </si>
  <si>
    <t>BBBR_RS01215</t>
  </si>
  <si>
    <t>WP_003828148.1</t>
  </si>
  <si>
    <t>BBBR_RS01210</t>
  </si>
  <si>
    <t>WP_003828147.1</t>
  </si>
  <si>
    <t>BBBR_RS01205</t>
  </si>
  <si>
    <t>WP_011068473.1</t>
  </si>
  <si>
    <t>BBBR_RS01200</t>
  </si>
  <si>
    <t>WP_003831383.1</t>
  </si>
  <si>
    <t>BBBR_RS11315</t>
  </si>
  <si>
    <t>WP_025300993.1</t>
  </si>
  <si>
    <t>permease of ABC transporter system</t>
  </si>
  <si>
    <t>BBBR_RS10600</t>
  </si>
  <si>
    <t>BBBR_RS11310</t>
  </si>
  <si>
    <t>BBBR_RS11305</t>
  </si>
  <si>
    <t>BBBR_RS01180</t>
  </si>
  <si>
    <t>WP_003828139.1</t>
  </si>
  <si>
    <t>BBBR_RS01175</t>
  </si>
  <si>
    <t>WP_003828138.1</t>
  </si>
  <si>
    <t>rmuC</t>
  </si>
  <si>
    <t>DNA recombination protein RmuC</t>
  </si>
  <si>
    <t>BBBR_RS01170</t>
  </si>
  <si>
    <t>WP_014483396.1</t>
  </si>
  <si>
    <t>metal-sensitive transcriptional regulator</t>
  </si>
  <si>
    <t>BBBR_RS01165</t>
  </si>
  <si>
    <t>WP_003828136.1</t>
  </si>
  <si>
    <t>BBBR_RS01160</t>
  </si>
  <si>
    <t>WP_003828135.1</t>
  </si>
  <si>
    <t>BBBR_RS01155</t>
  </si>
  <si>
    <t>WP_003828134.1</t>
  </si>
  <si>
    <t>phage integrase N-terminal SAM-like domain-containing protein</t>
  </si>
  <si>
    <t>BBBR_RS11190</t>
  </si>
  <si>
    <t>WP_074525445.1</t>
  </si>
  <si>
    <t>BBBR_RS01145</t>
  </si>
  <si>
    <t>WP_003828132.1</t>
  </si>
  <si>
    <t>BBBR_RS01140</t>
  </si>
  <si>
    <t>WP_003828131.1</t>
  </si>
  <si>
    <t>BBBR_RS01135</t>
  </si>
  <si>
    <t>WP_225851409.1</t>
  </si>
  <si>
    <t>BBBR_RS01130</t>
  </si>
  <si>
    <t>WP_003828126.1</t>
  </si>
  <si>
    <t>BBBR_RS01125</t>
  </si>
  <si>
    <t>WP_015438334.1</t>
  </si>
  <si>
    <t>Two-component sensor protein</t>
  </si>
  <si>
    <t>BBBR_RS01120</t>
  </si>
  <si>
    <t>WP_003828121.1</t>
  </si>
  <si>
    <t>BBBR_RS01115</t>
  </si>
  <si>
    <t>WP_003828120.1</t>
  </si>
  <si>
    <t>BBBR_RS01110</t>
  </si>
  <si>
    <t>WP_003828119.1</t>
  </si>
  <si>
    <t>BBBR_RS01105</t>
  </si>
  <si>
    <t>WP_003828118.1</t>
  </si>
  <si>
    <t>BBBR_RS01100</t>
  </si>
  <si>
    <t>WP_003828117.1</t>
  </si>
  <si>
    <t>IS256-like element ISBibr1 family transposase</t>
  </si>
  <si>
    <t>BBBR_RS01090</t>
  </si>
  <si>
    <t>BBBR_RS01085</t>
  </si>
  <si>
    <t>WP_003828114.1</t>
  </si>
  <si>
    <t>BBBR_RS01080</t>
  </si>
  <si>
    <t>WP_003828113.1</t>
  </si>
  <si>
    <t>BBBR_RS01075</t>
  </si>
  <si>
    <t>WP_003828112.1</t>
  </si>
  <si>
    <t>BBBR_RS01070</t>
  </si>
  <si>
    <t>WP_003828111.1</t>
  </si>
  <si>
    <t>BBBR_RS01065</t>
  </si>
  <si>
    <t>WP_003828109.1</t>
  </si>
  <si>
    <t>BBBR_RS01060</t>
  </si>
  <si>
    <t>WP_003828108.1</t>
  </si>
  <si>
    <t>YggS family pyridoxal phosphate-dependent enzyme</t>
  </si>
  <si>
    <t>BBBR_RS01055</t>
  </si>
  <si>
    <t>BBBR_RS11300</t>
  </si>
  <si>
    <t>BBBR_RS01045</t>
  </si>
  <si>
    <t>WP_003828105.1</t>
  </si>
  <si>
    <t>AarF/ABC1/UbiB kinase family protein</t>
  </si>
  <si>
    <t>BBBR_RS01040</t>
  </si>
  <si>
    <t>WP_003828104.1</t>
  </si>
  <si>
    <t>phasin family protein</t>
  </si>
  <si>
    <t>BBBR_RS01035</t>
  </si>
  <si>
    <t>WP_003828103.1</t>
  </si>
  <si>
    <t>BBBR_RS01030</t>
  </si>
  <si>
    <t>WP_014483384.1</t>
  </si>
  <si>
    <t>BBBR_RS01025</t>
  </si>
  <si>
    <t>WP_014483383.1</t>
  </si>
  <si>
    <t>BBBR_RS01020</t>
  </si>
  <si>
    <t>WP_003828099.1</t>
  </si>
  <si>
    <t>BBBR_RS01015</t>
  </si>
  <si>
    <t>WP_025262711.1</t>
  </si>
  <si>
    <t>nucleotidyltransferase domain-containing protein</t>
  </si>
  <si>
    <t>BBBR_RS01010</t>
  </si>
  <si>
    <t>WP_003828096.1</t>
  </si>
  <si>
    <t>P-II family nitrogen regulator</t>
  </si>
  <si>
    <t>BBBR_RS01005</t>
  </si>
  <si>
    <t>WP_003828095.1</t>
  </si>
  <si>
    <t>BBBR_RS01000</t>
  </si>
  <si>
    <t>WP_003828093.1</t>
  </si>
  <si>
    <t>BBBR_RS00995</t>
  </si>
  <si>
    <t>WP_003828092.1</t>
  </si>
  <si>
    <t>BBBR_RS00990</t>
  </si>
  <si>
    <t>WP_003828091.1</t>
  </si>
  <si>
    <t>BBBR_RS00985</t>
  </si>
  <si>
    <t>WP_003828090.1</t>
  </si>
  <si>
    <t>BBBR_RS00980</t>
  </si>
  <si>
    <t>BBBR_RS00975</t>
  </si>
  <si>
    <t>WP_025341534.1</t>
  </si>
  <si>
    <t>BBBR_RS00970</t>
  </si>
  <si>
    <t>WP_003828086.1</t>
  </si>
  <si>
    <t>BBBR_RS00965</t>
  </si>
  <si>
    <t>WP_003828085.1</t>
  </si>
  <si>
    <t>glucose-6-phosphate dehydrogenase assembly protein OpcA</t>
  </si>
  <si>
    <t>BBBR_RS00960</t>
  </si>
  <si>
    <t>WP_003828084.1</t>
  </si>
  <si>
    <t>6-phosphogluconolactonase</t>
  </si>
  <si>
    <t>BBBR_RS00955</t>
  </si>
  <si>
    <t>WP_003828082.1</t>
  </si>
  <si>
    <t>BBBR_RS00950</t>
  </si>
  <si>
    <t>WP_003828081.1</t>
  </si>
  <si>
    <t>BBBR_RS00945</t>
  </si>
  <si>
    <t>WP_003828079.1</t>
  </si>
  <si>
    <t>BBBR_RS00940</t>
  </si>
  <si>
    <t>WP_003828078.1</t>
  </si>
  <si>
    <t>BBBR_RS00935</t>
  </si>
  <si>
    <t>WP_015438314.1</t>
  </si>
  <si>
    <t>BBBR_RS00930</t>
  </si>
  <si>
    <t>WP_003828075.1</t>
  </si>
  <si>
    <t>BBBR_RS00925</t>
  </si>
  <si>
    <t>WP_003828074.1</t>
  </si>
  <si>
    <t>BBBR_RS00920</t>
  </si>
  <si>
    <t>WP_003828073.1</t>
  </si>
  <si>
    <t>BBBR_RS00915</t>
  </si>
  <si>
    <t>WP_003828072.1</t>
  </si>
  <si>
    <t>BBBR_RS00910</t>
  </si>
  <si>
    <t>WP_003828071.1</t>
  </si>
  <si>
    <t>DUF2318 domain-containing protein</t>
  </si>
  <si>
    <t>BBBR_RS00905</t>
  </si>
  <si>
    <t>WP_003828070.1</t>
  </si>
  <si>
    <t>iron transporter</t>
  </si>
  <si>
    <t>BBBR_RS00900</t>
  </si>
  <si>
    <t>WP_003828069.1</t>
  </si>
  <si>
    <t>FTR1 family protein</t>
  </si>
  <si>
    <t>BBBR_RS00895</t>
  </si>
  <si>
    <t>BBBR_RS00890</t>
  </si>
  <si>
    <t>WP_225851407.1</t>
  </si>
  <si>
    <t>BBBR_RS11295</t>
  </si>
  <si>
    <t>BBBR_RS00885</t>
  </si>
  <si>
    <t>BBBR_RS00880</t>
  </si>
  <si>
    <t>BBBR_RS00875</t>
  </si>
  <si>
    <t>WP_032738123.1</t>
  </si>
  <si>
    <t>BBBR_RS00870</t>
  </si>
  <si>
    <t>WP_025299501.1</t>
  </si>
  <si>
    <t>BBBR_RS00865</t>
  </si>
  <si>
    <t>WP_003828064.1</t>
  </si>
  <si>
    <t>beta-propeller fold lactonase family protein</t>
  </si>
  <si>
    <t>BBBR_RS00860</t>
  </si>
  <si>
    <t>WP_003828063.1</t>
  </si>
  <si>
    <t>BBBR_RS00855</t>
  </si>
  <si>
    <t>WP_003828062.1</t>
  </si>
  <si>
    <t>BBBR_RS00850</t>
  </si>
  <si>
    <t>WP_014483345.1</t>
  </si>
  <si>
    <t>BBBR_RS00845</t>
  </si>
  <si>
    <t>WP_003828059.1</t>
  </si>
  <si>
    <t>BBBR_RS00840</t>
  </si>
  <si>
    <t>WP_014483343.1</t>
  </si>
  <si>
    <t>phenylpyruvate tautomerase MIF-related protein</t>
  </si>
  <si>
    <t>BBBR_RS00835</t>
  </si>
  <si>
    <t>WP_003828057.1</t>
  </si>
  <si>
    <t>BBBR_RS00830</t>
  </si>
  <si>
    <t>WP_003828056.1</t>
  </si>
  <si>
    <t>BBBR_RS00825</t>
  </si>
  <si>
    <t>WP_032738212.1</t>
  </si>
  <si>
    <t>YbhB/YbcL family Raf kinase inhibitor-like protein</t>
  </si>
  <si>
    <t>BBBR_RS00820</t>
  </si>
  <si>
    <t>WP_226799782.1</t>
  </si>
  <si>
    <t>BBBR_RS11005</t>
  </si>
  <si>
    <t>WP_003828052.1</t>
  </si>
  <si>
    <t>BBBR_RS00810</t>
  </si>
  <si>
    <t>WP_003828050.1</t>
  </si>
  <si>
    <t>BBBR_RS10815</t>
  </si>
  <si>
    <t>WP_003828049.1</t>
  </si>
  <si>
    <t>BBBR_RS00805</t>
  </si>
  <si>
    <t>WP_012576627.1</t>
  </si>
  <si>
    <t>HPr family phosphocarrier protein</t>
  </si>
  <si>
    <t>BBBR_RS00800</t>
  </si>
  <si>
    <t>WP_032738122.1</t>
  </si>
  <si>
    <t>BBBR_RS00795</t>
  </si>
  <si>
    <t>WP_003828046.1</t>
  </si>
  <si>
    <t>DNA polymerase III subunit delta'</t>
  </si>
  <si>
    <t>BBBR_RS00790</t>
  </si>
  <si>
    <t>WP_003828045.1</t>
  </si>
  <si>
    <t>BBBR_RS00785</t>
  </si>
  <si>
    <t>WP_003828044.1</t>
  </si>
  <si>
    <t>BBBR_RS00780</t>
  </si>
  <si>
    <t>WP_003828043.1</t>
  </si>
  <si>
    <t>BBBR_RS09925</t>
  </si>
  <si>
    <t>BBBR_RS00775</t>
  </si>
  <si>
    <t>WP_032738119.1</t>
  </si>
  <si>
    <t>BBBR_RS00770</t>
  </si>
  <si>
    <t>WP_003828040.1</t>
  </si>
  <si>
    <t>leuA</t>
  </si>
  <si>
    <t>2-isopropylmalate synthase</t>
  </si>
  <si>
    <t>BBBR_RS00765</t>
  </si>
  <si>
    <t>WP_003828038.1</t>
  </si>
  <si>
    <t>BBBR_RS00760</t>
  </si>
  <si>
    <t>WP_003828034.1</t>
  </si>
  <si>
    <t>FadR/GntR family transcriptional regulator</t>
  </si>
  <si>
    <t>BBBR_RS00755</t>
  </si>
  <si>
    <t>WP_025300967.1</t>
  </si>
  <si>
    <t>BBBR_RS00750</t>
  </si>
  <si>
    <t>WP_003828032.1</t>
  </si>
  <si>
    <t>sialidase family protein</t>
  </si>
  <si>
    <t>BBBR_RS10590</t>
  </si>
  <si>
    <t>BBBR_RS00740</t>
  </si>
  <si>
    <t>WP_003828030.1</t>
  </si>
  <si>
    <t>BBBR_RS00735</t>
  </si>
  <si>
    <t>WP_003828029.1</t>
  </si>
  <si>
    <t>BBBR_RS00730</t>
  </si>
  <si>
    <t>WP_003828028.1</t>
  </si>
  <si>
    <t>BBBR_RS00725</t>
  </si>
  <si>
    <t>WP_003828027.1</t>
  </si>
  <si>
    <t>dipeptide/oligopeptide/nickel ABC transporter permease/ATP-binding protein</t>
  </si>
  <si>
    <t>BBBR_RS00720</t>
  </si>
  <si>
    <t>WP_014483328.1</t>
  </si>
  <si>
    <t>BBBR_RS00715</t>
  </si>
  <si>
    <t>WP_032738118.1</t>
  </si>
  <si>
    <t>BBBR_RS00710</t>
  </si>
  <si>
    <t>WP_003828023.1</t>
  </si>
  <si>
    <t>BBBR_RS00705</t>
  </si>
  <si>
    <t>WP_014483327.1</t>
  </si>
  <si>
    <t>N-acetylmannosamine-6-phosphate 2-epimerase</t>
  </si>
  <si>
    <t>BBBR_RS00700</t>
  </si>
  <si>
    <t>WP_033519359.1</t>
  </si>
  <si>
    <t>BBBR_RS00695</t>
  </si>
  <si>
    <t>WP_032738117.1</t>
  </si>
  <si>
    <t>DUF4862 family protein</t>
  </si>
  <si>
    <t>BBBR_RS00690</t>
  </si>
  <si>
    <t>WP_003828018.1</t>
  </si>
  <si>
    <t>DUF5701 family protein</t>
  </si>
  <si>
    <t>BBBR_RS00685</t>
  </si>
  <si>
    <t>WP_016462094.1</t>
  </si>
  <si>
    <t>asd</t>
  </si>
  <si>
    <t>BBBR_RS00680</t>
  </si>
  <si>
    <t>WP_003828015.1</t>
  </si>
  <si>
    <t>BBBR_RS00675</t>
  </si>
  <si>
    <t>WP_003828014.1</t>
  </si>
  <si>
    <t>BBBR_RS00665</t>
  </si>
  <si>
    <t>WP_003828012.1</t>
  </si>
  <si>
    <t>BBBR_RS00660</t>
  </si>
  <si>
    <t>WP_003828010.1</t>
  </si>
  <si>
    <t>BBBR_RS00655</t>
  </si>
  <si>
    <t>WP_003828009.1</t>
  </si>
  <si>
    <t>class C sortase</t>
  </si>
  <si>
    <t>BBBR_RS00650</t>
  </si>
  <si>
    <t>WP_003828008.1</t>
  </si>
  <si>
    <t>BBBR_RS00645</t>
  </si>
  <si>
    <t>WP_223261685.1</t>
  </si>
  <si>
    <t>BBBR_RS00640</t>
  </si>
  <si>
    <t>WP_003828006.1</t>
  </si>
  <si>
    <t>BBBR_RS00635</t>
  </si>
  <si>
    <t>WP_032738116.1</t>
  </si>
  <si>
    <t>BBBR_RS00630</t>
  </si>
  <si>
    <t>WP_003828004.1</t>
  </si>
  <si>
    <t>BBBR_RS00625</t>
  </si>
  <si>
    <t>WP_003828003.1</t>
  </si>
  <si>
    <t>BBBR_RS00620</t>
  </si>
  <si>
    <t>WP_025262679.1</t>
  </si>
  <si>
    <t>Rv3654c family TadE-like protein</t>
  </si>
  <si>
    <t>BBBR_RS00615</t>
  </si>
  <si>
    <t>WP_003828001.1</t>
  </si>
  <si>
    <t>TadE/TadG family type IV pilus assembly protein</t>
  </si>
  <si>
    <t>BBBR_RS00610</t>
  </si>
  <si>
    <t>WP_014483306.1</t>
  </si>
  <si>
    <t>DUF4244 domain-containing protein</t>
  </si>
  <si>
    <t>BBBR_RS11000</t>
  </si>
  <si>
    <t>WP_014483305.1</t>
  </si>
  <si>
    <t>BBBR_RS00600</t>
  </si>
  <si>
    <t>WP_003827998.1</t>
  </si>
  <si>
    <t>BBBR_RS00595</t>
  </si>
  <si>
    <t>WP_014483303.1</t>
  </si>
  <si>
    <t>CpaF family protein</t>
  </si>
  <si>
    <t>BBBR_RS00590</t>
  </si>
  <si>
    <t>WP_003827996.1</t>
  </si>
  <si>
    <t>P-loop NTPase</t>
  </si>
  <si>
    <t>BBBR_RS00585</t>
  </si>
  <si>
    <t>WP_003827995.1</t>
  </si>
  <si>
    <t>BBBR_RS00580</t>
  </si>
  <si>
    <t>WP_025262675.1</t>
  </si>
  <si>
    <t>BBBR_RS00575</t>
  </si>
  <si>
    <t>WP_080543801.1</t>
  </si>
  <si>
    <t>BBBR_RS00570</t>
  </si>
  <si>
    <t>BBBR_RS00565</t>
  </si>
  <si>
    <t>BBBR_RS00560</t>
  </si>
  <si>
    <t>WP_003827990.1</t>
  </si>
  <si>
    <t>heat shock protein transcriptional repressor HspR</t>
  </si>
  <si>
    <t>BBBR_RS00555</t>
  </si>
  <si>
    <t>WP_003827989.1</t>
  </si>
  <si>
    <t>DnaJ C-terminal domain-containing protein</t>
  </si>
  <si>
    <t>BBBR_RS00550</t>
  </si>
  <si>
    <t>WP_003827988.1</t>
  </si>
  <si>
    <t>BBBR_RS00545</t>
  </si>
  <si>
    <t>WP_003827987.1</t>
  </si>
  <si>
    <t>BBBR_RS00540</t>
  </si>
  <si>
    <t>WP_003827986.1</t>
  </si>
  <si>
    <t>BBBR_RS00535</t>
  </si>
  <si>
    <t>WP_003827985.1</t>
  </si>
  <si>
    <t>BBBR_RS00530</t>
  </si>
  <si>
    <t>WP_003827984.1</t>
  </si>
  <si>
    <t>TraX family protein</t>
  </si>
  <si>
    <t>BBBR_RS00525</t>
  </si>
  <si>
    <t>WP_032738209.1</t>
  </si>
  <si>
    <t>BBBR_RS00520</t>
  </si>
  <si>
    <t>WP_003827982.1</t>
  </si>
  <si>
    <t>BBBR_RS00515</t>
  </si>
  <si>
    <t>WP_003827981.1</t>
  </si>
  <si>
    <t>BBBR_RS00510</t>
  </si>
  <si>
    <t>WP_003827979.1</t>
  </si>
  <si>
    <t>alpha-amylase family glycosyl hydrolase</t>
  </si>
  <si>
    <t>BBBR_RS00505</t>
  </si>
  <si>
    <t>WP_032738113.1</t>
  </si>
  <si>
    <t>BBBR_RS00500</t>
  </si>
  <si>
    <t>WP_003827977.1</t>
  </si>
  <si>
    <t>BBBR_RS00495</t>
  </si>
  <si>
    <t>WP_003827975.1</t>
  </si>
  <si>
    <t>BBBR_RS00490</t>
  </si>
  <si>
    <t>WP_226799781.1</t>
  </si>
  <si>
    <t>SpaA isopeptide-forming pilin-related protein</t>
  </si>
  <si>
    <t>BBBR_RS00485</t>
  </si>
  <si>
    <t>WP_003827972.1</t>
  </si>
  <si>
    <t>BBBR_RS00480</t>
  </si>
  <si>
    <t>WP_032738110.1</t>
  </si>
  <si>
    <t>BBBR_RS00475</t>
  </si>
  <si>
    <t>WP_003827970.1</t>
  </si>
  <si>
    <t>ilvC</t>
  </si>
  <si>
    <t>ketol-acid reductoisomerase</t>
  </si>
  <si>
    <t>BBBR_RS00470</t>
  </si>
  <si>
    <t>WP_003827968.1</t>
  </si>
  <si>
    <t>BBBR_RS00465</t>
  </si>
  <si>
    <t>WP_003827967.1</t>
  </si>
  <si>
    <t>BBBR_RS00460</t>
  </si>
  <si>
    <t>WP_003827966.1</t>
  </si>
  <si>
    <t>BBBR_RS00455</t>
  </si>
  <si>
    <t>WP_003827965.1</t>
  </si>
  <si>
    <t>BBBR_RS00450</t>
  </si>
  <si>
    <t>WP_003827964.1</t>
  </si>
  <si>
    <t>BBBR_RS10580</t>
  </si>
  <si>
    <t>WP_014483281.1</t>
  </si>
  <si>
    <t>BBBR_RS00445</t>
  </si>
  <si>
    <t>WP_032738208.1</t>
  </si>
  <si>
    <t>BBBR_RS10810</t>
  </si>
  <si>
    <t>WP_003827961.1</t>
  </si>
  <si>
    <t>BBBR_RS00435</t>
  </si>
  <si>
    <t>WP_003827960.1</t>
  </si>
  <si>
    <t>BBBR_RS00430</t>
  </si>
  <si>
    <t>WP_003827958.1</t>
  </si>
  <si>
    <t>BBBR_RS00425</t>
  </si>
  <si>
    <t>WP_016462059.1</t>
  </si>
  <si>
    <t>BBBR_RS00420</t>
  </si>
  <si>
    <t>WP_003827956.1</t>
  </si>
  <si>
    <t>fbaA</t>
  </si>
  <si>
    <t>class II fructose-bisphosphate aldolase</t>
  </si>
  <si>
    <t>BBBR_RS00415</t>
  </si>
  <si>
    <t>BBBR_RS00410</t>
  </si>
  <si>
    <t>BBBR_RS00405</t>
  </si>
  <si>
    <t>WP_003827954.1</t>
  </si>
  <si>
    <t>BBBR_RS00400</t>
  </si>
  <si>
    <t>WP_003827952.1</t>
  </si>
  <si>
    <t>BBBR_RS11290</t>
  </si>
  <si>
    <t>BBBR_RS00395</t>
  </si>
  <si>
    <t>BBBR_RS00390</t>
  </si>
  <si>
    <t>WP_032738106.1</t>
  </si>
  <si>
    <t>S1C family serine protease</t>
  </si>
  <si>
    <t>BBBR_RS00385</t>
  </si>
  <si>
    <t>WP_003827949.1</t>
  </si>
  <si>
    <t>tgt</t>
  </si>
  <si>
    <t>tRNA guanosine(34) transglycosylase Tgt</t>
  </si>
  <si>
    <t>BBBR_RS00380</t>
  </si>
  <si>
    <t>BBBR_RS00375</t>
  </si>
  <si>
    <t>WP_025262659.1</t>
  </si>
  <si>
    <t>BBBR_RS00370</t>
  </si>
  <si>
    <t>WP_015438229.1</t>
  </si>
  <si>
    <t>putative heavy metal-binding protein</t>
  </si>
  <si>
    <t>BBBR_RS00365</t>
  </si>
  <si>
    <t>WP_003827946.1</t>
  </si>
  <si>
    <t>BBBR_RS00360</t>
  </si>
  <si>
    <t>WP_003827945.1</t>
  </si>
  <si>
    <t>BBBR_RS00355</t>
  </si>
  <si>
    <t>WP_003827944.1</t>
  </si>
  <si>
    <t>BBBR_RS00350</t>
  </si>
  <si>
    <t>WP_003827943.1</t>
  </si>
  <si>
    <t>BBBR_RS00345</t>
  </si>
  <si>
    <t>WP_003827942.1</t>
  </si>
  <si>
    <t>BBBR_RS00340</t>
  </si>
  <si>
    <t>WP_003827941.1</t>
  </si>
  <si>
    <t>BBBR_RS00335</t>
  </si>
  <si>
    <t>WP_003827940.1</t>
  </si>
  <si>
    <t>bifunctional lysylphosphatidylglycerol flippase/synthetase MprF</t>
  </si>
  <si>
    <t>BBBR_RS00330</t>
  </si>
  <si>
    <t>WP_003827939.1</t>
  </si>
  <si>
    <t>esterase family protein</t>
  </si>
  <si>
    <t>BBBR_RS00325</t>
  </si>
  <si>
    <t>WP_003827938.1</t>
  </si>
  <si>
    <t>BBBR_RS00320</t>
  </si>
  <si>
    <t>WP_016462043.1</t>
  </si>
  <si>
    <t>yddG</t>
  </si>
  <si>
    <t>aromatic amino acid DMT transporter YddG</t>
  </si>
  <si>
    <t>BBBR_RS00315</t>
  </si>
  <si>
    <t>WP_003827936.1</t>
  </si>
  <si>
    <t>BBBR_RS00310</t>
  </si>
  <si>
    <t>WP_003827935.1</t>
  </si>
  <si>
    <t>BBBR_RS11285</t>
  </si>
  <si>
    <t>BBBR_RS11280</t>
  </si>
  <si>
    <t>BBBR_RS00300</t>
  </si>
  <si>
    <t>WP_003827932.1</t>
  </si>
  <si>
    <t>DUF3662 and FHA domain-containing protein</t>
  </si>
  <si>
    <t>BBBR_RS00295</t>
  </si>
  <si>
    <t>WP_003827931.1</t>
  </si>
  <si>
    <t>BBBR_RS00290</t>
  </si>
  <si>
    <t>WP_003827930.1</t>
  </si>
  <si>
    <t>PP2C family serine/threonine-protein phosphatase</t>
  </si>
  <si>
    <t>BBBR_RS00285</t>
  </si>
  <si>
    <t>WP_003827929.1</t>
  </si>
  <si>
    <t>BBBR_RS00280</t>
  </si>
  <si>
    <t>WP_003827928.1</t>
  </si>
  <si>
    <t>BBBR_RS00275</t>
  </si>
  <si>
    <t>WP_003827927.1</t>
  </si>
  <si>
    <t>BBBR_RS00270</t>
  </si>
  <si>
    <t>WP_003827926.1</t>
  </si>
  <si>
    <t>BBBR_RS00265</t>
  </si>
  <si>
    <t>WP_003827925.1</t>
  </si>
  <si>
    <t>aminodeoxychorismate/anthranilate synthase component II</t>
  </si>
  <si>
    <t>BBBR_RS00260</t>
  </si>
  <si>
    <t>WP_003827924.1</t>
  </si>
  <si>
    <t>class E sortase</t>
  </si>
  <si>
    <t>BBBR_RS00255</t>
  </si>
  <si>
    <t>WP_003827923.1</t>
  </si>
  <si>
    <t>BBBR_RS00250</t>
  </si>
  <si>
    <t>WP_025262649.1</t>
  </si>
  <si>
    <t>crgA</t>
  </si>
  <si>
    <t>cell division protein CrgA</t>
  </si>
  <si>
    <t>BBBR_RS00245</t>
  </si>
  <si>
    <t>WP_003827920.1</t>
  </si>
  <si>
    <t>BBBR_RS00240</t>
  </si>
  <si>
    <t>WP_014483248.1</t>
  </si>
  <si>
    <t>BBBR_RS00235</t>
  </si>
  <si>
    <t>WP_003827918.1</t>
  </si>
  <si>
    <t>BBBR_RS00230</t>
  </si>
  <si>
    <t>WP_003827916.1</t>
  </si>
  <si>
    <t>sterol carrier family protein</t>
  </si>
  <si>
    <t>BBBR_RS00225</t>
  </si>
  <si>
    <t>WP_003827915.1</t>
  </si>
  <si>
    <t>BBBR_RS00220</t>
  </si>
  <si>
    <t>WP_003827914.1</t>
  </si>
  <si>
    <t>BBBR_RS00215</t>
  </si>
  <si>
    <t>WP_050755801.1</t>
  </si>
  <si>
    <t>BBBR_RS00210</t>
  </si>
  <si>
    <t>WP_003827912.1</t>
  </si>
  <si>
    <t>DUF3073 domain-containing protein</t>
  </si>
  <si>
    <t>BBBR_RS00205</t>
  </si>
  <si>
    <t>WP_003827911.1</t>
  </si>
  <si>
    <t>BBBR_RS00200</t>
  </si>
  <si>
    <t>WP_032738105.1</t>
  </si>
  <si>
    <t>BBBR_RS00195</t>
  </si>
  <si>
    <t>WP_003827909.1</t>
  </si>
  <si>
    <t>BBBR_RS00190</t>
  </si>
  <si>
    <t>WP_106620575.1</t>
  </si>
  <si>
    <t>sodium/proline symporter</t>
  </si>
  <si>
    <t>BBBR_RS00185</t>
  </si>
  <si>
    <t>WP_003827907.1</t>
  </si>
  <si>
    <t>threonine/serine exporter ThrE family protein</t>
  </si>
  <si>
    <t>BBBR_RS00180</t>
  </si>
  <si>
    <t>WP_003827906.1</t>
  </si>
  <si>
    <t>BBBR_RS00175</t>
  </si>
  <si>
    <t>WP_003827905.1</t>
  </si>
  <si>
    <t>RNA-binding domain-containing protein</t>
  </si>
  <si>
    <t>BBBR_RS00170</t>
  </si>
  <si>
    <t>WP_225851445.1</t>
  </si>
  <si>
    <t>BBBR_RS00165</t>
  </si>
  <si>
    <t>WP_033519496.1</t>
  </si>
  <si>
    <t>diguanylate cyclase</t>
  </si>
  <si>
    <t>BBBR_RS00160</t>
  </si>
  <si>
    <t>WP_003827902.1</t>
  </si>
  <si>
    <t>DUF4956 domain-containing protein</t>
  </si>
  <si>
    <t>BBBR_RS00155</t>
  </si>
  <si>
    <t>WP_003827901.1</t>
  </si>
  <si>
    <t>polyphosphate polymerase domain-containing protein</t>
  </si>
  <si>
    <t>BBBR_RS00150</t>
  </si>
  <si>
    <t>WP_003827900.1</t>
  </si>
  <si>
    <t>CotH kinase family protein</t>
  </si>
  <si>
    <t>BBBR_RS00145</t>
  </si>
  <si>
    <t>WP_003827899.1</t>
  </si>
  <si>
    <t>pelG</t>
  </si>
  <si>
    <t>exopolysaccharide Pel transporter PelG</t>
  </si>
  <si>
    <t>BBBR_RS00140</t>
  </si>
  <si>
    <t>WP_032738102.1</t>
  </si>
  <si>
    <t>pelF</t>
  </si>
  <si>
    <t>GT4 family glycosyltransferase PelF</t>
  </si>
  <si>
    <t>BBBR_RS00135</t>
  </si>
  <si>
    <t>WP_025300914.1</t>
  </si>
  <si>
    <t>DUF2194 domain-containing protein</t>
  </si>
  <si>
    <t>BBBR_RS00130</t>
  </si>
  <si>
    <t>WP_003827895.1</t>
  </si>
  <si>
    <t>BBBR_RS00125</t>
  </si>
  <si>
    <t>WP_003827894.1</t>
  </si>
  <si>
    <t>NAD(P)-dependent oxidoreductase</t>
  </si>
  <si>
    <t>BBBR_RS00120</t>
  </si>
  <si>
    <t>WP_015438197.1</t>
  </si>
  <si>
    <t>BBBR_RS00115</t>
  </si>
  <si>
    <t>WP_003827892.1</t>
  </si>
  <si>
    <t>ahpC</t>
  </si>
  <si>
    <t>alkyl hydroperoxide reductase subunit C</t>
  </si>
  <si>
    <t>BBBR_RS00110</t>
  </si>
  <si>
    <t>WP_015438196.1</t>
  </si>
  <si>
    <t>carbonic anhydrase</t>
  </si>
  <si>
    <t>BBBR_RS00105</t>
  </si>
  <si>
    <t>WP_015438195.1</t>
  </si>
  <si>
    <t>BBBR_RS00100</t>
  </si>
  <si>
    <t>WP_003827889.1</t>
  </si>
  <si>
    <t>BBBR_RS00095</t>
  </si>
  <si>
    <t>WP_003827888.1</t>
  </si>
  <si>
    <t>Dps family protein</t>
  </si>
  <si>
    <t>BBBR_RS00090</t>
  </si>
  <si>
    <t>WP_003827887.1</t>
  </si>
  <si>
    <t>BBBR_RS00080</t>
  </si>
  <si>
    <t>WP_003827884.1</t>
  </si>
  <si>
    <t>M48 family metallopeptidase</t>
  </si>
  <si>
    <t>BBBR_RS00075</t>
  </si>
  <si>
    <t>BBBR_RS00070</t>
  </si>
  <si>
    <t>BBBR_RS00065</t>
  </si>
  <si>
    <t>WP_003827883.1</t>
  </si>
  <si>
    <t>DUF5692 family protein</t>
  </si>
  <si>
    <t>BBBR_RS00060</t>
  </si>
  <si>
    <t>WP_003827882.1</t>
  </si>
  <si>
    <t>gdhA</t>
  </si>
  <si>
    <t>NADP-specific glutamate dehydrogenase</t>
  </si>
  <si>
    <t>BBBR_RS00055</t>
  </si>
  <si>
    <t>WP_003827880.1</t>
  </si>
  <si>
    <t>BBBR_RS00050</t>
  </si>
  <si>
    <t>WP_032738099.1</t>
  </si>
  <si>
    <t>BBBR_RS00045</t>
  </si>
  <si>
    <t>WP_003827877.1</t>
  </si>
  <si>
    <t>BBBR_RS00040</t>
  </si>
  <si>
    <t>WP_003827875.1</t>
  </si>
  <si>
    <t>BBBR_RS00035</t>
  </si>
  <si>
    <t>WP_003827874.1</t>
  </si>
  <si>
    <t>DUF3566 domain-containing protein</t>
  </si>
  <si>
    <t>BBBR_RS00030</t>
  </si>
  <si>
    <t>WP_003827873.1</t>
  </si>
  <si>
    <t>BBBR_RS00025</t>
  </si>
  <si>
    <t>WP_003827872.1</t>
  </si>
  <si>
    <t>BBBR_RS00020</t>
  </si>
  <si>
    <t>WP_003827871.1</t>
  </si>
  <si>
    <t>DUF721 domain-containing protein</t>
  </si>
  <si>
    <t>BBBR_RS00015</t>
  </si>
  <si>
    <t>WP_003827870.1</t>
  </si>
  <si>
    <t>BBBR_RS00010</t>
  </si>
  <si>
    <t>BBBR_RS00005</t>
  </si>
  <si>
    <t>WP_003827867.1</t>
  </si>
  <si>
    <t>https://www.ncbi.nlm.nih.gov/datasets/genome/GCF_001025175.1/</t>
  </si>
  <si>
    <t>GCF_001025175.1</t>
  </si>
  <si>
    <t>SAMD00061041</t>
  </si>
  <si>
    <t>AP012324</t>
  </si>
  <si>
    <t>2.3 Mb</t>
  </si>
  <si>
    <t>NZ_AP012324.</t>
  </si>
  <si>
    <t>ASM102517v1</t>
  </si>
  <si>
    <t>AP012324.1</t>
  </si>
  <si>
    <t>1.4.1.4</t>
  </si>
  <si>
    <t>1.16.-.-</t>
  </si>
  <si>
    <t>1.1.1.-</t>
  </si>
  <si>
    <t>3.5.-.-</t>
  </si>
  <si>
    <t>3.4.21.105</t>
  </si>
  <si>
    <t>https://www.kegg.jp/entry/5.6.2.2</t>
  </si>
  <si>
    <t>https://www.kegg.jp/entry/R00248</t>
  </si>
  <si>
    <t>C00025 + C00006 + C00001</t>
  </si>
  <si>
    <t>C00026 + C00014 + C00005 + C00080</t>
  </si>
  <si>
    <t>1.11.1.26</t>
  </si>
  <si>
    <t>https://www.kegg.jp/entry/R12579</t>
  </si>
  <si>
    <t>https://www.kegg.jp/entry/R08057</t>
  </si>
  <si>
    <t xml:space="preserve">C00044 </t>
  </si>
  <si>
    <t>https://www.kegg.jp/entry/R00345</t>
  </si>
  <si>
    <t xml:space="preserve">C00009 + C00036 </t>
  </si>
  <si>
    <t>C00001 + C00074 + C00011</t>
  </si>
  <si>
    <t>https://www.kegg.jp/entry/R03664</t>
  </si>
  <si>
    <t>https://www.kegg.jp/entry/2.4.1.1</t>
  </si>
  <si>
    <t>https://www.kegg.jp/entry/R01821</t>
  </si>
  <si>
    <t>G10495 + C00009</t>
  </si>
  <si>
    <t>G10495 + C00103</t>
  </si>
  <si>
    <t>https://www.kegg.jp/entry/R06050</t>
  </si>
  <si>
    <t>https://www.kegg.jp/entry/R02111</t>
  </si>
  <si>
    <t xml:space="preserve">C00369 + C00009 </t>
  </si>
  <si>
    <t>https://www.kegg.jp/entry/R06185</t>
  </si>
  <si>
    <t>G10495 + C00103</t>
  </si>
  <si>
    <t xml:space="preserve">G10545 + C00009 </t>
  </si>
  <si>
    <t>https://www.kegg.jp/entry/1.4.1.4</t>
  </si>
  <si>
    <t>https://www.kegg.jp/entry/R00145</t>
  </si>
  <si>
    <r>
      <t>C05167</t>
    </r>
    <r>
      <rPr>
        <sz val="11"/>
        <color theme="1"/>
        <rFont val="Calibri"/>
        <family val="2"/>
        <scheme val="minor"/>
      </rPr>
      <t> + C00001 + C00003</t>
    </r>
  </si>
  <si>
    <r>
      <t>C00161</t>
    </r>
    <r>
      <rPr>
        <sz val="11"/>
        <color theme="1"/>
        <rFont val="Calibri"/>
        <family val="2"/>
        <scheme val="minor"/>
      </rPr>
      <t> + C00014 + C00004 + C00080</t>
    </r>
  </si>
  <si>
    <t>https://www.kegg.jp/entry/R00146</t>
  </si>
  <si>
    <t xml:space="preserve">C05167 + C00001 + C00006 </t>
  </si>
  <si>
    <r>
      <t>C00161</t>
    </r>
    <r>
      <rPr>
        <sz val="11"/>
        <color theme="1"/>
        <rFont val="Calibri"/>
        <family val="2"/>
        <scheme val="minor"/>
      </rPr>
      <t> + C00014 + C00005 + C00080</t>
    </r>
  </si>
  <si>
    <t>https://www.kegg.jp/entry/3.4.21.105</t>
  </si>
  <si>
    <t>https://www.kegg.jp/entry/6.1.1.2</t>
  </si>
  <si>
    <t>https://www.kegg.jp/entry/4.1.1.31</t>
  </si>
  <si>
    <t>https://www.kegg.jp/entry/2.7.7.65</t>
  </si>
  <si>
    <t>C00003 + C00001 + C01335</t>
  </si>
  <si>
    <t>C00004 + C15498 + C00080</t>
  </si>
  <si>
    <t>https://www.kegg.jp/entry/1.11.1.26</t>
  </si>
  <si>
    <t>3.4.21.-</t>
  </si>
  <si>
    <t>4.1.3.27</t>
  </si>
  <si>
    <t>https://www.kegg.jp/entry/4.1.3.27</t>
  </si>
  <si>
    <t>https://www.kegg.jp/entry/R00986</t>
  </si>
  <si>
    <t>C00251 + C00064</t>
  </si>
  <si>
    <t xml:space="preserve"> C00108 + C00022 + C00025</t>
  </si>
  <si>
    <t>https://www.kegg.jp/entry/R00985</t>
  </si>
  <si>
    <t>C00251 + C00014</t>
  </si>
  <si>
    <r>
      <t>C00108</t>
    </r>
    <r>
      <rPr>
        <sz val="11"/>
        <color theme="1"/>
        <rFont val="Calibri"/>
        <family val="2"/>
        <scheme val="minor"/>
      </rPr>
      <t> + C00022 + C00001</t>
    </r>
  </si>
  <si>
    <t>2.7.11.-</t>
  </si>
  <si>
    <t>3.4.16.4</t>
  </si>
  <si>
    <t>https://www.kegg.jp/entry/3.4.16.4</t>
  </si>
  <si>
    <t>2.4.99.28</t>
  </si>
  <si>
    <t>https://www.kegg.jp/entry/2.4.99.28</t>
  </si>
  <si>
    <t>3.1.3.16</t>
  </si>
  <si>
    <t>https://www.kegg.jp/entry/R06178</t>
  </si>
  <si>
    <t>https://www.kegg.jp/entry/R06179</t>
  </si>
  <si>
    <t>G10553 + G10554</t>
  </si>
  <si>
    <t>C04574 + G10554</t>
  </si>
  <si>
    <t>https://www.kegg.jp/entry/R04519</t>
  </si>
  <si>
    <t>https://www.kegg.jp/entry/R06177</t>
  </si>
  <si>
    <t>G10555 + G10557</t>
  </si>
  <si>
    <t>C04574 + G10557</t>
  </si>
  <si>
    <t>https://www.kegg.jp/entry/3.1.3.16</t>
  </si>
  <si>
    <t>https://www.kegg.jp/entry/R00164</t>
  </si>
  <si>
    <t>C00562 + C00001</t>
  </si>
  <si>
    <r>
      <t>C00017</t>
    </r>
    <r>
      <rPr>
        <sz val="11"/>
        <color theme="1"/>
        <rFont val="Calibri"/>
        <family val="2"/>
        <scheme val="minor"/>
      </rPr>
      <t> + C00009</t>
    </r>
  </si>
  <si>
    <t>3.-.-.-</t>
  </si>
  <si>
    <t>1.8.4.12</t>
  </si>
  <si>
    <t>https://www.kegg.jp/entry/1.8.4.12</t>
  </si>
  <si>
    <t>https://www.kegg.jp/entry/R07607</t>
  </si>
  <si>
    <t xml:space="preserve"> C15653 + C00342</t>
  </si>
  <si>
    <t>1.-.-.-</t>
  </si>
  <si>
    <t>2.4.-.-</t>
  </si>
  <si>
    <t>3.1.4.4</t>
  </si>
  <si>
    <t>https://www.kegg.jp/entry/3.1.4.4</t>
  </si>
  <si>
    <t>https://www.kegg.jp/entry/R01310</t>
  </si>
  <si>
    <t>https://www.kegg.jp/entry/R02051</t>
  </si>
  <si>
    <t>https://www.kegg.jp/entry/R07385</t>
  </si>
  <si>
    <t xml:space="preserve">C04756 + C00001 </t>
  </si>
  <si>
    <t>3.6.4.-</t>
  </si>
  <si>
    <t>3.6.-.-</t>
  </si>
  <si>
    <t>2.4.2.29</t>
  </si>
  <si>
    <t>https://www.kegg.jp/entry/2.4.2.29</t>
  </si>
  <si>
    <t>https://www.kegg.jp/entry/R10209</t>
  </si>
  <si>
    <t>C01977 + C16675</t>
  </si>
  <si>
    <t>C20446 + C00242</t>
  </si>
  <si>
    <t>3.4.24.-</t>
  </si>
  <si>
    <t>4.1.2.13</t>
  </si>
  <si>
    <t>https://www.kegg.jp/entry/4.1.2.13</t>
  </si>
  <si>
    <t>https://www.kegg.jp/entry/R01068</t>
  </si>
  <si>
    <t>https://www.kegg.jp/entry/R01070</t>
  </si>
  <si>
    <t>C00111 + C00118</t>
  </si>
  <si>
    <t>https://www.kegg.jp/entry/R01829</t>
  </si>
  <si>
    <t>C00111 + C00279</t>
  </si>
  <si>
    <t>https://www.kegg.jp/entry/R02568</t>
  </si>
  <si>
    <t>C00111 + C00577</t>
  </si>
  <si>
    <t>6.3.4.4</t>
  </si>
  <si>
    <t>https://www.kegg.jp/entry/6.3.4.4</t>
  </si>
  <si>
    <t>https://www.kegg.jp/entry/R01135</t>
  </si>
  <si>
    <t xml:space="preserve">C00044 + C00130 + C00049 </t>
  </si>
  <si>
    <t>2.4.1.7</t>
  </si>
  <si>
    <t>https://www.kegg.jp/entry/2.4.1.7</t>
  </si>
  <si>
    <t>https://www.kegg.jp/entry/R00803</t>
  </si>
  <si>
    <t>https://www.kegg.jp/entry/R06034</t>
  </si>
  <si>
    <t>G00370 + C00009</t>
  </si>
  <si>
    <t>1.1.1.86</t>
  </si>
  <si>
    <t>https://www.kegg.jp/entry/1.1.1.86</t>
  </si>
  <si>
    <t>https://www.kegg.jp/entry/R04439</t>
  </si>
  <si>
    <r>
      <t>C04272</t>
    </r>
    <r>
      <rPr>
        <sz val="11"/>
        <color theme="1"/>
        <rFont val="Calibri"/>
        <family val="2"/>
        <scheme val="minor"/>
      </rPr>
      <t> + C00006</t>
    </r>
  </si>
  <si>
    <r>
      <t>C06010</t>
    </r>
    <r>
      <rPr>
        <sz val="11"/>
        <color theme="1"/>
        <rFont val="Calibri"/>
        <family val="2"/>
        <scheme val="minor"/>
      </rPr>
      <t> + C00005 + C00080</t>
    </r>
  </si>
  <si>
    <t>https://www.kegg.jp/entry/R03051</t>
  </si>
  <si>
    <t xml:space="preserve">C00900 + C00005 + C00080 </t>
  </si>
  <si>
    <r>
      <t>C04039</t>
    </r>
    <r>
      <rPr>
        <sz val="11"/>
        <color theme="1"/>
        <rFont val="Calibri"/>
        <family val="2"/>
        <scheme val="minor"/>
      </rPr>
      <t> + C00006</t>
    </r>
  </si>
  <si>
    <t>https://www.kegg.jp/entry/R04440</t>
  </si>
  <si>
    <t xml:space="preserve">C04272 + C00006 </t>
  </si>
  <si>
    <t>C04181 + C00005 + C00080</t>
  </si>
  <si>
    <t>https://www.kegg.jp/entry/R05068</t>
  </si>
  <si>
    <t xml:space="preserve">C06007 + C00006 </t>
  </si>
  <si>
    <t>C14463 + C00005 + C00080</t>
  </si>
  <si>
    <t>https://www.kegg.jp/entry/R05069</t>
  </si>
  <si>
    <t xml:space="preserve">C06006 </t>
  </si>
  <si>
    <t>C14463</t>
  </si>
  <si>
    <t>https://www.kegg.jp/entry/R05071</t>
  </si>
  <si>
    <t>C04181</t>
  </si>
  <si>
    <t>C06010</t>
  </si>
  <si>
    <t>C04272 + C00006</t>
  </si>
  <si>
    <t>C06010 + C00005 + C00080</t>
  </si>
  <si>
    <t>C04039 + C00006</t>
  </si>
  <si>
    <t>C04272 + C00006</t>
  </si>
  <si>
    <t>C06007 + C00006</t>
  </si>
  <si>
    <t>C06006</t>
  </si>
  <si>
    <t>3.2.1.-</t>
  </si>
  <si>
    <t>2.4.1.25</t>
  </si>
  <si>
    <t>https://www.kegg.jp/entry/2.4.1.25</t>
  </si>
  <si>
    <t>https://www.kegg.jp/entry/R05196</t>
  </si>
  <si>
    <t>C00718 + C00031</t>
  </si>
  <si>
    <t>C00208</t>
  </si>
  <si>
    <t>https://www.kegg.jp/entry/R06069</t>
  </si>
  <si>
    <t>G10495 + C00031</t>
  </si>
  <si>
    <t>G00275</t>
  </si>
  <si>
    <t>3.2.1.41</t>
  </si>
  <si>
    <t>https://www.kegg.jp/entry/3.2.1.41</t>
  </si>
  <si>
    <t>2.7.1.-</t>
  </si>
  <si>
    <t>2.7.7.7</t>
  </si>
  <si>
    <t>https://www.kegg.jp/entry/2.7.7.7</t>
  </si>
  <si>
    <t>https://www.kegg.jp/entry/R00379</t>
  </si>
  <si>
    <t>https://www.kegg.jp/entry/R00375</t>
  </si>
  <si>
    <r>
      <t>C00131</t>
    </r>
    <r>
      <rPr>
        <sz val="11"/>
        <color theme="1"/>
        <rFont val="Calibri"/>
        <family val="2"/>
        <scheme val="minor"/>
      </rPr>
      <t> + C00039</t>
    </r>
  </si>
  <si>
    <r>
      <t>C00013</t>
    </r>
    <r>
      <rPr>
        <sz val="11"/>
        <color theme="1"/>
        <rFont val="Calibri"/>
        <family val="2"/>
        <scheme val="minor"/>
      </rPr>
      <t> + C00039</t>
    </r>
  </si>
  <si>
    <t>https://www.kegg.jp/entry/R00376</t>
  </si>
  <si>
    <t>https://www.kegg.jp/entry/R00377</t>
  </si>
  <si>
    <t>https://www.kegg.jp/entry/R00378</t>
  </si>
  <si>
    <t>https://www.kegg.jp/entry/R11029</t>
  </si>
  <si>
    <t>2.7.2.4</t>
  </si>
  <si>
    <t>https://www.kegg.jp/entry/2.7.2.4</t>
  </si>
  <si>
    <t>https://www.kegg.jp/entry/R00480</t>
  </si>
  <si>
    <r>
      <t>C00008</t>
    </r>
    <r>
      <rPr>
        <sz val="11"/>
        <color theme="1"/>
        <rFont val="Calibri"/>
        <family val="2"/>
        <scheme val="minor"/>
      </rPr>
      <t> + C03082</t>
    </r>
  </si>
  <si>
    <t>1.2.1.11</t>
  </si>
  <si>
    <t>https://www.kegg.jp/entry/1.2.1.11</t>
  </si>
  <si>
    <t>https://www.kegg.jp/entry/R02291</t>
  </si>
  <si>
    <t xml:space="preserve">C00441 + C00009 + C00006 </t>
  </si>
  <si>
    <r>
      <t>C03082</t>
    </r>
    <r>
      <rPr>
        <sz val="11"/>
        <color theme="1"/>
        <rFont val="Calibri"/>
        <family val="2"/>
        <scheme val="minor"/>
      </rPr>
      <t> + C00005 + C00080</t>
    </r>
  </si>
  <si>
    <t>5.1.3.9</t>
  </si>
  <si>
    <t>https://www.kegg.jp/entry/5.1.3.9</t>
  </si>
  <si>
    <t>https://www.kegg.jp/entry/R02770</t>
  </si>
  <si>
    <t>C00686</t>
  </si>
  <si>
    <t>C04136</t>
  </si>
  <si>
    <t>https://www.kegg.jp/entry/R02087</t>
  </si>
  <si>
    <t>C04257</t>
  </si>
  <si>
    <t>7.5.2.-</t>
  </si>
  <si>
    <t>4.-.-.-</t>
  </si>
  <si>
    <t>3.5.99.6</t>
  </si>
  <si>
    <t>https://www.kegg.jp/entry/3.5.99.6</t>
  </si>
  <si>
    <t>https://www.kegg.jp/entry/R00765</t>
  </si>
  <si>
    <t>2.3.3.13</t>
  </si>
  <si>
    <t>https://www.kegg.jp/entry/2.3.3.13</t>
  </si>
  <si>
    <t>https://www.kegg.jp/entry/R01213</t>
  </si>
  <si>
    <t xml:space="preserve">C02504 + C00010 </t>
  </si>
  <si>
    <t>C00024 + C00141 + C00001</t>
  </si>
  <si>
    <t>3.1.3.-</t>
  </si>
  <si>
    <t>5.6.2.1</t>
  </si>
  <si>
    <t>https://www.kegg.jp/entry/5.6.2.1</t>
  </si>
  <si>
    <t>2.7.4.9</t>
  </si>
  <si>
    <t>https://www.kegg.jp/entry/2.7.4.9</t>
  </si>
  <si>
    <t>https://www.kegg.jp/entry/R02094</t>
  </si>
  <si>
    <t>C00002 + C00364</t>
  </si>
  <si>
    <t>C00008 + C00363</t>
  </si>
  <si>
    <t>https://www.kegg.jp/entry/R02098</t>
  </si>
  <si>
    <t xml:space="preserve">C00002 + C00365 </t>
  </si>
  <si>
    <r>
      <t>C00008</t>
    </r>
    <r>
      <rPr>
        <sz val="11"/>
        <color theme="1"/>
        <rFont val="Calibri"/>
        <family val="2"/>
        <scheme val="minor"/>
      </rPr>
      <t> + C01346</t>
    </r>
  </si>
  <si>
    <t>C00677 + C00039</t>
  </si>
  <si>
    <t>C00013 + C00039</t>
  </si>
  <si>
    <t>C00459 + C00039</t>
  </si>
  <si>
    <t>2.7.3.9</t>
  </si>
  <si>
    <t>https://www.kegg.jp/entry/2.7.3.9</t>
  </si>
  <si>
    <t>https://www.kegg.jp/entry/R02628</t>
  </si>
  <si>
    <t>3.4.13.-</t>
  </si>
  <si>
    <t>6.3.4.3</t>
  </si>
  <si>
    <t>https://www.kegg.jp/entry/6.3.4.3</t>
  </si>
  <si>
    <t>https://www.kegg.jp/entry/R00943</t>
  </si>
  <si>
    <t>6.1.1.17</t>
  </si>
  <si>
    <t>https://www.kegg.jp/entry/6.1.1.17</t>
  </si>
  <si>
    <t>https://www.kegg.jp/entry/R05578</t>
  </si>
  <si>
    <t>7.6.2.-</t>
  </si>
  <si>
    <t>1.1.1.44</t>
  </si>
  <si>
    <t>https://www.kegg.jp/entry/1.1.1.44</t>
  </si>
  <si>
    <t>https://www.kegg.jp/entry/R01528</t>
  </si>
  <si>
    <t xml:space="preserve">C00345 + C00006 </t>
  </si>
  <si>
    <t>3.1.1.31</t>
  </si>
  <si>
    <t>https://www.kegg.jp/entry/3.1.1.31</t>
  </si>
  <si>
    <t>https://www.kegg.jp/entry/R02035</t>
  </si>
  <si>
    <t>C01236 + C00001</t>
  </si>
  <si>
    <t>1.1.1.49</t>
  </si>
  <si>
    <t>https://www.kegg.jp/entry/1.1.1.49</t>
  </si>
  <si>
    <t>https://www.kegg.jp/entry/R00835</t>
  </si>
  <si>
    <t>https://www.kegg.jp/entry/R02736</t>
  </si>
  <si>
    <t>5.6.2.3</t>
  </si>
  <si>
    <t>https://www.kegg.jp/entry/5.6.2.3</t>
  </si>
  <si>
    <t>2.7.-.-</t>
  </si>
  <si>
    <t>2.7.6.1</t>
  </si>
  <si>
    <t>https://www.kegg.jp/entry/2.7.6.1</t>
  </si>
  <si>
    <t>https://www.kegg.jp/entry/R01049</t>
  </si>
  <si>
    <t>2.3.-.-</t>
  </si>
  <si>
    <t>5.4.99.5</t>
  </si>
  <si>
    <t>https://www.kegg.jp/entry/5.4.99.5</t>
  </si>
  <si>
    <t>6.1.1.9</t>
  </si>
  <si>
    <t>https://www.kegg.jp/entry/6.1.1.9</t>
  </si>
  <si>
    <t>https://www.kegg.jp/entry/R03665</t>
  </si>
  <si>
    <t>4.2.99.18</t>
  </si>
  <si>
    <t>https://www.kegg.jp/entry/4.2.99.18</t>
  </si>
  <si>
    <t>3.6.1.1</t>
  </si>
  <si>
    <t>https://www.kegg.jp/entry/3.6.1.1</t>
  </si>
  <si>
    <t>https://www.kegg.jp/entry/R00004</t>
  </si>
  <si>
    <t>2.3.1.46</t>
  </si>
  <si>
    <t>https://www.kegg.jp/entry/2.3.1.46</t>
  </si>
  <si>
    <t>https://www.kegg.jp/entry/R01777</t>
  </si>
  <si>
    <t>C00091 + C00263</t>
  </si>
  <si>
    <t>C00010 + C01118</t>
  </si>
  <si>
    <t>7.1.2.2</t>
  </si>
  <si>
    <t>https://www.kegg.jp/entry/7.1.2.2</t>
  </si>
  <si>
    <t>https://www.kegg.jp/entry/R00086</t>
  </si>
  <si>
    <t xml:space="preserve">C00002 + C00001 </t>
  </si>
  <si>
    <t>5.2.1.8</t>
  </si>
  <si>
    <t>https://www.kegg.jp/entry/5.2.1.8</t>
  </si>
  <si>
    <t>https://www.kegg.jp/entry/R04273</t>
  </si>
  <si>
    <t>2.3.1.-</t>
  </si>
  <si>
    <t>1.1.1.94</t>
  </si>
  <si>
    <t>https://www.kegg.jp/entry/1.1.1.94</t>
  </si>
  <si>
    <t>https://www.kegg.jp/entry/R00842</t>
  </si>
  <si>
    <t xml:space="preserve"> C00111 + C00004 + C00080</t>
  </si>
  <si>
    <t>https://www.kegg.jp/entry/R00844</t>
  </si>
  <si>
    <t>6.3.2.-</t>
  </si>
  <si>
    <t>7.-.-.-</t>
  </si>
  <si>
    <t>4.3.1.1</t>
  </si>
  <si>
    <t>https://www.kegg.jp/entry/4.3.1.1</t>
  </si>
  <si>
    <t>https://www.kegg.jp/entry/R00490</t>
  </si>
  <si>
    <t>C00122 + C00014</t>
  </si>
  <si>
    <t>2.1.1.63</t>
  </si>
  <si>
    <t>https://www.kegg.jp/entry/2.1.1.63</t>
  </si>
  <si>
    <t>https://www.kegg.jp/entry/R04314</t>
  </si>
  <si>
    <t>2.7.8.7</t>
  </si>
  <si>
    <t>https://www.kegg.jp/entry/2.7.8.7</t>
  </si>
  <si>
    <t>https://www.kegg.jp/entry/R01625</t>
  </si>
  <si>
    <t>2.7.7.8</t>
  </si>
  <si>
    <t>https://www.kegg.jp/entry/2.7.7.8</t>
  </si>
  <si>
    <t>https://www.kegg.jp/entry/R07282</t>
  </si>
  <si>
    <t>C00046 + C00009</t>
  </si>
  <si>
    <t>C00046 + C00454</t>
  </si>
  <si>
    <t>https://www.kegg.jp/entry/R00437</t>
  </si>
  <si>
    <t>C00046 + C00008</t>
  </si>
  <si>
    <t>https://www.kegg.jp/entry/R00438</t>
  </si>
  <si>
    <t>C00046 + C00009</t>
  </si>
  <si>
    <t>C00046 + C00015</t>
  </si>
  <si>
    <t>https://www.kegg.jp/entry/R00439</t>
  </si>
  <si>
    <t>C00046 + C00035</t>
  </si>
  <si>
    <t>https://www.kegg.jp/entry/R00440</t>
  </si>
  <si>
    <t>C00046 + C00112</t>
  </si>
  <si>
    <t>3.1.-.-</t>
  </si>
  <si>
    <t>6.1.1.16</t>
  </si>
  <si>
    <t>https://www.kegg.jp/entry/6.1.1.16</t>
  </si>
  <si>
    <t>https://www.kegg.jp/entry/R03650</t>
  </si>
  <si>
    <t>2.1.1.72</t>
  </si>
  <si>
    <t>https://www.kegg.jp/entry/2.1.1.72</t>
  </si>
  <si>
    <t>https://www.kegg.jp/entry/R02961</t>
  </si>
  <si>
    <t>C00019 + C00821</t>
  </si>
  <si>
    <t>C00021 + C03391</t>
  </si>
  <si>
    <t>2.2.1.6</t>
  </si>
  <si>
    <t>https://www.kegg.jp/entry/2.2.1.6</t>
  </si>
  <si>
    <t>https://www.kegg.jp/entry/R00006</t>
  </si>
  <si>
    <t>C00900 + C00011</t>
  </si>
  <si>
    <t>https://www.kegg.jp/entry/R00226</t>
  </si>
  <si>
    <t>C06010 + C00011</t>
  </si>
  <si>
    <t>https://www.kegg.jp/entry/R00014</t>
  </si>
  <si>
    <t>C00022 + C00068</t>
  </si>
  <si>
    <t>C05125 + C00011</t>
  </si>
  <si>
    <t>https://www.kegg.jp/entry/R03050</t>
  </si>
  <si>
    <t>C00900 + C00068</t>
  </si>
  <si>
    <t>C05125 + C00022</t>
  </si>
  <si>
    <t>https://www.kegg.jp/entry/R04672</t>
  </si>
  <si>
    <t>C06010 + C00068</t>
  </si>
  <si>
    <t>https://www.kegg.jp/entry/R04673</t>
  </si>
  <si>
    <t xml:space="preserve">C00109 + C05125 </t>
  </si>
  <si>
    <t>C06006 + C00068</t>
  </si>
  <si>
    <t>https://www.kegg.jp/entry/R08648</t>
  </si>
  <si>
    <t>C00022 + C00109</t>
  </si>
  <si>
    <t>C06006 + C00011</t>
  </si>
  <si>
    <t>3.1.26.3</t>
  </si>
  <si>
    <t>https://www.kegg.jp/entry/3.1.26.3</t>
  </si>
  <si>
    <t>2.7.7.3</t>
  </si>
  <si>
    <t>https://www.kegg.jp/entry/2.7.7.3</t>
  </si>
  <si>
    <t>https://www.kegg.jp/entry/R03035</t>
  </si>
  <si>
    <t>6.3.4.21</t>
  </si>
  <si>
    <t>https://www.kegg.jp/entry/6.3.4.21</t>
  </si>
  <si>
    <t>https://www.kegg.jp/entry/R01724</t>
  </si>
  <si>
    <t xml:space="preserve"> C00253 + C00119 + C00002 + C00001 + C00080</t>
  </si>
  <si>
    <t>2.7.7.56</t>
  </si>
  <si>
    <t>https://www.kegg.jp/entry/2.7.7.56</t>
  </si>
  <si>
    <t>https://www.kegg.jp/entry/R07285</t>
  </si>
  <si>
    <t xml:space="preserve">C00066 + C00009 </t>
  </si>
  <si>
    <t>C00066 + C00454</t>
  </si>
  <si>
    <t>3.6.1.-</t>
  </si>
  <si>
    <t>5.3.1.9</t>
  </si>
  <si>
    <t>https://www.kegg.jp/entry/5.3.1.9</t>
  </si>
  <si>
    <t>https://www.kegg.jp/entry/R02740</t>
  </si>
  <si>
    <t xml:space="preserve">C00668 </t>
  </si>
  <si>
    <t>https://www.kegg.jp/entry/R00771</t>
  </si>
  <si>
    <t>https://www.kegg.jp/entry/R02739</t>
  </si>
  <si>
    <t>https://www.kegg.jp/entry/R03321</t>
  </si>
  <si>
    <t>https://www.kegg.jp/entry/R13199</t>
  </si>
  <si>
    <t>3.4.21.89</t>
  </si>
  <si>
    <t>https://www.kegg.jp/entry/3.4.21.89</t>
  </si>
  <si>
    <t>3.1.26.4</t>
  </si>
  <si>
    <t>https://www.kegg.jp/entry/3.1.26.4</t>
  </si>
  <si>
    <t>6.2.1.-</t>
  </si>
  <si>
    <t>3.2.1.23</t>
  </si>
  <si>
    <t>https://www.kegg.jp/entry/3.2.1.23</t>
  </si>
  <si>
    <t>https://www.kegg.jp/entry/R01100</t>
  </si>
  <si>
    <t>C00243 + C00001</t>
  </si>
  <si>
    <t>C00031 + C00962</t>
  </si>
  <si>
    <t>https://www.kegg.jp/entry/R01105</t>
  </si>
  <si>
    <t>C05796 + C00001</t>
  </si>
  <si>
    <t>C00124 + C05796</t>
  </si>
  <si>
    <t>https://www.kegg.jp/entry/R01678</t>
  </si>
  <si>
    <t xml:space="preserve">C00243 + C00001 </t>
  </si>
  <si>
    <t>C00267 + C00124</t>
  </si>
  <si>
    <t>https://www.kegg.jp/entry/R03355</t>
  </si>
  <si>
    <t>C01290 + C00001</t>
  </si>
  <si>
    <t>C01190 + C00124</t>
  </si>
  <si>
    <t>https://www.kegg.jp/entry/R04633</t>
  </si>
  <si>
    <t>C04911 + C00001</t>
  </si>
  <si>
    <t>C04884 + C00124</t>
  </si>
  <si>
    <t>https://www.kegg.jp/entry/R04783</t>
  </si>
  <si>
    <t>C05403 + C00001</t>
  </si>
  <si>
    <t>C05394 + C00221</t>
  </si>
  <si>
    <t>https://www.kegg.jp/entry/R05112</t>
  </si>
  <si>
    <t>C06136 + C00001</t>
  </si>
  <si>
    <t>C06135 + C00124</t>
  </si>
  <si>
    <t>https://www.kegg.jp/entry/R05994</t>
  </si>
  <si>
    <t xml:space="preserve">G00124 + C00001 </t>
  </si>
  <si>
    <t>G00123 + C00124</t>
  </si>
  <si>
    <t>https://www.kegg.jp/entry/R06010</t>
  </si>
  <si>
    <t>G00110 + C00001</t>
  </si>
  <si>
    <t>G00109 + C00124</t>
  </si>
  <si>
    <t>https://www.kegg.jp/entry/R06098</t>
  </si>
  <si>
    <t>G10504 + C00001</t>
  </si>
  <si>
    <t>C00267 + C00124</t>
  </si>
  <si>
    <t>https://www.kegg.jp/entry/R06099</t>
  </si>
  <si>
    <t>G00092 + C00001</t>
  </si>
  <si>
    <t>G10238 + C00124</t>
  </si>
  <si>
    <t>https://www.kegg.jp/entry/R06114</t>
  </si>
  <si>
    <t>https://www.kegg.jp/entry/R06144</t>
  </si>
  <si>
    <t xml:space="preserve">G10531 + C00001 </t>
  </si>
  <si>
    <t>https://www.kegg.jp/entry/R06202</t>
  </si>
  <si>
    <t xml:space="preserve">G10534 + C00001 </t>
  </si>
  <si>
    <t>C00124 + G10534</t>
  </si>
  <si>
    <t>https://www.kegg.jp/entry/R07807</t>
  </si>
  <si>
    <t xml:space="preserve">G01977 + C00001 </t>
  </si>
  <si>
    <t> G13073 + C00124</t>
  </si>
  <si>
    <t>2.7.8.-</t>
  </si>
  <si>
    <t>2.8.4.2</t>
  </si>
  <si>
    <t>https://www.kegg.jp/entry/2.8.4.2</t>
  </si>
  <si>
    <t>2.-.-.-</t>
  </si>
  <si>
    <t>3.6.1.22</t>
  </si>
  <si>
    <t>https://www.kegg.jp/entry/3.6.1.22</t>
  </si>
  <si>
    <t>1.1.1.85</t>
  </si>
  <si>
    <t>https://www.kegg.jp/entry/1.1.1.85</t>
  </si>
  <si>
    <t>https://www.kegg.jp/entry/R01652</t>
  </si>
  <si>
    <t xml:space="preserve">C00233 + C00011 </t>
  </si>
  <si>
    <t>C04236</t>
  </si>
  <si>
    <t>https://www.kegg.jp/entry/R04426</t>
  </si>
  <si>
    <t>C04411 + C00003</t>
  </si>
  <si>
    <t>C04236 + C00004 + C00080</t>
  </si>
  <si>
    <t>https://www.kegg.jp/entry/R10052</t>
  </si>
  <si>
    <t xml:space="preserve">C04411 + C00003 </t>
  </si>
  <si>
    <t>C00233 + C00011 + C00004 + C00080</t>
  </si>
  <si>
    <t>https://www.kegg.jp/entry/R00994</t>
  </si>
  <si>
    <t>C00109 + C00011 + C00004 + C00080 </t>
  </si>
  <si>
    <t>C06032 + C00003</t>
  </si>
  <si>
    <t>1.3.5.2</t>
  </si>
  <si>
    <t>https://www.kegg.jp/entry/1.3.5.2</t>
  </si>
  <si>
    <t>https://www.kegg.jp/entry/R01868</t>
  </si>
  <si>
    <t xml:space="preserve">C00337 + C15602 </t>
  </si>
  <si>
    <t xml:space="preserve"> C00295 + C15603</t>
  </si>
  <si>
    <t>2.7.7.12</t>
  </si>
  <si>
    <t>https://www.kegg.jp/entry/2.7.7.12</t>
  </si>
  <si>
    <t>https://www.kegg.jp/entry/R00955</t>
  </si>
  <si>
    <t>2.7.1.6</t>
  </si>
  <si>
    <t>https://www.kegg.jp/entry/2.7.1.6</t>
  </si>
  <si>
    <t>https://www.kegg.jp/entry/R01092</t>
  </si>
  <si>
    <t>C00002 + C00984</t>
  </si>
  <si>
    <t>2.1.1.207</t>
  </si>
  <si>
    <t>https://www.kegg.jp/entry/2.1.1.207</t>
  </si>
  <si>
    <t>2.7.7.6</t>
  </si>
  <si>
    <t>https://www.kegg.jp/entry/2.7.7.6</t>
  </si>
  <si>
    <t>https://www.kegg.jp/entry/R00444</t>
  </si>
  <si>
    <t xml:space="preserve">C00201 + C00046 </t>
  </si>
  <si>
    <t>https://www.kegg.jp/entry/R00435</t>
  </si>
  <si>
    <t xml:space="preserve">C00002 + C00046 </t>
  </si>
  <si>
    <t>https://www.kegg.jp/entry/R00441</t>
  </si>
  <si>
    <t>https://www.kegg.jp/entry/R00442</t>
  </si>
  <si>
    <t>https://www.kegg.jp/entry/R00443</t>
  </si>
  <si>
    <t>C00013 + C00046</t>
  </si>
  <si>
    <t>https://www.kegg.jp/entry/R10813</t>
  </si>
  <si>
    <t>C20864 + C00013</t>
  </si>
  <si>
    <t>1.17.1.8</t>
  </si>
  <si>
    <t>https://www.kegg.jp/entry/1.17.1.8</t>
  </si>
  <si>
    <t>https://www.kegg.jp/entry/R04198</t>
  </si>
  <si>
    <t>https://www.kegg.jp/entry/R04199</t>
  </si>
  <si>
    <t>C20258 + C00005 + C00080</t>
  </si>
  <si>
    <t>4.3.3.7</t>
  </si>
  <si>
    <t>https://www.kegg.jp/entry/4.3.3.7</t>
  </si>
  <si>
    <t>https://www.kegg.jp/entry/R10147</t>
  </si>
  <si>
    <t>C20258 + C00001</t>
  </si>
  <si>
    <t>3.4.11.2</t>
  </si>
  <si>
    <t>https://www.kegg.jp/entry/3.4.11.2</t>
  </si>
  <si>
    <t>https://www.kegg.jp/entry/R00899</t>
  </si>
  <si>
    <t>C01419 + C00001</t>
  </si>
  <si>
    <t>C00097 + C00037</t>
  </si>
  <si>
    <t>https://www.kegg.jp/entry/R04951</t>
  </si>
  <si>
    <t>C05729 + C00001</t>
  </si>
  <si>
    <t>C05726 + C00037</t>
  </si>
  <si>
    <t>5.4.2.10</t>
  </si>
  <si>
    <t>https://www.kegg.jp/entry/5.4.2.10</t>
  </si>
  <si>
    <t>https://www.kegg.jp/entry/R02060</t>
  </si>
  <si>
    <t>3.5.1.88</t>
  </si>
  <si>
    <t>https://www.kegg.jp/entry/3.5.1.88</t>
  </si>
  <si>
    <t>https://www.kegg.jp/entry/R05635</t>
  </si>
  <si>
    <t>C11439 + C00001</t>
  </si>
  <si>
    <t>C11440 + C00058</t>
  </si>
  <si>
    <t>https://www.kegg.jp/entry/R04268</t>
  </si>
  <si>
    <t>2.6.1.16</t>
  </si>
  <si>
    <t>https://www.kegg.jp/entry/2.6.1.16</t>
  </si>
  <si>
    <t>https://www.kegg.jp/entry/R00768</t>
  </si>
  <si>
    <t>C00025 + C00352</t>
  </si>
  <si>
    <t>C00124 + C05796</t>
  </si>
  <si>
    <t>G00124 + C00001</t>
  </si>
  <si>
    <t xml:space="preserve">G10504 + C00001 </t>
  </si>
  <si>
    <t>G10531 + C00001</t>
  </si>
  <si>
    <t>G10534 + C00001</t>
  </si>
  <si>
    <t xml:space="preserve">	G01977 + C00001 </t>
  </si>
  <si>
    <t>G13073 + C00124</t>
  </si>
  <si>
    <t>2.7.1.33</t>
  </si>
  <si>
    <t>https://www.kegg.jp/entry/2.7.1.33</t>
  </si>
  <si>
    <t>https://www.kegg.jp/entry/R03018</t>
  </si>
  <si>
    <t>https://www.kegg.jp/entry/R02971</t>
  </si>
  <si>
    <t xml:space="preserve">C00002 + C00831 </t>
  </si>
  <si>
    <t>https://www.kegg.jp/entry/R04391</t>
  </si>
  <si>
    <t>2.5.1.48</t>
  </si>
  <si>
    <t>https://www.kegg.jp/entry/2.5.1.48</t>
  </si>
  <si>
    <t>https://www.kegg.jp/entry/R03260</t>
  </si>
  <si>
    <t>C01118 + C00097</t>
  </si>
  <si>
    <t>C02291 + C00042</t>
  </si>
  <si>
    <t>https://www.kegg.jp/entry/R00999</t>
  </si>
  <si>
    <t>C01118 + C00001</t>
  </si>
  <si>
    <t>C00109 + C00042 + C00014</t>
  </si>
  <si>
    <t>https://www.kegg.jp/entry/R01288</t>
  </si>
  <si>
    <t>C01118 + C00283</t>
  </si>
  <si>
    <t>C00155 + C00042</t>
  </si>
  <si>
    <t>https://www.kegg.jp/entry/R02508</t>
  </si>
  <si>
    <t>C00542 + C00042</t>
  </si>
  <si>
    <t>https://www.kegg.jp/entry/R03217</t>
  </si>
  <si>
    <t>C01077 + C00097</t>
  </si>
  <si>
    <t>C02291 + C00033</t>
  </si>
  <si>
    <t>https://www.kegg.jp/entry/R04944</t>
  </si>
  <si>
    <t>C05702 + C05688</t>
  </si>
  <si>
    <t>C05699 + C00009</t>
  </si>
  <si>
    <t>https://www.kegg.jp/entry/R04945</t>
  </si>
  <si>
    <t>C01077 + C05688</t>
  </si>
  <si>
    <t>C05699 + C00033</t>
  </si>
  <si>
    <t>https://www.kegg.jp/entry/R04946</t>
  </si>
  <si>
    <t>C01118 + C05688</t>
  </si>
  <si>
    <t>C05699 + C00042</t>
  </si>
  <si>
    <t>5.6.2.4</t>
  </si>
  <si>
    <t>https://www.kegg.jp/entry/5.6.2.4</t>
  </si>
  <si>
    <t>4.4.1.21</t>
  </si>
  <si>
    <t>https://www.kegg.jp/entry/4.4.1.21</t>
  </si>
  <si>
    <t>https://www.kegg.jp/entry/R01291</t>
  </si>
  <si>
    <t xml:space="preserve">C03539 </t>
  </si>
  <si>
    <t>5.1.1.1</t>
  </si>
  <si>
    <t>https://www.kegg.jp/entry/5.1.1.1</t>
  </si>
  <si>
    <t>https://www.kegg.jp/entry/R00401</t>
  </si>
  <si>
    <t>3.5.1.2</t>
  </si>
  <si>
    <t>https://www.kegg.jp/entry/3.5.1.2</t>
  </si>
  <si>
    <t>https://www.kegg.jp/entry/R00256</t>
  </si>
  <si>
    <t>https://www.kegg.jp/entry/R01579</t>
  </si>
  <si>
    <t>https://www.kegg.jp/entry/R06134</t>
  </si>
  <si>
    <t>4.3.3.6</t>
  </si>
  <si>
    <t>https://www.kegg.jp/entry/4.3.3.6</t>
  </si>
  <si>
    <t>https://www.kegg.jp/entry/R10088</t>
  </si>
  <si>
    <t>C00117 + C00118 + C00014</t>
  </si>
  <si>
    <t>C00018 + 4 C00001 + C00009</t>
  </si>
  <si>
    <t>https://www.kegg.jp/entry/R10089</t>
  </si>
  <si>
    <t>C00117 + C00118 + C00064</t>
  </si>
  <si>
    <t>C00018 + C00025 + C00001 + C00009</t>
  </si>
  <si>
    <t>https://www.kegg.jp/entry/R07456</t>
  </si>
  <si>
    <t>C00118 + C00199 + C00064</t>
  </si>
  <si>
    <t>C00018 + C00025 + C00009 + C00001</t>
  </si>
  <si>
    <t>1.8.4.11</t>
  </si>
  <si>
    <t>https://www.kegg.jp/entry/1.8.4.11</t>
  </si>
  <si>
    <t>https://www.kegg.jp/entry/R04120</t>
  </si>
  <si>
    <t>https://www.kegg.jp/entry/R07606</t>
  </si>
  <si>
    <t>2.2.1.7</t>
  </si>
  <si>
    <t>https://www.kegg.jp/entry/2.2.1.7</t>
  </si>
  <si>
    <t>https://www.kegg.jp/entry/R05636</t>
  </si>
  <si>
    <t>4.1.1.21</t>
  </si>
  <si>
    <t>https://www.kegg.jp/entry/4.1.1.21</t>
  </si>
  <si>
    <t>https://www.kegg.jp/entry/R04209</t>
  </si>
  <si>
    <t xml:space="preserve">C04751 </t>
  </si>
  <si>
    <t>5.4.99.18</t>
  </si>
  <si>
    <t>https://www.kegg.jp/entry/5.4.99.18</t>
  </si>
  <si>
    <t>https://www.kegg.jp/entry/R07405</t>
  </si>
  <si>
    <t>6.3.4.18</t>
  </si>
  <si>
    <t>https://www.kegg.jp/entry/6.3.4.18</t>
  </si>
  <si>
    <t>https://www.kegg.jp/entry/R07404</t>
  </si>
  <si>
    <t>1.2.1.-</t>
  </si>
  <si>
    <t>6.3.4.13</t>
  </si>
  <si>
    <t>https://www.kegg.jp/entry/6.3.4.13</t>
  </si>
  <si>
    <t>https://www.kegg.jp/entry/R04144</t>
  </si>
  <si>
    <t>C00008 + C00009 + C03838</t>
  </si>
  <si>
    <t>6.3.3.1</t>
  </si>
  <si>
    <t>https://www.kegg.jp/entry/6.3.3.1</t>
  </si>
  <si>
    <t>https://www.kegg.jp/entry/R04208</t>
  </si>
  <si>
    <t>2.4.2.14</t>
  </si>
  <si>
    <t>https://www.kegg.jp/entry/2.4.2.14</t>
  </si>
  <si>
    <t>https://www.kegg.jp/entry/R01072</t>
  </si>
  <si>
    <t>C00131 + C00039 </t>
  </si>
  <si>
    <t xml:space="preserve">C00286 + C00039 </t>
  </si>
  <si>
    <t>3.2.2.15</t>
  </si>
  <si>
    <t>https://www.kegg.jp/entry/3.2.2.15</t>
  </si>
  <si>
    <t>6.3.5.3</t>
  </si>
  <si>
    <t>https://www.kegg.jp/entry/6.3.5.3</t>
  </si>
  <si>
    <t>https://www.kegg.jp/entry/R04463</t>
  </si>
  <si>
    <t>6.3.2.6</t>
  </si>
  <si>
    <t>https://www.kegg.jp/entry/6.3.2.6</t>
  </si>
  <si>
    <t>https://www.kegg.jp/entry/R04591</t>
  </si>
  <si>
    <t>2.1.2.-</t>
  </si>
  <si>
    <t>2.6.1.-</t>
  </si>
  <si>
    <t>2.3.2.-</t>
  </si>
  <si>
    <t>6.3.5.5</t>
  </si>
  <si>
    <t>https://www.kegg.jp/entry/6.3.5.5</t>
  </si>
  <si>
    <t>https://www.kegg.jp/entry/R00575</t>
  </si>
  <si>
    <t>https://www.kegg.jp/entry/R01395</t>
  </si>
  <si>
    <t>https://www.kegg.jp/entry/R10948</t>
  </si>
  <si>
    <t>https://www.kegg.jp/entry/R10949</t>
  </si>
  <si>
    <t>C01563 + C00009</t>
  </si>
  <si>
    <t>4.1.1.23</t>
  </si>
  <si>
    <t>https://www.kegg.jp/entry/4.1.1.23</t>
  </si>
  <si>
    <t>https://www.kegg.jp/entry/R00965</t>
  </si>
  <si>
    <t>2.7.4.8</t>
  </si>
  <si>
    <t>https://www.kegg.jp/entry/2.7.4.8</t>
  </si>
  <si>
    <t>https://www.kegg.jp/entry/R00332</t>
  </si>
  <si>
    <t>https://www.kegg.jp/entry/R02090</t>
  </si>
  <si>
    <t>https://www.kegg.jp/entry/R12852</t>
  </si>
  <si>
    <t>3.1.11.-</t>
  </si>
  <si>
    <t>5.1.1.3</t>
  </si>
  <si>
    <t>https://www.kegg.jp/entry/5.1.1.3</t>
  </si>
  <si>
    <t>https://www.kegg.jp/entry/R00260</t>
  </si>
  <si>
    <t>5.1.1.7</t>
  </si>
  <si>
    <t>https://www.kegg.jp/entry/5.1.1.7</t>
  </si>
  <si>
    <t>https://www.kegg.jp/entry/R02735</t>
  </si>
  <si>
    <t>1.1.1.267</t>
  </si>
  <si>
    <t>https://www.kegg.jp/entry/1.1.1.267</t>
  </si>
  <si>
    <t>https://www.kegg.jp/entry/R05688</t>
  </si>
  <si>
    <t>C11434 + C00006</t>
  </si>
  <si>
    <t>C11437 + C00005 + C00080</t>
  </si>
  <si>
    <t>1.17.7.1</t>
  </si>
  <si>
    <t>https://www.kegg.jp/entry/1.17.7.1</t>
  </si>
  <si>
    <t>https://www.kegg.jp/entry/R08689</t>
  </si>
  <si>
    <t>C11453 + C00138</t>
  </si>
  <si>
    <t>C11811 + C00001 + C00139</t>
  </si>
  <si>
    <t>6.5.1.2</t>
  </si>
  <si>
    <t>https://www.kegg.jp/entry/6.5.1.2</t>
  </si>
  <si>
    <t>https://www.kegg.jp/entry/R00382</t>
  </si>
  <si>
    <t>6.3.1.2</t>
  </si>
  <si>
    <t>https://www.kegg.jp/entry/6.3.1.2</t>
  </si>
  <si>
    <t>https://www.kegg.jp/entry/R00253</t>
  </si>
  <si>
    <t>2.1.1.-</t>
  </si>
  <si>
    <t>6.1.1.20</t>
  </si>
  <si>
    <t>https://www.kegg.jp/entry/6.1.1.20</t>
  </si>
  <si>
    <t>https://www.kegg.jp/entry/R03660</t>
  </si>
  <si>
    <t>1.2.1.38</t>
  </si>
  <si>
    <t>https://www.kegg.jp/entry/1.2.1.38</t>
  </si>
  <si>
    <t>https://www.kegg.jp/entry/R03443</t>
  </si>
  <si>
    <t>C01250 + C00009 + C00006</t>
  </si>
  <si>
    <t>C04133 + C00005 + C00080</t>
  </si>
  <si>
    <t>2.3.1.1</t>
  </si>
  <si>
    <t>https://www.kegg.jp/entry/2.3.1.1</t>
  </si>
  <si>
    <t>https://www.kegg.jp/entry/R00259</t>
  </si>
  <si>
    <t>C00024 + C00025</t>
  </si>
  <si>
    <t>C00010 + C00624</t>
  </si>
  <si>
    <t>2.3.1.35</t>
  </si>
  <si>
    <t>https://www.kegg.jp/entry/2.3.1.35</t>
  </si>
  <si>
    <t>https://www.kegg.jp/entry/R02282</t>
  </si>
  <si>
    <t>C00437 + C00025</t>
  </si>
  <si>
    <t>C00077 + C00624</t>
  </si>
  <si>
    <t>2.7.2.8</t>
  </si>
  <si>
    <t>https://www.kegg.jp/entry/2.7.2.8</t>
  </si>
  <si>
    <t>https://www.kegg.jp/entry/R02649</t>
  </si>
  <si>
    <t>C00002 + C00624</t>
  </si>
  <si>
    <t>C00008 + C04133</t>
  </si>
  <si>
    <t>2.6.1.11</t>
  </si>
  <si>
    <t>https://www.kegg.jp/entry/2.6.1.11</t>
  </si>
  <si>
    <t>https://www.kegg.jp/entry/R02283</t>
  </si>
  <si>
    <t>C00437 + C00026</t>
  </si>
  <si>
    <t>C01250 + C00025</t>
  </si>
  <si>
    <t>2.1.3.3</t>
  </si>
  <si>
    <t>https://www.kegg.jp/entry/2.1.3.3</t>
  </si>
  <si>
    <t>https://www.kegg.jp/entry/R01398</t>
  </si>
  <si>
    <t>C00169 + C00077</t>
  </si>
  <si>
    <t>C00009 + C00327</t>
  </si>
  <si>
    <t>6.3.4.5</t>
  </si>
  <si>
    <t>https://www.kegg.jp/entry/6.3.4.5</t>
  </si>
  <si>
    <t>https://www.kegg.jp/entry/R01954</t>
  </si>
  <si>
    <t>C00002 + C00327 + C00049</t>
  </si>
  <si>
    <t>C00020 + C00013 + C03406</t>
  </si>
  <si>
    <t>4.3.2.1</t>
  </si>
  <si>
    <t>https://www.kegg.jp/entry/4.3.2.1</t>
  </si>
  <si>
    <t>https://www.kegg.jp/entry/R01086</t>
  </si>
  <si>
    <t>C03406</t>
  </si>
  <si>
    <t>C00122 + C00062</t>
  </si>
  <si>
    <t>2.8.1.10</t>
  </si>
  <si>
    <t>https://www.kegg.jp/entry/2.8.1.10</t>
  </si>
  <si>
    <t>https://www.kegg.jp/entry/R10247</t>
  </si>
  <si>
    <t>C11437 + C15809 + C15814</t>
  </si>
  <si>
    <t>C20246 + C15810 + C00001</t>
  </si>
  <si>
    <t>2.7.7.73</t>
  </si>
  <si>
    <t>https://www.kegg.jp/entry/2.7.7.73</t>
  </si>
  <si>
    <t>https://www.kegg.jp/entry/R07459</t>
  </si>
  <si>
    <t>C15810 + C00002</t>
  </si>
  <si>
    <t>C15813 + C00013</t>
  </si>
  <si>
    <t>6.1.1.1</t>
  </si>
  <si>
    <t>https://www.kegg.jp/entry/6.1.1.1</t>
  </si>
  <si>
    <t>https://www.kegg.jp/entry/R02918</t>
  </si>
  <si>
    <t>2.7.1.23</t>
  </si>
  <si>
    <t>https://www.kegg.jp/entry/2.7.1.23</t>
  </si>
  <si>
    <t>https://www.kegg.jp/entry/R00104</t>
  </si>
  <si>
    <t>4.2.3.1</t>
  </si>
  <si>
    <t>https://www.kegg.jp/entry/4.2.3.1</t>
  </si>
  <si>
    <t>https://www.kegg.jp/entry/R01466</t>
  </si>
  <si>
    <t>https://www.kegg.jp/entry/R05086</t>
  </si>
  <si>
    <t>1.2.1.41</t>
  </si>
  <si>
    <t>https://www.kegg.jp/entry/1.2.1.41</t>
  </si>
  <si>
    <t>https://www.kegg.jp/entry/R03313</t>
  </si>
  <si>
    <t>C01165 + C00009 + C00006</t>
  </si>
  <si>
    <t>C03287 + C00005 + C00080</t>
  </si>
  <si>
    <t>2.7.7.18</t>
  </si>
  <si>
    <t>https://www.kegg.jp/entry/2.7.7.18</t>
  </si>
  <si>
    <t>https://www.kegg.jp/entry/R03005</t>
  </si>
  <si>
    <t>https://www.kegg.jp/entry/R00137</t>
  </si>
  <si>
    <t>3.1.1.29</t>
  </si>
  <si>
    <t>https://www.kegg.jp/entry/3.1.1.29</t>
  </si>
  <si>
    <t>https://www.kegg.jp/entry/R04238</t>
  </si>
  <si>
    <t xml:space="preserve">C03880 + C00001 </t>
  </si>
  <si>
    <t>4.2.1.11</t>
  </si>
  <si>
    <t>https://www.kegg.jp/entry/4.2.1.11</t>
  </si>
  <si>
    <t>https://www.kegg.jp/entry/R00658</t>
  </si>
  <si>
    <t>https://www.kegg.jp/entry/R04206</t>
  </si>
  <si>
    <t>4.3.1.17</t>
  </si>
  <si>
    <t>https://www.kegg.jp/entry/4.3.1.17</t>
  </si>
  <si>
    <t>https://www.kegg.jp/entry/R00220</t>
  </si>
  <si>
    <t>C00022 + C00014</t>
  </si>
  <si>
    <t>https://www.kegg.jp/entry/R00590</t>
  </si>
  <si>
    <t>C02218 + C00001</t>
  </si>
  <si>
    <t>https://www.kegg.jp/entry/R11099</t>
  </si>
  <si>
    <t>C20904 + C00001</t>
  </si>
  <si>
    <t>https://www.kegg.jp/entry/R11100</t>
  </si>
  <si>
    <t>C02218</t>
  </si>
  <si>
    <t>C20904</t>
  </si>
  <si>
    <t>https://www.kegg.jp/entry/R06131</t>
  </si>
  <si>
    <t>C05167</t>
  </si>
  <si>
    <t>C00161 + C00014</t>
  </si>
  <si>
    <t>2.7.13.3</t>
  </si>
  <si>
    <t>https://www.kegg.jp/entry/2.7.13.3</t>
  </si>
  <si>
    <t>2.4.1.18</t>
  </si>
  <si>
    <t>https://www.kegg.jp/entry/2.4.1.18</t>
  </si>
  <si>
    <t>https://www.kegg.jp/entry/R02110</t>
  </si>
  <si>
    <t>https://www.kegg.jp/entry/R06186</t>
  </si>
  <si>
    <t>4.6.1.12</t>
  </si>
  <si>
    <t>https://www.kegg.jp/entry/4.6.1.12</t>
  </si>
  <si>
    <t>https://www.kegg.jp/entry/R05637</t>
  </si>
  <si>
    <t>C11436</t>
  </si>
  <si>
    <t>C11453 + C00055</t>
  </si>
  <si>
    <t>2.7.1.24</t>
  </si>
  <si>
    <t>https://www.kegg.jp/entry/2.7.1.24</t>
  </si>
  <si>
    <t>https://www.kegg.jp/entry/R00130</t>
  </si>
  <si>
    <t>3.1.25.-</t>
  </si>
  <si>
    <t>2.7.1.40</t>
  </si>
  <si>
    <t>https://www.kegg.jp/entry/2.7.1.40</t>
  </si>
  <si>
    <t>https://www.kegg.jp/entry/R00200</t>
  </si>
  <si>
    <t>https://www.kegg.jp/entry/R00430</t>
  </si>
  <si>
    <t>https://www.kegg.jp/entry/R00572</t>
  </si>
  <si>
    <t xml:space="preserve">C00063 + C00022 </t>
  </si>
  <si>
    <t>https://www.kegg.jp/entry/R00659</t>
  </si>
  <si>
    <t>https://www.kegg.jp/entry/R00724</t>
  </si>
  <si>
    <t>https://www.kegg.jp/entry/R01138</t>
  </si>
  <si>
    <t>https://www.kegg.jp/entry/R01858</t>
  </si>
  <si>
    <t>https://www.kegg.jp/entry/R02320</t>
  </si>
  <si>
    <t>3.2.1.196</t>
  </si>
  <si>
    <t>https://www.kegg.jp/entry/3.2.1.196</t>
  </si>
  <si>
    <t>3.2.2.20</t>
  </si>
  <si>
    <t>https://www.kegg.jp/entry/3.2.2.20</t>
  </si>
  <si>
    <t>2.5.1.19</t>
  </si>
  <si>
    <t>https://www.kegg.jp/entry/2.5.1.19</t>
  </si>
  <si>
    <t>https://www.kegg.jp/entry/R03460</t>
  </si>
  <si>
    <t>C00074 + C03175</t>
  </si>
  <si>
    <t>C00009 + C01269</t>
  </si>
  <si>
    <t>2.7.2.-</t>
  </si>
  <si>
    <t>2.3.1.8</t>
  </si>
  <si>
    <t>https://www.kegg.jp/entry/2.3.1.8</t>
  </si>
  <si>
    <t>https://www.kegg.jp/entry/R00230</t>
  </si>
  <si>
    <t>https://www.kegg.jp/entry/R00921</t>
  </si>
  <si>
    <t>6.3.5.2</t>
  </si>
  <si>
    <t>https://www.kegg.jp/entry/6.3.5.2</t>
  </si>
  <si>
    <t>https://www.kegg.jp/entry/R01230</t>
  </si>
  <si>
    <t>https://www.kegg.jp/entry/R01231</t>
  </si>
  <si>
    <t>https://www.kegg.jp/entry/R08244</t>
  </si>
  <si>
    <t>2.7.7.23</t>
  </si>
  <si>
    <t>https://www.kegg.jp/entry/2.7.7.23</t>
  </si>
  <si>
    <t>https://www.kegg.jp/entry/R00416</t>
  </si>
  <si>
    <t>7.4.2.11</t>
  </si>
  <si>
    <t>https://www.kegg.jp/entry/7.4.2.11</t>
  </si>
  <si>
    <t>6.3.5.1</t>
  </si>
  <si>
    <t>https://www.kegg.jp/entry/6.3.5.1</t>
  </si>
  <si>
    <t>https://www.kegg.jp/entry/R00257</t>
  </si>
  <si>
    <t>C00002 + C00857 + C00064 + C00001</t>
  </si>
  <si>
    <t>C00020 + C00013 + C00003 + C00025</t>
  </si>
  <si>
    <t>https://www.kegg.jp/entry/R00189</t>
  </si>
  <si>
    <t>2.3.1.54</t>
  </si>
  <si>
    <t>https://www.kegg.jp/entry/2.3.1.54</t>
  </si>
  <si>
    <t>https://www.kegg.jp/entry/R00212</t>
  </si>
  <si>
    <t>C00024 + C00058</t>
  </si>
  <si>
    <t>C00010 + C00022</t>
  </si>
  <si>
    <t>https://www.kegg.jp/entry/R06987</t>
  </si>
  <si>
    <t>C00109 + C00010</t>
  </si>
  <si>
    <t>C00100 + C00058</t>
  </si>
  <si>
    <t>1.97.1.4</t>
  </si>
  <si>
    <t>https://www.kegg.jp/entry/1.97.1.4</t>
  </si>
  <si>
    <t>https://www.kegg.jp/entry/R04710</t>
  </si>
  <si>
    <t>C00019 + C05196 + C05197</t>
  </si>
  <si>
    <t>C05198 + C00073 + C05199 + C05312</t>
  </si>
  <si>
    <t>4.4.1.13</t>
  </si>
  <si>
    <t>https://www.kegg.jp/entry/4.4.1.13</t>
  </si>
  <si>
    <t>https://www.kegg.jp/entry/R12188</t>
  </si>
  <si>
    <t>C02882 + C00001</t>
  </si>
  <si>
    <t>C00145 + C00014 + C00022</t>
  </si>
  <si>
    <t>https://www.kegg.jp/entry/R01286</t>
  </si>
  <si>
    <t>C02291 + C00001</t>
  </si>
  <si>
    <t>C00155 + C00014 + C00022</t>
  </si>
  <si>
    <t>https://www.kegg.jp/entry/R02408</t>
  </si>
  <si>
    <t>C00491 + C00001</t>
  </si>
  <si>
    <t>C00022 + C00014 + C01962</t>
  </si>
  <si>
    <t>https://www.kegg.jp/entry/R02953</t>
  </si>
  <si>
    <t>C02749 + C00001</t>
  </si>
  <si>
    <t>C00812 + C00014 + C00022</t>
  </si>
  <si>
    <t>https://www.kegg.jp/entry/R03528</t>
  </si>
  <si>
    <t>C01336 + C00014 + C00022</t>
  </si>
  <si>
    <t>https://www.kegg.jp/entry/R00782</t>
  </si>
  <si>
    <t>C00097 + C00001</t>
  </si>
  <si>
    <t>C00283 + C00022 + C00014</t>
  </si>
  <si>
    <t>https://www.kegg.jp/entry/R04941</t>
  </si>
  <si>
    <t>C05699 + C00001</t>
  </si>
  <si>
    <t>C05698 + C00014 + C00022</t>
  </si>
  <si>
    <t>https://www.kegg.jp/entry/R09366</t>
  </si>
  <si>
    <t>C05689 + C00001</t>
  </si>
  <si>
    <t>C00022 + C00014 + C05703</t>
  </si>
  <si>
    <t>3.2.2.-</t>
  </si>
  <si>
    <t>2.1.-.-</t>
  </si>
  <si>
    <t>2.7.1.35</t>
  </si>
  <si>
    <t>https://www.kegg.jp/entry/2.7.1.35</t>
  </si>
  <si>
    <t>https://www.kegg.jp/entry/R00174</t>
  </si>
  <si>
    <t>C00002 + C00250</t>
  </si>
  <si>
    <t>C00008 + C00018</t>
  </si>
  <si>
    <t>https://www.kegg.jp/entry/R01909</t>
  </si>
  <si>
    <t>C00002 + C00314</t>
  </si>
  <si>
    <t>C00008 + C00627</t>
  </si>
  <si>
    <t>https://www.kegg.jp/entry/R02493</t>
  </si>
  <si>
    <t>C00002 + C00534</t>
  </si>
  <si>
    <t>C00008 + C00647</t>
  </si>
  <si>
    <t>1.5.1.2</t>
  </si>
  <si>
    <t>https://www.kegg.jp/entry/1.5.1.2</t>
  </si>
  <si>
    <t>https://www.kegg.jp/entry/R01248</t>
  </si>
  <si>
    <t>C00148 + C00003</t>
  </si>
  <si>
    <t>C03912 + C00004 + C00080</t>
  </si>
  <si>
    <t>https://www.kegg.jp/entry/R01251</t>
  </si>
  <si>
    <t>C00148 + C00006</t>
  </si>
  <si>
    <t>C03912 + C00005 + C00080</t>
  </si>
  <si>
    <t>https://www.kegg.jp/entry/R03291</t>
  </si>
  <si>
    <t>C01157 + C00003</t>
  </si>
  <si>
    <t>C04281 + C00004 + C00080</t>
  </si>
  <si>
    <t>https://www.kegg.jp/entry/R03293</t>
  </si>
  <si>
    <t>C01157 + C00006</t>
  </si>
  <si>
    <t>C04281 + C00005 + C00080</t>
  </si>
  <si>
    <t>3.5.1.25</t>
  </si>
  <si>
    <t>https://www.kegg.jp/entry/3.5.1.25</t>
  </si>
  <si>
    <t>https://www.kegg.jp/entry/R02059</t>
  </si>
  <si>
    <t>C00357 + C00001</t>
  </si>
  <si>
    <t>5.1.3.-</t>
  </si>
  <si>
    <t>2.4.2.22</t>
  </si>
  <si>
    <t>https://www.kegg.jp/entry/2.4.2.22</t>
  </si>
  <si>
    <t>https://www.kegg.jp/entry/R02142</t>
  </si>
  <si>
    <t>https://www.kegg.jp/entry/R01229</t>
  </si>
  <si>
    <t>3.5.4.5</t>
  </si>
  <si>
    <t>https://www.kegg.jp/entry/3.5.4.5</t>
  </si>
  <si>
    <t>https://www.kegg.jp/entry/R01878</t>
  </si>
  <si>
    <t>C00475 + C00001</t>
  </si>
  <si>
    <t>C00299 + C00014</t>
  </si>
  <si>
    <t>C00881 + C00001</t>
  </si>
  <si>
    <t>C00526 + C00014</t>
  </si>
  <si>
    <t>https://www.kegg.jp/entry/R02485</t>
  </si>
  <si>
    <t>https://www.kegg.jp/entry/R08221</t>
  </si>
  <si>
    <t>C16635 + C00001</t>
  </si>
  <si>
    <t>C12739 + C00014</t>
  </si>
  <si>
    <t>6.1.1.7</t>
  </si>
  <si>
    <t>https://www.kegg.jp/entry/6.1.1.7</t>
  </si>
  <si>
    <t>https://www.kegg.jp/entry/R03038</t>
  </si>
  <si>
    <t>3.1.21.10</t>
  </si>
  <si>
    <t>https://www.kegg.jp/entry/3.1.21.10</t>
  </si>
  <si>
    <t>4.2.3.5</t>
  </si>
  <si>
    <t>https://www.kegg.jp/entry/4.2.3.5</t>
  </si>
  <si>
    <t>https://www.kegg.jp/entry/R01714</t>
  </si>
  <si>
    <t>C01269</t>
  </si>
  <si>
    <t>C00251 + C00009</t>
  </si>
  <si>
    <t>4.2.1.10</t>
  </si>
  <si>
    <t>https://www.kegg.jp/entry/4.2.1.10</t>
  </si>
  <si>
    <t>https://www.kegg.jp/entry/R03084</t>
  </si>
  <si>
    <t>C00944</t>
  </si>
  <si>
    <t>C02637 + C00001</t>
  </si>
  <si>
    <t>6.3.4.2</t>
  </si>
  <si>
    <t>https://www.kegg.jp/entry/6.3.4.2</t>
  </si>
  <si>
    <t>https://www.kegg.jp/entry/R00571</t>
  </si>
  <si>
    <t>https://www.kegg.jp/entry/R00573</t>
  </si>
  <si>
    <t>C00008 + C00009 + C00063 + C00025</t>
  </si>
  <si>
    <t>2.8.1.7</t>
  </si>
  <si>
    <t>https://www.kegg.jp/entry/2.8.1.7</t>
  </si>
  <si>
    <t>https://www.kegg.jp/entry/R07460</t>
  </si>
  <si>
    <t>C15811 + C00097</t>
  </si>
  <si>
    <t>C15812 + C00041</t>
  </si>
  <si>
    <t>https://www.kegg.jp/entry/R11528</t>
  </si>
  <si>
    <t>C00097 + C02743</t>
  </si>
  <si>
    <t>C00041 + C21440</t>
  </si>
  <si>
    <t>https://www.kegg.jp/entry/R11529</t>
  </si>
  <si>
    <t>C15812 + C02743</t>
  </si>
  <si>
    <t>C15811 + C21440</t>
  </si>
  <si>
    <t>2.7.7.27</t>
  </si>
  <si>
    <t>https://www.kegg.jp/entry/R00948</t>
  </si>
  <si>
    <t>2.1.1.193</t>
  </si>
  <si>
    <t>https://www.kegg.jp/entry/2.1.1.193</t>
  </si>
  <si>
    <t>7.1.1.1</t>
  </si>
  <si>
    <t>https://www.kegg.jp/entry/7.1.1.1</t>
  </si>
  <si>
    <t>https://www.kegg.jp/entry/R13176</t>
  </si>
  <si>
    <t>C00005 + C00003 + C00080</t>
  </si>
  <si>
    <t>C00006 + C00004 + C00080</t>
  </si>
  <si>
    <t>2.6.1.42</t>
  </si>
  <si>
    <t>https://www.kegg.jp/entry/2.6.1.42</t>
  </si>
  <si>
    <t>https://www.kegg.jp/entry/R01090</t>
  </si>
  <si>
    <t>https://www.kegg.jp/entry/R01214</t>
  </si>
  <si>
    <t>https://www.kegg.jp/entry/R02199</t>
  </si>
  <si>
    <t>https://www.kegg.jp/entry/R10991</t>
  </si>
  <si>
    <t>C00109 + C00025</t>
  </si>
  <si>
    <t>3.6.5.n1</t>
  </si>
  <si>
    <t>1.4.1.13</t>
  </si>
  <si>
    <t>https://www.kegg.jp/entry/1.4.1.13</t>
  </si>
  <si>
    <t>https://www.kegg.jp/entry/R00114</t>
  </si>
  <si>
    <t>C00025 + C00006</t>
  </si>
  <si>
    <t>C00064 + C00026 + C00005 + C00080</t>
  </si>
  <si>
    <t>2.4.1.21</t>
  </si>
  <si>
    <t>https://www.kegg.jp/entry/2.4.1.21</t>
  </si>
  <si>
    <t>https://www.kegg.jp/entry/R02421</t>
  </si>
  <si>
    <t>C00498 + C00718</t>
  </si>
  <si>
    <t>https://www.kegg.jp/entry/R06049</t>
  </si>
  <si>
    <t>G10495 + G11109</t>
  </si>
  <si>
    <t>G10495 + G11113</t>
  </si>
  <si>
    <t>1.11.1.24</t>
  </si>
  <si>
    <t>https://www.kegg.jp/entry/1.11.1.24</t>
  </si>
  <si>
    <t>https://www.kegg.jp/entry/R12570</t>
  </si>
  <si>
    <t>C00342 + C15498</t>
  </si>
  <si>
    <t>C00343 + C00001 + C01335</t>
  </si>
  <si>
    <t>3.5.99.2</t>
  </si>
  <si>
    <t>https://www.kegg.jp/entry/3.5.99.2</t>
  </si>
  <si>
    <t>https://www.kegg.jp/entry/R02133</t>
  </si>
  <si>
    <t>C00378 + C00001</t>
  </si>
  <si>
    <t>C01279 + C04294 + C00080</t>
  </si>
  <si>
    <t>https://www.kegg.jp/entry/R09993</t>
  </si>
  <si>
    <t>C20267 + C00001</t>
  </si>
  <si>
    <t>C01279 + C00014</t>
  </si>
  <si>
    <t>2.1.1.14</t>
  </si>
  <si>
    <t>https://www.kegg.jp/entry/2.1.1.14</t>
  </si>
  <si>
    <t>https://www.kegg.jp/entry/R04405</t>
  </si>
  <si>
    <t>C04144 + C00073</t>
  </si>
  <si>
    <t>https://www.kegg.jp/entry/R09365</t>
  </si>
  <si>
    <t>C05335 + C04144</t>
  </si>
  <si>
    <t>1.5.1.20</t>
  </si>
  <si>
    <t>https://www.kegg.jp/entry/1.5.1.20</t>
  </si>
  <si>
    <t>https://www.kegg.jp/entry/R01224</t>
  </si>
  <si>
    <t>C00440 + C00006</t>
  </si>
  <si>
    <t>C00143 + C00005 + C00080</t>
  </si>
  <si>
    <t>https://www.kegg.jp/entry/R07168</t>
  </si>
  <si>
    <t>C00440 + C00003</t>
  </si>
  <si>
    <t>C00143 + C00004 + C00080</t>
  </si>
  <si>
    <t>3.5.1.24</t>
  </si>
  <si>
    <t>https://www.kegg.jp/entry/3.5.1.24</t>
  </si>
  <si>
    <t>https://www.kegg.jp/entry/R05835</t>
  </si>
  <si>
    <t xml:space="preserve">C01921 + C00001 </t>
  </si>
  <si>
    <t>https://www.kegg.jp/entry/R02797</t>
  </si>
  <si>
    <t>https://www.kegg.jp/entry/R03975</t>
  </si>
  <si>
    <t>https://www.kegg.jp/entry/R03977</t>
  </si>
  <si>
    <t>https://www.kegg.jp/entry/R04486</t>
  </si>
  <si>
    <t>https://www.kegg.jp/entry/R04487</t>
  </si>
  <si>
    <t>2.7.7.42</t>
  </si>
  <si>
    <t>https://www.kegg.jp/entry/2.7.7.42</t>
  </si>
  <si>
    <t>https://www.kegg.jp/entry/R03473</t>
  </si>
  <si>
    <t>C00002 + C01281</t>
  </si>
  <si>
    <t>C00013 + C01299</t>
  </si>
  <si>
    <t>2.7.7.89</t>
  </si>
  <si>
    <t>https://www.kegg.jp/entry/2.7.7.89</t>
  </si>
  <si>
    <t>https://www.kegg.jp/entry/R03474</t>
  </si>
  <si>
    <t>C01299 + C00009</t>
  </si>
  <si>
    <t>C00008 + C01281</t>
  </si>
  <si>
    <t>2.1.3.2</t>
  </si>
  <si>
    <t>https://www.kegg.jp/entry/2.1.3.2</t>
  </si>
  <si>
    <t>https://www.kegg.jp/entry/R01397</t>
  </si>
  <si>
    <t>3.5.2.3</t>
  </si>
  <si>
    <t>https://www.kegg.jp/entry/3.5.2.3</t>
  </si>
  <si>
    <t>https://www.kegg.jp/entry/R01993</t>
  </si>
  <si>
    <t>1.3.1.14</t>
  </si>
  <si>
    <t>https://www.kegg.jp/entry/1.3.1.14</t>
  </si>
  <si>
    <t>https://www.kegg.jp/entry/R01869</t>
  </si>
  <si>
    <t>2.4.2.10</t>
  </si>
  <si>
    <t>https://www.kegg.jp/entry/2.4.2.10</t>
  </si>
  <si>
    <t>https://www.kegg.jp/entry/R01870</t>
  </si>
  <si>
    <t>https://www.kegg.jp/entry/R08231</t>
  </si>
  <si>
    <t>2.7.2.3</t>
  </si>
  <si>
    <t>https://www.kegg.jp/entry/2.7.2.3</t>
  </si>
  <si>
    <t>https://www.kegg.jp/entry/R01512</t>
  </si>
  <si>
    <t>5.3.1.1</t>
  </si>
  <si>
    <t>https://www.kegg.jp/entry/5.3.1.1</t>
  </si>
  <si>
    <t>https://www.kegg.jp/entry/R01015</t>
  </si>
  <si>
    <t>1.1.1.27</t>
  </si>
  <si>
    <t>https://www.kegg.jp/entry/1.1.1.27</t>
  </si>
  <si>
    <t>https://www.kegg.jp/entry/R00703</t>
  </si>
  <si>
    <t>C00186 + C00003</t>
  </si>
  <si>
    <t>https://www.kegg.jp/entry/R01000</t>
  </si>
  <si>
    <t>https://www.kegg.jp/entry/R03104</t>
  </si>
  <si>
    <t>2.2.1.2</t>
  </si>
  <si>
    <t>https://www.kegg.jp/entry/2.2.1.2</t>
  </si>
  <si>
    <t>https://www.kegg.jp/entry/R08575</t>
  </si>
  <si>
    <t>C05382 + C00118</t>
  </si>
  <si>
    <t>C00279 + C00085</t>
  </si>
  <si>
    <t>https://www.kegg.jp/entry/R01827</t>
  </si>
  <si>
    <t>C00279 + C05345</t>
  </si>
  <si>
    <t>2.2.1.1</t>
  </si>
  <si>
    <t>https://www.kegg.jp/entry/2.2.1.1</t>
  </si>
  <si>
    <t>https://www.kegg.jp/entry/R01641</t>
  </si>
  <si>
    <t>C00117 + C00231</t>
  </si>
  <si>
    <t>https://www.kegg.jp/entry/R01067</t>
  </si>
  <si>
    <t>C00085 + C00118</t>
  </si>
  <si>
    <t>C00279 + C00231</t>
  </si>
  <si>
    <t>https://www.kegg.jp/entry/R01830</t>
  </si>
  <si>
    <t>C05345 + C00118</t>
  </si>
  <si>
    <t>https://www.kegg.jp/entry/R06590</t>
  </si>
  <si>
    <t>C12214 + C00117</t>
  </si>
  <si>
    <t>C12215 + C05382</t>
  </si>
  <si>
    <t>https://www.kegg.jp/entry/R06861</t>
  </si>
  <si>
    <t>C00231 + C00068</t>
  </si>
  <si>
    <t>C13378 + C00118</t>
  </si>
  <si>
    <t>https://www.kegg.jp/entry/R06863</t>
  </si>
  <si>
    <t>C05382 + C00068</t>
  </si>
  <si>
    <t>C13378 + C00117</t>
  </si>
  <si>
    <t>3.6.1.27</t>
  </si>
  <si>
    <t>https://www.kegg.jp/entry/3.6.1.27</t>
  </si>
  <si>
    <t>https://www.kegg.jp/entry/R05627</t>
  </si>
  <si>
    <t>C04574 + C00001</t>
  </si>
  <si>
    <t>C17556 + C00009</t>
  </si>
  <si>
    <t>6.1.1.3</t>
  </si>
  <si>
    <t>https://www.kegg.jp/entry/6.1.1.3</t>
  </si>
  <si>
    <t>https://www.kegg.jp/entry/R03663</t>
  </si>
  <si>
    <t>3.6.4.12</t>
  </si>
  <si>
    <t>https://www.kegg.jp/entry/3.6.4.12</t>
  </si>
  <si>
    <t>2.4.2.7</t>
  </si>
  <si>
    <t>https://www.kegg.jp/entry/2.4.2.7</t>
  </si>
  <si>
    <t>https://www.kegg.jp/entry/R00190</t>
  </si>
  <si>
    <t>https://www.kegg.jp/entry/R04378</t>
  </si>
  <si>
    <t>6.2.1.5</t>
  </si>
  <si>
    <t>https://www.kegg.jp/entry/6.2.1.5</t>
  </si>
  <si>
    <t>https://www.kegg.jp/entry/R00405</t>
  </si>
  <si>
    <t>C00002 + C00042 + C00010</t>
  </si>
  <si>
    <t>C00008 + C00009 + C00091</t>
  </si>
  <si>
    <t>https://www.kegg.jp/entry/R02404</t>
  </si>
  <si>
    <t>C00002 + C00490 + C00010</t>
  </si>
  <si>
    <t>C00008 + C00009 + C00531</t>
  </si>
  <si>
    <t>2.1.2.3</t>
  </si>
  <si>
    <t>https://www.kegg.jp/entry/2.1.2.3</t>
  </si>
  <si>
    <t>https://www.kegg.jp/entry/R04560</t>
  </si>
  <si>
    <t>3.5.4.10</t>
  </si>
  <si>
    <t>https://www.kegg.jp/entry/3.5.4.10</t>
  </si>
  <si>
    <t>https://www.kegg.jp/entry/R01127</t>
  </si>
  <si>
    <t>5.4.99.-</t>
  </si>
  <si>
    <t>2.7.7.9</t>
  </si>
  <si>
    <t>https://www.kegg.jp/entry/2.7.7.9</t>
  </si>
  <si>
    <t>https://www.kegg.jp/entry/R00289</t>
  </si>
  <si>
    <t>2.4.2.17</t>
  </si>
  <si>
    <t>https://www.kegg.jp/entry/2.4.2.17</t>
  </si>
  <si>
    <t>https://www.kegg.jp/entry/R01071</t>
  </si>
  <si>
    <t>C02739 + C00013</t>
  </si>
  <si>
    <t>C00002 + C00119</t>
  </si>
  <si>
    <t>3.6.1.31</t>
  </si>
  <si>
    <t>https://www.kegg.jp/entry/3.6.1.31</t>
  </si>
  <si>
    <t>https://www.kegg.jp/entry/R04035</t>
  </si>
  <si>
    <t>C02739 + C00001</t>
  </si>
  <si>
    <t>C02741 + C00013</t>
  </si>
  <si>
    <t>5.1.3.1</t>
  </si>
  <si>
    <t>https://www.kegg.jp/entry/5.1.3.1</t>
  </si>
  <si>
    <t>https://www.kegg.jp/entry/R01529</t>
  </si>
  <si>
    <t>2.5.1.145</t>
  </si>
  <si>
    <t>https://www.kegg.jp/entry/2.5.1.145</t>
  </si>
  <si>
    <t>4.2.1.20</t>
  </si>
  <si>
    <t>https://www.kegg.jp/entry/4.2.1.20</t>
  </si>
  <si>
    <t>https://www.kegg.jp/entry/R00674</t>
  </si>
  <si>
    <t>C00065 + C00463</t>
  </si>
  <si>
    <t>C00078 + C00001</t>
  </si>
  <si>
    <t>https://www.kegg.jp/entry/R02340</t>
  </si>
  <si>
    <t>C03506</t>
  </si>
  <si>
    <t>C00463 + C00118</t>
  </si>
  <si>
    <t>https://www.kegg.jp/entry/R02722</t>
  </si>
  <si>
    <t>C00065 + C03506</t>
  </si>
  <si>
    <t>C00078 + C00118 + C00001</t>
  </si>
  <si>
    <t>3.1.21.2</t>
  </si>
  <si>
    <t>https://www.kegg.jp/entry/3.1.21.2</t>
  </si>
  <si>
    <t>C00108 + C00022 + C00025</t>
  </si>
  <si>
    <t>C00108 + C00022 + C00001</t>
  </si>
  <si>
    <t>3.5.4.19</t>
  </si>
  <si>
    <t>https://www.kegg.jp/entry/3.5.4.19</t>
  </si>
  <si>
    <t>https://www.kegg.jp/entry/R04037</t>
  </si>
  <si>
    <t>C02741 + C00001</t>
  </si>
  <si>
    <t>C04896</t>
  </si>
  <si>
    <t>4.3.2.10</t>
  </si>
  <si>
    <t>https://www.kegg.jp/entry/4.3.2.10</t>
  </si>
  <si>
    <t>https://www.kegg.jp/entry/R04558</t>
  </si>
  <si>
    <t>C04916 + C00064</t>
  </si>
  <si>
    <t>C04666 + C04677 + C00025</t>
  </si>
  <si>
    <t>https://www.kegg.jp/entry/R12152</t>
  </si>
  <si>
    <t>C04916 + C00014</t>
  </si>
  <si>
    <t>C04677 + C04666 + C00001</t>
  </si>
  <si>
    <t>2.1.1.192</t>
  </si>
  <si>
    <t>https://www.kegg.jp/entry/2.1.1.192</t>
  </si>
  <si>
    <t>2.7.7.41</t>
  </si>
  <si>
    <t>https://www.kegg.jp/entry/2.7.7.41</t>
  </si>
  <si>
    <t>https://www.kegg.jp/entry/R01799</t>
  </si>
  <si>
    <t>2.7.4.22</t>
  </si>
  <si>
    <t>https://www.kegg.jp/entry/2.7.4.22</t>
  </si>
  <si>
    <t>https://www.kegg.jp/entry/R00158</t>
  </si>
  <si>
    <t>1.1.1.42</t>
  </si>
  <si>
    <t>https://www.kegg.jp/entry/1.1.1.42</t>
  </si>
  <si>
    <t>https://www.kegg.jp/entry/R00267</t>
  </si>
  <si>
    <t>C00311 + C00006</t>
  </si>
  <si>
    <t>C00026 + C00011 + C00005 + C00080</t>
  </si>
  <si>
    <t>https://www.kegg.jp/entry/R00268</t>
  </si>
  <si>
    <t>C05379</t>
  </si>
  <si>
    <t>C00026 + C00011</t>
  </si>
  <si>
    <t>https://www.kegg.jp/entry/R01899</t>
  </si>
  <si>
    <t>C05379 + C00005 + C00080</t>
  </si>
  <si>
    <t>2.3.1.234</t>
  </si>
  <si>
    <t>https://www.kegg.jp/entry/2.3.1.234</t>
  </si>
  <si>
    <t>https://www.kegg.jp/entry/R10648</t>
  </si>
  <si>
    <t>C00020 + C20751</t>
  </si>
  <si>
    <t>2.3.1.266</t>
  </si>
  <si>
    <t>https://www.kegg.jp/entry/2.3.1.266</t>
  </si>
  <si>
    <t>https://www.kegg.jp/entry/R04316</t>
  </si>
  <si>
    <t>6.1.1.4</t>
  </si>
  <si>
    <t>https://www.kegg.jp/entry/6.1.1.4</t>
  </si>
  <si>
    <t>https://www.kegg.jp/entry/R03657</t>
  </si>
  <si>
    <t>3.2.1.163</t>
  </si>
  <si>
    <t>https://www.kegg.jp/entry/3.2.1.163</t>
  </si>
  <si>
    <t>https://www.kegg.jp/entry/R10809</t>
  </si>
  <si>
    <t>C01728 + C00001</t>
  </si>
  <si>
    <t>C00159</t>
  </si>
  <si>
    <t>5.-.-.-</t>
  </si>
  <si>
    <t>3.1.1.96</t>
  </si>
  <si>
    <t>https://www.kegg.jp/entry/3.1.1.96</t>
  </si>
  <si>
    <t>2.7.6.5</t>
  </si>
  <si>
    <t>https://www.kegg.jp/entry/2.7.6.5</t>
  </si>
  <si>
    <t>https://www.kegg.jp/entry/R00429</t>
  </si>
  <si>
    <t>C00002 + C00044</t>
  </si>
  <si>
    <t>C00020 + C04494</t>
  </si>
  <si>
    <t>3.6.1.23</t>
  </si>
  <si>
    <t>https://www.kegg.jp/entry/3.6.1.23</t>
  </si>
  <si>
    <t>https://www.kegg.jp/entry/R02100</t>
  </si>
  <si>
    <t>C00460 + C00001</t>
  </si>
  <si>
    <t>C00365 + C00013</t>
  </si>
  <si>
    <t>https://www.kegg.jp/entry/R11896</t>
  </si>
  <si>
    <t>C21751 + C00001</t>
  </si>
  <si>
    <t>C04242 + C00013</t>
  </si>
  <si>
    <t>2.7.1.15</t>
  </si>
  <si>
    <t>https://www.kegg.jp/entry/2.7.1.15</t>
  </si>
  <si>
    <t>https://www.kegg.jp/entry/R01051</t>
  </si>
  <si>
    <t>https://www.kegg.jp/entry/R02750</t>
  </si>
  <si>
    <t>2.5.1.-</t>
  </si>
  <si>
    <t>2.4.2.18</t>
  </si>
  <si>
    <t>https://www.kegg.jp/entry/2.4.2.18</t>
  </si>
  <si>
    <t>https://www.kegg.jp/entry/R01073</t>
  </si>
  <si>
    <t>C04302 + C00013</t>
  </si>
  <si>
    <t>C00108 + C00119</t>
  </si>
  <si>
    <t>2.7.8.5</t>
  </si>
  <si>
    <t>https://www.kegg.jp/entry/2.7.8.5</t>
  </si>
  <si>
    <t>https://www.kegg.jp/entry/R01801</t>
  </si>
  <si>
    <t>2.5.1.75</t>
  </si>
  <si>
    <t>https://www.kegg.jp/entry/2.5.1.75</t>
  </si>
  <si>
    <t>https://www.kegg.jp/entry/R01122</t>
  </si>
  <si>
    <t>2.8.4.3</t>
  </si>
  <si>
    <t>https://www.kegg.jp/entry/2.8.4.3</t>
  </si>
  <si>
    <t>https://www.kegg.jp/entry/R10645</t>
  </si>
  <si>
    <t>C04432 + C17023 + C00019</t>
  </si>
  <si>
    <t>C20753 + C00021 + C00073 + C05198</t>
  </si>
  <si>
    <t>https://www.kegg.jp/entry/R10646</t>
  </si>
  <si>
    <t>C20755 + C00073 + C05198</t>
  </si>
  <si>
    <t>https://www.kegg.jp/entry/R10647</t>
  </si>
  <si>
    <t>C20755 + C00019</t>
  </si>
  <si>
    <t>C20753 + C00021</t>
  </si>
  <si>
    <t>4.2.1.3</t>
  </si>
  <si>
    <t>https://www.kegg.jp/entry/4.2.1.3</t>
  </si>
  <si>
    <t>https://www.kegg.jp/entry/R01324</t>
  </si>
  <si>
    <t>C00311</t>
  </si>
  <si>
    <t>https://www.kegg.jp/entry/R01325</t>
  </si>
  <si>
    <t>C00417 + C00001</t>
  </si>
  <si>
    <t>https://www.kegg.jp/entry/R01900</t>
  </si>
  <si>
    <t>3.1.11.2</t>
  </si>
  <si>
    <t>https://www.kegg.jp/entry/3.1.11.2</t>
  </si>
  <si>
    <t>7.4.2.-</t>
  </si>
  <si>
    <t>1.3.1.-</t>
  </si>
  <si>
    <t>4.2.1.51</t>
  </si>
  <si>
    <t>https://www.kegg.jp/entry/4.2.1.51</t>
  </si>
  <si>
    <t>https://www.kegg.jp/entry/R01373</t>
  </si>
  <si>
    <t>C00254</t>
  </si>
  <si>
    <t>C00166 + C00001 + C00011</t>
  </si>
  <si>
    <t>https://www.kegg.jp/entry/R00691</t>
  </si>
  <si>
    <t>C00826</t>
  </si>
  <si>
    <t>C00079 + C00001 + C00011</t>
  </si>
  <si>
    <t>2.4.2.19</t>
  </si>
  <si>
    <t>https://www.kegg.jp/entry/2.4.2.19</t>
  </si>
  <si>
    <t>https://www.kegg.jp/entry/R03348</t>
  </si>
  <si>
    <t>C01185 + C00013 + C00011</t>
  </si>
  <si>
    <t>C03722 + C00119</t>
  </si>
  <si>
    <t>1.4.3.16</t>
  </si>
  <si>
    <t>https://www.kegg.jp/entry/1.4.3.16</t>
  </si>
  <si>
    <t>https://www.kegg.jp/entry/R00481</t>
  </si>
  <si>
    <t>C00049 + C00007</t>
  </si>
  <si>
    <t>C05840 + C00027</t>
  </si>
  <si>
    <t>https://www.kegg.jp/entry/R00357</t>
  </si>
  <si>
    <t>C00049 + C00001 + C00007</t>
  </si>
  <si>
    <t>C00036 + C00014 + C00027</t>
  </si>
  <si>
    <t>2.5.1.72</t>
  </si>
  <si>
    <t>https://www.kegg.jp/entry/2.5.1.72</t>
  </si>
  <si>
    <t>https://www.kegg.jp/entry/R04292</t>
  </si>
  <si>
    <t>C05840 + C00111</t>
  </si>
  <si>
    <t>2.7.1.31</t>
  </si>
  <si>
    <t>https://www.kegg.jp/entry/2.7.1.31</t>
  </si>
  <si>
    <t>https://www.kegg.jp/entry/R01514</t>
  </si>
  <si>
    <t>2.7.6.2</t>
  </si>
  <si>
    <t>https://www.kegg.jp/entry/2.7.6.2</t>
  </si>
  <si>
    <t>https://www.kegg.jp/entry/R00619</t>
  </si>
  <si>
    <t>1.17.7.4</t>
  </si>
  <si>
    <t>https://www.kegg.jp/entry/1.17.7.4</t>
  </si>
  <si>
    <t>https://www.kegg.jp/entry/R05884</t>
  </si>
  <si>
    <t>C03722 + C00001 + C00009</t>
  </si>
  <si>
    <t>C11811 + C00138 + C00080</t>
  </si>
  <si>
    <t>C00129 + C00139 + C00001</t>
  </si>
  <si>
    <t>https://www.kegg.jp/entry/R08210</t>
  </si>
  <si>
    <t>C00235 + C00139 + C00001</t>
  </si>
  <si>
    <t>6.3.2.13</t>
  </si>
  <si>
    <t>https://www.kegg.jp/entry/6.3.2.13</t>
  </si>
  <si>
    <t>https://www.kegg.jp/entry/R02788</t>
  </si>
  <si>
    <t>C00002 + C00692 + C00680</t>
  </si>
  <si>
    <t>C00008 + C00009 + C04877</t>
  </si>
  <si>
    <t>3.5.1.28</t>
  </si>
  <si>
    <t>https://www.kegg.jp/entry/3.5.1.28</t>
  </si>
  <si>
    <t>https://www.kegg.jp/entry/R04112</t>
  </si>
  <si>
    <t>C02999 + C00001</t>
  </si>
  <si>
    <t>C02713 + C00041</t>
  </si>
  <si>
    <t>2.1.1.37</t>
  </si>
  <si>
    <t>https://www.kegg.jp/entry/2.1.1.37</t>
  </si>
  <si>
    <t>https://www.kegg.jp/entry/R00380</t>
  </si>
  <si>
    <t>C00019 + C00039</t>
  </si>
  <si>
    <t>C00021 + C02967</t>
  </si>
  <si>
    <t>https://www.kegg.jp/entry/R04858</t>
  </si>
  <si>
    <t>C00019 + C00856</t>
  </si>
  <si>
    <t>6.3.2.8</t>
  </si>
  <si>
    <t>https://www.kegg.jp/entry/6.3.2.8</t>
  </si>
  <si>
    <t>https://www.kegg.jp/entry/R03193</t>
  </si>
  <si>
    <t>2.4.1.227</t>
  </si>
  <si>
    <t>https://www.kegg.jp/entry/2.4.1.227</t>
  </si>
  <si>
    <t>https://www.kegg.jp/entry/R05662</t>
  </si>
  <si>
    <t>https://www.kegg.jp/entry/R06173</t>
  </si>
  <si>
    <t>G10552 + G10610</t>
  </si>
  <si>
    <t>G10553 + G10619</t>
  </si>
  <si>
    <t>https://www.kegg.jp/entry/R05032</t>
  </si>
  <si>
    <t>https://www.kegg.jp/entry/R06172</t>
  </si>
  <si>
    <t>G10551 + G10610</t>
  </si>
  <si>
    <t>G10550 + G10619</t>
  </si>
  <si>
    <t>https://www.kegg.jp/entry/R06174</t>
  </si>
  <si>
    <t>G10556 + G10610</t>
  </si>
  <si>
    <t>G10555 + G10619</t>
  </si>
  <si>
    <t>6.3.2.9</t>
  </si>
  <si>
    <t>https://www.kegg.jp/entry/6.3.2.9</t>
  </si>
  <si>
    <t>https://www.kegg.jp/entry/R02783</t>
  </si>
  <si>
    <t>2.7.8.13</t>
  </si>
  <si>
    <t>https://www.kegg.jp/entry/2.7.8.13</t>
  </si>
  <si>
    <t>https://www.kegg.jp/entry/R05629</t>
  </si>
  <si>
    <t>https://www.kegg.jp/entry/R05630</t>
  </si>
  <si>
    <t>6.3.2.10</t>
  </si>
  <si>
    <t>https://www.kegg.jp/entry/6.3.2.10</t>
  </si>
  <si>
    <t>https://www.kegg.jp/entry/R04573</t>
  </si>
  <si>
    <t>https://www.kegg.jp/entry/R04617</t>
  </si>
  <si>
    <t>2.1.1.199</t>
  </si>
  <si>
    <t>https://www.kegg.jp/entry/2.1.1.199</t>
  </si>
  <si>
    <t>1.1.1.95</t>
  </si>
  <si>
    <t>https://www.kegg.jp/entry/1.1.1.95</t>
  </si>
  <si>
    <t>https://www.kegg.jp/entry/R01513</t>
  </si>
  <si>
    <t>C00197 + C00003</t>
  </si>
  <si>
    <t>C03232 + C00004 + C00080</t>
  </si>
  <si>
    <t>https://www.kegg.jp/entry/R08198</t>
  </si>
  <si>
    <t>C02630 + C00003</t>
  </si>
  <si>
    <t>C00026 + C00004 + C00080</t>
  </si>
  <si>
    <t>3.4.21.88</t>
  </si>
  <si>
    <t>https://www.kegg.jp/entry/3.4.21.88</t>
  </si>
  <si>
    <t>5.3.1.16</t>
  </si>
  <si>
    <t>https://www.kegg.jp/entry/5.3.1.16</t>
  </si>
  <si>
    <t>https://www.kegg.jp/entry/R04640</t>
  </si>
  <si>
    <t>C04916</t>
  </si>
  <si>
    <t>5.3.1.24</t>
  </si>
  <si>
    <t>https://www.kegg.jp/entry/5.3.1.24</t>
  </si>
  <si>
    <t>https://www.kegg.jp/entry/R03509</t>
  </si>
  <si>
    <t>C04302</t>
  </si>
  <si>
    <t>C01302</t>
  </si>
  <si>
    <t>4.2.1.19</t>
  </si>
  <si>
    <t>https://www.kegg.jp/entry/4.2.1.19</t>
  </si>
  <si>
    <t>https://www.kegg.jp/entry/R03457</t>
  </si>
  <si>
    <t>C04666</t>
  </si>
  <si>
    <t>C01267 + C00001</t>
  </si>
  <si>
    <t>2.6.1.9</t>
  </si>
  <si>
    <t>https://www.kegg.jp/entry/2.6.1.9</t>
  </si>
  <si>
    <t>https://www.kegg.jp/entry/R03243</t>
  </si>
  <si>
    <t>C01100 + C00026</t>
  </si>
  <si>
    <t>C01267 + C00025</t>
  </si>
  <si>
    <t>https://www.kegg.jp/entry/R00694</t>
  </si>
  <si>
    <t>https://www.kegg.jp/entry/R00734</t>
  </si>
  <si>
    <t>1.1.1.23</t>
  </si>
  <si>
    <t>https://www.kegg.jp/entry/1.1.1.23</t>
  </si>
  <si>
    <t>https://www.kegg.jp/entry/R01158</t>
  </si>
  <si>
    <t>C00860 + C00003 + C00001</t>
  </si>
  <si>
    <t>C00135 + C00004 + C00080</t>
  </si>
  <si>
    <t>https://www.kegg.jp/entry/R01163</t>
  </si>
  <si>
    <t>C01929 + C00001 + C00003</t>
  </si>
  <si>
    <t>https://www.kegg.jp/entry/R03012</t>
  </si>
  <si>
    <t>C00860 + C00003</t>
  </si>
  <si>
    <t>C01929 + C00004 + C00080</t>
  </si>
  <si>
    <t>1.1.1.435</t>
  </si>
  <si>
    <t>https://www.kegg.jp/entry/1.1.1.435</t>
  </si>
  <si>
    <t>https://www.kegg.jp/entry/R13105</t>
  </si>
  <si>
    <t>C20836 + C00006</t>
  </si>
  <si>
    <t>C18028 + C00005 + C00080</t>
  </si>
  <si>
    <t>4.2.1.53</t>
  </si>
  <si>
    <t>https://www.kegg.jp/entry/4.2.1.53</t>
  </si>
  <si>
    <t>https://www.kegg.jp/entry/R02813</t>
  </si>
  <si>
    <t>3.4.23.36</t>
  </si>
  <si>
    <t>https://www.kegg.jp/entry/3.4.23.36</t>
  </si>
  <si>
    <t>6.1.1.14</t>
  </si>
  <si>
    <t>https://www.kegg.jp/entry/6.1.1.14</t>
  </si>
  <si>
    <t>https://www.kegg.jp/entry/R03654</t>
  </si>
  <si>
    <t>2.7.1.50</t>
  </si>
  <si>
    <t>https://www.kegg.jp/entry/2.7.1.50</t>
  </si>
  <si>
    <t>https://www.kegg.jp/entry/R04448</t>
  </si>
  <si>
    <t>C00002 + C04294</t>
  </si>
  <si>
    <t>C00008 + C04327</t>
  </si>
  <si>
    <t>4.1.99.17</t>
  </si>
  <si>
    <t>https://www.kegg.jp/entry/4.1.99.17</t>
  </si>
  <si>
    <t>https://www.kegg.jp/entry/R03472</t>
  </si>
  <si>
    <t>C03373 + C00019</t>
  </si>
  <si>
    <t>C04556 + C05198 + C00073 + C00058 + C00237</t>
  </si>
  <si>
    <t>2.7.1.49</t>
  </si>
  <si>
    <t>https://www.kegg.jp/entry/2.7.1.49</t>
  </si>
  <si>
    <t>https://www.kegg.jp/entry/R03471</t>
  </si>
  <si>
    <t>2.7.4.7</t>
  </si>
  <si>
    <t>https://www.kegg.jp/entry/2.7.4.7</t>
  </si>
  <si>
    <t>https://www.kegg.jp/entry/R04509</t>
  </si>
  <si>
    <t>2.7.1.63</t>
  </si>
  <si>
    <t>https://www.kegg.jp/entry/2.7.1.63</t>
  </si>
  <si>
    <t>https://www.kegg.jp/entry/R02185</t>
  </si>
  <si>
    <t>C00404 + C00031</t>
  </si>
  <si>
    <t>C00404 + C00092</t>
  </si>
  <si>
    <t>https://www.kegg.jp/entry/R02187</t>
  </si>
  <si>
    <t>C00404 + C00221</t>
  </si>
  <si>
    <t>C00404 + C01172</t>
  </si>
  <si>
    <t>https://www.kegg.jp/entry/R02189</t>
  </si>
  <si>
    <t>C00404 + C00267</t>
  </si>
  <si>
    <t>C00404 + C00668</t>
  </si>
  <si>
    <t>2.7.4.-</t>
  </si>
  <si>
    <t>3.1.3.2</t>
  </si>
  <si>
    <t>https://www.kegg.jp/entry/3.1.3.2</t>
  </si>
  <si>
    <t>https://www.kegg.jp/entry/R00626</t>
  </si>
  <si>
    <t>C01153 + C00001</t>
  </si>
  <si>
    <t>C00069 + C00009</t>
  </si>
  <si>
    <t>https://www.kegg.jp/entry/R00548</t>
  </si>
  <si>
    <t>C00061 + C00001</t>
  </si>
  <si>
    <t>C00255 + C00009</t>
  </si>
  <si>
    <t>https://www.kegg.jp/entry/R02135</t>
  </si>
  <si>
    <t>C01081 + C00001</t>
  </si>
  <si>
    <t>C00378 + C00009</t>
  </si>
  <si>
    <t>https://www.kegg.jp/entry/R03024</t>
  </si>
  <si>
    <t>C03360 + C00001</t>
  </si>
  <si>
    <t>C00870 + C00009</t>
  </si>
  <si>
    <t>https://www.kegg.jp/entry/R11527</t>
  </si>
  <si>
    <t>C00681 + C00001</t>
  </si>
  <si>
    <t>C01885 + C00009</t>
  </si>
  <si>
    <t>https://www.kegg.jp/entry/R01010</t>
  </si>
  <si>
    <t>C00111 + C00001</t>
  </si>
  <si>
    <t>C00184 + C00009</t>
  </si>
  <si>
    <t>6.1.1.12</t>
  </si>
  <si>
    <t>https://www.kegg.jp/entry/6.1.1.12</t>
  </si>
  <si>
    <t>https://www.kegg.jp/entry/R05577</t>
  </si>
  <si>
    <t>6.1.1.21</t>
  </si>
  <si>
    <t>https://www.kegg.jp/entry/6.1.1.21</t>
  </si>
  <si>
    <t>https://www.kegg.jp/entry/R03655</t>
  </si>
  <si>
    <t>C00002 + C00135 + C01643</t>
  </si>
  <si>
    <t>C00020 + C00013 + C02988</t>
  </si>
  <si>
    <t>3.1.3.5</t>
  </si>
  <si>
    <t>https://www.kegg.jp/entry/3.1.3.5</t>
  </si>
  <si>
    <t>https://www.kegg.jp/entry/R07297</t>
  </si>
  <si>
    <t>https://www.kegg.jp/entry/R00183</t>
  </si>
  <si>
    <t>https://www.kegg.jp/entry/R00511</t>
  </si>
  <si>
    <t>https://www.kegg.jp/entry/R00963</t>
  </si>
  <si>
    <t>https://www.kegg.jp/entry/R01126</t>
  </si>
  <si>
    <t>https://www.kegg.jp/entry/R01227</t>
  </si>
  <si>
    <t>https://www.kegg.jp/entry/R02323</t>
  </si>
  <si>
    <t>https://www.kegg.jp/entry/R02719</t>
  </si>
  <si>
    <t>https://www.kegg.jp/entry/R03346</t>
  </si>
  <si>
    <t>https://www.kegg.jp/entry/R01569</t>
  </si>
  <si>
    <t>https://www.kegg.jp/entry/R01664</t>
  </si>
  <si>
    <t>https://www.kegg.jp/entry/R01968</t>
  </si>
  <si>
    <t>https://www.kegg.jp/entry/R02088</t>
  </si>
  <si>
    <t>https://www.kegg.jp/entry/R02102</t>
  </si>
  <si>
    <t>https://www.kegg.jp/entry/R12958</t>
  </si>
  <si>
    <t>3.5.2.10</t>
  </si>
  <si>
    <t>https://www.kegg.jp/entry/3.5.2.10</t>
  </si>
  <si>
    <t>https://www.kegg.jp/entry/R01884</t>
  </si>
  <si>
    <t>C00791 + C00001</t>
  </si>
  <si>
    <t>C00300</t>
  </si>
  <si>
    <t>3.2.2.27</t>
  </si>
  <si>
    <t>https://www.kegg.jp/entry/3.2.2.27</t>
  </si>
  <si>
    <t>4.3.2.2</t>
  </si>
  <si>
    <t>https://www.kegg.jp/entry/4.3.2.2</t>
  </si>
  <si>
    <t>https://www.kegg.jp/entry/R01083</t>
  </si>
  <si>
    <t>https://www.kegg.jp/entry/R04559</t>
  </si>
  <si>
    <t>https://www.kegg.jp/entry/R12851</t>
  </si>
  <si>
    <t>6.3.1.19</t>
  </si>
  <si>
    <t>https://www.kegg.jp/entry/6.3.1.19</t>
  </si>
  <si>
    <t>https://www.kegg.jp/entry/R11207</t>
  </si>
  <si>
    <t>C00002 + C21177 + C02188</t>
  </si>
  <si>
    <t>C00008 + C00009 + C21178</t>
  </si>
  <si>
    <t>3.5.1.119</t>
  </si>
  <si>
    <t>https://www.kegg.jp/entry/3.5.1.119</t>
  </si>
  <si>
    <t>https://www.kegg.jp/entry/R11209</t>
  </si>
  <si>
    <t>C21179 + C00001</t>
  </si>
  <si>
    <t>C21177 + C00014</t>
  </si>
  <si>
    <t>https://www.kegg.jp/entry/R11208</t>
  </si>
  <si>
    <t>C21178 + C00001</t>
  </si>
  <si>
    <t>C21177 + C02188</t>
  </si>
  <si>
    <t>2.7.1.202</t>
  </si>
  <si>
    <t>https://www.kegg.jp/entry/2.7.1.202</t>
  </si>
  <si>
    <t>https://www.kegg.jp/entry/R03232</t>
  </si>
  <si>
    <t>C04261 + C00095</t>
  </si>
  <si>
    <t>C00615 + C01094</t>
  </si>
  <si>
    <t>3.1.3.3</t>
  </si>
  <si>
    <t>https://www.kegg.jp/entry/3.1.3.3</t>
  </si>
  <si>
    <t>https://www.kegg.jp/entry/R00582</t>
  </si>
  <si>
    <t>C01005 + C00001</t>
  </si>
  <si>
    <t>C00065 + C00009</t>
  </si>
  <si>
    <t>https://www.kegg.jp/entry/R02853</t>
  </si>
  <si>
    <t>C02532 + C00001</t>
  </si>
  <si>
    <t>C00740 + C00009</t>
  </si>
  <si>
    <t>2.1.2.9</t>
  </si>
  <si>
    <t>https://www.kegg.jp/entry/2.1.2.9</t>
  </si>
  <si>
    <t>https://www.kegg.jp/entry/R03940</t>
  </si>
  <si>
    <t>4.2.1.9</t>
  </si>
  <si>
    <t>https://www.kegg.jp/entry/4.2.1.9</t>
  </si>
  <si>
    <t>https://www.kegg.jp/entry/R01209</t>
  </si>
  <si>
    <t>C04039</t>
  </si>
  <si>
    <t>C00141 + C00001</t>
  </si>
  <si>
    <t>https://www.kegg.jp/entry/R04441</t>
  </si>
  <si>
    <t>C04272</t>
  </si>
  <si>
    <t>https://www.kegg.jp/entry/R05070</t>
  </si>
  <si>
    <t>C06007</t>
  </si>
  <si>
    <t>C00671 + C00001</t>
  </si>
  <si>
    <t>2.5.1.6</t>
  </si>
  <si>
    <t>https://www.kegg.jp/entry/2.5.1.6</t>
  </si>
  <si>
    <t>https://www.kegg.jp/entry/R00177</t>
  </si>
  <si>
    <t>https://www.kegg.jp/entry/R04771</t>
  </si>
  <si>
    <t>3.1.21.-</t>
  </si>
  <si>
    <t>3.1.21.3</t>
  </si>
  <si>
    <t>https://www.kegg.jp/entry/3.1.21.3</t>
  </si>
  <si>
    <t>2.7.7.-</t>
  </si>
  <si>
    <t>1.17.4.2</t>
  </si>
  <si>
    <t>3.1.11.6</t>
  </si>
  <si>
    <t>https://www.kegg.jp/entry/3.1.11.6</t>
  </si>
  <si>
    <t>https://www.kegg.jp/entry/1.17.4.2</t>
  </si>
  <si>
    <t>https://www.kegg.jp/entry/R04315</t>
  </si>
  <si>
    <t>https://www.kegg.jp/entry/R02014</t>
  </si>
  <si>
    <t>https://www.kegg.jp/entry/R02020</t>
  </si>
  <si>
    <t>https://www.kegg.jp/entry/R02022</t>
  </si>
  <si>
    <t>https://www.kegg.jp/entry/R02023</t>
  </si>
  <si>
    <t>2.3.1.117</t>
  </si>
  <si>
    <t>https://www.kegg.jp/entry/2.3.1.117</t>
  </si>
  <si>
    <t>https://www.kegg.jp/entry/R04365</t>
  </si>
  <si>
    <t>C00091 + C03972 + C00001</t>
  </si>
  <si>
    <t>C00010 + C04462</t>
  </si>
  <si>
    <t>2.3.3.16</t>
  </si>
  <si>
    <t>https://www.kegg.jp/entry/2.3.3.16</t>
  </si>
  <si>
    <t>https://www.kegg.jp/entry/R00351</t>
  </si>
  <si>
    <t>C00158 + C00010</t>
  </si>
  <si>
    <t>C00024 + C00001 + C00036</t>
  </si>
  <si>
    <t>3.4.11.18</t>
  </si>
  <si>
    <t>https://www.kegg.jp/entry/3.4.11.18</t>
  </si>
  <si>
    <t>6.1.1.15</t>
  </si>
  <si>
    <t>https://www.kegg.jp/entry/6.1.1.15</t>
  </si>
  <si>
    <t>https://www.kegg.jp/entry/R03661</t>
  </si>
  <si>
    <t>1.1.1.205</t>
  </si>
  <si>
    <t>https://www.kegg.jp/entry/1.1.1.205</t>
  </si>
  <si>
    <t>https://www.kegg.jp/entry/R01130</t>
  </si>
  <si>
    <t>C00130 + C00003 + C00001</t>
  </si>
  <si>
    <t>C00655 + C00004 + C00080</t>
  </si>
  <si>
    <t>https://www.kegg.jp/entry/R08240</t>
  </si>
  <si>
    <t>C04646 + C00003 + C00001</t>
  </si>
  <si>
    <t>C16618 + C00004 + C00080</t>
  </si>
  <si>
    <t>2.7.7.87</t>
  </si>
  <si>
    <t>https://www.kegg.jp/entry/2.7.7.87</t>
  </si>
  <si>
    <t>https://www.kegg.jp/entry/R10463</t>
  </si>
  <si>
    <t>2.1.1.297</t>
  </si>
  <si>
    <t>https://www.kegg.jp/entry/2.1.1.297</t>
  </si>
  <si>
    <t>https://www.kegg.jp/entry/R10806</t>
  </si>
  <si>
    <t>2.7.1.2</t>
  </si>
  <si>
    <t>https://www.kegg.jp/entry/2.7.1.2</t>
  </si>
  <si>
    <t>C00002 + C00031</t>
  </si>
  <si>
    <t>https://www.kegg.jp/entry/R00299</t>
  </si>
  <si>
    <t>C00008 + C00092</t>
  </si>
  <si>
    <t>https://www.kegg.jp/entry/R01600</t>
  </si>
  <si>
    <t>C00002 + C00221</t>
  </si>
  <si>
    <t>C00008 + C01172</t>
  </si>
  <si>
    <t>https://www.kegg.jp/entry/R01786</t>
  </si>
  <si>
    <t>C00002 + C00267</t>
  </si>
  <si>
    <t>C00008 + C00668</t>
  </si>
  <si>
    <t>3.1.2.-</t>
  </si>
  <si>
    <t>2.7.6.3</t>
  </si>
  <si>
    <t>https://www.kegg.jp/entry/2.7.6.3</t>
  </si>
  <si>
    <t>https://www.kegg.jp/entry/R03503</t>
  </si>
  <si>
    <t>C00002 + C01300</t>
  </si>
  <si>
    <t>C00020 + C04807</t>
  </si>
  <si>
    <t>2.5.1.15</t>
  </si>
  <si>
    <t>https://www.kegg.jp/entry/2.5.1.15</t>
  </si>
  <si>
    <t>https://www.kegg.jp/entry/R03067</t>
  </si>
  <si>
    <t>C04807 + C00568</t>
  </si>
  <si>
    <t>C00013 + C00921</t>
  </si>
  <si>
    <t>https://www.kegg.jp/entry/R03066</t>
  </si>
  <si>
    <t>C01300 + C00568</t>
  </si>
  <si>
    <t>C00921 + C00001</t>
  </si>
  <si>
    <t>3.5.4.16</t>
  </si>
  <si>
    <t>https://www.kegg.jp/entry/3.5.4.16</t>
  </si>
  <si>
    <t>https://www.kegg.jp/entry/R00424</t>
  </si>
  <si>
    <t>C00044 + C00001</t>
  </si>
  <si>
    <t>C04895 + C00058</t>
  </si>
  <si>
    <t>https://www.kegg.jp/entry/R00428</t>
  </si>
  <si>
    <t>C05922</t>
  </si>
  <si>
    <t>https://www.kegg.jp/entry/R04639</t>
  </si>
  <si>
    <t>C04895 + C00001</t>
  </si>
  <si>
    <t>C06148</t>
  </si>
  <si>
    <t>https://www.kegg.jp/entry/R05046</t>
  </si>
  <si>
    <t>C05922 + C00001</t>
  </si>
  <si>
    <t>C05923 + C00058</t>
  </si>
  <si>
    <t>https://www.kegg.jp/entry/R05048</t>
  </si>
  <si>
    <t>C05923</t>
  </si>
  <si>
    <t>2.4.2.8</t>
  </si>
  <si>
    <t>https://www.kegg.jp/entry/2.4.2.8</t>
  </si>
  <si>
    <t>6.3.4.19</t>
  </si>
  <si>
    <t>https://www.kegg.jp/entry/6.3.4.19</t>
  </si>
  <si>
    <t>https://www.kegg.jp/entry/R09597</t>
  </si>
  <si>
    <t>1.1.1.77</t>
  </si>
  <si>
    <t>https://www.kegg.jp/entry/1.1.1.77</t>
  </si>
  <si>
    <t>https://www.kegg.jp/entry/R02258</t>
  </si>
  <si>
    <t>C02917 + C00003</t>
  </si>
  <si>
    <t>C00424 + C00004 + C00080</t>
  </si>
  <si>
    <t>https://www.kegg.jp/entry/R03080</t>
  </si>
  <si>
    <t>C02912 + C00003</t>
  </si>
  <si>
    <t>C00937 + C00004 + C00080</t>
  </si>
  <si>
    <t>https://www.kegg.jp/entry/R01781</t>
  </si>
  <si>
    <t>C01380 + C00003</t>
  </si>
  <si>
    <t>C00266 + C00004 + C00080</t>
  </si>
  <si>
    <t>https://www.kegg.jp/entry/R02257</t>
  </si>
  <si>
    <t>C00583 + C00003</t>
  </si>
  <si>
    <t>2.1.1.33</t>
  </si>
  <si>
    <t>https://www.kegg.jp/entry/2.1.1.33</t>
  </si>
  <si>
    <t>https://www.kegg.jp/entry/R00600</t>
  </si>
  <si>
    <t>G01977 + C00001</t>
  </si>
  <si>
    <t>3.2.1.52</t>
  </si>
  <si>
    <t>https://www.kegg.jp/entry/3.2.1.52</t>
  </si>
  <si>
    <t>https://www.kegg.jp/entry/R00022</t>
  </si>
  <si>
    <t>C01674 + C00001</t>
  </si>
  <si>
    <t>C00140</t>
  </si>
  <si>
    <t>https://www.kegg.jp/entry/R03492</t>
  </si>
  <si>
    <t>C06135 + C00001</t>
  </si>
  <si>
    <t>C01290 + C01132</t>
  </si>
  <si>
    <t>https://www.kegg.jp/entry/R04184</t>
  </si>
  <si>
    <t>C04737 + C01132</t>
  </si>
  <si>
    <t>C03272 + C00001</t>
  </si>
  <si>
    <t>https://www.kegg.jp/entry/R04586</t>
  </si>
  <si>
    <t>C04884 + C00001</t>
  </si>
  <si>
    <t>C04730 + C01132</t>
  </si>
  <si>
    <t>https://www.kegg.jp/entry/R05963</t>
  </si>
  <si>
    <t>C00001 + G00094</t>
  </si>
  <si>
    <t>C01132 + G00093</t>
  </si>
  <si>
    <t>https://www.kegg.jp/entry/R06001</t>
  </si>
  <si>
    <t>G00123 + C00001</t>
  </si>
  <si>
    <t>G00092 + C01132</t>
  </si>
  <si>
    <t>https://www.kegg.jp/entry/R06004</t>
  </si>
  <si>
    <t>G00109 + C00001</t>
  </si>
  <si>
    <t>https://www.kegg.jp/entry/R06141</t>
  </si>
  <si>
    <t>G10336 + C00001</t>
  </si>
  <si>
    <t>https://www.kegg.jp/entry/R07809</t>
  </si>
  <si>
    <t>G13074 + C00001</t>
  </si>
  <si>
    <t>G01391 + C00140</t>
  </si>
  <si>
    <t>https://www.kegg.jp/entry/R07810</t>
  </si>
  <si>
    <t>G13073 + C00001</t>
  </si>
  <si>
    <t>G01391 + C04132</t>
  </si>
  <si>
    <t>https://www.kegg.jp/entry/R09323</t>
  </si>
  <si>
    <t>G13057 + C00001</t>
  </si>
  <si>
    <t>C00140 + G13058</t>
  </si>
  <si>
    <t>https://www.kegg.jp/entry/R10831</t>
  </si>
  <si>
    <t>G00711 + C00001</t>
  </si>
  <si>
    <t>G10008 + C00140</t>
  </si>
  <si>
    <t>https://www.kegg.jp/entry/R11316</t>
  </si>
  <si>
    <t>G13056 + C00001</t>
  </si>
  <si>
    <t>C00140 + G10665</t>
  </si>
  <si>
    <t>https://www.kegg.jp/entry/R11317</t>
  </si>
  <si>
    <t>G05477 + C00001</t>
  </si>
  <si>
    <t>G10920 + C00140</t>
  </si>
  <si>
    <t>https://www.kegg.jp/entry/R12963</t>
  </si>
  <si>
    <t>C22467 + C00001</t>
  </si>
  <si>
    <t>C03405 + C01132</t>
  </si>
  <si>
    <t>3.1.3.48</t>
  </si>
  <si>
    <t>https://www.kegg.jp/entry/3.1.3.48</t>
  </si>
  <si>
    <t>https://www.kegg.jp/entry/R02585</t>
  </si>
  <si>
    <t>1.5.1.3</t>
  </si>
  <si>
    <t>https://www.kegg.jp/entry/1.5.1.3</t>
  </si>
  <si>
    <t>https://www.kegg.jp/entry/R00939</t>
  </si>
  <si>
    <t>https://www.kegg.jp/entry/R00936</t>
  </si>
  <si>
    <t>https://www.kegg.jp/entry/R00937</t>
  </si>
  <si>
    <t>https://www.kegg.jp/entry/R00940</t>
  </si>
  <si>
    <t>https://www.kegg.jp/entry/R02235</t>
  </si>
  <si>
    <t>https://www.kegg.jp/entry/R02236</t>
  </si>
  <si>
    <t>https://www.kegg.jp/entry/R11765</t>
  </si>
  <si>
    <t>2.1.1.45</t>
  </si>
  <si>
    <t>https://www.kegg.jp/entry/2.1.1.45</t>
  </si>
  <si>
    <t>https://www.kegg.jp/entry/R02101</t>
  </si>
  <si>
    <t>1.11.1.-</t>
  </si>
  <si>
    <t>2.6.1.52</t>
  </si>
  <si>
    <t>https://www.kegg.jp/entry/2.6.1.52</t>
  </si>
  <si>
    <t>https://www.kegg.jp/entry/R04173</t>
  </si>
  <si>
    <t>C01005 + C00026</t>
  </si>
  <si>
    <t>C03232 + C00025</t>
  </si>
  <si>
    <t>https://www.kegg.jp/entry/R05085</t>
  </si>
  <si>
    <t>C06055 + C00026</t>
  </si>
  <si>
    <t>5.4.2.11</t>
  </si>
  <si>
    <t>https://www.kegg.jp/entry/5.4.2.11</t>
  </si>
  <si>
    <t>2.5.1.74</t>
  </si>
  <si>
    <t>https://www.kegg.jp/entry/2.5.1.74</t>
  </si>
  <si>
    <t>https://www.kegg.jp/entry/R10757</t>
  </si>
  <si>
    <t>C05847 + C03657</t>
  </si>
  <si>
    <t>C19847 + C00013 + C00011</t>
  </si>
  <si>
    <t>6.1.1.6</t>
  </si>
  <si>
    <t>https://www.kegg.jp/entry/6.1.1.6</t>
  </si>
  <si>
    <t>https://www.kegg.jp/entry/R03658</t>
  </si>
  <si>
    <t>5.1.3.2</t>
  </si>
  <si>
    <t>https://www.kegg.jp/entry/5.1.3.2</t>
  </si>
  <si>
    <t>https://www.kegg.jp/entry/R00291</t>
  </si>
  <si>
    <t>https://www.kegg.jp/entry/R00418</t>
  </si>
  <si>
    <t>https://www.kegg.jp/entry/R02984</t>
  </si>
  <si>
    <t>2.7.1.162</t>
  </si>
  <si>
    <t>https://www.kegg.jp/entry/2.7.1.162</t>
  </si>
  <si>
    <t>https://www.kegg.jp/entry/R08962</t>
  </si>
  <si>
    <t>C00002 + C03136</t>
  </si>
  <si>
    <t>C00008 + C18055</t>
  </si>
  <si>
    <t>https://www.kegg.jp/entry/R08967</t>
  </si>
  <si>
    <t>C01132 + C00002</t>
  </si>
  <si>
    <t>C18060 + C00008</t>
  </si>
  <si>
    <t>https://www.kegg.jp/entry/R08968</t>
  </si>
  <si>
    <t>C00140 + C00002</t>
  </si>
  <si>
    <t>2.4.1.211</t>
  </si>
  <si>
    <t>https://www.kegg.jp/entry/2.4.1.211</t>
  </si>
  <si>
    <t>https://www.kegg.jp/entry/R05326</t>
  </si>
  <si>
    <t>C06372 + C00009</t>
  </si>
  <si>
    <t>C00446 + C00140</t>
  </si>
  <si>
    <t>https://www.kegg.jp/entry/R06057</t>
  </si>
  <si>
    <t>G00284 + C00009</t>
  </si>
  <si>
    <t>6.1.1.11</t>
  </si>
  <si>
    <t>https://www.kegg.jp/entry/6.1.1.11</t>
  </si>
  <si>
    <t>https://www.kegg.jp/entry/R03662</t>
  </si>
  <si>
    <t>https://www.kegg.jp/entry/R08218</t>
  </si>
  <si>
    <t>5.4.2.2</t>
  </si>
  <si>
    <t>https://www.kegg.jp/entry/5.4.2.2</t>
  </si>
  <si>
    <t>https://www.kegg.jp/entry/R08639</t>
  </si>
  <si>
    <t>https://www.kegg.jp/entry/R00959</t>
  </si>
  <si>
    <t>https://www.kegg.jp/entry/R01057</t>
  </si>
  <si>
    <t>C00620</t>
  </si>
  <si>
    <t>https://www.kegg.jp/entry/R03319</t>
  </si>
  <si>
    <t>C01171</t>
  </si>
  <si>
    <t>C03735</t>
  </si>
  <si>
    <t>5.3.1.6</t>
  </si>
  <si>
    <t>https://www.kegg.jp/entry/5.3.1.6</t>
  </si>
  <si>
    <t>https://www.kegg.jp/entry/R01056</t>
  </si>
  <si>
    <t>https://www.kegg.jp/entry/R09030</t>
  </si>
  <si>
    <t>2.7.1.26</t>
  </si>
  <si>
    <t>https://www.kegg.jp/entry/2.7.1.26</t>
  </si>
  <si>
    <t>https://www.kegg.jp/entry/R00549</t>
  </si>
  <si>
    <t>2.7.7.2</t>
  </si>
  <si>
    <t>https://www.kegg.jp/entry/2.7.7.2</t>
  </si>
  <si>
    <t>https://www.kegg.jp/entry/R00161</t>
  </si>
  <si>
    <t>5.4.99.25</t>
  </si>
  <si>
    <t>https://www.kegg.jp/entry/5.4.99.25</t>
  </si>
  <si>
    <t>5.4.99.12</t>
  </si>
  <si>
    <t>https://www.kegg.jp/entry/5.4.99.12</t>
  </si>
  <si>
    <t>https://www.kegg.jp/entry/R03020</t>
  </si>
  <si>
    <t xml:space="preserve">C00201 </t>
  </si>
  <si>
    <t>2.7.4.3</t>
  </si>
  <si>
    <t>https://www.kegg.jp/entry/2.7.4.3</t>
  </si>
  <si>
    <t>https://www.kegg.jp/entry/R00127</t>
  </si>
  <si>
    <t>https://www.kegg.jp/entry/R01547</t>
  </si>
  <si>
    <t>C00002 + C00360</t>
  </si>
  <si>
    <t>C00008 + C00206</t>
  </si>
  <si>
    <t>https://www.kegg.jp/entry/R11319</t>
  </si>
  <si>
    <t>4.1.1.5</t>
  </si>
  <si>
    <t>https://www.kegg.jp/entry/4.1.1.5</t>
  </si>
  <si>
    <t>https://www.kegg.jp/entry/R02948</t>
  </si>
  <si>
    <t>C00810 + C00011</t>
  </si>
  <si>
    <t>1.1.1.1</t>
  </si>
  <si>
    <t>https://www.kegg.jp/entry/1.1.1.1</t>
  </si>
  <si>
    <t>https://www.kegg.jp/entry/R00623</t>
  </si>
  <si>
    <t>https://www.kegg.jp/entry/R00754</t>
  </si>
  <si>
    <t>https://www.kegg.jp/entry/R02124</t>
  </si>
  <si>
    <t>https://www.kegg.jp/entry/R02878</t>
  </si>
  <si>
    <t>https://www.kegg.jp/entry/R04805</t>
  </si>
  <si>
    <t>https://www.kegg.jp/entry/R04880</t>
  </si>
  <si>
    <t>https://www.kegg.jp/entry/R05233</t>
  </si>
  <si>
    <t>https://www.kegg.jp/entry/R05234</t>
  </si>
  <si>
    <t>https://www.kegg.jp/entry/R06917</t>
  </si>
  <si>
    <t>https://www.kegg.jp/entry/R06927</t>
  </si>
  <si>
    <t>https://www.kegg.jp/entry/R08281</t>
  </si>
  <si>
    <t>https://www.kegg.jp/entry/R08306</t>
  </si>
  <si>
    <t>https://www.kegg.jp/entry/R08557</t>
  </si>
  <si>
    <t>https://www.kegg.jp/entry/R08558</t>
  </si>
  <si>
    <t>https://www.kegg.jp/entry/R10783</t>
  </si>
  <si>
    <t>https://www.kegg.jp/entry/R00624</t>
  </si>
  <si>
    <t>https://www.kegg.jp/entry/R08310</t>
  </si>
  <si>
    <t xml:space="preserve"> C16596 + C00004 + C00080</t>
  </si>
  <si>
    <t>https://www.kegg.jp/entry/R02246</t>
  </si>
  <si>
    <t>https://www.kegg.jp/entry/R07105</t>
  </si>
  <si>
    <t>1.2.1.10</t>
  </si>
  <si>
    <t>https://www.kegg.jp/entry/1.2.1.10</t>
  </si>
  <si>
    <t>https://www.kegg.jp/entry/R00228</t>
  </si>
  <si>
    <t>https://www.kegg.jp/entry/R01172</t>
  </si>
  <si>
    <t>2.6.1.17</t>
  </si>
  <si>
    <t>https://www.kegg.jp/entry/2.6.1.17</t>
  </si>
  <si>
    <t>https://www.kegg.jp/entry/R04475</t>
  </si>
  <si>
    <t>C04421 + C00026</t>
  </si>
  <si>
    <t>C04462 + C00025</t>
  </si>
  <si>
    <t>1.3.1.98</t>
  </si>
  <si>
    <t>https://www.kegg.jp/entry/1.3.1.98</t>
  </si>
  <si>
    <t>https://www.kegg.jp/entry/R03192</t>
  </si>
  <si>
    <t>https://www.kegg.jp/entry/R03191</t>
  </si>
  <si>
    <t>6.3.3.2</t>
  </si>
  <si>
    <t>https://www.kegg.jp/entry/6.3.3.2</t>
  </si>
  <si>
    <t>https://www.kegg.jp/entry/R02301</t>
  </si>
  <si>
    <t>7.3.2.1</t>
  </si>
  <si>
    <t>https://www.kegg.jp/entry/7.3.2.1</t>
  </si>
  <si>
    <t>3.2.2.16</t>
  </si>
  <si>
    <t>https://www.kegg.jp/entry/3.2.2.16</t>
  </si>
  <si>
    <t>https://www.kegg.jp/entry/R01401</t>
  </si>
  <si>
    <t>3.2.2.9</t>
  </si>
  <si>
    <t>https://www.kegg.jp/entry/3.2.2.9</t>
  </si>
  <si>
    <t>https://www.kegg.jp/entry/R00194</t>
  </si>
  <si>
    <t>https://www.kegg.jp/entry/R12621</t>
  </si>
  <si>
    <t>2.5.1.54</t>
  </si>
  <si>
    <t>https://www.kegg.jp/entry/2.5.1.54</t>
  </si>
  <si>
    <t>https://www.kegg.jp/entry/R01826</t>
  </si>
  <si>
    <t>C00074 + C00279 + C00001</t>
  </si>
  <si>
    <t>C04691 + C00009</t>
  </si>
  <si>
    <t>3.4.22.-</t>
  </si>
  <si>
    <t>3.4.19.3</t>
  </si>
  <si>
    <t>https://www.kegg.jp/entry/3.4.19.3</t>
  </si>
  <si>
    <t>2.1.1.228</t>
  </si>
  <si>
    <t>https://www.kegg.jp/entry/2.1.1.228</t>
  </si>
  <si>
    <t>https://www.kegg.jp/entry/R00597</t>
  </si>
  <si>
    <t>2.1.1.171</t>
  </si>
  <si>
    <t>https://www.kegg.jp/entry/2.1.1.171</t>
  </si>
  <si>
    <t>https://www.kegg.jp/entry/R07234</t>
  </si>
  <si>
    <t>6.3.4.-</t>
  </si>
  <si>
    <t>2.7.2.11</t>
  </si>
  <si>
    <t>https://www.kegg.jp/entry/2.7.2.11</t>
  </si>
  <si>
    <t>https://www.kegg.jp/entry/R00239</t>
  </si>
  <si>
    <t>C00002 + C00025</t>
  </si>
  <si>
    <t>C00008 + C03287</t>
  </si>
  <si>
    <t>3.5.1.18</t>
  </si>
  <si>
    <t>https://www.kegg.jp/entry/3.5.1.18</t>
  </si>
  <si>
    <t>https://www.kegg.jp/entry/R02734</t>
  </si>
  <si>
    <t>C04421 + C00001</t>
  </si>
  <si>
    <t>C00042 + C00666</t>
  </si>
  <si>
    <t>2.7.1.39</t>
  </si>
  <si>
    <t>https://www.kegg.jp/entry/2.7.1.39</t>
  </si>
  <si>
    <t>https://www.kegg.jp/entry/R01771</t>
  </si>
  <si>
    <t>1.1.1.3</t>
  </si>
  <si>
    <t>https://www.kegg.jp/entry/1.1.1.3</t>
  </si>
  <si>
    <t>https://www.kegg.jp/entry/R01773</t>
  </si>
  <si>
    <t>C00263 + C00003</t>
  </si>
  <si>
    <t>https://www.kegg.jp/entry/R01775</t>
  </si>
  <si>
    <t>4.1.1.-</t>
  </si>
  <si>
    <t>6.1.1.19</t>
  </si>
  <si>
    <t>https://www.kegg.jp/entry/6.1.1.19</t>
  </si>
  <si>
    <t>https://www.kegg.jp/entry/R03646</t>
  </si>
  <si>
    <t>2.5.1.7</t>
  </si>
  <si>
    <t>https://www.kegg.jp/entry/2.5.1.7</t>
  </si>
  <si>
    <t>https://www.kegg.jp/entry/R00660</t>
  </si>
  <si>
    <t>4.2.1.33</t>
  </si>
  <si>
    <t>https://www.kegg.jp/entry/4.2.1.33</t>
  </si>
  <si>
    <t>https://www.kegg.jp/entry/R03968</t>
  </si>
  <si>
    <t>C02504</t>
  </si>
  <si>
    <t>C02631 + C00001</t>
  </si>
  <si>
    <t>https://www.kegg.jp/entry/R04001</t>
  </si>
  <si>
    <t>C04411</t>
  </si>
  <si>
    <t>https://www.kegg.jp/entry/R10170</t>
  </si>
  <si>
    <t>2.7.4.1</t>
  </si>
  <si>
    <t>https://www.kegg.jp/entry/2.7.4.1</t>
  </si>
  <si>
    <t>https://www.kegg.jp/entry/R02184</t>
  </si>
  <si>
    <t>C00002 + C00404</t>
  </si>
  <si>
    <t>C00008 + C00404</t>
  </si>
  <si>
    <t>2.4.2.9</t>
  </si>
  <si>
    <t>https://www.kegg.jp/entry/2.4.2.9</t>
  </si>
  <si>
    <t>https://www.kegg.jp/entry/R00966</t>
  </si>
  <si>
    <t>2.1.1.177</t>
  </si>
  <si>
    <t>https://www.kegg.jp/entry/2.1.1.177</t>
  </si>
  <si>
    <t>6.1.1.-</t>
  </si>
  <si>
    <t>3.7.-.-</t>
  </si>
  <si>
    <t>5.4.99.9</t>
  </si>
  <si>
    <t>https://www.kegg.jp/entry/5.4.99.9</t>
  </si>
  <si>
    <t>https://www.kegg.jp/entry/R00505</t>
  </si>
  <si>
    <t>C03733</t>
  </si>
  <si>
    <t>https://www.kegg.jp/entry/R09009</t>
  </si>
  <si>
    <t>C00935</t>
  </si>
  <si>
    <t>C18094</t>
  </si>
  <si>
    <t>2.7.1.17</t>
  </si>
  <si>
    <t>https://www.kegg.jp/entry/2.7.1.17</t>
  </si>
  <si>
    <t>https://www.kegg.jp/entry/R01639</t>
  </si>
  <si>
    <t>C00002 + C00310</t>
  </si>
  <si>
    <t>C00008 + C00231</t>
  </si>
  <si>
    <t>2.7.7.24</t>
  </si>
  <si>
    <t>https://www.kegg.jp/entry/2.7.7.24</t>
  </si>
  <si>
    <t>https://www.kegg.jp/entry/R02328</t>
  </si>
  <si>
    <t>C00459 + C00103</t>
  </si>
  <si>
    <t>C00013 + C00842</t>
  </si>
  <si>
    <t>4.2.1.46</t>
  </si>
  <si>
    <t>https://www.kegg.jp/entry/4.2.1.46</t>
  </si>
  <si>
    <t>https://www.kegg.jp/entry/R06513</t>
  </si>
  <si>
    <t>C11907 + C00001</t>
  </si>
  <si>
    <t>2.4.2.-</t>
  </si>
  <si>
    <t>6.1.1.10</t>
  </si>
  <si>
    <t>https://www.kegg.jp/entry/6.1.1.10</t>
  </si>
  <si>
    <t>https://www.kegg.jp/entry/R03659</t>
  </si>
  <si>
    <t>C00020 + C00013 + C02430</t>
  </si>
  <si>
    <t>https://www.kegg.jp/entry/R04773</t>
  </si>
  <si>
    <t>2.1.1.198</t>
  </si>
  <si>
    <t>https://www.kegg.jp/entry/2.1.1.198</t>
  </si>
  <si>
    <t>2.7.1.180</t>
  </si>
  <si>
    <t>https://www.kegg.jp/entry/2.7.1.180</t>
  </si>
  <si>
    <t>https://www.kegg.jp/entry/R10613</t>
  </si>
  <si>
    <t>C00016 + C19803</t>
  </si>
  <si>
    <t>C20730 + C00020</t>
  </si>
  <si>
    <t>2.3.1.286</t>
  </si>
  <si>
    <t>https://www.kegg.jp/entry/2.3.1.286</t>
  </si>
  <si>
    <t>https://www.kegg.jp/entry/R10634</t>
  </si>
  <si>
    <t>https://www.kegg.jp/entry/R10633</t>
  </si>
  <si>
    <t>4.3.1.19</t>
  </si>
  <si>
    <t>https://www.kegg.jp/entry/4.3.1.19</t>
  </si>
  <si>
    <t>https://www.kegg.jp/entry/R00996</t>
  </si>
  <si>
    <t>C00109 + C00014</t>
  </si>
  <si>
    <t>https://www.kegg.jp/entry/R11098</t>
  </si>
  <si>
    <t>C20905 + C00001</t>
  </si>
  <si>
    <t>https://www.kegg.jp/entry/R11101</t>
  </si>
  <si>
    <t>C17234</t>
  </si>
  <si>
    <t>C20905</t>
  </si>
  <si>
    <t>3.2.1.22</t>
  </si>
  <si>
    <t>https://www.kegg.jp/entry/3.2.1.22</t>
  </si>
  <si>
    <t>https://www.kegg.jp/entry/R01101</t>
  </si>
  <si>
    <t>C05402 + C00001</t>
  </si>
  <si>
    <t>C00124 + C00031</t>
  </si>
  <si>
    <t>https://www.kegg.jp/entry/R01103</t>
  </si>
  <si>
    <t>C00124 + C00089</t>
  </si>
  <si>
    <t>https://www.kegg.jp/entry/R01104</t>
  </si>
  <si>
    <t>C05401 + C00001</t>
  </si>
  <si>
    <t>C00124 + C00116</t>
  </si>
  <si>
    <t>https://www.kegg.jp/entry/R01194</t>
  </si>
  <si>
    <t>C01235 + C00001</t>
  </si>
  <si>
    <t>C00137 + C00124</t>
  </si>
  <si>
    <t>https://www.kegg.jp/entry/R01329</t>
  </si>
  <si>
    <t>C05400 + C00001</t>
  </si>
  <si>
    <t>C00159 + C00124</t>
  </si>
  <si>
    <t>https://www.kegg.jp/entry/R02926</t>
  </si>
  <si>
    <t>C05399 + C00001</t>
  </si>
  <si>
    <t>C00794 + C00124</t>
  </si>
  <si>
    <t>https://www.kegg.jp/entry/R03618</t>
  </si>
  <si>
    <t>C04737 + C00001</t>
  </si>
  <si>
    <t>C00124 + C01290</t>
  </si>
  <si>
    <t>https://www.kegg.jp/entry/R03634</t>
  </si>
  <si>
    <t>C00492 + C00124</t>
  </si>
  <si>
    <t>https://www.kegg.jp/entry/R04019</t>
  </si>
  <si>
    <t>C06126 + C00001</t>
  </si>
  <si>
    <t>C02686 + C00124</t>
  </si>
  <si>
    <t>https://www.kegg.jp/entry/R04470</t>
  </si>
  <si>
    <t>C06037 + C00001</t>
  </si>
  <si>
    <t>C03692 + C00124</t>
  </si>
  <si>
    <t>https://www.kegg.jp/entry/R05549</t>
  </si>
  <si>
    <t>C05404 + C00001</t>
  </si>
  <si>
    <t>C00124 + C05402</t>
  </si>
  <si>
    <t>https://www.kegg.jp/entry/R05961</t>
  </si>
  <si>
    <t>C00001 + G00093</t>
  </si>
  <si>
    <t>C00124 + G00092</t>
  </si>
  <si>
    <t>https://www.kegg.jp/entry/R06070</t>
  </si>
  <si>
    <t>G00249 + C00001</t>
  </si>
  <si>
    <t>C00124 + G00370</t>
  </si>
  <si>
    <t>https://www.kegg.jp/entry/R06091</t>
  </si>
  <si>
    <t>G01275 + C00001</t>
  </si>
  <si>
    <t>https://www.kegg.jp/entry/R06093</t>
  </si>
  <si>
    <t>G10488 + C00001</t>
  </si>
  <si>
    <t>https://www.kegg.jp/entry/R06094</t>
  </si>
  <si>
    <t>G00497 + C00001</t>
  </si>
  <si>
    <t>G11121 + C00124</t>
  </si>
  <si>
    <t>https://www.kegg.jp/entry/R06096</t>
  </si>
  <si>
    <t>G00501 + C00001</t>
  </si>
  <si>
    <t>C00124 + G01275</t>
  </si>
  <si>
    <t>https://www.kegg.jp/entry/R06142</t>
  </si>
  <si>
    <t>G10529 + C00001</t>
  </si>
  <si>
    <t>https://www.kegg.jp/entry/R06152</t>
  </si>
  <si>
    <t>G00278 + C00001</t>
  </si>
  <si>
    <t>G00249 + C00124</t>
  </si>
  <si>
    <t>3.5.4.33</t>
  </si>
  <si>
    <t>https://www.kegg.jp/entry/3.5.4.33</t>
  </si>
  <si>
    <t>https://www.kegg.jp/entry/R10223</t>
  </si>
  <si>
    <t>3.5.4.13</t>
  </si>
  <si>
    <t>https://www.kegg.jp/entry/3.5.4.13</t>
  </si>
  <si>
    <t>https://www.kegg.jp/entry/R02325</t>
  </si>
  <si>
    <t>C00458 + C00001</t>
  </si>
  <si>
    <t>C00460 + C00014</t>
  </si>
  <si>
    <t>2.7.1.193</t>
  </si>
  <si>
    <t>https://www.kegg.jp/entry/2.7.1.193</t>
  </si>
  <si>
    <t>https://www.kegg.jp/entry/R05199</t>
  </si>
  <si>
    <t>C04261 + C00140</t>
  </si>
  <si>
    <t>C00615 + C00357</t>
  </si>
  <si>
    <t>1.17.4.1</t>
  </si>
  <si>
    <t>https://www.kegg.jp/entry/1.17.4.1</t>
  </si>
  <si>
    <t>https://www.kegg.jp/entry/R04294</t>
  </si>
  <si>
    <t>https://www.kegg.jp/entry/R02017</t>
  </si>
  <si>
    <t>https://www.kegg.jp/entry/R02018</t>
  </si>
  <si>
    <t>https://www.kegg.jp/entry/R02019</t>
  </si>
  <si>
    <t>https://www.kegg.jp/entry/R02024</t>
  </si>
  <si>
    <t>https://www.kegg.jp/entry/R08363</t>
  </si>
  <si>
    <t>https://www.kegg.jp/entry/R08364</t>
  </si>
  <si>
    <t>https://www.kegg.jp/entry/R11893</t>
  </si>
  <si>
    <t>1.8.-.-</t>
  </si>
  <si>
    <t>2.1.1.182</t>
  </si>
  <si>
    <t>https://www.kegg.jp/entry/2.1.1.182</t>
  </si>
  <si>
    <t>https://www.kegg.jp/entry/R10716</t>
  </si>
  <si>
    <t>2.7.1.148</t>
  </si>
  <si>
    <t>https://www.kegg.jp/entry/2.7.1.148</t>
  </si>
  <si>
    <t>https://www.kegg.jp/entry/R05634</t>
  </si>
  <si>
    <t>C11435 + C00002</t>
  </si>
  <si>
    <t>C11436 + C00008</t>
  </si>
  <si>
    <t>2.7.7.72</t>
  </si>
  <si>
    <t>https://www.kegg.jp/entry/2.7.7.72</t>
  </si>
  <si>
    <t>https://www.kegg.jp/entry/R09382</t>
  </si>
  <si>
    <t>https://www.kegg.jp/entry/R09383</t>
  </si>
  <si>
    <t>https://www.kegg.jp/entry/R09384</t>
  </si>
  <si>
    <t>https://www.kegg.jp/entry/R09386</t>
  </si>
  <si>
    <t>2.1.1.170</t>
  </si>
  <si>
    <t>https://www.kegg.jp/entry/2.1.1.170</t>
  </si>
  <si>
    <t>3.1.26.5</t>
  </si>
  <si>
    <t>https://www.kegg.jp/entry/3.1.26.5</t>
  </si>
  <si>
    <t>1_1_1_205</t>
  </si>
  <si>
    <t>1_1_1_23</t>
  </si>
  <si>
    <t>1_1_1_267</t>
  </si>
  <si>
    <t>1_1_1_42</t>
  </si>
  <si>
    <t>1_1_1_435</t>
  </si>
  <si>
    <t>1_1_1_77</t>
  </si>
  <si>
    <t>1_1_1_85</t>
  </si>
  <si>
    <t>1_1_1_86</t>
  </si>
  <si>
    <t>1_1_1_95</t>
  </si>
  <si>
    <t>1_11_1_24</t>
  </si>
  <si>
    <t>1_11_1_26</t>
  </si>
  <si>
    <t>1_17_7_1</t>
  </si>
  <si>
    <t>1_17_7_4</t>
  </si>
  <si>
    <t>1_2_1_38</t>
  </si>
  <si>
    <t>1_2_1_41</t>
  </si>
  <si>
    <t>1_3_5_2</t>
  </si>
  <si>
    <t>1_4_1_13</t>
  </si>
  <si>
    <t>1_4_1_4</t>
  </si>
  <si>
    <t>1_4_3_16</t>
  </si>
  <si>
    <t>1_5_1_2</t>
  </si>
  <si>
    <t>1_5_1_20</t>
  </si>
  <si>
    <t>1_97_1_4</t>
  </si>
  <si>
    <t>2_1_1_192</t>
  </si>
  <si>
    <t>2_1_1_193</t>
  </si>
  <si>
    <t>2_1_1_37</t>
  </si>
  <si>
    <t>2_1_1_72</t>
  </si>
  <si>
    <t>2_1_3_3</t>
  </si>
  <si>
    <t>2_2_1_1</t>
  </si>
  <si>
    <t>2_2_1_2</t>
  </si>
  <si>
    <t>2_2_1_6</t>
  </si>
  <si>
    <t>2_3_1_1</t>
  </si>
  <si>
    <t>2_3_1_117</t>
  </si>
  <si>
    <t>2_3_1_35</t>
  </si>
  <si>
    <t>2_3_1_46</t>
  </si>
  <si>
    <t>2_3_1_54</t>
  </si>
  <si>
    <t>2_3_3_13</t>
  </si>
  <si>
    <t>2_3_3_16</t>
  </si>
  <si>
    <t>2_4_1_18</t>
  </si>
  <si>
    <t>2_4_1_211</t>
  </si>
  <si>
    <t>2_4_1_25</t>
  </si>
  <si>
    <t>2_4_2_17</t>
  </si>
  <si>
    <t>2_4_2_18</t>
  </si>
  <si>
    <t>2_4_2_19</t>
  </si>
  <si>
    <t>2_4_2_29</t>
  </si>
  <si>
    <t>2_5_1_145</t>
  </si>
  <si>
    <t>2_5_1_15</t>
  </si>
  <si>
    <t>2_5_1_19</t>
  </si>
  <si>
    <t>2_5_1_48</t>
  </si>
  <si>
    <t>2_5_1_54</t>
  </si>
  <si>
    <t>2_5_1_72</t>
  </si>
  <si>
    <t>2_5_1_74</t>
  </si>
  <si>
    <t>2_6_1_11</t>
  </si>
  <si>
    <t>2_6_1_17</t>
  </si>
  <si>
    <t>2_6_1_52</t>
  </si>
  <si>
    <t>2_6_1_9</t>
  </si>
  <si>
    <t>2_7_1_148</t>
  </si>
  <si>
    <t>2_7_1_162</t>
  </si>
  <si>
    <t>2_7_1_17</t>
  </si>
  <si>
    <t>2_7_1_180</t>
  </si>
  <si>
    <t>2_7_1_193</t>
  </si>
  <si>
    <t>2_7_1_2</t>
  </si>
  <si>
    <t>2_7_1_202</t>
  </si>
  <si>
    <t>2_7_1_35</t>
  </si>
  <si>
    <t>2_7_1_50</t>
  </si>
  <si>
    <t>2_7_1_63</t>
  </si>
  <si>
    <t>2_7_2_11</t>
  </si>
  <si>
    <t>2_7_2_8</t>
  </si>
  <si>
    <t>2_7_4_1</t>
  </si>
  <si>
    <t>2_7_4_9</t>
  </si>
  <si>
    <t>2_7_6_3</t>
  </si>
  <si>
    <t>2_7_6_5</t>
  </si>
  <si>
    <t>2_7_7_24</t>
  </si>
  <si>
    <t>2_7_7_42</t>
  </si>
  <si>
    <t>2_7_7_56</t>
  </si>
  <si>
    <t>2_7_7_73</t>
  </si>
  <si>
    <t>2_7_7_8</t>
  </si>
  <si>
    <t>2_7_7_89</t>
  </si>
  <si>
    <t>2_8_1_10</t>
  </si>
  <si>
    <t>2_8_1_7</t>
  </si>
  <si>
    <t>2_8_4_2</t>
  </si>
  <si>
    <t>2_8_4_3</t>
  </si>
  <si>
    <t>3_1_1_31</t>
  </si>
  <si>
    <t>3_1_11_2</t>
  </si>
  <si>
    <t>3_1_11_6</t>
  </si>
  <si>
    <t>3_1_21_10</t>
  </si>
  <si>
    <t>3_1_21_2</t>
  </si>
  <si>
    <t>3_1_21_3</t>
  </si>
  <si>
    <t>3_1_26_3</t>
  </si>
  <si>
    <t>3_1_26_4</t>
  </si>
  <si>
    <t>3_1_26_5</t>
  </si>
  <si>
    <t>3_1_3_16</t>
  </si>
  <si>
    <t>3_1_3_2</t>
  </si>
  <si>
    <t>3_1_3_3</t>
  </si>
  <si>
    <t>3_2_1_163</t>
  </si>
  <si>
    <t>3_2_1_196</t>
  </si>
  <si>
    <t>3_2_1_22</t>
  </si>
  <si>
    <t>3_2_1_23</t>
  </si>
  <si>
    <t>3_2_1_41</t>
  </si>
  <si>
    <t>3_2_1_52</t>
  </si>
  <si>
    <t>3_2_2_15</t>
  </si>
  <si>
    <t>3_2_2_16</t>
  </si>
  <si>
    <t>3_2_2_20</t>
  </si>
  <si>
    <t>3_2_2_27</t>
  </si>
  <si>
    <t>3_4_11_18</t>
  </si>
  <si>
    <t>3_4_11_2</t>
  </si>
  <si>
    <t>3_4_16_4</t>
  </si>
  <si>
    <t>3_4_19_3</t>
  </si>
  <si>
    <t>3_4_21_105</t>
  </si>
  <si>
    <t>3_4_21_88</t>
  </si>
  <si>
    <t>3_4_21_89</t>
  </si>
  <si>
    <t>3_4_23_36</t>
  </si>
  <si>
    <t>3_5_1_119</t>
  </si>
  <si>
    <t>3_5_1_18</t>
  </si>
  <si>
    <t>3_5_1_28</t>
  </si>
  <si>
    <t>3_5_2_10</t>
  </si>
  <si>
    <t>3_5_4_13</t>
  </si>
  <si>
    <t>3_5_4_16</t>
  </si>
  <si>
    <t>3_5_4_19</t>
  </si>
  <si>
    <t>3_5_4_5</t>
  </si>
  <si>
    <t>3_5_99_2</t>
  </si>
  <si>
    <t>3_6_1_22</t>
  </si>
  <si>
    <t>3_6_1_23</t>
  </si>
  <si>
    <t>3_6_1_27</t>
  </si>
  <si>
    <t>3_6_1_31</t>
  </si>
  <si>
    <t>3_6_4_12</t>
  </si>
  <si>
    <t>3_6_5_n1</t>
  </si>
  <si>
    <t>4_1_1_5</t>
  </si>
  <si>
    <t>4_1_2_13</t>
  </si>
  <si>
    <t>4_1_3_27</t>
  </si>
  <si>
    <t>4_1_99_17</t>
  </si>
  <si>
    <t>4_2_1_10</t>
  </si>
  <si>
    <t>4_2_1_19</t>
  </si>
  <si>
    <t>4_2_1_20</t>
  </si>
  <si>
    <t>4_2_1_3</t>
  </si>
  <si>
    <t>4_2_1_33</t>
  </si>
  <si>
    <t>4_2_1_46</t>
  </si>
  <si>
    <t>4_2_1_51</t>
  </si>
  <si>
    <t>4_2_1_9</t>
  </si>
  <si>
    <t>4_2_3_5</t>
  </si>
  <si>
    <t>4_2_99_18</t>
  </si>
  <si>
    <t>4_3_1_1</t>
  </si>
  <si>
    <t>4_3_1_17</t>
  </si>
  <si>
    <t>4_3_1_19</t>
  </si>
  <si>
    <t>4_3_2_1</t>
  </si>
  <si>
    <t>4_3_2_10</t>
  </si>
  <si>
    <t>4_3_3_6</t>
  </si>
  <si>
    <t>4_4_1_13</t>
  </si>
  <si>
    <t>4_6_1_12</t>
  </si>
  <si>
    <t>5_1_3_9</t>
  </si>
  <si>
    <t>5_3_1_16</t>
  </si>
  <si>
    <t>5_3_1_24</t>
  </si>
  <si>
    <t>5_4_2_11</t>
  </si>
  <si>
    <t>5_4_2_2</t>
  </si>
  <si>
    <t>5_4_99_25</t>
  </si>
  <si>
    <t>5_4_99_5</t>
  </si>
  <si>
    <t>5_4_99_9</t>
  </si>
  <si>
    <t>5_6_2_1</t>
  </si>
  <si>
    <t>5_6_2_2</t>
  </si>
  <si>
    <t>5_6_2_3</t>
  </si>
  <si>
    <t>5_6_2_4</t>
  </si>
  <si>
    <t>6_1_1_21</t>
  </si>
  <si>
    <t>6_2_1_5</t>
  </si>
  <si>
    <t>6_3_1_19</t>
  </si>
  <si>
    <t>6_3_2_13</t>
  </si>
  <si>
    <t>6_3_4_5</t>
  </si>
  <si>
    <t>6_3_5_1</t>
  </si>
  <si>
    <t>7_1_1_1</t>
  </si>
  <si>
    <t>7_3_2_1</t>
  </si>
  <si>
    <t>7_4_2_11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</si>
</sst>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5B616B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212121"/>
      <name val="Arial"/>
      <family val="2"/>
    </font>
    <font>
      <sz val="8"/>
      <color rgb="FF0071BC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3D7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1F1F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0E0E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1">
    <xf numFmtId="0" fontId="0" fillId="0" borderId="0" xfId="0"/>
    <xf numFmtId="0" fontId="18" fillId="0" borderId="10" xfId="0" applyFont="1" applyBorder="1" applyAlignment="1">
      <alignment horizontal="left" vertical="center" wrapText="1" indent="1"/>
    </xf>
    <xf numFmtId="0" fontId="20" fillId="0" borderId="0" xfId="0" applyFont="1" applyAlignment="1">
      <alignment vertical="top"/>
    </xf>
    <xf numFmtId="0" fontId="21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vertical="top" wrapText="1"/>
    </xf>
    <xf numFmtId="0" fontId="19" fillId="0" borderId="0" xfId="42" applyAlignment="1">
      <alignment vertical="top"/>
    </xf>
    <xf numFmtId="0" fontId="20" fillId="0" borderId="0" xfId="0" applyFont="1" applyAlignment="1">
      <alignment horizontal="left" vertical="top" wrapText="1"/>
    </xf>
    <xf numFmtId="0" fontId="14" fillId="0" borderId="0" xfId="0" applyFont="1"/>
    <xf numFmtId="0" fontId="0" fillId="0" borderId="0" xfId="0" applyAlignment="1">
      <alignment wrapText="1"/>
    </xf>
    <xf numFmtId="0" fontId="23" fillId="0" borderId="0" xfId="0" applyFont="1" applyAlignment="1">
      <alignment wrapText="1"/>
    </xf>
    <xf numFmtId="0" fontId="0" fillId="33" borderId="0" xfId="0" applyFill="1" applyAlignment="1">
      <alignment vertical="center" wrapText="1"/>
    </xf>
    <xf numFmtId="0" fontId="16" fillId="33" borderId="1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34" borderId="0" xfId="0" applyFill="1"/>
    <xf numFmtId="0" fontId="0" fillId="35" borderId="0" xfId="0" applyFill="1"/>
    <xf numFmtId="0" fontId="23" fillId="0" borderId="0" xfId="0" applyFont="1"/>
    <xf numFmtId="0" fontId="23" fillId="0" borderId="0" xfId="0" quotePrefix="1" applyFont="1"/>
    <xf numFmtId="0" fontId="16" fillId="0" borderId="0" xfId="0" applyFont="1"/>
    <xf numFmtId="0" fontId="16" fillId="34" borderId="0" xfId="0" applyFont="1" applyFill="1"/>
    <xf numFmtId="0" fontId="16" fillId="35" borderId="0" xfId="0" applyFont="1" applyFill="1"/>
    <xf numFmtId="0" fontId="16" fillId="0" borderId="0" xfId="0" applyFont="1" applyAlignment="1">
      <alignment wrapText="1"/>
    </xf>
    <xf numFmtId="0" fontId="16" fillId="40" borderId="0" xfId="0" applyFont="1" applyFill="1" applyAlignment="1">
      <alignment wrapText="1"/>
    </xf>
    <xf numFmtId="0" fontId="16" fillId="41" borderId="0" xfId="0" applyFont="1" applyFill="1" applyAlignment="1">
      <alignment wrapText="1"/>
    </xf>
    <xf numFmtId="0" fontId="16" fillId="36" borderId="0" xfId="0" applyFont="1" applyFill="1" applyAlignment="1">
      <alignment wrapText="1"/>
    </xf>
    <xf numFmtId="0" fontId="16" fillId="34" borderId="0" xfId="0" applyFont="1" applyFill="1" applyAlignment="1">
      <alignment wrapText="1"/>
    </xf>
    <xf numFmtId="0" fontId="16" fillId="39" borderId="0" xfId="0" applyFont="1" applyFill="1" applyAlignment="1">
      <alignment wrapText="1"/>
    </xf>
    <xf numFmtId="0" fontId="16" fillId="38" borderId="0" xfId="0" applyFont="1" applyFill="1" applyAlignment="1">
      <alignment wrapText="1"/>
    </xf>
    <xf numFmtId="0" fontId="16" fillId="37" borderId="0" xfId="0" applyFont="1" applyFill="1" applyAlignment="1">
      <alignment wrapText="1"/>
    </xf>
    <xf numFmtId="0" fontId="0" fillId="40" borderId="0" xfId="0" applyFill="1"/>
    <xf numFmtId="0" fontId="0" fillId="41" borderId="0" xfId="0" applyFill="1"/>
    <xf numFmtId="0" fontId="0" fillId="36" borderId="0" xfId="0" applyFill="1"/>
    <xf numFmtId="0" fontId="0" fillId="39" borderId="0" xfId="0" applyFill="1"/>
    <xf numFmtId="0" fontId="0" fillId="38" borderId="0" xfId="0" applyFill="1"/>
    <xf numFmtId="0" fontId="0" fillId="37" borderId="0" xfId="0" applyFill="1"/>
    <xf numFmtId="0" fontId="16" fillId="43" borderId="0" xfId="0" applyFont="1" applyFill="1" applyAlignment="1">
      <alignment wrapText="1"/>
    </xf>
    <xf numFmtId="0" fontId="0" fillId="43" borderId="0" xfId="0" applyFill="1"/>
    <xf numFmtId="0" fontId="16" fillId="42" borderId="0" xfId="0" applyFont="1" applyFill="1" applyAlignment="1">
      <alignment wrapText="1"/>
    </xf>
    <xf numFmtId="0" fontId="0" fillId="42" borderId="0" xfId="0" applyFill="1" applyAlignment="1">
      <alignment wrapText="1"/>
    </xf>
    <xf numFmtId="0" fontId="2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9" fillId="0" borderId="0" xfId="42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9" fillId="33" borderId="12" xfId="42" applyFill="1" applyBorder="1" applyAlignment="1">
      <alignment horizontal="left" vertical="center"/>
    </xf>
    <xf numFmtId="0" fontId="26" fillId="33" borderId="12" xfId="0" applyFont="1" applyFill="1" applyBorder="1" applyAlignment="1">
      <alignment horizontal="right" vertical="center"/>
    </xf>
    <xf numFmtId="0" fontId="0" fillId="44" borderId="0" xfId="0" applyFill="1"/>
    <xf numFmtId="0" fontId="1" fillId="44" borderId="0" xfId="42" applyFont="1" applyFill="1" applyAlignment="1">
      <alignment horizontal="left" vertical="center"/>
    </xf>
    <xf numFmtId="0" fontId="0" fillId="45" borderId="0" xfId="0" applyFill="1"/>
    <xf numFmtId="0" fontId="23" fillId="45" borderId="0" xfId="0" applyFont="1" applyFill="1" applyAlignment="1">
      <alignment horizontal="left" vertical="center"/>
    </xf>
    <xf numFmtId="0" fontId="0" fillId="46" borderId="0" xfId="0" applyFill="1"/>
    <xf numFmtId="0" fontId="1" fillId="46" borderId="0" xfId="42" applyFont="1" applyFill="1"/>
    <xf numFmtId="0" fontId="1" fillId="0" borderId="0" xfId="42" applyFont="1" applyFill="1"/>
    <xf numFmtId="0" fontId="19" fillId="0" borderId="0" xfId="42" applyFill="1"/>
    <xf numFmtId="0" fontId="22" fillId="0" borderId="0" xfId="0" applyFont="1"/>
    <xf numFmtId="0" fontId="19" fillId="0" borderId="0" xfId="42" applyFill="1" applyAlignment="1">
      <alignment horizontal="left" vertical="center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66"/>
      <color rgb="FF99FF66"/>
      <color rgb="FFFFCCFF"/>
      <color rgb="FFE3D7E0"/>
      <color rgb="FFFFCCCC"/>
      <color rgb="FFFF66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nuccore/NZ_AP012324.1/" TargetMode="External"/><Relationship Id="rId2" Type="http://schemas.openxmlformats.org/officeDocument/2006/relationships/hyperlink" Target="https://www.ncbi.nlm.nih.gov/nuccore/NZ_AP012324.1/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ncbi.nlm.nih.gov/datasets/genome/GCF_001025175.1/" TargetMode="External"/><Relationship Id="rId4" Type="http://schemas.openxmlformats.org/officeDocument/2006/relationships/hyperlink" Target="https://www.ncbi.nlm.nih.gov/nuccore/AP012324.1/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kegg.jp/entry/2.7.6.3" TargetMode="External"/><Relationship Id="rId170" Type="http://schemas.openxmlformats.org/officeDocument/2006/relationships/hyperlink" Target="https://www.kegg.jp/entry/2.7.7.7" TargetMode="External"/><Relationship Id="rId987" Type="http://schemas.openxmlformats.org/officeDocument/2006/relationships/hyperlink" Target="https://www.kegg.jp/entry/R07460" TargetMode="External"/><Relationship Id="rId847" Type="http://schemas.openxmlformats.org/officeDocument/2006/relationships/hyperlink" Target="https://www.kegg.jp/entry/R08244" TargetMode="External"/><Relationship Id="rId1477" Type="http://schemas.openxmlformats.org/officeDocument/2006/relationships/hyperlink" Target="https://enzyme.expasy.org/EC/1.1.1.95" TargetMode="External"/><Relationship Id="rId1684" Type="http://schemas.openxmlformats.org/officeDocument/2006/relationships/hyperlink" Target="https://www.kegg.jp/entry/R11209" TargetMode="External"/><Relationship Id="rId1891" Type="http://schemas.openxmlformats.org/officeDocument/2006/relationships/hyperlink" Target="https://www.kegg.jp/entry/3.2.1.23" TargetMode="External"/><Relationship Id="rId707" Type="http://schemas.openxmlformats.org/officeDocument/2006/relationships/hyperlink" Target="https://www.kegg.jp/entry/R02918" TargetMode="External"/><Relationship Id="rId914" Type="http://schemas.openxmlformats.org/officeDocument/2006/relationships/hyperlink" Target="https://enzyme.expasy.org/EC/1.5.1.2" TargetMode="External"/><Relationship Id="rId1337" Type="http://schemas.openxmlformats.org/officeDocument/2006/relationships/hyperlink" Target="https://enzyme.expasy.org/EC/2.3.1.-" TargetMode="External"/><Relationship Id="rId1544" Type="http://schemas.openxmlformats.org/officeDocument/2006/relationships/hyperlink" Target="https://enzyme.expasy.org/EC/2.7.7.7" TargetMode="External"/><Relationship Id="rId1751" Type="http://schemas.openxmlformats.org/officeDocument/2006/relationships/hyperlink" Target="https://enzyme.expasy.org/EC/3.2.2.-" TargetMode="External"/><Relationship Id="rId43" Type="http://schemas.openxmlformats.org/officeDocument/2006/relationships/hyperlink" Target="https://www.kegg.jp/entry/6.1.1.2" TargetMode="External"/><Relationship Id="rId1404" Type="http://schemas.openxmlformats.org/officeDocument/2006/relationships/hyperlink" Target="https://www.kegg.jp/entry/1.17.7.4" TargetMode="External"/><Relationship Id="rId1611" Type="http://schemas.openxmlformats.org/officeDocument/2006/relationships/hyperlink" Target="https://www.kegg.jp/entry/R05577" TargetMode="External"/><Relationship Id="rId497" Type="http://schemas.openxmlformats.org/officeDocument/2006/relationships/hyperlink" Target="https://www.kegg.jp/entry/R04391" TargetMode="External"/><Relationship Id="rId2178" Type="http://schemas.openxmlformats.org/officeDocument/2006/relationships/hyperlink" Target="https://enzyme.expasy.org/EC/2.7.7.7" TargetMode="External"/><Relationship Id="rId2385" Type="http://schemas.openxmlformats.org/officeDocument/2006/relationships/hyperlink" Target="https://www.kegg.jp/entry/3.2.1.22" TargetMode="External"/><Relationship Id="rId357" Type="http://schemas.openxmlformats.org/officeDocument/2006/relationships/hyperlink" Target="https://www.kegg.jp/entry/R07285" TargetMode="External"/><Relationship Id="rId1194" Type="http://schemas.openxmlformats.org/officeDocument/2006/relationships/hyperlink" Target="https://enzyme.expasy.org/EC/3.6.1.31" TargetMode="External"/><Relationship Id="rId2038" Type="http://schemas.openxmlformats.org/officeDocument/2006/relationships/hyperlink" Target="https://enzyme.expasy.org/EC/6.1.1.11" TargetMode="External"/><Relationship Id="rId217" Type="http://schemas.openxmlformats.org/officeDocument/2006/relationships/hyperlink" Target="https://enzyme.expasy.org/EC/2.7.7.7" TargetMode="External"/><Relationship Id="rId564" Type="http://schemas.openxmlformats.org/officeDocument/2006/relationships/hyperlink" Target="https://www.kegg.jp/entry/R04208" TargetMode="External"/><Relationship Id="rId771" Type="http://schemas.openxmlformats.org/officeDocument/2006/relationships/hyperlink" Target="https://enzyme.expasy.org/EC/2.7.1.24" TargetMode="External"/><Relationship Id="rId2245" Type="http://schemas.openxmlformats.org/officeDocument/2006/relationships/hyperlink" Target="https://www.kegg.jp/entry/2.7.2.11" TargetMode="External"/><Relationship Id="rId2452" Type="http://schemas.openxmlformats.org/officeDocument/2006/relationships/hyperlink" Target="https://www.kegg.jp/entry/1.17.4.1" TargetMode="External"/><Relationship Id="rId424" Type="http://schemas.openxmlformats.org/officeDocument/2006/relationships/hyperlink" Target="https://enzyme.expasy.org/EC/2.7.7.6" TargetMode="External"/><Relationship Id="rId631" Type="http://schemas.openxmlformats.org/officeDocument/2006/relationships/hyperlink" Target="https://enzyme.expasy.org/EC/2.7.4.8" TargetMode="External"/><Relationship Id="rId1054" Type="http://schemas.openxmlformats.org/officeDocument/2006/relationships/hyperlink" Target="https://www.kegg.jp/entry/1.5.1.20" TargetMode="External"/><Relationship Id="rId1261" Type="http://schemas.openxmlformats.org/officeDocument/2006/relationships/hyperlink" Target="https://www.kegg.jp/entry/R01899" TargetMode="External"/><Relationship Id="rId2105" Type="http://schemas.openxmlformats.org/officeDocument/2006/relationships/hyperlink" Target="https://www.kegg.jp/entry/R02948" TargetMode="External"/><Relationship Id="rId2312" Type="http://schemas.openxmlformats.org/officeDocument/2006/relationships/hyperlink" Target="https://enzyme.expasy.org/EC/2.4.-.-" TargetMode="External"/><Relationship Id="rId1121" Type="http://schemas.openxmlformats.org/officeDocument/2006/relationships/hyperlink" Target="https://www.kegg.jp/entry/R03104" TargetMode="External"/><Relationship Id="rId1938" Type="http://schemas.openxmlformats.org/officeDocument/2006/relationships/hyperlink" Target="https://www.kegg.jp/entry/3.2.1.52" TargetMode="External"/><Relationship Id="rId281" Type="http://schemas.openxmlformats.org/officeDocument/2006/relationships/hyperlink" Target="https://enzyme.expasy.org/EC/7.1.2.2" TargetMode="External"/><Relationship Id="rId141" Type="http://schemas.openxmlformats.org/officeDocument/2006/relationships/hyperlink" Target="https://www.kegg.jp/entry/1.1.1.86" TargetMode="External"/><Relationship Id="rId7" Type="http://schemas.openxmlformats.org/officeDocument/2006/relationships/hyperlink" Target="https://enzyme.expasy.org/EC/3.4.-.-" TargetMode="External"/><Relationship Id="rId958" Type="http://schemas.openxmlformats.org/officeDocument/2006/relationships/hyperlink" Target="https://www.kegg.jp/entry/R08221" TargetMode="External"/><Relationship Id="rId1588" Type="http://schemas.openxmlformats.org/officeDocument/2006/relationships/hyperlink" Target="https://enzyme.expasy.org/EC/2.4.-.-" TargetMode="External"/><Relationship Id="rId1795" Type="http://schemas.openxmlformats.org/officeDocument/2006/relationships/hyperlink" Target="https://enzyme.expasy.org/EC/3.6.4.-" TargetMode="External"/><Relationship Id="rId87" Type="http://schemas.openxmlformats.org/officeDocument/2006/relationships/hyperlink" Target="https://enzyme.expasy.org/EC/3.6.4.-" TargetMode="External"/><Relationship Id="rId818" Type="http://schemas.openxmlformats.org/officeDocument/2006/relationships/hyperlink" Target="https://enzyme.expasy.org/EC/3.2.1.196" TargetMode="External"/><Relationship Id="rId1448" Type="http://schemas.openxmlformats.org/officeDocument/2006/relationships/hyperlink" Target="https://www.kegg.jp/entry/2.4.1.227" TargetMode="External"/><Relationship Id="rId1655" Type="http://schemas.openxmlformats.org/officeDocument/2006/relationships/hyperlink" Target="https://www.kegg.jp/entry/R01569" TargetMode="External"/><Relationship Id="rId1308" Type="http://schemas.openxmlformats.org/officeDocument/2006/relationships/hyperlink" Target="https://www.kegg.jp/entry/5.6.2.1" TargetMode="External"/><Relationship Id="rId1862" Type="http://schemas.openxmlformats.org/officeDocument/2006/relationships/hyperlink" Target="https://enzyme.expasy.org/EC/1.1.1.77" TargetMode="External"/><Relationship Id="rId1515" Type="http://schemas.openxmlformats.org/officeDocument/2006/relationships/hyperlink" Target="https://www.kegg.jp/entry/2.6.1.9" TargetMode="External"/><Relationship Id="rId1722" Type="http://schemas.openxmlformats.org/officeDocument/2006/relationships/hyperlink" Target="https://www.kegg.jp/entry/2.7.7.6" TargetMode="External"/><Relationship Id="rId14" Type="http://schemas.openxmlformats.org/officeDocument/2006/relationships/hyperlink" Target="https://enzyme.expasy.org/EC/4.1.1.31" TargetMode="External"/><Relationship Id="rId2289" Type="http://schemas.openxmlformats.org/officeDocument/2006/relationships/hyperlink" Target="https://enzyme.expasy.org/EC/2.7.4.1" TargetMode="External"/><Relationship Id="rId2496" Type="http://schemas.openxmlformats.org/officeDocument/2006/relationships/hyperlink" Target="https://enzyme.expasy.org/EC/2.7.7.72" TargetMode="External"/><Relationship Id="rId468" Type="http://schemas.openxmlformats.org/officeDocument/2006/relationships/hyperlink" Target="https://enzyme.expasy.org/EC/2.6.1.16" TargetMode="External"/><Relationship Id="rId675" Type="http://schemas.openxmlformats.org/officeDocument/2006/relationships/hyperlink" Target="https://enzyme.expasy.org/EC/1.2.1.38" TargetMode="External"/><Relationship Id="rId882" Type="http://schemas.openxmlformats.org/officeDocument/2006/relationships/hyperlink" Target="https://enzyme.expasy.org/EC/4.4.1.13" TargetMode="External"/><Relationship Id="rId1098" Type="http://schemas.openxmlformats.org/officeDocument/2006/relationships/hyperlink" Target="https://www.kegg.jp/entry/2.4.2.10" TargetMode="External"/><Relationship Id="rId2149" Type="http://schemas.openxmlformats.org/officeDocument/2006/relationships/hyperlink" Target="https://www.kegg.jp/entry/R04880" TargetMode="External"/><Relationship Id="rId2356" Type="http://schemas.openxmlformats.org/officeDocument/2006/relationships/hyperlink" Target="https://www.kegg.jp/entry/R11101" TargetMode="External"/><Relationship Id="rId328" Type="http://schemas.openxmlformats.org/officeDocument/2006/relationships/hyperlink" Target="https://enzyme.expasy.org/EC/1.-.-.-" TargetMode="External"/><Relationship Id="rId535" Type="http://schemas.openxmlformats.org/officeDocument/2006/relationships/hyperlink" Target="https://www.kegg.jp/entry/R10088" TargetMode="External"/><Relationship Id="rId742" Type="http://schemas.openxmlformats.org/officeDocument/2006/relationships/hyperlink" Target="https://enzyme.expasy.org/EC/4.3.1.17" TargetMode="External"/><Relationship Id="rId1165" Type="http://schemas.openxmlformats.org/officeDocument/2006/relationships/hyperlink" Target="https://www.kegg.jp/entry/R00190" TargetMode="External"/><Relationship Id="rId1372" Type="http://schemas.openxmlformats.org/officeDocument/2006/relationships/hyperlink" Target="https://enzyme.expasy.org/EC/7.4.2.-" TargetMode="External"/><Relationship Id="rId2009" Type="http://schemas.openxmlformats.org/officeDocument/2006/relationships/hyperlink" Target="https://www.kegg.jp/entry/6.1.1.6" TargetMode="External"/><Relationship Id="rId2216" Type="http://schemas.openxmlformats.org/officeDocument/2006/relationships/hyperlink" Target="https://www.kegg.jp/entry/3.2.2.9" TargetMode="External"/><Relationship Id="rId2423" Type="http://schemas.openxmlformats.org/officeDocument/2006/relationships/hyperlink" Target="https://www.kegg.jp/entry/R02325" TargetMode="External"/><Relationship Id="rId602" Type="http://schemas.openxmlformats.org/officeDocument/2006/relationships/hyperlink" Target="https://enzyme.expasy.org/EC/6.3.5.5" TargetMode="External"/><Relationship Id="rId1025" Type="http://schemas.openxmlformats.org/officeDocument/2006/relationships/hyperlink" Target="https://www.kegg.jp/entry/R00114" TargetMode="External"/><Relationship Id="rId1232" Type="http://schemas.openxmlformats.org/officeDocument/2006/relationships/hyperlink" Target="https://enzyme.expasy.org/EC/4.3.2.10" TargetMode="External"/><Relationship Id="rId185" Type="http://schemas.openxmlformats.org/officeDocument/2006/relationships/hyperlink" Target="https://www.kegg.jp/entry/1.2.1.11" TargetMode="External"/><Relationship Id="rId1909" Type="http://schemas.openxmlformats.org/officeDocument/2006/relationships/hyperlink" Target="https://www.kegg.jp/entry/R04633" TargetMode="External"/><Relationship Id="rId392" Type="http://schemas.openxmlformats.org/officeDocument/2006/relationships/hyperlink" Target="https://www.kegg.jp/entry/R06202" TargetMode="External"/><Relationship Id="rId2073" Type="http://schemas.openxmlformats.org/officeDocument/2006/relationships/hyperlink" Target="https://enzyme.expasy.org/EC/5.4.99.12" TargetMode="External"/><Relationship Id="rId2280" Type="http://schemas.openxmlformats.org/officeDocument/2006/relationships/hyperlink" Target="https://www.kegg.jp/entry/4.2.1.33" TargetMode="External"/><Relationship Id="rId252" Type="http://schemas.openxmlformats.org/officeDocument/2006/relationships/hyperlink" Target="https://enzyme.expasy.org/EC/5.6.2.3" TargetMode="External"/><Relationship Id="rId2140" Type="http://schemas.openxmlformats.org/officeDocument/2006/relationships/hyperlink" Target="https://www.kegg.jp/entry/1.1.1.1" TargetMode="External"/><Relationship Id="rId112" Type="http://schemas.openxmlformats.org/officeDocument/2006/relationships/hyperlink" Target="https://www.kegg.jp/entry/2.4.1.7" TargetMode="External"/><Relationship Id="rId1699" Type="http://schemas.openxmlformats.org/officeDocument/2006/relationships/hyperlink" Target="https://enzyme.expasy.org/EC/2.1.2.9" TargetMode="External"/><Relationship Id="rId2000" Type="http://schemas.openxmlformats.org/officeDocument/2006/relationships/hyperlink" Target="https://www.kegg.jp/entry/R05085" TargetMode="External"/><Relationship Id="rId929" Type="http://schemas.openxmlformats.org/officeDocument/2006/relationships/hyperlink" Target="https://www.kegg.jp/entry/3.5.1.25" TargetMode="External"/><Relationship Id="rId1559" Type="http://schemas.openxmlformats.org/officeDocument/2006/relationships/hyperlink" Target="https://enzyme.expasy.org/EC/5.4.99.-" TargetMode="External"/><Relationship Id="rId1766" Type="http://schemas.openxmlformats.org/officeDocument/2006/relationships/hyperlink" Target="https://www.kegg.jp/entry/1.17.4.2" TargetMode="External"/><Relationship Id="rId1973" Type="http://schemas.openxmlformats.org/officeDocument/2006/relationships/hyperlink" Target="https://enzyme.expasy.org/EC/1.5.1.3" TargetMode="External"/><Relationship Id="rId58" Type="http://schemas.openxmlformats.org/officeDocument/2006/relationships/hyperlink" Target="https://www.kegg.jp/entry/2.4.99.28" TargetMode="External"/><Relationship Id="rId1419" Type="http://schemas.openxmlformats.org/officeDocument/2006/relationships/hyperlink" Target="https://www.kegg.jp/entry/R00765" TargetMode="External"/><Relationship Id="rId1626" Type="http://schemas.openxmlformats.org/officeDocument/2006/relationships/hyperlink" Target="https://enzyme.expasy.org/EC/3.1.3.5" TargetMode="External"/><Relationship Id="rId1833" Type="http://schemas.openxmlformats.org/officeDocument/2006/relationships/hyperlink" Target="https://www.kegg.jp/entry/R03067" TargetMode="External"/><Relationship Id="rId1900" Type="http://schemas.openxmlformats.org/officeDocument/2006/relationships/hyperlink" Target="https://www.kegg.jp/entry/3.2.1.23" TargetMode="External"/><Relationship Id="rId579" Type="http://schemas.openxmlformats.org/officeDocument/2006/relationships/hyperlink" Target="https://www.kegg.jp/entry/R00375" TargetMode="External"/><Relationship Id="rId786" Type="http://schemas.openxmlformats.org/officeDocument/2006/relationships/hyperlink" Target="https://www.kegg.jp/entry/2.7.1.40" TargetMode="External"/><Relationship Id="rId993" Type="http://schemas.openxmlformats.org/officeDocument/2006/relationships/hyperlink" Target="https://enzyme.expasy.org/EC/2.1.1.-" TargetMode="External"/><Relationship Id="rId2467" Type="http://schemas.openxmlformats.org/officeDocument/2006/relationships/hyperlink" Target="https://enzyme.expasy.org/EC/1.17.4.1" TargetMode="External"/><Relationship Id="rId439" Type="http://schemas.openxmlformats.org/officeDocument/2006/relationships/hyperlink" Target="https://www.kegg.jp/entry/R00442" TargetMode="External"/><Relationship Id="rId646" Type="http://schemas.openxmlformats.org/officeDocument/2006/relationships/hyperlink" Target="https://www.kegg.jp/entry/5.1.1.7" TargetMode="External"/><Relationship Id="rId1069" Type="http://schemas.openxmlformats.org/officeDocument/2006/relationships/hyperlink" Target="https://www.kegg.jp/entry/3.5.1.24" TargetMode="External"/><Relationship Id="rId1276" Type="http://schemas.openxmlformats.org/officeDocument/2006/relationships/hyperlink" Target="https://enzyme.expasy.org/EC/2.7.7.7" TargetMode="External"/><Relationship Id="rId1483" Type="http://schemas.openxmlformats.org/officeDocument/2006/relationships/hyperlink" Target="https://enzyme.expasy.org/EC/1.1.1.27" TargetMode="External"/><Relationship Id="rId2327" Type="http://schemas.openxmlformats.org/officeDocument/2006/relationships/hyperlink" Target="https://www.kegg.jp/entry/6.1.1.10" TargetMode="External"/><Relationship Id="rId506" Type="http://schemas.openxmlformats.org/officeDocument/2006/relationships/hyperlink" Target="https://www.kegg.jp/entry/R03217" TargetMode="External"/><Relationship Id="rId853" Type="http://schemas.openxmlformats.org/officeDocument/2006/relationships/hyperlink" Target="https://www.kegg.jp/entry/7.4.2.11" TargetMode="External"/><Relationship Id="rId1136" Type="http://schemas.openxmlformats.org/officeDocument/2006/relationships/hyperlink" Target="https://enzyme.expasy.org/EC/2.2.1.1" TargetMode="External"/><Relationship Id="rId1690" Type="http://schemas.openxmlformats.org/officeDocument/2006/relationships/hyperlink" Target="https://enzyme.expasy.org/EC/3.1.3.3" TargetMode="External"/><Relationship Id="rId713" Type="http://schemas.openxmlformats.org/officeDocument/2006/relationships/hyperlink" Target="https://enzyme.expasy.org/EC/2.3.-.-" TargetMode="External"/><Relationship Id="rId920" Type="http://schemas.openxmlformats.org/officeDocument/2006/relationships/hyperlink" Target="https://www.kegg.jp/entry/1.5.1.2" TargetMode="External"/><Relationship Id="rId1343" Type="http://schemas.openxmlformats.org/officeDocument/2006/relationships/hyperlink" Target="https://www.kegg.jp/entry/R01801" TargetMode="External"/><Relationship Id="rId1550" Type="http://schemas.openxmlformats.org/officeDocument/2006/relationships/hyperlink" Target="https://www.kegg.jp/entry/2.7.7.7" TargetMode="External"/><Relationship Id="rId1203" Type="http://schemas.openxmlformats.org/officeDocument/2006/relationships/hyperlink" Target="https://www.kegg.jp/entry/4.2.1.20" TargetMode="External"/><Relationship Id="rId1410" Type="http://schemas.openxmlformats.org/officeDocument/2006/relationships/hyperlink" Target="https://enzyme.expasy.org/EC/2.3.2.-" TargetMode="External"/><Relationship Id="rId296" Type="http://schemas.openxmlformats.org/officeDocument/2006/relationships/hyperlink" Target="https://enzyme.expasy.org/EC/5.2.1.8" TargetMode="External"/><Relationship Id="rId2184" Type="http://schemas.openxmlformats.org/officeDocument/2006/relationships/hyperlink" Target="https://enzyme.expasy.org/EC/2.7.7.7" TargetMode="External"/><Relationship Id="rId2391" Type="http://schemas.openxmlformats.org/officeDocument/2006/relationships/hyperlink" Target="https://www.kegg.jp/entry/3.2.1.22" TargetMode="External"/><Relationship Id="rId156" Type="http://schemas.openxmlformats.org/officeDocument/2006/relationships/hyperlink" Target="https://www.kegg.jp/entry/2.4.1.25" TargetMode="External"/><Relationship Id="rId363" Type="http://schemas.openxmlformats.org/officeDocument/2006/relationships/hyperlink" Target="https://www.kegg.jp/entry/R02740" TargetMode="External"/><Relationship Id="rId570" Type="http://schemas.openxmlformats.org/officeDocument/2006/relationships/hyperlink" Target="https://enzyme.expasy.org/EC/2.7.7.7" TargetMode="External"/><Relationship Id="rId2044" Type="http://schemas.openxmlformats.org/officeDocument/2006/relationships/hyperlink" Target="https://enzyme.expasy.org/EC/2.7.1.-" TargetMode="External"/><Relationship Id="rId2251" Type="http://schemas.openxmlformats.org/officeDocument/2006/relationships/hyperlink" Target="https://enzyme.expasy.org/EC/3.1.-.-" TargetMode="External"/><Relationship Id="rId223" Type="http://schemas.openxmlformats.org/officeDocument/2006/relationships/hyperlink" Target="https://www.kegg.jp/entry/R00377" TargetMode="External"/><Relationship Id="rId430" Type="http://schemas.openxmlformats.org/officeDocument/2006/relationships/hyperlink" Target="https://www.kegg.jp/entry/R00442" TargetMode="External"/><Relationship Id="rId1060" Type="http://schemas.openxmlformats.org/officeDocument/2006/relationships/hyperlink" Target="https://www.kegg.jp/entry/3.5.1.24" TargetMode="External"/><Relationship Id="rId2111" Type="http://schemas.openxmlformats.org/officeDocument/2006/relationships/hyperlink" Target="https://enzyme.expasy.org/EC/1.1.1.1" TargetMode="External"/><Relationship Id="rId1877" Type="http://schemas.openxmlformats.org/officeDocument/2006/relationships/hyperlink" Target="https://enzyme.expasy.org/EC/3.2.1.23" TargetMode="External"/><Relationship Id="rId1737" Type="http://schemas.openxmlformats.org/officeDocument/2006/relationships/hyperlink" Target="https://enzyme.expasy.org/EC/2.1.1.-" TargetMode="External"/><Relationship Id="rId1944" Type="http://schemas.openxmlformats.org/officeDocument/2006/relationships/hyperlink" Target="https://www.kegg.jp/entry/3.2.1.52" TargetMode="External"/><Relationship Id="rId29" Type="http://schemas.openxmlformats.org/officeDocument/2006/relationships/hyperlink" Target="https://www.ncbi.nlm.nih.gov/protein/489924576" TargetMode="External"/><Relationship Id="rId1804" Type="http://schemas.openxmlformats.org/officeDocument/2006/relationships/hyperlink" Target="https://enzyme.expasy.org/EC/2.7.7.87" TargetMode="External"/><Relationship Id="rId897" Type="http://schemas.openxmlformats.org/officeDocument/2006/relationships/hyperlink" Target="https://www.kegg.jp/entry/R04941" TargetMode="External"/><Relationship Id="rId757" Type="http://schemas.openxmlformats.org/officeDocument/2006/relationships/hyperlink" Target="https://www.kegg.jp/entry/R04273" TargetMode="External"/><Relationship Id="rId964" Type="http://schemas.openxmlformats.org/officeDocument/2006/relationships/hyperlink" Target="https://www.kegg.jp/entry/3.1.21.10" TargetMode="External"/><Relationship Id="rId1387" Type="http://schemas.openxmlformats.org/officeDocument/2006/relationships/hyperlink" Target="https://www.kegg.jp/entry/1.4.3.16" TargetMode="External"/><Relationship Id="rId1594" Type="http://schemas.openxmlformats.org/officeDocument/2006/relationships/hyperlink" Target="https://enzyme.expasy.org/EC/3.1.3.2" TargetMode="External"/><Relationship Id="rId2438" Type="http://schemas.openxmlformats.org/officeDocument/2006/relationships/hyperlink" Target="https://www.kegg.jp/entry/1.17.4.1" TargetMode="External"/><Relationship Id="rId93" Type="http://schemas.openxmlformats.org/officeDocument/2006/relationships/hyperlink" Target="https://enzyme.expasy.org/EC/3.4.24.-" TargetMode="External"/><Relationship Id="rId617" Type="http://schemas.openxmlformats.org/officeDocument/2006/relationships/hyperlink" Target="https://www.kegg.jp/entry/R10948" TargetMode="External"/><Relationship Id="rId824" Type="http://schemas.openxmlformats.org/officeDocument/2006/relationships/hyperlink" Target="https://www.kegg.jp/entry/R03460" TargetMode="External"/><Relationship Id="rId1247" Type="http://schemas.openxmlformats.org/officeDocument/2006/relationships/hyperlink" Target="https://www.kegg.jp/entry/3.5.1.88" TargetMode="External"/><Relationship Id="rId1454" Type="http://schemas.openxmlformats.org/officeDocument/2006/relationships/hyperlink" Target="https://www.kegg.jp/entry/R06174" TargetMode="External"/><Relationship Id="rId1661" Type="http://schemas.openxmlformats.org/officeDocument/2006/relationships/hyperlink" Target="https://enzyme.expasy.org/EC/3.5.2.10" TargetMode="External"/><Relationship Id="rId2505" Type="http://schemas.openxmlformats.org/officeDocument/2006/relationships/hyperlink" Target="https://enzyme.expasy.org/EC/1.-.-.-" TargetMode="External"/><Relationship Id="rId1107" Type="http://schemas.openxmlformats.org/officeDocument/2006/relationships/hyperlink" Target="https://enzyme.expasy.org/EC/2.7.2.3" TargetMode="External"/><Relationship Id="rId1314" Type="http://schemas.openxmlformats.org/officeDocument/2006/relationships/hyperlink" Target="https://www.kegg.jp/entry/5.2.1.8" TargetMode="External"/><Relationship Id="rId1521" Type="http://schemas.openxmlformats.org/officeDocument/2006/relationships/hyperlink" Target="https://www.kegg.jp/entry/R00694" TargetMode="External"/><Relationship Id="rId20" Type="http://schemas.openxmlformats.org/officeDocument/2006/relationships/hyperlink" Target="https://www.kegg.jp/entry/2.4.1.1" TargetMode="External"/><Relationship Id="rId2088" Type="http://schemas.openxmlformats.org/officeDocument/2006/relationships/hyperlink" Target="https://www.kegg.jp/entry/R00444" TargetMode="External"/><Relationship Id="rId2295" Type="http://schemas.openxmlformats.org/officeDocument/2006/relationships/hyperlink" Target="https://www.kegg.jp/entry/R00966" TargetMode="External"/><Relationship Id="rId267" Type="http://schemas.openxmlformats.org/officeDocument/2006/relationships/hyperlink" Target="https://www.kegg.jp/entry/3.6.1.1" TargetMode="External"/><Relationship Id="rId474" Type="http://schemas.openxmlformats.org/officeDocument/2006/relationships/hyperlink" Target="https://www.kegg.jp/entry/3.2.1.23" TargetMode="External"/><Relationship Id="rId2155" Type="http://schemas.openxmlformats.org/officeDocument/2006/relationships/hyperlink" Target="https://www.kegg.jp/entry/R08306" TargetMode="External"/><Relationship Id="rId127" Type="http://schemas.openxmlformats.org/officeDocument/2006/relationships/hyperlink" Target="https://www.kegg.jp/entry/1.1.1.86" TargetMode="External"/><Relationship Id="rId681" Type="http://schemas.openxmlformats.org/officeDocument/2006/relationships/hyperlink" Target="https://enzyme.expasy.org/EC/2.3.1.35" TargetMode="External"/><Relationship Id="rId2362" Type="http://schemas.openxmlformats.org/officeDocument/2006/relationships/hyperlink" Target="https://enzyme.expasy.org/EC/3.2.1.22" TargetMode="External"/><Relationship Id="rId334" Type="http://schemas.openxmlformats.org/officeDocument/2006/relationships/hyperlink" Target="https://www.kegg.jp/entry/2.1.1.72" TargetMode="External"/><Relationship Id="rId541" Type="http://schemas.openxmlformats.org/officeDocument/2006/relationships/hyperlink" Target="https://www.kegg.jp/entry/1.8.4.11" TargetMode="External"/><Relationship Id="rId1171" Type="http://schemas.openxmlformats.org/officeDocument/2006/relationships/hyperlink" Target="https://www.kegg.jp/entry/6.2.1.5" TargetMode="External"/><Relationship Id="rId2015" Type="http://schemas.openxmlformats.org/officeDocument/2006/relationships/hyperlink" Target="https://www.kegg.jp/entry/5.1.3.2" TargetMode="External"/><Relationship Id="rId2222" Type="http://schemas.openxmlformats.org/officeDocument/2006/relationships/hyperlink" Target="https://enzyme.expasy.org/EC/2.5.1.54" TargetMode="External"/><Relationship Id="rId401" Type="http://schemas.openxmlformats.org/officeDocument/2006/relationships/hyperlink" Target="https://enzyme.expasy.org/EC/3.6.1.22" TargetMode="External"/><Relationship Id="rId1031" Type="http://schemas.openxmlformats.org/officeDocument/2006/relationships/hyperlink" Target="https://www.kegg.jp/entry/2.4.1.21" TargetMode="External"/><Relationship Id="rId1988" Type="http://schemas.openxmlformats.org/officeDocument/2006/relationships/hyperlink" Target="https://www.kegg.jp/entry/R02236" TargetMode="External"/><Relationship Id="rId1848" Type="http://schemas.openxmlformats.org/officeDocument/2006/relationships/hyperlink" Target="https://www.kegg.jp/entry/R05046" TargetMode="External"/><Relationship Id="rId191" Type="http://schemas.openxmlformats.org/officeDocument/2006/relationships/hyperlink" Target="https://www.kegg.jp/entry/R02770" TargetMode="External"/><Relationship Id="rId1708" Type="http://schemas.openxmlformats.org/officeDocument/2006/relationships/hyperlink" Target="https://www.kegg.jp/entry/R01209" TargetMode="External"/><Relationship Id="rId1915" Type="http://schemas.openxmlformats.org/officeDocument/2006/relationships/hyperlink" Target="https://www.kegg.jp/entry/R06099" TargetMode="External"/><Relationship Id="rId868" Type="http://schemas.openxmlformats.org/officeDocument/2006/relationships/hyperlink" Target="https://www.kegg.jp/entry/R06987" TargetMode="External"/><Relationship Id="rId1498" Type="http://schemas.openxmlformats.org/officeDocument/2006/relationships/hyperlink" Target="https://www.kegg.jp/entry/R04640" TargetMode="External"/><Relationship Id="rId728" Type="http://schemas.openxmlformats.org/officeDocument/2006/relationships/hyperlink" Target="https://www.kegg.jp/entry/R00137" TargetMode="External"/><Relationship Id="rId935" Type="http://schemas.openxmlformats.org/officeDocument/2006/relationships/hyperlink" Target="https://enzyme.expasy.org/EC/3.6.4.-" TargetMode="External"/><Relationship Id="rId1358" Type="http://schemas.openxmlformats.org/officeDocument/2006/relationships/hyperlink" Target="https://www.kegg.jp/entry/R00429" TargetMode="External"/><Relationship Id="rId1565" Type="http://schemas.openxmlformats.org/officeDocument/2006/relationships/hyperlink" Target="https://www.kegg.jp/entry/R03654" TargetMode="External"/><Relationship Id="rId1772" Type="http://schemas.openxmlformats.org/officeDocument/2006/relationships/hyperlink" Target="https://www.kegg.jp/entry/R02023" TargetMode="External"/><Relationship Id="rId2409" Type="http://schemas.openxmlformats.org/officeDocument/2006/relationships/hyperlink" Target="https://www.kegg.jp/entry/R05961" TargetMode="External"/><Relationship Id="rId64" Type="http://schemas.openxmlformats.org/officeDocument/2006/relationships/hyperlink" Target="https://www.kegg.jp/entry/2.4.99.28" TargetMode="External"/><Relationship Id="rId1218" Type="http://schemas.openxmlformats.org/officeDocument/2006/relationships/hyperlink" Target="https://www.kegg.jp/entry/2.7.13.3" TargetMode="External"/><Relationship Id="rId1425" Type="http://schemas.openxmlformats.org/officeDocument/2006/relationships/hyperlink" Target="https://www.kegg.jp/entry/2.1.1.72" TargetMode="External"/><Relationship Id="rId1632" Type="http://schemas.openxmlformats.org/officeDocument/2006/relationships/hyperlink" Target="https://www.kegg.jp/entry/3.1.3.5" TargetMode="External"/><Relationship Id="rId2199" Type="http://schemas.openxmlformats.org/officeDocument/2006/relationships/hyperlink" Target="https://enzyme.expasy.org/EC/1.3.1.98" TargetMode="External"/><Relationship Id="rId378" Type="http://schemas.openxmlformats.org/officeDocument/2006/relationships/hyperlink" Target="https://www.kegg.jp/entry/3.2.1.23" TargetMode="External"/><Relationship Id="rId585" Type="http://schemas.openxmlformats.org/officeDocument/2006/relationships/hyperlink" Target="https://www.kegg.jp/entry/R11029" TargetMode="External"/><Relationship Id="rId792" Type="http://schemas.openxmlformats.org/officeDocument/2006/relationships/hyperlink" Target="https://www.kegg.jp/entry/R00430" TargetMode="External"/><Relationship Id="rId2059" Type="http://schemas.openxmlformats.org/officeDocument/2006/relationships/hyperlink" Target="https://enzyme.expasy.org/EC/5.3.1.6" TargetMode="External"/><Relationship Id="rId2266" Type="http://schemas.openxmlformats.org/officeDocument/2006/relationships/hyperlink" Target="https://www.kegg.jp/entry/R03646" TargetMode="External"/><Relationship Id="rId2473" Type="http://schemas.openxmlformats.org/officeDocument/2006/relationships/hyperlink" Target="https://www.kegg.jp/entry/1.17.4.1" TargetMode="External"/><Relationship Id="rId238" Type="http://schemas.openxmlformats.org/officeDocument/2006/relationships/hyperlink" Target="https://enzyme.expasy.org/EC/1.1.1.44" TargetMode="External"/><Relationship Id="rId445" Type="http://schemas.openxmlformats.org/officeDocument/2006/relationships/hyperlink" Target="https://www.kegg.jp/entry/1.17.1.8" TargetMode="External"/><Relationship Id="rId652" Type="http://schemas.openxmlformats.org/officeDocument/2006/relationships/hyperlink" Target="https://enzyme.expasy.org/EC/3.4.21.-" TargetMode="External"/><Relationship Id="rId1075" Type="http://schemas.openxmlformats.org/officeDocument/2006/relationships/hyperlink" Target="https://www.kegg.jp/entry/R04486" TargetMode="External"/><Relationship Id="rId1282" Type="http://schemas.openxmlformats.org/officeDocument/2006/relationships/hyperlink" Target="https://www.kegg.jp/entry/2.7.7.7" TargetMode="External"/><Relationship Id="rId2126" Type="http://schemas.openxmlformats.org/officeDocument/2006/relationships/hyperlink" Target="https://enzyme.expasy.org/EC/1.1.1.1" TargetMode="External"/><Relationship Id="rId2333" Type="http://schemas.openxmlformats.org/officeDocument/2006/relationships/hyperlink" Target="https://www.kegg.jp/entry/2.7.1.180" TargetMode="External"/><Relationship Id="rId305" Type="http://schemas.openxmlformats.org/officeDocument/2006/relationships/hyperlink" Target="https://www.kegg.jp/entry/R00844" TargetMode="External"/><Relationship Id="rId512" Type="http://schemas.openxmlformats.org/officeDocument/2006/relationships/hyperlink" Target="https://enzyme.expasy.org/EC/4.4.1.21" TargetMode="External"/><Relationship Id="rId1142" Type="http://schemas.openxmlformats.org/officeDocument/2006/relationships/hyperlink" Target="https://www.kegg.jp/entry/R01641" TargetMode="External"/><Relationship Id="rId2400" Type="http://schemas.openxmlformats.org/officeDocument/2006/relationships/hyperlink" Target="https://www.kegg.jp/entry/R01104" TargetMode="External"/><Relationship Id="rId1002" Type="http://schemas.openxmlformats.org/officeDocument/2006/relationships/hyperlink" Target="https://www.kegg.jp/entry/R13176" TargetMode="External"/><Relationship Id="rId1959" Type="http://schemas.openxmlformats.org/officeDocument/2006/relationships/hyperlink" Target="https://www.kegg.jp/entry/R07810" TargetMode="External"/><Relationship Id="rId1819" Type="http://schemas.openxmlformats.org/officeDocument/2006/relationships/hyperlink" Target="https://enzyme.expasy.org/EC/2.7.1.2" TargetMode="External"/><Relationship Id="rId2190" Type="http://schemas.openxmlformats.org/officeDocument/2006/relationships/hyperlink" Target="https://www.kegg.jp/entry/R00379" TargetMode="External"/><Relationship Id="rId162" Type="http://schemas.openxmlformats.org/officeDocument/2006/relationships/hyperlink" Target="https://enzyme.expasy.org/EC/2.7.1.-" TargetMode="External"/><Relationship Id="rId2050" Type="http://schemas.openxmlformats.org/officeDocument/2006/relationships/hyperlink" Target="https://www.kegg.jp/entry/5.4.2.2" TargetMode="External"/><Relationship Id="rId979" Type="http://schemas.openxmlformats.org/officeDocument/2006/relationships/hyperlink" Target="https://www.kegg.jp/entry/R00573" TargetMode="External"/><Relationship Id="rId839" Type="http://schemas.openxmlformats.org/officeDocument/2006/relationships/hyperlink" Target="https://enzyme.expasy.org/EC/6.3.5.2" TargetMode="External"/><Relationship Id="rId1469" Type="http://schemas.openxmlformats.org/officeDocument/2006/relationships/hyperlink" Target="https://www.kegg.jp/entry/R04617" TargetMode="External"/><Relationship Id="rId1676" Type="http://schemas.openxmlformats.org/officeDocument/2006/relationships/hyperlink" Target="https://www.kegg.jp/entry/R12851" TargetMode="External"/><Relationship Id="rId1883" Type="http://schemas.openxmlformats.org/officeDocument/2006/relationships/hyperlink" Target="https://enzyme.expasy.org/EC/3.2.1.23" TargetMode="External"/><Relationship Id="rId906" Type="http://schemas.openxmlformats.org/officeDocument/2006/relationships/hyperlink" Target="https://www.kegg.jp/entry/2.7.1.35" TargetMode="External"/><Relationship Id="rId1329" Type="http://schemas.openxmlformats.org/officeDocument/2006/relationships/hyperlink" Target="https://www.kegg.jp/entry/2.7.1.15" TargetMode="External"/><Relationship Id="rId1536" Type="http://schemas.openxmlformats.org/officeDocument/2006/relationships/hyperlink" Target="https://www.kegg.jp/entry/R13105" TargetMode="External"/><Relationship Id="rId1743" Type="http://schemas.openxmlformats.org/officeDocument/2006/relationships/hyperlink" Target="https://enzyme.expasy.org/EC/3.-.-.-" TargetMode="External"/><Relationship Id="rId1950" Type="http://schemas.openxmlformats.org/officeDocument/2006/relationships/hyperlink" Target="https://www.kegg.jp/entry/R00022" TargetMode="External"/><Relationship Id="rId35" Type="http://schemas.openxmlformats.org/officeDocument/2006/relationships/hyperlink" Target="https://enzyme.expasy.org/EC/1.4.1.4" TargetMode="External"/><Relationship Id="rId1603" Type="http://schemas.openxmlformats.org/officeDocument/2006/relationships/hyperlink" Target="https://www.kegg.jp/entry/R00626" TargetMode="External"/><Relationship Id="rId1810" Type="http://schemas.openxmlformats.org/officeDocument/2006/relationships/hyperlink" Target="https://enzyme.expasy.org/EC/3.5.1.88" TargetMode="External"/><Relationship Id="rId489" Type="http://schemas.openxmlformats.org/officeDocument/2006/relationships/hyperlink" Target="https://www.kegg.jp/entry/R07807" TargetMode="External"/><Relationship Id="rId696" Type="http://schemas.openxmlformats.org/officeDocument/2006/relationships/hyperlink" Target="https://enzyme.expasy.org/EC/4.3.2.1" TargetMode="External"/><Relationship Id="rId2377" Type="http://schemas.openxmlformats.org/officeDocument/2006/relationships/hyperlink" Target="https://enzyme.expasy.org/EC/3.2.1.22" TargetMode="External"/><Relationship Id="rId349" Type="http://schemas.openxmlformats.org/officeDocument/2006/relationships/hyperlink" Target="https://enzyme.expasy.org/EC/2.7.7.3" TargetMode="External"/><Relationship Id="rId556" Type="http://schemas.openxmlformats.org/officeDocument/2006/relationships/hyperlink" Target="https://www.kegg.jp/entry/6.3.4.18" TargetMode="External"/><Relationship Id="rId763" Type="http://schemas.openxmlformats.org/officeDocument/2006/relationships/hyperlink" Target="https://www.kegg.jp/entry/2.4.1.18" TargetMode="External"/><Relationship Id="rId1186" Type="http://schemas.openxmlformats.org/officeDocument/2006/relationships/hyperlink" Target="https://enzyme.expasy.org/EC/2.7.7.9" TargetMode="External"/><Relationship Id="rId1393" Type="http://schemas.openxmlformats.org/officeDocument/2006/relationships/hyperlink" Target="https://www.kegg.jp/entry/R04292" TargetMode="External"/><Relationship Id="rId2237" Type="http://schemas.openxmlformats.org/officeDocument/2006/relationships/hyperlink" Target="https://www.kegg.jp/entry/R07234" TargetMode="External"/><Relationship Id="rId2444" Type="http://schemas.openxmlformats.org/officeDocument/2006/relationships/hyperlink" Target="https://enzyme.expasy.org/EC/1.17.4.1" TargetMode="External"/><Relationship Id="rId209" Type="http://schemas.openxmlformats.org/officeDocument/2006/relationships/hyperlink" Target="https://www.kegg.jp/entry/2.7.4.9" TargetMode="External"/><Relationship Id="rId416" Type="http://schemas.openxmlformats.org/officeDocument/2006/relationships/hyperlink" Target="https://www.kegg.jp/entry/2.7.7.12" TargetMode="External"/><Relationship Id="rId970" Type="http://schemas.openxmlformats.org/officeDocument/2006/relationships/hyperlink" Target="https://www.kegg.jp/entry/R03084" TargetMode="External"/><Relationship Id="rId1046" Type="http://schemas.openxmlformats.org/officeDocument/2006/relationships/hyperlink" Target="https://enzyme.expasy.org/EC/3.1.3.-" TargetMode="External"/><Relationship Id="rId1253" Type="http://schemas.openxmlformats.org/officeDocument/2006/relationships/hyperlink" Target="https://enzyme.expasy.org/EC/1.1.1.42" TargetMode="External"/><Relationship Id="rId623" Type="http://schemas.openxmlformats.org/officeDocument/2006/relationships/hyperlink" Target="https://www.kegg.jp/entry/R00575" TargetMode="External"/><Relationship Id="rId830" Type="http://schemas.openxmlformats.org/officeDocument/2006/relationships/hyperlink" Target="https://www.kegg.jp/entry/R00230" TargetMode="External"/><Relationship Id="rId1460" Type="http://schemas.openxmlformats.org/officeDocument/2006/relationships/hyperlink" Target="https://enzyme.expasy.org/EC/2.7.8.13" TargetMode="External"/><Relationship Id="rId2304" Type="http://schemas.openxmlformats.org/officeDocument/2006/relationships/hyperlink" Target="https://www.kegg.jp/entry/R00505" TargetMode="External"/><Relationship Id="rId1113" Type="http://schemas.openxmlformats.org/officeDocument/2006/relationships/hyperlink" Target="https://enzyme.expasy.org/EC/1.1.1.27" TargetMode="External"/><Relationship Id="rId1320" Type="http://schemas.openxmlformats.org/officeDocument/2006/relationships/hyperlink" Target="https://www.kegg.jp/entry/3.6.1.23" TargetMode="External"/><Relationship Id="rId2094" Type="http://schemas.openxmlformats.org/officeDocument/2006/relationships/hyperlink" Target="https://enzyme.expasy.org/EC/2.7.4.3" TargetMode="External"/><Relationship Id="rId273" Type="http://schemas.openxmlformats.org/officeDocument/2006/relationships/hyperlink" Target="https://www.kegg.jp/entry/7.1.2.2" TargetMode="External"/><Relationship Id="rId480" Type="http://schemas.openxmlformats.org/officeDocument/2006/relationships/hyperlink" Target="https://www.kegg.jp/entry/R04783" TargetMode="External"/><Relationship Id="rId2161" Type="http://schemas.openxmlformats.org/officeDocument/2006/relationships/hyperlink" Target="https://www.kegg.jp/entry/R02246" TargetMode="External"/><Relationship Id="rId133" Type="http://schemas.openxmlformats.org/officeDocument/2006/relationships/hyperlink" Target="https://www.kegg.jp/entry/R05071" TargetMode="External"/><Relationship Id="rId340" Type="http://schemas.openxmlformats.org/officeDocument/2006/relationships/hyperlink" Target="https://www.kegg.jp/entry/R00006" TargetMode="External"/><Relationship Id="rId2021" Type="http://schemas.openxmlformats.org/officeDocument/2006/relationships/hyperlink" Target="https://www.kegg.jp/entry/R00418" TargetMode="External"/><Relationship Id="rId200" Type="http://schemas.openxmlformats.org/officeDocument/2006/relationships/hyperlink" Target="https://enzyme.expasy.org/EC/2.3.3.13" TargetMode="External"/><Relationship Id="rId1787" Type="http://schemas.openxmlformats.org/officeDocument/2006/relationships/hyperlink" Target="https://www.kegg.jp/entry/2.3.3.16" TargetMode="External"/><Relationship Id="rId1994" Type="http://schemas.openxmlformats.org/officeDocument/2006/relationships/hyperlink" Target="https://enzyme.expasy.org/EC/3.4.-.-" TargetMode="External"/><Relationship Id="rId79" Type="http://schemas.openxmlformats.org/officeDocument/2006/relationships/hyperlink" Target="https://enzyme.expasy.org/EC/3.1.4.4" TargetMode="External"/><Relationship Id="rId1647" Type="http://schemas.openxmlformats.org/officeDocument/2006/relationships/hyperlink" Target="https://www.kegg.jp/entry/R00183" TargetMode="External"/><Relationship Id="rId1854" Type="http://schemas.openxmlformats.org/officeDocument/2006/relationships/hyperlink" Target="https://www.kegg.jp/entry/R09597" TargetMode="External"/><Relationship Id="rId1507" Type="http://schemas.openxmlformats.org/officeDocument/2006/relationships/hyperlink" Target="https://www.kegg.jp/entry/4.3.2.10" TargetMode="External"/><Relationship Id="rId1714" Type="http://schemas.openxmlformats.org/officeDocument/2006/relationships/hyperlink" Target="https://enzyme.expasy.org/EC/2.7.7.6" TargetMode="External"/><Relationship Id="rId1921" Type="http://schemas.openxmlformats.org/officeDocument/2006/relationships/hyperlink" Target="https://www.kegg.jp/entry/3.2.1.52" TargetMode="External"/><Relationship Id="rId2488" Type="http://schemas.openxmlformats.org/officeDocument/2006/relationships/hyperlink" Target="https://www.kegg.jp/entry/R10716" TargetMode="External"/><Relationship Id="rId1297" Type="http://schemas.openxmlformats.org/officeDocument/2006/relationships/hyperlink" Target="https://enzyme.expasy.org/EC/3.2.1.163" TargetMode="External"/><Relationship Id="rId667" Type="http://schemas.openxmlformats.org/officeDocument/2006/relationships/hyperlink" Target="https://enzyme.expasy.org/EC/1.-.-.-" TargetMode="External"/><Relationship Id="rId874" Type="http://schemas.openxmlformats.org/officeDocument/2006/relationships/hyperlink" Target="https://www.kegg.jp/entry/R04273" TargetMode="External"/><Relationship Id="rId2348" Type="http://schemas.openxmlformats.org/officeDocument/2006/relationships/hyperlink" Target="https://enzyme.expasy.org/EC/4.3.1.19" TargetMode="External"/><Relationship Id="rId527" Type="http://schemas.openxmlformats.org/officeDocument/2006/relationships/hyperlink" Target="https://www.kegg.jp/entry/4.3.3.6" TargetMode="External"/><Relationship Id="rId734" Type="http://schemas.openxmlformats.org/officeDocument/2006/relationships/hyperlink" Target="https://enzyme.expasy.org/EC/4.2.1.11" TargetMode="External"/><Relationship Id="rId941" Type="http://schemas.openxmlformats.org/officeDocument/2006/relationships/hyperlink" Target="https://enzyme.expasy.org/EC/2.4.2.22" TargetMode="External"/><Relationship Id="rId1157" Type="http://schemas.openxmlformats.org/officeDocument/2006/relationships/hyperlink" Target="https://enzyme.expasy.org/EC/3.6.4.12" TargetMode="External"/><Relationship Id="rId1364" Type="http://schemas.openxmlformats.org/officeDocument/2006/relationships/hyperlink" Target="https://www.kegg.jp/entry/4.2.1.3" TargetMode="External"/><Relationship Id="rId1571" Type="http://schemas.openxmlformats.org/officeDocument/2006/relationships/hyperlink" Target="https://www.kegg.jp/entry/R03472" TargetMode="External"/><Relationship Id="rId2208" Type="http://schemas.openxmlformats.org/officeDocument/2006/relationships/hyperlink" Target="https://www.kegg.jp/entry/R02301" TargetMode="External"/><Relationship Id="rId2415" Type="http://schemas.openxmlformats.org/officeDocument/2006/relationships/hyperlink" Target="https://www.kegg.jp/entry/R06142" TargetMode="External"/><Relationship Id="rId70" Type="http://schemas.openxmlformats.org/officeDocument/2006/relationships/hyperlink" Target="https://www.kegg.jp/entry/3.1.3.16" TargetMode="External"/><Relationship Id="rId801" Type="http://schemas.openxmlformats.org/officeDocument/2006/relationships/hyperlink" Target="https://enzyme.expasy.org/EC/2.7.7.7" TargetMode="External"/><Relationship Id="rId1017" Type="http://schemas.openxmlformats.org/officeDocument/2006/relationships/hyperlink" Target="https://www.kegg.jp/entry/R10991" TargetMode="External"/><Relationship Id="rId1224" Type="http://schemas.openxmlformats.org/officeDocument/2006/relationships/hyperlink" Target="https://www.kegg.jp/entry/R00986" TargetMode="External"/><Relationship Id="rId1431" Type="http://schemas.openxmlformats.org/officeDocument/2006/relationships/hyperlink" Target="https://enzyme.expasy.org/EC/2.1.1.37" TargetMode="External"/><Relationship Id="rId177" Type="http://schemas.openxmlformats.org/officeDocument/2006/relationships/hyperlink" Target="https://www.kegg.jp/entry/R00376" TargetMode="External"/><Relationship Id="rId384" Type="http://schemas.openxmlformats.org/officeDocument/2006/relationships/hyperlink" Target="https://www.kegg.jp/entry/R04783" TargetMode="External"/><Relationship Id="rId591" Type="http://schemas.openxmlformats.org/officeDocument/2006/relationships/hyperlink" Target="https://www.kegg.jp/entry/R04463" TargetMode="External"/><Relationship Id="rId2065" Type="http://schemas.openxmlformats.org/officeDocument/2006/relationships/hyperlink" Target="https://enzyme.expasy.org/EC/3.6.4.-" TargetMode="External"/><Relationship Id="rId2272" Type="http://schemas.openxmlformats.org/officeDocument/2006/relationships/hyperlink" Target="https://enzyme.expasy.org/EC/4.2.1.33" TargetMode="External"/><Relationship Id="rId244" Type="http://schemas.openxmlformats.org/officeDocument/2006/relationships/hyperlink" Target="https://enzyme.expasy.org/EC/1.1.1.49" TargetMode="External"/><Relationship Id="rId1081" Type="http://schemas.openxmlformats.org/officeDocument/2006/relationships/hyperlink" Target="https://www.kegg.jp/entry/2.7.7.89" TargetMode="External"/><Relationship Id="rId451" Type="http://schemas.openxmlformats.org/officeDocument/2006/relationships/hyperlink" Target="https://www.kegg.jp/entry/R10147" TargetMode="External"/><Relationship Id="rId2132" Type="http://schemas.openxmlformats.org/officeDocument/2006/relationships/hyperlink" Target="https://www.kegg.jp/entry/1.1.1.1" TargetMode="External"/><Relationship Id="rId104" Type="http://schemas.openxmlformats.org/officeDocument/2006/relationships/hyperlink" Target="https://www.kegg.jp/entry/C05378" TargetMode="External"/><Relationship Id="rId311" Type="http://schemas.openxmlformats.org/officeDocument/2006/relationships/hyperlink" Target="https://www.kegg.jp/entry/R00490" TargetMode="External"/><Relationship Id="rId1898" Type="http://schemas.openxmlformats.org/officeDocument/2006/relationships/hyperlink" Target="https://www.kegg.jp/entry/3.2.1.23" TargetMode="External"/><Relationship Id="rId1758" Type="http://schemas.openxmlformats.org/officeDocument/2006/relationships/hyperlink" Target="https://enzyme.expasy.org/EC/1.17.4.2" TargetMode="External"/><Relationship Id="rId1965" Type="http://schemas.openxmlformats.org/officeDocument/2006/relationships/hyperlink" Target="https://enzyme.expasy.org/EC/7.6.2.-" TargetMode="External"/><Relationship Id="rId1618" Type="http://schemas.openxmlformats.org/officeDocument/2006/relationships/hyperlink" Target="https://enzyme.expasy.org/EC/3.1.3.5" TargetMode="External"/><Relationship Id="rId1825" Type="http://schemas.openxmlformats.org/officeDocument/2006/relationships/hyperlink" Target="https://enzyme.expasy.org/EC/3.1.2.-" TargetMode="External"/><Relationship Id="rId199" Type="http://schemas.openxmlformats.org/officeDocument/2006/relationships/hyperlink" Target="https://enzyme.expasy.org/EC/3.2.1.-" TargetMode="External"/><Relationship Id="rId2087" Type="http://schemas.openxmlformats.org/officeDocument/2006/relationships/hyperlink" Target="https://www.kegg.jp/entry/2.7.7.6" TargetMode="External"/><Relationship Id="rId2294" Type="http://schemas.openxmlformats.org/officeDocument/2006/relationships/hyperlink" Target="https://www.kegg.jp/entry/2.4.2.9" TargetMode="External"/><Relationship Id="rId266" Type="http://schemas.openxmlformats.org/officeDocument/2006/relationships/hyperlink" Target="https://enzyme.expasy.org/EC/3.6.1.1" TargetMode="External"/><Relationship Id="rId473" Type="http://schemas.openxmlformats.org/officeDocument/2006/relationships/hyperlink" Target="https://www.kegg.jp/entry/3.2.1.23" TargetMode="External"/><Relationship Id="rId680" Type="http://schemas.openxmlformats.org/officeDocument/2006/relationships/hyperlink" Target="https://www.kegg.jp/entry/R00259" TargetMode="External"/><Relationship Id="rId2154" Type="http://schemas.openxmlformats.org/officeDocument/2006/relationships/hyperlink" Target="https://www.kegg.jp/entry/R08281" TargetMode="External"/><Relationship Id="rId2361" Type="http://schemas.openxmlformats.org/officeDocument/2006/relationships/hyperlink" Target="https://www.kegg.jp/entry/3.2.1.22" TargetMode="External"/><Relationship Id="rId126" Type="http://schemas.openxmlformats.org/officeDocument/2006/relationships/hyperlink" Target="https://www.kegg.jp/entry/1.1.1.86" TargetMode="External"/><Relationship Id="rId333" Type="http://schemas.openxmlformats.org/officeDocument/2006/relationships/hyperlink" Target="https://enzyme.expasy.org/EC/2.1.1.72" TargetMode="External"/><Relationship Id="rId540" Type="http://schemas.openxmlformats.org/officeDocument/2006/relationships/hyperlink" Target="https://enzyme.expasy.org/EC/1.8.4.11" TargetMode="External"/><Relationship Id="rId778" Type="http://schemas.openxmlformats.org/officeDocument/2006/relationships/hyperlink" Target="https://enzyme.expasy.org/EC/2.7.1.40" TargetMode="External"/><Relationship Id="rId985" Type="http://schemas.openxmlformats.org/officeDocument/2006/relationships/hyperlink" Target="https://www.kegg.jp/entry/2.8.1.7" TargetMode="External"/><Relationship Id="rId1170" Type="http://schemas.openxmlformats.org/officeDocument/2006/relationships/hyperlink" Target="https://enzyme.expasy.org/EC/6.2.1.5" TargetMode="External"/><Relationship Id="rId2014" Type="http://schemas.openxmlformats.org/officeDocument/2006/relationships/hyperlink" Target="https://enzyme.expasy.org/EC/5.1.3.2" TargetMode="External"/><Relationship Id="rId2221" Type="http://schemas.openxmlformats.org/officeDocument/2006/relationships/hyperlink" Target="https://www.kegg.jp/entry/R12621" TargetMode="External"/><Relationship Id="rId2459" Type="http://schemas.openxmlformats.org/officeDocument/2006/relationships/hyperlink" Target="https://www.kegg.jp/entry/R02017" TargetMode="External"/><Relationship Id="rId638" Type="http://schemas.openxmlformats.org/officeDocument/2006/relationships/hyperlink" Target="https://www.kegg.jp/entry/R02090" TargetMode="External"/><Relationship Id="rId845" Type="http://schemas.openxmlformats.org/officeDocument/2006/relationships/hyperlink" Target="https://www.kegg.jp/entry/R01230" TargetMode="External"/><Relationship Id="rId1030" Type="http://schemas.openxmlformats.org/officeDocument/2006/relationships/hyperlink" Target="https://enzyme.expasy.org/EC/2.4.1.21" TargetMode="External"/><Relationship Id="rId1268" Type="http://schemas.openxmlformats.org/officeDocument/2006/relationships/hyperlink" Target="https://enzyme.expasy.org/EC/2.3.1.266" TargetMode="External"/><Relationship Id="rId1475" Type="http://schemas.openxmlformats.org/officeDocument/2006/relationships/hyperlink" Target="https://enzyme.expasy.org/EC/1.1.1.95" TargetMode="External"/><Relationship Id="rId1682" Type="http://schemas.openxmlformats.org/officeDocument/2006/relationships/hyperlink" Target="https://enzyme.expasy.org/EC/3.5.1.119" TargetMode="External"/><Relationship Id="rId2319" Type="http://schemas.openxmlformats.org/officeDocument/2006/relationships/hyperlink" Target="https://enzyme.expasy.org/EC/2.4.-.-" TargetMode="External"/><Relationship Id="rId400" Type="http://schemas.openxmlformats.org/officeDocument/2006/relationships/hyperlink" Target="https://enzyme.expasy.org/EC/2.4.-.-" TargetMode="External"/><Relationship Id="rId705" Type="http://schemas.openxmlformats.org/officeDocument/2006/relationships/hyperlink" Target="https://enzyme.expasy.org/EC/6.1.1.1" TargetMode="External"/><Relationship Id="rId1128" Type="http://schemas.openxmlformats.org/officeDocument/2006/relationships/hyperlink" Target="https://www.kegg.jp/entry/R08575" TargetMode="External"/><Relationship Id="rId1335" Type="http://schemas.openxmlformats.org/officeDocument/2006/relationships/hyperlink" Target="https://www.kegg.jp/entry/5.6.2.2" TargetMode="External"/><Relationship Id="rId1542" Type="http://schemas.openxmlformats.org/officeDocument/2006/relationships/hyperlink" Target="https://www.kegg.jp/entry/2.7.7.7" TargetMode="External"/><Relationship Id="rId1987" Type="http://schemas.openxmlformats.org/officeDocument/2006/relationships/hyperlink" Target="https://www.kegg.jp/entry/R02235" TargetMode="External"/><Relationship Id="rId912" Type="http://schemas.openxmlformats.org/officeDocument/2006/relationships/hyperlink" Target="https://enzyme.expasy.org/EC/2.7.13.3" TargetMode="External"/><Relationship Id="rId1847" Type="http://schemas.openxmlformats.org/officeDocument/2006/relationships/hyperlink" Target="https://www.kegg.jp/entry/R04639" TargetMode="External"/><Relationship Id="rId41" Type="http://schemas.openxmlformats.org/officeDocument/2006/relationships/hyperlink" Target="https://enzyme.expasy.org/EC/3.4.21.105" TargetMode="External"/><Relationship Id="rId1402" Type="http://schemas.openxmlformats.org/officeDocument/2006/relationships/hyperlink" Target="https://www.kegg.jp/entry/1.17.7.4" TargetMode="External"/><Relationship Id="rId1707" Type="http://schemas.openxmlformats.org/officeDocument/2006/relationships/hyperlink" Target="https://www.kegg.jp/entry/4.2.1.9" TargetMode="External"/><Relationship Id="rId190" Type="http://schemas.openxmlformats.org/officeDocument/2006/relationships/hyperlink" Target="https://www.kegg.jp/entry/5.1.3.9" TargetMode="External"/><Relationship Id="rId288" Type="http://schemas.openxmlformats.org/officeDocument/2006/relationships/hyperlink" Target="https://www.kegg.jp/entry/7.1.2.2" TargetMode="External"/><Relationship Id="rId1914" Type="http://schemas.openxmlformats.org/officeDocument/2006/relationships/hyperlink" Target="https://www.kegg.jp/entry/R06098" TargetMode="External"/><Relationship Id="rId495" Type="http://schemas.openxmlformats.org/officeDocument/2006/relationships/hyperlink" Target="https://www.kegg.jp/entry/R03018" TargetMode="External"/><Relationship Id="rId2176" Type="http://schemas.openxmlformats.org/officeDocument/2006/relationships/hyperlink" Target="https://www.kegg.jp/entry/R06069" TargetMode="External"/><Relationship Id="rId2383" Type="http://schemas.openxmlformats.org/officeDocument/2006/relationships/hyperlink" Target="https://www.kegg.jp/entry/3.2.1.22" TargetMode="External"/><Relationship Id="rId148" Type="http://schemas.openxmlformats.org/officeDocument/2006/relationships/hyperlink" Target="https://www.kegg.jp/entry/R04440" TargetMode="External"/><Relationship Id="rId355" Type="http://schemas.openxmlformats.org/officeDocument/2006/relationships/hyperlink" Target="https://enzyme.expasy.org/EC/2.7.7.56" TargetMode="External"/><Relationship Id="rId562" Type="http://schemas.openxmlformats.org/officeDocument/2006/relationships/hyperlink" Target="https://enzyme.expasy.org/EC/6.3.3.1" TargetMode="External"/><Relationship Id="rId1192" Type="http://schemas.openxmlformats.org/officeDocument/2006/relationships/hyperlink" Target="https://www.kegg.jp/entry/2.4.2.17" TargetMode="External"/><Relationship Id="rId2036" Type="http://schemas.openxmlformats.org/officeDocument/2006/relationships/hyperlink" Target="https://www.kegg.jp/entry/R05326" TargetMode="External"/><Relationship Id="rId2243" Type="http://schemas.openxmlformats.org/officeDocument/2006/relationships/hyperlink" Target="https://enzyme.expasy.org/EC/2.6.1.-" TargetMode="External"/><Relationship Id="rId2450" Type="http://schemas.openxmlformats.org/officeDocument/2006/relationships/hyperlink" Target="https://www.kegg.jp/entry/1.17.4.1" TargetMode="External"/><Relationship Id="rId215" Type="http://schemas.openxmlformats.org/officeDocument/2006/relationships/hyperlink" Target="https://enzyme.expasy.org/EC/2.7.7.7" TargetMode="External"/><Relationship Id="rId422" Type="http://schemas.openxmlformats.org/officeDocument/2006/relationships/hyperlink" Target="https://www.kegg.jp/entry/2.1.1.207" TargetMode="External"/><Relationship Id="rId867" Type="http://schemas.openxmlformats.org/officeDocument/2006/relationships/hyperlink" Target="https://www.kegg.jp/entry/R00212" TargetMode="External"/><Relationship Id="rId1052" Type="http://schemas.openxmlformats.org/officeDocument/2006/relationships/hyperlink" Target="https://www.kegg.jp/entry/R09365" TargetMode="External"/><Relationship Id="rId1497" Type="http://schemas.openxmlformats.org/officeDocument/2006/relationships/hyperlink" Target="https://www.kegg.jp/entry/5.3.1.16" TargetMode="External"/><Relationship Id="rId2103" Type="http://schemas.openxmlformats.org/officeDocument/2006/relationships/hyperlink" Target="https://enzyme.expasy.org/EC/4.1.1.5" TargetMode="External"/><Relationship Id="rId2310" Type="http://schemas.openxmlformats.org/officeDocument/2006/relationships/hyperlink" Target="https://enzyme.expasy.org/EC/2.4.-.-" TargetMode="External"/><Relationship Id="rId727" Type="http://schemas.openxmlformats.org/officeDocument/2006/relationships/hyperlink" Target="https://www.kegg.jp/entry/R03005" TargetMode="External"/><Relationship Id="rId934" Type="http://schemas.openxmlformats.org/officeDocument/2006/relationships/hyperlink" Target="https://enzyme.expasy.org/EC/5.1.3.-" TargetMode="External"/><Relationship Id="rId1357" Type="http://schemas.openxmlformats.org/officeDocument/2006/relationships/hyperlink" Target="https://www.kegg.jp/entry/2.7.6.5" TargetMode="External"/><Relationship Id="rId1564" Type="http://schemas.openxmlformats.org/officeDocument/2006/relationships/hyperlink" Target="https://www.kegg.jp/entry/6.1.1.14" TargetMode="External"/><Relationship Id="rId1771" Type="http://schemas.openxmlformats.org/officeDocument/2006/relationships/hyperlink" Target="https://www.kegg.jp/entry/R02022" TargetMode="External"/><Relationship Id="rId2408" Type="http://schemas.openxmlformats.org/officeDocument/2006/relationships/hyperlink" Target="https://www.kegg.jp/entry/R05549" TargetMode="External"/><Relationship Id="rId63" Type="http://schemas.openxmlformats.org/officeDocument/2006/relationships/hyperlink" Target="https://www.kegg.jp/entry/2.4.99.28" TargetMode="External"/><Relationship Id="rId1217" Type="http://schemas.openxmlformats.org/officeDocument/2006/relationships/hyperlink" Target="https://enzyme.expasy.org/EC/2.7.13.3" TargetMode="External"/><Relationship Id="rId1424" Type="http://schemas.openxmlformats.org/officeDocument/2006/relationships/hyperlink" Target="https://enzyme.expasy.org/EC/2.1.1.72" TargetMode="External"/><Relationship Id="rId1631" Type="http://schemas.openxmlformats.org/officeDocument/2006/relationships/hyperlink" Target="https://enzyme.expasy.org/EC/3.1.3.5" TargetMode="External"/><Relationship Id="rId1869" Type="http://schemas.openxmlformats.org/officeDocument/2006/relationships/hyperlink" Target="https://www.kegg.jp/entry/R01781" TargetMode="External"/><Relationship Id="rId1729" Type="http://schemas.openxmlformats.org/officeDocument/2006/relationships/hyperlink" Target="https://www.kegg.jp/entry/2.5.1.6" TargetMode="External"/><Relationship Id="rId1936" Type="http://schemas.openxmlformats.org/officeDocument/2006/relationships/hyperlink" Target="https://www.kegg.jp/entry/3.2.1.52" TargetMode="External"/><Relationship Id="rId2198" Type="http://schemas.openxmlformats.org/officeDocument/2006/relationships/hyperlink" Target="https://www.kegg.jp/entry/R04475" TargetMode="External"/><Relationship Id="rId377" Type="http://schemas.openxmlformats.org/officeDocument/2006/relationships/hyperlink" Target="https://www.kegg.jp/entry/3.2.1.23" TargetMode="External"/><Relationship Id="rId584" Type="http://schemas.openxmlformats.org/officeDocument/2006/relationships/hyperlink" Target="https://www.kegg.jp/entry/R00378" TargetMode="External"/><Relationship Id="rId2058" Type="http://schemas.openxmlformats.org/officeDocument/2006/relationships/hyperlink" Target="https://www.kegg.jp/entry/3.1.26.4" TargetMode="External"/><Relationship Id="rId2265" Type="http://schemas.openxmlformats.org/officeDocument/2006/relationships/hyperlink" Target="https://www.kegg.jp/entry/6.1.1.19" TargetMode="External"/><Relationship Id="rId5" Type="http://schemas.openxmlformats.org/officeDocument/2006/relationships/hyperlink" Target="https://enzyme.expasy.org/EC/1.4.1.4" TargetMode="External"/><Relationship Id="rId237" Type="http://schemas.openxmlformats.org/officeDocument/2006/relationships/hyperlink" Target="https://enzyme.expasy.org/EC/7.6.2.-" TargetMode="External"/><Relationship Id="rId791" Type="http://schemas.openxmlformats.org/officeDocument/2006/relationships/hyperlink" Target="https://www.kegg.jp/entry/R00200" TargetMode="External"/><Relationship Id="rId889" Type="http://schemas.openxmlformats.org/officeDocument/2006/relationships/hyperlink" Target="https://www.kegg.jp/entry/4.4.1.13" TargetMode="External"/><Relationship Id="rId1074" Type="http://schemas.openxmlformats.org/officeDocument/2006/relationships/hyperlink" Target="https://www.kegg.jp/entry/R03977" TargetMode="External"/><Relationship Id="rId2472" Type="http://schemas.openxmlformats.org/officeDocument/2006/relationships/hyperlink" Target="https://www.kegg.jp/entry/1.17.4.1" TargetMode="External"/><Relationship Id="rId444" Type="http://schemas.openxmlformats.org/officeDocument/2006/relationships/hyperlink" Target="https://enzyme.expasy.org/EC/1.17.1.8" TargetMode="External"/><Relationship Id="rId651" Type="http://schemas.openxmlformats.org/officeDocument/2006/relationships/hyperlink" Target="https://enzyme.expasy.org/EC/3.4.-.-" TargetMode="External"/><Relationship Id="rId749" Type="http://schemas.openxmlformats.org/officeDocument/2006/relationships/hyperlink" Target="https://www.kegg.jp/entry/4.3.1.17" TargetMode="External"/><Relationship Id="rId1281" Type="http://schemas.openxmlformats.org/officeDocument/2006/relationships/hyperlink" Target="https://www.kegg.jp/entry/2.7.7.7" TargetMode="External"/><Relationship Id="rId1379" Type="http://schemas.openxmlformats.org/officeDocument/2006/relationships/hyperlink" Target="https://www.kegg.jp/entry/R01373" TargetMode="External"/><Relationship Id="rId1586" Type="http://schemas.openxmlformats.org/officeDocument/2006/relationships/hyperlink" Target="https://www.kegg.jp/entry/R02189" TargetMode="External"/><Relationship Id="rId2125" Type="http://schemas.openxmlformats.org/officeDocument/2006/relationships/hyperlink" Target="https://enzyme.expasy.org/EC/1.1.1.1" TargetMode="External"/><Relationship Id="rId2332" Type="http://schemas.openxmlformats.org/officeDocument/2006/relationships/hyperlink" Target="https://enzyme.expasy.org/EC/2.7.1.180" TargetMode="External"/><Relationship Id="rId304" Type="http://schemas.openxmlformats.org/officeDocument/2006/relationships/hyperlink" Target="https://www.kegg.jp/entry/R00842" TargetMode="External"/><Relationship Id="rId511" Type="http://schemas.openxmlformats.org/officeDocument/2006/relationships/hyperlink" Target="https://www.kegg.jp/entry/5.6.2.4" TargetMode="External"/><Relationship Id="rId609" Type="http://schemas.openxmlformats.org/officeDocument/2006/relationships/hyperlink" Target="https://www.kegg.jp/entry/6.3.5.5" TargetMode="External"/><Relationship Id="rId956" Type="http://schemas.openxmlformats.org/officeDocument/2006/relationships/hyperlink" Target="https://www.kegg.jp/entry/R01878" TargetMode="External"/><Relationship Id="rId1141" Type="http://schemas.openxmlformats.org/officeDocument/2006/relationships/hyperlink" Target="https://www.kegg.jp/entry/2.2.1.1" TargetMode="External"/><Relationship Id="rId1239" Type="http://schemas.openxmlformats.org/officeDocument/2006/relationships/hyperlink" Target="https://www.kegg.jp/entry/2.1.1.192" TargetMode="External"/><Relationship Id="rId1793" Type="http://schemas.openxmlformats.org/officeDocument/2006/relationships/hyperlink" Target="https://www.kegg.jp/entry/6.1.1.15" TargetMode="External"/><Relationship Id="rId85" Type="http://schemas.openxmlformats.org/officeDocument/2006/relationships/hyperlink" Target="https://www.kegg.jp/entry/R02051" TargetMode="External"/><Relationship Id="rId816" Type="http://schemas.openxmlformats.org/officeDocument/2006/relationships/hyperlink" Target="https://www.kegg.jp/entry/R11029" TargetMode="External"/><Relationship Id="rId1001" Type="http://schemas.openxmlformats.org/officeDocument/2006/relationships/hyperlink" Target="https://www.kegg.jp/entry/7.1.1.1" TargetMode="External"/><Relationship Id="rId1446" Type="http://schemas.openxmlformats.org/officeDocument/2006/relationships/hyperlink" Target="https://www.kegg.jp/entry/2.4.1.227" TargetMode="External"/><Relationship Id="rId1653" Type="http://schemas.openxmlformats.org/officeDocument/2006/relationships/hyperlink" Target="https://www.kegg.jp/entry/R02719" TargetMode="External"/><Relationship Id="rId1860" Type="http://schemas.openxmlformats.org/officeDocument/2006/relationships/hyperlink" Target="https://www.kegg.jp/entry/1.1.1.77" TargetMode="External"/><Relationship Id="rId1306" Type="http://schemas.openxmlformats.org/officeDocument/2006/relationships/hyperlink" Target="https://www.kegg.jp/entry/R01625" TargetMode="External"/><Relationship Id="rId1513" Type="http://schemas.openxmlformats.org/officeDocument/2006/relationships/hyperlink" Target="https://www.kegg.jp/entry/R03457" TargetMode="External"/><Relationship Id="rId1720" Type="http://schemas.openxmlformats.org/officeDocument/2006/relationships/hyperlink" Target="https://www.kegg.jp/entry/2.7.7.6" TargetMode="External"/><Relationship Id="rId1958" Type="http://schemas.openxmlformats.org/officeDocument/2006/relationships/hyperlink" Target="https://www.kegg.jp/entry/R07809" TargetMode="External"/><Relationship Id="rId12" Type="http://schemas.openxmlformats.org/officeDocument/2006/relationships/hyperlink" Target="https://enzyme.expasy.org/EC/2.7.7.65" TargetMode="External"/><Relationship Id="rId1818" Type="http://schemas.openxmlformats.org/officeDocument/2006/relationships/hyperlink" Target="https://enzyme.expasy.org/EC/2.7.1.2" TargetMode="External"/><Relationship Id="rId161" Type="http://schemas.openxmlformats.org/officeDocument/2006/relationships/hyperlink" Target="https://enzyme.expasy.org/EC/3.-.-.-" TargetMode="External"/><Relationship Id="rId399" Type="http://schemas.openxmlformats.org/officeDocument/2006/relationships/hyperlink" Target="https://enzyme.expasy.org/EC/2.-.-.-" TargetMode="External"/><Relationship Id="rId2287" Type="http://schemas.openxmlformats.org/officeDocument/2006/relationships/hyperlink" Target="https://www.kegg.jp/entry/R04001" TargetMode="External"/><Relationship Id="rId2494" Type="http://schemas.openxmlformats.org/officeDocument/2006/relationships/hyperlink" Target="https://enzyme.expasy.org/EC/2.7.7.72" TargetMode="External"/><Relationship Id="rId259" Type="http://schemas.openxmlformats.org/officeDocument/2006/relationships/hyperlink" Target="https://enzyme.expasy.org/EC/5.4.99.5" TargetMode="External"/><Relationship Id="rId466" Type="http://schemas.openxmlformats.org/officeDocument/2006/relationships/hyperlink" Target="https://www.kegg.jp/entry/R05635" TargetMode="External"/><Relationship Id="rId673" Type="http://schemas.openxmlformats.org/officeDocument/2006/relationships/hyperlink" Target="https://www.kegg.jp/entry/6.1.1.20" TargetMode="External"/><Relationship Id="rId880" Type="http://schemas.openxmlformats.org/officeDocument/2006/relationships/hyperlink" Target="https://enzyme.expasy.org/EC/4.4.1.13" TargetMode="External"/><Relationship Id="rId1096" Type="http://schemas.openxmlformats.org/officeDocument/2006/relationships/hyperlink" Target="https://www.kegg.jp/entry/2.4.2.10" TargetMode="External"/><Relationship Id="rId2147" Type="http://schemas.openxmlformats.org/officeDocument/2006/relationships/hyperlink" Target="https://www.kegg.jp/entry/R02878" TargetMode="External"/><Relationship Id="rId2354" Type="http://schemas.openxmlformats.org/officeDocument/2006/relationships/hyperlink" Target="https://www.kegg.jp/entry/R00996" TargetMode="External"/><Relationship Id="rId119" Type="http://schemas.openxmlformats.org/officeDocument/2006/relationships/hyperlink" Target="https://enzyme.expasy.org/EC/1.1.1.86" TargetMode="External"/><Relationship Id="rId326" Type="http://schemas.openxmlformats.org/officeDocument/2006/relationships/hyperlink" Target="https://www.kegg.jp/entry/R00439" TargetMode="External"/><Relationship Id="rId533" Type="http://schemas.openxmlformats.org/officeDocument/2006/relationships/hyperlink" Target="https://www.kegg.jp/entry/4.3.3.6" TargetMode="External"/><Relationship Id="rId978" Type="http://schemas.openxmlformats.org/officeDocument/2006/relationships/hyperlink" Target="https://www.kegg.jp/entry/R00571" TargetMode="External"/><Relationship Id="rId1163" Type="http://schemas.openxmlformats.org/officeDocument/2006/relationships/hyperlink" Target="https://enzyme.expasy.org/EC/2.4.2.7" TargetMode="External"/><Relationship Id="rId1370" Type="http://schemas.openxmlformats.org/officeDocument/2006/relationships/hyperlink" Target="https://enzyme.expasy.org/EC/3.1.11.2" TargetMode="External"/><Relationship Id="rId2007" Type="http://schemas.openxmlformats.org/officeDocument/2006/relationships/hyperlink" Target="https://www.kegg.jp/entry/R10757" TargetMode="External"/><Relationship Id="rId2214" Type="http://schemas.openxmlformats.org/officeDocument/2006/relationships/hyperlink" Target="https://www.kegg.jp/entry/3.2.2.16" TargetMode="External"/><Relationship Id="rId740" Type="http://schemas.openxmlformats.org/officeDocument/2006/relationships/hyperlink" Target="https://enzyme.expasy.org/EC/4.3.1.17" TargetMode="External"/><Relationship Id="rId838" Type="http://schemas.openxmlformats.org/officeDocument/2006/relationships/hyperlink" Target="https://enzyme.expasy.org/EC/6.3.5.2" TargetMode="External"/><Relationship Id="rId1023" Type="http://schemas.openxmlformats.org/officeDocument/2006/relationships/hyperlink" Target="https://www.kegg.jp/entry/1.4.1.13" TargetMode="External"/><Relationship Id="rId1468" Type="http://schemas.openxmlformats.org/officeDocument/2006/relationships/hyperlink" Target="https://www.kegg.jp/entry/R04573" TargetMode="External"/><Relationship Id="rId1675" Type="http://schemas.openxmlformats.org/officeDocument/2006/relationships/hyperlink" Target="https://www.kegg.jp/entry/R04559" TargetMode="External"/><Relationship Id="rId1882" Type="http://schemas.openxmlformats.org/officeDocument/2006/relationships/hyperlink" Target="https://enzyme.expasy.org/EC/3.2.1.23" TargetMode="External"/><Relationship Id="rId2421" Type="http://schemas.openxmlformats.org/officeDocument/2006/relationships/hyperlink" Target="https://enzyme.expasy.org/EC/3.5.4.13" TargetMode="External"/><Relationship Id="rId600" Type="http://schemas.openxmlformats.org/officeDocument/2006/relationships/hyperlink" Target="https://enzyme.expasy.org/EC/2.3.2.-" TargetMode="External"/><Relationship Id="rId1230" Type="http://schemas.openxmlformats.org/officeDocument/2006/relationships/hyperlink" Target="https://www.kegg.jp/entry/4.3.2.10" TargetMode="External"/><Relationship Id="rId1328" Type="http://schemas.openxmlformats.org/officeDocument/2006/relationships/hyperlink" Target="https://enzyme.expasy.org/EC/2.7.1.15" TargetMode="External"/><Relationship Id="rId1535" Type="http://schemas.openxmlformats.org/officeDocument/2006/relationships/hyperlink" Target="https://www.kegg.jp/entry/1.1.1.435" TargetMode="External"/><Relationship Id="rId905" Type="http://schemas.openxmlformats.org/officeDocument/2006/relationships/hyperlink" Target="https://enzyme.expasy.org/EC/2.7.1.35" TargetMode="External"/><Relationship Id="rId1742" Type="http://schemas.openxmlformats.org/officeDocument/2006/relationships/hyperlink" Target="https://www.kegg.jp/entry/3.1.21.3" TargetMode="External"/><Relationship Id="rId34" Type="http://schemas.openxmlformats.org/officeDocument/2006/relationships/hyperlink" Target="https://enzyme.expasy.org/EC/1.4.1.4" TargetMode="External"/><Relationship Id="rId1602" Type="http://schemas.openxmlformats.org/officeDocument/2006/relationships/hyperlink" Target="https://www.kegg.jp/entry/3.1.3.2" TargetMode="External"/><Relationship Id="rId183" Type="http://schemas.openxmlformats.org/officeDocument/2006/relationships/hyperlink" Target="https://www.kegg.jp/entry/R00480" TargetMode="External"/><Relationship Id="rId390" Type="http://schemas.openxmlformats.org/officeDocument/2006/relationships/hyperlink" Target="https://www.kegg.jp/entry/R06114" TargetMode="External"/><Relationship Id="rId1907" Type="http://schemas.openxmlformats.org/officeDocument/2006/relationships/hyperlink" Target="https://www.kegg.jp/entry/R01678" TargetMode="External"/><Relationship Id="rId2071" Type="http://schemas.openxmlformats.org/officeDocument/2006/relationships/hyperlink" Target="https://enzyme.expasy.org/EC/5.4.99.25" TargetMode="External"/><Relationship Id="rId250" Type="http://schemas.openxmlformats.org/officeDocument/2006/relationships/hyperlink" Target="https://enzyme.expasy.org/EC/3.4.13.-" TargetMode="External"/><Relationship Id="rId488" Type="http://schemas.openxmlformats.org/officeDocument/2006/relationships/hyperlink" Target="https://www.kegg.jp/entry/R06202" TargetMode="External"/><Relationship Id="rId695" Type="http://schemas.openxmlformats.org/officeDocument/2006/relationships/hyperlink" Target="https://www.kegg.jp/entry/R01954" TargetMode="External"/><Relationship Id="rId2169" Type="http://schemas.openxmlformats.org/officeDocument/2006/relationships/hyperlink" Target="https://enzyme.expasy.org/EC/3.2.1.196" TargetMode="External"/><Relationship Id="rId2376" Type="http://schemas.openxmlformats.org/officeDocument/2006/relationships/hyperlink" Target="https://enzyme.expasy.org/EC/3.2.1.22" TargetMode="External"/><Relationship Id="rId110" Type="http://schemas.openxmlformats.org/officeDocument/2006/relationships/hyperlink" Target="https://enzyme.expasy.org/EC/2.4.1.7" TargetMode="External"/><Relationship Id="rId348" Type="http://schemas.openxmlformats.org/officeDocument/2006/relationships/hyperlink" Target="https://www.kegg.jp/entry/3.1.26.3" TargetMode="External"/><Relationship Id="rId555" Type="http://schemas.openxmlformats.org/officeDocument/2006/relationships/hyperlink" Target="https://enzyme.expasy.org/EC/6.3.4.18" TargetMode="External"/><Relationship Id="rId762" Type="http://schemas.openxmlformats.org/officeDocument/2006/relationships/hyperlink" Target="https://enzyme.expasy.org/EC/2.4.1.18" TargetMode="External"/><Relationship Id="rId1185" Type="http://schemas.openxmlformats.org/officeDocument/2006/relationships/hyperlink" Target="https://enzyme.expasy.org/EC/5.4.99.-" TargetMode="External"/><Relationship Id="rId1392" Type="http://schemas.openxmlformats.org/officeDocument/2006/relationships/hyperlink" Target="https://www.kegg.jp/entry/2.5.1.72" TargetMode="External"/><Relationship Id="rId2029" Type="http://schemas.openxmlformats.org/officeDocument/2006/relationships/hyperlink" Target="https://www.kegg.jp/entry/2.7.1.162" TargetMode="External"/><Relationship Id="rId2236" Type="http://schemas.openxmlformats.org/officeDocument/2006/relationships/hyperlink" Target="https://www.kegg.jp/entry/2.1.1.171" TargetMode="External"/><Relationship Id="rId2443" Type="http://schemas.openxmlformats.org/officeDocument/2006/relationships/hyperlink" Target="https://enzyme.expasy.org/EC/1.17.4.1" TargetMode="External"/><Relationship Id="rId208" Type="http://schemas.openxmlformats.org/officeDocument/2006/relationships/hyperlink" Target="https://enzyme.expasy.org/EC/2.7.4.9" TargetMode="External"/><Relationship Id="rId415" Type="http://schemas.openxmlformats.org/officeDocument/2006/relationships/hyperlink" Target="https://enzyme.expasy.org/EC/2.7.7.12" TargetMode="External"/><Relationship Id="rId622" Type="http://schemas.openxmlformats.org/officeDocument/2006/relationships/hyperlink" Target="https://www.kegg.jp/entry/R00256" TargetMode="External"/><Relationship Id="rId1045" Type="http://schemas.openxmlformats.org/officeDocument/2006/relationships/hyperlink" Target="https://enzyme.expasy.org/EC/2.1.1.-" TargetMode="External"/><Relationship Id="rId1252" Type="http://schemas.openxmlformats.org/officeDocument/2006/relationships/hyperlink" Target="https://enzyme.expasy.org/EC/6.2.1.-" TargetMode="External"/><Relationship Id="rId1697" Type="http://schemas.openxmlformats.org/officeDocument/2006/relationships/hyperlink" Target="https://www.kegg.jp/entry/5.6.2.4" TargetMode="External"/><Relationship Id="rId2303" Type="http://schemas.openxmlformats.org/officeDocument/2006/relationships/hyperlink" Target="https://www.kegg.jp/entry/5.4.99.9" TargetMode="External"/><Relationship Id="rId2510" Type="http://schemas.openxmlformats.org/officeDocument/2006/relationships/printerSettings" Target="../printerSettings/printerSettings4.bin"/><Relationship Id="rId927" Type="http://schemas.openxmlformats.org/officeDocument/2006/relationships/hyperlink" Target="https://enzyme.expasy.org/EC/3.1.-.-" TargetMode="External"/><Relationship Id="rId1112" Type="http://schemas.openxmlformats.org/officeDocument/2006/relationships/hyperlink" Target="https://www.kegg.jp/entry/R01015" TargetMode="External"/><Relationship Id="rId1557" Type="http://schemas.openxmlformats.org/officeDocument/2006/relationships/hyperlink" Target="https://www.kegg.jp/entry/R00378" TargetMode="External"/><Relationship Id="rId1764" Type="http://schemas.openxmlformats.org/officeDocument/2006/relationships/hyperlink" Target="https://www.kegg.jp/entry/1.17.4.2" TargetMode="External"/><Relationship Id="rId1971" Type="http://schemas.openxmlformats.org/officeDocument/2006/relationships/hyperlink" Target="https://enzyme.expasy.org/EC/1.5.1.3" TargetMode="External"/><Relationship Id="rId56" Type="http://schemas.openxmlformats.org/officeDocument/2006/relationships/hyperlink" Target="https://www.kegg.jp/entry/3.4.16.4" TargetMode="External"/><Relationship Id="rId1417" Type="http://schemas.openxmlformats.org/officeDocument/2006/relationships/hyperlink" Target="https://enzyme.expasy.org/EC/3.5.99.6" TargetMode="External"/><Relationship Id="rId1624" Type="http://schemas.openxmlformats.org/officeDocument/2006/relationships/hyperlink" Target="https://enzyme.expasy.org/EC/3.1.3.5" TargetMode="External"/><Relationship Id="rId1831" Type="http://schemas.openxmlformats.org/officeDocument/2006/relationships/hyperlink" Target="https://enzyme.expasy.org/EC/2.5.1.15" TargetMode="External"/><Relationship Id="rId1929" Type="http://schemas.openxmlformats.org/officeDocument/2006/relationships/hyperlink" Target="https://enzyme.expasy.org/EC/3.2.1.52" TargetMode="External"/><Relationship Id="rId2093" Type="http://schemas.openxmlformats.org/officeDocument/2006/relationships/hyperlink" Target="https://www.kegg.jp/entry/R10813" TargetMode="External"/><Relationship Id="rId2398" Type="http://schemas.openxmlformats.org/officeDocument/2006/relationships/hyperlink" Target="https://www.kegg.jp/entry/R01101" TargetMode="External"/><Relationship Id="rId272" Type="http://schemas.openxmlformats.org/officeDocument/2006/relationships/hyperlink" Target="https://enzyme.expasy.org/EC/7.1.2.2" TargetMode="External"/><Relationship Id="rId577" Type="http://schemas.openxmlformats.org/officeDocument/2006/relationships/hyperlink" Target="https://www.kegg.jp/entry/2.7.7.7" TargetMode="External"/><Relationship Id="rId2160" Type="http://schemas.openxmlformats.org/officeDocument/2006/relationships/hyperlink" Target="https://www.kegg.jp/entry/R08310" TargetMode="External"/><Relationship Id="rId2258" Type="http://schemas.openxmlformats.org/officeDocument/2006/relationships/hyperlink" Target="https://enzyme.expasy.org/EC/1.1.1.3" TargetMode="External"/><Relationship Id="rId132" Type="http://schemas.openxmlformats.org/officeDocument/2006/relationships/hyperlink" Target="https://www.kegg.jp/entry/R05069" TargetMode="External"/><Relationship Id="rId784" Type="http://schemas.openxmlformats.org/officeDocument/2006/relationships/hyperlink" Target="https://www.kegg.jp/entry/2.7.1.40" TargetMode="External"/><Relationship Id="rId991" Type="http://schemas.openxmlformats.org/officeDocument/2006/relationships/hyperlink" Target="https://www.kegg.jp/entry/2.8.1.7" TargetMode="External"/><Relationship Id="rId1067" Type="http://schemas.openxmlformats.org/officeDocument/2006/relationships/hyperlink" Target="https://www.kegg.jp/entry/3.5.1.24" TargetMode="External"/><Relationship Id="rId2020" Type="http://schemas.openxmlformats.org/officeDocument/2006/relationships/hyperlink" Target="https://www.kegg.jp/entry/R00291" TargetMode="External"/><Relationship Id="rId2465" Type="http://schemas.openxmlformats.org/officeDocument/2006/relationships/hyperlink" Target="https://enzyme.expasy.org/EC/1.17.4.1" TargetMode="External"/><Relationship Id="rId437" Type="http://schemas.openxmlformats.org/officeDocument/2006/relationships/hyperlink" Target="https://www.kegg.jp/entry/R00435" TargetMode="External"/><Relationship Id="rId644" Type="http://schemas.openxmlformats.org/officeDocument/2006/relationships/hyperlink" Target="https://www.kegg.jp/entry/R00260" TargetMode="External"/><Relationship Id="rId851" Type="http://schemas.openxmlformats.org/officeDocument/2006/relationships/hyperlink" Target="https://enzyme.expasy.org/EC/3.1.3.-" TargetMode="External"/><Relationship Id="rId1274" Type="http://schemas.openxmlformats.org/officeDocument/2006/relationships/hyperlink" Target="https://enzyme.expasy.org/EC/2.7.7.7" TargetMode="External"/><Relationship Id="rId1481" Type="http://schemas.openxmlformats.org/officeDocument/2006/relationships/hyperlink" Target="https://enzyme.expasy.org/EC/3.4.21.88" TargetMode="External"/><Relationship Id="rId1579" Type="http://schemas.openxmlformats.org/officeDocument/2006/relationships/hyperlink" Target="https://www.kegg.jp/entry/2.7.1.63" TargetMode="External"/><Relationship Id="rId2118" Type="http://schemas.openxmlformats.org/officeDocument/2006/relationships/hyperlink" Target="https://enzyme.expasy.org/EC/1.1.1.1" TargetMode="External"/><Relationship Id="rId2325" Type="http://schemas.openxmlformats.org/officeDocument/2006/relationships/hyperlink" Target="https://www.kegg.jp/entry/6.1.1.10" TargetMode="External"/><Relationship Id="rId504" Type="http://schemas.openxmlformats.org/officeDocument/2006/relationships/hyperlink" Target="https://www.kegg.jp/entry/R01288" TargetMode="External"/><Relationship Id="rId711" Type="http://schemas.openxmlformats.org/officeDocument/2006/relationships/hyperlink" Target="https://www.kegg.jp/entry/R00104" TargetMode="External"/><Relationship Id="rId949" Type="http://schemas.openxmlformats.org/officeDocument/2006/relationships/hyperlink" Target="https://enzyme.expasy.org/EC/3.-.-.-" TargetMode="External"/><Relationship Id="rId1134" Type="http://schemas.openxmlformats.org/officeDocument/2006/relationships/hyperlink" Target="https://enzyme.expasy.org/EC/2.2.1.1" TargetMode="External"/><Relationship Id="rId1341" Type="http://schemas.openxmlformats.org/officeDocument/2006/relationships/hyperlink" Target="https://enzyme.expasy.org/EC/2.7.8.5" TargetMode="External"/><Relationship Id="rId1786" Type="http://schemas.openxmlformats.org/officeDocument/2006/relationships/hyperlink" Target="https://enzyme.expasy.org/EC/2.3.3.16" TargetMode="External"/><Relationship Id="rId1993" Type="http://schemas.openxmlformats.org/officeDocument/2006/relationships/hyperlink" Target="https://enzyme.expasy.org/EC/1.11.1.-" TargetMode="External"/><Relationship Id="rId78" Type="http://schemas.openxmlformats.org/officeDocument/2006/relationships/hyperlink" Target="https://enzyme.expasy.org/EC/3.1.4.4" TargetMode="External"/><Relationship Id="rId809" Type="http://schemas.openxmlformats.org/officeDocument/2006/relationships/hyperlink" Target="https://www.kegg.jp/entry/2.7.7.7" TargetMode="External"/><Relationship Id="rId1201" Type="http://schemas.openxmlformats.org/officeDocument/2006/relationships/hyperlink" Target="https://www.kegg.jp/entry/2.5.1.145" TargetMode="External"/><Relationship Id="rId1439" Type="http://schemas.openxmlformats.org/officeDocument/2006/relationships/hyperlink" Target="https://www.kegg.jp/entry/R03193" TargetMode="External"/><Relationship Id="rId1646" Type="http://schemas.openxmlformats.org/officeDocument/2006/relationships/hyperlink" Target="https://www.kegg.jp/entry/R07297" TargetMode="External"/><Relationship Id="rId1853" Type="http://schemas.openxmlformats.org/officeDocument/2006/relationships/hyperlink" Target="https://www.kegg.jp/entry/6.3.4.19" TargetMode="External"/><Relationship Id="rId1506" Type="http://schemas.openxmlformats.org/officeDocument/2006/relationships/hyperlink" Target="https://www.kegg.jp/entry/4.3.2.10" TargetMode="External"/><Relationship Id="rId1713" Type="http://schemas.openxmlformats.org/officeDocument/2006/relationships/hyperlink" Target="https://enzyme.expasy.org/EC/2.7.7.6" TargetMode="External"/><Relationship Id="rId1920" Type="http://schemas.openxmlformats.org/officeDocument/2006/relationships/hyperlink" Target="https://enzyme.expasy.org/EC/3.2.1.52" TargetMode="External"/><Relationship Id="rId294" Type="http://schemas.openxmlformats.org/officeDocument/2006/relationships/hyperlink" Target="https://www.kegg.jp/entry/7.1.2.2" TargetMode="External"/><Relationship Id="rId2182" Type="http://schemas.openxmlformats.org/officeDocument/2006/relationships/hyperlink" Target="https://enzyme.expasy.org/EC/2.7.7.7" TargetMode="External"/><Relationship Id="rId154" Type="http://schemas.openxmlformats.org/officeDocument/2006/relationships/hyperlink" Target="https://enzyme.expasy.org/EC/2.4.1.25" TargetMode="External"/><Relationship Id="rId361" Type="http://schemas.openxmlformats.org/officeDocument/2006/relationships/hyperlink" Target="https://www.kegg.jp/entry/5.3.1.9" TargetMode="External"/><Relationship Id="rId599" Type="http://schemas.openxmlformats.org/officeDocument/2006/relationships/hyperlink" Target="https://enzyme.expasy.org/EC/1.1.1.-" TargetMode="External"/><Relationship Id="rId2042" Type="http://schemas.openxmlformats.org/officeDocument/2006/relationships/hyperlink" Target="https://www.kegg.jp/entry/R03662" TargetMode="External"/><Relationship Id="rId2487" Type="http://schemas.openxmlformats.org/officeDocument/2006/relationships/hyperlink" Target="https://www.kegg.jp/entry/2.1.1.182" TargetMode="External"/><Relationship Id="rId459" Type="http://schemas.openxmlformats.org/officeDocument/2006/relationships/hyperlink" Target="https://enzyme.expasy.org/EC/5.4.2.10" TargetMode="External"/><Relationship Id="rId666" Type="http://schemas.openxmlformats.org/officeDocument/2006/relationships/hyperlink" Target="https://www.kegg.jp/entry/R00253" TargetMode="External"/><Relationship Id="rId873" Type="http://schemas.openxmlformats.org/officeDocument/2006/relationships/hyperlink" Target="https://www.kegg.jp/entry/5.2.1.8" TargetMode="External"/><Relationship Id="rId1089" Type="http://schemas.openxmlformats.org/officeDocument/2006/relationships/hyperlink" Target="https://enzyme.expasy.org/EC/4.1.1.23" TargetMode="External"/><Relationship Id="rId1296" Type="http://schemas.openxmlformats.org/officeDocument/2006/relationships/hyperlink" Target="https://enzyme.expasy.org/EC/1.-.-.-" TargetMode="External"/><Relationship Id="rId2347" Type="http://schemas.openxmlformats.org/officeDocument/2006/relationships/hyperlink" Target="https://enzyme.expasy.org/EC/4.3.1.19" TargetMode="External"/><Relationship Id="rId221" Type="http://schemas.openxmlformats.org/officeDocument/2006/relationships/hyperlink" Target="https://www.kegg.jp/entry/R00375" TargetMode="External"/><Relationship Id="rId319" Type="http://schemas.openxmlformats.org/officeDocument/2006/relationships/hyperlink" Target="https://enzyme.expasy.org/EC/2.7.7.8" TargetMode="External"/><Relationship Id="rId526" Type="http://schemas.openxmlformats.org/officeDocument/2006/relationships/hyperlink" Target="https://enzyme.expasy.org/EC/4.3.3.6" TargetMode="External"/><Relationship Id="rId1156" Type="http://schemas.openxmlformats.org/officeDocument/2006/relationships/hyperlink" Target="https://www.kegg.jp/entry/3.1.21.10" TargetMode="External"/><Relationship Id="rId1363" Type="http://schemas.openxmlformats.org/officeDocument/2006/relationships/hyperlink" Target="https://enzyme.expasy.org/EC/4.2.1.3" TargetMode="External"/><Relationship Id="rId2207" Type="http://schemas.openxmlformats.org/officeDocument/2006/relationships/hyperlink" Target="https://www.kegg.jp/entry/6.3.3.2" TargetMode="External"/><Relationship Id="rId733" Type="http://schemas.openxmlformats.org/officeDocument/2006/relationships/hyperlink" Target="https://enzyme.expasy.org/EC/1.-.-.-" TargetMode="External"/><Relationship Id="rId940" Type="http://schemas.openxmlformats.org/officeDocument/2006/relationships/hyperlink" Target="https://www.kegg.jp/entry/2.4.2.22" TargetMode="External"/><Relationship Id="rId1016" Type="http://schemas.openxmlformats.org/officeDocument/2006/relationships/hyperlink" Target="https://www.kegg.jp/entry/R02199" TargetMode="External"/><Relationship Id="rId1570" Type="http://schemas.openxmlformats.org/officeDocument/2006/relationships/hyperlink" Target="https://www.kegg.jp/entry/4.1.99.17" TargetMode="External"/><Relationship Id="rId1668" Type="http://schemas.openxmlformats.org/officeDocument/2006/relationships/hyperlink" Target="https://enzyme.expasy.org/EC/4.3.2.2" TargetMode="External"/><Relationship Id="rId1875" Type="http://schemas.openxmlformats.org/officeDocument/2006/relationships/hyperlink" Target="https://enzyme.expasy.org/EC/3.2.1.23" TargetMode="External"/><Relationship Id="rId2414" Type="http://schemas.openxmlformats.org/officeDocument/2006/relationships/hyperlink" Target="https://www.kegg.jp/entry/R06096" TargetMode="External"/><Relationship Id="rId800" Type="http://schemas.openxmlformats.org/officeDocument/2006/relationships/hyperlink" Target="https://www.kegg.jp/entry/2.7.7.7" TargetMode="External"/><Relationship Id="rId1223" Type="http://schemas.openxmlformats.org/officeDocument/2006/relationships/hyperlink" Target="https://www.kegg.jp/entry/4.1.3.27" TargetMode="External"/><Relationship Id="rId1430" Type="http://schemas.openxmlformats.org/officeDocument/2006/relationships/hyperlink" Target="https://www.kegg.jp/entry/2.1.1.37" TargetMode="External"/><Relationship Id="rId1528" Type="http://schemas.openxmlformats.org/officeDocument/2006/relationships/hyperlink" Target="https://www.kegg.jp/entry/1.1.1.23" TargetMode="External"/><Relationship Id="rId1735" Type="http://schemas.openxmlformats.org/officeDocument/2006/relationships/hyperlink" Target="https://enzyme.expasy.org/EC/3.1.21.-" TargetMode="External"/><Relationship Id="rId1942" Type="http://schemas.openxmlformats.org/officeDocument/2006/relationships/hyperlink" Target="https://www.kegg.jp/entry/3.2.1.52" TargetMode="External"/><Relationship Id="rId27" Type="http://schemas.openxmlformats.org/officeDocument/2006/relationships/hyperlink" Target="https://enzyme.expasy.org/EC/2.4.1.1" TargetMode="External"/><Relationship Id="rId1802" Type="http://schemas.openxmlformats.org/officeDocument/2006/relationships/hyperlink" Target="https://www.kegg.jp/entry/R08240" TargetMode="External"/><Relationship Id="rId176" Type="http://schemas.openxmlformats.org/officeDocument/2006/relationships/hyperlink" Target="https://www.kegg.jp/entry/R00375" TargetMode="External"/><Relationship Id="rId383" Type="http://schemas.openxmlformats.org/officeDocument/2006/relationships/hyperlink" Target="https://www.kegg.jp/entry/R04633" TargetMode="External"/><Relationship Id="rId590" Type="http://schemas.openxmlformats.org/officeDocument/2006/relationships/hyperlink" Target="https://www.kegg.jp/entry/6.3.5.3" TargetMode="External"/><Relationship Id="rId2064" Type="http://schemas.openxmlformats.org/officeDocument/2006/relationships/hyperlink" Target="https://www.kegg.jp/entry/R09030" TargetMode="External"/><Relationship Id="rId2271" Type="http://schemas.openxmlformats.org/officeDocument/2006/relationships/hyperlink" Target="https://www.kegg.jp/entry/4.2.1.33" TargetMode="External"/><Relationship Id="rId243" Type="http://schemas.openxmlformats.org/officeDocument/2006/relationships/hyperlink" Target="https://www.kegg.jp/entry/R02035" TargetMode="External"/><Relationship Id="rId450" Type="http://schemas.openxmlformats.org/officeDocument/2006/relationships/hyperlink" Target="https://www.kegg.jp/entry/4.3.3.7" TargetMode="External"/><Relationship Id="rId688" Type="http://schemas.openxmlformats.org/officeDocument/2006/relationships/hyperlink" Target="https://www.kegg.jp/entry/2.6.1.11" TargetMode="External"/><Relationship Id="rId895" Type="http://schemas.openxmlformats.org/officeDocument/2006/relationships/hyperlink" Target="https://www.kegg.jp/entry/R03528" TargetMode="External"/><Relationship Id="rId1080" Type="http://schemas.openxmlformats.org/officeDocument/2006/relationships/hyperlink" Target="https://enzyme.expasy.org/EC/2.7.7.89" TargetMode="External"/><Relationship Id="rId2131" Type="http://schemas.openxmlformats.org/officeDocument/2006/relationships/hyperlink" Target="https://www.kegg.jp/entry/1.1.1.1" TargetMode="External"/><Relationship Id="rId2369" Type="http://schemas.openxmlformats.org/officeDocument/2006/relationships/hyperlink" Target="https://enzyme.expasy.org/EC/3.2.1.22" TargetMode="External"/><Relationship Id="rId103" Type="http://schemas.openxmlformats.org/officeDocument/2006/relationships/hyperlink" Target="https://www.kegg.jp/entry/R01070" TargetMode="External"/><Relationship Id="rId310" Type="http://schemas.openxmlformats.org/officeDocument/2006/relationships/hyperlink" Target="https://www.kegg.jp/entry/4.3.1.1" TargetMode="External"/><Relationship Id="rId548" Type="http://schemas.openxmlformats.org/officeDocument/2006/relationships/hyperlink" Target="https://www.kegg.jp/entry/R05636" TargetMode="External"/><Relationship Id="rId755" Type="http://schemas.openxmlformats.org/officeDocument/2006/relationships/hyperlink" Target="https://enzyme.expasy.org/EC/5.2.1.8" TargetMode="External"/><Relationship Id="rId962" Type="http://schemas.openxmlformats.org/officeDocument/2006/relationships/hyperlink" Target="https://www.kegg.jp/entry/R03038" TargetMode="External"/><Relationship Id="rId1178" Type="http://schemas.openxmlformats.org/officeDocument/2006/relationships/hyperlink" Target="https://www.kegg.jp/entry/R02404" TargetMode="External"/><Relationship Id="rId1385" Type="http://schemas.openxmlformats.org/officeDocument/2006/relationships/hyperlink" Target="https://enzyme.expasy.org/EC/1.4.3.16" TargetMode="External"/><Relationship Id="rId1592" Type="http://schemas.openxmlformats.org/officeDocument/2006/relationships/hyperlink" Target="https://www.kegg.jp/entry/3.1.3.2" TargetMode="External"/><Relationship Id="rId2229" Type="http://schemas.openxmlformats.org/officeDocument/2006/relationships/hyperlink" Target="https://enzyme.expasy.org/EC/3.4.19.3" TargetMode="External"/><Relationship Id="rId2436" Type="http://schemas.openxmlformats.org/officeDocument/2006/relationships/hyperlink" Target="https://www.kegg.jp/entry/2.7.13.3" TargetMode="External"/><Relationship Id="rId91" Type="http://schemas.openxmlformats.org/officeDocument/2006/relationships/hyperlink" Target="https://www.kegg.jp/entry/R10209" TargetMode="External"/><Relationship Id="rId408" Type="http://schemas.openxmlformats.org/officeDocument/2006/relationships/hyperlink" Target="https://www.kegg.jp/entry/R04426" TargetMode="External"/><Relationship Id="rId615" Type="http://schemas.openxmlformats.org/officeDocument/2006/relationships/hyperlink" Target="https://www.kegg.jp/entry/R00575" TargetMode="External"/><Relationship Id="rId822" Type="http://schemas.openxmlformats.org/officeDocument/2006/relationships/hyperlink" Target="https://enzyme.expasy.org/EC/2.5.1.19" TargetMode="External"/><Relationship Id="rId1038" Type="http://schemas.openxmlformats.org/officeDocument/2006/relationships/hyperlink" Target="https://enzyme.expasy.org/EC/3.5.99.2" TargetMode="External"/><Relationship Id="rId1245" Type="http://schemas.openxmlformats.org/officeDocument/2006/relationships/hyperlink" Target="https://www.kegg.jp/entry/R00158" TargetMode="External"/><Relationship Id="rId1452" Type="http://schemas.openxmlformats.org/officeDocument/2006/relationships/hyperlink" Target="https://www.kegg.jp/entry/R05032" TargetMode="External"/><Relationship Id="rId1897" Type="http://schemas.openxmlformats.org/officeDocument/2006/relationships/hyperlink" Target="https://www.kegg.jp/entry/3.2.1.23" TargetMode="External"/><Relationship Id="rId2503" Type="http://schemas.openxmlformats.org/officeDocument/2006/relationships/hyperlink" Target="https://www.kegg.jp/entry/R09386" TargetMode="External"/><Relationship Id="rId1105" Type="http://schemas.openxmlformats.org/officeDocument/2006/relationships/hyperlink" Target="https://enzyme.expasy.org/EC/3.1.25.-" TargetMode="External"/><Relationship Id="rId1312" Type="http://schemas.openxmlformats.org/officeDocument/2006/relationships/hyperlink" Target="https://enzyme.expasy.org/EC/2.3.1.-" TargetMode="External"/><Relationship Id="rId1757" Type="http://schemas.openxmlformats.org/officeDocument/2006/relationships/hyperlink" Target="https://enzyme.expasy.org/EC/2.7.7.-" TargetMode="External"/><Relationship Id="rId1964" Type="http://schemas.openxmlformats.org/officeDocument/2006/relationships/hyperlink" Target="https://www.kegg.jp/entry/R12963" TargetMode="External"/><Relationship Id="rId49" Type="http://schemas.openxmlformats.org/officeDocument/2006/relationships/hyperlink" Target="https://enzyme.expasy.org/EC/4.1.3.27" TargetMode="External"/><Relationship Id="rId1617" Type="http://schemas.openxmlformats.org/officeDocument/2006/relationships/hyperlink" Target="https://www.kegg.jp/entry/3.1.3.5" TargetMode="External"/><Relationship Id="rId1824" Type="http://schemas.openxmlformats.org/officeDocument/2006/relationships/hyperlink" Target="https://www.kegg.jp/entry/R01786" TargetMode="External"/><Relationship Id="rId198" Type="http://schemas.openxmlformats.org/officeDocument/2006/relationships/hyperlink" Target="https://www.kegg.jp/entry/R00765" TargetMode="External"/><Relationship Id="rId2086" Type="http://schemas.openxmlformats.org/officeDocument/2006/relationships/hyperlink" Target="https://www.kegg.jp/entry/2.7.7.6" TargetMode="External"/><Relationship Id="rId2293" Type="http://schemas.openxmlformats.org/officeDocument/2006/relationships/hyperlink" Target="https://enzyme.expasy.org/EC/2.4.2.9" TargetMode="External"/><Relationship Id="rId265" Type="http://schemas.openxmlformats.org/officeDocument/2006/relationships/hyperlink" Target="https://www.kegg.jp/entry/4.2.99.18" TargetMode="External"/><Relationship Id="rId472" Type="http://schemas.openxmlformats.org/officeDocument/2006/relationships/hyperlink" Target="https://enzyme.expasy.org/EC/3.2.1.23" TargetMode="External"/><Relationship Id="rId2153" Type="http://schemas.openxmlformats.org/officeDocument/2006/relationships/hyperlink" Target="https://www.kegg.jp/entry/R06927" TargetMode="External"/><Relationship Id="rId2360" Type="http://schemas.openxmlformats.org/officeDocument/2006/relationships/hyperlink" Target="https://enzyme.expasy.org/EC/3.2.1.22" TargetMode="External"/><Relationship Id="rId125" Type="http://schemas.openxmlformats.org/officeDocument/2006/relationships/hyperlink" Target="https://www.kegg.jp/entry/1.1.1.86" TargetMode="External"/><Relationship Id="rId332" Type="http://schemas.openxmlformats.org/officeDocument/2006/relationships/hyperlink" Target="https://www.kegg.jp/entry/R03650" TargetMode="External"/><Relationship Id="rId777" Type="http://schemas.openxmlformats.org/officeDocument/2006/relationships/hyperlink" Target="https://enzyme.expasy.org/EC/2.7.1.40" TargetMode="External"/><Relationship Id="rId984" Type="http://schemas.openxmlformats.org/officeDocument/2006/relationships/hyperlink" Target="https://enzyme.expasy.org/EC/2.8.1.7" TargetMode="External"/><Relationship Id="rId2013" Type="http://schemas.openxmlformats.org/officeDocument/2006/relationships/hyperlink" Target="https://www.kegg.jp/entry/2.7.13.3" TargetMode="External"/><Relationship Id="rId2220" Type="http://schemas.openxmlformats.org/officeDocument/2006/relationships/hyperlink" Target="https://www.kegg.jp/entry/R01401" TargetMode="External"/><Relationship Id="rId2458" Type="http://schemas.openxmlformats.org/officeDocument/2006/relationships/hyperlink" Target="https://www.kegg.jp/entry/R02018" TargetMode="External"/><Relationship Id="rId637" Type="http://schemas.openxmlformats.org/officeDocument/2006/relationships/hyperlink" Target="https://www.kegg.jp/entry/R00332" TargetMode="External"/><Relationship Id="rId844" Type="http://schemas.openxmlformats.org/officeDocument/2006/relationships/hyperlink" Target="https://www.kegg.jp/entry/R00256" TargetMode="External"/><Relationship Id="rId1267" Type="http://schemas.openxmlformats.org/officeDocument/2006/relationships/hyperlink" Target="https://www.kegg.jp/entry/R10648" TargetMode="External"/><Relationship Id="rId1474" Type="http://schemas.openxmlformats.org/officeDocument/2006/relationships/hyperlink" Target="https://enzyme.expasy.org/EC/3.6.4.-" TargetMode="External"/><Relationship Id="rId1681" Type="http://schemas.openxmlformats.org/officeDocument/2006/relationships/hyperlink" Target="https://www.kegg.jp/entry/3.5.1.119" TargetMode="External"/><Relationship Id="rId2318" Type="http://schemas.openxmlformats.org/officeDocument/2006/relationships/hyperlink" Target="https://www.kegg.jp/entry/R06513" TargetMode="External"/><Relationship Id="rId704" Type="http://schemas.openxmlformats.org/officeDocument/2006/relationships/hyperlink" Target="https://www.kegg.jp/entry/R07459" TargetMode="External"/><Relationship Id="rId911" Type="http://schemas.openxmlformats.org/officeDocument/2006/relationships/hyperlink" Target="https://enzyme.expasy.org/EC/7.6.2.-" TargetMode="External"/><Relationship Id="rId1127" Type="http://schemas.openxmlformats.org/officeDocument/2006/relationships/hyperlink" Target="https://www.kegg.jp/entry/2.2.1.2" TargetMode="External"/><Relationship Id="rId1334" Type="http://schemas.openxmlformats.org/officeDocument/2006/relationships/hyperlink" Target="https://enzyme.expasy.org/EC/5.6.2.2" TargetMode="External"/><Relationship Id="rId1541" Type="http://schemas.openxmlformats.org/officeDocument/2006/relationships/hyperlink" Target="https://enzyme.expasy.org/EC/2.7.7.7" TargetMode="External"/><Relationship Id="rId1779" Type="http://schemas.openxmlformats.org/officeDocument/2006/relationships/hyperlink" Target="https://enzyme.expasy.org/EC/3.1.-.-" TargetMode="External"/><Relationship Id="rId1986" Type="http://schemas.openxmlformats.org/officeDocument/2006/relationships/hyperlink" Target="https://www.kegg.jp/entry/R00940" TargetMode="External"/><Relationship Id="rId40" Type="http://schemas.openxmlformats.org/officeDocument/2006/relationships/hyperlink" Target="https://www.kegg.jp/entry/R00146" TargetMode="External"/><Relationship Id="rId1401" Type="http://schemas.openxmlformats.org/officeDocument/2006/relationships/hyperlink" Target="https://enzyme.expasy.org/EC/1.17.7.4" TargetMode="External"/><Relationship Id="rId1639" Type="http://schemas.openxmlformats.org/officeDocument/2006/relationships/hyperlink" Target="https://www.kegg.jp/entry/3.1.3.5" TargetMode="External"/><Relationship Id="rId1846" Type="http://schemas.openxmlformats.org/officeDocument/2006/relationships/hyperlink" Target="https://www.kegg.jp/entry/R00428" TargetMode="External"/><Relationship Id="rId1706" Type="http://schemas.openxmlformats.org/officeDocument/2006/relationships/hyperlink" Target="https://www.kegg.jp/entry/4.2.1.9" TargetMode="External"/><Relationship Id="rId1913" Type="http://schemas.openxmlformats.org/officeDocument/2006/relationships/hyperlink" Target="https://www.kegg.jp/entry/R06010" TargetMode="External"/><Relationship Id="rId287" Type="http://schemas.openxmlformats.org/officeDocument/2006/relationships/hyperlink" Target="https://enzyme.expasy.org/EC/7.1.2.2" TargetMode="External"/><Relationship Id="rId494" Type="http://schemas.openxmlformats.org/officeDocument/2006/relationships/hyperlink" Target="https://www.kegg.jp/entry/2.7.1.33" TargetMode="External"/><Relationship Id="rId2175" Type="http://schemas.openxmlformats.org/officeDocument/2006/relationships/hyperlink" Target="https://www.kegg.jp/entry/R05196" TargetMode="External"/><Relationship Id="rId2382" Type="http://schemas.openxmlformats.org/officeDocument/2006/relationships/hyperlink" Target="https://www.kegg.jp/entry/3.2.1.22" TargetMode="External"/><Relationship Id="rId147" Type="http://schemas.openxmlformats.org/officeDocument/2006/relationships/hyperlink" Target="https://www.kegg.jp/entry/R03051" TargetMode="External"/><Relationship Id="rId354" Type="http://schemas.openxmlformats.org/officeDocument/2006/relationships/hyperlink" Target="https://www.kegg.jp/entry/R01724" TargetMode="External"/><Relationship Id="rId799" Type="http://schemas.openxmlformats.org/officeDocument/2006/relationships/hyperlink" Target="https://enzyme.expasy.org/EC/2.7.7.7" TargetMode="External"/><Relationship Id="rId1191" Type="http://schemas.openxmlformats.org/officeDocument/2006/relationships/hyperlink" Target="https://enzyme.expasy.org/EC/2.4.2.17" TargetMode="External"/><Relationship Id="rId2035" Type="http://schemas.openxmlformats.org/officeDocument/2006/relationships/hyperlink" Target="https://www.kegg.jp/entry/2.4.1.211" TargetMode="External"/><Relationship Id="rId561" Type="http://schemas.openxmlformats.org/officeDocument/2006/relationships/hyperlink" Target="https://www.kegg.jp/entry/R04144" TargetMode="External"/><Relationship Id="rId659" Type="http://schemas.openxmlformats.org/officeDocument/2006/relationships/hyperlink" Target="https://enzyme.expasy.org/EC/3.-.-.-" TargetMode="External"/><Relationship Id="rId866" Type="http://schemas.openxmlformats.org/officeDocument/2006/relationships/hyperlink" Target="https://www.kegg.jp/entry/2.3.1.54" TargetMode="External"/><Relationship Id="rId1289" Type="http://schemas.openxmlformats.org/officeDocument/2006/relationships/hyperlink" Target="https://www.kegg.jp/entry/R00377" TargetMode="External"/><Relationship Id="rId1496" Type="http://schemas.openxmlformats.org/officeDocument/2006/relationships/hyperlink" Target="https://enzyme.expasy.org/EC/5.3.1.16" TargetMode="External"/><Relationship Id="rId2242" Type="http://schemas.openxmlformats.org/officeDocument/2006/relationships/hyperlink" Target="https://enzyme.expasy.org/EC/6.3.4.-" TargetMode="External"/><Relationship Id="rId214" Type="http://schemas.openxmlformats.org/officeDocument/2006/relationships/hyperlink" Target="https://enzyme.expasy.org/EC/2.7.7.7" TargetMode="External"/><Relationship Id="rId421" Type="http://schemas.openxmlformats.org/officeDocument/2006/relationships/hyperlink" Target="https://enzyme.expasy.org/EC/2.1.1.207" TargetMode="External"/><Relationship Id="rId519" Type="http://schemas.openxmlformats.org/officeDocument/2006/relationships/hyperlink" Target="https://enzyme.expasy.org/EC/3.5.1.2" TargetMode="External"/><Relationship Id="rId1051" Type="http://schemas.openxmlformats.org/officeDocument/2006/relationships/hyperlink" Target="https://www.kegg.jp/entry/R04405" TargetMode="External"/><Relationship Id="rId1149" Type="http://schemas.openxmlformats.org/officeDocument/2006/relationships/hyperlink" Target="https://enzyme.expasy.org/EC/3.6.1.27" TargetMode="External"/><Relationship Id="rId1356" Type="http://schemas.openxmlformats.org/officeDocument/2006/relationships/hyperlink" Target="https://enzyme.expasy.org/EC/2.7.6.5" TargetMode="External"/><Relationship Id="rId2102" Type="http://schemas.openxmlformats.org/officeDocument/2006/relationships/hyperlink" Target="https://www.kegg.jp/entry/R11319" TargetMode="External"/><Relationship Id="rId726" Type="http://schemas.openxmlformats.org/officeDocument/2006/relationships/hyperlink" Target="https://www.kegg.jp/entry/2.7.7.18" TargetMode="External"/><Relationship Id="rId933" Type="http://schemas.openxmlformats.org/officeDocument/2006/relationships/hyperlink" Target="https://www.kegg.jp/entry/R00765" TargetMode="External"/><Relationship Id="rId1009" Type="http://schemas.openxmlformats.org/officeDocument/2006/relationships/hyperlink" Target="https://enzyme.expasy.org/EC/2.6.1.42" TargetMode="External"/><Relationship Id="rId1563" Type="http://schemas.openxmlformats.org/officeDocument/2006/relationships/hyperlink" Target="https://enzyme.expasy.org/EC/6.1.1.14" TargetMode="External"/><Relationship Id="rId1770" Type="http://schemas.openxmlformats.org/officeDocument/2006/relationships/hyperlink" Target="https://www.kegg.jp/entry/R02020" TargetMode="External"/><Relationship Id="rId1868" Type="http://schemas.openxmlformats.org/officeDocument/2006/relationships/hyperlink" Target="https://www.kegg.jp/entry/R03080" TargetMode="External"/><Relationship Id="rId2407" Type="http://schemas.openxmlformats.org/officeDocument/2006/relationships/hyperlink" Target="https://www.kegg.jp/entry/R04470" TargetMode="External"/><Relationship Id="rId62" Type="http://schemas.openxmlformats.org/officeDocument/2006/relationships/hyperlink" Target="https://enzyme.expasy.org/EC/2.4.99.28" TargetMode="External"/><Relationship Id="rId1216" Type="http://schemas.openxmlformats.org/officeDocument/2006/relationships/hyperlink" Target="https://enzyme.expasy.org/EC/7.5.2.-" TargetMode="External"/><Relationship Id="rId1423" Type="http://schemas.openxmlformats.org/officeDocument/2006/relationships/hyperlink" Target="https://www.kegg.jp/entry/R04112" TargetMode="External"/><Relationship Id="rId1630" Type="http://schemas.openxmlformats.org/officeDocument/2006/relationships/hyperlink" Target="https://enzyme.expasy.org/EC/3.1.3.5" TargetMode="External"/><Relationship Id="rId1728" Type="http://schemas.openxmlformats.org/officeDocument/2006/relationships/hyperlink" Target="https://enzyme.expasy.org/EC/2.5.1.6" TargetMode="External"/><Relationship Id="rId1935" Type="http://schemas.openxmlformats.org/officeDocument/2006/relationships/hyperlink" Target="https://enzyme.expasy.org/EC/3.2.1.52" TargetMode="External"/><Relationship Id="rId2197" Type="http://schemas.openxmlformats.org/officeDocument/2006/relationships/hyperlink" Target="https://www.kegg.jp/entry/2.6.1.17" TargetMode="External"/><Relationship Id="rId169" Type="http://schemas.openxmlformats.org/officeDocument/2006/relationships/hyperlink" Target="https://www.kegg.jp/entry/2.7.7.7" TargetMode="External"/><Relationship Id="rId376" Type="http://schemas.openxmlformats.org/officeDocument/2006/relationships/hyperlink" Target="https://enzyme.expasy.org/EC/3.2.1.23" TargetMode="External"/><Relationship Id="rId583" Type="http://schemas.openxmlformats.org/officeDocument/2006/relationships/hyperlink" Target="https://www.kegg.jp/entry/2.7.7.7" TargetMode="External"/><Relationship Id="rId790" Type="http://schemas.openxmlformats.org/officeDocument/2006/relationships/hyperlink" Target="https://www.kegg.jp/entry/2.7.1.40" TargetMode="External"/><Relationship Id="rId2057" Type="http://schemas.openxmlformats.org/officeDocument/2006/relationships/hyperlink" Target="https://enzyme.expasy.org/EC/3.1.26.4" TargetMode="External"/><Relationship Id="rId2264" Type="http://schemas.openxmlformats.org/officeDocument/2006/relationships/hyperlink" Target="https://enzyme.expasy.org/EC/6.1.1.19" TargetMode="External"/><Relationship Id="rId2471" Type="http://schemas.openxmlformats.org/officeDocument/2006/relationships/hyperlink" Target="https://www.kegg.jp/entry/1.17.4.1" TargetMode="External"/><Relationship Id="rId4" Type="http://schemas.openxmlformats.org/officeDocument/2006/relationships/hyperlink" Target="https://www.kegg.jp/entry/5.6.2.2" TargetMode="External"/><Relationship Id="rId236" Type="http://schemas.openxmlformats.org/officeDocument/2006/relationships/hyperlink" Target="https://www.kegg.jp/entry/R05578" TargetMode="External"/><Relationship Id="rId443" Type="http://schemas.openxmlformats.org/officeDocument/2006/relationships/hyperlink" Target="https://enzyme.expasy.org/EC/1.17.1.8" TargetMode="External"/><Relationship Id="rId650" Type="http://schemas.openxmlformats.org/officeDocument/2006/relationships/hyperlink" Target="https://www.kegg.jp/entry/5.6.2.4" TargetMode="External"/><Relationship Id="rId888" Type="http://schemas.openxmlformats.org/officeDocument/2006/relationships/hyperlink" Target="https://www.kegg.jp/entry/4.4.1.13" TargetMode="External"/><Relationship Id="rId1073" Type="http://schemas.openxmlformats.org/officeDocument/2006/relationships/hyperlink" Target="https://www.kegg.jp/entry/R03975" TargetMode="External"/><Relationship Id="rId1280" Type="http://schemas.openxmlformats.org/officeDocument/2006/relationships/hyperlink" Target="https://enzyme.expasy.org/EC/2.7.7.7" TargetMode="External"/><Relationship Id="rId2124" Type="http://schemas.openxmlformats.org/officeDocument/2006/relationships/hyperlink" Target="https://enzyme.expasy.org/EC/1.1.1.1" TargetMode="External"/><Relationship Id="rId2331" Type="http://schemas.openxmlformats.org/officeDocument/2006/relationships/hyperlink" Target="https://www.kegg.jp/entry/2.1.1.198" TargetMode="External"/><Relationship Id="rId303" Type="http://schemas.openxmlformats.org/officeDocument/2006/relationships/hyperlink" Target="https://www.kegg.jp/entry/1.1.1.94" TargetMode="External"/><Relationship Id="rId748" Type="http://schemas.openxmlformats.org/officeDocument/2006/relationships/hyperlink" Target="https://www.kegg.jp/entry/4.3.1.17" TargetMode="External"/><Relationship Id="rId955" Type="http://schemas.openxmlformats.org/officeDocument/2006/relationships/hyperlink" Target="https://www.kegg.jp/entry/3.5.4.5" TargetMode="External"/><Relationship Id="rId1140" Type="http://schemas.openxmlformats.org/officeDocument/2006/relationships/hyperlink" Target="https://www.kegg.jp/entry/2.2.1.1" TargetMode="External"/><Relationship Id="rId1378" Type="http://schemas.openxmlformats.org/officeDocument/2006/relationships/hyperlink" Target="https://www.kegg.jp/entry/4.2.1.51" TargetMode="External"/><Relationship Id="rId1585" Type="http://schemas.openxmlformats.org/officeDocument/2006/relationships/hyperlink" Target="https://www.kegg.jp/entry/R02187" TargetMode="External"/><Relationship Id="rId1792" Type="http://schemas.openxmlformats.org/officeDocument/2006/relationships/hyperlink" Target="https://enzyme.expasy.org/EC/6.1.1.15" TargetMode="External"/><Relationship Id="rId2429" Type="http://schemas.openxmlformats.org/officeDocument/2006/relationships/hyperlink" Target="https://www.kegg.jp/entry/2.7.7.12" TargetMode="External"/><Relationship Id="rId84" Type="http://schemas.openxmlformats.org/officeDocument/2006/relationships/hyperlink" Target="https://www.kegg.jp/entry/R01310" TargetMode="External"/><Relationship Id="rId510" Type="http://schemas.openxmlformats.org/officeDocument/2006/relationships/hyperlink" Target="https://enzyme.expasy.org/EC/5.6.2.4" TargetMode="External"/><Relationship Id="rId608" Type="http://schemas.openxmlformats.org/officeDocument/2006/relationships/hyperlink" Target="https://enzyme.expasy.org/EC/6.3.5.5" TargetMode="External"/><Relationship Id="rId815" Type="http://schemas.openxmlformats.org/officeDocument/2006/relationships/hyperlink" Target="https://www.kegg.jp/entry/R00378" TargetMode="External"/><Relationship Id="rId1238" Type="http://schemas.openxmlformats.org/officeDocument/2006/relationships/hyperlink" Target="https://enzyme.expasy.org/EC/2.1.1.192" TargetMode="External"/><Relationship Id="rId1445" Type="http://schemas.openxmlformats.org/officeDocument/2006/relationships/hyperlink" Target="https://enzyme.expasy.org/EC/2.4.1.227" TargetMode="External"/><Relationship Id="rId1652" Type="http://schemas.openxmlformats.org/officeDocument/2006/relationships/hyperlink" Target="https://www.kegg.jp/entry/R02323" TargetMode="External"/><Relationship Id="rId1000" Type="http://schemas.openxmlformats.org/officeDocument/2006/relationships/hyperlink" Target="https://enzyme.expasy.org/EC/7.1.1.1" TargetMode="External"/><Relationship Id="rId1305" Type="http://schemas.openxmlformats.org/officeDocument/2006/relationships/hyperlink" Target="https://www.kegg.jp/entry/2.7.8.7" TargetMode="External"/><Relationship Id="rId1957" Type="http://schemas.openxmlformats.org/officeDocument/2006/relationships/hyperlink" Target="https://www.kegg.jp/entry/R06141" TargetMode="External"/><Relationship Id="rId1512" Type="http://schemas.openxmlformats.org/officeDocument/2006/relationships/hyperlink" Target="https://www.kegg.jp/entry/4.2.1.19" TargetMode="External"/><Relationship Id="rId1817" Type="http://schemas.openxmlformats.org/officeDocument/2006/relationships/hyperlink" Target="https://www.kegg.jp/entry/2.7.1.2" TargetMode="External"/><Relationship Id="rId11" Type="http://schemas.openxmlformats.org/officeDocument/2006/relationships/hyperlink" Target="https://enzyme.expasy.org/EC/1.1.1.-" TargetMode="External"/><Relationship Id="rId398" Type="http://schemas.openxmlformats.org/officeDocument/2006/relationships/hyperlink" Target="https://enzyme.expasy.org/EC/2.4.-.-" TargetMode="External"/><Relationship Id="rId2079" Type="http://schemas.openxmlformats.org/officeDocument/2006/relationships/hyperlink" Target="https://enzyme.expasy.org/EC/2.7.7.6" TargetMode="External"/><Relationship Id="rId160" Type="http://schemas.openxmlformats.org/officeDocument/2006/relationships/hyperlink" Target="https://www.kegg.jp/entry/3.2.1.41" TargetMode="External"/><Relationship Id="rId2286" Type="http://schemas.openxmlformats.org/officeDocument/2006/relationships/hyperlink" Target="https://www.kegg.jp/entry/R03968" TargetMode="External"/><Relationship Id="rId2493" Type="http://schemas.openxmlformats.org/officeDocument/2006/relationships/hyperlink" Target="https://www.kegg.jp/entry/2.7.7.72" TargetMode="External"/><Relationship Id="rId258" Type="http://schemas.openxmlformats.org/officeDocument/2006/relationships/hyperlink" Target="https://enzyme.expasy.org/EC/2.3.-.-" TargetMode="External"/><Relationship Id="rId465" Type="http://schemas.openxmlformats.org/officeDocument/2006/relationships/hyperlink" Target="https://www.kegg.jp/entry/3.5.1.88" TargetMode="External"/><Relationship Id="rId672" Type="http://schemas.openxmlformats.org/officeDocument/2006/relationships/hyperlink" Target="https://enzyme.expasy.org/EC/6.1.1.20" TargetMode="External"/><Relationship Id="rId1095" Type="http://schemas.openxmlformats.org/officeDocument/2006/relationships/hyperlink" Target="https://enzyme.expasy.org/EC/2.4.2.10" TargetMode="External"/><Relationship Id="rId2146" Type="http://schemas.openxmlformats.org/officeDocument/2006/relationships/hyperlink" Target="https://www.kegg.jp/entry/R02124" TargetMode="External"/><Relationship Id="rId2353" Type="http://schemas.openxmlformats.org/officeDocument/2006/relationships/hyperlink" Target="https://www.kegg.jp/entry/4.3.1.19" TargetMode="External"/><Relationship Id="rId118" Type="http://schemas.openxmlformats.org/officeDocument/2006/relationships/hyperlink" Target="https://enzyme.expasy.org/EC/1.1.1.86" TargetMode="External"/><Relationship Id="rId325" Type="http://schemas.openxmlformats.org/officeDocument/2006/relationships/hyperlink" Target="https://www.kegg.jp/entry/R00438" TargetMode="External"/><Relationship Id="rId532" Type="http://schemas.openxmlformats.org/officeDocument/2006/relationships/hyperlink" Target="https://www.kegg.jp/entry/4.3.3.6" TargetMode="External"/><Relationship Id="rId977" Type="http://schemas.openxmlformats.org/officeDocument/2006/relationships/hyperlink" Target="https://www.kegg.jp/entry/R00256" TargetMode="External"/><Relationship Id="rId1162" Type="http://schemas.openxmlformats.org/officeDocument/2006/relationships/hyperlink" Target="https://www.kegg.jp/entry/2.4.2.7" TargetMode="External"/><Relationship Id="rId2006" Type="http://schemas.openxmlformats.org/officeDocument/2006/relationships/hyperlink" Target="https://www.kegg.jp/entry/2.5.1.74" TargetMode="External"/><Relationship Id="rId2213" Type="http://schemas.openxmlformats.org/officeDocument/2006/relationships/hyperlink" Target="https://enzyme.expasy.org/EC/3.2.2.16" TargetMode="External"/><Relationship Id="rId2420" Type="http://schemas.openxmlformats.org/officeDocument/2006/relationships/hyperlink" Target="https://enzyme.expasy.org/EC/3.-.-.-" TargetMode="External"/><Relationship Id="rId837" Type="http://schemas.openxmlformats.org/officeDocument/2006/relationships/hyperlink" Target="https://www.kegg.jp/entry/6.3.5.2" TargetMode="External"/><Relationship Id="rId1022" Type="http://schemas.openxmlformats.org/officeDocument/2006/relationships/hyperlink" Target="https://enzyme.expasy.org/EC/1.4.1.13" TargetMode="External"/><Relationship Id="rId1467" Type="http://schemas.openxmlformats.org/officeDocument/2006/relationships/hyperlink" Target="https://www.kegg.jp/entry/6.3.2.10" TargetMode="External"/><Relationship Id="rId1674" Type="http://schemas.openxmlformats.org/officeDocument/2006/relationships/hyperlink" Target="https://www.kegg.jp/entry/R01083" TargetMode="External"/><Relationship Id="rId1881" Type="http://schemas.openxmlformats.org/officeDocument/2006/relationships/hyperlink" Target="https://enzyme.expasy.org/EC/3.2.1.23" TargetMode="External"/><Relationship Id="rId904" Type="http://schemas.openxmlformats.org/officeDocument/2006/relationships/hyperlink" Target="https://enzyme.expasy.org/EC/2.7.1.35" TargetMode="External"/><Relationship Id="rId1327" Type="http://schemas.openxmlformats.org/officeDocument/2006/relationships/hyperlink" Target="https://www.kegg.jp/entry/5.6.2.2" TargetMode="External"/><Relationship Id="rId1534" Type="http://schemas.openxmlformats.org/officeDocument/2006/relationships/hyperlink" Target="https://enzyme.expasy.org/EC/1.1.1.435" TargetMode="External"/><Relationship Id="rId1741" Type="http://schemas.openxmlformats.org/officeDocument/2006/relationships/hyperlink" Target="https://enzyme.expasy.org/EC/3.1.21.3" TargetMode="External"/><Relationship Id="rId1979" Type="http://schemas.openxmlformats.org/officeDocument/2006/relationships/hyperlink" Target="https://www.kegg.jp/entry/1.5.1.3" TargetMode="External"/><Relationship Id="rId33" Type="http://schemas.openxmlformats.org/officeDocument/2006/relationships/hyperlink" Target="https://www.kegg.jp/entry/R06185" TargetMode="External"/><Relationship Id="rId1601" Type="http://schemas.openxmlformats.org/officeDocument/2006/relationships/hyperlink" Target="https://www.kegg.jp/entry/3.1.3.2" TargetMode="External"/><Relationship Id="rId1839" Type="http://schemas.openxmlformats.org/officeDocument/2006/relationships/hyperlink" Target="https://enzyme.expasy.org/EC/3.5.4.16" TargetMode="External"/><Relationship Id="rId182" Type="http://schemas.openxmlformats.org/officeDocument/2006/relationships/hyperlink" Target="https://www.kegg.jp/entry/2.7.2.4" TargetMode="External"/><Relationship Id="rId1906" Type="http://schemas.openxmlformats.org/officeDocument/2006/relationships/hyperlink" Target="https://www.kegg.jp/entry/R01105" TargetMode="External"/><Relationship Id="rId487" Type="http://schemas.openxmlformats.org/officeDocument/2006/relationships/hyperlink" Target="https://www.kegg.jp/entry/R06144" TargetMode="External"/><Relationship Id="rId694" Type="http://schemas.openxmlformats.org/officeDocument/2006/relationships/hyperlink" Target="https://www.kegg.jp/entry/6.3.4.5" TargetMode="External"/><Relationship Id="rId2070" Type="http://schemas.openxmlformats.org/officeDocument/2006/relationships/hyperlink" Target="https://www.kegg.jp/entry/R00161" TargetMode="External"/><Relationship Id="rId2168" Type="http://schemas.openxmlformats.org/officeDocument/2006/relationships/hyperlink" Target="https://www.kegg.jp/entry/R01172" TargetMode="External"/><Relationship Id="rId2375" Type="http://schemas.openxmlformats.org/officeDocument/2006/relationships/hyperlink" Target="https://enzyme.expasy.org/EC/3.2.1.22" TargetMode="External"/><Relationship Id="rId347" Type="http://schemas.openxmlformats.org/officeDocument/2006/relationships/hyperlink" Target="https://enzyme.expasy.org/EC/3.1.26.3" TargetMode="External"/><Relationship Id="rId999" Type="http://schemas.openxmlformats.org/officeDocument/2006/relationships/hyperlink" Target="https://www.kegg.jp/entry/R13176" TargetMode="External"/><Relationship Id="rId1184" Type="http://schemas.openxmlformats.org/officeDocument/2006/relationships/hyperlink" Target="https://www.kegg.jp/entry/R01127" TargetMode="External"/><Relationship Id="rId2028" Type="http://schemas.openxmlformats.org/officeDocument/2006/relationships/hyperlink" Target="https://www.kegg.jp/entry/2.7.1.162" TargetMode="External"/><Relationship Id="rId554" Type="http://schemas.openxmlformats.org/officeDocument/2006/relationships/hyperlink" Target="https://www.kegg.jp/entry/R07405" TargetMode="External"/><Relationship Id="rId761" Type="http://schemas.openxmlformats.org/officeDocument/2006/relationships/hyperlink" Target="https://www.kegg.jp/entry/2.7.13.3" TargetMode="External"/><Relationship Id="rId859" Type="http://schemas.openxmlformats.org/officeDocument/2006/relationships/hyperlink" Target="https://enzyme.expasy.org/EC/6.3.5.1" TargetMode="External"/><Relationship Id="rId1391" Type="http://schemas.openxmlformats.org/officeDocument/2006/relationships/hyperlink" Target="https://enzyme.expasy.org/EC/2.5.1.72" TargetMode="External"/><Relationship Id="rId1489" Type="http://schemas.openxmlformats.org/officeDocument/2006/relationships/hyperlink" Target="https://www.kegg.jp/entry/R00703" TargetMode="External"/><Relationship Id="rId1696" Type="http://schemas.openxmlformats.org/officeDocument/2006/relationships/hyperlink" Target="https://enzyme.expasy.org/EC/5.6.2.4" TargetMode="External"/><Relationship Id="rId2235" Type="http://schemas.openxmlformats.org/officeDocument/2006/relationships/hyperlink" Target="https://enzyme.expasy.org/EC/2.1.1.171" TargetMode="External"/><Relationship Id="rId2442" Type="http://schemas.openxmlformats.org/officeDocument/2006/relationships/hyperlink" Target="https://enzyme.expasy.org/EC/1.17.4.1" TargetMode="External"/><Relationship Id="rId207" Type="http://schemas.openxmlformats.org/officeDocument/2006/relationships/hyperlink" Target="https://enzyme.expasy.org/EC/2.7.4.9" TargetMode="External"/><Relationship Id="rId414" Type="http://schemas.openxmlformats.org/officeDocument/2006/relationships/hyperlink" Target="https://www.kegg.jp/entry/R01868" TargetMode="External"/><Relationship Id="rId621" Type="http://schemas.openxmlformats.org/officeDocument/2006/relationships/hyperlink" Target="https://www.kegg.jp/entry/6.3.5.5" TargetMode="External"/><Relationship Id="rId1044" Type="http://schemas.openxmlformats.org/officeDocument/2006/relationships/hyperlink" Target="https://enzyme.expasy.org/EC/3.-.-.-" TargetMode="External"/><Relationship Id="rId1251" Type="http://schemas.openxmlformats.org/officeDocument/2006/relationships/hyperlink" Target="https://www.kegg.jp/entry/R04268" TargetMode="External"/><Relationship Id="rId1349" Type="http://schemas.openxmlformats.org/officeDocument/2006/relationships/hyperlink" Target="https://enzyme.expasy.org/EC/2.8.4.3" TargetMode="External"/><Relationship Id="rId2302" Type="http://schemas.openxmlformats.org/officeDocument/2006/relationships/hyperlink" Target="https://enzyme.expasy.org/EC/5.4.99.9" TargetMode="External"/><Relationship Id="rId719" Type="http://schemas.openxmlformats.org/officeDocument/2006/relationships/hyperlink" Target="https://www.kegg.jp/entry/R05086" TargetMode="External"/><Relationship Id="rId926" Type="http://schemas.openxmlformats.org/officeDocument/2006/relationships/hyperlink" Target="https://enzyme.expasy.org/EC/2.1.1.-" TargetMode="External"/><Relationship Id="rId1111" Type="http://schemas.openxmlformats.org/officeDocument/2006/relationships/hyperlink" Target="https://www.kegg.jp/entry/5.3.1.1" TargetMode="External"/><Relationship Id="rId1556" Type="http://schemas.openxmlformats.org/officeDocument/2006/relationships/hyperlink" Target="https://www.kegg.jp/entry/R00377" TargetMode="External"/><Relationship Id="rId1763" Type="http://schemas.openxmlformats.org/officeDocument/2006/relationships/hyperlink" Target="https://enzyme.expasy.org/EC/1.17.4.2" TargetMode="External"/><Relationship Id="rId1970" Type="http://schemas.openxmlformats.org/officeDocument/2006/relationships/hyperlink" Target="https://www.kegg.jp/entry/1.5.1.3" TargetMode="External"/><Relationship Id="rId55" Type="http://schemas.openxmlformats.org/officeDocument/2006/relationships/hyperlink" Target="https://enzyme.expasy.org/EC/3.4.16.4" TargetMode="External"/><Relationship Id="rId1209" Type="http://schemas.openxmlformats.org/officeDocument/2006/relationships/hyperlink" Target="https://www.kegg.jp/entry/R02340" TargetMode="External"/><Relationship Id="rId1416" Type="http://schemas.openxmlformats.org/officeDocument/2006/relationships/hyperlink" Target="https://www.kegg.jp/entry/R02059" TargetMode="External"/><Relationship Id="rId1623" Type="http://schemas.openxmlformats.org/officeDocument/2006/relationships/hyperlink" Target="https://enzyme.expasy.org/EC/3.1.3.5" TargetMode="External"/><Relationship Id="rId1830" Type="http://schemas.openxmlformats.org/officeDocument/2006/relationships/hyperlink" Target="https://www.kegg.jp/entry/2.5.1.15" TargetMode="External"/><Relationship Id="rId1928" Type="http://schemas.openxmlformats.org/officeDocument/2006/relationships/hyperlink" Target="https://enzyme.expasy.org/EC/3.2.1.52" TargetMode="External"/><Relationship Id="rId2092" Type="http://schemas.openxmlformats.org/officeDocument/2006/relationships/hyperlink" Target="https://www.kegg.jp/entry/R00443" TargetMode="External"/><Relationship Id="rId271" Type="http://schemas.openxmlformats.org/officeDocument/2006/relationships/hyperlink" Target="https://www.kegg.jp/entry/R01777" TargetMode="External"/><Relationship Id="rId2397" Type="http://schemas.openxmlformats.org/officeDocument/2006/relationships/hyperlink" Target="https://www.kegg.jp/entry/3.2.1.22" TargetMode="External"/><Relationship Id="rId131" Type="http://schemas.openxmlformats.org/officeDocument/2006/relationships/hyperlink" Target="https://www.kegg.jp/entry/R05068" TargetMode="External"/><Relationship Id="rId369" Type="http://schemas.openxmlformats.org/officeDocument/2006/relationships/hyperlink" Target="https://enzyme.expasy.org/EC/3.4.21.89" TargetMode="External"/><Relationship Id="rId576" Type="http://schemas.openxmlformats.org/officeDocument/2006/relationships/hyperlink" Target="https://www.kegg.jp/entry/2.7.7.7" TargetMode="External"/><Relationship Id="rId783" Type="http://schemas.openxmlformats.org/officeDocument/2006/relationships/hyperlink" Target="https://enzyme.expasy.org/EC/2.7.1.40" TargetMode="External"/><Relationship Id="rId990" Type="http://schemas.openxmlformats.org/officeDocument/2006/relationships/hyperlink" Target="https://enzyme.expasy.org/EC/2.7.7.27" TargetMode="External"/><Relationship Id="rId2257" Type="http://schemas.openxmlformats.org/officeDocument/2006/relationships/hyperlink" Target="https://www.kegg.jp/entry/1.1.1.3" TargetMode="External"/><Relationship Id="rId2464" Type="http://schemas.openxmlformats.org/officeDocument/2006/relationships/hyperlink" Target="https://enzyme.expasy.org/EC/1.17.4.1" TargetMode="External"/><Relationship Id="rId229" Type="http://schemas.openxmlformats.org/officeDocument/2006/relationships/hyperlink" Target="https://www.kegg.jp/entry/R02628" TargetMode="External"/><Relationship Id="rId436" Type="http://schemas.openxmlformats.org/officeDocument/2006/relationships/hyperlink" Target="https://www.kegg.jp/entry/R00444" TargetMode="External"/><Relationship Id="rId643" Type="http://schemas.openxmlformats.org/officeDocument/2006/relationships/hyperlink" Target="https://www.kegg.jp/entry/5.1.1.3" TargetMode="External"/><Relationship Id="rId1066" Type="http://schemas.openxmlformats.org/officeDocument/2006/relationships/hyperlink" Target="https://www.kegg.jp/entry/3.5.1.24" TargetMode="External"/><Relationship Id="rId1273" Type="http://schemas.openxmlformats.org/officeDocument/2006/relationships/hyperlink" Target="https://www.kegg.jp/entry/R10648" TargetMode="External"/><Relationship Id="rId1480" Type="http://schemas.openxmlformats.org/officeDocument/2006/relationships/hyperlink" Target="https://www.kegg.jp/entry/R08198" TargetMode="External"/><Relationship Id="rId2117" Type="http://schemas.openxmlformats.org/officeDocument/2006/relationships/hyperlink" Target="https://enzyme.expasy.org/EC/1.1.1.1" TargetMode="External"/><Relationship Id="rId2324" Type="http://schemas.openxmlformats.org/officeDocument/2006/relationships/hyperlink" Target="https://enzyme.expasy.org/EC/6.1.1.10" TargetMode="External"/><Relationship Id="rId850" Type="http://schemas.openxmlformats.org/officeDocument/2006/relationships/hyperlink" Target="https://www.kegg.jp/entry/R00416" TargetMode="External"/><Relationship Id="rId948" Type="http://schemas.openxmlformats.org/officeDocument/2006/relationships/hyperlink" Target="https://enzyme.expasy.org/EC/7.6.2.-" TargetMode="External"/><Relationship Id="rId1133" Type="http://schemas.openxmlformats.org/officeDocument/2006/relationships/hyperlink" Target="https://enzyme.expasy.org/EC/2.2.1.1" TargetMode="External"/><Relationship Id="rId1578" Type="http://schemas.openxmlformats.org/officeDocument/2006/relationships/hyperlink" Target="https://enzyme.expasy.org/EC/2.7.1.63" TargetMode="External"/><Relationship Id="rId1785" Type="http://schemas.openxmlformats.org/officeDocument/2006/relationships/hyperlink" Target="https://www.kegg.jp/entry/R04365" TargetMode="External"/><Relationship Id="rId1992" Type="http://schemas.openxmlformats.org/officeDocument/2006/relationships/hyperlink" Target="https://www.kegg.jp/entry/R02101" TargetMode="External"/><Relationship Id="rId77" Type="http://schemas.openxmlformats.org/officeDocument/2006/relationships/hyperlink" Target="https://enzyme.expasy.org/EC/2.4.-.-" TargetMode="External"/><Relationship Id="rId503" Type="http://schemas.openxmlformats.org/officeDocument/2006/relationships/hyperlink" Target="https://www.kegg.jp/entry/R00999" TargetMode="External"/><Relationship Id="rId710" Type="http://schemas.openxmlformats.org/officeDocument/2006/relationships/hyperlink" Target="https://www.kegg.jp/entry/2.7.1.23" TargetMode="External"/><Relationship Id="rId808" Type="http://schemas.openxmlformats.org/officeDocument/2006/relationships/hyperlink" Target="https://www.kegg.jp/entry/2.7.7.7" TargetMode="External"/><Relationship Id="rId1340" Type="http://schemas.openxmlformats.org/officeDocument/2006/relationships/hyperlink" Target="https://www.kegg.jp/entry/R01073" TargetMode="External"/><Relationship Id="rId1438" Type="http://schemas.openxmlformats.org/officeDocument/2006/relationships/hyperlink" Target="https://www.kegg.jp/entry/6.3.2.8" TargetMode="External"/><Relationship Id="rId1645" Type="http://schemas.openxmlformats.org/officeDocument/2006/relationships/hyperlink" Target="https://www.kegg.jp/entry/3.1.3.5" TargetMode="External"/><Relationship Id="rId1200" Type="http://schemas.openxmlformats.org/officeDocument/2006/relationships/hyperlink" Target="https://enzyme.expasy.org/EC/2.5.1.145" TargetMode="External"/><Relationship Id="rId1852" Type="http://schemas.openxmlformats.org/officeDocument/2006/relationships/hyperlink" Target="https://enzyme.expasy.org/EC/6.3.4.19" TargetMode="External"/><Relationship Id="rId1505" Type="http://schemas.openxmlformats.org/officeDocument/2006/relationships/hyperlink" Target="https://enzyme.expasy.org/EC/4.3.2.10" TargetMode="External"/><Relationship Id="rId1712" Type="http://schemas.openxmlformats.org/officeDocument/2006/relationships/hyperlink" Target="https://www.kegg.jp/entry/2.7.7.6" TargetMode="External"/><Relationship Id="rId293" Type="http://schemas.openxmlformats.org/officeDocument/2006/relationships/hyperlink" Target="https://enzyme.expasy.org/EC/7.1.2.2" TargetMode="External"/><Relationship Id="rId2181" Type="http://schemas.openxmlformats.org/officeDocument/2006/relationships/hyperlink" Target="https://enzyme.expasy.org/EC/2.7.7.7" TargetMode="External"/><Relationship Id="rId153" Type="http://schemas.openxmlformats.org/officeDocument/2006/relationships/hyperlink" Target="https://enzyme.expasy.org/EC/2.4.1.25" TargetMode="External"/><Relationship Id="rId360" Type="http://schemas.openxmlformats.org/officeDocument/2006/relationships/hyperlink" Target="https://enzyme.expasy.org/EC/5.3.1.9" TargetMode="External"/><Relationship Id="rId598" Type="http://schemas.openxmlformats.org/officeDocument/2006/relationships/hyperlink" Target="https://enzyme.expasy.org/EC/1.-.-.-" TargetMode="External"/><Relationship Id="rId2041" Type="http://schemas.openxmlformats.org/officeDocument/2006/relationships/hyperlink" Target="https://www.kegg.jp/entry/6.1.1.11" TargetMode="External"/><Relationship Id="rId2279" Type="http://schemas.openxmlformats.org/officeDocument/2006/relationships/hyperlink" Target="https://enzyme.expasy.org/EC/4.2.1.33" TargetMode="External"/><Relationship Id="rId2486" Type="http://schemas.openxmlformats.org/officeDocument/2006/relationships/hyperlink" Target="https://enzyme.expasy.org/EC/2.1.1.182" TargetMode="External"/><Relationship Id="rId220" Type="http://schemas.openxmlformats.org/officeDocument/2006/relationships/hyperlink" Target="https://www.kegg.jp/entry/R00379" TargetMode="External"/><Relationship Id="rId458" Type="http://schemas.openxmlformats.org/officeDocument/2006/relationships/hyperlink" Target="https://www.kegg.jp/entry/R04951" TargetMode="External"/><Relationship Id="rId665" Type="http://schemas.openxmlformats.org/officeDocument/2006/relationships/hyperlink" Target="https://www.kegg.jp/entry/6.3.1.2" TargetMode="External"/><Relationship Id="rId872" Type="http://schemas.openxmlformats.org/officeDocument/2006/relationships/hyperlink" Target="https://enzyme.expasy.org/EC/5.2.1.8" TargetMode="External"/><Relationship Id="rId1088" Type="http://schemas.openxmlformats.org/officeDocument/2006/relationships/hyperlink" Target="https://www.kegg.jp/entry/R01993" TargetMode="External"/><Relationship Id="rId1295" Type="http://schemas.openxmlformats.org/officeDocument/2006/relationships/hyperlink" Target="https://enzyme.expasy.org/EC/1.-.-.-" TargetMode="External"/><Relationship Id="rId2139" Type="http://schemas.openxmlformats.org/officeDocument/2006/relationships/hyperlink" Target="https://www.kegg.jp/entry/1.1.1.1" TargetMode="External"/><Relationship Id="rId2346" Type="http://schemas.openxmlformats.org/officeDocument/2006/relationships/hyperlink" Target="https://enzyme.expasy.org/EC/4.3.1.19" TargetMode="External"/><Relationship Id="rId318" Type="http://schemas.openxmlformats.org/officeDocument/2006/relationships/hyperlink" Target="https://www.kegg.jp/entry/R01625" TargetMode="External"/><Relationship Id="rId525" Type="http://schemas.openxmlformats.org/officeDocument/2006/relationships/hyperlink" Target="https://www.kegg.jp/entry/R06134" TargetMode="External"/><Relationship Id="rId732" Type="http://schemas.openxmlformats.org/officeDocument/2006/relationships/hyperlink" Target="https://www.kegg.jp/entry/R04238" TargetMode="External"/><Relationship Id="rId1155" Type="http://schemas.openxmlformats.org/officeDocument/2006/relationships/hyperlink" Target="https://enzyme.expasy.org/EC/3.1.21.10" TargetMode="External"/><Relationship Id="rId1362" Type="http://schemas.openxmlformats.org/officeDocument/2006/relationships/hyperlink" Target="https://enzyme.expasy.org/EC/4.2.1.3" TargetMode="External"/><Relationship Id="rId2206" Type="http://schemas.openxmlformats.org/officeDocument/2006/relationships/hyperlink" Target="https://enzyme.expasy.org/EC/6.3.3.2" TargetMode="External"/><Relationship Id="rId2413" Type="http://schemas.openxmlformats.org/officeDocument/2006/relationships/hyperlink" Target="https://www.kegg.jp/entry/R06094" TargetMode="External"/><Relationship Id="rId99" Type="http://schemas.openxmlformats.org/officeDocument/2006/relationships/hyperlink" Target="https://www.kegg.jp/entry/4.1.2.13" TargetMode="External"/><Relationship Id="rId1015" Type="http://schemas.openxmlformats.org/officeDocument/2006/relationships/hyperlink" Target="https://www.kegg.jp/entry/R01214" TargetMode="External"/><Relationship Id="rId1222" Type="http://schemas.openxmlformats.org/officeDocument/2006/relationships/hyperlink" Target="https://enzyme.expasy.org/EC/4.1.3.27" TargetMode="External"/><Relationship Id="rId1667" Type="http://schemas.openxmlformats.org/officeDocument/2006/relationships/hyperlink" Target="https://www.kegg.jp/entry/3.2.2.27" TargetMode="External"/><Relationship Id="rId1874" Type="http://schemas.openxmlformats.org/officeDocument/2006/relationships/hyperlink" Target="https://www.kegg.jp/entry/R00600" TargetMode="External"/><Relationship Id="rId1527" Type="http://schemas.openxmlformats.org/officeDocument/2006/relationships/hyperlink" Target="https://www.kegg.jp/entry/1.1.1.23" TargetMode="External"/><Relationship Id="rId1734" Type="http://schemas.openxmlformats.org/officeDocument/2006/relationships/hyperlink" Target="https://www.kegg.jp/entry/R04771" TargetMode="External"/><Relationship Id="rId1941" Type="http://schemas.openxmlformats.org/officeDocument/2006/relationships/hyperlink" Target="https://www.kegg.jp/entry/3.2.1.52" TargetMode="External"/><Relationship Id="rId26" Type="http://schemas.openxmlformats.org/officeDocument/2006/relationships/hyperlink" Target="https://enzyme.expasy.org/EC/2.4.1.1" TargetMode="External"/><Relationship Id="rId175" Type="http://schemas.openxmlformats.org/officeDocument/2006/relationships/hyperlink" Target="https://www.kegg.jp/entry/R00379" TargetMode="External"/><Relationship Id="rId1801" Type="http://schemas.openxmlformats.org/officeDocument/2006/relationships/hyperlink" Target="https://www.kegg.jp/entry/R01130" TargetMode="External"/><Relationship Id="rId382" Type="http://schemas.openxmlformats.org/officeDocument/2006/relationships/hyperlink" Target="https://www.kegg.jp/entry/R03355" TargetMode="External"/><Relationship Id="rId687" Type="http://schemas.openxmlformats.org/officeDocument/2006/relationships/hyperlink" Target="https://enzyme.expasy.org/EC/2.6.1.11" TargetMode="External"/><Relationship Id="rId2063" Type="http://schemas.openxmlformats.org/officeDocument/2006/relationships/hyperlink" Target="https://www.kegg.jp/entry/5.3.1.6" TargetMode="External"/><Relationship Id="rId2270" Type="http://schemas.openxmlformats.org/officeDocument/2006/relationships/hyperlink" Target="https://enzyme.expasy.org/EC/1.-.-.-" TargetMode="External"/><Relationship Id="rId2368" Type="http://schemas.openxmlformats.org/officeDocument/2006/relationships/hyperlink" Target="https://enzyme.expasy.org/EC/3.2.1.22" TargetMode="External"/><Relationship Id="rId242" Type="http://schemas.openxmlformats.org/officeDocument/2006/relationships/hyperlink" Target="https://www.kegg.jp/entry/3.1.1.31" TargetMode="External"/><Relationship Id="rId894" Type="http://schemas.openxmlformats.org/officeDocument/2006/relationships/hyperlink" Target="https://www.kegg.jp/entry/R02953" TargetMode="External"/><Relationship Id="rId1177" Type="http://schemas.openxmlformats.org/officeDocument/2006/relationships/hyperlink" Target="https://www.kegg.jp/entry/R00405" TargetMode="External"/><Relationship Id="rId2130" Type="http://schemas.openxmlformats.org/officeDocument/2006/relationships/hyperlink" Target="https://www.kegg.jp/entry/1.1.1.1" TargetMode="External"/><Relationship Id="rId102" Type="http://schemas.openxmlformats.org/officeDocument/2006/relationships/hyperlink" Target="https://www.kegg.jp/entry/R01068" TargetMode="External"/><Relationship Id="rId547" Type="http://schemas.openxmlformats.org/officeDocument/2006/relationships/hyperlink" Target="https://www.kegg.jp/entry/2.2.1.7" TargetMode="External"/><Relationship Id="rId754" Type="http://schemas.openxmlformats.org/officeDocument/2006/relationships/hyperlink" Target="https://www.kegg.jp/entry/R06131" TargetMode="External"/><Relationship Id="rId961" Type="http://schemas.openxmlformats.org/officeDocument/2006/relationships/hyperlink" Target="https://www.kegg.jp/entry/6.1.1.7" TargetMode="External"/><Relationship Id="rId1384" Type="http://schemas.openxmlformats.org/officeDocument/2006/relationships/hyperlink" Target="https://www.kegg.jp/entry/R03348" TargetMode="External"/><Relationship Id="rId1591" Type="http://schemas.openxmlformats.org/officeDocument/2006/relationships/hyperlink" Target="https://enzyme.expasy.org/EC/3.1.3.2" TargetMode="External"/><Relationship Id="rId1689" Type="http://schemas.openxmlformats.org/officeDocument/2006/relationships/hyperlink" Target="https://enzyme.expasy.org/EC/3.-.-.-" TargetMode="External"/><Relationship Id="rId2228" Type="http://schemas.openxmlformats.org/officeDocument/2006/relationships/hyperlink" Target="https://enzyme.expasy.org/EC/3.4.22.-" TargetMode="External"/><Relationship Id="rId2435" Type="http://schemas.openxmlformats.org/officeDocument/2006/relationships/hyperlink" Target="https://enzyme.expasy.org/EC/2.7.13.3" TargetMode="External"/><Relationship Id="rId90" Type="http://schemas.openxmlformats.org/officeDocument/2006/relationships/hyperlink" Target="https://www.kegg.jp/entry/2.4.2.29" TargetMode="External"/><Relationship Id="rId407" Type="http://schemas.openxmlformats.org/officeDocument/2006/relationships/hyperlink" Target="https://www.kegg.jp/entry/R01652" TargetMode="External"/><Relationship Id="rId614" Type="http://schemas.openxmlformats.org/officeDocument/2006/relationships/hyperlink" Target="https://www.kegg.jp/entry/R00256" TargetMode="External"/><Relationship Id="rId821" Type="http://schemas.openxmlformats.org/officeDocument/2006/relationships/hyperlink" Target="https://www.kegg.jp/entry/3.2.2.20" TargetMode="External"/><Relationship Id="rId1037" Type="http://schemas.openxmlformats.org/officeDocument/2006/relationships/hyperlink" Target="https://enzyme.expasy.org/EC/3.-.-.-" TargetMode="External"/><Relationship Id="rId1244" Type="http://schemas.openxmlformats.org/officeDocument/2006/relationships/hyperlink" Target="https://www.kegg.jp/entry/2.7.4.22" TargetMode="External"/><Relationship Id="rId1451" Type="http://schemas.openxmlformats.org/officeDocument/2006/relationships/hyperlink" Target="https://www.kegg.jp/entry/R06173" TargetMode="External"/><Relationship Id="rId1896" Type="http://schemas.openxmlformats.org/officeDocument/2006/relationships/hyperlink" Target="https://www.kegg.jp/entry/3.2.1.23" TargetMode="External"/><Relationship Id="rId2502" Type="http://schemas.openxmlformats.org/officeDocument/2006/relationships/hyperlink" Target="https://www.kegg.jp/entry/R09384" TargetMode="External"/><Relationship Id="rId919" Type="http://schemas.openxmlformats.org/officeDocument/2006/relationships/hyperlink" Target="https://www.kegg.jp/entry/1.5.1.2" TargetMode="External"/><Relationship Id="rId1104" Type="http://schemas.openxmlformats.org/officeDocument/2006/relationships/hyperlink" Target="https://enzyme.expasy.org/EC/3.1.25.-" TargetMode="External"/><Relationship Id="rId1311" Type="http://schemas.openxmlformats.org/officeDocument/2006/relationships/hyperlink" Target="https://www.kegg.jp/entry/R02961" TargetMode="External"/><Relationship Id="rId1549" Type="http://schemas.openxmlformats.org/officeDocument/2006/relationships/hyperlink" Target="https://www.kegg.jp/entry/2.7.7.7" TargetMode="External"/><Relationship Id="rId1756" Type="http://schemas.openxmlformats.org/officeDocument/2006/relationships/hyperlink" Target="https://enzyme.expasy.org/EC/3.2.1.-" TargetMode="External"/><Relationship Id="rId1963" Type="http://schemas.openxmlformats.org/officeDocument/2006/relationships/hyperlink" Target="https://www.kegg.jp/entry/R11317" TargetMode="External"/><Relationship Id="rId48" Type="http://schemas.openxmlformats.org/officeDocument/2006/relationships/hyperlink" Target="https://enzyme.expasy.org/EC/4.1.3.27" TargetMode="External"/><Relationship Id="rId1409" Type="http://schemas.openxmlformats.org/officeDocument/2006/relationships/hyperlink" Target="https://www.kegg.jp/entry/R02788" TargetMode="External"/><Relationship Id="rId1616" Type="http://schemas.openxmlformats.org/officeDocument/2006/relationships/hyperlink" Target="https://enzyme.expasy.org/EC/3.1.3.5" TargetMode="External"/><Relationship Id="rId1823" Type="http://schemas.openxmlformats.org/officeDocument/2006/relationships/hyperlink" Target="https://www.kegg.jp/entry/R01600" TargetMode="External"/><Relationship Id="rId197" Type="http://schemas.openxmlformats.org/officeDocument/2006/relationships/hyperlink" Target="https://www.kegg.jp/entry/3.5.99.6" TargetMode="External"/><Relationship Id="rId2085" Type="http://schemas.openxmlformats.org/officeDocument/2006/relationships/hyperlink" Target="https://www.kegg.jp/entry/2.7.7.6" TargetMode="External"/><Relationship Id="rId2292" Type="http://schemas.openxmlformats.org/officeDocument/2006/relationships/hyperlink" Target="https://enzyme.expasy.org/EC/3.6.1.-" TargetMode="External"/><Relationship Id="rId264" Type="http://schemas.openxmlformats.org/officeDocument/2006/relationships/hyperlink" Target="https://enzyme.expasy.org/EC/4.2.99.18" TargetMode="External"/><Relationship Id="rId471" Type="http://schemas.openxmlformats.org/officeDocument/2006/relationships/hyperlink" Target="https://enzyme.expasy.org/EC/3.2.1.23" TargetMode="External"/><Relationship Id="rId2152" Type="http://schemas.openxmlformats.org/officeDocument/2006/relationships/hyperlink" Target="https://www.kegg.jp/entry/R06917" TargetMode="External"/><Relationship Id="rId124" Type="http://schemas.openxmlformats.org/officeDocument/2006/relationships/hyperlink" Target="https://www.kegg.jp/entry/1.1.1.86" TargetMode="External"/><Relationship Id="rId569" Type="http://schemas.openxmlformats.org/officeDocument/2006/relationships/hyperlink" Target="https://www.kegg.jp/entry/2.7.7.7" TargetMode="External"/><Relationship Id="rId776" Type="http://schemas.openxmlformats.org/officeDocument/2006/relationships/hyperlink" Target="https://www.kegg.jp/entry/2.7.1.40" TargetMode="External"/><Relationship Id="rId983" Type="http://schemas.openxmlformats.org/officeDocument/2006/relationships/hyperlink" Target="https://enzyme.expasy.org/EC/2.8.1.7" TargetMode="External"/><Relationship Id="rId1199" Type="http://schemas.openxmlformats.org/officeDocument/2006/relationships/hyperlink" Target="https://www.kegg.jp/entry/R01529" TargetMode="External"/><Relationship Id="rId2457" Type="http://schemas.openxmlformats.org/officeDocument/2006/relationships/hyperlink" Target="https://www.kegg.jp/entry/R02019" TargetMode="External"/><Relationship Id="rId331" Type="http://schemas.openxmlformats.org/officeDocument/2006/relationships/hyperlink" Target="https://www.kegg.jp/entry/6.1.1.16" TargetMode="External"/><Relationship Id="rId429" Type="http://schemas.openxmlformats.org/officeDocument/2006/relationships/hyperlink" Target="https://www.kegg.jp/entry/R00441" TargetMode="External"/><Relationship Id="rId636" Type="http://schemas.openxmlformats.org/officeDocument/2006/relationships/hyperlink" Target="https://www.kegg.jp/entry/2.7.4.8" TargetMode="External"/><Relationship Id="rId1059" Type="http://schemas.openxmlformats.org/officeDocument/2006/relationships/hyperlink" Target="https://enzyme.expasy.org/EC/3.5.1.24" TargetMode="External"/><Relationship Id="rId1266" Type="http://schemas.openxmlformats.org/officeDocument/2006/relationships/hyperlink" Target="https://www.kegg.jp/entry/2.3.1.234" TargetMode="External"/><Relationship Id="rId1473" Type="http://schemas.openxmlformats.org/officeDocument/2006/relationships/hyperlink" Target="https://www.kegg.jp/entry/2.1.1.199" TargetMode="External"/><Relationship Id="rId2012" Type="http://schemas.openxmlformats.org/officeDocument/2006/relationships/hyperlink" Target="https://enzyme.expasy.org/EC/2.7.13.3" TargetMode="External"/><Relationship Id="rId2317" Type="http://schemas.openxmlformats.org/officeDocument/2006/relationships/hyperlink" Target="https://www.kegg.jp/entry/4.2.1.46" TargetMode="External"/><Relationship Id="rId843" Type="http://schemas.openxmlformats.org/officeDocument/2006/relationships/hyperlink" Target="https://www.kegg.jp/entry/6.3.5.2" TargetMode="External"/><Relationship Id="rId1126" Type="http://schemas.openxmlformats.org/officeDocument/2006/relationships/hyperlink" Target="https://enzyme.expasy.org/EC/2.2.1.2" TargetMode="External"/><Relationship Id="rId1680" Type="http://schemas.openxmlformats.org/officeDocument/2006/relationships/hyperlink" Target="https://enzyme.expasy.org/EC/3.5.1.119" TargetMode="External"/><Relationship Id="rId1778" Type="http://schemas.openxmlformats.org/officeDocument/2006/relationships/hyperlink" Target="https://enzyme.expasy.org/EC/6.2.1.-" TargetMode="External"/><Relationship Id="rId1985" Type="http://schemas.openxmlformats.org/officeDocument/2006/relationships/hyperlink" Target="https://www.kegg.jp/entry/R00937" TargetMode="External"/><Relationship Id="rId703" Type="http://schemas.openxmlformats.org/officeDocument/2006/relationships/hyperlink" Target="https://www.kegg.jp/entry/2.7.7.73" TargetMode="External"/><Relationship Id="rId910" Type="http://schemas.openxmlformats.org/officeDocument/2006/relationships/hyperlink" Target="https://www.kegg.jp/entry/R02493" TargetMode="External"/><Relationship Id="rId1333" Type="http://schemas.openxmlformats.org/officeDocument/2006/relationships/hyperlink" Target="https://www.kegg.jp/entry/R02750" TargetMode="External"/><Relationship Id="rId1540" Type="http://schemas.openxmlformats.org/officeDocument/2006/relationships/hyperlink" Target="https://enzyme.expasy.org/EC/1.1.1.-" TargetMode="External"/><Relationship Id="rId1638" Type="http://schemas.openxmlformats.org/officeDocument/2006/relationships/hyperlink" Target="https://www.kegg.jp/entry/3.1.3.5" TargetMode="External"/><Relationship Id="rId1400" Type="http://schemas.openxmlformats.org/officeDocument/2006/relationships/hyperlink" Target="https://www.kegg.jp/entry/R00619" TargetMode="External"/><Relationship Id="rId1845" Type="http://schemas.openxmlformats.org/officeDocument/2006/relationships/hyperlink" Target="https://www.kegg.jp/entry/R00424" TargetMode="External"/><Relationship Id="rId1705" Type="http://schemas.openxmlformats.org/officeDocument/2006/relationships/hyperlink" Target="https://enzyme.expasy.org/EC/4.2.1.9" TargetMode="External"/><Relationship Id="rId1912" Type="http://schemas.openxmlformats.org/officeDocument/2006/relationships/hyperlink" Target="https://www.kegg.jp/entry/R05994" TargetMode="External"/><Relationship Id="rId286" Type="http://schemas.openxmlformats.org/officeDocument/2006/relationships/hyperlink" Target="https://www.kegg.jp/entry/R00086" TargetMode="External"/><Relationship Id="rId493" Type="http://schemas.openxmlformats.org/officeDocument/2006/relationships/hyperlink" Target="https://www.kegg.jp/entry/2.7.1.33" TargetMode="External"/><Relationship Id="rId2174" Type="http://schemas.openxmlformats.org/officeDocument/2006/relationships/hyperlink" Target="https://www.kegg.jp/entry/2.4.1.25" TargetMode="External"/><Relationship Id="rId2381" Type="http://schemas.openxmlformats.org/officeDocument/2006/relationships/hyperlink" Target="https://www.kegg.jp/entry/3.2.1.22" TargetMode="External"/><Relationship Id="rId146" Type="http://schemas.openxmlformats.org/officeDocument/2006/relationships/hyperlink" Target="https://www.kegg.jp/entry/R04439" TargetMode="External"/><Relationship Id="rId353" Type="http://schemas.openxmlformats.org/officeDocument/2006/relationships/hyperlink" Target="https://www.kegg.jp/entry/6.3.4.21" TargetMode="External"/><Relationship Id="rId560" Type="http://schemas.openxmlformats.org/officeDocument/2006/relationships/hyperlink" Target="https://www.kegg.jp/entry/6.3.4.13" TargetMode="External"/><Relationship Id="rId798" Type="http://schemas.openxmlformats.org/officeDocument/2006/relationships/hyperlink" Target="https://www.kegg.jp/entry/R02320" TargetMode="External"/><Relationship Id="rId1190" Type="http://schemas.openxmlformats.org/officeDocument/2006/relationships/hyperlink" Target="https://enzyme.expasy.org/EC/2.7.8.-" TargetMode="External"/><Relationship Id="rId2034" Type="http://schemas.openxmlformats.org/officeDocument/2006/relationships/hyperlink" Target="https://enzyme.expasy.org/EC/2.4.1.211" TargetMode="External"/><Relationship Id="rId2241" Type="http://schemas.openxmlformats.org/officeDocument/2006/relationships/hyperlink" Target="https://enzyme.expasy.org/EC/2.7.1.-" TargetMode="External"/><Relationship Id="rId2479" Type="http://schemas.openxmlformats.org/officeDocument/2006/relationships/hyperlink" Target="https://www.kegg.jp/entry/R08363" TargetMode="External"/><Relationship Id="rId213" Type="http://schemas.openxmlformats.org/officeDocument/2006/relationships/hyperlink" Target="https://enzyme.expasy.org/EC/2.7.7.7" TargetMode="External"/><Relationship Id="rId420" Type="http://schemas.openxmlformats.org/officeDocument/2006/relationships/hyperlink" Target="https://www.kegg.jp/entry/R01092" TargetMode="External"/><Relationship Id="rId658" Type="http://schemas.openxmlformats.org/officeDocument/2006/relationships/hyperlink" Target="https://www.kegg.jp/entry/R08689" TargetMode="External"/><Relationship Id="rId865" Type="http://schemas.openxmlformats.org/officeDocument/2006/relationships/hyperlink" Target="https://enzyme.expasy.org/EC/2.3.1.54" TargetMode="External"/><Relationship Id="rId1050" Type="http://schemas.openxmlformats.org/officeDocument/2006/relationships/hyperlink" Target="https://www.kegg.jp/entry/2.1.1.14" TargetMode="External"/><Relationship Id="rId1288" Type="http://schemas.openxmlformats.org/officeDocument/2006/relationships/hyperlink" Target="https://www.kegg.jp/entry/R00376" TargetMode="External"/><Relationship Id="rId1495" Type="http://schemas.openxmlformats.org/officeDocument/2006/relationships/hyperlink" Target="https://www.kegg.jp/entry/R00253" TargetMode="External"/><Relationship Id="rId2101" Type="http://schemas.openxmlformats.org/officeDocument/2006/relationships/hyperlink" Target="https://www.kegg.jp/entry/R01547" TargetMode="External"/><Relationship Id="rId2339" Type="http://schemas.openxmlformats.org/officeDocument/2006/relationships/hyperlink" Target="https://www.kegg.jp/entry/2.3.1.286" TargetMode="External"/><Relationship Id="rId518" Type="http://schemas.openxmlformats.org/officeDocument/2006/relationships/hyperlink" Target="https://www.kegg.jp/entry/R00401" TargetMode="External"/><Relationship Id="rId725" Type="http://schemas.openxmlformats.org/officeDocument/2006/relationships/hyperlink" Target="https://enzyme.expasy.org/EC/2.7.7.18" TargetMode="External"/><Relationship Id="rId932" Type="http://schemas.openxmlformats.org/officeDocument/2006/relationships/hyperlink" Target="https://www.kegg.jp/entry/3.5.99.6" TargetMode="External"/><Relationship Id="rId1148" Type="http://schemas.openxmlformats.org/officeDocument/2006/relationships/hyperlink" Target="https://enzyme.expasy.org/EC/2.7.1.-" TargetMode="External"/><Relationship Id="rId1355" Type="http://schemas.openxmlformats.org/officeDocument/2006/relationships/hyperlink" Target="https://www.kegg.jp/entry/R10647" TargetMode="External"/><Relationship Id="rId1562" Type="http://schemas.openxmlformats.org/officeDocument/2006/relationships/hyperlink" Target="https://enzyme.expasy.org/EC/1.3.1.-" TargetMode="External"/><Relationship Id="rId2406" Type="http://schemas.openxmlformats.org/officeDocument/2006/relationships/hyperlink" Target="https://www.kegg.jp/entry/R04019" TargetMode="External"/><Relationship Id="rId1008" Type="http://schemas.openxmlformats.org/officeDocument/2006/relationships/hyperlink" Target="https://enzyme.expasy.org/EC/2.6.1.42" TargetMode="External"/><Relationship Id="rId1215" Type="http://schemas.openxmlformats.org/officeDocument/2006/relationships/hyperlink" Target="https://enzyme.expasy.org/EC/7.6.2.-" TargetMode="External"/><Relationship Id="rId1422" Type="http://schemas.openxmlformats.org/officeDocument/2006/relationships/hyperlink" Target="https://www.kegg.jp/entry/3.5.1.28" TargetMode="External"/><Relationship Id="rId1867" Type="http://schemas.openxmlformats.org/officeDocument/2006/relationships/hyperlink" Target="https://www.kegg.jp/entry/R02258" TargetMode="External"/><Relationship Id="rId61" Type="http://schemas.openxmlformats.org/officeDocument/2006/relationships/hyperlink" Target="https://enzyme.expasy.org/EC/2.4.99.28" TargetMode="External"/><Relationship Id="rId1727" Type="http://schemas.openxmlformats.org/officeDocument/2006/relationships/hyperlink" Target="https://www.kegg.jp/entry/R00443" TargetMode="External"/><Relationship Id="rId1934" Type="http://schemas.openxmlformats.org/officeDocument/2006/relationships/hyperlink" Target="https://enzyme.expasy.org/EC/3.2.1.52" TargetMode="External"/><Relationship Id="rId19" Type="http://schemas.openxmlformats.org/officeDocument/2006/relationships/hyperlink" Target="https://enzyme.expasy.org/EC/2.4.1.1" TargetMode="External"/><Relationship Id="rId2196" Type="http://schemas.openxmlformats.org/officeDocument/2006/relationships/hyperlink" Target="https://enzyme.expasy.org/EC/2.6.1.17" TargetMode="External"/><Relationship Id="rId168" Type="http://schemas.openxmlformats.org/officeDocument/2006/relationships/hyperlink" Target="https://enzyme.expasy.org/EC/2.7.7.7" TargetMode="External"/><Relationship Id="rId375" Type="http://schemas.openxmlformats.org/officeDocument/2006/relationships/hyperlink" Target="https://enzyme.expasy.org/EC/3.2.1.23" TargetMode="External"/><Relationship Id="rId582" Type="http://schemas.openxmlformats.org/officeDocument/2006/relationships/hyperlink" Target="https://enzyme.expasy.org/EC/2.7.7.7" TargetMode="External"/><Relationship Id="rId2056" Type="http://schemas.openxmlformats.org/officeDocument/2006/relationships/hyperlink" Target="https://www.kegg.jp/entry/R03319" TargetMode="External"/><Relationship Id="rId2263" Type="http://schemas.openxmlformats.org/officeDocument/2006/relationships/hyperlink" Target="https://enzyme.expasy.org/EC/4.1.1.-" TargetMode="External"/><Relationship Id="rId2470" Type="http://schemas.openxmlformats.org/officeDocument/2006/relationships/hyperlink" Target="https://www.kegg.jp/entry/1.17.4.1" TargetMode="External"/><Relationship Id="rId3" Type="http://schemas.openxmlformats.org/officeDocument/2006/relationships/hyperlink" Target="https://enzyme.expasy.org/EC/5.6.2.2" TargetMode="External"/><Relationship Id="rId235" Type="http://schemas.openxmlformats.org/officeDocument/2006/relationships/hyperlink" Target="https://www.kegg.jp/entry/6.1.1.17" TargetMode="External"/><Relationship Id="rId442" Type="http://schemas.openxmlformats.org/officeDocument/2006/relationships/hyperlink" Target="https://enzyme.expasy.org/EC/2.7.11.-" TargetMode="External"/><Relationship Id="rId887" Type="http://schemas.openxmlformats.org/officeDocument/2006/relationships/hyperlink" Target="https://www.kegg.jp/entry/4.4.1.13" TargetMode="External"/><Relationship Id="rId1072" Type="http://schemas.openxmlformats.org/officeDocument/2006/relationships/hyperlink" Target="https://www.kegg.jp/entry/R02797" TargetMode="External"/><Relationship Id="rId2123" Type="http://schemas.openxmlformats.org/officeDocument/2006/relationships/hyperlink" Target="https://enzyme.expasy.org/EC/1.1.1.1" TargetMode="External"/><Relationship Id="rId2330" Type="http://schemas.openxmlformats.org/officeDocument/2006/relationships/hyperlink" Target="https://enzyme.expasy.org/EC/2.1.1.198" TargetMode="External"/><Relationship Id="rId302" Type="http://schemas.openxmlformats.org/officeDocument/2006/relationships/hyperlink" Target="https://enzyme.expasy.org/EC/1.1.1.94" TargetMode="External"/><Relationship Id="rId747" Type="http://schemas.openxmlformats.org/officeDocument/2006/relationships/hyperlink" Target="https://www.kegg.jp/entry/4.3.1.17" TargetMode="External"/><Relationship Id="rId954" Type="http://schemas.openxmlformats.org/officeDocument/2006/relationships/hyperlink" Target="https://www.kegg.jp/entry/3.5.4.5" TargetMode="External"/><Relationship Id="rId1377" Type="http://schemas.openxmlformats.org/officeDocument/2006/relationships/hyperlink" Target="https://www.kegg.jp/entry/4.2.1.51" TargetMode="External"/><Relationship Id="rId1584" Type="http://schemas.openxmlformats.org/officeDocument/2006/relationships/hyperlink" Target="https://www.kegg.jp/entry/R02185" TargetMode="External"/><Relationship Id="rId1791" Type="http://schemas.openxmlformats.org/officeDocument/2006/relationships/hyperlink" Target="https://enzyme.expasy.org/EC/3.4.24.-" TargetMode="External"/><Relationship Id="rId2428" Type="http://schemas.openxmlformats.org/officeDocument/2006/relationships/hyperlink" Target="https://enzyme.expasy.org/EC/2.7.7.12" TargetMode="External"/><Relationship Id="rId83" Type="http://schemas.openxmlformats.org/officeDocument/2006/relationships/hyperlink" Target="https://www.kegg.jp/entry/3.1.4.4" TargetMode="External"/><Relationship Id="rId607" Type="http://schemas.openxmlformats.org/officeDocument/2006/relationships/hyperlink" Target="https://enzyme.expasy.org/EC/6.3.5.5" TargetMode="External"/><Relationship Id="rId814" Type="http://schemas.openxmlformats.org/officeDocument/2006/relationships/hyperlink" Target="https://www.kegg.jp/entry/R00377" TargetMode="External"/><Relationship Id="rId1237" Type="http://schemas.openxmlformats.org/officeDocument/2006/relationships/hyperlink" Target="https://www.kegg.jp/entry/R12152" TargetMode="External"/><Relationship Id="rId1444" Type="http://schemas.openxmlformats.org/officeDocument/2006/relationships/hyperlink" Target="https://enzyme.expasy.org/EC/2.4.1.227" TargetMode="External"/><Relationship Id="rId1651" Type="http://schemas.openxmlformats.org/officeDocument/2006/relationships/hyperlink" Target="https://www.kegg.jp/entry/R01227" TargetMode="External"/><Relationship Id="rId1889" Type="http://schemas.openxmlformats.org/officeDocument/2006/relationships/hyperlink" Target="https://enzyme.expasy.org/EC/3.2.1.23" TargetMode="External"/><Relationship Id="rId1304" Type="http://schemas.openxmlformats.org/officeDocument/2006/relationships/hyperlink" Target="https://enzyme.expasy.org/EC/2.7.8.7" TargetMode="External"/><Relationship Id="rId1511" Type="http://schemas.openxmlformats.org/officeDocument/2006/relationships/hyperlink" Target="https://enzyme.expasy.org/EC/4.2.1.19" TargetMode="External"/><Relationship Id="rId1749" Type="http://schemas.openxmlformats.org/officeDocument/2006/relationships/hyperlink" Target="https://www.kegg.jp/entry/R01051" TargetMode="External"/><Relationship Id="rId1956" Type="http://schemas.openxmlformats.org/officeDocument/2006/relationships/hyperlink" Target="https://www.kegg.jp/entry/R06004" TargetMode="External"/><Relationship Id="rId1609" Type="http://schemas.openxmlformats.org/officeDocument/2006/relationships/hyperlink" Target="https://enzyme.expasy.org/EC/6.1.1.12" TargetMode="External"/><Relationship Id="rId1816" Type="http://schemas.openxmlformats.org/officeDocument/2006/relationships/hyperlink" Target="https://enzyme.expasy.org/EC/2.7.1.2" TargetMode="External"/><Relationship Id="rId10" Type="http://schemas.openxmlformats.org/officeDocument/2006/relationships/hyperlink" Target="https://www.kegg.jp/entry/R12579" TargetMode="External"/><Relationship Id="rId397" Type="http://schemas.openxmlformats.org/officeDocument/2006/relationships/hyperlink" Target="https://www.kegg.jp/entry/2.8.4.2" TargetMode="External"/><Relationship Id="rId2078" Type="http://schemas.openxmlformats.org/officeDocument/2006/relationships/hyperlink" Target="https://enzyme.expasy.org/EC/2.7.7.6" TargetMode="External"/><Relationship Id="rId2285" Type="http://schemas.openxmlformats.org/officeDocument/2006/relationships/hyperlink" Target="https://enzyme.expasy.org/EC/4.2.1.33" TargetMode="External"/><Relationship Id="rId2492" Type="http://schemas.openxmlformats.org/officeDocument/2006/relationships/hyperlink" Target="https://enzyme.expasy.org/EC/2.7.7.72" TargetMode="External"/><Relationship Id="rId257" Type="http://schemas.openxmlformats.org/officeDocument/2006/relationships/hyperlink" Target="https://www.kegg.jp/entry/R01049" TargetMode="External"/><Relationship Id="rId464" Type="http://schemas.openxmlformats.org/officeDocument/2006/relationships/hyperlink" Target="https://www.kegg.jp/entry/3.5.1.88" TargetMode="External"/><Relationship Id="rId1094" Type="http://schemas.openxmlformats.org/officeDocument/2006/relationships/hyperlink" Target="https://www.kegg.jp/entry/R01869" TargetMode="External"/><Relationship Id="rId2145" Type="http://schemas.openxmlformats.org/officeDocument/2006/relationships/hyperlink" Target="https://www.kegg.jp/entry/R00754" TargetMode="External"/><Relationship Id="rId117" Type="http://schemas.openxmlformats.org/officeDocument/2006/relationships/hyperlink" Target="https://enzyme.expasy.org/EC/1.1.1.86" TargetMode="External"/><Relationship Id="rId671" Type="http://schemas.openxmlformats.org/officeDocument/2006/relationships/hyperlink" Target="https://www.kegg.jp/entry/R03660" TargetMode="External"/><Relationship Id="rId769" Type="http://schemas.openxmlformats.org/officeDocument/2006/relationships/hyperlink" Target="https://www.kegg.jp/entry/4.6.1.12" TargetMode="External"/><Relationship Id="rId976" Type="http://schemas.openxmlformats.org/officeDocument/2006/relationships/hyperlink" Target="https://www.kegg.jp/entry/6.3.4.2" TargetMode="External"/><Relationship Id="rId1399" Type="http://schemas.openxmlformats.org/officeDocument/2006/relationships/hyperlink" Target="https://www.kegg.jp/entry/2.7.6.2" TargetMode="External"/><Relationship Id="rId2352" Type="http://schemas.openxmlformats.org/officeDocument/2006/relationships/hyperlink" Target="https://www.kegg.jp/entry/4.3.1.19" TargetMode="External"/><Relationship Id="rId324" Type="http://schemas.openxmlformats.org/officeDocument/2006/relationships/hyperlink" Target="https://www.kegg.jp/entry/R00437" TargetMode="External"/><Relationship Id="rId531" Type="http://schemas.openxmlformats.org/officeDocument/2006/relationships/hyperlink" Target="https://www.kegg.jp/entry/4.3.3.6" TargetMode="External"/><Relationship Id="rId629" Type="http://schemas.openxmlformats.org/officeDocument/2006/relationships/hyperlink" Target="https://www.kegg.jp/entry/4.1.1.23" TargetMode="External"/><Relationship Id="rId1161" Type="http://schemas.openxmlformats.org/officeDocument/2006/relationships/hyperlink" Target="https://enzyme.expasy.org/EC/2.4.2.7" TargetMode="External"/><Relationship Id="rId1259" Type="http://schemas.openxmlformats.org/officeDocument/2006/relationships/hyperlink" Target="https://www.kegg.jp/entry/R00267" TargetMode="External"/><Relationship Id="rId1466" Type="http://schemas.openxmlformats.org/officeDocument/2006/relationships/hyperlink" Target="https://enzyme.expasy.org/EC/6.3.2.10" TargetMode="External"/><Relationship Id="rId2005" Type="http://schemas.openxmlformats.org/officeDocument/2006/relationships/hyperlink" Target="https://enzyme.expasy.org/EC/2.5.1.74" TargetMode="External"/><Relationship Id="rId2212" Type="http://schemas.openxmlformats.org/officeDocument/2006/relationships/hyperlink" Target="https://www.kegg.jp/entry/2.7.13.3" TargetMode="External"/><Relationship Id="rId836" Type="http://schemas.openxmlformats.org/officeDocument/2006/relationships/hyperlink" Target="https://enzyme.expasy.org/EC/6.3.5.2" TargetMode="External"/><Relationship Id="rId1021" Type="http://schemas.openxmlformats.org/officeDocument/2006/relationships/hyperlink" Target="https://enzyme.expasy.org/EC/1.4.1.13" TargetMode="External"/><Relationship Id="rId1119" Type="http://schemas.openxmlformats.org/officeDocument/2006/relationships/hyperlink" Target="https://www.kegg.jp/entry/R00703" TargetMode="External"/><Relationship Id="rId1673" Type="http://schemas.openxmlformats.org/officeDocument/2006/relationships/hyperlink" Target="https://www.kegg.jp/entry/4.3.2.2" TargetMode="External"/><Relationship Id="rId1880" Type="http://schemas.openxmlformats.org/officeDocument/2006/relationships/hyperlink" Target="https://enzyme.expasy.org/EC/3.2.1.23" TargetMode="External"/><Relationship Id="rId1978" Type="http://schemas.openxmlformats.org/officeDocument/2006/relationships/hyperlink" Target="https://www.kegg.jp/entry/1.5.1.3" TargetMode="External"/><Relationship Id="rId903" Type="http://schemas.openxmlformats.org/officeDocument/2006/relationships/hyperlink" Target="https://www.kegg.jp/entry/2.7.1.35" TargetMode="External"/><Relationship Id="rId1326" Type="http://schemas.openxmlformats.org/officeDocument/2006/relationships/hyperlink" Target="https://enzyme.expasy.org/EC/5.6.2.2" TargetMode="External"/><Relationship Id="rId1533" Type="http://schemas.openxmlformats.org/officeDocument/2006/relationships/hyperlink" Target="https://enzyme.expasy.org/EC/3.1.-.-" TargetMode="External"/><Relationship Id="rId1740" Type="http://schemas.openxmlformats.org/officeDocument/2006/relationships/hyperlink" Target="https://www.kegg.jp/entry/R02961" TargetMode="External"/><Relationship Id="rId32" Type="http://schemas.openxmlformats.org/officeDocument/2006/relationships/hyperlink" Target="https://www.kegg.jp/entry/R02111" TargetMode="External"/><Relationship Id="rId1600" Type="http://schemas.openxmlformats.org/officeDocument/2006/relationships/hyperlink" Target="https://www.kegg.jp/entry/3.1.3.2" TargetMode="External"/><Relationship Id="rId1838" Type="http://schemas.openxmlformats.org/officeDocument/2006/relationships/hyperlink" Target="https://enzyme.expasy.org/EC/3.5.4.16" TargetMode="External"/><Relationship Id="rId181" Type="http://schemas.openxmlformats.org/officeDocument/2006/relationships/hyperlink" Target="https://enzyme.expasy.org/EC/2.7.2.4" TargetMode="External"/><Relationship Id="rId1905" Type="http://schemas.openxmlformats.org/officeDocument/2006/relationships/hyperlink" Target="https://www.kegg.jp/entry/R01100" TargetMode="External"/><Relationship Id="rId279" Type="http://schemas.openxmlformats.org/officeDocument/2006/relationships/hyperlink" Target="https://www.kegg.jp/entry/7.1.2.2" TargetMode="External"/><Relationship Id="rId486" Type="http://schemas.openxmlformats.org/officeDocument/2006/relationships/hyperlink" Target="https://www.kegg.jp/entry/R06114" TargetMode="External"/><Relationship Id="rId693" Type="http://schemas.openxmlformats.org/officeDocument/2006/relationships/hyperlink" Target="https://enzyme.expasy.org/EC/6.3.4.5" TargetMode="External"/><Relationship Id="rId2167" Type="http://schemas.openxmlformats.org/officeDocument/2006/relationships/hyperlink" Target="https://www.kegg.jp/entry/1.2.1.10" TargetMode="External"/><Relationship Id="rId2374" Type="http://schemas.openxmlformats.org/officeDocument/2006/relationships/hyperlink" Target="https://enzyme.expasy.org/EC/3.2.1.22" TargetMode="External"/><Relationship Id="rId139" Type="http://schemas.openxmlformats.org/officeDocument/2006/relationships/hyperlink" Target="https://enzyme.expasy.org/EC/1.1.1.86" TargetMode="External"/><Relationship Id="rId346" Type="http://schemas.openxmlformats.org/officeDocument/2006/relationships/hyperlink" Target="https://www.kegg.jp/entry/R08648" TargetMode="External"/><Relationship Id="rId553" Type="http://schemas.openxmlformats.org/officeDocument/2006/relationships/hyperlink" Target="https://www.kegg.jp/entry/5.4.99.18" TargetMode="External"/><Relationship Id="rId760" Type="http://schemas.openxmlformats.org/officeDocument/2006/relationships/hyperlink" Target="https://enzyme.expasy.org/EC/2.7.13.3" TargetMode="External"/><Relationship Id="rId998" Type="http://schemas.openxmlformats.org/officeDocument/2006/relationships/hyperlink" Target="https://www.kegg.jp/entry/7.1.1.1" TargetMode="External"/><Relationship Id="rId1183" Type="http://schemas.openxmlformats.org/officeDocument/2006/relationships/hyperlink" Target="https://www.kegg.jp/entry/3.5.4.10" TargetMode="External"/><Relationship Id="rId1390" Type="http://schemas.openxmlformats.org/officeDocument/2006/relationships/hyperlink" Target="https://www.kegg.jp/entry/R00357" TargetMode="External"/><Relationship Id="rId2027" Type="http://schemas.openxmlformats.org/officeDocument/2006/relationships/hyperlink" Target="https://enzyme.expasy.org/EC/2.7.1.162" TargetMode="External"/><Relationship Id="rId2234" Type="http://schemas.openxmlformats.org/officeDocument/2006/relationships/hyperlink" Target="https://www.kegg.jp/entry/R00597" TargetMode="External"/><Relationship Id="rId2441" Type="http://schemas.openxmlformats.org/officeDocument/2006/relationships/hyperlink" Target="https://enzyme.expasy.org/EC/1.17.4.1" TargetMode="External"/><Relationship Id="rId206" Type="http://schemas.openxmlformats.org/officeDocument/2006/relationships/hyperlink" Target="https://www.kegg.jp/entry/5.6.2.1" TargetMode="External"/><Relationship Id="rId413" Type="http://schemas.openxmlformats.org/officeDocument/2006/relationships/hyperlink" Target="https://www.kegg.jp/entry/1.3.5.2" TargetMode="External"/><Relationship Id="rId858" Type="http://schemas.openxmlformats.org/officeDocument/2006/relationships/hyperlink" Target="https://www.kegg.jp/entry/6.3.5.1" TargetMode="External"/><Relationship Id="rId1043" Type="http://schemas.openxmlformats.org/officeDocument/2006/relationships/hyperlink" Target="https://www.kegg.jp/entry/R09993" TargetMode="External"/><Relationship Id="rId1488" Type="http://schemas.openxmlformats.org/officeDocument/2006/relationships/hyperlink" Target="https://www.kegg.jp/entry/1.1.1.27" TargetMode="External"/><Relationship Id="rId1695" Type="http://schemas.openxmlformats.org/officeDocument/2006/relationships/hyperlink" Target="https://www.kegg.jp/entry/R02853" TargetMode="External"/><Relationship Id="rId620" Type="http://schemas.openxmlformats.org/officeDocument/2006/relationships/hyperlink" Target="https://enzyme.expasy.org/EC/6.3.5.5" TargetMode="External"/><Relationship Id="rId718" Type="http://schemas.openxmlformats.org/officeDocument/2006/relationships/hyperlink" Target="https://www.kegg.jp/entry/R01466" TargetMode="External"/><Relationship Id="rId925" Type="http://schemas.openxmlformats.org/officeDocument/2006/relationships/hyperlink" Target="https://www.kegg.jp/entry/R03293" TargetMode="External"/><Relationship Id="rId1250" Type="http://schemas.openxmlformats.org/officeDocument/2006/relationships/hyperlink" Target="https://www.kegg.jp/entry/R05635" TargetMode="External"/><Relationship Id="rId1348" Type="http://schemas.openxmlformats.org/officeDocument/2006/relationships/hyperlink" Target="https://www.kegg.jp/entry/2.8.4.3" TargetMode="External"/><Relationship Id="rId1555" Type="http://schemas.openxmlformats.org/officeDocument/2006/relationships/hyperlink" Target="https://www.kegg.jp/entry/R00376" TargetMode="External"/><Relationship Id="rId1762" Type="http://schemas.openxmlformats.org/officeDocument/2006/relationships/hyperlink" Target="https://enzyme.expasy.org/EC/1.17.4.2" TargetMode="External"/><Relationship Id="rId2301" Type="http://schemas.openxmlformats.org/officeDocument/2006/relationships/hyperlink" Target="https://www.kegg.jp/entry/5.4.99.9" TargetMode="External"/><Relationship Id="rId1110" Type="http://schemas.openxmlformats.org/officeDocument/2006/relationships/hyperlink" Target="https://enzyme.expasy.org/EC/5.3.1.1" TargetMode="External"/><Relationship Id="rId1208" Type="http://schemas.openxmlformats.org/officeDocument/2006/relationships/hyperlink" Target="https://www.kegg.jp/entry/R00674" TargetMode="External"/><Relationship Id="rId1415" Type="http://schemas.openxmlformats.org/officeDocument/2006/relationships/hyperlink" Target="https://www.kegg.jp/entry/3.5.1.25" TargetMode="External"/><Relationship Id="rId54" Type="http://schemas.openxmlformats.org/officeDocument/2006/relationships/hyperlink" Target="https://enzyme.expasy.org/EC/2.7.11.-" TargetMode="External"/><Relationship Id="rId1622" Type="http://schemas.openxmlformats.org/officeDocument/2006/relationships/hyperlink" Target="https://enzyme.expasy.org/EC/3.1.3.5" TargetMode="External"/><Relationship Id="rId1927" Type="http://schemas.openxmlformats.org/officeDocument/2006/relationships/hyperlink" Target="https://enzyme.expasy.org/EC/3.2.1.52" TargetMode="External"/><Relationship Id="rId2091" Type="http://schemas.openxmlformats.org/officeDocument/2006/relationships/hyperlink" Target="https://www.kegg.jp/entry/R00442" TargetMode="External"/><Relationship Id="rId2189" Type="http://schemas.openxmlformats.org/officeDocument/2006/relationships/hyperlink" Target="https://www.kegg.jp/entry/2.7.7.7" TargetMode="External"/><Relationship Id="rId270" Type="http://schemas.openxmlformats.org/officeDocument/2006/relationships/hyperlink" Target="https://www.kegg.jp/entry/2.3.1.46" TargetMode="External"/><Relationship Id="rId2396" Type="http://schemas.openxmlformats.org/officeDocument/2006/relationships/hyperlink" Target="https://www.kegg.jp/entry/3.2.1.22" TargetMode="External"/><Relationship Id="rId130" Type="http://schemas.openxmlformats.org/officeDocument/2006/relationships/hyperlink" Target="https://www.kegg.jp/entry/R04440" TargetMode="External"/><Relationship Id="rId368" Type="http://schemas.openxmlformats.org/officeDocument/2006/relationships/hyperlink" Target="https://enzyme.expasy.org/EC/7.5.2.-" TargetMode="External"/><Relationship Id="rId575" Type="http://schemas.openxmlformats.org/officeDocument/2006/relationships/hyperlink" Target="https://www.kegg.jp/entry/2.7.7.7" TargetMode="External"/><Relationship Id="rId782" Type="http://schemas.openxmlformats.org/officeDocument/2006/relationships/hyperlink" Target="https://enzyme.expasy.org/EC/2.7.1.40" TargetMode="External"/><Relationship Id="rId2049" Type="http://schemas.openxmlformats.org/officeDocument/2006/relationships/hyperlink" Target="https://enzyme.expasy.org/EC/5.4.2.2" TargetMode="External"/><Relationship Id="rId2256" Type="http://schemas.openxmlformats.org/officeDocument/2006/relationships/hyperlink" Target="https://enzyme.expasy.org/EC/1.1.1.3" TargetMode="External"/><Relationship Id="rId2463" Type="http://schemas.openxmlformats.org/officeDocument/2006/relationships/hyperlink" Target="https://enzyme.expasy.org/EC/1.17.4.1" TargetMode="External"/><Relationship Id="rId228" Type="http://schemas.openxmlformats.org/officeDocument/2006/relationships/hyperlink" Target="https://www.kegg.jp/entry/2.7.3.9" TargetMode="External"/><Relationship Id="rId435" Type="http://schemas.openxmlformats.org/officeDocument/2006/relationships/hyperlink" Target="https://www.kegg.jp/entry/2.7.7.6" TargetMode="External"/><Relationship Id="rId642" Type="http://schemas.openxmlformats.org/officeDocument/2006/relationships/hyperlink" Target="https://enzyme.expasy.org/EC/5.1.1.3" TargetMode="External"/><Relationship Id="rId1065" Type="http://schemas.openxmlformats.org/officeDocument/2006/relationships/hyperlink" Target="https://enzyme.expasy.org/EC/3.5.1.24" TargetMode="External"/><Relationship Id="rId1272" Type="http://schemas.openxmlformats.org/officeDocument/2006/relationships/hyperlink" Target="https://www.kegg.jp/entry/2.3.1.234" TargetMode="External"/><Relationship Id="rId2116" Type="http://schemas.openxmlformats.org/officeDocument/2006/relationships/hyperlink" Target="https://enzyme.expasy.org/EC/1.1.1.1" TargetMode="External"/><Relationship Id="rId2323" Type="http://schemas.openxmlformats.org/officeDocument/2006/relationships/hyperlink" Target="https://enzyme.expasy.org/EC/7.-.-.-" TargetMode="External"/><Relationship Id="rId502" Type="http://schemas.openxmlformats.org/officeDocument/2006/relationships/hyperlink" Target="https://www.kegg.jp/entry/R03260" TargetMode="External"/><Relationship Id="rId947" Type="http://schemas.openxmlformats.org/officeDocument/2006/relationships/hyperlink" Target="https://www.kegg.jp/entry/5.6.2.4" TargetMode="External"/><Relationship Id="rId1132" Type="http://schemas.openxmlformats.org/officeDocument/2006/relationships/hyperlink" Target="https://enzyme.expasy.org/EC/2.2.1.1" TargetMode="External"/><Relationship Id="rId1577" Type="http://schemas.openxmlformats.org/officeDocument/2006/relationships/hyperlink" Target="https://www.kegg.jp/entry/R04509" TargetMode="External"/><Relationship Id="rId1784" Type="http://schemas.openxmlformats.org/officeDocument/2006/relationships/hyperlink" Target="https://www.kegg.jp/entry/2.3.1.117" TargetMode="External"/><Relationship Id="rId1991" Type="http://schemas.openxmlformats.org/officeDocument/2006/relationships/hyperlink" Target="https://www.kegg.jp/entry/2.1.1.45" TargetMode="External"/><Relationship Id="rId76" Type="http://schemas.openxmlformats.org/officeDocument/2006/relationships/hyperlink" Target="https://enzyme.expasy.org/EC/1.-.-.-" TargetMode="External"/><Relationship Id="rId807" Type="http://schemas.openxmlformats.org/officeDocument/2006/relationships/hyperlink" Target="https://www.kegg.jp/entry/2.7.7.7" TargetMode="External"/><Relationship Id="rId1437" Type="http://schemas.openxmlformats.org/officeDocument/2006/relationships/hyperlink" Target="https://enzyme.expasy.org/EC/6.3.2.8" TargetMode="External"/><Relationship Id="rId1644" Type="http://schemas.openxmlformats.org/officeDocument/2006/relationships/hyperlink" Target="https://www.kegg.jp/entry/3.1.3.5" TargetMode="External"/><Relationship Id="rId1851" Type="http://schemas.openxmlformats.org/officeDocument/2006/relationships/hyperlink" Target="https://www.kegg.jp/entry/2.4.2.8" TargetMode="External"/><Relationship Id="rId1504" Type="http://schemas.openxmlformats.org/officeDocument/2006/relationships/hyperlink" Target="https://enzyme.expasy.org/EC/4.3.2.10" TargetMode="External"/><Relationship Id="rId1711" Type="http://schemas.openxmlformats.org/officeDocument/2006/relationships/hyperlink" Target="https://enzyme.expasy.org/EC/2.7.7.6" TargetMode="External"/><Relationship Id="rId1949" Type="http://schemas.openxmlformats.org/officeDocument/2006/relationships/hyperlink" Target="https://www.kegg.jp/entry/3.2.1.52" TargetMode="External"/><Relationship Id="rId292" Type="http://schemas.openxmlformats.org/officeDocument/2006/relationships/hyperlink" Target="https://www.kegg.jp/entry/R00086" TargetMode="External"/><Relationship Id="rId1809" Type="http://schemas.openxmlformats.org/officeDocument/2006/relationships/hyperlink" Target="https://www.kegg.jp/entry/R10806" TargetMode="External"/><Relationship Id="rId597" Type="http://schemas.openxmlformats.org/officeDocument/2006/relationships/hyperlink" Target="https://enzyme.expasy.org/EC/2.3.1.-" TargetMode="External"/><Relationship Id="rId2180" Type="http://schemas.openxmlformats.org/officeDocument/2006/relationships/hyperlink" Target="https://enzyme.expasy.org/EC/2.7.7.7" TargetMode="External"/><Relationship Id="rId2278" Type="http://schemas.openxmlformats.org/officeDocument/2006/relationships/hyperlink" Target="https://www.kegg.jp/entry/R10170" TargetMode="External"/><Relationship Id="rId2485" Type="http://schemas.openxmlformats.org/officeDocument/2006/relationships/hyperlink" Target="https://enzyme.expasy.org/EC/1.8.-.-" TargetMode="External"/><Relationship Id="rId152" Type="http://schemas.openxmlformats.org/officeDocument/2006/relationships/hyperlink" Target="https://enzyme.expasy.org/EC/3.2.1.-" TargetMode="External"/><Relationship Id="rId457" Type="http://schemas.openxmlformats.org/officeDocument/2006/relationships/hyperlink" Target="https://www.kegg.jp/entry/R00899" TargetMode="External"/><Relationship Id="rId1087" Type="http://schemas.openxmlformats.org/officeDocument/2006/relationships/hyperlink" Target="https://www.kegg.jp/entry/3.5.2.3" TargetMode="External"/><Relationship Id="rId1294" Type="http://schemas.openxmlformats.org/officeDocument/2006/relationships/hyperlink" Target="https://www.kegg.jp/entry/R03657" TargetMode="External"/><Relationship Id="rId2040" Type="http://schemas.openxmlformats.org/officeDocument/2006/relationships/hyperlink" Target="https://enzyme.expasy.org/EC/6.1.1.11" TargetMode="External"/><Relationship Id="rId2138" Type="http://schemas.openxmlformats.org/officeDocument/2006/relationships/hyperlink" Target="https://www.kegg.jp/entry/1.1.1.1" TargetMode="External"/><Relationship Id="rId664" Type="http://schemas.openxmlformats.org/officeDocument/2006/relationships/hyperlink" Target="https://enzyme.expasy.org/EC/6.3.1.2" TargetMode="External"/><Relationship Id="rId871" Type="http://schemas.openxmlformats.org/officeDocument/2006/relationships/hyperlink" Target="https://www.kegg.jp/entry/R04710" TargetMode="External"/><Relationship Id="rId969" Type="http://schemas.openxmlformats.org/officeDocument/2006/relationships/hyperlink" Target="https://www.kegg.jp/entry/4.2.1.10" TargetMode="External"/><Relationship Id="rId1599" Type="http://schemas.openxmlformats.org/officeDocument/2006/relationships/hyperlink" Target="https://www.kegg.jp/entry/3.1.3.2" TargetMode="External"/><Relationship Id="rId2345" Type="http://schemas.openxmlformats.org/officeDocument/2006/relationships/hyperlink" Target="https://www.kegg.jp/entry/4.3.1.19" TargetMode="External"/><Relationship Id="rId317" Type="http://schemas.openxmlformats.org/officeDocument/2006/relationships/hyperlink" Target="https://www.kegg.jp/entry/2.7.8.7" TargetMode="External"/><Relationship Id="rId524" Type="http://schemas.openxmlformats.org/officeDocument/2006/relationships/hyperlink" Target="https://www.kegg.jp/entry/R01579" TargetMode="External"/><Relationship Id="rId731" Type="http://schemas.openxmlformats.org/officeDocument/2006/relationships/hyperlink" Target="https://www.kegg.jp/entry/3.1.1.29" TargetMode="External"/><Relationship Id="rId1154" Type="http://schemas.openxmlformats.org/officeDocument/2006/relationships/hyperlink" Target="https://www.kegg.jp/entry/R03663" TargetMode="External"/><Relationship Id="rId1361" Type="http://schemas.openxmlformats.org/officeDocument/2006/relationships/hyperlink" Target="https://www.kegg.jp/entry/4.2.1.3" TargetMode="External"/><Relationship Id="rId1459" Type="http://schemas.openxmlformats.org/officeDocument/2006/relationships/hyperlink" Target="https://www.kegg.jp/entry/2.7.8.13" TargetMode="External"/><Relationship Id="rId2205" Type="http://schemas.openxmlformats.org/officeDocument/2006/relationships/hyperlink" Target="https://enzyme.expasy.org/EC/2.3.-.-" TargetMode="External"/><Relationship Id="rId2412" Type="http://schemas.openxmlformats.org/officeDocument/2006/relationships/hyperlink" Target="https://www.kegg.jp/entry/R06093" TargetMode="External"/><Relationship Id="rId98" Type="http://schemas.openxmlformats.org/officeDocument/2006/relationships/hyperlink" Target="https://www.kegg.jp/entry/4.1.2.13" TargetMode="External"/><Relationship Id="rId829" Type="http://schemas.openxmlformats.org/officeDocument/2006/relationships/hyperlink" Target="https://www.kegg.jp/entry/2.3.1.8" TargetMode="External"/><Relationship Id="rId1014" Type="http://schemas.openxmlformats.org/officeDocument/2006/relationships/hyperlink" Target="https://www.kegg.jp/entry/R01090" TargetMode="External"/><Relationship Id="rId1221" Type="http://schemas.openxmlformats.org/officeDocument/2006/relationships/hyperlink" Target="https://www.kegg.jp/entry/4.1.3.27" TargetMode="External"/><Relationship Id="rId1666" Type="http://schemas.openxmlformats.org/officeDocument/2006/relationships/hyperlink" Target="https://enzyme.expasy.org/EC/3.2.2.27" TargetMode="External"/><Relationship Id="rId1873" Type="http://schemas.openxmlformats.org/officeDocument/2006/relationships/hyperlink" Target="https://www.kegg.jp/entry/2.1.1.33" TargetMode="External"/><Relationship Id="rId1319" Type="http://schemas.openxmlformats.org/officeDocument/2006/relationships/hyperlink" Target="https://enzyme.expasy.org/EC/3.6.1.23" TargetMode="External"/><Relationship Id="rId1526" Type="http://schemas.openxmlformats.org/officeDocument/2006/relationships/hyperlink" Target="https://enzyme.expasy.org/EC/1.1.1.23" TargetMode="External"/><Relationship Id="rId1733" Type="http://schemas.openxmlformats.org/officeDocument/2006/relationships/hyperlink" Target="https://www.kegg.jp/entry/R00177" TargetMode="External"/><Relationship Id="rId1940" Type="http://schemas.openxmlformats.org/officeDocument/2006/relationships/hyperlink" Target="https://www.kegg.jp/entry/3.2.1.52" TargetMode="External"/><Relationship Id="rId25" Type="http://schemas.openxmlformats.org/officeDocument/2006/relationships/hyperlink" Target="https://enzyme.expasy.org/EC/2.4.1.1" TargetMode="External"/><Relationship Id="rId1800" Type="http://schemas.openxmlformats.org/officeDocument/2006/relationships/hyperlink" Target="https://www.kegg.jp/entry/1.1.1.205" TargetMode="External"/><Relationship Id="rId174" Type="http://schemas.openxmlformats.org/officeDocument/2006/relationships/hyperlink" Target="https://www.kegg.jp/entry/2.7.7.7" TargetMode="External"/><Relationship Id="rId381" Type="http://schemas.openxmlformats.org/officeDocument/2006/relationships/hyperlink" Target="https://www.kegg.jp/entry/R01678" TargetMode="External"/><Relationship Id="rId2062" Type="http://schemas.openxmlformats.org/officeDocument/2006/relationships/hyperlink" Target="https://enzyme.expasy.org/EC/5.3.1.6" TargetMode="External"/><Relationship Id="rId241" Type="http://schemas.openxmlformats.org/officeDocument/2006/relationships/hyperlink" Target="https://enzyme.expasy.org/EC/3.1.1.31" TargetMode="External"/><Relationship Id="rId479" Type="http://schemas.openxmlformats.org/officeDocument/2006/relationships/hyperlink" Target="https://www.kegg.jp/entry/R04633" TargetMode="External"/><Relationship Id="rId686" Type="http://schemas.openxmlformats.org/officeDocument/2006/relationships/hyperlink" Target="https://www.kegg.jp/entry/R02649" TargetMode="External"/><Relationship Id="rId893" Type="http://schemas.openxmlformats.org/officeDocument/2006/relationships/hyperlink" Target="https://www.kegg.jp/entry/R02408" TargetMode="External"/><Relationship Id="rId2367" Type="http://schemas.openxmlformats.org/officeDocument/2006/relationships/hyperlink" Target="https://enzyme.expasy.org/EC/3.2.1.22" TargetMode="External"/><Relationship Id="rId339" Type="http://schemas.openxmlformats.org/officeDocument/2006/relationships/hyperlink" Target="https://www.kegg.jp/entry/2.2.1.6" TargetMode="External"/><Relationship Id="rId546" Type="http://schemas.openxmlformats.org/officeDocument/2006/relationships/hyperlink" Target="https://enzyme.expasy.org/EC/2.2.1.7" TargetMode="External"/><Relationship Id="rId753" Type="http://schemas.openxmlformats.org/officeDocument/2006/relationships/hyperlink" Target="https://www.kegg.jp/entry/R11100" TargetMode="External"/><Relationship Id="rId1176" Type="http://schemas.openxmlformats.org/officeDocument/2006/relationships/hyperlink" Target="https://www.kegg.jp/entry/6.2.1.5" TargetMode="External"/><Relationship Id="rId1383" Type="http://schemas.openxmlformats.org/officeDocument/2006/relationships/hyperlink" Target="https://www.kegg.jp/entry/2.4.2.19" TargetMode="External"/><Relationship Id="rId2227" Type="http://schemas.openxmlformats.org/officeDocument/2006/relationships/hyperlink" Target="https://www.kegg.jp/entry/R01826" TargetMode="External"/><Relationship Id="rId2434" Type="http://schemas.openxmlformats.org/officeDocument/2006/relationships/hyperlink" Target="https://enzyme.expasy.org/EC/2.4.-.-" TargetMode="External"/><Relationship Id="rId101" Type="http://schemas.openxmlformats.org/officeDocument/2006/relationships/hyperlink" Target="https://www.kegg.jp/entry/4.1.2.13" TargetMode="External"/><Relationship Id="rId406" Type="http://schemas.openxmlformats.org/officeDocument/2006/relationships/hyperlink" Target="https://www.kegg.jp/entry/1.1.1.85" TargetMode="External"/><Relationship Id="rId960" Type="http://schemas.openxmlformats.org/officeDocument/2006/relationships/hyperlink" Target="https://enzyme.expasy.org/EC/6.1.1.7" TargetMode="External"/><Relationship Id="rId1036" Type="http://schemas.openxmlformats.org/officeDocument/2006/relationships/hyperlink" Target="https://www.kegg.jp/entry/R12570" TargetMode="External"/><Relationship Id="rId1243" Type="http://schemas.openxmlformats.org/officeDocument/2006/relationships/hyperlink" Target="https://enzyme.expasy.org/EC/2.7.4.22" TargetMode="External"/><Relationship Id="rId1590" Type="http://schemas.openxmlformats.org/officeDocument/2006/relationships/hyperlink" Target="https://enzyme.expasy.org/EC/2.7.4.-" TargetMode="External"/><Relationship Id="rId1688" Type="http://schemas.openxmlformats.org/officeDocument/2006/relationships/hyperlink" Target="https://www.kegg.jp/entry/R03232" TargetMode="External"/><Relationship Id="rId1895" Type="http://schemas.openxmlformats.org/officeDocument/2006/relationships/hyperlink" Target="https://www.kegg.jp/entry/3.2.1.23" TargetMode="External"/><Relationship Id="rId613" Type="http://schemas.openxmlformats.org/officeDocument/2006/relationships/hyperlink" Target="https://www.kegg.jp/entry/6.3.5.5" TargetMode="External"/><Relationship Id="rId820" Type="http://schemas.openxmlformats.org/officeDocument/2006/relationships/hyperlink" Target="https://enzyme.expasy.org/EC/3.2.2.20" TargetMode="External"/><Relationship Id="rId918" Type="http://schemas.openxmlformats.org/officeDocument/2006/relationships/hyperlink" Target="https://enzyme.expasy.org/EC/1.5.1.2" TargetMode="External"/><Relationship Id="rId1450" Type="http://schemas.openxmlformats.org/officeDocument/2006/relationships/hyperlink" Target="https://www.kegg.jp/entry/R05662" TargetMode="External"/><Relationship Id="rId1548" Type="http://schemas.openxmlformats.org/officeDocument/2006/relationships/hyperlink" Target="https://www.kegg.jp/entry/2.7.7.7" TargetMode="External"/><Relationship Id="rId1755" Type="http://schemas.openxmlformats.org/officeDocument/2006/relationships/hyperlink" Target="https://enzyme.expasy.org/EC/3.2.1.-" TargetMode="External"/><Relationship Id="rId2501" Type="http://schemas.openxmlformats.org/officeDocument/2006/relationships/hyperlink" Target="https://www.kegg.jp/entry/R09383" TargetMode="External"/><Relationship Id="rId1103" Type="http://schemas.openxmlformats.org/officeDocument/2006/relationships/hyperlink" Target="https://enzyme.expasy.org/EC/2.6.1.-" TargetMode="External"/><Relationship Id="rId1310" Type="http://schemas.openxmlformats.org/officeDocument/2006/relationships/hyperlink" Target="https://www.kegg.jp/entry/2.1.1.72" TargetMode="External"/><Relationship Id="rId1408" Type="http://schemas.openxmlformats.org/officeDocument/2006/relationships/hyperlink" Target="https://www.kegg.jp/entry/6.3.2.13" TargetMode="External"/><Relationship Id="rId1962" Type="http://schemas.openxmlformats.org/officeDocument/2006/relationships/hyperlink" Target="https://www.kegg.jp/entry/R11316" TargetMode="External"/><Relationship Id="rId47" Type="http://schemas.openxmlformats.org/officeDocument/2006/relationships/hyperlink" Target="https://enzyme.expasy.org/EC/3.4.21.-" TargetMode="External"/><Relationship Id="rId1615" Type="http://schemas.openxmlformats.org/officeDocument/2006/relationships/hyperlink" Target="https://enzyme.expasy.org/EC/3.1.-.-" TargetMode="External"/><Relationship Id="rId1822" Type="http://schemas.openxmlformats.org/officeDocument/2006/relationships/hyperlink" Target="https://www.kegg.jp/entry/R00299" TargetMode="External"/><Relationship Id="rId196" Type="http://schemas.openxmlformats.org/officeDocument/2006/relationships/hyperlink" Target="https://enzyme.expasy.org/EC/3.5.99.6" TargetMode="External"/><Relationship Id="rId2084" Type="http://schemas.openxmlformats.org/officeDocument/2006/relationships/hyperlink" Target="https://www.kegg.jp/entry/2.7.7.6" TargetMode="External"/><Relationship Id="rId2291" Type="http://schemas.openxmlformats.org/officeDocument/2006/relationships/hyperlink" Target="https://www.kegg.jp/entry/R02184" TargetMode="External"/><Relationship Id="rId263" Type="http://schemas.openxmlformats.org/officeDocument/2006/relationships/hyperlink" Target="https://www.kegg.jp/entry/R03665" TargetMode="External"/><Relationship Id="rId470" Type="http://schemas.openxmlformats.org/officeDocument/2006/relationships/hyperlink" Target="https://www.kegg.jp/entry/R00768" TargetMode="External"/><Relationship Id="rId2151" Type="http://schemas.openxmlformats.org/officeDocument/2006/relationships/hyperlink" Target="https://www.kegg.jp/entry/R05234" TargetMode="External"/><Relationship Id="rId2389" Type="http://schemas.openxmlformats.org/officeDocument/2006/relationships/hyperlink" Target="https://www.kegg.jp/entry/3.2.1.22" TargetMode="External"/><Relationship Id="rId123" Type="http://schemas.openxmlformats.org/officeDocument/2006/relationships/hyperlink" Target="https://www.kegg.jp/entry/1.1.1.86" TargetMode="External"/><Relationship Id="rId330" Type="http://schemas.openxmlformats.org/officeDocument/2006/relationships/hyperlink" Target="https://enzyme.expasy.org/EC/6.1.1.16" TargetMode="External"/><Relationship Id="rId568" Type="http://schemas.openxmlformats.org/officeDocument/2006/relationships/hyperlink" Target="https://enzyme.expasy.org/EC/2.7.7.7" TargetMode="External"/><Relationship Id="rId775" Type="http://schemas.openxmlformats.org/officeDocument/2006/relationships/hyperlink" Target="https://enzyme.expasy.org/EC/2.7.1.40" TargetMode="External"/><Relationship Id="rId982" Type="http://schemas.openxmlformats.org/officeDocument/2006/relationships/hyperlink" Target="https://www.kegg.jp/entry/2.8.1.7" TargetMode="External"/><Relationship Id="rId1198" Type="http://schemas.openxmlformats.org/officeDocument/2006/relationships/hyperlink" Target="https://www.kegg.jp/entry/5.1.3.1" TargetMode="External"/><Relationship Id="rId2011" Type="http://schemas.openxmlformats.org/officeDocument/2006/relationships/hyperlink" Target="https://enzyme.expasy.org/EC/3.-.-.-" TargetMode="External"/><Relationship Id="rId2249" Type="http://schemas.openxmlformats.org/officeDocument/2006/relationships/hyperlink" Target="https://www.kegg.jp/entry/R02734" TargetMode="External"/><Relationship Id="rId2456" Type="http://schemas.openxmlformats.org/officeDocument/2006/relationships/hyperlink" Target="https://www.kegg.jp/entry/R02024" TargetMode="External"/><Relationship Id="rId428" Type="http://schemas.openxmlformats.org/officeDocument/2006/relationships/hyperlink" Target="https://www.kegg.jp/entry/R00435" TargetMode="External"/><Relationship Id="rId635" Type="http://schemas.openxmlformats.org/officeDocument/2006/relationships/hyperlink" Target="https://www.kegg.jp/entry/2.7.4.8" TargetMode="External"/><Relationship Id="rId842" Type="http://schemas.openxmlformats.org/officeDocument/2006/relationships/hyperlink" Target="https://www.kegg.jp/entry/6.3.5.2" TargetMode="External"/><Relationship Id="rId1058" Type="http://schemas.openxmlformats.org/officeDocument/2006/relationships/hyperlink" Target="https://www.kegg.jp/entry/R07168" TargetMode="External"/><Relationship Id="rId1265" Type="http://schemas.openxmlformats.org/officeDocument/2006/relationships/hyperlink" Target="https://enzyme.expasy.org/EC/2.3.1.234" TargetMode="External"/><Relationship Id="rId1472" Type="http://schemas.openxmlformats.org/officeDocument/2006/relationships/hyperlink" Target="https://enzyme.expasy.org/EC/2.1.1.199" TargetMode="External"/><Relationship Id="rId2109" Type="http://schemas.openxmlformats.org/officeDocument/2006/relationships/hyperlink" Target="https://enzyme.expasy.org/EC/1.1.1.1" TargetMode="External"/><Relationship Id="rId2316" Type="http://schemas.openxmlformats.org/officeDocument/2006/relationships/hyperlink" Target="https://enzyme.expasy.org/EC/4.2.1.46" TargetMode="External"/><Relationship Id="rId702" Type="http://schemas.openxmlformats.org/officeDocument/2006/relationships/hyperlink" Target="https://enzyme.expasy.org/EC/2.7.7.73" TargetMode="External"/><Relationship Id="rId1125" Type="http://schemas.openxmlformats.org/officeDocument/2006/relationships/hyperlink" Target="https://www.kegg.jp/entry/2.2.1.2" TargetMode="External"/><Relationship Id="rId1332" Type="http://schemas.openxmlformats.org/officeDocument/2006/relationships/hyperlink" Target="https://www.kegg.jp/entry/R01051" TargetMode="External"/><Relationship Id="rId1777" Type="http://schemas.openxmlformats.org/officeDocument/2006/relationships/hyperlink" Target="https://enzyme.expasy.org/EC/1.-.-.-" TargetMode="External"/><Relationship Id="rId1984" Type="http://schemas.openxmlformats.org/officeDocument/2006/relationships/hyperlink" Target="https://www.kegg.jp/entry/R00936" TargetMode="External"/><Relationship Id="rId69" Type="http://schemas.openxmlformats.org/officeDocument/2006/relationships/hyperlink" Target="https://www.kegg.jp/entry/R06177" TargetMode="External"/><Relationship Id="rId1637" Type="http://schemas.openxmlformats.org/officeDocument/2006/relationships/hyperlink" Target="https://www.kegg.jp/entry/3.1.3.5" TargetMode="External"/><Relationship Id="rId1844" Type="http://schemas.openxmlformats.org/officeDocument/2006/relationships/hyperlink" Target="https://www.kegg.jp/entry/3.5.4.16" TargetMode="External"/><Relationship Id="rId1704" Type="http://schemas.openxmlformats.org/officeDocument/2006/relationships/hyperlink" Target="https://enzyme.expasy.org/EC/4.2.1.9" TargetMode="External"/><Relationship Id="rId285" Type="http://schemas.openxmlformats.org/officeDocument/2006/relationships/hyperlink" Target="https://www.kegg.jp/entry/7.1.2.2" TargetMode="External"/><Relationship Id="rId1911" Type="http://schemas.openxmlformats.org/officeDocument/2006/relationships/hyperlink" Target="https://www.kegg.jp/entry/R05112" TargetMode="External"/><Relationship Id="rId492" Type="http://schemas.openxmlformats.org/officeDocument/2006/relationships/hyperlink" Target="https://enzyme.expasy.org/EC/2.7.1.33" TargetMode="External"/><Relationship Id="rId797" Type="http://schemas.openxmlformats.org/officeDocument/2006/relationships/hyperlink" Target="https://www.kegg.jp/entry/R01858" TargetMode="External"/><Relationship Id="rId2173" Type="http://schemas.openxmlformats.org/officeDocument/2006/relationships/hyperlink" Target="https://enzyme.expasy.org/EC/2.4.1.25" TargetMode="External"/><Relationship Id="rId2380" Type="http://schemas.openxmlformats.org/officeDocument/2006/relationships/hyperlink" Target="https://www.kegg.jp/entry/3.2.1.22" TargetMode="External"/><Relationship Id="rId2478" Type="http://schemas.openxmlformats.org/officeDocument/2006/relationships/hyperlink" Target="https://www.kegg.jp/entry/R08364" TargetMode="External"/><Relationship Id="rId145" Type="http://schemas.openxmlformats.org/officeDocument/2006/relationships/hyperlink" Target="https://www.kegg.jp/entry/1.1.1.86" TargetMode="External"/><Relationship Id="rId352" Type="http://schemas.openxmlformats.org/officeDocument/2006/relationships/hyperlink" Target="https://enzyme.expasy.org/EC/6.3.4.21" TargetMode="External"/><Relationship Id="rId1287" Type="http://schemas.openxmlformats.org/officeDocument/2006/relationships/hyperlink" Target="https://www.kegg.jp/entry/R00375" TargetMode="External"/><Relationship Id="rId2033" Type="http://schemas.openxmlformats.org/officeDocument/2006/relationships/hyperlink" Target="https://www.kegg.jp/entry/2.4.1.211" TargetMode="External"/><Relationship Id="rId2240" Type="http://schemas.openxmlformats.org/officeDocument/2006/relationships/hyperlink" Target="https://www.kegg.jp/entry/R07234" TargetMode="External"/><Relationship Id="rId212" Type="http://schemas.openxmlformats.org/officeDocument/2006/relationships/hyperlink" Target="https://www.kegg.jp/entry/R02098" TargetMode="External"/><Relationship Id="rId657" Type="http://schemas.openxmlformats.org/officeDocument/2006/relationships/hyperlink" Target="https://www.kegg.jp/entry/1.17.7.1" TargetMode="External"/><Relationship Id="rId864" Type="http://schemas.openxmlformats.org/officeDocument/2006/relationships/hyperlink" Target="https://www.kegg.jp/entry/2.3.1.54" TargetMode="External"/><Relationship Id="rId1494" Type="http://schemas.openxmlformats.org/officeDocument/2006/relationships/hyperlink" Target="https://www.kegg.jp/entry/6.3.1.2" TargetMode="External"/><Relationship Id="rId1799" Type="http://schemas.openxmlformats.org/officeDocument/2006/relationships/hyperlink" Target="https://enzyme.expasy.org/EC/1.1.1.205" TargetMode="External"/><Relationship Id="rId2100" Type="http://schemas.openxmlformats.org/officeDocument/2006/relationships/hyperlink" Target="https://www.kegg.jp/entry/R00127" TargetMode="External"/><Relationship Id="rId2338" Type="http://schemas.openxmlformats.org/officeDocument/2006/relationships/hyperlink" Target="https://enzyme.expasy.org/EC/2.3.1.286" TargetMode="External"/><Relationship Id="rId517" Type="http://schemas.openxmlformats.org/officeDocument/2006/relationships/hyperlink" Target="https://www.kegg.jp/entry/5.1.1.1" TargetMode="External"/><Relationship Id="rId724" Type="http://schemas.openxmlformats.org/officeDocument/2006/relationships/hyperlink" Target="https://www.kegg.jp/entry/2.7.7.18" TargetMode="External"/><Relationship Id="rId931" Type="http://schemas.openxmlformats.org/officeDocument/2006/relationships/hyperlink" Target="https://enzyme.expasy.org/EC/3.5.99.6" TargetMode="External"/><Relationship Id="rId1147" Type="http://schemas.openxmlformats.org/officeDocument/2006/relationships/hyperlink" Target="https://www.kegg.jp/entry/R06863" TargetMode="External"/><Relationship Id="rId1354" Type="http://schemas.openxmlformats.org/officeDocument/2006/relationships/hyperlink" Target="https://www.kegg.jp/entry/R10646" TargetMode="External"/><Relationship Id="rId1561" Type="http://schemas.openxmlformats.org/officeDocument/2006/relationships/hyperlink" Target="https://www.kegg.jp/entry/3.4.23.36" TargetMode="External"/><Relationship Id="rId2405" Type="http://schemas.openxmlformats.org/officeDocument/2006/relationships/hyperlink" Target="https://www.kegg.jp/entry/R03634" TargetMode="External"/><Relationship Id="rId60" Type="http://schemas.openxmlformats.org/officeDocument/2006/relationships/hyperlink" Target="https://enzyme.expasy.org/EC/2.4.99.28" TargetMode="External"/><Relationship Id="rId1007" Type="http://schemas.openxmlformats.org/officeDocument/2006/relationships/hyperlink" Target="https://www.kegg.jp/entry/2.6.1.42" TargetMode="External"/><Relationship Id="rId1214" Type="http://schemas.openxmlformats.org/officeDocument/2006/relationships/hyperlink" Target="https://enzyme.expasy.org/EC/2.3.1.-" TargetMode="External"/><Relationship Id="rId1421" Type="http://schemas.openxmlformats.org/officeDocument/2006/relationships/hyperlink" Target="https://enzyme.expasy.org/EC/3.5.1.28" TargetMode="External"/><Relationship Id="rId1659" Type="http://schemas.openxmlformats.org/officeDocument/2006/relationships/hyperlink" Target="https://www.kegg.jp/entry/R02102" TargetMode="External"/><Relationship Id="rId1866" Type="http://schemas.openxmlformats.org/officeDocument/2006/relationships/hyperlink" Target="https://www.kegg.jp/entry/1.1.1.77" TargetMode="External"/><Relationship Id="rId1519" Type="http://schemas.openxmlformats.org/officeDocument/2006/relationships/hyperlink" Target="https://www.kegg.jp/entry/2.6.1.9" TargetMode="External"/><Relationship Id="rId1726" Type="http://schemas.openxmlformats.org/officeDocument/2006/relationships/hyperlink" Target="https://www.kegg.jp/entry/R00442" TargetMode="External"/><Relationship Id="rId1933" Type="http://schemas.openxmlformats.org/officeDocument/2006/relationships/hyperlink" Target="https://enzyme.expasy.org/EC/3.2.1.52" TargetMode="External"/><Relationship Id="rId18" Type="http://schemas.openxmlformats.org/officeDocument/2006/relationships/hyperlink" Target="https://www.kegg.jp/entry/R03664" TargetMode="External"/><Relationship Id="rId2195" Type="http://schemas.openxmlformats.org/officeDocument/2006/relationships/hyperlink" Target="https://www.kegg.jp/entry/R11029" TargetMode="External"/><Relationship Id="rId167" Type="http://schemas.openxmlformats.org/officeDocument/2006/relationships/hyperlink" Target="https://enzyme.expasy.org/EC/2.7.7.7" TargetMode="External"/><Relationship Id="rId374" Type="http://schemas.openxmlformats.org/officeDocument/2006/relationships/hyperlink" Target="https://enzyme.expasy.org/EC/7.5.2.-" TargetMode="External"/><Relationship Id="rId581" Type="http://schemas.openxmlformats.org/officeDocument/2006/relationships/hyperlink" Target="https://www.kegg.jp/entry/R00377" TargetMode="External"/><Relationship Id="rId2055" Type="http://schemas.openxmlformats.org/officeDocument/2006/relationships/hyperlink" Target="https://www.kegg.jp/entry/R01057" TargetMode="External"/><Relationship Id="rId2262" Type="http://schemas.openxmlformats.org/officeDocument/2006/relationships/hyperlink" Target="https://enzyme.expasy.org/EC/2.7.1.-" TargetMode="External"/><Relationship Id="rId234" Type="http://schemas.openxmlformats.org/officeDocument/2006/relationships/hyperlink" Target="https://enzyme.expasy.org/EC/6.1.1.17" TargetMode="External"/><Relationship Id="rId679" Type="http://schemas.openxmlformats.org/officeDocument/2006/relationships/hyperlink" Target="https://www.kegg.jp/entry/2.3.1.1" TargetMode="External"/><Relationship Id="rId886" Type="http://schemas.openxmlformats.org/officeDocument/2006/relationships/hyperlink" Target="https://www.kegg.jp/entry/4.4.1.13" TargetMode="External"/><Relationship Id="rId2" Type="http://schemas.openxmlformats.org/officeDocument/2006/relationships/hyperlink" Target="https://www.kegg.jp/entry/5.6.2.2" TargetMode="External"/><Relationship Id="rId441" Type="http://schemas.openxmlformats.org/officeDocument/2006/relationships/hyperlink" Target="https://www.kegg.jp/entry/R10813" TargetMode="External"/><Relationship Id="rId539" Type="http://schemas.openxmlformats.org/officeDocument/2006/relationships/hyperlink" Target="https://enzyme.expasy.org/EC/1.8.4.11" TargetMode="External"/><Relationship Id="rId746" Type="http://schemas.openxmlformats.org/officeDocument/2006/relationships/hyperlink" Target="https://enzyme.expasy.org/EC/4.3.1.17" TargetMode="External"/><Relationship Id="rId1071" Type="http://schemas.openxmlformats.org/officeDocument/2006/relationships/hyperlink" Target="https://www.kegg.jp/entry/R05835" TargetMode="External"/><Relationship Id="rId1169" Type="http://schemas.openxmlformats.org/officeDocument/2006/relationships/hyperlink" Target="https://www.kegg.jp/entry/R00405" TargetMode="External"/><Relationship Id="rId1376" Type="http://schemas.openxmlformats.org/officeDocument/2006/relationships/hyperlink" Target="https://enzyme.expasy.org/EC/4.2.1.51" TargetMode="External"/><Relationship Id="rId1583" Type="http://schemas.openxmlformats.org/officeDocument/2006/relationships/hyperlink" Target="https://www.kegg.jp/entry/2.7.1.63" TargetMode="External"/><Relationship Id="rId2122" Type="http://schemas.openxmlformats.org/officeDocument/2006/relationships/hyperlink" Target="https://enzyme.expasy.org/EC/1.1.1.1" TargetMode="External"/><Relationship Id="rId2427" Type="http://schemas.openxmlformats.org/officeDocument/2006/relationships/hyperlink" Target="https://enzyme.expasy.org/EC/5.1.3.-" TargetMode="External"/><Relationship Id="rId301" Type="http://schemas.openxmlformats.org/officeDocument/2006/relationships/hyperlink" Target="https://www.kegg.jp/entry/1.1.1.94" TargetMode="External"/><Relationship Id="rId953" Type="http://schemas.openxmlformats.org/officeDocument/2006/relationships/hyperlink" Target="https://www.kegg.jp/entry/3.5.4.5" TargetMode="External"/><Relationship Id="rId1029" Type="http://schemas.openxmlformats.org/officeDocument/2006/relationships/hyperlink" Target="https://www.kegg.jp/entry/2.4.1.21" TargetMode="External"/><Relationship Id="rId1236" Type="http://schemas.openxmlformats.org/officeDocument/2006/relationships/hyperlink" Target="https://www.kegg.jp/entry/R04558" TargetMode="External"/><Relationship Id="rId1790" Type="http://schemas.openxmlformats.org/officeDocument/2006/relationships/hyperlink" Target="https://www.kegg.jp/entry/3.4.11.18" TargetMode="External"/><Relationship Id="rId1888" Type="http://schemas.openxmlformats.org/officeDocument/2006/relationships/hyperlink" Target="https://enzyme.expasy.org/EC/3.2.1.23" TargetMode="External"/><Relationship Id="rId82" Type="http://schemas.openxmlformats.org/officeDocument/2006/relationships/hyperlink" Target="https://www.kegg.jp/entry/3.1.4.4" TargetMode="External"/><Relationship Id="rId606" Type="http://schemas.openxmlformats.org/officeDocument/2006/relationships/hyperlink" Target="https://enzyme.expasy.org/EC/6.3.5.5" TargetMode="External"/><Relationship Id="rId813" Type="http://schemas.openxmlformats.org/officeDocument/2006/relationships/hyperlink" Target="https://www.kegg.jp/entry/R00376" TargetMode="External"/><Relationship Id="rId1443" Type="http://schemas.openxmlformats.org/officeDocument/2006/relationships/hyperlink" Target="https://enzyme.expasy.org/EC/2.4.1.227" TargetMode="External"/><Relationship Id="rId1650" Type="http://schemas.openxmlformats.org/officeDocument/2006/relationships/hyperlink" Target="https://www.kegg.jp/entry/R01126" TargetMode="External"/><Relationship Id="rId1748" Type="http://schemas.openxmlformats.org/officeDocument/2006/relationships/hyperlink" Target="https://www.kegg.jp/entry/2.7.1.15" TargetMode="External"/><Relationship Id="rId1303" Type="http://schemas.openxmlformats.org/officeDocument/2006/relationships/hyperlink" Target="https://www.kegg.jp/entry/3.1.1.96" TargetMode="External"/><Relationship Id="rId1510" Type="http://schemas.openxmlformats.org/officeDocument/2006/relationships/hyperlink" Target="https://www.kegg.jp/entry/R12152" TargetMode="External"/><Relationship Id="rId1955" Type="http://schemas.openxmlformats.org/officeDocument/2006/relationships/hyperlink" Target="https://www.kegg.jp/entry/R06001" TargetMode="External"/><Relationship Id="rId1608" Type="http://schemas.openxmlformats.org/officeDocument/2006/relationships/hyperlink" Target="https://www.kegg.jp/entry/R01010" TargetMode="External"/><Relationship Id="rId1815" Type="http://schemas.openxmlformats.org/officeDocument/2006/relationships/hyperlink" Target="https://www.kegg.jp/entry/R04268" TargetMode="External"/><Relationship Id="rId189" Type="http://schemas.openxmlformats.org/officeDocument/2006/relationships/hyperlink" Target="https://www.kegg.jp/entry/5.1.3.9" TargetMode="External"/><Relationship Id="rId396" Type="http://schemas.openxmlformats.org/officeDocument/2006/relationships/hyperlink" Target="https://enzyme.expasy.org/EC/2.8.4.2" TargetMode="External"/><Relationship Id="rId2077" Type="http://schemas.openxmlformats.org/officeDocument/2006/relationships/hyperlink" Target="https://www.kegg.jp/entry/2.7.7.6" TargetMode="External"/><Relationship Id="rId2284" Type="http://schemas.openxmlformats.org/officeDocument/2006/relationships/hyperlink" Target="https://www.kegg.jp/entry/4.2.1.33" TargetMode="External"/><Relationship Id="rId2491" Type="http://schemas.openxmlformats.org/officeDocument/2006/relationships/hyperlink" Target="https://www.kegg.jp/entry/R05634" TargetMode="External"/><Relationship Id="rId256" Type="http://schemas.openxmlformats.org/officeDocument/2006/relationships/hyperlink" Target="https://www.kegg.jp/entry/2.7.6.1" TargetMode="External"/><Relationship Id="rId463" Type="http://schemas.openxmlformats.org/officeDocument/2006/relationships/hyperlink" Target="https://enzyme.expasy.org/EC/3.5.1.88" TargetMode="External"/><Relationship Id="rId670" Type="http://schemas.openxmlformats.org/officeDocument/2006/relationships/hyperlink" Target="https://www.kegg.jp/entry/6.1.1.20" TargetMode="External"/><Relationship Id="rId1093" Type="http://schemas.openxmlformats.org/officeDocument/2006/relationships/hyperlink" Target="https://www.kegg.jp/entry/1.3.1.14" TargetMode="External"/><Relationship Id="rId2144" Type="http://schemas.openxmlformats.org/officeDocument/2006/relationships/hyperlink" Target="https://www.kegg.jp/entry/1.1.1.1" TargetMode="External"/><Relationship Id="rId2351" Type="http://schemas.openxmlformats.org/officeDocument/2006/relationships/hyperlink" Target="https://www.kegg.jp/entry/4.3.1.19" TargetMode="External"/><Relationship Id="rId116" Type="http://schemas.openxmlformats.org/officeDocument/2006/relationships/hyperlink" Target="https://enzyme.expasy.org/EC/1.1.1.86" TargetMode="External"/><Relationship Id="rId323" Type="http://schemas.openxmlformats.org/officeDocument/2006/relationships/hyperlink" Target="https://www.kegg.jp/entry/R07282" TargetMode="External"/><Relationship Id="rId530" Type="http://schemas.openxmlformats.org/officeDocument/2006/relationships/hyperlink" Target="https://enzyme.expasy.org/EC/4.3.3.6" TargetMode="External"/><Relationship Id="rId768" Type="http://schemas.openxmlformats.org/officeDocument/2006/relationships/hyperlink" Target="https://enzyme.expasy.org/EC/4.6.1.12" TargetMode="External"/><Relationship Id="rId975" Type="http://schemas.openxmlformats.org/officeDocument/2006/relationships/hyperlink" Target="https://www.kegg.jp/entry/6.3.4.2" TargetMode="External"/><Relationship Id="rId1160" Type="http://schemas.openxmlformats.org/officeDocument/2006/relationships/hyperlink" Target="https://www.kegg.jp/entry/3.6.4.12" TargetMode="External"/><Relationship Id="rId1398" Type="http://schemas.openxmlformats.org/officeDocument/2006/relationships/hyperlink" Target="https://enzyme.expasy.org/EC/2.7.6.2" TargetMode="External"/><Relationship Id="rId2004" Type="http://schemas.openxmlformats.org/officeDocument/2006/relationships/hyperlink" Target="https://www.kegg.jp/entry/5.4.2.11" TargetMode="External"/><Relationship Id="rId2211" Type="http://schemas.openxmlformats.org/officeDocument/2006/relationships/hyperlink" Target="https://enzyme.expasy.org/EC/2.7.13.3" TargetMode="External"/><Relationship Id="rId2449" Type="http://schemas.openxmlformats.org/officeDocument/2006/relationships/hyperlink" Target="https://www.kegg.jp/entry/1.17.4.1" TargetMode="External"/><Relationship Id="rId628" Type="http://schemas.openxmlformats.org/officeDocument/2006/relationships/hyperlink" Target="https://enzyme.expasy.org/EC/4.1.1.23" TargetMode="External"/><Relationship Id="rId835" Type="http://schemas.openxmlformats.org/officeDocument/2006/relationships/hyperlink" Target="https://enzyme.expasy.org/EC/2.3.1.-" TargetMode="External"/><Relationship Id="rId1258" Type="http://schemas.openxmlformats.org/officeDocument/2006/relationships/hyperlink" Target="https://www.kegg.jp/entry/1.1.1.42" TargetMode="External"/><Relationship Id="rId1465" Type="http://schemas.openxmlformats.org/officeDocument/2006/relationships/hyperlink" Target="https://www.kegg.jp/entry/6.3.2.10" TargetMode="External"/><Relationship Id="rId1672" Type="http://schemas.openxmlformats.org/officeDocument/2006/relationships/hyperlink" Target="https://www.kegg.jp/entry/4.3.2.2" TargetMode="External"/><Relationship Id="rId2309" Type="http://schemas.openxmlformats.org/officeDocument/2006/relationships/hyperlink" Target="https://www.kegg.jp/entry/R01639" TargetMode="External"/><Relationship Id="rId1020" Type="http://schemas.openxmlformats.org/officeDocument/2006/relationships/hyperlink" Target="https://www.kegg.jp/entry/1.4.1.13" TargetMode="External"/><Relationship Id="rId1118" Type="http://schemas.openxmlformats.org/officeDocument/2006/relationships/hyperlink" Target="https://www.kegg.jp/entry/1.1.1.27" TargetMode="External"/><Relationship Id="rId1325" Type="http://schemas.openxmlformats.org/officeDocument/2006/relationships/hyperlink" Target="https://enzyme.expasy.org/EC/3.-.-.-" TargetMode="External"/><Relationship Id="rId1532" Type="http://schemas.openxmlformats.org/officeDocument/2006/relationships/hyperlink" Target="https://enzyme.expasy.org/EC/4.-.-.-" TargetMode="External"/><Relationship Id="rId1977" Type="http://schemas.openxmlformats.org/officeDocument/2006/relationships/hyperlink" Target="https://www.kegg.jp/entry/1.5.1.3" TargetMode="External"/><Relationship Id="rId902" Type="http://schemas.openxmlformats.org/officeDocument/2006/relationships/hyperlink" Target="https://enzyme.expasy.org/EC/2.7.1.35" TargetMode="External"/><Relationship Id="rId1837" Type="http://schemas.openxmlformats.org/officeDocument/2006/relationships/hyperlink" Target="https://enzyme.expasy.org/EC/3.5.4.16" TargetMode="External"/><Relationship Id="rId31" Type="http://schemas.openxmlformats.org/officeDocument/2006/relationships/hyperlink" Target="https://www.kegg.jp/entry/R06050" TargetMode="External"/><Relationship Id="rId2099" Type="http://schemas.openxmlformats.org/officeDocument/2006/relationships/hyperlink" Target="https://www.kegg.jp/entry/2.7.4.3" TargetMode="External"/><Relationship Id="rId180" Type="http://schemas.openxmlformats.org/officeDocument/2006/relationships/hyperlink" Target="https://www.kegg.jp/entry/R11029" TargetMode="External"/><Relationship Id="rId278" Type="http://schemas.openxmlformats.org/officeDocument/2006/relationships/hyperlink" Target="https://enzyme.expasy.org/EC/7.1.2.2" TargetMode="External"/><Relationship Id="rId1904" Type="http://schemas.openxmlformats.org/officeDocument/2006/relationships/hyperlink" Target="https://www.kegg.jp/entry/3.2.1.23" TargetMode="External"/><Relationship Id="rId485" Type="http://schemas.openxmlformats.org/officeDocument/2006/relationships/hyperlink" Target="https://www.kegg.jp/entry/R06099" TargetMode="External"/><Relationship Id="rId692" Type="http://schemas.openxmlformats.org/officeDocument/2006/relationships/hyperlink" Target="https://www.kegg.jp/entry/R01398" TargetMode="External"/><Relationship Id="rId2166" Type="http://schemas.openxmlformats.org/officeDocument/2006/relationships/hyperlink" Target="https://enzyme.expasy.org/EC/1.2.1.10" TargetMode="External"/><Relationship Id="rId2373" Type="http://schemas.openxmlformats.org/officeDocument/2006/relationships/hyperlink" Target="https://enzyme.expasy.org/EC/3.2.1.22" TargetMode="External"/><Relationship Id="rId138" Type="http://schemas.openxmlformats.org/officeDocument/2006/relationships/hyperlink" Target="https://enzyme.expasy.org/EC/1.1.1.86" TargetMode="External"/><Relationship Id="rId345" Type="http://schemas.openxmlformats.org/officeDocument/2006/relationships/hyperlink" Target="https://www.kegg.jp/entry/R04673" TargetMode="External"/><Relationship Id="rId552" Type="http://schemas.openxmlformats.org/officeDocument/2006/relationships/hyperlink" Target="https://enzyme.expasy.org/EC/5.4.99.18" TargetMode="External"/><Relationship Id="rId997" Type="http://schemas.openxmlformats.org/officeDocument/2006/relationships/hyperlink" Target="https://enzyme.expasy.org/EC/7.1.1.1" TargetMode="External"/><Relationship Id="rId1182" Type="http://schemas.openxmlformats.org/officeDocument/2006/relationships/hyperlink" Target="https://enzyme.expasy.org/EC/3.5.4.10" TargetMode="External"/><Relationship Id="rId2026" Type="http://schemas.openxmlformats.org/officeDocument/2006/relationships/hyperlink" Target="https://enzyme.expasy.org/EC/2.7.1.162" TargetMode="External"/><Relationship Id="rId2233" Type="http://schemas.openxmlformats.org/officeDocument/2006/relationships/hyperlink" Target="https://www.kegg.jp/entry/2.1.1.228" TargetMode="External"/><Relationship Id="rId2440" Type="http://schemas.openxmlformats.org/officeDocument/2006/relationships/hyperlink" Target="https://enzyme.expasy.org/EC/1.17.4.1" TargetMode="External"/><Relationship Id="rId205" Type="http://schemas.openxmlformats.org/officeDocument/2006/relationships/hyperlink" Target="https://enzyme.expasy.org/EC/5.6.2.1" TargetMode="External"/><Relationship Id="rId412" Type="http://schemas.openxmlformats.org/officeDocument/2006/relationships/hyperlink" Target="https://enzyme.expasy.org/EC/1.3.5.2" TargetMode="External"/><Relationship Id="rId857" Type="http://schemas.openxmlformats.org/officeDocument/2006/relationships/hyperlink" Target="https://enzyme.expasy.org/EC/6.3.5.1" TargetMode="External"/><Relationship Id="rId1042" Type="http://schemas.openxmlformats.org/officeDocument/2006/relationships/hyperlink" Target="https://www.kegg.jp/entry/3.5.99.2" TargetMode="External"/><Relationship Id="rId1487" Type="http://schemas.openxmlformats.org/officeDocument/2006/relationships/hyperlink" Target="https://www.kegg.jp/entry/1.1.1.27" TargetMode="External"/><Relationship Id="rId1694" Type="http://schemas.openxmlformats.org/officeDocument/2006/relationships/hyperlink" Target="https://www.kegg.jp/entry/R00582" TargetMode="External"/><Relationship Id="rId2300" Type="http://schemas.openxmlformats.org/officeDocument/2006/relationships/hyperlink" Target="https://enzyme.expasy.org/EC/5.4.99.9" TargetMode="External"/><Relationship Id="rId717" Type="http://schemas.openxmlformats.org/officeDocument/2006/relationships/hyperlink" Target="https://www.kegg.jp/entry/4.2.3.1" TargetMode="External"/><Relationship Id="rId924" Type="http://schemas.openxmlformats.org/officeDocument/2006/relationships/hyperlink" Target="https://www.kegg.jp/entry/R03291" TargetMode="External"/><Relationship Id="rId1347" Type="http://schemas.openxmlformats.org/officeDocument/2006/relationships/hyperlink" Target="https://enzyme.expasy.org/EC/2.8.4.3" TargetMode="External"/><Relationship Id="rId1554" Type="http://schemas.openxmlformats.org/officeDocument/2006/relationships/hyperlink" Target="https://www.kegg.jp/entry/R00375" TargetMode="External"/><Relationship Id="rId1761" Type="http://schemas.openxmlformats.org/officeDocument/2006/relationships/hyperlink" Target="https://enzyme.expasy.org/EC/1.17.4.2" TargetMode="External"/><Relationship Id="rId1999" Type="http://schemas.openxmlformats.org/officeDocument/2006/relationships/hyperlink" Target="https://www.kegg.jp/entry/R04173" TargetMode="External"/><Relationship Id="rId53" Type="http://schemas.openxmlformats.org/officeDocument/2006/relationships/hyperlink" Target="https://www.kegg.jp/entry/R00985" TargetMode="External"/><Relationship Id="rId1207" Type="http://schemas.openxmlformats.org/officeDocument/2006/relationships/hyperlink" Target="https://www.kegg.jp/entry/4.2.1.20" TargetMode="External"/><Relationship Id="rId1414" Type="http://schemas.openxmlformats.org/officeDocument/2006/relationships/hyperlink" Target="https://enzyme.expasy.org/EC/3.5.1.25" TargetMode="External"/><Relationship Id="rId1621" Type="http://schemas.openxmlformats.org/officeDocument/2006/relationships/hyperlink" Target="https://enzyme.expasy.org/EC/3.1.3.5" TargetMode="External"/><Relationship Id="rId1859" Type="http://schemas.openxmlformats.org/officeDocument/2006/relationships/hyperlink" Target="https://enzyme.expasy.org/EC/1.1.1.77" TargetMode="External"/><Relationship Id="rId1719" Type="http://schemas.openxmlformats.org/officeDocument/2006/relationships/hyperlink" Target="https://www.kegg.jp/entry/2.7.7.6" TargetMode="External"/><Relationship Id="rId1926" Type="http://schemas.openxmlformats.org/officeDocument/2006/relationships/hyperlink" Target="https://enzyme.expasy.org/EC/3.2.1.52" TargetMode="External"/><Relationship Id="rId2090" Type="http://schemas.openxmlformats.org/officeDocument/2006/relationships/hyperlink" Target="https://www.kegg.jp/entry/R00441" TargetMode="External"/><Relationship Id="rId2188" Type="http://schemas.openxmlformats.org/officeDocument/2006/relationships/hyperlink" Target="https://www.kegg.jp/entry/2.7.7.7" TargetMode="External"/><Relationship Id="rId2395" Type="http://schemas.openxmlformats.org/officeDocument/2006/relationships/hyperlink" Target="https://www.kegg.jp/entry/3.2.1.22" TargetMode="External"/><Relationship Id="rId367" Type="http://schemas.openxmlformats.org/officeDocument/2006/relationships/hyperlink" Target="https://www.kegg.jp/entry/R13199" TargetMode="External"/><Relationship Id="rId574" Type="http://schemas.openxmlformats.org/officeDocument/2006/relationships/hyperlink" Target="https://www.kegg.jp/entry/2.7.7.7" TargetMode="External"/><Relationship Id="rId2048" Type="http://schemas.openxmlformats.org/officeDocument/2006/relationships/hyperlink" Target="https://enzyme.expasy.org/EC/5.4.2.2" TargetMode="External"/><Relationship Id="rId2255" Type="http://schemas.openxmlformats.org/officeDocument/2006/relationships/hyperlink" Target="https://www.kegg.jp/entry/R01771" TargetMode="External"/><Relationship Id="rId227" Type="http://schemas.openxmlformats.org/officeDocument/2006/relationships/hyperlink" Target="https://enzyme.expasy.org/EC/2.7.3.9" TargetMode="External"/><Relationship Id="rId781" Type="http://schemas.openxmlformats.org/officeDocument/2006/relationships/hyperlink" Target="https://enzyme.expasy.org/EC/2.7.1.40" TargetMode="External"/><Relationship Id="rId879" Type="http://schemas.openxmlformats.org/officeDocument/2006/relationships/hyperlink" Target="https://enzyme.expasy.org/EC/4.4.1.13" TargetMode="External"/><Relationship Id="rId2462" Type="http://schemas.openxmlformats.org/officeDocument/2006/relationships/hyperlink" Target="https://www.kegg.jp/entry/1.17.4.1" TargetMode="External"/><Relationship Id="rId434" Type="http://schemas.openxmlformats.org/officeDocument/2006/relationships/hyperlink" Target="https://enzyme.expasy.org/EC/2.7.7.6" TargetMode="External"/><Relationship Id="rId641" Type="http://schemas.openxmlformats.org/officeDocument/2006/relationships/hyperlink" Target="https://enzyme.expasy.org/EC/3.-.-.-" TargetMode="External"/><Relationship Id="rId739" Type="http://schemas.openxmlformats.org/officeDocument/2006/relationships/hyperlink" Target="https://www.kegg.jp/entry/R04206" TargetMode="External"/><Relationship Id="rId1064" Type="http://schemas.openxmlformats.org/officeDocument/2006/relationships/hyperlink" Target="https://enzyme.expasy.org/EC/3.5.1.24" TargetMode="External"/><Relationship Id="rId1271" Type="http://schemas.openxmlformats.org/officeDocument/2006/relationships/hyperlink" Target="https://enzyme.expasy.org/EC/2.3.1.234" TargetMode="External"/><Relationship Id="rId1369" Type="http://schemas.openxmlformats.org/officeDocument/2006/relationships/hyperlink" Target="https://enzyme.expasy.org/EC/2.1.1.-" TargetMode="External"/><Relationship Id="rId1576" Type="http://schemas.openxmlformats.org/officeDocument/2006/relationships/hyperlink" Target="https://www.kegg.jp/entry/2.7.4.7" TargetMode="External"/><Relationship Id="rId2115" Type="http://schemas.openxmlformats.org/officeDocument/2006/relationships/hyperlink" Target="https://enzyme.expasy.org/EC/1.1.1.1" TargetMode="External"/><Relationship Id="rId2322" Type="http://schemas.openxmlformats.org/officeDocument/2006/relationships/hyperlink" Target="https://enzyme.expasy.org/EC/7.-.-.-" TargetMode="External"/><Relationship Id="rId501" Type="http://schemas.openxmlformats.org/officeDocument/2006/relationships/hyperlink" Target="https://www.kegg.jp/entry/2.5.1.48" TargetMode="External"/><Relationship Id="rId946" Type="http://schemas.openxmlformats.org/officeDocument/2006/relationships/hyperlink" Target="https://enzyme.expasy.org/EC/5.6.2.4" TargetMode="External"/><Relationship Id="rId1131" Type="http://schemas.openxmlformats.org/officeDocument/2006/relationships/hyperlink" Target="https://www.kegg.jp/entry/2.2.1.1" TargetMode="External"/><Relationship Id="rId1229" Type="http://schemas.openxmlformats.org/officeDocument/2006/relationships/hyperlink" Target="https://enzyme.expasy.org/EC/4.3.2.10" TargetMode="External"/><Relationship Id="rId1783" Type="http://schemas.openxmlformats.org/officeDocument/2006/relationships/hyperlink" Target="https://enzyme.expasy.org/EC/2.3.1.117" TargetMode="External"/><Relationship Id="rId1990" Type="http://schemas.openxmlformats.org/officeDocument/2006/relationships/hyperlink" Target="https://enzyme.expasy.org/EC/2.1.1.45" TargetMode="External"/><Relationship Id="rId75" Type="http://schemas.openxmlformats.org/officeDocument/2006/relationships/hyperlink" Target="https://www.kegg.jp/entry/R07607" TargetMode="External"/><Relationship Id="rId806" Type="http://schemas.openxmlformats.org/officeDocument/2006/relationships/hyperlink" Target="https://www.kegg.jp/entry/2.7.7.7" TargetMode="External"/><Relationship Id="rId1436" Type="http://schemas.openxmlformats.org/officeDocument/2006/relationships/hyperlink" Target="https://enzyme.expasy.org/EC/2.1.1.-" TargetMode="External"/><Relationship Id="rId1643" Type="http://schemas.openxmlformats.org/officeDocument/2006/relationships/hyperlink" Target="https://www.kegg.jp/entry/3.1.3.5" TargetMode="External"/><Relationship Id="rId1850" Type="http://schemas.openxmlformats.org/officeDocument/2006/relationships/hyperlink" Target="https://enzyme.expasy.org/EC/2.4.2.8" TargetMode="External"/><Relationship Id="rId1503" Type="http://schemas.openxmlformats.org/officeDocument/2006/relationships/hyperlink" Target="https://www.kegg.jp/entry/4.3.2.10" TargetMode="External"/><Relationship Id="rId1710" Type="http://schemas.openxmlformats.org/officeDocument/2006/relationships/hyperlink" Target="https://www.kegg.jp/entry/R05070" TargetMode="External"/><Relationship Id="rId1948" Type="http://schemas.openxmlformats.org/officeDocument/2006/relationships/hyperlink" Target="https://www.kegg.jp/entry/3.2.1.52" TargetMode="External"/><Relationship Id="rId291" Type="http://schemas.openxmlformats.org/officeDocument/2006/relationships/hyperlink" Target="https://www.kegg.jp/entry/7.1.2.2" TargetMode="External"/><Relationship Id="rId1808" Type="http://schemas.openxmlformats.org/officeDocument/2006/relationships/hyperlink" Target="https://www.kegg.jp/entry/2.1.1.297" TargetMode="External"/><Relationship Id="rId151" Type="http://schemas.openxmlformats.org/officeDocument/2006/relationships/hyperlink" Target="https://www.kegg.jp/entry/R05071" TargetMode="External"/><Relationship Id="rId389" Type="http://schemas.openxmlformats.org/officeDocument/2006/relationships/hyperlink" Target="https://www.kegg.jp/entry/R06099" TargetMode="External"/><Relationship Id="rId596" Type="http://schemas.openxmlformats.org/officeDocument/2006/relationships/hyperlink" Target="https://enzyme.expasy.org/EC/2.6.1.-" TargetMode="External"/><Relationship Id="rId2277" Type="http://schemas.openxmlformats.org/officeDocument/2006/relationships/hyperlink" Target="https://www.kegg.jp/entry/R04001" TargetMode="External"/><Relationship Id="rId2484" Type="http://schemas.openxmlformats.org/officeDocument/2006/relationships/hyperlink" Target="https://www.kegg.jp/entry/R04294" TargetMode="External"/><Relationship Id="rId249" Type="http://schemas.openxmlformats.org/officeDocument/2006/relationships/hyperlink" Target="https://www.kegg.jp/entry/R02736" TargetMode="External"/><Relationship Id="rId456" Type="http://schemas.openxmlformats.org/officeDocument/2006/relationships/hyperlink" Target="https://www.kegg.jp/entry/3.4.11.2" TargetMode="External"/><Relationship Id="rId663" Type="http://schemas.openxmlformats.org/officeDocument/2006/relationships/hyperlink" Target="https://www.kegg.jp/entry/R00382" TargetMode="External"/><Relationship Id="rId870" Type="http://schemas.openxmlformats.org/officeDocument/2006/relationships/hyperlink" Target="https://www.kegg.jp/entry/1.97.1.4" TargetMode="External"/><Relationship Id="rId1086" Type="http://schemas.openxmlformats.org/officeDocument/2006/relationships/hyperlink" Target="https://enzyme.expasy.org/EC/3.5.2.3" TargetMode="External"/><Relationship Id="rId1293" Type="http://schemas.openxmlformats.org/officeDocument/2006/relationships/hyperlink" Target="https://www.kegg.jp/entry/6.1.1.4" TargetMode="External"/><Relationship Id="rId2137" Type="http://schemas.openxmlformats.org/officeDocument/2006/relationships/hyperlink" Target="https://www.kegg.jp/entry/1.1.1.1" TargetMode="External"/><Relationship Id="rId2344" Type="http://schemas.openxmlformats.org/officeDocument/2006/relationships/hyperlink" Target="https://enzyme.expasy.org/EC/4.3.1.19" TargetMode="External"/><Relationship Id="rId109" Type="http://schemas.openxmlformats.org/officeDocument/2006/relationships/hyperlink" Target="https://www.kegg.jp/entry/R01135" TargetMode="External"/><Relationship Id="rId316" Type="http://schemas.openxmlformats.org/officeDocument/2006/relationships/hyperlink" Target="https://enzyme.expasy.org/EC/2.7.8.7" TargetMode="External"/><Relationship Id="rId523" Type="http://schemas.openxmlformats.org/officeDocument/2006/relationships/hyperlink" Target="https://www.kegg.jp/entry/R00256" TargetMode="External"/><Relationship Id="rId968" Type="http://schemas.openxmlformats.org/officeDocument/2006/relationships/hyperlink" Target="https://enzyme.expasy.org/EC/4.2.1.10" TargetMode="External"/><Relationship Id="rId1153" Type="http://schemas.openxmlformats.org/officeDocument/2006/relationships/hyperlink" Target="https://www.kegg.jp/entry/6.1.1.3" TargetMode="External"/><Relationship Id="rId1598" Type="http://schemas.openxmlformats.org/officeDocument/2006/relationships/hyperlink" Target="https://www.kegg.jp/entry/3.1.3.2" TargetMode="External"/><Relationship Id="rId2204" Type="http://schemas.openxmlformats.org/officeDocument/2006/relationships/hyperlink" Target="https://www.kegg.jp/entry/R03191" TargetMode="External"/><Relationship Id="rId97" Type="http://schemas.openxmlformats.org/officeDocument/2006/relationships/hyperlink" Target="https://enzyme.expasy.org/EC/4.1.2.13" TargetMode="External"/><Relationship Id="rId730" Type="http://schemas.openxmlformats.org/officeDocument/2006/relationships/hyperlink" Target="https://enzyme.expasy.org/EC/3.1.1.29" TargetMode="External"/><Relationship Id="rId828" Type="http://schemas.openxmlformats.org/officeDocument/2006/relationships/hyperlink" Target="https://enzyme.expasy.org/EC/2.3.1.8" TargetMode="External"/><Relationship Id="rId1013" Type="http://schemas.openxmlformats.org/officeDocument/2006/relationships/hyperlink" Target="https://www.kegg.jp/entry/2.6.1.42" TargetMode="External"/><Relationship Id="rId1360" Type="http://schemas.openxmlformats.org/officeDocument/2006/relationships/hyperlink" Target="https://enzyme.expasy.org/EC/4.2.1.3" TargetMode="External"/><Relationship Id="rId1458" Type="http://schemas.openxmlformats.org/officeDocument/2006/relationships/hyperlink" Target="https://enzyme.expasy.org/EC/2.7.8.13" TargetMode="External"/><Relationship Id="rId1665" Type="http://schemas.openxmlformats.org/officeDocument/2006/relationships/hyperlink" Target="https://www.kegg.jp/entry/2.7.13.3" TargetMode="External"/><Relationship Id="rId1872" Type="http://schemas.openxmlformats.org/officeDocument/2006/relationships/hyperlink" Target="https://enzyme.expasy.org/EC/2.1.1.33" TargetMode="External"/><Relationship Id="rId2411" Type="http://schemas.openxmlformats.org/officeDocument/2006/relationships/hyperlink" Target="https://www.kegg.jp/entry/R06091" TargetMode="External"/><Relationship Id="rId2509" Type="http://schemas.openxmlformats.org/officeDocument/2006/relationships/hyperlink" Target="https://www.kegg.jp/entry/3.1.26.5" TargetMode="External"/><Relationship Id="rId1220" Type="http://schemas.openxmlformats.org/officeDocument/2006/relationships/hyperlink" Target="https://enzyme.expasy.org/EC/4.1.3.27" TargetMode="External"/><Relationship Id="rId1318" Type="http://schemas.openxmlformats.org/officeDocument/2006/relationships/hyperlink" Target="https://www.kegg.jp/entry/R00429" TargetMode="External"/><Relationship Id="rId1525" Type="http://schemas.openxmlformats.org/officeDocument/2006/relationships/hyperlink" Target="https://enzyme.expasy.org/EC/1.1.1.23" TargetMode="External"/><Relationship Id="rId1732" Type="http://schemas.openxmlformats.org/officeDocument/2006/relationships/hyperlink" Target="https://www.kegg.jp/entry/R10813" TargetMode="External"/><Relationship Id="rId24" Type="http://schemas.openxmlformats.org/officeDocument/2006/relationships/hyperlink" Target="https://www.kegg.jp/entry/2.4.1.1" TargetMode="External"/><Relationship Id="rId2299" Type="http://schemas.openxmlformats.org/officeDocument/2006/relationships/hyperlink" Target="https://enzyme.expasy.org/EC/3.7.-.-" TargetMode="External"/><Relationship Id="rId173" Type="http://schemas.openxmlformats.org/officeDocument/2006/relationships/hyperlink" Target="https://www.kegg.jp/entry/2.7.7.7" TargetMode="External"/><Relationship Id="rId380" Type="http://schemas.openxmlformats.org/officeDocument/2006/relationships/hyperlink" Target="https://www.kegg.jp/entry/R01105" TargetMode="External"/><Relationship Id="rId2061" Type="http://schemas.openxmlformats.org/officeDocument/2006/relationships/hyperlink" Target="https://www.kegg.jp/entry/R01056" TargetMode="External"/><Relationship Id="rId240" Type="http://schemas.openxmlformats.org/officeDocument/2006/relationships/hyperlink" Target="https://www.kegg.jp/entry/R01528" TargetMode="External"/><Relationship Id="rId478" Type="http://schemas.openxmlformats.org/officeDocument/2006/relationships/hyperlink" Target="https://www.kegg.jp/entry/R03355" TargetMode="External"/><Relationship Id="rId685" Type="http://schemas.openxmlformats.org/officeDocument/2006/relationships/hyperlink" Target="https://www.kegg.jp/entry/2.7.2.8" TargetMode="External"/><Relationship Id="rId892" Type="http://schemas.openxmlformats.org/officeDocument/2006/relationships/hyperlink" Target="https://www.kegg.jp/entry/R01286" TargetMode="External"/><Relationship Id="rId2159" Type="http://schemas.openxmlformats.org/officeDocument/2006/relationships/hyperlink" Target="https://www.kegg.jp/entry/R00624" TargetMode="External"/><Relationship Id="rId2366" Type="http://schemas.openxmlformats.org/officeDocument/2006/relationships/hyperlink" Target="https://enzyme.expasy.org/EC/3.2.1.22" TargetMode="External"/><Relationship Id="rId100" Type="http://schemas.openxmlformats.org/officeDocument/2006/relationships/hyperlink" Target="https://www.kegg.jp/entry/4.1.2.13" TargetMode="External"/><Relationship Id="rId338" Type="http://schemas.openxmlformats.org/officeDocument/2006/relationships/hyperlink" Target="https://enzyme.expasy.org/EC/2.2.1.6" TargetMode="External"/><Relationship Id="rId545" Type="http://schemas.openxmlformats.org/officeDocument/2006/relationships/hyperlink" Target="https://enzyme.expasy.org/EC/7.6.2.-" TargetMode="External"/><Relationship Id="rId752" Type="http://schemas.openxmlformats.org/officeDocument/2006/relationships/hyperlink" Target="https://www.kegg.jp/entry/R11099" TargetMode="External"/><Relationship Id="rId1175" Type="http://schemas.openxmlformats.org/officeDocument/2006/relationships/hyperlink" Target="https://enzyme.expasy.org/EC/6.2.1.5" TargetMode="External"/><Relationship Id="rId1382" Type="http://schemas.openxmlformats.org/officeDocument/2006/relationships/hyperlink" Target="https://enzyme.expasy.org/EC/2.4.2.19" TargetMode="External"/><Relationship Id="rId2019" Type="http://schemas.openxmlformats.org/officeDocument/2006/relationships/hyperlink" Target="https://www.kegg.jp/entry/5.1.3.2" TargetMode="External"/><Relationship Id="rId2226" Type="http://schemas.openxmlformats.org/officeDocument/2006/relationships/hyperlink" Target="https://www.kegg.jp/entry/2.5.1.54" TargetMode="External"/><Relationship Id="rId2433" Type="http://schemas.openxmlformats.org/officeDocument/2006/relationships/hyperlink" Target="https://enzyme.expasy.org/EC/2.7.1.-" TargetMode="External"/><Relationship Id="rId405" Type="http://schemas.openxmlformats.org/officeDocument/2006/relationships/hyperlink" Target="https://www.kegg.jp/entry/1.1.1.85" TargetMode="External"/><Relationship Id="rId612" Type="http://schemas.openxmlformats.org/officeDocument/2006/relationships/hyperlink" Target="https://www.kegg.jp/entry/6.3.5.5" TargetMode="External"/><Relationship Id="rId1035" Type="http://schemas.openxmlformats.org/officeDocument/2006/relationships/hyperlink" Target="https://www.kegg.jp/entry/1.11.1.24" TargetMode="External"/><Relationship Id="rId1242" Type="http://schemas.openxmlformats.org/officeDocument/2006/relationships/hyperlink" Target="https://www.kegg.jp/entry/R01799" TargetMode="External"/><Relationship Id="rId1687" Type="http://schemas.openxmlformats.org/officeDocument/2006/relationships/hyperlink" Target="https://www.kegg.jp/entry/2.7.1.202" TargetMode="External"/><Relationship Id="rId1894" Type="http://schemas.openxmlformats.org/officeDocument/2006/relationships/hyperlink" Target="https://www.kegg.jp/entry/3.2.1.23" TargetMode="External"/><Relationship Id="rId2500" Type="http://schemas.openxmlformats.org/officeDocument/2006/relationships/hyperlink" Target="https://www.kegg.jp/entry/R09382" TargetMode="External"/><Relationship Id="rId917" Type="http://schemas.openxmlformats.org/officeDocument/2006/relationships/hyperlink" Target="https://enzyme.expasy.org/EC/1.5.1.2" TargetMode="External"/><Relationship Id="rId1102" Type="http://schemas.openxmlformats.org/officeDocument/2006/relationships/hyperlink" Target="https://enzyme.expasy.org/EC/3.-.-.-" TargetMode="External"/><Relationship Id="rId1547" Type="http://schemas.openxmlformats.org/officeDocument/2006/relationships/hyperlink" Target="https://www.kegg.jp/entry/2.7.7.7" TargetMode="External"/><Relationship Id="rId1754" Type="http://schemas.openxmlformats.org/officeDocument/2006/relationships/hyperlink" Target="https://enzyme.expasy.org/EC/7.-.-.-" TargetMode="External"/><Relationship Id="rId1961" Type="http://schemas.openxmlformats.org/officeDocument/2006/relationships/hyperlink" Target="https://www.kegg.jp/entry/R10831" TargetMode="External"/><Relationship Id="rId46" Type="http://schemas.openxmlformats.org/officeDocument/2006/relationships/hyperlink" Target="https://www.kegg.jp/entry/1.11.1.26" TargetMode="External"/><Relationship Id="rId1407" Type="http://schemas.openxmlformats.org/officeDocument/2006/relationships/hyperlink" Target="https://enzyme.expasy.org/EC/6.3.2.13" TargetMode="External"/><Relationship Id="rId1614" Type="http://schemas.openxmlformats.org/officeDocument/2006/relationships/hyperlink" Target="https://www.kegg.jp/entry/R03655" TargetMode="External"/><Relationship Id="rId1821" Type="http://schemas.openxmlformats.org/officeDocument/2006/relationships/hyperlink" Target="https://www.kegg.jp/entry/2.7.1.2" TargetMode="External"/><Relationship Id="rId195" Type="http://schemas.openxmlformats.org/officeDocument/2006/relationships/hyperlink" Target="https://enzyme.expasy.org/EC/4.-.-.-" TargetMode="External"/><Relationship Id="rId1919" Type="http://schemas.openxmlformats.org/officeDocument/2006/relationships/hyperlink" Target="https://www.kegg.jp/entry/R07807" TargetMode="External"/><Relationship Id="rId2083" Type="http://schemas.openxmlformats.org/officeDocument/2006/relationships/hyperlink" Target="https://www.kegg.jp/entry/2.7.7.6" TargetMode="External"/><Relationship Id="rId2290" Type="http://schemas.openxmlformats.org/officeDocument/2006/relationships/hyperlink" Target="https://www.kegg.jp/entry/2.7.4.1" TargetMode="External"/><Relationship Id="rId2388" Type="http://schemas.openxmlformats.org/officeDocument/2006/relationships/hyperlink" Target="https://www.kegg.jp/entry/3.2.1.22" TargetMode="External"/><Relationship Id="rId262" Type="http://schemas.openxmlformats.org/officeDocument/2006/relationships/hyperlink" Target="https://www.kegg.jp/entry/6.1.1.9" TargetMode="External"/><Relationship Id="rId567" Type="http://schemas.openxmlformats.org/officeDocument/2006/relationships/hyperlink" Target="https://www.kegg.jp/entry/R01072" TargetMode="External"/><Relationship Id="rId1197" Type="http://schemas.openxmlformats.org/officeDocument/2006/relationships/hyperlink" Target="https://enzyme.expasy.org/EC/5.1.3.1" TargetMode="External"/><Relationship Id="rId2150" Type="http://schemas.openxmlformats.org/officeDocument/2006/relationships/hyperlink" Target="https://www.kegg.jp/entry/R05233" TargetMode="External"/><Relationship Id="rId2248" Type="http://schemas.openxmlformats.org/officeDocument/2006/relationships/hyperlink" Target="https://www.kegg.jp/entry/3.5.1.18" TargetMode="External"/><Relationship Id="rId122" Type="http://schemas.openxmlformats.org/officeDocument/2006/relationships/hyperlink" Target="https://www.kegg.jp/entry/1.1.1.86" TargetMode="External"/><Relationship Id="rId774" Type="http://schemas.openxmlformats.org/officeDocument/2006/relationships/hyperlink" Target="https://enzyme.expasy.org/EC/3.1.25.-" TargetMode="External"/><Relationship Id="rId981" Type="http://schemas.openxmlformats.org/officeDocument/2006/relationships/hyperlink" Target="https://enzyme.expasy.org/EC/2.8.1.7" TargetMode="External"/><Relationship Id="rId1057" Type="http://schemas.openxmlformats.org/officeDocument/2006/relationships/hyperlink" Target="https://www.kegg.jp/entry/R01224" TargetMode="External"/><Relationship Id="rId2010" Type="http://schemas.openxmlformats.org/officeDocument/2006/relationships/hyperlink" Target="https://www.kegg.jp/entry/R03658" TargetMode="External"/><Relationship Id="rId2455" Type="http://schemas.openxmlformats.org/officeDocument/2006/relationships/hyperlink" Target="https://www.kegg.jp/entry/R08363" TargetMode="External"/><Relationship Id="rId427" Type="http://schemas.openxmlformats.org/officeDocument/2006/relationships/hyperlink" Target="https://www.kegg.jp/entry/R00444" TargetMode="External"/><Relationship Id="rId634" Type="http://schemas.openxmlformats.org/officeDocument/2006/relationships/hyperlink" Target="https://enzyme.expasy.org/EC/2.7.4.8" TargetMode="External"/><Relationship Id="rId841" Type="http://schemas.openxmlformats.org/officeDocument/2006/relationships/hyperlink" Target="https://www.kegg.jp/entry/6.3.5.2" TargetMode="External"/><Relationship Id="rId1264" Type="http://schemas.openxmlformats.org/officeDocument/2006/relationships/hyperlink" Target="https://www.kegg.jp/entry/2.7.13.3" TargetMode="External"/><Relationship Id="rId1471" Type="http://schemas.openxmlformats.org/officeDocument/2006/relationships/hyperlink" Target="https://www.kegg.jp/entry/3.4.16.4" TargetMode="External"/><Relationship Id="rId1569" Type="http://schemas.openxmlformats.org/officeDocument/2006/relationships/hyperlink" Target="https://enzyme.expasy.org/EC/4.1.99.17" TargetMode="External"/><Relationship Id="rId2108" Type="http://schemas.openxmlformats.org/officeDocument/2006/relationships/hyperlink" Target="https://www.kegg.jp/entry/R00623" TargetMode="External"/><Relationship Id="rId2315" Type="http://schemas.openxmlformats.org/officeDocument/2006/relationships/hyperlink" Target="https://www.kegg.jp/entry/R02328" TargetMode="External"/><Relationship Id="rId701" Type="http://schemas.openxmlformats.org/officeDocument/2006/relationships/hyperlink" Target="https://www.kegg.jp/entry/R10247" TargetMode="External"/><Relationship Id="rId939" Type="http://schemas.openxmlformats.org/officeDocument/2006/relationships/hyperlink" Target="https://enzyme.expasy.org/EC/2.4.2.22" TargetMode="External"/><Relationship Id="rId1124" Type="http://schemas.openxmlformats.org/officeDocument/2006/relationships/hyperlink" Target="https://enzyme.expasy.org/EC/2.2.1.2" TargetMode="External"/><Relationship Id="rId1331" Type="http://schemas.openxmlformats.org/officeDocument/2006/relationships/hyperlink" Target="https://www.kegg.jp/entry/2.7.1.15" TargetMode="External"/><Relationship Id="rId1776" Type="http://schemas.openxmlformats.org/officeDocument/2006/relationships/hyperlink" Target="https://www.kegg.jp/entry/3.1.11.6" TargetMode="External"/><Relationship Id="rId1983" Type="http://schemas.openxmlformats.org/officeDocument/2006/relationships/hyperlink" Target="https://www.kegg.jp/entry/R00939" TargetMode="External"/><Relationship Id="rId68" Type="http://schemas.openxmlformats.org/officeDocument/2006/relationships/hyperlink" Target="https://www.kegg.jp/entry/R04519" TargetMode="External"/><Relationship Id="rId1429" Type="http://schemas.openxmlformats.org/officeDocument/2006/relationships/hyperlink" Target="https://enzyme.expasy.org/EC/2.1.1.37" TargetMode="External"/><Relationship Id="rId1636" Type="http://schemas.openxmlformats.org/officeDocument/2006/relationships/hyperlink" Target="https://www.kegg.jp/entry/3.1.3.5" TargetMode="External"/><Relationship Id="rId1843" Type="http://schemas.openxmlformats.org/officeDocument/2006/relationships/hyperlink" Target="https://www.kegg.jp/entry/3.5.4.16" TargetMode="External"/><Relationship Id="rId1703" Type="http://schemas.openxmlformats.org/officeDocument/2006/relationships/hyperlink" Target="https://www.kegg.jp/entry/4.2.1.9" TargetMode="External"/><Relationship Id="rId1910" Type="http://schemas.openxmlformats.org/officeDocument/2006/relationships/hyperlink" Target="https://www.kegg.jp/entry/R04783" TargetMode="External"/><Relationship Id="rId284" Type="http://schemas.openxmlformats.org/officeDocument/2006/relationships/hyperlink" Target="https://enzyme.expasy.org/EC/7.1.2.2" TargetMode="External"/><Relationship Id="rId491" Type="http://schemas.openxmlformats.org/officeDocument/2006/relationships/hyperlink" Target="https://enzyme.expasy.org/EC/2.7.1.33" TargetMode="External"/><Relationship Id="rId2172" Type="http://schemas.openxmlformats.org/officeDocument/2006/relationships/hyperlink" Target="https://www.kegg.jp/entry/2.4.1.25" TargetMode="External"/><Relationship Id="rId144" Type="http://schemas.openxmlformats.org/officeDocument/2006/relationships/hyperlink" Target="https://www.kegg.jp/entry/1.1.1.86" TargetMode="External"/><Relationship Id="rId589" Type="http://schemas.openxmlformats.org/officeDocument/2006/relationships/hyperlink" Target="https://enzyme.expasy.org/EC/6.3.5.3" TargetMode="External"/><Relationship Id="rId796" Type="http://schemas.openxmlformats.org/officeDocument/2006/relationships/hyperlink" Target="https://www.kegg.jp/entry/R01138" TargetMode="External"/><Relationship Id="rId2477" Type="http://schemas.openxmlformats.org/officeDocument/2006/relationships/hyperlink" Target="https://www.kegg.jp/entry/R11893" TargetMode="External"/><Relationship Id="rId351" Type="http://schemas.openxmlformats.org/officeDocument/2006/relationships/hyperlink" Target="https://www.kegg.jp/entry/R03035" TargetMode="External"/><Relationship Id="rId449" Type="http://schemas.openxmlformats.org/officeDocument/2006/relationships/hyperlink" Target="https://enzyme.expasy.org/EC/4.3.3.7" TargetMode="External"/><Relationship Id="rId656" Type="http://schemas.openxmlformats.org/officeDocument/2006/relationships/hyperlink" Target="https://enzyme.expasy.org/EC/1.17.7.1" TargetMode="External"/><Relationship Id="rId863" Type="http://schemas.openxmlformats.org/officeDocument/2006/relationships/hyperlink" Target="https://enzyme.expasy.org/EC/2.3.1.54" TargetMode="External"/><Relationship Id="rId1079" Type="http://schemas.openxmlformats.org/officeDocument/2006/relationships/hyperlink" Target="https://www.kegg.jp/entry/R03473" TargetMode="External"/><Relationship Id="rId1286" Type="http://schemas.openxmlformats.org/officeDocument/2006/relationships/hyperlink" Target="https://www.kegg.jp/entry/R00379" TargetMode="External"/><Relationship Id="rId1493" Type="http://schemas.openxmlformats.org/officeDocument/2006/relationships/hyperlink" Target="https://enzyme.expasy.org/EC/6.3.1.2" TargetMode="External"/><Relationship Id="rId2032" Type="http://schemas.openxmlformats.org/officeDocument/2006/relationships/hyperlink" Target="https://enzyme.expasy.org/EC/2.4.1.211" TargetMode="External"/><Relationship Id="rId2337" Type="http://schemas.openxmlformats.org/officeDocument/2006/relationships/hyperlink" Target="https://enzyme.expasy.org/EC/7.6.2.-" TargetMode="External"/><Relationship Id="rId211" Type="http://schemas.openxmlformats.org/officeDocument/2006/relationships/hyperlink" Target="https://www.kegg.jp/entry/R02094" TargetMode="External"/><Relationship Id="rId309" Type="http://schemas.openxmlformats.org/officeDocument/2006/relationships/hyperlink" Target="https://enzyme.expasy.org/EC/4.3.1.1" TargetMode="External"/><Relationship Id="rId516" Type="http://schemas.openxmlformats.org/officeDocument/2006/relationships/hyperlink" Target="https://enzyme.expasy.org/EC/5.1.1.1" TargetMode="External"/><Relationship Id="rId1146" Type="http://schemas.openxmlformats.org/officeDocument/2006/relationships/hyperlink" Target="https://www.kegg.jp/entry/R06861" TargetMode="External"/><Relationship Id="rId1798" Type="http://schemas.openxmlformats.org/officeDocument/2006/relationships/hyperlink" Target="https://www.kegg.jp/entry/1.1.1.205" TargetMode="External"/><Relationship Id="rId723" Type="http://schemas.openxmlformats.org/officeDocument/2006/relationships/hyperlink" Target="https://enzyme.expasy.org/EC/2.7.7.18" TargetMode="External"/><Relationship Id="rId930" Type="http://schemas.openxmlformats.org/officeDocument/2006/relationships/hyperlink" Target="https://www.kegg.jp/entry/R02059" TargetMode="External"/><Relationship Id="rId1006" Type="http://schemas.openxmlformats.org/officeDocument/2006/relationships/hyperlink" Target="https://enzyme.expasy.org/EC/2.6.1.42" TargetMode="External"/><Relationship Id="rId1353" Type="http://schemas.openxmlformats.org/officeDocument/2006/relationships/hyperlink" Target="https://www.kegg.jp/entry/R10645" TargetMode="External"/><Relationship Id="rId1560" Type="http://schemas.openxmlformats.org/officeDocument/2006/relationships/hyperlink" Target="https://enzyme.expasy.org/EC/3.4.23.36" TargetMode="External"/><Relationship Id="rId1658" Type="http://schemas.openxmlformats.org/officeDocument/2006/relationships/hyperlink" Target="https://www.kegg.jp/entry/R02088" TargetMode="External"/><Relationship Id="rId1865" Type="http://schemas.openxmlformats.org/officeDocument/2006/relationships/hyperlink" Target="https://www.kegg.jp/entry/1.1.1.77" TargetMode="External"/><Relationship Id="rId2404" Type="http://schemas.openxmlformats.org/officeDocument/2006/relationships/hyperlink" Target="https://www.kegg.jp/entry/R03618" TargetMode="External"/><Relationship Id="rId1213" Type="http://schemas.openxmlformats.org/officeDocument/2006/relationships/hyperlink" Target="https://www.kegg.jp/entry/3.1.21.2" TargetMode="External"/><Relationship Id="rId1420" Type="http://schemas.openxmlformats.org/officeDocument/2006/relationships/hyperlink" Target="https://enzyme.expasy.org/EC/2.7.1.-" TargetMode="External"/><Relationship Id="rId1518" Type="http://schemas.openxmlformats.org/officeDocument/2006/relationships/hyperlink" Target="https://www.kegg.jp/entry/2.6.1.9" TargetMode="External"/><Relationship Id="rId1725" Type="http://schemas.openxmlformats.org/officeDocument/2006/relationships/hyperlink" Target="https://www.kegg.jp/entry/R00441" TargetMode="External"/><Relationship Id="rId1932" Type="http://schemas.openxmlformats.org/officeDocument/2006/relationships/hyperlink" Target="https://enzyme.expasy.org/EC/3.2.1.52" TargetMode="External"/><Relationship Id="rId17" Type="http://schemas.openxmlformats.org/officeDocument/2006/relationships/hyperlink" Target="https://enzyme.expasy.org/EC/6.1.1.2" TargetMode="External"/><Relationship Id="rId2194" Type="http://schemas.openxmlformats.org/officeDocument/2006/relationships/hyperlink" Target="https://www.kegg.jp/entry/R00378" TargetMode="External"/><Relationship Id="rId166" Type="http://schemas.openxmlformats.org/officeDocument/2006/relationships/hyperlink" Target="https://enzyme.expasy.org/EC/2.7.7.7" TargetMode="External"/><Relationship Id="rId373" Type="http://schemas.openxmlformats.org/officeDocument/2006/relationships/hyperlink" Target="https://enzyme.expasy.org/EC/6.2.1.-" TargetMode="External"/><Relationship Id="rId580" Type="http://schemas.openxmlformats.org/officeDocument/2006/relationships/hyperlink" Target="https://www.kegg.jp/entry/R00376" TargetMode="External"/><Relationship Id="rId2054" Type="http://schemas.openxmlformats.org/officeDocument/2006/relationships/hyperlink" Target="https://www.kegg.jp/entry/R00959" TargetMode="External"/><Relationship Id="rId2261" Type="http://schemas.openxmlformats.org/officeDocument/2006/relationships/hyperlink" Target="https://www.kegg.jp/entry/R01775" TargetMode="External"/><Relationship Id="rId2499" Type="http://schemas.openxmlformats.org/officeDocument/2006/relationships/hyperlink" Target="https://www.kegg.jp/entry/2.7.7.72" TargetMode="External"/><Relationship Id="rId1" Type="http://schemas.openxmlformats.org/officeDocument/2006/relationships/printerSettings" Target="../printerSettings/printerSettings3.bin"/><Relationship Id="rId233" Type="http://schemas.openxmlformats.org/officeDocument/2006/relationships/hyperlink" Target="https://www.kegg.jp/entry/R00943" TargetMode="External"/><Relationship Id="rId440" Type="http://schemas.openxmlformats.org/officeDocument/2006/relationships/hyperlink" Target="https://www.kegg.jp/entry/R00443" TargetMode="External"/><Relationship Id="rId678" Type="http://schemas.openxmlformats.org/officeDocument/2006/relationships/hyperlink" Target="https://enzyme.expasy.org/EC/2.3.1.1" TargetMode="External"/><Relationship Id="rId885" Type="http://schemas.openxmlformats.org/officeDocument/2006/relationships/hyperlink" Target="https://www.kegg.jp/entry/4.4.1.13" TargetMode="External"/><Relationship Id="rId1070" Type="http://schemas.openxmlformats.org/officeDocument/2006/relationships/hyperlink" Target="https://www.kegg.jp/entry/3.5.1.24" TargetMode="External"/><Relationship Id="rId2121" Type="http://schemas.openxmlformats.org/officeDocument/2006/relationships/hyperlink" Target="https://enzyme.expasy.org/EC/1.1.1.1" TargetMode="External"/><Relationship Id="rId2359" Type="http://schemas.openxmlformats.org/officeDocument/2006/relationships/hyperlink" Target="https://enzyme.expasy.org/EC/3.2.1.-" TargetMode="External"/><Relationship Id="rId300" Type="http://schemas.openxmlformats.org/officeDocument/2006/relationships/hyperlink" Target="https://enzyme.expasy.org/EC/1.1.1.94" TargetMode="External"/><Relationship Id="rId538" Type="http://schemas.openxmlformats.org/officeDocument/2006/relationships/hyperlink" Target="https://enzyme.expasy.org/EC/3.2.1.-" TargetMode="External"/><Relationship Id="rId745" Type="http://schemas.openxmlformats.org/officeDocument/2006/relationships/hyperlink" Target="https://enzyme.expasy.org/EC/4.3.1.17" TargetMode="External"/><Relationship Id="rId952" Type="http://schemas.openxmlformats.org/officeDocument/2006/relationships/hyperlink" Target="https://enzyme.expasy.org/EC/3.5.4.5" TargetMode="External"/><Relationship Id="rId1168" Type="http://schemas.openxmlformats.org/officeDocument/2006/relationships/hyperlink" Target="https://www.kegg.jp/entry/6.2.1.5" TargetMode="External"/><Relationship Id="rId1375" Type="http://schemas.openxmlformats.org/officeDocument/2006/relationships/hyperlink" Target="https://enzyme.expasy.org/EC/4.2.1.51" TargetMode="External"/><Relationship Id="rId1582" Type="http://schemas.openxmlformats.org/officeDocument/2006/relationships/hyperlink" Target="https://www.kegg.jp/entry/2.7.1.63" TargetMode="External"/><Relationship Id="rId2219" Type="http://schemas.openxmlformats.org/officeDocument/2006/relationships/hyperlink" Target="https://www.kegg.jp/entry/R00194" TargetMode="External"/><Relationship Id="rId2426" Type="http://schemas.openxmlformats.org/officeDocument/2006/relationships/hyperlink" Target="https://www.kegg.jp/entry/R05199" TargetMode="External"/><Relationship Id="rId81" Type="http://schemas.openxmlformats.org/officeDocument/2006/relationships/hyperlink" Target="https://www.kegg.jp/entry/3.1.4.4" TargetMode="External"/><Relationship Id="rId605" Type="http://schemas.openxmlformats.org/officeDocument/2006/relationships/hyperlink" Target="https://enzyme.expasy.org/EC/6.3.5.5" TargetMode="External"/><Relationship Id="rId812" Type="http://schemas.openxmlformats.org/officeDocument/2006/relationships/hyperlink" Target="https://www.kegg.jp/entry/R00375" TargetMode="External"/><Relationship Id="rId1028" Type="http://schemas.openxmlformats.org/officeDocument/2006/relationships/hyperlink" Target="https://enzyme.expasy.org/EC/2.4.1.21" TargetMode="External"/><Relationship Id="rId1235" Type="http://schemas.openxmlformats.org/officeDocument/2006/relationships/hyperlink" Target="https://www.kegg.jp/entry/R00256" TargetMode="External"/><Relationship Id="rId1442" Type="http://schemas.openxmlformats.org/officeDocument/2006/relationships/hyperlink" Target="https://enzyme.expasy.org/EC/2.4.1.227" TargetMode="External"/><Relationship Id="rId1887" Type="http://schemas.openxmlformats.org/officeDocument/2006/relationships/hyperlink" Target="https://enzyme.expasy.org/EC/3.2.1.23" TargetMode="External"/><Relationship Id="rId1302" Type="http://schemas.openxmlformats.org/officeDocument/2006/relationships/hyperlink" Target="https://enzyme.expasy.org/EC/3.1.1.96" TargetMode="External"/><Relationship Id="rId1747" Type="http://schemas.openxmlformats.org/officeDocument/2006/relationships/hyperlink" Target="https://enzyme.expasy.org/EC/2.7.1.15" TargetMode="External"/><Relationship Id="rId1954" Type="http://schemas.openxmlformats.org/officeDocument/2006/relationships/hyperlink" Target="https://www.kegg.jp/entry/R05963" TargetMode="External"/><Relationship Id="rId39" Type="http://schemas.openxmlformats.org/officeDocument/2006/relationships/hyperlink" Target="https://www.kegg.jp/entry/R00145" TargetMode="External"/><Relationship Id="rId1607" Type="http://schemas.openxmlformats.org/officeDocument/2006/relationships/hyperlink" Target="https://www.kegg.jp/entry/R11527" TargetMode="External"/><Relationship Id="rId1814" Type="http://schemas.openxmlformats.org/officeDocument/2006/relationships/hyperlink" Target="https://www.kegg.jp/entry/3.5.1.88" TargetMode="External"/><Relationship Id="rId188" Type="http://schemas.openxmlformats.org/officeDocument/2006/relationships/hyperlink" Target="https://enzyme.expasy.org/EC/5.1.3.9" TargetMode="External"/><Relationship Id="rId395" Type="http://schemas.openxmlformats.org/officeDocument/2006/relationships/hyperlink" Target="https://enzyme.expasy.org/EC/2.7.8.-" TargetMode="External"/><Relationship Id="rId2076" Type="http://schemas.openxmlformats.org/officeDocument/2006/relationships/hyperlink" Target="https://enzyme.expasy.org/EC/2.7.7.6" TargetMode="External"/><Relationship Id="rId2283" Type="http://schemas.openxmlformats.org/officeDocument/2006/relationships/hyperlink" Target="https://www.kegg.jp/entry/4.2.1.33" TargetMode="External"/><Relationship Id="rId2490" Type="http://schemas.openxmlformats.org/officeDocument/2006/relationships/hyperlink" Target="https://www.kegg.jp/entry/2.7.1.148" TargetMode="External"/><Relationship Id="rId255" Type="http://schemas.openxmlformats.org/officeDocument/2006/relationships/hyperlink" Target="https://enzyme.expasy.org/EC/2.7.6.1" TargetMode="External"/><Relationship Id="rId462" Type="http://schemas.openxmlformats.org/officeDocument/2006/relationships/hyperlink" Target="https://enzyme.expasy.org/EC/3.5.1.88" TargetMode="External"/><Relationship Id="rId1092" Type="http://schemas.openxmlformats.org/officeDocument/2006/relationships/hyperlink" Target="https://enzyme.expasy.org/EC/1.3.1.14" TargetMode="External"/><Relationship Id="rId1397" Type="http://schemas.openxmlformats.org/officeDocument/2006/relationships/hyperlink" Target="https://www.kegg.jp/entry/R01514" TargetMode="External"/><Relationship Id="rId2143" Type="http://schemas.openxmlformats.org/officeDocument/2006/relationships/hyperlink" Target="https://www.kegg.jp/entry/1.1.1.1" TargetMode="External"/><Relationship Id="rId2350" Type="http://schemas.openxmlformats.org/officeDocument/2006/relationships/hyperlink" Target="https://www.kegg.jp/entry/4.3.1.19" TargetMode="External"/><Relationship Id="rId115" Type="http://schemas.openxmlformats.org/officeDocument/2006/relationships/hyperlink" Target="https://enzyme.expasy.org/EC/1.1.1.86" TargetMode="External"/><Relationship Id="rId322" Type="http://schemas.openxmlformats.org/officeDocument/2006/relationships/hyperlink" Target="https://www.kegg.jp/entry/2.7.7.8" TargetMode="External"/><Relationship Id="rId767" Type="http://schemas.openxmlformats.org/officeDocument/2006/relationships/hyperlink" Target="https://www.kegg.jp/entry/R06186" TargetMode="External"/><Relationship Id="rId974" Type="http://schemas.openxmlformats.org/officeDocument/2006/relationships/hyperlink" Target="https://enzyme.expasy.org/EC/6.3.4.2" TargetMode="External"/><Relationship Id="rId2003" Type="http://schemas.openxmlformats.org/officeDocument/2006/relationships/hyperlink" Target="https://enzyme.expasy.org/EC/5.4.2.11" TargetMode="External"/><Relationship Id="rId2210" Type="http://schemas.openxmlformats.org/officeDocument/2006/relationships/hyperlink" Target="https://www.kegg.jp/entry/7.3.2.1" TargetMode="External"/><Relationship Id="rId2448" Type="http://schemas.openxmlformats.org/officeDocument/2006/relationships/hyperlink" Target="https://www.kegg.jp/entry/1.17.4.1" TargetMode="External"/><Relationship Id="rId627" Type="http://schemas.openxmlformats.org/officeDocument/2006/relationships/hyperlink" Target="https://www.kegg.jp/entry/R00575" TargetMode="External"/><Relationship Id="rId834" Type="http://schemas.openxmlformats.org/officeDocument/2006/relationships/hyperlink" Target="https://www.kegg.jp/entry/R01049" TargetMode="External"/><Relationship Id="rId1257" Type="http://schemas.openxmlformats.org/officeDocument/2006/relationships/hyperlink" Target="https://www.kegg.jp/entry/1.1.1.42" TargetMode="External"/><Relationship Id="rId1464" Type="http://schemas.openxmlformats.org/officeDocument/2006/relationships/hyperlink" Target="https://enzyme.expasy.org/EC/6.3.2.10" TargetMode="External"/><Relationship Id="rId1671" Type="http://schemas.openxmlformats.org/officeDocument/2006/relationships/hyperlink" Target="https://enzyme.expasy.org/EC/4.3.2.2" TargetMode="External"/><Relationship Id="rId2308" Type="http://schemas.openxmlformats.org/officeDocument/2006/relationships/hyperlink" Target="https://www.kegg.jp/entry/2.7.1.17" TargetMode="External"/><Relationship Id="rId901" Type="http://schemas.openxmlformats.org/officeDocument/2006/relationships/hyperlink" Target="https://enzyme.expasy.org/EC/2.1.1.-" TargetMode="External"/><Relationship Id="rId1117" Type="http://schemas.openxmlformats.org/officeDocument/2006/relationships/hyperlink" Target="https://www.kegg.jp/entry/1.1.1.27" TargetMode="External"/><Relationship Id="rId1324" Type="http://schemas.openxmlformats.org/officeDocument/2006/relationships/hyperlink" Target="https://www.kegg.jp/entry/R11896" TargetMode="External"/><Relationship Id="rId1531" Type="http://schemas.openxmlformats.org/officeDocument/2006/relationships/hyperlink" Target="https://www.kegg.jp/entry/R03012" TargetMode="External"/><Relationship Id="rId1769" Type="http://schemas.openxmlformats.org/officeDocument/2006/relationships/hyperlink" Target="https://www.kegg.jp/entry/R02014" TargetMode="External"/><Relationship Id="rId1976" Type="http://schemas.openxmlformats.org/officeDocument/2006/relationships/hyperlink" Target="https://enzyme.expasy.org/EC/1.5.1.3" TargetMode="External"/><Relationship Id="rId30" Type="http://schemas.openxmlformats.org/officeDocument/2006/relationships/hyperlink" Target="https://www.ncbi.nlm.nih.gov/protein/489924576" TargetMode="External"/><Relationship Id="rId1629" Type="http://schemas.openxmlformats.org/officeDocument/2006/relationships/hyperlink" Target="https://enzyme.expasy.org/EC/3.1.3.5" TargetMode="External"/><Relationship Id="rId1836" Type="http://schemas.openxmlformats.org/officeDocument/2006/relationships/hyperlink" Target="https://www.kegg.jp/entry/3.5.4.16" TargetMode="External"/><Relationship Id="rId1903" Type="http://schemas.openxmlformats.org/officeDocument/2006/relationships/hyperlink" Target="https://www.kegg.jp/entry/3.2.1.23" TargetMode="External"/><Relationship Id="rId2098" Type="http://schemas.openxmlformats.org/officeDocument/2006/relationships/hyperlink" Target="https://www.kegg.jp/entry/2.7.4.3" TargetMode="External"/><Relationship Id="rId277" Type="http://schemas.openxmlformats.org/officeDocument/2006/relationships/hyperlink" Target="https://www.kegg.jp/entry/R00086" TargetMode="External"/><Relationship Id="rId484" Type="http://schemas.openxmlformats.org/officeDocument/2006/relationships/hyperlink" Target="https://www.kegg.jp/entry/R06098" TargetMode="External"/><Relationship Id="rId2165" Type="http://schemas.openxmlformats.org/officeDocument/2006/relationships/hyperlink" Target="https://www.kegg.jp/entry/R00228" TargetMode="External"/><Relationship Id="rId137" Type="http://schemas.openxmlformats.org/officeDocument/2006/relationships/hyperlink" Target="https://enzyme.expasy.org/EC/1.1.1.86" TargetMode="External"/><Relationship Id="rId344" Type="http://schemas.openxmlformats.org/officeDocument/2006/relationships/hyperlink" Target="https://www.kegg.jp/entry/R04672" TargetMode="External"/><Relationship Id="rId691" Type="http://schemas.openxmlformats.org/officeDocument/2006/relationships/hyperlink" Target="https://www.kegg.jp/entry/2.1.3.3" TargetMode="External"/><Relationship Id="rId789" Type="http://schemas.openxmlformats.org/officeDocument/2006/relationships/hyperlink" Target="https://www.kegg.jp/entry/2.7.1.40" TargetMode="External"/><Relationship Id="rId996" Type="http://schemas.openxmlformats.org/officeDocument/2006/relationships/hyperlink" Target="https://enzyme.expasy.org/EC/6.2.1.-" TargetMode="External"/><Relationship Id="rId2025" Type="http://schemas.openxmlformats.org/officeDocument/2006/relationships/hyperlink" Target="https://www.kegg.jp/entry/R08962" TargetMode="External"/><Relationship Id="rId2372" Type="http://schemas.openxmlformats.org/officeDocument/2006/relationships/hyperlink" Target="https://enzyme.expasy.org/EC/3.2.1.22" TargetMode="External"/><Relationship Id="rId551" Type="http://schemas.openxmlformats.org/officeDocument/2006/relationships/hyperlink" Target="https://www.kegg.jp/entry/R04209" TargetMode="External"/><Relationship Id="rId649" Type="http://schemas.openxmlformats.org/officeDocument/2006/relationships/hyperlink" Target="https://enzyme.expasy.org/EC/5.6.2.4" TargetMode="External"/><Relationship Id="rId856" Type="http://schemas.openxmlformats.org/officeDocument/2006/relationships/hyperlink" Target="https://enzyme.expasy.org/EC/3.-.-.-" TargetMode="External"/><Relationship Id="rId1181" Type="http://schemas.openxmlformats.org/officeDocument/2006/relationships/hyperlink" Target="https://www.kegg.jp/entry/R04560" TargetMode="External"/><Relationship Id="rId1279" Type="http://schemas.openxmlformats.org/officeDocument/2006/relationships/hyperlink" Target="https://enzyme.expasy.org/EC/2.7.7.7" TargetMode="External"/><Relationship Id="rId1486" Type="http://schemas.openxmlformats.org/officeDocument/2006/relationships/hyperlink" Target="https://enzyme.expasy.org/EC/1.1.1.27" TargetMode="External"/><Relationship Id="rId2232" Type="http://schemas.openxmlformats.org/officeDocument/2006/relationships/hyperlink" Target="https://enzyme.expasy.org/EC/2.1.1.228" TargetMode="External"/><Relationship Id="rId204" Type="http://schemas.openxmlformats.org/officeDocument/2006/relationships/hyperlink" Target="https://enzyme.expasy.org/EC/3.1.3.-" TargetMode="External"/><Relationship Id="rId411" Type="http://schemas.openxmlformats.org/officeDocument/2006/relationships/hyperlink" Target="https://enzyme.expasy.org/EC/2.4.-.-" TargetMode="External"/><Relationship Id="rId509" Type="http://schemas.openxmlformats.org/officeDocument/2006/relationships/hyperlink" Target="https://www.kegg.jp/entry/R04946" TargetMode="External"/><Relationship Id="rId1041" Type="http://schemas.openxmlformats.org/officeDocument/2006/relationships/hyperlink" Target="https://enzyme.expasy.org/EC/3.5.99.2" TargetMode="External"/><Relationship Id="rId1139" Type="http://schemas.openxmlformats.org/officeDocument/2006/relationships/hyperlink" Target="https://www.kegg.jp/entry/2.2.1.1" TargetMode="External"/><Relationship Id="rId1346" Type="http://schemas.openxmlformats.org/officeDocument/2006/relationships/hyperlink" Target="https://www.kegg.jp/entry/R01122" TargetMode="External"/><Relationship Id="rId1693" Type="http://schemas.openxmlformats.org/officeDocument/2006/relationships/hyperlink" Target="https://www.kegg.jp/entry/3.1.3.3" TargetMode="External"/><Relationship Id="rId1998" Type="http://schemas.openxmlformats.org/officeDocument/2006/relationships/hyperlink" Target="https://www.kegg.jp/entry/2.6.1.52" TargetMode="External"/><Relationship Id="rId716" Type="http://schemas.openxmlformats.org/officeDocument/2006/relationships/hyperlink" Target="https://enzyme.expasy.org/EC/4.2.3.1" TargetMode="External"/><Relationship Id="rId923" Type="http://schemas.openxmlformats.org/officeDocument/2006/relationships/hyperlink" Target="https://www.kegg.jp/entry/R01251" TargetMode="External"/><Relationship Id="rId1553" Type="http://schemas.openxmlformats.org/officeDocument/2006/relationships/hyperlink" Target="https://www.kegg.jp/entry/R00379" TargetMode="External"/><Relationship Id="rId1760" Type="http://schemas.openxmlformats.org/officeDocument/2006/relationships/hyperlink" Target="https://enzyme.expasy.org/EC/1.17.4.2" TargetMode="External"/><Relationship Id="rId1858" Type="http://schemas.openxmlformats.org/officeDocument/2006/relationships/hyperlink" Target="https://enzyme.expasy.org/EC/2.4.-.-" TargetMode="External"/><Relationship Id="rId52" Type="http://schemas.openxmlformats.org/officeDocument/2006/relationships/hyperlink" Target="https://www.kegg.jp/entry/R00986" TargetMode="External"/><Relationship Id="rId1206" Type="http://schemas.openxmlformats.org/officeDocument/2006/relationships/hyperlink" Target="https://www.kegg.jp/entry/4.2.1.20" TargetMode="External"/><Relationship Id="rId1413" Type="http://schemas.openxmlformats.org/officeDocument/2006/relationships/hyperlink" Target="https://enzyme.expasy.org/EC/3.6.1.-" TargetMode="External"/><Relationship Id="rId1620" Type="http://schemas.openxmlformats.org/officeDocument/2006/relationships/hyperlink" Target="https://enzyme.expasy.org/EC/3.1.3.5" TargetMode="External"/><Relationship Id="rId1718" Type="http://schemas.openxmlformats.org/officeDocument/2006/relationships/hyperlink" Target="https://www.kegg.jp/entry/2.7.7.6" TargetMode="External"/><Relationship Id="rId1925" Type="http://schemas.openxmlformats.org/officeDocument/2006/relationships/hyperlink" Target="https://enzyme.expasy.org/EC/3.2.1.52" TargetMode="External"/><Relationship Id="rId299" Type="http://schemas.openxmlformats.org/officeDocument/2006/relationships/hyperlink" Target="https://enzyme.expasy.org/EC/2.3.1.-" TargetMode="External"/><Relationship Id="rId2187" Type="http://schemas.openxmlformats.org/officeDocument/2006/relationships/hyperlink" Target="https://www.kegg.jp/entry/2.7.7.7" TargetMode="External"/><Relationship Id="rId2394" Type="http://schemas.openxmlformats.org/officeDocument/2006/relationships/hyperlink" Target="https://www.kegg.jp/entry/3.2.1.22" TargetMode="External"/><Relationship Id="rId159" Type="http://schemas.openxmlformats.org/officeDocument/2006/relationships/hyperlink" Target="https://enzyme.expasy.org/EC/3.2.1.41" TargetMode="External"/><Relationship Id="rId366" Type="http://schemas.openxmlformats.org/officeDocument/2006/relationships/hyperlink" Target="https://www.kegg.jp/entry/R03321" TargetMode="External"/><Relationship Id="rId573" Type="http://schemas.openxmlformats.org/officeDocument/2006/relationships/hyperlink" Target="https://enzyme.expasy.org/EC/2.7.7.7" TargetMode="External"/><Relationship Id="rId780" Type="http://schemas.openxmlformats.org/officeDocument/2006/relationships/hyperlink" Target="https://enzyme.expasy.org/EC/2.7.1.40" TargetMode="External"/><Relationship Id="rId2047" Type="http://schemas.openxmlformats.org/officeDocument/2006/relationships/hyperlink" Target="https://enzyme.expasy.org/EC/5.4.2.2" TargetMode="External"/><Relationship Id="rId2254" Type="http://schemas.openxmlformats.org/officeDocument/2006/relationships/hyperlink" Target="https://www.kegg.jp/entry/2.7.1.39" TargetMode="External"/><Relationship Id="rId2461" Type="http://schemas.openxmlformats.org/officeDocument/2006/relationships/hyperlink" Target="https://enzyme.expasy.org/EC/1.17.4.1" TargetMode="External"/><Relationship Id="rId226" Type="http://schemas.openxmlformats.org/officeDocument/2006/relationships/hyperlink" Target="https://www.kegg.jp/entry/2.7.7.7" TargetMode="External"/><Relationship Id="rId433" Type="http://schemas.openxmlformats.org/officeDocument/2006/relationships/hyperlink" Target="https://enzyme.expasy.org/EC/2.7.7.6" TargetMode="External"/><Relationship Id="rId878" Type="http://schemas.openxmlformats.org/officeDocument/2006/relationships/hyperlink" Target="https://enzyme.expasy.org/EC/4.4.1.13" TargetMode="External"/><Relationship Id="rId1063" Type="http://schemas.openxmlformats.org/officeDocument/2006/relationships/hyperlink" Target="https://enzyme.expasy.org/EC/3.5.1.24" TargetMode="External"/><Relationship Id="rId1270" Type="http://schemas.openxmlformats.org/officeDocument/2006/relationships/hyperlink" Target="https://www.kegg.jp/entry/R04316" TargetMode="External"/><Relationship Id="rId2114" Type="http://schemas.openxmlformats.org/officeDocument/2006/relationships/hyperlink" Target="https://enzyme.expasy.org/EC/1.1.1.1" TargetMode="External"/><Relationship Id="rId640" Type="http://schemas.openxmlformats.org/officeDocument/2006/relationships/hyperlink" Target="https://enzyme.expasy.org/EC/3.1.11.-" TargetMode="External"/><Relationship Id="rId738" Type="http://schemas.openxmlformats.org/officeDocument/2006/relationships/hyperlink" Target="https://www.kegg.jp/entry/R00658" TargetMode="External"/><Relationship Id="rId945" Type="http://schemas.openxmlformats.org/officeDocument/2006/relationships/hyperlink" Target="https://enzyme.expasy.org/EC/3.6.4.-" TargetMode="External"/><Relationship Id="rId1368" Type="http://schemas.openxmlformats.org/officeDocument/2006/relationships/hyperlink" Target="https://www.kegg.jp/entry/R01900" TargetMode="External"/><Relationship Id="rId1575" Type="http://schemas.openxmlformats.org/officeDocument/2006/relationships/hyperlink" Target="https://enzyme.expasy.org/EC/2.7.4.7" TargetMode="External"/><Relationship Id="rId1782" Type="http://schemas.openxmlformats.org/officeDocument/2006/relationships/hyperlink" Target="https://enzyme.expasy.org/EC/3.6.4.-" TargetMode="External"/><Relationship Id="rId2321" Type="http://schemas.openxmlformats.org/officeDocument/2006/relationships/hyperlink" Target="https://enzyme.expasy.org/EC/3.1.-.-" TargetMode="External"/><Relationship Id="rId2419" Type="http://schemas.openxmlformats.org/officeDocument/2006/relationships/hyperlink" Target="https://www.kegg.jp/entry/R10223" TargetMode="External"/><Relationship Id="rId74" Type="http://schemas.openxmlformats.org/officeDocument/2006/relationships/hyperlink" Target="https://www.kegg.jp/entry/1.8.4.12" TargetMode="External"/><Relationship Id="rId500" Type="http://schemas.openxmlformats.org/officeDocument/2006/relationships/hyperlink" Target="https://www.kegg.jp/entry/2.5.1.48" TargetMode="External"/><Relationship Id="rId805" Type="http://schemas.openxmlformats.org/officeDocument/2006/relationships/hyperlink" Target="https://enzyme.expasy.org/EC/2.7.7.7" TargetMode="External"/><Relationship Id="rId1130" Type="http://schemas.openxmlformats.org/officeDocument/2006/relationships/hyperlink" Target="https://enzyme.expasy.org/EC/2.2.1.1" TargetMode="External"/><Relationship Id="rId1228" Type="http://schemas.openxmlformats.org/officeDocument/2006/relationships/hyperlink" Target="https://www.kegg.jp/entry/R04037" TargetMode="External"/><Relationship Id="rId1435" Type="http://schemas.openxmlformats.org/officeDocument/2006/relationships/hyperlink" Target="https://enzyme.expasy.org/EC/2.1.-.-" TargetMode="External"/><Relationship Id="rId1642" Type="http://schemas.openxmlformats.org/officeDocument/2006/relationships/hyperlink" Target="https://www.kegg.jp/entry/3.1.3.5" TargetMode="External"/><Relationship Id="rId1947" Type="http://schemas.openxmlformats.org/officeDocument/2006/relationships/hyperlink" Target="https://www.kegg.jp/entry/3.2.1.52" TargetMode="External"/><Relationship Id="rId1502" Type="http://schemas.openxmlformats.org/officeDocument/2006/relationships/hyperlink" Target="https://enzyme.expasy.org/EC/4.3.2.10" TargetMode="External"/><Relationship Id="rId1807" Type="http://schemas.openxmlformats.org/officeDocument/2006/relationships/hyperlink" Target="https://enzyme.expasy.org/EC/2.1.1.297" TargetMode="External"/><Relationship Id="rId290" Type="http://schemas.openxmlformats.org/officeDocument/2006/relationships/hyperlink" Target="https://enzyme.expasy.org/EC/7.1.2.2" TargetMode="External"/><Relationship Id="rId388" Type="http://schemas.openxmlformats.org/officeDocument/2006/relationships/hyperlink" Target="https://www.kegg.jp/entry/R06098" TargetMode="External"/><Relationship Id="rId2069" Type="http://schemas.openxmlformats.org/officeDocument/2006/relationships/hyperlink" Target="https://www.kegg.jp/entry/2.7.7.2" TargetMode="External"/><Relationship Id="rId150" Type="http://schemas.openxmlformats.org/officeDocument/2006/relationships/hyperlink" Target="https://www.kegg.jp/entry/R05069" TargetMode="External"/><Relationship Id="rId595" Type="http://schemas.openxmlformats.org/officeDocument/2006/relationships/hyperlink" Target="https://enzyme.expasy.org/EC/2.1.2.-" TargetMode="External"/><Relationship Id="rId2276" Type="http://schemas.openxmlformats.org/officeDocument/2006/relationships/hyperlink" Target="https://www.kegg.jp/entry/R03968" TargetMode="External"/><Relationship Id="rId2483" Type="http://schemas.openxmlformats.org/officeDocument/2006/relationships/hyperlink" Target="https://www.kegg.jp/entry/R02017" TargetMode="External"/><Relationship Id="rId248" Type="http://schemas.openxmlformats.org/officeDocument/2006/relationships/hyperlink" Target="https://www.kegg.jp/entry/R00835" TargetMode="External"/><Relationship Id="rId455" Type="http://schemas.openxmlformats.org/officeDocument/2006/relationships/hyperlink" Target="https://www.kegg.jp/entry/3.4.11.2" TargetMode="External"/><Relationship Id="rId662" Type="http://schemas.openxmlformats.org/officeDocument/2006/relationships/hyperlink" Target="https://www.kegg.jp/entry/6.5.1.2" TargetMode="External"/><Relationship Id="rId1085" Type="http://schemas.openxmlformats.org/officeDocument/2006/relationships/hyperlink" Target="https://www.kegg.jp/entry/R01397" TargetMode="External"/><Relationship Id="rId1292" Type="http://schemas.openxmlformats.org/officeDocument/2006/relationships/hyperlink" Target="https://enzyme.expasy.org/EC/6.1.1.4" TargetMode="External"/><Relationship Id="rId2136" Type="http://schemas.openxmlformats.org/officeDocument/2006/relationships/hyperlink" Target="https://www.kegg.jp/entry/1.1.1.1" TargetMode="External"/><Relationship Id="rId2343" Type="http://schemas.openxmlformats.org/officeDocument/2006/relationships/hyperlink" Target="https://www.kegg.jp/entry/R10633" TargetMode="External"/><Relationship Id="rId108" Type="http://schemas.openxmlformats.org/officeDocument/2006/relationships/hyperlink" Target="https://www.kegg.jp/entry/6.3.4.4" TargetMode="External"/><Relationship Id="rId315" Type="http://schemas.openxmlformats.org/officeDocument/2006/relationships/hyperlink" Target="https://www.kegg.jp/entry/R04314" TargetMode="External"/><Relationship Id="rId522" Type="http://schemas.openxmlformats.org/officeDocument/2006/relationships/hyperlink" Target="https://www.kegg.jp/entry/3.5.1.2" TargetMode="External"/><Relationship Id="rId967" Type="http://schemas.openxmlformats.org/officeDocument/2006/relationships/hyperlink" Target="https://www.kegg.jp/entry/R01714" TargetMode="External"/><Relationship Id="rId1152" Type="http://schemas.openxmlformats.org/officeDocument/2006/relationships/hyperlink" Target="https://enzyme.expasy.org/EC/6.1.1.3" TargetMode="External"/><Relationship Id="rId1597" Type="http://schemas.openxmlformats.org/officeDocument/2006/relationships/hyperlink" Target="https://enzyme.expasy.org/EC/3.1.3.2" TargetMode="External"/><Relationship Id="rId2203" Type="http://schemas.openxmlformats.org/officeDocument/2006/relationships/hyperlink" Target="https://www.kegg.jp/entry/R03192" TargetMode="External"/><Relationship Id="rId2410" Type="http://schemas.openxmlformats.org/officeDocument/2006/relationships/hyperlink" Target="https://www.kegg.jp/entry/R06070" TargetMode="External"/><Relationship Id="rId96" Type="http://schemas.openxmlformats.org/officeDocument/2006/relationships/hyperlink" Target="https://enzyme.expasy.org/EC/4.1.2.13" TargetMode="External"/><Relationship Id="rId827" Type="http://schemas.openxmlformats.org/officeDocument/2006/relationships/hyperlink" Target="https://www.kegg.jp/entry/2.3.1.8" TargetMode="External"/><Relationship Id="rId1012" Type="http://schemas.openxmlformats.org/officeDocument/2006/relationships/hyperlink" Target="https://www.kegg.jp/entry/2.6.1.42" TargetMode="External"/><Relationship Id="rId1457" Type="http://schemas.openxmlformats.org/officeDocument/2006/relationships/hyperlink" Target="https://www.kegg.jp/entry/R02783" TargetMode="External"/><Relationship Id="rId1664" Type="http://schemas.openxmlformats.org/officeDocument/2006/relationships/hyperlink" Target="https://enzyme.expasy.org/EC/2.7.13.3" TargetMode="External"/><Relationship Id="rId1871" Type="http://schemas.openxmlformats.org/officeDocument/2006/relationships/hyperlink" Target="https://enzyme.expasy.org/EC/2.1.1.-" TargetMode="External"/><Relationship Id="rId2508" Type="http://schemas.openxmlformats.org/officeDocument/2006/relationships/hyperlink" Target="https://enzyme.expasy.org/EC/3.1.26.5" TargetMode="External"/><Relationship Id="rId1317" Type="http://schemas.openxmlformats.org/officeDocument/2006/relationships/hyperlink" Target="https://www.kegg.jp/entry/2.7.6.5" TargetMode="External"/><Relationship Id="rId1524" Type="http://schemas.openxmlformats.org/officeDocument/2006/relationships/hyperlink" Target="https://www.kegg.jp/entry/1.1.1.23" TargetMode="External"/><Relationship Id="rId1731" Type="http://schemas.openxmlformats.org/officeDocument/2006/relationships/hyperlink" Target="https://www.kegg.jp/entry/2.5.1.6" TargetMode="External"/><Relationship Id="rId1969" Type="http://schemas.openxmlformats.org/officeDocument/2006/relationships/hyperlink" Target="https://enzyme.expasy.org/EC/1.5.1.3" TargetMode="External"/><Relationship Id="rId23" Type="http://schemas.openxmlformats.org/officeDocument/2006/relationships/hyperlink" Target="https://www.kegg.jp/entry/2.4.1.1" TargetMode="External"/><Relationship Id="rId1829" Type="http://schemas.openxmlformats.org/officeDocument/2006/relationships/hyperlink" Target="https://enzyme.expasy.org/EC/2.5.1.15" TargetMode="External"/><Relationship Id="rId2298" Type="http://schemas.openxmlformats.org/officeDocument/2006/relationships/hyperlink" Target="https://enzyme.expasy.org/EC/6.1.1.-" TargetMode="External"/><Relationship Id="rId172" Type="http://schemas.openxmlformats.org/officeDocument/2006/relationships/hyperlink" Target="https://www.kegg.jp/entry/2.7.7.7" TargetMode="External"/><Relationship Id="rId477" Type="http://schemas.openxmlformats.org/officeDocument/2006/relationships/hyperlink" Target="https://www.kegg.jp/entry/R01678" TargetMode="External"/><Relationship Id="rId684" Type="http://schemas.openxmlformats.org/officeDocument/2006/relationships/hyperlink" Target="https://enzyme.expasy.org/EC/2.7.2.8" TargetMode="External"/><Relationship Id="rId2060" Type="http://schemas.openxmlformats.org/officeDocument/2006/relationships/hyperlink" Target="https://www.kegg.jp/entry/5.3.1.6" TargetMode="External"/><Relationship Id="rId2158" Type="http://schemas.openxmlformats.org/officeDocument/2006/relationships/hyperlink" Target="https://www.kegg.jp/entry/R10783" TargetMode="External"/><Relationship Id="rId2365" Type="http://schemas.openxmlformats.org/officeDocument/2006/relationships/hyperlink" Target="https://enzyme.expasy.org/EC/3.2.1.22" TargetMode="External"/><Relationship Id="rId337" Type="http://schemas.openxmlformats.org/officeDocument/2006/relationships/hyperlink" Target="https://www.kegg.jp/entry/2.2.1.6" TargetMode="External"/><Relationship Id="rId891" Type="http://schemas.openxmlformats.org/officeDocument/2006/relationships/hyperlink" Target="https://www.kegg.jp/entry/R12188" TargetMode="External"/><Relationship Id="rId989" Type="http://schemas.openxmlformats.org/officeDocument/2006/relationships/hyperlink" Target="https://www.kegg.jp/entry/R11529" TargetMode="External"/><Relationship Id="rId2018" Type="http://schemas.openxmlformats.org/officeDocument/2006/relationships/hyperlink" Target="https://www.kegg.jp/entry/5.1.3.2" TargetMode="External"/><Relationship Id="rId544" Type="http://schemas.openxmlformats.org/officeDocument/2006/relationships/hyperlink" Target="https://www.kegg.jp/entry/R07606" TargetMode="External"/><Relationship Id="rId751" Type="http://schemas.openxmlformats.org/officeDocument/2006/relationships/hyperlink" Target="https://www.kegg.jp/entry/R00590" TargetMode="External"/><Relationship Id="rId849" Type="http://schemas.openxmlformats.org/officeDocument/2006/relationships/hyperlink" Target="https://www.kegg.jp/entry/2.7.7.23" TargetMode="External"/><Relationship Id="rId1174" Type="http://schemas.openxmlformats.org/officeDocument/2006/relationships/hyperlink" Target="https://www.kegg.jp/entry/6.2.1.5" TargetMode="External"/><Relationship Id="rId1381" Type="http://schemas.openxmlformats.org/officeDocument/2006/relationships/hyperlink" Target="https://enzyme.expasy.org/EC/7.6.2.-" TargetMode="External"/><Relationship Id="rId1479" Type="http://schemas.openxmlformats.org/officeDocument/2006/relationships/hyperlink" Target="https://www.kegg.jp/entry/R01513" TargetMode="External"/><Relationship Id="rId1686" Type="http://schemas.openxmlformats.org/officeDocument/2006/relationships/hyperlink" Target="https://enzyme.expasy.org/EC/2.7.1.202" TargetMode="External"/><Relationship Id="rId2225" Type="http://schemas.openxmlformats.org/officeDocument/2006/relationships/hyperlink" Target="https://enzyme.expasy.org/EC/2.5.1.54" TargetMode="External"/><Relationship Id="rId2432" Type="http://schemas.openxmlformats.org/officeDocument/2006/relationships/hyperlink" Target="https://enzyme.expasy.org/EC/2.7.1.-" TargetMode="External"/><Relationship Id="rId404" Type="http://schemas.openxmlformats.org/officeDocument/2006/relationships/hyperlink" Target="https://enzyme.expasy.org/EC/1.1.1.85" TargetMode="External"/><Relationship Id="rId611" Type="http://schemas.openxmlformats.org/officeDocument/2006/relationships/hyperlink" Target="https://www.kegg.jp/entry/6.3.5.5" TargetMode="External"/><Relationship Id="rId1034" Type="http://schemas.openxmlformats.org/officeDocument/2006/relationships/hyperlink" Target="https://enzyme.expasy.org/EC/1.11.1.24" TargetMode="External"/><Relationship Id="rId1241" Type="http://schemas.openxmlformats.org/officeDocument/2006/relationships/hyperlink" Target="https://www.kegg.jp/entry/2.7.7.41" TargetMode="External"/><Relationship Id="rId1339" Type="http://schemas.openxmlformats.org/officeDocument/2006/relationships/hyperlink" Target="https://www.kegg.jp/entry/2.4.2.18" TargetMode="External"/><Relationship Id="rId1893" Type="http://schemas.openxmlformats.org/officeDocument/2006/relationships/hyperlink" Target="https://www.kegg.jp/entry/3.2.1.23" TargetMode="External"/><Relationship Id="rId709" Type="http://schemas.openxmlformats.org/officeDocument/2006/relationships/hyperlink" Target="https://enzyme.expasy.org/EC/2.7.1.23" TargetMode="External"/><Relationship Id="rId916" Type="http://schemas.openxmlformats.org/officeDocument/2006/relationships/hyperlink" Target="https://enzyme.expasy.org/EC/1.5.1.2" TargetMode="External"/><Relationship Id="rId1101" Type="http://schemas.openxmlformats.org/officeDocument/2006/relationships/hyperlink" Target="https://enzyme.expasy.org/EC/3.-.-.-" TargetMode="External"/><Relationship Id="rId1546" Type="http://schemas.openxmlformats.org/officeDocument/2006/relationships/hyperlink" Target="https://enzyme.expasy.org/EC/2.7.7.7" TargetMode="External"/><Relationship Id="rId1753" Type="http://schemas.openxmlformats.org/officeDocument/2006/relationships/hyperlink" Target="https://enzyme.expasy.org/EC/7.-.-.-" TargetMode="External"/><Relationship Id="rId1960" Type="http://schemas.openxmlformats.org/officeDocument/2006/relationships/hyperlink" Target="https://www.kegg.jp/entry/R09323" TargetMode="External"/><Relationship Id="rId45" Type="http://schemas.openxmlformats.org/officeDocument/2006/relationships/hyperlink" Target="https://www.kegg.jp/entry/2.7.7.65" TargetMode="External"/><Relationship Id="rId1406" Type="http://schemas.openxmlformats.org/officeDocument/2006/relationships/hyperlink" Target="https://www.kegg.jp/entry/R08210" TargetMode="External"/><Relationship Id="rId1613" Type="http://schemas.openxmlformats.org/officeDocument/2006/relationships/hyperlink" Target="https://www.kegg.jp/entry/6.1.1.21" TargetMode="External"/><Relationship Id="rId1820" Type="http://schemas.openxmlformats.org/officeDocument/2006/relationships/hyperlink" Target="https://www.kegg.jp/entry/2.7.1.2" TargetMode="External"/><Relationship Id="rId194" Type="http://schemas.openxmlformats.org/officeDocument/2006/relationships/hyperlink" Target="https://enzyme.expasy.org/EC/7.5.2.-" TargetMode="External"/><Relationship Id="rId1918" Type="http://schemas.openxmlformats.org/officeDocument/2006/relationships/hyperlink" Target="https://www.kegg.jp/entry/R06144" TargetMode="External"/><Relationship Id="rId2082" Type="http://schemas.openxmlformats.org/officeDocument/2006/relationships/hyperlink" Target="https://enzyme.expasy.org/EC/2.7.7.6" TargetMode="External"/><Relationship Id="rId261" Type="http://schemas.openxmlformats.org/officeDocument/2006/relationships/hyperlink" Target="https://enzyme.expasy.org/EC/6.1.1.9" TargetMode="External"/><Relationship Id="rId499" Type="http://schemas.openxmlformats.org/officeDocument/2006/relationships/hyperlink" Target="https://enzyme.expasy.org/EC/2.5.1.48" TargetMode="External"/><Relationship Id="rId2387" Type="http://schemas.openxmlformats.org/officeDocument/2006/relationships/hyperlink" Target="https://www.kegg.jp/entry/3.2.1.22" TargetMode="External"/><Relationship Id="rId359" Type="http://schemas.openxmlformats.org/officeDocument/2006/relationships/hyperlink" Target="https://enzyme.expasy.org/EC/5.3.1.9" TargetMode="External"/><Relationship Id="rId566" Type="http://schemas.openxmlformats.org/officeDocument/2006/relationships/hyperlink" Target="https://www.kegg.jp/entry/2.4.2.14" TargetMode="External"/><Relationship Id="rId773" Type="http://schemas.openxmlformats.org/officeDocument/2006/relationships/hyperlink" Target="https://www.kegg.jp/entry/R00130" TargetMode="External"/><Relationship Id="rId1196" Type="http://schemas.openxmlformats.org/officeDocument/2006/relationships/hyperlink" Target="https://www.kegg.jp/entry/R04035" TargetMode="External"/><Relationship Id="rId2247" Type="http://schemas.openxmlformats.org/officeDocument/2006/relationships/hyperlink" Target="https://enzyme.expasy.org/EC/3.5.1.18" TargetMode="External"/><Relationship Id="rId2454" Type="http://schemas.openxmlformats.org/officeDocument/2006/relationships/hyperlink" Target="https://www.kegg.jp/entry/R08364" TargetMode="External"/><Relationship Id="rId121" Type="http://schemas.openxmlformats.org/officeDocument/2006/relationships/hyperlink" Target="https://www.ncbi.nlm.nih.gov/protein/489924626" TargetMode="External"/><Relationship Id="rId219" Type="http://schemas.openxmlformats.org/officeDocument/2006/relationships/hyperlink" Target="https://www.kegg.jp/entry/2.7.7.7" TargetMode="External"/><Relationship Id="rId426" Type="http://schemas.openxmlformats.org/officeDocument/2006/relationships/hyperlink" Target="https://www.kegg.jp/entry/2.7.7.6" TargetMode="External"/><Relationship Id="rId633" Type="http://schemas.openxmlformats.org/officeDocument/2006/relationships/hyperlink" Target="https://enzyme.expasy.org/EC/2.7.4.8" TargetMode="External"/><Relationship Id="rId980" Type="http://schemas.openxmlformats.org/officeDocument/2006/relationships/hyperlink" Target="https://enzyme.expasy.org/EC/2.3.2.-" TargetMode="External"/><Relationship Id="rId1056" Type="http://schemas.openxmlformats.org/officeDocument/2006/relationships/hyperlink" Target="https://www.kegg.jp/entry/1.5.1.20" TargetMode="External"/><Relationship Id="rId1263" Type="http://schemas.openxmlformats.org/officeDocument/2006/relationships/hyperlink" Target="https://enzyme.expasy.org/EC/2.7.13.3" TargetMode="External"/><Relationship Id="rId2107" Type="http://schemas.openxmlformats.org/officeDocument/2006/relationships/hyperlink" Target="https://www.kegg.jp/entry/1.1.1.1" TargetMode="External"/><Relationship Id="rId2314" Type="http://schemas.openxmlformats.org/officeDocument/2006/relationships/hyperlink" Target="https://www.kegg.jp/entry/2.7.7.24" TargetMode="External"/><Relationship Id="rId840" Type="http://schemas.openxmlformats.org/officeDocument/2006/relationships/hyperlink" Target="https://enzyme.expasy.org/EC/6.3.5.2" TargetMode="External"/><Relationship Id="rId938" Type="http://schemas.openxmlformats.org/officeDocument/2006/relationships/hyperlink" Target="https://enzyme.expasy.org/EC/7.5.2.-" TargetMode="External"/><Relationship Id="rId1470" Type="http://schemas.openxmlformats.org/officeDocument/2006/relationships/hyperlink" Target="https://enzyme.expasy.org/EC/3.4.16.4" TargetMode="External"/><Relationship Id="rId1568" Type="http://schemas.openxmlformats.org/officeDocument/2006/relationships/hyperlink" Target="https://www.kegg.jp/entry/R04448" TargetMode="External"/><Relationship Id="rId1775" Type="http://schemas.openxmlformats.org/officeDocument/2006/relationships/hyperlink" Target="https://enzyme.expasy.org/EC/3.1.11.6" TargetMode="External"/><Relationship Id="rId67" Type="http://schemas.openxmlformats.org/officeDocument/2006/relationships/hyperlink" Target="https://www.kegg.jp/entry/R06179" TargetMode="External"/><Relationship Id="rId700" Type="http://schemas.openxmlformats.org/officeDocument/2006/relationships/hyperlink" Target="https://www.kegg.jp/entry/2.8.1.10" TargetMode="External"/><Relationship Id="rId1123" Type="http://schemas.openxmlformats.org/officeDocument/2006/relationships/hyperlink" Target="https://enzyme.expasy.org/EC/3.1.3.-" TargetMode="External"/><Relationship Id="rId1330" Type="http://schemas.openxmlformats.org/officeDocument/2006/relationships/hyperlink" Target="https://enzyme.expasy.org/EC/2.7.1.15" TargetMode="External"/><Relationship Id="rId1428" Type="http://schemas.openxmlformats.org/officeDocument/2006/relationships/hyperlink" Target="https://www.kegg.jp/entry/3.1.21.10" TargetMode="External"/><Relationship Id="rId1635" Type="http://schemas.openxmlformats.org/officeDocument/2006/relationships/hyperlink" Target="https://www.kegg.jp/entry/3.1.3.5" TargetMode="External"/><Relationship Id="rId1982" Type="http://schemas.openxmlformats.org/officeDocument/2006/relationships/hyperlink" Target="https://www.kegg.jp/entry/1.5.1.3" TargetMode="External"/><Relationship Id="rId1842" Type="http://schemas.openxmlformats.org/officeDocument/2006/relationships/hyperlink" Target="https://www.kegg.jp/entry/3.5.4.16" TargetMode="External"/><Relationship Id="rId1702" Type="http://schemas.openxmlformats.org/officeDocument/2006/relationships/hyperlink" Target="https://enzyme.expasy.org/EC/4.2.1.9" TargetMode="External"/><Relationship Id="rId283" Type="http://schemas.openxmlformats.org/officeDocument/2006/relationships/hyperlink" Target="https://www.kegg.jp/entry/R00086" TargetMode="External"/><Relationship Id="rId490" Type="http://schemas.openxmlformats.org/officeDocument/2006/relationships/hyperlink" Target="https://enzyme.expasy.org/EC/2.7.1.33" TargetMode="External"/><Relationship Id="rId2171" Type="http://schemas.openxmlformats.org/officeDocument/2006/relationships/hyperlink" Target="https://enzyme.expasy.org/EC/2.4.1.25" TargetMode="External"/><Relationship Id="rId143" Type="http://schemas.openxmlformats.org/officeDocument/2006/relationships/hyperlink" Target="https://www.kegg.jp/entry/1.1.1.86" TargetMode="External"/><Relationship Id="rId350" Type="http://schemas.openxmlformats.org/officeDocument/2006/relationships/hyperlink" Target="https://www.kegg.jp/entry/2.7.7.3" TargetMode="External"/><Relationship Id="rId588" Type="http://schemas.openxmlformats.org/officeDocument/2006/relationships/hyperlink" Target="https://enzyme.expasy.org/EC/3.-.-.-" TargetMode="External"/><Relationship Id="rId795" Type="http://schemas.openxmlformats.org/officeDocument/2006/relationships/hyperlink" Target="https://www.kegg.jp/entry/R00724" TargetMode="External"/><Relationship Id="rId2031" Type="http://schemas.openxmlformats.org/officeDocument/2006/relationships/hyperlink" Target="https://www.kegg.jp/entry/R08968" TargetMode="External"/><Relationship Id="rId2269" Type="http://schemas.openxmlformats.org/officeDocument/2006/relationships/hyperlink" Target="https://www.kegg.jp/entry/R00660" TargetMode="External"/><Relationship Id="rId2476" Type="http://schemas.openxmlformats.org/officeDocument/2006/relationships/hyperlink" Target="https://www.kegg.jp/entry/1.17.4.1" TargetMode="External"/><Relationship Id="rId9" Type="http://schemas.openxmlformats.org/officeDocument/2006/relationships/hyperlink" Target="https://enzyme.expasy.org/EC/1.11.1.26" TargetMode="External"/><Relationship Id="rId210" Type="http://schemas.openxmlformats.org/officeDocument/2006/relationships/hyperlink" Target="https://www.kegg.jp/entry/2.7.4.9" TargetMode="External"/><Relationship Id="rId448" Type="http://schemas.openxmlformats.org/officeDocument/2006/relationships/hyperlink" Target="https://www.kegg.jp/entry/R04199" TargetMode="External"/><Relationship Id="rId655" Type="http://schemas.openxmlformats.org/officeDocument/2006/relationships/hyperlink" Target="https://www.kegg.jp/entry/R05688" TargetMode="External"/><Relationship Id="rId862" Type="http://schemas.openxmlformats.org/officeDocument/2006/relationships/hyperlink" Target="https://www.kegg.jp/entry/R00189" TargetMode="External"/><Relationship Id="rId1078" Type="http://schemas.openxmlformats.org/officeDocument/2006/relationships/hyperlink" Target="https://www.kegg.jp/entry/2.7.7.42" TargetMode="External"/><Relationship Id="rId1285" Type="http://schemas.openxmlformats.org/officeDocument/2006/relationships/hyperlink" Target="https://www.kegg.jp/entry/2.7.7.7" TargetMode="External"/><Relationship Id="rId1492" Type="http://schemas.openxmlformats.org/officeDocument/2006/relationships/hyperlink" Target="https://enzyme.expasy.org/EC/2.1.1.-" TargetMode="External"/><Relationship Id="rId2129" Type="http://schemas.openxmlformats.org/officeDocument/2006/relationships/hyperlink" Target="https://www.kegg.jp/entry/1.1.1.1" TargetMode="External"/><Relationship Id="rId2336" Type="http://schemas.openxmlformats.org/officeDocument/2006/relationships/hyperlink" Target="https://enzyme.expasy.org/EC/7.-.-.-" TargetMode="External"/><Relationship Id="rId308" Type="http://schemas.openxmlformats.org/officeDocument/2006/relationships/hyperlink" Target="https://enzyme.expasy.org/EC/3.4.-.-" TargetMode="External"/><Relationship Id="rId515" Type="http://schemas.openxmlformats.org/officeDocument/2006/relationships/hyperlink" Target="https://enzyme.expasy.org/EC/2.3.1.-" TargetMode="External"/><Relationship Id="rId722" Type="http://schemas.openxmlformats.org/officeDocument/2006/relationships/hyperlink" Target="https://www.kegg.jp/entry/R03313" TargetMode="External"/><Relationship Id="rId1145" Type="http://schemas.openxmlformats.org/officeDocument/2006/relationships/hyperlink" Target="https://www.kegg.jp/entry/R06590" TargetMode="External"/><Relationship Id="rId1352" Type="http://schemas.openxmlformats.org/officeDocument/2006/relationships/hyperlink" Target="https://www.kegg.jp/entry/2.8.4.3" TargetMode="External"/><Relationship Id="rId1797" Type="http://schemas.openxmlformats.org/officeDocument/2006/relationships/hyperlink" Target="https://enzyme.expasy.org/EC/1.1.1.205" TargetMode="External"/><Relationship Id="rId2403" Type="http://schemas.openxmlformats.org/officeDocument/2006/relationships/hyperlink" Target="https://www.kegg.jp/entry/R02926" TargetMode="External"/><Relationship Id="rId89" Type="http://schemas.openxmlformats.org/officeDocument/2006/relationships/hyperlink" Target="https://enzyme.expasy.org/EC/2.4.2.29" TargetMode="External"/><Relationship Id="rId1005" Type="http://schemas.openxmlformats.org/officeDocument/2006/relationships/hyperlink" Target="https://www.kegg.jp/entry/R13176" TargetMode="External"/><Relationship Id="rId1212" Type="http://schemas.openxmlformats.org/officeDocument/2006/relationships/hyperlink" Target="https://enzyme.expasy.org/EC/3.1.21.2" TargetMode="External"/><Relationship Id="rId1657" Type="http://schemas.openxmlformats.org/officeDocument/2006/relationships/hyperlink" Target="https://www.kegg.jp/entry/R01968" TargetMode="External"/><Relationship Id="rId1864" Type="http://schemas.openxmlformats.org/officeDocument/2006/relationships/hyperlink" Target="https://www.kegg.jp/entry/1.1.1.77" TargetMode="External"/><Relationship Id="rId1517" Type="http://schemas.openxmlformats.org/officeDocument/2006/relationships/hyperlink" Target="https://enzyme.expasy.org/EC/2.6.1.9" TargetMode="External"/><Relationship Id="rId1724" Type="http://schemas.openxmlformats.org/officeDocument/2006/relationships/hyperlink" Target="https://www.kegg.jp/entry/R00435" TargetMode="External"/><Relationship Id="rId16" Type="http://schemas.openxmlformats.org/officeDocument/2006/relationships/hyperlink" Target="https://enzyme.expasy.org/EC/3.5.-.-" TargetMode="External"/><Relationship Id="rId1931" Type="http://schemas.openxmlformats.org/officeDocument/2006/relationships/hyperlink" Target="https://enzyme.expasy.org/EC/3.2.1.52" TargetMode="External"/><Relationship Id="rId2193" Type="http://schemas.openxmlformats.org/officeDocument/2006/relationships/hyperlink" Target="https://www.kegg.jp/entry/R00377" TargetMode="External"/><Relationship Id="rId2498" Type="http://schemas.openxmlformats.org/officeDocument/2006/relationships/hyperlink" Target="https://www.kegg.jp/entry/2.7.7.72" TargetMode="External"/><Relationship Id="rId165" Type="http://schemas.openxmlformats.org/officeDocument/2006/relationships/hyperlink" Target="https://enzyme.expasy.org/EC/2.7.7.7" TargetMode="External"/><Relationship Id="rId372" Type="http://schemas.openxmlformats.org/officeDocument/2006/relationships/hyperlink" Target="https://www.kegg.jp/entry/3.1.26.4" TargetMode="External"/><Relationship Id="rId677" Type="http://schemas.openxmlformats.org/officeDocument/2006/relationships/hyperlink" Target="https://www.kegg.jp/entry/R03443" TargetMode="External"/><Relationship Id="rId2053" Type="http://schemas.openxmlformats.org/officeDocument/2006/relationships/hyperlink" Target="https://www.kegg.jp/entry/R08639" TargetMode="External"/><Relationship Id="rId2260" Type="http://schemas.openxmlformats.org/officeDocument/2006/relationships/hyperlink" Target="https://www.kegg.jp/entry/R01773" TargetMode="External"/><Relationship Id="rId2358" Type="http://schemas.openxmlformats.org/officeDocument/2006/relationships/hyperlink" Target="https://www.kegg.jp/entry/R06131" TargetMode="External"/><Relationship Id="rId232" Type="http://schemas.openxmlformats.org/officeDocument/2006/relationships/hyperlink" Target="https://www.kegg.jp/entry/6.3.4.3" TargetMode="External"/><Relationship Id="rId884" Type="http://schemas.openxmlformats.org/officeDocument/2006/relationships/hyperlink" Target="https://www.kegg.jp/entry/4.4.1.13" TargetMode="External"/><Relationship Id="rId2120" Type="http://schemas.openxmlformats.org/officeDocument/2006/relationships/hyperlink" Target="https://enzyme.expasy.org/EC/1.1.1.1" TargetMode="External"/><Relationship Id="rId537" Type="http://schemas.openxmlformats.org/officeDocument/2006/relationships/hyperlink" Target="https://www.kegg.jp/entry/R07456" TargetMode="External"/><Relationship Id="rId744" Type="http://schemas.openxmlformats.org/officeDocument/2006/relationships/hyperlink" Target="https://enzyme.expasy.org/EC/4.3.1.17" TargetMode="External"/><Relationship Id="rId951" Type="http://schemas.openxmlformats.org/officeDocument/2006/relationships/hyperlink" Target="https://enzyme.expasy.org/EC/3.5.4.5" TargetMode="External"/><Relationship Id="rId1167" Type="http://schemas.openxmlformats.org/officeDocument/2006/relationships/hyperlink" Target="https://enzyme.expasy.org/EC/6.2.1.5" TargetMode="External"/><Relationship Id="rId1374" Type="http://schemas.openxmlformats.org/officeDocument/2006/relationships/hyperlink" Target="https://enzyme.expasy.org/EC/1.3.1.-" TargetMode="External"/><Relationship Id="rId1581" Type="http://schemas.openxmlformats.org/officeDocument/2006/relationships/hyperlink" Target="https://enzyme.expasy.org/EC/2.7.1.63" TargetMode="External"/><Relationship Id="rId1679" Type="http://schemas.openxmlformats.org/officeDocument/2006/relationships/hyperlink" Target="https://www.kegg.jp/entry/R11207" TargetMode="External"/><Relationship Id="rId2218" Type="http://schemas.openxmlformats.org/officeDocument/2006/relationships/hyperlink" Target="https://www.kegg.jp/entry/3.2.2.9" TargetMode="External"/><Relationship Id="rId2425" Type="http://schemas.openxmlformats.org/officeDocument/2006/relationships/hyperlink" Target="https://www.kegg.jp/entry/2.7.1.193" TargetMode="External"/><Relationship Id="rId80" Type="http://schemas.openxmlformats.org/officeDocument/2006/relationships/hyperlink" Target="https://enzyme.expasy.org/EC/3.1.4.4" TargetMode="External"/><Relationship Id="rId604" Type="http://schemas.openxmlformats.org/officeDocument/2006/relationships/hyperlink" Target="https://enzyme.expasy.org/EC/6.3.5.5" TargetMode="External"/><Relationship Id="rId811" Type="http://schemas.openxmlformats.org/officeDocument/2006/relationships/hyperlink" Target="https://www.kegg.jp/entry/R00379" TargetMode="External"/><Relationship Id="rId1027" Type="http://schemas.openxmlformats.org/officeDocument/2006/relationships/hyperlink" Target="https://www.kegg.jp/entry/R00256" TargetMode="External"/><Relationship Id="rId1234" Type="http://schemas.openxmlformats.org/officeDocument/2006/relationships/hyperlink" Target="https://www.kegg.jp/entry/4.3.2.10" TargetMode="External"/><Relationship Id="rId1441" Type="http://schemas.openxmlformats.org/officeDocument/2006/relationships/hyperlink" Target="https://www.kegg.jp/entry/2.4.1.227" TargetMode="External"/><Relationship Id="rId1886" Type="http://schemas.openxmlformats.org/officeDocument/2006/relationships/hyperlink" Target="https://enzyme.expasy.org/EC/3.2.1.23" TargetMode="External"/><Relationship Id="rId909" Type="http://schemas.openxmlformats.org/officeDocument/2006/relationships/hyperlink" Target="https://www.kegg.jp/entry/R01909" TargetMode="External"/><Relationship Id="rId1301" Type="http://schemas.openxmlformats.org/officeDocument/2006/relationships/hyperlink" Target="https://enzyme.expasy.org/EC/3.2.1.-" TargetMode="External"/><Relationship Id="rId1539" Type="http://schemas.openxmlformats.org/officeDocument/2006/relationships/hyperlink" Target="https://www.kegg.jp/entry/R02813" TargetMode="External"/><Relationship Id="rId1746" Type="http://schemas.openxmlformats.org/officeDocument/2006/relationships/hyperlink" Target="https://www.kegg.jp/entry/2.7.1.15" TargetMode="External"/><Relationship Id="rId1953" Type="http://schemas.openxmlformats.org/officeDocument/2006/relationships/hyperlink" Target="https://www.kegg.jp/entry/R04586" TargetMode="External"/><Relationship Id="rId38" Type="http://schemas.openxmlformats.org/officeDocument/2006/relationships/hyperlink" Target="https://www.kegg.jp/entry/1.4.1.4" TargetMode="External"/><Relationship Id="rId1606" Type="http://schemas.openxmlformats.org/officeDocument/2006/relationships/hyperlink" Target="https://www.kegg.jp/entry/R03024" TargetMode="External"/><Relationship Id="rId1813" Type="http://schemas.openxmlformats.org/officeDocument/2006/relationships/hyperlink" Target="https://enzyme.expasy.org/EC/3.5.1.88" TargetMode="External"/><Relationship Id="rId187" Type="http://schemas.openxmlformats.org/officeDocument/2006/relationships/hyperlink" Target="https://enzyme.expasy.org/EC/5.1.3.9" TargetMode="External"/><Relationship Id="rId394" Type="http://schemas.openxmlformats.org/officeDocument/2006/relationships/hyperlink" Target="https://enzyme.expasy.org/EC/1.1.1.-" TargetMode="External"/><Relationship Id="rId2075" Type="http://schemas.openxmlformats.org/officeDocument/2006/relationships/hyperlink" Target="https://www.kegg.jp/entry/R03020" TargetMode="External"/><Relationship Id="rId2282" Type="http://schemas.openxmlformats.org/officeDocument/2006/relationships/hyperlink" Target="https://enzyme.expasy.org/EC/4.2.1.33" TargetMode="External"/><Relationship Id="rId254" Type="http://schemas.openxmlformats.org/officeDocument/2006/relationships/hyperlink" Target="https://enzyme.expasy.org/EC/2.7.-.-" TargetMode="External"/><Relationship Id="rId699" Type="http://schemas.openxmlformats.org/officeDocument/2006/relationships/hyperlink" Target="https://enzyme.expasy.org/EC/2.8.1.10" TargetMode="External"/><Relationship Id="rId1091" Type="http://schemas.openxmlformats.org/officeDocument/2006/relationships/hyperlink" Target="https://www.kegg.jp/entry/R00965" TargetMode="External"/><Relationship Id="rId114" Type="http://schemas.openxmlformats.org/officeDocument/2006/relationships/hyperlink" Target="https://www.kegg.jp/entry/R06034" TargetMode="External"/><Relationship Id="rId461" Type="http://schemas.openxmlformats.org/officeDocument/2006/relationships/hyperlink" Target="https://www.kegg.jp/entry/R02060" TargetMode="External"/><Relationship Id="rId559" Type="http://schemas.openxmlformats.org/officeDocument/2006/relationships/hyperlink" Target="https://enzyme.expasy.org/EC/6.3.4.13" TargetMode="External"/><Relationship Id="rId766" Type="http://schemas.openxmlformats.org/officeDocument/2006/relationships/hyperlink" Target="https://www.kegg.jp/entry/R02110" TargetMode="External"/><Relationship Id="rId1189" Type="http://schemas.openxmlformats.org/officeDocument/2006/relationships/hyperlink" Target="https://enzyme.expasy.org/EC/3.6.4.-" TargetMode="External"/><Relationship Id="rId1396" Type="http://schemas.openxmlformats.org/officeDocument/2006/relationships/hyperlink" Target="https://www.kegg.jp/entry/2.7.1.31" TargetMode="External"/><Relationship Id="rId2142" Type="http://schemas.openxmlformats.org/officeDocument/2006/relationships/hyperlink" Target="https://www.kegg.jp/entry/1.1.1.1" TargetMode="External"/><Relationship Id="rId2447" Type="http://schemas.openxmlformats.org/officeDocument/2006/relationships/hyperlink" Target="https://www.kegg.jp/entry/1.17.4.1" TargetMode="External"/><Relationship Id="rId321" Type="http://schemas.openxmlformats.org/officeDocument/2006/relationships/hyperlink" Target="https://www.kegg.jp/entry/2.7.7.8" TargetMode="External"/><Relationship Id="rId419" Type="http://schemas.openxmlformats.org/officeDocument/2006/relationships/hyperlink" Target="https://www.kegg.jp/entry/2.7.1.6" TargetMode="External"/><Relationship Id="rId626" Type="http://schemas.openxmlformats.org/officeDocument/2006/relationships/hyperlink" Target="https://www.kegg.jp/entry/R10949" TargetMode="External"/><Relationship Id="rId973" Type="http://schemas.openxmlformats.org/officeDocument/2006/relationships/hyperlink" Target="https://enzyme.expasy.org/EC/6.3.4.2" TargetMode="External"/><Relationship Id="rId1049" Type="http://schemas.openxmlformats.org/officeDocument/2006/relationships/hyperlink" Target="https://enzyme.expasy.org/EC/2.1.1.14" TargetMode="External"/><Relationship Id="rId1256" Type="http://schemas.openxmlformats.org/officeDocument/2006/relationships/hyperlink" Target="https://enzyme.expasy.org/EC/1.1.1.42" TargetMode="External"/><Relationship Id="rId2002" Type="http://schemas.openxmlformats.org/officeDocument/2006/relationships/hyperlink" Target="https://www.kegg.jp/entry/2.7.13.3" TargetMode="External"/><Relationship Id="rId2307" Type="http://schemas.openxmlformats.org/officeDocument/2006/relationships/hyperlink" Target="https://enzyme.expasy.org/EC/2.7.1.17" TargetMode="External"/><Relationship Id="rId833" Type="http://schemas.openxmlformats.org/officeDocument/2006/relationships/hyperlink" Target="https://www.kegg.jp/entry/2.7.6.1" TargetMode="External"/><Relationship Id="rId1116" Type="http://schemas.openxmlformats.org/officeDocument/2006/relationships/hyperlink" Target="https://enzyme.expasy.org/EC/1.1.1.27" TargetMode="External"/><Relationship Id="rId1463" Type="http://schemas.openxmlformats.org/officeDocument/2006/relationships/hyperlink" Target="https://www.kegg.jp/entry/R05630" TargetMode="External"/><Relationship Id="rId1670" Type="http://schemas.openxmlformats.org/officeDocument/2006/relationships/hyperlink" Target="https://enzyme.expasy.org/EC/4.3.2.2" TargetMode="External"/><Relationship Id="rId1768" Type="http://schemas.openxmlformats.org/officeDocument/2006/relationships/hyperlink" Target="https://www.kegg.jp/entry/R04315" TargetMode="External"/><Relationship Id="rId900" Type="http://schemas.openxmlformats.org/officeDocument/2006/relationships/hyperlink" Target="https://enzyme.expasy.org/EC/2.1.-.-" TargetMode="External"/><Relationship Id="rId1323" Type="http://schemas.openxmlformats.org/officeDocument/2006/relationships/hyperlink" Target="https://www.kegg.jp/entry/R02100" TargetMode="External"/><Relationship Id="rId1530" Type="http://schemas.openxmlformats.org/officeDocument/2006/relationships/hyperlink" Target="https://www.kegg.jp/entry/R01163" TargetMode="External"/><Relationship Id="rId1628" Type="http://schemas.openxmlformats.org/officeDocument/2006/relationships/hyperlink" Target="https://enzyme.expasy.org/EC/3.1.3.5" TargetMode="External"/><Relationship Id="rId1975" Type="http://schemas.openxmlformats.org/officeDocument/2006/relationships/hyperlink" Target="https://enzyme.expasy.org/EC/1.5.1.3" TargetMode="External"/><Relationship Id="rId1835" Type="http://schemas.openxmlformats.org/officeDocument/2006/relationships/hyperlink" Target="https://enzyme.expasy.org/EC/3.5.4.16" TargetMode="External"/><Relationship Id="rId1902" Type="http://schemas.openxmlformats.org/officeDocument/2006/relationships/hyperlink" Target="https://www.kegg.jp/entry/3.2.1.23" TargetMode="External"/><Relationship Id="rId2097" Type="http://schemas.openxmlformats.org/officeDocument/2006/relationships/hyperlink" Target="https://enzyme.expasy.org/EC/2.7.4.3" TargetMode="External"/><Relationship Id="rId276" Type="http://schemas.openxmlformats.org/officeDocument/2006/relationships/hyperlink" Target="https://www.kegg.jp/entry/7.1.2.2" TargetMode="External"/><Relationship Id="rId483" Type="http://schemas.openxmlformats.org/officeDocument/2006/relationships/hyperlink" Target="https://www.kegg.jp/entry/R06010" TargetMode="External"/><Relationship Id="rId690" Type="http://schemas.openxmlformats.org/officeDocument/2006/relationships/hyperlink" Target="https://enzyme.expasy.org/EC/2.1.3.3" TargetMode="External"/><Relationship Id="rId2164" Type="http://schemas.openxmlformats.org/officeDocument/2006/relationships/hyperlink" Target="https://www.kegg.jp/entry/1.2.1.10" TargetMode="External"/><Relationship Id="rId2371" Type="http://schemas.openxmlformats.org/officeDocument/2006/relationships/hyperlink" Target="https://enzyme.expasy.org/EC/3.2.1.22" TargetMode="External"/><Relationship Id="rId136" Type="http://schemas.openxmlformats.org/officeDocument/2006/relationships/hyperlink" Target="https://enzyme.expasy.org/EC/1.1.1.86" TargetMode="External"/><Relationship Id="rId343" Type="http://schemas.openxmlformats.org/officeDocument/2006/relationships/hyperlink" Target="https://www.kegg.jp/entry/R03050" TargetMode="External"/><Relationship Id="rId550" Type="http://schemas.openxmlformats.org/officeDocument/2006/relationships/hyperlink" Target="https://www.kegg.jp/entry/4.1.1.21" TargetMode="External"/><Relationship Id="rId788" Type="http://schemas.openxmlformats.org/officeDocument/2006/relationships/hyperlink" Target="https://www.kegg.jp/entry/2.7.1.40" TargetMode="External"/><Relationship Id="rId995" Type="http://schemas.openxmlformats.org/officeDocument/2006/relationships/hyperlink" Target="https://www.kegg.jp/entry/2.1.1.193" TargetMode="External"/><Relationship Id="rId1180" Type="http://schemas.openxmlformats.org/officeDocument/2006/relationships/hyperlink" Target="https://www.kegg.jp/entry/2.1.2.3" TargetMode="External"/><Relationship Id="rId2024" Type="http://schemas.openxmlformats.org/officeDocument/2006/relationships/hyperlink" Target="https://www.kegg.jp/entry/2.7.1.162" TargetMode="External"/><Relationship Id="rId2231" Type="http://schemas.openxmlformats.org/officeDocument/2006/relationships/hyperlink" Target="https://enzyme.expasy.org/EC/2.7.7.-" TargetMode="External"/><Relationship Id="rId2469" Type="http://schemas.openxmlformats.org/officeDocument/2006/relationships/hyperlink" Target="https://enzyme.expasy.org/EC/1.17.4.1" TargetMode="External"/><Relationship Id="rId203" Type="http://schemas.openxmlformats.org/officeDocument/2006/relationships/hyperlink" Target="https://enzyme.expasy.org/EC/2.4.-.-" TargetMode="External"/><Relationship Id="rId648" Type="http://schemas.openxmlformats.org/officeDocument/2006/relationships/hyperlink" Target="https://enzyme.expasy.org/EC/3.6.4.-" TargetMode="External"/><Relationship Id="rId855" Type="http://schemas.openxmlformats.org/officeDocument/2006/relationships/hyperlink" Target="https://www.kegg.jp/entry/7.4.2.11" TargetMode="External"/><Relationship Id="rId1040" Type="http://schemas.openxmlformats.org/officeDocument/2006/relationships/hyperlink" Target="https://www.kegg.jp/entry/R02133" TargetMode="External"/><Relationship Id="rId1278" Type="http://schemas.openxmlformats.org/officeDocument/2006/relationships/hyperlink" Target="https://enzyme.expasy.org/EC/2.7.7.7" TargetMode="External"/><Relationship Id="rId1485" Type="http://schemas.openxmlformats.org/officeDocument/2006/relationships/hyperlink" Target="https://enzyme.expasy.org/EC/1.1.1.27" TargetMode="External"/><Relationship Id="rId1692" Type="http://schemas.openxmlformats.org/officeDocument/2006/relationships/hyperlink" Target="https://enzyme.expasy.org/EC/3.1.3.3" TargetMode="External"/><Relationship Id="rId2329" Type="http://schemas.openxmlformats.org/officeDocument/2006/relationships/hyperlink" Target="https://www.kegg.jp/entry/R04773" TargetMode="External"/><Relationship Id="rId410" Type="http://schemas.openxmlformats.org/officeDocument/2006/relationships/hyperlink" Target="https://www.kegg.jp/entry/R00994" TargetMode="External"/><Relationship Id="rId508" Type="http://schemas.openxmlformats.org/officeDocument/2006/relationships/hyperlink" Target="https://www.kegg.jp/entry/R04945" TargetMode="External"/><Relationship Id="rId715" Type="http://schemas.openxmlformats.org/officeDocument/2006/relationships/hyperlink" Target="https://www.kegg.jp/entry/4.2.3.1" TargetMode="External"/><Relationship Id="rId922" Type="http://schemas.openxmlformats.org/officeDocument/2006/relationships/hyperlink" Target="https://www.kegg.jp/entry/R01248" TargetMode="External"/><Relationship Id="rId1138" Type="http://schemas.openxmlformats.org/officeDocument/2006/relationships/hyperlink" Target="https://www.kegg.jp/entry/2.2.1.1" TargetMode="External"/><Relationship Id="rId1345" Type="http://schemas.openxmlformats.org/officeDocument/2006/relationships/hyperlink" Target="https://www.kegg.jp/entry/2.5.1.75" TargetMode="External"/><Relationship Id="rId1552" Type="http://schemas.openxmlformats.org/officeDocument/2006/relationships/hyperlink" Target="https://www.kegg.jp/entry/2.7.7.7" TargetMode="External"/><Relationship Id="rId1997" Type="http://schemas.openxmlformats.org/officeDocument/2006/relationships/hyperlink" Target="https://enzyme.expasy.org/EC/2.6.1.52" TargetMode="External"/><Relationship Id="rId1205" Type="http://schemas.openxmlformats.org/officeDocument/2006/relationships/hyperlink" Target="https://enzyme.expasy.org/EC/4.2.1.20" TargetMode="External"/><Relationship Id="rId1857" Type="http://schemas.openxmlformats.org/officeDocument/2006/relationships/hyperlink" Target="https://enzyme.expasy.org/EC/2.4.-.-" TargetMode="External"/><Relationship Id="rId51" Type="http://schemas.openxmlformats.org/officeDocument/2006/relationships/hyperlink" Target="https://www.kegg.jp/entry/4.1.3.27" TargetMode="External"/><Relationship Id="rId1412" Type="http://schemas.openxmlformats.org/officeDocument/2006/relationships/hyperlink" Target="https://enzyme.expasy.org/EC/3.4.-.-" TargetMode="External"/><Relationship Id="rId1717" Type="http://schemas.openxmlformats.org/officeDocument/2006/relationships/hyperlink" Target="https://enzyme.expasy.org/EC/2.7.7.6" TargetMode="External"/><Relationship Id="rId1924" Type="http://schemas.openxmlformats.org/officeDocument/2006/relationships/hyperlink" Target="https://enzyme.expasy.org/EC/3.2.1.52" TargetMode="External"/><Relationship Id="rId298" Type="http://schemas.openxmlformats.org/officeDocument/2006/relationships/hyperlink" Target="https://www.kegg.jp/entry/R04273" TargetMode="External"/><Relationship Id="rId158" Type="http://schemas.openxmlformats.org/officeDocument/2006/relationships/hyperlink" Target="https://www.kegg.jp/entry/R06069" TargetMode="External"/><Relationship Id="rId2186" Type="http://schemas.openxmlformats.org/officeDocument/2006/relationships/hyperlink" Target="https://www.kegg.jp/entry/2.7.7.7" TargetMode="External"/><Relationship Id="rId2393" Type="http://schemas.openxmlformats.org/officeDocument/2006/relationships/hyperlink" Target="https://www.kegg.jp/entry/3.2.1.22" TargetMode="External"/><Relationship Id="rId365" Type="http://schemas.openxmlformats.org/officeDocument/2006/relationships/hyperlink" Target="https://www.kegg.jp/entry/R02739" TargetMode="External"/><Relationship Id="rId572" Type="http://schemas.openxmlformats.org/officeDocument/2006/relationships/hyperlink" Target="https://enzyme.expasy.org/EC/2.7.7.7" TargetMode="External"/><Relationship Id="rId2046" Type="http://schemas.openxmlformats.org/officeDocument/2006/relationships/hyperlink" Target="https://www.kegg.jp/entry/5.4.2.2" TargetMode="External"/><Relationship Id="rId2253" Type="http://schemas.openxmlformats.org/officeDocument/2006/relationships/hyperlink" Target="https://enzyme.expasy.org/EC/2.7.1.39" TargetMode="External"/><Relationship Id="rId2460" Type="http://schemas.openxmlformats.org/officeDocument/2006/relationships/hyperlink" Target="https://www.kegg.jp/entry/R04294" TargetMode="External"/><Relationship Id="rId225" Type="http://schemas.openxmlformats.org/officeDocument/2006/relationships/hyperlink" Target="https://www.kegg.jp/entry/R11029" TargetMode="External"/><Relationship Id="rId432" Type="http://schemas.openxmlformats.org/officeDocument/2006/relationships/hyperlink" Target="https://www.kegg.jp/entry/R10813" TargetMode="External"/><Relationship Id="rId877" Type="http://schemas.openxmlformats.org/officeDocument/2006/relationships/hyperlink" Target="https://enzyme.expasy.org/EC/4.4.1.13" TargetMode="External"/><Relationship Id="rId1062" Type="http://schemas.openxmlformats.org/officeDocument/2006/relationships/hyperlink" Target="https://enzyme.expasy.org/EC/3.5.1.24" TargetMode="External"/><Relationship Id="rId2113" Type="http://schemas.openxmlformats.org/officeDocument/2006/relationships/hyperlink" Target="https://enzyme.expasy.org/EC/1.1.1.1" TargetMode="External"/><Relationship Id="rId2320" Type="http://schemas.openxmlformats.org/officeDocument/2006/relationships/hyperlink" Target="https://enzyme.expasy.org/EC/2.4.2.-" TargetMode="External"/><Relationship Id="rId737" Type="http://schemas.openxmlformats.org/officeDocument/2006/relationships/hyperlink" Target="https://www.kegg.jp/entry/4.2.1.11" TargetMode="External"/><Relationship Id="rId944" Type="http://schemas.openxmlformats.org/officeDocument/2006/relationships/hyperlink" Target="https://www.kegg.jp/entry/R01229" TargetMode="External"/><Relationship Id="rId1367" Type="http://schemas.openxmlformats.org/officeDocument/2006/relationships/hyperlink" Target="https://www.kegg.jp/entry/R01325" TargetMode="External"/><Relationship Id="rId1574" Type="http://schemas.openxmlformats.org/officeDocument/2006/relationships/hyperlink" Target="https://www.kegg.jp/entry/R03471" TargetMode="External"/><Relationship Id="rId1781" Type="http://schemas.openxmlformats.org/officeDocument/2006/relationships/hyperlink" Target="https://enzyme.expasy.org/EC/2.3.1.-" TargetMode="External"/><Relationship Id="rId2418" Type="http://schemas.openxmlformats.org/officeDocument/2006/relationships/hyperlink" Target="https://www.kegg.jp/entry/3.5.4.33" TargetMode="External"/><Relationship Id="rId73" Type="http://schemas.openxmlformats.org/officeDocument/2006/relationships/hyperlink" Target="https://enzyme.expasy.org/EC/1.8.4.12" TargetMode="External"/><Relationship Id="rId804" Type="http://schemas.openxmlformats.org/officeDocument/2006/relationships/hyperlink" Target="https://enzyme.expasy.org/EC/2.7.7.7" TargetMode="External"/><Relationship Id="rId1227" Type="http://schemas.openxmlformats.org/officeDocument/2006/relationships/hyperlink" Target="https://www.kegg.jp/entry/3.5.4.19" TargetMode="External"/><Relationship Id="rId1434" Type="http://schemas.openxmlformats.org/officeDocument/2006/relationships/hyperlink" Target="https://www.kegg.jp/entry/R04858" TargetMode="External"/><Relationship Id="rId1641" Type="http://schemas.openxmlformats.org/officeDocument/2006/relationships/hyperlink" Target="https://www.kegg.jp/entry/3.1.3.5" TargetMode="External"/><Relationship Id="rId1879" Type="http://schemas.openxmlformats.org/officeDocument/2006/relationships/hyperlink" Target="https://enzyme.expasy.org/EC/3.2.1.23" TargetMode="External"/><Relationship Id="rId1501" Type="http://schemas.openxmlformats.org/officeDocument/2006/relationships/hyperlink" Target="https://www.kegg.jp/entry/R03509" TargetMode="External"/><Relationship Id="rId1739" Type="http://schemas.openxmlformats.org/officeDocument/2006/relationships/hyperlink" Target="https://www.kegg.jp/entry/2.1.1.72" TargetMode="External"/><Relationship Id="rId1946" Type="http://schemas.openxmlformats.org/officeDocument/2006/relationships/hyperlink" Target="https://www.kegg.jp/entry/3.2.1.52" TargetMode="External"/><Relationship Id="rId1806" Type="http://schemas.openxmlformats.org/officeDocument/2006/relationships/hyperlink" Target="https://www.kegg.jp/entry/R10463" TargetMode="External"/><Relationship Id="rId387" Type="http://schemas.openxmlformats.org/officeDocument/2006/relationships/hyperlink" Target="https://www.kegg.jp/entry/R06010" TargetMode="External"/><Relationship Id="rId594" Type="http://schemas.openxmlformats.org/officeDocument/2006/relationships/hyperlink" Target="https://www.kegg.jp/entry/R04591" TargetMode="External"/><Relationship Id="rId2068" Type="http://schemas.openxmlformats.org/officeDocument/2006/relationships/hyperlink" Target="https://www.kegg.jp/entry/R00549" TargetMode="External"/><Relationship Id="rId2275" Type="http://schemas.openxmlformats.org/officeDocument/2006/relationships/hyperlink" Target="https://www.kegg.jp/entry/4.2.1.33" TargetMode="External"/><Relationship Id="rId247" Type="http://schemas.openxmlformats.org/officeDocument/2006/relationships/hyperlink" Target="https://www.kegg.jp/entry/1.1.1.49" TargetMode="External"/><Relationship Id="rId899" Type="http://schemas.openxmlformats.org/officeDocument/2006/relationships/hyperlink" Target="https://enzyme.expasy.org/EC/3.2.2.-" TargetMode="External"/><Relationship Id="rId1084" Type="http://schemas.openxmlformats.org/officeDocument/2006/relationships/hyperlink" Target="https://www.kegg.jp/entry/2.1.3.2" TargetMode="External"/><Relationship Id="rId2482" Type="http://schemas.openxmlformats.org/officeDocument/2006/relationships/hyperlink" Target="https://www.kegg.jp/entry/R02018" TargetMode="External"/><Relationship Id="rId107" Type="http://schemas.openxmlformats.org/officeDocument/2006/relationships/hyperlink" Target="https://enzyme.expasy.org/EC/6.3.4.4" TargetMode="External"/><Relationship Id="rId454" Type="http://schemas.openxmlformats.org/officeDocument/2006/relationships/hyperlink" Target="https://enzyme.expasy.org/EC/3.4.11.2" TargetMode="External"/><Relationship Id="rId661" Type="http://schemas.openxmlformats.org/officeDocument/2006/relationships/hyperlink" Target="https://enzyme.expasy.org/EC/6.5.1.2" TargetMode="External"/><Relationship Id="rId759" Type="http://schemas.openxmlformats.org/officeDocument/2006/relationships/hyperlink" Target="https://www.kegg.jp/entry/2.7.13.3" TargetMode="External"/><Relationship Id="rId966" Type="http://schemas.openxmlformats.org/officeDocument/2006/relationships/hyperlink" Target="https://www.kegg.jp/entry/4.2.3.5" TargetMode="External"/><Relationship Id="rId1291" Type="http://schemas.openxmlformats.org/officeDocument/2006/relationships/hyperlink" Target="https://www.kegg.jp/entry/R11029" TargetMode="External"/><Relationship Id="rId1389" Type="http://schemas.openxmlformats.org/officeDocument/2006/relationships/hyperlink" Target="https://www.kegg.jp/entry/R00481" TargetMode="External"/><Relationship Id="rId1596" Type="http://schemas.openxmlformats.org/officeDocument/2006/relationships/hyperlink" Target="https://enzyme.expasy.org/EC/3.1.3.2" TargetMode="External"/><Relationship Id="rId2135" Type="http://schemas.openxmlformats.org/officeDocument/2006/relationships/hyperlink" Target="https://www.kegg.jp/entry/1.1.1.1" TargetMode="External"/><Relationship Id="rId2342" Type="http://schemas.openxmlformats.org/officeDocument/2006/relationships/hyperlink" Target="https://www.kegg.jp/entry/R10634" TargetMode="External"/><Relationship Id="rId314" Type="http://schemas.openxmlformats.org/officeDocument/2006/relationships/hyperlink" Target="https://www.kegg.jp/entry/2.1.1.63" TargetMode="External"/><Relationship Id="rId521" Type="http://schemas.openxmlformats.org/officeDocument/2006/relationships/hyperlink" Target="https://enzyme.expasy.org/EC/3.5.1.2" TargetMode="External"/><Relationship Id="rId619" Type="http://schemas.openxmlformats.org/officeDocument/2006/relationships/hyperlink" Target="https://www.kegg.jp/entry/R00575" TargetMode="External"/><Relationship Id="rId1151" Type="http://schemas.openxmlformats.org/officeDocument/2006/relationships/hyperlink" Target="https://www.kegg.jp/entry/R05627" TargetMode="External"/><Relationship Id="rId1249" Type="http://schemas.openxmlformats.org/officeDocument/2006/relationships/hyperlink" Target="https://www.kegg.jp/entry/3.5.1.88" TargetMode="External"/><Relationship Id="rId2202" Type="http://schemas.openxmlformats.org/officeDocument/2006/relationships/hyperlink" Target="https://www.kegg.jp/entry/1.3.1.98" TargetMode="External"/><Relationship Id="rId95" Type="http://schemas.openxmlformats.org/officeDocument/2006/relationships/hyperlink" Target="https://enzyme.expasy.org/EC/4.1.2.13" TargetMode="External"/><Relationship Id="rId826" Type="http://schemas.openxmlformats.org/officeDocument/2006/relationships/hyperlink" Target="https://enzyme.expasy.org/EC/2.3.1.8" TargetMode="External"/><Relationship Id="rId1011" Type="http://schemas.openxmlformats.org/officeDocument/2006/relationships/hyperlink" Target="https://www.kegg.jp/entry/2.6.1.42" TargetMode="External"/><Relationship Id="rId1109" Type="http://schemas.openxmlformats.org/officeDocument/2006/relationships/hyperlink" Target="https://www.kegg.jp/entry/R01512" TargetMode="External"/><Relationship Id="rId1456" Type="http://schemas.openxmlformats.org/officeDocument/2006/relationships/hyperlink" Target="https://www.kegg.jp/entry/6.3.2.9" TargetMode="External"/><Relationship Id="rId1663" Type="http://schemas.openxmlformats.org/officeDocument/2006/relationships/hyperlink" Target="https://www.kegg.jp/entry/R01884" TargetMode="External"/><Relationship Id="rId1870" Type="http://schemas.openxmlformats.org/officeDocument/2006/relationships/hyperlink" Target="https://www.kegg.jp/entry/R02257" TargetMode="External"/><Relationship Id="rId1968" Type="http://schemas.openxmlformats.org/officeDocument/2006/relationships/hyperlink" Target="https://www.kegg.jp/entry/R02585" TargetMode="External"/><Relationship Id="rId2507" Type="http://schemas.openxmlformats.org/officeDocument/2006/relationships/hyperlink" Target="https://www.kegg.jp/entry/2.1.1.170" TargetMode="External"/><Relationship Id="rId1316" Type="http://schemas.openxmlformats.org/officeDocument/2006/relationships/hyperlink" Target="https://enzyme.expasy.org/EC/2.7.6.5" TargetMode="External"/><Relationship Id="rId1523" Type="http://schemas.openxmlformats.org/officeDocument/2006/relationships/hyperlink" Target="https://enzyme.expasy.org/EC/1.1.1.23" TargetMode="External"/><Relationship Id="rId1730" Type="http://schemas.openxmlformats.org/officeDocument/2006/relationships/hyperlink" Target="https://enzyme.expasy.org/EC/2.5.1.6" TargetMode="External"/><Relationship Id="rId22" Type="http://schemas.openxmlformats.org/officeDocument/2006/relationships/hyperlink" Target="https://www.kegg.jp/entry/2.4.1.1" TargetMode="External"/><Relationship Id="rId1828" Type="http://schemas.openxmlformats.org/officeDocument/2006/relationships/hyperlink" Target="https://www.kegg.jp/entry/R03503" TargetMode="External"/><Relationship Id="rId171" Type="http://schemas.openxmlformats.org/officeDocument/2006/relationships/hyperlink" Target="https://www.kegg.jp/entry/2.7.7.7" TargetMode="External"/><Relationship Id="rId2297" Type="http://schemas.openxmlformats.org/officeDocument/2006/relationships/hyperlink" Target="https://www.kegg.jp/entry/2.1.1.177" TargetMode="External"/><Relationship Id="rId269" Type="http://schemas.openxmlformats.org/officeDocument/2006/relationships/hyperlink" Target="https://enzyme.expasy.org/EC/2.3.1.46" TargetMode="External"/><Relationship Id="rId476" Type="http://schemas.openxmlformats.org/officeDocument/2006/relationships/hyperlink" Target="https://www.kegg.jp/entry/R01105" TargetMode="External"/><Relationship Id="rId683" Type="http://schemas.openxmlformats.org/officeDocument/2006/relationships/hyperlink" Target="https://www.kegg.jp/entry/R02282" TargetMode="External"/><Relationship Id="rId890" Type="http://schemas.openxmlformats.org/officeDocument/2006/relationships/hyperlink" Target="https://www.kegg.jp/entry/4.4.1.13" TargetMode="External"/><Relationship Id="rId2157" Type="http://schemas.openxmlformats.org/officeDocument/2006/relationships/hyperlink" Target="https://www.kegg.jp/entry/R08558" TargetMode="External"/><Relationship Id="rId2364" Type="http://schemas.openxmlformats.org/officeDocument/2006/relationships/hyperlink" Target="https://enzyme.expasy.org/EC/3.2.1.22" TargetMode="External"/><Relationship Id="rId129" Type="http://schemas.openxmlformats.org/officeDocument/2006/relationships/hyperlink" Target="https://www.kegg.jp/entry/R03051" TargetMode="External"/><Relationship Id="rId336" Type="http://schemas.openxmlformats.org/officeDocument/2006/relationships/hyperlink" Target="https://enzyme.expasy.org/EC/2.2.1.6" TargetMode="External"/><Relationship Id="rId543" Type="http://schemas.openxmlformats.org/officeDocument/2006/relationships/hyperlink" Target="https://www.kegg.jp/entry/R04120" TargetMode="External"/><Relationship Id="rId988" Type="http://schemas.openxmlformats.org/officeDocument/2006/relationships/hyperlink" Target="https://www.kegg.jp/entry/R11528" TargetMode="External"/><Relationship Id="rId1173" Type="http://schemas.openxmlformats.org/officeDocument/2006/relationships/hyperlink" Target="https://enzyme.expasy.org/EC/6.2.1.5" TargetMode="External"/><Relationship Id="rId1380" Type="http://schemas.openxmlformats.org/officeDocument/2006/relationships/hyperlink" Target="https://www.kegg.jp/entry/R00691" TargetMode="External"/><Relationship Id="rId2017" Type="http://schemas.openxmlformats.org/officeDocument/2006/relationships/hyperlink" Target="https://enzyme.expasy.org/EC/5.1.3.2" TargetMode="External"/><Relationship Id="rId2224" Type="http://schemas.openxmlformats.org/officeDocument/2006/relationships/hyperlink" Target="https://www.kegg.jp/entry/R01826" TargetMode="External"/><Relationship Id="rId403" Type="http://schemas.openxmlformats.org/officeDocument/2006/relationships/hyperlink" Target="https://enzyme.expasy.org/EC/1.1.1.85" TargetMode="External"/><Relationship Id="rId750" Type="http://schemas.openxmlformats.org/officeDocument/2006/relationships/hyperlink" Target="https://www.kegg.jp/entry/R00220" TargetMode="External"/><Relationship Id="rId848" Type="http://schemas.openxmlformats.org/officeDocument/2006/relationships/hyperlink" Target="https://enzyme.expasy.org/EC/2.7.7.23" TargetMode="External"/><Relationship Id="rId1033" Type="http://schemas.openxmlformats.org/officeDocument/2006/relationships/hyperlink" Target="https://www.kegg.jp/entry/R06049" TargetMode="External"/><Relationship Id="rId1478" Type="http://schemas.openxmlformats.org/officeDocument/2006/relationships/hyperlink" Target="https://www.kegg.jp/entry/1.1.1.95" TargetMode="External"/><Relationship Id="rId1685" Type="http://schemas.openxmlformats.org/officeDocument/2006/relationships/hyperlink" Target="https://www.kegg.jp/entry/R11208" TargetMode="External"/><Relationship Id="rId1892" Type="http://schemas.openxmlformats.org/officeDocument/2006/relationships/hyperlink" Target="https://www.kegg.jp/entry/3.2.1.23" TargetMode="External"/><Relationship Id="rId2431" Type="http://schemas.openxmlformats.org/officeDocument/2006/relationships/hyperlink" Target="https://enzyme.expasy.org/EC/7.5.2.-" TargetMode="External"/><Relationship Id="rId610" Type="http://schemas.openxmlformats.org/officeDocument/2006/relationships/hyperlink" Target="https://www.kegg.jp/entry/6.3.5.5" TargetMode="External"/><Relationship Id="rId708" Type="http://schemas.openxmlformats.org/officeDocument/2006/relationships/hyperlink" Target="https://enzyme.expasy.org/EC/3.-.-.-" TargetMode="External"/><Relationship Id="rId915" Type="http://schemas.openxmlformats.org/officeDocument/2006/relationships/hyperlink" Target="https://www.kegg.jp/entry/1.5.1.2" TargetMode="External"/><Relationship Id="rId1240" Type="http://schemas.openxmlformats.org/officeDocument/2006/relationships/hyperlink" Target="https://enzyme.expasy.org/EC/2.7.7.41" TargetMode="External"/><Relationship Id="rId1338" Type="http://schemas.openxmlformats.org/officeDocument/2006/relationships/hyperlink" Target="https://enzyme.expasy.org/EC/2.4.2.18" TargetMode="External"/><Relationship Id="rId1545" Type="http://schemas.openxmlformats.org/officeDocument/2006/relationships/hyperlink" Target="https://enzyme.expasy.org/EC/2.7.7.7" TargetMode="External"/><Relationship Id="rId1100" Type="http://schemas.openxmlformats.org/officeDocument/2006/relationships/hyperlink" Target="https://www.kegg.jp/entry/R08231" TargetMode="External"/><Relationship Id="rId1405" Type="http://schemas.openxmlformats.org/officeDocument/2006/relationships/hyperlink" Target="https://www.kegg.jp/entry/R05884" TargetMode="External"/><Relationship Id="rId1752" Type="http://schemas.openxmlformats.org/officeDocument/2006/relationships/hyperlink" Target="https://enzyme.expasy.org/EC/2.3.1.-" TargetMode="External"/><Relationship Id="rId44" Type="http://schemas.openxmlformats.org/officeDocument/2006/relationships/hyperlink" Target="https://www.kegg.jp/entry/4.1.1.31" TargetMode="External"/><Relationship Id="rId1612" Type="http://schemas.openxmlformats.org/officeDocument/2006/relationships/hyperlink" Target="https://enzyme.expasy.org/EC/6.1.1.21" TargetMode="External"/><Relationship Id="rId1917" Type="http://schemas.openxmlformats.org/officeDocument/2006/relationships/hyperlink" Target="https://www.kegg.jp/entry/R06202" TargetMode="External"/><Relationship Id="rId193" Type="http://schemas.openxmlformats.org/officeDocument/2006/relationships/hyperlink" Target="https://www.kegg.jp/entry/R02087" TargetMode="External"/><Relationship Id="rId498" Type="http://schemas.openxmlformats.org/officeDocument/2006/relationships/hyperlink" Target="https://enzyme.expasy.org/EC/2.5.1.48" TargetMode="External"/><Relationship Id="rId2081" Type="http://schemas.openxmlformats.org/officeDocument/2006/relationships/hyperlink" Target="https://enzyme.expasy.org/EC/2.7.7.6" TargetMode="External"/><Relationship Id="rId2179" Type="http://schemas.openxmlformats.org/officeDocument/2006/relationships/hyperlink" Target="https://www.kegg.jp/entry/2.7.7.7" TargetMode="External"/><Relationship Id="rId260" Type="http://schemas.openxmlformats.org/officeDocument/2006/relationships/hyperlink" Target="https://www.kegg.jp/entry/5.4.99.5" TargetMode="External"/><Relationship Id="rId2386" Type="http://schemas.openxmlformats.org/officeDocument/2006/relationships/hyperlink" Target="https://www.kegg.jp/entry/3.2.1.22" TargetMode="External"/><Relationship Id="rId120" Type="http://schemas.openxmlformats.org/officeDocument/2006/relationships/hyperlink" Target="https://enzyme.expasy.org/EC/1.1.1.86" TargetMode="External"/><Relationship Id="rId358" Type="http://schemas.openxmlformats.org/officeDocument/2006/relationships/hyperlink" Target="https://enzyme.expasy.org/EC/3.6.1.-" TargetMode="External"/><Relationship Id="rId565" Type="http://schemas.openxmlformats.org/officeDocument/2006/relationships/hyperlink" Target="https://enzyme.expasy.org/EC/2.4.2.14" TargetMode="External"/><Relationship Id="rId772" Type="http://schemas.openxmlformats.org/officeDocument/2006/relationships/hyperlink" Target="https://www.kegg.jp/entry/2.7.1.24" TargetMode="External"/><Relationship Id="rId1195" Type="http://schemas.openxmlformats.org/officeDocument/2006/relationships/hyperlink" Target="https://www.kegg.jp/entry/3.6.1.31" TargetMode="External"/><Relationship Id="rId2039" Type="http://schemas.openxmlformats.org/officeDocument/2006/relationships/hyperlink" Target="https://www.kegg.jp/entry/6.1.1.11" TargetMode="External"/><Relationship Id="rId2246" Type="http://schemas.openxmlformats.org/officeDocument/2006/relationships/hyperlink" Target="https://www.kegg.jp/entry/R00239" TargetMode="External"/><Relationship Id="rId2453" Type="http://schemas.openxmlformats.org/officeDocument/2006/relationships/hyperlink" Target="https://www.kegg.jp/entry/R11893" TargetMode="External"/><Relationship Id="rId218" Type="http://schemas.openxmlformats.org/officeDocument/2006/relationships/hyperlink" Target="https://enzyme.expasy.org/EC/2.7.7.7" TargetMode="External"/><Relationship Id="rId425" Type="http://schemas.openxmlformats.org/officeDocument/2006/relationships/hyperlink" Target="https://www.kegg.jp/entry/2.7.7.6" TargetMode="External"/><Relationship Id="rId632" Type="http://schemas.openxmlformats.org/officeDocument/2006/relationships/hyperlink" Target="https://www.kegg.jp/entry/2.7.4.8" TargetMode="External"/><Relationship Id="rId1055" Type="http://schemas.openxmlformats.org/officeDocument/2006/relationships/hyperlink" Target="https://enzyme.expasy.org/EC/1.5.1.20" TargetMode="External"/><Relationship Id="rId1262" Type="http://schemas.openxmlformats.org/officeDocument/2006/relationships/hyperlink" Target="https://enzyme.expasy.org/EC/3.4.24.-" TargetMode="External"/><Relationship Id="rId2106" Type="http://schemas.openxmlformats.org/officeDocument/2006/relationships/hyperlink" Target="https://enzyme.expasy.org/EC/1.1.1.1" TargetMode="External"/><Relationship Id="rId2313" Type="http://schemas.openxmlformats.org/officeDocument/2006/relationships/hyperlink" Target="https://enzyme.expasy.org/EC/2.7.7.24" TargetMode="External"/><Relationship Id="rId937" Type="http://schemas.openxmlformats.org/officeDocument/2006/relationships/hyperlink" Target="https://www.kegg.jp/entry/2.7.13.3" TargetMode="External"/><Relationship Id="rId1122" Type="http://schemas.openxmlformats.org/officeDocument/2006/relationships/hyperlink" Target="https://enzyme.expasy.org/EC/3.-.-.-" TargetMode="External"/><Relationship Id="rId1567" Type="http://schemas.openxmlformats.org/officeDocument/2006/relationships/hyperlink" Target="https://www.kegg.jp/entry/2.7.1.50" TargetMode="External"/><Relationship Id="rId1774" Type="http://schemas.openxmlformats.org/officeDocument/2006/relationships/hyperlink" Target="https://www.kegg.jp/entry/3.1.11.6" TargetMode="External"/><Relationship Id="rId1981" Type="http://schemas.openxmlformats.org/officeDocument/2006/relationships/hyperlink" Target="https://www.kegg.jp/entry/1.5.1.3" TargetMode="External"/><Relationship Id="rId66" Type="http://schemas.openxmlformats.org/officeDocument/2006/relationships/hyperlink" Target="https://www.kegg.jp/entry/R06178" TargetMode="External"/><Relationship Id="rId1427" Type="http://schemas.openxmlformats.org/officeDocument/2006/relationships/hyperlink" Target="https://enzyme.expasy.org/EC/3.1.21.10" TargetMode="External"/><Relationship Id="rId1634" Type="http://schemas.openxmlformats.org/officeDocument/2006/relationships/hyperlink" Target="https://www.kegg.jp/entry/3.1.3.5" TargetMode="External"/><Relationship Id="rId1841" Type="http://schemas.openxmlformats.org/officeDocument/2006/relationships/hyperlink" Target="https://www.kegg.jp/entry/3.5.4.16" TargetMode="External"/><Relationship Id="rId1939" Type="http://schemas.openxmlformats.org/officeDocument/2006/relationships/hyperlink" Target="https://www.kegg.jp/entry/3.2.1.52" TargetMode="External"/><Relationship Id="rId1701" Type="http://schemas.openxmlformats.org/officeDocument/2006/relationships/hyperlink" Target="https://www.kegg.jp/entry/R03940" TargetMode="External"/><Relationship Id="rId282" Type="http://schemas.openxmlformats.org/officeDocument/2006/relationships/hyperlink" Target="https://www.kegg.jp/entry/7.1.2.2" TargetMode="External"/><Relationship Id="rId587" Type="http://schemas.openxmlformats.org/officeDocument/2006/relationships/hyperlink" Target="https://www.kegg.jp/entry/3.2.2.15" TargetMode="External"/><Relationship Id="rId2170" Type="http://schemas.openxmlformats.org/officeDocument/2006/relationships/hyperlink" Target="https://www.kegg.jp/entry/3.2.1.196" TargetMode="External"/><Relationship Id="rId2268" Type="http://schemas.openxmlformats.org/officeDocument/2006/relationships/hyperlink" Target="https://www.kegg.jp/entry/2.5.1.7" TargetMode="External"/><Relationship Id="rId8" Type="http://schemas.openxmlformats.org/officeDocument/2006/relationships/hyperlink" Target="https://enzyme.expasy.org/EC/1.16.-.-" TargetMode="External"/><Relationship Id="rId142" Type="http://schemas.openxmlformats.org/officeDocument/2006/relationships/hyperlink" Target="https://www.kegg.jp/entry/1.1.1.86" TargetMode="External"/><Relationship Id="rId447" Type="http://schemas.openxmlformats.org/officeDocument/2006/relationships/hyperlink" Target="https://www.kegg.jp/entry/R04198" TargetMode="External"/><Relationship Id="rId794" Type="http://schemas.openxmlformats.org/officeDocument/2006/relationships/hyperlink" Target="https://www.kegg.jp/entry/R00659" TargetMode="External"/><Relationship Id="rId1077" Type="http://schemas.openxmlformats.org/officeDocument/2006/relationships/hyperlink" Target="https://enzyme.expasy.org/EC/2.7.7.42" TargetMode="External"/><Relationship Id="rId2030" Type="http://schemas.openxmlformats.org/officeDocument/2006/relationships/hyperlink" Target="https://www.kegg.jp/entry/R08967" TargetMode="External"/><Relationship Id="rId2128" Type="http://schemas.openxmlformats.org/officeDocument/2006/relationships/hyperlink" Target="https://www.kegg.jp/entry/1.1.1.1" TargetMode="External"/><Relationship Id="rId2475" Type="http://schemas.openxmlformats.org/officeDocument/2006/relationships/hyperlink" Target="https://www.kegg.jp/entry/1.17.4.1" TargetMode="External"/><Relationship Id="rId654" Type="http://schemas.openxmlformats.org/officeDocument/2006/relationships/hyperlink" Target="https://www.kegg.jp/entry/1.1.1.267" TargetMode="External"/><Relationship Id="rId861" Type="http://schemas.openxmlformats.org/officeDocument/2006/relationships/hyperlink" Target="https://www.kegg.jp/entry/R00257" TargetMode="External"/><Relationship Id="rId959" Type="http://schemas.openxmlformats.org/officeDocument/2006/relationships/hyperlink" Target="https://enzyme.expasy.org/EC/3.1.-.-" TargetMode="External"/><Relationship Id="rId1284" Type="http://schemas.openxmlformats.org/officeDocument/2006/relationships/hyperlink" Target="https://www.kegg.jp/entry/2.7.7.7" TargetMode="External"/><Relationship Id="rId1491" Type="http://schemas.openxmlformats.org/officeDocument/2006/relationships/hyperlink" Target="https://www.kegg.jp/entry/R03104" TargetMode="External"/><Relationship Id="rId1589" Type="http://schemas.openxmlformats.org/officeDocument/2006/relationships/hyperlink" Target="https://enzyme.expasy.org/EC/3.6.4.-" TargetMode="External"/><Relationship Id="rId2335" Type="http://schemas.openxmlformats.org/officeDocument/2006/relationships/hyperlink" Target="https://enzyme.expasy.org/EC/7.-.-.-" TargetMode="External"/><Relationship Id="rId307" Type="http://schemas.openxmlformats.org/officeDocument/2006/relationships/hyperlink" Target="https://enzyme.expasy.org/EC/7.-.-.-" TargetMode="External"/><Relationship Id="rId514" Type="http://schemas.openxmlformats.org/officeDocument/2006/relationships/hyperlink" Target="https://www.kegg.jp/entry/R01291" TargetMode="External"/><Relationship Id="rId721" Type="http://schemas.openxmlformats.org/officeDocument/2006/relationships/hyperlink" Target="https://www.kegg.jp/entry/1.2.1.41" TargetMode="External"/><Relationship Id="rId1144" Type="http://schemas.openxmlformats.org/officeDocument/2006/relationships/hyperlink" Target="https://www.kegg.jp/entry/R01830" TargetMode="External"/><Relationship Id="rId1351" Type="http://schemas.openxmlformats.org/officeDocument/2006/relationships/hyperlink" Target="https://www.kegg.jp/entry/2.8.4.3" TargetMode="External"/><Relationship Id="rId1449" Type="http://schemas.openxmlformats.org/officeDocument/2006/relationships/hyperlink" Target="https://www.kegg.jp/entry/2.4.1.227" TargetMode="External"/><Relationship Id="rId1796" Type="http://schemas.openxmlformats.org/officeDocument/2006/relationships/hyperlink" Target="https://enzyme.expasy.org/EC/3.1.-.-" TargetMode="External"/><Relationship Id="rId2402" Type="http://schemas.openxmlformats.org/officeDocument/2006/relationships/hyperlink" Target="https://www.kegg.jp/entry/R01329" TargetMode="External"/><Relationship Id="rId88" Type="http://schemas.openxmlformats.org/officeDocument/2006/relationships/hyperlink" Target="https://enzyme.expasy.org/EC/3.6.-.-" TargetMode="External"/><Relationship Id="rId819" Type="http://schemas.openxmlformats.org/officeDocument/2006/relationships/hyperlink" Target="https://www.kegg.jp/entry/3.2.1.196" TargetMode="External"/><Relationship Id="rId1004" Type="http://schemas.openxmlformats.org/officeDocument/2006/relationships/hyperlink" Target="https://www.kegg.jp/entry/7.1.1.1" TargetMode="External"/><Relationship Id="rId1211" Type="http://schemas.openxmlformats.org/officeDocument/2006/relationships/hyperlink" Target="https://enzyme.expasy.org/EC/3.4.-.-" TargetMode="External"/><Relationship Id="rId1656" Type="http://schemas.openxmlformats.org/officeDocument/2006/relationships/hyperlink" Target="https://www.kegg.jp/entry/R01664" TargetMode="External"/><Relationship Id="rId1863" Type="http://schemas.openxmlformats.org/officeDocument/2006/relationships/hyperlink" Target="https://enzyme.expasy.org/EC/1.1.1.77" TargetMode="External"/><Relationship Id="rId1309" Type="http://schemas.openxmlformats.org/officeDocument/2006/relationships/hyperlink" Target="https://enzyme.expasy.org/EC/2.1.1.72" TargetMode="External"/><Relationship Id="rId1516" Type="http://schemas.openxmlformats.org/officeDocument/2006/relationships/hyperlink" Target="https://enzyme.expasy.org/EC/2.6.1.9" TargetMode="External"/><Relationship Id="rId1723" Type="http://schemas.openxmlformats.org/officeDocument/2006/relationships/hyperlink" Target="https://www.kegg.jp/entry/R00444" TargetMode="External"/><Relationship Id="rId1930" Type="http://schemas.openxmlformats.org/officeDocument/2006/relationships/hyperlink" Target="https://enzyme.expasy.org/EC/3.2.1.52" TargetMode="External"/><Relationship Id="rId15" Type="http://schemas.openxmlformats.org/officeDocument/2006/relationships/hyperlink" Target="https://www.kegg.jp/entry/R00345" TargetMode="External"/><Relationship Id="rId2192" Type="http://schemas.openxmlformats.org/officeDocument/2006/relationships/hyperlink" Target="https://www.kegg.jp/entry/R00376" TargetMode="External"/><Relationship Id="rId164" Type="http://schemas.openxmlformats.org/officeDocument/2006/relationships/hyperlink" Target="https://enzyme.expasy.org/EC/2.7.7.7" TargetMode="External"/><Relationship Id="rId371" Type="http://schemas.openxmlformats.org/officeDocument/2006/relationships/hyperlink" Target="https://enzyme.expasy.org/EC/3.1.26.4" TargetMode="External"/><Relationship Id="rId2052" Type="http://schemas.openxmlformats.org/officeDocument/2006/relationships/hyperlink" Target="https://www.kegg.jp/entry/5.4.2.2" TargetMode="External"/><Relationship Id="rId2497" Type="http://schemas.openxmlformats.org/officeDocument/2006/relationships/hyperlink" Target="https://www.kegg.jp/entry/2.7.7.72" TargetMode="External"/><Relationship Id="rId469" Type="http://schemas.openxmlformats.org/officeDocument/2006/relationships/hyperlink" Target="https://www.kegg.jp/entry/2.6.1.16" TargetMode="External"/><Relationship Id="rId676" Type="http://schemas.openxmlformats.org/officeDocument/2006/relationships/hyperlink" Target="https://www.kegg.jp/entry/1.2.1.38" TargetMode="External"/><Relationship Id="rId883" Type="http://schemas.openxmlformats.org/officeDocument/2006/relationships/hyperlink" Target="https://enzyme.expasy.org/EC/4.4.1.13" TargetMode="External"/><Relationship Id="rId1099" Type="http://schemas.openxmlformats.org/officeDocument/2006/relationships/hyperlink" Target="https://www.kegg.jp/entry/R01870" TargetMode="External"/><Relationship Id="rId2357" Type="http://schemas.openxmlformats.org/officeDocument/2006/relationships/hyperlink" Target="https://www.kegg.jp/entry/R00220" TargetMode="External"/><Relationship Id="rId231" Type="http://schemas.openxmlformats.org/officeDocument/2006/relationships/hyperlink" Target="https://enzyme.expasy.org/EC/6.3.4.3" TargetMode="External"/><Relationship Id="rId329" Type="http://schemas.openxmlformats.org/officeDocument/2006/relationships/hyperlink" Target="https://enzyme.expasy.org/EC/3.1.-.-" TargetMode="External"/><Relationship Id="rId536" Type="http://schemas.openxmlformats.org/officeDocument/2006/relationships/hyperlink" Target="https://www.kegg.jp/entry/R10089" TargetMode="External"/><Relationship Id="rId1166" Type="http://schemas.openxmlformats.org/officeDocument/2006/relationships/hyperlink" Target="https://www.kegg.jp/entry/R04378" TargetMode="External"/><Relationship Id="rId1373" Type="http://schemas.openxmlformats.org/officeDocument/2006/relationships/hyperlink" Target="https://enzyme.expasy.org/EC/7.6.2.-" TargetMode="External"/><Relationship Id="rId2217" Type="http://schemas.openxmlformats.org/officeDocument/2006/relationships/hyperlink" Target="https://www.kegg.jp/entry/3.2.2.9" TargetMode="External"/><Relationship Id="rId743" Type="http://schemas.openxmlformats.org/officeDocument/2006/relationships/hyperlink" Target="https://www.kegg.jp/entry/4.3.1.17" TargetMode="External"/><Relationship Id="rId950" Type="http://schemas.openxmlformats.org/officeDocument/2006/relationships/hyperlink" Target="https://enzyme.expasy.org/EC/3.5.4.5" TargetMode="External"/><Relationship Id="rId1026" Type="http://schemas.openxmlformats.org/officeDocument/2006/relationships/hyperlink" Target="https://www.kegg.jp/entry/R00248" TargetMode="External"/><Relationship Id="rId1580" Type="http://schemas.openxmlformats.org/officeDocument/2006/relationships/hyperlink" Target="https://enzyme.expasy.org/EC/2.7.1.63" TargetMode="External"/><Relationship Id="rId1678" Type="http://schemas.openxmlformats.org/officeDocument/2006/relationships/hyperlink" Target="https://www.kegg.jp/entry/6.3.1.19" TargetMode="External"/><Relationship Id="rId1885" Type="http://schemas.openxmlformats.org/officeDocument/2006/relationships/hyperlink" Target="https://enzyme.expasy.org/EC/3.2.1.23" TargetMode="External"/><Relationship Id="rId2424" Type="http://schemas.openxmlformats.org/officeDocument/2006/relationships/hyperlink" Target="https://enzyme.expasy.org/EC/2.7.1.193" TargetMode="External"/><Relationship Id="rId603" Type="http://schemas.openxmlformats.org/officeDocument/2006/relationships/hyperlink" Target="https://www.kegg.jp/entry/6.3.5.5" TargetMode="External"/><Relationship Id="rId810" Type="http://schemas.openxmlformats.org/officeDocument/2006/relationships/hyperlink" Target="https://www.kegg.jp/entry/2.7.7.7" TargetMode="External"/><Relationship Id="rId908" Type="http://schemas.openxmlformats.org/officeDocument/2006/relationships/hyperlink" Target="https://www.kegg.jp/entry/R00174" TargetMode="External"/><Relationship Id="rId1233" Type="http://schemas.openxmlformats.org/officeDocument/2006/relationships/hyperlink" Target="https://www.kegg.jp/entry/4.3.2.10" TargetMode="External"/><Relationship Id="rId1440" Type="http://schemas.openxmlformats.org/officeDocument/2006/relationships/hyperlink" Target="https://enzyme.expasy.org/EC/2.4.1.227" TargetMode="External"/><Relationship Id="rId1538" Type="http://schemas.openxmlformats.org/officeDocument/2006/relationships/hyperlink" Target="https://www.kegg.jp/entry/4.2.1.53" TargetMode="External"/><Relationship Id="rId1300" Type="http://schemas.openxmlformats.org/officeDocument/2006/relationships/hyperlink" Target="https://enzyme.expasy.org/EC/5.-.-.-" TargetMode="External"/><Relationship Id="rId1745" Type="http://schemas.openxmlformats.org/officeDocument/2006/relationships/hyperlink" Target="https://enzyme.expasy.org/EC/2.7.1.15" TargetMode="External"/><Relationship Id="rId1952" Type="http://schemas.openxmlformats.org/officeDocument/2006/relationships/hyperlink" Target="https://www.kegg.jp/entry/R04184" TargetMode="External"/><Relationship Id="rId37" Type="http://schemas.openxmlformats.org/officeDocument/2006/relationships/hyperlink" Target="https://www.kegg.jp/entry/1.4.1.4" TargetMode="External"/><Relationship Id="rId1605" Type="http://schemas.openxmlformats.org/officeDocument/2006/relationships/hyperlink" Target="https://www.kegg.jp/entry/R02135" TargetMode="External"/><Relationship Id="rId1812" Type="http://schemas.openxmlformats.org/officeDocument/2006/relationships/hyperlink" Target="https://www.kegg.jp/entry/R05635" TargetMode="External"/><Relationship Id="rId186" Type="http://schemas.openxmlformats.org/officeDocument/2006/relationships/hyperlink" Target="https://www.kegg.jp/entry/R02291" TargetMode="External"/><Relationship Id="rId393" Type="http://schemas.openxmlformats.org/officeDocument/2006/relationships/hyperlink" Target="https://www.kegg.jp/entry/R07807" TargetMode="External"/><Relationship Id="rId2074" Type="http://schemas.openxmlformats.org/officeDocument/2006/relationships/hyperlink" Target="https://www.kegg.jp/entry/5.4.99.12" TargetMode="External"/><Relationship Id="rId2281" Type="http://schemas.openxmlformats.org/officeDocument/2006/relationships/hyperlink" Target="https://enzyme.expasy.org/EC/4.2.1.33" TargetMode="External"/><Relationship Id="rId253" Type="http://schemas.openxmlformats.org/officeDocument/2006/relationships/hyperlink" Target="https://www.kegg.jp/entry/5.6.2.3" TargetMode="External"/><Relationship Id="rId460" Type="http://schemas.openxmlformats.org/officeDocument/2006/relationships/hyperlink" Target="https://www.kegg.jp/entry/5.4.2.10" TargetMode="External"/><Relationship Id="rId698" Type="http://schemas.openxmlformats.org/officeDocument/2006/relationships/hyperlink" Target="https://www.kegg.jp/entry/R01086" TargetMode="External"/><Relationship Id="rId1090" Type="http://schemas.openxmlformats.org/officeDocument/2006/relationships/hyperlink" Target="https://www.kegg.jp/entry/4.1.1.23" TargetMode="External"/><Relationship Id="rId2141" Type="http://schemas.openxmlformats.org/officeDocument/2006/relationships/hyperlink" Target="https://www.kegg.jp/entry/1.1.1.1" TargetMode="External"/><Relationship Id="rId2379" Type="http://schemas.openxmlformats.org/officeDocument/2006/relationships/hyperlink" Target="https://enzyme.expasy.org/EC/3.2.1.22" TargetMode="External"/><Relationship Id="rId113" Type="http://schemas.openxmlformats.org/officeDocument/2006/relationships/hyperlink" Target="https://www.kegg.jp/entry/R00803" TargetMode="External"/><Relationship Id="rId320" Type="http://schemas.openxmlformats.org/officeDocument/2006/relationships/hyperlink" Target="https://enzyme.expasy.org/EC/2.7.7.8" TargetMode="External"/><Relationship Id="rId558" Type="http://schemas.openxmlformats.org/officeDocument/2006/relationships/hyperlink" Target="https://enzyme.expasy.org/EC/1.2.1.-" TargetMode="External"/><Relationship Id="rId765" Type="http://schemas.openxmlformats.org/officeDocument/2006/relationships/hyperlink" Target="https://www.kegg.jp/entry/2.4.1.18" TargetMode="External"/><Relationship Id="rId972" Type="http://schemas.openxmlformats.org/officeDocument/2006/relationships/hyperlink" Target="https://www.kegg.jp/entry/6.3.4.2" TargetMode="External"/><Relationship Id="rId1188" Type="http://schemas.openxmlformats.org/officeDocument/2006/relationships/hyperlink" Target="https://www.kegg.jp/entry/R00289" TargetMode="External"/><Relationship Id="rId1395" Type="http://schemas.openxmlformats.org/officeDocument/2006/relationships/hyperlink" Target="https://enzyme.expasy.org/EC/2.7.1.31" TargetMode="External"/><Relationship Id="rId2001" Type="http://schemas.openxmlformats.org/officeDocument/2006/relationships/hyperlink" Target="https://enzyme.expasy.org/EC/2.7.13.3" TargetMode="External"/><Relationship Id="rId2239" Type="http://schemas.openxmlformats.org/officeDocument/2006/relationships/hyperlink" Target="https://www.kegg.jp/entry/3.6.4.12" TargetMode="External"/><Relationship Id="rId2446" Type="http://schemas.openxmlformats.org/officeDocument/2006/relationships/hyperlink" Target="https://www.kegg.jp/entry/1.17.4.1" TargetMode="External"/><Relationship Id="rId418" Type="http://schemas.openxmlformats.org/officeDocument/2006/relationships/hyperlink" Target="https://enzyme.expasy.org/EC/2.7.1.6" TargetMode="External"/><Relationship Id="rId625" Type="http://schemas.openxmlformats.org/officeDocument/2006/relationships/hyperlink" Target="https://www.kegg.jp/entry/R10948" TargetMode="External"/><Relationship Id="rId832" Type="http://schemas.openxmlformats.org/officeDocument/2006/relationships/hyperlink" Target="https://enzyme.expasy.org/EC/2.7.6.1" TargetMode="External"/><Relationship Id="rId1048" Type="http://schemas.openxmlformats.org/officeDocument/2006/relationships/hyperlink" Target="https://www.kegg.jp/entry/2.1.1.14" TargetMode="External"/><Relationship Id="rId1255" Type="http://schemas.openxmlformats.org/officeDocument/2006/relationships/hyperlink" Target="https://enzyme.expasy.org/EC/1.1.1.42" TargetMode="External"/><Relationship Id="rId1462" Type="http://schemas.openxmlformats.org/officeDocument/2006/relationships/hyperlink" Target="https://www.kegg.jp/entry/R05629" TargetMode="External"/><Relationship Id="rId2306" Type="http://schemas.openxmlformats.org/officeDocument/2006/relationships/hyperlink" Target="https://enzyme.expasy.org/EC/7.5.2.-" TargetMode="External"/><Relationship Id="rId1115" Type="http://schemas.openxmlformats.org/officeDocument/2006/relationships/hyperlink" Target="https://enzyme.expasy.org/EC/1.1.1.27" TargetMode="External"/><Relationship Id="rId1322" Type="http://schemas.openxmlformats.org/officeDocument/2006/relationships/hyperlink" Target="https://www.kegg.jp/entry/3.6.1.23" TargetMode="External"/><Relationship Id="rId1767" Type="http://schemas.openxmlformats.org/officeDocument/2006/relationships/hyperlink" Target="https://www.kegg.jp/entry/1.17.4.2" TargetMode="External"/><Relationship Id="rId1974" Type="http://schemas.openxmlformats.org/officeDocument/2006/relationships/hyperlink" Target="https://enzyme.expasy.org/EC/1.5.1.3" TargetMode="External"/><Relationship Id="rId59" Type="http://schemas.openxmlformats.org/officeDocument/2006/relationships/hyperlink" Target="https://enzyme.expasy.org/EC/3.1.3.16" TargetMode="External"/><Relationship Id="rId1627" Type="http://schemas.openxmlformats.org/officeDocument/2006/relationships/hyperlink" Target="https://enzyme.expasy.org/EC/3.1.3.5" TargetMode="External"/><Relationship Id="rId1834" Type="http://schemas.openxmlformats.org/officeDocument/2006/relationships/hyperlink" Target="https://www.kegg.jp/entry/R03066" TargetMode="External"/><Relationship Id="rId2096" Type="http://schemas.openxmlformats.org/officeDocument/2006/relationships/hyperlink" Target="https://enzyme.expasy.org/EC/2.7.4.3" TargetMode="External"/><Relationship Id="rId1901" Type="http://schemas.openxmlformats.org/officeDocument/2006/relationships/hyperlink" Target="https://www.kegg.jp/entry/3.2.1.23" TargetMode="External"/><Relationship Id="rId275" Type="http://schemas.openxmlformats.org/officeDocument/2006/relationships/hyperlink" Target="https://enzyme.expasy.org/EC/7.1.2.2" TargetMode="External"/><Relationship Id="rId482" Type="http://schemas.openxmlformats.org/officeDocument/2006/relationships/hyperlink" Target="https://www.kegg.jp/entry/R05994" TargetMode="External"/><Relationship Id="rId2163" Type="http://schemas.openxmlformats.org/officeDocument/2006/relationships/hyperlink" Target="https://enzyme.expasy.org/EC/1.2.1.10" TargetMode="External"/><Relationship Id="rId2370" Type="http://schemas.openxmlformats.org/officeDocument/2006/relationships/hyperlink" Target="https://enzyme.expasy.org/EC/3.2.1.22" TargetMode="External"/><Relationship Id="rId135" Type="http://schemas.openxmlformats.org/officeDocument/2006/relationships/hyperlink" Target="https://enzyme.expasy.org/EC/1.1.1.86" TargetMode="External"/><Relationship Id="rId342" Type="http://schemas.openxmlformats.org/officeDocument/2006/relationships/hyperlink" Target="https://www.kegg.jp/entry/R00014" TargetMode="External"/><Relationship Id="rId787" Type="http://schemas.openxmlformats.org/officeDocument/2006/relationships/hyperlink" Target="https://www.kegg.jp/entry/2.7.1.40" TargetMode="External"/><Relationship Id="rId994" Type="http://schemas.openxmlformats.org/officeDocument/2006/relationships/hyperlink" Target="https://enzyme.expasy.org/EC/2.1.1.193" TargetMode="External"/><Relationship Id="rId2023" Type="http://schemas.openxmlformats.org/officeDocument/2006/relationships/hyperlink" Target="https://enzyme.expasy.org/EC/2.7.1.162" TargetMode="External"/><Relationship Id="rId2230" Type="http://schemas.openxmlformats.org/officeDocument/2006/relationships/hyperlink" Target="https://www.kegg.jp/entry/3.4.19.3" TargetMode="External"/><Relationship Id="rId2468" Type="http://schemas.openxmlformats.org/officeDocument/2006/relationships/hyperlink" Target="https://enzyme.expasy.org/EC/1.17.4.1" TargetMode="External"/><Relationship Id="rId202" Type="http://schemas.openxmlformats.org/officeDocument/2006/relationships/hyperlink" Target="https://www.kegg.jp/entry/R01213" TargetMode="External"/><Relationship Id="rId647" Type="http://schemas.openxmlformats.org/officeDocument/2006/relationships/hyperlink" Target="https://www.kegg.jp/entry/R02735" TargetMode="External"/><Relationship Id="rId854" Type="http://schemas.openxmlformats.org/officeDocument/2006/relationships/hyperlink" Target="https://enzyme.expasy.org/EC/7.4.2.11" TargetMode="External"/><Relationship Id="rId1277" Type="http://schemas.openxmlformats.org/officeDocument/2006/relationships/hyperlink" Target="https://enzyme.expasy.org/EC/2.7.7.7" TargetMode="External"/><Relationship Id="rId1484" Type="http://schemas.openxmlformats.org/officeDocument/2006/relationships/hyperlink" Target="https://www.kegg.jp/entry/1.1.1.27" TargetMode="External"/><Relationship Id="rId1691" Type="http://schemas.openxmlformats.org/officeDocument/2006/relationships/hyperlink" Target="https://www.kegg.jp/entry/3.1.3.3" TargetMode="External"/><Relationship Id="rId2328" Type="http://schemas.openxmlformats.org/officeDocument/2006/relationships/hyperlink" Target="https://www.kegg.jp/entry/R03659" TargetMode="External"/><Relationship Id="rId507" Type="http://schemas.openxmlformats.org/officeDocument/2006/relationships/hyperlink" Target="https://www.kegg.jp/entry/R04944" TargetMode="External"/><Relationship Id="rId714" Type="http://schemas.openxmlformats.org/officeDocument/2006/relationships/hyperlink" Target="https://enzyme.expasy.org/EC/4.2.3.1" TargetMode="External"/><Relationship Id="rId921" Type="http://schemas.openxmlformats.org/officeDocument/2006/relationships/hyperlink" Target="https://www.kegg.jp/entry/1.5.1.2" TargetMode="External"/><Relationship Id="rId1137" Type="http://schemas.openxmlformats.org/officeDocument/2006/relationships/hyperlink" Target="https://www.kegg.jp/entry/2.2.1.1" TargetMode="External"/><Relationship Id="rId1344" Type="http://schemas.openxmlformats.org/officeDocument/2006/relationships/hyperlink" Target="https://enzyme.expasy.org/EC/2.5.1.75" TargetMode="External"/><Relationship Id="rId1551" Type="http://schemas.openxmlformats.org/officeDocument/2006/relationships/hyperlink" Target="https://enzyme.expasy.org/EC/2.7.7.7" TargetMode="External"/><Relationship Id="rId1789" Type="http://schemas.openxmlformats.org/officeDocument/2006/relationships/hyperlink" Target="https://enzyme.expasy.org/EC/3.4.11.18" TargetMode="External"/><Relationship Id="rId1996" Type="http://schemas.openxmlformats.org/officeDocument/2006/relationships/hyperlink" Target="https://www.kegg.jp/entry/2.6.1.52" TargetMode="External"/><Relationship Id="rId50" Type="http://schemas.openxmlformats.org/officeDocument/2006/relationships/hyperlink" Target="https://www.kegg.jp/entry/4.1.3.27" TargetMode="External"/><Relationship Id="rId1204" Type="http://schemas.openxmlformats.org/officeDocument/2006/relationships/hyperlink" Target="https://enzyme.expasy.org/EC/4.2.1.20" TargetMode="External"/><Relationship Id="rId1411" Type="http://schemas.openxmlformats.org/officeDocument/2006/relationships/hyperlink" Target="https://enzyme.expasy.org/EC/6.3.2.-" TargetMode="External"/><Relationship Id="rId1649" Type="http://schemas.openxmlformats.org/officeDocument/2006/relationships/hyperlink" Target="https://www.kegg.jp/entry/R00963" TargetMode="External"/><Relationship Id="rId1856" Type="http://schemas.openxmlformats.org/officeDocument/2006/relationships/hyperlink" Target="https://www.kegg.jp/entry/3.4.16.4" TargetMode="External"/><Relationship Id="rId1509" Type="http://schemas.openxmlformats.org/officeDocument/2006/relationships/hyperlink" Target="https://www.kegg.jp/entry/R04558" TargetMode="External"/><Relationship Id="rId1716" Type="http://schemas.openxmlformats.org/officeDocument/2006/relationships/hyperlink" Target="https://enzyme.expasy.org/EC/2.7.7.6" TargetMode="External"/><Relationship Id="rId1923" Type="http://schemas.openxmlformats.org/officeDocument/2006/relationships/hyperlink" Target="https://enzyme.expasy.org/EC/3.2.1.52" TargetMode="External"/><Relationship Id="rId297" Type="http://schemas.openxmlformats.org/officeDocument/2006/relationships/hyperlink" Target="https://www.kegg.jp/entry/5.2.1.8" TargetMode="External"/><Relationship Id="rId2185" Type="http://schemas.openxmlformats.org/officeDocument/2006/relationships/hyperlink" Target="https://www.kegg.jp/entry/2.7.7.7" TargetMode="External"/><Relationship Id="rId2392" Type="http://schemas.openxmlformats.org/officeDocument/2006/relationships/hyperlink" Target="https://www.kegg.jp/entry/3.2.1.22" TargetMode="External"/><Relationship Id="rId157" Type="http://schemas.openxmlformats.org/officeDocument/2006/relationships/hyperlink" Target="https://www.kegg.jp/entry/R05196" TargetMode="External"/><Relationship Id="rId364" Type="http://schemas.openxmlformats.org/officeDocument/2006/relationships/hyperlink" Target="https://www.kegg.jp/entry/R00771" TargetMode="External"/><Relationship Id="rId2045" Type="http://schemas.openxmlformats.org/officeDocument/2006/relationships/hyperlink" Target="https://enzyme.expasy.org/EC/5.4.2.2" TargetMode="External"/><Relationship Id="rId571" Type="http://schemas.openxmlformats.org/officeDocument/2006/relationships/hyperlink" Target="https://enzyme.expasy.org/EC/2.7.7.7" TargetMode="External"/><Relationship Id="rId669" Type="http://schemas.openxmlformats.org/officeDocument/2006/relationships/hyperlink" Target="https://enzyme.expasy.org/EC/6.1.1.20" TargetMode="External"/><Relationship Id="rId876" Type="http://schemas.openxmlformats.org/officeDocument/2006/relationships/hyperlink" Target="https://www.kegg.jp/entry/4.4.1.13" TargetMode="External"/><Relationship Id="rId1299" Type="http://schemas.openxmlformats.org/officeDocument/2006/relationships/hyperlink" Target="https://www.kegg.jp/entry/R10809" TargetMode="External"/><Relationship Id="rId2252" Type="http://schemas.openxmlformats.org/officeDocument/2006/relationships/hyperlink" Target="https://enzyme.expasy.org/EC/7.6.2.-" TargetMode="External"/><Relationship Id="rId224" Type="http://schemas.openxmlformats.org/officeDocument/2006/relationships/hyperlink" Target="https://www.kegg.jp/entry/R00378" TargetMode="External"/><Relationship Id="rId431" Type="http://schemas.openxmlformats.org/officeDocument/2006/relationships/hyperlink" Target="https://www.kegg.jp/entry/R00443" TargetMode="External"/><Relationship Id="rId529" Type="http://schemas.openxmlformats.org/officeDocument/2006/relationships/hyperlink" Target="https://enzyme.expasy.org/EC/4.3.3.6" TargetMode="External"/><Relationship Id="rId736" Type="http://schemas.openxmlformats.org/officeDocument/2006/relationships/hyperlink" Target="https://enzyme.expasy.org/EC/4.2.1.11" TargetMode="External"/><Relationship Id="rId1061" Type="http://schemas.openxmlformats.org/officeDocument/2006/relationships/hyperlink" Target="https://enzyme.expasy.org/EC/3.5.1.24" TargetMode="External"/><Relationship Id="rId1159" Type="http://schemas.openxmlformats.org/officeDocument/2006/relationships/hyperlink" Target="https://enzyme.expasy.org/EC/3.6.4.12" TargetMode="External"/><Relationship Id="rId1366" Type="http://schemas.openxmlformats.org/officeDocument/2006/relationships/hyperlink" Target="https://www.kegg.jp/entry/R01324" TargetMode="External"/><Relationship Id="rId2112" Type="http://schemas.openxmlformats.org/officeDocument/2006/relationships/hyperlink" Target="https://enzyme.expasy.org/EC/1.1.1.1" TargetMode="External"/><Relationship Id="rId2417" Type="http://schemas.openxmlformats.org/officeDocument/2006/relationships/hyperlink" Target="https://enzyme.expasy.org/EC/3.5.4.33" TargetMode="External"/><Relationship Id="rId943" Type="http://schemas.openxmlformats.org/officeDocument/2006/relationships/hyperlink" Target="https://www.kegg.jp/entry/R02142" TargetMode="External"/><Relationship Id="rId1019" Type="http://schemas.openxmlformats.org/officeDocument/2006/relationships/hyperlink" Target="https://enzyme.expasy.org/EC/1.4.1.13" TargetMode="External"/><Relationship Id="rId1573" Type="http://schemas.openxmlformats.org/officeDocument/2006/relationships/hyperlink" Target="https://www.kegg.jp/entry/2.7.1.49" TargetMode="External"/><Relationship Id="rId1780" Type="http://schemas.openxmlformats.org/officeDocument/2006/relationships/hyperlink" Target="https://enzyme.expasy.org/EC/2.6.1.-" TargetMode="External"/><Relationship Id="rId1878" Type="http://schemas.openxmlformats.org/officeDocument/2006/relationships/hyperlink" Target="https://enzyme.expasy.org/EC/3.2.1.23" TargetMode="External"/><Relationship Id="rId72" Type="http://schemas.openxmlformats.org/officeDocument/2006/relationships/hyperlink" Target="https://enzyme.expasy.org/EC/3.-.-.-" TargetMode="External"/><Relationship Id="rId803" Type="http://schemas.openxmlformats.org/officeDocument/2006/relationships/hyperlink" Target="https://enzyme.expasy.org/EC/2.7.7.7" TargetMode="External"/><Relationship Id="rId1226" Type="http://schemas.openxmlformats.org/officeDocument/2006/relationships/hyperlink" Target="https://enzyme.expasy.org/EC/3.5.4.19" TargetMode="External"/><Relationship Id="rId1433" Type="http://schemas.openxmlformats.org/officeDocument/2006/relationships/hyperlink" Target="https://www.kegg.jp/entry/R00380" TargetMode="External"/><Relationship Id="rId1640" Type="http://schemas.openxmlformats.org/officeDocument/2006/relationships/hyperlink" Target="https://www.kegg.jp/entry/3.1.3.5" TargetMode="External"/><Relationship Id="rId1738" Type="http://schemas.openxmlformats.org/officeDocument/2006/relationships/hyperlink" Target="https://enzyme.expasy.org/EC/2.1.1.72" TargetMode="External"/><Relationship Id="rId1500" Type="http://schemas.openxmlformats.org/officeDocument/2006/relationships/hyperlink" Target="https://www.kegg.jp/entry/5.3.1.24" TargetMode="External"/><Relationship Id="rId1945" Type="http://schemas.openxmlformats.org/officeDocument/2006/relationships/hyperlink" Target="https://www.kegg.jp/entry/3.2.1.52" TargetMode="External"/><Relationship Id="rId1805" Type="http://schemas.openxmlformats.org/officeDocument/2006/relationships/hyperlink" Target="https://www.kegg.jp/entry/2.7.7.87" TargetMode="External"/><Relationship Id="rId179" Type="http://schemas.openxmlformats.org/officeDocument/2006/relationships/hyperlink" Target="https://www.kegg.jp/entry/R00378" TargetMode="External"/><Relationship Id="rId386" Type="http://schemas.openxmlformats.org/officeDocument/2006/relationships/hyperlink" Target="https://www.kegg.jp/entry/R05994" TargetMode="External"/><Relationship Id="rId593" Type="http://schemas.openxmlformats.org/officeDocument/2006/relationships/hyperlink" Target="https://www.kegg.jp/entry/6.3.2.6" TargetMode="External"/><Relationship Id="rId2067" Type="http://schemas.openxmlformats.org/officeDocument/2006/relationships/hyperlink" Target="https://www.kegg.jp/entry/2.7.1.26" TargetMode="External"/><Relationship Id="rId2274" Type="http://schemas.openxmlformats.org/officeDocument/2006/relationships/hyperlink" Target="https://www.kegg.jp/entry/4.2.1.33" TargetMode="External"/><Relationship Id="rId2481" Type="http://schemas.openxmlformats.org/officeDocument/2006/relationships/hyperlink" Target="https://www.kegg.jp/entry/R02019" TargetMode="External"/><Relationship Id="rId246" Type="http://schemas.openxmlformats.org/officeDocument/2006/relationships/hyperlink" Target="https://www.kegg.jp/entry/1.1.1.49" TargetMode="External"/><Relationship Id="rId453" Type="http://schemas.openxmlformats.org/officeDocument/2006/relationships/hyperlink" Target="https://enzyme.expasy.org/EC/3.4.11.2" TargetMode="External"/><Relationship Id="rId660" Type="http://schemas.openxmlformats.org/officeDocument/2006/relationships/hyperlink" Target="https://enzyme.expasy.org/EC/2.6.1.-" TargetMode="External"/><Relationship Id="rId898" Type="http://schemas.openxmlformats.org/officeDocument/2006/relationships/hyperlink" Target="https://www.kegg.jp/entry/R09366" TargetMode="External"/><Relationship Id="rId1083" Type="http://schemas.openxmlformats.org/officeDocument/2006/relationships/hyperlink" Target="https://enzyme.expasy.org/EC/2.1.3.2" TargetMode="External"/><Relationship Id="rId1290" Type="http://schemas.openxmlformats.org/officeDocument/2006/relationships/hyperlink" Target="https://www.kegg.jp/entry/R00378" TargetMode="External"/><Relationship Id="rId2134" Type="http://schemas.openxmlformats.org/officeDocument/2006/relationships/hyperlink" Target="https://www.kegg.jp/entry/1.1.1.1" TargetMode="External"/><Relationship Id="rId2341" Type="http://schemas.openxmlformats.org/officeDocument/2006/relationships/hyperlink" Target="https://www.kegg.jp/entry/2.3.1.286" TargetMode="External"/><Relationship Id="rId106" Type="http://schemas.openxmlformats.org/officeDocument/2006/relationships/hyperlink" Target="https://www.kegg.jp/entry/R02568" TargetMode="External"/><Relationship Id="rId313" Type="http://schemas.openxmlformats.org/officeDocument/2006/relationships/hyperlink" Target="https://enzyme.expasy.org/EC/2.1.1.63" TargetMode="External"/><Relationship Id="rId758" Type="http://schemas.openxmlformats.org/officeDocument/2006/relationships/hyperlink" Target="https://enzyme.expasy.org/EC/2.7.13.3" TargetMode="External"/><Relationship Id="rId965" Type="http://schemas.openxmlformats.org/officeDocument/2006/relationships/hyperlink" Target="https://enzyme.expasy.org/EC/4.2.3.5" TargetMode="External"/><Relationship Id="rId1150" Type="http://schemas.openxmlformats.org/officeDocument/2006/relationships/hyperlink" Target="https://www.kegg.jp/entry/3.6.1.27" TargetMode="External"/><Relationship Id="rId1388" Type="http://schemas.openxmlformats.org/officeDocument/2006/relationships/hyperlink" Target="https://www.kegg.jp/entry/1.4.3.16" TargetMode="External"/><Relationship Id="rId1595" Type="http://schemas.openxmlformats.org/officeDocument/2006/relationships/hyperlink" Target="https://enzyme.expasy.org/EC/3.1.3.2" TargetMode="External"/><Relationship Id="rId2439" Type="http://schemas.openxmlformats.org/officeDocument/2006/relationships/hyperlink" Target="https://enzyme.expasy.org/EC/1.17.4.1" TargetMode="External"/><Relationship Id="rId94" Type="http://schemas.openxmlformats.org/officeDocument/2006/relationships/hyperlink" Target="https://enzyme.expasy.org/EC/4.1.2.13" TargetMode="External"/><Relationship Id="rId520" Type="http://schemas.openxmlformats.org/officeDocument/2006/relationships/hyperlink" Target="https://www.kegg.jp/entry/3.5.1.2" TargetMode="External"/><Relationship Id="rId618" Type="http://schemas.openxmlformats.org/officeDocument/2006/relationships/hyperlink" Target="https://www.kegg.jp/entry/R10949" TargetMode="External"/><Relationship Id="rId825" Type="http://schemas.openxmlformats.org/officeDocument/2006/relationships/hyperlink" Target="https://enzyme.expasy.org/EC/2.7.2.-" TargetMode="External"/><Relationship Id="rId1248" Type="http://schemas.openxmlformats.org/officeDocument/2006/relationships/hyperlink" Target="https://enzyme.expasy.org/EC/3.5.1.88" TargetMode="External"/><Relationship Id="rId1455" Type="http://schemas.openxmlformats.org/officeDocument/2006/relationships/hyperlink" Target="https://enzyme.expasy.org/EC/6.3.2.9" TargetMode="External"/><Relationship Id="rId1662" Type="http://schemas.openxmlformats.org/officeDocument/2006/relationships/hyperlink" Target="https://www.kegg.jp/entry/3.5.2.10" TargetMode="External"/><Relationship Id="rId2201" Type="http://schemas.openxmlformats.org/officeDocument/2006/relationships/hyperlink" Target="https://enzyme.expasy.org/EC/1.3.1.98" TargetMode="External"/><Relationship Id="rId2506" Type="http://schemas.openxmlformats.org/officeDocument/2006/relationships/hyperlink" Target="https://enzyme.expasy.org/EC/2.1.1.170" TargetMode="External"/><Relationship Id="rId1010" Type="http://schemas.openxmlformats.org/officeDocument/2006/relationships/hyperlink" Target="https://enzyme.expasy.org/EC/2.6.1.42" TargetMode="External"/><Relationship Id="rId1108" Type="http://schemas.openxmlformats.org/officeDocument/2006/relationships/hyperlink" Target="https://www.kegg.jp/entry/2.7.2.3" TargetMode="External"/><Relationship Id="rId1315" Type="http://schemas.openxmlformats.org/officeDocument/2006/relationships/hyperlink" Target="https://www.kegg.jp/entry/R04273" TargetMode="External"/><Relationship Id="rId1967" Type="http://schemas.openxmlformats.org/officeDocument/2006/relationships/hyperlink" Target="https://www.kegg.jp/entry/3.1.3.48" TargetMode="External"/><Relationship Id="rId1522" Type="http://schemas.openxmlformats.org/officeDocument/2006/relationships/hyperlink" Target="https://www.kegg.jp/entry/R00734" TargetMode="External"/><Relationship Id="rId21" Type="http://schemas.openxmlformats.org/officeDocument/2006/relationships/hyperlink" Target="https://www.kegg.jp/entry/R01821" TargetMode="External"/><Relationship Id="rId2089" Type="http://schemas.openxmlformats.org/officeDocument/2006/relationships/hyperlink" Target="https://www.kegg.jp/entry/R00435" TargetMode="External"/><Relationship Id="rId2296" Type="http://schemas.openxmlformats.org/officeDocument/2006/relationships/hyperlink" Target="https://enzyme.expasy.org/EC/2.1.1.177" TargetMode="External"/><Relationship Id="rId268" Type="http://schemas.openxmlformats.org/officeDocument/2006/relationships/hyperlink" Target="https://www.kegg.jp/entry/R00004" TargetMode="External"/><Relationship Id="rId475" Type="http://schemas.openxmlformats.org/officeDocument/2006/relationships/hyperlink" Target="https://www.kegg.jp/entry/R01100" TargetMode="External"/><Relationship Id="rId682" Type="http://schemas.openxmlformats.org/officeDocument/2006/relationships/hyperlink" Target="https://www.kegg.jp/entry/2.3.1.35" TargetMode="External"/><Relationship Id="rId2156" Type="http://schemas.openxmlformats.org/officeDocument/2006/relationships/hyperlink" Target="https://www.kegg.jp/entry/R08557" TargetMode="External"/><Relationship Id="rId2363" Type="http://schemas.openxmlformats.org/officeDocument/2006/relationships/hyperlink" Target="https://enzyme.expasy.org/EC/3.2.1.22" TargetMode="External"/><Relationship Id="rId128" Type="http://schemas.openxmlformats.org/officeDocument/2006/relationships/hyperlink" Target="https://www.kegg.jp/entry/R04439" TargetMode="External"/><Relationship Id="rId335" Type="http://schemas.openxmlformats.org/officeDocument/2006/relationships/hyperlink" Target="https://www.kegg.jp/entry/R02961" TargetMode="External"/><Relationship Id="rId542" Type="http://schemas.openxmlformats.org/officeDocument/2006/relationships/hyperlink" Target="https://www.kegg.jp/entry/1.8.4.11" TargetMode="External"/><Relationship Id="rId1172" Type="http://schemas.openxmlformats.org/officeDocument/2006/relationships/hyperlink" Target="https://www.kegg.jp/entry/R02404" TargetMode="External"/><Relationship Id="rId2016" Type="http://schemas.openxmlformats.org/officeDocument/2006/relationships/hyperlink" Target="https://enzyme.expasy.org/EC/5.1.3.2" TargetMode="External"/><Relationship Id="rId2223" Type="http://schemas.openxmlformats.org/officeDocument/2006/relationships/hyperlink" Target="https://www.kegg.jp/entry/2.5.1.54" TargetMode="External"/><Relationship Id="rId2430" Type="http://schemas.openxmlformats.org/officeDocument/2006/relationships/hyperlink" Target="https://www.kegg.jp/entry/R00955" TargetMode="External"/><Relationship Id="rId402" Type="http://schemas.openxmlformats.org/officeDocument/2006/relationships/hyperlink" Target="https://www.kegg.jp/entry/3.6.1.22" TargetMode="External"/><Relationship Id="rId1032" Type="http://schemas.openxmlformats.org/officeDocument/2006/relationships/hyperlink" Target="https://www.kegg.jp/entry/R02421" TargetMode="External"/><Relationship Id="rId1989" Type="http://schemas.openxmlformats.org/officeDocument/2006/relationships/hyperlink" Target="https://www.kegg.jp/entry/R11765" TargetMode="External"/><Relationship Id="rId1849" Type="http://schemas.openxmlformats.org/officeDocument/2006/relationships/hyperlink" Target="https://www.kegg.jp/entry/R05048" TargetMode="External"/><Relationship Id="rId192" Type="http://schemas.openxmlformats.org/officeDocument/2006/relationships/hyperlink" Target="https://www.kegg.jp/entry/C00686" TargetMode="External"/><Relationship Id="rId1709" Type="http://schemas.openxmlformats.org/officeDocument/2006/relationships/hyperlink" Target="https://www.kegg.jp/entry/R04441" TargetMode="External"/><Relationship Id="rId1916" Type="http://schemas.openxmlformats.org/officeDocument/2006/relationships/hyperlink" Target="https://www.kegg.jp/entry/R06114" TargetMode="External"/><Relationship Id="rId2080" Type="http://schemas.openxmlformats.org/officeDocument/2006/relationships/hyperlink" Target="https://enzyme.expasy.org/EC/2.7.7.6" TargetMode="External"/><Relationship Id="rId869" Type="http://schemas.openxmlformats.org/officeDocument/2006/relationships/hyperlink" Target="https://enzyme.expasy.org/EC/1.97.1.4" TargetMode="External"/><Relationship Id="rId1499" Type="http://schemas.openxmlformats.org/officeDocument/2006/relationships/hyperlink" Target="https://enzyme.expasy.org/EC/5.3.1.24" TargetMode="External"/><Relationship Id="rId729" Type="http://schemas.openxmlformats.org/officeDocument/2006/relationships/hyperlink" Target="https://enzyme.expasy.org/EC/2.3.-.-" TargetMode="External"/><Relationship Id="rId1359" Type="http://schemas.openxmlformats.org/officeDocument/2006/relationships/hyperlink" Target="https://enzyme.expasy.org/EC/2.3.1.-" TargetMode="External"/><Relationship Id="rId936" Type="http://schemas.openxmlformats.org/officeDocument/2006/relationships/hyperlink" Target="https://enzyme.expasy.org/EC/2.7.13.3" TargetMode="External"/><Relationship Id="rId1219" Type="http://schemas.openxmlformats.org/officeDocument/2006/relationships/hyperlink" Target="https://enzyme.expasy.org/EC/7.6.2.-" TargetMode="External"/><Relationship Id="rId1566" Type="http://schemas.openxmlformats.org/officeDocument/2006/relationships/hyperlink" Target="https://enzyme.expasy.org/EC/2.7.1.50" TargetMode="External"/><Relationship Id="rId1773" Type="http://schemas.openxmlformats.org/officeDocument/2006/relationships/hyperlink" Target="https://enzyme.expasy.org/EC/3.1.11.6" TargetMode="External"/><Relationship Id="rId1980" Type="http://schemas.openxmlformats.org/officeDocument/2006/relationships/hyperlink" Target="https://www.kegg.jp/entry/1.5.1.3" TargetMode="External"/><Relationship Id="rId65" Type="http://schemas.openxmlformats.org/officeDocument/2006/relationships/hyperlink" Target="https://www.kegg.jp/entry/2.4.99.28" TargetMode="External"/><Relationship Id="rId1426" Type="http://schemas.openxmlformats.org/officeDocument/2006/relationships/hyperlink" Target="https://www.kegg.jp/entry/R02961" TargetMode="External"/><Relationship Id="rId1633" Type="http://schemas.openxmlformats.org/officeDocument/2006/relationships/hyperlink" Target="https://www.kegg.jp/entry/3.1.3.5" TargetMode="External"/><Relationship Id="rId1840" Type="http://schemas.openxmlformats.org/officeDocument/2006/relationships/hyperlink" Target="https://enzyme.expasy.org/EC/3.5.4.16" TargetMode="External"/><Relationship Id="rId1700" Type="http://schemas.openxmlformats.org/officeDocument/2006/relationships/hyperlink" Target="https://www.kegg.jp/entry/2.1.2.9" TargetMode="External"/><Relationship Id="rId379" Type="http://schemas.openxmlformats.org/officeDocument/2006/relationships/hyperlink" Target="https://www.kegg.jp/entry/R01100" TargetMode="External"/><Relationship Id="rId586" Type="http://schemas.openxmlformats.org/officeDocument/2006/relationships/hyperlink" Target="https://enzyme.expasy.org/EC/3.2.2.15" TargetMode="External"/><Relationship Id="rId793" Type="http://schemas.openxmlformats.org/officeDocument/2006/relationships/hyperlink" Target="https://www.kegg.jp/entry/R00572" TargetMode="External"/><Relationship Id="rId2267" Type="http://schemas.openxmlformats.org/officeDocument/2006/relationships/hyperlink" Target="https://enzyme.expasy.org/EC/2.5.1.7" TargetMode="External"/><Relationship Id="rId2474" Type="http://schemas.openxmlformats.org/officeDocument/2006/relationships/hyperlink" Target="https://www.kegg.jp/entry/1.17.4.1" TargetMode="External"/><Relationship Id="rId239" Type="http://schemas.openxmlformats.org/officeDocument/2006/relationships/hyperlink" Target="https://www.kegg.jp/entry/1.1.1.44" TargetMode="External"/><Relationship Id="rId446" Type="http://schemas.openxmlformats.org/officeDocument/2006/relationships/hyperlink" Target="https://www.kegg.jp/entry/1.17.1.8" TargetMode="External"/><Relationship Id="rId653" Type="http://schemas.openxmlformats.org/officeDocument/2006/relationships/hyperlink" Target="https://enzyme.expasy.org/EC/1.1.1.267" TargetMode="External"/><Relationship Id="rId1076" Type="http://schemas.openxmlformats.org/officeDocument/2006/relationships/hyperlink" Target="https://www.kegg.jp/entry/R04487" TargetMode="External"/><Relationship Id="rId1283" Type="http://schemas.openxmlformats.org/officeDocument/2006/relationships/hyperlink" Target="https://www.kegg.jp/entry/2.7.7.7" TargetMode="External"/><Relationship Id="rId1490" Type="http://schemas.openxmlformats.org/officeDocument/2006/relationships/hyperlink" Target="https://www.kegg.jp/entry/R01000" TargetMode="External"/><Relationship Id="rId2127" Type="http://schemas.openxmlformats.org/officeDocument/2006/relationships/hyperlink" Target="https://www.kegg.jp/entry/1.1.1.1" TargetMode="External"/><Relationship Id="rId2334" Type="http://schemas.openxmlformats.org/officeDocument/2006/relationships/hyperlink" Target="https://www.kegg.jp/entry/R10613" TargetMode="External"/><Relationship Id="rId306" Type="http://schemas.openxmlformats.org/officeDocument/2006/relationships/hyperlink" Target="https://enzyme.expasy.org/EC/6.3.2.-" TargetMode="External"/><Relationship Id="rId860" Type="http://schemas.openxmlformats.org/officeDocument/2006/relationships/hyperlink" Target="https://www.kegg.jp/entry/6.3.5.1" TargetMode="External"/><Relationship Id="rId1143" Type="http://schemas.openxmlformats.org/officeDocument/2006/relationships/hyperlink" Target="https://www.kegg.jp/entry/R01067" TargetMode="External"/><Relationship Id="rId513" Type="http://schemas.openxmlformats.org/officeDocument/2006/relationships/hyperlink" Target="https://www.kegg.jp/entry/4.4.1.21" TargetMode="External"/><Relationship Id="rId720" Type="http://schemas.openxmlformats.org/officeDocument/2006/relationships/hyperlink" Target="https://enzyme.expasy.org/EC/1.2.1.41" TargetMode="External"/><Relationship Id="rId1350" Type="http://schemas.openxmlformats.org/officeDocument/2006/relationships/hyperlink" Target="https://enzyme.expasy.org/EC/2.8.4.3" TargetMode="External"/><Relationship Id="rId2401" Type="http://schemas.openxmlformats.org/officeDocument/2006/relationships/hyperlink" Target="https://www.kegg.jp/entry/R01194" TargetMode="External"/><Relationship Id="rId1003" Type="http://schemas.openxmlformats.org/officeDocument/2006/relationships/hyperlink" Target="https://enzyme.expasy.org/EC/7.1.1.1" TargetMode="External"/><Relationship Id="rId1210" Type="http://schemas.openxmlformats.org/officeDocument/2006/relationships/hyperlink" Target="https://www.kegg.jp/entry/R02722" TargetMode="External"/><Relationship Id="rId2191" Type="http://schemas.openxmlformats.org/officeDocument/2006/relationships/hyperlink" Target="https://www.kegg.jp/entry/R00375" TargetMode="External"/><Relationship Id="rId163" Type="http://schemas.openxmlformats.org/officeDocument/2006/relationships/hyperlink" Target="https://enzyme.expasy.org/EC/2.7.7.7" TargetMode="External"/><Relationship Id="rId370" Type="http://schemas.openxmlformats.org/officeDocument/2006/relationships/hyperlink" Target="https://www.kegg.jp/entry/3.4.21.89" TargetMode="External"/><Relationship Id="rId2051" Type="http://schemas.openxmlformats.org/officeDocument/2006/relationships/hyperlink" Target="https://www.kegg.jp/entry/5.4.2.2" TargetMode="External"/><Relationship Id="rId230" Type="http://schemas.openxmlformats.org/officeDocument/2006/relationships/hyperlink" Target="https://enzyme.expasy.org/EC/3.4.13.-" TargetMode="External"/><Relationship Id="rId1677" Type="http://schemas.openxmlformats.org/officeDocument/2006/relationships/hyperlink" Target="https://enzyme.expasy.org/EC/6.3.1.19" TargetMode="External"/><Relationship Id="rId1884" Type="http://schemas.openxmlformats.org/officeDocument/2006/relationships/hyperlink" Target="https://enzyme.expasy.org/EC/3.2.1.23" TargetMode="External"/><Relationship Id="rId907" Type="http://schemas.openxmlformats.org/officeDocument/2006/relationships/hyperlink" Target="https://www.kegg.jp/entry/2.7.1.35" TargetMode="External"/><Relationship Id="rId1537" Type="http://schemas.openxmlformats.org/officeDocument/2006/relationships/hyperlink" Target="https://enzyme.expasy.org/EC/4.2.1.53" TargetMode="External"/><Relationship Id="rId1744" Type="http://schemas.openxmlformats.org/officeDocument/2006/relationships/hyperlink" Target="https://enzyme.expasy.org/EC/7.-.-.-" TargetMode="External"/><Relationship Id="rId1951" Type="http://schemas.openxmlformats.org/officeDocument/2006/relationships/hyperlink" Target="https://www.kegg.jp/entry/R03492" TargetMode="External"/><Relationship Id="rId36" Type="http://schemas.openxmlformats.org/officeDocument/2006/relationships/hyperlink" Target="https://www.kegg.jp/entry/1.4.1.4" TargetMode="External"/><Relationship Id="rId1604" Type="http://schemas.openxmlformats.org/officeDocument/2006/relationships/hyperlink" Target="https://www.kegg.jp/entry/R00548" TargetMode="External"/><Relationship Id="rId1811" Type="http://schemas.openxmlformats.org/officeDocument/2006/relationships/hyperlink" Target="https://www.kegg.jp/entry/3.5.1.88" TargetMode="External"/><Relationship Id="rId697" Type="http://schemas.openxmlformats.org/officeDocument/2006/relationships/hyperlink" Target="https://www.kegg.jp/entry/4.3.2.1" TargetMode="External"/><Relationship Id="rId2378" Type="http://schemas.openxmlformats.org/officeDocument/2006/relationships/hyperlink" Target="https://enzyme.expasy.org/EC/3.2.1.22" TargetMode="External"/><Relationship Id="rId1187" Type="http://schemas.openxmlformats.org/officeDocument/2006/relationships/hyperlink" Target="https://www.kegg.jp/entry/2.7.7.9" TargetMode="External"/><Relationship Id="rId557" Type="http://schemas.openxmlformats.org/officeDocument/2006/relationships/hyperlink" Target="https://www.kegg.jp/entry/R07404" TargetMode="External"/><Relationship Id="rId764" Type="http://schemas.openxmlformats.org/officeDocument/2006/relationships/hyperlink" Target="https://enzyme.expasy.org/EC/2.4.1.18" TargetMode="External"/><Relationship Id="rId971" Type="http://schemas.openxmlformats.org/officeDocument/2006/relationships/hyperlink" Target="https://enzyme.expasy.org/EC/6.3.4.2" TargetMode="External"/><Relationship Id="rId1394" Type="http://schemas.openxmlformats.org/officeDocument/2006/relationships/hyperlink" Target="https://enzyme.expasy.org/EC/3.6.1.-" TargetMode="External"/><Relationship Id="rId2238" Type="http://schemas.openxmlformats.org/officeDocument/2006/relationships/hyperlink" Target="https://enzyme.expasy.org/EC/3.6.4.12" TargetMode="External"/><Relationship Id="rId2445" Type="http://schemas.openxmlformats.org/officeDocument/2006/relationships/hyperlink" Target="https://enzyme.expasy.org/EC/1.17.4.1" TargetMode="External"/><Relationship Id="rId417" Type="http://schemas.openxmlformats.org/officeDocument/2006/relationships/hyperlink" Target="https://www.kegg.jp/entry/R00955" TargetMode="External"/><Relationship Id="rId624" Type="http://schemas.openxmlformats.org/officeDocument/2006/relationships/hyperlink" Target="https://www.kegg.jp/entry/R01395" TargetMode="External"/><Relationship Id="rId831" Type="http://schemas.openxmlformats.org/officeDocument/2006/relationships/hyperlink" Target="https://www.kegg.jp/entry/R00921" TargetMode="External"/><Relationship Id="rId1047" Type="http://schemas.openxmlformats.org/officeDocument/2006/relationships/hyperlink" Target="https://enzyme.expasy.org/EC/2.1.1.14" TargetMode="External"/><Relationship Id="rId1254" Type="http://schemas.openxmlformats.org/officeDocument/2006/relationships/hyperlink" Target="https://www.kegg.jp/entry/1.1.1.42" TargetMode="External"/><Relationship Id="rId1461" Type="http://schemas.openxmlformats.org/officeDocument/2006/relationships/hyperlink" Target="https://www.kegg.jp/entry/2.7.8.13" TargetMode="External"/><Relationship Id="rId2305" Type="http://schemas.openxmlformats.org/officeDocument/2006/relationships/hyperlink" Target="https://www.kegg.jp/entry/R09009" TargetMode="External"/><Relationship Id="rId1114" Type="http://schemas.openxmlformats.org/officeDocument/2006/relationships/hyperlink" Target="https://www.kegg.jp/entry/1.1.1.27" TargetMode="External"/><Relationship Id="rId1321" Type="http://schemas.openxmlformats.org/officeDocument/2006/relationships/hyperlink" Target="https://enzyme.expasy.org/EC/3.6.1.23" TargetMode="External"/><Relationship Id="rId2095" Type="http://schemas.openxmlformats.org/officeDocument/2006/relationships/hyperlink" Target="https://www.kegg.jp/entry/2.7.4.3" TargetMode="External"/><Relationship Id="rId274" Type="http://schemas.openxmlformats.org/officeDocument/2006/relationships/hyperlink" Target="https://www.kegg.jp/entry/R00086" TargetMode="External"/><Relationship Id="rId481" Type="http://schemas.openxmlformats.org/officeDocument/2006/relationships/hyperlink" Target="https://www.kegg.jp/entry/R05112" TargetMode="External"/><Relationship Id="rId2162" Type="http://schemas.openxmlformats.org/officeDocument/2006/relationships/hyperlink" Target="https://www.kegg.jp/entry/R07105" TargetMode="External"/><Relationship Id="rId134" Type="http://schemas.openxmlformats.org/officeDocument/2006/relationships/hyperlink" Target="https://enzyme.expasy.org/EC/1.1.1.86" TargetMode="External"/><Relationship Id="rId341" Type="http://schemas.openxmlformats.org/officeDocument/2006/relationships/hyperlink" Target="https://www.kegg.jp/entry/R00226" TargetMode="External"/><Relationship Id="rId2022" Type="http://schemas.openxmlformats.org/officeDocument/2006/relationships/hyperlink" Target="https://www.kegg.jp/entry/R02984" TargetMode="External"/><Relationship Id="rId201" Type="http://schemas.openxmlformats.org/officeDocument/2006/relationships/hyperlink" Target="https://www.kegg.jp/entry/2.3.3.13" TargetMode="External"/><Relationship Id="rId1788" Type="http://schemas.openxmlformats.org/officeDocument/2006/relationships/hyperlink" Target="https://www.kegg.jp/entry/R00351" TargetMode="External"/><Relationship Id="rId1995" Type="http://schemas.openxmlformats.org/officeDocument/2006/relationships/hyperlink" Target="https://enzyme.expasy.org/EC/2.6.1.52" TargetMode="External"/><Relationship Id="rId1648" Type="http://schemas.openxmlformats.org/officeDocument/2006/relationships/hyperlink" Target="https://www.kegg.jp/entry/R00511" TargetMode="External"/><Relationship Id="rId1508" Type="http://schemas.openxmlformats.org/officeDocument/2006/relationships/hyperlink" Target="https://www.kegg.jp/entry/R00256" TargetMode="External"/><Relationship Id="rId1855" Type="http://schemas.openxmlformats.org/officeDocument/2006/relationships/hyperlink" Target="https://enzyme.expasy.org/EC/3.4.16.4" TargetMode="External"/><Relationship Id="rId1715" Type="http://schemas.openxmlformats.org/officeDocument/2006/relationships/hyperlink" Target="https://enzyme.expasy.org/EC/2.7.7.6" TargetMode="External"/><Relationship Id="rId1922" Type="http://schemas.openxmlformats.org/officeDocument/2006/relationships/hyperlink" Target="https://enzyme.expasy.org/EC/3.2.1.52" TargetMode="External"/><Relationship Id="rId2489" Type="http://schemas.openxmlformats.org/officeDocument/2006/relationships/hyperlink" Target="https://enzyme.expasy.org/EC/2.7.1.148" TargetMode="External"/><Relationship Id="rId668" Type="http://schemas.openxmlformats.org/officeDocument/2006/relationships/hyperlink" Target="https://enzyme.expasy.org/EC/2.1.1.-" TargetMode="External"/><Relationship Id="rId875" Type="http://schemas.openxmlformats.org/officeDocument/2006/relationships/hyperlink" Target="https://enzyme.expasy.org/EC/4.4.1.13" TargetMode="External"/><Relationship Id="rId1298" Type="http://schemas.openxmlformats.org/officeDocument/2006/relationships/hyperlink" Target="https://www.kegg.jp/entry/3.2.1.163" TargetMode="External"/><Relationship Id="rId2349" Type="http://schemas.openxmlformats.org/officeDocument/2006/relationships/hyperlink" Target="https://enzyme.expasy.org/EC/4.3.1.19" TargetMode="External"/><Relationship Id="rId528" Type="http://schemas.openxmlformats.org/officeDocument/2006/relationships/hyperlink" Target="https://enzyme.expasy.org/EC/4.3.3.6" TargetMode="External"/><Relationship Id="rId735" Type="http://schemas.openxmlformats.org/officeDocument/2006/relationships/hyperlink" Target="https://www.kegg.jp/entry/4.2.1.11" TargetMode="External"/><Relationship Id="rId942" Type="http://schemas.openxmlformats.org/officeDocument/2006/relationships/hyperlink" Target="https://www.kegg.jp/entry/2.4.2.22" TargetMode="External"/><Relationship Id="rId1158" Type="http://schemas.openxmlformats.org/officeDocument/2006/relationships/hyperlink" Target="https://www.kegg.jp/entry/3.6.4.12" TargetMode="External"/><Relationship Id="rId1365" Type="http://schemas.openxmlformats.org/officeDocument/2006/relationships/hyperlink" Target="https://www.kegg.jp/entry/4.2.1.3" TargetMode="External"/><Relationship Id="rId1572" Type="http://schemas.openxmlformats.org/officeDocument/2006/relationships/hyperlink" Target="https://enzyme.expasy.org/EC/2.7.1.49" TargetMode="External"/><Relationship Id="rId2209" Type="http://schemas.openxmlformats.org/officeDocument/2006/relationships/hyperlink" Target="https://enzyme.expasy.org/EC/7.3.2.1" TargetMode="External"/><Relationship Id="rId2416" Type="http://schemas.openxmlformats.org/officeDocument/2006/relationships/hyperlink" Target="https://www.kegg.jp/entry/R06152" TargetMode="External"/><Relationship Id="rId1018" Type="http://schemas.openxmlformats.org/officeDocument/2006/relationships/hyperlink" Target="https://enzyme.expasy.org/EC/3.6.5.n1" TargetMode="External"/><Relationship Id="rId1225" Type="http://schemas.openxmlformats.org/officeDocument/2006/relationships/hyperlink" Target="https://www.kegg.jp/entry/R00985" TargetMode="External"/><Relationship Id="rId1432" Type="http://schemas.openxmlformats.org/officeDocument/2006/relationships/hyperlink" Target="https://www.kegg.jp/entry/2.1.1.37" TargetMode="External"/><Relationship Id="rId71" Type="http://schemas.openxmlformats.org/officeDocument/2006/relationships/hyperlink" Target="https://www.kegg.jp/entry/R00164" TargetMode="External"/><Relationship Id="rId802" Type="http://schemas.openxmlformats.org/officeDocument/2006/relationships/hyperlink" Target="https://enzyme.expasy.org/EC/2.7.7.7" TargetMode="External"/><Relationship Id="rId178" Type="http://schemas.openxmlformats.org/officeDocument/2006/relationships/hyperlink" Target="https://www.kegg.jp/entry/R00377" TargetMode="External"/><Relationship Id="rId385" Type="http://schemas.openxmlformats.org/officeDocument/2006/relationships/hyperlink" Target="https://www.kegg.jp/entry/R05112" TargetMode="External"/><Relationship Id="rId592" Type="http://schemas.openxmlformats.org/officeDocument/2006/relationships/hyperlink" Target="https://enzyme.expasy.org/EC/6.3.2.6" TargetMode="External"/><Relationship Id="rId2066" Type="http://schemas.openxmlformats.org/officeDocument/2006/relationships/hyperlink" Target="https://enzyme.expasy.org/EC/2.7.1.26" TargetMode="External"/><Relationship Id="rId2273" Type="http://schemas.openxmlformats.org/officeDocument/2006/relationships/hyperlink" Target="https://enzyme.expasy.org/EC/4.2.1.33" TargetMode="External"/><Relationship Id="rId2480" Type="http://schemas.openxmlformats.org/officeDocument/2006/relationships/hyperlink" Target="https://www.kegg.jp/entry/R02024" TargetMode="External"/><Relationship Id="rId245" Type="http://schemas.openxmlformats.org/officeDocument/2006/relationships/hyperlink" Target="https://enzyme.expasy.org/EC/1.1.1.49" TargetMode="External"/><Relationship Id="rId452" Type="http://schemas.openxmlformats.org/officeDocument/2006/relationships/hyperlink" Target="https://enzyme.expasy.org/EC/3.1.-.-" TargetMode="External"/><Relationship Id="rId1082" Type="http://schemas.openxmlformats.org/officeDocument/2006/relationships/hyperlink" Target="https://www.kegg.jp/entry/R03474" TargetMode="External"/><Relationship Id="rId2133" Type="http://schemas.openxmlformats.org/officeDocument/2006/relationships/hyperlink" Target="https://www.kegg.jp/entry/1.1.1.1" TargetMode="External"/><Relationship Id="rId2340" Type="http://schemas.openxmlformats.org/officeDocument/2006/relationships/hyperlink" Target="https://enzyme.expasy.org/EC/2.3.1.286" TargetMode="External"/><Relationship Id="rId105" Type="http://schemas.openxmlformats.org/officeDocument/2006/relationships/hyperlink" Target="https://www.kegg.jp/entry/R01829" TargetMode="External"/><Relationship Id="rId312" Type="http://schemas.openxmlformats.org/officeDocument/2006/relationships/hyperlink" Target="https://enzyme.expasy.org/EC/3.-.-.-" TargetMode="External"/><Relationship Id="rId2200" Type="http://schemas.openxmlformats.org/officeDocument/2006/relationships/hyperlink" Target="https://www.kegg.jp/entry/1.3.1.98" TargetMode="External"/><Relationship Id="rId1899" Type="http://schemas.openxmlformats.org/officeDocument/2006/relationships/hyperlink" Target="https://www.kegg.jp/entry/3.2.1.23" TargetMode="External"/><Relationship Id="rId1759" Type="http://schemas.openxmlformats.org/officeDocument/2006/relationships/hyperlink" Target="https://www.kegg.jp/entry/1.17.4.2" TargetMode="External"/><Relationship Id="rId1966" Type="http://schemas.openxmlformats.org/officeDocument/2006/relationships/hyperlink" Target="https://enzyme.expasy.org/EC/3.1.3.48" TargetMode="External"/><Relationship Id="rId1619" Type="http://schemas.openxmlformats.org/officeDocument/2006/relationships/hyperlink" Target="https://enzyme.expasy.org/EC/3.1.3.5" TargetMode="External"/><Relationship Id="rId1826" Type="http://schemas.openxmlformats.org/officeDocument/2006/relationships/hyperlink" Target="https://enzyme.expasy.org/EC/2.7.6.3" TargetMode="External"/><Relationship Id="rId779" Type="http://schemas.openxmlformats.org/officeDocument/2006/relationships/hyperlink" Target="https://enzyme.expasy.org/EC/2.7.1.40" TargetMode="External"/><Relationship Id="rId986" Type="http://schemas.openxmlformats.org/officeDocument/2006/relationships/hyperlink" Target="https://www.kegg.jp/entry/2.8.1.7" TargetMode="External"/><Relationship Id="rId639" Type="http://schemas.openxmlformats.org/officeDocument/2006/relationships/hyperlink" Target="https://www.kegg.jp/entry/R12852" TargetMode="External"/><Relationship Id="rId1269" Type="http://schemas.openxmlformats.org/officeDocument/2006/relationships/hyperlink" Target="https://www.kegg.jp/entry/2.3.1.266" TargetMode="External"/><Relationship Id="rId1476" Type="http://schemas.openxmlformats.org/officeDocument/2006/relationships/hyperlink" Target="https://www.kegg.jp/entry/1.1.1.95" TargetMode="External"/><Relationship Id="rId846" Type="http://schemas.openxmlformats.org/officeDocument/2006/relationships/hyperlink" Target="https://www.kegg.jp/entry/R01231" TargetMode="External"/><Relationship Id="rId1129" Type="http://schemas.openxmlformats.org/officeDocument/2006/relationships/hyperlink" Target="https://www.kegg.jp/entry/R01827" TargetMode="External"/><Relationship Id="rId1683" Type="http://schemas.openxmlformats.org/officeDocument/2006/relationships/hyperlink" Target="https://www.kegg.jp/entry/3.5.1.119" TargetMode="External"/><Relationship Id="rId1890" Type="http://schemas.openxmlformats.org/officeDocument/2006/relationships/hyperlink" Target="https://enzyme.expasy.org/EC/3.2.1.23" TargetMode="External"/><Relationship Id="rId706" Type="http://schemas.openxmlformats.org/officeDocument/2006/relationships/hyperlink" Target="https://www.kegg.jp/entry/6.1.1.1" TargetMode="External"/><Relationship Id="rId913" Type="http://schemas.openxmlformats.org/officeDocument/2006/relationships/hyperlink" Target="https://www.kegg.jp/entry/2.7.13.3" TargetMode="External"/><Relationship Id="rId1336" Type="http://schemas.openxmlformats.org/officeDocument/2006/relationships/hyperlink" Target="https://enzyme.expasy.org/EC/2.5.1.-" TargetMode="External"/><Relationship Id="rId1543" Type="http://schemas.openxmlformats.org/officeDocument/2006/relationships/hyperlink" Target="https://enzyme.expasy.org/EC/2.7.7.7" TargetMode="External"/><Relationship Id="rId1750" Type="http://schemas.openxmlformats.org/officeDocument/2006/relationships/hyperlink" Target="https://www.kegg.jp/entry/R02750" TargetMode="External"/><Relationship Id="rId42" Type="http://schemas.openxmlformats.org/officeDocument/2006/relationships/hyperlink" Target="https://www.kegg.jp/entry/3.4.21.105" TargetMode="External"/><Relationship Id="rId1403" Type="http://schemas.openxmlformats.org/officeDocument/2006/relationships/hyperlink" Target="https://enzyme.expasy.org/EC/1.17.7.4" TargetMode="External"/><Relationship Id="rId1610" Type="http://schemas.openxmlformats.org/officeDocument/2006/relationships/hyperlink" Target="https://www.kegg.jp/entry/6.1.1.12" TargetMode="External"/><Relationship Id="rId289" Type="http://schemas.openxmlformats.org/officeDocument/2006/relationships/hyperlink" Target="https://www.kegg.jp/entry/R00086" TargetMode="External"/><Relationship Id="rId496" Type="http://schemas.openxmlformats.org/officeDocument/2006/relationships/hyperlink" Target="https://www.kegg.jp/entry/R02971" TargetMode="External"/><Relationship Id="rId2177" Type="http://schemas.openxmlformats.org/officeDocument/2006/relationships/hyperlink" Target="https://enzyme.expasy.org/EC/3.2.1.-" TargetMode="External"/><Relationship Id="rId2384" Type="http://schemas.openxmlformats.org/officeDocument/2006/relationships/hyperlink" Target="https://www.kegg.jp/entry/3.2.1.22" TargetMode="External"/><Relationship Id="rId149" Type="http://schemas.openxmlformats.org/officeDocument/2006/relationships/hyperlink" Target="https://www.kegg.jp/entry/R05068" TargetMode="External"/><Relationship Id="rId356" Type="http://schemas.openxmlformats.org/officeDocument/2006/relationships/hyperlink" Target="https://www.kegg.jp/entry/2.7.7.56" TargetMode="External"/><Relationship Id="rId563" Type="http://schemas.openxmlformats.org/officeDocument/2006/relationships/hyperlink" Target="https://www.kegg.jp/entry/6.3.3.1" TargetMode="External"/><Relationship Id="rId770" Type="http://schemas.openxmlformats.org/officeDocument/2006/relationships/hyperlink" Target="https://www.kegg.jp/entry/R05637" TargetMode="External"/><Relationship Id="rId1193" Type="http://schemas.openxmlformats.org/officeDocument/2006/relationships/hyperlink" Target="https://www.kegg.jp/entry/R01071" TargetMode="External"/><Relationship Id="rId2037" Type="http://schemas.openxmlformats.org/officeDocument/2006/relationships/hyperlink" Target="https://www.kegg.jp/entry/R06057" TargetMode="External"/><Relationship Id="rId2244" Type="http://schemas.openxmlformats.org/officeDocument/2006/relationships/hyperlink" Target="https://enzyme.expasy.org/EC/2.7.2.11" TargetMode="External"/><Relationship Id="rId2451" Type="http://schemas.openxmlformats.org/officeDocument/2006/relationships/hyperlink" Target="https://www.kegg.jp/entry/1.17.4.1" TargetMode="External"/><Relationship Id="rId216" Type="http://schemas.openxmlformats.org/officeDocument/2006/relationships/hyperlink" Target="https://enzyme.expasy.org/EC/2.7.7.7" TargetMode="External"/><Relationship Id="rId423" Type="http://schemas.openxmlformats.org/officeDocument/2006/relationships/hyperlink" Target="https://enzyme.expasy.org/EC/2.7.7.6" TargetMode="External"/><Relationship Id="rId1053" Type="http://schemas.openxmlformats.org/officeDocument/2006/relationships/hyperlink" Target="https://enzyme.expasy.org/EC/1.5.1.20" TargetMode="External"/><Relationship Id="rId1260" Type="http://schemas.openxmlformats.org/officeDocument/2006/relationships/hyperlink" Target="https://www.kegg.jp/entry/R00268" TargetMode="External"/><Relationship Id="rId2104" Type="http://schemas.openxmlformats.org/officeDocument/2006/relationships/hyperlink" Target="https://www.kegg.jp/entry/4.1.1.5" TargetMode="External"/><Relationship Id="rId630" Type="http://schemas.openxmlformats.org/officeDocument/2006/relationships/hyperlink" Target="https://www.kegg.jp/entry/R00965" TargetMode="External"/><Relationship Id="rId2311" Type="http://schemas.openxmlformats.org/officeDocument/2006/relationships/hyperlink" Target="https://enzyme.expasy.org/EC/2.7.8.-" TargetMode="External"/><Relationship Id="rId1120" Type="http://schemas.openxmlformats.org/officeDocument/2006/relationships/hyperlink" Target="https://www.kegg.jp/entry/R01000" TargetMode="External"/><Relationship Id="rId1937" Type="http://schemas.openxmlformats.org/officeDocument/2006/relationships/hyperlink" Target="https://www.kegg.jp/entry/3.2.1.52" TargetMode="External"/><Relationship Id="rId280" Type="http://schemas.openxmlformats.org/officeDocument/2006/relationships/hyperlink" Target="https://www.kegg.jp/entry/R00086" TargetMode="External"/><Relationship Id="rId140" Type="http://schemas.openxmlformats.org/officeDocument/2006/relationships/hyperlink" Target="https://www.kegg.jp/entry/1.1.1.86" TargetMode="External"/><Relationship Id="rId6" Type="http://schemas.openxmlformats.org/officeDocument/2006/relationships/hyperlink" Target="https://www.kegg.jp/entry/R00248" TargetMode="External"/><Relationship Id="rId957" Type="http://schemas.openxmlformats.org/officeDocument/2006/relationships/hyperlink" Target="https://www.kegg.jp/entry/R02485" TargetMode="External"/><Relationship Id="rId1587" Type="http://schemas.openxmlformats.org/officeDocument/2006/relationships/hyperlink" Target="https://enzyme.expasy.org/EC/1.-.-.-" TargetMode="External"/><Relationship Id="rId1794" Type="http://schemas.openxmlformats.org/officeDocument/2006/relationships/hyperlink" Target="https://www.kegg.jp/entry/R03661" TargetMode="External"/><Relationship Id="rId86" Type="http://schemas.openxmlformats.org/officeDocument/2006/relationships/hyperlink" Target="https://www.kegg.jp/entry/R07385" TargetMode="External"/><Relationship Id="rId817" Type="http://schemas.openxmlformats.org/officeDocument/2006/relationships/hyperlink" Target="https://enzyme.expasy.org/EC/3.6.1.-" TargetMode="External"/><Relationship Id="rId1447" Type="http://schemas.openxmlformats.org/officeDocument/2006/relationships/hyperlink" Target="https://www.kegg.jp/entry/2.4.1.227" TargetMode="External"/><Relationship Id="rId1654" Type="http://schemas.openxmlformats.org/officeDocument/2006/relationships/hyperlink" Target="https://www.kegg.jp/entry/R03346" TargetMode="External"/><Relationship Id="rId1861" Type="http://schemas.openxmlformats.org/officeDocument/2006/relationships/hyperlink" Target="https://enzyme.expasy.org/EC/1.1.1.77" TargetMode="External"/><Relationship Id="rId1307" Type="http://schemas.openxmlformats.org/officeDocument/2006/relationships/hyperlink" Target="https://enzyme.expasy.org/EC/5.6.2.1" TargetMode="External"/><Relationship Id="rId1514" Type="http://schemas.openxmlformats.org/officeDocument/2006/relationships/hyperlink" Target="https://enzyme.expasy.org/EC/2.6.1.9" TargetMode="External"/><Relationship Id="rId1721" Type="http://schemas.openxmlformats.org/officeDocument/2006/relationships/hyperlink" Target="https://www.kegg.jp/entry/2.7.7.6" TargetMode="External"/><Relationship Id="rId13" Type="http://schemas.openxmlformats.org/officeDocument/2006/relationships/hyperlink" Target="https://www.kegg.jp/entry/R08057" TargetMode="External"/><Relationship Id="rId2288" Type="http://schemas.openxmlformats.org/officeDocument/2006/relationships/hyperlink" Target="https://www.kegg.jp/entry/R10170" TargetMode="External"/><Relationship Id="rId2495" Type="http://schemas.openxmlformats.org/officeDocument/2006/relationships/hyperlink" Target="https://enzyme.expasy.org/EC/2.7.7.72" TargetMode="External"/><Relationship Id="rId467" Type="http://schemas.openxmlformats.org/officeDocument/2006/relationships/hyperlink" Target="https://www.kegg.jp/entry/R04268" TargetMode="External"/><Relationship Id="rId1097" Type="http://schemas.openxmlformats.org/officeDocument/2006/relationships/hyperlink" Target="https://enzyme.expasy.org/EC/2.4.2.10" TargetMode="External"/><Relationship Id="rId2148" Type="http://schemas.openxmlformats.org/officeDocument/2006/relationships/hyperlink" Target="https://www.kegg.jp/entry/R04805" TargetMode="External"/><Relationship Id="rId674" Type="http://schemas.openxmlformats.org/officeDocument/2006/relationships/hyperlink" Target="https://www.kegg.jp/entry/R03660" TargetMode="External"/><Relationship Id="rId881" Type="http://schemas.openxmlformats.org/officeDocument/2006/relationships/hyperlink" Target="https://enzyme.expasy.org/EC/4.4.1.13" TargetMode="External"/><Relationship Id="rId2355" Type="http://schemas.openxmlformats.org/officeDocument/2006/relationships/hyperlink" Target="https://www.kegg.jp/entry/R11098" TargetMode="External"/><Relationship Id="rId327" Type="http://schemas.openxmlformats.org/officeDocument/2006/relationships/hyperlink" Target="https://www.kegg.jp/entry/R00440" TargetMode="External"/><Relationship Id="rId534" Type="http://schemas.openxmlformats.org/officeDocument/2006/relationships/hyperlink" Target="https://www.kegg.jp/entry/R00256" TargetMode="External"/><Relationship Id="rId741" Type="http://schemas.openxmlformats.org/officeDocument/2006/relationships/hyperlink" Target="https://www.kegg.jp/entry/4.3.1.17" TargetMode="External"/><Relationship Id="rId1164" Type="http://schemas.openxmlformats.org/officeDocument/2006/relationships/hyperlink" Target="https://www.kegg.jp/entry/2.4.2.7" TargetMode="External"/><Relationship Id="rId1371" Type="http://schemas.openxmlformats.org/officeDocument/2006/relationships/hyperlink" Target="https://www.kegg.jp/entry/3.1.11.2" TargetMode="External"/><Relationship Id="rId2008" Type="http://schemas.openxmlformats.org/officeDocument/2006/relationships/hyperlink" Target="https://enzyme.expasy.org/EC/6.1.1.6" TargetMode="External"/><Relationship Id="rId2215" Type="http://schemas.openxmlformats.org/officeDocument/2006/relationships/hyperlink" Target="https://www.kegg.jp/entry/R01401" TargetMode="External"/><Relationship Id="rId2422" Type="http://schemas.openxmlformats.org/officeDocument/2006/relationships/hyperlink" Target="https://www.kegg.jp/entry/3.5.4.13" TargetMode="External"/><Relationship Id="rId601" Type="http://schemas.openxmlformats.org/officeDocument/2006/relationships/hyperlink" Target="https://enzyme.expasy.org/EC/7.5.2.-" TargetMode="External"/><Relationship Id="rId1024" Type="http://schemas.openxmlformats.org/officeDocument/2006/relationships/hyperlink" Target="https://www.kegg.jp/entry/1.4.1.13" TargetMode="External"/><Relationship Id="rId1231" Type="http://schemas.openxmlformats.org/officeDocument/2006/relationships/hyperlink" Target="https://enzyme.expasy.org/EC/4.3.2.10" TargetMode="External"/><Relationship Id="rId184" Type="http://schemas.openxmlformats.org/officeDocument/2006/relationships/hyperlink" Target="https://enzyme.expasy.org/EC/1.2.1.11" TargetMode="External"/><Relationship Id="rId391" Type="http://schemas.openxmlformats.org/officeDocument/2006/relationships/hyperlink" Target="https://www.kegg.jp/entry/R06144" TargetMode="External"/><Relationship Id="rId1908" Type="http://schemas.openxmlformats.org/officeDocument/2006/relationships/hyperlink" Target="https://www.kegg.jp/entry/R03355" TargetMode="External"/><Relationship Id="rId2072" Type="http://schemas.openxmlformats.org/officeDocument/2006/relationships/hyperlink" Target="https://www.kegg.jp/entry/5.4.99.25" TargetMode="External"/><Relationship Id="rId251" Type="http://schemas.openxmlformats.org/officeDocument/2006/relationships/hyperlink" Target="https://enzyme.expasy.org/EC/2.4.-.-" TargetMode="External"/><Relationship Id="rId111" Type="http://schemas.openxmlformats.org/officeDocument/2006/relationships/hyperlink" Target="https://www.kegg.jp/entry/2.4.1.7" TargetMode="External"/><Relationship Id="rId1698" Type="http://schemas.openxmlformats.org/officeDocument/2006/relationships/hyperlink" Target="https://enzyme.expasy.org/EC/3.-.-.-" TargetMode="External"/><Relationship Id="rId928" Type="http://schemas.openxmlformats.org/officeDocument/2006/relationships/hyperlink" Target="https://enzyme.expasy.org/EC/3.5.1.25" TargetMode="External"/><Relationship Id="rId1558" Type="http://schemas.openxmlformats.org/officeDocument/2006/relationships/hyperlink" Target="https://www.kegg.jp/entry/R11029" TargetMode="External"/><Relationship Id="rId1765" Type="http://schemas.openxmlformats.org/officeDocument/2006/relationships/hyperlink" Target="https://www.kegg.jp/entry/1.17.4.2" TargetMode="External"/><Relationship Id="rId57" Type="http://schemas.openxmlformats.org/officeDocument/2006/relationships/hyperlink" Target="https://enzyme.expasy.org/EC/2.4.99.28" TargetMode="External"/><Relationship Id="rId1418" Type="http://schemas.openxmlformats.org/officeDocument/2006/relationships/hyperlink" Target="https://www.kegg.jp/entry/3.5.99.6" TargetMode="External"/><Relationship Id="rId1972" Type="http://schemas.openxmlformats.org/officeDocument/2006/relationships/hyperlink" Target="https://enzyme.expasy.org/EC/1.5.1.3" TargetMode="External"/><Relationship Id="rId1625" Type="http://schemas.openxmlformats.org/officeDocument/2006/relationships/hyperlink" Target="https://enzyme.expasy.org/EC/3.1.3.5" TargetMode="External"/><Relationship Id="rId1832" Type="http://schemas.openxmlformats.org/officeDocument/2006/relationships/hyperlink" Target="https://www.kegg.jp/entry/2.5.1.15" TargetMode="External"/><Relationship Id="rId2399" Type="http://schemas.openxmlformats.org/officeDocument/2006/relationships/hyperlink" Target="https://www.kegg.jp/entry/R01103" TargetMode="External"/><Relationship Id="rId578" Type="http://schemas.openxmlformats.org/officeDocument/2006/relationships/hyperlink" Target="https://www.kegg.jp/entry/R00379" TargetMode="External"/><Relationship Id="rId785" Type="http://schemas.openxmlformats.org/officeDocument/2006/relationships/hyperlink" Target="https://www.kegg.jp/entry/2.7.1.40" TargetMode="External"/><Relationship Id="rId992" Type="http://schemas.openxmlformats.org/officeDocument/2006/relationships/hyperlink" Target="https://www.kegg.jp/entry/R00948" TargetMode="External"/><Relationship Id="rId2259" Type="http://schemas.openxmlformats.org/officeDocument/2006/relationships/hyperlink" Target="https://www.kegg.jp/entry/1.1.1.3" TargetMode="External"/><Relationship Id="rId2466" Type="http://schemas.openxmlformats.org/officeDocument/2006/relationships/hyperlink" Target="https://enzyme.expasy.org/EC/1.17.4.1" TargetMode="External"/><Relationship Id="rId438" Type="http://schemas.openxmlformats.org/officeDocument/2006/relationships/hyperlink" Target="https://www.kegg.jp/entry/R00441" TargetMode="External"/><Relationship Id="rId645" Type="http://schemas.openxmlformats.org/officeDocument/2006/relationships/hyperlink" Target="https://enzyme.expasy.org/EC/5.1.1.7" TargetMode="External"/><Relationship Id="rId852" Type="http://schemas.openxmlformats.org/officeDocument/2006/relationships/hyperlink" Target="https://enzyme.expasy.org/EC/7.4.2.11" TargetMode="External"/><Relationship Id="rId1068" Type="http://schemas.openxmlformats.org/officeDocument/2006/relationships/hyperlink" Target="https://www.kegg.jp/entry/3.5.1.24" TargetMode="External"/><Relationship Id="rId1275" Type="http://schemas.openxmlformats.org/officeDocument/2006/relationships/hyperlink" Target="https://www.kegg.jp/entry/2.7.7.7" TargetMode="External"/><Relationship Id="rId1482" Type="http://schemas.openxmlformats.org/officeDocument/2006/relationships/hyperlink" Target="https://www.kegg.jp/entry/3.4.21.88" TargetMode="External"/><Relationship Id="rId2119" Type="http://schemas.openxmlformats.org/officeDocument/2006/relationships/hyperlink" Target="https://enzyme.expasy.org/EC/1.1.1.1" TargetMode="External"/><Relationship Id="rId2326" Type="http://schemas.openxmlformats.org/officeDocument/2006/relationships/hyperlink" Target="https://enzyme.expasy.org/EC/6.1.1.10" TargetMode="External"/><Relationship Id="rId505" Type="http://schemas.openxmlformats.org/officeDocument/2006/relationships/hyperlink" Target="https://www.kegg.jp/entry/R02508" TargetMode="External"/><Relationship Id="rId712" Type="http://schemas.openxmlformats.org/officeDocument/2006/relationships/hyperlink" Target="https://enzyme.expasy.org/EC/3.-.-.-" TargetMode="External"/><Relationship Id="rId1135" Type="http://schemas.openxmlformats.org/officeDocument/2006/relationships/hyperlink" Target="https://enzyme.expasy.org/EC/2.2.1.1" TargetMode="External"/><Relationship Id="rId1342" Type="http://schemas.openxmlformats.org/officeDocument/2006/relationships/hyperlink" Target="https://www.kegg.jp/entry/2.7.8.5" TargetMode="External"/><Relationship Id="rId1202" Type="http://schemas.openxmlformats.org/officeDocument/2006/relationships/hyperlink" Target="https://enzyme.expasy.org/EC/4.2.1.20" TargetMode="External"/><Relationship Id="rId295" Type="http://schemas.openxmlformats.org/officeDocument/2006/relationships/hyperlink" Target="https://www.kegg.jp/entry/R00086" TargetMode="External"/><Relationship Id="rId2183" Type="http://schemas.openxmlformats.org/officeDocument/2006/relationships/hyperlink" Target="https://enzyme.expasy.org/EC/2.7.7.7" TargetMode="External"/><Relationship Id="rId2390" Type="http://schemas.openxmlformats.org/officeDocument/2006/relationships/hyperlink" Target="https://www.kegg.jp/entry/3.2.1.22" TargetMode="External"/><Relationship Id="rId155" Type="http://schemas.openxmlformats.org/officeDocument/2006/relationships/hyperlink" Target="https://www.kegg.jp/entry/2.4.1.25" TargetMode="External"/><Relationship Id="rId362" Type="http://schemas.openxmlformats.org/officeDocument/2006/relationships/hyperlink" Target="https://www.kegg.jp/entry/5.3.1.9" TargetMode="External"/><Relationship Id="rId2043" Type="http://schemas.openxmlformats.org/officeDocument/2006/relationships/hyperlink" Target="https://www.kegg.jp/entry/R08218" TargetMode="External"/><Relationship Id="rId2250" Type="http://schemas.openxmlformats.org/officeDocument/2006/relationships/hyperlink" Target="https://enzyme.expasy.org/EC/4.-.-.-" TargetMode="External"/><Relationship Id="rId222" Type="http://schemas.openxmlformats.org/officeDocument/2006/relationships/hyperlink" Target="https://www.kegg.jp/entry/R00376" TargetMode="External"/><Relationship Id="rId2110" Type="http://schemas.openxmlformats.org/officeDocument/2006/relationships/hyperlink" Target="https://enzyme.expasy.org/EC/1.1.1.1" TargetMode="External"/><Relationship Id="rId1669" Type="http://schemas.openxmlformats.org/officeDocument/2006/relationships/hyperlink" Target="https://www.kegg.jp/entry/4.3.2.2" TargetMode="External"/><Relationship Id="rId1876" Type="http://schemas.openxmlformats.org/officeDocument/2006/relationships/hyperlink" Target="https://www.kegg.jp/entry/3.2.1.23" TargetMode="External"/><Relationship Id="rId1529" Type="http://schemas.openxmlformats.org/officeDocument/2006/relationships/hyperlink" Target="https://www.kegg.jp/entry/R01158" TargetMode="External"/><Relationship Id="rId1736" Type="http://schemas.openxmlformats.org/officeDocument/2006/relationships/hyperlink" Target="https://enzyme.expasy.org/EC/3.1.21.-" TargetMode="External"/><Relationship Id="rId1943" Type="http://schemas.openxmlformats.org/officeDocument/2006/relationships/hyperlink" Target="https://www.kegg.jp/entry/3.2.1.52" TargetMode="External"/><Relationship Id="rId28" Type="http://schemas.openxmlformats.org/officeDocument/2006/relationships/hyperlink" Target="https://www.ncbi.nlm.nih.gov/protein/489924576" TargetMode="External"/><Relationship Id="rId1803" Type="http://schemas.openxmlformats.org/officeDocument/2006/relationships/hyperlink" Target="https://enzyme.expasy.org/EC/2.-.-.-" TargetMode="External"/><Relationship Id="rId689" Type="http://schemas.openxmlformats.org/officeDocument/2006/relationships/hyperlink" Target="https://www.kegg.jp/entry/R02283" TargetMode="External"/><Relationship Id="rId896" Type="http://schemas.openxmlformats.org/officeDocument/2006/relationships/hyperlink" Target="https://www.kegg.jp/entry/R00782" TargetMode="External"/><Relationship Id="rId549" Type="http://schemas.openxmlformats.org/officeDocument/2006/relationships/hyperlink" Target="https://enzyme.expasy.org/EC/4.1.1.21" TargetMode="External"/><Relationship Id="rId756" Type="http://schemas.openxmlformats.org/officeDocument/2006/relationships/hyperlink" Target="https://www.kegg.jp/entry/5.2.1.8" TargetMode="External"/><Relationship Id="rId1179" Type="http://schemas.openxmlformats.org/officeDocument/2006/relationships/hyperlink" Target="https://enzyme.expasy.org/EC/2.1.2.3" TargetMode="External"/><Relationship Id="rId1386" Type="http://schemas.openxmlformats.org/officeDocument/2006/relationships/hyperlink" Target="https://enzyme.expasy.org/EC/1.4.3.16" TargetMode="External"/><Relationship Id="rId1593" Type="http://schemas.openxmlformats.org/officeDocument/2006/relationships/hyperlink" Target="https://enzyme.expasy.org/EC/3.1.3.2" TargetMode="External"/><Relationship Id="rId2437" Type="http://schemas.openxmlformats.org/officeDocument/2006/relationships/hyperlink" Target="https://enzyme.expasy.org/EC/1.17.4.1" TargetMode="External"/><Relationship Id="rId409" Type="http://schemas.openxmlformats.org/officeDocument/2006/relationships/hyperlink" Target="https://www.kegg.jp/entry/R10052" TargetMode="External"/><Relationship Id="rId963" Type="http://schemas.openxmlformats.org/officeDocument/2006/relationships/hyperlink" Target="https://enzyme.expasy.org/EC/3.1.21.10" TargetMode="External"/><Relationship Id="rId1039" Type="http://schemas.openxmlformats.org/officeDocument/2006/relationships/hyperlink" Target="https://www.kegg.jp/entry/3.5.99.2" TargetMode="External"/><Relationship Id="rId1246" Type="http://schemas.openxmlformats.org/officeDocument/2006/relationships/hyperlink" Target="https://enzyme.expasy.org/EC/3.5.1.88" TargetMode="External"/><Relationship Id="rId92" Type="http://schemas.openxmlformats.org/officeDocument/2006/relationships/hyperlink" Target="https://enzyme.expasy.org/EC/3.4.21.-" TargetMode="External"/><Relationship Id="rId616" Type="http://schemas.openxmlformats.org/officeDocument/2006/relationships/hyperlink" Target="https://www.kegg.jp/entry/R01395" TargetMode="External"/><Relationship Id="rId823" Type="http://schemas.openxmlformats.org/officeDocument/2006/relationships/hyperlink" Target="https://www.kegg.jp/entry/2.5.1.19" TargetMode="External"/><Relationship Id="rId1453" Type="http://schemas.openxmlformats.org/officeDocument/2006/relationships/hyperlink" Target="https://www.kegg.jp/entry/R06172" TargetMode="External"/><Relationship Id="rId1660" Type="http://schemas.openxmlformats.org/officeDocument/2006/relationships/hyperlink" Target="https://www.kegg.jp/entry/R12958" TargetMode="External"/><Relationship Id="rId2504" Type="http://schemas.openxmlformats.org/officeDocument/2006/relationships/hyperlink" Target="https://enzyme.expasy.org/EC/3.6.1.-" TargetMode="External"/><Relationship Id="rId1106" Type="http://schemas.openxmlformats.org/officeDocument/2006/relationships/hyperlink" Target="https://enzyme.expasy.org/EC/1.1.1.-" TargetMode="External"/><Relationship Id="rId1313" Type="http://schemas.openxmlformats.org/officeDocument/2006/relationships/hyperlink" Target="https://enzyme.expasy.org/EC/5.2.1.8" TargetMode="External"/><Relationship Id="rId1520" Type="http://schemas.openxmlformats.org/officeDocument/2006/relationships/hyperlink" Target="https://www.kegg.jp/entry/R0324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zyme.expasy.org/EC/3.1.1.29" TargetMode="External"/><Relationship Id="rId299" Type="http://schemas.openxmlformats.org/officeDocument/2006/relationships/hyperlink" Target="https://enzyme.expasy.org/EC/3.5.1.18" TargetMode="External"/><Relationship Id="rId21" Type="http://schemas.openxmlformats.org/officeDocument/2006/relationships/hyperlink" Target="https://enzyme.expasy.org/EC/2.7.7.7" TargetMode="External"/><Relationship Id="rId63" Type="http://schemas.openxmlformats.org/officeDocument/2006/relationships/hyperlink" Target="https://enzyme.expasy.org/EC/1.3.5.2" TargetMode="External"/><Relationship Id="rId159" Type="http://schemas.openxmlformats.org/officeDocument/2006/relationships/hyperlink" Target="https://enzyme.expasy.org/EC/2.7.7.42" TargetMode="External"/><Relationship Id="rId324" Type="http://schemas.openxmlformats.org/officeDocument/2006/relationships/hyperlink" Target="https://enzyme.expasy.org/EC/2.7.7.72" TargetMode="External"/><Relationship Id="rId170" Type="http://schemas.openxmlformats.org/officeDocument/2006/relationships/hyperlink" Target="https://enzyme.expasy.org/EC/3.6.1.27" TargetMode="External"/><Relationship Id="rId226" Type="http://schemas.openxmlformats.org/officeDocument/2006/relationships/hyperlink" Target="https://enzyme.expasy.org/EC/1.1.1.23" TargetMode="External"/><Relationship Id="rId268" Type="http://schemas.openxmlformats.org/officeDocument/2006/relationships/hyperlink" Target="https://enzyme.expasy.org/EC/3.2.1.52" TargetMode="External"/><Relationship Id="rId32" Type="http://schemas.openxmlformats.org/officeDocument/2006/relationships/hyperlink" Target="https://enzyme.expasy.org/EC/1.1.1.44" TargetMode="External"/><Relationship Id="rId74" Type="http://schemas.openxmlformats.org/officeDocument/2006/relationships/hyperlink" Target="https://enzyme.expasy.org/EC/2.7.1.33" TargetMode="External"/><Relationship Id="rId128" Type="http://schemas.openxmlformats.org/officeDocument/2006/relationships/hyperlink" Target="https://enzyme.expasy.org/EC/2.3.1.8" TargetMode="External"/><Relationship Id="rId5" Type="http://schemas.openxmlformats.org/officeDocument/2006/relationships/hyperlink" Target="https://enzyme.expasy.org/EC/6.1.1.2" TargetMode="External"/><Relationship Id="rId181" Type="http://schemas.openxmlformats.org/officeDocument/2006/relationships/hyperlink" Target="https://enzyme.expasy.org/EC/2.5.1.145" TargetMode="External"/><Relationship Id="rId237" Type="http://schemas.openxmlformats.org/officeDocument/2006/relationships/hyperlink" Target="https://enzyme.expasy.org/EC/6.1.1.12" TargetMode="External"/><Relationship Id="rId279" Type="http://schemas.openxmlformats.org/officeDocument/2006/relationships/hyperlink" Target="https://enzyme.expasy.org/EC/6.1.1.11" TargetMode="External"/><Relationship Id="rId43" Type="http://schemas.openxmlformats.org/officeDocument/2006/relationships/hyperlink" Target="https://enzyme.expasy.org/EC/5.2.1.8" TargetMode="External"/><Relationship Id="rId139" Type="http://schemas.openxmlformats.org/officeDocument/2006/relationships/hyperlink" Target="https://enzyme.expasy.org/EC/2.4.2.22" TargetMode="External"/><Relationship Id="rId290" Type="http://schemas.openxmlformats.org/officeDocument/2006/relationships/hyperlink" Target="https://enzyme.expasy.org/EC/1.3.1.98" TargetMode="External"/><Relationship Id="rId304" Type="http://schemas.openxmlformats.org/officeDocument/2006/relationships/hyperlink" Target="https://enzyme.expasy.org/EC/4.2.1.33" TargetMode="External"/><Relationship Id="rId85" Type="http://schemas.openxmlformats.org/officeDocument/2006/relationships/hyperlink" Target="https://enzyme.expasy.org/EC/6.3.4.18" TargetMode="External"/><Relationship Id="rId150" Type="http://schemas.openxmlformats.org/officeDocument/2006/relationships/hyperlink" Target="https://enzyme.expasy.org/EC/2.6.1.42" TargetMode="External"/><Relationship Id="rId192" Type="http://schemas.openxmlformats.org/officeDocument/2006/relationships/hyperlink" Target="https://enzyme.expasy.org/EC/6.1.1.4" TargetMode="External"/><Relationship Id="rId206" Type="http://schemas.openxmlformats.org/officeDocument/2006/relationships/hyperlink" Target="https://enzyme.expasy.org/EC/1.4.3.16" TargetMode="External"/><Relationship Id="rId248" Type="http://schemas.openxmlformats.org/officeDocument/2006/relationships/hyperlink" Target="https://enzyme.expasy.org/EC/4.2.1.9" TargetMode="External"/><Relationship Id="rId12" Type="http://schemas.openxmlformats.org/officeDocument/2006/relationships/hyperlink" Target="https://enzyme.expasy.org/EC/1.8.4.12" TargetMode="External"/><Relationship Id="rId108" Type="http://schemas.openxmlformats.org/officeDocument/2006/relationships/hyperlink" Target="https://enzyme.expasy.org/EC/6.3.4.5" TargetMode="External"/><Relationship Id="rId315" Type="http://schemas.openxmlformats.org/officeDocument/2006/relationships/hyperlink" Target="https://enzyme.expasy.org/EC/2.3.1.286" TargetMode="External"/><Relationship Id="rId54" Type="http://schemas.openxmlformats.org/officeDocument/2006/relationships/hyperlink" Target="https://enzyme.expasy.org/EC/6.3.4.21" TargetMode="External"/><Relationship Id="rId96" Type="http://schemas.openxmlformats.org/officeDocument/2006/relationships/hyperlink" Target="https://enzyme.expasy.org/EC/5.1.1.7" TargetMode="External"/><Relationship Id="rId161" Type="http://schemas.openxmlformats.org/officeDocument/2006/relationships/hyperlink" Target="https://enzyme.expasy.org/EC/2.1.3.2" TargetMode="External"/><Relationship Id="rId217" Type="http://schemas.openxmlformats.org/officeDocument/2006/relationships/hyperlink" Target="https://enzyme.expasy.org/EC/2.7.8.13" TargetMode="External"/><Relationship Id="rId259" Type="http://schemas.openxmlformats.org/officeDocument/2006/relationships/hyperlink" Target="https://enzyme.expasy.org/EC/2.1.1.297" TargetMode="External"/><Relationship Id="rId23" Type="http://schemas.openxmlformats.org/officeDocument/2006/relationships/hyperlink" Target="https://enzyme.expasy.org/EC/1.2.1.11" TargetMode="External"/><Relationship Id="rId119" Type="http://schemas.openxmlformats.org/officeDocument/2006/relationships/hyperlink" Target="https://enzyme.expasy.org/EC/4.3.1.17" TargetMode="External"/><Relationship Id="rId270" Type="http://schemas.openxmlformats.org/officeDocument/2006/relationships/hyperlink" Target="https://enzyme.expasy.org/EC/1.5.1.3" TargetMode="External"/><Relationship Id="rId326" Type="http://schemas.openxmlformats.org/officeDocument/2006/relationships/hyperlink" Target="https://enzyme.expasy.org/EC/3.1.26.5" TargetMode="External"/><Relationship Id="rId65" Type="http://schemas.openxmlformats.org/officeDocument/2006/relationships/hyperlink" Target="https://enzyme.expasy.org/EC/2.7.1.6" TargetMode="External"/><Relationship Id="rId130" Type="http://schemas.openxmlformats.org/officeDocument/2006/relationships/hyperlink" Target="https://enzyme.expasy.org/EC/2.7.7.23" TargetMode="External"/><Relationship Id="rId172" Type="http://schemas.openxmlformats.org/officeDocument/2006/relationships/hyperlink" Target="https://enzyme.expasy.org/EC/3.6.4.12" TargetMode="External"/><Relationship Id="rId228" Type="http://schemas.openxmlformats.org/officeDocument/2006/relationships/hyperlink" Target="https://enzyme.expasy.org/EC/4.2.1.53" TargetMode="External"/><Relationship Id="rId281" Type="http://schemas.openxmlformats.org/officeDocument/2006/relationships/hyperlink" Target="https://enzyme.expasy.org/EC/5.3.1.6" TargetMode="External"/><Relationship Id="rId34" Type="http://schemas.openxmlformats.org/officeDocument/2006/relationships/hyperlink" Target="https://enzyme.expasy.org/EC/1.1.1.49" TargetMode="External"/><Relationship Id="rId76" Type="http://schemas.openxmlformats.org/officeDocument/2006/relationships/hyperlink" Target="https://enzyme.expasy.org/EC/5.6.2.4" TargetMode="External"/><Relationship Id="rId141" Type="http://schemas.openxmlformats.org/officeDocument/2006/relationships/hyperlink" Target="https://enzyme.expasy.org/EC/6.1.1.7" TargetMode="External"/><Relationship Id="rId7" Type="http://schemas.openxmlformats.org/officeDocument/2006/relationships/hyperlink" Target="https://enzyme.expasy.org/EC/3.4.21.105" TargetMode="External"/><Relationship Id="rId162" Type="http://schemas.openxmlformats.org/officeDocument/2006/relationships/hyperlink" Target="https://enzyme.expasy.org/EC/3.5.2.3" TargetMode="External"/><Relationship Id="rId183" Type="http://schemas.openxmlformats.org/officeDocument/2006/relationships/hyperlink" Target="https://enzyme.expasy.org/EC/3.1.21.2" TargetMode="External"/><Relationship Id="rId218" Type="http://schemas.openxmlformats.org/officeDocument/2006/relationships/hyperlink" Target="https://enzyme.expasy.org/EC/6.3.2.10" TargetMode="External"/><Relationship Id="rId239" Type="http://schemas.openxmlformats.org/officeDocument/2006/relationships/hyperlink" Target="https://enzyme.expasy.org/EC/3.1.3.5" TargetMode="External"/><Relationship Id="rId250" Type="http://schemas.openxmlformats.org/officeDocument/2006/relationships/hyperlink" Target="https://enzyme.expasy.org/EC/3.1.21.3" TargetMode="External"/><Relationship Id="rId271" Type="http://schemas.openxmlformats.org/officeDocument/2006/relationships/hyperlink" Target="https://enzyme.expasy.org/EC/2.1.1.45" TargetMode="External"/><Relationship Id="rId292" Type="http://schemas.openxmlformats.org/officeDocument/2006/relationships/hyperlink" Target="https://enzyme.expasy.org/EC/7.3.2.1" TargetMode="External"/><Relationship Id="rId306" Type="http://schemas.openxmlformats.org/officeDocument/2006/relationships/hyperlink" Target="https://enzyme.expasy.org/EC/2.4.2.9" TargetMode="External"/><Relationship Id="rId24" Type="http://schemas.openxmlformats.org/officeDocument/2006/relationships/hyperlink" Target="https://enzyme.expasy.org/EC/5.1.3.9" TargetMode="External"/><Relationship Id="rId45" Type="http://schemas.openxmlformats.org/officeDocument/2006/relationships/hyperlink" Target="https://enzyme.expasy.org/EC/4.3.1.1" TargetMode="External"/><Relationship Id="rId66" Type="http://schemas.openxmlformats.org/officeDocument/2006/relationships/hyperlink" Target="https://enzyme.expasy.org/EC/2.1.1.207" TargetMode="External"/><Relationship Id="rId87" Type="http://schemas.openxmlformats.org/officeDocument/2006/relationships/hyperlink" Target="https://enzyme.expasy.org/EC/6.3.3.1" TargetMode="External"/><Relationship Id="rId110" Type="http://schemas.openxmlformats.org/officeDocument/2006/relationships/hyperlink" Target="https://enzyme.expasy.org/EC/2.8.1.10" TargetMode="External"/><Relationship Id="rId131" Type="http://schemas.openxmlformats.org/officeDocument/2006/relationships/hyperlink" Target="https://enzyme.expasy.org/EC/7.4.2.11" TargetMode="External"/><Relationship Id="rId152" Type="http://schemas.openxmlformats.org/officeDocument/2006/relationships/hyperlink" Target="https://enzyme.expasy.org/EC/1.4.1.13" TargetMode="External"/><Relationship Id="rId173" Type="http://schemas.openxmlformats.org/officeDocument/2006/relationships/hyperlink" Target="https://enzyme.expasy.org/EC/2.4.2.7" TargetMode="External"/><Relationship Id="rId194" Type="http://schemas.openxmlformats.org/officeDocument/2006/relationships/hyperlink" Target="https://enzyme.expasy.org/EC/3.1.1.96" TargetMode="External"/><Relationship Id="rId208" Type="http://schemas.openxmlformats.org/officeDocument/2006/relationships/hyperlink" Target="https://enzyme.expasy.org/EC/2.7.1.31" TargetMode="External"/><Relationship Id="rId229" Type="http://schemas.openxmlformats.org/officeDocument/2006/relationships/hyperlink" Target="https://enzyme.expasy.org/EC/3.4.23.36" TargetMode="External"/><Relationship Id="rId240" Type="http://schemas.openxmlformats.org/officeDocument/2006/relationships/hyperlink" Target="https://enzyme.expasy.org/EC/3.5.2.10" TargetMode="External"/><Relationship Id="rId261" Type="http://schemas.openxmlformats.org/officeDocument/2006/relationships/hyperlink" Target="https://enzyme.expasy.org/EC/2.7.6.3" TargetMode="External"/><Relationship Id="rId14" Type="http://schemas.openxmlformats.org/officeDocument/2006/relationships/hyperlink" Target="https://enzyme.expasy.org/EC/2.4.2.29" TargetMode="External"/><Relationship Id="rId35" Type="http://schemas.openxmlformats.org/officeDocument/2006/relationships/hyperlink" Target="https://enzyme.expasy.org/EC/5.6.2.3" TargetMode="External"/><Relationship Id="rId56" Type="http://schemas.openxmlformats.org/officeDocument/2006/relationships/hyperlink" Target="https://enzyme.expasy.org/EC/5.3.1.9" TargetMode="External"/><Relationship Id="rId77" Type="http://schemas.openxmlformats.org/officeDocument/2006/relationships/hyperlink" Target="https://enzyme.expasy.org/EC/4.4.1.21" TargetMode="External"/><Relationship Id="rId100" Type="http://schemas.openxmlformats.org/officeDocument/2006/relationships/hyperlink" Target="https://enzyme.expasy.org/EC/6.3.1.2" TargetMode="External"/><Relationship Id="rId282" Type="http://schemas.openxmlformats.org/officeDocument/2006/relationships/hyperlink" Target="https://enzyme.expasy.org/EC/2.7.1.26" TargetMode="External"/><Relationship Id="rId317" Type="http://schemas.openxmlformats.org/officeDocument/2006/relationships/hyperlink" Target="https://enzyme.expasy.org/EC/3.2.1.22" TargetMode="External"/><Relationship Id="rId8" Type="http://schemas.openxmlformats.org/officeDocument/2006/relationships/hyperlink" Target="https://enzyme.expasy.org/EC/4.1.3.27" TargetMode="External"/><Relationship Id="rId98" Type="http://schemas.openxmlformats.org/officeDocument/2006/relationships/hyperlink" Target="https://enzyme.expasy.org/EC/1.17.7.1" TargetMode="External"/><Relationship Id="rId121" Type="http://schemas.openxmlformats.org/officeDocument/2006/relationships/hyperlink" Target="https://enzyme.expasy.org/EC/2.4.1.18" TargetMode="External"/><Relationship Id="rId142" Type="http://schemas.openxmlformats.org/officeDocument/2006/relationships/hyperlink" Target="https://enzyme.expasy.org/EC/3.1.21.10" TargetMode="External"/><Relationship Id="rId163" Type="http://schemas.openxmlformats.org/officeDocument/2006/relationships/hyperlink" Target="https://enzyme.expasy.org/EC/1.3.1.14" TargetMode="External"/><Relationship Id="rId184" Type="http://schemas.openxmlformats.org/officeDocument/2006/relationships/hyperlink" Target="https://enzyme.expasy.org/EC/3.5.4.19" TargetMode="External"/><Relationship Id="rId219" Type="http://schemas.openxmlformats.org/officeDocument/2006/relationships/hyperlink" Target="https://enzyme.expasy.org/EC/2.1.1.199" TargetMode="External"/><Relationship Id="rId230" Type="http://schemas.openxmlformats.org/officeDocument/2006/relationships/hyperlink" Target="https://enzyme.expasy.org/EC/6.1.1.14" TargetMode="External"/><Relationship Id="rId251" Type="http://schemas.openxmlformats.org/officeDocument/2006/relationships/hyperlink" Target="https://enzyme.expasy.org/EC/1.17.4.2" TargetMode="External"/><Relationship Id="rId25" Type="http://schemas.openxmlformats.org/officeDocument/2006/relationships/hyperlink" Target="https://enzyme.expasy.org/EC/3.5.99.6" TargetMode="External"/><Relationship Id="rId46" Type="http://schemas.openxmlformats.org/officeDocument/2006/relationships/hyperlink" Target="https://enzyme.expasy.org/EC/2.1.1.63" TargetMode="External"/><Relationship Id="rId67" Type="http://schemas.openxmlformats.org/officeDocument/2006/relationships/hyperlink" Target="https://enzyme.expasy.org/EC/2.7.7.6" TargetMode="External"/><Relationship Id="rId272" Type="http://schemas.openxmlformats.org/officeDocument/2006/relationships/hyperlink" Target="https://enzyme.expasy.org/EC/2.6.1.52" TargetMode="External"/><Relationship Id="rId293" Type="http://schemas.openxmlformats.org/officeDocument/2006/relationships/hyperlink" Target="https://enzyme.expasy.org/EC/3.2.2.16" TargetMode="External"/><Relationship Id="rId307" Type="http://schemas.openxmlformats.org/officeDocument/2006/relationships/hyperlink" Target="https://enzyme.expasy.org/EC/2.1.1.177" TargetMode="External"/><Relationship Id="rId88" Type="http://schemas.openxmlformats.org/officeDocument/2006/relationships/hyperlink" Target="https://enzyme.expasy.org/EC/2.4.2.14" TargetMode="External"/><Relationship Id="rId111" Type="http://schemas.openxmlformats.org/officeDocument/2006/relationships/hyperlink" Target="https://enzyme.expasy.org/EC/2.7.7.73" TargetMode="External"/><Relationship Id="rId132" Type="http://schemas.openxmlformats.org/officeDocument/2006/relationships/hyperlink" Target="https://enzyme.expasy.org/EC/6.3.5.1" TargetMode="External"/><Relationship Id="rId153" Type="http://schemas.openxmlformats.org/officeDocument/2006/relationships/hyperlink" Target="https://enzyme.expasy.org/EC/2.4.1.21" TargetMode="External"/><Relationship Id="rId174" Type="http://schemas.openxmlformats.org/officeDocument/2006/relationships/hyperlink" Target="https://enzyme.expasy.org/EC/6.2.1.5" TargetMode="External"/><Relationship Id="rId195" Type="http://schemas.openxmlformats.org/officeDocument/2006/relationships/hyperlink" Target="https://enzyme.expasy.org/EC/2.7.6.5" TargetMode="External"/><Relationship Id="rId209" Type="http://schemas.openxmlformats.org/officeDocument/2006/relationships/hyperlink" Target="https://enzyme.expasy.org/EC/2.7.6.2" TargetMode="External"/><Relationship Id="rId220" Type="http://schemas.openxmlformats.org/officeDocument/2006/relationships/hyperlink" Target="https://enzyme.expasy.org/EC/1.1.1.95" TargetMode="External"/><Relationship Id="rId241" Type="http://schemas.openxmlformats.org/officeDocument/2006/relationships/hyperlink" Target="https://enzyme.expasy.org/EC/3.2.2.27" TargetMode="External"/><Relationship Id="rId15" Type="http://schemas.openxmlformats.org/officeDocument/2006/relationships/hyperlink" Target="https://enzyme.expasy.org/EC/4.1.2.13" TargetMode="External"/><Relationship Id="rId36" Type="http://schemas.openxmlformats.org/officeDocument/2006/relationships/hyperlink" Target="https://enzyme.expasy.org/EC/2.7.6.1" TargetMode="External"/><Relationship Id="rId57" Type="http://schemas.openxmlformats.org/officeDocument/2006/relationships/hyperlink" Target="https://enzyme.expasy.org/EC/3.4.21.89" TargetMode="External"/><Relationship Id="rId262" Type="http://schemas.openxmlformats.org/officeDocument/2006/relationships/hyperlink" Target="https://enzyme.expasy.org/EC/2.5.1.15" TargetMode="External"/><Relationship Id="rId283" Type="http://schemas.openxmlformats.org/officeDocument/2006/relationships/hyperlink" Target="https://enzyme.expasy.org/EC/5.4.99.25" TargetMode="External"/><Relationship Id="rId318" Type="http://schemas.openxmlformats.org/officeDocument/2006/relationships/hyperlink" Target="https://enzyme.expasy.org/EC/3.5.4.33" TargetMode="External"/><Relationship Id="rId78" Type="http://schemas.openxmlformats.org/officeDocument/2006/relationships/hyperlink" Target="https://enzyme.expasy.org/EC/5.1.1.1" TargetMode="External"/><Relationship Id="rId99" Type="http://schemas.openxmlformats.org/officeDocument/2006/relationships/hyperlink" Target="https://enzyme.expasy.org/EC/6.5.1.2" TargetMode="External"/><Relationship Id="rId101" Type="http://schemas.openxmlformats.org/officeDocument/2006/relationships/hyperlink" Target="https://enzyme.expasy.org/EC/6.1.1.20" TargetMode="External"/><Relationship Id="rId122" Type="http://schemas.openxmlformats.org/officeDocument/2006/relationships/hyperlink" Target="https://enzyme.expasy.org/EC/4.6.1.12" TargetMode="External"/><Relationship Id="rId143" Type="http://schemas.openxmlformats.org/officeDocument/2006/relationships/hyperlink" Target="https://enzyme.expasy.org/EC/4.2.3.5" TargetMode="External"/><Relationship Id="rId164" Type="http://schemas.openxmlformats.org/officeDocument/2006/relationships/hyperlink" Target="https://enzyme.expasy.org/EC/2.4.2.10" TargetMode="External"/><Relationship Id="rId185" Type="http://schemas.openxmlformats.org/officeDocument/2006/relationships/hyperlink" Target="https://enzyme.expasy.org/EC/4.3.2.10" TargetMode="External"/><Relationship Id="rId9" Type="http://schemas.openxmlformats.org/officeDocument/2006/relationships/hyperlink" Target="https://enzyme.expasy.org/EC/3.4.16.4" TargetMode="External"/><Relationship Id="rId210" Type="http://schemas.openxmlformats.org/officeDocument/2006/relationships/hyperlink" Target="https://enzyme.expasy.org/EC/1.17.7.4" TargetMode="External"/><Relationship Id="rId26" Type="http://schemas.openxmlformats.org/officeDocument/2006/relationships/hyperlink" Target="https://enzyme.expasy.org/EC/2.3.3.13" TargetMode="External"/><Relationship Id="rId231" Type="http://schemas.openxmlformats.org/officeDocument/2006/relationships/hyperlink" Target="https://enzyme.expasy.org/EC/2.7.1.50" TargetMode="External"/><Relationship Id="rId252" Type="http://schemas.openxmlformats.org/officeDocument/2006/relationships/hyperlink" Target="https://enzyme.expasy.org/EC/3.1.11.6" TargetMode="External"/><Relationship Id="rId273" Type="http://schemas.openxmlformats.org/officeDocument/2006/relationships/hyperlink" Target="https://enzyme.expasy.org/EC/5.4.2.11" TargetMode="External"/><Relationship Id="rId294" Type="http://schemas.openxmlformats.org/officeDocument/2006/relationships/hyperlink" Target="https://enzyme.expasy.org/EC/2.5.1.54" TargetMode="External"/><Relationship Id="rId308" Type="http://schemas.openxmlformats.org/officeDocument/2006/relationships/hyperlink" Target="https://enzyme.expasy.org/EC/5.4.99.9" TargetMode="External"/><Relationship Id="rId47" Type="http://schemas.openxmlformats.org/officeDocument/2006/relationships/hyperlink" Target="https://enzyme.expasy.org/EC/2.7.8.7" TargetMode="External"/><Relationship Id="rId68" Type="http://schemas.openxmlformats.org/officeDocument/2006/relationships/hyperlink" Target="https://enzyme.expasy.org/EC/1.17.1.8" TargetMode="External"/><Relationship Id="rId89" Type="http://schemas.openxmlformats.org/officeDocument/2006/relationships/hyperlink" Target="https://enzyme.expasy.org/EC/3.2.2.15" TargetMode="External"/><Relationship Id="rId112" Type="http://schemas.openxmlformats.org/officeDocument/2006/relationships/hyperlink" Target="https://enzyme.expasy.org/EC/6.1.1.1" TargetMode="External"/><Relationship Id="rId133" Type="http://schemas.openxmlformats.org/officeDocument/2006/relationships/hyperlink" Target="https://enzyme.expasy.org/EC/2.3.1.54" TargetMode="External"/><Relationship Id="rId154" Type="http://schemas.openxmlformats.org/officeDocument/2006/relationships/hyperlink" Target="https://enzyme.expasy.org/EC/1.11.1.24" TargetMode="External"/><Relationship Id="rId175" Type="http://schemas.openxmlformats.org/officeDocument/2006/relationships/hyperlink" Target="https://enzyme.expasy.org/EC/2.1.2.3" TargetMode="External"/><Relationship Id="rId196" Type="http://schemas.openxmlformats.org/officeDocument/2006/relationships/hyperlink" Target="https://enzyme.expasy.org/EC/3.6.1.23" TargetMode="External"/><Relationship Id="rId200" Type="http://schemas.openxmlformats.org/officeDocument/2006/relationships/hyperlink" Target="https://enzyme.expasy.org/EC/2.5.1.75" TargetMode="External"/><Relationship Id="rId16" Type="http://schemas.openxmlformats.org/officeDocument/2006/relationships/hyperlink" Target="https://enzyme.expasy.org/EC/6.3.4.4" TargetMode="External"/><Relationship Id="rId221" Type="http://schemas.openxmlformats.org/officeDocument/2006/relationships/hyperlink" Target="https://enzyme.expasy.org/EC/3.4.21.88" TargetMode="External"/><Relationship Id="rId242" Type="http://schemas.openxmlformats.org/officeDocument/2006/relationships/hyperlink" Target="https://enzyme.expasy.org/EC/4.3.2.2" TargetMode="External"/><Relationship Id="rId263" Type="http://schemas.openxmlformats.org/officeDocument/2006/relationships/hyperlink" Target="https://enzyme.expasy.org/EC/3.5.4.16" TargetMode="External"/><Relationship Id="rId284" Type="http://schemas.openxmlformats.org/officeDocument/2006/relationships/hyperlink" Target="https://enzyme.expasy.org/EC/5.4.99.12" TargetMode="External"/><Relationship Id="rId319" Type="http://schemas.openxmlformats.org/officeDocument/2006/relationships/hyperlink" Target="https://enzyme.expasy.org/EC/3.5.4.13" TargetMode="External"/><Relationship Id="rId37" Type="http://schemas.openxmlformats.org/officeDocument/2006/relationships/hyperlink" Target="https://enzyme.expasy.org/EC/5.4.99.5" TargetMode="External"/><Relationship Id="rId58" Type="http://schemas.openxmlformats.org/officeDocument/2006/relationships/hyperlink" Target="https://enzyme.expasy.org/EC/3.1.26.4" TargetMode="External"/><Relationship Id="rId79" Type="http://schemas.openxmlformats.org/officeDocument/2006/relationships/hyperlink" Target="https://enzyme.expasy.org/EC/3.5.1.2" TargetMode="External"/><Relationship Id="rId102" Type="http://schemas.openxmlformats.org/officeDocument/2006/relationships/hyperlink" Target="https://enzyme.expasy.org/EC/1.2.1.38" TargetMode="External"/><Relationship Id="rId123" Type="http://schemas.openxmlformats.org/officeDocument/2006/relationships/hyperlink" Target="https://enzyme.expasy.org/EC/2.7.1.24" TargetMode="External"/><Relationship Id="rId144" Type="http://schemas.openxmlformats.org/officeDocument/2006/relationships/hyperlink" Target="https://enzyme.expasy.org/EC/4.2.1.10" TargetMode="External"/><Relationship Id="rId90" Type="http://schemas.openxmlformats.org/officeDocument/2006/relationships/hyperlink" Target="https://enzyme.expasy.org/EC/6.3.5.3" TargetMode="External"/><Relationship Id="rId165" Type="http://schemas.openxmlformats.org/officeDocument/2006/relationships/hyperlink" Target="https://enzyme.expasy.org/EC/2.7.2.3" TargetMode="External"/><Relationship Id="rId186" Type="http://schemas.openxmlformats.org/officeDocument/2006/relationships/hyperlink" Target="https://enzyme.expasy.org/EC/2.1.1.192" TargetMode="External"/><Relationship Id="rId211" Type="http://schemas.openxmlformats.org/officeDocument/2006/relationships/hyperlink" Target="https://enzyme.expasy.org/EC/6.3.2.13" TargetMode="External"/><Relationship Id="rId232" Type="http://schemas.openxmlformats.org/officeDocument/2006/relationships/hyperlink" Target="https://enzyme.expasy.org/EC/4.1.99.17" TargetMode="External"/><Relationship Id="rId253" Type="http://schemas.openxmlformats.org/officeDocument/2006/relationships/hyperlink" Target="https://enzyme.expasy.org/EC/2.3.1.117" TargetMode="External"/><Relationship Id="rId274" Type="http://schemas.openxmlformats.org/officeDocument/2006/relationships/hyperlink" Target="https://enzyme.expasy.org/EC/2.5.1.74" TargetMode="External"/><Relationship Id="rId295" Type="http://schemas.openxmlformats.org/officeDocument/2006/relationships/hyperlink" Target="https://enzyme.expasy.org/EC/3.4.19.3" TargetMode="External"/><Relationship Id="rId309" Type="http://schemas.openxmlformats.org/officeDocument/2006/relationships/hyperlink" Target="https://enzyme.expasy.org/EC/2.7.1.17" TargetMode="External"/><Relationship Id="rId27" Type="http://schemas.openxmlformats.org/officeDocument/2006/relationships/hyperlink" Target="https://enzyme.expasy.org/EC/5.6.2.1" TargetMode="External"/><Relationship Id="rId48" Type="http://schemas.openxmlformats.org/officeDocument/2006/relationships/hyperlink" Target="https://enzyme.expasy.org/EC/2.7.7.8" TargetMode="External"/><Relationship Id="rId69" Type="http://schemas.openxmlformats.org/officeDocument/2006/relationships/hyperlink" Target="https://enzyme.expasy.org/EC/4.3.3.7" TargetMode="External"/><Relationship Id="rId113" Type="http://schemas.openxmlformats.org/officeDocument/2006/relationships/hyperlink" Target="https://enzyme.expasy.org/EC/2.7.1.23" TargetMode="External"/><Relationship Id="rId134" Type="http://schemas.openxmlformats.org/officeDocument/2006/relationships/hyperlink" Target="https://enzyme.expasy.org/EC/1.97.1.4" TargetMode="External"/><Relationship Id="rId320" Type="http://schemas.openxmlformats.org/officeDocument/2006/relationships/hyperlink" Target="https://enzyme.expasy.org/EC/2.7.1.193" TargetMode="External"/><Relationship Id="rId80" Type="http://schemas.openxmlformats.org/officeDocument/2006/relationships/hyperlink" Target="https://enzyme.expasy.org/EC/4.3.3.6" TargetMode="External"/><Relationship Id="rId155" Type="http://schemas.openxmlformats.org/officeDocument/2006/relationships/hyperlink" Target="https://enzyme.expasy.org/EC/3.5.99.2" TargetMode="External"/><Relationship Id="rId176" Type="http://schemas.openxmlformats.org/officeDocument/2006/relationships/hyperlink" Target="https://enzyme.expasy.org/EC/3.5.4.10" TargetMode="External"/><Relationship Id="rId197" Type="http://schemas.openxmlformats.org/officeDocument/2006/relationships/hyperlink" Target="https://enzyme.expasy.org/EC/2.7.1.15" TargetMode="External"/><Relationship Id="rId201" Type="http://schemas.openxmlformats.org/officeDocument/2006/relationships/hyperlink" Target="https://enzyme.expasy.org/EC/2.8.4.3" TargetMode="External"/><Relationship Id="rId222" Type="http://schemas.openxmlformats.org/officeDocument/2006/relationships/hyperlink" Target="https://enzyme.expasy.org/EC/5.3.1.16" TargetMode="External"/><Relationship Id="rId243" Type="http://schemas.openxmlformats.org/officeDocument/2006/relationships/hyperlink" Target="https://enzyme.expasy.org/EC/6.3.1.19" TargetMode="External"/><Relationship Id="rId264" Type="http://schemas.openxmlformats.org/officeDocument/2006/relationships/hyperlink" Target="https://enzyme.expasy.org/EC/2.4.2.8" TargetMode="External"/><Relationship Id="rId285" Type="http://schemas.openxmlformats.org/officeDocument/2006/relationships/hyperlink" Target="https://enzyme.expasy.org/EC/2.7.4.3" TargetMode="External"/><Relationship Id="rId17" Type="http://schemas.openxmlformats.org/officeDocument/2006/relationships/hyperlink" Target="https://enzyme.expasy.org/EC/2.4.1.7" TargetMode="External"/><Relationship Id="rId38" Type="http://schemas.openxmlformats.org/officeDocument/2006/relationships/hyperlink" Target="https://enzyme.expasy.org/EC/6.1.1.9" TargetMode="External"/><Relationship Id="rId59" Type="http://schemas.openxmlformats.org/officeDocument/2006/relationships/hyperlink" Target="https://enzyme.expasy.org/EC/3.2.1.23" TargetMode="External"/><Relationship Id="rId103" Type="http://schemas.openxmlformats.org/officeDocument/2006/relationships/hyperlink" Target="https://enzyme.expasy.org/EC/2.3.1.1" TargetMode="External"/><Relationship Id="rId124" Type="http://schemas.openxmlformats.org/officeDocument/2006/relationships/hyperlink" Target="https://enzyme.expasy.org/EC/2.7.1.40" TargetMode="External"/><Relationship Id="rId310" Type="http://schemas.openxmlformats.org/officeDocument/2006/relationships/hyperlink" Target="https://enzyme.expasy.org/EC/2.7.7.24" TargetMode="External"/><Relationship Id="rId70" Type="http://schemas.openxmlformats.org/officeDocument/2006/relationships/hyperlink" Target="https://enzyme.expasy.org/EC/3.4.11.2" TargetMode="External"/><Relationship Id="rId91" Type="http://schemas.openxmlformats.org/officeDocument/2006/relationships/hyperlink" Target="https://enzyme.expasy.org/EC/6.3.2.6" TargetMode="External"/><Relationship Id="rId145" Type="http://schemas.openxmlformats.org/officeDocument/2006/relationships/hyperlink" Target="https://enzyme.expasy.org/EC/6.3.4.2" TargetMode="External"/><Relationship Id="rId166" Type="http://schemas.openxmlformats.org/officeDocument/2006/relationships/hyperlink" Target="https://enzyme.expasy.org/EC/5.3.1.1" TargetMode="External"/><Relationship Id="rId187" Type="http://schemas.openxmlformats.org/officeDocument/2006/relationships/hyperlink" Target="https://enzyme.expasy.org/EC/2.7.7.41" TargetMode="External"/><Relationship Id="rId1" Type="http://schemas.openxmlformats.org/officeDocument/2006/relationships/hyperlink" Target="https://enzyme.expasy.org/EC/1.4.1.4" TargetMode="External"/><Relationship Id="rId212" Type="http://schemas.openxmlformats.org/officeDocument/2006/relationships/hyperlink" Target="https://enzyme.expasy.org/EC/3.5.1.28" TargetMode="External"/><Relationship Id="rId233" Type="http://schemas.openxmlformats.org/officeDocument/2006/relationships/hyperlink" Target="https://enzyme.expasy.org/EC/2.7.1.49" TargetMode="External"/><Relationship Id="rId254" Type="http://schemas.openxmlformats.org/officeDocument/2006/relationships/hyperlink" Target="https://enzyme.expasy.org/EC/2.3.3.16" TargetMode="External"/><Relationship Id="rId28" Type="http://schemas.openxmlformats.org/officeDocument/2006/relationships/hyperlink" Target="https://enzyme.expasy.org/EC/2.7.4.9" TargetMode="External"/><Relationship Id="rId49" Type="http://schemas.openxmlformats.org/officeDocument/2006/relationships/hyperlink" Target="https://enzyme.expasy.org/EC/6.1.1.16" TargetMode="External"/><Relationship Id="rId114" Type="http://schemas.openxmlformats.org/officeDocument/2006/relationships/hyperlink" Target="https://enzyme.expasy.org/EC/4.2.3.1" TargetMode="External"/><Relationship Id="rId275" Type="http://schemas.openxmlformats.org/officeDocument/2006/relationships/hyperlink" Target="https://enzyme.expasy.org/EC/6.1.1.6" TargetMode="External"/><Relationship Id="rId296" Type="http://schemas.openxmlformats.org/officeDocument/2006/relationships/hyperlink" Target="https://enzyme.expasy.org/EC/2.1.1.228" TargetMode="External"/><Relationship Id="rId300" Type="http://schemas.openxmlformats.org/officeDocument/2006/relationships/hyperlink" Target="https://enzyme.expasy.org/EC/2.7.1.39" TargetMode="External"/><Relationship Id="rId60" Type="http://schemas.openxmlformats.org/officeDocument/2006/relationships/hyperlink" Target="https://enzyme.expasy.org/EC/2.8.4.2" TargetMode="External"/><Relationship Id="rId81" Type="http://schemas.openxmlformats.org/officeDocument/2006/relationships/hyperlink" Target="https://enzyme.expasy.org/EC/1.8.4.11" TargetMode="External"/><Relationship Id="rId135" Type="http://schemas.openxmlformats.org/officeDocument/2006/relationships/hyperlink" Target="https://enzyme.expasy.org/EC/4.4.1.13" TargetMode="External"/><Relationship Id="rId156" Type="http://schemas.openxmlformats.org/officeDocument/2006/relationships/hyperlink" Target="https://enzyme.expasy.org/EC/2.1.1.14" TargetMode="External"/><Relationship Id="rId177" Type="http://schemas.openxmlformats.org/officeDocument/2006/relationships/hyperlink" Target="https://enzyme.expasy.org/EC/2.7.7.9" TargetMode="External"/><Relationship Id="rId198" Type="http://schemas.openxmlformats.org/officeDocument/2006/relationships/hyperlink" Target="https://enzyme.expasy.org/EC/2.4.2.18" TargetMode="External"/><Relationship Id="rId321" Type="http://schemas.openxmlformats.org/officeDocument/2006/relationships/hyperlink" Target="https://enzyme.expasy.org/EC/1.17.4.1" TargetMode="External"/><Relationship Id="rId202" Type="http://schemas.openxmlformats.org/officeDocument/2006/relationships/hyperlink" Target="https://enzyme.expasy.org/EC/4.2.1.3" TargetMode="External"/><Relationship Id="rId223" Type="http://schemas.openxmlformats.org/officeDocument/2006/relationships/hyperlink" Target="https://enzyme.expasy.org/EC/5.3.1.24" TargetMode="External"/><Relationship Id="rId244" Type="http://schemas.openxmlformats.org/officeDocument/2006/relationships/hyperlink" Target="https://enzyme.expasy.org/EC/3.5.1.119" TargetMode="External"/><Relationship Id="rId18" Type="http://schemas.openxmlformats.org/officeDocument/2006/relationships/hyperlink" Target="https://enzyme.expasy.org/EC/1.1.1.86" TargetMode="External"/><Relationship Id="rId39" Type="http://schemas.openxmlformats.org/officeDocument/2006/relationships/hyperlink" Target="https://enzyme.expasy.org/EC/4.2.99.18" TargetMode="External"/><Relationship Id="rId265" Type="http://schemas.openxmlformats.org/officeDocument/2006/relationships/hyperlink" Target="https://enzyme.expasy.org/EC/6.3.4.19" TargetMode="External"/><Relationship Id="rId286" Type="http://schemas.openxmlformats.org/officeDocument/2006/relationships/hyperlink" Target="https://enzyme.expasy.org/EC/4.1.1.5" TargetMode="External"/><Relationship Id="rId50" Type="http://schemas.openxmlformats.org/officeDocument/2006/relationships/hyperlink" Target="https://enzyme.expasy.org/EC/2.1.1.72" TargetMode="External"/><Relationship Id="rId104" Type="http://schemas.openxmlformats.org/officeDocument/2006/relationships/hyperlink" Target="https://enzyme.expasy.org/EC/2.3.1.35" TargetMode="External"/><Relationship Id="rId125" Type="http://schemas.openxmlformats.org/officeDocument/2006/relationships/hyperlink" Target="https://enzyme.expasy.org/EC/3.2.1.196" TargetMode="External"/><Relationship Id="rId146" Type="http://schemas.openxmlformats.org/officeDocument/2006/relationships/hyperlink" Target="https://enzyme.expasy.org/EC/2.8.1.7" TargetMode="External"/><Relationship Id="rId167" Type="http://schemas.openxmlformats.org/officeDocument/2006/relationships/hyperlink" Target="https://enzyme.expasy.org/EC/1.1.1.27" TargetMode="External"/><Relationship Id="rId188" Type="http://schemas.openxmlformats.org/officeDocument/2006/relationships/hyperlink" Target="https://enzyme.expasy.org/EC/2.7.4.22" TargetMode="External"/><Relationship Id="rId311" Type="http://schemas.openxmlformats.org/officeDocument/2006/relationships/hyperlink" Target="https://enzyme.expasy.org/EC/4.2.1.46" TargetMode="External"/><Relationship Id="rId71" Type="http://schemas.openxmlformats.org/officeDocument/2006/relationships/hyperlink" Target="https://enzyme.expasy.org/EC/5.4.2.10" TargetMode="External"/><Relationship Id="rId92" Type="http://schemas.openxmlformats.org/officeDocument/2006/relationships/hyperlink" Target="https://enzyme.expasy.org/EC/6.3.5.5" TargetMode="External"/><Relationship Id="rId213" Type="http://schemas.openxmlformats.org/officeDocument/2006/relationships/hyperlink" Target="https://enzyme.expasy.org/EC/2.1.1.37" TargetMode="External"/><Relationship Id="rId234" Type="http://schemas.openxmlformats.org/officeDocument/2006/relationships/hyperlink" Target="https://enzyme.expasy.org/EC/2.7.4.7" TargetMode="External"/><Relationship Id="rId2" Type="http://schemas.openxmlformats.org/officeDocument/2006/relationships/hyperlink" Target="https://enzyme.expasy.org/EC/1.11.1.26" TargetMode="External"/><Relationship Id="rId29" Type="http://schemas.openxmlformats.org/officeDocument/2006/relationships/hyperlink" Target="https://enzyme.expasy.org/EC/2.7.3.9" TargetMode="External"/><Relationship Id="rId255" Type="http://schemas.openxmlformats.org/officeDocument/2006/relationships/hyperlink" Target="https://enzyme.expasy.org/EC/3.4.11.18" TargetMode="External"/><Relationship Id="rId276" Type="http://schemas.openxmlformats.org/officeDocument/2006/relationships/hyperlink" Target="https://enzyme.expasy.org/EC/5.1.3.2" TargetMode="External"/><Relationship Id="rId297" Type="http://schemas.openxmlformats.org/officeDocument/2006/relationships/hyperlink" Target="https://enzyme.expasy.org/EC/2.1.1.171" TargetMode="External"/><Relationship Id="rId40" Type="http://schemas.openxmlformats.org/officeDocument/2006/relationships/hyperlink" Target="https://enzyme.expasy.org/EC/3.6.1.1" TargetMode="External"/><Relationship Id="rId115" Type="http://schemas.openxmlformats.org/officeDocument/2006/relationships/hyperlink" Target="https://enzyme.expasy.org/EC/1.2.1.41" TargetMode="External"/><Relationship Id="rId136" Type="http://schemas.openxmlformats.org/officeDocument/2006/relationships/hyperlink" Target="https://enzyme.expasy.org/EC/2.7.1.35" TargetMode="External"/><Relationship Id="rId157" Type="http://schemas.openxmlformats.org/officeDocument/2006/relationships/hyperlink" Target="https://enzyme.expasy.org/EC/1.5.1.20" TargetMode="External"/><Relationship Id="rId178" Type="http://schemas.openxmlformats.org/officeDocument/2006/relationships/hyperlink" Target="https://enzyme.expasy.org/EC/2.4.2.17" TargetMode="External"/><Relationship Id="rId301" Type="http://schemas.openxmlformats.org/officeDocument/2006/relationships/hyperlink" Target="https://enzyme.expasy.org/EC/1.1.1.3" TargetMode="External"/><Relationship Id="rId322" Type="http://schemas.openxmlformats.org/officeDocument/2006/relationships/hyperlink" Target="https://enzyme.expasy.org/EC/2.1.1.182" TargetMode="External"/><Relationship Id="rId61" Type="http://schemas.openxmlformats.org/officeDocument/2006/relationships/hyperlink" Target="https://enzyme.expasy.org/EC/3.6.1.22" TargetMode="External"/><Relationship Id="rId82" Type="http://schemas.openxmlformats.org/officeDocument/2006/relationships/hyperlink" Target="https://enzyme.expasy.org/EC/2.2.1.7" TargetMode="External"/><Relationship Id="rId199" Type="http://schemas.openxmlformats.org/officeDocument/2006/relationships/hyperlink" Target="https://enzyme.expasy.org/EC/2.7.8.5" TargetMode="External"/><Relationship Id="rId203" Type="http://schemas.openxmlformats.org/officeDocument/2006/relationships/hyperlink" Target="https://enzyme.expasy.org/EC/3.1.11.2" TargetMode="External"/><Relationship Id="rId19" Type="http://schemas.openxmlformats.org/officeDocument/2006/relationships/hyperlink" Target="https://enzyme.expasy.org/EC/2.4.1.25" TargetMode="External"/><Relationship Id="rId224" Type="http://schemas.openxmlformats.org/officeDocument/2006/relationships/hyperlink" Target="https://enzyme.expasy.org/EC/4.2.1.19" TargetMode="External"/><Relationship Id="rId245" Type="http://schemas.openxmlformats.org/officeDocument/2006/relationships/hyperlink" Target="https://enzyme.expasy.org/EC/2.7.1.202" TargetMode="External"/><Relationship Id="rId266" Type="http://schemas.openxmlformats.org/officeDocument/2006/relationships/hyperlink" Target="https://enzyme.expasy.org/EC/1.1.1.77" TargetMode="External"/><Relationship Id="rId287" Type="http://schemas.openxmlformats.org/officeDocument/2006/relationships/hyperlink" Target="https://enzyme.expasy.org/EC/1.1.1.1" TargetMode="External"/><Relationship Id="rId30" Type="http://schemas.openxmlformats.org/officeDocument/2006/relationships/hyperlink" Target="https://enzyme.expasy.org/EC/6.3.4.3" TargetMode="External"/><Relationship Id="rId105" Type="http://schemas.openxmlformats.org/officeDocument/2006/relationships/hyperlink" Target="https://enzyme.expasy.org/EC/2.7.2.8" TargetMode="External"/><Relationship Id="rId126" Type="http://schemas.openxmlformats.org/officeDocument/2006/relationships/hyperlink" Target="https://enzyme.expasy.org/EC/3.2.2.20" TargetMode="External"/><Relationship Id="rId147" Type="http://schemas.openxmlformats.org/officeDocument/2006/relationships/hyperlink" Target="https://enzyme.expasy.org/EC/2.7.7.27" TargetMode="External"/><Relationship Id="rId168" Type="http://schemas.openxmlformats.org/officeDocument/2006/relationships/hyperlink" Target="https://enzyme.expasy.org/EC/2.2.1.2" TargetMode="External"/><Relationship Id="rId312" Type="http://schemas.openxmlformats.org/officeDocument/2006/relationships/hyperlink" Target="https://enzyme.expasy.org/EC/6.1.1.10" TargetMode="External"/><Relationship Id="rId51" Type="http://schemas.openxmlformats.org/officeDocument/2006/relationships/hyperlink" Target="https://enzyme.expasy.org/EC/2.2.1.6" TargetMode="External"/><Relationship Id="rId72" Type="http://schemas.openxmlformats.org/officeDocument/2006/relationships/hyperlink" Target="https://enzyme.expasy.org/EC/3.5.1.88" TargetMode="External"/><Relationship Id="rId93" Type="http://schemas.openxmlformats.org/officeDocument/2006/relationships/hyperlink" Target="https://enzyme.expasy.org/EC/4.1.1.23" TargetMode="External"/><Relationship Id="rId189" Type="http://schemas.openxmlformats.org/officeDocument/2006/relationships/hyperlink" Target="https://enzyme.expasy.org/EC/1.1.1.42" TargetMode="External"/><Relationship Id="rId3" Type="http://schemas.openxmlformats.org/officeDocument/2006/relationships/hyperlink" Target="https://enzyme.expasy.org/EC/2.7.7.65" TargetMode="External"/><Relationship Id="rId214" Type="http://schemas.openxmlformats.org/officeDocument/2006/relationships/hyperlink" Target="https://enzyme.expasy.org/EC/6.3.2.8" TargetMode="External"/><Relationship Id="rId235" Type="http://schemas.openxmlformats.org/officeDocument/2006/relationships/hyperlink" Target="https://enzyme.expasy.org/EC/2.7.1.63" TargetMode="External"/><Relationship Id="rId256" Type="http://schemas.openxmlformats.org/officeDocument/2006/relationships/hyperlink" Target="https://enzyme.expasy.org/EC/6.1.1.15" TargetMode="External"/><Relationship Id="rId277" Type="http://schemas.openxmlformats.org/officeDocument/2006/relationships/hyperlink" Target="https://enzyme.expasy.org/EC/2.7.1.162" TargetMode="External"/><Relationship Id="rId298" Type="http://schemas.openxmlformats.org/officeDocument/2006/relationships/hyperlink" Target="https://enzyme.expasy.org/EC/2.7.2.11" TargetMode="External"/><Relationship Id="rId116" Type="http://schemas.openxmlformats.org/officeDocument/2006/relationships/hyperlink" Target="https://enzyme.expasy.org/EC/2.7.7.18" TargetMode="External"/><Relationship Id="rId137" Type="http://schemas.openxmlformats.org/officeDocument/2006/relationships/hyperlink" Target="https://enzyme.expasy.org/EC/1.5.1.2" TargetMode="External"/><Relationship Id="rId158" Type="http://schemas.openxmlformats.org/officeDocument/2006/relationships/hyperlink" Target="https://enzyme.expasy.org/EC/3.5.1.24" TargetMode="External"/><Relationship Id="rId302" Type="http://schemas.openxmlformats.org/officeDocument/2006/relationships/hyperlink" Target="https://enzyme.expasy.org/EC/6.1.1.19" TargetMode="External"/><Relationship Id="rId323" Type="http://schemas.openxmlformats.org/officeDocument/2006/relationships/hyperlink" Target="https://enzyme.expasy.org/EC/2.7.1.148" TargetMode="External"/><Relationship Id="rId20" Type="http://schemas.openxmlformats.org/officeDocument/2006/relationships/hyperlink" Target="https://enzyme.expasy.org/EC/3.2.1.41" TargetMode="External"/><Relationship Id="rId41" Type="http://schemas.openxmlformats.org/officeDocument/2006/relationships/hyperlink" Target="https://enzyme.expasy.org/EC/2.3.1.46" TargetMode="External"/><Relationship Id="rId62" Type="http://schemas.openxmlformats.org/officeDocument/2006/relationships/hyperlink" Target="https://enzyme.expasy.org/EC/1.1.1.85" TargetMode="External"/><Relationship Id="rId83" Type="http://schemas.openxmlformats.org/officeDocument/2006/relationships/hyperlink" Target="https://enzyme.expasy.org/EC/4.1.1.21" TargetMode="External"/><Relationship Id="rId179" Type="http://schemas.openxmlformats.org/officeDocument/2006/relationships/hyperlink" Target="https://enzyme.expasy.org/EC/3.6.1.31" TargetMode="External"/><Relationship Id="rId190" Type="http://schemas.openxmlformats.org/officeDocument/2006/relationships/hyperlink" Target="https://enzyme.expasy.org/EC/2.3.1.234" TargetMode="External"/><Relationship Id="rId204" Type="http://schemas.openxmlformats.org/officeDocument/2006/relationships/hyperlink" Target="https://enzyme.expasy.org/EC/4.2.1.51" TargetMode="External"/><Relationship Id="rId225" Type="http://schemas.openxmlformats.org/officeDocument/2006/relationships/hyperlink" Target="https://enzyme.expasy.org/EC/2.6.1.9" TargetMode="External"/><Relationship Id="rId246" Type="http://schemas.openxmlformats.org/officeDocument/2006/relationships/hyperlink" Target="https://enzyme.expasy.org/EC/3.1.3.3" TargetMode="External"/><Relationship Id="rId267" Type="http://schemas.openxmlformats.org/officeDocument/2006/relationships/hyperlink" Target="https://enzyme.expasy.org/EC/2.1.1.33" TargetMode="External"/><Relationship Id="rId288" Type="http://schemas.openxmlformats.org/officeDocument/2006/relationships/hyperlink" Target="https://enzyme.expasy.org/EC/1.2.1.10" TargetMode="External"/><Relationship Id="rId106" Type="http://schemas.openxmlformats.org/officeDocument/2006/relationships/hyperlink" Target="https://enzyme.expasy.org/EC/2.6.1.11" TargetMode="External"/><Relationship Id="rId127" Type="http://schemas.openxmlformats.org/officeDocument/2006/relationships/hyperlink" Target="https://enzyme.expasy.org/EC/2.5.1.19" TargetMode="External"/><Relationship Id="rId313" Type="http://schemas.openxmlformats.org/officeDocument/2006/relationships/hyperlink" Target="https://enzyme.expasy.org/EC/2.1.1.198" TargetMode="External"/><Relationship Id="rId10" Type="http://schemas.openxmlformats.org/officeDocument/2006/relationships/hyperlink" Target="https://enzyme.expasy.org/EC/2.4.99.28" TargetMode="External"/><Relationship Id="rId31" Type="http://schemas.openxmlformats.org/officeDocument/2006/relationships/hyperlink" Target="https://enzyme.expasy.org/EC/6.1.1.17" TargetMode="External"/><Relationship Id="rId52" Type="http://schemas.openxmlformats.org/officeDocument/2006/relationships/hyperlink" Target="https://enzyme.expasy.org/EC/3.1.26.3" TargetMode="External"/><Relationship Id="rId73" Type="http://schemas.openxmlformats.org/officeDocument/2006/relationships/hyperlink" Target="https://enzyme.expasy.org/EC/2.6.1.16" TargetMode="External"/><Relationship Id="rId94" Type="http://schemas.openxmlformats.org/officeDocument/2006/relationships/hyperlink" Target="https://enzyme.expasy.org/EC/2.7.4.8" TargetMode="External"/><Relationship Id="rId148" Type="http://schemas.openxmlformats.org/officeDocument/2006/relationships/hyperlink" Target="https://enzyme.expasy.org/EC/2.1.1.193" TargetMode="External"/><Relationship Id="rId169" Type="http://schemas.openxmlformats.org/officeDocument/2006/relationships/hyperlink" Target="https://enzyme.expasy.org/EC/2.2.1.1" TargetMode="External"/><Relationship Id="rId4" Type="http://schemas.openxmlformats.org/officeDocument/2006/relationships/hyperlink" Target="https://enzyme.expasy.org/EC/4.1.1.31" TargetMode="External"/><Relationship Id="rId180" Type="http://schemas.openxmlformats.org/officeDocument/2006/relationships/hyperlink" Target="https://enzyme.expasy.org/EC/5.1.3.1" TargetMode="External"/><Relationship Id="rId215" Type="http://schemas.openxmlformats.org/officeDocument/2006/relationships/hyperlink" Target="https://enzyme.expasy.org/EC/2.4.1.227" TargetMode="External"/><Relationship Id="rId236" Type="http://schemas.openxmlformats.org/officeDocument/2006/relationships/hyperlink" Target="https://enzyme.expasy.org/EC/3.1.3.2" TargetMode="External"/><Relationship Id="rId257" Type="http://schemas.openxmlformats.org/officeDocument/2006/relationships/hyperlink" Target="https://enzyme.expasy.org/EC/1.1.1.205" TargetMode="External"/><Relationship Id="rId278" Type="http://schemas.openxmlformats.org/officeDocument/2006/relationships/hyperlink" Target="https://enzyme.expasy.org/EC/2.4.1.211" TargetMode="External"/><Relationship Id="rId303" Type="http://schemas.openxmlformats.org/officeDocument/2006/relationships/hyperlink" Target="https://enzyme.expasy.org/EC/2.5.1.7" TargetMode="External"/><Relationship Id="rId42" Type="http://schemas.openxmlformats.org/officeDocument/2006/relationships/hyperlink" Target="https://enzyme.expasy.org/EC/7.1.2.2" TargetMode="External"/><Relationship Id="rId84" Type="http://schemas.openxmlformats.org/officeDocument/2006/relationships/hyperlink" Target="https://enzyme.expasy.org/EC/5.4.99.18" TargetMode="External"/><Relationship Id="rId138" Type="http://schemas.openxmlformats.org/officeDocument/2006/relationships/hyperlink" Target="https://enzyme.expasy.org/EC/3.5.1.25" TargetMode="External"/><Relationship Id="rId191" Type="http://schemas.openxmlformats.org/officeDocument/2006/relationships/hyperlink" Target="https://enzyme.expasy.org/EC/2.3.1.266" TargetMode="External"/><Relationship Id="rId205" Type="http://schemas.openxmlformats.org/officeDocument/2006/relationships/hyperlink" Target="https://enzyme.expasy.org/EC/2.4.2.19" TargetMode="External"/><Relationship Id="rId247" Type="http://schemas.openxmlformats.org/officeDocument/2006/relationships/hyperlink" Target="https://enzyme.expasy.org/EC/2.1.2.9" TargetMode="External"/><Relationship Id="rId107" Type="http://schemas.openxmlformats.org/officeDocument/2006/relationships/hyperlink" Target="https://enzyme.expasy.org/EC/2.1.3.3" TargetMode="External"/><Relationship Id="rId289" Type="http://schemas.openxmlformats.org/officeDocument/2006/relationships/hyperlink" Target="https://enzyme.expasy.org/EC/2.6.1.17" TargetMode="External"/><Relationship Id="rId11" Type="http://schemas.openxmlformats.org/officeDocument/2006/relationships/hyperlink" Target="https://enzyme.expasy.org/EC/3.1.3.16" TargetMode="External"/><Relationship Id="rId53" Type="http://schemas.openxmlformats.org/officeDocument/2006/relationships/hyperlink" Target="https://enzyme.expasy.org/EC/2.7.7.3" TargetMode="External"/><Relationship Id="rId149" Type="http://schemas.openxmlformats.org/officeDocument/2006/relationships/hyperlink" Target="https://enzyme.expasy.org/EC/7.1.1.1" TargetMode="External"/><Relationship Id="rId314" Type="http://schemas.openxmlformats.org/officeDocument/2006/relationships/hyperlink" Target="https://enzyme.expasy.org/EC/2.7.1.180" TargetMode="External"/><Relationship Id="rId95" Type="http://schemas.openxmlformats.org/officeDocument/2006/relationships/hyperlink" Target="https://enzyme.expasy.org/EC/5.1.1.3" TargetMode="External"/><Relationship Id="rId160" Type="http://schemas.openxmlformats.org/officeDocument/2006/relationships/hyperlink" Target="https://enzyme.expasy.org/EC/2.7.7.89" TargetMode="External"/><Relationship Id="rId216" Type="http://schemas.openxmlformats.org/officeDocument/2006/relationships/hyperlink" Target="https://enzyme.expasy.org/EC/6.3.2.9" TargetMode="External"/><Relationship Id="rId258" Type="http://schemas.openxmlformats.org/officeDocument/2006/relationships/hyperlink" Target="https://enzyme.expasy.org/EC/2.7.7.87" TargetMode="External"/><Relationship Id="rId22" Type="http://schemas.openxmlformats.org/officeDocument/2006/relationships/hyperlink" Target="https://enzyme.expasy.org/EC/2.7.2.4" TargetMode="External"/><Relationship Id="rId64" Type="http://schemas.openxmlformats.org/officeDocument/2006/relationships/hyperlink" Target="https://enzyme.expasy.org/EC/2.7.7.12" TargetMode="External"/><Relationship Id="rId118" Type="http://schemas.openxmlformats.org/officeDocument/2006/relationships/hyperlink" Target="https://enzyme.expasy.org/EC/4.2.1.11" TargetMode="External"/><Relationship Id="rId325" Type="http://schemas.openxmlformats.org/officeDocument/2006/relationships/hyperlink" Target="https://enzyme.expasy.org/EC/2.1.1.170" TargetMode="External"/><Relationship Id="rId171" Type="http://schemas.openxmlformats.org/officeDocument/2006/relationships/hyperlink" Target="https://enzyme.expasy.org/EC/6.1.1.3" TargetMode="External"/><Relationship Id="rId227" Type="http://schemas.openxmlformats.org/officeDocument/2006/relationships/hyperlink" Target="https://enzyme.expasy.org/EC/1.1.1.435" TargetMode="External"/><Relationship Id="rId269" Type="http://schemas.openxmlformats.org/officeDocument/2006/relationships/hyperlink" Target="https://enzyme.expasy.org/EC/3.1.3.48" TargetMode="External"/><Relationship Id="rId33" Type="http://schemas.openxmlformats.org/officeDocument/2006/relationships/hyperlink" Target="https://enzyme.expasy.org/EC/3.1.1.31" TargetMode="External"/><Relationship Id="rId129" Type="http://schemas.openxmlformats.org/officeDocument/2006/relationships/hyperlink" Target="https://enzyme.expasy.org/EC/6.3.5.2" TargetMode="External"/><Relationship Id="rId280" Type="http://schemas.openxmlformats.org/officeDocument/2006/relationships/hyperlink" Target="https://enzyme.expasy.org/EC/5.4.2.2" TargetMode="External"/><Relationship Id="rId75" Type="http://schemas.openxmlformats.org/officeDocument/2006/relationships/hyperlink" Target="https://enzyme.expasy.org/EC/2.5.1.48" TargetMode="External"/><Relationship Id="rId140" Type="http://schemas.openxmlformats.org/officeDocument/2006/relationships/hyperlink" Target="https://enzyme.expasy.org/EC/3.5.4.5" TargetMode="External"/><Relationship Id="rId182" Type="http://schemas.openxmlformats.org/officeDocument/2006/relationships/hyperlink" Target="https://enzyme.expasy.org/EC/4.2.1.20" TargetMode="External"/><Relationship Id="rId6" Type="http://schemas.openxmlformats.org/officeDocument/2006/relationships/hyperlink" Target="https://enzyme.expasy.org/EC/2.4.1.1" TargetMode="External"/><Relationship Id="rId238" Type="http://schemas.openxmlformats.org/officeDocument/2006/relationships/hyperlink" Target="https://enzyme.expasy.org/EC/6.1.1.21" TargetMode="External"/><Relationship Id="rId291" Type="http://schemas.openxmlformats.org/officeDocument/2006/relationships/hyperlink" Target="https://enzyme.expasy.org/EC/6.3.3.2" TargetMode="External"/><Relationship Id="rId305" Type="http://schemas.openxmlformats.org/officeDocument/2006/relationships/hyperlink" Target="https://enzyme.expasy.org/EC/2.7.4.1" TargetMode="External"/><Relationship Id="rId44" Type="http://schemas.openxmlformats.org/officeDocument/2006/relationships/hyperlink" Target="https://enzyme.expasy.org/EC/1.1.1.94" TargetMode="External"/><Relationship Id="rId86" Type="http://schemas.openxmlformats.org/officeDocument/2006/relationships/hyperlink" Target="https://enzyme.expasy.org/EC/6.3.4.13" TargetMode="External"/><Relationship Id="rId151" Type="http://schemas.openxmlformats.org/officeDocument/2006/relationships/hyperlink" Target="https://enzyme.expasy.org/EC/3.6.5.n1" TargetMode="External"/><Relationship Id="rId193" Type="http://schemas.openxmlformats.org/officeDocument/2006/relationships/hyperlink" Target="https://enzyme.expasy.org/EC/3.2.1.163" TargetMode="External"/><Relationship Id="rId207" Type="http://schemas.openxmlformats.org/officeDocument/2006/relationships/hyperlink" Target="https://enzyme.expasy.org/EC/2.5.1.72" TargetMode="External"/><Relationship Id="rId249" Type="http://schemas.openxmlformats.org/officeDocument/2006/relationships/hyperlink" Target="https://enzyme.expasy.org/EC/2.5.1.6" TargetMode="External"/><Relationship Id="rId13" Type="http://schemas.openxmlformats.org/officeDocument/2006/relationships/hyperlink" Target="https://enzyme.expasy.org/EC/3.1.4.4" TargetMode="External"/><Relationship Id="rId109" Type="http://schemas.openxmlformats.org/officeDocument/2006/relationships/hyperlink" Target="https://enzyme.expasy.org/EC/4.3.2.1" TargetMode="External"/><Relationship Id="rId260" Type="http://schemas.openxmlformats.org/officeDocument/2006/relationships/hyperlink" Target="https://enzyme.expasy.org/EC/2.7.1.2" TargetMode="External"/><Relationship Id="rId316" Type="http://schemas.openxmlformats.org/officeDocument/2006/relationships/hyperlink" Target="https://enzyme.expasy.org/EC/4.3.1.19" TargetMode="External"/><Relationship Id="rId55" Type="http://schemas.openxmlformats.org/officeDocument/2006/relationships/hyperlink" Target="https://enzyme.expasy.org/EC/2.7.7.56" TargetMode="External"/><Relationship Id="rId97" Type="http://schemas.openxmlformats.org/officeDocument/2006/relationships/hyperlink" Target="https://enzyme.expasy.org/EC/1.1.1.267" TargetMode="External"/><Relationship Id="rId120" Type="http://schemas.openxmlformats.org/officeDocument/2006/relationships/hyperlink" Target="https://enzyme.expasy.org/EC/2.7.13.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zoomScale="111" workbookViewId="0">
      <selection activeCell="E4" sqref="E4"/>
    </sheetView>
  </sheetViews>
  <sheetFormatPr defaultRowHeight="14.5" x14ac:dyDescent="0.35"/>
  <cols>
    <col min="1" max="1" width="24.36328125" customWidth="1"/>
    <col min="2" max="2" width="17.1796875" customWidth="1"/>
    <col min="3" max="3" width="17.6328125" customWidth="1"/>
  </cols>
  <sheetData>
    <row r="1" spans="1:3" ht="15" thickBot="1" x14ac:dyDescent="0.4">
      <c r="A1" s="2" t="s">
        <v>1278</v>
      </c>
      <c r="B1" s="5" t="s">
        <v>8871</v>
      </c>
    </row>
    <row r="2" spans="1:3" ht="15" thickBot="1" x14ac:dyDescent="0.4">
      <c r="A2" s="3" t="s">
        <v>1273</v>
      </c>
      <c r="B2" s="44" t="s">
        <v>8872</v>
      </c>
    </row>
    <row r="3" spans="1:3" x14ac:dyDescent="0.35">
      <c r="A3" s="3" t="s">
        <v>1274</v>
      </c>
      <c r="B3" s="45" t="s">
        <v>8873</v>
      </c>
      <c r="C3" s="1"/>
    </row>
    <row r="4" spans="1:3" ht="15" thickBot="1" x14ac:dyDescent="0.4">
      <c r="A4" s="2" t="s">
        <v>1275</v>
      </c>
      <c r="B4" s="44" t="s">
        <v>8874</v>
      </c>
    </row>
    <row r="5" spans="1:3" ht="15" thickBot="1" x14ac:dyDescent="0.4">
      <c r="A5" s="3" t="s">
        <v>1276</v>
      </c>
      <c r="B5" s="47" t="s">
        <v>8877</v>
      </c>
    </row>
    <row r="6" spans="1:3" x14ac:dyDescent="0.35">
      <c r="A6" s="4" t="s">
        <v>1277</v>
      </c>
      <c r="B6" s="43" t="s">
        <v>8876</v>
      </c>
    </row>
    <row r="7" spans="1:3" x14ac:dyDescent="0.35">
      <c r="A7" s="6"/>
      <c r="B7" s="12" t="s">
        <v>3449</v>
      </c>
      <c r="C7" s="12" t="s">
        <v>3450</v>
      </c>
    </row>
    <row r="8" spans="1:3" x14ac:dyDescent="0.35">
      <c r="A8" s="6" t="s">
        <v>3436</v>
      </c>
      <c r="B8" s="46" t="s">
        <v>8875</v>
      </c>
      <c r="C8" s="46" t="s">
        <v>8875</v>
      </c>
    </row>
    <row r="9" spans="1:3" x14ac:dyDescent="0.35">
      <c r="A9" s="6" t="s">
        <v>3437</v>
      </c>
      <c r="B9" s="46" t="s">
        <v>8875</v>
      </c>
      <c r="C9" s="46" t="s">
        <v>8875</v>
      </c>
    </row>
    <row r="10" spans="1:3" x14ac:dyDescent="0.35">
      <c r="A10" s="6" t="s">
        <v>3438</v>
      </c>
      <c r="B10" s="12">
        <v>1</v>
      </c>
      <c r="C10" s="12">
        <v>1</v>
      </c>
    </row>
    <row r="11" spans="1:3" x14ac:dyDescent="0.35">
      <c r="A11" s="6" t="s">
        <v>3439</v>
      </c>
      <c r="B11" s="12">
        <v>1</v>
      </c>
      <c r="C11" s="12">
        <v>1</v>
      </c>
    </row>
    <row r="12" spans="1:3" x14ac:dyDescent="0.35">
      <c r="A12" s="6" t="s">
        <v>3440</v>
      </c>
      <c r="B12" s="46" t="s">
        <v>8875</v>
      </c>
      <c r="C12" s="12" t="s">
        <v>8875</v>
      </c>
    </row>
    <row r="13" spans="1:3" x14ac:dyDescent="0.35">
      <c r="A13" s="6" t="s">
        <v>3441</v>
      </c>
      <c r="B13" s="12">
        <v>1</v>
      </c>
      <c r="C13" s="12">
        <v>1</v>
      </c>
    </row>
    <row r="14" spans="1:3" x14ac:dyDescent="0.35">
      <c r="A14" s="6" t="s">
        <v>3442</v>
      </c>
      <c r="B14" s="12">
        <v>1</v>
      </c>
      <c r="C14" s="12">
        <v>1</v>
      </c>
    </row>
    <row r="15" spans="1:3" x14ac:dyDescent="0.35">
      <c r="A15" s="6" t="s">
        <v>3443</v>
      </c>
      <c r="B15" s="46" t="s">
        <v>8875</v>
      </c>
      <c r="C15" s="46" t="s">
        <v>8875</v>
      </c>
    </row>
    <row r="16" spans="1:3" x14ac:dyDescent="0.35">
      <c r="A16" s="6" t="s">
        <v>3444</v>
      </c>
      <c r="B16" s="12">
        <v>1</v>
      </c>
      <c r="C16" s="12">
        <v>1</v>
      </c>
    </row>
    <row r="17" spans="1:4" x14ac:dyDescent="0.35">
      <c r="A17" s="6" t="s">
        <v>3445</v>
      </c>
      <c r="B17" s="12">
        <v>59</v>
      </c>
      <c r="C17" s="12">
        <v>59</v>
      </c>
    </row>
    <row r="18" spans="1:4" x14ac:dyDescent="0.35">
      <c r="A18" s="6" t="s">
        <v>3434</v>
      </c>
      <c r="B18" s="13" t="s">
        <v>3435</v>
      </c>
      <c r="C18" s="13" t="s">
        <v>3435</v>
      </c>
    </row>
    <row r="19" spans="1:4" x14ac:dyDescent="0.35">
      <c r="A19" s="6" t="s">
        <v>3446</v>
      </c>
      <c r="B19" s="14">
        <v>2015</v>
      </c>
      <c r="C19" s="14">
        <v>1988</v>
      </c>
    </row>
    <row r="20" spans="1:4" x14ac:dyDescent="0.35">
      <c r="A20" s="6" t="s">
        <v>3447</v>
      </c>
      <c r="B20" s="14">
        <v>1876</v>
      </c>
      <c r="C20" s="14">
        <v>1929</v>
      </c>
    </row>
    <row r="21" spans="1:4" x14ac:dyDescent="0.35">
      <c r="B21" s="12"/>
      <c r="C21" s="12"/>
    </row>
    <row r="22" spans="1:4" ht="15" thickBot="1" x14ac:dyDescent="0.4">
      <c r="A22" s="6" t="s">
        <v>3448</v>
      </c>
      <c r="B22" s="43" t="s">
        <v>8878</v>
      </c>
      <c r="C22" s="48" t="s">
        <v>4233</v>
      </c>
      <c r="D22" s="49"/>
    </row>
    <row r="23" spans="1:4" x14ac:dyDescent="0.35">
      <c r="B23" s="12"/>
      <c r="C23" s="12"/>
    </row>
    <row r="24" spans="1:4" x14ac:dyDescent="0.35">
      <c r="B24" s="12"/>
      <c r="C24" s="12"/>
    </row>
    <row r="25" spans="1:4" x14ac:dyDescent="0.35">
      <c r="A25" t="s">
        <v>3451</v>
      </c>
      <c r="B25" s="12"/>
      <c r="C25" s="12"/>
    </row>
    <row r="26" spans="1:4" x14ac:dyDescent="0.35">
      <c r="A26" t="s">
        <v>3452</v>
      </c>
      <c r="B26" s="15">
        <v>0.96289999999999998</v>
      </c>
      <c r="C26" s="12"/>
    </row>
    <row r="27" spans="1:4" x14ac:dyDescent="0.35">
      <c r="A27" t="s">
        <v>3453</v>
      </c>
      <c r="B27" s="15">
        <v>2.3999999999999998E-3</v>
      </c>
      <c r="C27" s="12"/>
    </row>
  </sheetData>
  <customSheetViews>
    <customSheetView guid="{F9B45C10-3ABA-4AFD-861C-93BE5D0D4A37}">
      <selection activeCell="B1" sqref="B1"/>
      <pageMargins left="0.7" right="0.7" top="0.75" bottom="0.75" header="0.3" footer="0.3"/>
      <pageSetup paperSize="9" orientation="portrait" r:id="rId1"/>
    </customSheetView>
  </customSheetViews>
  <hyperlinks>
    <hyperlink ref="B6" r:id="rId2" display="https://www.ncbi.nlm.nih.gov/nuccore/NZ_AP012324.1/" xr:uid="{D5C8E002-19B4-449E-82CD-75548B777FFD}"/>
    <hyperlink ref="C22" r:id="rId3" display="https://www.ncbi.nlm.nih.gov/nuccore/NZ_AP012324.1/" xr:uid="{A72CC108-1EC3-40AB-8749-4F5C811F2855}"/>
    <hyperlink ref="B22" r:id="rId4" display="https://www.ncbi.nlm.nih.gov/nuccore/AP012324.1/" xr:uid="{58C91409-2B1F-4A4D-A616-E7F17AC70768}"/>
    <hyperlink ref="B1" r:id="rId5" xr:uid="{EBF24417-36F5-4F2F-B424-150F967178BB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A069-12CC-4A37-854C-F7E2F0BFA3CC}">
  <dimension ref="A1:M2016"/>
  <sheetViews>
    <sheetView workbookViewId="0">
      <selection activeCell="P14" sqref="P14"/>
    </sheetView>
  </sheetViews>
  <sheetFormatPr defaultRowHeight="14.5" x14ac:dyDescent="0.35"/>
  <cols>
    <col min="11" max="11" width="15.08984375" customWidth="1"/>
    <col min="12" max="12" width="15.36328125" customWidth="1"/>
    <col min="13" max="13" width="14.9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4233</v>
      </c>
      <c r="B2">
        <v>1</v>
      </c>
      <c r="C2">
        <v>1467</v>
      </c>
      <c r="E2" t="s">
        <v>13</v>
      </c>
      <c r="F2" t="s">
        <v>14</v>
      </c>
      <c r="G2" t="s">
        <v>15</v>
      </c>
      <c r="H2">
        <v>29240607</v>
      </c>
      <c r="I2" t="s">
        <v>16</v>
      </c>
      <c r="K2" t="s">
        <v>8870</v>
      </c>
      <c r="L2">
        <v>488</v>
      </c>
      <c r="M2" t="s">
        <v>8869</v>
      </c>
    </row>
    <row r="3" spans="1:13" x14ac:dyDescent="0.35">
      <c r="A3" t="s">
        <v>4233</v>
      </c>
      <c r="B3">
        <v>2044</v>
      </c>
      <c r="C3">
        <v>3167</v>
      </c>
      <c r="E3" t="s">
        <v>13</v>
      </c>
      <c r="F3" t="s">
        <v>45</v>
      </c>
      <c r="G3" t="s">
        <v>17</v>
      </c>
      <c r="H3">
        <v>29240608</v>
      </c>
      <c r="I3" t="s">
        <v>46</v>
      </c>
      <c r="M3" t="s">
        <v>8868</v>
      </c>
    </row>
    <row r="4" spans="1:13" x14ac:dyDescent="0.35">
      <c r="A4" t="s">
        <v>4233</v>
      </c>
      <c r="B4">
        <v>3192</v>
      </c>
      <c r="C4">
        <v>4349</v>
      </c>
      <c r="E4" t="s">
        <v>13</v>
      </c>
      <c r="F4" t="s">
        <v>20</v>
      </c>
      <c r="G4" t="s">
        <v>21</v>
      </c>
      <c r="H4">
        <v>29240609</v>
      </c>
      <c r="I4" t="s">
        <v>16</v>
      </c>
      <c r="K4" t="s">
        <v>8867</v>
      </c>
      <c r="L4">
        <v>385</v>
      </c>
      <c r="M4" t="s">
        <v>8866</v>
      </c>
    </row>
    <row r="5" spans="1:13" x14ac:dyDescent="0.35">
      <c r="A5" t="s">
        <v>4233</v>
      </c>
      <c r="B5">
        <v>4346</v>
      </c>
      <c r="C5">
        <v>4816</v>
      </c>
      <c r="E5" t="s">
        <v>13</v>
      </c>
      <c r="F5" t="s">
        <v>8865</v>
      </c>
      <c r="H5">
        <v>29240610</v>
      </c>
      <c r="I5" t="s">
        <v>16</v>
      </c>
      <c r="K5" t="s">
        <v>8864</v>
      </c>
      <c r="L5">
        <v>156</v>
      </c>
      <c r="M5" t="s">
        <v>8863</v>
      </c>
    </row>
    <row r="6" spans="1:13" x14ac:dyDescent="0.35">
      <c r="A6" t="s">
        <v>4233</v>
      </c>
      <c r="B6">
        <v>4951</v>
      </c>
      <c r="C6">
        <v>7089</v>
      </c>
      <c r="E6" t="s">
        <v>13</v>
      </c>
      <c r="F6" t="s">
        <v>22</v>
      </c>
      <c r="G6" t="s">
        <v>23</v>
      </c>
      <c r="H6">
        <v>29240611</v>
      </c>
      <c r="I6" t="s">
        <v>16</v>
      </c>
      <c r="K6" t="s">
        <v>8862</v>
      </c>
      <c r="L6">
        <v>712</v>
      </c>
      <c r="M6" t="s">
        <v>8861</v>
      </c>
    </row>
    <row r="7" spans="1:13" x14ac:dyDescent="0.35">
      <c r="A7" t="s">
        <v>4233</v>
      </c>
      <c r="B7">
        <v>7264</v>
      </c>
      <c r="C7">
        <v>9954</v>
      </c>
      <c r="E7" t="s">
        <v>13</v>
      </c>
      <c r="F7" t="s">
        <v>24</v>
      </c>
      <c r="G7" t="s">
        <v>25</v>
      </c>
      <c r="H7">
        <v>29240612</v>
      </c>
      <c r="I7" t="s">
        <v>16</v>
      </c>
      <c r="K7" t="s">
        <v>8860</v>
      </c>
      <c r="L7">
        <v>896</v>
      </c>
      <c r="M7" t="s">
        <v>8859</v>
      </c>
    </row>
    <row r="8" spans="1:13" x14ac:dyDescent="0.35">
      <c r="A8" t="s">
        <v>4233</v>
      </c>
      <c r="B8">
        <v>10023</v>
      </c>
      <c r="C8">
        <v>10574</v>
      </c>
      <c r="E8" t="s">
        <v>13</v>
      </c>
      <c r="F8" t="s">
        <v>8858</v>
      </c>
      <c r="H8">
        <v>29240613</v>
      </c>
      <c r="I8" t="s">
        <v>16</v>
      </c>
      <c r="K8" t="s">
        <v>8857</v>
      </c>
      <c r="L8">
        <v>183</v>
      </c>
      <c r="M8" t="s">
        <v>8856</v>
      </c>
    </row>
    <row r="9" spans="1:13" x14ac:dyDescent="0.35">
      <c r="A9" t="s">
        <v>4233</v>
      </c>
      <c r="B9">
        <v>10648</v>
      </c>
      <c r="C9">
        <v>11661</v>
      </c>
      <c r="E9" t="s">
        <v>36</v>
      </c>
      <c r="F9" t="s">
        <v>373</v>
      </c>
      <c r="H9">
        <v>29240614</v>
      </c>
      <c r="I9" t="s">
        <v>16</v>
      </c>
      <c r="K9" t="s">
        <v>8855</v>
      </c>
      <c r="L9">
        <v>337</v>
      </c>
      <c r="M9" t="s">
        <v>8854</v>
      </c>
    </row>
    <row r="10" spans="1:13" x14ac:dyDescent="0.35">
      <c r="A10" t="s">
        <v>4233</v>
      </c>
      <c r="B10">
        <v>11930</v>
      </c>
      <c r="C10">
        <v>12331</v>
      </c>
      <c r="E10" t="s">
        <v>36</v>
      </c>
      <c r="F10" t="s">
        <v>40</v>
      </c>
      <c r="H10">
        <v>29240615</v>
      </c>
      <c r="I10" t="s">
        <v>16</v>
      </c>
      <c r="K10" t="s">
        <v>8853</v>
      </c>
      <c r="L10">
        <v>133</v>
      </c>
      <c r="M10" t="s">
        <v>8852</v>
      </c>
    </row>
    <row r="11" spans="1:13" x14ac:dyDescent="0.35">
      <c r="A11" t="s">
        <v>4233</v>
      </c>
      <c r="B11">
        <v>12675</v>
      </c>
      <c r="C11">
        <v>15806</v>
      </c>
      <c r="E11" t="s">
        <v>13</v>
      </c>
      <c r="F11" t="s">
        <v>1064</v>
      </c>
      <c r="H11">
        <v>29240616</v>
      </c>
      <c r="I11" t="s">
        <v>16</v>
      </c>
      <c r="K11" t="s">
        <v>8851</v>
      </c>
      <c r="L11">
        <v>1043</v>
      </c>
      <c r="M11" t="s">
        <v>8850</v>
      </c>
    </row>
    <row r="12" spans="1:13" x14ac:dyDescent="0.35">
      <c r="A12" t="s">
        <v>4233</v>
      </c>
      <c r="B12">
        <v>16239</v>
      </c>
      <c r="C12">
        <v>17477</v>
      </c>
      <c r="E12" t="s">
        <v>13</v>
      </c>
      <c r="F12" t="s">
        <v>602</v>
      </c>
      <c r="H12">
        <v>29240617</v>
      </c>
      <c r="I12" t="s">
        <v>16</v>
      </c>
      <c r="K12" t="s">
        <v>8849</v>
      </c>
      <c r="L12">
        <v>412</v>
      </c>
      <c r="M12" t="s">
        <v>8848</v>
      </c>
    </row>
    <row r="13" spans="1:13" x14ac:dyDescent="0.35">
      <c r="A13" t="s">
        <v>4233</v>
      </c>
      <c r="B13">
        <v>17872</v>
      </c>
      <c r="C13">
        <v>19218</v>
      </c>
      <c r="E13" t="s">
        <v>36</v>
      </c>
      <c r="F13" t="s">
        <v>8847</v>
      </c>
      <c r="G13" t="s">
        <v>8846</v>
      </c>
      <c r="H13">
        <v>29240618</v>
      </c>
      <c r="I13" t="s">
        <v>16</v>
      </c>
      <c r="K13" t="s">
        <v>8845</v>
      </c>
      <c r="L13">
        <v>448</v>
      </c>
      <c r="M13" t="s">
        <v>8844</v>
      </c>
    </row>
    <row r="14" spans="1:13" x14ac:dyDescent="0.35">
      <c r="A14" t="s">
        <v>4233</v>
      </c>
      <c r="B14">
        <v>19324</v>
      </c>
      <c r="C14">
        <v>20316</v>
      </c>
      <c r="E14" t="s">
        <v>36</v>
      </c>
      <c r="F14" t="s">
        <v>8843</v>
      </c>
      <c r="H14">
        <v>29240619</v>
      </c>
      <c r="I14" t="s">
        <v>16</v>
      </c>
      <c r="K14" t="s">
        <v>8842</v>
      </c>
      <c r="L14">
        <v>330</v>
      </c>
      <c r="M14" t="s">
        <v>8841</v>
      </c>
    </row>
    <row r="15" spans="1:13" x14ac:dyDescent="0.35">
      <c r="A15" t="s">
        <v>4233</v>
      </c>
      <c r="B15">
        <v>20596</v>
      </c>
      <c r="C15">
        <v>20668</v>
      </c>
      <c r="E15" t="s">
        <v>36</v>
      </c>
      <c r="F15" t="s">
        <v>414</v>
      </c>
      <c r="H15">
        <v>29240620</v>
      </c>
      <c r="I15" t="s">
        <v>39</v>
      </c>
      <c r="M15" t="s">
        <v>8840</v>
      </c>
    </row>
    <row r="16" spans="1:13" x14ac:dyDescent="0.35">
      <c r="A16" t="s">
        <v>4233</v>
      </c>
      <c r="B16">
        <v>20712</v>
      </c>
      <c r="C16">
        <v>20785</v>
      </c>
      <c r="E16" t="s">
        <v>36</v>
      </c>
      <c r="F16" t="s">
        <v>413</v>
      </c>
      <c r="H16">
        <v>29240621</v>
      </c>
      <c r="I16" t="s">
        <v>39</v>
      </c>
      <c r="M16" t="s">
        <v>8839</v>
      </c>
    </row>
    <row r="17" spans="1:13" x14ac:dyDescent="0.35">
      <c r="A17" t="s">
        <v>4233</v>
      </c>
      <c r="B17">
        <v>20927</v>
      </c>
      <c r="C17">
        <v>21592</v>
      </c>
      <c r="E17" t="s">
        <v>13</v>
      </c>
      <c r="F17" t="s">
        <v>8838</v>
      </c>
      <c r="H17">
        <v>29240622</v>
      </c>
      <c r="I17" t="s">
        <v>16</v>
      </c>
      <c r="K17" t="s">
        <v>8837</v>
      </c>
      <c r="L17">
        <v>221</v>
      </c>
      <c r="M17" t="s">
        <v>8836</v>
      </c>
    </row>
    <row r="18" spans="1:13" x14ac:dyDescent="0.35">
      <c r="A18" t="s">
        <v>4233</v>
      </c>
      <c r="B18">
        <v>22486</v>
      </c>
      <c r="C18">
        <v>23799</v>
      </c>
      <c r="E18" t="s">
        <v>36</v>
      </c>
      <c r="F18" t="s">
        <v>96</v>
      </c>
      <c r="H18">
        <v>29240624</v>
      </c>
      <c r="I18" t="s">
        <v>16</v>
      </c>
      <c r="K18" t="s">
        <v>8835</v>
      </c>
      <c r="L18">
        <v>437</v>
      </c>
      <c r="M18" t="s">
        <v>8834</v>
      </c>
    </row>
    <row r="19" spans="1:13" x14ac:dyDescent="0.35">
      <c r="A19" t="s">
        <v>4233</v>
      </c>
      <c r="B19">
        <v>24034</v>
      </c>
      <c r="C19">
        <v>24513</v>
      </c>
      <c r="E19" t="s">
        <v>36</v>
      </c>
      <c r="F19" t="s">
        <v>8833</v>
      </c>
      <c r="H19">
        <v>29240625</v>
      </c>
      <c r="I19" t="s">
        <v>16</v>
      </c>
      <c r="K19" t="s">
        <v>8832</v>
      </c>
      <c r="L19">
        <v>159</v>
      </c>
      <c r="M19" t="s">
        <v>8831</v>
      </c>
    </row>
    <row r="20" spans="1:13" x14ac:dyDescent="0.35">
      <c r="A20" t="s">
        <v>4233</v>
      </c>
      <c r="B20">
        <v>24676</v>
      </c>
      <c r="C20">
        <v>26019</v>
      </c>
      <c r="E20" t="s">
        <v>36</v>
      </c>
      <c r="F20" t="s">
        <v>505</v>
      </c>
      <c r="H20">
        <v>29240626</v>
      </c>
      <c r="I20" t="s">
        <v>16</v>
      </c>
      <c r="K20" t="s">
        <v>8830</v>
      </c>
      <c r="L20">
        <v>447</v>
      </c>
      <c r="M20" t="s">
        <v>8829</v>
      </c>
    </row>
    <row r="21" spans="1:13" x14ac:dyDescent="0.35">
      <c r="A21" t="s">
        <v>4233</v>
      </c>
      <c r="B21">
        <v>26255</v>
      </c>
      <c r="C21">
        <v>27391</v>
      </c>
      <c r="E21" t="s">
        <v>13</v>
      </c>
      <c r="F21" t="s">
        <v>296</v>
      </c>
      <c r="H21">
        <v>29240627</v>
      </c>
      <c r="I21" t="s">
        <v>16</v>
      </c>
      <c r="K21" t="s">
        <v>8828</v>
      </c>
      <c r="L21">
        <v>378</v>
      </c>
      <c r="M21" t="s">
        <v>8827</v>
      </c>
    </row>
    <row r="22" spans="1:13" x14ac:dyDescent="0.35">
      <c r="A22" t="s">
        <v>4233</v>
      </c>
      <c r="B22">
        <v>27407</v>
      </c>
      <c r="C22">
        <v>28090</v>
      </c>
      <c r="E22" t="s">
        <v>36</v>
      </c>
      <c r="F22" t="s">
        <v>8826</v>
      </c>
      <c r="H22">
        <v>29240628</v>
      </c>
      <c r="I22" t="s">
        <v>16</v>
      </c>
      <c r="K22" t="s">
        <v>8825</v>
      </c>
      <c r="L22">
        <v>227</v>
      </c>
      <c r="M22" t="s">
        <v>8824</v>
      </c>
    </row>
    <row r="23" spans="1:13" x14ac:dyDescent="0.35">
      <c r="A23" t="s">
        <v>4233</v>
      </c>
      <c r="B23">
        <v>28357</v>
      </c>
      <c r="C23">
        <v>28920</v>
      </c>
      <c r="E23" t="s">
        <v>13</v>
      </c>
      <c r="F23" t="s">
        <v>8823</v>
      </c>
      <c r="G23" t="s">
        <v>8822</v>
      </c>
      <c r="H23">
        <v>29240629</v>
      </c>
      <c r="I23" t="s">
        <v>16</v>
      </c>
      <c r="K23" t="s">
        <v>8821</v>
      </c>
      <c r="L23">
        <v>187</v>
      </c>
      <c r="M23" t="s">
        <v>8820</v>
      </c>
    </row>
    <row r="24" spans="1:13" x14ac:dyDescent="0.35">
      <c r="A24" t="s">
        <v>4233</v>
      </c>
      <c r="B24">
        <v>29076</v>
      </c>
      <c r="C24">
        <v>30989</v>
      </c>
      <c r="E24" t="s">
        <v>13</v>
      </c>
      <c r="F24" t="s">
        <v>897</v>
      </c>
      <c r="H24">
        <v>29240630</v>
      </c>
      <c r="I24" t="s">
        <v>16</v>
      </c>
      <c r="K24" t="s">
        <v>8819</v>
      </c>
      <c r="L24">
        <v>637</v>
      </c>
      <c r="M24" t="s">
        <v>8818</v>
      </c>
    </row>
    <row r="25" spans="1:13" x14ac:dyDescent="0.35">
      <c r="A25" t="s">
        <v>4233</v>
      </c>
      <c r="B25">
        <v>31295</v>
      </c>
      <c r="C25">
        <v>33502</v>
      </c>
      <c r="E25" t="s">
        <v>13</v>
      </c>
      <c r="F25" t="s">
        <v>8817</v>
      </c>
      <c r="H25">
        <v>29240631</v>
      </c>
      <c r="I25" t="s">
        <v>16</v>
      </c>
      <c r="K25" t="s">
        <v>8816</v>
      </c>
      <c r="L25">
        <v>735</v>
      </c>
      <c r="M25" t="s">
        <v>8815</v>
      </c>
    </row>
    <row r="26" spans="1:13" x14ac:dyDescent="0.35">
      <c r="A26" t="s">
        <v>4233</v>
      </c>
      <c r="B26">
        <v>33499</v>
      </c>
      <c r="C26">
        <v>34413</v>
      </c>
      <c r="E26" t="s">
        <v>13</v>
      </c>
      <c r="F26" t="s">
        <v>40</v>
      </c>
      <c r="H26">
        <v>29240632</v>
      </c>
      <c r="I26" t="s">
        <v>16</v>
      </c>
      <c r="K26" t="s">
        <v>8814</v>
      </c>
      <c r="L26">
        <v>304</v>
      </c>
      <c r="M26" t="s">
        <v>8813</v>
      </c>
    </row>
    <row r="27" spans="1:13" x14ac:dyDescent="0.35">
      <c r="A27" t="s">
        <v>4233</v>
      </c>
      <c r="B27">
        <v>34410</v>
      </c>
      <c r="C27">
        <v>36290</v>
      </c>
      <c r="E27" t="s">
        <v>13</v>
      </c>
      <c r="F27" t="s">
        <v>8812</v>
      </c>
      <c r="H27">
        <v>29240633</v>
      </c>
      <c r="I27" t="s">
        <v>16</v>
      </c>
      <c r="K27" t="s">
        <v>8811</v>
      </c>
      <c r="L27">
        <v>626</v>
      </c>
      <c r="M27" t="s">
        <v>8810</v>
      </c>
    </row>
    <row r="28" spans="1:13" x14ac:dyDescent="0.35">
      <c r="A28" t="s">
        <v>4233</v>
      </c>
      <c r="B28">
        <v>36287</v>
      </c>
      <c r="C28">
        <v>37705</v>
      </c>
      <c r="E28" t="s">
        <v>13</v>
      </c>
      <c r="F28" t="s">
        <v>8809</v>
      </c>
      <c r="G28" t="s">
        <v>8808</v>
      </c>
      <c r="H28">
        <v>29240634</v>
      </c>
      <c r="I28" t="s">
        <v>16</v>
      </c>
      <c r="K28" t="s">
        <v>8807</v>
      </c>
      <c r="L28">
        <v>472</v>
      </c>
      <c r="M28" t="s">
        <v>8806</v>
      </c>
    </row>
    <row r="29" spans="1:13" x14ac:dyDescent="0.35">
      <c r="A29" t="s">
        <v>4233</v>
      </c>
      <c r="B29">
        <v>37707</v>
      </c>
      <c r="C29">
        <v>39254</v>
      </c>
      <c r="E29" t="s">
        <v>13</v>
      </c>
      <c r="F29" t="s">
        <v>8805</v>
      </c>
      <c r="G29" t="s">
        <v>8804</v>
      </c>
      <c r="H29">
        <v>29240635</v>
      </c>
      <c r="I29" t="s">
        <v>16</v>
      </c>
      <c r="K29" t="s">
        <v>8803</v>
      </c>
      <c r="L29">
        <v>515</v>
      </c>
      <c r="M29" t="s">
        <v>8802</v>
      </c>
    </row>
    <row r="30" spans="1:13" x14ac:dyDescent="0.35">
      <c r="A30" t="s">
        <v>4233</v>
      </c>
      <c r="B30">
        <v>39258</v>
      </c>
      <c r="C30">
        <v>41072</v>
      </c>
      <c r="E30" t="s">
        <v>13</v>
      </c>
      <c r="F30" t="s">
        <v>8801</v>
      </c>
      <c r="H30">
        <v>29240636</v>
      </c>
      <c r="I30" t="s">
        <v>16</v>
      </c>
      <c r="K30" t="s">
        <v>8800</v>
      </c>
      <c r="L30">
        <v>604</v>
      </c>
      <c r="M30" t="s">
        <v>8799</v>
      </c>
    </row>
    <row r="31" spans="1:13" x14ac:dyDescent="0.35">
      <c r="A31" t="s">
        <v>4233</v>
      </c>
      <c r="B31">
        <v>41062</v>
      </c>
      <c r="C31">
        <v>41886</v>
      </c>
      <c r="E31" t="s">
        <v>13</v>
      </c>
      <c r="F31" t="s">
        <v>8798</v>
      </c>
      <c r="H31">
        <v>29240637</v>
      </c>
      <c r="I31" t="s">
        <v>16</v>
      </c>
      <c r="K31" t="s">
        <v>8797</v>
      </c>
      <c r="L31">
        <v>274</v>
      </c>
      <c r="M31" t="s">
        <v>8796</v>
      </c>
    </row>
    <row r="32" spans="1:13" x14ac:dyDescent="0.35">
      <c r="A32" t="s">
        <v>4233</v>
      </c>
      <c r="B32">
        <v>41964</v>
      </c>
      <c r="C32">
        <v>42629</v>
      </c>
      <c r="E32" t="s">
        <v>13</v>
      </c>
      <c r="F32" t="s">
        <v>8795</v>
      </c>
      <c r="H32">
        <v>29240638</v>
      </c>
      <c r="I32" t="s">
        <v>16</v>
      </c>
      <c r="K32" t="s">
        <v>8794</v>
      </c>
      <c r="L32">
        <v>221</v>
      </c>
      <c r="M32" t="s">
        <v>8793</v>
      </c>
    </row>
    <row r="33" spans="1:13" x14ac:dyDescent="0.35">
      <c r="A33" t="s">
        <v>4233</v>
      </c>
      <c r="B33">
        <v>42663</v>
      </c>
      <c r="C33">
        <v>44885</v>
      </c>
      <c r="E33" t="s">
        <v>13</v>
      </c>
      <c r="F33" t="s">
        <v>8792</v>
      </c>
      <c r="H33">
        <v>29240639</v>
      </c>
      <c r="I33" t="s">
        <v>16</v>
      </c>
      <c r="K33" t="s">
        <v>8791</v>
      </c>
      <c r="L33">
        <v>740</v>
      </c>
      <c r="M33" t="s">
        <v>8790</v>
      </c>
    </row>
    <row r="34" spans="1:13" x14ac:dyDescent="0.35">
      <c r="A34" t="s">
        <v>4233</v>
      </c>
      <c r="B34">
        <v>45159</v>
      </c>
      <c r="C34">
        <v>45836</v>
      </c>
      <c r="E34" t="s">
        <v>13</v>
      </c>
      <c r="F34" t="s">
        <v>96</v>
      </c>
      <c r="H34">
        <v>29240640</v>
      </c>
      <c r="I34" t="s">
        <v>16</v>
      </c>
      <c r="K34" t="s">
        <v>8789</v>
      </c>
      <c r="L34">
        <v>225</v>
      </c>
      <c r="M34" t="s">
        <v>8788</v>
      </c>
    </row>
    <row r="35" spans="1:13" x14ac:dyDescent="0.35">
      <c r="A35" t="s">
        <v>4233</v>
      </c>
      <c r="B35">
        <v>45817</v>
      </c>
      <c r="C35">
        <v>47472</v>
      </c>
      <c r="E35" t="s">
        <v>13</v>
      </c>
      <c r="F35" t="s">
        <v>8787</v>
      </c>
      <c r="H35">
        <v>29240641</v>
      </c>
      <c r="I35" t="s">
        <v>16</v>
      </c>
      <c r="K35" t="s">
        <v>8786</v>
      </c>
      <c r="L35">
        <v>551</v>
      </c>
      <c r="M35" t="s">
        <v>8785</v>
      </c>
    </row>
    <row r="36" spans="1:13" x14ac:dyDescent="0.35">
      <c r="A36" t="s">
        <v>4233</v>
      </c>
      <c r="B36">
        <v>47640</v>
      </c>
      <c r="C36">
        <v>50393</v>
      </c>
      <c r="E36" t="s">
        <v>36</v>
      </c>
      <c r="F36" t="s">
        <v>840</v>
      </c>
      <c r="H36">
        <v>29240642</v>
      </c>
      <c r="I36" t="s">
        <v>16</v>
      </c>
      <c r="K36" t="s">
        <v>8784</v>
      </c>
      <c r="L36">
        <v>917</v>
      </c>
      <c r="M36" t="s">
        <v>8783</v>
      </c>
    </row>
    <row r="37" spans="1:13" x14ac:dyDescent="0.35">
      <c r="A37" t="s">
        <v>4233</v>
      </c>
      <c r="B37">
        <v>50689</v>
      </c>
      <c r="C37">
        <v>52677</v>
      </c>
      <c r="E37" t="s">
        <v>13</v>
      </c>
      <c r="F37" t="s">
        <v>8782</v>
      </c>
      <c r="H37">
        <v>29240643</v>
      </c>
      <c r="I37" t="s">
        <v>16</v>
      </c>
      <c r="K37" t="s">
        <v>8781</v>
      </c>
      <c r="L37">
        <v>662</v>
      </c>
      <c r="M37" t="s">
        <v>8780</v>
      </c>
    </row>
    <row r="38" spans="1:13" x14ac:dyDescent="0.35">
      <c r="A38" t="s">
        <v>4233</v>
      </c>
      <c r="B38">
        <v>52911</v>
      </c>
      <c r="C38">
        <v>54551</v>
      </c>
      <c r="E38" t="s">
        <v>13</v>
      </c>
      <c r="F38" t="s">
        <v>8779</v>
      </c>
      <c r="H38">
        <v>29240644</v>
      </c>
      <c r="I38" t="s">
        <v>16</v>
      </c>
      <c r="K38" t="s">
        <v>8778</v>
      </c>
      <c r="L38">
        <v>546</v>
      </c>
      <c r="M38" t="s">
        <v>8777</v>
      </c>
    </row>
    <row r="39" spans="1:13" x14ac:dyDescent="0.35">
      <c r="A39" t="s">
        <v>4233</v>
      </c>
      <c r="B39">
        <v>54723</v>
      </c>
      <c r="C39">
        <v>55712</v>
      </c>
      <c r="E39" t="s">
        <v>36</v>
      </c>
      <c r="F39" t="s">
        <v>40</v>
      </c>
      <c r="H39">
        <v>29240645</v>
      </c>
      <c r="I39" t="s">
        <v>16</v>
      </c>
      <c r="K39" t="s">
        <v>8776</v>
      </c>
      <c r="L39">
        <v>329</v>
      </c>
      <c r="M39" t="s">
        <v>8775</v>
      </c>
    </row>
    <row r="40" spans="1:13" x14ac:dyDescent="0.35">
      <c r="A40" t="s">
        <v>4233</v>
      </c>
      <c r="B40">
        <v>56161</v>
      </c>
      <c r="C40">
        <v>57780</v>
      </c>
      <c r="E40" t="s">
        <v>13</v>
      </c>
      <c r="F40" t="s">
        <v>4680</v>
      </c>
      <c r="H40">
        <v>29240646</v>
      </c>
      <c r="I40" t="s">
        <v>16</v>
      </c>
      <c r="K40" t="s">
        <v>8774</v>
      </c>
      <c r="L40">
        <v>539</v>
      </c>
      <c r="M40" t="s">
        <v>8773</v>
      </c>
    </row>
    <row r="41" spans="1:13" x14ac:dyDescent="0.35">
      <c r="A41" t="s">
        <v>4233</v>
      </c>
      <c r="B41">
        <v>58315</v>
      </c>
      <c r="C41">
        <v>59406</v>
      </c>
      <c r="E41" t="s">
        <v>36</v>
      </c>
      <c r="F41" t="s">
        <v>137</v>
      </c>
      <c r="G41" t="s">
        <v>138</v>
      </c>
      <c r="H41">
        <v>29240647</v>
      </c>
      <c r="I41" t="s">
        <v>16</v>
      </c>
      <c r="K41" t="s">
        <v>8772</v>
      </c>
      <c r="L41">
        <v>363</v>
      </c>
      <c r="M41" t="s">
        <v>8771</v>
      </c>
    </row>
    <row r="42" spans="1:13" x14ac:dyDescent="0.35">
      <c r="A42" t="s">
        <v>4233</v>
      </c>
      <c r="B42">
        <v>59540</v>
      </c>
      <c r="C42">
        <v>59926</v>
      </c>
      <c r="E42" t="s">
        <v>13</v>
      </c>
      <c r="F42" t="s">
        <v>8770</v>
      </c>
      <c r="H42">
        <v>29240648</v>
      </c>
      <c r="I42" t="s">
        <v>16</v>
      </c>
      <c r="K42" t="s">
        <v>8769</v>
      </c>
      <c r="L42">
        <v>128</v>
      </c>
      <c r="M42" t="s">
        <v>8768</v>
      </c>
    </row>
    <row r="43" spans="1:13" x14ac:dyDescent="0.35">
      <c r="A43" t="s">
        <v>4233</v>
      </c>
      <c r="B43">
        <v>60097</v>
      </c>
      <c r="C43">
        <v>60768</v>
      </c>
      <c r="E43" t="s">
        <v>13</v>
      </c>
      <c r="F43" t="s">
        <v>608</v>
      </c>
      <c r="H43">
        <v>29240649</v>
      </c>
      <c r="I43" t="s">
        <v>16</v>
      </c>
      <c r="K43" t="s">
        <v>8767</v>
      </c>
      <c r="L43">
        <v>223</v>
      </c>
      <c r="M43" t="s">
        <v>8766</v>
      </c>
    </row>
    <row r="44" spans="1:13" x14ac:dyDescent="0.35">
      <c r="A44" t="s">
        <v>4233</v>
      </c>
      <c r="B44">
        <v>60836</v>
      </c>
      <c r="C44">
        <v>61987</v>
      </c>
      <c r="E44" t="s">
        <v>13</v>
      </c>
      <c r="F44" t="s">
        <v>40</v>
      </c>
      <c r="H44">
        <v>29240650</v>
      </c>
      <c r="I44" t="s">
        <v>16</v>
      </c>
      <c r="K44" t="s">
        <v>8765</v>
      </c>
      <c r="L44">
        <v>383</v>
      </c>
      <c r="M44" t="s">
        <v>8764</v>
      </c>
    </row>
    <row r="45" spans="1:13" x14ac:dyDescent="0.35">
      <c r="A45" t="s">
        <v>4233</v>
      </c>
      <c r="B45">
        <v>62155</v>
      </c>
      <c r="C45">
        <v>63546</v>
      </c>
      <c r="E45" t="s">
        <v>13</v>
      </c>
      <c r="F45" t="s">
        <v>121</v>
      </c>
      <c r="H45">
        <v>29240651</v>
      </c>
      <c r="I45" t="s">
        <v>16</v>
      </c>
      <c r="K45" t="s">
        <v>8763</v>
      </c>
      <c r="L45">
        <v>463</v>
      </c>
      <c r="M45" t="s">
        <v>8762</v>
      </c>
    </row>
    <row r="46" spans="1:13" x14ac:dyDescent="0.35">
      <c r="A46" t="s">
        <v>4233</v>
      </c>
      <c r="B46">
        <v>63579</v>
      </c>
      <c r="C46">
        <v>63986</v>
      </c>
      <c r="E46" t="s">
        <v>36</v>
      </c>
      <c r="F46" t="s">
        <v>8761</v>
      </c>
      <c r="H46">
        <v>29240652</v>
      </c>
      <c r="I46" t="s">
        <v>16</v>
      </c>
      <c r="K46" t="s">
        <v>8760</v>
      </c>
      <c r="L46">
        <v>135</v>
      </c>
      <c r="M46" t="s">
        <v>8759</v>
      </c>
    </row>
    <row r="47" spans="1:13" x14ac:dyDescent="0.35">
      <c r="A47" t="s">
        <v>4233</v>
      </c>
      <c r="B47">
        <v>64205</v>
      </c>
      <c r="C47">
        <v>66652</v>
      </c>
      <c r="E47" t="s">
        <v>13</v>
      </c>
      <c r="F47" t="s">
        <v>560</v>
      </c>
      <c r="H47">
        <v>29240653</v>
      </c>
      <c r="I47" t="s">
        <v>16</v>
      </c>
      <c r="K47" t="s">
        <v>8758</v>
      </c>
      <c r="L47">
        <v>815</v>
      </c>
      <c r="M47" t="s">
        <v>8757</v>
      </c>
    </row>
    <row r="48" spans="1:13" x14ac:dyDescent="0.35">
      <c r="A48" t="s">
        <v>4233</v>
      </c>
      <c r="B48">
        <v>66953</v>
      </c>
      <c r="C48">
        <v>67177</v>
      </c>
      <c r="E48" t="s">
        <v>36</v>
      </c>
      <c r="F48" t="s">
        <v>40</v>
      </c>
      <c r="H48">
        <v>29240654</v>
      </c>
      <c r="I48" t="s">
        <v>16</v>
      </c>
      <c r="K48" t="s">
        <v>8756</v>
      </c>
      <c r="L48">
        <v>74</v>
      </c>
      <c r="M48" t="s">
        <v>8755</v>
      </c>
    </row>
    <row r="49" spans="1:13" x14ac:dyDescent="0.35">
      <c r="A49" t="s">
        <v>4233</v>
      </c>
      <c r="B49">
        <v>67343</v>
      </c>
      <c r="C49">
        <v>68083</v>
      </c>
      <c r="E49" t="s">
        <v>13</v>
      </c>
      <c r="F49" t="s">
        <v>1082</v>
      </c>
      <c r="H49">
        <v>29240655</v>
      </c>
      <c r="I49" t="s">
        <v>16</v>
      </c>
      <c r="K49" t="s">
        <v>8754</v>
      </c>
      <c r="L49">
        <v>246</v>
      </c>
      <c r="M49" t="s">
        <v>8753</v>
      </c>
    </row>
    <row r="50" spans="1:13" x14ac:dyDescent="0.35">
      <c r="A50" t="s">
        <v>4233</v>
      </c>
      <c r="B50">
        <v>68613</v>
      </c>
      <c r="C50">
        <v>69080</v>
      </c>
      <c r="E50" t="s">
        <v>36</v>
      </c>
      <c r="F50" t="s">
        <v>8752</v>
      </c>
      <c r="G50" t="s">
        <v>8751</v>
      </c>
      <c r="H50">
        <v>29240656</v>
      </c>
      <c r="I50" t="s">
        <v>16</v>
      </c>
      <c r="K50" t="s">
        <v>8750</v>
      </c>
      <c r="L50">
        <v>155</v>
      </c>
      <c r="M50" t="s">
        <v>8749</v>
      </c>
    </row>
    <row r="51" spans="1:13" x14ac:dyDescent="0.35">
      <c r="A51" t="s">
        <v>4233</v>
      </c>
      <c r="B51">
        <v>69163</v>
      </c>
      <c r="C51">
        <v>69951</v>
      </c>
      <c r="E51" t="s">
        <v>13</v>
      </c>
      <c r="F51" t="s">
        <v>6546</v>
      </c>
      <c r="H51">
        <v>29240657</v>
      </c>
      <c r="I51" t="s">
        <v>16</v>
      </c>
      <c r="K51" t="s">
        <v>8748</v>
      </c>
      <c r="L51">
        <v>262</v>
      </c>
      <c r="M51" t="s">
        <v>8747</v>
      </c>
    </row>
    <row r="52" spans="1:13" x14ac:dyDescent="0.35">
      <c r="A52" t="s">
        <v>4233</v>
      </c>
      <c r="B52">
        <v>69948</v>
      </c>
      <c r="C52">
        <v>71153</v>
      </c>
      <c r="E52" t="s">
        <v>13</v>
      </c>
      <c r="F52" t="s">
        <v>8746</v>
      </c>
      <c r="H52">
        <v>29240658</v>
      </c>
      <c r="I52" t="s">
        <v>16</v>
      </c>
      <c r="K52" t="s">
        <v>8745</v>
      </c>
      <c r="L52">
        <v>401</v>
      </c>
      <c r="M52" t="s">
        <v>8744</v>
      </c>
    </row>
    <row r="53" spans="1:13" x14ac:dyDescent="0.35">
      <c r="A53" t="s">
        <v>4233</v>
      </c>
      <c r="B53">
        <v>71232</v>
      </c>
      <c r="C53">
        <v>71876</v>
      </c>
      <c r="E53" t="s">
        <v>13</v>
      </c>
      <c r="F53" t="s">
        <v>8743</v>
      </c>
      <c r="H53">
        <v>29240659</v>
      </c>
      <c r="I53" t="s">
        <v>16</v>
      </c>
      <c r="K53" t="s">
        <v>8742</v>
      </c>
      <c r="L53">
        <v>214</v>
      </c>
      <c r="M53" t="s">
        <v>8741</v>
      </c>
    </row>
    <row r="54" spans="1:13" x14ac:dyDescent="0.35">
      <c r="A54" t="s">
        <v>4233</v>
      </c>
      <c r="B54">
        <v>71949</v>
      </c>
      <c r="C54">
        <v>74000</v>
      </c>
      <c r="E54" t="s">
        <v>36</v>
      </c>
      <c r="F54" t="s">
        <v>976</v>
      </c>
      <c r="G54" t="s">
        <v>977</v>
      </c>
      <c r="H54">
        <v>29240660</v>
      </c>
      <c r="I54" t="s">
        <v>16</v>
      </c>
      <c r="K54" t="s">
        <v>8740</v>
      </c>
      <c r="L54">
        <v>683</v>
      </c>
      <c r="M54" t="s">
        <v>8739</v>
      </c>
    </row>
    <row r="55" spans="1:13" x14ac:dyDescent="0.35">
      <c r="A55" t="s">
        <v>4233</v>
      </c>
      <c r="B55">
        <v>73997</v>
      </c>
      <c r="C55">
        <v>74947</v>
      </c>
      <c r="E55" t="s">
        <v>36</v>
      </c>
      <c r="F55" t="s">
        <v>7875</v>
      </c>
      <c r="H55">
        <v>29240661</v>
      </c>
      <c r="I55" t="s">
        <v>16</v>
      </c>
      <c r="K55" t="s">
        <v>8738</v>
      </c>
      <c r="L55">
        <v>316</v>
      </c>
      <c r="M55" t="s">
        <v>8737</v>
      </c>
    </row>
    <row r="56" spans="1:13" x14ac:dyDescent="0.35">
      <c r="A56" t="s">
        <v>4233</v>
      </c>
      <c r="B56">
        <v>74944</v>
      </c>
      <c r="C56">
        <v>76410</v>
      </c>
      <c r="E56" t="s">
        <v>36</v>
      </c>
      <c r="F56" t="s">
        <v>1086</v>
      </c>
      <c r="H56">
        <v>29240662</v>
      </c>
      <c r="I56" t="s">
        <v>16</v>
      </c>
      <c r="K56" t="s">
        <v>8736</v>
      </c>
      <c r="L56">
        <v>488</v>
      </c>
      <c r="M56" t="s">
        <v>8735</v>
      </c>
    </row>
    <row r="57" spans="1:13" x14ac:dyDescent="0.35">
      <c r="A57" t="s">
        <v>4233</v>
      </c>
      <c r="B57">
        <v>76407</v>
      </c>
      <c r="C57">
        <v>78014</v>
      </c>
      <c r="E57" t="s">
        <v>36</v>
      </c>
      <c r="F57" t="s">
        <v>641</v>
      </c>
      <c r="H57">
        <v>29240663</v>
      </c>
      <c r="I57" t="s">
        <v>16</v>
      </c>
      <c r="K57" t="s">
        <v>8734</v>
      </c>
      <c r="L57">
        <v>535</v>
      </c>
      <c r="M57" t="s">
        <v>8733</v>
      </c>
    </row>
    <row r="58" spans="1:13" x14ac:dyDescent="0.35">
      <c r="A58" t="s">
        <v>4233</v>
      </c>
      <c r="B58">
        <v>78011</v>
      </c>
      <c r="C58">
        <v>79630</v>
      </c>
      <c r="E58" t="s">
        <v>36</v>
      </c>
      <c r="F58" t="s">
        <v>8732</v>
      </c>
      <c r="H58">
        <v>29240664</v>
      </c>
      <c r="I58" t="s">
        <v>16</v>
      </c>
      <c r="K58" t="s">
        <v>8731</v>
      </c>
      <c r="L58">
        <v>539</v>
      </c>
      <c r="M58" t="s">
        <v>8730</v>
      </c>
    </row>
    <row r="59" spans="1:13" x14ac:dyDescent="0.35">
      <c r="A59" t="s">
        <v>4233</v>
      </c>
      <c r="B59">
        <v>79635</v>
      </c>
      <c r="C59">
        <v>80159</v>
      </c>
      <c r="E59" t="s">
        <v>36</v>
      </c>
      <c r="F59" t="s">
        <v>4828</v>
      </c>
      <c r="H59">
        <v>29240665</v>
      </c>
      <c r="I59" t="s">
        <v>16</v>
      </c>
      <c r="K59" t="s">
        <v>8729</v>
      </c>
      <c r="L59">
        <v>174</v>
      </c>
      <c r="M59" t="s">
        <v>8728</v>
      </c>
    </row>
    <row r="60" spans="1:13" x14ac:dyDescent="0.35">
      <c r="A60" t="s">
        <v>4233</v>
      </c>
      <c r="B60">
        <v>80190</v>
      </c>
      <c r="C60">
        <v>80891</v>
      </c>
      <c r="E60" t="s">
        <v>36</v>
      </c>
      <c r="F60" t="s">
        <v>8727</v>
      </c>
      <c r="H60">
        <v>29240666</v>
      </c>
      <c r="I60" t="s">
        <v>16</v>
      </c>
      <c r="K60" t="s">
        <v>8726</v>
      </c>
      <c r="L60">
        <v>233</v>
      </c>
      <c r="M60" t="s">
        <v>8725</v>
      </c>
    </row>
    <row r="61" spans="1:13" x14ac:dyDescent="0.35">
      <c r="A61" t="s">
        <v>4233</v>
      </c>
      <c r="B61">
        <v>81344</v>
      </c>
      <c r="C61">
        <v>82882</v>
      </c>
      <c r="E61" t="s">
        <v>36</v>
      </c>
      <c r="F61" t="s">
        <v>45</v>
      </c>
      <c r="H61">
        <v>97007080</v>
      </c>
      <c r="I61" t="s">
        <v>46</v>
      </c>
      <c r="M61" t="s">
        <v>8724</v>
      </c>
    </row>
    <row r="62" spans="1:13" x14ac:dyDescent="0.35">
      <c r="A62" t="s">
        <v>4233</v>
      </c>
      <c r="B62">
        <v>83045</v>
      </c>
      <c r="C62">
        <v>84214</v>
      </c>
      <c r="E62" t="s">
        <v>36</v>
      </c>
      <c r="F62" t="s">
        <v>45</v>
      </c>
      <c r="H62">
        <v>97007081</v>
      </c>
      <c r="I62" t="s">
        <v>46</v>
      </c>
      <c r="M62" t="s">
        <v>8723</v>
      </c>
    </row>
    <row r="63" spans="1:13" x14ac:dyDescent="0.35">
      <c r="A63" t="s">
        <v>4233</v>
      </c>
      <c r="B63">
        <v>84522</v>
      </c>
      <c r="C63">
        <v>85613</v>
      </c>
      <c r="E63" t="s">
        <v>13</v>
      </c>
      <c r="F63" t="s">
        <v>831</v>
      </c>
      <c r="H63">
        <v>29240668</v>
      </c>
      <c r="I63" t="s">
        <v>16</v>
      </c>
      <c r="K63" t="s">
        <v>8722</v>
      </c>
      <c r="L63">
        <v>363</v>
      </c>
      <c r="M63" t="s">
        <v>8721</v>
      </c>
    </row>
    <row r="64" spans="1:13" x14ac:dyDescent="0.35">
      <c r="A64" t="s">
        <v>4233</v>
      </c>
      <c r="B64">
        <v>85812</v>
      </c>
      <c r="C64">
        <v>86315</v>
      </c>
      <c r="E64" t="s">
        <v>13</v>
      </c>
      <c r="F64" t="s">
        <v>134</v>
      </c>
      <c r="H64">
        <v>29240669</v>
      </c>
      <c r="I64" t="s">
        <v>16</v>
      </c>
      <c r="K64" t="s">
        <v>8720</v>
      </c>
      <c r="L64">
        <v>167</v>
      </c>
      <c r="M64" t="s">
        <v>8719</v>
      </c>
    </row>
    <row r="65" spans="1:13" x14ac:dyDescent="0.35">
      <c r="A65" t="s">
        <v>4233</v>
      </c>
      <c r="B65">
        <v>86689</v>
      </c>
      <c r="C65">
        <v>87669</v>
      </c>
      <c r="E65" t="s">
        <v>13</v>
      </c>
      <c r="F65" t="s">
        <v>8718</v>
      </c>
      <c r="G65" t="s">
        <v>8717</v>
      </c>
      <c r="H65">
        <v>29240670</v>
      </c>
      <c r="I65" t="s">
        <v>16</v>
      </c>
      <c r="K65" t="s">
        <v>8716</v>
      </c>
      <c r="L65">
        <v>326</v>
      </c>
      <c r="M65" t="s">
        <v>8715</v>
      </c>
    </row>
    <row r="66" spans="1:13" x14ac:dyDescent="0.35">
      <c r="A66" t="s">
        <v>4233</v>
      </c>
      <c r="B66">
        <v>87813</v>
      </c>
      <c r="C66">
        <v>88172</v>
      </c>
      <c r="E66" t="s">
        <v>36</v>
      </c>
      <c r="F66" t="s">
        <v>40</v>
      </c>
      <c r="H66">
        <v>29240671</v>
      </c>
      <c r="I66" t="s">
        <v>16</v>
      </c>
      <c r="K66" t="s">
        <v>8714</v>
      </c>
      <c r="L66">
        <v>119</v>
      </c>
      <c r="M66" t="s">
        <v>8713</v>
      </c>
    </row>
    <row r="67" spans="1:13" x14ac:dyDescent="0.35">
      <c r="A67" t="s">
        <v>4233</v>
      </c>
      <c r="B67">
        <v>88315</v>
      </c>
      <c r="C67">
        <v>89697</v>
      </c>
      <c r="E67" t="s">
        <v>13</v>
      </c>
      <c r="F67" t="s">
        <v>8712</v>
      </c>
      <c r="H67">
        <v>29240672</v>
      </c>
      <c r="I67" t="s">
        <v>16</v>
      </c>
      <c r="K67" t="s">
        <v>8711</v>
      </c>
      <c r="L67">
        <v>460</v>
      </c>
      <c r="M67" t="s">
        <v>8710</v>
      </c>
    </row>
    <row r="68" spans="1:13" x14ac:dyDescent="0.35">
      <c r="A68" t="s">
        <v>4233</v>
      </c>
      <c r="B68">
        <v>89694</v>
      </c>
      <c r="C68">
        <v>92318</v>
      </c>
      <c r="E68" t="s">
        <v>13</v>
      </c>
      <c r="F68" t="s">
        <v>8709</v>
      </c>
      <c r="H68">
        <v>29240673</v>
      </c>
      <c r="I68" t="s">
        <v>16</v>
      </c>
      <c r="K68" t="s">
        <v>8708</v>
      </c>
      <c r="L68">
        <v>874</v>
      </c>
      <c r="M68" t="s">
        <v>8707</v>
      </c>
    </row>
    <row r="69" spans="1:13" x14ac:dyDescent="0.35">
      <c r="A69" t="s">
        <v>4233</v>
      </c>
      <c r="B69">
        <v>92917</v>
      </c>
      <c r="C69">
        <v>93933</v>
      </c>
      <c r="E69" t="s">
        <v>13</v>
      </c>
      <c r="F69" t="s">
        <v>1016</v>
      </c>
      <c r="G69" t="s">
        <v>1017</v>
      </c>
      <c r="H69">
        <v>29240674</v>
      </c>
      <c r="I69" t="s">
        <v>16</v>
      </c>
      <c r="K69" t="s">
        <v>8706</v>
      </c>
      <c r="L69">
        <v>338</v>
      </c>
      <c r="M69" t="s">
        <v>8705</v>
      </c>
    </row>
    <row r="70" spans="1:13" x14ac:dyDescent="0.35">
      <c r="A70" t="s">
        <v>4233</v>
      </c>
      <c r="B70">
        <v>94006</v>
      </c>
      <c r="C70">
        <v>94731</v>
      </c>
      <c r="E70" t="s">
        <v>13</v>
      </c>
      <c r="F70" t="s">
        <v>1212</v>
      </c>
      <c r="H70">
        <v>29240675</v>
      </c>
      <c r="I70" t="s">
        <v>16</v>
      </c>
      <c r="K70" t="s">
        <v>8704</v>
      </c>
      <c r="L70">
        <v>241</v>
      </c>
      <c r="M70" t="s">
        <v>8703</v>
      </c>
    </row>
    <row r="71" spans="1:13" x14ac:dyDescent="0.35">
      <c r="A71" t="s">
        <v>4233</v>
      </c>
      <c r="B71">
        <v>94772</v>
      </c>
      <c r="C71">
        <v>95833</v>
      </c>
      <c r="E71" t="s">
        <v>36</v>
      </c>
      <c r="F71" t="s">
        <v>849</v>
      </c>
      <c r="H71">
        <v>29240676</v>
      </c>
      <c r="I71" t="s">
        <v>16</v>
      </c>
      <c r="K71" t="s">
        <v>8702</v>
      </c>
      <c r="L71">
        <v>353</v>
      </c>
      <c r="M71" t="s">
        <v>8701</v>
      </c>
    </row>
    <row r="72" spans="1:13" x14ac:dyDescent="0.35">
      <c r="A72" t="s">
        <v>4233</v>
      </c>
      <c r="B72">
        <v>96012</v>
      </c>
      <c r="C72">
        <v>97070</v>
      </c>
      <c r="E72" t="s">
        <v>13</v>
      </c>
      <c r="F72" t="s">
        <v>945</v>
      </c>
      <c r="H72">
        <v>29240677</v>
      </c>
      <c r="I72" t="s">
        <v>16</v>
      </c>
      <c r="K72" t="s">
        <v>8700</v>
      </c>
      <c r="L72">
        <v>352</v>
      </c>
      <c r="M72" t="s">
        <v>8699</v>
      </c>
    </row>
    <row r="73" spans="1:13" x14ac:dyDescent="0.35">
      <c r="A73" t="s">
        <v>4233</v>
      </c>
      <c r="B73">
        <v>97077</v>
      </c>
      <c r="C73">
        <v>100283</v>
      </c>
      <c r="E73" t="s">
        <v>36</v>
      </c>
      <c r="F73" t="s">
        <v>56</v>
      </c>
      <c r="H73">
        <v>29240678</v>
      </c>
      <c r="I73" t="s">
        <v>16</v>
      </c>
      <c r="K73" t="s">
        <v>8698</v>
      </c>
      <c r="L73">
        <v>1068</v>
      </c>
      <c r="M73" t="s">
        <v>8697</v>
      </c>
    </row>
    <row r="74" spans="1:13" x14ac:dyDescent="0.35">
      <c r="A74" t="s">
        <v>4233</v>
      </c>
      <c r="B74">
        <v>100345</v>
      </c>
      <c r="C74">
        <v>100758</v>
      </c>
      <c r="E74" t="s">
        <v>36</v>
      </c>
      <c r="F74" t="s">
        <v>422</v>
      </c>
      <c r="H74">
        <v>29240679</v>
      </c>
      <c r="I74" t="s">
        <v>16</v>
      </c>
      <c r="K74" t="s">
        <v>8696</v>
      </c>
      <c r="L74">
        <v>137</v>
      </c>
      <c r="M74" t="s">
        <v>8695</v>
      </c>
    </row>
    <row r="75" spans="1:13" x14ac:dyDescent="0.35">
      <c r="A75" t="s">
        <v>4233</v>
      </c>
      <c r="B75">
        <v>100994</v>
      </c>
      <c r="C75">
        <v>101326</v>
      </c>
      <c r="E75" t="s">
        <v>13</v>
      </c>
      <c r="F75" t="s">
        <v>8694</v>
      </c>
      <c r="H75">
        <v>29240680</v>
      </c>
      <c r="I75" t="s">
        <v>16</v>
      </c>
      <c r="K75" t="s">
        <v>8693</v>
      </c>
      <c r="L75">
        <v>110</v>
      </c>
      <c r="M75" t="s">
        <v>8692</v>
      </c>
    </row>
    <row r="76" spans="1:13" x14ac:dyDescent="0.35">
      <c r="A76" t="s">
        <v>4233</v>
      </c>
      <c r="B76">
        <v>101387</v>
      </c>
      <c r="C76">
        <v>102244</v>
      </c>
      <c r="E76" t="s">
        <v>36</v>
      </c>
      <c r="F76" t="s">
        <v>810</v>
      </c>
      <c r="H76">
        <v>29240681</v>
      </c>
      <c r="I76" t="s">
        <v>16</v>
      </c>
      <c r="K76" t="s">
        <v>8691</v>
      </c>
      <c r="L76">
        <v>285</v>
      </c>
      <c r="M76" t="s">
        <v>8690</v>
      </c>
    </row>
    <row r="77" spans="1:13" x14ac:dyDescent="0.35">
      <c r="A77" t="s">
        <v>4233</v>
      </c>
      <c r="B77">
        <v>102445</v>
      </c>
      <c r="C77">
        <v>102530</v>
      </c>
      <c r="E77" t="s">
        <v>36</v>
      </c>
      <c r="F77" t="s">
        <v>416</v>
      </c>
      <c r="H77">
        <v>29240682</v>
      </c>
      <c r="I77" t="s">
        <v>39</v>
      </c>
      <c r="M77" t="s">
        <v>8689</v>
      </c>
    </row>
    <row r="78" spans="1:13" x14ac:dyDescent="0.35">
      <c r="A78" t="s">
        <v>4233</v>
      </c>
      <c r="B78">
        <v>102729</v>
      </c>
      <c r="C78">
        <v>104042</v>
      </c>
      <c r="E78" t="s">
        <v>36</v>
      </c>
      <c r="F78" t="s">
        <v>8688</v>
      </c>
      <c r="G78" t="s">
        <v>8687</v>
      </c>
      <c r="H78">
        <v>29240683</v>
      </c>
      <c r="I78" t="s">
        <v>16</v>
      </c>
      <c r="K78" t="s">
        <v>8686</v>
      </c>
      <c r="L78">
        <v>437</v>
      </c>
      <c r="M78" t="s">
        <v>8685</v>
      </c>
    </row>
    <row r="79" spans="1:13" x14ac:dyDescent="0.35">
      <c r="A79" t="s">
        <v>4233</v>
      </c>
      <c r="B79">
        <v>104445</v>
      </c>
      <c r="C79">
        <v>106418</v>
      </c>
      <c r="E79" t="s">
        <v>13</v>
      </c>
      <c r="F79" t="s">
        <v>8684</v>
      </c>
      <c r="H79">
        <v>29240684</v>
      </c>
      <c r="I79" t="s">
        <v>16</v>
      </c>
      <c r="K79" t="s">
        <v>8683</v>
      </c>
      <c r="L79">
        <v>657</v>
      </c>
      <c r="M79" t="s">
        <v>8682</v>
      </c>
    </row>
    <row r="80" spans="1:13" x14ac:dyDescent="0.35">
      <c r="A80" t="s">
        <v>4233</v>
      </c>
      <c r="B80">
        <v>106979</v>
      </c>
      <c r="C80">
        <v>108976</v>
      </c>
      <c r="E80" t="s">
        <v>13</v>
      </c>
      <c r="F80" t="s">
        <v>45</v>
      </c>
      <c r="H80">
        <v>29240685</v>
      </c>
      <c r="I80" t="s">
        <v>46</v>
      </c>
      <c r="M80" t="s">
        <v>8681</v>
      </c>
    </row>
    <row r="81" spans="1:13" x14ac:dyDescent="0.35">
      <c r="A81" t="s">
        <v>4233</v>
      </c>
      <c r="B81">
        <v>109097</v>
      </c>
      <c r="C81">
        <v>109444</v>
      </c>
      <c r="E81" t="s">
        <v>13</v>
      </c>
      <c r="F81" t="s">
        <v>45</v>
      </c>
      <c r="H81">
        <v>97007082</v>
      </c>
      <c r="I81" t="s">
        <v>46</v>
      </c>
      <c r="M81" t="s">
        <v>8680</v>
      </c>
    </row>
    <row r="82" spans="1:13" x14ac:dyDescent="0.35">
      <c r="A82" t="s">
        <v>4233</v>
      </c>
      <c r="B82">
        <v>109831</v>
      </c>
      <c r="C82">
        <v>111282</v>
      </c>
      <c r="E82" t="s">
        <v>13</v>
      </c>
      <c r="F82" t="s">
        <v>897</v>
      </c>
      <c r="H82">
        <v>29240686</v>
      </c>
      <c r="I82" t="s">
        <v>16</v>
      </c>
      <c r="K82" t="s">
        <v>8679</v>
      </c>
      <c r="L82">
        <v>483</v>
      </c>
      <c r="M82" t="s">
        <v>8678</v>
      </c>
    </row>
    <row r="83" spans="1:13" x14ac:dyDescent="0.35">
      <c r="A83" t="s">
        <v>4233</v>
      </c>
      <c r="B83">
        <v>111661</v>
      </c>
      <c r="C83">
        <v>112602</v>
      </c>
      <c r="E83" t="s">
        <v>13</v>
      </c>
      <c r="F83" t="s">
        <v>87</v>
      </c>
      <c r="G83" t="s">
        <v>88</v>
      </c>
      <c r="H83">
        <v>29240687</v>
      </c>
      <c r="I83" t="s">
        <v>16</v>
      </c>
      <c r="K83" t="s">
        <v>8677</v>
      </c>
      <c r="L83">
        <v>313</v>
      </c>
      <c r="M83" t="s">
        <v>8676</v>
      </c>
    </row>
    <row r="84" spans="1:13" x14ac:dyDescent="0.35">
      <c r="A84" t="s">
        <v>4233</v>
      </c>
      <c r="B84">
        <v>112685</v>
      </c>
      <c r="C84">
        <v>112758</v>
      </c>
      <c r="E84" t="s">
        <v>13</v>
      </c>
      <c r="F84" t="s">
        <v>136</v>
      </c>
      <c r="H84">
        <v>29240688</v>
      </c>
      <c r="I84" t="s">
        <v>39</v>
      </c>
      <c r="M84" t="s">
        <v>8675</v>
      </c>
    </row>
    <row r="85" spans="1:13" x14ac:dyDescent="0.35">
      <c r="A85" t="s">
        <v>4233</v>
      </c>
      <c r="B85">
        <v>112868</v>
      </c>
      <c r="C85">
        <v>113804</v>
      </c>
      <c r="E85" t="s">
        <v>13</v>
      </c>
      <c r="F85" t="s">
        <v>45</v>
      </c>
      <c r="H85">
        <v>29240689</v>
      </c>
      <c r="I85" t="s">
        <v>46</v>
      </c>
      <c r="M85" t="s">
        <v>8674</v>
      </c>
    </row>
    <row r="86" spans="1:13" x14ac:dyDescent="0.35">
      <c r="A86" t="s">
        <v>4233</v>
      </c>
      <c r="B86">
        <v>113867</v>
      </c>
      <c r="C86">
        <v>114934</v>
      </c>
      <c r="E86" t="s">
        <v>13</v>
      </c>
      <c r="F86" t="s">
        <v>8673</v>
      </c>
      <c r="G86" t="s">
        <v>8672</v>
      </c>
      <c r="H86">
        <v>29240690</v>
      </c>
      <c r="I86" t="s">
        <v>16</v>
      </c>
      <c r="K86" t="s">
        <v>8671</v>
      </c>
      <c r="L86">
        <v>355</v>
      </c>
      <c r="M86" t="s">
        <v>8670</v>
      </c>
    </row>
    <row r="87" spans="1:13" x14ac:dyDescent="0.35">
      <c r="A87" t="s">
        <v>4233</v>
      </c>
      <c r="B87">
        <v>115102</v>
      </c>
      <c r="C87">
        <v>116388</v>
      </c>
      <c r="E87" t="s">
        <v>13</v>
      </c>
      <c r="F87" t="s">
        <v>1244</v>
      </c>
      <c r="H87">
        <v>29240691</v>
      </c>
      <c r="I87" t="s">
        <v>16</v>
      </c>
      <c r="K87" t="s">
        <v>8669</v>
      </c>
      <c r="L87">
        <v>428</v>
      </c>
      <c r="M87" t="s">
        <v>8668</v>
      </c>
    </row>
    <row r="88" spans="1:13" x14ac:dyDescent="0.35">
      <c r="A88" t="s">
        <v>4233</v>
      </c>
      <c r="B88">
        <v>116412</v>
      </c>
      <c r="C88">
        <v>117995</v>
      </c>
      <c r="E88" t="s">
        <v>13</v>
      </c>
      <c r="F88" t="s">
        <v>1043</v>
      </c>
      <c r="H88">
        <v>29240692</v>
      </c>
      <c r="I88" t="s">
        <v>16</v>
      </c>
      <c r="K88" t="s">
        <v>8667</v>
      </c>
      <c r="L88">
        <v>527</v>
      </c>
      <c r="M88" t="s">
        <v>8666</v>
      </c>
    </row>
    <row r="89" spans="1:13" x14ac:dyDescent="0.35">
      <c r="A89" t="s">
        <v>4233</v>
      </c>
      <c r="B89">
        <v>118183</v>
      </c>
      <c r="C89">
        <v>119247</v>
      </c>
      <c r="E89" t="s">
        <v>13</v>
      </c>
      <c r="F89" t="s">
        <v>819</v>
      </c>
      <c r="H89">
        <v>29240693</v>
      </c>
      <c r="I89" t="s">
        <v>16</v>
      </c>
      <c r="K89" t="s">
        <v>8665</v>
      </c>
      <c r="L89">
        <v>354</v>
      </c>
      <c r="M89" t="s">
        <v>8664</v>
      </c>
    </row>
    <row r="90" spans="1:13" x14ac:dyDescent="0.35">
      <c r="A90" t="s">
        <v>4233</v>
      </c>
      <c r="B90">
        <v>119247</v>
      </c>
      <c r="C90">
        <v>119642</v>
      </c>
      <c r="E90" t="s">
        <v>13</v>
      </c>
      <c r="F90" t="s">
        <v>819</v>
      </c>
      <c r="H90">
        <v>55549226</v>
      </c>
      <c r="I90" t="s">
        <v>16</v>
      </c>
      <c r="K90" t="s">
        <v>8663</v>
      </c>
      <c r="L90">
        <v>131</v>
      </c>
      <c r="M90" t="s">
        <v>8662</v>
      </c>
    </row>
    <row r="91" spans="1:13" x14ac:dyDescent="0.35">
      <c r="A91" t="s">
        <v>4233</v>
      </c>
      <c r="B91">
        <v>119916</v>
      </c>
      <c r="C91">
        <v>121001</v>
      </c>
      <c r="E91" t="s">
        <v>13</v>
      </c>
      <c r="F91" t="s">
        <v>373</v>
      </c>
      <c r="H91">
        <v>29240695</v>
      </c>
      <c r="I91" t="s">
        <v>16</v>
      </c>
      <c r="K91" t="s">
        <v>8661</v>
      </c>
      <c r="L91">
        <v>361</v>
      </c>
      <c r="M91" t="s">
        <v>8660</v>
      </c>
    </row>
    <row r="92" spans="1:13" x14ac:dyDescent="0.35">
      <c r="A92" t="s">
        <v>4233</v>
      </c>
      <c r="B92">
        <v>121001</v>
      </c>
      <c r="C92">
        <v>121141</v>
      </c>
      <c r="E92" t="s">
        <v>13</v>
      </c>
      <c r="F92" t="s">
        <v>40</v>
      </c>
      <c r="H92">
        <v>42569782</v>
      </c>
      <c r="I92" t="s">
        <v>16</v>
      </c>
      <c r="K92" t="s">
        <v>8659</v>
      </c>
      <c r="L92">
        <v>46</v>
      </c>
      <c r="M92" t="s">
        <v>8658</v>
      </c>
    </row>
    <row r="93" spans="1:13" x14ac:dyDescent="0.35">
      <c r="A93" t="s">
        <v>4233</v>
      </c>
      <c r="B93">
        <v>121428</v>
      </c>
      <c r="C93">
        <v>122954</v>
      </c>
      <c r="E93" t="s">
        <v>13</v>
      </c>
      <c r="F93" t="s">
        <v>454</v>
      </c>
      <c r="G93" t="s">
        <v>455</v>
      </c>
      <c r="H93">
        <v>29240696</v>
      </c>
      <c r="I93" t="s">
        <v>16</v>
      </c>
      <c r="K93" t="s">
        <v>8657</v>
      </c>
      <c r="L93">
        <v>508</v>
      </c>
      <c r="M93" t="s">
        <v>8656</v>
      </c>
    </row>
    <row r="94" spans="1:13" x14ac:dyDescent="0.35">
      <c r="A94" t="s">
        <v>4233</v>
      </c>
      <c r="B94">
        <v>123159</v>
      </c>
      <c r="C94">
        <v>124793</v>
      </c>
      <c r="E94" t="s">
        <v>13</v>
      </c>
      <c r="F94" t="s">
        <v>121</v>
      </c>
      <c r="H94">
        <v>29240697</v>
      </c>
      <c r="I94" t="s">
        <v>16</v>
      </c>
      <c r="K94" t="s">
        <v>8655</v>
      </c>
      <c r="L94">
        <v>544</v>
      </c>
      <c r="M94" t="s">
        <v>8654</v>
      </c>
    </row>
    <row r="95" spans="1:13" x14ac:dyDescent="0.35">
      <c r="A95" t="s">
        <v>4233</v>
      </c>
      <c r="B95">
        <v>124863</v>
      </c>
      <c r="C95">
        <v>125915</v>
      </c>
      <c r="E95" t="s">
        <v>13</v>
      </c>
      <c r="F95" t="s">
        <v>373</v>
      </c>
      <c r="H95">
        <v>29240698</v>
      </c>
      <c r="I95" t="s">
        <v>16</v>
      </c>
      <c r="K95" t="s">
        <v>8653</v>
      </c>
      <c r="L95">
        <v>350</v>
      </c>
      <c r="M95" t="s">
        <v>8652</v>
      </c>
    </row>
    <row r="96" spans="1:13" x14ac:dyDescent="0.35">
      <c r="A96" t="s">
        <v>4233</v>
      </c>
      <c r="B96">
        <v>126953</v>
      </c>
      <c r="C96">
        <v>128320</v>
      </c>
      <c r="E96" t="s">
        <v>13</v>
      </c>
      <c r="F96" t="s">
        <v>121</v>
      </c>
      <c r="H96">
        <v>29240699</v>
      </c>
      <c r="I96" t="s">
        <v>16</v>
      </c>
      <c r="K96" t="s">
        <v>8651</v>
      </c>
      <c r="L96">
        <v>455</v>
      </c>
      <c r="M96" t="s">
        <v>8650</v>
      </c>
    </row>
    <row r="97" spans="1:13" x14ac:dyDescent="0.35">
      <c r="A97" t="s">
        <v>4233</v>
      </c>
      <c r="B97">
        <v>128716</v>
      </c>
      <c r="C97">
        <v>129768</v>
      </c>
      <c r="E97" t="s">
        <v>13</v>
      </c>
      <c r="F97" t="s">
        <v>8647</v>
      </c>
      <c r="G97" t="s">
        <v>8646</v>
      </c>
      <c r="H97">
        <v>29240700</v>
      </c>
      <c r="I97" t="s">
        <v>16</v>
      </c>
      <c r="K97" t="s">
        <v>8649</v>
      </c>
      <c r="L97">
        <v>350</v>
      </c>
      <c r="M97" t="s">
        <v>8648</v>
      </c>
    </row>
    <row r="98" spans="1:13" x14ac:dyDescent="0.35">
      <c r="A98" t="s">
        <v>4233</v>
      </c>
      <c r="B98">
        <v>130196</v>
      </c>
      <c r="C98">
        <v>131248</v>
      </c>
      <c r="E98" t="s">
        <v>13</v>
      </c>
      <c r="F98" t="s">
        <v>8647</v>
      </c>
      <c r="G98" t="s">
        <v>8646</v>
      </c>
      <c r="H98">
        <v>29240701</v>
      </c>
      <c r="I98" t="s">
        <v>16</v>
      </c>
      <c r="K98" t="s">
        <v>8645</v>
      </c>
      <c r="L98">
        <v>350</v>
      </c>
      <c r="M98" t="s">
        <v>8644</v>
      </c>
    </row>
    <row r="99" spans="1:13" x14ac:dyDescent="0.35">
      <c r="A99" t="s">
        <v>4233</v>
      </c>
      <c r="B99">
        <v>131434</v>
      </c>
      <c r="C99">
        <v>133248</v>
      </c>
      <c r="E99" t="s">
        <v>36</v>
      </c>
      <c r="F99" t="s">
        <v>8630</v>
      </c>
      <c r="H99">
        <v>29240702</v>
      </c>
      <c r="I99" t="s">
        <v>16</v>
      </c>
      <c r="K99" t="s">
        <v>8643</v>
      </c>
      <c r="L99">
        <v>604</v>
      </c>
      <c r="M99" t="s">
        <v>8642</v>
      </c>
    </row>
    <row r="100" spans="1:13" x14ac:dyDescent="0.35">
      <c r="A100" t="s">
        <v>4233</v>
      </c>
      <c r="B100">
        <v>133520</v>
      </c>
      <c r="C100">
        <v>134551</v>
      </c>
      <c r="E100" t="s">
        <v>36</v>
      </c>
      <c r="F100" t="s">
        <v>373</v>
      </c>
      <c r="H100">
        <v>29240703</v>
      </c>
      <c r="I100" t="s">
        <v>16</v>
      </c>
      <c r="K100" t="s">
        <v>8641</v>
      </c>
      <c r="L100">
        <v>343</v>
      </c>
      <c r="M100" t="s">
        <v>8640</v>
      </c>
    </row>
    <row r="101" spans="1:13" x14ac:dyDescent="0.35">
      <c r="A101" t="s">
        <v>4233</v>
      </c>
      <c r="B101">
        <v>135354</v>
      </c>
      <c r="C101">
        <v>139862</v>
      </c>
      <c r="E101" t="s">
        <v>13</v>
      </c>
      <c r="F101" t="s">
        <v>8639</v>
      </c>
      <c r="H101">
        <v>29240704</v>
      </c>
      <c r="I101" t="s">
        <v>16</v>
      </c>
      <c r="K101" t="s">
        <v>8638</v>
      </c>
      <c r="L101">
        <v>1502</v>
      </c>
      <c r="M101" t="s">
        <v>8637</v>
      </c>
    </row>
    <row r="102" spans="1:13" x14ac:dyDescent="0.35">
      <c r="A102" t="s">
        <v>4233</v>
      </c>
      <c r="B102">
        <v>139967</v>
      </c>
      <c r="C102">
        <v>141802</v>
      </c>
      <c r="E102" t="s">
        <v>13</v>
      </c>
      <c r="F102" t="s">
        <v>8161</v>
      </c>
      <c r="H102">
        <v>29240705</v>
      </c>
      <c r="I102" t="s">
        <v>16</v>
      </c>
      <c r="K102" t="s">
        <v>8636</v>
      </c>
      <c r="L102">
        <v>611</v>
      </c>
      <c r="M102" t="s">
        <v>8635</v>
      </c>
    </row>
    <row r="103" spans="1:13" x14ac:dyDescent="0.35">
      <c r="A103" t="s">
        <v>4233</v>
      </c>
      <c r="B103">
        <v>142059</v>
      </c>
      <c r="C103">
        <v>143018</v>
      </c>
      <c r="E103" t="s">
        <v>13</v>
      </c>
      <c r="F103" t="s">
        <v>8565</v>
      </c>
      <c r="H103">
        <v>29240706</v>
      </c>
      <c r="I103" t="s">
        <v>16</v>
      </c>
      <c r="K103" t="s">
        <v>8634</v>
      </c>
      <c r="L103">
        <v>319</v>
      </c>
      <c r="M103" t="s">
        <v>8633</v>
      </c>
    </row>
    <row r="104" spans="1:13" x14ac:dyDescent="0.35">
      <c r="A104" t="s">
        <v>4233</v>
      </c>
      <c r="B104">
        <v>143322</v>
      </c>
      <c r="C104">
        <v>145538</v>
      </c>
      <c r="E104" t="s">
        <v>36</v>
      </c>
      <c r="F104" t="s">
        <v>4902</v>
      </c>
      <c r="G104" t="s">
        <v>4901</v>
      </c>
      <c r="H104">
        <v>29240707</v>
      </c>
      <c r="I104" t="s">
        <v>16</v>
      </c>
      <c r="K104" t="s">
        <v>8632</v>
      </c>
      <c r="L104">
        <v>738</v>
      </c>
      <c r="M104" t="s">
        <v>8631</v>
      </c>
    </row>
    <row r="105" spans="1:13" x14ac:dyDescent="0.35">
      <c r="A105" t="s">
        <v>4233</v>
      </c>
      <c r="B105">
        <v>145792</v>
      </c>
      <c r="C105">
        <v>147678</v>
      </c>
      <c r="E105" t="s">
        <v>36</v>
      </c>
      <c r="F105" t="s">
        <v>8630</v>
      </c>
      <c r="H105">
        <v>29240708</v>
      </c>
      <c r="I105" t="s">
        <v>16</v>
      </c>
      <c r="K105" t="s">
        <v>8629</v>
      </c>
      <c r="L105">
        <v>628</v>
      </c>
      <c r="M105" t="s">
        <v>8628</v>
      </c>
    </row>
    <row r="106" spans="1:13" x14ac:dyDescent="0.35">
      <c r="A106" t="s">
        <v>4233</v>
      </c>
      <c r="B106">
        <v>147935</v>
      </c>
      <c r="C106">
        <v>149176</v>
      </c>
      <c r="E106" t="s">
        <v>13</v>
      </c>
      <c r="F106" t="s">
        <v>490</v>
      </c>
      <c r="H106">
        <v>29240709</v>
      </c>
      <c r="I106" t="s">
        <v>16</v>
      </c>
      <c r="K106" t="s">
        <v>8627</v>
      </c>
      <c r="L106">
        <v>413</v>
      </c>
      <c r="M106" t="s">
        <v>8626</v>
      </c>
    </row>
    <row r="107" spans="1:13" x14ac:dyDescent="0.35">
      <c r="A107" t="s">
        <v>4233</v>
      </c>
      <c r="B107">
        <v>149547</v>
      </c>
      <c r="C107">
        <v>150920</v>
      </c>
      <c r="E107" t="s">
        <v>13</v>
      </c>
      <c r="F107" t="s">
        <v>453</v>
      </c>
      <c r="H107">
        <v>29240710</v>
      </c>
      <c r="I107" t="s">
        <v>16</v>
      </c>
      <c r="K107" t="s">
        <v>8625</v>
      </c>
      <c r="L107">
        <v>457</v>
      </c>
      <c r="M107" t="s">
        <v>8624</v>
      </c>
    </row>
    <row r="108" spans="1:13" x14ac:dyDescent="0.35">
      <c r="A108" t="s">
        <v>4233</v>
      </c>
      <c r="B108">
        <v>150956</v>
      </c>
      <c r="C108">
        <v>151837</v>
      </c>
      <c r="E108" t="s">
        <v>13</v>
      </c>
      <c r="F108" t="s">
        <v>452</v>
      </c>
      <c r="H108">
        <v>29240711</v>
      </c>
      <c r="I108" t="s">
        <v>16</v>
      </c>
      <c r="K108" t="s">
        <v>8623</v>
      </c>
      <c r="L108">
        <v>293</v>
      </c>
      <c r="M108" t="s">
        <v>8622</v>
      </c>
    </row>
    <row r="109" spans="1:13" x14ac:dyDescent="0.35">
      <c r="A109" t="s">
        <v>4233</v>
      </c>
      <c r="B109">
        <v>152022</v>
      </c>
      <c r="C109">
        <v>152825</v>
      </c>
      <c r="E109" t="s">
        <v>13</v>
      </c>
      <c r="F109" t="s">
        <v>8621</v>
      </c>
      <c r="H109">
        <v>29240712</v>
      </c>
      <c r="I109" t="s">
        <v>16</v>
      </c>
      <c r="K109" t="s">
        <v>8620</v>
      </c>
      <c r="L109">
        <v>267</v>
      </c>
      <c r="M109" t="s">
        <v>8619</v>
      </c>
    </row>
    <row r="110" spans="1:13" x14ac:dyDescent="0.35">
      <c r="A110" t="s">
        <v>4233</v>
      </c>
      <c r="B110">
        <v>152826</v>
      </c>
      <c r="C110">
        <v>153851</v>
      </c>
      <c r="E110" t="s">
        <v>36</v>
      </c>
      <c r="F110" t="s">
        <v>373</v>
      </c>
      <c r="H110">
        <v>29240713</v>
      </c>
      <c r="I110" t="s">
        <v>16</v>
      </c>
      <c r="K110" t="s">
        <v>8618</v>
      </c>
      <c r="L110">
        <v>341</v>
      </c>
      <c r="M110" t="s">
        <v>8617</v>
      </c>
    </row>
    <row r="111" spans="1:13" x14ac:dyDescent="0.35">
      <c r="A111" t="s">
        <v>4233</v>
      </c>
      <c r="B111">
        <v>154168</v>
      </c>
      <c r="C111">
        <v>159294</v>
      </c>
      <c r="E111" t="s">
        <v>13</v>
      </c>
      <c r="F111" t="s">
        <v>1197</v>
      </c>
      <c r="G111" t="s">
        <v>1198</v>
      </c>
      <c r="H111">
        <v>29240714</v>
      </c>
      <c r="I111" t="s">
        <v>16</v>
      </c>
      <c r="K111" t="s">
        <v>8616</v>
      </c>
      <c r="L111">
        <v>1708</v>
      </c>
      <c r="M111" t="s">
        <v>8615</v>
      </c>
    </row>
    <row r="112" spans="1:13" x14ac:dyDescent="0.35">
      <c r="A112" t="s">
        <v>4233</v>
      </c>
      <c r="B112">
        <v>159542</v>
      </c>
      <c r="C112">
        <v>161422</v>
      </c>
      <c r="E112" t="s">
        <v>13</v>
      </c>
      <c r="F112" t="s">
        <v>912</v>
      </c>
      <c r="G112" t="s">
        <v>913</v>
      </c>
      <c r="H112">
        <v>29240715</v>
      </c>
      <c r="I112" t="s">
        <v>16</v>
      </c>
      <c r="K112" t="s">
        <v>8614</v>
      </c>
      <c r="L112">
        <v>626</v>
      </c>
      <c r="M112" t="s">
        <v>8613</v>
      </c>
    </row>
    <row r="113" spans="1:13" x14ac:dyDescent="0.35">
      <c r="A113" t="s">
        <v>4233</v>
      </c>
      <c r="B113">
        <v>161422</v>
      </c>
      <c r="C113">
        <v>162105</v>
      </c>
      <c r="E113" t="s">
        <v>13</v>
      </c>
      <c r="F113" t="s">
        <v>914</v>
      </c>
      <c r="G113" t="s">
        <v>915</v>
      </c>
      <c r="H113">
        <v>29240716</v>
      </c>
      <c r="I113" t="s">
        <v>16</v>
      </c>
      <c r="K113" t="s">
        <v>8612</v>
      </c>
      <c r="L113">
        <v>227</v>
      </c>
      <c r="M113" t="s">
        <v>8611</v>
      </c>
    </row>
    <row r="114" spans="1:13" x14ac:dyDescent="0.35">
      <c r="A114" t="s">
        <v>4233</v>
      </c>
      <c r="B114">
        <v>162284</v>
      </c>
      <c r="C114">
        <v>163297</v>
      </c>
      <c r="E114" t="s">
        <v>13</v>
      </c>
      <c r="F114" t="s">
        <v>8610</v>
      </c>
      <c r="H114">
        <v>29240717</v>
      </c>
      <c r="I114" t="s">
        <v>16</v>
      </c>
      <c r="K114" t="s">
        <v>8609</v>
      </c>
      <c r="L114">
        <v>337</v>
      </c>
      <c r="M114" t="s">
        <v>8608</v>
      </c>
    </row>
    <row r="115" spans="1:13" x14ac:dyDescent="0.35">
      <c r="A115" t="s">
        <v>4233</v>
      </c>
      <c r="B115">
        <v>163488</v>
      </c>
      <c r="C115">
        <v>164075</v>
      </c>
      <c r="E115" t="s">
        <v>13</v>
      </c>
      <c r="F115" t="s">
        <v>8607</v>
      </c>
      <c r="H115">
        <v>29240718</v>
      </c>
      <c r="I115" t="s">
        <v>16</v>
      </c>
      <c r="K115" t="s">
        <v>8606</v>
      </c>
      <c r="L115">
        <v>195</v>
      </c>
      <c r="M115" t="s">
        <v>8605</v>
      </c>
    </row>
    <row r="116" spans="1:13" x14ac:dyDescent="0.35">
      <c r="A116" t="s">
        <v>4233</v>
      </c>
      <c r="B116">
        <v>164348</v>
      </c>
      <c r="C116">
        <v>164494</v>
      </c>
      <c r="E116" t="s">
        <v>13</v>
      </c>
      <c r="F116" t="s">
        <v>45</v>
      </c>
      <c r="H116">
        <v>29240719</v>
      </c>
      <c r="I116" t="s">
        <v>46</v>
      </c>
      <c r="M116" t="s">
        <v>8604</v>
      </c>
    </row>
    <row r="117" spans="1:13" x14ac:dyDescent="0.35">
      <c r="A117" t="s">
        <v>4233</v>
      </c>
      <c r="B117">
        <v>164485</v>
      </c>
      <c r="C117">
        <v>165261</v>
      </c>
      <c r="E117" t="s">
        <v>13</v>
      </c>
      <c r="F117" t="s">
        <v>45</v>
      </c>
      <c r="H117">
        <v>29240720</v>
      </c>
      <c r="I117" t="s">
        <v>46</v>
      </c>
      <c r="M117" t="s">
        <v>8603</v>
      </c>
    </row>
    <row r="118" spans="1:13" x14ac:dyDescent="0.35">
      <c r="A118" t="s">
        <v>4233</v>
      </c>
      <c r="B118">
        <v>165348</v>
      </c>
      <c r="C118">
        <v>166118</v>
      </c>
      <c r="E118" t="s">
        <v>13</v>
      </c>
      <c r="F118" t="s">
        <v>787</v>
      </c>
      <c r="H118">
        <v>29240721</v>
      </c>
      <c r="I118" t="s">
        <v>16</v>
      </c>
      <c r="K118" t="s">
        <v>8602</v>
      </c>
      <c r="L118">
        <v>256</v>
      </c>
      <c r="M118" t="s">
        <v>8601</v>
      </c>
    </row>
    <row r="119" spans="1:13" x14ac:dyDescent="0.35">
      <c r="A119" t="s">
        <v>4233</v>
      </c>
      <c r="B119">
        <v>166231</v>
      </c>
      <c r="C119">
        <v>166902</v>
      </c>
      <c r="E119" t="s">
        <v>13</v>
      </c>
      <c r="F119" t="s">
        <v>655</v>
      </c>
      <c r="H119">
        <v>29240722</v>
      </c>
      <c r="I119" t="s">
        <v>16</v>
      </c>
      <c r="K119" t="s">
        <v>8600</v>
      </c>
      <c r="L119">
        <v>223</v>
      </c>
      <c r="M119" t="s">
        <v>8599</v>
      </c>
    </row>
    <row r="120" spans="1:13" x14ac:dyDescent="0.35">
      <c r="A120" t="s">
        <v>4233</v>
      </c>
      <c r="B120">
        <v>167054</v>
      </c>
      <c r="C120">
        <v>167779</v>
      </c>
      <c r="E120" t="s">
        <v>13</v>
      </c>
      <c r="F120" t="s">
        <v>782</v>
      </c>
      <c r="H120">
        <v>29240723</v>
      </c>
      <c r="I120" t="s">
        <v>16</v>
      </c>
      <c r="K120" t="s">
        <v>8598</v>
      </c>
      <c r="L120">
        <v>241</v>
      </c>
      <c r="M120" t="s">
        <v>8597</v>
      </c>
    </row>
    <row r="121" spans="1:13" x14ac:dyDescent="0.35">
      <c r="A121" t="s">
        <v>4233</v>
      </c>
      <c r="B121">
        <v>168098</v>
      </c>
      <c r="C121">
        <v>168904</v>
      </c>
      <c r="E121" t="s">
        <v>13</v>
      </c>
      <c r="F121" t="s">
        <v>8596</v>
      </c>
      <c r="H121">
        <v>29240724</v>
      </c>
      <c r="I121" t="s">
        <v>16</v>
      </c>
      <c r="K121" t="s">
        <v>8595</v>
      </c>
      <c r="L121">
        <v>268</v>
      </c>
      <c r="M121" t="s">
        <v>8594</v>
      </c>
    </row>
    <row r="122" spans="1:13" x14ac:dyDescent="0.35">
      <c r="A122" t="s">
        <v>4233</v>
      </c>
      <c r="B122">
        <v>168921</v>
      </c>
      <c r="C122">
        <v>169940</v>
      </c>
      <c r="E122" t="s">
        <v>13</v>
      </c>
      <c r="F122" t="s">
        <v>8593</v>
      </c>
      <c r="H122">
        <v>29240725</v>
      </c>
      <c r="I122" t="s">
        <v>16</v>
      </c>
      <c r="K122" t="s">
        <v>8592</v>
      </c>
      <c r="L122">
        <v>339</v>
      </c>
      <c r="M122" t="s">
        <v>8591</v>
      </c>
    </row>
    <row r="123" spans="1:13" x14ac:dyDescent="0.35">
      <c r="A123" t="s">
        <v>4233</v>
      </c>
      <c r="B123">
        <v>170196</v>
      </c>
      <c r="C123">
        <v>170663</v>
      </c>
      <c r="E123" t="s">
        <v>13</v>
      </c>
      <c r="F123" t="s">
        <v>40</v>
      </c>
      <c r="H123">
        <v>29240726</v>
      </c>
      <c r="I123" t="s">
        <v>16</v>
      </c>
      <c r="K123" t="s">
        <v>8590</v>
      </c>
      <c r="L123">
        <v>155</v>
      </c>
      <c r="M123" t="s">
        <v>8589</v>
      </c>
    </row>
    <row r="124" spans="1:13" x14ac:dyDescent="0.35">
      <c r="A124" t="s">
        <v>4233</v>
      </c>
      <c r="B124">
        <v>170686</v>
      </c>
      <c r="C124">
        <v>171342</v>
      </c>
      <c r="E124" t="s">
        <v>13</v>
      </c>
      <c r="F124" t="s">
        <v>40</v>
      </c>
      <c r="H124">
        <v>93018719</v>
      </c>
      <c r="I124" t="s">
        <v>16</v>
      </c>
      <c r="K124" t="s">
        <v>8588</v>
      </c>
      <c r="L124">
        <v>218</v>
      </c>
      <c r="M124" t="s">
        <v>8587</v>
      </c>
    </row>
    <row r="125" spans="1:13" x14ac:dyDescent="0.35">
      <c r="A125" t="s">
        <v>4233</v>
      </c>
      <c r="B125">
        <v>171634</v>
      </c>
      <c r="C125">
        <v>171921</v>
      </c>
      <c r="E125" t="s">
        <v>13</v>
      </c>
      <c r="F125" t="s">
        <v>8586</v>
      </c>
      <c r="H125">
        <v>29240728</v>
      </c>
      <c r="I125" t="s">
        <v>16</v>
      </c>
      <c r="K125" t="s">
        <v>8585</v>
      </c>
      <c r="L125">
        <v>95</v>
      </c>
      <c r="M125" t="s">
        <v>8584</v>
      </c>
    </row>
    <row r="126" spans="1:13" x14ac:dyDescent="0.35">
      <c r="A126" t="s">
        <v>4233</v>
      </c>
      <c r="B126">
        <v>171938</v>
      </c>
      <c r="C126">
        <v>172318</v>
      </c>
      <c r="E126" t="s">
        <v>13</v>
      </c>
      <c r="F126" t="s">
        <v>8583</v>
      </c>
      <c r="H126">
        <v>29240729</v>
      </c>
      <c r="I126" t="s">
        <v>16</v>
      </c>
      <c r="K126" t="s">
        <v>8582</v>
      </c>
      <c r="L126">
        <v>126</v>
      </c>
      <c r="M126" t="s">
        <v>8581</v>
      </c>
    </row>
    <row r="127" spans="1:13" x14ac:dyDescent="0.35">
      <c r="A127" t="s">
        <v>4233</v>
      </c>
      <c r="B127">
        <v>172363</v>
      </c>
      <c r="C127">
        <v>172740</v>
      </c>
      <c r="E127" t="s">
        <v>13</v>
      </c>
      <c r="F127" t="s">
        <v>8580</v>
      </c>
      <c r="H127">
        <v>29240730</v>
      </c>
      <c r="I127" t="s">
        <v>16</v>
      </c>
      <c r="K127" t="s">
        <v>8579</v>
      </c>
      <c r="L127">
        <v>125</v>
      </c>
      <c r="M127" t="s">
        <v>8578</v>
      </c>
    </row>
    <row r="128" spans="1:13" x14ac:dyDescent="0.35">
      <c r="A128" t="s">
        <v>4233</v>
      </c>
      <c r="B128">
        <v>172805</v>
      </c>
      <c r="C128">
        <v>173935</v>
      </c>
      <c r="E128" t="s">
        <v>13</v>
      </c>
      <c r="F128" t="s">
        <v>5050</v>
      </c>
      <c r="H128">
        <v>29240731</v>
      </c>
      <c r="I128" t="s">
        <v>16</v>
      </c>
      <c r="K128" t="s">
        <v>8577</v>
      </c>
      <c r="L128">
        <v>376</v>
      </c>
      <c r="M128" t="s">
        <v>8576</v>
      </c>
    </row>
    <row r="129" spans="1:13" x14ac:dyDescent="0.35">
      <c r="A129" t="s">
        <v>4233</v>
      </c>
      <c r="B129">
        <v>174014</v>
      </c>
      <c r="C129">
        <v>174613</v>
      </c>
      <c r="E129" t="s">
        <v>36</v>
      </c>
      <c r="F129" t="s">
        <v>100</v>
      </c>
      <c r="H129">
        <v>29240732</v>
      </c>
      <c r="I129" t="s">
        <v>16</v>
      </c>
      <c r="K129" t="s">
        <v>8575</v>
      </c>
      <c r="L129">
        <v>199</v>
      </c>
      <c r="M129" t="s">
        <v>8574</v>
      </c>
    </row>
    <row r="130" spans="1:13" x14ac:dyDescent="0.35">
      <c r="A130" t="s">
        <v>4233</v>
      </c>
      <c r="B130">
        <v>174835</v>
      </c>
      <c r="C130">
        <v>177489</v>
      </c>
      <c r="E130" t="s">
        <v>13</v>
      </c>
      <c r="F130" t="s">
        <v>344</v>
      </c>
      <c r="G130" t="s">
        <v>345</v>
      </c>
      <c r="H130">
        <v>29240733</v>
      </c>
      <c r="I130" t="s">
        <v>16</v>
      </c>
      <c r="K130" t="s">
        <v>8573</v>
      </c>
      <c r="L130">
        <v>884</v>
      </c>
      <c r="M130" t="s">
        <v>8572</v>
      </c>
    </row>
    <row r="131" spans="1:13" x14ac:dyDescent="0.35">
      <c r="A131" t="s">
        <v>4233</v>
      </c>
      <c r="B131">
        <v>177534</v>
      </c>
      <c r="C131">
        <v>178136</v>
      </c>
      <c r="E131" t="s">
        <v>13</v>
      </c>
      <c r="F131" t="s">
        <v>346</v>
      </c>
      <c r="G131" t="s">
        <v>347</v>
      </c>
      <c r="H131">
        <v>29240734</v>
      </c>
      <c r="I131" t="s">
        <v>16</v>
      </c>
      <c r="K131" t="s">
        <v>8571</v>
      </c>
      <c r="L131">
        <v>200</v>
      </c>
      <c r="M131" t="s">
        <v>8570</v>
      </c>
    </row>
    <row r="132" spans="1:13" x14ac:dyDescent="0.35">
      <c r="A132" t="s">
        <v>4233</v>
      </c>
      <c r="B132">
        <v>178294</v>
      </c>
      <c r="C132">
        <v>178581</v>
      </c>
      <c r="E132" t="s">
        <v>13</v>
      </c>
      <c r="F132" t="s">
        <v>96</v>
      </c>
      <c r="H132">
        <v>29240735</v>
      </c>
      <c r="I132" t="s">
        <v>16</v>
      </c>
      <c r="K132" t="s">
        <v>8569</v>
      </c>
      <c r="L132">
        <v>95</v>
      </c>
      <c r="M132" t="s">
        <v>8568</v>
      </c>
    </row>
    <row r="133" spans="1:13" x14ac:dyDescent="0.35">
      <c r="A133" t="s">
        <v>4233</v>
      </c>
      <c r="B133">
        <v>178578</v>
      </c>
      <c r="C133">
        <v>178823</v>
      </c>
      <c r="E133" t="s">
        <v>13</v>
      </c>
      <c r="F133" t="s">
        <v>40</v>
      </c>
      <c r="H133">
        <v>29240736</v>
      </c>
      <c r="I133" t="s">
        <v>16</v>
      </c>
      <c r="K133" t="s">
        <v>8567</v>
      </c>
      <c r="L133">
        <v>81</v>
      </c>
      <c r="M133" t="s">
        <v>8566</v>
      </c>
    </row>
    <row r="134" spans="1:13" x14ac:dyDescent="0.35">
      <c r="A134" t="s">
        <v>4233</v>
      </c>
      <c r="B134">
        <v>178824</v>
      </c>
      <c r="C134">
        <v>180047</v>
      </c>
      <c r="E134" t="s">
        <v>36</v>
      </c>
      <c r="F134" t="s">
        <v>8565</v>
      </c>
      <c r="H134">
        <v>29240737</v>
      </c>
      <c r="I134" t="s">
        <v>16</v>
      </c>
      <c r="K134" t="s">
        <v>8564</v>
      </c>
      <c r="L134">
        <v>407</v>
      </c>
      <c r="M134" t="s">
        <v>8563</v>
      </c>
    </row>
    <row r="135" spans="1:13" x14ac:dyDescent="0.35">
      <c r="A135" t="s">
        <v>4233</v>
      </c>
      <c r="B135">
        <v>180066</v>
      </c>
      <c r="C135">
        <v>180455</v>
      </c>
      <c r="E135" t="s">
        <v>36</v>
      </c>
      <c r="F135" t="s">
        <v>40</v>
      </c>
      <c r="H135">
        <v>29240738</v>
      </c>
      <c r="I135" t="s">
        <v>16</v>
      </c>
      <c r="K135" t="s">
        <v>8562</v>
      </c>
      <c r="L135">
        <v>129</v>
      </c>
      <c r="M135" t="s">
        <v>8561</v>
      </c>
    </row>
    <row r="136" spans="1:13" x14ac:dyDescent="0.35">
      <c r="A136" t="s">
        <v>4233</v>
      </c>
      <c r="B136">
        <v>180748</v>
      </c>
      <c r="C136">
        <v>181617</v>
      </c>
      <c r="E136" t="s">
        <v>36</v>
      </c>
      <c r="F136" t="s">
        <v>96</v>
      </c>
      <c r="H136">
        <v>29240739</v>
      </c>
      <c r="I136" t="s">
        <v>16</v>
      </c>
      <c r="K136" t="s">
        <v>8560</v>
      </c>
      <c r="L136">
        <v>289</v>
      </c>
      <c r="M136" t="s">
        <v>8559</v>
      </c>
    </row>
    <row r="137" spans="1:13" x14ac:dyDescent="0.35">
      <c r="A137" t="s">
        <v>4233</v>
      </c>
      <c r="B137">
        <v>181964</v>
      </c>
      <c r="C137">
        <v>182728</v>
      </c>
      <c r="E137" t="s">
        <v>13</v>
      </c>
      <c r="F137" t="s">
        <v>714</v>
      </c>
      <c r="H137">
        <v>29240741</v>
      </c>
      <c r="I137" t="s">
        <v>16</v>
      </c>
      <c r="K137" t="s">
        <v>8558</v>
      </c>
      <c r="L137">
        <v>254</v>
      </c>
      <c r="M137" t="s">
        <v>8557</v>
      </c>
    </row>
    <row r="138" spans="1:13" x14ac:dyDescent="0.35">
      <c r="A138" t="s">
        <v>4233</v>
      </c>
      <c r="B138">
        <v>182796</v>
      </c>
      <c r="C138">
        <v>183362</v>
      </c>
      <c r="E138" t="s">
        <v>13</v>
      </c>
      <c r="F138" t="s">
        <v>7899</v>
      </c>
      <c r="H138">
        <v>29240742</v>
      </c>
      <c r="I138" t="s">
        <v>16</v>
      </c>
      <c r="K138" t="s">
        <v>8556</v>
      </c>
      <c r="L138">
        <v>188</v>
      </c>
      <c r="M138" t="s">
        <v>8555</v>
      </c>
    </row>
    <row r="139" spans="1:13" x14ac:dyDescent="0.35">
      <c r="A139" t="s">
        <v>4233</v>
      </c>
      <c r="B139">
        <v>183760</v>
      </c>
      <c r="C139">
        <v>184854</v>
      </c>
      <c r="E139" t="s">
        <v>36</v>
      </c>
      <c r="F139" t="s">
        <v>729</v>
      </c>
      <c r="G139" t="s">
        <v>8554</v>
      </c>
      <c r="H139">
        <v>29240743</v>
      </c>
      <c r="I139" t="s">
        <v>16</v>
      </c>
      <c r="K139" t="s">
        <v>8553</v>
      </c>
      <c r="L139">
        <v>364</v>
      </c>
      <c r="M139" t="s">
        <v>8552</v>
      </c>
    </row>
    <row r="140" spans="1:13" x14ac:dyDescent="0.35">
      <c r="A140" t="s">
        <v>4233</v>
      </c>
      <c r="B140">
        <v>185088</v>
      </c>
      <c r="C140">
        <v>185708</v>
      </c>
      <c r="E140" t="s">
        <v>13</v>
      </c>
      <c r="F140" t="s">
        <v>8551</v>
      </c>
      <c r="H140">
        <v>29240744</v>
      </c>
      <c r="I140" t="s">
        <v>16</v>
      </c>
      <c r="K140" t="s">
        <v>8550</v>
      </c>
      <c r="L140">
        <v>206</v>
      </c>
      <c r="M140" t="s">
        <v>8549</v>
      </c>
    </row>
    <row r="141" spans="1:13" x14ac:dyDescent="0.35">
      <c r="A141" t="s">
        <v>4233</v>
      </c>
      <c r="B141">
        <v>186031</v>
      </c>
      <c r="C141">
        <v>186939</v>
      </c>
      <c r="E141" t="s">
        <v>13</v>
      </c>
      <c r="F141" t="s">
        <v>8548</v>
      </c>
      <c r="H141">
        <v>29240745</v>
      </c>
      <c r="I141" t="s">
        <v>16</v>
      </c>
      <c r="K141" t="s">
        <v>8547</v>
      </c>
      <c r="L141">
        <v>302</v>
      </c>
      <c r="M141" t="s">
        <v>8546</v>
      </c>
    </row>
    <row r="142" spans="1:13" x14ac:dyDescent="0.35">
      <c r="A142" t="s">
        <v>4233</v>
      </c>
      <c r="B142">
        <v>186936</v>
      </c>
      <c r="C142">
        <v>187949</v>
      </c>
      <c r="E142" t="s">
        <v>13</v>
      </c>
      <c r="F142" t="s">
        <v>35</v>
      </c>
      <c r="H142">
        <v>29240746</v>
      </c>
      <c r="I142" t="s">
        <v>16</v>
      </c>
      <c r="K142" t="s">
        <v>8545</v>
      </c>
      <c r="L142">
        <v>337</v>
      </c>
      <c r="M142" t="s">
        <v>8544</v>
      </c>
    </row>
    <row r="143" spans="1:13" x14ac:dyDescent="0.35">
      <c r="A143" t="s">
        <v>4233</v>
      </c>
      <c r="B143">
        <v>187979</v>
      </c>
      <c r="C143">
        <v>188647</v>
      </c>
      <c r="E143" t="s">
        <v>13</v>
      </c>
      <c r="F143" t="s">
        <v>8543</v>
      </c>
      <c r="H143">
        <v>29240747</v>
      </c>
      <c r="I143" t="s">
        <v>16</v>
      </c>
      <c r="K143" t="s">
        <v>8542</v>
      </c>
      <c r="L143">
        <v>222</v>
      </c>
      <c r="M143" t="s">
        <v>8541</v>
      </c>
    </row>
    <row r="144" spans="1:13" x14ac:dyDescent="0.35">
      <c r="A144" t="s">
        <v>4233</v>
      </c>
      <c r="B144">
        <v>188644</v>
      </c>
      <c r="C144">
        <v>189480</v>
      </c>
      <c r="E144" t="s">
        <v>13</v>
      </c>
      <c r="F144" t="s">
        <v>831</v>
      </c>
      <c r="H144">
        <v>29240748</v>
      </c>
      <c r="I144" t="s">
        <v>16</v>
      </c>
      <c r="K144" t="s">
        <v>8540</v>
      </c>
      <c r="L144">
        <v>278</v>
      </c>
      <c r="M144" t="s">
        <v>8539</v>
      </c>
    </row>
    <row r="145" spans="1:13" x14ac:dyDescent="0.35">
      <c r="A145" t="s">
        <v>4233</v>
      </c>
      <c r="B145">
        <v>189677</v>
      </c>
      <c r="C145">
        <v>191239</v>
      </c>
      <c r="E145" t="s">
        <v>13</v>
      </c>
      <c r="F145" t="s">
        <v>590</v>
      </c>
      <c r="H145">
        <v>29240749</v>
      </c>
      <c r="I145" t="s">
        <v>16</v>
      </c>
      <c r="K145" t="s">
        <v>8538</v>
      </c>
      <c r="L145">
        <v>520</v>
      </c>
      <c r="M145" t="s">
        <v>8537</v>
      </c>
    </row>
    <row r="146" spans="1:13" x14ac:dyDescent="0.35">
      <c r="A146" t="s">
        <v>4233</v>
      </c>
      <c r="B146">
        <v>191350</v>
      </c>
      <c r="C146">
        <v>192306</v>
      </c>
      <c r="E146" t="s">
        <v>13</v>
      </c>
      <c r="F146" t="s">
        <v>133</v>
      </c>
      <c r="H146">
        <v>29240750</v>
      </c>
      <c r="I146" t="s">
        <v>16</v>
      </c>
      <c r="K146" t="s">
        <v>8536</v>
      </c>
      <c r="L146">
        <v>318</v>
      </c>
      <c r="M146" t="s">
        <v>8535</v>
      </c>
    </row>
    <row r="147" spans="1:13" x14ac:dyDescent="0.35">
      <c r="A147" t="s">
        <v>4233</v>
      </c>
      <c r="B147">
        <v>192308</v>
      </c>
      <c r="C147">
        <v>194338</v>
      </c>
      <c r="E147" t="s">
        <v>13</v>
      </c>
      <c r="F147" t="s">
        <v>8534</v>
      </c>
      <c r="H147">
        <v>29240751</v>
      </c>
      <c r="I147" t="s">
        <v>16</v>
      </c>
      <c r="K147" t="s">
        <v>8533</v>
      </c>
      <c r="L147">
        <v>676</v>
      </c>
      <c r="M147" t="s">
        <v>8532</v>
      </c>
    </row>
    <row r="148" spans="1:13" x14ac:dyDescent="0.35">
      <c r="A148" t="s">
        <v>4233</v>
      </c>
      <c r="B148">
        <v>194335</v>
      </c>
      <c r="C148">
        <v>195159</v>
      </c>
      <c r="E148" t="s">
        <v>13</v>
      </c>
      <c r="F148" t="s">
        <v>73</v>
      </c>
      <c r="H148">
        <v>29240752</v>
      </c>
      <c r="I148" t="s">
        <v>16</v>
      </c>
      <c r="K148" t="s">
        <v>8531</v>
      </c>
      <c r="L148">
        <v>274</v>
      </c>
      <c r="M148" t="s">
        <v>8530</v>
      </c>
    </row>
    <row r="149" spans="1:13" x14ac:dyDescent="0.35">
      <c r="A149" t="s">
        <v>4233</v>
      </c>
      <c r="B149">
        <v>195268</v>
      </c>
      <c r="C149">
        <v>196230</v>
      </c>
      <c r="E149" t="s">
        <v>13</v>
      </c>
      <c r="F149" t="s">
        <v>4683</v>
      </c>
      <c r="H149">
        <v>29240753</v>
      </c>
      <c r="I149" t="s">
        <v>16</v>
      </c>
      <c r="K149" t="s">
        <v>8529</v>
      </c>
      <c r="L149">
        <v>320</v>
      </c>
      <c r="M149" t="s">
        <v>8528</v>
      </c>
    </row>
    <row r="150" spans="1:13" x14ac:dyDescent="0.35">
      <c r="A150" t="s">
        <v>4233</v>
      </c>
      <c r="B150">
        <v>196256</v>
      </c>
      <c r="C150">
        <v>197068</v>
      </c>
      <c r="E150" t="s">
        <v>13</v>
      </c>
      <c r="F150" t="s">
        <v>1258</v>
      </c>
      <c r="G150" t="s">
        <v>1259</v>
      </c>
      <c r="H150">
        <v>29240754</v>
      </c>
      <c r="I150" t="s">
        <v>16</v>
      </c>
      <c r="K150" t="s">
        <v>8527</v>
      </c>
      <c r="L150">
        <v>270</v>
      </c>
      <c r="M150" t="s">
        <v>8526</v>
      </c>
    </row>
    <row r="151" spans="1:13" x14ac:dyDescent="0.35">
      <c r="A151" t="s">
        <v>4233</v>
      </c>
      <c r="B151">
        <v>197201</v>
      </c>
      <c r="C151">
        <v>197345</v>
      </c>
      <c r="E151" t="s">
        <v>13</v>
      </c>
      <c r="F151" t="s">
        <v>45</v>
      </c>
      <c r="H151">
        <v>42569784</v>
      </c>
      <c r="I151" t="s">
        <v>46</v>
      </c>
      <c r="M151" t="s">
        <v>8525</v>
      </c>
    </row>
    <row r="152" spans="1:13" x14ac:dyDescent="0.35">
      <c r="A152" t="s">
        <v>4233</v>
      </c>
      <c r="B152">
        <v>197446</v>
      </c>
      <c r="C152">
        <v>199737</v>
      </c>
      <c r="E152" t="s">
        <v>13</v>
      </c>
      <c r="F152" t="s">
        <v>8524</v>
      </c>
      <c r="H152">
        <v>29240756</v>
      </c>
      <c r="I152" t="s">
        <v>16</v>
      </c>
      <c r="K152" t="s">
        <v>8523</v>
      </c>
      <c r="L152">
        <v>763</v>
      </c>
      <c r="M152" t="s">
        <v>8522</v>
      </c>
    </row>
    <row r="153" spans="1:13" x14ac:dyDescent="0.35">
      <c r="A153" t="s">
        <v>4233</v>
      </c>
      <c r="B153">
        <v>199869</v>
      </c>
      <c r="C153">
        <v>201137</v>
      </c>
      <c r="E153" t="s">
        <v>13</v>
      </c>
      <c r="F153" t="s">
        <v>96</v>
      </c>
      <c r="H153">
        <v>29240757</v>
      </c>
      <c r="I153" t="s">
        <v>16</v>
      </c>
      <c r="K153" t="s">
        <v>8521</v>
      </c>
      <c r="L153">
        <v>422</v>
      </c>
      <c r="M153" t="s">
        <v>8520</v>
      </c>
    </row>
    <row r="154" spans="1:13" x14ac:dyDescent="0.35">
      <c r="A154" t="s">
        <v>4233</v>
      </c>
      <c r="B154">
        <v>201186</v>
      </c>
      <c r="C154">
        <v>202037</v>
      </c>
      <c r="E154" t="s">
        <v>36</v>
      </c>
      <c r="F154" t="s">
        <v>8519</v>
      </c>
      <c r="H154">
        <v>29240758</v>
      </c>
      <c r="I154" t="s">
        <v>16</v>
      </c>
      <c r="K154" t="s">
        <v>8518</v>
      </c>
      <c r="L154">
        <v>283</v>
      </c>
      <c r="M154" t="s">
        <v>8517</v>
      </c>
    </row>
    <row r="155" spans="1:13" x14ac:dyDescent="0.35">
      <c r="A155" t="s">
        <v>4233</v>
      </c>
      <c r="B155">
        <v>202900</v>
      </c>
      <c r="C155">
        <v>204360</v>
      </c>
      <c r="E155" t="s">
        <v>36</v>
      </c>
      <c r="F155" t="s">
        <v>450</v>
      </c>
      <c r="H155">
        <v>29240759</v>
      </c>
      <c r="I155" t="s">
        <v>16</v>
      </c>
      <c r="K155" t="s">
        <v>8516</v>
      </c>
      <c r="L155">
        <v>486</v>
      </c>
      <c r="M155" t="s">
        <v>8515</v>
      </c>
    </row>
    <row r="156" spans="1:13" x14ac:dyDescent="0.35">
      <c r="A156" t="s">
        <v>4233</v>
      </c>
      <c r="B156">
        <v>204592</v>
      </c>
      <c r="C156">
        <v>206508</v>
      </c>
      <c r="E156" t="s">
        <v>13</v>
      </c>
      <c r="F156" t="s">
        <v>8514</v>
      </c>
      <c r="G156" t="s">
        <v>8513</v>
      </c>
      <c r="H156">
        <v>29240760</v>
      </c>
      <c r="I156" t="s">
        <v>16</v>
      </c>
      <c r="K156" t="s">
        <v>8512</v>
      </c>
      <c r="L156">
        <v>638</v>
      </c>
      <c r="M156" t="s">
        <v>8511</v>
      </c>
    </row>
    <row r="157" spans="1:13" x14ac:dyDescent="0.35">
      <c r="A157" t="s">
        <v>4233</v>
      </c>
      <c r="B157">
        <v>206652</v>
      </c>
      <c r="C157">
        <v>209018</v>
      </c>
      <c r="E157" t="s">
        <v>36</v>
      </c>
      <c r="F157" t="s">
        <v>7917</v>
      </c>
      <c r="H157">
        <v>29240761</v>
      </c>
      <c r="I157" t="s">
        <v>16</v>
      </c>
      <c r="K157" t="s">
        <v>8510</v>
      </c>
      <c r="L157">
        <v>788</v>
      </c>
      <c r="M157" t="s">
        <v>8509</v>
      </c>
    </row>
    <row r="158" spans="1:13" x14ac:dyDescent="0.35">
      <c r="A158" t="s">
        <v>4233</v>
      </c>
      <c r="B158">
        <v>209236</v>
      </c>
      <c r="C158">
        <v>209330</v>
      </c>
      <c r="E158" t="s">
        <v>13</v>
      </c>
      <c r="F158" t="s">
        <v>341</v>
      </c>
      <c r="G158" t="s">
        <v>342</v>
      </c>
      <c r="H158">
        <v>29242563</v>
      </c>
      <c r="I158" t="s">
        <v>343</v>
      </c>
      <c r="M158" t="s">
        <v>8508</v>
      </c>
    </row>
    <row r="159" spans="1:13" x14ac:dyDescent="0.35">
      <c r="A159" t="s">
        <v>4233</v>
      </c>
      <c r="B159">
        <v>209453</v>
      </c>
      <c r="C159">
        <v>210580</v>
      </c>
      <c r="E159" t="s">
        <v>13</v>
      </c>
      <c r="F159" t="s">
        <v>742</v>
      </c>
      <c r="H159">
        <v>29240762</v>
      </c>
      <c r="I159" t="s">
        <v>16</v>
      </c>
      <c r="K159" t="s">
        <v>8507</v>
      </c>
      <c r="L159">
        <v>375</v>
      </c>
      <c r="M159" t="s">
        <v>8506</v>
      </c>
    </row>
    <row r="160" spans="1:13" x14ac:dyDescent="0.35">
      <c r="A160" t="s">
        <v>4233</v>
      </c>
      <c r="B160">
        <v>210684</v>
      </c>
      <c r="C160">
        <v>213734</v>
      </c>
      <c r="E160" t="s">
        <v>13</v>
      </c>
      <c r="F160" t="s">
        <v>814</v>
      </c>
      <c r="G160" t="s">
        <v>815</v>
      </c>
      <c r="H160">
        <v>29240763</v>
      </c>
      <c r="I160" t="s">
        <v>16</v>
      </c>
      <c r="K160" t="s">
        <v>8505</v>
      </c>
      <c r="L160">
        <v>1016</v>
      </c>
      <c r="M160" t="s">
        <v>8504</v>
      </c>
    </row>
    <row r="161" spans="1:13" x14ac:dyDescent="0.35">
      <c r="A161" t="s">
        <v>4233</v>
      </c>
      <c r="B161">
        <v>214053</v>
      </c>
      <c r="C161">
        <v>214673</v>
      </c>
      <c r="E161" t="s">
        <v>13</v>
      </c>
      <c r="F161" t="s">
        <v>348</v>
      </c>
      <c r="G161" t="s">
        <v>349</v>
      </c>
      <c r="H161">
        <v>29240764</v>
      </c>
      <c r="I161" t="s">
        <v>16</v>
      </c>
      <c r="K161" t="s">
        <v>8503</v>
      </c>
      <c r="L161">
        <v>206</v>
      </c>
      <c r="M161" t="s">
        <v>8502</v>
      </c>
    </row>
    <row r="162" spans="1:13" x14ac:dyDescent="0.35">
      <c r="A162" t="s">
        <v>4233</v>
      </c>
      <c r="B162">
        <v>214670</v>
      </c>
      <c r="C162">
        <v>215821</v>
      </c>
      <c r="E162" t="s">
        <v>13</v>
      </c>
      <c r="F162" t="s">
        <v>8501</v>
      </c>
      <c r="H162">
        <v>29240765</v>
      </c>
      <c r="I162" t="s">
        <v>16</v>
      </c>
      <c r="K162" t="s">
        <v>8500</v>
      </c>
      <c r="L162">
        <v>383</v>
      </c>
      <c r="M162" t="s">
        <v>8499</v>
      </c>
    </row>
    <row r="163" spans="1:13" x14ac:dyDescent="0.35">
      <c r="A163" t="s">
        <v>4233</v>
      </c>
      <c r="B163">
        <v>215973</v>
      </c>
      <c r="C163">
        <v>216602</v>
      </c>
      <c r="E163" t="s">
        <v>36</v>
      </c>
      <c r="F163" t="s">
        <v>373</v>
      </c>
      <c r="H163">
        <v>29240766</v>
      </c>
      <c r="I163" t="s">
        <v>16</v>
      </c>
      <c r="K163" t="s">
        <v>8498</v>
      </c>
      <c r="L163">
        <v>209</v>
      </c>
      <c r="M163" t="s">
        <v>8497</v>
      </c>
    </row>
    <row r="164" spans="1:13" x14ac:dyDescent="0.35">
      <c r="A164" t="s">
        <v>4233</v>
      </c>
      <c r="B164">
        <v>216726</v>
      </c>
      <c r="C164">
        <v>216986</v>
      </c>
      <c r="E164" t="s">
        <v>36</v>
      </c>
      <c r="F164" t="s">
        <v>8496</v>
      </c>
      <c r="H164">
        <v>29240767</v>
      </c>
      <c r="I164" t="s">
        <v>16</v>
      </c>
      <c r="K164" t="s">
        <v>8495</v>
      </c>
      <c r="L164">
        <v>86</v>
      </c>
      <c r="M164" t="s">
        <v>8494</v>
      </c>
    </row>
    <row r="165" spans="1:13" x14ac:dyDescent="0.35">
      <c r="A165" t="s">
        <v>4233</v>
      </c>
      <c r="B165">
        <v>217022</v>
      </c>
      <c r="C165">
        <v>217192</v>
      </c>
      <c r="E165" t="s">
        <v>36</v>
      </c>
      <c r="F165" t="s">
        <v>40</v>
      </c>
      <c r="H165">
        <v>55549227</v>
      </c>
      <c r="I165" t="s">
        <v>16</v>
      </c>
      <c r="K165" t="s">
        <v>8493</v>
      </c>
      <c r="L165">
        <v>56</v>
      </c>
      <c r="M165" t="s">
        <v>8492</v>
      </c>
    </row>
    <row r="166" spans="1:13" x14ac:dyDescent="0.35">
      <c r="A166" t="s">
        <v>4233</v>
      </c>
      <c r="B166">
        <v>217244</v>
      </c>
      <c r="C166">
        <v>218893</v>
      </c>
      <c r="E166" t="s">
        <v>13</v>
      </c>
      <c r="F166" t="s">
        <v>520</v>
      </c>
      <c r="G166" t="s">
        <v>521</v>
      </c>
      <c r="H166">
        <v>29240768</v>
      </c>
      <c r="I166" t="s">
        <v>16</v>
      </c>
      <c r="K166" t="s">
        <v>8491</v>
      </c>
      <c r="L166">
        <v>549</v>
      </c>
      <c r="M166" t="s">
        <v>8490</v>
      </c>
    </row>
    <row r="167" spans="1:13" x14ac:dyDescent="0.35">
      <c r="A167" t="s">
        <v>4233</v>
      </c>
      <c r="B167">
        <v>219051</v>
      </c>
      <c r="C167">
        <v>219881</v>
      </c>
      <c r="E167" t="s">
        <v>13</v>
      </c>
      <c r="F167" t="s">
        <v>40</v>
      </c>
      <c r="H167">
        <v>93018720</v>
      </c>
      <c r="I167" t="s">
        <v>16</v>
      </c>
      <c r="K167" t="s">
        <v>8489</v>
      </c>
      <c r="L167">
        <v>276</v>
      </c>
      <c r="M167" t="s">
        <v>8488</v>
      </c>
    </row>
    <row r="168" spans="1:13" x14ac:dyDescent="0.35">
      <c r="A168" t="s">
        <v>4233</v>
      </c>
      <c r="B168">
        <v>219847</v>
      </c>
      <c r="C168">
        <v>220554</v>
      </c>
      <c r="E168" t="s">
        <v>13</v>
      </c>
      <c r="F168" t="s">
        <v>40</v>
      </c>
      <c r="H168">
        <v>29240769</v>
      </c>
      <c r="I168" t="s">
        <v>16</v>
      </c>
      <c r="K168" t="s">
        <v>8487</v>
      </c>
      <c r="L168">
        <v>235</v>
      </c>
      <c r="M168" t="s">
        <v>8486</v>
      </c>
    </row>
    <row r="169" spans="1:13" x14ac:dyDescent="0.35">
      <c r="A169" t="s">
        <v>4233</v>
      </c>
      <c r="B169">
        <v>220704</v>
      </c>
      <c r="C169">
        <v>221258</v>
      </c>
      <c r="E169" t="s">
        <v>13</v>
      </c>
      <c r="F169" t="s">
        <v>8485</v>
      </c>
      <c r="H169">
        <v>29240770</v>
      </c>
      <c r="I169" t="s">
        <v>16</v>
      </c>
      <c r="K169" t="s">
        <v>8484</v>
      </c>
      <c r="L169">
        <v>184</v>
      </c>
      <c r="M169" t="s">
        <v>8483</v>
      </c>
    </row>
    <row r="170" spans="1:13" x14ac:dyDescent="0.35">
      <c r="A170" t="s">
        <v>4233</v>
      </c>
      <c r="B170">
        <v>221402</v>
      </c>
      <c r="C170">
        <v>223003</v>
      </c>
      <c r="E170" t="s">
        <v>13</v>
      </c>
      <c r="F170" t="s">
        <v>41</v>
      </c>
      <c r="H170">
        <v>29240771</v>
      </c>
      <c r="I170" t="s">
        <v>16</v>
      </c>
      <c r="K170" t="s">
        <v>8482</v>
      </c>
      <c r="L170">
        <v>533</v>
      </c>
      <c r="M170" t="s">
        <v>8481</v>
      </c>
    </row>
    <row r="171" spans="1:13" x14ac:dyDescent="0.35">
      <c r="A171" t="s">
        <v>4233</v>
      </c>
      <c r="B171">
        <v>223117</v>
      </c>
      <c r="C171">
        <v>224634</v>
      </c>
      <c r="E171" t="s">
        <v>13</v>
      </c>
      <c r="F171" t="s">
        <v>853</v>
      </c>
      <c r="H171">
        <v>29240772</v>
      </c>
      <c r="I171" t="s">
        <v>16</v>
      </c>
      <c r="K171" t="s">
        <v>8480</v>
      </c>
      <c r="L171">
        <v>505</v>
      </c>
      <c r="M171" t="s">
        <v>8479</v>
      </c>
    </row>
    <row r="172" spans="1:13" x14ac:dyDescent="0.35">
      <c r="A172" t="s">
        <v>4233</v>
      </c>
      <c r="B172">
        <v>225082</v>
      </c>
      <c r="C172">
        <v>225429</v>
      </c>
      <c r="E172" t="s">
        <v>36</v>
      </c>
      <c r="F172" t="s">
        <v>8478</v>
      </c>
      <c r="H172">
        <v>29240773</v>
      </c>
      <c r="I172" t="s">
        <v>16</v>
      </c>
      <c r="K172" t="s">
        <v>8477</v>
      </c>
      <c r="L172">
        <v>115</v>
      </c>
      <c r="M172" t="s">
        <v>8476</v>
      </c>
    </row>
    <row r="173" spans="1:13" x14ac:dyDescent="0.35">
      <c r="A173" t="s">
        <v>4233</v>
      </c>
      <c r="B173">
        <v>225674</v>
      </c>
      <c r="C173">
        <v>226210</v>
      </c>
      <c r="E173" t="s">
        <v>13</v>
      </c>
      <c r="F173" t="s">
        <v>513</v>
      </c>
      <c r="H173">
        <v>29240774</v>
      </c>
      <c r="I173" t="s">
        <v>16</v>
      </c>
      <c r="K173" t="s">
        <v>8475</v>
      </c>
      <c r="L173">
        <v>178</v>
      </c>
      <c r="M173" t="s">
        <v>8474</v>
      </c>
    </row>
    <row r="174" spans="1:13" x14ac:dyDescent="0.35">
      <c r="A174" t="s">
        <v>4233</v>
      </c>
      <c r="B174">
        <v>226539</v>
      </c>
      <c r="C174">
        <v>227990</v>
      </c>
      <c r="E174" t="s">
        <v>36</v>
      </c>
      <c r="F174" t="s">
        <v>121</v>
      </c>
      <c r="H174">
        <v>29240775</v>
      </c>
      <c r="I174" t="s">
        <v>16</v>
      </c>
      <c r="K174" t="s">
        <v>8473</v>
      </c>
      <c r="L174">
        <v>483</v>
      </c>
      <c r="M174" t="s">
        <v>8472</v>
      </c>
    </row>
    <row r="175" spans="1:13" x14ac:dyDescent="0.35">
      <c r="A175" t="s">
        <v>4233</v>
      </c>
      <c r="B175">
        <v>228230</v>
      </c>
      <c r="C175">
        <v>228889</v>
      </c>
      <c r="E175" t="s">
        <v>13</v>
      </c>
      <c r="F175" t="s">
        <v>294</v>
      </c>
      <c r="H175">
        <v>29240776</v>
      </c>
      <c r="I175" t="s">
        <v>16</v>
      </c>
      <c r="K175" t="s">
        <v>8471</v>
      </c>
      <c r="L175">
        <v>219</v>
      </c>
      <c r="M175" t="s">
        <v>8470</v>
      </c>
    </row>
    <row r="176" spans="1:13" x14ac:dyDescent="0.35">
      <c r="A176" t="s">
        <v>4233</v>
      </c>
      <c r="B176">
        <v>229154</v>
      </c>
      <c r="C176">
        <v>230122</v>
      </c>
      <c r="E176" t="s">
        <v>13</v>
      </c>
      <c r="F176" t="s">
        <v>40</v>
      </c>
      <c r="H176">
        <v>29240777</v>
      </c>
      <c r="I176" t="s">
        <v>16</v>
      </c>
      <c r="K176" t="s">
        <v>8469</v>
      </c>
      <c r="L176">
        <v>322</v>
      </c>
      <c r="M176" t="s">
        <v>8468</v>
      </c>
    </row>
    <row r="177" spans="1:13" x14ac:dyDescent="0.35">
      <c r="A177" t="s">
        <v>4233</v>
      </c>
      <c r="B177">
        <v>230320</v>
      </c>
      <c r="C177">
        <v>231504</v>
      </c>
      <c r="E177" t="s">
        <v>13</v>
      </c>
      <c r="F177" t="s">
        <v>8467</v>
      </c>
      <c r="H177">
        <v>29240778</v>
      </c>
      <c r="I177" t="s">
        <v>16</v>
      </c>
      <c r="K177" t="s">
        <v>8466</v>
      </c>
      <c r="L177">
        <v>394</v>
      </c>
      <c r="M177" t="s">
        <v>8465</v>
      </c>
    </row>
    <row r="178" spans="1:13" x14ac:dyDescent="0.35">
      <c r="A178" t="s">
        <v>4233</v>
      </c>
      <c r="B178">
        <v>231623</v>
      </c>
      <c r="C178">
        <v>232951</v>
      </c>
      <c r="E178" t="s">
        <v>36</v>
      </c>
      <c r="F178" t="s">
        <v>90</v>
      </c>
      <c r="H178">
        <v>29240779</v>
      </c>
      <c r="I178" t="s">
        <v>16</v>
      </c>
      <c r="K178" t="s">
        <v>8464</v>
      </c>
      <c r="L178">
        <v>442</v>
      </c>
      <c r="M178" t="s">
        <v>8463</v>
      </c>
    </row>
    <row r="179" spans="1:13" x14ac:dyDescent="0.35">
      <c r="A179" t="s">
        <v>4233</v>
      </c>
      <c r="B179">
        <v>233372</v>
      </c>
      <c r="C179">
        <v>234892</v>
      </c>
      <c r="E179" t="s">
        <v>13</v>
      </c>
      <c r="F179" t="s">
        <v>299</v>
      </c>
      <c r="G179" t="s">
        <v>300</v>
      </c>
      <c r="H179">
        <v>29240780</v>
      </c>
      <c r="I179" t="s">
        <v>16</v>
      </c>
      <c r="K179" t="s">
        <v>8462</v>
      </c>
      <c r="L179">
        <v>506</v>
      </c>
      <c r="M179" t="s">
        <v>8461</v>
      </c>
    </row>
    <row r="180" spans="1:13" x14ac:dyDescent="0.35">
      <c r="A180" t="s">
        <v>4233</v>
      </c>
      <c r="B180">
        <v>235300</v>
      </c>
      <c r="C180">
        <v>235372</v>
      </c>
      <c r="E180" t="s">
        <v>13</v>
      </c>
      <c r="F180" t="s">
        <v>423</v>
      </c>
      <c r="H180">
        <v>29240781</v>
      </c>
      <c r="I180" t="s">
        <v>39</v>
      </c>
      <c r="M180" t="s">
        <v>8460</v>
      </c>
    </row>
    <row r="181" spans="1:13" x14ac:dyDescent="0.35">
      <c r="A181" t="s">
        <v>4233</v>
      </c>
      <c r="B181">
        <v>235412</v>
      </c>
      <c r="C181">
        <v>235486</v>
      </c>
      <c r="E181" t="s">
        <v>13</v>
      </c>
      <c r="F181" t="s">
        <v>427</v>
      </c>
      <c r="H181">
        <v>29240782</v>
      </c>
      <c r="I181" t="s">
        <v>39</v>
      </c>
      <c r="M181" t="s">
        <v>8459</v>
      </c>
    </row>
    <row r="182" spans="1:13" x14ac:dyDescent="0.35">
      <c r="A182" t="s">
        <v>4233</v>
      </c>
      <c r="B182">
        <v>235537</v>
      </c>
      <c r="C182">
        <v>235641</v>
      </c>
      <c r="E182" t="s">
        <v>36</v>
      </c>
      <c r="F182" t="s">
        <v>45</v>
      </c>
      <c r="H182">
        <v>97007083</v>
      </c>
      <c r="I182" t="s">
        <v>46</v>
      </c>
      <c r="M182" t="s">
        <v>8458</v>
      </c>
    </row>
    <row r="183" spans="1:13" x14ac:dyDescent="0.35">
      <c r="A183" t="s">
        <v>4233</v>
      </c>
      <c r="B183">
        <v>235634</v>
      </c>
      <c r="C183">
        <v>236131</v>
      </c>
      <c r="E183" t="s">
        <v>36</v>
      </c>
      <c r="F183" t="s">
        <v>6362</v>
      </c>
      <c r="H183">
        <v>29240783</v>
      </c>
      <c r="I183" t="s">
        <v>16</v>
      </c>
      <c r="K183" t="s">
        <v>8457</v>
      </c>
      <c r="L183">
        <v>165</v>
      </c>
      <c r="M183" t="s">
        <v>8456</v>
      </c>
    </row>
    <row r="184" spans="1:13" x14ac:dyDescent="0.35">
      <c r="A184" t="s">
        <v>4233</v>
      </c>
      <c r="B184">
        <v>236344</v>
      </c>
      <c r="C184">
        <v>236428</v>
      </c>
      <c r="E184" t="s">
        <v>36</v>
      </c>
      <c r="F184" t="s">
        <v>421</v>
      </c>
      <c r="H184">
        <v>29240784</v>
      </c>
      <c r="I184" t="s">
        <v>39</v>
      </c>
      <c r="M184" t="s">
        <v>8455</v>
      </c>
    </row>
    <row r="185" spans="1:13" x14ac:dyDescent="0.35">
      <c r="A185" t="s">
        <v>4233</v>
      </c>
      <c r="B185">
        <v>236920</v>
      </c>
      <c r="C185">
        <v>238836</v>
      </c>
      <c r="E185" t="s">
        <v>13</v>
      </c>
      <c r="F185" t="s">
        <v>8454</v>
      </c>
      <c r="H185">
        <v>29240785</v>
      </c>
      <c r="I185" t="s">
        <v>16</v>
      </c>
      <c r="K185" t="s">
        <v>8453</v>
      </c>
      <c r="L185">
        <v>638</v>
      </c>
      <c r="M185" t="s">
        <v>8452</v>
      </c>
    </row>
    <row r="186" spans="1:13" x14ac:dyDescent="0.35">
      <c r="A186" t="s">
        <v>4233</v>
      </c>
      <c r="B186">
        <v>238953</v>
      </c>
      <c r="C186">
        <v>239648</v>
      </c>
      <c r="E186" t="s">
        <v>13</v>
      </c>
      <c r="F186" t="s">
        <v>8451</v>
      </c>
      <c r="H186">
        <v>29240786</v>
      </c>
      <c r="I186" t="s">
        <v>16</v>
      </c>
      <c r="K186" t="s">
        <v>8450</v>
      </c>
      <c r="L186">
        <v>231</v>
      </c>
      <c r="M186" t="s">
        <v>8449</v>
      </c>
    </row>
    <row r="187" spans="1:13" x14ac:dyDescent="0.35">
      <c r="A187" t="s">
        <v>4233</v>
      </c>
      <c r="B187">
        <v>239915</v>
      </c>
      <c r="C187">
        <v>241183</v>
      </c>
      <c r="E187" t="s">
        <v>13</v>
      </c>
      <c r="F187" t="s">
        <v>8448</v>
      </c>
      <c r="H187">
        <v>29240787</v>
      </c>
      <c r="I187" t="s">
        <v>16</v>
      </c>
      <c r="K187" t="s">
        <v>8447</v>
      </c>
      <c r="L187">
        <v>422</v>
      </c>
      <c r="M187" t="s">
        <v>8446</v>
      </c>
    </row>
    <row r="188" spans="1:13" x14ac:dyDescent="0.35">
      <c r="A188" t="s">
        <v>4233</v>
      </c>
      <c r="B188">
        <v>241206</v>
      </c>
      <c r="C188">
        <v>242510</v>
      </c>
      <c r="E188" t="s">
        <v>13</v>
      </c>
      <c r="F188" t="s">
        <v>133</v>
      </c>
      <c r="H188">
        <v>29240788</v>
      </c>
      <c r="I188" t="s">
        <v>16</v>
      </c>
      <c r="K188" t="s">
        <v>8445</v>
      </c>
      <c r="L188">
        <v>434</v>
      </c>
      <c r="M188" t="s">
        <v>8444</v>
      </c>
    </row>
    <row r="189" spans="1:13" x14ac:dyDescent="0.35">
      <c r="A189" t="s">
        <v>4233</v>
      </c>
      <c r="B189">
        <v>242543</v>
      </c>
      <c r="C189">
        <v>243937</v>
      </c>
      <c r="E189" t="s">
        <v>13</v>
      </c>
      <c r="F189" t="s">
        <v>133</v>
      </c>
      <c r="H189">
        <v>29240789</v>
      </c>
      <c r="I189" t="s">
        <v>16</v>
      </c>
      <c r="K189" t="s">
        <v>8443</v>
      </c>
      <c r="L189">
        <v>464</v>
      </c>
      <c r="M189" t="s">
        <v>8442</v>
      </c>
    </row>
    <row r="190" spans="1:13" x14ac:dyDescent="0.35">
      <c r="A190" t="s">
        <v>4233</v>
      </c>
      <c r="B190">
        <v>243953</v>
      </c>
      <c r="C190">
        <v>244750</v>
      </c>
      <c r="E190" t="s">
        <v>13</v>
      </c>
      <c r="F190" t="s">
        <v>73</v>
      </c>
      <c r="H190">
        <v>29240790</v>
      </c>
      <c r="I190" t="s">
        <v>16</v>
      </c>
      <c r="K190" t="s">
        <v>8441</v>
      </c>
      <c r="L190">
        <v>265</v>
      </c>
      <c r="M190" t="s">
        <v>8440</v>
      </c>
    </row>
    <row r="191" spans="1:13" x14ac:dyDescent="0.35">
      <c r="A191" t="s">
        <v>4233</v>
      </c>
      <c r="B191">
        <v>244816</v>
      </c>
      <c r="C191">
        <v>245367</v>
      </c>
      <c r="E191" t="s">
        <v>13</v>
      </c>
      <c r="F191" t="s">
        <v>732</v>
      </c>
      <c r="H191">
        <v>29240791</v>
      </c>
      <c r="I191" t="s">
        <v>16</v>
      </c>
      <c r="K191" t="s">
        <v>8439</v>
      </c>
      <c r="L191">
        <v>183</v>
      </c>
      <c r="M191" t="s">
        <v>8438</v>
      </c>
    </row>
    <row r="192" spans="1:13" x14ac:dyDescent="0.35">
      <c r="A192" t="s">
        <v>4233</v>
      </c>
      <c r="B192">
        <v>245626</v>
      </c>
      <c r="C192">
        <v>246219</v>
      </c>
      <c r="E192" t="s">
        <v>36</v>
      </c>
      <c r="F192" t="s">
        <v>100</v>
      </c>
      <c r="H192">
        <v>29240792</v>
      </c>
      <c r="I192" t="s">
        <v>16</v>
      </c>
      <c r="K192" t="s">
        <v>8437</v>
      </c>
      <c r="L192">
        <v>197</v>
      </c>
      <c r="M192" t="s">
        <v>8436</v>
      </c>
    </row>
    <row r="193" spans="1:13" x14ac:dyDescent="0.35">
      <c r="A193" t="s">
        <v>4233</v>
      </c>
      <c r="B193">
        <v>246314</v>
      </c>
      <c r="C193">
        <v>248476</v>
      </c>
      <c r="E193" t="s">
        <v>36</v>
      </c>
      <c r="F193" t="s">
        <v>4413</v>
      </c>
      <c r="H193">
        <v>29240793</v>
      </c>
      <c r="I193" t="s">
        <v>16</v>
      </c>
      <c r="K193" t="s">
        <v>8435</v>
      </c>
      <c r="L193">
        <v>720</v>
      </c>
      <c r="M193" t="s">
        <v>8434</v>
      </c>
    </row>
    <row r="194" spans="1:13" x14ac:dyDescent="0.35">
      <c r="A194" t="s">
        <v>4233</v>
      </c>
      <c r="B194">
        <v>248473</v>
      </c>
      <c r="C194">
        <v>251097</v>
      </c>
      <c r="E194" t="s">
        <v>36</v>
      </c>
      <c r="F194" t="s">
        <v>4413</v>
      </c>
      <c r="H194">
        <v>29240794</v>
      </c>
      <c r="I194" t="s">
        <v>16</v>
      </c>
      <c r="K194" t="s">
        <v>8433</v>
      </c>
      <c r="L194">
        <v>874</v>
      </c>
      <c r="M194" t="s">
        <v>8432</v>
      </c>
    </row>
    <row r="195" spans="1:13" x14ac:dyDescent="0.35">
      <c r="A195" t="s">
        <v>4233</v>
      </c>
      <c r="B195">
        <v>251572</v>
      </c>
      <c r="C195">
        <v>252930</v>
      </c>
      <c r="E195" t="s">
        <v>13</v>
      </c>
      <c r="F195" t="s">
        <v>43</v>
      </c>
      <c r="H195">
        <v>29240795</v>
      </c>
      <c r="I195" t="s">
        <v>16</v>
      </c>
      <c r="K195" t="s">
        <v>8431</v>
      </c>
      <c r="L195">
        <v>452</v>
      </c>
      <c r="M195" t="s">
        <v>8430</v>
      </c>
    </row>
    <row r="196" spans="1:13" x14ac:dyDescent="0.35">
      <c r="A196" t="s">
        <v>4233</v>
      </c>
      <c r="B196">
        <v>253131</v>
      </c>
      <c r="C196">
        <v>254585</v>
      </c>
      <c r="E196" t="s">
        <v>13</v>
      </c>
      <c r="F196" t="s">
        <v>1263</v>
      </c>
      <c r="G196" t="s">
        <v>1264</v>
      </c>
      <c r="H196">
        <v>29240796</v>
      </c>
      <c r="I196" t="s">
        <v>16</v>
      </c>
      <c r="K196" t="s">
        <v>8429</v>
      </c>
      <c r="L196">
        <v>484</v>
      </c>
      <c r="M196" t="s">
        <v>8428</v>
      </c>
    </row>
    <row r="197" spans="1:13" x14ac:dyDescent="0.35">
      <c r="A197" t="s">
        <v>4233</v>
      </c>
      <c r="B197">
        <v>254786</v>
      </c>
      <c r="C197">
        <v>255628</v>
      </c>
      <c r="E197" t="s">
        <v>36</v>
      </c>
      <c r="F197" t="s">
        <v>8427</v>
      </c>
      <c r="H197">
        <v>29240797</v>
      </c>
      <c r="I197" t="s">
        <v>16</v>
      </c>
      <c r="K197" t="s">
        <v>8426</v>
      </c>
      <c r="L197">
        <v>280</v>
      </c>
      <c r="M197" t="s">
        <v>8425</v>
      </c>
    </row>
    <row r="198" spans="1:13" x14ac:dyDescent="0.35">
      <c r="A198" t="s">
        <v>4233</v>
      </c>
      <c r="B198">
        <v>255751</v>
      </c>
      <c r="C198">
        <v>256773</v>
      </c>
      <c r="E198" t="s">
        <v>36</v>
      </c>
      <c r="F198" t="s">
        <v>8424</v>
      </c>
      <c r="H198">
        <v>29240798</v>
      </c>
      <c r="I198" t="s">
        <v>16</v>
      </c>
      <c r="K198" t="s">
        <v>8423</v>
      </c>
      <c r="L198">
        <v>340</v>
      </c>
      <c r="M198" t="s">
        <v>8422</v>
      </c>
    </row>
    <row r="199" spans="1:13" x14ac:dyDescent="0.35">
      <c r="A199" t="s">
        <v>4233</v>
      </c>
      <c r="B199">
        <v>256770</v>
      </c>
      <c r="C199">
        <v>258308</v>
      </c>
      <c r="E199" t="s">
        <v>36</v>
      </c>
      <c r="F199" t="s">
        <v>388</v>
      </c>
      <c r="G199" t="s">
        <v>389</v>
      </c>
      <c r="H199">
        <v>29240799</v>
      </c>
      <c r="I199" t="s">
        <v>16</v>
      </c>
      <c r="K199" t="s">
        <v>8421</v>
      </c>
      <c r="L199">
        <v>512</v>
      </c>
      <c r="M199" t="s">
        <v>8420</v>
      </c>
    </row>
    <row r="200" spans="1:13" x14ac:dyDescent="0.35">
      <c r="A200" t="s">
        <v>4233</v>
      </c>
      <c r="B200">
        <v>258784</v>
      </c>
      <c r="C200">
        <v>260475</v>
      </c>
      <c r="E200" t="s">
        <v>13</v>
      </c>
      <c r="F200" t="s">
        <v>824</v>
      </c>
      <c r="H200">
        <v>29240800</v>
      </c>
      <c r="I200" t="s">
        <v>16</v>
      </c>
      <c r="K200" t="s">
        <v>8419</v>
      </c>
      <c r="L200">
        <v>563</v>
      </c>
      <c r="M200" t="s">
        <v>8418</v>
      </c>
    </row>
    <row r="201" spans="1:13" x14ac:dyDescent="0.35">
      <c r="A201" t="s">
        <v>4233</v>
      </c>
      <c r="B201">
        <v>260558</v>
      </c>
      <c r="C201">
        <v>260630</v>
      </c>
      <c r="E201" t="s">
        <v>13</v>
      </c>
      <c r="F201" t="s">
        <v>74</v>
      </c>
      <c r="H201">
        <v>29240801</v>
      </c>
      <c r="I201" t="s">
        <v>39</v>
      </c>
      <c r="M201" t="s">
        <v>8417</v>
      </c>
    </row>
    <row r="202" spans="1:13" x14ac:dyDescent="0.35">
      <c r="A202" t="s">
        <v>4233</v>
      </c>
      <c r="B202">
        <v>260705</v>
      </c>
      <c r="C202">
        <v>262225</v>
      </c>
      <c r="E202" t="s">
        <v>13</v>
      </c>
      <c r="F202" t="s">
        <v>41</v>
      </c>
      <c r="H202">
        <v>29240802</v>
      </c>
      <c r="I202" t="s">
        <v>16</v>
      </c>
      <c r="K202" t="s">
        <v>8416</v>
      </c>
      <c r="L202">
        <v>506</v>
      </c>
      <c r="M202" t="s">
        <v>8415</v>
      </c>
    </row>
    <row r="203" spans="1:13" x14ac:dyDescent="0.35">
      <c r="A203" t="s">
        <v>4233</v>
      </c>
      <c r="B203">
        <v>262290</v>
      </c>
      <c r="C203">
        <v>263324</v>
      </c>
      <c r="E203" t="s">
        <v>36</v>
      </c>
      <c r="F203" t="s">
        <v>945</v>
      </c>
      <c r="H203">
        <v>29240803</v>
      </c>
      <c r="I203" t="s">
        <v>16</v>
      </c>
      <c r="K203" t="s">
        <v>8414</v>
      </c>
      <c r="L203">
        <v>344</v>
      </c>
      <c r="M203" t="s">
        <v>8413</v>
      </c>
    </row>
    <row r="204" spans="1:13" x14ac:dyDescent="0.35">
      <c r="A204" t="s">
        <v>4233</v>
      </c>
      <c r="B204">
        <v>263348</v>
      </c>
      <c r="C204">
        <v>264178</v>
      </c>
      <c r="E204" t="s">
        <v>36</v>
      </c>
      <c r="F204" t="s">
        <v>100</v>
      </c>
      <c r="H204">
        <v>29240804</v>
      </c>
      <c r="I204" t="s">
        <v>16</v>
      </c>
      <c r="K204" t="s">
        <v>8412</v>
      </c>
      <c r="L204">
        <v>276</v>
      </c>
      <c r="M204" t="s">
        <v>8411</v>
      </c>
    </row>
    <row r="205" spans="1:13" x14ac:dyDescent="0.35">
      <c r="A205" t="s">
        <v>4233</v>
      </c>
      <c r="B205">
        <v>264263</v>
      </c>
      <c r="C205">
        <v>265528</v>
      </c>
      <c r="E205" t="s">
        <v>13</v>
      </c>
      <c r="F205" t="s">
        <v>958</v>
      </c>
      <c r="G205" t="s">
        <v>959</v>
      </c>
      <c r="H205">
        <v>29240805</v>
      </c>
      <c r="I205" t="s">
        <v>16</v>
      </c>
      <c r="K205" t="s">
        <v>8410</v>
      </c>
      <c r="L205">
        <v>421</v>
      </c>
      <c r="M205" t="s">
        <v>8409</v>
      </c>
    </row>
    <row r="206" spans="1:13" x14ac:dyDescent="0.35">
      <c r="A206" t="s">
        <v>4233</v>
      </c>
      <c r="B206">
        <v>265836</v>
      </c>
      <c r="C206">
        <v>267131</v>
      </c>
      <c r="E206" t="s">
        <v>13</v>
      </c>
      <c r="F206" t="s">
        <v>447</v>
      </c>
      <c r="H206">
        <v>29240806</v>
      </c>
      <c r="I206" t="s">
        <v>16</v>
      </c>
      <c r="K206" t="s">
        <v>8408</v>
      </c>
      <c r="L206">
        <v>431</v>
      </c>
      <c r="M206" t="s">
        <v>8407</v>
      </c>
    </row>
    <row r="207" spans="1:13" x14ac:dyDescent="0.35">
      <c r="A207" t="s">
        <v>4233</v>
      </c>
      <c r="B207">
        <v>267133</v>
      </c>
      <c r="C207">
        <v>267471</v>
      </c>
      <c r="E207" t="s">
        <v>13</v>
      </c>
      <c r="F207" t="s">
        <v>8406</v>
      </c>
      <c r="H207">
        <v>29240807</v>
      </c>
      <c r="I207" t="s">
        <v>16</v>
      </c>
      <c r="K207" t="s">
        <v>8405</v>
      </c>
      <c r="L207">
        <v>112</v>
      </c>
      <c r="M207" t="s">
        <v>8404</v>
      </c>
    </row>
    <row r="208" spans="1:13" x14ac:dyDescent="0.35">
      <c r="A208" t="s">
        <v>4233</v>
      </c>
      <c r="B208">
        <v>267803</v>
      </c>
      <c r="C208">
        <v>269629</v>
      </c>
      <c r="E208" t="s">
        <v>13</v>
      </c>
      <c r="F208" t="s">
        <v>8403</v>
      </c>
      <c r="H208">
        <v>29240808</v>
      </c>
      <c r="I208" t="s">
        <v>16</v>
      </c>
      <c r="K208" t="s">
        <v>8402</v>
      </c>
      <c r="L208">
        <v>608</v>
      </c>
      <c r="M208" t="s">
        <v>8401</v>
      </c>
    </row>
    <row r="209" spans="1:13" x14ac:dyDescent="0.35">
      <c r="A209" t="s">
        <v>4233</v>
      </c>
      <c r="B209">
        <v>269708</v>
      </c>
      <c r="C209">
        <v>271078</v>
      </c>
      <c r="E209" t="s">
        <v>36</v>
      </c>
      <c r="F209" t="s">
        <v>1158</v>
      </c>
      <c r="H209">
        <v>29240809</v>
      </c>
      <c r="I209" t="s">
        <v>16</v>
      </c>
      <c r="K209" t="s">
        <v>8400</v>
      </c>
      <c r="L209">
        <v>456</v>
      </c>
      <c r="M209" t="s">
        <v>8399</v>
      </c>
    </row>
    <row r="210" spans="1:13" x14ac:dyDescent="0.35">
      <c r="A210" t="s">
        <v>4233</v>
      </c>
      <c r="B210">
        <v>271461</v>
      </c>
      <c r="C210">
        <v>272921</v>
      </c>
      <c r="E210" t="s">
        <v>13</v>
      </c>
      <c r="F210" t="s">
        <v>33</v>
      </c>
      <c r="G210" t="s">
        <v>34</v>
      </c>
      <c r="H210">
        <v>29240810</v>
      </c>
      <c r="I210" t="s">
        <v>16</v>
      </c>
      <c r="K210" t="s">
        <v>8398</v>
      </c>
      <c r="L210">
        <v>486</v>
      </c>
      <c r="M210" t="s">
        <v>8397</v>
      </c>
    </row>
    <row r="211" spans="1:13" x14ac:dyDescent="0.35">
      <c r="A211" t="s">
        <v>4233</v>
      </c>
      <c r="B211">
        <v>272924</v>
      </c>
      <c r="C211">
        <v>274351</v>
      </c>
      <c r="E211" t="s">
        <v>13</v>
      </c>
      <c r="F211" t="s">
        <v>612</v>
      </c>
      <c r="H211">
        <v>29240811</v>
      </c>
      <c r="I211" t="s">
        <v>16</v>
      </c>
      <c r="K211" t="s">
        <v>8396</v>
      </c>
      <c r="L211">
        <v>475</v>
      </c>
      <c r="M211" t="s">
        <v>8395</v>
      </c>
    </row>
    <row r="212" spans="1:13" x14ac:dyDescent="0.35">
      <c r="A212" t="s">
        <v>4233</v>
      </c>
      <c r="B212">
        <v>274461</v>
      </c>
      <c r="C212">
        <v>275213</v>
      </c>
      <c r="E212" t="s">
        <v>13</v>
      </c>
      <c r="F212" t="s">
        <v>830</v>
      </c>
      <c r="H212">
        <v>29240812</v>
      </c>
      <c r="I212" t="s">
        <v>16</v>
      </c>
      <c r="K212" t="s">
        <v>8394</v>
      </c>
      <c r="L212">
        <v>250</v>
      </c>
      <c r="M212" t="s">
        <v>8393</v>
      </c>
    </row>
    <row r="213" spans="1:13" x14ac:dyDescent="0.35">
      <c r="A213" t="s">
        <v>4233</v>
      </c>
      <c r="B213">
        <v>275362</v>
      </c>
      <c r="C213">
        <v>275643</v>
      </c>
      <c r="E213" t="s">
        <v>13</v>
      </c>
      <c r="F213" t="s">
        <v>8392</v>
      </c>
      <c r="H213">
        <v>29240813</v>
      </c>
      <c r="I213" t="s">
        <v>16</v>
      </c>
      <c r="K213" t="s">
        <v>8391</v>
      </c>
      <c r="L213">
        <v>93</v>
      </c>
      <c r="M213" t="s">
        <v>8390</v>
      </c>
    </row>
    <row r="214" spans="1:13" x14ac:dyDescent="0.35">
      <c r="A214" t="s">
        <v>4233</v>
      </c>
      <c r="B214">
        <v>275640</v>
      </c>
      <c r="C214">
        <v>277460</v>
      </c>
      <c r="E214" t="s">
        <v>13</v>
      </c>
      <c r="F214" t="s">
        <v>8389</v>
      </c>
      <c r="H214">
        <v>29240814</v>
      </c>
      <c r="I214" t="s">
        <v>16</v>
      </c>
      <c r="K214" t="s">
        <v>8388</v>
      </c>
      <c r="L214">
        <v>606</v>
      </c>
      <c r="M214" t="s">
        <v>8387</v>
      </c>
    </row>
    <row r="215" spans="1:13" x14ac:dyDescent="0.35">
      <c r="A215" t="s">
        <v>4233</v>
      </c>
      <c r="B215">
        <v>277584</v>
      </c>
      <c r="C215">
        <v>277728</v>
      </c>
      <c r="E215" t="s">
        <v>36</v>
      </c>
      <c r="F215" t="s">
        <v>45</v>
      </c>
      <c r="H215">
        <v>97007084</v>
      </c>
      <c r="I215" t="s">
        <v>46</v>
      </c>
      <c r="M215" t="s">
        <v>8386</v>
      </c>
    </row>
    <row r="216" spans="1:13" x14ac:dyDescent="0.35">
      <c r="A216" t="s">
        <v>4233</v>
      </c>
      <c r="B216">
        <v>277983</v>
      </c>
      <c r="C216">
        <v>279947</v>
      </c>
      <c r="E216" t="s">
        <v>13</v>
      </c>
      <c r="F216" t="s">
        <v>45</v>
      </c>
      <c r="H216">
        <v>29240816</v>
      </c>
      <c r="I216" t="s">
        <v>46</v>
      </c>
      <c r="M216" t="s">
        <v>8385</v>
      </c>
    </row>
    <row r="217" spans="1:13" x14ac:dyDescent="0.35">
      <c r="A217" t="s">
        <v>4233</v>
      </c>
      <c r="B217">
        <v>280062</v>
      </c>
      <c r="C217">
        <v>280949</v>
      </c>
      <c r="E217" t="s">
        <v>13</v>
      </c>
      <c r="F217" t="s">
        <v>8384</v>
      </c>
      <c r="H217">
        <v>29240817</v>
      </c>
      <c r="I217" t="s">
        <v>16</v>
      </c>
      <c r="K217" t="s">
        <v>8383</v>
      </c>
      <c r="L217">
        <v>295</v>
      </c>
      <c r="M217" t="s">
        <v>8382</v>
      </c>
    </row>
    <row r="218" spans="1:13" x14ac:dyDescent="0.35">
      <c r="A218" t="s">
        <v>4233</v>
      </c>
      <c r="B218">
        <v>281238</v>
      </c>
      <c r="C218">
        <v>282251</v>
      </c>
      <c r="E218" t="s">
        <v>36</v>
      </c>
      <c r="F218" t="s">
        <v>97</v>
      </c>
      <c r="H218">
        <v>29240818</v>
      </c>
      <c r="I218" t="s">
        <v>16</v>
      </c>
      <c r="K218" t="s">
        <v>8381</v>
      </c>
      <c r="L218">
        <v>337</v>
      </c>
      <c r="M218" t="s">
        <v>8380</v>
      </c>
    </row>
    <row r="219" spans="1:13" x14ac:dyDescent="0.35">
      <c r="A219" t="s">
        <v>4233</v>
      </c>
      <c r="B219">
        <v>282510</v>
      </c>
      <c r="C219">
        <v>282800</v>
      </c>
      <c r="E219" t="s">
        <v>13</v>
      </c>
      <c r="F219" t="s">
        <v>26</v>
      </c>
      <c r="G219" t="s">
        <v>27</v>
      </c>
      <c r="H219">
        <v>29240819</v>
      </c>
      <c r="I219" t="s">
        <v>16</v>
      </c>
      <c r="K219" t="s">
        <v>8379</v>
      </c>
      <c r="L219">
        <v>96</v>
      </c>
      <c r="M219" t="s">
        <v>8378</v>
      </c>
    </row>
    <row r="220" spans="1:13" x14ac:dyDescent="0.35">
      <c r="A220" t="s">
        <v>4233</v>
      </c>
      <c r="B220">
        <v>282849</v>
      </c>
      <c r="C220">
        <v>283493</v>
      </c>
      <c r="E220" t="s">
        <v>13</v>
      </c>
      <c r="F220" t="s">
        <v>28</v>
      </c>
      <c r="H220">
        <v>29240820</v>
      </c>
      <c r="I220" t="s">
        <v>16</v>
      </c>
      <c r="K220" t="s">
        <v>8377</v>
      </c>
      <c r="L220">
        <v>214</v>
      </c>
      <c r="M220" t="s">
        <v>8376</v>
      </c>
    </row>
    <row r="221" spans="1:13" x14ac:dyDescent="0.35">
      <c r="A221" t="s">
        <v>4233</v>
      </c>
      <c r="B221">
        <v>283551</v>
      </c>
      <c r="C221">
        <v>283799</v>
      </c>
      <c r="E221" t="s">
        <v>13</v>
      </c>
      <c r="F221" t="s">
        <v>29</v>
      </c>
      <c r="G221" t="s">
        <v>30</v>
      </c>
      <c r="H221">
        <v>29240821</v>
      </c>
      <c r="I221" t="s">
        <v>16</v>
      </c>
      <c r="K221" t="s">
        <v>8375</v>
      </c>
      <c r="L221">
        <v>82</v>
      </c>
      <c r="M221" t="s">
        <v>8374</v>
      </c>
    </row>
    <row r="222" spans="1:13" x14ac:dyDescent="0.35">
      <c r="A222" t="s">
        <v>4233</v>
      </c>
      <c r="B222">
        <v>283819</v>
      </c>
      <c r="C222">
        <v>284265</v>
      </c>
      <c r="E222" t="s">
        <v>13</v>
      </c>
      <c r="F222" t="s">
        <v>31</v>
      </c>
      <c r="G222" t="s">
        <v>32</v>
      </c>
      <c r="H222">
        <v>29240822</v>
      </c>
      <c r="I222" t="s">
        <v>16</v>
      </c>
      <c r="K222" t="s">
        <v>8373</v>
      </c>
      <c r="L222">
        <v>148</v>
      </c>
      <c r="M222" t="s">
        <v>8372</v>
      </c>
    </row>
    <row r="223" spans="1:13" x14ac:dyDescent="0.35">
      <c r="A223" t="s">
        <v>4233</v>
      </c>
      <c r="B223">
        <v>284494</v>
      </c>
      <c r="C223">
        <v>284567</v>
      </c>
      <c r="E223" t="s">
        <v>13</v>
      </c>
      <c r="F223" t="s">
        <v>74</v>
      </c>
      <c r="H223">
        <v>29240823</v>
      </c>
      <c r="I223" t="s">
        <v>39</v>
      </c>
      <c r="M223" t="s">
        <v>8371</v>
      </c>
    </row>
    <row r="224" spans="1:13" x14ac:dyDescent="0.35">
      <c r="A224" t="s">
        <v>4233</v>
      </c>
      <c r="B224">
        <v>285034</v>
      </c>
      <c r="C224">
        <v>286200</v>
      </c>
      <c r="E224" t="s">
        <v>36</v>
      </c>
      <c r="F224" t="s">
        <v>8370</v>
      </c>
      <c r="H224">
        <v>29240825</v>
      </c>
      <c r="I224" t="s">
        <v>16</v>
      </c>
      <c r="K224" t="s">
        <v>8369</v>
      </c>
      <c r="L224">
        <v>388</v>
      </c>
      <c r="M224" t="s">
        <v>8368</v>
      </c>
    </row>
    <row r="225" spans="1:13" x14ac:dyDescent="0.35">
      <c r="A225" t="s">
        <v>4233</v>
      </c>
      <c r="B225">
        <v>286426</v>
      </c>
      <c r="C225">
        <v>286662</v>
      </c>
      <c r="E225" t="s">
        <v>13</v>
      </c>
      <c r="F225" t="s">
        <v>5150</v>
      </c>
      <c r="H225">
        <v>29240826</v>
      </c>
      <c r="I225" t="s">
        <v>16</v>
      </c>
      <c r="K225" t="s">
        <v>8367</v>
      </c>
      <c r="L225">
        <v>78</v>
      </c>
      <c r="M225" t="s">
        <v>8366</v>
      </c>
    </row>
    <row r="226" spans="1:13" x14ac:dyDescent="0.35">
      <c r="A226" t="s">
        <v>4233</v>
      </c>
      <c r="B226">
        <v>286710</v>
      </c>
      <c r="C226">
        <v>287402</v>
      </c>
      <c r="E226" t="s">
        <v>36</v>
      </c>
      <c r="F226" t="s">
        <v>40</v>
      </c>
      <c r="H226">
        <v>29240827</v>
      </c>
      <c r="I226" t="s">
        <v>16</v>
      </c>
      <c r="K226" t="s">
        <v>8365</v>
      </c>
      <c r="L226">
        <v>230</v>
      </c>
      <c r="M226" t="s">
        <v>8364</v>
      </c>
    </row>
    <row r="227" spans="1:13" x14ac:dyDescent="0.35">
      <c r="A227" t="s">
        <v>4233</v>
      </c>
      <c r="B227">
        <v>287428</v>
      </c>
      <c r="C227">
        <v>288132</v>
      </c>
      <c r="E227" t="s">
        <v>36</v>
      </c>
      <c r="F227" t="s">
        <v>73</v>
      </c>
      <c r="H227">
        <v>29240828</v>
      </c>
      <c r="I227" t="s">
        <v>16</v>
      </c>
      <c r="K227" t="s">
        <v>8363</v>
      </c>
      <c r="L227">
        <v>234</v>
      </c>
      <c r="M227" t="s">
        <v>8362</v>
      </c>
    </row>
    <row r="228" spans="1:13" x14ac:dyDescent="0.35">
      <c r="A228" t="s">
        <v>4233</v>
      </c>
      <c r="B228">
        <v>288717</v>
      </c>
      <c r="C228">
        <v>289319</v>
      </c>
      <c r="E228" t="s">
        <v>13</v>
      </c>
      <c r="F228" t="s">
        <v>608</v>
      </c>
      <c r="H228">
        <v>29240829</v>
      </c>
      <c r="I228" t="s">
        <v>16</v>
      </c>
      <c r="K228" t="s">
        <v>8361</v>
      </c>
      <c r="L228">
        <v>200</v>
      </c>
      <c r="M228" t="s">
        <v>8360</v>
      </c>
    </row>
    <row r="229" spans="1:13" x14ac:dyDescent="0.35">
      <c r="A229" t="s">
        <v>4233</v>
      </c>
      <c r="B229">
        <v>289331</v>
      </c>
      <c r="C229">
        <v>290497</v>
      </c>
      <c r="E229" t="s">
        <v>13</v>
      </c>
      <c r="F229" t="s">
        <v>8359</v>
      </c>
      <c r="H229">
        <v>29240830</v>
      </c>
      <c r="I229" t="s">
        <v>16</v>
      </c>
      <c r="K229" t="s">
        <v>8358</v>
      </c>
      <c r="L229">
        <v>388</v>
      </c>
      <c r="M229" t="s">
        <v>8357</v>
      </c>
    </row>
    <row r="230" spans="1:13" x14ac:dyDescent="0.35">
      <c r="A230" t="s">
        <v>4233</v>
      </c>
      <c r="B230">
        <v>291135</v>
      </c>
      <c r="C230">
        <v>291356</v>
      </c>
      <c r="E230" t="s">
        <v>13</v>
      </c>
      <c r="F230" t="s">
        <v>5150</v>
      </c>
      <c r="H230">
        <v>29240831</v>
      </c>
      <c r="I230" t="s">
        <v>16</v>
      </c>
      <c r="K230" t="s">
        <v>8356</v>
      </c>
      <c r="L230">
        <v>73</v>
      </c>
      <c r="M230" t="s">
        <v>8355</v>
      </c>
    </row>
    <row r="231" spans="1:13" x14ac:dyDescent="0.35">
      <c r="A231" t="s">
        <v>4233</v>
      </c>
      <c r="B231">
        <v>292074</v>
      </c>
      <c r="C231">
        <v>293195</v>
      </c>
      <c r="E231" t="s">
        <v>13</v>
      </c>
      <c r="F231" t="s">
        <v>121</v>
      </c>
      <c r="H231">
        <v>29240832</v>
      </c>
      <c r="I231" t="s">
        <v>16</v>
      </c>
      <c r="K231" t="s">
        <v>8354</v>
      </c>
      <c r="L231">
        <v>373</v>
      </c>
      <c r="M231" t="s">
        <v>8353</v>
      </c>
    </row>
    <row r="232" spans="1:13" x14ac:dyDescent="0.35">
      <c r="A232" t="s">
        <v>4233</v>
      </c>
      <c r="B232">
        <v>293361</v>
      </c>
      <c r="C232">
        <v>293672</v>
      </c>
      <c r="E232" t="s">
        <v>13</v>
      </c>
      <c r="F232" t="s">
        <v>40</v>
      </c>
      <c r="H232">
        <v>29240833</v>
      </c>
      <c r="I232" t="s">
        <v>16</v>
      </c>
      <c r="K232" t="s">
        <v>8352</v>
      </c>
      <c r="L232">
        <v>103</v>
      </c>
      <c r="M232" t="s">
        <v>8351</v>
      </c>
    </row>
    <row r="233" spans="1:13" x14ac:dyDescent="0.35">
      <c r="A233" t="s">
        <v>4233</v>
      </c>
      <c r="B233">
        <v>293688</v>
      </c>
      <c r="C233">
        <v>294053</v>
      </c>
      <c r="E233" t="s">
        <v>13</v>
      </c>
      <c r="F233" t="s">
        <v>40</v>
      </c>
      <c r="H233">
        <v>29240834</v>
      </c>
      <c r="I233" t="s">
        <v>16</v>
      </c>
      <c r="K233" t="s">
        <v>8350</v>
      </c>
      <c r="L233">
        <v>121</v>
      </c>
      <c r="M233" t="s">
        <v>8349</v>
      </c>
    </row>
    <row r="234" spans="1:13" x14ac:dyDescent="0.35">
      <c r="A234" t="s">
        <v>4233</v>
      </c>
      <c r="B234">
        <v>294100</v>
      </c>
      <c r="C234">
        <v>294261</v>
      </c>
      <c r="E234" t="s">
        <v>36</v>
      </c>
      <c r="F234" t="s">
        <v>449</v>
      </c>
      <c r="H234">
        <v>93018750</v>
      </c>
      <c r="I234" t="s">
        <v>16</v>
      </c>
      <c r="K234" t="s">
        <v>8348</v>
      </c>
      <c r="L234">
        <v>53</v>
      </c>
      <c r="M234" t="s">
        <v>8347</v>
      </c>
    </row>
    <row r="235" spans="1:13" x14ac:dyDescent="0.35">
      <c r="A235" t="s">
        <v>4233</v>
      </c>
      <c r="B235">
        <v>294295</v>
      </c>
      <c r="C235">
        <v>294972</v>
      </c>
      <c r="E235" t="s">
        <v>36</v>
      </c>
      <c r="F235" t="s">
        <v>8346</v>
      </c>
      <c r="H235">
        <v>29240836</v>
      </c>
      <c r="I235" t="s">
        <v>16</v>
      </c>
      <c r="K235" t="s">
        <v>8345</v>
      </c>
      <c r="L235">
        <v>225</v>
      </c>
      <c r="M235" t="s">
        <v>8344</v>
      </c>
    </row>
    <row r="236" spans="1:13" x14ac:dyDescent="0.35">
      <c r="A236" t="s">
        <v>4233</v>
      </c>
      <c r="B236">
        <v>295416</v>
      </c>
      <c r="C236">
        <v>296150</v>
      </c>
      <c r="E236" t="s">
        <v>13</v>
      </c>
      <c r="F236" t="s">
        <v>1054</v>
      </c>
      <c r="H236">
        <v>29240837</v>
      </c>
      <c r="I236" t="s">
        <v>16</v>
      </c>
      <c r="K236" t="s">
        <v>8343</v>
      </c>
      <c r="L236">
        <v>244</v>
      </c>
      <c r="M236" t="s">
        <v>8342</v>
      </c>
    </row>
    <row r="237" spans="1:13" x14ac:dyDescent="0.35">
      <c r="A237" t="s">
        <v>4233</v>
      </c>
      <c r="B237">
        <v>296234</v>
      </c>
      <c r="C237">
        <v>298870</v>
      </c>
      <c r="E237" t="s">
        <v>36</v>
      </c>
      <c r="F237" t="s">
        <v>753</v>
      </c>
      <c r="H237">
        <v>29240838</v>
      </c>
      <c r="I237" t="s">
        <v>16</v>
      </c>
      <c r="K237" t="s">
        <v>8341</v>
      </c>
      <c r="L237">
        <v>878</v>
      </c>
      <c r="M237" t="s">
        <v>8340</v>
      </c>
    </row>
    <row r="238" spans="1:13" x14ac:dyDescent="0.35">
      <c r="A238" t="s">
        <v>4233</v>
      </c>
      <c r="B238">
        <v>298980</v>
      </c>
      <c r="C238">
        <v>299261</v>
      </c>
      <c r="E238" t="s">
        <v>13</v>
      </c>
      <c r="F238" t="s">
        <v>8339</v>
      </c>
      <c r="H238">
        <v>29240839</v>
      </c>
      <c r="I238" t="s">
        <v>16</v>
      </c>
      <c r="K238" t="s">
        <v>8338</v>
      </c>
      <c r="L238">
        <v>93</v>
      </c>
      <c r="M238" t="s">
        <v>8337</v>
      </c>
    </row>
    <row r="239" spans="1:13" x14ac:dyDescent="0.35">
      <c r="A239" t="s">
        <v>4233</v>
      </c>
      <c r="B239">
        <v>299388</v>
      </c>
      <c r="C239">
        <v>300815</v>
      </c>
      <c r="E239" t="s">
        <v>13</v>
      </c>
      <c r="F239" t="s">
        <v>8336</v>
      </c>
      <c r="G239" t="s">
        <v>8335</v>
      </c>
      <c r="H239">
        <v>29240840</v>
      </c>
      <c r="I239" t="s">
        <v>16</v>
      </c>
      <c r="K239" t="s">
        <v>8334</v>
      </c>
      <c r="L239">
        <v>475</v>
      </c>
      <c r="M239" t="s">
        <v>8333</v>
      </c>
    </row>
    <row r="240" spans="1:13" x14ac:dyDescent="0.35">
      <c r="A240" t="s">
        <v>4233</v>
      </c>
      <c r="B240">
        <v>300812</v>
      </c>
      <c r="C240">
        <v>301441</v>
      </c>
      <c r="E240" t="s">
        <v>13</v>
      </c>
      <c r="F240" t="s">
        <v>40</v>
      </c>
      <c r="H240">
        <v>29240841</v>
      </c>
      <c r="I240" t="s">
        <v>16</v>
      </c>
      <c r="K240" t="s">
        <v>8332</v>
      </c>
      <c r="L240">
        <v>209</v>
      </c>
      <c r="M240" t="s">
        <v>8331</v>
      </c>
    </row>
    <row r="241" spans="1:13" x14ac:dyDescent="0.35">
      <c r="A241" t="s">
        <v>4233</v>
      </c>
      <c r="B241">
        <v>301530</v>
      </c>
      <c r="C241">
        <v>302045</v>
      </c>
      <c r="E241" t="s">
        <v>13</v>
      </c>
      <c r="F241" t="s">
        <v>45</v>
      </c>
      <c r="H241">
        <v>97007085</v>
      </c>
      <c r="I241" t="s">
        <v>46</v>
      </c>
      <c r="M241" t="s">
        <v>8330</v>
      </c>
    </row>
    <row r="242" spans="1:13" x14ac:dyDescent="0.35">
      <c r="A242" t="s">
        <v>4233</v>
      </c>
      <c r="B242">
        <v>302190</v>
      </c>
      <c r="C242">
        <v>302468</v>
      </c>
      <c r="E242" t="s">
        <v>13</v>
      </c>
      <c r="F242" t="s">
        <v>45</v>
      </c>
      <c r="H242">
        <v>97007086</v>
      </c>
      <c r="I242" t="s">
        <v>46</v>
      </c>
      <c r="M242" t="s">
        <v>8329</v>
      </c>
    </row>
    <row r="243" spans="1:13" x14ac:dyDescent="0.35">
      <c r="A243" t="s">
        <v>4233</v>
      </c>
      <c r="B243">
        <v>302669</v>
      </c>
      <c r="C243">
        <v>303605</v>
      </c>
      <c r="E243" t="s">
        <v>13</v>
      </c>
      <c r="F243" t="s">
        <v>45</v>
      </c>
      <c r="H243">
        <v>42569786</v>
      </c>
      <c r="I243" t="s">
        <v>46</v>
      </c>
      <c r="M243" t="s">
        <v>8328</v>
      </c>
    </row>
    <row r="244" spans="1:13" x14ac:dyDescent="0.35">
      <c r="A244" t="s">
        <v>4233</v>
      </c>
      <c r="B244">
        <v>303602</v>
      </c>
      <c r="C244">
        <v>304648</v>
      </c>
      <c r="E244" t="s">
        <v>13</v>
      </c>
      <c r="F244" t="s">
        <v>8327</v>
      </c>
      <c r="H244">
        <v>97007087</v>
      </c>
      <c r="I244" t="s">
        <v>16</v>
      </c>
      <c r="K244" t="s">
        <v>8326</v>
      </c>
      <c r="L244">
        <v>348</v>
      </c>
      <c r="M244" t="s">
        <v>8325</v>
      </c>
    </row>
    <row r="245" spans="1:13" x14ac:dyDescent="0.35">
      <c r="A245" t="s">
        <v>4233</v>
      </c>
      <c r="B245">
        <v>304724</v>
      </c>
      <c r="C245">
        <v>305686</v>
      </c>
      <c r="E245" t="s">
        <v>36</v>
      </c>
      <c r="F245" t="s">
        <v>40</v>
      </c>
      <c r="H245">
        <v>29240845</v>
      </c>
      <c r="I245" t="s">
        <v>16</v>
      </c>
      <c r="K245" t="s">
        <v>8324</v>
      </c>
      <c r="L245">
        <v>320</v>
      </c>
      <c r="M245" t="s">
        <v>8323</v>
      </c>
    </row>
    <row r="246" spans="1:13" x14ac:dyDescent="0.35">
      <c r="A246" t="s">
        <v>4233</v>
      </c>
      <c r="B246">
        <v>306541</v>
      </c>
      <c r="C246">
        <v>306840</v>
      </c>
      <c r="E246" t="s">
        <v>13</v>
      </c>
      <c r="F246" t="s">
        <v>469</v>
      </c>
      <c r="G246" t="s">
        <v>470</v>
      </c>
      <c r="H246">
        <v>29240846</v>
      </c>
      <c r="I246" t="s">
        <v>16</v>
      </c>
      <c r="K246" t="s">
        <v>8322</v>
      </c>
      <c r="L246">
        <v>99</v>
      </c>
      <c r="M246" t="s">
        <v>8321</v>
      </c>
    </row>
    <row r="247" spans="1:13" x14ac:dyDescent="0.35">
      <c r="A247" t="s">
        <v>4233</v>
      </c>
      <c r="B247">
        <v>306844</v>
      </c>
      <c r="C247">
        <v>308385</v>
      </c>
      <c r="E247" t="s">
        <v>13</v>
      </c>
      <c r="F247" t="s">
        <v>471</v>
      </c>
      <c r="G247" t="s">
        <v>472</v>
      </c>
      <c r="H247">
        <v>29240847</v>
      </c>
      <c r="I247" t="s">
        <v>16</v>
      </c>
      <c r="K247" t="s">
        <v>8320</v>
      </c>
      <c r="L247">
        <v>513</v>
      </c>
      <c r="M247" t="s">
        <v>8319</v>
      </c>
    </row>
    <row r="248" spans="1:13" x14ac:dyDescent="0.35">
      <c r="A248" t="s">
        <v>4233</v>
      </c>
      <c r="B248">
        <v>308411</v>
      </c>
      <c r="C248">
        <v>309910</v>
      </c>
      <c r="E248" t="s">
        <v>13</v>
      </c>
      <c r="F248" t="s">
        <v>473</v>
      </c>
      <c r="G248" t="s">
        <v>474</v>
      </c>
      <c r="H248">
        <v>29240848</v>
      </c>
      <c r="I248" t="s">
        <v>16</v>
      </c>
      <c r="K248" t="s">
        <v>8318</v>
      </c>
      <c r="L248">
        <v>499</v>
      </c>
      <c r="M248" t="s">
        <v>8317</v>
      </c>
    </row>
    <row r="249" spans="1:13" x14ac:dyDescent="0.35">
      <c r="A249" t="s">
        <v>4233</v>
      </c>
      <c r="B249">
        <v>310051</v>
      </c>
      <c r="C249">
        <v>311097</v>
      </c>
      <c r="E249" t="s">
        <v>13</v>
      </c>
      <c r="F249" t="s">
        <v>177</v>
      </c>
      <c r="H249">
        <v>29240849</v>
      </c>
      <c r="I249" t="s">
        <v>16</v>
      </c>
      <c r="K249" t="s">
        <v>8316</v>
      </c>
      <c r="L249">
        <v>348</v>
      </c>
      <c r="M249" t="s">
        <v>8315</v>
      </c>
    </row>
    <row r="250" spans="1:13" x14ac:dyDescent="0.35">
      <c r="A250" t="s">
        <v>4233</v>
      </c>
      <c r="B250">
        <v>311104</v>
      </c>
      <c r="C250">
        <v>311418</v>
      </c>
      <c r="E250" t="s">
        <v>13</v>
      </c>
      <c r="F250" t="s">
        <v>8314</v>
      </c>
      <c r="H250">
        <v>29240850</v>
      </c>
      <c r="I250" t="s">
        <v>16</v>
      </c>
      <c r="K250" t="s">
        <v>8313</v>
      </c>
      <c r="L250">
        <v>104</v>
      </c>
      <c r="M250" t="s">
        <v>8312</v>
      </c>
    </row>
    <row r="251" spans="1:13" x14ac:dyDescent="0.35">
      <c r="A251" t="s">
        <v>4233</v>
      </c>
      <c r="B251">
        <v>311589</v>
      </c>
      <c r="C251">
        <v>313202</v>
      </c>
      <c r="E251" t="s">
        <v>13</v>
      </c>
      <c r="F251" t="s">
        <v>412</v>
      </c>
      <c r="H251">
        <v>29240851</v>
      </c>
      <c r="I251" t="s">
        <v>16</v>
      </c>
      <c r="K251" t="s">
        <v>8311</v>
      </c>
      <c r="L251">
        <v>537</v>
      </c>
      <c r="M251" t="s">
        <v>8310</v>
      </c>
    </row>
    <row r="252" spans="1:13" x14ac:dyDescent="0.35">
      <c r="A252" t="s">
        <v>4233</v>
      </c>
      <c r="B252">
        <v>313558</v>
      </c>
      <c r="C252">
        <v>315534</v>
      </c>
      <c r="E252" t="s">
        <v>13</v>
      </c>
      <c r="F252" t="s">
        <v>8309</v>
      </c>
      <c r="G252" t="s">
        <v>8308</v>
      </c>
      <c r="H252">
        <v>29240852</v>
      </c>
      <c r="I252" t="s">
        <v>16</v>
      </c>
      <c r="K252" t="s">
        <v>8307</v>
      </c>
      <c r="L252">
        <v>658</v>
      </c>
      <c r="M252" t="s">
        <v>8306</v>
      </c>
    </row>
    <row r="253" spans="1:13" x14ac:dyDescent="0.35">
      <c r="A253" t="s">
        <v>4233</v>
      </c>
      <c r="B253">
        <v>315780</v>
      </c>
      <c r="C253">
        <v>316109</v>
      </c>
      <c r="E253" t="s">
        <v>13</v>
      </c>
      <c r="F253" t="s">
        <v>8305</v>
      </c>
      <c r="H253">
        <v>29240853</v>
      </c>
      <c r="I253" t="s">
        <v>16</v>
      </c>
      <c r="K253" t="s">
        <v>8304</v>
      </c>
      <c r="L253">
        <v>109</v>
      </c>
      <c r="M253" t="s">
        <v>8303</v>
      </c>
    </row>
    <row r="254" spans="1:13" x14ac:dyDescent="0.35">
      <c r="A254" t="s">
        <v>4233</v>
      </c>
      <c r="B254">
        <v>316131</v>
      </c>
      <c r="C254">
        <v>317387</v>
      </c>
      <c r="E254" t="s">
        <v>36</v>
      </c>
      <c r="F254" t="s">
        <v>8302</v>
      </c>
      <c r="H254">
        <v>29240854</v>
      </c>
      <c r="I254" t="s">
        <v>16</v>
      </c>
      <c r="K254" t="s">
        <v>8301</v>
      </c>
      <c r="L254">
        <v>418</v>
      </c>
      <c r="M254" t="s">
        <v>8300</v>
      </c>
    </row>
    <row r="255" spans="1:13" x14ac:dyDescent="0.35">
      <c r="A255" t="s">
        <v>4233</v>
      </c>
      <c r="B255">
        <v>317944</v>
      </c>
      <c r="C255">
        <v>318762</v>
      </c>
      <c r="E255" t="s">
        <v>13</v>
      </c>
      <c r="F255" t="s">
        <v>86</v>
      </c>
      <c r="H255">
        <v>29240855</v>
      </c>
      <c r="I255" t="s">
        <v>16</v>
      </c>
      <c r="K255" t="s">
        <v>8299</v>
      </c>
      <c r="L255">
        <v>272</v>
      </c>
      <c r="M255" t="s">
        <v>8298</v>
      </c>
    </row>
    <row r="256" spans="1:13" x14ac:dyDescent="0.35">
      <c r="A256" t="s">
        <v>4233</v>
      </c>
      <c r="B256">
        <v>319024</v>
      </c>
      <c r="C256">
        <v>320346</v>
      </c>
      <c r="E256" t="s">
        <v>13</v>
      </c>
      <c r="F256" t="s">
        <v>590</v>
      </c>
      <c r="H256">
        <v>29240856</v>
      </c>
      <c r="I256" t="s">
        <v>16</v>
      </c>
      <c r="K256" t="s">
        <v>8297</v>
      </c>
      <c r="L256">
        <v>440</v>
      </c>
      <c r="M256" t="s">
        <v>8296</v>
      </c>
    </row>
    <row r="257" spans="1:13" x14ac:dyDescent="0.35">
      <c r="A257" t="s">
        <v>4233</v>
      </c>
      <c r="B257">
        <v>320446</v>
      </c>
      <c r="C257">
        <v>321336</v>
      </c>
      <c r="E257" t="s">
        <v>13</v>
      </c>
      <c r="F257" t="s">
        <v>453</v>
      </c>
      <c r="H257">
        <v>29240857</v>
      </c>
      <c r="I257" t="s">
        <v>16</v>
      </c>
      <c r="K257" t="s">
        <v>8295</v>
      </c>
      <c r="L257">
        <v>296</v>
      </c>
      <c r="M257" t="s">
        <v>8294</v>
      </c>
    </row>
    <row r="258" spans="1:13" x14ac:dyDescent="0.35">
      <c r="A258" t="s">
        <v>4233</v>
      </c>
      <c r="B258">
        <v>321338</v>
      </c>
      <c r="C258">
        <v>322207</v>
      </c>
      <c r="E258" t="s">
        <v>13</v>
      </c>
      <c r="F258" t="s">
        <v>453</v>
      </c>
      <c r="H258">
        <v>29240858</v>
      </c>
      <c r="I258" t="s">
        <v>16</v>
      </c>
      <c r="K258" t="s">
        <v>8293</v>
      </c>
      <c r="L258">
        <v>289</v>
      </c>
      <c r="M258" t="s">
        <v>8292</v>
      </c>
    </row>
    <row r="259" spans="1:13" x14ac:dyDescent="0.35">
      <c r="A259" t="s">
        <v>4233</v>
      </c>
      <c r="B259">
        <v>322250</v>
      </c>
      <c r="C259">
        <v>324052</v>
      </c>
      <c r="E259" t="s">
        <v>13</v>
      </c>
      <c r="F259" t="s">
        <v>8291</v>
      </c>
      <c r="H259">
        <v>29240859</v>
      </c>
      <c r="I259" t="s">
        <v>16</v>
      </c>
      <c r="K259" t="s">
        <v>8290</v>
      </c>
      <c r="L259">
        <v>600</v>
      </c>
      <c r="M259" t="s">
        <v>8289</v>
      </c>
    </row>
    <row r="260" spans="1:13" x14ac:dyDescent="0.35">
      <c r="A260" t="s">
        <v>4233</v>
      </c>
      <c r="B260">
        <v>324452</v>
      </c>
      <c r="C260">
        <v>324841</v>
      </c>
      <c r="E260" t="s">
        <v>13</v>
      </c>
      <c r="F260" t="s">
        <v>8288</v>
      </c>
      <c r="H260">
        <v>29240861</v>
      </c>
      <c r="I260" t="s">
        <v>16</v>
      </c>
      <c r="K260" t="s">
        <v>8287</v>
      </c>
      <c r="L260">
        <v>129</v>
      </c>
      <c r="M260" t="s">
        <v>8286</v>
      </c>
    </row>
    <row r="261" spans="1:13" x14ac:dyDescent="0.35">
      <c r="A261" t="s">
        <v>4233</v>
      </c>
      <c r="B261">
        <v>324988</v>
      </c>
      <c r="C261">
        <v>326973</v>
      </c>
      <c r="E261" t="s">
        <v>13</v>
      </c>
      <c r="F261" t="s">
        <v>40</v>
      </c>
      <c r="H261">
        <v>29240862</v>
      </c>
      <c r="I261" t="s">
        <v>16</v>
      </c>
      <c r="K261" t="s">
        <v>8285</v>
      </c>
      <c r="L261">
        <v>661</v>
      </c>
      <c r="M261" t="s">
        <v>8284</v>
      </c>
    </row>
    <row r="262" spans="1:13" x14ac:dyDescent="0.35">
      <c r="A262" t="s">
        <v>4233</v>
      </c>
      <c r="B262">
        <v>327006</v>
      </c>
      <c r="C262">
        <v>329741</v>
      </c>
      <c r="E262" t="s">
        <v>36</v>
      </c>
      <c r="F262" t="s">
        <v>651</v>
      </c>
      <c r="G262" t="s">
        <v>8283</v>
      </c>
      <c r="H262">
        <v>29240863</v>
      </c>
      <c r="I262" t="s">
        <v>16</v>
      </c>
      <c r="K262" t="s">
        <v>8282</v>
      </c>
      <c r="L262">
        <v>911</v>
      </c>
      <c r="M262" t="s">
        <v>8281</v>
      </c>
    </row>
    <row r="263" spans="1:13" x14ac:dyDescent="0.35">
      <c r="A263" t="s">
        <v>4233</v>
      </c>
      <c r="B263">
        <v>329793</v>
      </c>
      <c r="C263">
        <v>331322</v>
      </c>
      <c r="E263" t="s">
        <v>36</v>
      </c>
      <c r="F263" t="s">
        <v>590</v>
      </c>
      <c r="H263">
        <v>29240864</v>
      </c>
      <c r="I263" t="s">
        <v>16</v>
      </c>
      <c r="K263" t="s">
        <v>8280</v>
      </c>
      <c r="L263">
        <v>509</v>
      </c>
      <c r="M263" t="s">
        <v>8279</v>
      </c>
    </row>
    <row r="264" spans="1:13" x14ac:dyDescent="0.35">
      <c r="A264" t="s">
        <v>4233</v>
      </c>
      <c r="B264">
        <v>331357</v>
      </c>
      <c r="C264">
        <v>332025</v>
      </c>
      <c r="E264" t="s">
        <v>36</v>
      </c>
      <c r="F264" t="s">
        <v>859</v>
      </c>
      <c r="G264" t="s">
        <v>860</v>
      </c>
      <c r="H264">
        <v>29240865</v>
      </c>
      <c r="I264" t="s">
        <v>16</v>
      </c>
      <c r="K264" t="s">
        <v>8278</v>
      </c>
      <c r="L264">
        <v>222</v>
      </c>
      <c r="M264" t="s">
        <v>8277</v>
      </c>
    </row>
    <row r="265" spans="1:13" x14ac:dyDescent="0.35">
      <c r="A265" t="s">
        <v>4233</v>
      </c>
      <c r="B265">
        <v>332050</v>
      </c>
      <c r="C265">
        <v>332820</v>
      </c>
      <c r="E265" t="s">
        <v>36</v>
      </c>
      <c r="F265" t="s">
        <v>608</v>
      </c>
      <c r="H265">
        <v>29240866</v>
      </c>
      <c r="I265" t="s">
        <v>16</v>
      </c>
      <c r="K265" t="s">
        <v>8276</v>
      </c>
      <c r="L265">
        <v>256</v>
      </c>
      <c r="M265" t="s">
        <v>8275</v>
      </c>
    </row>
    <row r="266" spans="1:13" x14ac:dyDescent="0.35">
      <c r="A266" t="s">
        <v>4233</v>
      </c>
      <c r="B266">
        <v>333000</v>
      </c>
      <c r="C266">
        <v>333704</v>
      </c>
      <c r="E266" t="s">
        <v>36</v>
      </c>
      <c r="F266" t="s">
        <v>40</v>
      </c>
      <c r="H266">
        <v>29240867</v>
      </c>
      <c r="I266" t="s">
        <v>16</v>
      </c>
      <c r="K266" t="s">
        <v>8274</v>
      </c>
      <c r="L266">
        <v>234</v>
      </c>
      <c r="M266" t="s">
        <v>8273</v>
      </c>
    </row>
    <row r="267" spans="1:13" x14ac:dyDescent="0.35">
      <c r="A267" t="s">
        <v>4233</v>
      </c>
      <c r="B267">
        <v>333814</v>
      </c>
      <c r="C267">
        <v>334392</v>
      </c>
      <c r="E267" t="s">
        <v>36</v>
      </c>
      <c r="F267" t="s">
        <v>8272</v>
      </c>
      <c r="H267">
        <v>29240868</v>
      </c>
      <c r="I267" t="s">
        <v>16</v>
      </c>
      <c r="K267" t="s">
        <v>8271</v>
      </c>
      <c r="L267">
        <v>192</v>
      </c>
      <c r="M267" t="s">
        <v>8270</v>
      </c>
    </row>
    <row r="268" spans="1:13" x14ac:dyDescent="0.35">
      <c r="A268" t="s">
        <v>4233</v>
      </c>
      <c r="B268">
        <v>334566</v>
      </c>
      <c r="C268">
        <v>335060</v>
      </c>
      <c r="E268" t="s">
        <v>36</v>
      </c>
      <c r="F268" t="s">
        <v>8269</v>
      </c>
      <c r="H268">
        <v>29240869</v>
      </c>
      <c r="I268" t="s">
        <v>16</v>
      </c>
      <c r="K268" t="s">
        <v>8268</v>
      </c>
      <c r="L268">
        <v>164</v>
      </c>
      <c r="M268" t="s">
        <v>8267</v>
      </c>
    </row>
    <row r="269" spans="1:13" x14ac:dyDescent="0.35">
      <c r="A269" t="s">
        <v>4233</v>
      </c>
      <c r="B269">
        <v>335146</v>
      </c>
      <c r="C269">
        <v>337380</v>
      </c>
      <c r="E269" t="s">
        <v>36</v>
      </c>
      <c r="F269" t="s">
        <v>8266</v>
      </c>
      <c r="H269">
        <v>29240870</v>
      </c>
      <c r="I269" t="s">
        <v>16</v>
      </c>
      <c r="K269" t="s">
        <v>8265</v>
      </c>
      <c r="L269">
        <v>744</v>
      </c>
      <c r="M269" t="s">
        <v>8264</v>
      </c>
    </row>
    <row r="270" spans="1:13" x14ac:dyDescent="0.35">
      <c r="A270" t="s">
        <v>4233</v>
      </c>
      <c r="B270">
        <v>337627</v>
      </c>
      <c r="C270">
        <v>339561</v>
      </c>
      <c r="E270" t="s">
        <v>13</v>
      </c>
      <c r="F270" t="s">
        <v>40</v>
      </c>
      <c r="H270">
        <v>29240871</v>
      </c>
      <c r="I270" t="s">
        <v>16</v>
      </c>
      <c r="K270" t="s">
        <v>8263</v>
      </c>
      <c r="L270">
        <v>644</v>
      </c>
      <c r="M270" t="s">
        <v>8262</v>
      </c>
    </row>
    <row r="271" spans="1:13" x14ac:dyDescent="0.35">
      <c r="A271" t="s">
        <v>4233</v>
      </c>
      <c r="B271">
        <v>339614</v>
      </c>
      <c r="C271">
        <v>339690</v>
      </c>
      <c r="E271" t="s">
        <v>36</v>
      </c>
      <c r="F271" t="s">
        <v>418</v>
      </c>
      <c r="H271">
        <v>29240872</v>
      </c>
      <c r="I271" t="s">
        <v>39</v>
      </c>
      <c r="M271" t="s">
        <v>8261</v>
      </c>
    </row>
    <row r="272" spans="1:13" x14ac:dyDescent="0.35">
      <c r="A272" t="s">
        <v>4233</v>
      </c>
      <c r="B272">
        <v>339918</v>
      </c>
      <c r="C272">
        <v>340952</v>
      </c>
      <c r="E272" t="s">
        <v>13</v>
      </c>
      <c r="F272" t="s">
        <v>900</v>
      </c>
      <c r="G272" t="s">
        <v>8260</v>
      </c>
      <c r="H272">
        <v>29240873</v>
      </c>
      <c r="I272" t="s">
        <v>16</v>
      </c>
      <c r="K272" t="s">
        <v>8259</v>
      </c>
      <c r="L272">
        <v>344</v>
      </c>
      <c r="M272" t="s">
        <v>8258</v>
      </c>
    </row>
    <row r="273" spans="1:13" x14ac:dyDescent="0.35">
      <c r="A273" t="s">
        <v>4233</v>
      </c>
      <c r="B273">
        <v>341297</v>
      </c>
      <c r="C273">
        <v>342106</v>
      </c>
      <c r="E273" t="s">
        <v>13</v>
      </c>
      <c r="F273" t="s">
        <v>626</v>
      </c>
      <c r="G273" t="s">
        <v>627</v>
      </c>
      <c r="H273">
        <v>29240874</v>
      </c>
      <c r="I273" t="s">
        <v>16</v>
      </c>
      <c r="K273" t="s">
        <v>8257</v>
      </c>
      <c r="L273">
        <v>269</v>
      </c>
      <c r="M273" t="s">
        <v>8256</v>
      </c>
    </row>
    <row r="274" spans="1:13" x14ac:dyDescent="0.35">
      <c r="A274" t="s">
        <v>4233</v>
      </c>
      <c r="B274">
        <v>342204</v>
      </c>
      <c r="C274">
        <v>342434</v>
      </c>
      <c r="E274" t="s">
        <v>13</v>
      </c>
      <c r="F274" t="s">
        <v>8255</v>
      </c>
      <c r="G274" t="s">
        <v>630</v>
      </c>
      <c r="H274">
        <v>29240875</v>
      </c>
      <c r="I274" t="s">
        <v>16</v>
      </c>
      <c r="K274" t="s">
        <v>8254</v>
      </c>
      <c r="L274">
        <v>76</v>
      </c>
      <c r="M274" t="s">
        <v>8253</v>
      </c>
    </row>
    <row r="275" spans="1:13" x14ac:dyDescent="0.35">
      <c r="A275" t="s">
        <v>4233</v>
      </c>
      <c r="B275">
        <v>342500</v>
      </c>
      <c r="C275">
        <v>343018</v>
      </c>
      <c r="E275" t="s">
        <v>13</v>
      </c>
      <c r="F275" t="s">
        <v>631</v>
      </c>
      <c r="H275">
        <v>29240876</v>
      </c>
      <c r="I275" t="s">
        <v>16</v>
      </c>
      <c r="K275" t="s">
        <v>8252</v>
      </c>
      <c r="L275">
        <v>172</v>
      </c>
      <c r="M275" t="s">
        <v>8251</v>
      </c>
    </row>
    <row r="276" spans="1:13" x14ac:dyDescent="0.35">
      <c r="A276" t="s">
        <v>4233</v>
      </c>
      <c r="B276">
        <v>343053</v>
      </c>
      <c r="C276">
        <v>343889</v>
      </c>
      <c r="E276" t="s">
        <v>13</v>
      </c>
      <c r="F276" t="s">
        <v>632</v>
      </c>
      <c r="H276">
        <v>29240877</v>
      </c>
      <c r="I276" t="s">
        <v>16</v>
      </c>
      <c r="K276" t="s">
        <v>8250</v>
      </c>
      <c r="L276">
        <v>278</v>
      </c>
      <c r="M276" t="s">
        <v>8249</v>
      </c>
    </row>
    <row r="277" spans="1:13" x14ac:dyDescent="0.35">
      <c r="A277" t="s">
        <v>4233</v>
      </c>
      <c r="B277">
        <v>343958</v>
      </c>
      <c r="C277">
        <v>345589</v>
      </c>
      <c r="E277" t="s">
        <v>13</v>
      </c>
      <c r="F277" t="s">
        <v>633</v>
      </c>
      <c r="G277" t="s">
        <v>634</v>
      </c>
      <c r="H277">
        <v>29240878</v>
      </c>
      <c r="I277" t="s">
        <v>16</v>
      </c>
      <c r="K277" t="s">
        <v>8248</v>
      </c>
      <c r="L277">
        <v>543</v>
      </c>
      <c r="M277" t="s">
        <v>8247</v>
      </c>
    </row>
    <row r="278" spans="1:13" x14ac:dyDescent="0.35">
      <c r="A278" t="s">
        <v>4233</v>
      </c>
      <c r="B278">
        <v>345593</v>
      </c>
      <c r="C278">
        <v>346516</v>
      </c>
      <c r="E278" t="s">
        <v>13</v>
      </c>
      <c r="F278" t="s">
        <v>635</v>
      </c>
      <c r="H278">
        <v>29240879</v>
      </c>
      <c r="I278" t="s">
        <v>16</v>
      </c>
      <c r="K278" t="s">
        <v>8246</v>
      </c>
      <c r="L278">
        <v>307</v>
      </c>
      <c r="M278" t="s">
        <v>8245</v>
      </c>
    </row>
    <row r="279" spans="1:13" x14ac:dyDescent="0.35">
      <c r="A279" t="s">
        <v>4233</v>
      </c>
      <c r="B279">
        <v>346525</v>
      </c>
      <c r="C279">
        <v>347997</v>
      </c>
      <c r="E279" t="s">
        <v>13</v>
      </c>
      <c r="F279" t="s">
        <v>636</v>
      </c>
      <c r="G279" t="s">
        <v>637</v>
      </c>
      <c r="H279">
        <v>29240880</v>
      </c>
      <c r="I279" t="s">
        <v>16</v>
      </c>
      <c r="K279" t="s">
        <v>8244</v>
      </c>
      <c r="L279">
        <v>490</v>
      </c>
      <c r="M279" t="s">
        <v>8243</v>
      </c>
    </row>
    <row r="280" spans="1:13" x14ac:dyDescent="0.35">
      <c r="A280" t="s">
        <v>4233</v>
      </c>
      <c r="B280">
        <v>347997</v>
      </c>
      <c r="C280">
        <v>348290</v>
      </c>
      <c r="E280" t="s">
        <v>13</v>
      </c>
      <c r="F280" t="s">
        <v>638</v>
      </c>
      <c r="H280">
        <v>29240881</v>
      </c>
      <c r="I280" t="s">
        <v>16</v>
      </c>
      <c r="K280" t="s">
        <v>8242</v>
      </c>
      <c r="L280">
        <v>97</v>
      </c>
      <c r="M280" t="s">
        <v>8241</v>
      </c>
    </row>
    <row r="281" spans="1:13" x14ac:dyDescent="0.35">
      <c r="A281" t="s">
        <v>4233</v>
      </c>
      <c r="B281">
        <v>348376</v>
      </c>
      <c r="C281">
        <v>349080</v>
      </c>
      <c r="E281" t="s">
        <v>13</v>
      </c>
      <c r="F281" t="s">
        <v>8240</v>
      </c>
      <c r="G281" t="s">
        <v>8239</v>
      </c>
      <c r="H281">
        <v>29240882</v>
      </c>
      <c r="I281" t="s">
        <v>16</v>
      </c>
      <c r="K281" t="s">
        <v>8238</v>
      </c>
      <c r="L281">
        <v>234</v>
      </c>
      <c r="M281" t="s">
        <v>8237</v>
      </c>
    </row>
    <row r="282" spans="1:13" x14ac:dyDescent="0.35">
      <c r="A282" t="s">
        <v>4233</v>
      </c>
      <c r="B282">
        <v>349211</v>
      </c>
      <c r="C282">
        <v>350164</v>
      </c>
      <c r="E282" t="s">
        <v>36</v>
      </c>
      <c r="F282" t="s">
        <v>7290</v>
      </c>
      <c r="H282">
        <v>29240883</v>
      </c>
      <c r="I282" t="s">
        <v>16</v>
      </c>
      <c r="K282" t="s">
        <v>8236</v>
      </c>
      <c r="L282">
        <v>317</v>
      </c>
      <c r="M282" t="s">
        <v>8235</v>
      </c>
    </row>
    <row r="283" spans="1:13" x14ac:dyDescent="0.35">
      <c r="A283" t="s">
        <v>4233</v>
      </c>
      <c r="B283">
        <v>350266</v>
      </c>
      <c r="C283">
        <v>351504</v>
      </c>
      <c r="E283" t="s">
        <v>13</v>
      </c>
      <c r="F283" t="s">
        <v>40</v>
      </c>
      <c r="H283">
        <v>29240884</v>
      </c>
      <c r="I283" t="s">
        <v>16</v>
      </c>
      <c r="K283" t="s">
        <v>8234</v>
      </c>
      <c r="L283">
        <v>412</v>
      </c>
      <c r="M283" t="s">
        <v>8233</v>
      </c>
    </row>
    <row r="284" spans="1:13" x14ac:dyDescent="0.35">
      <c r="A284" t="s">
        <v>4233</v>
      </c>
      <c r="B284">
        <v>351504</v>
      </c>
      <c r="C284">
        <v>352508</v>
      </c>
      <c r="E284" t="s">
        <v>13</v>
      </c>
      <c r="F284" t="s">
        <v>40</v>
      </c>
      <c r="H284">
        <v>29240885</v>
      </c>
      <c r="I284" t="s">
        <v>16</v>
      </c>
      <c r="K284" t="s">
        <v>8232</v>
      </c>
      <c r="L284">
        <v>334</v>
      </c>
      <c r="M284" t="s">
        <v>8231</v>
      </c>
    </row>
    <row r="285" spans="1:13" x14ac:dyDescent="0.35">
      <c r="A285" t="s">
        <v>4233</v>
      </c>
      <c r="B285">
        <v>352731</v>
      </c>
      <c r="C285">
        <v>353702</v>
      </c>
      <c r="E285" t="s">
        <v>13</v>
      </c>
      <c r="F285" t="s">
        <v>684</v>
      </c>
      <c r="H285">
        <v>29240886</v>
      </c>
      <c r="I285" t="s">
        <v>16</v>
      </c>
      <c r="K285" t="s">
        <v>8230</v>
      </c>
      <c r="L285">
        <v>323</v>
      </c>
      <c r="M285" t="s">
        <v>8229</v>
      </c>
    </row>
    <row r="286" spans="1:13" x14ac:dyDescent="0.35">
      <c r="A286" t="s">
        <v>4233</v>
      </c>
      <c r="B286">
        <v>353841</v>
      </c>
      <c r="C286">
        <v>354467</v>
      </c>
      <c r="E286" t="s">
        <v>36</v>
      </c>
      <c r="F286" t="s">
        <v>8228</v>
      </c>
      <c r="H286">
        <v>29240887</v>
      </c>
      <c r="I286" t="s">
        <v>16</v>
      </c>
      <c r="K286" t="s">
        <v>8227</v>
      </c>
      <c r="L286">
        <v>208</v>
      </c>
      <c r="M286" t="s">
        <v>8226</v>
      </c>
    </row>
    <row r="287" spans="1:13" x14ac:dyDescent="0.35">
      <c r="A287" t="s">
        <v>4233</v>
      </c>
      <c r="B287">
        <v>354615</v>
      </c>
      <c r="C287">
        <v>354690</v>
      </c>
      <c r="E287" t="s">
        <v>13</v>
      </c>
      <c r="F287" t="s">
        <v>417</v>
      </c>
      <c r="H287">
        <v>29240888</v>
      </c>
      <c r="I287" t="s">
        <v>39</v>
      </c>
      <c r="M287" t="s">
        <v>8225</v>
      </c>
    </row>
    <row r="288" spans="1:13" x14ac:dyDescent="0.35">
      <c r="A288" t="s">
        <v>4233</v>
      </c>
      <c r="B288">
        <v>354861</v>
      </c>
      <c r="C288">
        <v>355001</v>
      </c>
      <c r="E288" t="s">
        <v>13</v>
      </c>
      <c r="F288" t="s">
        <v>40</v>
      </c>
      <c r="H288">
        <v>55549228</v>
      </c>
      <c r="I288" t="s">
        <v>16</v>
      </c>
      <c r="K288" t="s">
        <v>8224</v>
      </c>
      <c r="L288">
        <v>46</v>
      </c>
      <c r="M288" t="s">
        <v>8223</v>
      </c>
    </row>
    <row r="289" spans="1:13" x14ac:dyDescent="0.35">
      <c r="A289" t="s">
        <v>4233</v>
      </c>
      <c r="B289">
        <v>355147</v>
      </c>
      <c r="C289">
        <v>355536</v>
      </c>
      <c r="E289" t="s">
        <v>13</v>
      </c>
      <c r="F289" t="s">
        <v>8222</v>
      </c>
      <c r="H289">
        <v>29240889</v>
      </c>
      <c r="I289" t="s">
        <v>16</v>
      </c>
      <c r="K289" t="s">
        <v>8221</v>
      </c>
      <c r="L289">
        <v>129</v>
      </c>
      <c r="M289" t="s">
        <v>8220</v>
      </c>
    </row>
    <row r="290" spans="1:13" x14ac:dyDescent="0.35">
      <c r="A290" t="s">
        <v>4233</v>
      </c>
      <c r="B290">
        <v>355698</v>
      </c>
      <c r="C290">
        <v>356615</v>
      </c>
      <c r="E290" t="s">
        <v>13</v>
      </c>
      <c r="F290" t="s">
        <v>72</v>
      </c>
      <c r="H290">
        <v>29240890</v>
      </c>
      <c r="I290" t="s">
        <v>16</v>
      </c>
      <c r="K290" t="s">
        <v>8219</v>
      </c>
      <c r="L290">
        <v>305</v>
      </c>
      <c r="M290" t="s">
        <v>8218</v>
      </c>
    </row>
    <row r="291" spans="1:13" x14ac:dyDescent="0.35">
      <c r="A291" t="s">
        <v>4233</v>
      </c>
      <c r="B291">
        <v>356808</v>
      </c>
      <c r="C291">
        <v>357809</v>
      </c>
      <c r="E291" t="s">
        <v>13</v>
      </c>
      <c r="F291" t="s">
        <v>549</v>
      </c>
      <c r="H291">
        <v>29240891</v>
      </c>
      <c r="I291" t="s">
        <v>16</v>
      </c>
      <c r="K291" t="s">
        <v>8217</v>
      </c>
      <c r="L291">
        <v>333</v>
      </c>
      <c r="M291" t="s">
        <v>8216</v>
      </c>
    </row>
    <row r="292" spans="1:13" x14ac:dyDescent="0.35">
      <c r="A292" t="s">
        <v>4233</v>
      </c>
      <c r="B292">
        <v>357855</v>
      </c>
      <c r="C292">
        <v>359042</v>
      </c>
      <c r="E292" t="s">
        <v>13</v>
      </c>
      <c r="F292" t="s">
        <v>101</v>
      </c>
      <c r="H292">
        <v>29240892</v>
      </c>
      <c r="I292" t="s">
        <v>16</v>
      </c>
      <c r="K292" t="s">
        <v>8215</v>
      </c>
      <c r="L292">
        <v>395</v>
      </c>
      <c r="M292" t="s">
        <v>8214</v>
      </c>
    </row>
    <row r="293" spans="1:13" x14ac:dyDescent="0.35">
      <c r="A293" t="s">
        <v>4233</v>
      </c>
      <c r="B293">
        <v>359307</v>
      </c>
      <c r="C293">
        <v>360473</v>
      </c>
      <c r="E293" t="s">
        <v>13</v>
      </c>
      <c r="F293" t="s">
        <v>590</v>
      </c>
      <c r="H293">
        <v>29240893</v>
      </c>
      <c r="I293" t="s">
        <v>16</v>
      </c>
      <c r="K293" t="s">
        <v>8213</v>
      </c>
      <c r="L293">
        <v>388</v>
      </c>
      <c r="M293" t="s">
        <v>8212</v>
      </c>
    </row>
    <row r="294" spans="1:13" x14ac:dyDescent="0.35">
      <c r="A294" t="s">
        <v>4233</v>
      </c>
      <c r="B294">
        <v>360485</v>
      </c>
      <c r="C294">
        <v>361423</v>
      </c>
      <c r="E294" t="s">
        <v>13</v>
      </c>
      <c r="F294" t="s">
        <v>5378</v>
      </c>
      <c r="H294">
        <v>29240894</v>
      </c>
      <c r="I294" t="s">
        <v>16</v>
      </c>
      <c r="K294" t="s">
        <v>8211</v>
      </c>
      <c r="L294">
        <v>312</v>
      </c>
      <c r="M294" t="s">
        <v>8210</v>
      </c>
    </row>
    <row r="295" spans="1:13" x14ac:dyDescent="0.35">
      <c r="A295" t="s">
        <v>4233</v>
      </c>
      <c r="B295">
        <v>361459</v>
      </c>
      <c r="C295">
        <v>362331</v>
      </c>
      <c r="E295" t="s">
        <v>13</v>
      </c>
      <c r="F295" t="s">
        <v>8209</v>
      </c>
      <c r="H295">
        <v>29240895</v>
      </c>
      <c r="I295" t="s">
        <v>16</v>
      </c>
      <c r="K295" t="s">
        <v>8208</v>
      </c>
      <c r="L295">
        <v>290</v>
      </c>
      <c r="M295" t="s">
        <v>8207</v>
      </c>
    </row>
    <row r="296" spans="1:13" x14ac:dyDescent="0.35">
      <c r="A296" t="s">
        <v>4233</v>
      </c>
      <c r="B296">
        <v>362328</v>
      </c>
      <c r="C296">
        <v>363647</v>
      </c>
      <c r="E296" t="s">
        <v>13</v>
      </c>
      <c r="F296" t="s">
        <v>73</v>
      </c>
      <c r="H296">
        <v>29240896</v>
      </c>
      <c r="I296" t="s">
        <v>16</v>
      </c>
      <c r="K296" t="s">
        <v>8206</v>
      </c>
      <c r="L296">
        <v>439</v>
      </c>
      <c r="M296" t="s">
        <v>8205</v>
      </c>
    </row>
    <row r="297" spans="1:13" x14ac:dyDescent="0.35">
      <c r="A297" t="s">
        <v>4233</v>
      </c>
      <c r="B297">
        <v>364064</v>
      </c>
      <c r="C297">
        <v>365101</v>
      </c>
      <c r="E297" t="s">
        <v>13</v>
      </c>
      <c r="F297" t="s">
        <v>83</v>
      </c>
      <c r="H297">
        <v>29240897</v>
      </c>
      <c r="I297" t="s">
        <v>16</v>
      </c>
      <c r="K297" t="s">
        <v>8204</v>
      </c>
      <c r="L297">
        <v>345</v>
      </c>
      <c r="M297" t="s">
        <v>8203</v>
      </c>
    </row>
    <row r="298" spans="1:13" x14ac:dyDescent="0.35">
      <c r="A298" t="s">
        <v>4233</v>
      </c>
      <c r="B298">
        <v>365233</v>
      </c>
      <c r="C298">
        <v>366024</v>
      </c>
      <c r="E298" t="s">
        <v>36</v>
      </c>
      <c r="F298" t="s">
        <v>8202</v>
      </c>
      <c r="H298">
        <v>29240898</v>
      </c>
      <c r="I298" t="s">
        <v>16</v>
      </c>
      <c r="K298" t="s">
        <v>8201</v>
      </c>
      <c r="L298">
        <v>263</v>
      </c>
      <c r="M298" t="s">
        <v>8200</v>
      </c>
    </row>
    <row r="299" spans="1:13" x14ac:dyDescent="0.35">
      <c r="A299" t="s">
        <v>4233</v>
      </c>
      <c r="B299">
        <v>366205</v>
      </c>
      <c r="C299">
        <v>367638</v>
      </c>
      <c r="E299" t="s">
        <v>36</v>
      </c>
      <c r="F299" t="s">
        <v>8199</v>
      </c>
      <c r="H299">
        <v>29240899</v>
      </c>
      <c r="I299" t="s">
        <v>16</v>
      </c>
      <c r="K299" t="s">
        <v>8198</v>
      </c>
      <c r="L299">
        <v>477</v>
      </c>
      <c r="M299" t="s">
        <v>8197</v>
      </c>
    </row>
    <row r="300" spans="1:13" x14ac:dyDescent="0.35">
      <c r="A300" t="s">
        <v>4233</v>
      </c>
      <c r="B300">
        <v>367770</v>
      </c>
      <c r="C300">
        <v>367928</v>
      </c>
      <c r="E300" t="s">
        <v>36</v>
      </c>
      <c r="F300" t="s">
        <v>5150</v>
      </c>
      <c r="H300">
        <v>93018722</v>
      </c>
      <c r="I300" t="s">
        <v>16</v>
      </c>
      <c r="K300" t="s">
        <v>8196</v>
      </c>
      <c r="L300">
        <v>52</v>
      </c>
      <c r="M300" t="s">
        <v>8195</v>
      </c>
    </row>
    <row r="301" spans="1:13" x14ac:dyDescent="0.35">
      <c r="A301" t="s">
        <v>4233</v>
      </c>
      <c r="B301">
        <v>368355</v>
      </c>
      <c r="C301">
        <v>369158</v>
      </c>
      <c r="E301" t="s">
        <v>36</v>
      </c>
      <c r="F301" t="s">
        <v>293</v>
      </c>
      <c r="H301">
        <v>29240901</v>
      </c>
      <c r="I301" t="s">
        <v>16</v>
      </c>
      <c r="K301" t="s">
        <v>8194</v>
      </c>
      <c r="L301">
        <v>267</v>
      </c>
      <c r="M301" t="s">
        <v>8193</v>
      </c>
    </row>
    <row r="302" spans="1:13" x14ac:dyDescent="0.35">
      <c r="A302" t="s">
        <v>4233</v>
      </c>
      <c r="B302">
        <v>369239</v>
      </c>
      <c r="C302">
        <v>370531</v>
      </c>
      <c r="E302" t="s">
        <v>36</v>
      </c>
      <c r="F302" t="s">
        <v>6983</v>
      </c>
      <c r="H302">
        <v>29240902</v>
      </c>
      <c r="I302" t="s">
        <v>16</v>
      </c>
      <c r="K302" t="s">
        <v>8192</v>
      </c>
      <c r="L302">
        <v>430</v>
      </c>
      <c r="M302" t="s">
        <v>8191</v>
      </c>
    </row>
    <row r="303" spans="1:13" x14ac:dyDescent="0.35">
      <c r="A303" t="s">
        <v>4233</v>
      </c>
      <c r="B303">
        <v>370605</v>
      </c>
      <c r="C303">
        <v>371666</v>
      </c>
      <c r="E303" t="s">
        <v>36</v>
      </c>
      <c r="F303" t="s">
        <v>373</v>
      </c>
      <c r="H303">
        <v>29240903</v>
      </c>
      <c r="I303" t="s">
        <v>16</v>
      </c>
      <c r="K303" t="s">
        <v>8190</v>
      </c>
      <c r="L303">
        <v>353</v>
      </c>
      <c r="M303" t="s">
        <v>8189</v>
      </c>
    </row>
    <row r="304" spans="1:13" x14ac:dyDescent="0.35">
      <c r="A304" t="s">
        <v>4233</v>
      </c>
      <c r="B304">
        <v>371715</v>
      </c>
      <c r="C304">
        <v>373196</v>
      </c>
      <c r="E304" t="s">
        <v>36</v>
      </c>
      <c r="F304" t="s">
        <v>6986</v>
      </c>
      <c r="H304">
        <v>29240904</v>
      </c>
      <c r="I304" t="s">
        <v>16</v>
      </c>
      <c r="K304" t="s">
        <v>8188</v>
      </c>
      <c r="L304">
        <v>493</v>
      </c>
      <c r="M304" t="s">
        <v>8187</v>
      </c>
    </row>
    <row r="305" spans="1:13" x14ac:dyDescent="0.35">
      <c r="A305" t="s">
        <v>4233</v>
      </c>
      <c r="B305">
        <v>373683</v>
      </c>
      <c r="C305">
        <v>375059</v>
      </c>
      <c r="E305" t="s">
        <v>13</v>
      </c>
      <c r="F305" t="s">
        <v>590</v>
      </c>
      <c r="H305">
        <v>29240905</v>
      </c>
      <c r="I305" t="s">
        <v>16</v>
      </c>
      <c r="K305" t="s">
        <v>8186</v>
      </c>
      <c r="L305">
        <v>458</v>
      </c>
      <c r="M305" t="s">
        <v>8185</v>
      </c>
    </row>
    <row r="306" spans="1:13" x14ac:dyDescent="0.35">
      <c r="A306" t="s">
        <v>4233</v>
      </c>
      <c r="B306">
        <v>375132</v>
      </c>
      <c r="C306">
        <v>376043</v>
      </c>
      <c r="E306" t="s">
        <v>13</v>
      </c>
      <c r="F306" t="s">
        <v>453</v>
      </c>
      <c r="H306">
        <v>29240906</v>
      </c>
      <c r="I306" t="s">
        <v>16</v>
      </c>
      <c r="K306" t="s">
        <v>8184</v>
      </c>
      <c r="L306">
        <v>303</v>
      </c>
      <c r="M306" t="s">
        <v>8183</v>
      </c>
    </row>
    <row r="307" spans="1:13" x14ac:dyDescent="0.35">
      <c r="A307" t="s">
        <v>4233</v>
      </c>
      <c r="B307">
        <v>376045</v>
      </c>
      <c r="C307">
        <v>377019</v>
      </c>
      <c r="E307" t="s">
        <v>13</v>
      </c>
      <c r="F307" t="s">
        <v>453</v>
      </c>
      <c r="H307">
        <v>29240907</v>
      </c>
      <c r="I307" t="s">
        <v>16</v>
      </c>
      <c r="K307" t="s">
        <v>8182</v>
      </c>
      <c r="L307">
        <v>324</v>
      </c>
      <c r="M307" t="s">
        <v>8181</v>
      </c>
    </row>
    <row r="308" spans="1:13" x14ac:dyDescent="0.35">
      <c r="A308" t="s">
        <v>4233</v>
      </c>
      <c r="B308">
        <v>377182</v>
      </c>
      <c r="C308">
        <v>378405</v>
      </c>
      <c r="E308" t="s">
        <v>36</v>
      </c>
      <c r="F308" t="s">
        <v>96</v>
      </c>
      <c r="H308">
        <v>29240908</v>
      </c>
      <c r="I308" t="s">
        <v>16</v>
      </c>
      <c r="K308" t="s">
        <v>8180</v>
      </c>
      <c r="L308">
        <v>407</v>
      </c>
      <c r="M308" t="s">
        <v>8179</v>
      </c>
    </row>
    <row r="309" spans="1:13" x14ac:dyDescent="0.35">
      <c r="A309" t="s">
        <v>4233</v>
      </c>
      <c r="B309">
        <v>378660</v>
      </c>
      <c r="C309">
        <v>379025</v>
      </c>
      <c r="E309" t="s">
        <v>36</v>
      </c>
      <c r="F309" t="s">
        <v>45</v>
      </c>
      <c r="H309">
        <v>29240909</v>
      </c>
      <c r="I309" t="s">
        <v>46</v>
      </c>
      <c r="M309" t="s">
        <v>8178</v>
      </c>
    </row>
    <row r="310" spans="1:13" x14ac:dyDescent="0.35">
      <c r="A310" t="s">
        <v>4233</v>
      </c>
      <c r="B310">
        <v>379053</v>
      </c>
      <c r="C310">
        <v>379718</v>
      </c>
      <c r="E310" t="s">
        <v>36</v>
      </c>
      <c r="F310" t="s">
        <v>100</v>
      </c>
      <c r="H310">
        <v>29240910</v>
      </c>
      <c r="I310" t="s">
        <v>16</v>
      </c>
      <c r="K310" t="s">
        <v>8177</v>
      </c>
      <c r="L310">
        <v>221</v>
      </c>
      <c r="M310" t="s">
        <v>8176</v>
      </c>
    </row>
    <row r="311" spans="1:13" x14ac:dyDescent="0.35">
      <c r="A311" t="s">
        <v>4233</v>
      </c>
      <c r="B311">
        <v>379790</v>
      </c>
      <c r="C311">
        <v>381127</v>
      </c>
      <c r="E311" t="s">
        <v>36</v>
      </c>
      <c r="F311" t="s">
        <v>37</v>
      </c>
      <c r="H311">
        <v>29240911</v>
      </c>
      <c r="I311" t="s">
        <v>16</v>
      </c>
      <c r="K311" t="s">
        <v>8175</v>
      </c>
      <c r="L311">
        <v>445</v>
      </c>
      <c r="M311" t="s">
        <v>8174</v>
      </c>
    </row>
    <row r="312" spans="1:13" x14ac:dyDescent="0.35">
      <c r="A312" t="s">
        <v>4233</v>
      </c>
      <c r="B312">
        <v>381358</v>
      </c>
      <c r="C312">
        <v>381912</v>
      </c>
      <c r="E312" t="s">
        <v>36</v>
      </c>
      <c r="F312" t="s">
        <v>178</v>
      </c>
      <c r="H312">
        <v>29240912</v>
      </c>
      <c r="I312" t="s">
        <v>16</v>
      </c>
      <c r="K312" t="s">
        <v>8173</v>
      </c>
      <c r="L312">
        <v>184</v>
      </c>
      <c r="M312" t="s">
        <v>8172</v>
      </c>
    </row>
    <row r="313" spans="1:13" x14ac:dyDescent="0.35">
      <c r="A313" t="s">
        <v>4233</v>
      </c>
      <c r="B313">
        <v>382202</v>
      </c>
      <c r="C313">
        <v>382651</v>
      </c>
      <c r="E313" t="s">
        <v>13</v>
      </c>
      <c r="F313" t="s">
        <v>188</v>
      </c>
      <c r="H313">
        <v>29240913</v>
      </c>
      <c r="I313" t="s">
        <v>16</v>
      </c>
      <c r="K313" t="s">
        <v>8171</v>
      </c>
      <c r="L313">
        <v>149</v>
      </c>
      <c r="M313" t="s">
        <v>8170</v>
      </c>
    </row>
    <row r="314" spans="1:13" x14ac:dyDescent="0.35">
      <c r="A314" t="s">
        <v>4233</v>
      </c>
      <c r="B314">
        <v>382816</v>
      </c>
      <c r="C314">
        <v>383352</v>
      </c>
      <c r="E314" t="s">
        <v>13</v>
      </c>
      <c r="F314" t="s">
        <v>45</v>
      </c>
      <c r="H314">
        <v>93018757</v>
      </c>
      <c r="I314" t="s">
        <v>46</v>
      </c>
      <c r="M314" t="s">
        <v>8169</v>
      </c>
    </row>
    <row r="315" spans="1:13" x14ac:dyDescent="0.35">
      <c r="A315" t="s">
        <v>4233</v>
      </c>
      <c r="B315">
        <v>383337</v>
      </c>
      <c r="C315">
        <v>384035</v>
      </c>
      <c r="E315" t="s">
        <v>36</v>
      </c>
      <c r="F315" t="s">
        <v>1256</v>
      </c>
      <c r="H315">
        <v>29240915</v>
      </c>
      <c r="I315" t="s">
        <v>16</v>
      </c>
      <c r="K315" t="s">
        <v>8168</v>
      </c>
      <c r="L315">
        <v>232</v>
      </c>
      <c r="M315" t="s">
        <v>8167</v>
      </c>
    </row>
    <row r="316" spans="1:13" x14ac:dyDescent="0.35">
      <c r="A316" t="s">
        <v>4233</v>
      </c>
      <c r="B316">
        <v>384205</v>
      </c>
      <c r="C316">
        <v>384278</v>
      </c>
      <c r="E316" t="s">
        <v>13</v>
      </c>
      <c r="F316" t="s">
        <v>136</v>
      </c>
      <c r="H316">
        <v>29240916</v>
      </c>
      <c r="I316" t="s">
        <v>39</v>
      </c>
      <c r="M316" t="s">
        <v>8166</v>
      </c>
    </row>
    <row r="317" spans="1:13" x14ac:dyDescent="0.35">
      <c r="A317" t="s">
        <v>4233</v>
      </c>
      <c r="B317">
        <v>384626</v>
      </c>
      <c r="C317">
        <v>385060</v>
      </c>
      <c r="E317" t="s">
        <v>13</v>
      </c>
      <c r="F317" t="s">
        <v>40</v>
      </c>
      <c r="H317">
        <v>29240917</v>
      </c>
      <c r="I317" t="s">
        <v>16</v>
      </c>
      <c r="K317" t="s">
        <v>8165</v>
      </c>
      <c r="L317">
        <v>144</v>
      </c>
      <c r="M317" t="s">
        <v>8164</v>
      </c>
    </row>
    <row r="318" spans="1:13" x14ac:dyDescent="0.35">
      <c r="A318" t="s">
        <v>4233</v>
      </c>
      <c r="B318">
        <v>385745</v>
      </c>
      <c r="C318">
        <v>389461</v>
      </c>
      <c r="E318" t="s">
        <v>13</v>
      </c>
      <c r="F318" t="s">
        <v>5476</v>
      </c>
      <c r="H318">
        <v>29240918</v>
      </c>
      <c r="I318" t="s">
        <v>16</v>
      </c>
      <c r="K318" t="s">
        <v>8163</v>
      </c>
      <c r="L318">
        <v>1238</v>
      </c>
      <c r="M318" t="s">
        <v>8162</v>
      </c>
    </row>
    <row r="319" spans="1:13" x14ac:dyDescent="0.35">
      <c r="A319" t="s">
        <v>4233</v>
      </c>
      <c r="B319">
        <v>389669</v>
      </c>
      <c r="C319">
        <v>391216</v>
      </c>
      <c r="E319" t="s">
        <v>13</v>
      </c>
      <c r="F319" t="s">
        <v>8161</v>
      </c>
      <c r="H319">
        <v>29240919</v>
      </c>
      <c r="I319" t="s">
        <v>16</v>
      </c>
      <c r="K319" t="s">
        <v>8160</v>
      </c>
      <c r="L319">
        <v>515</v>
      </c>
      <c r="M319" t="s">
        <v>8159</v>
      </c>
    </row>
    <row r="320" spans="1:13" x14ac:dyDescent="0.35">
      <c r="A320" t="s">
        <v>4233</v>
      </c>
      <c r="B320">
        <v>391324</v>
      </c>
      <c r="C320">
        <v>391998</v>
      </c>
      <c r="E320" t="s">
        <v>13</v>
      </c>
      <c r="F320" t="s">
        <v>40</v>
      </c>
      <c r="H320">
        <v>29240920</v>
      </c>
      <c r="I320" t="s">
        <v>16</v>
      </c>
      <c r="K320" t="s">
        <v>8158</v>
      </c>
      <c r="L320">
        <v>224</v>
      </c>
      <c r="M320" t="s">
        <v>8157</v>
      </c>
    </row>
    <row r="321" spans="1:13" x14ac:dyDescent="0.35">
      <c r="A321" t="s">
        <v>4233</v>
      </c>
      <c r="B321">
        <v>392277</v>
      </c>
      <c r="C321">
        <v>392771</v>
      </c>
      <c r="E321" t="s">
        <v>13</v>
      </c>
      <c r="F321" t="s">
        <v>40</v>
      </c>
      <c r="H321">
        <v>31600419</v>
      </c>
      <c r="I321" t="s">
        <v>16</v>
      </c>
      <c r="K321" t="s">
        <v>8156</v>
      </c>
      <c r="L321">
        <v>164</v>
      </c>
      <c r="M321" t="s">
        <v>8155</v>
      </c>
    </row>
    <row r="322" spans="1:13" x14ac:dyDescent="0.35">
      <c r="A322" t="s">
        <v>4233</v>
      </c>
      <c r="B322">
        <v>393080</v>
      </c>
      <c r="C322">
        <v>393766</v>
      </c>
      <c r="E322" t="s">
        <v>13</v>
      </c>
      <c r="F322" t="s">
        <v>40</v>
      </c>
      <c r="H322">
        <v>29240921</v>
      </c>
      <c r="I322" t="s">
        <v>16</v>
      </c>
      <c r="K322" t="s">
        <v>8154</v>
      </c>
      <c r="L322">
        <v>228</v>
      </c>
      <c r="M322" t="s">
        <v>8153</v>
      </c>
    </row>
    <row r="323" spans="1:13" x14ac:dyDescent="0.35">
      <c r="A323" t="s">
        <v>4233</v>
      </c>
      <c r="B323">
        <v>393896</v>
      </c>
      <c r="C323">
        <v>394165</v>
      </c>
      <c r="E323" t="s">
        <v>13</v>
      </c>
      <c r="F323" t="s">
        <v>8152</v>
      </c>
      <c r="G323" t="s">
        <v>701</v>
      </c>
      <c r="H323">
        <v>29240922</v>
      </c>
      <c r="I323" t="s">
        <v>16</v>
      </c>
      <c r="K323" t="s">
        <v>8151</v>
      </c>
      <c r="L323">
        <v>89</v>
      </c>
      <c r="M323" t="s">
        <v>8150</v>
      </c>
    </row>
    <row r="324" spans="1:13" x14ac:dyDescent="0.35">
      <c r="A324" t="s">
        <v>4233</v>
      </c>
      <c r="B324">
        <v>394442</v>
      </c>
      <c r="C324">
        <v>397150</v>
      </c>
      <c r="E324" t="s">
        <v>13</v>
      </c>
      <c r="F324" t="s">
        <v>8149</v>
      </c>
      <c r="H324">
        <v>29240923</v>
      </c>
      <c r="I324" t="s">
        <v>16</v>
      </c>
      <c r="K324" t="s">
        <v>8148</v>
      </c>
      <c r="L324">
        <v>902</v>
      </c>
      <c r="M324" t="s">
        <v>8147</v>
      </c>
    </row>
    <row r="325" spans="1:13" x14ac:dyDescent="0.35">
      <c r="A325" t="s">
        <v>4233</v>
      </c>
      <c r="B325">
        <v>397587</v>
      </c>
      <c r="C325">
        <v>398297</v>
      </c>
      <c r="E325" t="s">
        <v>36</v>
      </c>
      <c r="F325" t="s">
        <v>48</v>
      </c>
      <c r="H325">
        <v>29240924</v>
      </c>
      <c r="I325" t="s">
        <v>16</v>
      </c>
      <c r="K325" t="s">
        <v>8146</v>
      </c>
      <c r="L325">
        <v>236</v>
      </c>
      <c r="M325" t="s">
        <v>8145</v>
      </c>
    </row>
    <row r="326" spans="1:13" x14ac:dyDescent="0.35">
      <c r="A326" t="s">
        <v>4233</v>
      </c>
      <c r="B326">
        <v>398432</v>
      </c>
      <c r="C326">
        <v>399334</v>
      </c>
      <c r="E326" t="s">
        <v>36</v>
      </c>
      <c r="F326" t="s">
        <v>40</v>
      </c>
      <c r="H326">
        <v>29240925</v>
      </c>
      <c r="I326" t="s">
        <v>16</v>
      </c>
      <c r="K326" t="s">
        <v>8144</v>
      </c>
      <c r="L326">
        <v>300</v>
      </c>
      <c r="M326" t="s">
        <v>8143</v>
      </c>
    </row>
    <row r="327" spans="1:13" x14ac:dyDescent="0.35">
      <c r="A327" t="s">
        <v>4233</v>
      </c>
      <c r="B327">
        <v>399796</v>
      </c>
      <c r="C327">
        <v>400374</v>
      </c>
      <c r="E327" t="s">
        <v>13</v>
      </c>
      <c r="F327" t="s">
        <v>89</v>
      </c>
      <c r="H327">
        <v>29240926</v>
      </c>
      <c r="I327" t="s">
        <v>16</v>
      </c>
      <c r="K327" t="s">
        <v>8142</v>
      </c>
      <c r="L327">
        <v>192</v>
      </c>
      <c r="M327" t="s">
        <v>8141</v>
      </c>
    </row>
    <row r="328" spans="1:13" x14ac:dyDescent="0.35">
      <c r="A328" t="s">
        <v>4233</v>
      </c>
      <c r="B328">
        <v>400440</v>
      </c>
      <c r="C328">
        <v>402695</v>
      </c>
      <c r="E328" t="s">
        <v>13</v>
      </c>
      <c r="F328" t="s">
        <v>1013</v>
      </c>
      <c r="H328">
        <v>29240927</v>
      </c>
      <c r="I328" t="s">
        <v>16</v>
      </c>
      <c r="K328" t="s">
        <v>8140</v>
      </c>
      <c r="L328">
        <v>751</v>
      </c>
      <c r="M328" t="s">
        <v>8139</v>
      </c>
    </row>
    <row r="329" spans="1:13" x14ac:dyDescent="0.35">
      <c r="A329" t="s">
        <v>4233</v>
      </c>
      <c r="B329">
        <v>402695</v>
      </c>
      <c r="C329">
        <v>402937</v>
      </c>
      <c r="E329" t="s">
        <v>13</v>
      </c>
      <c r="F329" t="s">
        <v>40</v>
      </c>
      <c r="H329">
        <v>29240928</v>
      </c>
      <c r="I329" t="s">
        <v>16</v>
      </c>
      <c r="K329" t="s">
        <v>8138</v>
      </c>
      <c r="L329">
        <v>80</v>
      </c>
      <c r="M329" t="s">
        <v>8137</v>
      </c>
    </row>
    <row r="330" spans="1:13" x14ac:dyDescent="0.35">
      <c r="A330" t="s">
        <v>4233</v>
      </c>
      <c r="B330">
        <v>403053</v>
      </c>
      <c r="C330">
        <v>404513</v>
      </c>
      <c r="E330" t="s">
        <v>13</v>
      </c>
      <c r="F330" t="s">
        <v>1013</v>
      </c>
      <c r="H330">
        <v>29240929</v>
      </c>
      <c r="I330" t="s">
        <v>16</v>
      </c>
      <c r="K330" t="s">
        <v>8136</v>
      </c>
      <c r="L330">
        <v>486</v>
      </c>
      <c r="M330" t="s">
        <v>8135</v>
      </c>
    </row>
    <row r="331" spans="1:13" x14ac:dyDescent="0.35">
      <c r="A331" t="s">
        <v>4233</v>
      </c>
      <c r="B331">
        <v>404817</v>
      </c>
      <c r="C331">
        <v>405017</v>
      </c>
      <c r="E331" t="s">
        <v>13</v>
      </c>
      <c r="F331" t="s">
        <v>40</v>
      </c>
      <c r="H331">
        <v>55549229</v>
      </c>
      <c r="I331" t="s">
        <v>16</v>
      </c>
      <c r="K331" t="s">
        <v>8134</v>
      </c>
      <c r="L331">
        <v>66</v>
      </c>
      <c r="M331" t="s">
        <v>8133</v>
      </c>
    </row>
    <row r="332" spans="1:13" x14ac:dyDescent="0.35">
      <c r="A332" t="s">
        <v>4233</v>
      </c>
      <c r="B332">
        <v>405143</v>
      </c>
      <c r="C332">
        <v>406006</v>
      </c>
      <c r="E332" t="s">
        <v>13</v>
      </c>
      <c r="F332" t="s">
        <v>483</v>
      </c>
      <c r="H332">
        <v>29240931</v>
      </c>
      <c r="I332" t="s">
        <v>16</v>
      </c>
      <c r="K332" t="s">
        <v>8132</v>
      </c>
      <c r="L332">
        <v>287</v>
      </c>
      <c r="M332" t="s">
        <v>8131</v>
      </c>
    </row>
    <row r="333" spans="1:13" x14ac:dyDescent="0.35">
      <c r="A333" t="s">
        <v>4233</v>
      </c>
      <c r="B333">
        <v>406274</v>
      </c>
      <c r="C333">
        <v>407329</v>
      </c>
      <c r="E333" t="s">
        <v>13</v>
      </c>
      <c r="F333" t="s">
        <v>499</v>
      </c>
      <c r="H333">
        <v>29240932</v>
      </c>
      <c r="I333" t="s">
        <v>16</v>
      </c>
      <c r="K333" t="s">
        <v>8130</v>
      </c>
      <c r="L333">
        <v>351</v>
      </c>
      <c r="M333" t="s">
        <v>8129</v>
      </c>
    </row>
    <row r="334" spans="1:13" x14ac:dyDescent="0.35">
      <c r="A334" t="s">
        <v>4233</v>
      </c>
      <c r="B334">
        <v>407403</v>
      </c>
      <c r="C334">
        <v>408017</v>
      </c>
      <c r="E334" t="s">
        <v>36</v>
      </c>
      <c r="F334" t="s">
        <v>952</v>
      </c>
      <c r="G334" t="s">
        <v>953</v>
      </c>
      <c r="H334">
        <v>29240933</v>
      </c>
      <c r="I334" t="s">
        <v>16</v>
      </c>
      <c r="K334" t="s">
        <v>8128</v>
      </c>
      <c r="L334">
        <v>204</v>
      </c>
      <c r="M334" t="s">
        <v>8127</v>
      </c>
    </row>
    <row r="335" spans="1:13" x14ac:dyDescent="0.35">
      <c r="A335" t="s">
        <v>4233</v>
      </c>
      <c r="B335">
        <v>408040</v>
      </c>
      <c r="C335">
        <v>408273</v>
      </c>
      <c r="E335" t="s">
        <v>36</v>
      </c>
      <c r="F335" t="s">
        <v>8126</v>
      </c>
      <c r="H335">
        <v>29240934</v>
      </c>
      <c r="I335" t="s">
        <v>16</v>
      </c>
      <c r="K335" t="s">
        <v>8125</v>
      </c>
      <c r="L335">
        <v>77</v>
      </c>
      <c r="M335" t="s">
        <v>8124</v>
      </c>
    </row>
    <row r="336" spans="1:13" x14ac:dyDescent="0.35">
      <c r="A336" t="s">
        <v>4233</v>
      </c>
      <c r="B336">
        <v>408297</v>
      </c>
      <c r="C336">
        <v>408770</v>
      </c>
      <c r="E336" t="s">
        <v>36</v>
      </c>
      <c r="F336" t="s">
        <v>954</v>
      </c>
      <c r="G336" t="s">
        <v>955</v>
      </c>
      <c r="H336">
        <v>29240935</v>
      </c>
      <c r="I336" t="s">
        <v>16</v>
      </c>
      <c r="K336" t="s">
        <v>8123</v>
      </c>
      <c r="L336">
        <v>157</v>
      </c>
      <c r="M336" t="s">
        <v>8122</v>
      </c>
    </row>
    <row r="337" spans="1:13" x14ac:dyDescent="0.35">
      <c r="A337" t="s">
        <v>4233</v>
      </c>
      <c r="B337">
        <v>408990</v>
      </c>
      <c r="C337">
        <v>410321</v>
      </c>
      <c r="E337" t="s">
        <v>36</v>
      </c>
      <c r="F337" t="s">
        <v>5304</v>
      </c>
      <c r="H337">
        <v>29240936</v>
      </c>
      <c r="I337" t="s">
        <v>16</v>
      </c>
      <c r="K337" t="s">
        <v>8121</v>
      </c>
      <c r="L337">
        <v>443</v>
      </c>
      <c r="M337" t="s">
        <v>8120</v>
      </c>
    </row>
    <row r="338" spans="1:13" x14ac:dyDescent="0.35">
      <c r="A338" t="s">
        <v>4233</v>
      </c>
      <c r="B338">
        <v>410382</v>
      </c>
      <c r="C338">
        <v>412037</v>
      </c>
      <c r="E338" t="s">
        <v>36</v>
      </c>
      <c r="F338" t="s">
        <v>956</v>
      </c>
      <c r="G338" t="s">
        <v>957</v>
      </c>
      <c r="H338">
        <v>29240937</v>
      </c>
      <c r="I338" t="s">
        <v>16</v>
      </c>
      <c r="K338" t="s">
        <v>8119</v>
      </c>
      <c r="L338">
        <v>551</v>
      </c>
      <c r="M338" t="s">
        <v>8118</v>
      </c>
    </row>
    <row r="339" spans="1:13" x14ac:dyDescent="0.35">
      <c r="A339" t="s">
        <v>4233</v>
      </c>
      <c r="B339">
        <v>412392</v>
      </c>
      <c r="C339">
        <v>413300</v>
      </c>
      <c r="E339" t="s">
        <v>13</v>
      </c>
      <c r="F339" t="s">
        <v>477</v>
      </c>
      <c r="H339">
        <v>29240938</v>
      </c>
      <c r="I339" t="s">
        <v>16</v>
      </c>
      <c r="K339" t="s">
        <v>8117</v>
      </c>
      <c r="L339">
        <v>302</v>
      </c>
      <c r="M339" t="s">
        <v>8116</v>
      </c>
    </row>
    <row r="340" spans="1:13" x14ac:dyDescent="0.35">
      <c r="A340" t="s">
        <v>4233</v>
      </c>
      <c r="B340">
        <v>413549</v>
      </c>
      <c r="C340">
        <v>415198</v>
      </c>
      <c r="E340" t="s">
        <v>36</v>
      </c>
      <c r="F340" t="s">
        <v>303</v>
      </c>
      <c r="G340" t="s">
        <v>304</v>
      </c>
      <c r="H340">
        <v>29240939</v>
      </c>
      <c r="I340" t="s">
        <v>16</v>
      </c>
      <c r="K340" t="s">
        <v>8115</v>
      </c>
      <c r="L340">
        <v>549</v>
      </c>
      <c r="M340" t="s">
        <v>8114</v>
      </c>
    </row>
    <row r="341" spans="1:13" x14ac:dyDescent="0.35">
      <c r="A341" t="s">
        <v>4233</v>
      </c>
      <c r="B341">
        <v>415417</v>
      </c>
      <c r="C341">
        <v>416145</v>
      </c>
      <c r="E341" t="s">
        <v>13</v>
      </c>
      <c r="F341" t="s">
        <v>830</v>
      </c>
      <c r="H341">
        <v>29240940</v>
      </c>
      <c r="I341" t="s">
        <v>16</v>
      </c>
      <c r="K341" t="s">
        <v>8113</v>
      </c>
      <c r="L341">
        <v>242</v>
      </c>
      <c r="M341" t="s">
        <v>8112</v>
      </c>
    </row>
    <row r="342" spans="1:13" x14ac:dyDescent="0.35">
      <c r="A342" t="s">
        <v>4233</v>
      </c>
      <c r="B342">
        <v>416420</v>
      </c>
      <c r="C342">
        <v>417715</v>
      </c>
      <c r="E342" t="s">
        <v>36</v>
      </c>
      <c r="F342" t="s">
        <v>8111</v>
      </c>
      <c r="H342">
        <v>29240941</v>
      </c>
      <c r="I342" t="s">
        <v>16</v>
      </c>
      <c r="K342" t="s">
        <v>8110</v>
      </c>
      <c r="L342">
        <v>431</v>
      </c>
      <c r="M342" t="s">
        <v>8109</v>
      </c>
    </row>
    <row r="343" spans="1:13" x14ac:dyDescent="0.35">
      <c r="A343" t="s">
        <v>4233</v>
      </c>
      <c r="B343">
        <v>417705</v>
      </c>
      <c r="C343">
        <v>418535</v>
      </c>
      <c r="E343" t="s">
        <v>36</v>
      </c>
      <c r="F343" t="s">
        <v>448</v>
      </c>
      <c r="H343">
        <v>31600423</v>
      </c>
      <c r="I343" t="s">
        <v>16</v>
      </c>
      <c r="K343" t="s">
        <v>8108</v>
      </c>
      <c r="L343">
        <v>276</v>
      </c>
      <c r="M343" t="s">
        <v>8107</v>
      </c>
    </row>
    <row r="344" spans="1:13" x14ac:dyDescent="0.35">
      <c r="A344" t="s">
        <v>4233</v>
      </c>
      <c r="B344">
        <v>418633</v>
      </c>
      <c r="C344">
        <v>420846</v>
      </c>
      <c r="E344" t="s">
        <v>13</v>
      </c>
      <c r="F344" t="s">
        <v>372</v>
      </c>
      <c r="H344">
        <v>29240942</v>
      </c>
      <c r="I344" t="s">
        <v>16</v>
      </c>
      <c r="K344" t="s">
        <v>8106</v>
      </c>
      <c r="L344">
        <v>737</v>
      </c>
      <c r="M344" t="s">
        <v>8105</v>
      </c>
    </row>
    <row r="345" spans="1:13" x14ac:dyDescent="0.35">
      <c r="A345" t="s">
        <v>4233</v>
      </c>
      <c r="B345">
        <v>420987</v>
      </c>
      <c r="C345">
        <v>421409</v>
      </c>
      <c r="E345" t="s">
        <v>36</v>
      </c>
      <c r="F345" t="s">
        <v>8104</v>
      </c>
      <c r="H345">
        <v>29240943</v>
      </c>
      <c r="I345" t="s">
        <v>16</v>
      </c>
      <c r="K345" t="s">
        <v>8103</v>
      </c>
      <c r="L345">
        <v>140</v>
      </c>
      <c r="M345" t="s">
        <v>8102</v>
      </c>
    </row>
    <row r="346" spans="1:13" x14ac:dyDescent="0.35">
      <c r="A346" t="s">
        <v>4233</v>
      </c>
      <c r="B346">
        <v>421419</v>
      </c>
      <c r="C346">
        <v>421697</v>
      </c>
      <c r="E346" t="s">
        <v>36</v>
      </c>
      <c r="F346" t="s">
        <v>8101</v>
      </c>
      <c r="H346">
        <v>29240944</v>
      </c>
      <c r="I346" t="s">
        <v>16</v>
      </c>
      <c r="K346" t="s">
        <v>8100</v>
      </c>
      <c r="L346">
        <v>92</v>
      </c>
      <c r="M346" t="s">
        <v>8099</v>
      </c>
    </row>
    <row r="347" spans="1:13" x14ac:dyDescent="0.35">
      <c r="A347" t="s">
        <v>4233</v>
      </c>
      <c r="B347">
        <v>421865</v>
      </c>
      <c r="C347">
        <v>422422</v>
      </c>
      <c r="E347" t="s">
        <v>36</v>
      </c>
      <c r="F347" t="s">
        <v>8098</v>
      </c>
      <c r="G347" t="s">
        <v>8097</v>
      </c>
      <c r="H347">
        <v>29240945</v>
      </c>
      <c r="I347" t="s">
        <v>16</v>
      </c>
      <c r="K347" t="s">
        <v>8096</v>
      </c>
      <c r="L347">
        <v>185</v>
      </c>
      <c r="M347" t="s">
        <v>8095</v>
      </c>
    </row>
    <row r="348" spans="1:13" x14ac:dyDescent="0.35">
      <c r="A348" t="s">
        <v>4233</v>
      </c>
      <c r="B348">
        <v>422439</v>
      </c>
      <c r="C348">
        <v>424403</v>
      </c>
      <c r="E348" t="s">
        <v>36</v>
      </c>
      <c r="F348" t="s">
        <v>8094</v>
      </c>
      <c r="H348">
        <v>29240946</v>
      </c>
      <c r="I348" t="s">
        <v>16</v>
      </c>
      <c r="K348" t="s">
        <v>8093</v>
      </c>
      <c r="L348">
        <v>654</v>
      </c>
      <c r="M348" t="s">
        <v>8092</v>
      </c>
    </row>
    <row r="349" spans="1:13" x14ac:dyDescent="0.35">
      <c r="A349" t="s">
        <v>4233</v>
      </c>
      <c r="B349">
        <v>424563</v>
      </c>
      <c r="C349">
        <v>425306</v>
      </c>
      <c r="E349" t="s">
        <v>36</v>
      </c>
      <c r="F349" t="s">
        <v>962</v>
      </c>
      <c r="G349" t="s">
        <v>963</v>
      </c>
      <c r="H349">
        <v>29240947</v>
      </c>
      <c r="I349" t="s">
        <v>16</v>
      </c>
      <c r="K349" t="s">
        <v>8091</v>
      </c>
      <c r="L349">
        <v>247</v>
      </c>
      <c r="M349" t="s">
        <v>8090</v>
      </c>
    </row>
    <row r="350" spans="1:13" x14ac:dyDescent="0.35">
      <c r="A350" t="s">
        <v>4233</v>
      </c>
      <c r="B350">
        <v>425477</v>
      </c>
      <c r="C350">
        <v>425671</v>
      </c>
      <c r="E350" t="s">
        <v>36</v>
      </c>
      <c r="F350" t="s">
        <v>788</v>
      </c>
      <c r="G350" t="s">
        <v>789</v>
      </c>
      <c r="H350">
        <v>29240948</v>
      </c>
      <c r="I350" t="s">
        <v>16</v>
      </c>
      <c r="K350" t="s">
        <v>8089</v>
      </c>
      <c r="L350">
        <v>64</v>
      </c>
      <c r="M350" t="s">
        <v>8088</v>
      </c>
    </row>
    <row r="351" spans="1:13" x14ac:dyDescent="0.35">
      <c r="A351" t="s">
        <v>4233</v>
      </c>
      <c r="B351">
        <v>425760</v>
      </c>
      <c r="C351">
        <v>426392</v>
      </c>
      <c r="E351" t="s">
        <v>36</v>
      </c>
      <c r="F351" t="s">
        <v>8087</v>
      </c>
      <c r="H351">
        <v>29240949</v>
      </c>
      <c r="I351" t="s">
        <v>16</v>
      </c>
      <c r="K351" t="s">
        <v>8086</v>
      </c>
      <c r="L351">
        <v>210</v>
      </c>
      <c r="M351" t="s">
        <v>8085</v>
      </c>
    </row>
    <row r="352" spans="1:13" x14ac:dyDescent="0.35">
      <c r="A352" t="s">
        <v>4233</v>
      </c>
      <c r="B352">
        <v>426508</v>
      </c>
      <c r="C352">
        <v>427293</v>
      </c>
      <c r="E352" t="s">
        <v>36</v>
      </c>
      <c r="F352" t="s">
        <v>40</v>
      </c>
      <c r="H352">
        <v>29240950</v>
      </c>
      <c r="I352" t="s">
        <v>16</v>
      </c>
      <c r="K352" t="s">
        <v>8084</v>
      </c>
      <c r="L352">
        <v>261</v>
      </c>
      <c r="M352" t="s">
        <v>8083</v>
      </c>
    </row>
    <row r="353" spans="1:13" x14ac:dyDescent="0.35">
      <c r="A353" t="s">
        <v>4233</v>
      </c>
      <c r="B353">
        <v>427299</v>
      </c>
      <c r="C353">
        <v>427799</v>
      </c>
      <c r="E353" t="s">
        <v>36</v>
      </c>
      <c r="F353" t="s">
        <v>693</v>
      </c>
      <c r="G353" t="s">
        <v>694</v>
      </c>
      <c r="H353">
        <v>29240951</v>
      </c>
      <c r="I353" t="s">
        <v>16</v>
      </c>
      <c r="K353" t="s">
        <v>8082</v>
      </c>
      <c r="L353">
        <v>166</v>
      </c>
      <c r="M353" t="s">
        <v>8081</v>
      </c>
    </row>
    <row r="354" spans="1:13" x14ac:dyDescent="0.35">
      <c r="A354" t="s">
        <v>4233</v>
      </c>
      <c r="B354">
        <v>427904</v>
      </c>
      <c r="C354">
        <v>428185</v>
      </c>
      <c r="E354" t="s">
        <v>13</v>
      </c>
      <c r="F354" t="s">
        <v>8080</v>
      </c>
      <c r="H354">
        <v>29240952</v>
      </c>
      <c r="I354" t="s">
        <v>16</v>
      </c>
      <c r="K354" t="s">
        <v>8079</v>
      </c>
      <c r="L354">
        <v>93</v>
      </c>
      <c r="M354" t="s">
        <v>8078</v>
      </c>
    </row>
    <row r="355" spans="1:13" x14ac:dyDescent="0.35">
      <c r="A355" t="s">
        <v>4233</v>
      </c>
      <c r="B355">
        <v>428380</v>
      </c>
      <c r="C355">
        <v>429390</v>
      </c>
      <c r="E355" t="s">
        <v>36</v>
      </c>
      <c r="F355" t="s">
        <v>483</v>
      </c>
      <c r="H355">
        <v>29240953</v>
      </c>
      <c r="I355" t="s">
        <v>16</v>
      </c>
      <c r="K355" t="s">
        <v>8077</v>
      </c>
      <c r="L355">
        <v>336</v>
      </c>
      <c r="M355" t="s">
        <v>8076</v>
      </c>
    </row>
    <row r="356" spans="1:13" x14ac:dyDescent="0.35">
      <c r="A356" t="s">
        <v>4233</v>
      </c>
      <c r="B356">
        <v>429649</v>
      </c>
      <c r="C356">
        <v>430077</v>
      </c>
      <c r="E356" t="s">
        <v>13</v>
      </c>
      <c r="F356" t="s">
        <v>102</v>
      </c>
      <c r="H356">
        <v>29240954</v>
      </c>
      <c r="I356" t="s">
        <v>16</v>
      </c>
      <c r="K356" t="s">
        <v>8075</v>
      </c>
      <c r="L356">
        <v>142</v>
      </c>
      <c r="M356" t="s">
        <v>8074</v>
      </c>
    </row>
    <row r="357" spans="1:13" x14ac:dyDescent="0.35">
      <c r="A357" t="s">
        <v>4233</v>
      </c>
      <c r="B357">
        <v>430085</v>
      </c>
      <c r="C357">
        <v>430711</v>
      </c>
      <c r="E357" t="s">
        <v>36</v>
      </c>
      <c r="F357" t="s">
        <v>8073</v>
      </c>
      <c r="H357">
        <v>29240955</v>
      </c>
      <c r="I357" t="s">
        <v>16</v>
      </c>
      <c r="K357" t="s">
        <v>8072</v>
      </c>
      <c r="L357">
        <v>208</v>
      </c>
      <c r="M357" t="s">
        <v>8071</v>
      </c>
    </row>
    <row r="358" spans="1:13" x14ac:dyDescent="0.35">
      <c r="A358" t="s">
        <v>4233</v>
      </c>
      <c r="B358">
        <v>430819</v>
      </c>
      <c r="C358">
        <v>432141</v>
      </c>
      <c r="E358" t="s">
        <v>13</v>
      </c>
      <c r="F358" t="s">
        <v>460</v>
      </c>
      <c r="H358">
        <v>29240956</v>
      </c>
      <c r="I358" t="s">
        <v>16</v>
      </c>
      <c r="K358" t="s">
        <v>8070</v>
      </c>
      <c r="L358">
        <v>440</v>
      </c>
      <c r="M358" t="s">
        <v>8069</v>
      </c>
    </row>
    <row r="359" spans="1:13" x14ac:dyDescent="0.35">
      <c r="A359" t="s">
        <v>4233</v>
      </c>
      <c r="B359">
        <v>432689</v>
      </c>
      <c r="C359">
        <v>433453</v>
      </c>
      <c r="E359" t="s">
        <v>13</v>
      </c>
      <c r="F359" t="s">
        <v>8068</v>
      </c>
      <c r="G359" t="s">
        <v>8067</v>
      </c>
      <c r="H359">
        <v>29240957</v>
      </c>
      <c r="I359" t="s">
        <v>16</v>
      </c>
      <c r="K359" t="s">
        <v>8066</v>
      </c>
      <c r="L359">
        <v>254</v>
      </c>
      <c r="M359" t="s">
        <v>8065</v>
      </c>
    </row>
    <row r="360" spans="1:13" x14ac:dyDescent="0.35">
      <c r="A360" t="s">
        <v>4233</v>
      </c>
      <c r="B360">
        <v>433575</v>
      </c>
      <c r="C360">
        <v>434348</v>
      </c>
      <c r="E360" t="s">
        <v>13</v>
      </c>
      <c r="F360" t="s">
        <v>8064</v>
      </c>
      <c r="H360">
        <v>29240958</v>
      </c>
      <c r="I360" t="s">
        <v>16</v>
      </c>
      <c r="K360" t="s">
        <v>8063</v>
      </c>
      <c r="L360">
        <v>257</v>
      </c>
      <c r="M360" t="s">
        <v>8062</v>
      </c>
    </row>
    <row r="361" spans="1:13" x14ac:dyDescent="0.35">
      <c r="A361" t="s">
        <v>4233</v>
      </c>
      <c r="B361">
        <v>434474</v>
      </c>
      <c r="C361">
        <v>435475</v>
      </c>
      <c r="E361" t="s">
        <v>36</v>
      </c>
      <c r="F361" t="s">
        <v>332</v>
      </c>
      <c r="H361">
        <v>29240959</v>
      </c>
      <c r="I361" t="s">
        <v>16</v>
      </c>
      <c r="K361" t="s">
        <v>8061</v>
      </c>
      <c r="L361">
        <v>333</v>
      </c>
      <c r="M361" t="s">
        <v>8060</v>
      </c>
    </row>
    <row r="362" spans="1:13" x14ac:dyDescent="0.35">
      <c r="A362" t="s">
        <v>4233</v>
      </c>
      <c r="B362">
        <v>435744</v>
      </c>
      <c r="C362">
        <v>435824</v>
      </c>
      <c r="E362" t="s">
        <v>36</v>
      </c>
      <c r="F362" t="s">
        <v>416</v>
      </c>
      <c r="H362">
        <v>29240960</v>
      </c>
      <c r="I362" t="s">
        <v>39</v>
      </c>
      <c r="M362" t="s">
        <v>8059</v>
      </c>
    </row>
    <row r="363" spans="1:13" x14ac:dyDescent="0.35">
      <c r="A363" t="s">
        <v>4233</v>
      </c>
      <c r="B363">
        <v>435919</v>
      </c>
      <c r="C363">
        <v>435991</v>
      </c>
      <c r="E363" t="s">
        <v>36</v>
      </c>
      <c r="F363" t="s">
        <v>38</v>
      </c>
      <c r="H363">
        <v>29240961</v>
      </c>
      <c r="I363" t="s">
        <v>39</v>
      </c>
      <c r="M363" t="s">
        <v>8058</v>
      </c>
    </row>
    <row r="364" spans="1:13" x14ac:dyDescent="0.35">
      <c r="A364" t="s">
        <v>4233</v>
      </c>
      <c r="B364">
        <v>436350</v>
      </c>
      <c r="C364">
        <v>438050</v>
      </c>
      <c r="E364" t="s">
        <v>13</v>
      </c>
      <c r="F364" t="s">
        <v>609</v>
      </c>
      <c r="G364" t="s">
        <v>8057</v>
      </c>
      <c r="H364">
        <v>29240962</v>
      </c>
      <c r="I364" t="s">
        <v>16</v>
      </c>
      <c r="K364" t="s">
        <v>8056</v>
      </c>
      <c r="L364">
        <v>566</v>
      </c>
      <c r="M364" t="s">
        <v>8055</v>
      </c>
    </row>
    <row r="365" spans="1:13" x14ac:dyDescent="0.35">
      <c r="A365" t="s">
        <v>4233</v>
      </c>
      <c r="B365">
        <v>438563</v>
      </c>
      <c r="C365">
        <v>439981</v>
      </c>
      <c r="E365" t="s">
        <v>36</v>
      </c>
      <c r="F365" t="s">
        <v>8054</v>
      </c>
      <c r="H365">
        <v>29240963</v>
      </c>
      <c r="I365" t="s">
        <v>16</v>
      </c>
      <c r="K365" t="s">
        <v>8053</v>
      </c>
      <c r="L365">
        <v>472</v>
      </c>
      <c r="M365" t="s">
        <v>8052</v>
      </c>
    </row>
    <row r="366" spans="1:13" x14ac:dyDescent="0.35">
      <c r="A366" t="s">
        <v>4233</v>
      </c>
      <c r="B366">
        <v>440103</v>
      </c>
      <c r="C366">
        <v>441893</v>
      </c>
      <c r="E366" t="s">
        <v>36</v>
      </c>
      <c r="F366" t="s">
        <v>5378</v>
      </c>
      <c r="H366">
        <v>29240964</v>
      </c>
      <c r="I366" t="s">
        <v>16</v>
      </c>
      <c r="K366" t="s">
        <v>8051</v>
      </c>
      <c r="L366">
        <v>596</v>
      </c>
      <c r="M366" t="s">
        <v>8050</v>
      </c>
    </row>
    <row r="367" spans="1:13" x14ac:dyDescent="0.35">
      <c r="A367" t="s">
        <v>4233</v>
      </c>
      <c r="B367">
        <v>442892</v>
      </c>
      <c r="C367">
        <v>443257</v>
      </c>
      <c r="E367" t="s">
        <v>13</v>
      </c>
      <c r="F367" t="s">
        <v>946</v>
      </c>
      <c r="G367" t="s">
        <v>947</v>
      </c>
      <c r="H367">
        <v>29240965</v>
      </c>
      <c r="I367" t="s">
        <v>16</v>
      </c>
      <c r="K367" t="s">
        <v>8049</v>
      </c>
      <c r="L367">
        <v>121</v>
      </c>
      <c r="M367" t="s">
        <v>8048</v>
      </c>
    </row>
    <row r="368" spans="1:13" x14ac:dyDescent="0.35">
      <c r="A368" t="s">
        <v>4233</v>
      </c>
      <c r="B368">
        <v>443426</v>
      </c>
      <c r="C368">
        <v>444349</v>
      </c>
      <c r="E368" t="s">
        <v>13</v>
      </c>
      <c r="F368" t="s">
        <v>1252</v>
      </c>
      <c r="G368" t="s">
        <v>870</v>
      </c>
      <c r="H368">
        <v>29240966</v>
      </c>
      <c r="I368" t="s">
        <v>16</v>
      </c>
      <c r="K368" t="s">
        <v>8047</v>
      </c>
      <c r="L368">
        <v>307</v>
      </c>
      <c r="M368" t="s">
        <v>8046</v>
      </c>
    </row>
    <row r="369" spans="1:13" x14ac:dyDescent="0.35">
      <c r="A369" t="s">
        <v>4233</v>
      </c>
      <c r="B369">
        <v>444374</v>
      </c>
      <c r="C369">
        <v>445234</v>
      </c>
      <c r="E369" t="s">
        <v>13</v>
      </c>
      <c r="F369" t="s">
        <v>812</v>
      </c>
      <c r="H369">
        <v>29240967</v>
      </c>
      <c r="I369" t="s">
        <v>16</v>
      </c>
      <c r="K369" t="s">
        <v>8045</v>
      </c>
      <c r="L369">
        <v>286</v>
      </c>
      <c r="M369" t="s">
        <v>8044</v>
      </c>
    </row>
    <row r="370" spans="1:13" x14ac:dyDescent="0.35">
      <c r="A370" t="s">
        <v>4233</v>
      </c>
      <c r="B370">
        <v>445396</v>
      </c>
      <c r="C370">
        <v>446511</v>
      </c>
      <c r="E370" t="s">
        <v>13</v>
      </c>
      <c r="F370" t="s">
        <v>373</v>
      </c>
      <c r="H370">
        <v>29240968</v>
      </c>
      <c r="I370" t="s">
        <v>16</v>
      </c>
      <c r="K370" t="s">
        <v>8043</v>
      </c>
      <c r="L370">
        <v>371</v>
      </c>
      <c r="M370" t="s">
        <v>8042</v>
      </c>
    </row>
    <row r="371" spans="1:13" x14ac:dyDescent="0.35">
      <c r="A371" t="s">
        <v>4233</v>
      </c>
      <c r="B371">
        <v>446675</v>
      </c>
      <c r="C371">
        <v>446791</v>
      </c>
      <c r="E371" t="s">
        <v>13</v>
      </c>
      <c r="F371" t="s">
        <v>45</v>
      </c>
      <c r="H371">
        <v>42569789</v>
      </c>
      <c r="I371" t="s">
        <v>46</v>
      </c>
      <c r="M371" t="s">
        <v>8041</v>
      </c>
    </row>
    <row r="372" spans="1:13" x14ac:dyDescent="0.35">
      <c r="A372" t="s">
        <v>4233</v>
      </c>
      <c r="B372">
        <v>447064</v>
      </c>
      <c r="C372">
        <v>448887</v>
      </c>
      <c r="E372" t="s">
        <v>36</v>
      </c>
      <c r="F372" t="s">
        <v>5313</v>
      </c>
      <c r="H372">
        <v>29240969</v>
      </c>
      <c r="I372" t="s">
        <v>16</v>
      </c>
      <c r="K372" t="s">
        <v>8040</v>
      </c>
      <c r="L372">
        <v>607</v>
      </c>
      <c r="M372" t="s">
        <v>8039</v>
      </c>
    </row>
    <row r="373" spans="1:13" x14ac:dyDescent="0.35">
      <c r="A373" t="s">
        <v>4233</v>
      </c>
      <c r="B373">
        <v>449253</v>
      </c>
      <c r="C373">
        <v>449738</v>
      </c>
      <c r="E373" t="s">
        <v>13</v>
      </c>
      <c r="F373" t="s">
        <v>45</v>
      </c>
      <c r="H373">
        <v>93018723</v>
      </c>
      <c r="I373" t="s">
        <v>46</v>
      </c>
      <c r="M373" t="s">
        <v>8038</v>
      </c>
    </row>
    <row r="374" spans="1:13" x14ac:dyDescent="0.35">
      <c r="A374" t="s">
        <v>4233</v>
      </c>
      <c r="B374">
        <v>450621</v>
      </c>
      <c r="C374">
        <v>454682</v>
      </c>
      <c r="E374" t="s">
        <v>13</v>
      </c>
      <c r="F374" t="s">
        <v>48</v>
      </c>
      <c r="H374">
        <v>29240972</v>
      </c>
      <c r="I374" t="s">
        <v>16</v>
      </c>
      <c r="K374" t="s">
        <v>8037</v>
      </c>
      <c r="L374">
        <v>1353</v>
      </c>
      <c r="M374" t="s">
        <v>8036</v>
      </c>
    </row>
    <row r="375" spans="1:13" x14ac:dyDescent="0.35">
      <c r="A375" t="s">
        <v>4233</v>
      </c>
      <c r="B375">
        <v>454999</v>
      </c>
      <c r="C375">
        <v>455328</v>
      </c>
      <c r="E375" t="s">
        <v>36</v>
      </c>
      <c r="F375" t="s">
        <v>121</v>
      </c>
      <c r="H375">
        <v>29240973</v>
      </c>
      <c r="I375" t="s">
        <v>16</v>
      </c>
      <c r="K375" t="s">
        <v>8035</v>
      </c>
      <c r="L375">
        <v>109</v>
      </c>
      <c r="M375" t="s">
        <v>8034</v>
      </c>
    </row>
    <row r="376" spans="1:13" x14ac:dyDescent="0.35">
      <c r="A376" t="s">
        <v>4233</v>
      </c>
      <c r="B376">
        <v>456014</v>
      </c>
      <c r="C376">
        <v>457363</v>
      </c>
      <c r="E376" t="s">
        <v>13</v>
      </c>
      <c r="F376" t="s">
        <v>451</v>
      </c>
      <c r="H376">
        <v>29240975</v>
      </c>
      <c r="I376" t="s">
        <v>16</v>
      </c>
      <c r="K376" t="s">
        <v>8033</v>
      </c>
      <c r="L376">
        <v>449</v>
      </c>
      <c r="M376" t="s">
        <v>8032</v>
      </c>
    </row>
    <row r="377" spans="1:13" x14ac:dyDescent="0.35">
      <c r="A377" t="s">
        <v>4233</v>
      </c>
      <c r="B377">
        <v>457599</v>
      </c>
      <c r="C377">
        <v>458546</v>
      </c>
      <c r="E377" t="s">
        <v>13</v>
      </c>
      <c r="F377" t="s">
        <v>453</v>
      </c>
      <c r="H377">
        <v>29240976</v>
      </c>
      <c r="I377" t="s">
        <v>16</v>
      </c>
      <c r="K377" t="s">
        <v>8031</v>
      </c>
      <c r="L377">
        <v>315</v>
      </c>
      <c r="M377" t="s">
        <v>8030</v>
      </c>
    </row>
    <row r="378" spans="1:13" x14ac:dyDescent="0.35">
      <c r="A378" t="s">
        <v>4233</v>
      </c>
      <c r="B378">
        <v>458599</v>
      </c>
      <c r="C378">
        <v>459597</v>
      </c>
      <c r="E378" t="s">
        <v>13</v>
      </c>
      <c r="F378" t="s">
        <v>453</v>
      </c>
      <c r="H378">
        <v>29240977</v>
      </c>
      <c r="I378" t="s">
        <v>16</v>
      </c>
      <c r="K378" t="s">
        <v>7816</v>
      </c>
      <c r="L378">
        <v>332</v>
      </c>
      <c r="M378" t="s">
        <v>8029</v>
      </c>
    </row>
    <row r="379" spans="1:13" x14ac:dyDescent="0.35">
      <c r="A379" t="s">
        <v>4233</v>
      </c>
      <c r="B379">
        <v>459765</v>
      </c>
      <c r="C379">
        <v>461897</v>
      </c>
      <c r="E379" t="s">
        <v>13</v>
      </c>
      <c r="F379" t="s">
        <v>1015</v>
      </c>
      <c r="H379">
        <v>29240978</v>
      </c>
      <c r="I379" t="s">
        <v>16</v>
      </c>
      <c r="K379" t="s">
        <v>8028</v>
      </c>
      <c r="L379">
        <v>710</v>
      </c>
      <c r="M379" t="s">
        <v>8027</v>
      </c>
    </row>
    <row r="380" spans="1:13" x14ac:dyDescent="0.35">
      <c r="A380" t="s">
        <v>4233</v>
      </c>
      <c r="B380">
        <v>461940</v>
      </c>
      <c r="C380">
        <v>462995</v>
      </c>
      <c r="E380" t="s">
        <v>13</v>
      </c>
      <c r="F380" t="s">
        <v>373</v>
      </c>
      <c r="H380">
        <v>29240979</v>
      </c>
      <c r="I380" t="s">
        <v>16</v>
      </c>
      <c r="K380" t="s">
        <v>8026</v>
      </c>
      <c r="L380">
        <v>351</v>
      </c>
      <c r="M380" t="s">
        <v>8025</v>
      </c>
    </row>
    <row r="381" spans="1:13" x14ac:dyDescent="0.35">
      <c r="A381" t="s">
        <v>4233</v>
      </c>
      <c r="B381">
        <v>463055</v>
      </c>
      <c r="C381">
        <v>463603</v>
      </c>
      <c r="E381" t="s">
        <v>13</v>
      </c>
      <c r="F381" t="s">
        <v>483</v>
      </c>
      <c r="H381">
        <v>29240980</v>
      </c>
      <c r="I381" t="s">
        <v>16</v>
      </c>
      <c r="K381" t="s">
        <v>8024</v>
      </c>
      <c r="L381">
        <v>182</v>
      </c>
      <c r="M381" t="s">
        <v>8023</v>
      </c>
    </row>
    <row r="382" spans="1:13" x14ac:dyDescent="0.35">
      <c r="A382" t="s">
        <v>4233</v>
      </c>
      <c r="B382">
        <v>463603</v>
      </c>
      <c r="C382">
        <v>464361</v>
      </c>
      <c r="E382" t="s">
        <v>13</v>
      </c>
      <c r="F382" t="s">
        <v>8022</v>
      </c>
      <c r="H382">
        <v>29240981</v>
      </c>
      <c r="I382" t="s">
        <v>16</v>
      </c>
      <c r="K382" t="s">
        <v>8021</v>
      </c>
      <c r="L382">
        <v>252</v>
      </c>
      <c r="M382" t="s">
        <v>8020</v>
      </c>
    </row>
    <row r="383" spans="1:13" x14ac:dyDescent="0.35">
      <c r="A383" t="s">
        <v>4233</v>
      </c>
      <c r="B383">
        <v>464372</v>
      </c>
      <c r="C383">
        <v>464569</v>
      </c>
      <c r="E383" t="s">
        <v>36</v>
      </c>
      <c r="F383" t="s">
        <v>45</v>
      </c>
      <c r="H383">
        <v>93018758</v>
      </c>
      <c r="I383" t="s">
        <v>46</v>
      </c>
      <c r="M383" t="s">
        <v>8019</v>
      </c>
    </row>
    <row r="384" spans="1:13" x14ac:dyDescent="0.35">
      <c r="A384" t="s">
        <v>4233</v>
      </c>
      <c r="B384">
        <v>464782</v>
      </c>
      <c r="C384">
        <v>466107</v>
      </c>
      <c r="E384" t="s">
        <v>13</v>
      </c>
      <c r="F384" t="s">
        <v>8018</v>
      </c>
      <c r="H384">
        <v>29240982</v>
      </c>
      <c r="I384" t="s">
        <v>16</v>
      </c>
      <c r="K384" t="s">
        <v>8017</v>
      </c>
      <c r="L384">
        <v>441</v>
      </c>
      <c r="M384" t="s">
        <v>8016</v>
      </c>
    </row>
    <row r="385" spans="1:13" x14ac:dyDescent="0.35">
      <c r="A385" t="s">
        <v>4233</v>
      </c>
      <c r="B385">
        <v>466148</v>
      </c>
      <c r="C385">
        <v>467746</v>
      </c>
      <c r="E385" t="s">
        <v>36</v>
      </c>
      <c r="F385" t="s">
        <v>1056</v>
      </c>
      <c r="H385">
        <v>29240983</v>
      </c>
      <c r="I385" t="s">
        <v>16</v>
      </c>
      <c r="K385" t="s">
        <v>8015</v>
      </c>
      <c r="L385">
        <v>532</v>
      </c>
      <c r="M385" t="s">
        <v>8014</v>
      </c>
    </row>
    <row r="386" spans="1:13" x14ac:dyDescent="0.35">
      <c r="A386" t="s">
        <v>4233</v>
      </c>
      <c r="B386">
        <v>468048</v>
      </c>
      <c r="C386">
        <v>469889</v>
      </c>
      <c r="E386" t="s">
        <v>13</v>
      </c>
      <c r="F386" t="s">
        <v>8013</v>
      </c>
      <c r="H386">
        <v>29240984</v>
      </c>
      <c r="I386" t="s">
        <v>16</v>
      </c>
      <c r="K386" t="s">
        <v>8012</v>
      </c>
      <c r="L386">
        <v>613</v>
      </c>
      <c r="M386" t="s">
        <v>8011</v>
      </c>
    </row>
    <row r="387" spans="1:13" x14ac:dyDescent="0.35">
      <c r="A387" t="s">
        <v>4233</v>
      </c>
      <c r="B387">
        <v>470008</v>
      </c>
      <c r="C387">
        <v>471729</v>
      </c>
      <c r="E387" t="s">
        <v>36</v>
      </c>
      <c r="F387" t="s">
        <v>1202</v>
      </c>
      <c r="H387">
        <v>29240985</v>
      </c>
      <c r="I387" t="s">
        <v>16</v>
      </c>
      <c r="K387" t="s">
        <v>8010</v>
      </c>
      <c r="L387">
        <v>573</v>
      </c>
      <c r="M387" t="s">
        <v>8009</v>
      </c>
    </row>
    <row r="388" spans="1:13" x14ac:dyDescent="0.35">
      <c r="A388" t="s">
        <v>4233</v>
      </c>
      <c r="B388">
        <v>471981</v>
      </c>
      <c r="C388">
        <v>472586</v>
      </c>
      <c r="E388" t="s">
        <v>13</v>
      </c>
      <c r="F388" t="s">
        <v>8008</v>
      </c>
      <c r="H388">
        <v>29240986</v>
      </c>
      <c r="I388" t="s">
        <v>16</v>
      </c>
      <c r="K388" t="s">
        <v>8007</v>
      </c>
      <c r="L388">
        <v>201</v>
      </c>
      <c r="M388" t="s">
        <v>8006</v>
      </c>
    </row>
    <row r="389" spans="1:13" x14ac:dyDescent="0.35">
      <c r="A389" t="s">
        <v>4233</v>
      </c>
      <c r="B389">
        <v>472702</v>
      </c>
      <c r="C389">
        <v>474075</v>
      </c>
      <c r="E389" t="s">
        <v>13</v>
      </c>
      <c r="F389" t="s">
        <v>40</v>
      </c>
      <c r="H389">
        <v>29240987</v>
      </c>
      <c r="I389" t="s">
        <v>16</v>
      </c>
      <c r="K389" t="s">
        <v>8005</v>
      </c>
      <c r="L389">
        <v>457</v>
      </c>
      <c r="M389" t="s">
        <v>8004</v>
      </c>
    </row>
    <row r="390" spans="1:13" x14ac:dyDescent="0.35">
      <c r="A390" t="s">
        <v>4233</v>
      </c>
      <c r="B390">
        <v>474194</v>
      </c>
      <c r="C390">
        <v>475300</v>
      </c>
      <c r="E390" t="s">
        <v>36</v>
      </c>
      <c r="F390" t="s">
        <v>8003</v>
      </c>
      <c r="H390">
        <v>29240988</v>
      </c>
      <c r="I390" t="s">
        <v>16</v>
      </c>
      <c r="K390" t="s">
        <v>8002</v>
      </c>
      <c r="L390">
        <v>368</v>
      </c>
      <c r="M390" t="s">
        <v>8001</v>
      </c>
    </row>
    <row r="391" spans="1:13" x14ac:dyDescent="0.35">
      <c r="A391" t="s">
        <v>4233</v>
      </c>
      <c r="B391">
        <v>475521</v>
      </c>
      <c r="C391">
        <v>476651</v>
      </c>
      <c r="E391" t="s">
        <v>13</v>
      </c>
      <c r="F391" t="s">
        <v>8000</v>
      </c>
      <c r="H391">
        <v>29240989</v>
      </c>
      <c r="I391" t="s">
        <v>16</v>
      </c>
      <c r="K391" t="s">
        <v>7999</v>
      </c>
      <c r="L391">
        <v>376</v>
      </c>
      <c r="M391" t="s">
        <v>7998</v>
      </c>
    </row>
    <row r="392" spans="1:13" x14ac:dyDescent="0.35">
      <c r="A392" t="s">
        <v>4233</v>
      </c>
      <c r="B392">
        <v>476768</v>
      </c>
      <c r="C392">
        <v>477754</v>
      </c>
      <c r="E392" t="s">
        <v>13</v>
      </c>
      <c r="F392" t="s">
        <v>71</v>
      </c>
      <c r="H392">
        <v>29240990</v>
      </c>
      <c r="I392" t="s">
        <v>16</v>
      </c>
      <c r="K392" t="s">
        <v>7997</v>
      </c>
      <c r="L392">
        <v>328</v>
      </c>
      <c r="M392" t="s">
        <v>7996</v>
      </c>
    </row>
    <row r="393" spans="1:13" x14ac:dyDescent="0.35">
      <c r="A393" t="s">
        <v>4233</v>
      </c>
      <c r="B393">
        <v>477922</v>
      </c>
      <c r="C393">
        <v>479007</v>
      </c>
      <c r="E393" t="s">
        <v>13</v>
      </c>
      <c r="F393" t="s">
        <v>40</v>
      </c>
      <c r="H393">
        <v>31600428</v>
      </c>
      <c r="I393" t="s">
        <v>16</v>
      </c>
      <c r="K393" t="s">
        <v>7995</v>
      </c>
      <c r="L393">
        <v>361</v>
      </c>
      <c r="M393" t="s">
        <v>7994</v>
      </c>
    </row>
    <row r="394" spans="1:13" x14ac:dyDescent="0.35">
      <c r="A394" t="s">
        <v>4233</v>
      </c>
      <c r="B394">
        <v>479004</v>
      </c>
      <c r="C394">
        <v>480149</v>
      </c>
      <c r="E394" t="s">
        <v>13</v>
      </c>
      <c r="F394" t="s">
        <v>7993</v>
      </c>
      <c r="H394">
        <v>31600429</v>
      </c>
      <c r="I394" t="s">
        <v>16</v>
      </c>
      <c r="K394" t="s">
        <v>7992</v>
      </c>
      <c r="L394">
        <v>381</v>
      </c>
      <c r="M394" t="s">
        <v>7991</v>
      </c>
    </row>
    <row r="395" spans="1:13" x14ac:dyDescent="0.35">
      <c r="A395" t="s">
        <v>4233</v>
      </c>
      <c r="B395">
        <v>480201</v>
      </c>
      <c r="C395">
        <v>481625</v>
      </c>
      <c r="E395" t="s">
        <v>13</v>
      </c>
      <c r="F395" t="s">
        <v>1200</v>
      </c>
      <c r="H395">
        <v>29240992</v>
      </c>
      <c r="I395" t="s">
        <v>16</v>
      </c>
      <c r="K395" t="s">
        <v>7990</v>
      </c>
      <c r="L395">
        <v>474</v>
      </c>
      <c r="M395" t="s">
        <v>7989</v>
      </c>
    </row>
    <row r="396" spans="1:13" x14ac:dyDescent="0.35">
      <c r="A396" t="s">
        <v>4233</v>
      </c>
      <c r="B396">
        <v>481635</v>
      </c>
      <c r="C396">
        <v>482636</v>
      </c>
      <c r="E396" t="s">
        <v>13</v>
      </c>
      <c r="F396" t="s">
        <v>945</v>
      </c>
      <c r="H396">
        <v>29240993</v>
      </c>
      <c r="I396" t="s">
        <v>16</v>
      </c>
      <c r="K396" t="s">
        <v>7988</v>
      </c>
      <c r="L396">
        <v>333</v>
      </c>
      <c r="M396" t="s">
        <v>7987</v>
      </c>
    </row>
    <row r="397" spans="1:13" x14ac:dyDescent="0.35">
      <c r="A397" t="s">
        <v>4233</v>
      </c>
      <c r="B397">
        <v>482683</v>
      </c>
      <c r="C397">
        <v>484473</v>
      </c>
      <c r="E397" t="s">
        <v>13</v>
      </c>
      <c r="F397" t="s">
        <v>7986</v>
      </c>
      <c r="H397">
        <v>29240994</v>
      </c>
      <c r="I397" t="s">
        <v>16</v>
      </c>
      <c r="K397" t="s">
        <v>7985</v>
      </c>
      <c r="L397">
        <v>596</v>
      </c>
      <c r="M397" t="s">
        <v>7984</v>
      </c>
    </row>
    <row r="398" spans="1:13" x14ac:dyDescent="0.35">
      <c r="A398" t="s">
        <v>4233</v>
      </c>
      <c r="B398">
        <v>484787</v>
      </c>
      <c r="C398">
        <v>485522</v>
      </c>
      <c r="E398" t="s">
        <v>36</v>
      </c>
      <c r="F398" t="s">
        <v>45</v>
      </c>
      <c r="H398">
        <v>29240995</v>
      </c>
      <c r="I398" t="s">
        <v>46</v>
      </c>
      <c r="M398" t="s">
        <v>7983</v>
      </c>
    </row>
    <row r="399" spans="1:13" x14ac:dyDescent="0.35">
      <c r="A399" t="s">
        <v>4233</v>
      </c>
      <c r="B399">
        <v>485778</v>
      </c>
      <c r="C399">
        <v>485996</v>
      </c>
      <c r="E399" t="s">
        <v>36</v>
      </c>
      <c r="F399" t="s">
        <v>40</v>
      </c>
      <c r="H399">
        <v>29240997</v>
      </c>
      <c r="I399" t="s">
        <v>16</v>
      </c>
      <c r="K399" t="s">
        <v>7982</v>
      </c>
      <c r="L399">
        <v>72</v>
      </c>
      <c r="M399" t="s">
        <v>7981</v>
      </c>
    </row>
    <row r="400" spans="1:13" x14ac:dyDescent="0.35">
      <c r="A400" t="s">
        <v>4233</v>
      </c>
      <c r="B400">
        <v>485999</v>
      </c>
      <c r="C400">
        <v>486211</v>
      </c>
      <c r="E400" t="s">
        <v>36</v>
      </c>
      <c r="F400" t="s">
        <v>40</v>
      </c>
      <c r="H400">
        <v>29240998</v>
      </c>
      <c r="I400" t="s">
        <v>16</v>
      </c>
      <c r="K400" t="s">
        <v>7980</v>
      </c>
      <c r="L400">
        <v>70</v>
      </c>
      <c r="M400" t="s">
        <v>7979</v>
      </c>
    </row>
    <row r="401" spans="1:13" x14ac:dyDescent="0.35">
      <c r="A401" t="s">
        <v>4233</v>
      </c>
      <c r="B401">
        <v>486590</v>
      </c>
      <c r="C401">
        <v>487261</v>
      </c>
      <c r="E401" t="s">
        <v>13</v>
      </c>
      <c r="F401" t="s">
        <v>510</v>
      </c>
      <c r="H401">
        <v>29241000</v>
      </c>
      <c r="I401" t="s">
        <v>16</v>
      </c>
      <c r="K401" t="s">
        <v>7978</v>
      </c>
      <c r="L401">
        <v>223</v>
      </c>
      <c r="M401" t="s">
        <v>7977</v>
      </c>
    </row>
    <row r="402" spans="1:13" x14ac:dyDescent="0.35">
      <c r="A402" t="s">
        <v>4233</v>
      </c>
      <c r="B402">
        <v>487582</v>
      </c>
      <c r="C402">
        <v>488367</v>
      </c>
      <c r="E402" t="s">
        <v>13</v>
      </c>
      <c r="F402" t="s">
        <v>40</v>
      </c>
      <c r="H402">
        <v>55549230</v>
      </c>
      <c r="I402" t="s">
        <v>16</v>
      </c>
      <c r="K402" t="s">
        <v>7976</v>
      </c>
      <c r="L402">
        <v>261</v>
      </c>
      <c r="M402" t="s">
        <v>7975</v>
      </c>
    </row>
    <row r="403" spans="1:13" x14ac:dyDescent="0.35">
      <c r="A403" t="s">
        <v>4233</v>
      </c>
      <c r="B403">
        <v>488364</v>
      </c>
      <c r="C403">
        <v>488945</v>
      </c>
      <c r="E403" t="s">
        <v>13</v>
      </c>
      <c r="F403" t="s">
        <v>40</v>
      </c>
      <c r="H403">
        <v>29241002</v>
      </c>
      <c r="I403" t="s">
        <v>16</v>
      </c>
      <c r="K403" t="s">
        <v>7974</v>
      </c>
      <c r="L403">
        <v>193</v>
      </c>
      <c r="M403" t="s">
        <v>7973</v>
      </c>
    </row>
    <row r="404" spans="1:13" x14ac:dyDescent="0.35">
      <c r="A404" t="s">
        <v>4233</v>
      </c>
      <c r="B404">
        <v>489191</v>
      </c>
      <c r="C404">
        <v>489352</v>
      </c>
      <c r="E404" t="s">
        <v>36</v>
      </c>
      <c r="F404" t="s">
        <v>40</v>
      </c>
      <c r="H404">
        <v>55549231</v>
      </c>
      <c r="I404" t="s">
        <v>16</v>
      </c>
      <c r="K404" t="s">
        <v>7972</v>
      </c>
      <c r="L404">
        <v>53</v>
      </c>
      <c r="M404" t="s">
        <v>7971</v>
      </c>
    </row>
    <row r="405" spans="1:13" x14ac:dyDescent="0.35">
      <c r="A405" t="s">
        <v>4233</v>
      </c>
      <c r="B405">
        <v>489597</v>
      </c>
      <c r="C405">
        <v>490770</v>
      </c>
      <c r="E405" t="s">
        <v>36</v>
      </c>
      <c r="F405" t="s">
        <v>45</v>
      </c>
      <c r="H405">
        <v>29241004</v>
      </c>
      <c r="I405" t="s">
        <v>46</v>
      </c>
      <c r="M405" t="s">
        <v>7970</v>
      </c>
    </row>
    <row r="406" spans="1:13" x14ac:dyDescent="0.35">
      <c r="A406" t="s">
        <v>4233</v>
      </c>
      <c r="B406">
        <v>490862</v>
      </c>
      <c r="C406">
        <v>491155</v>
      </c>
      <c r="E406" t="s">
        <v>36</v>
      </c>
      <c r="F406" t="s">
        <v>5150</v>
      </c>
      <c r="H406">
        <v>97007088</v>
      </c>
      <c r="I406" t="s">
        <v>16</v>
      </c>
      <c r="K406" t="s">
        <v>7969</v>
      </c>
      <c r="L406">
        <v>97</v>
      </c>
      <c r="M406" t="s">
        <v>7968</v>
      </c>
    </row>
    <row r="407" spans="1:13" x14ac:dyDescent="0.35">
      <c r="A407" t="s">
        <v>4233</v>
      </c>
      <c r="B407">
        <v>491128</v>
      </c>
      <c r="C407">
        <v>491388</v>
      </c>
      <c r="E407" t="s">
        <v>36</v>
      </c>
      <c r="F407" t="s">
        <v>5150</v>
      </c>
      <c r="H407">
        <v>97007089</v>
      </c>
      <c r="I407" t="s">
        <v>16</v>
      </c>
      <c r="K407" t="s">
        <v>7967</v>
      </c>
      <c r="L407">
        <v>86</v>
      </c>
      <c r="M407" t="s">
        <v>7966</v>
      </c>
    </row>
    <row r="408" spans="1:13" x14ac:dyDescent="0.35">
      <c r="A408" t="s">
        <v>4233</v>
      </c>
      <c r="B408">
        <v>491497</v>
      </c>
      <c r="C408">
        <v>492258</v>
      </c>
      <c r="E408" t="s">
        <v>36</v>
      </c>
      <c r="F408" t="s">
        <v>7965</v>
      </c>
      <c r="G408" t="s">
        <v>7964</v>
      </c>
      <c r="H408">
        <v>29241006</v>
      </c>
      <c r="I408" t="s">
        <v>16</v>
      </c>
      <c r="K408" t="s">
        <v>7963</v>
      </c>
      <c r="L408">
        <v>253</v>
      </c>
      <c r="M408" t="s">
        <v>7962</v>
      </c>
    </row>
    <row r="409" spans="1:13" x14ac:dyDescent="0.35">
      <c r="A409" t="s">
        <v>4233</v>
      </c>
      <c r="B409">
        <v>492255</v>
      </c>
      <c r="C409">
        <v>493713</v>
      </c>
      <c r="E409" t="s">
        <v>36</v>
      </c>
      <c r="F409" t="s">
        <v>45</v>
      </c>
      <c r="G409" t="s">
        <v>7168</v>
      </c>
      <c r="H409">
        <v>29241007</v>
      </c>
      <c r="I409" t="s">
        <v>46</v>
      </c>
      <c r="M409" t="s">
        <v>7961</v>
      </c>
    </row>
    <row r="410" spans="1:13" x14ac:dyDescent="0.35">
      <c r="A410" t="s">
        <v>4233</v>
      </c>
      <c r="B410">
        <v>493962</v>
      </c>
      <c r="C410">
        <v>495848</v>
      </c>
      <c r="E410" t="s">
        <v>13</v>
      </c>
      <c r="F410" t="s">
        <v>296</v>
      </c>
      <c r="H410">
        <v>29241008</v>
      </c>
      <c r="I410" t="s">
        <v>16</v>
      </c>
      <c r="K410" t="s">
        <v>7960</v>
      </c>
      <c r="L410">
        <v>628</v>
      </c>
      <c r="M410" t="s">
        <v>7959</v>
      </c>
    </row>
    <row r="411" spans="1:13" x14ac:dyDescent="0.35">
      <c r="A411" t="s">
        <v>4233</v>
      </c>
      <c r="B411">
        <v>496108</v>
      </c>
      <c r="C411">
        <v>496980</v>
      </c>
      <c r="E411" t="s">
        <v>36</v>
      </c>
      <c r="F411" t="s">
        <v>1199</v>
      </c>
      <c r="H411">
        <v>29241009</v>
      </c>
      <c r="I411" t="s">
        <v>16</v>
      </c>
      <c r="K411" t="s">
        <v>7958</v>
      </c>
      <c r="L411">
        <v>290</v>
      </c>
      <c r="M411" t="s">
        <v>7957</v>
      </c>
    </row>
    <row r="412" spans="1:13" x14ac:dyDescent="0.35">
      <c r="A412" t="s">
        <v>4233</v>
      </c>
      <c r="B412">
        <v>497691</v>
      </c>
      <c r="C412">
        <v>497884</v>
      </c>
      <c r="E412" t="s">
        <v>36</v>
      </c>
      <c r="F412" t="s">
        <v>45</v>
      </c>
      <c r="H412">
        <v>93018759</v>
      </c>
      <c r="I412" t="s">
        <v>46</v>
      </c>
      <c r="M412" t="s">
        <v>7956</v>
      </c>
    </row>
    <row r="413" spans="1:13" x14ac:dyDescent="0.35">
      <c r="A413" t="s">
        <v>4233</v>
      </c>
      <c r="B413">
        <v>498048</v>
      </c>
      <c r="C413">
        <v>499439</v>
      </c>
      <c r="E413" t="s">
        <v>36</v>
      </c>
      <c r="F413" t="s">
        <v>40</v>
      </c>
      <c r="H413">
        <v>29241010</v>
      </c>
      <c r="I413" t="s">
        <v>16</v>
      </c>
      <c r="K413" t="s">
        <v>7955</v>
      </c>
      <c r="L413">
        <v>463</v>
      </c>
      <c r="M413" t="s">
        <v>7954</v>
      </c>
    </row>
    <row r="414" spans="1:13" x14ac:dyDescent="0.35">
      <c r="A414" t="s">
        <v>4233</v>
      </c>
      <c r="B414">
        <v>499745</v>
      </c>
      <c r="C414">
        <v>500179</v>
      </c>
      <c r="E414" t="s">
        <v>36</v>
      </c>
      <c r="F414" t="s">
        <v>40</v>
      </c>
      <c r="H414">
        <v>29241011</v>
      </c>
      <c r="I414" t="s">
        <v>16</v>
      </c>
      <c r="K414" t="s">
        <v>7953</v>
      </c>
      <c r="L414">
        <v>144</v>
      </c>
      <c r="M414" t="s">
        <v>7952</v>
      </c>
    </row>
    <row r="415" spans="1:13" x14ac:dyDescent="0.35">
      <c r="A415" t="s">
        <v>4233</v>
      </c>
      <c r="B415">
        <v>500481</v>
      </c>
      <c r="C415">
        <v>501917</v>
      </c>
      <c r="E415" t="s">
        <v>13</v>
      </c>
      <c r="F415" t="s">
        <v>7951</v>
      </c>
      <c r="H415">
        <v>29241012</v>
      </c>
      <c r="I415" t="s">
        <v>16</v>
      </c>
      <c r="K415" t="s">
        <v>7950</v>
      </c>
      <c r="L415">
        <v>478</v>
      </c>
      <c r="M415" t="s">
        <v>7949</v>
      </c>
    </row>
    <row r="416" spans="1:13" x14ac:dyDescent="0.35">
      <c r="A416" t="s">
        <v>4233</v>
      </c>
      <c r="B416">
        <v>502115</v>
      </c>
      <c r="C416">
        <v>503491</v>
      </c>
      <c r="E416" t="s">
        <v>13</v>
      </c>
      <c r="F416" t="s">
        <v>40</v>
      </c>
      <c r="H416">
        <v>29241013</v>
      </c>
      <c r="I416" t="s">
        <v>16</v>
      </c>
      <c r="K416" t="s">
        <v>7948</v>
      </c>
      <c r="L416">
        <v>458</v>
      </c>
      <c r="M416" t="s">
        <v>7947</v>
      </c>
    </row>
    <row r="417" spans="1:13" x14ac:dyDescent="0.35">
      <c r="A417" t="s">
        <v>4233</v>
      </c>
      <c r="B417">
        <v>503679</v>
      </c>
      <c r="C417">
        <v>504662</v>
      </c>
      <c r="E417" t="s">
        <v>36</v>
      </c>
      <c r="F417" t="s">
        <v>4273</v>
      </c>
      <c r="H417">
        <v>29241014</v>
      </c>
      <c r="I417" t="s">
        <v>16</v>
      </c>
      <c r="K417" t="s">
        <v>7946</v>
      </c>
      <c r="L417">
        <v>327</v>
      </c>
      <c r="M417" t="s">
        <v>7945</v>
      </c>
    </row>
    <row r="418" spans="1:13" x14ac:dyDescent="0.35">
      <c r="A418" t="s">
        <v>4233</v>
      </c>
      <c r="B418">
        <v>504835</v>
      </c>
      <c r="C418">
        <v>505206</v>
      </c>
      <c r="E418" t="s">
        <v>36</v>
      </c>
      <c r="F418" t="s">
        <v>402</v>
      </c>
      <c r="G418" t="s">
        <v>403</v>
      </c>
      <c r="H418">
        <v>29241015</v>
      </c>
      <c r="I418" t="s">
        <v>16</v>
      </c>
      <c r="K418" t="s">
        <v>7944</v>
      </c>
      <c r="L418">
        <v>123</v>
      </c>
      <c r="M418" t="s">
        <v>7943</v>
      </c>
    </row>
    <row r="419" spans="1:13" x14ac:dyDescent="0.35">
      <c r="A419" t="s">
        <v>4233</v>
      </c>
      <c r="B419">
        <v>505374</v>
      </c>
      <c r="C419">
        <v>506036</v>
      </c>
      <c r="E419" t="s">
        <v>13</v>
      </c>
      <c r="F419" t="s">
        <v>7942</v>
      </c>
      <c r="H419">
        <v>29241016</v>
      </c>
      <c r="I419" t="s">
        <v>16</v>
      </c>
      <c r="K419" t="s">
        <v>7941</v>
      </c>
      <c r="L419">
        <v>220</v>
      </c>
      <c r="M419" t="s">
        <v>7940</v>
      </c>
    </row>
    <row r="420" spans="1:13" x14ac:dyDescent="0.35">
      <c r="A420" t="s">
        <v>4233</v>
      </c>
      <c r="B420">
        <v>506173</v>
      </c>
      <c r="C420">
        <v>507018</v>
      </c>
      <c r="E420" t="s">
        <v>13</v>
      </c>
      <c r="F420" t="s">
        <v>831</v>
      </c>
      <c r="H420">
        <v>29241017</v>
      </c>
      <c r="I420" t="s">
        <v>16</v>
      </c>
      <c r="K420" t="s">
        <v>7939</v>
      </c>
      <c r="L420">
        <v>281</v>
      </c>
      <c r="M420" t="s">
        <v>7938</v>
      </c>
    </row>
    <row r="421" spans="1:13" x14ac:dyDescent="0.35">
      <c r="A421" t="s">
        <v>4233</v>
      </c>
      <c r="B421">
        <v>507152</v>
      </c>
      <c r="C421">
        <v>508408</v>
      </c>
      <c r="E421" t="s">
        <v>13</v>
      </c>
      <c r="F421" t="s">
        <v>7937</v>
      </c>
      <c r="G421" t="s">
        <v>7936</v>
      </c>
      <c r="H421">
        <v>29241018</v>
      </c>
      <c r="I421" t="s">
        <v>16</v>
      </c>
      <c r="K421" t="s">
        <v>7935</v>
      </c>
      <c r="L421">
        <v>418</v>
      </c>
      <c r="M421" t="s">
        <v>7934</v>
      </c>
    </row>
    <row r="422" spans="1:13" x14ac:dyDescent="0.35">
      <c r="A422" t="s">
        <v>4233</v>
      </c>
      <c r="B422">
        <v>508424</v>
      </c>
      <c r="C422">
        <v>508825</v>
      </c>
      <c r="E422" t="s">
        <v>13</v>
      </c>
      <c r="F422" t="s">
        <v>7933</v>
      </c>
      <c r="G422" t="s">
        <v>7932</v>
      </c>
      <c r="H422">
        <v>29241019</v>
      </c>
      <c r="I422" t="s">
        <v>16</v>
      </c>
      <c r="K422" t="s">
        <v>7931</v>
      </c>
      <c r="L422">
        <v>133</v>
      </c>
      <c r="M422" t="s">
        <v>7930</v>
      </c>
    </row>
    <row r="423" spans="1:13" x14ac:dyDescent="0.35">
      <c r="A423" t="s">
        <v>4233</v>
      </c>
      <c r="B423">
        <v>508872</v>
      </c>
      <c r="C423">
        <v>510128</v>
      </c>
      <c r="E423" t="s">
        <v>13</v>
      </c>
      <c r="F423" t="s">
        <v>7929</v>
      </c>
      <c r="H423">
        <v>29241020</v>
      </c>
      <c r="I423" t="s">
        <v>16</v>
      </c>
      <c r="K423" t="s">
        <v>7928</v>
      </c>
      <c r="L423">
        <v>418</v>
      </c>
      <c r="M423" t="s">
        <v>7927</v>
      </c>
    </row>
    <row r="424" spans="1:13" x14ac:dyDescent="0.35">
      <c r="A424" t="s">
        <v>4233</v>
      </c>
      <c r="B424">
        <v>510190</v>
      </c>
      <c r="C424">
        <v>512907</v>
      </c>
      <c r="E424" t="s">
        <v>13</v>
      </c>
      <c r="F424" t="s">
        <v>45</v>
      </c>
      <c r="H424">
        <v>29241021</v>
      </c>
      <c r="I424" t="s">
        <v>46</v>
      </c>
      <c r="M424" t="s">
        <v>7926</v>
      </c>
    </row>
    <row r="425" spans="1:13" x14ac:dyDescent="0.35">
      <c r="A425" t="s">
        <v>4233</v>
      </c>
      <c r="B425">
        <v>512974</v>
      </c>
      <c r="C425">
        <v>514005</v>
      </c>
      <c r="E425" t="s">
        <v>13</v>
      </c>
      <c r="F425" t="s">
        <v>7925</v>
      </c>
      <c r="H425">
        <v>29241022</v>
      </c>
      <c r="I425" t="s">
        <v>16</v>
      </c>
      <c r="K425" t="s">
        <v>7924</v>
      </c>
      <c r="L425">
        <v>343</v>
      </c>
      <c r="M425" t="s">
        <v>7923</v>
      </c>
    </row>
    <row r="426" spans="1:13" x14ac:dyDescent="0.35">
      <c r="A426" t="s">
        <v>4233</v>
      </c>
      <c r="B426">
        <v>514056</v>
      </c>
      <c r="C426">
        <v>515219</v>
      </c>
      <c r="E426" t="s">
        <v>13</v>
      </c>
      <c r="F426" t="s">
        <v>7922</v>
      </c>
      <c r="H426">
        <v>29241023</v>
      </c>
      <c r="I426" t="s">
        <v>16</v>
      </c>
      <c r="K426" t="s">
        <v>7921</v>
      </c>
      <c r="L426">
        <v>387</v>
      </c>
      <c r="M426" t="s">
        <v>7920</v>
      </c>
    </row>
    <row r="427" spans="1:13" x14ac:dyDescent="0.35">
      <c r="A427" t="s">
        <v>4233</v>
      </c>
      <c r="B427">
        <v>515331</v>
      </c>
      <c r="C427">
        <v>516050</v>
      </c>
      <c r="E427" t="s">
        <v>13</v>
      </c>
      <c r="F427" t="s">
        <v>478</v>
      </c>
      <c r="H427">
        <v>29241024</v>
      </c>
      <c r="I427" t="s">
        <v>16</v>
      </c>
      <c r="K427" t="s">
        <v>7919</v>
      </c>
      <c r="L427">
        <v>239</v>
      </c>
      <c r="M427" t="s">
        <v>7918</v>
      </c>
    </row>
    <row r="428" spans="1:13" x14ac:dyDescent="0.35">
      <c r="A428" t="s">
        <v>4233</v>
      </c>
      <c r="B428">
        <v>516179</v>
      </c>
      <c r="C428">
        <v>518455</v>
      </c>
      <c r="E428" t="s">
        <v>13</v>
      </c>
      <c r="F428" t="s">
        <v>7917</v>
      </c>
      <c r="H428">
        <v>29241025</v>
      </c>
      <c r="I428" t="s">
        <v>16</v>
      </c>
      <c r="K428" t="s">
        <v>7916</v>
      </c>
      <c r="L428">
        <v>758</v>
      </c>
      <c r="M428" t="s">
        <v>7915</v>
      </c>
    </row>
    <row r="429" spans="1:13" x14ac:dyDescent="0.35">
      <c r="A429" t="s">
        <v>4233</v>
      </c>
      <c r="B429">
        <v>518600</v>
      </c>
      <c r="C429">
        <v>519904</v>
      </c>
      <c r="E429" t="s">
        <v>13</v>
      </c>
      <c r="F429" t="s">
        <v>7914</v>
      </c>
      <c r="H429">
        <v>29241026</v>
      </c>
      <c r="I429" t="s">
        <v>16</v>
      </c>
      <c r="K429" t="s">
        <v>7913</v>
      </c>
      <c r="L429">
        <v>434</v>
      </c>
      <c r="M429" t="s">
        <v>7912</v>
      </c>
    </row>
    <row r="430" spans="1:13" x14ac:dyDescent="0.35">
      <c r="A430" t="s">
        <v>4233</v>
      </c>
      <c r="B430">
        <v>520049</v>
      </c>
      <c r="C430">
        <v>521200</v>
      </c>
      <c r="E430" t="s">
        <v>36</v>
      </c>
      <c r="F430" t="s">
        <v>7911</v>
      </c>
      <c r="H430">
        <v>29241027</v>
      </c>
      <c r="I430" t="s">
        <v>16</v>
      </c>
      <c r="K430" t="s">
        <v>7910</v>
      </c>
      <c r="L430">
        <v>383</v>
      </c>
      <c r="M430" t="s">
        <v>7909</v>
      </c>
    </row>
    <row r="431" spans="1:13" x14ac:dyDescent="0.35">
      <c r="A431" t="s">
        <v>4233</v>
      </c>
      <c r="B431">
        <v>521506</v>
      </c>
      <c r="C431">
        <v>522309</v>
      </c>
      <c r="E431" t="s">
        <v>13</v>
      </c>
      <c r="F431" t="s">
        <v>501</v>
      </c>
      <c r="H431">
        <v>29241028</v>
      </c>
      <c r="I431" t="s">
        <v>16</v>
      </c>
      <c r="K431" t="s">
        <v>7908</v>
      </c>
      <c r="L431">
        <v>267</v>
      </c>
      <c r="M431" t="s">
        <v>7907</v>
      </c>
    </row>
    <row r="432" spans="1:13" x14ac:dyDescent="0.35">
      <c r="A432" t="s">
        <v>4233</v>
      </c>
      <c r="B432">
        <v>522315</v>
      </c>
      <c r="C432">
        <v>523565</v>
      </c>
      <c r="E432" t="s">
        <v>13</v>
      </c>
      <c r="F432" t="s">
        <v>7906</v>
      </c>
      <c r="G432" t="s">
        <v>7905</v>
      </c>
      <c r="H432">
        <v>29241029</v>
      </c>
      <c r="I432" t="s">
        <v>16</v>
      </c>
      <c r="K432" t="s">
        <v>7904</v>
      </c>
      <c r="L432">
        <v>416</v>
      </c>
      <c r="M432" t="s">
        <v>7903</v>
      </c>
    </row>
    <row r="433" spans="1:13" x14ac:dyDescent="0.35">
      <c r="A433" t="s">
        <v>4233</v>
      </c>
      <c r="B433">
        <v>523583</v>
      </c>
      <c r="C433">
        <v>524833</v>
      </c>
      <c r="E433" t="s">
        <v>13</v>
      </c>
      <c r="F433" t="s">
        <v>1061</v>
      </c>
      <c r="G433" t="s">
        <v>7902</v>
      </c>
      <c r="H433">
        <v>29241030</v>
      </c>
      <c r="I433" t="s">
        <v>16</v>
      </c>
      <c r="K433" t="s">
        <v>7901</v>
      </c>
      <c r="L433">
        <v>416</v>
      </c>
      <c r="M433" t="s">
        <v>7900</v>
      </c>
    </row>
    <row r="434" spans="1:13" x14ac:dyDescent="0.35">
      <c r="A434" t="s">
        <v>4233</v>
      </c>
      <c r="B434">
        <v>525603</v>
      </c>
      <c r="C434">
        <v>525875</v>
      </c>
      <c r="E434" t="s">
        <v>13</v>
      </c>
      <c r="F434" t="s">
        <v>7899</v>
      </c>
      <c r="H434">
        <v>29241031</v>
      </c>
      <c r="I434" t="s">
        <v>16</v>
      </c>
      <c r="K434" t="s">
        <v>7898</v>
      </c>
      <c r="L434">
        <v>90</v>
      </c>
      <c r="M434" t="s">
        <v>7897</v>
      </c>
    </row>
    <row r="435" spans="1:13" x14ac:dyDescent="0.35">
      <c r="A435" t="s">
        <v>4233</v>
      </c>
      <c r="B435">
        <v>526020</v>
      </c>
      <c r="C435">
        <v>527384</v>
      </c>
      <c r="E435" t="s">
        <v>13</v>
      </c>
      <c r="F435" t="s">
        <v>7896</v>
      </c>
      <c r="H435">
        <v>29241032</v>
      </c>
      <c r="I435" t="s">
        <v>16</v>
      </c>
      <c r="K435" t="s">
        <v>7895</v>
      </c>
      <c r="L435">
        <v>454</v>
      </c>
      <c r="M435" t="s">
        <v>7894</v>
      </c>
    </row>
    <row r="436" spans="1:13" x14ac:dyDescent="0.35">
      <c r="A436" t="s">
        <v>4233</v>
      </c>
      <c r="B436">
        <v>527930</v>
      </c>
      <c r="C436">
        <v>528592</v>
      </c>
      <c r="E436" t="s">
        <v>36</v>
      </c>
      <c r="F436" t="s">
        <v>529</v>
      </c>
      <c r="H436">
        <v>29241034</v>
      </c>
      <c r="I436" t="s">
        <v>16</v>
      </c>
      <c r="K436" t="s">
        <v>7893</v>
      </c>
      <c r="L436">
        <v>220</v>
      </c>
      <c r="M436" t="s">
        <v>7892</v>
      </c>
    </row>
    <row r="437" spans="1:13" x14ac:dyDescent="0.35">
      <c r="A437" t="s">
        <v>4233</v>
      </c>
      <c r="B437">
        <v>528613</v>
      </c>
      <c r="C437">
        <v>529575</v>
      </c>
      <c r="E437" t="s">
        <v>13</v>
      </c>
      <c r="F437" t="s">
        <v>7891</v>
      </c>
      <c r="H437">
        <v>29241035</v>
      </c>
      <c r="I437" t="s">
        <v>16</v>
      </c>
      <c r="K437" t="s">
        <v>7890</v>
      </c>
      <c r="L437">
        <v>320</v>
      </c>
      <c r="M437" t="s">
        <v>7889</v>
      </c>
    </row>
    <row r="438" spans="1:13" x14ac:dyDescent="0.35">
      <c r="A438" t="s">
        <v>4233</v>
      </c>
      <c r="B438">
        <v>529739</v>
      </c>
      <c r="C438">
        <v>530557</v>
      </c>
      <c r="E438" t="s">
        <v>13</v>
      </c>
      <c r="F438" t="s">
        <v>40</v>
      </c>
      <c r="H438">
        <v>29241036</v>
      </c>
      <c r="I438" t="s">
        <v>16</v>
      </c>
      <c r="K438" t="s">
        <v>7888</v>
      </c>
      <c r="L438">
        <v>272</v>
      </c>
      <c r="M438" t="s">
        <v>7887</v>
      </c>
    </row>
    <row r="439" spans="1:13" x14ac:dyDescent="0.35">
      <c r="A439" t="s">
        <v>4233</v>
      </c>
      <c r="B439">
        <v>530792</v>
      </c>
      <c r="C439">
        <v>534355</v>
      </c>
      <c r="E439" t="s">
        <v>13</v>
      </c>
      <c r="F439" t="s">
        <v>219</v>
      </c>
      <c r="H439">
        <v>29241037</v>
      </c>
      <c r="I439" t="s">
        <v>16</v>
      </c>
      <c r="K439" t="s">
        <v>7886</v>
      </c>
      <c r="L439">
        <v>1187</v>
      </c>
      <c r="M439" t="s">
        <v>7885</v>
      </c>
    </row>
    <row r="440" spans="1:13" x14ac:dyDescent="0.35">
      <c r="A440" t="s">
        <v>4233</v>
      </c>
      <c r="B440">
        <v>534446</v>
      </c>
      <c r="C440">
        <v>538483</v>
      </c>
      <c r="E440" t="s">
        <v>13</v>
      </c>
      <c r="F440" t="s">
        <v>220</v>
      </c>
      <c r="H440">
        <v>29241038</v>
      </c>
      <c r="I440" t="s">
        <v>16</v>
      </c>
      <c r="K440" t="s">
        <v>7884</v>
      </c>
      <c r="L440">
        <v>1345</v>
      </c>
      <c r="M440" t="s">
        <v>7883</v>
      </c>
    </row>
    <row r="441" spans="1:13" x14ac:dyDescent="0.35">
      <c r="A441" t="s">
        <v>4233</v>
      </c>
      <c r="B441">
        <v>538583</v>
      </c>
      <c r="C441">
        <v>541012</v>
      </c>
      <c r="E441" t="s">
        <v>36</v>
      </c>
      <c r="F441" t="s">
        <v>7882</v>
      </c>
      <c r="H441">
        <v>29241039</v>
      </c>
      <c r="I441" t="s">
        <v>16</v>
      </c>
      <c r="K441" t="s">
        <v>7881</v>
      </c>
      <c r="L441">
        <v>809</v>
      </c>
      <c r="M441" t="s">
        <v>7880</v>
      </c>
    </row>
    <row r="442" spans="1:13" x14ac:dyDescent="0.35">
      <c r="A442" t="s">
        <v>4233</v>
      </c>
      <c r="B442">
        <v>541009</v>
      </c>
      <c r="C442">
        <v>542298</v>
      </c>
      <c r="E442" t="s">
        <v>36</v>
      </c>
      <c r="F442" t="s">
        <v>5483</v>
      </c>
      <c r="H442">
        <v>29241040</v>
      </c>
      <c r="I442" t="s">
        <v>16</v>
      </c>
      <c r="K442" t="s">
        <v>7879</v>
      </c>
      <c r="L442">
        <v>429</v>
      </c>
      <c r="M442" t="s">
        <v>7878</v>
      </c>
    </row>
    <row r="443" spans="1:13" x14ac:dyDescent="0.35">
      <c r="A443" t="s">
        <v>4233</v>
      </c>
      <c r="B443">
        <v>542312</v>
      </c>
      <c r="C443">
        <v>548836</v>
      </c>
      <c r="E443" t="s">
        <v>36</v>
      </c>
      <c r="F443" t="s">
        <v>296</v>
      </c>
      <c r="H443">
        <v>29241041</v>
      </c>
      <c r="I443" t="s">
        <v>16</v>
      </c>
      <c r="K443" t="s">
        <v>7877</v>
      </c>
      <c r="L443">
        <v>2174</v>
      </c>
      <c r="M443" t="s">
        <v>7876</v>
      </c>
    </row>
    <row r="444" spans="1:13" x14ac:dyDescent="0.35">
      <c r="A444" t="s">
        <v>4233</v>
      </c>
      <c r="B444">
        <v>548808</v>
      </c>
      <c r="C444">
        <v>549956</v>
      </c>
      <c r="E444" t="s">
        <v>36</v>
      </c>
      <c r="F444" t="s">
        <v>7875</v>
      </c>
      <c r="H444">
        <v>29241042</v>
      </c>
      <c r="I444" t="s">
        <v>16</v>
      </c>
      <c r="K444" t="s">
        <v>7874</v>
      </c>
      <c r="L444">
        <v>382</v>
      </c>
      <c r="M444" t="s">
        <v>7873</v>
      </c>
    </row>
    <row r="445" spans="1:13" x14ac:dyDescent="0.35">
      <c r="A445" t="s">
        <v>4233</v>
      </c>
      <c r="B445">
        <v>550092</v>
      </c>
      <c r="C445">
        <v>554189</v>
      </c>
      <c r="E445" t="s">
        <v>13</v>
      </c>
      <c r="F445" t="s">
        <v>861</v>
      </c>
      <c r="H445">
        <v>29241043</v>
      </c>
      <c r="I445" t="s">
        <v>16</v>
      </c>
      <c r="K445" t="s">
        <v>7872</v>
      </c>
      <c r="L445">
        <v>1365</v>
      </c>
      <c r="M445" t="s">
        <v>7871</v>
      </c>
    </row>
    <row r="446" spans="1:13" x14ac:dyDescent="0.35">
      <c r="A446" t="s">
        <v>4233</v>
      </c>
      <c r="B446">
        <v>554186</v>
      </c>
      <c r="C446">
        <v>558121</v>
      </c>
      <c r="E446" t="s">
        <v>13</v>
      </c>
      <c r="F446" t="s">
        <v>7870</v>
      </c>
      <c r="H446">
        <v>29241044</v>
      </c>
      <c r="I446" t="s">
        <v>16</v>
      </c>
      <c r="K446" t="s">
        <v>7869</v>
      </c>
      <c r="L446">
        <v>1311</v>
      </c>
      <c r="M446" t="s">
        <v>7868</v>
      </c>
    </row>
    <row r="447" spans="1:13" x14ac:dyDescent="0.35">
      <c r="A447" t="s">
        <v>4233</v>
      </c>
      <c r="B447">
        <v>558293</v>
      </c>
      <c r="C447">
        <v>559612</v>
      </c>
      <c r="E447" t="s">
        <v>13</v>
      </c>
      <c r="F447" t="s">
        <v>121</v>
      </c>
      <c r="H447">
        <v>29241045</v>
      </c>
      <c r="I447" t="s">
        <v>16</v>
      </c>
      <c r="K447" t="s">
        <v>7867</v>
      </c>
      <c r="L447">
        <v>439</v>
      </c>
      <c r="M447" t="s">
        <v>7866</v>
      </c>
    </row>
    <row r="448" spans="1:13" x14ac:dyDescent="0.35">
      <c r="A448" t="s">
        <v>4233</v>
      </c>
      <c r="B448">
        <v>559700</v>
      </c>
      <c r="C448">
        <v>560455</v>
      </c>
      <c r="E448" t="s">
        <v>13</v>
      </c>
      <c r="F448" t="s">
        <v>724</v>
      </c>
      <c r="G448" t="s">
        <v>725</v>
      </c>
      <c r="H448">
        <v>29241046</v>
      </c>
      <c r="I448" t="s">
        <v>16</v>
      </c>
      <c r="K448" t="s">
        <v>7865</v>
      </c>
      <c r="L448">
        <v>251</v>
      </c>
      <c r="M448" t="s">
        <v>7864</v>
      </c>
    </row>
    <row r="449" spans="1:13" x14ac:dyDescent="0.35">
      <c r="A449" t="s">
        <v>4233</v>
      </c>
      <c r="B449">
        <v>560561</v>
      </c>
      <c r="C449">
        <v>561466</v>
      </c>
      <c r="E449" t="s">
        <v>13</v>
      </c>
      <c r="F449" t="s">
        <v>720</v>
      </c>
      <c r="G449" t="s">
        <v>721</v>
      </c>
      <c r="H449">
        <v>29241047</v>
      </c>
      <c r="I449" t="s">
        <v>16</v>
      </c>
      <c r="K449" t="s">
        <v>7863</v>
      </c>
      <c r="L449">
        <v>301</v>
      </c>
      <c r="M449" t="s">
        <v>7862</v>
      </c>
    </row>
    <row r="450" spans="1:13" x14ac:dyDescent="0.35">
      <c r="A450" t="s">
        <v>4233</v>
      </c>
      <c r="B450">
        <v>561546</v>
      </c>
      <c r="C450">
        <v>563402</v>
      </c>
      <c r="E450" t="s">
        <v>13</v>
      </c>
      <c r="F450" t="s">
        <v>685</v>
      </c>
      <c r="H450">
        <v>29241048</v>
      </c>
      <c r="I450" t="s">
        <v>16</v>
      </c>
      <c r="K450" t="s">
        <v>7861</v>
      </c>
      <c r="L450">
        <v>618</v>
      </c>
      <c r="M450" t="s">
        <v>7860</v>
      </c>
    </row>
    <row r="451" spans="1:13" x14ac:dyDescent="0.35">
      <c r="A451" t="s">
        <v>4233</v>
      </c>
      <c r="B451">
        <v>563444</v>
      </c>
      <c r="C451">
        <v>566053</v>
      </c>
      <c r="E451" t="s">
        <v>13</v>
      </c>
      <c r="F451" t="s">
        <v>7859</v>
      </c>
      <c r="G451" t="s">
        <v>7858</v>
      </c>
      <c r="H451">
        <v>29241049</v>
      </c>
      <c r="I451" t="s">
        <v>16</v>
      </c>
      <c r="K451" t="s">
        <v>7857</v>
      </c>
      <c r="L451">
        <v>869</v>
      </c>
      <c r="M451" t="s">
        <v>7856</v>
      </c>
    </row>
    <row r="452" spans="1:13" x14ac:dyDescent="0.35">
      <c r="A452" t="s">
        <v>4233</v>
      </c>
      <c r="B452">
        <v>566540</v>
      </c>
      <c r="C452">
        <v>567925</v>
      </c>
      <c r="E452" t="s">
        <v>13</v>
      </c>
      <c r="F452" t="s">
        <v>593</v>
      </c>
      <c r="G452" t="s">
        <v>594</v>
      </c>
      <c r="H452">
        <v>29241050</v>
      </c>
      <c r="I452" t="s">
        <v>16</v>
      </c>
      <c r="K452" t="s">
        <v>7855</v>
      </c>
      <c r="L452">
        <v>461</v>
      </c>
      <c r="M452" t="s">
        <v>7854</v>
      </c>
    </row>
    <row r="453" spans="1:13" x14ac:dyDescent="0.35">
      <c r="A453" t="s">
        <v>4233</v>
      </c>
      <c r="B453">
        <v>568069</v>
      </c>
      <c r="C453">
        <v>568722</v>
      </c>
      <c r="E453" t="s">
        <v>13</v>
      </c>
      <c r="F453" t="s">
        <v>61</v>
      </c>
      <c r="H453">
        <v>29241051</v>
      </c>
      <c r="I453" t="s">
        <v>16</v>
      </c>
      <c r="K453" t="s">
        <v>7853</v>
      </c>
      <c r="L453">
        <v>217</v>
      </c>
      <c r="M453" t="s">
        <v>7852</v>
      </c>
    </row>
    <row r="454" spans="1:13" x14ac:dyDescent="0.35">
      <c r="A454" t="s">
        <v>4233</v>
      </c>
      <c r="B454">
        <v>568719</v>
      </c>
      <c r="C454">
        <v>570173</v>
      </c>
      <c r="E454" t="s">
        <v>13</v>
      </c>
      <c r="F454" t="s">
        <v>7851</v>
      </c>
      <c r="H454">
        <v>29241052</v>
      </c>
      <c r="I454" t="s">
        <v>16</v>
      </c>
      <c r="K454" t="s">
        <v>7850</v>
      </c>
      <c r="L454">
        <v>484</v>
      </c>
      <c r="M454" t="s">
        <v>7849</v>
      </c>
    </row>
    <row r="455" spans="1:13" x14ac:dyDescent="0.35">
      <c r="A455" t="s">
        <v>4233</v>
      </c>
      <c r="B455">
        <v>570190</v>
      </c>
      <c r="C455">
        <v>570321</v>
      </c>
      <c r="E455" t="s">
        <v>13</v>
      </c>
      <c r="F455" t="s">
        <v>40</v>
      </c>
      <c r="H455">
        <v>93018751</v>
      </c>
      <c r="I455" t="s">
        <v>16</v>
      </c>
      <c r="K455" t="s">
        <v>7848</v>
      </c>
      <c r="L455">
        <v>43</v>
      </c>
      <c r="M455" t="s">
        <v>7847</v>
      </c>
    </row>
    <row r="456" spans="1:13" x14ac:dyDescent="0.35">
      <c r="A456" t="s">
        <v>4233</v>
      </c>
      <c r="B456">
        <v>570525</v>
      </c>
      <c r="C456">
        <v>571649</v>
      </c>
      <c r="E456" t="s">
        <v>13</v>
      </c>
      <c r="F456" t="s">
        <v>545</v>
      </c>
      <c r="G456" t="s">
        <v>546</v>
      </c>
      <c r="H456">
        <v>29241053</v>
      </c>
      <c r="I456" t="s">
        <v>16</v>
      </c>
      <c r="K456" t="s">
        <v>7846</v>
      </c>
      <c r="L456">
        <v>374</v>
      </c>
      <c r="M456" t="s">
        <v>7845</v>
      </c>
    </row>
    <row r="457" spans="1:13" x14ac:dyDescent="0.35">
      <c r="A457" t="s">
        <v>4233</v>
      </c>
      <c r="B457">
        <v>571652</v>
      </c>
      <c r="C457">
        <v>572848</v>
      </c>
      <c r="E457" t="s">
        <v>13</v>
      </c>
      <c r="F457" t="s">
        <v>7844</v>
      </c>
      <c r="G457" t="s">
        <v>7843</v>
      </c>
      <c r="H457">
        <v>29241054</v>
      </c>
      <c r="I457" t="s">
        <v>16</v>
      </c>
      <c r="K457" t="s">
        <v>7842</v>
      </c>
      <c r="L457">
        <v>398</v>
      </c>
      <c r="M457" t="s">
        <v>7841</v>
      </c>
    </row>
    <row r="458" spans="1:13" x14ac:dyDescent="0.35">
      <c r="A458" t="s">
        <v>4233</v>
      </c>
      <c r="B458">
        <v>572852</v>
      </c>
      <c r="C458">
        <v>573775</v>
      </c>
      <c r="E458" t="s">
        <v>13</v>
      </c>
      <c r="F458" t="s">
        <v>7840</v>
      </c>
      <c r="G458" t="s">
        <v>7839</v>
      </c>
      <c r="H458">
        <v>29241055</v>
      </c>
      <c r="I458" t="s">
        <v>16</v>
      </c>
      <c r="K458" t="s">
        <v>7838</v>
      </c>
      <c r="L458">
        <v>307</v>
      </c>
      <c r="M458" t="s">
        <v>7837</v>
      </c>
    </row>
    <row r="459" spans="1:13" x14ac:dyDescent="0.35">
      <c r="A459" t="s">
        <v>4233</v>
      </c>
      <c r="B459">
        <v>573854</v>
      </c>
      <c r="C459">
        <v>575200</v>
      </c>
      <c r="E459" t="s">
        <v>13</v>
      </c>
      <c r="F459" t="s">
        <v>1257</v>
      </c>
      <c r="H459">
        <v>29241056</v>
      </c>
      <c r="I459" t="s">
        <v>16</v>
      </c>
      <c r="K459" t="s">
        <v>7836</v>
      </c>
      <c r="L459">
        <v>448</v>
      </c>
      <c r="M459" t="s">
        <v>7835</v>
      </c>
    </row>
    <row r="460" spans="1:13" x14ac:dyDescent="0.35">
      <c r="A460" t="s">
        <v>4233</v>
      </c>
      <c r="B460">
        <v>575314</v>
      </c>
      <c r="C460">
        <v>575790</v>
      </c>
      <c r="E460" t="s">
        <v>13</v>
      </c>
      <c r="F460" t="s">
        <v>431</v>
      </c>
      <c r="G460" t="s">
        <v>432</v>
      </c>
      <c r="H460">
        <v>29241057</v>
      </c>
      <c r="I460" t="s">
        <v>16</v>
      </c>
      <c r="K460" t="s">
        <v>7834</v>
      </c>
      <c r="L460">
        <v>158</v>
      </c>
      <c r="M460" t="s">
        <v>7833</v>
      </c>
    </row>
    <row r="461" spans="1:13" x14ac:dyDescent="0.35">
      <c r="A461" t="s">
        <v>4233</v>
      </c>
      <c r="B461">
        <v>575912</v>
      </c>
      <c r="C461">
        <v>576865</v>
      </c>
      <c r="E461" t="s">
        <v>13</v>
      </c>
      <c r="F461" t="s">
        <v>590</v>
      </c>
      <c r="H461">
        <v>29241058</v>
      </c>
      <c r="I461" t="s">
        <v>16</v>
      </c>
      <c r="K461" t="s">
        <v>7832</v>
      </c>
      <c r="L461">
        <v>317</v>
      </c>
      <c r="M461" t="s">
        <v>7831</v>
      </c>
    </row>
    <row r="462" spans="1:13" x14ac:dyDescent="0.35">
      <c r="A462" t="s">
        <v>4233</v>
      </c>
      <c r="B462">
        <v>576999</v>
      </c>
      <c r="C462">
        <v>577940</v>
      </c>
      <c r="E462" t="s">
        <v>13</v>
      </c>
      <c r="F462" t="s">
        <v>590</v>
      </c>
      <c r="H462">
        <v>29241059</v>
      </c>
      <c r="I462" t="s">
        <v>16</v>
      </c>
      <c r="K462" t="s">
        <v>7830</v>
      </c>
      <c r="L462">
        <v>313</v>
      </c>
      <c r="M462" t="s">
        <v>7829</v>
      </c>
    </row>
    <row r="463" spans="1:13" x14ac:dyDescent="0.35">
      <c r="A463" t="s">
        <v>4233</v>
      </c>
      <c r="B463">
        <v>578085</v>
      </c>
      <c r="C463">
        <v>579068</v>
      </c>
      <c r="E463" t="s">
        <v>13</v>
      </c>
      <c r="F463" t="s">
        <v>489</v>
      </c>
      <c r="H463">
        <v>29241060</v>
      </c>
      <c r="I463" t="s">
        <v>16</v>
      </c>
      <c r="K463" t="s">
        <v>7828</v>
      </c>
      <c r="L463">
        <v>327</v>
      </c>
      <c r="M463" t="s">
        <v>7827</v>
      </c>
    </row>
    <row r="464" spans="1:13" x14ac:dyDescent="0.35">
      <c r="A464" t="s">
        <v>4233</v>
      </c>
      <c r="B464">
        <v>579084</v>
      </c>
      <c r="C464">
        <v>579914</v>
      </c>
      <c r="E464" t="s">
        <v>13</v>
      </c>
      <c r="F464" t="s">
        <v>91</v>
      </c>
      <c r="H464">
        <v>29241061</v>
      </c>
      <c r="I464" t="s">
        <v>16</v>
      </c>
      <c r="K464" t="s">
        <v>7826</v>
      </c>
      <c r="L464">
        <v>276</v>
      </c>
      <c r="M464" t="s">
        <v>7825</v>
      </c>
    </row>
    <row r="465" spans="1:13" x14ac:dyDescent="0.35">
      <c r="A465" t="s">
        <v>4233</v>
      </c>
      <c r="B465">
        <v>580156</v>
      </c>
      <c r="C465">
        <v>582048</v>
      </c>
      <c r="E465" t="s">
        <v>13</v>
      </c>
      <c r="F465" t="s">
        <v>438</v>
      </c>
      <c r="G465" t="s">
        <v>439</v>
      </c>
      <c r="H465">
        <v>29241062</v>
      </c>
      <c r="I465" t="s">
        <v>16</v>
      </c>
      <c r="K465" t="s">
        <v>7824</v>
      </c>
      <c r="L465">
        <v>630</v>
      </c>
      <c r="M465" t="s">
        <v>7823</v>
      </c>
    </row>
    <row r="466" spans="1:13" x14ac:dyDescent="0.35">
      <c r="A466" t="s">
        <v>4233</v>
      </c>
      <c r="B466">
        <v>582092</v>
      </c>
      <c r="C466">
        <v>582826</v>
      </c>
      <c r="E466" t="s">
        <v>13</v>
      </c>
      <c r="F466" t="s">
        <v>650</v>
      </c>
      <c r="H466">
        <v>29241063</v>
      </c>
      <c r="I466" t="s">
        <v>16</v>
      </c>
      <c r="K466" t="s">
        <v>7822</v>
      </c>
      <c r="L466">
        <v>244</v>
      </c>
      <c r="M466" t="s">
        <v>7821</v>
      </c>
    </row>
    <row r="467" spans="1:13" x14ac:dyDescent="0.35">
      <c r="A467" t="s">
        <v>4233</v>
      </c>
      <c r="B467">
        <v>582819</v>
      </c>
      <c r="C467">
        <v>583805</v>
      </c>
      <c r="E467" t="s">
        <v>36</v>
      </c>
      <c r="F467" t="s">
        <v>373</v>
      </c>
      <c r="H467">
        <v>29241064</v>
      </c>
      <c r="I467" t="s">
        <v>16</v>
      </c>
      <c r="K467" t="s">
        <v>7820</v>
      </c>
      <c r="L467">
        <v>328</v>
      </c>
      <c r="M467" t="s">
        <v>7819</v>
      </c>
    </row>
    <row r="468" spans="1:13" x14ac:dyDescent="0.35">
      <c r="A468" t="s">
        <v>4233</v>
      </c>
      <c r="B468">
        <v>584045</v>
      </c>
      <c r="C468">
        <v>584971</v>
      </c>
      <c r="E468" t="s">
        <v>13</v>
      </c>
      <c r="F468" t="s">
        <v>453</v>
      </c>
      <c r="H468">
        <v>29241065</v>
      </c>
      <c r="I468" t="s">
        <v>16</v>
      </c>
      <c r="K468" t="s">
        <v>7818</v>
      </c>
      <c r="L468">
        <v>308</v>
      </c>
      <c r="M468" t="s">
        <v>7817</v>
      </c>
    </row>
    <row r="469" spans="1:13" x14ac:dyDescent="0.35">
      <c r="A469" t="s">
        <v>4233</v>
      </c>
      <c r="B469">
        <v>585024</v>
      </c>
      <c r="C469">
        <v>586022</v>
      </c>
      <c r="E469" t="s">
        <v>13</v>
      </c>
      <c r="F469" t="s">
        <v>453</v>
      </c>
      <c r="H469">
        <v>29241066</v>
      </c>
      <c r="I469" t="s">
        <v>16</v>
      </c>
      <c r="K469" t="s">
        <v>7816</v>
      </c>
      <c r="L469">
        <v>332</v>
      </c>
      <c r="M469" t="s">
        <v>7815</v>
      </c>
    </row>
    <row r="470" spans="1:13" x14ac:dyDescent="0.35">
      <c r="A470" t="s">
        <v>4233</v>
      </c>
      <c r="B470">
        <v>586202</v>
      </c>
      <c r="C470">
        <v>588277</v>
      </c>
      <c r="E470" t="s">
        <v>13</v>
      </c>
      <c r="F470" t="s">
        <v>1015</v>
      </c>
      <c r="H470">
        <v>29241067</v>
      </c>
      <c r="I470" t="s">
        <v>16</v>
      </c>
      <c r="K470" t="s">
        <v>7814</v>
      </c>
      <c r="L470">
        <v>691</v>
      </c>
      <c r="M470" t="s">
        <v>7813</v>
      </c>
    </row>
    <row r="471" spans="1:13" x14ac:dyDescent="0.35">
      <c r="A471" t="s">
        <v>4233</v>
      </c>
      <c r="B471">
        <v>588533</v>
      </c>
      <c r="C471">
        <v>589879</v>
      </c>
      <c r="E471" t="s">
        <v>13</v>
      </c>
      <c r="F471" t="s">
        <v>451</v>
      </c>
      <c r="H471">
        <v>29241068</v>
      </c>
      <c r="I471" t="s">
        <v>16</v>
      </c>
      <c r="K471" t="s">
        <v>7812</v>
      </c>
      <c r="L471">
        <v>448</v>
      </c>
      <c r="M471" t="s">
        <v>7811</v>
      </c>
    </row>
    <row r="472" spans="1:13" x14ac:dyDescent="0.35">
      <c r="A472" t="s">
        <v>4233</v>
      </c>
      <c r="B472">
        <v>590042</v>
      </c>
      <c r="C472">
        <v>591463</v>
      </c>
      <c r="E472" t="s">
        <v>13</v>
      </c>
      <c r="F472" t="s">
        <v>590</v>
      </c>
      <c r="H472">
        <v>29241069</v>
      </c>
      <c r="I472" t="s">
        <v>16</v>
      </c>
      <c r="K472" t="s">
        <v>7810</v>
      </c>
      <c r="L472">
        <v>473</v>
      </c>
      <c r="M472" t="s">
        <v>7809</v>
      </c>
    </row>
    <row r="473" spans="1:13" x14ac:dyDescent="0.35">
      <c r="A473" t="s">
        <v>4233</v>
      </c>
      <c r="B473">
        <v>591557</v>
      </c>
      <c r="C473">
        <v>592327</v>
      </c>
      <c r="E473" t="s">
        <v>36</v>
      </c>
      <c r="F473" t="s">
        <v>7808</v>
      </c>
      <c r="H473">
        <v>29241070</v>
      </c>
      <c r="I473" t="s">
        <v>16</v>
      </c>
      <c r="K473" t="s">
        <v>7807</v>
      </c>
      <c r="L473">
        <v>256</v>
      </c>
      <c r="M473" t="s">
        <v>7806</v>
      </c>
    </row>
    <row r="474" spans="1:13" x14ac:dyDescent="0.35">
      <c r="A474" t="s">
        <v>4233</v>
      </c>
      <c r="B474">
        <v>592454</v>
      </c>
      <c r="C474">
        <v>594088</v>
      </c>
      <c r="E474" t="s">
        <v>13</v>
      </c>
      <c r="F474" t="s">
        <v>590</v>
      </c>
      <c r="H474">
        <v>29241071</v>
      </c>
      <c r="I474" t="s">
        <v>16</v>
      </c>
      <c r="K474" t="s">
        <v>7805</v>
      </c>
      <c r="L474">
        <v>544</v>
      </c>
      <c r="M474" t="s">
        <v>7804</v>
      </c>
    </row>
    <row r="475" spans="1:13" x14ac:dyDescent="0.35">
      <c r="A475" t="s">
        <v>4233</v>
      </c>
      <c r="B475">
        <v>594275</v>
      </c>
      <c r="C475">
        <v>595252</v>
      </c>
      <c r="E475" t="s">
        <v>13</v>
      </c>
      <c r="F475" t="s">
        <v>133</v>
      </c>
      <c r="H475">
        <v>29241072</v>
      </c>
      <c r="I475" t="s">
        <v>16</v>
      </c>
      <c r="K475" t="s">
        <v>7803</v>
      </c>
      <c r="L475">
        <v>325</v>
      </c>
      <c r="M475" t="s">
        <v>7802</v>
      </c>
    </row>
    <row r="476" spans="1:13" x14ac:dyDescent="0.35">
      <c r="A476" t="s">
        <v>4233</v>
      </c>
      <c r="B476">
        <v>595342</v>
      </c>
      <c r="C476">
        <v>596235</v>
      </c>
      <c r="E476" t="s">
        <v>13</v>
      </c>
      <c r="F476" t="s">
        <v>133</v>
      </c>
      <c r="H476">
        <v>29241073</v>
      </c>
      <c r="I476" t="s">
        <v>16</v>
      </c>
      <c r="K476" t="s">
        <v>7801</v>
      </c>
      <c r="L476">
        <v>297</v>
      </c>
      <c r="M476" t="s">
        <v>7800</v>
      </c>
    </row>
    <row r="477" spans="1:13" x14ac:dyDescent="0.35">
      <c r="A477" t="s">
        <v>4233</v>
      </c>
      <c r="B477">
        <v>596225</v>
      </c>
      <c r="C477">
        <v>597016</v>
      </c>
      <c r="E477" t="s">
        <v>13</v>
      </c>
      <c r="F477" t="s">
        <v>73</v>
      </c>
      <c r="H477">
        <v>29241074</v>
      </c>
      <c r="I477" t="s">
        <v>16</v>
      </c>
      <c r="K477" t="s">
        <v>7799</v>
      </c>
      <c r="L477">
        <v>263</v>
      </c>
      <c r="M477" t="s">
        <v>7798</v>
      </c>
    </row>
    <row r="478" spans="1:13" x14ac:dyDescent="0.35">
      <c r="A478" t="s">
        <v>4233</v>
      </c>
      <c r="B478">
        <v>597009</v>
      </c>
      <c r="C478">
        <v>597794</v>
      </c>
      <c r="E478" t="s">
        <v>13</v>
      </c>
      <c r="F478" t="s">
        <v>73</v>
      </c>
      <c r="H478">
        <v>29241075</v>
      </c>
      <c r="I478" t="s">
        <v>16</v>
      </c>
      <c r="K478" t="s">
        <v>7797</v>
      </c>
      <c r="L478">
        <v>261</v>
      </c>
      <c r="M478" t="s">
        <v>7796</v>
      </c>
    </row>
    <row r="479" spans="1:13" x14ac:dyDescent="0.35">
      <c r="A479" t="s">
        <v>4233</v>
      </c>
      <c r="B479">
        <v>598187</v>
      </c>
      <c r="C479">
        <v>599209</v>
      </c>
      <c r="E479" t="s">
        <v>13</v>
      </c>
      <c r="F479" t="s">
        <v>7795</v>
      </c>
      <c r="H479">
        <v>29241076</v>
      </c>
      <c r="I479" t="s">
        <v>16</v>
      </c>
      <c r="K479" t="s">
        <v>7794</v>
      </c>
      <c r="L479">
        <v>340</v>
      </c>
      <c r="M479" t="s">
        <v>7793</v>
      </c>
    </row>
    <row r="480" spans="1:13" x14ac:dyDescent="0.35">
      <c r="A480" t="s">
        <v>4233</v>
      </c>
      <c r="B480">
        <v>599399</v>
      </c>
      <c r="C480">
        <v>600583</v>
      </c>
      <c r="E480" t="s">
        <v>13</v>
      </c>
      <c r="F480" t="s">
        <v>7792</v>
      </c>
      <c r="H480">
        <v>29241077</v>
      </c>
      <c r="I480" t="s">
        <v>16</v>
      </c>
      <c r="K480" t="s">
        <v>7791</v>
      </c>
      <c r="L480">
        <v>394</v>
      </c>
      <c r="M480" t="s">
        <v>7790</v>
      </c>
    </row>
    <row r="481" spans="1:13" x14ac:dyDescent="0.35">
      <c r="A481" t="s">
        <v>4233</v>
      </c>
      <c r="B481">
        <v>600889</v>
      </c>
      <c r="C481">
        <v>602808</v>
      </c>
      <c r="E481" t="s">
        <v>13</v>
      </c>
      <c r="F481" t="s">
        <v>820</v>
      </c>
      <c r="G481" t="s">
        <v>821</v>
      </c>
      <c r="H481">
        <v>29241078</v>
      </c>
      <c r="I481" t="s">
        <v>16</v>
      </c>
      <c r="K481" t="s">
        <v>7789</v>
      </c>
      <c r="L481">
        <v>639</v>
      </c>
      <c r="M481" t="s">
        <v>7788</v>
      </c>
    </row>
    <row r="482" spans="1:13" x14ac:dyDescent="0.35">
      <c r="A482" t="s">
        <v>4233</v>
      </c>
      <c r="B482">
        <v>602922</v>
      </c>
      <c r="C482">
        <v>603416</v>
      </c>
      <c r="E482" t="s">
        <v>13</v>
      </c>
      <c r="F482" t="s">
        <v>837</v>
      </c>
      <c r="H482">
        <v>29241079</v>
      </c>
      <c r="I482" t="s">
        <v>16</v>
      </c>
      <c r="K482" t="s">
        <v>7787</v>
      </c>
      <c r="L482">
        <v>164</v>
      </c>
      <c r="M482" t="s">
        <v>7786</v>
      </c>
    </row>
    <row r="483" spans="1:13" x14ac:dyDescent="0.35">
      <c r="A483" t="s">
        <v>4233</v>
      </c>
      <c r="B483">
        <v>603540</v>
      </c>
      <c r="C483">
        <v>604082</v>
      </c>
      <c r="E483" t="s">
        <v>13</v>
      </c>
      <c r="F483" t="s">
        <v>7785</v>
      </c>
      <c r="H483">
        <v>29241080</v>
      </c>
      <c r="I483" t="s">
        <v>16</v>
      </c>
      <c r="K483" t="s">
        <v>7784</v>
      </c>
      <c r="L483">
        <v>180</v>
      </c>
      <c r="M483" t="s">
        <v>7783</v>
      </c>
    </row>
    <row r="484" spans="1:13" x14ac:dyDescent="0.35">
      <c r="A484" t="s">
        <v>4233</v>
      </c>
      <c r="B484">
        <v>604139</v>
      </c>
      <c r="C484">
        <v>605596</v>
      </c>
      <c r="E484" t="s">
        <v>36</v>
      </c>
      <c r="F484" t="s">
        <v>55</v>
      </c>
      <c r="H484">
        <v>29241081</v>
      </c>
      <c r="I484" t="s">
        <v>16</v>
      </c>
      <c r="K484" t="s">
        <v>7782</v>
      </c>
      <c r="L484">
        <v>485</v>
      </c>
      <c r="M484" t="s">
        <v>7781</v>
      </c>
    </row>
    <row r="485" spans="1:13" x14ac:dyDescent="0.35">
      <c r="A485" t="s">
        <v>4233</v>
      </c>
      <c r="B485">
        <v>605788</v>
      </c>
      <c r="C485">
        <v>607146</v>
      </c>
      <c r="E485" t="s">
        <v>13</v>
      </c>
      <c r="F485" t="s">
        <v>191</v>
      </c>
      <c r="G485" t="s">
        <v>192</v>
      </c>
      <c r="H485">
        <v>29241082</v>
      </c>
      <c r="I485" t="s">
        <v>16</v>
      </c>
      <c r="K485" t="s">
        <v>7780</v>
      </c>
      <c r="L485">
        <v>452</v>
      </c>
      <c r="M485" t="s">
        <v>7779</v>
      </c>
    </row>
    <row r="486" spans="1:13" x14ac:dyDescent="0.35">
      <c r="A486" t="s">
        <v>4233</v>
      </c>
      <c r="B486">
        <v>607186</v>
      </c>
      <c r="C486">
        <v>608472</v>
      </c>
      <c r="E486" t="s">
        <v>13</v>
      </c>
      <c r="F486" t="s">
        <v>7778</v>
      </c>
      <c r="H486">
        <v>29241083</v>
      </c>
      <c r="I486" t="s">
        <v>16</v>
      </c>
      <c r="K486" t="s">
        <v>7777</v>
      </c>
      <c r="L486">
        <v>428</v>
      </c>
      <c r="M486" t="s">
        <v>7776</v>
      </c>
    </row>
    <row r="487" spans="1:13" x14ac:dyDescent="0.35">
      <c r="A487" t="s">
        <v>4233</v>
      </c>
      <c r="B487">
        <v>608659</v>
      </c>
      <c r="C487">
        <v>610761</v>
      </c>
      <c r="E487" t="s">
        <v>13</v>
      </c>
      <c r="F487" t="s">
        <v>873</v>
      </c>
      <c r="G487" t="s">
        <v>874</v>
      </c>
      <c r="H487">
        <v>29241084</v>
      </c>
      <c r="I487" t="s">
        <v>16</v>
      </c>
      <c r="K487" t="s">
        <v>7775</v>
      </c>
      <c r="L487">
        <v>700</v>
      </c>
      <c r="M487" t="s">
        <v>7774</v>
      </c>
    </row>
    <row r="488" spans="1:13" x14ac:dyDescent="0.35">
      <c r="A488" t="s">
        <v>4233</v>
      </c>
      <c r="B488">
        <v>610810</v>
      </c>
      <c r="C488">
        <v>611232</v>
      </c>
      <c r="E488" t="s">
        <v>36</v>
      </c>
      <c r="F488" t="s">
        <v>7773</v>
      </c>
      <c r="H488">
        <v>29241085</v>
      </c>
      <c r="I488" t="s">
        <v>16</v>
      </c>
      <c r="K488" t="s">
        <v>7772</v>
      </c>
      <c r="L488">
        <v>140</v>
      </c>
      <c r="M488" t="s">
        <v>7771</v>
      </c>
    </row>
    <row r="489" spans="1:13" x14ac:dyDescent="0.35">
      <c r="A489" t="s">
        <v>4233</v>
      </c>
      <c r="B489">
        <v>611229</v>
      </c>
      <c r="C489">
        <v>611459</v>
      </c>
      <c r="E489" t="s">
        <v>36</v>
      </c>
      <c r="F489" t="s">
        <v>7770</v>
      </c>
      <c r="H489">
        <v>29241086</v>
      </c>
      <c r="I489" t="s">
        <v>16</v>
      </c>
      <c r="K489" t="s">
        <v>7769</v>
      </c>
      <c r="L489">
        <v>76</v>
      </c>
      <c r="M489" t="s">
        <v>7768</v>
      </c>
    </row>
    <row r="490" spans="1:13" x14ac:dyDescent="0.35">
      <c r="A490" t="s">
        <v>4233</v>
      </c>
      <c r="B490">
        <v>611669</v>
      </c>
      <c r="C490">
        <v>612544</v>
      </c>
      <c r="E490" t="s">
        <v>13</v>
      </c>
      <c r="F490" t="s">
        <v>7767</v>
      </c>
      <c r="G490" t="s">
        <v>7766</v>
      </c>
      <c r="H490">
        <v>29241087</v>
      </c>
      <c r="I490" t="s">
        <v>16</v>
      </c>
      <c r="K490" t="s">
        <v>7765</v>
      </c>
      <c r="L490">
        <v>291</v>
      </c>
      <c r="M490" t="s">
        <v>7764</v>
      </c>
    </row>
    <row r="491" spans="1:13" x14ac:dyDescent="0.35">
      <c r="A491" t="s">
        <v>4233</v>
      </c>
      <c r="B491">
        <v>612571</v>
      </c>
      <c r="C491">
        <v>613209</v>
      </c>
      <c r="E491" t="s">
        <v>13</v>
      </c>
      <c r="F491" t="s">
        <v>7763</v>
      </c>
      <c r="G491" t="s">
        <v>7762</v>
      </c>
      <c r="H491">
        <v>29241088</v>
      </c>
      <c r="I491" t="s">
        <v>16</v>
      </c>
      <c r="K491" t="s">
        <v>7761</v>
      </c>
      <c r="L491">
        <v>212</v>
      </c>
      <c r="M491" t="s">
        <v>7760</v>
      </c>
    </row>
    <row r="492" spans="1:13" x14ac:dyDescent="0.35">
      <c r="A492" t="s">
        <v>4233</v>
      </c>
      <c r="B492">
        <v>613267</v>
      </c>
      <c r="C492">
        <v>614790</v>
      </c>
      <c r="E492" t="s">
        <v>13</v>
      </c>
      <c r="F492" t="s">
        <v>5553</v>
      </c>
      <c r="H492">
        <v>29241089</v>
      </c>
      <c r="I492" t="s">
        <v>16</v>
      </c>
      <c r="K492" t="s">
        <v>7759</v>
      </c>
      <c r="L492">
        <v>507</v>
      </c>
      <c r="M492" t="s">
        <v>7758</v>
      </c>
    </row>
    <row r="493" spans="1:13" x14ac:dyDescent="0.35">
      <c r="A493" t="s">
        <v>4233</v>
      </c>
      <c r="B493">
        <v>614871</v>
      </c>
      <c r="C493">
        <v>616049</v>
      </c>
      <c r="E493" t="s">
        <v>13</v>
      </c>
      <c r="F493" t="s">
        <v>7757</v>
      </c>
      <c r="H493">
        <v>29241090</v>
      </c>
      <c r="I493" t="s">
        <v>16</v>
      </c>
      <c r="K493" t="s">
        <v>7756</v>
      </c>
      <c r="L493">
        <v>392</v>
      </c>
      <c r="M493" t="s">
        <v>7755</v>
      </c>
    </row>
    <row r="494" spans="1:13" x14ac:dyDescent="0.35">
      <c r="A494" t="s">
        <v>4233</v>
      </c>
      <c r="B494">
        <v>616053</v>
      </c>
      <c r="C494">
        <v>616274</v>
      </c>
      <c r="E494" t="s">
        <v>36</v>
      </c>
      <c r="F494" t="s">
        <v>40</v>
      </c>
      <c r="H494">
        <v>29241091</v>
      </c>
      <c r="I494" t="s">
        <v>16</v>
      </c>
      <c r="K494" t="s">
        <v>7754</v>
      </c>
      <c r="L494">
        <v>73</v>
      </c>
      <c r="M494" t="s">
        <v>7753</v>
      </c>
    </row>
    <row r="495" spans="1:13" x14ac:dyDescent="0.35">
      <c r="A495" t="s">
        <v>4233</v>
      </c>
      <c r="B495">
        <v>616677</v>
      </c>
      <c r="C495">
        <v>616967</v>
      </c>
      <c r="E495" t="s">
        <v>36</v>
      </c>
      <c r="F495" t="s">
        <v>45</v>
      </c>
      <c r="H495">
        <v>97007090</v>
      </c>
      <c r="I495" t="s">
        <v>46</v>
      </c>
      <c r="M495" t="s">
        <v>7752</v>
      </c>
    </row>
    <row r="496" spans="1:13" x14ac:dyDescent="0.35">
      <c r="A496" t="s">
        <v>4233</v>
      </c>
      <c r="B496">
        <v>617172</v>
      </c>
      <c r="C496">
        <v>618041</v>
      </c>
      <c r="E496" t="s">
        <v>13</v>
      </c>
      <c r="F496" t="s">
        <v>157</v>
      </c>
      <c r="H496">
        <v>29241093</v>
      </c>
      <c r="I496" t="s">
        <v>16</v>
      </c>
      <c r="K496" t="s">
        <v>7751</v>
      </c>
      <c r="L496">
        <v>289</v>
      </c>
      <c r="M496" t="s">
        <v>7750</v>
      </c>
    </row>
    <row r="497" spans="1:13" x14ac:dyDescent="0.35">
      <c r="A497" t="s">
        <v>4233</v>
      </c>
      <c r="B497">
        <v>618108</v>
      </c>
      <c r="C497">
        <v>618181</v>
      </c>
      <c r="E497" t="s">
        <v>13</v>
      </c>
      <c r="F497" t="s">
        <v>417</v>
      </c>
      <c r="H497">
        <v>29241094</v>
      </c>
      <c r="I497" t="s">
        <v>39</v>
      </c>
      <c r="M497" t="s">
        <v>7749</v>
      </c>
    </row>
    <row r="498" spans="1:13" x14ac:dyDescent="0.35">
      <c r="A498" t="s">
        <v>4233</v>
      </c>
      <c r="B498">
        <v>618459</v>
      </c>
      <c r="C498">
        <v>618644</v>
      </c>
      <c r="E498" t="s">
        <v>36</v>
      </c>
      <c r="F498" t="s">
        <v>40</v>
      </c>
      <c r="H498">
        <v>29241095</v>
      </c>
      <c r="I498" t="s">
        <v>16</v>
      </c>
      <c r="K498" t="s">
        <v>7748</v>
      </c>
      <c r="L498">
        <v>61</v>
      </c>
      <c r="M498" t="s">
        <v>7747</v>
      </c>
    </row>
    <row r="499" spans="1:13" x14ac:dyDescent="0.35">
      <c r="A499" t="s">
        <v>4233</v>
      </c>
      <c r="B499">
        <v>618905</v>
      </c>
      <c r="C499">
        <v>620236</v>
      </c>
      <c r="E499" t="s">
        <v>13</v>
      </c>
      <c r="F499" t="s">
        <v>590</v>
      </c>
      <c r="H499">
        <v>29241096</v>
      </c>
      <c r="I499" t="s">
        <v>16</v>
      </c>
      <c r="K499" t="s">
        <v>7746</v>
      </c>
      <c r="L499">
        <v>443</v>
      </c>
      <c r="M499" t="s">
        <v>7745</v>
      </c>
    </row>
    <row r="500" spans="1:13" x14ac:dyDescent="0.35">
      <c r="A500" t="s">
        <v>4233</v>
      </c>
      <c r="B500">
        <v>620248</v>
      </c>
      <c r="C500">
        <v>621492</v>
      </c>
      <c r="E500" t="s">
        <v>13</v>
      </c>
      <c r="F500" t="s">
        <v>373</v>
      </c>
      <c r="H500">
        <v>29241097</v>
      </c>
      <c r="I500" t="s">
        <v>16</v>
      </c>
      <c r="K500" t="s">
        <v>7744</v>
      </c>
      <c r="L500">
        <v>414</v>
      </c>
      <c r="M500" t="s">
        <v>7743</v>
      </c>
    </row>
    <row r="501" spans="1:13" x14ac:dyDescent="0.35">
      <c r="A501" t="s">
        <v>4233</v>
      </c>
      <c r="B501">
        <v>621473</v>
      </c>
      <c r="C501">
        <v>623287</v>
      </c>
      <c r="E501" t="s">
        <v>13</v>
      </c>
      <c r="F501" t="s">
        <v>183</v>
      </c>
      <c r="H501">
        <v>29241098</v>
      </c>
      <c r="I501" t="s">
        <v>16</v>
      </c>
      <c r="K501" t="s">
        <v>7742</v>
      </c>
      <c r="L501">
        <v>604</v>
      </c>
      <c r="M501" t="s">
        <v>7741</v>
      </c>
    </row>
    <row r="502" spans="1:13" x14ac:dyDescent="0.35">
      <c r="A502" t="s">
        <v>4233</v>
      </c>
      <c r="B502">
        <v>623516</v>
      </c>
      <c r="C502">
        <v>623692</v>
      </c>
      <c r="E502" t="s">
        <v>13</v>
      </c>
      <c r="F502" t="s">
        <v>45</v>
      </c>
      <c r="H502">
        <v>29241099</v>
      </c>
      <c r="I502" t="s">
        <v>46</v>
      </c>
      <c r="M502" t="s">
        <v>7740</v>
      </c>
    </row>
    <row r="503" spans="1:13" x14ac:dyDescent="0.35">
      <c r="A503" t="s">
        <v>4233</v>
      </c>
      <c r="B503">
        <v>623801</v>
      </c>
      <c r="C503">
        <v>625420</v>
      </c>
      <c r="E503" t="s">
        <v>13</v>
      </c>
      <c r="F503" t="s">
        <v>590</v>
      </c>
      <c r="H503">
        <v>29241100</v>
      </c>
      <c r="I503" t="s">
        <v>16</v>
      </c>
      <c r="K503" t="s">
        <v>7739</v>
      </c>
      <c r="L503">
        <v>539</v>
      </c>
      <c r="M503" t="s">
        <v>7738</v>
      </c>
    </row>
    <row r="504" spans="1:13" x14ac:dyDescent="0.35">
      <c r="A504" t="s">
        <v>4233</v>
      </c>
      <c r="B504">
        <v>625422</v>
      </c>
      <c r="C504">
        <v>625913</v>
      </c>
      <c r="E504" t="s">
        <v>13</v>
      </c>
      <c r="F504" t="s">
        <v>7737</v>
      </c>
      <c r="H504">
        <v>29241101</v>
      </c>
      <c r="I504" t="s">
        <v>16</v>
      </c>
      <c r="K504" t="s">
        <v>7736</v>
      </c>
      <c r="L504">
        <v>163</v>
      </c>
      <c r="M504" t="s">
        <v>7735</v>
      </c>
    </row>
    <row r="505" spans="1:13" x14ac:dyDescent="0.35">
      <c r="A505" t="s">
        <v>4233</v>
      </c>
      <c r="B505">
        <v>626103</v>
      </c>
      <c r="C505">
        <v>626476</v>
      </c>
      <c r="E505" t="s">
        <v>36</v>
      </c>
      <c r="F505" t="s">
        <v>45</v>
      </c>
      <c r="H505">
        <v>42569791</v>
      </c>
      <c r="I505" t="s">
        <v>46</v>
      </c>
      <c r="M505" t="s">
        <v>7734</v>
      </c>
    </row>
    <row r="506" spans="1:13" x14ac:dyDescent="0.35">
      <c r="A506" t="s">
        <v>4233</v>
      </c>
      <c r="B506">
        <v>626608</v>
      </c>
      <c r="C506">
        <v>627420</v>
      </c>
      <c r="E506" t="s">
        <v>13</v>
      </c>
      <c r="F506" t="s">
        <v>73</v>
      </c>
      <c r="H506">
        <v>29241102</v>
      </c>
      <c r="I506" t="s">
        <v>16</v>
      </c>
      <c r="K506" t="s">
        <v>7733</v>
      </c>
      <c r="L506">
        <v>270</v>
      </c>
      <c r="M506" t="s">
        <v>7732</v>
      </c>
    </row>
    <row r="507" spans="1:13" x14ac:dyDescent="0.35">
      <c r="A507" t="s">
        <v>4233</v>
      </c>
      <c r="B507">
        <v>627432</v>
      </c>
      <c r="C507">
        <v>628727</v>
      </c>
      <c r="E507" t="s">
        <v>13</v>
      </c>
      <c r="F507" t="s">
        <v>40</v>
      </c>
      <c r="H507">
        <v>29241103</v>
      </c>
      <c r="I507" t="s">
        <v>16</v>
      </c>
      <c r="K507" t="s">
        <v>7731</v>
      </c>
      <c r="L507">
        <v>431</v>
      </c>
      <c r="M507" t="s">
        <v>7730</v>
      </c>
    </row>
    <row r="508" spans="1:13" x14ac:dyDescent="0.35">
      <c r="A508" t="s">
        <v>4233</v>
      </c>
      <c r="B508">
        <v>628739</v>
      </c>
      <c r="C508">
        <v>630268</v>
      </c>
      <c r="E508" t="s">
        <v>13</v>
      </c>
      <c r="F508" t="s">
        <v>133</v>
      </c>
      <c r="H508">
        <v>29241104</v>
      </c>
      <c r="I508" t="s">
        <v>16</v>
      </c>
      <c r="K508" t="s">
        <v>7729</v>
      </c>
      <c r="L508">
        <v>509</v>
      </c>
      <c r="M508" t="s">
        <v>7728</v>
      </c>
    </row>
    <row r="509" spans="1:13" x14ac:dyDescent="0.35">
      <c r="A509" t="s">
        <v>4233</v>
      </c>
      <c r="B509">
        <v>630252</v>
      </c>
      <c r="C509">
        <v>632357</v>
      </c>
      <c r="E509" t="s">
        <v>36</v>
      </c>
      <c r="F509" t="s">
        <v>311</v>
      </c>
      <c r="H509">
        <v>29241105</v>
      </c>
      <c r="I509" t="s">
        <v>16</v>
      </c>
      <c r="K509" t="s">
        <v>7727</v>
      </c>
      <c r="L509">
        <v>701</v>
      </c>
      <c r="M509" t="s">
        <v>7726</v>
      </c>
    </row>
    <row r="510" spans="1:13" x14ac:dyDescent="0.35">
      <c r="A510" t="s">
        <v>4233</v>
      </c>
      <c r="B510">
        <v>632611</v>
      </c>
      <c r="C510">
        <v>633603</v>
      </c>
      <c r="E510" t="s">
        <v>13</v>
      </c>
      <c r="F510" t="s">
        <v>7725</v>
      </c>
      <c r="H510">
        <v>29241106</v>
      </c>
      <c r="I510" t="s">
        <v>16</v>
      </c>
      <c r="K510" t="s">
        <v>7724</v>
      </c>
      <c r="L510">
        <v>330</v>
      </c>
      <c r="M510" t="s">
        <v>7723</v>
      </c>
    </row>
    <row r="511" spans="1:13" x14ac:dyDescent="0.35">
      <c r="A511" t="s">
        <v>4233</v>
      </c>
      <c r="B511">
        <v>633670</v>
      </c>
      <c r="C511">
        <v>634170</v>
      </c>
      <c r="E511" t="s">
        <v>13</v>
      </c>
      <c r="F511" t="s">
        <v>1152</v>
      </c>
      <c r="G511" t="s">
        <v>1153</v>
      </c>
      <c r="H511">
        <v>29241107</v>
      </c>
      <c r="I511" t="s">
        <v>16</v>
      </c>
      <c r="K511" t="s">
        <v>7722</v>
      </c>
      <c r="L511">
        <v>166</v>
      </c>
      <c r="M511" t="s">
        <v>7721</v>
      </c>
    </row>
    <row r="512" spans="1:13" x14ac:dyDescent="0.35">
      <c r="A512" t="s">
        <v>4233</v>
      </c>
      <c r="B512">
        <v>634154</v>
      </c>
      <c r="C512">
        <v>635332</v>
      </c>
      <c r="E512" t="s">
        <v>13</v>
      </c>
      <c r="F512" t="s">
        <v>1148</v>
      </c>
      <c r="G512" t="s">
        <v>1149</v>
      </c>
      <c r="H512">
        <v>29241108</v>
      </c>
      <c r="I512" t="s">
        <v>16</v>
      </c>
      <c r="K512" t="s">
        <v>7720</v>
      </c>
      <c r="L512">
        <v>392</v>
      </c>
      <c r="M512" t="s">
        <v>7719</v>
      </c>
    </row>
    <row r="513" spans="1:13" x14ac:dyDescent="0.35">
      <c r="A513" t="s">
        <v>4233</v>
      </c>
      <c r="B513">
        <v>635341</v>
      </c>
      <c r="C513">
        <v>635769</v>
      </c>
      <c r="E513" t="s">
        <v>13</v>
      </c>
      <c r="F513" t="s">
        <v>7706</v>
      </c>
      <c r="H513">
        <v>29241109</v>
      </c>
      <c r="I513" t="s">
        <v>16</v>
      </c>
      <c r="K513" t="s">
        <v>7718</v>
      </c>
      <c r="L513">
        <v>142</v>
      </c>
      <c r="M513" t="s">
        <v>7717</v>
      </c>
    </row>
    <row r="514" spans="1:13" x14ac:dyDescent="0.35">
      <c r="A514" t="s">
        <v>4233</v>
      </c>
      <c r="B514">
        <v>635815</v>
      </c>
      <c r="C514">
        <v>636537</v>
      </c>
      <c r="E514" t="s">
        <v>36</v>
      </c>
      <c r="F514" t="s">
        <v>133</v>
      </c>
      <c r="H514">
        <v>29241110</v>
      </c>
      <c r="I514" t="s">
        <v>16</v>
      </c>
      <c r="K514" t="s">
        <v>7716</v>
      </c>
      <c r="L514">
        <v>240</v>
      </c>
      <c r="M514" t="s">
        <v>7715</v>
      </c>
    </row>
    <row r="515" spans="1:13" x14ac:dyDescent="0.35">
      <c r="A515" t="s">
        <v>4233</v>
      </c>
      <c r="B515">
        <v>636522</v>
      </c>
      <c r="C515">
        <v>636941</v>
      </c>
      <c r="E515" t="s">
        <v>36</v>
      </c>
      <c r="F515" t="s">
        <v>40</v>
      </c>
      <c r="H515">
        <v>29241111</v>
      </c>
      <c r="I515" t="s">
        <v>16</v>
      </c>
      <c r="K515" t="s">
        <v>7714</v>
      </c>
      <c r="L515">
        <v>139</v>
      </c>
      <c r="M515" t="s">
        <v>7713</v>
      </c>
    </row>
    <row r="516" spans="1:13" x14ac:dyDescent="0.35">
      <c r="A516" t="s">
        <v>4233</v>
      </c>
      <c r="B516">
        <v>636947</v>
      </c>
      <c r="C516">
        <v>637390</v>
      </c>
      <c r="E516" t="s">
        <v>36</v>
      </c>
      <c r="F516" t="s">
        <v>45</v>
      </c>
      <c r="H516">
        <v>29241112</v>
      </c>
      <c r="I516" t="s">
        <v>46</v>
      </c>
      <c r="M516" t="s">
        <v>7712</v>
      </c>
    </row>
    <row r="517" spans="1:13" x14ac:dyDescent="0.35">
      <c r="A517" t="s">
        <v>4233</v>
      </c>
      <c r="B517">
        <v>637394</v>
      </c>
      <c r="C517">
        <v>637696</v>
      </c>
      <c r="E517" t="s">
        <v>13</v>
      </c>
      <c r="F517" t="s">
        <v>7711</v>
      </c>
      <c r="H517">
        <v>29241113</v>
      </c>
      <c r="I517" t="s">
        <v>16</v>
      </c>
      <c r="K517" t="s">
        <v>7710</v>
      </c>
      <c r="L517">
        <v>100</v>
      </c>
      <c r="M517" t="s">
        <v>7709</v>
      </c>
    </row>
    <row r="518" spans="1:13" x14ac:dyDescent="0.35">
      <c r="A518" t="s">
        <v>4233</v>
      </c>
      <c r="B518">
        <v>637773</v>
      </c>
      <c r="C518">
        <v>638120</v>
      </c>
      <c r="E518" t="s">
        <v>36</v>
      </c>
      <c r="F518" t="s">
        <v>40</v>
      </c>
      <c r="H518">
        <v>29241114</v>
      </c>
      <c r="I518" t="s">
        <v>16</v>
      </c>
      <c r="K518" t="s">
        <v>7708</v>
      </c>
      <c r="L518">
        <v>115</v>
      </c>
      <c r="M518" t="s">
        <v>7707</v>
      </c>
    </row>
    <row r="519" spans="1:13" x14ac:dyDescent="0.35">
      <c r="A519" t="s">
        <v>4233</v>
      </c>
      <c r="B519">
        <v>638469</v>
      </c>
      <c r="C519">
        <v>638969</v>
      </c>
      <c r="E519" t="s">
        <v>36</v>
      </c>
      <c r="F519" t="s">
        <v>7706</v>
      </c>
      <c r="H519">
        <v>29241115</v>
      </c>
      <c r="I519" t="s">
        <v>16</v>
      </c>
      <c r="K519" t="s">
        <v>7705</v>
      </c>
      <c r="L519">
        <v>166</v>
      </c>
      <c r="M519" t="s">
        <v>7704</v>
      </c>
    </row>
    <row r="520" spans="1:13" x14ac:dyDescent="0.35">
      <c r="A520" t="s">
        <v>4233</v>
      </c>
      <c r="B520">
        <v>639228</v>
      </c>
      <c r="C520">
        <v>639983</v>
      </c>
      <c r="E520" t="s">
        <v>36</v>
      </c>
      <c r="F520" t="s">
        <v>7703</v>
      </c>
      <c r="H520">
        <v>29241116</v>
      </c>
      <c r="I520" t="s">
        <v>16</v>
      </c>
      <c r="K520" t="s">
        <v>7702</v>
      </c>
      <c r="L520">
        <v>251</v>
      </c>
      <c r="M520" t="s">
        <v>7701</v>
      </c>
    </row>
    <row r="521" spans="1:13" x14ac:dyDescent="0.35">
      <c r="A521" t="s">
        <v>4233</v>
      </c>
      <c r="B521">
        <v>639986</v>
      </c>
      <c r="C521">
        <v>641113</v>
      </c>
      <c r="E521" t="s">
        <v>36</v>
      </c>
      <c r="F521" t="s">
        <v>7700</v>
      </c>
      <c r="H521">
        <v>29241117</v>
      </c>
      <c r="I521" t="s">
        <v>16</v>
      </c>
      <c r="K521" t="s">
        <v>7699</v>
      </c>
      <c r="L521">
        <v>375</v>
      </c>
      <c r="M521" t="s">
        <v>7698</v>
      </c>
    </row>
    <row r="522" spans="1:13" x14ac:dyDescent="0.35">
      <c r="A522" t="s">
        <v>4233</v>
      </c>
      <c r="B522">
        <v>641256</v>
      </c>
      <c r="C522">
        <v>641330</v>
      </c>
      <c r="E522" t="s">
        <v>36</v>
      </c>
      <c r="F522" t="s">
        <v>7697</v>
      </c>
      <c r="H522">
        <v>97007091</v>
      </c>
      <c r="I522" t="s">
        <v>16</v>
      </c>
      <c r="K522" t="s">
        <v>7696</v>
      </c>
      <c r="L522">
        <v>24</v>
      </c>
      <c r="M522" t="s">
        <v>7695</v>
      </c>
    </row>
    <row r="523" spans="1:13" x14ac:dyDescent="0.35">
      <c r="A523" t="s">
        <v>4233</v>
      </c>
      <c r="B523">
        <v>641820</v>
      </c>
      <c r="C523">
        <v>642028</v>
      </c>
      <c r="E523" t="s">
        <v>36</v>
      </c>
      <c r="F523" t="s">
        <v>45</v>
      </c>
      <c r="G523" t="s">
        <v>7694</v>
      </c>
      <c r="H523">
        <v>97007092</v>
      </c>
      <c r="I523" t="s">
        <v>46</v>
      </c>
      <c r="M523" t="s">
        <v>7693</v>
      </c>
    </row>
    <row r="524" spans="1:13" x14ac:dyDescent="0.35">
      <c r="A524" t="s">
        <v>4233</v>
      </c>
      <c r="B524">
        <v>642222</v>
      </c>
      <c r="C524">
        <v>643145</v>
      </c>
      <c r="E524" t="s">
        <v>13</v>
      </c>
      <c r="F524" t="s">
        <v>7238</v>
      </c>
      <c r="H524">
        <v>29241119</v>
      </c>
      <c r="I524" t="s">
        <v>16</v>
      </c>
      <c r="K524" t="s">
        <v>7692</v>
      </c>
      <c r="L524">
        <v>307</v>
      </c>
      <c r="M524" t="s">
        <v>7691</v>
      </c>
    </row>
    <row r="525" spans="1:13" x14ac:dyDescent="0.35">
      <c r="A525" t="s">
        <v>4233</v>
      </c>
      <c r="B525">
        <v>643441</v>
      </c>
      <c r="C525">
        <v>645516</v>
      </c>
      <c r="E525" t="s">
        <v>13</v>
      </c>
      <c r="F525" t="s">
        <v>126</v>
      </c>
      <c r="H525">
        <v>29241120</v>
      </c>
      <c r="I525" t="s">
        <v>16</v>
      </c>
      <c r="K525" t="s">
        <v>7690</v>
      </c>
      <c r="L525">
        <v>691</v>
      </c>
      <c r="M525" t="s">
        <v>7689</v>
      </c>
    </row>
    <row r="526" spans="1:13" x14ac:dyDescent="0.35">
      <c r="A526" t="s">
        <v>4233</v>
      </c>
      <c r="B526">
        <v>645635</v>
      </c>
      <c r="C526">
        <v>647194</v>
      </c>
      <c r="E526" t="s">
        <v>13</v>
      </c>
      <c r="F526" t="s">
        <v>7688</v>
      </c>
      <c r="H526">
        <v>29241121</v>
      </c>
      <c r="I526" t="s">
        <v>16</v>
      </c>
      <c r="K526" t="s">
        <v>7687</v>
      </c>
      <c r="L526">
        <v>519</v>
      </c>
      <c r="M526" t="s">
        <v>7686</v>
      </c>
    </row>
    <row r="527" spans="1:13" x14ac:dyDescent="0.35">
      <c r="A527" t="s">
        <v>4233</v>
      </c>
      <c r="B527">
        <v>647570</v>
      </c>
      <c r="C527">
        <v>648838</v>
      </c>
      <c r="E527" t="s">
        <v>36</v>
      </c>
      <c r="F527" t="s">
        <v>1124</v>
      </c>
      <c r="G527" t="s">
        <v>1125</v>
      </c>
      <c r="H527">
        <v>29241122</v>
      </c>
      <c r="I527" t="s">
        <v>16</v>
      </c>
      <c r="K527" t="s">
        <v>7685</v>
      </c>
      <c r="L527">
        <v>422</v>
      </c>
      <c r="M527" t="s">
        <v>7684</v>
      </c>
    </row>
    <row r="528" spans="1:13" x14ac:dyDescent="0.35">
      <c r="A528" t="s">
        <v>4233</v>
      </c>
      <c r="B528">
        <v>648865</v>
      </c>
      <c r="C528">
        <v>649902</v>
      </c>
      <c r="E528" t="s">
        <v>36</v>
      </c>
      <c r="F528" t="s">
        <v>1134</v>
      </c>
      <c r="G528" t="s">
        <v>1135</v>
      </c>
      <c r="H528">
        <v>29241123</v>
      </c>
      <c r="I528" t="s">
        <v>16</v>
      </c>
      <c r="K528" t="s">
        <v>7683</v>
      </c>
      <c r="L528">
        <v>345</v>
      </c>
      <c r="M528" t="s">
        <v>7682</v>
      </c>
    </row>
    <row r="529" spans="1:13" x14ac:dyDescent="0.35">
      <c r="A529" t="s">
        <v>4233</v>
      </c>
      <c r="B529">
        <v>650019</v>
      </c>
      <c r="C529">
        <v>651530</v>
      </c>
      <c r="E529" t="s">
        <v>36</v>
      </c>
      <c r="F529" t="s">
        <v>1138</v>
      </c>
      <c r="G529" t="s">
        <v>1139</v>
      </c>
      <c r="H529">
        <v>29241124</v>
      </c>
      <c r="I529" t="s">
        <v>16</v>
      </c>
      <c r="K529" t="s">
        <v>7681</v>
      </c>
      <c r="L529">
        <v>503</v>
      </c>
      <c r="M529" t="s">
        <v>7680</v>
      </c>
    </row>
    <row r="530" spans="1:13" x14ac:dyDescent="0.35">
      <c r="A530" t="s">
        <v>4233</v>
      </c>
      <c r="B530">
        <v>651842</v>
      </c>
      <c r="C530">
        <v>653422</v>
      </c>
      <c r="E530" t="s">
        <v>13</v>
      </c>
      <c r="F530" t="s">
        <v>7679</v>
      </c>
      <c r="H530">
        <v>29241125</v>
      </c>
      <c r="I530" t="s">
        <v>16</v>
      </c>
      <c r="K530" t="s">
        <v>7678</v>
      </c>
      <c r="L530">
        <v>526</v>
      </c>
      <c r="M530" t="s">
        <v>7677</v>
      </c>
    </row>
    <row r="531" spans="1:13" x14ac:dyDescent="0.35">
      <c r="A531" t="s">
        <v>4233</v>
      </c>
      <c r="B531">
        <v>653419</v>
      </c>
      <c r="C531">
        <v>653637</v>
      </c>
      <c r="E531" t="s">
        <v>13</v>
      </c>
      <c r="F531" t="s">
        <v>40</v>
      </c>
      <c r="H531">
        <v>29241126</v>
      </c>
      <c r="I531" t="s">
        <v>16</v>
      </c>
      <c r="K531" t="s">
        <v>7676</v>
      </c>
      <c r="L531">
        <v>72</v>
      </c>
      <c r="M531" t="s">
        <v>7675</v>
      </c>
    </row>
    <row r="532" spans="1:13" x14ac:dyDescent="0.35">
      <c r="A532" t="s">
        <v>4233</v>
      </c>
      <c r="B532">
        <v>653671</v>
      </c>
      <c r="C532">
        <v>653826</v>
      </c>
      <c r="E532" t="s">
        <v>36</v>
      </c>
      <c r="F532" t="s">
        <v>40</v>
      </c>
      <c r="H532">
        <v>55549232</v>
      </c>
      <c r="I532" t="s">
        <v>16</v>
      </c>
      <c r="K532" t="s">
        <v>7674</v>
      </c>
      <c r="L532">
        <v>51</v>
      </c>
      <c r="M532" t="s">
        <v>7673</v>
      </c>
    </row>
    <row r="533" spans="1:13" x14ac:dyDescent="0.35">
      <c r="A533" t="s">
        <v>4233</v>
      </c>
      <c r="B533">
        <v>653975</v>
      </c>
      <c r="C533">
        <v>654529</v>
      </c>
      <c r="E533" t="s">
        <v>36</v>
      </c>
      <c r="F533" t="s">
        <v>7672</v>
      </c>
      <c r="H533">
        <v>29241127</v>
      </c>
      <c r="I533" t="s">
        <v>16</v>
      </c>
      <c r="K533" t="s">
        <v>7671</v>
      </c>
      <c r="L533">
        <v>184</v>
      </c>
      <c r="M533" t="s">
        <v>7670</v>
      </c>
    </row>
    <row r="534" spans="1:13" x14ac:dyDescent="0.35">
      <c r="A534" t="s">
        <v>4233</v>
      </c>
      <c r="B534">
        <v>654716</v>
      </c>
      <c r="C534">
        <v>654982</v>
      </c>
      <c r="E534" t="s">
        <v>36</v>
      </c>
      <c r="F534" t="s">
        <v>40</v>
      </c>
      <c r="H534">
        <v>29241128</v>
      </c>
      <c r="I534" t="s">
        <v>16</v>
      </c>
      <c r="K534" t="s">
        <v>7669</v>
      </c>
      <c r="L534">
        <v>88</v>
      </c>
      <c r="M534" t="s">
        <v>7668</v>
      </c>
    </row>
    <row r="535" spans="1:13" x14ac:dyDescent="0.35">
      <c r="A535" t="s">
        <v>4233</v>
      </c>
      <c r="B535">
        <v>655024</v>
      </c>
      <c r="C535">
        <v>655932</v>
      </c>
      <c r="E535" t="s">
        <v>36</v>
      </c>
      <c r="F535" t="s">
        <v>40</v>
      </c>
      <c r="H535">
        <v>29241129</v>
      </c>
      <c r="I535" t="s">
        <v>16</v>
      </c>
      <c r="K535" t="s">
        <v>7667</v>
      </c>
      <c r="L535">
        <v>302</v>
      </c>
      <c r="M535" t="s">
        <v>7666</v>
      </c>
    </row>
    <row r="536" spans="1:13" x14ac:dyDescent="0.35">
      <c r="A536" t="s">
        <v>4233</v>
      </c>
      <c r="B536">
        <v>656134</v>
      </c>
      <c r="C536">
        <v>656664</v>
      </c>
      <c r="E536" t="s">
        <v>36</v>
      </c>
      <c r="F536" t="s">
        <v>40</v>
      </c>
      <c r="H536">
        <v>29241130</v>
      </c>
      <c r="I536" t="s">
        <v>16</v>
      </c>
      <c r="K536" t="s">
        <v>7665</v>
      </c>
      <c r="L536">
        <v>176</v>
      </c>
      <c r="M536" t="s">
        <v>7664</v>
      </c>
    </row>
    <row r="537" spans="1:13" x14ac:dyDescent="0.35">
      <c r="A537" t="s">
        <v>4233</v>
      </c>
      <c r="B537">
        <v>656922</v>
      </c>
      <c r="C537">
        <v>657329</v>
      </c>
      <c r="E537" t="s">
        <v>13</v>
      </c>
      <c r="F537" t="s">
        <v>45</v>
      </c>
      <c r="H537">
        <v>29241131</v>
      </c>
      <c r="I537" t="s">
        <v>46</v>
      </c>
      <c r="M537" t="s">
        <v>7663</v>
      </c>
    </row>
    <row r="538" spans="1:13" x14ac:dyDescent="0.35">
      <c r="A538" t="s">
        <v>4233</v>
      </c>
      <c r="B538">
        <v>657477</v>
      </c>
      <c r="C538">
        <v>658268</v>
      </c>
      <c r="E538" t="s">
        <v>13</v>
      </c>
      <c r="F538" t="s">
        <v>7662</v>
      </c>
      <c r="H538">
        <v>29241132</v>
      </c>
      <c r="I538" t="s">
        <v>16</v>
      </c>
      <c r="K538" t="s">
        <v>7661</v>
      </c>
      <c r="L538">
        <v>263</v>
      </c>
      <c r="M538" t="s">
        <v>7660</v>
      </c>
    </row>
    <row r="539" spans="1:13" x14ac:dyDescent="0.35">
      <c r="A539" t="s">
        <v>4233</v>
      </c>
      <c r="B539">
        <v>658352</v>
      </c>
      <c r="C539">
        <v>659011</v>
      </c>
      <c r="E539" t="s">
        <v>36</v>
      </c>
      <c r="F539" t="s">
        <v>7659</v>
      </c>
      <c r="H539">
        <v>29241133</v>
      </c>
      <c r="I539" t="s">
        <v>16</v>
      </c>
      <c r="K539" t="s">
        <v>7658</v>
      </c>
      <c r="L539">
        <v>219</v>
      </c>
      <c r="M539" t="s">
        <v>7657</v>
      </c>
    </row>
    <row r="540" spans="1:13" x14ac:dyDescent="0.35">
      <c r="A540" t="s">
        <v>4233</v>
      </c>
      <c r="B540">
        <v>659008</v>
      </c>
      <c r="C540">
        <v>660378</v>
      </c>
      <c r="E540" t="s">
        <v>36</v>
      </c>
      <c r="F540" t="s">
        <v>40</v>
      </c>
      <c r="H540">
        <v>29241134</v>
      </c>
      <c r="I540" t="s">
        <v>16</v>
      </c>
      <c r="K540" t="s">
        <v>7656</v>
      </c>
      <c r="L540">
        <v>456</v>
      </c>
      <c r="M540" t="s">
        <v>7655</v>
      </c>
    </row>
    <row r="541" spans="1:13" x14ac:dyDescent="0.35">
      <c r="A541" t="s">
        <v>4233</v>
      </c>
      <c r="B541">
        <v>660351</v>
      </c>
      <c r="C541">
        <v>661649</v>
      </c>
      <c r="E541" t="s">
        <v>36</v>
      </c>
      <c r="F541" t="s">
        <v>95</v>
      </c>
      <c r="H541">
        <v>29241135</v>
      </c>
      <c r="I541" t="s">
        <v>16</v>
      </c>
      <c r="K541" t="s">
        <v>7654</v>
      </c>
      <c r="L541">
        <v>432</v>
      </c>
      <c r="M541" t="s">
        <v>7653</v>
      </c>
    </row>
    <row r="542" spans="1:13" x14ac:dyDescent="0.35">
      <c r="A542" t="s">
        <v>4233</v>
      </c>
      <c r="B542">
        <v>661786</v>
      </c>
      <c r="C542">
        <v>665520</v>
      </c>
      <c r="E542" t="s">
        <v>36</v>
      </c>
      <c r="F542" t="s">
        <v>7652</v>
      </c>
      <c r="H542">
        <v>29241136</v>
      </c>
      <c r="I542" t="s">
        <v>16</v>
      </c>
      <c r="K542" t="s">
        <v>7651</v>
      </c>
      <c r="L542">
        <v>1244</v>
      </c>
      <c r="M542" t="s">
        <v>7650</v>
      </c>
    </row>
    <row r="543" spans="1:13" x14ac:dyDescent="0.35">
      <c r="A543" t="s">
        <v>4233</v>
      </c>
      <c r="B543">
        <v>665728</v>
      </c>
      <c r="C543">
        <v>666480</v>
      </c>
      <c r="E543" t="s">
        <v>36</v>
      </c>
      <c r="F543" t="s">
        <v>1144</v>
      </c>
      <c r="G543" t="s">
        <v>1145</v>
      </c>
      <c r="H543">
        <v>29241137</v>
      </c>
      <c r="I543" t="s">
        <v>16</v>
      </c>
      <c r="K543" t="s">
        <v>7649</v>
      </c>
      <c r="L543">
        <v>250</v>
      </c>
      <c r="M543" t="s">
        <v>7648</v>
      </c>
    </row>
    <row r="544" spans="1:13" x14ac:dyDescent="0.35">
      <c r="A544" t="s">
        <v>4233</v>
      </c>
      <c r="B544">
        <v>666562</v>
      </c>
      <c r="C544">
        <v>667863</v>
      </c>
      <c r="E544" t="s">
        <v>36</v>
      </c>
      <c r="F544" t="s">
        <v>7647</v>
      </c>
      <c r="G544" t="s">
        <v>7646</v>
      </c>
      <c r="H544">
        <v>29241138</v>
      </c>
      <c r="I544" t="s">
        <v>16</v>
      </c>
      <c r="K544" t="s">
        <v>7645</v>
      </c>
      <c r="L544">
        <v>433</v>
      </c>
      <c r="M544" t="s">
        <v>7644</v>
      </c>
    </row>
    <row r="545" spans="1:13" x14ac:dyDescent="0.35">
      <c r="A545" t="s">
        <v>4233</v>
      </c>
      <c r="B545">
        <v>668359</v>
      </c>
      <c r="C545">
        <v>669609</v>
      </c>
      <c r="E545" t="s">
        <v>13</v>
      </c>
      <c r="F545" t="s">
        <v>4708</v>
      </c>
      <c r="H545">
        <v>29241139</v>
      </c>
      <c r="I545" t="s">
        <v>16</v>
      </c>
      <c r="K545" t="s">
        <v>7643</v>
      </c>
      <c r="L545">
        <v>416</v>
      </c>
      <c r="M545" t="s">
        <v>7642</v>
      </c>
    </row>
    <row r="546" spans="1:13" x14ac:dyDescent="0.35">
      <c r="A546" t="s">
        <v>4233</v>
      </c>
      <c r="B546">
        <v>669726</v>
      </c>
      <c r="C546">
        <v>670886</v>
      </c>
      <c r="E546" t="s">
        <v>13</v>
      </c>
      <c r="F546" t="s">
        <v>71</v>
      </c>
      <c r="H546">
        <v>29241140</v>
      </c>
      <c r="I546" t="s">
        <v>16</v>
      </c>
      <c r="K546" t="s">
        <v>7641</v>
      </c>
      <c r="L546">
        <v>386</v>
      </c>
      <c r="M546" t="s">
        <v>7640</v>
      </c>
    </row>
    <row r="547" spans="1:13" x14ac:dyDescent="0.35">
      <c r="A547" t="s">
        <v>4233</v>
      </c>
      <c r="B547">
        <v>671027</v>
      </c>
      <c r="C547">
        <v>672052</v>
      </c>
      <c r="E547" t="s">
        <v>36</v>
      </c>
      <c r="F547" t="s">
        <v>7639</v>
      </c>
      <c r="H547">
        <v>29241141</v>
      </c>
      <c r="I547" t="s">
        <v>16</v>
      </c>
      <c r="K547" t="s">
        <v>7638</v>
      </c>
      <c r="L547">
        <v>341</v>
      </c>
      <c r="M547" t="s">
        <v>7637</v>
      </c>
    </row>
    <row r="548" spans="1:13" x14ac:dyDescent="0.35">
      <c r="A548" t="s">
        <v>4233</v>
      </c>
      <c r="B548">
        <v>672160</v>
      </c>
      <c r="C548">
        <v>672235</v>
      </c>
      <c r="E548" t="s">
        <v>36</v>
      </c>
      <c r="F548" t="s">
        <v>426</v>
      </c>
      <c r="H548">
        <v>29241142</v>
      </c>
      <c r="I548" t="s">
        <v>39</v>
      </c>
      <c r="M548" t="s">
        <v>7636</v>
      </c>
    </row>
    <row r="549" spans="1:13" x14ac:dyDescent="0.35">
      <c r="A549" t="s">
        <v>4233</v>
      </c>
      <c r="B549">
        <v>672467</v>
      </c>
      <c r="C549">
        <v>673117</v>
      </c>
      <c r="E549" t="s">
        <v>13</v>
      </c>
      <c r="F549" t="s">
        <v>45</v>
      </c>
      <c r="H549">
        <v>29241143</v>
      </c>
      <c r="I549" t="s">
        <v>46</v>
      </c>
      <c r="M549" t="s">
        <v>7635</v>
      </c>
    </row>
    <row r="550" spans="1:13" x14ac:dyDescent="0.35">
      <c r="A550" t="s">
        <v>4233</v>
      </c>
      <c r="B550">
        <v>673702</v>
      </c>
      <c r="C550">
        <v>674073</v>
      </c>
      <c r="E550" t="s">
        <v>13</v>
      </c>
      <c r="F550" t="s">
        <v>221</v>
      </c>
      <c r="G550" t="s">
        <v>222</v>
      </c>
      <c r="H550">
        <v>29241144</v>
      </c>
      <c r="I550" t="s">
        <v>16</v>
      </c>
      <c r="K550" t="s">
        <v>7634</v>
      </c>
      <c r="L550">
        <v>123</v>
      </c>
      <c r="M550" t="s">
        <v>7633</v>
      </c>
    </row>
    <row r="551" spans="1:13" x14ac:dyDescent="0.35">
      <c r="A551" t="s">
        <v>4233</v>
      </c>
      <c r="B551">
        <v>674079</v>
      </c>
      <c r="C551">
        <v>674549</v>
      </c>
      <c r="E551" t="s">
        <v>13</v>
      </c>
      <c r="F551" t="s">
        <v>223</v>
      </c>
      <c r="G551" t="s">
        <v>224</v>
      </c>
      <c r="H551">
        <v>29241145</v>
      </c>
      <c r="I551" t="s">
        <v>16</v>
      </c>
      <c r="K551" t="s">
        <v>7632</v>
      </c>
      <c r="L551">
        <v>156</v>
      </c>
      <c r="M551" t="s">
        <v>7631</v>
      </c>
    </row>
    <row r="552" spans="1:13" x14ac:dyDescent="0.35">
      <c r="A552" t="s">
        <v>4233</v>
      </c>
      <c r="B552">
        <v>674583</v>
      </c>
      <c r="C552">
        <v>676706</v>
      </c>
      <c r="E552" t="s">
        <v>13</v>
      </c>
      <c r="F552" t="s">
        <v>225</v>
      </c>
      <c r="G552" t="s">
        <v>226</v>
      </c>
      <c r="H552">
        <v>29241146</v>
      </c>
      <c r="I552" t="s">
        <v>16</v>
      </c>
      <c r="K552" t="s">
        <v>7630</v>
      </c>
      <c r="L552">
        <v>707</v>
      </c>
      <c r="M552" t="s">
        <v>7629</v>
      </c>
    </row>
    <row r="553" spans="1:13" x14ac:dyDescent="0.35">
      <c r="A553" t="s">
        <v>4233</v>
      </c>
      <c r="B553">
        <v>676880</v>
      </c>
      <c r="C553">
        <v>678079</v>
      </c>
      <c r="E553" t="s">
        <v>13</v>
      </c>
      <c r="F553" t="s">
        <v>702</v>
      </c>
      <c r="G553" t="s">
        <v>703</v>
      </c>
      <c r="H553">
        <v>29241147</v>
      </c>
      <c r="I553" t="s">
        <v>16</v>
      </c>
      <c r="K553" t="s">
        <v>7628</v>
      </c>
      <c r="L553">
        <v>399</v>
      </c>
      <c r="M553" t="s">
        <v>7627</v>
      </c>
    </row>
    <row r="554" spans="1:13" x14ac:dyDescent="0.35">
      <c r="A554" t="s">
        <v>4233</v>
      </c>
      <c r="B554">
        <v>678290</v>
      </c>
      <c r="C554">
        <v>679017</v>
      </c>
      <c r="E554" t="s">
        <v>13</v>
      </c>
      <c r="F554" t="s">
        <v>45</v>
      </c>
      <c r="H554">
        <v>31600446</v>
      </c>
      <c r="I554" t="s">
        <v>46</v>
      </c>
      <c r="M554" t="s">
        <v>7626</v>
      </c>
    </row>
    <row r="555" spans="1:13" x14ac:dyDescent="0.35">
      <c r="A555" t="s">
        <v>4233</v>
      </c>
      <c r="B555">
        <v>679035</v>
      </c>
      <c r="C555">
        <v>679850</v>
      </c>
      <c r="E555" t="s">
        <v>13</v>
      </c>
      <c r="F555" t="s">
        <v>70</v>
      </c>
      <c r="H555">
        <v>29241149</v>
      </c>
      <c r="I555" t="s">
        <v>16</v>
      </c>
      <c r="K555" t="s">
        <v>7625</v>
      </c>
      <c r="L555">
        <v>271</v>
      </c>
      <c r="M555" t="s">
        <v>7624</v>
      </c>
    </row>
    <row r="556" spans="1:13" x14ac:dyDescent="0.35">
      <c r="A556" t="s">
        <v>4233</v>
      </c>
      <c r="B556">
        <v>679965</v>
      </c>
      <c r="C556">
        <v>681029</v>
      </c>
      <c r="E556" t="s">
        <v>13</v>
      </c>
      <c r="F556" t="s">
        <v>7623</v>
      </c>
      <c r="H556">
        <v>29241150</v>
      </c>
      <c r="I556" t="s">
        <v>16</v>
      </c>
      <c r="K556" t="s">
        <v>7622</v>
      </c>
      <c r="L556">
        <v>354</v>
      </c>
      <c r="M556" t="s">
        <v>7621</v>
      </c>
    </row>
    <row r="557" spans="1:13" x14ac:dyDescent="0.35">
      <c r="A557" t="s">
        <v>4233</v>
      </c>
      <c r="B557">
        <v>681114</v>
      </c>
      <c r="C557">
        <v>681254</v>
      </c>
      <c r="E557" t="s">
        <v>36</v>
      </c>
      <c r="F557" t="s">
        <v>40</v>
      </c>
      <c r="H557">
        <v>93018724</v>
      </c>
      <c r="I557" t="s">
        <v>16</v>
      </c>
      <c r="K557" t="s">
        <v>7620</v>
      </c>
      <c r="L557">
        <v>46</v>
      </c>
      <c r="M557" t="s">
        <v>7619</v>
      </c>
    </row>
    <row r="558" spans="1:13" x14ac:dyDescent="0.35">
      <c r="A558" t="s">
        <v>4233</v>
      </c>
      <c r="B558">
        <v>681270</v>
      </c>
      <c r="C558">
        <v>681601</v>
      </c>
      <c r="E558" t="s">
        <v>36</v>
      </c>
      <c r="F558" t="s">
        <v>45</v>
      </c>
      <c r="H558">
        <v>29241151</v>
      </c>
      <c r="I558" t="s">
        <v>46</v>
      </c>
      <c r="M558" t="s">
        <v>7618</v>
      </c>
    </row>
    <row r="559" spans="1:13" x14ac:dyDescent="0.35">
      <c r="A559" t="s">
        <v>4233</v>
      </c>
      <c r="B559">
        <v>681682</v>
      </c>
      <c r="C559">
        <v>682047</v>
      </c>
      <c r="E559" t="s">
        <v>36</v>
      </c>
      <c r="F559" t="s">
        <v>819</v>
      </c>
      <c r="H559">
        <v>29241152</v>
      </c>
      <c r="I559" t="s">
        <v>16</v>
      </c>
      <c r="K559" t="s">
        <v>7617</v>
      </c>
      <c r="L559">
        <v>121</v>
      </c>
      <c r="M559" t="s">
        <v>7616</v>
      </c>
    </row>
    <row r="560" spans="1:13" x14ac:dyDescent="0.35">
      <c r="A560" t="s">
        <v>4233</v>
      </c>
      <c r="B560">
        <v>682047</v>
      </c>
      <c r="C560">
        <v>682583</v>
      </c>
      <c r="E560" t="s">
        <v>36</v>
      </c>
      <c r="F560" t="s">
        <v>819</v>
      </c>
      <c r="H560">
        <v>29241153</v>
      </c>
      <c r="I560" t="s">
        <v>16</v>
      </c>
      <c r="K560" t="s">
        <v>7615</v>
      </c>
      <c r="L560">
        <v>178</v>
      </c>
      <c r="M560" t="s">
        <v>7614</v>
      </c>
    </row>
    <row r="561" spans="1:13" x14ac:dyDescent="0.35">
      <c r="A561" t="s">
        <v>4233</v>
      </c>
      <c r="B561">
        <v>682791</v>
      </c>
      <c r="C561">
        <v>683255</v>
      </c>
      <c r="E561" t="s">
        <v>13</v>
      </c>
      <c r="F561" t="s">
        <v>102</v>
      </c>
      <c r="H561">
        <v>29241154</v>
      </c>
      <c r="I561" t="s">
        <v>16</v>
      </c>
      <c r="K561" t="s">
        <v>7613</v>
      </c>
      <c r="L561">
        <v>154</v>
      </c>
      <c r="M561" t="s">
        <v>7612</v>
      </c>
    </row>
    <row r="562" spans="1:13" x14ac:dyDescent="0.35">
      <c r="A562" t="s">
        <v>4233</v>
      </c>
      <c r="B562">
        <v>683296</v>
      </c>
      <c r="C562">
        <v>684339</v>
      </c>
      <c r="E562" t="s">
        <v>13</v>
      </c>
      <c r="F562" t="s">
        <v>4913</v>
      </c>
      <c r="H562">
        <v>29241155</v>
      </c>
      <c r="I562" t="s">
        <v>16</v>
      </c>
      <c r="K562" t="s">
        <v>7611</v>
      </c>
      <c r="L562">
        <v>347</v>
      </c>
      <c r="M562" t="s">
        <v>7610</v>
      </c>
    </row>
    <row r="563" spans="1:13" x14ac:dyDescent="0.35">
      <c r="A563" t="s">
        <v>4233</v>
      </c>
      <c r="B563">
        <v>684569</v>
      </c>
      <c r="C563">
        <v>685930</v>
      </c>
      <c r="E563" t="s">
        <v>13</v>
      </c>
      <c r="F563" t="s">
        <v>96</v>
      </c>
      <c r="H563">
        <v>29241156</v>
      </c>
      <c r="I563" t="s">
        <v>16</v>
      </c>
      <c r="K563" t="s">
        <v>7609</v>
      </c>
      <c r="L563">
        <v>453</v>
      </c>
      <c r="M563" t="s">
        <v>7608</v>
      </c>
    </row>
    <row r="564" spans="1:13" x14ac:dyDescent="0.35">
      <c r="A564" t="s">
        <v>4233</v>
      </c>
      <c r="B564">
        <v>686039</v>
      </c>
      <c r="C564">
        <v>686656</v>
      </c>
      <c r="E564" t="s">
        <v>36</v>
      </c>
      <c r="F564" t="s">
        <v>6954</v>
      </c>
      <c r="H564">
        <v>29241157</v>
      </c>
      <c r="I564" t="s">
        <v>16</v>
      </c>
      <c r="K564" t="s">
        <v>7607</v>
      </c>
      <c r="L564">
        <v>205</v>
      </c>
      <c r="M564" t="s">
        <v>7606</v>
      </c>
    </row>
    <row r="565" spans="1:13" x14ac:dyDescent="0.35">
      <c r="A565" t="s">
        <v>4233</v>
      </c>
      <c r="B565">
        <v>686797</v>
      </c>
      <c r="C565">
        <v>687669</v>
      </c>
      <c r="E565" t="s">
        <v>36</v>
      </c>
      <c r="F565" t="s">
        <v>4580</v>
      </c>
      <c r="H565">
        <v>29241158</v>
      </c>
      <c r="I565" t="s">
        <v>16</v>
      </c>
      <c r="K565" t="s">
        <v>7605</v>
      </c>
      <c r="L565">
        <v>290</v>
      </c>
      <c r="M565" t="s">
        <v>7604</v>
      </c>
    </row>
    <row r="566" spans="1:13" x14ac:dyDescent="0.35">
      <c r="A566" t="s">
        <v>4233</v>
      </c>
      <c r="B566">
        <v>687774</v>
      </c>
      <c r="C566">
        <v>689126</v>
      </c>
      <c r="E566" t="s">
        <v>36</v>
      </c>
      <c r="F566" t="s">
        <v>590</v>
      </c>
      <c r="H566">
        <v>29241159</v>
      </c>
      <c r="I566" t="s">
        <v>16</v>
      </c>
      <c r="K566" t="s">
        <v>7603</v>
      </c>
      <c r="L566">
        <v>450</v>
      </c>
      <c r="M566" t="s">
        <v>7602</v>
      </c>
    </row>
    <row r="567" spans="1:13" x14ac:dyDescent="0.35">
      <c r="A567" t="s">
        <v>4233</v>
      </c>
      <c r="B567">
        <v>689286</v>
      </c>
      <c r="C567">
        <v>690092</v>
      </c>
      <c r="E567" t="s">
        <v>36</v>
      </c>
      <c r="F567" t="s">
        <v>453</v>
      </c>
      <c r="H567">
        <v>29241160</v>
      </c>
      <c r="I567" t="s">
        <v>16</v>
      </c>
      <c r="K567" t="s">
        <v>7601</v>
      </c>
      <c r="L567">
        <v>268</v>
      </c>
      <c r="M567" t="s">
        <v>7600</v>
      </c>
    </row>
    <row r="568" spans="1:13" x14ac:dyDescent="0.35">
      <c r="A568" t="s">
        <v>4233</v>
      </c>
      <c r="B568">
        <v>690092</v>
      </c>
      <c r="C568">
        <v>691036</v>
      </c>
      <c r="E568" t="s">
        <v>36</v>
      </c>
      <c r="F568" t="s">
        <v>453</v>
      </c>
      <c r="H568">
        <v>29241161</v>
      </c>
      <c r="I568" t="s">
        <v>16</v>
      </c>
      <c r="K568" t="s">
        <v>7599</v>
      </c>
      <c r="L568">
        <v>314</v>
      </c>
      <c r="M568" t="s">
        <v>7598</v>
      </c>
    </row>
    <row r="569" spans="1:13" x14ac:dyDescent="0.35">
      <c r="A569" t="s">
        <v>4233</v>
      </c>
      <c r="B569">
        <v>691376</v>
      </c>
      <c r="C569">
        <v>692317</v>
      </c>
      <c r="E569" t="s">
        <v>13</v>
      </c>
      <c r="F569" t="s">
        <v>6957</v>
      </c>
      <c r="H569">
        <v>29241162</v>
      </c>
      <c r="I569" t="s">
        <v>16</v>
      </c>
      <c r="K569" t="s">
        <v>7597</v>
      </c>
      <c r="L569">
        <v>313</v>
      </c>
      <c r="M569" t="s">
        <v>7596</v>
      </c>
    </row>
    <row r="570" spans="1:13" x14ac:dyDescent="0.35">
      <c r="A570" t="s">
        <v>4233</v>
      </c>
      <c r="B570">
        <v>692417</v>
      </c>
      <c r="C570">
        <v>693445</v>
      </c>
      <c r="E570" t="s">
        <v>36</v>
      </c>
      <c r="F570" t="s">
        <v>373</v>
      </c>
      <c r="H570">
        <v>29241163</v>
      </c>
      <c r="I570" t="s">
        <v>16</v>
      </c>
      <c r="K570" t="s">
        <v>7595</v>
      </c>
      <c r="L570">
        <v>342</v>
      </c>
      <c r="M570" t="s">
        <v>7594</v>
      </c>
    </row>
    <row r="571" spans="1:13" x14ac:dyDescent="0.35">
      <c r="A571" t="s">
        <v>4233</v>
      </c>
      <c r="B571">
        <v>693552</v>
      </c>
      <c r="C571">
        <v>694610</v>
      </c>
      <c r="E571" t="s">
        <v>36</v>
      </c>
      <c r="F571" t="s">
        <v>70</v>
      </c>
      <c r="H571">
        <v>29241164</v>
      </c>
      <c r="I571" t="s">
        <v>16</v>
      </c>
      <c r="K571" t="s">
        <v>7593</v>
      </c>
      <c r="L571">
        <v>352</v>
      </c>
      <c r="M571" t="s">
        <v>7592</v>
      </c>
    </row>
    <row r="572" spans="1:13" x14ac:dyDescent="0.35">
      <c r="A572" t="s">
        <v>4233</v>
      </c>
      <c r="B572">
        <v>694627</v>
      </c>
      <c r="C572">
        <v>695313</v>
      </c>
      <c r="E572" t="s">
        <v>36</v>
      </c>
      <c r="F572" t="s">
        <v>70</v>
      </c>
      <c r="H572">
        <v>29241165</v>
      </c>
      <c r="I572" t="s">
        <v>16</v>
      </c>
      <c r="K572" t="s">
        <v>7591</v>
      </c>
      <c r="L572">
        <v>228</v>
      </c>
      <c r="M572" t="s">
        <v>7590</v>
      </c>
    </row>
    <row r="573" spans="1:13" x14ac:dyDescent="0.35">
      <c r="A573" t="s">
        <v>4233</v>
      </c>
      <c r="B573">
        <v>695596</v>
      </c>
      <c r="C573">
        <v>698100</v>
      </c>
      <c r="E573" t="s">
        <v>13</v>
      </c>
      <c r="F573" t="s">
        <v>48</v>
      </c>
      <c r="H573">
        <v>29241166</v>
      </c>
      <c r="I573" t="s">
        <v>16</v>
      </c>
      <c r="K573" t="s">
        <v>7589</v>
      </c>
      <c r="L573">
        <v>834</v>
      </c>
      <c r="M573" t="s">
        <v>7588</v>
      </c>
    </row>
    <row r="574" spans="1:13" x14ac:dyDescent="0.35">
      <c r="A574" t="s">
        <v>4233</v>
      </c>
      <c r="B574">
        <v>698276</v>
      </c>
      <c r="C574">
        <v>699634</v>
      </c>
      <c r="E574" t="s">
        <v>13</v>
      </c>
      <c r="F574" t="s">
        <v>1158</v>
      </c>
      <c r="H574">
        <v>29241167</v>
      </c>
      <c r="I574" t="s">
        <v>16</v>
      </c>
      <c r="K574" t="s">
        <v>7587</v>
      </c>
      <c r="L574">
        <v>452</v>
      </c>
      <c r="M574" t="s">
        <v>7586</v>
      </c>
    </row>
    <row r="575" spans="1:13" x14ac:dyDescent="0.35">
      <c r="A575" t="s">
        <v>4233</v>
      </c>
      <c r="B575">
        <v>699651</v>
      </c>
      <c r="C575">
        <v>700334</v>
      </c>
      <c r="E575" t="s">
        <v>13</v>
      </c>
      <c r="F575" t="s">
        <v>7585</v>
      </c>
      <c r="H575">
        <v>29241168</v>
      </c>
      <c r="I575" t="s">
        <v>16</v>
      </c>
      <c r="K575" t="s">
        <v>7584</v>
      </c>
      <c r="L575">
        <v>227</v>
      </c>
      <c r="M575" t="s">
        <v>7583</v>
      </c>
    </row>
    <row r="576" spans="1:13" x14ac:dyDescent="0.35">
      <c r="A576" t="s">
        <v>4233</v>
      </c>
      <c r="B576">
        <v>700819</v>
      </c>
      <c r="C576">
        <v>701493</v>
      </c>
      <c r="E576" t="s">
        <v>13</v>
      </c>
      <c r="F576" t="s">
        <v>896</v>
      </c>
      <c r="H576">
        <v>29241170</v>
      </c>
      <c r="I576" t="s">
        <v>16</v>
      </c>
      <c r="K576" t="s">
        <v>7582</v>
      </c>
      <c r="L576">
        <v>224</v>
      </c>
      <c r="M576" t="s">
        <v>7581</v>
      </c>
    </row>
    <row r="577" spans="1:13" x14ac:dyDescent="0.35">
      <c r="A577" t="s">
        <v>4233</v>
      </c>
      <c r="B577">
        <v>701503</v>
      </c>
      <c r="C577">
        <v>701766</v>
      </c>
      <c r="E577" t="s">
        <v>36</v>
      </c>
      <c r="F577" t="s">
        <v>433</v>
      </c>
      <c r="H577">
        <v>29241171</v>
      </c>
      <c r="I577" t="s">
        <v>16</v>
      </c>
      <c r="K577" t="s">
        <v>7580</v>
      </c>
      <c r="L577">
        <v>87</v>
      </c>
      <c r="M577" t="s">
        <v>7579</v>
      </c>
    </row>
    <row r="578" spans="1:13" x14ac:dyDescent="0.35">
      <c r="A578" t="s">
        <v>4233</v>
      </c>
      <c r="B578">
        <v>701936</v>
      </c>
      <c r="C578">
        <v>703006</v>
      </c>
      <c r="E578" t="s">
        <v>13</v>
      </c>
      <c r="F578" t="s">
        <v>332</v>
      </c>
      <c r="H578">
        <v>29241172</v>
      </c>
      <c r="I578" t="s">
        <v>16</v>
      </c>
      <c r="K578" t="s">
        <v>7578</v>
      </c>
      <c r="L578">
        <v>356</v>
      </c>
      <c r="M578" t="s">
        <v>7577</v>
      </c>
    </row>
    <row r="579" spans="1:13" x14ac:dyDescent="0.35">
      <c r="A579" t="s">
        <v>4233</v>
      </c>
      <c r="B579">
        <v>703065</v>
      </c>
      <c r="C579">
        <v>703826</v>
      </c>
      <c r="E579" t="s">
        <v>36</v>
      </c>
      <c r="F579" t="s">
        <v>444</v>
      </c>
      <c r="H579">
        <v>29241173</v>
      </c>
      <c r="I579" t="s">
        <v>16</v>
      </c>
      <c r="K579" t="s">
        <v>7576</v>
      </c>
      <c r="L579">
        <v>253</v>
      </c>
      <c r="M579" t="s">
        <v>7575</v>
      </c>
    </row>
    <row r="580" spans="1:13" x14ac:dyDescent="0.35">
      <c r="A580" t="s">
        <v>4233</v>
      </c>
      <c r="B580">
        <v>703853</v>
      </c>
      <c r="C580">
        <v>704269</v>
      </c>
      <c r="E580" t="s">
        <v>36</v>
      </c>
      <c r="F580" t="s">
        <v>1175</v>
      </c>
      <c r="H580">
        <v>29241174</v>
      </c>
      <c r="I580" t="s">
        <v>16</v>
      </c>
      <c r="K580" t="s">
        <v>7574</v>
      </c>
      <c r="L580">
        <v>138</v>
      </c>
      <c r="M580" t="s">
        <v>7573</v>
      </c>
    </row>
    <row r="581" spans="1:13" x14ac:dyDescent="0.35">
      <c r="A581" t="s">
        <v>4233</v>
      </c>
      <c r="B581">
        <v>704646</v>
      </c>
      <c r="C581">
        <v>705605</v>
      </c>
      <c r="E581" t="s">
        <v>13</v>
      </c>
      <c r="F581" t="s">
        <v>7572</v>
      </c>
      <c r="H581">
        <v>29241175</v>
      </c>
      <c r="I581" t="s">
        <v>16</v>
      </c>
      <c r="K581" t="s">
        <v>7571</v>
      </c>
      <c r="L581">
        <v>319</v>
      </c>
      <c r="M581" t="s">
        <v>7570</v>
      </c>
    </row>
    <row r="582" spans="1:13" x14ac:dyDescent="0.35">
      <c r="A582" t="s">
        <v>4233</v>
      </c>
      <c r="B582">
        <v>705707</v>
      </c>
      <c r="C582">
        <v>706483</v>
      </c>
      <c r="E582" t="s">
        <v>13</v>
      </c>
      <c r="F582" t="s">
        <v>7569</v>
      </c>
      <c r="H582">
        <v>29241176</v>
      </c>
      <c r="I582" t="s">
        <v>16</v>
      </c>
      <c r="K582" t="s">
        <v>7568</v>
      </c>
      <c r="L582">
        <v>258</v>
      </c>
      <c r="M582" t="s">
        <v>7567</v>
      </c>
    </row>
    <row r="583" spans="1:13" x14ac:dyDescent="0.35">
      <c r="A583" t="s">
        <v>4233</v>
      </c>
      <c r="B583">
        <v>706651</v>
      </c>
      <c r="C583">
        <v>706794</v>
      </c>
      <c r="E583" t="s">
        <v>36</v>
      </c>
      <c r="F583" t="s">
        <v>40</v>
      </c>
      <c r="H583">
        <v>55549233</v>
      </c>
      <c r="I583" t="s">
        <v>16</v>
      </c>
      <c r="K583" t="s">
        <v>7566</v>
      </c>
      <c r="L583">
        <v>47</v>
      </c>
      <c r="M583" t="s">
        <v>7565</v>
      </c>
    </row>
    <row r="584" spans="1:13" x14ac:dyDescent="0.35">
      <c r="A584" t="s">
        <v>4233</v>
      </c>
      <c r="B584">
        <v>706826</v>
      </c>
      <c r="C584">
        <v>707284</v>
      </c>
      <c r="E584" t="s">
        <v>36</v>
      </c>
      <c r="F584" t="s">
        <v>1199</v>
      </c>
      <c r="H584">
        <v>29241177</v>
      </c>
      <c r="I584" t="s">
        <v>16</v>
      </c>
      <c r="K584" t="s">
        <v>7564</v>
      </c>
      <c r="L584">
        <v>152</v>
      </c>
      <c r="M584" t="s">
        <v>7563</v>
      </c>
    </row>
    <row r="585" spans="1:13" x14ac:dyDescent="0.35">
      <c r="A585" t="s">
        <v>4233</v>
      </c>
      <c r="B585">
        <v>707655</v>
      </c>
      <c r="C585">
        <v>707903</v>
      </c>
      <c r="E585" t="s">
        <v>13</v>
      </c>
      <c r="F585" t="s">
        <v>40</v>
      </c>
      <c r="H585">
        <v>29241178</v>
      </c>
      <c r="I585" t="s">
        <v>16</v>
      </c>
      <c r="K585" t="s">
        <v>7562</v>
      </c>
      <c r="L585">
        <v>82</v>
      </c>
      <c r="M585" t="s">
        <v>7561</v>
      </c>
    </row>
    <row r="586" spans="1:13" x14ac:dyDescent="0.35">
      <c r="A586" t="s">
        <v>4233</v>
      </c>
      <c r="B586">
        <v>707912</v>
      </c>
      <c r="C586">
        <v>708349</v>
      </c>
      <c r="E586" t="s">
        <v>13</v>
      </c>
      <c r="F586" t="s">
        <v>40</v>
      </c>
      <c r="H586">
        <v>93018725</v>
      </c>
      <c r="I586" t="s">
        <v>16</v>
      </c>
      <c r="K586" t="s">
        <v>7560</v>
      </c>
      <c r="L586">
        <v>145</v>
      </c>
      <c r="M586" t="s">
        <v>7559</v>
      </c>
    </row>
    <row r="587" spans="1:13" x14ac:dyDescent="0.35">
      <c r="A587" t="s">
        <v>4233</v>
      </c>
      <c r="B587">
        <v>708473</v>
      </c>
      <c r="C587">
        <v>709180</v>
      </c>
      <c r="E587" t="s">
        <v>13</v>
      </c>
      <c r="F587" t="s">
        <v>7558</v>
      </c>
      <c r="H587">
        <v>29241180</v>
      </c>
      <c r="I587" t="s">
        <v>16</v>
      </c>
      <c r="K587" t="s">
        <v>7557</v>
      </c>
      <c r="L587">
        <v>235</v>
      </c>
      <c r="M587" t="s">
        <v>7556</v>
      </c>
    </row>
    <row r="588" spans="1:13" x14ac:dyDescent="0.35">
      <c r="A588" t="s">
        <v>4233</v>
      </c>
      <c r="B588">
        <v>709276</v>
      </c>
      <c r="C588">
        <v>710064</v>
      </c>
      <c r="E588" t="s">
        <v>36</v>
      </c>
      <c r="F588" t="s">
        <v>133</v>
      </c>
      <c r="H588">
        <v>29241181</v>
      </c>
      <c r="I588" t="s">
        <v>16</v>
      </c>
      <c r="K588" t="s">
        <v>7555</v>
      </c>
      <c r="L588">
        <v>262</v>
      </c>
      <c r="M588" t="s">
        <v>7554</v>
      </c>
    </row>
    <row r="589" spans="1:13" x14ac:dyDescent="0.35">
      <c r="A589" t="s">
        <v>4233</v>
      </c>
      <c r="B589">
        <v>710061</v>
      </c>
      <c r="C589">
        <v>710777</v>
      </c>
      <c r="E589" t="s">
        <v>36</v>
      </c>
      <c r="F589" t="s">
        <v>48</v>
      </c>
      <c r="H589">
        <v>29241182</v>
      </c>
      <c r="I589" t="s">
        <v>16</v>
      </c>
      <c r="K589" t="s">
        <v>7553</v>
      </c>
      <c r="L589">
        <v>238</v>
      </c>
      <c r="M589" t="s">
        <v>7552</v>
      </c>
    </row>
    <row r="590" spans="1:13" x14ac:dyDescent="0.35">
      <c r="A590" t="s">
        <v>4233</v>
      </c>
      <c r="B590">
        <v>710905</v>
      </c>
      <c r="C590">
        <v>711468</v>
      </c>
      <c r="E590" t="s">
        <v>13</v>
      </c>
      <c r="F590" t="s">
        <v>1001</v>
      </c>
      <c r="G590" t="s">
        <v>1002</v>
      </c>
      <c r="H590">
        <v>29241183</v>
      </c>
      <c r="I590" t="s">
        <v>16</v>
      </c>
      <c r="K590" t="s">
        <v>7551</v>
      </c>
      <c r="L590">
        <v>187</v>
      </c>
      <c r="M590" t="s">
        <v>7550</v>
      </c>
    </row>
    <row r="591" spans="1:13" x14ac:dyDescent="0.35">
      <c r="A591" t="s">
        <v>4233</v>
      </c>
      <c r="B591">
        <v>711523</v>
      </c>
      <c r="C591">
        <v>712053</v>
      </c>
      <c r="E591" t="s">
        <v>13</v>
      </c>
      <c r="F591" t="s">
        <v>999</v>
      </c>
      <c r="G591" t="s">
        <v>1000</v>
      </c>
      <c r="H591">
        <v>29241184</v>
      </c>
      <c r="I591" t="s">
        <v>16</v>
      </c>
      <c r="K591" t="s">
        <v>7549</v>
      </c>
      <c r="L591">
        <v>176</v>
      </c>
      <c r="M591" t="s">
        <v>7548</v>
      </c>
    </row>
    <row r="592" spans="1:13" x14ac:dyDescent="0.35">
      <c r="A592" t="s">
        <v>4233</v>
      </c>
      <c r="B592">
        <v>712277</v>
      </c>
      <c r="C592">
        <v>713464</v>
      </c>
      <c r="E592" t="s">
        <v>13</v>
      </c>
      <c r="F592" t="s">
        <v>1024</v>
      </c>
      <c r="G592" t="s">
        <v>1025</v>
      </c>
      <c r="H592">
        <v>29241185</v>
      </c>
      <c r="I592" t="s">
        <v>16</v>
      </c>
      <c r="K592" t="s">
        <v>7547</v>
      </c>
      <c r="L592">
        <v>395</v>
      </c>
      <c r="M592" t="s">
        <v>7546</v>
      </c>
    </row>
    <row r="593" spans="1:13" x14ac:dyDescent="0.35">
      <c r="A593" t="s">
        <v>4233</v>
      </c>
      <c r="B593">
        <v>713466</v>
      </c>
      <c r="C593">
        <v>716849</v>
      </c>
      <c r="E593" t="s">
        <v>13</v>
      </c>
      <c r="F593" t="s">
        <v>1020</v>
      </c>
      <c r="G593" t="s">
        <v>1021</v>
      </c>
      <c r="H593">
        <v>29241186</v>
      </c>
      <c r="I593" t="s">
        <v>16</v>
      </c>
      <c r="K593" t="s">
        <v>7545</v>
      </c>
      <c r="L593">
        <v>1127</v>
      </c>
      <c r="M593" t="s">
        <v>7544</v>
      </c>
    </row>
    <row r="594" spans="1:13" x14ac:dyDescent="0.35">
      <c r="A594" t="s">
        <v>4233</v>
      </c>
      <c r="B594">
        <v>716849</v>
      </c>
      <c r="C594">
        <v>717769</v>
      </c>
      <c r="E594" t="s">
        <v>13</v>
      </c>
      <c r="F594" t="s">
        <v>1034</v>
      </c>
      <c r="G594" t="s">
        <v>1035</v>
      </c>
      <c r="H594">
        <v>29241187</v>
      </c>
      <c r="I594" t="s">
        <v>16</v>
      </c>
      <c r="K594" t="s">
        <v>7543</v>
      </c>
      <c r="L594">
        <v>306</v>
      </c>
      <c r="M594" t="s">
        <v>7542</v>
      </c>
    </row>
    <row r="595" spans="1:13" x14ac:dyDescent="0.35">
      <c r="A595" t="s">
        <v>4233</v>
      </c>
      <c r="B595">
        <v>717806</v>
      </c>
      <c r="C595">
        <v>718396</v>
      </c>
      <c r="E595" t="s">
        <v>13</v>
      </c>
      <c r="F595" t="s">
        <v>988</v>
      </c>
      <c r="G595" t="s">
        <v>989</v>
      </c>
      <c r="H595">
        <v>29241188</v>
      </c>
      <c r="I595" t="s">
        <v>16</v>
      </c>
      <c r="K595" t="s">
        <v>7541</v>
      </c>
      <c r="L595">
        <v>196</v>
      </c>
      <c r="M595" t="s">
        <v>7540</v>
      </c>
    </row>
    <row r="596" spans="1:13" x14ac:dyDescent="0.35">
      <c r="A596" t="s">
        <v>4233</v>
      </c>
      <c r="B596">
        <v>718430</v>
      </c>
      <c r="C596">
        <v>719137</v>
      </c>
      <c r="E596" t="s">
        <v>36</v>
      </c>
      <c r="F596" t="s">
        <v>924</v>
      </c>
      <c r="H596">
        <v>29241189</v>
      </c>
      <c r="I596" t="s">
        <v>16</v>
      </c>
      <c r="K596" t="s">
        <v>7539</v>
      </c>
      <c r="L596">
        <v>235</v>
      </c>
      <c r="M596" t="s">
        <v>7538</v>
      </c>
    </row>
    <row r="597" spans="1:13" x14ac:dyDescent="0.35">
      <c r="A597" t="s">
        <v>4233</v>
      </c>
      <c r="B597">
        <v>719262</v>
      </c>
      <c r="C597">
        <v>719696</v>
      </c>
      <c r="E597" t="s">
        <v>36</v>
      </c>
      <c r="F597" t="s">
        <v>40</v>
      </c>
      <c r="H597">
        <v>29241190</v>
      </c>
      <c r="I597" t="s">
        <v>16</v>
      </c>
      <c r="K597" t="s">
        <v>7537</v>
      </c>
      <c r="L597">
        <v>144</v>
      </c>
      <c r="M597" t="s">
        <v>7536</v>
      </c>
    </row>
    <row r="598" spans="1:13" x14ac:dyDescent="0.35">
      <c r="A598" t="s">
        <v>4233</v>
      </c>
      <c r="B598">
        <v>719904</v>
      </c>
      <c r="C598">
        <v>722090</v>
      </c>
      <c r="E598" t="s">
        <v>13</v>
      </c>
      <c r="F598" t="s">
        <v>7535</v>
      </c>
      <c r="H598">
        <v>29241191</v>
      </c>
      <c r="I598" t="s">
        <v>16</v>
      </c>
      <c r="K598" t="s">
        <v>7534</v>
      </c>
      <c r="L598">
        <v>728</v>
      </c>
      <c r="M598" t="s">
        <v>7533</v>
      </c>
    </row>
    <row r="599" spans="1:13" x14ac:dyDescent="0.35">
      <c r="A599" t="s">
        <v>4233</v>
      </c>
      <c r="B599">
        <v>722071</v>
      </c>
      <c r="C599">
        <v>722721</v>
      </c>
      <c r="E599" t="s">
        <v>36</v>
      </c>
      <c r="F599" t="s">
        <v>95</v>
      </c>
      <c r="H599">
        <v>29241192</v>
      </c>
      <c r="I599" t="s">
        <v>16</v>
      </c>
      <c r="K599" t="s">
        <v>7532</v>
      </c>
      <c r="L599">
        <v>216</v>
      </c>
      <c r="M599" t="s">
        <v>7531</v>
      </c>
    </row>
    <row r="600" spans="1:13" x14ac:dyDescent="0.35">
      <c r="A600" t="s">
        <v>4233</v>
      </c>
      <c r="B600">
        <v>722888</v>
      </c>
      <c r="C600">
        <v>724120</v>
      </c>
      <c r="E600" t="s">
        <v>13</v>
      </c>
      <c r="F600" t="s">
        <v>7530</v>
      </c>
      <c r="H600">
        <v>29241193</v>
      </c>
      <c r="I600" t="s">
        <v>16</v>
      </c>
      <c r="K600" t="s">
        <v>7529</v>
      </c>
      <c r="L600">
        <v>410</v>
      </c>
      <c r="M600" t="s">
        <v>7528</v>
      </c>
    </row>
    <row r="601" spans="1:13" x14ac:dyDescent="0.35">
      <c r="A601" t="s">
        <v>4233</v>
      </c>
      <c r="B601">
        <v>724528</v>
      </c>
      <c r="C601">
        <v>724779</v>
      </c>
      <c r="E601" t="s">
        <v>13</v>
      </c>
      <c r="F601" t="s">
        <v>7527</v>
      </c>
      <c r="H601">
        <v>29241194</v>
      </c>
      <c r="I601" t="s">
        <v>16</v>
      </c>
      <c r="K601" t="s">
        <v>7526</v>
      </c>
      <c r="L601">
        <v>83</v>
      </c>
      <c r="M601" t="s">
        <v>7525</v>
      </c>
    </row>
    <row r="602" spans="1:13" x14ac:dyDescent="0.35">
      <c r="A602" t="s">
        <v>4233</v>
      </c>
      <c r="B602">
        <v>725078</v>
      </c>
      <c r="C602">
        <v>726235</v>
      </c>
      <c r="E602" t="s">
        <v>36</v>
      </c>
      <c r="F602" t="s">
        <v>96</v>
      </c>
      <c r="H602">
        <v>29241195</v>
      </c>
      <c r="I602" t="s">
        <v>16</v>
      </c>
      <c r="K602" t="s">
        <v>7524</v>
      </c>
      <c r="L602">
        <v>385</v>
      </c>
      <c r="M602" t="s">
        <v>7523</v>
      </c>
    </row>
    <row r="603" spans="1:13" x14ac:dyDescent="0.35">
      <c r="A603" t="s">
        <v>4233</v>
      </c>
      <c r="B603">
        <v>727000</v>
      </c>
      <c r="C603">
        <v>727107</v>
      </c>
      <c r="E603" t="s">
        <v>13</v>
      </c>
      <c r="F603" t="s">
        <v>45</v>
      </c>
      <c r="H603">
        <v>93018761</v>
      </c>
      <c r="I603" t="s">
        <v>46</v>
      </c>
      <c r="M603" t="s">
        <v>7522</v>
      </c>
    </row>
    <row r="604" spans="1:13" x14ac:dyDescent="0.35">
      <c r="A604" t="s">
        <v>4233</v>
      </c>
      <c r="B604">
        <v>727267</v>
      </c>
      <c r="C604">
        <v>728178</v>
      </c>
      <c r="E604" t="s">
        <v>13</v>
      </c>
      <c r="F604" t="s">
        <v>1156</v>
      </c>
      <c r="H604">
        <v>29241196</v>
      </c>
      <c r="I604" t="s">
        <v>16</v>
      </c>
      <c r="K604" t="s">
        <v>7521</v>
      </c>
      <c r="L604">
        <v>303</v>
      </c>
      <c r="M604" t="s">
        <v>7520</v>
      </c>
    </row>
    <row r="605" spans="1:13" x14ac:dyDescent="0.35">
      <c r="A605" t="s">
        <v>4233</v>
      </c>
      <c r="B605">
        <v>728536</v>
      </c>
      <c r="C605">
        <v>728973</v>
      </c>
      <c r="E605" t="s">
        <v>13</v>
      </c>
      <c r="F605" t="s">
        <v>7519</v>
      </c>
      <c r="H605">
        <v>29241197</v>
      </c>
      <c r="I605" t="s">
        <v>16</v>
      </c>
      <c r="K605" t="s">
        <v>7518</v>
      </c>
      <c r="L605">
        <v>145</v>
      </c>
      <c r="M605" t="s">
        <v>7517</v>
      </c>
    </row>
    <row r="606" spans="1:13" x14ac:dyDescent="0.35">
      <c r="A606" t="s">
        <v>4233</v>
      </c>
      <c r="B606">
        <v>729035</v>
      </c>
      <c r="C606">
        <v>729880</v>
      </c>
      <c r="E606" t="s">
        <v>36</v>
      </c>
      <c r="F606" t="s">
        <v>502</v>
      </c>
      <c r="H606">
        <v>29241198</v>
      </c>
      <c r="I606" t="s">
        <v>16</v>
      </c>
      <c r="K606" t="s">
        <v>7516</v>
      </c>
      <c r="L606">
        <v>281</v>
      </c>
      <c r="M606" t="s">
        <v>7515</v>
      </c>
    </row>
    <row r="607" spans="1:13" x14ac:dyDescent="0.35">
      <c r="A607" t="s">
        <v>4233</v>
      </c>
      <c r="B607">
        <v>730007</v>
      </c>
      <c r="C607">
        <v>730801</v>
      </c>
      <c r="E607" t="s">
        <v>36</v>
      </c>
      <c r="F607" t="s">
        <v>405</v>
      </c>
      <c r="G607" t="s">
        <v>406</v>
      </c>
      <c r="H607">
        <v>29241199</v>
      </c>
      <c r="I607" t="s">
        <v>16</v>
      </c>
      <c r="K607" t="s">
        <v>7514</v>
      </c>
      <c r="L607">
        <v>264</v>
      </c>
      <c r="M607" t="s">
        <v>7513</v>
      </c>
    </row>
    <row r="608" spans="1:13" x14ac:dyDescent="0.35">
      <c r="A608" t="s">
        <v>4233</v>
      </c>
      <c r="B608">
        <v>730932</v>
      </c>
      <c r="C608">
        <v>731831</v>
      </c>
      <c r="E608" t="s">
        <v>13</v>
      </c>
      <c r="F608" t="s">
        <v>710</v>
      </c>
      <c r="G608" t="s">
        <v>711</v>
      </c>
      <c r="H608">
        <v>29241200</v>
      </c>
      <c r="I608" t="s">
        <v>16</v>
      </c>
      <c r="K608" t="s">
        <v>7512</v>
      </c>
      <c r="L608">
        <v>299</v>
      </c>
      <c r="M608" t="s">
        <v>7511</v>
      </c>
    </row>
    <row r="609" spans="1:13" x14ac:dyDescent="0.35">
      <c r="A609" t="s">
        <v>4233</v>
      </c>
      <c r="B609">
        <v>731900</v>
      </c>
      <c r="C609">
        <v>732619</v>
      </c>
      <c r="E609" t="s">
        <v>36</v>
      </c>
      <c r="F609" t="s">
        <v>7510</v>
      </c>
      <c r="H609">
        <v>29241201</v>
      </c>
      <c r="I609" t="s">
        <v>16</v>
      </c>
      <c r="K609" t="s">
        <v>7509</v>
      </c>
      <c r="L609">
        <v>239</v>
      </c>
      <c r="M609" t="s">
        <v>7508</v>
      </c>
    </row>
    <row r="610" spans="1:13" x14ac:dyDescent="0.35">
      <c r="A610" t="s">
        <v>4233</v>
      </c>
      <c r="B610">
        <v>732746</v>
      </c>
      <c r="C610">
        <v>733639</v>
      </c>
      <c r="E610" t="s">
        <v>13</v>
      </c>
      <c r="F610" t="s">
        <v>7507</v>
      </c>
      <c r="H610">
        <v>29241202</v>
      </c>
      <c r="I610" t="s">
        <v>16</v>
      </c>
      <c r="K610" t="s">
        <v>7506</v>
      </c>
      <c r="L610">
        <v>297</v>
      </c>
      <c r="M610" t="s">
        <v>7505</v>
      </c>
    </row>
    <row r="611" spans="1:13" x14ac:dyDescent="0.35">
      <c r="A611" t="s">
        <v>4233</v>
      </c>
      <c r="B611">
        <v>733696</v>
      </c>
      <c r="C611">
        <v>733920</v>
      </c>
      <c r="E611" t="s">
        <v>36</v>
      </c>
      <c r="F611" t="s">
        <v>7504</v>
      </c>
      <c r="H611">
        <v>29241203</v>
      </c>
      <c r="I611" t="s">
        <v>16</v>
      </c>
      <c r="K611" t="s">
        <v>7503</v>
      </c>
      <c r="L611">
        <v>74</v>
      </c>
      <c r="M611" t="s">
        <v>7502</v>
      </c>
    </row>
    <row r="612" spans="1:13" x14ac:dyDescent="0.35">
      <c r="A612" t="s">
        <v>4233</v>
      </c>
      <c r="B612">
        <v>734026</v>
      </c>
      <c r="C612">
        <v>735657</v>
      </c>
      <c r="E612" t="s">
        <v>36</v>
      </c>
      <c r="F612" t="s">
        <v>7501</v>
      </c>
      <c r="H612">
        <v>29241204</v>
      </c>
      <c r="I612" t="s">
        <v>16</v>
      </c>
      <c r="K612" t="s">
        <v>7500</v>
      </c>
      <c r="L612">
        <v>543</v>
      </c>
      <c r="M612" t="s">
        <v>7499</v>
      </c>
    </row>
    <row r="613" spans="1:13" x14ac:dyDescent="0.35">
      <c r="A613" t="s">
        <v>4233</v>
      </c>
      <c r="B613">
        <v>735740</v>
      </c>
      <c r="C613">
        <v>737287</v>
      </c>
      <c r="E613" t="s">
        <v>13</v>
      </c>
      <c r="F613" t="s">
        <v>6913</v>
      </c>
      <c r="H613">
        <v>29241205</v>
      </c>
      <c r="I613" t="s">
        <v>16</v>
      </c>
      <c r="K613" t="s">
        <v>7498</v>
      </c>
      <c r="L613">
        <v>515</v>
      </c>
      <c r="M613" t="s">
        <v>7497</v>
      </c>
    </row>
    <row r="614" spans="1:13" x14ac:dyDescent="0.35">
      <c r="A614" t="s">
        <v>4233</v>
      </c>
      <c r="B614">
        <v>737358</v>
      </c>
      <c r="C614">
        <v>739088</v>
      </c>
      <c r="E614" t="s">
        <v>36</v>
      </c>
      <c r="F614" t="s">
        <v>7496</v>
      </c>
      <c r="H614">
        <v>29241206</v>
      </c>
      <c r="I614" t="s">
        <v>16</v>
      </c>
      <c r="K614" t="s">
        <v>7495</v>
      </c>
      <c r="L614">
        <v>576</v>
      </c>
      <c r="M614" t="s">
        <v>7494</v>
      </c>
    </row>
    <row r="615" spans="1:13" x14ac:dyDescent="0.35">
      <c r="A615" t="s">
        <v>4233</v>
      </c>
      <c r="B615">
        <v>739256</v>
      </c>
      <c r="C615">
        <v>740179</v>
      </c>
      <c r="E615" t="s">
        <v>13</v>
      </c>
      <c r="F615" t="s">
        <v>7493</v>
      </c>
      <c r="H615">
        <v>29241207</v>
      </c>
      <c r="I615" t="s">
        <v>16</v>
      </c>
      <c r="K615" t="s">
        <v>7492</v>
      </c>
      <c r="L615">
        <v>307</v>
      </c>
      <c r="M615" t="s">
        <v>7491</v>
      </c>
    </row>
    <row r="616" spans="1:13" x14ac:dyDescent="0.35">
      <c r="A616" t="s">
        <v>4233</v>
      </c>
      <c r="B616">
        <v>740271</v>
      </c>
      <c r="C616">
        <v>740687</v>
      </c>
      <c r="E616" t="s">
        <v>13</v>
      </c>
      <c r="F616" t="s">
        <v>7490</v>
      </c>
      <c r="H616">
        <v>29241208</v>
      </c>
      <c r="I616" t="s">
        <v>16</v>
      </c>
      <c r="K616" t="s">
        <v>7489</v>
      </c>
      <c r="L616">
        <v>138</v>
      </c>
      <c r="M616" t="s">
        <v>7488</v>
      </c>
    </row>
    <row r="617" spans="1:13" x14ac:dyDescent="0.35">
      <c r="A617" t="s">
        <v>4233</v>
      </c>
      <c r="B617">
        <v>740795</v>
      </c>
      <c r="C617">
        <v>740868</v>
      </c>
      <c r="E617" t="s">
        <v>13</v>
      </c>
      <c r="F617" t="s">
        <v>415</v>
      </c>
      <c r="H617">
        <v>29241209</v>
      </c>
      <c r="I617" t="s">
        <v>39</v>
      </c>
      <c r="M617" t="s">
        <v>7487</v>
      </c>
    </row>
    <row r="618" spans="1:13" x14ac:dyDescent="0.35">
      <c r="A618" t="s">
        <v>4233</v>
      </c>
      <c r="B618">
        <v>741012</v>
      </c>
      <c r="C618">
        <v>742601</v>
      </c>
      <c r="E618" t="s">
        <v>13</v>
      </c>
      <c r="F618" t="s">
        <v>675</v>
      </c>
      <c r="H618">
        <v>29241210</v>
      </c>
      <c r="I618" t="s">
        <v>16</v>
      </c>
      <c r="K618" t="s">
        <v>7486</v>
      </c>
      <c r="L618">
        <v>529</v>
      </c>
      <c r="M618" t="s">
        <v>7485</v>
      </c>
    </row>
    <row r="619" spans="1:13" x14ac:dyDescent="0.35">
      <c r="A619" t="s">
        <v>4233</v>
      </c>
      <c r="B619">
        <v>742598</v>
      </c>
      <c r="C619">
        <v>743788</v>
      </c>
      <c r="E619" t="s">
        <v>13</v>
      </c>
      <c r="F619" t="s">
        <v>7484</v>
      </c>
      <c r="G619" t="s">
        <v>7483</v>
      </c>
      <c r="H619">
        <v>29241211</v>
      </c>
      <c r="I619" t="s">
        <v>16</v>
      </c>
      <c r="K619" t="s">
        <v>7482</v>
      </c>
      <c r="L619">
        <v>396</v>
      </c>
      <c r="M619" t="s">
        <v>7481</v>
      </c>
    </row>
    <row r="620" spans="1:13" x14ac:dyDescent="0.35">
      <c r="A620" t="s">
        <v>4233</v>
      </c>
      <c r="B620">
        <v>743785</v>
      </c>
      <c r="C620">
        <v>745008</v>
      </c>
      <c r="E620" t="s">
        <v>13</v>
      </c>
      <c r="F620" t="s">
        <v>7480</v>
      </c>
      <c r="G620" t="s">
        <v>7479</v>
      </c>
      <c r="H620">
        <v>29241212</v>
      </c>
      <c r="I620" t="s">
        <v>16</v>
      </c>
      <c r="K620" t="s">
        <v>7478</v>
      </c>
      <c r="L620">
        <v>407</v>
      </c>
      <c r="M620" t="s">
        <v>7477</v>
      </c>
    </row>
    <row r="621" spans="1:13" x14ac:dyDescent="0.35">
      <c r="A621" t="s">
        <v>4233</v>
      </c>
      <c r="B621">
        <v>745056</v>
      </c>
      <c r="C621">
        <v>746831</v>
      </c>
      <c r="E621" t="s">
        <v>13</v>
      </c>
      <c r="F621" t="s">
        <v>5080</v>
      </c>
      <c r="H621">
        <v>29241213</v>
      </c>
      <c r="I621" t="s">
        <v>16</v>
      </c>
      <c r="K621" t="s">
        <v>7476</v>
      </c>
      <c r="L621">
        <v>591</v>
      </c>
      <c r="M621" t="s">
        <v>7475</v>
      </c>
    </row>
    <row r="622" spans="1:13" x14ac:dyDescent="0.35">
      <c r="A622" t="s">
        <v>4233</v>
      </c>
      <c r="B622">
        <v>746864</v>
      </c>
      <c r="C622">
        <v>747583</v>
      </c>
      <c r="E622" t="s">
        <v>13</v>
      </c>
      <c r="F622" t="s">
        <v>877</v>
      </c>
      <c r="G622" t="s">
        <v>878</v>
      </c>
      <c r="H622">
        <v>29241214</v>
      </c>
      <c r="I622" t="s">
        <v>16</v>
      </c>
      <c r="K622" t="s">
        <v>7474</v>
      </c>
      <c r="L622">
        <v>239</v>
      </c>
      <c r="M622" t="s">
        <v>7473</v>
      </c>
    </row>
    <row r="623" spans="1:13" x14ac:dyDescent="0.35">
      <c r="A623" t="s">
        <v>4233</v>
      </c>
      <c r="B623">
        <v>747586</v>
      </c>
      <c r="C623">
        <v>748374</v>
      </c>
      <c r="E623" t="s">
        <v>13</v>
      </c>
      <c r="F623" t="s">
        <v>931</v>
      </c>
      <c r="H623">
        <v>29241215</v>
      </c>
      <c r="I623" t="s">
        <v>16</v>
      </c>
      <c r="K623" t="s">
        <v>7472</v>
      </c>
      <c r="L623">
        <v>262</v>
      </c>
      <c r="M623" t="s">
        <v>7471</v>
      </c>
    </row>
    <row r="624" spans="1:13" x14ac:dyDescent="0.35">
      <c r="A624" t="s">
        <v>4233</v>
      </c>
      <c r="B624">
        <v>748494</v>
      </c>
      <c r="C624">
        <v>749270</v>
      </c>
      <c r="E624" t="s">
        <v>36</v>
      </c>
      <c r="F624" t="s">
        <v>133</v>
      </c>
      <c r="H624">
        <v>29241216</v>
      </c>
      <c r="I624" t="s">
        <v>16</v>
      </c>
      <c r="K624" t="s">
        <v>7470</v>
      </c>
      <c r="L624">
        <v>258</v>
      </c>
      <c r="M624" t="s">
        <v>7469</v>
      </c>
    </row>
    <row r="625" spans="1:13" x14ac:dyDescent="0.35">
      <c r="A625" t="s">
        <v>4233</v>
      </c>
      <c r="B625">
        <v>749338</v>
      </c>
      <c r="C625">
        <v>750405</v>
      </c>
      <c r="E625" t="s">
        <v>36</v>
      </c>
      <c r="F625" t="s">
        <v>590</v>
      </c>
      <c r="H625">
        <v>29241217</v>
      </c>
      <c r="I625" t="s">
        <v>16</v>
      </c>
      <c r="K625" t="s">
        <v>7468</v>
      </c>
      <c r="L625">
        <v>355</v>
      </c>
      <c r="M625" t="s">
        <v>7467</v>
      </c>
    </row>
    <row r="626" spans="1:13" x14ac:dyDescent="0.35">
      <c r="A626" t="s">
        <v>4233</v>
      </c>
      <c r="B626">
        <v>750665</v>
      </c>
      <c r="C626">
        <v>751876</v>
      </c>
      <c r="E626" t="s">
        <v>13</v>
      </c>
      <c r="F626" t="s">
        <v>4708</v>
      </c>
      <c r="H626">
        <v>29241218</v>
      </c>
      <c r="I626" t="s">
        <v>16</v>
      </c>
      <c r="K626" t="s">
        <v>7466</v>
      </c>
      <c r="L626">
        <v>403</v>
      </c>
      <c r="M626" t="s">
        <v>7465</v>
      </c>
    </row>
    <row r="627" spans="1:13" x14ac:dyDescent="0.35">
      <c r="A627" t="s">
        <v>4233</v>
      </c>
      <c r="B627">
        <v>751876</v>
      </c>
      <c r="C627">
        <v>752670</v>
      </c>
      <c r="E627" t="s">
        <v>13</v>
      </c>
      <c r="F627" t="s">
        <v>48</v>
      </c>
      <c r="H627">
        <v>29241219</v>
      </c>
      <c r="I627" t="s">
        <v>16</v>
      </c>
      <c r="K627" t="s">
        <v>7464</v>
      </c>
      <c r="L627">
        <v>264</v>
      </c>
      <c r="M627" t="s">
        <v>7463</v>
      </c>
    </row>
    <row r="628" spans="1:13" x14ac:dyDescent="0.35">
      <c r="A628" t="s">
        <v>4233</v>
      </c>
      <c r="B628">
        <v>752753</v>
      </c>
      <c r="C628">
        <v>752932</v>
      </c>
      <c r="E628" t="s">
        <v>36</v>
      </c>
      <c r="F628" t="s">
        <v>40</v>
      </c>
      <c r="H628">
        <v>31600453</v>
      </c>
      <c r="I628" t="s">
        <v>16</v>
      </c>
      <c r="K628" t="s">
        <v>7462</v>
      </c>
      <c r="L628">
        <v>59</v>
      </c>
      <c r="M628" t="s">
        <v>7461</v>
      </c>
    </row>
    <row r="629" spans="1:13" x14ac:dyDescent="0.35">
      <c r="A629" t="s">
        <v>4233</v>
      </c>
      <c r="B629">
        <v>753065</v>
      </c>
      <c r="C629">
        <v>755215</v>
      </c>
      <c r="E629" t="s">
        <v>36</v>
      </c>
      <c r="F629" t="s">
        <v>40</v>
      </c>
      <c r="H629">
        <v>29241220</v>
      </c>
      <c r="I629" t="s">
        <v>16</v>
      </c>
      <c r="K629" t="s">
        <v>7460</v>
      </c>
      <c r="L629">
        <v>716</v>
      </c>
      <c r="M629" t="s">
        <v>7459</v>
      </c>
    </row>
    <row r="630" spans="1:13" x14ac:dyDescent="0.35">
      <c r="A630" t="s">
        <v>4233</v>
      </c>
      <c r="B630">
        <v>755365</v>
      </c>
      <c r="C630">
        <v>755841</v>
      </c>
      <c r="E630" t="s">
        <v>13</v>
      </c>
      <c r="F630" t="s">
        <v>45</v>
      </c>
      <c r="H630">
        <v>97007093</v>
      </c>
      <c r="I630" t="s">
        <v>46</v>
      </c>
      <c r="M630" t="s">
        <v>7458</v>
      </c>
    </row>
    <row r="631" spans="1:13" x14ac:dyDescent="0.35">
      <c r="A631" t="s">
        <v>4233</v>
      </c>
      <c r="B631">
        <v>755905</v>
      </c>
      <c r="C631">
        <v>758736</v>
      </c>
      <c r="E631" t="s">
        <v>13</v>
      </c>
      <c r="F631" t="s">
        <v>45</v>
      </c>
      <c r="H631">
        <v>29241221</v>
      </c>
      <c r="I631" t="s">
        <v>46</v>
      </c>
      <c r="M631" t="s">
        <v>7457</v>
      </c>
    </row>
    <row r="632" spans="1:13" x14ac:dyDescent="0.35">
      <c r="A632" t="s">
        <v>4233</v>
      </c>
      <c r="B632">
        <v>758775</v>
      </c>
      <c r="C632">
        <v>761567</v>
      </c>
      <c r="E632" t="s">
        <v>13</v>
      </c>
      <c r="F632" t="s">
        <v>465</v>
      </c>
      <c r="G632" t="s">
        <v>466</v>
      </c>
      <c r="H632">
        <v>29241222</v>
      </c>
      <c r="I632" t="s">
        <v>16</v>
      </c>
      <c r="K632" t="s">
        <v>7456</v>
      </c>
      <c r="L632">
        <v>930</v>
      </c>
      <c r="M632" t="s">
        <v>7455</v>
      </c>
    </row>
    <row r="633" spans="1:13" x14ac:dyDescent="0.35">
      <c r="A633" t="s">
        <v>4233</v>
      </c>
      <c r="B633">
        <v>761823</v>
      </c>
      <c r="C633">
        <v>762944</v>
      </c>
      <c r="E633" t="s">
        <v>13</v>
      </c>
      <c r="F633" t="s">
        <v>7454</v>
      </c>
      <c r="H633">
        <v>29241223</v>
      </c>
      <c r="I633" t="s">
        <v>16</v>
      </c>
      <c r="K633" t="s">
        <v>7453</v>
      </c>
      <c r="L633">
        <v>373</v>
      </c>
      <c r="M633" t="s">
        <v>7452</v>
      </c>
    </row>
    <row r="634" spans="1:13" x14ac:dyDescent="0.35">
      <c r="A634" t="s">
        <v>4233</v>
      </c>
      <c r="B634">
        <v>763418</v>
      </c>
      <c r="C634">
        <v>764854</v>
      </c>
      <c r="E634" t="s">
        <v>36</v>
      </c>
      <c r="F634" t="s">
        <v>1073</v>
      </c>
      <c r="G634" t="s">
        <v>1074</v>
      </c>
      <c r="H634">
        <v>29241224</v>
      </c>
      <c r="I634" t="s">
        <v>16</v>
      </c>
      <c r="K634" t="s">
        <v>7451</v>
      </c>
      <c r="L634">
        <v>478</v>
      </c>
      <c r="M634" t="s">
        <v>7450</v>
      </c>
    </row>
    <row r="635" spans="1:13" x14ac:dyDescent="0.35">
      <c r="A635" t="s">
        <v>4233</v>
      </c>
      <c r="B635">
        <v>765158</v>
      </c>
      <c r="C635">
        <v>765940</v>
      </c>
      <c r="E635" t="s">
        <v>36</v>
      </c>
      <c r="F635" t="s">
        <v>7449</v>
      </c>
      <c r="H635">
        <v>29241225</v>
      </c>
      <c r="I635" t="s">
        <v>16</v>
      </c>
      <c r="K635" t="s">
        <v>7448</v>
      </c>
      <c r="L635">
        <v>260</v>
      </c>
      <c r="M635" t="s">
        <v>7447</v>
      </c>
    </row>
    <row r="636" spans="1:13" x14ac:dyDescent="0.35">
      <c r="A636" t="s">
        <v>4233</v>
      </c>
      <c r="B636">
        <v>766005</v>
      </c>
      <c r="C636">
        <v>767498</v>
      </c>
      <c r="E636" t="s">
        <v>36</v>
      </c>
      <c r="F636" t="s">
        <v>412</v>
      </c>
      <c r="H636">
        <v>29241226</v>
      </c>
      <c r="I636" t="s">
        <v>16</v>
      </c>
      <c r="K636" t="s">
        <v>7446</v>
      </c>
      <c r="L636">
        <v>497</v>
      </c>
      <c r="M636" t="s">
        <v>7445</v>
      </c>
    </row>
    <row r="637" spans="1:13" x14ac:dyDescent="0.35">
      <c r="A637" t="s">
        <v>4233</v>
      </c>
      <c r="B637">
        <v>767624</v>
      </c>
      <c r="C637">
        <v>768244</v>
      </c>
      <c r="E637" t="s">
        <v>36</v>
      </c>
      <c r="F637" t="s">
        <v>7444</v>
      </c>
      <c r="H637">
        <v>29241227</v>
      </c>
      <c r="I637" t="s">
        <v>16</v>
      </c>
      <c r="K637" t="s">
        <v>7443</v>
      </c>
      <c r="L637">
        <v>206</v>
      </c>
      <c r="M637" t="s">
        <v>7442</v>
      </c>
    </row>
    <row r="638" spans="1:13" x14ac:dyDescent="0.35">
      <c r="A638" t="s">
        <v>4233</v>
      </c>
      <c r="B638">
        <v>768336</v>
      </c>
      <c r="C638">
        <v>769703</v>
      </c>
      <c r="E638" t="s">
        <v>13</v>
      </c>
      <c r="F638" t="s">
        <v>7441</v>
      </c>
      <c r="H638">
        <v>29241228</v>
      </c>
      <c r="I638" t="s">
        <v>16</v>
      </c>
      <c r="K638" t="s">
        <v>7440</v>
      </c>
      <c r="L638">
        <v>455</v>
      </c>
      <c r="M638" t="s">
        <v>7439</v>
      </c>
    </row>
    <row r="639" spans="1:13" x14ac:dyDescent="0.35">
      <c r="A639" t="s">
        <v>4233</v>
      </c>
      <c r="B639">
        <v>770011</v>
      </c>
      <c r="C639">
        <v>770610</v>
      </c>
      <c r="E639" t="s">
        <v>13</v>
      </c>
      <c r="F639" t="s">
        <v>44</v>
      </c>
      <c r="H639">
        <v>29241229</v>
      </c>
      <c r="I639" t="s">
        <v>16</v>
      </c>
      <c r="K639" t="s">
        <v>7438</v>
      </c>
      <c r="L639">
        <v>199</v>
      </c>
      <c r="M639" t="s">
        <v>7437</v>
      </c>
    </row>
    <row r="640" spans="1:13" x14ac:dyDescent="0.35">
      <c r="A640" t="s">
        <v>4233</v>
      </c>
      <c r="B640">
        <v>770610</v>
      </c>
      <c r="C640">
        <v>772082</v>
      </c>
      <c r="E640" t="s">
        <v>13</v>
      </c>
      <c r="F640" t="s">
        <v>73</v>
      </c>
      <c r="H640">
        <v>29241230</v>
      </c>
      <c r="I640" t="s">
        <v>16</v>
      </c>
      <c r="K640" t="s">
        <v>7436</v>
      </c>
      <c r="L640">
        <v>490</v>
      </c>
      <c r="M640" t="s">
        <v>7435</v>
      </c>
    </row>
    <row r="641" spans="1:13" x14ac:dyDescent="0.35">
      <c r="A641" t="s">
        <v>4233</v>
      </c>
      <c r="B641">
        <v>772139</v>
      </c>
      <c r="C641">
        <v>773017</v>
      </c>
      <c r="E641" t="s">
        <v>13</v>
      </c>
      <c r="F641" t="s">
        <v>7434</v>
      </c>
      <c r="H641">
        <v>29241231</v>
      </c>
      <c r="I641" t="s">
        <v>16</v>
      </c>
      <c r="K641" t="s">
        <v>7433</v>
      </c>
      <c r="L641">
        <v>292</v>
      </c>
      <c r="M641" t="s">
        <v>7432</v>
      </c>
    </row>
    <row r="642" spans="1:13" x14ac:dyDescent="0.35">
      <c r="A642" t="s">
        <v>4233</v>
      </c>
      <c r="B642">
        <v>773054</v>
      </c>
      <c r="C642">
        <v>773932</v>
      </c>
      <c r="E642" t="s">
        <v>13</v>
      </c>
      <c r="F642" t="s">
        <v>1093</v>
      </c>
      <c r="H642">
        <v>29241232</v>
      </c>
      <c r="I642" t="s">
        <v>16</v>
      </c>
      <c r="K642" t="s">
        <v>7431</v>
      </c>
      <c r="L642">
        <v>292</v>
      </c>
      <c r="M642" t="s">
        <v>7430</v>
      </c>
    </row>
    <row r="643" spans="1:13" x14ac:dyDescent="0.35">
      <c r="A643" t="s">
        <v>4233</v>
      </c>
      <c r="B643">
        <v>773998</v>
      </c>
      <c r="C643">
        <v>775053</v>
      </c>
      <c r="E643" t="s">
        <v>13</v>
      </c>
      <c r="F643" t="s">
        <v>1091</v>
      </c>
      <c r="G643" t="s">
        <v>1092</v>
      </c>
      <c r="H643">
        <v>29241233</v>
      </c>
      <c r="I643" t="s">
        <v>16</v>
      </c>
      <c r="K643" t="s">
        <v>7429</v>
      </c>
      <c r="L643">
        <v>351</v>
      </c>
      <c r="M643" t="s">
        <v>7428</v>
      </c>
    </row>
    <row r="644" spans="1:13" x14ac:dyDescent="0.35">
      <c r="A644" t="s">
        <v>4233</v>
      </c>
      <c r="B644">
        <v>775061</v>
      </c>
      <c r="C644">
        <v>777670</v>
      </c>
      <c r="E644" t="s">
        <v>13</v>
      </c>
      <c r="F644" t="s">
        <v>1087</v>
      </c>
      <c r="G644" t="s">
        <v>1088</v>
      </c>
      <c r="H644">
        <v>29241234</v>
      </c>
      <c r="I644" t="s">
        <v>16</v>
      </c>
      <c r="K644" t="s">
        <v>7427</v>
      </c>
      <c r="L644">
        <v>869</v>
      </c>
      <c r="M644" t="s">
        <v>7426</v>
      </c>
    </row>
    <row r="645" spans="1:13" x14ac:dyDescent="0.35">
      <c r="A645" t="s">
        <v>4233</v>
      </c>
      <c r="B645">
        <v>777698</v>
      </c>
      <c r="C645">
        <v>778354</v>
      </c>
      <c r="E645" t="s">
        <v>13</v>
      </c>
      <c r="F645" t="s">
        <v>40</v>
      </c>
      <c r="H645">
        <v>29241235</v>
      </c>
      <c r="I645" t="s">
        <v>16</v>
      </c>
      <c r="K645" t="s">
        <v>7425</v>
      </c>
      <c r="L645">
        <v>218</v>
      </c>
      <c r="M645" t="s">
        <v>7424</v>
      </c>
    </row>
    <row r="646" spans="1:13" x14ac:dyDescent="0.35">
      <c r="A646" t="s">
        <v>4233</v>
      </c>
      <c r="B646">
        <v>778451</v>
      </c>
      <c r="C646">
        <v>779545</v>
      </c>
      <c r="E646" t="s">
        <v>13</v>
      </c>
      <c r="F646" t="s">
        <v>7423</v>
      </c>
      <c r="G646" t="s">
        <v>7422</v>
      </c>
      <c r="H646">
        <v>29241236</v>
      </c>
      <c r="I646" t="s">
        <v>16</v>
      </c>
      <c r="K646" t="s">
        <v>7421</v>
      </c>
      <c r="L646">
        <v>364</v>
      </c>
      <c r="M646" t="s">
        <v>7420</v>
      </c>
    </row>
    <row r="647" spans="1:13" x14ac:dyDescent="0.35">
      <c r="A647" t="s">
        <v>4233</v>
      </c>
      <c r="B647">
        <v>779542</v>
      </c>
      <c r="C647">
        <v>780717</v>
      </c>
      <c r="E647" t="s">
        <v>13</v>
      </c>
      <c r="F647" t="s">
        <v>7419</v>
      </c>
      <c r="G647" t="s">
        <v>7418</v>
      </c>
      <c r="H647">
        <v>29241237</v>
      </c>
      <c r="I647" t="s">
        <v>16</v>
      </c>
      <c r="K647" t="s">
        <v>7417</v>
      </c>
      <c r="L647">
        <v>391</v>
      </c>
      <c r="M647" t="s">
        <v>7416</v>
      </c>
    </row>
    <row r="648" spans="1:13" x14ac:dyDescent="0.35">
      <c r="A648" t="s">
        <v>4233</v>
      </c>
      <c r="B648">
        <v>780946</v>
      </c>
      <c r="C648">
        <v>781902</v>
      </c>
      <c r="E648" t="s">
        <v>13</v>
      </c>
      <c r="F648" t="s">
        <v>7415</v>
      </c>
      <c r="G648" t="s">
        <v>7414</v>
      </c>
      <c r="H648">
        <v>29241238</v>
      </c>
      <c r="I648" t="s">
        <v>16</v>
      </c>
      <c r="K648" t="s">
        <v>7413</v>
      </c>
      <c r="L648">
        <v>318</v>
      </c>
      <c r="M648" t="s">
        <v>7412</v>
      </c>
    </row>
    <row r="649" spans="1:13" x14ac:dyDescent="0.35">
      <c r="A649" t="s">
        <v>4233</v>
      </c>
      <c r="B649">
        <v>781892</v>
      </c>
      <c r="C649">
        <v>783187</v>
      </c>
      <c r="E649" t="s">
        <v>13</v>
      </c>
      <c r="F649" t="s">
        <v>7411</v>
      </c>
      <c r="H649">
        <v>29241239</v>
      </c>
      <c r="I649" t="s">
        <v>16</v>
      </c>
      <c r="K649" t="s">
        <v>7410</v>
      </c>
      <c r="L649">
        <v>431</v>
      </c>
      <c r="M649" t="s">
        <v>7409</v>
      </c>
    </row>
    <row r="650" spans="1:13" x14ac:dyDescent="0.35">
      <c r="A650" t="s">
        <v>4233</v>
      </c>
      <c r="B650">
        <v>783216</v>
      </c>
      <c r="C650">
        <v>784181</v>
      </c>
      <c r="E650" t="s">
        <v>13</v>
      </c>
      <c r="F650" t="s">
        <v>7408</v>
      </c>
      <c r="G650" t="s">
        <v>7407</v>
      </c>
      <c r="H650">
        <v>29241240</v>
      </c>
      <c r="I650" t="s">
        <v>16</v>
      </c>
      <c r="K650" t="s">
        <v>7406</v>
      </c>
      <c r="L650">
        <v>321</v>
      </c>
      <c r="M650" t="s">
        <v>7405</v>
      </c>
    </row>
    <row r="651" spans="1:13" x14ac:dyDescent="0.35">
      <c r="A651" t="s">
        <v>4233</v>
      </c>
      <c r="B651">
        <v>784178</v>
      </c>
      <c r="C651">
        <v>784690</v>
      </c>
      <c r="E651" t="s">
        <v>13</v>
      </c>
      <c r="F651" t="s">
        <v>7404</v>
      </c>
      <c r="G651" t="s">
        <v>7403</v>
      </c>
      <c r="H651">
        <v>29241241</v>
      </c>
      <c r="I651" t="s">
        <v>16</v>
      </c>
      <c r="K651" t="s">
        <v>7402</v>
      </c>
      <c r="L651">
        <v>170</v>
      </c>
      <c r="M651" t="s">
        <v>7401</v>
      </c>
    </row>
    <row r="652" spans="1:13" x14ac:dyDescent="0.35">
      <c r="A652" t="s">
        <v>4233</v>
      </c>
      <c r="B652">
        <v>784845</v>
      </c>
      <c r="C652">
        <v>786083</v>
      </c>
      <c r="E652" t="s">
        <v>13</v>
      </c>
      <c r="F652" t="s">
        <v>7400</v>
      </c>
      <c r="H652">
        <v>29241242</v>
      </c>
      <c r="I652" t="s">
        <v>16</v>
      </c>
      <c r="K652" t="s">
        <v>7399</v>
      </c>
      <c r="L652">
        <v>412</v>
      </c>
      <c r="M652" t="s">
        <v>7398</v>
      </c>
    </row>
    <row r="653" spans="1:13" x14ac:dyDescent="0.35">
      <c r="A653" t="s">
        <v>4233</v>
      </c>
      <c r="B653">
        <v>786450</v>
      </c>
      <c r="C653">
        <v>786572</v>
      </c>
      <c r="E653" t="s">
        <v>13</v>
      </c>
      <c r="F653" t="s">
        <v>45</v>
      </c>
      <c r="H653">
        <v>97007094</v>
      </c>
      <c r="I653" t="s">
        <v>46</v>
      </c>
      <c r="M653" t="s">
        <v>7397</v>
      </c>
    </row>
    <row r="654" spans="1:13" x14ac:dyDescent="0.35">
      <c r="A654" t="s">
        <v>4233</v>
      </c>
      <c r="B654">
        <v>786969</v>
      </c>
      <c r="C654">
        <v>787625</v>
      </c>
      <c r="E654" t="s">
        <v>13</v>
      </c>
      <c r="F654" t="s">
        <v>40</v>
      </c>
      <c r="H654">
        <v>93018726</v>
      </c>
      <c r="I654" t="s">
        <v>16</v>
      </c>
      <c r="K654" t="s">
        <v>7396</v>
      </c>
      <c r="L654">
        <v>218</v>
      </c>
      <c r="M654" t="s">
        <v>7395</v>
      </c>
    </row>
    <row r="655" spans="1:13" x14ac:dyDescent="0.35">
      <c r="A655" t="s">
        <v>4233</v>
      </c>
      <c r="B655">
        <v>787869</v>
      </c>
      <c r="C655">
        <v>788036</v>
      </c>
      <c r="E655" t="s">
        <v>13</v>
      </c>
      <c r="F655" t="s">
        <v>40</v>
      </c>
      <c r="H655">
        <v>93018727</v>
      </c>
      <c r="I655" t="s">
        <v>16</v>
      </c>
      <c r="K655" t="s">
        <v>7394</v>
      </c>
      <c r="L655">
        <v>55</v>
      </c>
      <c r="M655" t="s">
        <v>7393</v>
      </c>
    </row>
    <row r="656" spans="1:13" x14ac:dyDescent="0.35">
      <c r="A656" t="s">
        <v>4233</v>
      </c>
      <c r="B656">
        <v>788205</v>
      </c>
      <c r="C656">
        <v>788480</v>
      </c>
      <c r="E656" t="s">
        <v>36</v>
      </c>
      <c r="F656" t="s">
        <v>7392</v>
      </c>
      <c r="H656">
        <v>29241244</v>
      </c>
      <c r="I656" t="s">
        <v>16</v>
      </c>
      <c r="K656" t="s">
        <v>7391</v>
      </c>
      <c r="L656">
        <v>91</v>
      </c>
      <c r="M656" t="s">
        <v>7390</v>
      </c>
    </row>
    <row r="657" spans="1:13" x14ac:dyDescent="0.35">
      <c r="A657" t="s">
        <v>4233</v>
      </c>
      <c r="B657">
        <v>788482</v>
      </c>
      <c r="C657">
        <v>788736</v>
      </c>
      <c r="E657" t="s">
        <v>36</v>
      </c>
      <c r="F657" t="s">
        <v>1157</v>
      </c>
      <c r="H657">
        <v>29241245</v>
      </c>
      <c r="I657" t="s">
        <v>16</v>
      </c>
      <c r="K657" t="s">
        <v>7389</v>
      </c>
      <c r="L657">
        <v>84</v>
      </c>
      <c r="M657" t="s">
        <v>7388</v>
      </c>
    </row>
    <row r="658" spans="1:13" x14ac:dyDescent="0.35">
      <c r="A658" t="s">
        <v>4233</v>
      </c>
      <c r="B658">
        <v>788965</v>
      </c>
      <c r="C658">
        <v>790437</v>
      </c>
      <c r="E658" t="s">
        <v>13</v>
      </c>
      <c r="F658" t="s">
        <v>7387</v>
      </c>
      <c r="G658" t="s">
        <v>7386</v>
      </c>
      <c r="H658">
        <v>29241246</v>
      </c>
      <c r="I658" t="s">
        <v>16</v>
      </c>
      <c r="K658" t="s">
        <v>7385</v>
      </c>
      <c r="L658">
        <v>490</v>
      </c>
      <c r="M658" t="s">
        <v>7384</v>
      </c>
    </row>
    <row r="659" spans="1:13" x14ac:dyDescent="0.35">
      <c r="A659" t="s">
        <v>4233</v>
      </c>
      <c r="B659">
        <v>790875</v>
      </c>
      <c r="C659">
        <v>791069</v>
      </c>
      <c r="E659" t="s">
        <v>13</v>
      </c>
      <c r="F659" t="s">
        <v>7383</v>
      </c>
      <c r="G659" t="s">
        <v>7382</v>
      </c>
      <c r="H659">
        <v>29241247</v>
      </c>
      <c r="I659" t="s">
        <v>16</v>
      </c>
      <c r="K659" t="s">
        <v>7381</v>
      </c>
      <c r="L659">
        <v>64</v>
      </c>
      <c r="M659" t="s">
        <v>7380</v>
      </c>
    </row>
    <row r="660" spans="1:13" x14ac:dyDescent="0.35">
      <c r="A660" t="s">
        <v>4233</v>
      </c>
      <c r="B660">
        <v>791081</v>
      </c>
      <c r="C660">
        <v>791950</v>
      </c>
      <c r="E660" t="s">
        <v>13</v>
      </c>
      <c r="F660" t="s">
        <v>7379</v>
      </c>
      <c r="H660">
        <v>29241248</v>
      </c>
      <c r="I660" t="s">
        <v>16</v>
      </c>
      <c r="K660" t="s">
        <v>7378</v>
      </c>
      <c r="L660">
        <v>289</v>
      </c>
      <c r="M660" t="s">
        <v>7377</v>
      </c>
    </row>
    <row r="661" spans="1:13" x14ac:dyDescent="0.35">
      <c r="A661" t="s">
        <v>4233</v>
      </c>
      <c r="B661">
        <v>792089</v>
      </c>
      <c r="C661">
        <v>792898</v>
      </c>
      <c r="E661" t="s">
        <v>13</v>
      </c>
      <c r="F661" t="s">
        <v>7376</v>
      </c>
      <c r="G661" t="s">
        <v>7375</v>
      </c>
      <c r="H661">
        <v>29241249</v>
      </c>
      <c r="I661" t="s">
        <v>16</v>
      </c>
      <c r="K661" t="s">
        <v>7374</v>
      </c>
      <c r="L661">
        <v>269</v>
      </c>
      <c r="M661" t="s">
        <v>7373</v>
      </c>
    </row>
    <row r="662" spans="1:13" x14ac:dyDescent="0.35">
      <c r="A662" t="s">
        <v>4233</v>
      </c>
      <c r="B662">
        <v>793043</v>
      </c>
      <c r="C662">
        <v>793435</v>
      </c>
      <c r="E662" t="s">
        <v>13</v>
      </c>
      <c r="F662" t="s">
        <v>1081</v>
      </c>
      <c r="H662">
        <v>29241250</v>
      </c>
      <c r="I662" t="s">
        <v>16</v>
      </c>
      <c r="K662" t="s">
        <v>7372</v>
      </c>
      <c r="L662">
        <v>130</v>
      </c>
      <c r="M662" t="s">
        <v>7371</v>
      </c>
    </row>
    <row r="663" spans="1:13" x14ac:dyDescent="0.35">
      <c r="A663" t="s">
        <v>4233</v>
      </c>
      <c r="B663">
        <v>793669</v>
      </c>
      <c r="C663">
        <v>794202</v>
      </c>
      <c r="E663" t="s">
        <v>13</v>
      </c>
      <c r="F663" t="s">
        <v>158</v>
      </c>
      <c r="H663">
        <v>29241251</v>
      </c>
      <c r="I663" t="s">
        <v>16</v>
      </c>
      <c r="K663" t="s">
        <v>7370</v>
      </c>
      <c r="L663">
        <v>177</v>
      </c>
      <c r="M663" t="s">
        <v>7369</v>
      </c>
    </row>
    <row r="664" spans="1:13" x14ac:dyDescent="0.35">
      <c r="A664" t="s">
        <v>4233</v>
      </c>
      <c r="B664">
        <v>794212</v>
      </c>
      <c r="C664">
        <v>794979</v>
      </c>
      <c r="E664" t="s">
        <v>13</v>
      </c>
      <c r="F664" t="s">
        <v>43</v>
      </c>
      <c r="H664">
        <v>29241252</v>
      </c>
      <c r="I664" t="s">
        <v>16</v>
      </c>
      <c r="K664" t="s">
        <v>7368</v>
      </c>
      <c r="L664">
        <v>255</v>
      </c>
      <c r="M664" t="s">
        <v>7367</v>
      </c>
    </row>
    <row r="665" spans="1:13" x14ac:dyDescent="0.35">
      <c r="A665" t="s">
        <v>4233</v>
      </c>
      <c r="B665">
        <v>795000</v>
      </c>
      <c r="C665">
        <v>795707</v>
      </c>
      <c r="E665" t="s">
        <v>36</v>
      </c>
      <c r="F665" t="s">
        <v>1253</v>
      </c>
      <c r="H665">
        <v>29241253</v>
      </c>
      <c r="I665" t="s">
        <v>16</v>
      </c>
      <c r="K665" t="s">
        <v>7366</v>
      </c>
      <c r="L665">
        <v>235</v>
      </c>
      <c r="M665" t="s">
        <v>7365</v>
      </c>
    </row>
    <row r="666" spans="1:13" x14ac:dyDescent="0.35">
      <c r="A666" t="s">
        <v>4233</v>
      </c>
      <c r="B666">
        <v>796096</v>
      </c>
      <c r="C666">
        <v>797418</v>
      </c>
      <c r="E666" t="s">
        <v>13</v>
      </c>
      <c r="F666" t="s">
        <v>127</v>
      </c>
      <c r="G666" t="s">
        <v>128</v>
      </c>
      <c r="H666">
        <v>29241254</v>
      </c>
      <c r="I666" t="s">
        <v>16</v>
      </c>
      <c r="K666" t="s">
        <v>7364</v>
      </c>
      <c r="L666">
        <v>440</v>
      </c>
      <c r="M666" t="s">
        <v>7363</v>
      </c>
    </row>
    <row r="667" spans="1:13" x14ac:dyDescent="0.35">
      <c r="A667" t="s">
        <v>4233</v>
      </c>
      <c r="B667">
        <v>797446</v>
      </c>
      <c r="C667">
        <v>799278</v>
      </c>
      <c r="E667" t="s">
        <v>13</v>
      </c>
      <c r="F667" t="s">
        <v>7362</v>
      </c>
      <c r="H667">
        <v>29241255</v>
      </c>
      <c r="I667" t="s">
        <v>16</v>
      </c>
      <c r="K667" t="s">
        <v>7361</v>
      </c>
      <c r="L667">
        <v>610</v>
      </c>
      <c r="M667" t="s">
        <v>7360</v>
      </c>
    </row>
    <row r="668" spans="1:13" x14ac:dyDescent="0.35">
      <c r="A668" t="s">
        <v>4233</v>
      </c>
      <c r="B668">
        <v>799287</v>
      </c>
      <c r="C668">
        <v>800330</v>
      </c>
      <c r="E668" t="s">
        <v>13</v>
      </c>
      <c r="F668" t="s">
        <v>7359</v>
      </c>
      <c r="H668">
        <v>29241256</v>
      </c>
      <c r="I668" t="s">
        <v>16</v>
      </c>
      <c r="K668" t="s">
        <v>7358</v>
      </c>
      <c r="L668">
        <v>347</v>
      </c>
      <c r="M668" t="s">
        <v>7357</v>
      </c>
    </row>
    <row r="669" spans="1:13" x14ac:dyDescent="0.35">
      <c r="A669" t="s">
        <v>4233</v>
      </c>
      <c r="B669">
        <v>800330</v>
      </c>
      <c r="C669">
        <v>800485</v>
      </c>
      <c r="E669" t="s">
        <v>13</v>
      </c>
      <c r="F669" t="s">
        <v>40</v>
      </c>
      <c r="H669">
        <v>55549234</v>
      </c>
      <c r="I669" t="s">
        <v>16</v>
      </c>
      <c r="K669" t="s">
        <v>7356</v>
      </c>
      <c r="L669">
        <v>51</v>
      </c>
      <c r="M669" t="s">
        <v>7355</v>
      </c>
    </row>
    <row r="670" spans="1:13" x14ac:dyDescent="0.35">
      <c r="A670" t="s">
        <v>4233</v>
      </c>
      <c r="B670">
        <v>800489</v>
      </c>
      <c r="C670">
        <v>801262</v>
      </c>
      <c r="E670" t="s">
        <v>13</v>
      </c>
      <c r="F670" t="s">
        <v>7354</v>
      </c>
      <c r="H670">
        <v>29241257</v>
      </c>
      <c r="I670" t="s">
        <v>16</v>
      </c>
      <c r="K670" t="s">
        <v>7353</v>
      </c>
      <c r="L670">
        <v>257</v>
      </c>
      <c r="M670" t="s">
        <v>7352</v>
      </c>
    </row>
    <row r="671" spans="1:13" x14ac:dyDescent="0.35">
      <c r="A671" t="s">
        <v>4233</v>
      </c>
      <c r="B671">
        <v>801244</v>
      </c>
      <c r="C671">
        <v>801918</v>
      </c>
      <c r="E671" t="s">
        <v>36</v>
      </c>
      <c r="F671" t="s">
        <v>40</v>
      </c>
      <c r="H671">
        <v>29241258</v>
      </c>
      <c r="I671" t="s">
        <v>16</v>
      </c>
      <c r="K671" t="s">
        <v>7351</v>
      </c>
      <c r="L671">
        <v>224</v>
      </c>
      <c r="M671" t="s">
        <v>7350</v>
      </c>
    </row>
    <row r="672" spans="1:13" x14ac:dyDescent="0.35">
      <c r="A672" t="s">
        <v>4233</v>
      </c>
      <c r="B672">
        <v>802024</v>
      </c>
      <c r="C672">
        <v>802442</v>
      </c>
      <c r="E672" t="s">
        <v>36</v>
      </c>
      <c r="F672" t="s">
        <v>45</v>
      </c>
      <c r="H672">
        <v>29241259</v>
      </c>
      <c r="I672" t="s">
        <v>46</v>
      </c>
      <c r="M672" t="s">
        <v>7349</v>
      </c>
    </row>
    <row r="673" spans="1:13" x14ac:dyDescent="0.35">
      <c r="A673" t="s">
        <v>4233</v>
      </c>
      <c r="B673">
        <v>802424</v>
      </c>
      <c r="C673">
        <v>802933</v>
      </c>
      <c r="E673" t="s">
        <v>36</v>
      </c>
      <c r="F673" t="s">
        <v>40</v>
      </c>
      <c r="H673">
        <v>29241260</v>
      </c>
      <c r="I673" t="s">
        <v>16</v>
      </c>
      <c r="K673" t="s">
        <v>7348</v>
      </c>
      <c r="L673">
        <v>169</v>
      </c>
      <c r="M673" t="s">
        <v>7347</v>
      </c>
    </row>
    <row r="674" spans="1:13" x14ac:dyDescent="0.35">
      <c r="A674" t="s">
        <v>4233</v>
      </c>
      <c r="B674">
        <v>803159</v>
      </c>
      <c r="C674">
        <v>804139</v>
      </c>
      <c r="E674" t="s">
        <v>13</v>
      </c>
      <c r="F674" t="s">
        <v>525</v>
      </c>
      <c r="H674">
        <v>29241261</v>
      </c>
      <c r="I674" t="s">
        <v>16</v>
      </c>
      <c r="K674" t="s">
        <v>7346</v>
      </c>
      <c r="L674">
        <v>326</v>
      </c>
      <c r="M674" t="s">
        <v>7345</v>
      </c>
    </row>
    <row r="675" spans="1:13" x14ac:dyDescent="0.35">
      <c r="A675" t="s">
        <v>4233</v>
      </c>
      <c r="B675">
        <v>804139</v>
      </c>
      <c r="C675">
        <v>805989</v>
      </c>
      <c r="E675" t="s">
        <v>13</v>
      </c>
      <c r="F675" t="s">
        <v>992</v>
      </c>
      <c r="G675" t="s">
        <v>993</v>
      </c>
      <c r="H675">
        <v>29241262</v>
      </c>
      <c r="I675" t="s">
        <v>16</v>
      </c>
      <c r="K675" t="s">
        <v>7344</v>
      </c>
      <c r="L675">
        <v>616</v>
      </c>
      <c r="M675" t="s">
        <v>7343</v>
      </c>
    </row>
    <row r="676" spans="1:13" x14ac:dyDescent="0.35">
      <c r="A676" t="s">
        <v>4233</v>
      </c>
      <c r="B676">
        <v>805986</v>
      </c>
      <c r="C676">
        <v>806633</v>
      </c>
      <c r="E676" t="s">
        <v>13</v>
      </c>
      <c r="F676" t="s">
        <v>655</v>
      </c>
      <c r="H676">
        <v>29241263</v>
      </c>
      <c r="I676" t="s">
        <v>16</v>
      </c>
      <c r="K676" t="s">
        <v>7342</v>
      </c>
      <c r="L676">
        <v>215</v>
      </c>
      <c r="M676" t="s">
        <v>7341</v>
      </c>
    </row>
    <row r="677" spans="1:13" x14ac:dyDescent="0.35">
      <c r="A677" t="s">
        <v>4233</v>
      </c>
      <c r="B677">
        <v>806757</v>
      </c>
      <c r="C677">
        <v>807425</v>
      </c>
      <c r="E677" t="s">
        <v>36</v>
      </c>
      <c r="F677" t="s">
        <v>177</v>
      </c>
      <c r="H677">
        <v>29241264</v>
      </c>
      <c r="I677" t="s">
        <v>16</v>
      </c>
      <c r="K677" t="s">
        <v>7340</v>
      </c>
      <c r="L677">
        <v>222</v>
      </c>
      <c r="M677" t="s">
        <v>7339</v>
      </c>
    </row>
    <row r="678" spans="1:13" x14ac:dyDescent="0.35">
      <c r="A678" t="s">
        <v>4233</v>
      </c>
      <c r="B678">
        <v>807562</v>
      </c>
      <c r="C678">
        <v>807936</v>
      </c>
      <c r="E678" t="s">
        <v>13</v>
      </c>
      <c r="F678" t="s">
        <v>367</v>
      </c>
      <c r="H678">
        <v>29241265</v>
      </c>
      <c r="I678" t="s">
        <v>16</v>
      </c>
      <c r="K678" t="s">
        <v>7338</v>
      </c>
      <c r="L678">
        <v>124</v>
      </c>
      <c r="M678" t="s">
        <v>7337</v>
      </c>
    </row>
    <row r="679" spans="1:13" x14ac:dyDescent="0.35">
      <c r="A679" t="s">
        <v>4233</v>
      </c>
      <c r="B679">
        <v>807958</v>
      </c>
      <c r="C679">
        <v>808878</v>
      </c>
      <c r="E679" t="s">
        <v>13</v>
      </c>
      <c r="F679" t="s">
        <v>73</v>
      </c>
      <c r="H679">
        <v>29241266</v>
      </c>
      <c r="I679" t="s">
        <v>16</v>
      </c>
      <c r="K679" t="s">
        <v>7336</v>
      </c>
      <c r="L679">
        <v>306</v>
      </c>
      <c r="M679" t="s">
        <v>7335</v>
      </c>
    </row>
    <row r="680" spans="1:13" x14ac:dyDescent="0.35">
      <c r="A680" t="s">
        <v>4233</v>
      </c>
      <c r="B680">
        <v>808885</v>
      </c>
      <c r="C680">
        <v>809598</v>
      </c>
      <c r="E680" t="s">
        <v>13</v>
      </c>
      <c r="F680" t="s">
        <v>7332</v>
      </c>
      <c r="H680">
        <v>29241267</v>
      </c>
      <c r="I680" t="s">
        <v>16</v>
      </c>
      <c r="K680" t="s">
        <v>7334</v>
      </c>
      <c r="L680">
        <v>237</v>
      </c>
      <c r="M680" t="s">
        <v>7333</v>
      </c>
    </row>
    <row r="681" spans="1:13" x14ac:dyDescent="0.35">
      <c r="A681" t="s">
        <v>4233</v>
      </c>
      <c r="B681">
        <v>809601</v>
      </c>
      <c r="C681">
        <v>810314</v>
      </c>
      <c r="E681" t="s">
        <v>13</v>
      </c>
      <c r="F681" t="s">
        <v>7332</v>
      </c>
      <c r="H681">
        <v>29241268</v>
      </c>
      <c r="I681" t="s">
        <v>16</v>
      </c>
      <c r="K681" t="s">
        <v>7331</v>
      </c>
      <c r="L681">
        <v>237</v>
      </c>
      <c r="M681" t="s">
        <v>7330</v>
      </c>
    </row>
    <row r="682" spans="1:13" x14ac:dyDescent="0.35">
      <c r="A682" t="s">
        <v>4233</v>
      </c>
      <c r="B682">
        <v>810452</v>
      </c>
      <c r="C682">
        <v>810826</v>
      </c>
      <c r="E682" t="s">
        <v>13</v>
      </c>
      <c r="F682" t="s">
        <v>7329</v>
      </c>
      <c r="H682">
        <v>29241269</v>
      </c>
      <c r="I682" t="s">
        <v>16</v>
      </c>
      <c r="K682" t="s">
        <v>7328</v>
      </c>
      <c r="L682">
        <v>124</v>
      </c>
      <c r="M682" t="s">
        <v>7327</v>
      </c>
    </row>
    <row r="683" spans="1:13" x14ac:dyDescent="0.35">
      <c r="A683" t="s">
        <v>4233</v>
      </c>
      <c r="B683">
        <v>811442</v>
      </c>
      <c r="C683">
        <v>812932</v>
      </c>
      <c r="E683" t="s">
        <v>36</v>
      </c>
      <c r="F683" t="s">
        <v>892</v>
      </c>
      <c r="G683" t="s">
        <v>893</v>
      </c>
      <c r="H683">
        <v>29241270</v>
      </c>
      <c r="I683" t="s">
        <v>16</v>
      </c>
      <c r="K683" t="s">
        <v>7326</v>
      </c>
      <c r="L683">
        <v>496</v>
      </c>
      <c r="M683" t="s">
        <v>7325</v>
      </c>
    </row>
    <row r="684" spans="1:13" x14ac:dyDescent="0.35">
      <c r="A684" t="s">
        <v>4233</v>
      </c>
      <c r="B684">
        <v>813320</v>
      </c>
      <c r="C684">
        <v>814615</v>
      </c>
      <c r="E684" t="s">
        <v>13</v>
      </c>
      <c r="F684" t="s">
        <v>7324</v>
      </c>
      <c r="H684">
        <v>29241271</v>
      </c>
      <c r="I684" t="s">
        <v>16</v>
      </c>
      <c r="K684" t="s">
        <v>7323</v>
      </c>
      <c r="L684">
        <v>431</v>
      </c>
      <c r="M684" t="s">
        <v>7322</v>
      </c>
    </row>
    <row r="685" spans="1:13" x14ac:dyDescent="0.35">
      <c r="A685" t="s">
        <v>4233</v>
      </c>
      <c r="B685">
        <v>814612</v>
      </c>
      <c r="C685">
        <v>815175</v>
      </c>
      <c r="E685" t="s">
        <v>13</v>
      </c>
      <c r="F685" t="s">
        <v>40</v>
      </c>
      <c r="H685">
        <v>29241272</v>
      </c>
      <c r="I685" t="s">
        <v>16</v>
      </c>
      <c r="K685" t="s">
        <v>7321</v>
      </c>
      <c r="L685">
        <v>187</v>
      </c>
      <c r="M685" t="s">
        <v>7320</v>
      </c>
    </row>
    <row r="686" spans="1:13" x14ac:dyDescent="0.35">
      <c r="A686" t="s">
        <v>4233</v>
      </c>
      <c r="B686">
        <v>815172</v>
      </c>
      <c r="C686">
        <v>815900</v>
      </c>
      <c r="E686" t="s">
        <v>13</v>
      </c>
      <c r="F686" t="s">
        <v>1101</v>
      </c>
      <c r="G686" t="s">
        <v>7319</v>
      </c>
      <c r="H686">
        <v>29241273</v>
      </c>
      <c r="I686" t="s">
        <v>16</v>
      </c>
      <c r="K686" t="s">
        <v>7318</v>
      </c>
      <c r="L686">
        <v>242</v>
      </c>
      <c r="M686" t="s">
        <v>7317</v>
      </c>
    </row>
    <row r="687" spans="1:13" x14ac:dyDescent="0.35">
      <c r="A687" t="s">
        <v>4233</v>
      </c>
      <c r="B687">
        <v>815921</v>
      </c>
      <c r="C687">
        <v>817206</v>
      </c>
      <c r="E687" t="s">
        <v>36</v>
      </c>
      <c r="F687" t="s">
        <v>45</v>
      </c>
      <c r="H687">
        <v>31600455</v>
      </c>
      <c r="I687" t="s">
        <v>46</v>
      </c>
      <c r="M687" t="s">
        <v>7316</v>
      </c>
    </row>
    <row r="688" spans="1:13" x14ac:dyDescent="0.35">
      <c r="A688" t="s">
        <v>4233</v>
      </c>
      <c r="B688">
        <v>817368</v>
      </c>
      <c r="C688">
        <v>820625</v>
      </c>
      <c r="E688" t="s">
        <v>13</v>
      </c>
      <c r="F688" t="s">
        <v>7315</v>
      </c>
      <c r="H688">
        <v>29241274</v>
      </c>
      <c r="I688" t="s">
        <v>16</v>
      </c>
      <c r="K688" t="s">
        <v>7314</v>
      </c>
      <c r="L688">
        <v>1085</v>
      </c>
      <c r="M688" t="s">
        <v>7313</v>
      </c>
    </row>
    <row r="689" spans="1:13" x14ac:dyDescent="0.35">
      <c r="A689" t="s">
        <v>4233</v>
      </c>
      <c r="B689">
        <v>820771</v>
      </c>
      <c r="C689">
        <v>821268</v>
      </c>
      <c r="E689" t="s">
        <v>13</v>
      </c>
      <c r="F689" t="s">
        <v>177</v>
      </c>
      <c r="H689">
        <v>29241275</v>
      </c>
      <c r="I689" t="s">
        <v>16</v>
      </c>
      <c r="K689" t="s">
        <v>7312</v>
      </c>
      <c r="L689">
        <v>165</v>
      </c>
      <c r="M689" t="s">
        <v>7311</v>
      </c>
    </row>
    <row r="690" spans="1:13" x14ac:dyDescent="0.35">
      <c r="A690" t="s">
        <v>4233</v>
      </c>
      <c r="B690">
        <v>821317</v>
      </c>
      <c r="C690">
        <v>821916</v>
      </c>
      <c r="E690" t="s">
        <v>13</v>
      </c>
      <c r="F690" t="s">
        <v>198</v>
      </c>
      <c r="G690" t="s">
        <v>199</v>
      </c>
      <c r="H690">
        <v>29241276</v>
      </c>
      <c r="I690" t="s">
        <v>16</v>
      </c>
      <c r="K690" t="s">
        <v>7310</v>
      </c>
      <c r="L690">
        <v>199</v>
      </c>
      <c r="M690" t="s">
        <v>7309</v>
      </c>
    </row>
    <row r="691" spans="1:13" x14ac:dyDescent="0.35">
      <c r="A691" t="s">
        <v>4233</v>
      </c>
      <c r="B691">
        <v>821906</v>
      </c>
      <c r="C691">
        <v>825496</v>
      </c>
      <c r="E691" t="s">
        <v>13</v>
      </c>
      <c r="F691" t="s">
        <v>202</v>
      </c>
      <c r="G691" t="s">
        <v>203</v>
      </c>
      <c r="H691">
        <v>29241277</v>
      </c>
      <c r="I691" t="s">
        <v>16</v>
      </c>
      <c r="K691" t="s">
        <v>7308</v>
      </c>
      <c r="L691">
        <v>1196</v>
      </c>
      <c r="M691" t="s">
        <v>7307</v>
      </c>
    </row>
    <row r="692" spans="1:13" x14ac:dyDescent="0.35">
      <c r="A692" t="s">
        <v>4233</v>
      </c>
      <c r="B692">
        <v>825493</v>
      </c>
      <c r="C692">
        <v>826404</v>
      </c>
      <c r="E692" t="s">
        <v>13</v>
      </c>
      <c r="F692" t="s">
        <v>483</v>
      </c>
      <c r="H692">
        <v>29241278</v>
      </c>
      <c r="I692" t="s">
        <v>16</v>
      </c>
      <c r="K692" t="s">
        <v>7306</v>
      </c>
      <c r="L692">
        <v>303</v>
      </c>
      <c r="M692" t="s">
        <v>7305</v>
      </c>
    </row>
    <row r="693" spans="1:13" x14ac:dyDescent="0.35">
      <c r="A693" t="s">
        <v>4233</v>
      </c>
      <c r="B693">
        <v>826555</v>
      </c>
      <c r="C693">
        <v>827853</v>
      </c>
      <c r="E693" t="s">
        <v>13</v>
      </c>
      <c r="F693" t="s">
        <v>738</v>
      </c>
      <c r="G693" t="s">
        <v>739</v>
      </c>
      <c r="H693">
        <v>29241279</v>
      </c>
      <c r="I693" t="s">
        <v>16</v>
      </c>
      <c r="K693" t="s">
        <v>7304</v>
      </c>
      <c r="L693">
        <v>432</v>
      </c>
      <c r="M693" t="s">
        <v>7303</v>
      </c>
    </row>
    <row r="694" spans="1:13" x14ac:dyDescent="0.35">
      <c r="A694" t="s">
        <v>4233</v>
      </c>
      <c r="B694">
        <v>827944</v>
      </c>
      <c r="C694">
        <v>828528</v>
      </c>
      <c r="E694" t="s">
        <v>13</v>
      </c>
      <c r="F694" t="s">
        <v>204</v>
      </c>
      <c r="H694">
        <v>29241280</v>
      </c>
      <c r="I694" t="s">
        <v>16</v>
      </c>
      <c r="K694" t="s">
        <v>7302</v>
      </c>
      <c r="L694">
        <v>194</v>
      </c>
      <c r="M694" t="s">
        <v>7301</v>
      </c>
    </row>
    <row r="695" spans="1:13" x14ac:dyDescent="0.35">
      <c r="A695" t="s">
        <v>4233</v>
      </c>
      <c r="B695">
        <v>828525</v>
      </c>
      <c r="C695">
        <v>829091</v>
      </c>
      <c r="E695" t="s">
        <v>13</v>
      </c>
      <c r="F695" t="s">
        <v>7300</v>
      </c>
      <c r="H695">
        <v>29241281</v>
      </c>
      <c r="I695" t="s">
        <v>16</v>
      </c>
      <c r="K695" t="s">
        <v>7299</v>
      </c>
      <c r="L695">
        <v>188</v>
      </c>
      <c r="M695" t="s">
        <v>7298</v>
      </c>
    </row>
    <row r="696" spans="1:13" x14ac:dyDescent="0.35">
      <c r="A696" t="s">
        <v>4233</v>
      </c>
      <c r="B696">
        <v>829150</v>
      </c>
      <c r="C696">
        <v>830151</v>
      </c>
      <c r="E696" t="s">
        <v>13</v>
      </c>
      <c r="F696" t="s">
        <v>5301</v>
      </c>
      <c r="H696">
        <v>29241282</v>
      </c>
      <c r="I696" t="s">
        <v>16</v>
      </c>
      <c r="K696" t="s">
        <v>7297</v>
      </c>
      <c r="L696">
        <v>333</v>
      </c>
      <c r="M696" t="s">
        <v>7296</v>
      </c>
    </row>
    <row r="697" spans="1:13" x14ac:dyDescent="0.35">
      <c r="A697" t="s">
        <v>4233</v>
      </c>
      <c r="B697">
        <v>830185</v>
      </c>
      <c r="C697">
        <v>830264</v>
      </c>
      <c r="E697" t="s">
        <v>13</v>
      </c>
      <c r="F697" t="s">
        <v>416</v>
      </c>
      <c r="H697">
        <v>29241283</v>
      </c>
      <c r="I697" t="s">
        <v>39</v>
      </c>
      <c r="M697" t="s">
        <v>7295</v>
      </c>
    </row>
    <row r="698" spans="1:13" x14ac:dyDescent="0.35">
      <c r="A698" t="s">
        <v>4233</v>
      </c>
      <c r="B698">
        <v>830391</v>
      </c>
      <c r="C698">
        <v>830960</v>
      </c>
      <c r="E698" t="s">
        <v>13</v>
      </c>
      <c r="F698" t="s">
        <v>40</v>
      </c>
      <c r="H698">
        <v>29241284</v>
      </c>
      <c r="I698" t="s">
        <v>16</v>
      </c>
      <c r="K698" t="s">
        <v>7294</v>
      </c>
      <c r="L698">
        <v>189</v>
      </c>
      <c r="M698" t="s">
        <v>7293</v>
      </c>
    </row>
    <row r="699" spans="1:13" x14ac:dyDescent="0.35">
      <c r="A699" t="s">
        <v>4233</v>
      </c>
      <c r="B699">
        <v>831092</v>
      </c>
      <c r="C699">
        <v>832549</v>
      </c>
      <c r="E699" t="s">
        <v>13</v>
      </c>
      <c r="F699" t="s">
        <v>1044</v>
      </c>
      <c r="H699">
        <v>29241285</v>
      </c>
      <c r="I699" t="s">
        <v>16</v>
      </c>
      <c r="K699" t="s">
        <v>7292</v>
      </c>
      <c r="L699">
        <v>485</v>
      </c>
      <c r="M699" t="s">
        <v>7291</v>
      </c>
    </row>
    <row r="700" spans="1:13" x14ac:dyDescent="0.35">
      <c r="A700" t="s">
        <v>4233</v>
      </c>
      <c r="B700">
        <v>832610</v>
      </c>
      <c r="C700">
        <v>833017</v>
      </c>
      <c r="E700" t="s">
        <v>13</v>
      </c>
      <c r="F700" t="s">
        <v>7290</v>
      </c>
      <c r="H700">
        <v>29241286</v>
      </c>
      <c r="I700" t="s">
        <v>16</v>
      </c>
      <c r="K700" t="s">
        <v>7289</v>
      </c>
      <c r="L700">
        <v>135</v>
      </c>
      <c r="M700" t="s">
        <v>7288</v>
      </c>
    </row>
    <row r="701" spans="1:13" x14ac:dyDescent="0.35">
      <c r="A701" t="s">
        <v>4233</v>
      </c>
      <c r="B701">
        <v>833115</v>
      </c>
      <c r="C701">
        <v>833594</v>
      </c>
      <c r="E701" t="s">
        <v>13</v>
      </c>
      <c r="F701" t="s">
        <v>135</v>
      </c>
      <c r="H701">
        <v>29241287</v>
      </c>
      <c r="I701" t="s">
        <v>16</v>
      </c>
      <c r="K701" t="s">
        <v>7287</v>
      </c>
      <c r="L701">
        <v>159</v>
      </c>
      <c r="M701" t="s">
        <v>7286</v>
      </c>
    </row>
    <row r="702" spans="1:13" x14ac:dyDescent="0.35">
      <c r="A702" t="s">
        <v>4233</v>
      </c>
      <c r="B702">
        <v>833679</v>
      </c>
      <c r="C702">
        <v>834599</v>
      </c>
      <c r="E702" t="s">
        <v>36</v>
      </c>
      <c r="F702" t="s">
        <v>810</v>
      </c>
      <c r="H702">
        <v>29241288</v>
      </c>
      <c r="I702" t="s">
        <v>16</v>
      </c>
      <c r="K702" t="s">
        <v>7285</v>
      </c>
      <c r="L702">
        <v>306</v>
      </c>
      <c r="M702" t="s">
        <v>7284</v>
      </c>
    </row>
    <row r="703" spans="1:13" x14ac:dyDescent="0.35">
      <c r="A703" t="s">
        <v>4233</v>
      </c>
      <c r="B703">
        <v>834786</v>
      </c>
      <c r="C703">
        <v>836273</v>
      </c>
      <c r="E703" t="s">
        <v>13</v>
      </c>
      <c r="F703" t="s">
        <v>6342</v>
      </c>
      <c r="H703">
        <v>29241289</v>
      </c>
      <c r="I703" t="s">
        <v>16</v>
      </c>
      <c r="K703" t="s">
        <v>7283</v>
      </c>
      <c r="L703">
        <v>495</v>
      </c>
      <c r="M703" t="s">
        <v>7282</v>
      </c>
    </row>
    <row r="704" spans="1:13" x14ac:dyDescent="0.35">
      <c r="A704" t="s">
        <v>4233</v>
      </c>
      <c r="B704">
        <v>836332</v>
      </c>
      <c r="C704">
        <v>836610</v>
      </c>
      <c r="E704" t="s">
        <v>36</v>
      </c>
      <c r="F704" t="s">
        <v>6154</v>
      </c>
      <c r="H704">
        <v>29241290</v>
      </c>
      <c r="I704" t="s">
        <v>16</v>
      </c>
      <c r="K704" t="s">
        <v>7281</v>
      </c>
      <c r="L704">
        <v>92</v>
      </c>
      <c r="M704" t="s">
        <v>7280</v>
      </c>
    </row>
    <row r="705" spans="1:13" x14ac:dyDescent="0.35">
      <c r="A705" t="s">
        <v>4233</v>
      </c>
      <c r="B705">
        <v>836725</v>
      </c>
      <c r="C705">
        <v>838443</v>
      </c>
      <c r="E705" t="s">
        <v>36</v>
      </c>
      <c r="F705" t="s">
        <v>7279</v>
      </c>
      <c r="H705">
        <v>29241291</v>
      </c>
      <c r="I705" t="s">
        <v>16</v>
      </c>
      <c r="K705" t="s">
        <v>7278</v>
      </c>
      <c r="L705">
        <v>572</v>
      </c>
      <c r="M705" t="s">
        <v>7277</v>
      </c>
    </row>
    <row r="706" spans="1:13" x14ac:dyDescent="0.35">
      <c r="A706" t="s">
        <v>4233</v>
      </c>
      <c r="B706">
        <v>838647</v>
      </c>
      <c r="C706">
        <v>839747</v>
      </c>
      <c r="E706" t="s">
        <v>36</v>
      </c>
      <c r="F706" t="s">
        <v>123</v>
      </c>
      <c r="H706">
        <v>29241292</v>
      </c>
      <c r="I706" t="s">
        <v>16</v>
      </c>
      <c r="K706" t="s">
        <v>7276</v>
      </c>
      <c r="L706">
        <v>366</v>
      </c>
      <c r="M706" t="s">
        <v>7275</v>
      </c>
    </row>
    <row r="707" spans="1:13" x14ac:dyDescent="0.35">
      <c r="A707" t="s">
        <v>4233</v>
      </c>
      <c r="B707">
        <v>839677</v>
      </c>
      <c r="C707">
        <v>840012</v>
      </c>
      <c r="E707" t="s">
        <v>13</v>
      </c>
      <c r="F707" t="s">
        <v>40</v>
      </c>
      <c r="H707">
        <v>93018728</v>
      </c>
      <c r="I707" t="s">
        <v>16</v>
      </c>
      <c r="K707" t="s">
        <v>7274</v>
      </c>
      <c r="L707">
        <v>111</v>
      </c>
      <c r="M707" t="s">
        <v>7273</v>
      </c>
    </row>
    <row r="708" spans="1:13" x14ac:dyDescent="0.35">
      <c r="A708" t="s">
        <v>4233</v>
      </c>
      <c r="B708">
        <v>840242</v>
      </c>
      <c r="C708">
        <v>840541</v>
      </c>
      <c r="E708" t="s">
        <v>13</v>
      </c>
      <c r="F708" t="s">
        <v>6154</v>
      </c>
      <c r="H708">
        <v>29241294</v>
      </c>
      <c r="I708" t="s">
        <v>16</v>
      </c>
      <c r="K708" t="s">
        <v>7272</v>
      </c>
      <c r="L708">
        <v>99</v>
      </c>
      <c r="M708" t="s">
        <v>7271</v>
      </c>
    </row>
    <row r="709" spans="1:13" x14ac:dyDescent="0.35">
      <c r="A709" t="s">
        <v>4233</v>
      </c>
      <c r="B709">
        <v>840587</v>
      </c>
      <c r="C709">
        <v>843679</v>
      </c>
      <c r="E709" t="s">
        <v>13</v>
      </c>
      <c r="F709" t="s">
        <v>945</v>
      </c>
      <c r="H709">
        <v>29241295</v>
      </c>
      <c r="I709" t="s">
        <v>16</v>
      </c>
      <c r="K709" t="s">
        <v>7270</v>
      </c>
      <c r="L709">
        <v>1030</v>
      </c>
      <c r="M709" t="s">
        <v>7269</v>
      </c>
    </row>
    <row r="710" spans="1:13" x14ac:dyDescent="0.35">
      <c r="A710" t="s">
        <v>4233</v>
      </c>
      <c r="B710">
        <v>843676</v>
      </c>
      <c r="C710">
        <v>845217</v>
      </c>
      <c r="E710" t="s">
        <v>13</v>
      </c>
      <c r="F710" t="s">
        <v>7268</v>
      </c>
      <c r="H710">
        <v>29241296</v>
      </c>
      <c r="I710" t="s">
        <v>16</v>
      </c>
      <c r="K710" t="s">
        <v>7267</v>
      </c>
      <c r="L710">
        <v>513</v>
      </c>
      <c r="M710" t="s">
        <v>7266</v>
      </c>
    </row>
    <row r="711" spans="1:13" x14ac:dyDescent="0.35">
      <c r="A711" t="s">
        <v>4233</v>
      </c>
      <c r="B711">
        <v>845239</v>
      </c>
      <c r="C711">
        <v>845601</v>
      </c>
      <c r="E711" t="s">
        <v>36</v>
      </c>
      <c r="F711" t="s">
        <v>7265</v>
      </c>
      <c r="H711">
        <v>29241297</v>
      </c>
      <c r="I711" t="s">
        <v>16</v>
      </c>
      <c r="K711" t="s">
        <v>7264</v>
      </c>
      <c r="L711">
        <v>120</v>
      </c>
      <c r="M711" t="s">
        <v>7263</v>
      </c>
    </row>
    <row r="712" spans="1:13" x14ac:dyDescent="0.35">
      <c r="A712" t="s">
        <v>4233</v>
      </c>
      <c r="B712">
        <v>845753</v>
      </c>
      <c r="C712">
        <v>846556</v>
      </c>
      <c r="E712" t="s">
        <v>13</v>
      </c>
      <c r="F712" t="s">
        <v>7262</v>
      </c>
      <c r="H712">
        <v>29241298</v>
      </c>
      <c r="I712" t="s">
        <v>16</v>
      </c>
      <c r="K712" t="s">
        <v>7261</v>
      </c>
      <c r="L712">
        <v>267</v>
      </c>
      <c r="M712" t="s">
        <v>7260</v>
      </c>
    </row>
    <row r="713" spans="1:13" x14ac:dyDescent="0.35">
      <c r="A713" t="s">
        <v>4233</v>
      </c>
      <c r="B713">
        <v>846628</v>
      </c>
      <c r="C713">
        <v>847302</v>
      </c>
      <c r="E713" t="s">
        <v>13</v>
      </c>
      <c r="F713" t="s">
        <v>542</v>
      </c>
      <c r="H713">
        <v>29241299</v>
      </c>
      <c r="I713" t="s">
        <v>16</v>
      </c>
      <c r="K713" t="s">
        <v>7259</v>
      </c>
      <c r="L713">
        <v>224</v>
      </c>
      <c r="M713" t="s">
        <v>7258</v>
      </c>
    </row>
    <row r="714" spans="1:13" x14ac:dyDescent="0.35">
      <c r="A714" t="s">
        <v>4233</v>
      </c>
      <c r="B714">
        <v>847360</v>
      </c>
      <c r="C714">
        <v>848433</v>
      </c>
      <c r="E714" t="s">
        <v>36</v>
      </c>
      <c r="F714" t="s">
        <v>75</v>
      </c>
      <c r="H714">
        <v>29241300</v>
      </c>
      <c r="I714" t="s">
        <v>16</v>
      </c>
      <c r="K714" t="s">
        <v>7257</v>
      </c>
      <c r="L714">
        <v>357</v>
      </c>
      <c r="M714" t="s">
        <v>7256</v>
      </c>
    </row>
    <row r="715" spans="1:13" x14ac:dyDescent="0.35">
      <c r="A715" t="s">
        <v>4233</v>
      </c>
      <c r="B715">
        <v>848433</v>
      </c>
      <c r="C715">
        <v>849155</v>
      </c>
      <c r="E715" t="s">
        <v>36</v>
      </c>
      <c r="F715" t="s">
        <v>608</v>
      </c>
      <c r="H715">
        <v>29241301</v>
      </c>
      <c r="I715" t="s">
        <v>16</v>
      </c>
      <c r="K715" t="s">
        <v>7255</v>
      </c>
      <c r="L715">
        <v>240</v>
      </c>
      <c r="M715" t="s">
        <v>7254</v>
      </c>
    </row>
    <row r="716" spans="1:13" x14ac:dyDescent="0.35">
      <c r="A716" t="s">
        <v>4233</v>
      </c>
      <c r="B716">
        <v>849186</v>
      </c>
      <c r="C716">
        <v>851438</v>
      </c>
      <c r="E716" t="s">
        <v>36</v>
      </c>
      <c r="F716" t="s">
        <v>7253</v>
      </c>
      <c r="G716" t="s">
        <v>7252</v>
      </c>
      <c r="H716">
        <v>29241302</v>
      </c>
      <c r="I716" t="s">
        <v>16</v>
      </c>
      <c r="K716" t="s">
        <v>7251</v>
      </c>
      <c r="L716">
        <v>750</v>
      </c>
      <c r="M716" t="s">
        <v>7250</v>
      </c>
    </row>
    <row r="717" spans="1:13" x14ac:dyDescent="0.35">
      <c r="A717" t="s">
        <v>4233</v>
      </c>
      <c r="B717">
        <v>851616</v>
      </c>
      <c r="C717">
        <v>852209</v>
      </c>
      <c r="E717" t="s">
        <v>13</v>
      </c>
      <c r="F717" t="s">
        <v>7249</v>
      </c>
      <c r="H717">
        <v>29241303</v>
      </c>
      <c r="I717" t="s">
        <v>16</v>
      </c>
      <c r="K717" t="s">
        <v>7248</v>
      </c>
      <c r="L717">
        <v>197</v>
      </c>
      <c r="M717" t="s">
        <v>7247</v>
      </c>
    </row>
    <row r="718" spans="1:13" x14ac:dyDescent="0.35">
      <c r="A718" t="s">
        <v>4233</v>
      </c>
      <c r="B718">
        <v>852206</v>
      </c>
      <c r="C718">
        <v>852721</v>
      </c>
      <c r="E718" t="s">
        <v>13</v>
      </c>
      <c r="F718" t="s">
        <v>7246</v>
      </c>
      <c r="G718" t="s">
        <v>7245</v>
      </c>
      <c r="H718">
        <v>29241304</v>
      </c>
      <c r="I718" t="s">
        <v>16</v>
      </c>
      <c r="K718" t="s">
        <v>7244</v>
      </c>
      <c r="L718">
        <v>171</v>
      </c>
      <c r="M718" t="s">
        <v>7243</v>
      </c>
    </row>
    <row r="719" spans="1:13" x14ac:dyDescent="0.35">
      <c r="A719" t="s">
        <v>4233</v>
      </c>
      <c r="B719">
        <v>852794</v>
      </c>
      <c r="C719">
        <v>853627</v>
      </c>
      <c r="E719" t="s">
        <v>36</v>
      </c>
      <c r="F719" t="s">
        <v>1215</v>
      </c>
      <c r="H719">
        <v>29241305</v>
      </c>
      <c r="I719" t="s">
        <v>16</v>
      </c>
      <c r="K719" t="s">
        <v>7242</v>
      </c>
      <c r="L719">
        <v>277</v>
      </c>
      <c r="M719" t="s">
        <v>7241</v>
      </c>
    </row>
    <row r="720" spans="1:13" x14ac:dyDescent="0.35">
      <c r="A720" t="s">
        <v>4233</v>
      </c>
      <c r="B720">
        <v>853718</v>
      </c>
      <c r="C720">
        <v>854590</v>
      </c>
      <c r="E720" t="s">
        <v>36</v>
      </c>
      <c r="F720" t="s">
        <v>73</v>
      </c>
      <c r="H720">
        <v>29241306</v>
      </c>
      <c r="I720" t="s">
        <v>16</v>
      </c>
      <c r="K720" t="s">
        <v>7240</v>
      </c>
      <c r="L720">
        <v>290</v>
      </c>
      <c r="M720" t="s">
        <v>7239</v>
      </c>
    </row>
    <row r="721" spans="1:13" x14ac:dyDescent="0.35">
      <c r="A721" t="s">
        <v>4233</v>
      </c>
      <c r="B721">
        <v>854748</v>
      </c>
      <c r="C721">
        <v>855920</v>
      </c>
      <c r="E721" t="s">
        <v>36</v>
      </c>
      <c r="F721" t="s">
        <v>7238</v>
      </c>
      <c r="H721">
        <v>29241307</v>
      </c>
      <c r="I721" t="s">
        <v>16</v>
      </c>
      <c r="K721" t="s">
        <v>7237</v>
      </c>
      <c r="L721">
        <v>390</v>
      </c>
      <c r="M721" t="s">
        <v>7236</v>
      </c>
    </row>
    <row r="722" spans="1:13" x14ac:dyDescent="0.35">
      <c r="A722" t="s">
        <v>4233</v>
      </c>
      <c r="B722">
        <v>856025</v>
      </c>
      <c r="C722">
        <v>856903</v>
      </c>
      <c r="E722" t="s">
        <v>13</v>
      </c>
      <c r="F722" t="s">
        <v>998</v>
      </c>
      <c r="H722">
        <v>29241308</v>
      </c>
      <c r="I722" t="s">
        <v>16</v>
      </c>
      <c r="K722" t="s">
        <v>7235</v>
      </c>
      <c r="L722">
        <v>292</v>
      </c>
      <c r="M722" t="s">
        <v>7234</v>
      </c>
    </row>
    <row r="723" spans="1:13" x14ac:dyDescent="0.35">
      <c r="A723" t="s">
        <v>4233</v>
      </c>
      <c r="B723">
        <v>857153</v>
      </c>
      <c r="C723">
        <v>858628</v>
      </c>
      <c r="E723" t="s">
        <v>13</v>
      </c>
      <c r="F723" t="s">
        <v>803</v>
      </c>
      <c r="G723" t="s">
        <v>804</v>
      </c>
      <c r="H723">
        <v>29241309</v>
      </c>
      <c r="I723" t="s">
        <v>16</v>
      </c>
      <c r="K723" t="s">
        <v>7233</v>
      </c>
      <c r="L723">
        <v>491</v>
      </c>
      <c r="M723" t="s">
        <v>7232</v>
      </c>
    </row>
    <row r="724" spans="1:13" x14ac:dyDescent="0.35">
      <c r="A724" t="s">
        <v>4233</v>
      </c>
      <c r="B724">
        <v>858776</v>
      </c>
      <c r="C724">
        <v>859402</v>
      </c>
      <c r="E724" t="s">
        <v>13</v>
      </c>
      <c r="F724" t="s">
        <v>1118</v>
      </c>
      <c r="G724" t="s">
        <v>1119</v>
      </c>
      <c r="H724">
        <v>29241310</v>
      </c>
      <c r="I724" t="s">
        <v>16</v>
      </c>
      <c r="K724" t="s">
        <v>7231</v>
      </c>
      <c r="L724">
        <v>208</v>
      </c>
      <c r="M724" t="s">
        <v>7230</v>
      </c>
    </row>
    <row r="725" spans="1:13" x14ac:dyDescent="0.35">
      <c r="A725" t="s">
        <v>4233</v>
      </c>
      <c r="B725">
        <v>859568</v>
      </c>
      <c r="C725">
        <v>861679</v>
      </c>
      <c r="E725" t="s">
        <v>13</v>
      </c>
      <c r="F725" t="s">
        <v>563</v>
      </c>
      <c r="G725" t="s">
        <v>564</v>
      </c>
      <c r="H725">
        <v>29241311</v>
      </c>
      <c r="I725" t="s">
        <v>16</v>
      </c>
      <c r="K725" t="s">
        <v>7229</v>
      </c>
      <c r="L725">
        <v>703</v>
      </c>
      <c r="M725" t="s">
        <v>7228</v>
      </c>
    </row>
    <row r="726" spans="1:13" x14ac:dyDescent="0.35">
      <c r="A726" t="s">
        <v>4233</v>
      </c>
      <c r="B726">
        <v>861713</v>
      </c>
      <c r="C726">
        <v>862699</v>
      </c>
      <c r="E726" t="s">
        <v>13</v>
      </c>
      <c r="F726" t="s">
        <v>92</v>
      </c>
      <c r="H726">
        <v>29241312</v>
      </c>
      <c r="I726" t="s">
        <v>16</v>
      </c>
      <c r="K726" t="s">
        <v>7227</v>
      </c>
      <c r="L726">
        <v>328</v>
      </c>
      <c r="M726" t="s">
        <v>7226</v>
      </c>
    </row>
    <row r="727" spans="1:13" x14ac:dyDescent="0.35">
      <c r="A727" t="s">
        <v>4233</v>
      </c>
      <c r="B727">
        <v>862869</v>
      </c>
      <c r="C727">
        <v>864311</v>
      </c>
      <c r="E727" t="s">
        <v>13</v>
      </c>
      <c r="F727" t="s">
        <v>793</v>
      </c>
      <c r="G727" t="s">
        <v>794</v>
      </c>
      <c r="H727">
        <v>29241313</v>
      </c>
      <c r="I727" t="s">
        <v>16</v>
      </c>
      <c r="K727" t="s">
        <v>7225</v>
      </c>
      <c r="L727">
        <v>480</v>
      </c>
      <c r="M727" t="s">
        <v>7224</v>
      </c>
    </row>
    <row r="728" spans="1:13" x14ac:dyDescent="0.35">
      <c r="A728" t="s">
        <v>4233</v>
      </c>
      <c r="B728">
        <v>864435</v>
      </c>
      <c r="C728">
        <v>865034</v>
      </c>
      <c r="E728" t="s">
        <v>36</v>
      </c>
      <c r="F728" t="s">
        <v>679</v>
      </c>
      <c r="H728">
        <v>29241314</v>
      </c>
      <c r="I728" t="s">
        <v>16</v>
      </c>
      <c r="K728" t="s">
        <v>7223</v>
      </c>
      <c r="L728">
        <v>199</v>
      </c>
      <c r="M728" t="s">
        <v>7222</v>
      </c>
    </row>
    <row r="729" spans="1:13" x14ac:dyDescent="0.35">
      <c r="A729" t="s">
        <v>4233</v>
      </c>
      <c r="B729">
        <v>865207</v>
      </c>
      <c r="C729">
        <v>865280</v>
      </c>
      <c r="E729" t="s">
        <v>13</v>
      </c>
      <c r="F729" t="s">
        <v>416</v>
      </c>
      <c r="H729">
        <v>29241315</v>
      </c>
      <c r="I729" t="s">
        <v>39</v>
      </c>
      <c r="M729" t="s">
        <v>7221</v>
      </c>
    </row>
    <row r="730" spans="1:13" x14ac:dyDescent="0.35">
      <c r="A730" t="s">
        <v>4233</v>
      </c>
      <c r="B730">
        <v>865369</v>
      </c>
      <c r="C730">
        <v>866157</v>
      </c>
      <c r="E730" t="s">
        <v>13</v>
      </c>
      <c r="F730" t="s">
        <v>7220</v>
      </c>
      <c r="H730">
        <v>29241316</v>
      </c>
      <c r="I730" t="s">
        <v>16</v>
      </c>
      <c r="K730" t="s">
        <v>7219</v>
      </c>
      <c r="L730">
        <v>262</v>
      </c>
      <c r="M730" t="s">
        <v>7218</v>
      </c>
    </row>
    <row r="731" spans="1:13" x14ac:dyDescent="0.35">
      <c r="A731" t="s">
        <v>4233</v>
      </c>
      <c r="B731">
        <v>866196</v>
      </c>
      <c r="C731">
        <v>869051</v>
      </c>
      <c r="E731" t="s">
        <v>13</v>
      </c>
      <c r="F731" t="s">
        <v>1122</v>
      </c>
      <c r="G731" t="s">
        <v>1123</v>
      </c>
      <c r="H731">
        <v>29241317</v>
      </c>
      <c r="I731" t="s">
        <v>16</v>
      </c>
      <c r="K731" t="s">
        <v>7217</v>
      </c>
      <c r="L731">
        <v>951</v>
      </c>
      <c r="M731" t="s">
        <v>7216</v>
      </c>
    </row>
    <row r="732" spans="1:13" x14ac:dyDescent="0.35">
      <c r="A732" t="s">
        <v>4233</v>
      </c>
      <c r="B732">
        <v>869189</v>
      </c>
      <c r="C732">
        <v>870109</v>
      </c>
      <c r="E732" t="s">
        <v>13</v>
      </c>
      <c r="F732" t="s">
        <v>871</v>
      </c>
      <c r="H732">
        <v>29241318</v>
      </c>
      <c r="I732" t="s">
        <v>16</v>
      </c>
      <c r="K732" t="s">
        <v>7215</v>
      </c>
      <c r="L732">
        <v>306</v>
      </c>
      <c r="M732" t="s">
        <v>7214</v>
      </c>
    </row>
    <row r="733" spans="1:13" x14ac:dyDescent="0.35">
      <c r="A733" t="s">
        <v>4233</v>
      </c>
      <c r="B733">
        <v>870152</v>
      </c>
      <c r="C733">
        <v>870826</v>
      </c>
      <c r="E733" t="s">
        <v>13</v>
      </c>
      <c r="F733" t="s">
        <v>679</v>
      </c>
      <c r="H733">
        <v>29241319</v>
      </c>
      <c r="I733" t="s">
        <v>16</v>
      </c>
      <c r="K733" t="s">
        <v>7213</v>
      </c>
      <c r="L733">
        <v>224</v>
      </c>
      <c r="M733" t="s">
        <v>7212</v>
      </c>
    </row>
    <row r="734" spans="1:13" x14ac:dyDescent="0.35">
      <c r="A734" t="s">
        <v>4233</v>
      </c>
      <c r="B734">
        <v>870900</v>
      </c>
      <c r="C734">
        <v>873011</v>
      </c>
      <c r="E734" t="s">
        <v>13</v>
      </c>
      <c r="F734" t="s">
        <v>4910</v>
      </c>
      <c r="G734" t="s">
        <v>4909</v>
      </c>
      <c r="H734">
        <v>29241320</v>
      </c>
      <c r="I734" t="s">
        <v>16</v>
      </c>
      <c r="K734" t="s">
        <v>7211</v>
      </c>
      <c r="L734">
        <v>703</v>
      </c>
      <c r="M734" t="s">
        <v>7210</v>
      </c>
    </row>
    <row r="735" spans="1:13" x14ac:dyDescent="0.35">
      <c r="A735" t="s">
        <v>4233</v>
      </c>
      <c r="B735">
        <v>873149</v>
      </c>
      <c r="C735">
        <v>873349</v>
      </c>
      <c r="E735" t="s">
        <v>13</v>
      </c>
      <c r="F735" t="s">
        <v>500</v>
      </c>
      <c r="H735">
        <v>29241321</v>
      </c>
      <c r="I735" t="s">
        <v>16</v>
      </c>
      <c r="K735" t="s">
        <v>7209</v>
      </c>
      <c r="L735">
        <v>66</v>
      </c>
      <c r="M735" t="s">
        <v>7208</v>
      </c>
    </row>
    <row r="736" spans="1:13" x14ac:dyDescent="0.35">
      <c r="A736" t="s">
        <v>4233</v>
      </c>
      <c r="B736">
        <v>873498</v>
      </c>
      <c r="C736">
        <v>873983</v>
      </c>
      <c r="E736" t="s">
        <v>13</v>
      </c>
      <c r="F736" t="s">
        <v>1188</v>
      </c>
      <c r="H736">
        <v>29241322</v>
      </c>
      <c r="I736" t="s">
        <v>16</v>
      </c>
      <c r="K736" t="s">
        <v>7207</v>
      </c>
      <c r="L736">
        <v>161</v>
      </c>
      <c r="M736" t="s">
        <v>7206</v>
      </c>
    </row>
    <row r="737" spans="1:13" x14ac:dyDescent="0.35">
      <c r="A737" t="s">
        <v>4233</v>
      </c>
      <c r="B737">
        <v>873987</v>
      </c>
      <c r="C737">
        <v>874637</v>
      </c>
      <c r="E737" t="s">
        <v>13</v>
      </c>
      <c r="F737" t="s">
        <v>1048</v>
      </c>
      <c r="H737">
        <v>29241323</v>
      </c>
      <c r="I737" t="s">
        <v>16</v>
      </c>
      <c r="K737" t="s">
        <v>7205</v>
      </c>
      <c r="L737">
        <v>216</v>
      </c>
      <c r="M737" t="s">
        <v>7204</v>
      </c>
    </row>
    <row r="738" spans="1:13" x14ac:dyDescent="0.35">
      <c r="A738" t="s">
        <v>4233</v>
      </c>
      <c r="B738">
        <v>874806</v>
      </c>
      <c r="C738">
        <v>875033</v>
      </c>
      <c r="E738" t="s">
        <v>36</v>
      </c>
      <c r="F738" t="s">
        <v>111</v>
      </c>
      <c r="H738">
        <v>29241324</v>
      </c>
      <c r="I738" t="s">
        <v>16</v>
      </c>
      <c r="K738" t="s">
        <v>7203</v>
      </c>
      <c r="L738">
        <v>75</v>
      </c>
      <c r="M738" t="s">
        <v>7202</v>
      </c>
    </row>
    <row r="739" spans="1:13" x14ac:dyDescent="0.35">
      <c r="A739" t="s">
        <v>4233</v>
      </c>
      <c r="B739">
        <v>875262</v>
      </c>
      <c r="C739">
        <v>875335</v>
      </c>
      <c r="E739" t="s">
        <v>36</v>
      </c>
      <c r="F739" t="s">
        <v>217</v>
      </c>
      <c r="H739">
        <v>29241325</v>
      </c>
      <c r="I739" t="s">
        <v>39</v>
      </c>
      <c r="M739" t="s">
        <v>7201</v>
      </c>
    </row>
    <row r="740" spans="1:13" x14ac:dyDescent="0.35">
      <c r="A740" t="s">
        <v>4233</v>
      </c>
      <c r="B740">
        <v>875652</v>
      </c>
      <c r="C740">
        <v>876326</v>
      </c>
      <c r="E740" t="s">
        <v>13</v>
      </c>
      <c r="F740" t="s">
        <v>7200</v>
      </c>
      <c r="H740">
        <v>29241326</v>
      </c>
      <c r="I740" t="s">
        <v>16</v>
      </c>
      <c r="K740" t="s">
        <v>7199</v>
      </c>
      <c r="L740">
        <v>224</v>
      </c>
      <c r="M740" t="s">
        <v>7198</v>
      </c>
    </row>
    <row r="741" spans="1:13" x14ac:dyDescent="0.35">
      <c r="A741" t="s">
        <v>4233</v>
      </c>
      <c r="B741">
        <v>876488</v>
      </c>
      <c r="C741">
        <v>877660</v>
      </c>
      <c r="E741" t="s">
        <v>13</v>
      </c>
      <c r="F741" t="s">
        <v>40</v>
      </c>
      <c r="H741">
        <v>29241327</v>
      </c>
      <c r="I741" t="s">
        <v>16</v>
      </c>
      <c r="K741" t="s">
        <v>7197</v>
      </c>
      <c r="L741">
        <v>390</v>
      </c>
      <c r="M741" t="s">
        <v>7196</v>
      </c>
    </row>
    <row r="742" spans="1:13" x14ac:dyDescent="0.35">
      <c r="A742" t="s">
        <v>4233</v>
      </c>
      <c r="B742">
        <v>877688</v>
      </c>
      <c r="C742">
        <v>879022</v>
      </c>
      <c r="E742" t="s">
        <v>13</v>
      </c>
      <c r="F742" t="s">
        <v>7195</v>
      </c>
      <c r="G742" t="s">
        <v>7194</v>
      </c>
      <c r="H742">
        <v>29241328</v>
      </c>
      <c r="I742" t="s">
        <v>16</v>
      </c>
      <c r="K742" t="s">
        <v>7193</v>
      </c>
      <c r="L742">
        <v>444</v>
      </c>
      <c r="M742" t="s">
        <v>7192</v>
      </c>
    </row>
    <row r="743" spans="1:13" x14ac:dyDescent="0.35">
      <c r="A743" t="s">
        <v>4233</v>
      </c>
      <c r="B743">
        <v>879250</v>
      </c>
      <c r="C743">
        <v>880479</v>
      </c>
      <c r="E743" t="s">
        <v>36</v>
      </c>
      <c r="F743" t="s">
        <v>7191</v>
      </c>
      <c r="H743">
        <v>29241329</v>
      </c>
      <c r="I743" t="s">
        <v>16</v>
      </c>
      <c r="K743" t="s">
        <v>7190</v>
      </c>
      <c r="L743">
        <v>409</v>
      </c>
      <c r="M743" t="s">
        <v>7189</v>
      </c>
    </row>
    <row r="744" spans="1:13" x14ac:dyDescent="0.35">
      <c r="A744" t="s">
        <v>4233</v>
      </c>
      <c r="B744">
        <v>880611</v>
      </c>
      <c r="C744">
        <v>882281</v>
      </c>
      <c r="E744" t="s">
        <v>36</v>
      </c>
      <c r="F744" t="s">
        <v>581</v>
      </c>
      <c r="G744" t="s">
        <v>582</v>
      </c>
      <c r="H744">
        <v>29241330</v>
      </c>
      <c r="I744" t="s">
        <v>16</v>
      </c>
      <c r="K744" t="s">
        <v>7188</v>
      </c>
      <c r="L744">
        <v>556</v>
      </c>
      <c r="M744" t="s">
        <v>7187</v>
      </c>
    </row>
    <row r="745" spans="1:13" x14ac:dyDescent="0.35">
      <c r="A745" t="s">
        <v>4233</v>
      </c>
      <c r="B745">
        <v>882529</v>
      </c>
      <c r="C745">
        <v>882599</v>
      </c>
      <c r="E745" t="s">
        <v>36</v>
      </c>
      <c r="F745" t="s">
        <v>427</v>
      </c>
      <c r="H745">
        <v>29241331</v>
      </c>
      <c r="I745" t="s">
        <v>39</v>
      </c>
      <c r="M745" t="s">
        <v>7186</v>
      </c>
    </row>
    <row r="746" spans="1:13" x14ac:dyDescent="0.35">
      <c r="A746" t="s">
        <v>4233</v>
      </c>
      <c r="B746">
        <v>882703</v>
      </c>
      <c r="C746">
        <v>883725</v>
      </c>
      <c r="E746" t="s">
        <v>36</v>
      </c>
      <c r="F746" t="s">
        <v>97</v>
      </c>
      <c r="H746">
        <v>29241332</v>
      </c>
      <c r="I746" t="s">
        <v>16</v>
      </c>
      <c r="K746" t="s">
        <v>7185</v>
      </c>
      <c r="L746">
        <v>340</v>
      </c>
      <c r="M746" t="s">
        <v>7184</v>
      </c>
    </row>
    <row r="747" spans="1:13" x14ac:dyDescent="0.35">
      <c r="A747" t="s">
        <v>4233</v>
      </c>
      <c r="B747">
        <v>883866</v>
      </c>
      <c r="C747">
        <v>885797</v>
      </c>
      <c r="E747" t="s">
        <v>36</v>
      </c>
      <c r="F747" t="s">
        <v>1227</v>
      </c>
      <c r="H747">
        <v>29241333</v>
      </c>
      <c r="I747" t="s">
        <v>16</v>
      </c>
      <c r="K747" t="s">
        <v>7183</v>
      </c>
      <c r="L747">
        <v>643</v>
      </c>
      <c r="M747" t="s">
        <v>7182</v>
      </c>
    </row>
    <row r="748" spans="1:13" x14ac:dyDescent="0.35">
      <c r="A748" t="s">
        <v>4233</v>
      </c>
      <c r="B748">
        <v>886381</v>
      </c>
      <c r="C748">
        <v>887070</v>
      </c>
      <c r="E748" t="s">
        <v>36</v>
      </c>
      <c r="F748" t="s">
        <v>40</v>
      </c>
      <c r="H748">
        <v>29241334</v>
      </c>
      <c r="I748" t="s">
        <v>16</v>
      </c>
      <c r="K748" t="s">
        <v>7181</v>
      </c>
      <c r="L748">
        <v>229</v>
      </c>
      <c r="M748" t="s">
        <v>7180</v>
      </c>
    </row>
    <row r="749" spans="1:13" x14ac:dyDescent="0.35">
      <c r="A749" t="s">
        <v>4233</v>
      </c>
      <c r="B749">
        <v>887074</v>
      </c>
      <c r="C749">
        <v>887292</v>
      </c>
      <c r="E749" t="s">
        <v>36</v>
      </c>
      <c r="F749" t="s">
        <v>40</v>
      </c>
      <c r="H749">
        <v>29241335</v>
      </c>
      <c r="I749" t="s">
        <v>16</v>
      </c>
      <c r="K749" t="s">
        <v>7179</v>
      </c>
      <c r="L749">
        <v>72</v>
      </c>
      <c r="M749" t="s">
        <v>7178</v>
      </c>
    </row>
    <row r="750" spans="1:13" x14ac:dyDescent="0.35">
      <c r="A750" t="s">
        <v>4233</v>
      </c>
      <c r="B750">
        <v>887289</v>
      </c>
      <c r="C750">
        <v>887615</v>
      </c>
      <c r="E750" t="s">
        <v>36</v>
      </c>
      <c r="F750" t="s">
        <v>40</v>
      </c>
      <c r="H750">
        <v>29241336</v>
      </c>
      <c r="I750" t="s">
        <v>16</v>
      </c>
      <c r="K750" t="s">
        <v>7177</v>
      </c>
      <c r="L750">
        <v>108</v>
      </c>
      <c r="M750" t="s">
        <v>7176</v>
      </c>
    </row>
    <row r="751" spans="1:13" x14ac:dyDescent="0.35">
      <c r="A751" t="s">
        <v>4233</v>
      </c>
      <c r="B751">
        <v>887646</v>
      </c>
      <c r="C751">
        <v>890378</v>
      </c>
      <c r="E751" t="s">
        <v>36</v>
      </c>
      <c r="F751" t="s">
        <v>941</v>
      </c>
      <c r="H751">
        <v>29241337</v>
      </c>
      <c r="I751" t="s">
        <v>16</v>
      </c>
      <c r="K751" t="s">
        <v>7175</v>
      </c>
      <c r="L751">
        <v>910</v>
      </c>
      <c r="M751" t="s">
        <v>7174</v>
      </c>
    </row>
    <row r="752" spans="1:13" x14ac:dyDescent="0.35">
      <c r="A752" t="s">
        <v>4233</v>
      </c>
      <c r="B752">
        <v>890730</v>
      </c>
      <c r="C752">
        <v>890948</v>
      </c>
      <c r="E752" t="s">
        <v>13</v>
      </c>
      <c r="F752" t="s">
        <v>40</v>
      </c>
      <c r="H752">
        <v>29241338</v>
      </c>
      <c r="I752" t="s">
        <v>16</v>
      </c>
      <c r="K752" t="s">
        <v>7173</v>
      </c>
      <c r="L752">
        <v>72</v>
      </c>
      <c r="M752" t="s">
        <v>7172</v>
      </c>
    </row>
    <row r="753" spans="1:13" x14ac:dyDescent="0.35">
      <c r="A753" t="s">
        <v>4233</v>
      </c>
      <c r="B753">
        <v>890969</v>
      </c>
      <c r="C753">
        <v>891951</v>
      </c>
      <c r="E753" t="s">
        <v>13</v>
      </c>
      <c r="F753" t="s">
        <v>45</v>
      </c>
      <c r="H753">
        <v>31600457</v>
      </c>
      <c r="I753" t="s">
        <v>46</v>
      </c>
      <c r="M753" t="s">
        <v>7171</v>
      </c>
    </row>
    <row r="754" spans="1:13" x14ac:dyDescent="0.35">
      <c r="A754" t="s">
        <v>4233</v>
      </c>
      <c r="B754">
        <v>892060</v>
      </c>
      <c r="C754">
        <v>892765</v>
      </c>
      <c r="E754" t="s">
        <v>36</v>
      </c>
      <c r="F754" t="s">
        <v>45</v>
      </c>
      <c r="H754">
        <v>29241341</v>
      </c>
      <c r="I754" t="s">
        <v>46</v>
      </c>
      <c r="M754" t="s">
        <v>7170</v>
      </c>
    </row>
    <row r="755" spans="1:13" x14ac:dyDescent="0.35">
      <c r="A755" t="s">
        <v>4233</v>
      </c>
      <c r="B755">
        <v>892828</v>
      </c>
      <c r="C755">
        <v>894288</v>
      </c>
      <c r="E755" t="s">
        <v>36</v>
      </c>
      <c r="F755" t="s">
        <v>7169</v>
      </c>
      <c r="G755" t="s">
        <v>7168</v>
      </c>
      <c r="H755">
        <v>29241342</v>
      </c>
      <c r="I755" t="s">
        <v>16</v>
      </c>
      <c r="K755" t="s">
        <v>7167</v>
      </c>
      <c r="L755">
        <v>486</v>
      </c>
      <c r="M755" t="s">
        <v>7166</v>
      </c>
    </row>
    <row r="756" spans="1:13" x14ac:dyDescent="0.35">
      <c r="A756" t="s">
        <v>4233</v>
      </c>
      <c r="B756">
        <v>894497</v>
      </c>
      <c r="C756">
        <v>894616</v>
      </c>
      <c r="E756" t="s">
        <v>13</v>
      </c>
      <c r="F756" t="s">
        <v>40</v>
      </c>
      <c r="H756">
        <v>31600459</v>
      </c>
      <c r="I756" t="s">
        <v>16</v>
      </c>
      <c r="K756" t="s">
        <v>7165</v>
      </c>
      <c r="L756">
        <v>39</v>
      </c>
      <c r="M756" t="s">
        <v>7164</v>
      </c>
    </row>
    <row r="757" spans="1:13" x14ac:dyDescent="0.35">
      <c r="A757" t="s">
        <v>4233</v>
      </c>
      <c r="B757">
        <v>895031</v>
      </c>
      <c r="C757">
        <v>895672</v>
      </c>
      <c r="E757" t="s">
        <v>13</v>
      </c>
      <c r="F757" t="s">
        <v>40</v>
      </c>
      <c r="H757">
        <v>29241343</v>
      </c>
      <c r="I757" t="s">
        <v>16</v>
      </c>
      <c r="K757" t="s">
        <v>7163</v>
      </c>
      <c r="L757">
        <v>213</v>
      </c>
      <c r="M757" t="s">
        <v>7162</v>
      </c>
    </row>
    <row r="758" spans="1:13" x14ac:dyDescent="0.35">
      <c r="A758" t="s">
        <v>4233</v>
      </c>
      <c r="B758">
        <v>895684</v>
      </c>
      <c r="C758">
        <v>896844</v>
      </c>
      <c r="E758" t="s">
        <v>13</v>
      </c>
      <c r="F758" t="s">
        <v>40</v>
      </c>
      <c r="H758">
        <v>29241344</v>
      </c>
      <c r="I758" t="s">
        <v>16</v>
      </c>
      <c r="K758" t="s">
        <v>7161</v>
      </c>
      <c r="L758">
        <v>386</v>
      </c>
      <c r="M758" t="s">
        <v>7160</v>
      </c>
    </row>
    <row r="759" spans="1:13" x14ac:dyDescent="0.35">
      <c r="A759" t="s">
        <v>4233</v>
      </c>
      <c r="B759">
        <v>896962</v>
      </c>
      <c r="C759">
        <v>897516</v>
      </c>
      <c r="E759" t="s">
        <v>36</v>
      </c>
      <c r="F759" t="s">
        <v>40</v>
      </c>
      <c r="H759">
        <v>29241345</v>
      </c>
      <c r="I759" t="s">
        <v>16</v>
      </c>
      <c r="K759" t="s">
        <v>7159</v>
      </c>
      <c r="L759">
        <v>184</v>
      </c>
      <c r="M759" t="s">
        <v>7158</v>
      </c>
    </row>
    <row r="760" spans="1:13" x14ac:dyDescent="0.35">
      <c r="A760" t="s">
        <v>4233</v>
      </c>
      <c r="B760">
        <v>897513</v>
      </c>
      <c r="C760">
        <v>898061</v>
      </c>
      <c r="E760" t="s">
        <v>36</v>
      </c>
      <c r="F760" t="s">
        <v>40</v>
      </c>
      <c r="H760">
        <v>29241346</v>
      </c>
      <c r="I760" t="s">
        <v>16</v>
      </c>
      <c r="K760" t="s">
        <v>7157</v>
      </c>
      <c r="L760">
        <v>182</v>
      </c>
      <c r="M760" t="s">
        <v>7156</v>
      </c>
    </row>
    <row r="761" spans="1:13" x14ac:dyDescent="0.35">
      <c r="A761" t="s">
        <v>4233</v>
      </c>
      <c r="B761">
        <v>898510</v>
      </c>
      <c r="C761">
        <v>898878</v>
      </c>
      <c r="E761" t="s">
        <v>13</v>
      </c>
      <c r="F761" t="s">
        <v>167</v>
      </c>
      <c r="H761">
        <v>29241347</v>
      </c>
      <c r="I761" t="s">
        <v>16</v>
      </c>
      <c r="K761" t="s">
        <v>7155</v>
      </c>
      <c r="L761">
        <v>122</v>
      </c>
      <c r="M761" t="s">
        <v>7154</v>
      </c>
    </row>
    <row r="762" spans="1:13" x14ac:dyDescent="0.35">
      <c r="A762" t="s">
        <v>4233</v>
      </c>
      <c r="B762">
        <v>899494</v>
      </c>
      <c r="C762">
        <v>901056</v>
      </c>
      <c r="E762" t="s">
        <v>36</v>
      </c>
      <c r="F762" t="s">
        <v>172</v>
      </c>
      <c r="G762" t="s">
        <v>173</v>
      </c>
      <c r="H762">
        <v>29241348</v>
      </c>
      <c r="I762" t="s">
        <v>16</v>
      </c>
      <c r="K762" t="s">
        <v>7153</v>
      </c>
      <c r="L762">
        <v>520</v>
      </c>
      <c r="M762" t="s">
        <v>7152</v>
      </c>
    </row>
    <row r="763" spans="1:13" x14ac:dyDescent="0.35">
      <c r="A763" t="s">
        <v>4233</v>
      </c>
      <c r="B763">
        <v>901504</v>
      </c>
      <c r="C763">
        <v>903981</v>
      </c>
      <c r="E763" t="s">
        <v>13</v>
      </c>
      <c r="F763" t="s">
        <v>7151</v>
      </c>
      <c r="H763">
        <v>29241349</v>
      </c>
      <c r="I763" t="s">
        <v>16</v>
      </c>
      <c r="K763" t="s">
        <v>7150</v>
      </c>
      <c r="L763">
        <v>825</v>
      </c>
      <c r="M763" t="s">
        <v>7149</v>
      </c>
    </row>
    <row r="764" spans="1:13" x14ac:dyDescent="0.35">
      <c r="A764" t="s">
        <v>4233</v>
      </c>
      <c r="B764">
        <v>904165</v>
      </c>
      <c r="C764">
        <v>905547</v>
      </c>
      <c r="E764" t="s">
        <v>13</v>
      </c>
      <c r="F764" t="s">
        <v>151</v>
      </c>
      <c r="G764" t="s">
        <v>152</v>
      </c>
      <c r="H764">
        <v>29241350</v>
      </c>
      <c r="I764" t="s">
        <v>16</v>
      </c>
      <c r="K764" t="s">
        <v>7148</v>
      </c>
      <c r="L764">
        <v>460</v>
      </c>
      <c r="M764" t="s">
        <v>7147</v>
      </c>
    </row>
    <row r="765" spans="1:13" x14ac:dyDescent="0.35">
      <c r="A765" t="s">
        <v>4233</v>
      </c>
      <c r="B765">
        <v>905551</v>
      </c>
      <c r="C765">
        <v>905937</v>
      </c>
      <c r="E765" t="s">
        <v>13</v>
      </c>
      <c r="F765" t="s">
        <v>1097</v>
      </c>
      <c r="G765" t="s">
        <v>1098</v>
      </c>
      <c r="H765">
        <v>29241351</v>
      </c>
      <c r="I765" t="s">
        <v>16</v>
      </c>
      <c r="K765" t="s">
        <v>7146</v>
      </c>
      <c r="L765">
        <v>128</v>
      </c>
      <c r="M765" t="s">
        <v>7145</v>
      </c>
    </row>
    <row r="766" spans="1:13" x14ac:dyDescent="0.35">
      <c r="A766" t="s">
        <v>4233</v>
      </c>
      <c r="B766">
        <v>905934</v>
      </c>
      <c r="C766">
        <v>906635</v>
      </c>
      <c r="E766" t="s">
        <v>13</v>
      </c>
      <c r="F766" t="s">
        <v>294</v>
      </c>
      <c r="H766">
        <v>29241352</v>
      </c>
      <c r="I766" t="s">
        <v>16</v>
      </c>
      <c r="K766" t="s">
        <v>7144</v>
      </c>
      <c r="L766">
        <v>233</v>
      </c>
      <c r="M766" t="s">
        <v>7143</v>
      </c>
    </row>
    <row r="767" spans="1:13" x14ac:dyDescent="0.35">
      <c r="A767" t="s">
        <v>4233</v>
      </c>
      <c r="B767">
        <v>906763</v>
      </c>
      <c r="C767">
        <v>906835</v>
      </c>
      <c r="E767" t="s">
        <v>13</v>
      </c>
      <c r="F767" t="s">
        <v>414</v>
      </c>
      <c r="H767">
        <v>29241353</v>
      </c>
      <c r="I767" t="s">
        <v>39</v>
      </c>
      <c r="M767" t="s">
        <v>7142</v>
      </c>
    </row>
    <row r="768" spans="1:13" x14ac:dyDescent="0.35">
      <c r="A768" t="s">
        <v>4233</v>
      </c>
      <c r="B768">
        <v>906922</v>
      </c>
      <c r="C768">
        <v>906994</v>
      </c>
      <c r="E768" t="s">
        <v>13</v>
      </c>
      <c r="F768" t="s">
        <v>414</v>
      </c>
      <c r="H768">
        <v>29241354</v>
      </c>
      <c r="I768" t="s">
        <v>39</v>
      </c>
      <c r="M768" t="s">
        <v>7141</v>
      </c>
    </row>
    <row r="769" spans="1:13" x14ac:dyDescent="0.35">
      <c r="A769" t="s">
        <v>4233</v>
      </c>
      <c r="B769">
        <v>907045</v>
      </c>
      <c r="C769">
        <v>907854</v>
      </c>
      <c r="E769" t="s">
        <v>36</v>
      </c>
      <c r="F769" t="s">
        <v>52</v>
      </c>
      <c r="H769">
        <v>29241355</v>
      </c>
      <c r="I769" t="s">
        <v>16</v>
      </c>
      <c r="K769" t="s">
        <v>7140</v>
      </c>
      <c r="L769">
        <v>269</v>
      </c>
      <c r="M769" t="s">
        <v>7139</v>
      </c>
    </row>
    <row r="770" spans="1:13" x14ac:dyDescent="0.35">
      <c r="A770" t="s">
        <v>4233</v>
      </c>
      <c r="B770">
        <v>908103</v>
      </c>
      <c r="C770">
        <v>909083</v>
      </c>
      <c r="E770" t="s">
        <v>13</v>
      </c>
      <c r="F770" t="s">
        <v>754</v>
      </c>
      <c r="H770">
        <v>29241356</v>
      </c>
      <c r="I770" t="s">
        <v>16</v>
      </c>
      <c r="K770" t="s">
        <v>7138</v>
      </c>
      <c r="L770">
        <v>326</v>
      </c>
      <c r="M770" t="s">
        <v>7137</v>
      </c>
    </row>
    <row r="771" spans="1:13" x14ac:dyDescent="0.35">
      <c r="A771" t="s">
        <v>4233</v>
      </c>
      <c r="B771">
        <v>909252</v>
      </c>
      <c r="C771">
        <v>910454</v>
      </c>
      <c r="E771" t="s">
        <v>13</v>
      </c>
      <c r="F771" t="s">
        <v>755</v>
      </c>
      <c r="H771">
        <v>29241357</v>
      </c>
      <c r="I771" t="s">
        <v>16</v>
      </c>
      <c r="K771" t="s">
        <v>7136</v>
      </c>
      <c r="L771">
        <v>400</v>
      </c>
      <c r="M771" t="s">
        <v>7135</v>
      </c>
    </row>
    <row r="772" spans="1:13" x14ac:dyDescent="0.35">
      <c r="A772" t="s">
        <v>4233</v>
      </c>
      <c r="B772">
        <v>910451</v>
      </c>
      <c r="C772">
        <v>911137</v>
      </c>
      <c r="E772" t="s">
        <v>13</v>
      </c>
      <c r="F772" t="s">
        <v>756</v>
      </c>
      <c r="H772">
        <v>29241358</v>
      </c>
      <c r="I772" t="s">
        <v>16</v>
      </c>
      <c r="K772" t="s">
        <v>7134</v>
      </c>
      <c r="L772">
        <v>228</v>
      </c>
      <c r="M772" t="s">
        <v>7133</v>
      </c>
    </row>
    <row r="773" spans="1:13" x14ac:dyDescent="0.35">
      <c r="A773" t="s">
        <v>4233</v>
      </c>
      <c r="B773">
        <v>911216</v>
      </c>
      <c r="C773">
        <v>912367</v>
      </c>
      <c r="E773" t="s">
        <v>13</v>
      </c>
      <c r="F773" t="s">
        <v>7132</v>
      </c>
      <c r="H773">
        <v>29241359</v>
      </c>
      <c r="I773" t="s">
        <v>16</v>
      </c>
      <c r="K773" t="s">
        <v>7131</v>
      </c>
      <c r="L773">
        <v>383</v>
      </c>
      <c r="M773" t="s">
        <v>7130</v>
      </c>
    </row>
    <row r="774" spans="1:13" x14ac:dyDescent="0.35">
      <c r="A774" t="s">
        <v>4233</v>
      </c>
      <c r="B774">
        <v>912461</v>
      </c>
      <c r="C774">
        <v>914158</v>
      </c>
      <c r="E774" t="s">
        <v>13</v>
      </c>
      <c r="F774" t="s">
        <v>7129</v>
      </c>
      <c r="H774">
        <v>29241360</v>
      </c>
      <c r="I774" t="s">
        <v>16</v>
      </c>
      <c r="K774" t="s">
        <v>7128</v>
      </c>
      <c r="L774">
        <v>565</v>
      </c>
      <c r="M774" t="s">
        <v>7127</v>
      </c>
    </row>
    <row r="775" spans="1:13" x14ac:dyDescent="0.35">
      <c r="A775" t="s">
        <v>4233</v>
      </c>
      <c r="B775">
        <v>914177</v>
      </c>
      <c r="C775">
        <v>914407</v>
      </c>
      <c r="E775" t="s">
        <v>13</v>
      </c>
      <c r="F775" t="s">
        <v>40</v>
      </c>
      <c r="H775">
        <v>29241361</v>
      </c>
      <c r="I775" t="s">
        <v>16</v>
      </c>
      <c r="K775" t="s">
        <v>7126</v>
      </c>
      <c r="L775">
        <v>76</v>
      </c>
      <c r="M775" t="s">
        <v>7125</v>
      </c>
    </row>
    <row r="776" spans="1:13" x14ac:dyDescent="0.35">
      <c r="A776" t="s">
        <v>4233</v>
      </c>
      <c r="B776">
        <v>914682</v>
      </c>
      <c r="C776">
        <v>917057</v>
      </c>
      <c r="E776" t="s">
        <v>13</v>
      </c>
      <c r="F776" t="s">
        <v>7124</v>
      </c>
      <c r="G776" t="s">
        <v>7123</v>
      </c>
      <c r="H776">
        <v>29241362</v>
      </c>
      <c r="I776" t="s">
        <v>16</v>
      </c>
      <c r="K776" t="s">
        <v>7122</v>
      </c>
      <c r="L776">
        <v>791</v>
      </c>
      <c r="M776" t="s">
        <v>7121</v>
      </c>
    </row>
    <row r="777" spans="1:13" x14ac:dyDescent="0.35">
      <c r="A777" t="s">
        <v>4233</v>
      </c>
      <c r="B777">
        <v>917171</v>
      </c>
      <c r="C777">
        <v>918052</v>
      </c>
      <c r="E777" t="s">
        <v>13</v>
      </c>
      <c r="F777" t="s">
        <v>7120</v>
      </c>
      <c r="G777" t="s">
        <v>7119</v>
      </c>
      <c r="H777">
        <v>29241363</v>
      </c>
      <c r="I777" t="s">
        <v>16</v>
      </c>
      <c r="K777" t="s">
        <v>7118</v>
      </c>
      <c r="L777">
        <v>293</v>
      </c>
      <c r="M777" t="s">
        <v>7117</v>
      </c>
    </row>
    <row r="778" spans="1:13" x14ac:dyDescent="0.35">
      <c r="A778" t="s">
        <v>4233</v>
      </c>
      <c r="B778">
        <v>918235</v>
      </c>
      <c r="C778">
        <v>918867</v>
      </c>
      <c r="E778" t="s">
        <v>13</v>
      </c>
      <c r="F778" t="s">
        <v>7116</v>
      </c>
      <c r="H778">
        <v>29241364</v>
      </c>
      <c r="I778" t="s">
        <v>16</v>
      </c>
      <c r="K778" t="s">
        <v>7115</v>
      </c>
      <c r="L778">
        <v>210</v>
      </c>
      <c r="M778" t="s">
        <v>7114</v>
      </c>
    </row>
    <row r="779" spans="1:13" x14ac:dyDescent="0.35">
      <c r="A779" t="s">
        <v>4233</v>
      </c>
      <c r="B779">
        <v>918864</v>
      </c>
      <c r="C779">
        <v>920165</v>
      </c>
      <c r="E779" t="s">
        <v>13</v>
      </c>
      <c r="F779" t="s">
        <v>7113</v>
      </c>
      <c r="H779">
        <v>29241365</v>
      </c>
      <c r="I779" t="s">
        <v>16</v>
      </c>
      <c r="K779" t="s">
        <v>7112</v>
      </c>
      <c r="L779">
        <v>433</v>
      </c>
      <c r="M779" t="s">
        <v>7111</v>
      </c>
    </row>
    <row r="780" spans="1:13" x14ac:dyDescent="0.35">
      <c r="A780" t="s">
        <v>4233</v>
      </c>
      <c r="B780">
        <v>920220</v>
      </c>
      <c r="C780">
        <v>921593</v>
      </c>
      <c r="E780" t="s">
        <v>13</v>
      </c>
      <c r="F780" t="s">
        <v>704</v>
      </c>
      <c r="G780" t="s">
        <v>705</v>
      </c>
      <c r="H780">
        <v>29241366</v>
      </c>
      <c r="I780" t="s">
        <v>16</v>
      </c>
      <c r="K780" t="s">
        <v>7110</v>
      </c>
      <c r="L780">
        <v>457</v>
      </c>
      <c r="M780" t="s">
        <v>7109</v>
      </c>
    </row>
    <row r="781" spans="1:13" x14ac:dyDescent="0.35">
      <c r="A781" t="s">
        <v>4233</v>
      </c>
      <c r="B781">
        <v>921777</v>
      </c>
      <c r="C781">
        <v>923177</v>
      </c>
      <c r="E781" t="s">
        <v>13</v>
      </c>
      <c r="F781" t="s">
        <v>7108</v>
      </c>
      <c r="H781">
        <v>29241367</v>
      </c>
      <c r="I781" t="s">
        <v>16</v>
      </c>
      <c r="K781" t="s">
        <v>7107</v>
      </c>
      <c r="L781">
        <v>466</v>
      </c>
      <c r="M781" t="s">
        <v>7106</v>
      </c>
    </row>
    <row r="782" spans="1:13" x14ac:dyDescent="0.35">
      <c r="A782" t="s">
        <v>4233</v>
      </c>
      <c r="B782">
        <v>923222</v>
      </c>
      <c r="C782">
        <v>923599</v>
      </c>
      <c r="E782" t="s">
        <v>13</v>
      </c>
      <c r="F782" t="s">
        <v>40</v>
      </c>
      <c r="H782">
        <v>29241368</v>
      </c>
      <c r="I782" t="s">
        <v>16</v>
      </c>
      <c r="K782" t="s">
        <v>7105</v>
      </c>
      <c r="L782">
        <v>125</v>
      </c>
      <c r="M782" t="s">
        <v>7104</v>
      </c>
    </row>
    <row r="783" spans="1:13" x14ac:dyDescent="0.35">
      <c r="A783" t="s">
        <v>4233</v>
      </c>
      <c r="B783">
        <v>923751</v>
      </c>
      <c r="C783">
        <v>924374</v>
      </c>
      <c r="E783" t="s">
        <v>13</v>
      </c>
      <c r="F783" t="s">
        <v>7101</v>
      </c>
      <c r="H783">
        <v>29241369</v>
      </c>
      <c r="I783" t="s">
        <v>16</v>
      </c>
      <c r="K783" t="s">
        <v>7103</v>
      </c>
      <c r="L783">
        <v>207</v>
      </c>
      <c r="M783" t="s">
        <v>7102</v>
      </c>
    </row>
    <row r="784" spans="1:13" x14ac:dyDescent="0.35">
      <c r="A784" t="s">
        <v>4233</v>
      </c>
      <c r="B784">
        <v>924380</v>
      </c>
      <c r="C784">
        <v>925063</v>
      </c>
      <c r="E784" t="s">
        <v>13</v>
      </c>
      <c r="F784" t="s">
        <v>7101</v>
      </c>
      <c r="H784">
        <v>29241370</v>
      </c>
      <c r="I784" t="s">
        <v>16</v>
      </c>
      <c r="K784" t="s">
        <v>7100</v>
      </c>
      <c r="L784">
        <v>227</v>
      </c>
      <c r="M784" t="s">
        <v>7099</v>
      </c>
    </row>
    <row r="785" spans="1:13" x14ac:dyDescent="0.35">
      <c r="A785" t="s">
        <v>4233</v>
      </c>
      <c r="B785">
        <v>925237</v>
      </c>
      <c r="C785">
        <v>926598</v>
      </c>
      <c r="E785" t="s">
        <v>13</v>
      </c>
      <c r="F785" t="s">
        <v>708</v>
      </c>
      <c r="G785" t="s">
        <v>709</v>
      </c>
      <c r="H785">
        <v>29241371</v>
      </c>
      <c r="I785" t="s">
        <v>16</v>
      </c>
      <c r="K785" t="s">
        <v>7098</v>
      </c>
      <c r="L785">
        <v>453</v>
      </c>
      <c r="M785" t="s">
        <v>7097</v>
      </c>
    </row>
    <row r="786" spans="1:13" x14ac:dyDescent="0.35">
      <c r="A786" t="s">
        <v>4233</v>
      </c>
      <c r="B786">
        <v>926705</v>
      </c>
      <c r="C786">
        <v>926778</v>
      </c>
      <c r="E786" t="s">
        <v>13</v>
      </c>
      <c r="F786" t="s">
        <v>417</v>
      </c>
      <c r="H786">
        <v>29241372</v>
      </c>
      <c r="I786" t="s">
        <v>39</v>
      </c>
      <c r="M786" t="s">
        <v>7096</v>
      </c>
    </row>
    <row r="787" spans="1:13" x14ac:dyDescent="0.35">
      <c r="A787" t="s">
        <v>4233</v>
      </c>
      <c r="B787">
        <v>926808</v>
      </c>
      <c r="C787">
        <v>926881</v>
      </c>
      <c r="E787" t="s">
        <v>13</v>
      </c>
      <c r="F787" t="s">
        <v>417</v>
      </c>
      <c r="H787">
        <v>29241373</v>
      </c>
      <c r="I787" t="s">
        <v>39</v>
      </c>
      <c r="M787" t="s">
        <v>7095</v>
      </c>
    </row>
    <row r="788" spans="1:13" x14ac:dyDescent="0.35">
      <c r="A788" t="s">
        <v>4233</v>
      </c>
      <c r="B788">
        <v>926991</v>
      </c>
      <c r="C788">
        <v>928196</v>
      </c>
      <c r="E788" t="s">
        <v>13</v>
      </c>
      <c r="F788" t="s">
        <v>7094</v>
      </c>
      <c r="H788">
        <v>29241374</v>
      </c>
      <c r="I788" t="s">
        <v>16</v>
      </c>
      <c r="K788" t="s">
        <v>7093</v>
      </c>
      <c r="L788">
        <v>401</v>
      </c>
      <c r="M788" t="s">
        <v>7092</v>
      </c>
    </row>
    <row r="789" spans="1:13" x14ac:dyDescent="0.35">
      <c r="A789" t="s">
        <v>4233</v>
      </c>
      <c r="B789">
        <v>928277</v>
      </c>
      <c r="C789">
        <v>929665</v>
      </c>
      <c r="E789" t="s">
        <v>13</v>
      </c>
      <c r="F789" t="s">
        <v>7091</v>
      </c>
      <c r="H789">
        <v>29241375</v>
      </c>
      <c r="I789" t="s">
        <v>16</v>
      </c>
      <c r="K789" t="s">
        <v>7090</v>
      </c>
      <c r="L789">
        <v>462</v>
      </c>
      <c r="M789" t="s">
        <v>7089</v>
      </c>
    </row>
    <row r="790" spans="1:13" x14ac:dyDescent="0.35">
      <c r="A790" t="s">
        <v>4233</v>
      </c>
      <c r="B790">
        <v>929851</v>
      </c>
      <c r="C790">
        <v>930606</v>
      </c>
      <c r="E790" t="s">
        <v>13</v>
      </c>
      <c r="F790" t="s">
        <v>7088</v>
      </c>
      <c r="H790">
        <v>29241376</v>
      </c>
      <c r="I790" t="s">
        <v>16</v>
      </c>
      <c r="K790" t="s">
        <v>7087</v>
      </c>
      <c r="L790">
        <v>251</v>
      </c>
      <c r="M790" t="s">
        <v>7086</v>
      </c>
    </row>
    <row r="791" spans="1:13" x14ac:dyDescent="0.35">
      <c r="A791" t="s">
        <v>4233</v>
      </c>
      <c r="B791">
        <v>930646</v>
      </c>
      <c r="C791">
        <v>931311</v>
      </c>
      <c r="E791" t="s">
        <v>36</v>
      </c>
      <c r="F791" t="s">
        <v>7085</v>
      </c>
      <c r="H791">
        <v>29241377</v>
      </c>
      <c r="I791" t="s">
        <v>16</v>
      </c>
      <c r="K791" t="s">
        <v>7084</v>
      </c>
      <c r="L791">
        <v>221</v>
      </c>
      <c r="M791" t="s">
        <v>7083</v>
      </c>
    </row>
    <row r="792" spans="1:13" x14ac:dyDescent="0.35">
      <c r="A792" t="s">
        <v>4233</v>
      </c>
      <c r="B792">
        <v>931374</v>
      </c>
      <c r="C792">
        <v>932324</v>
      </c>
      <c r="E792" t="s">
        <v>36</v>
      </c>
      <c r="F792" t="s">
        <v>7082</v>
      </c>
      <c r="H792">
        <v>29241378</v>
      </c>
      <c r="I792" t="s">
        <v>16</v>
      </c>
      <c r="K792" t="s">
        <v>7081</v>
      </c>
      <c r="L792">
        <v>316</v>
      </c>
      <c r="M792" t="s">
        <v>7080</v>
      </c>
    </row>
    <row r="793" spans="1:13" x14ac:dyDescent="0.35">
      <c r="A793" t="s">
        <v>4233</v>
      </c>
      <c r="B793">
        <v>932397</v>
      </c>
      <c r="C793">
        <v>934259</v>
      </c>
      <c r="E793" t="s">
        <v>36</v>
      </c>
      <c r="F793" t="s">
        <v>897</v>
      </c>
      <c r="H793">
        <v>29241379</v>
      </c>
      <c r="I793" t="s">
        <v>16</v>
      </c>
      <c r="K793" t="s">
        <v>7079</v>
      </c>
      <c r="L793">
        <v>620</v>
      </c>
      <c r="M793" t="s">
        <v>7078</v>
      </c>
    </row>
    <row r="794" spans="1:13" x14ac:dyDescent="0.35">
      <c r="A794" t="s">
        <v>4233</v>
      </c>
      <c r="B794">
        <v>934361</v>
      </c>
      <c r="C794">
        <v>935980</v>
      </c>
      <c r="E794" t="s">
        <v>36</v>
      </c>
      <c r="F794" t="s">
        <v>813</v>
      </c>
      <c r="H794">
        <v>29241380</v>
      </c>
      <c r="I794" t="s">
        <v>16</v>
      </c>
      <c r="K794" t="s">
        <v>7077</v>
      </c>
      <c r="L794">
        <v>539</v>
      </c>
      <c r="M794" t="s">
        <v>7076</v>
      </c>
    </row>
    <row r="795" spans="1:13" x14ac:dyDescent="0.35">
      <c r="A795" t="s">
        <v>4233</v>
      </c>
      <c r="B795">
        <v>935977</v>
      </c>
      <c r="C795">
        <v>937512</v>
      </c>
      <c r="E795" t="s">
        <v>36</v>
      </c>
      <c r="F795" t="s">
        <v>7075</v>
      </c>
      <c r="H795">
        <v>29241381</v>
      </c>
      <c r="I795" t="s">
        <v>16</v>
      </c>
      <c r="K795" t="s">
        <v>7074</v>
      </c>
      <c r="L795">
        <v>511</v>
      </c>
      <c r="M795" t="s">
        <v>7073</v>
      </c>
    </row>
    <row r="796" spans="1:13" x14ac:dyDescent="0.35">
      <c r="A796" t="s">
        <v>4233</v>
      </c>
      <c r="B796">
        <v>937527</v>
      </c>
      <c r="C796">
        <v>937943</v>
      </c>
      <c r="E796" t="s">
        <v>36</v>
      </c>
      <c r="F796" t="s">
        <v>7072</v>
      </c>
      <c r="H796">
        <v>29241382</v>
      </c>
      <c r="I796" t="s">
        <v>16</v>
      </c>
      <c r="K796" t="s">
        <v>7071</v>
      </c>
      <c r="L796">
        <v>138</v>
      </c>
      <c r="M796" t="s">
        <v>7070</v>
      </c>
    </row>
    <row r="797" spans="1:13" x14ac:dyDescent="0.35">
      <c r="A797" t="s">
        <v>4233</v>
      </c>
      <c r="B797">
        <v>938325</v>
      </c>
      <c r="C797">
        <v>938528</v>
      </c>
      <c r="E797" t="s">
        <v>36</v>
      </c>
      <c r="F797" t="s">
        <v>45</v>
      </c>
      <c r="H797">
        <v>97007095</v>
      </c>
      <c r="I797" t="s">
        <v>46</v>
      </c>
      <c r="M797" t="s">
        <v>7069</v>
      </c>
    </row>
    <row r="798" spans="1:13" x14ac:dyDescent="0.35">
      <c r="A798" t="s">
        <v>4233</v>
      </c>
      <c r="B798">
        <v>938917</v>
      </c>
      <c r="C798">
        <v>939789</v>
      </c>
      <c r="E798" t="s">
        <v>36</v>
      </c>
      <c r="F798" t="s">
        <v>7068</v>
      </c>
      <c r="H798">
        <v>29241385</v>
      </c>
      <c r="I798" t="s">
        <v>16</v>
      </c>
      <c r="K798" t="s">
        <v>7067</v>
      </c>
      <c r="L798">
        <v>290</v>
      </c>
      <c r="M798" t="s">
        <v>7066</v>
      </c>
    </row>
    <row r="799" spans="1:13" x14ac:dyDescent="0.35">
      <c r="A799" t="s">
        <v>4233</v>
      </c>
      <c r="B799">
        <v>940402</v>
      </c>
      <c r="C799">
        <v>941718</v>
      </c>
      <c r="E799" t="s">
        <v>13</v>
      </c>
      <c r="F799" t="s">
        <v>7065</v>
      </c>
      <c r="H799">
        <v>29241386</v>
      </c>
      <c r="I799" t="s">
        <v>16</v>
      </c>
      <c r="K799" t="s">
        <v>7064</v>
      </c>
      <c r="L799">
        <v>438</v>
      </c>
      <c r="M799" t="s">
        <v>7063</v>
      </c>
    </row>
    <row r="800" spans="1:13" x14ac:dyDescent="0.35">
      <c r="A800" t="s">
        <v>4233</v>
      </c>
      <c r="B800">
        <v>942193</v>
      </c>
      <c r="C800">
        <v>943119</v>
      </c>
      <c r="E800" t="s">
        <v>13</v>
      </c>
      <c r="F800" t="s">
        <v>73</v>
      </c>
      <c r="H800">
        <v>29241387</v>
      </c>
      <c r="I800" t="s">
        <v>16</v>
      </c>
      <c r="K800" t="s">
        <v>7062</v>
      </c>
      <c r="L800">
        <v>308</v>
      </c>
      <c r="M800" t="s">
        <v>7061</v>
      </c>
    </row>
    <row r="801" spans="1:13" x14ac:dyDescent="0.35">
      <c r="A801" t="s">
        <v>4233</v>
      </c>
      <c r="B801">
        <v>943151</v>
      </c>
      <c r="C801">
        <v>945889</v>
      </c>
      <c r="E801" t="s">
        <v>13</v>
      </c>
      <c r="F801" t="s">
        <v>133</v>
      </c>
      <c r="H801">
        <v>29241388</v>
      </c>
      <c r="I801" t="s">
        <v>16</v>
      </c>
      <c r="K801" t="s">
        <v>7060</v>
      </c>
      <c r="L801">
        <v>912</v>
      </c>
      <c r="M801" t="s">
        <v>7059</v>
      </c>
    </row>
    <row r="802" spans="1:13" x14ac:dyDescent="0.35">
      <c r="A802" t="s">
        <v>4233</v>
      </c>
      <c r="B802">
        <v>946178</v>
      </c>
      <c r="C802">
        <v>946984</v>
      </c>
      <c r="E802" t="s">
        <v>36</v>
      </c>
      <c r="F802" t="s">
        <v>608</v>
      </c>
      <c r="H802">
        <v>29241389</v>
      </c>
      <c r="I802" t="s">
        <v>16</v>
      </c>
      <c r="K802" t="s">
        <v>7058</v>
      </c>
      <c r="L802">
        <v>268</v>
      </c>
      <c r="M802" t="s">
        <v>7057</v>
      </c>
    </row>
    <row r="803" spans="1:13" x14ac:dyDescent="0.35">
      <c r="A803" t="s">
        <v>4233</v>
      </c>
      <c r="B803">
        <v>947006</v>
      </c>
      <c r="C803">
        <v>949474</v>
      </c>
      <c r="E803" t="s">
        <v>36</v>
      </c>
      <c r="F803" t="s">
        <v>5566</v>
      </c>
      <c r="H803">
        <v>29241390</v>
      </c>
      <c r="I803" t="s">
        <v>16</v>
      </c>
      <c r="K803" t="s">
        <v>7056</v>
      </c>
      <c r="L803">
        <v>822</v>
      </c>
      <c r="M803" t="s">
        <v>7055</v>
      </c>
    </row>
    <row r="804" spans="1:13" x14ac:dyDescent="0.35">
      <c r="A804" t="s">
        <v>4233</v>
      </c>
      <c r="B804">
        <v>949556</v>
      </c>
      <c r="C804">
        <v>951034</v>
      </c>
      <c r="E804" t="s">
        <v>13</v>
      </c>
      <c r="F804" t="s">
        <v>831</v>
      </c>
      <c r="H804">
        <v>29241391</v>
      </c>
      <c r="I804" t="s">
        <v>16</v>
      </c>
      <c r="K804" t="s">
        <v>7054</v>
      </c>
      <c r="L804">
        <v>492</v>
      </c>
      <c r="M804" t="s">
        <v>7053</v>
      </c>
    </row>
    <row r="805" spans="1:13" x14ac:dyDescent="0.35">
      <c r="A805" t="s">
        <v>4233</v>
      </c>
      <c r="B805">
        <v>951181</v>
      </c>
      <c r="C805">
        <v>952002</v>
      </c>
      <c r="E805" t="s">
        <v>13</v>
      </c>
      <c r="F805" t="s">
        <v>7052</v>
      </c>
      <c r="G805" t="s">
        <v>7051</v>
      </c>
      <c r="H805">
        <v>29241392</v>
      </c>
      <c r="I805" t="s">
        <v>16</v>
      </c>
      <c r="K805" t="s">
        <v>7050</v>
      </c>
      <c r="L805">
        <v>273</v>
      </c>
      <c r="M805" t="s">
        <v>7049</v>
      </c>
    </row>
    <row r="806" spans="1:13" x14ac:dyDescent="0.35">
      <c r="A806" t="s">
        <v>4233</v>
      </c>
      <c r="B806">
        <v>952146</v>
      </c>
      <c r="C806">
        <v>952994</v>
      </c>
      <c r="E806" t="s">
        <v>36</v>
      </c>
      <c r="F806" t="s">
        <v>486</v>
      </c>
      <c r="H806">
        <v>29241393</v>
      </c>
      <c r="I806" t="s">
        <v>16</v>
      </c>
      <c r="K806" t="s">
        <v>7048</v>
      </c>
      <c r="L806">
        <v>282</v>
      </c>
      <c r="M806" t="s">
        <v>7047</v>
      </c>
    </row>
    <row r="807" spans="1:13" x14ac:dyDescent="0.35">
      <c r="A807" t="s">
        <v>4233</v>
      </c>
      <c r="B807">
        <v>953064</v>
      </c>
      <c r="C807">
        <v>953852</v>
      </c>
      <c r="E807" t="s">
        <v>36</v>
      </c>
      <c r="F807" t="s">
        <v>91</v>
      </c>
      <c r="H807">
        <v>29241394</v>
      </c>
      <c r="I807" t="s">
        <v>16</v>
      </c>
      <c r="K807" t="s">
        <v>7046</v>
      </c>
      <c r="L807">
        <v>262</v>
      </c>
      <c r="M807" t="s">
        <v>7045</v>
      </c>
    </row>
    <row r="808" spans="1:13" x14ac:dyDescent="0.35">
      <c r="A808" t="s">
        <v>4233</v>
      </c>
      <c r="B808">
        <v>953845</v>
      </c>
      <c r="C808">
        <v>954552</v>
      </c>
      <c r="E808" t="s">
        <v>36</v>
      </c>
      <c r="F808" t="s">
        <v>489</v>
      </c>
      <c r="H808">
        <v>29241395</v>
      </c>
      <c r="I808" t="s">
        <v>16</v>
      </c>
      <c r="K808" t="s">
        <v>7044</v>
      </c>
      <c r="L808">
        <v>235</v>
      </c>
      <c r="M808" t="s">
        <v>7043</v>
      </c>
    </row>
    <row r="809" spans="1:13" x14ac:dyDescent="0.35">
      <c r="A809" t="s">
        <v>4233</v>
      </c>
      <c r="B809">
        <v>954530</v>
      </c>
      <c r="C809">
        <v>955138</v>
      </c>
      <c r="E809" t="s">
        <v>36</v>
      </c>
      <c r="F809" t="s">
        <v>489</v>
      </c>
      <c r="H809">
        <v>29241396</v>
      </c>
      <c r="I809" t="s">
        <v>16</v>
      </c>
      <c r="K809" t="s">
        <v>7042</v>
      </c>
      <c r="L809">
        <v>202</v>
      </c>
      <c r="M809" t="s">
        <v>7041</v>
      </c>
    </row>
    <row r="810" spans="1:13" x14ac:dyDescent="0.35">
      <c r="A810" t="s">
        <v>4233</v>
      </c>
      <c r="B810">
        <v>955634</v>
      </c>
      <c r="C810">
        <v>956734</v>
      </c>
      <c r="E810" t="s">
        <v>13</v>
      </c>
      <c r="F810" t="s">
        <v>1218</v>
      </c>
      <c r="G810" t="s">
        <v>1219</v>
      </c>
      <c r="H810">
        <v>29241397</v>
      </c>
      <c r="I810" t="s">
        <v>16</v>
      </c>
      <c r="K810" t="s">
        <v>7040</v>
      </c>
      <c r="L810">
        <v>366</v>
      </c>
      <c r="M810" t="s">
        <v>7039</v>
      </c>
    </row>
    <row r="811" spans="1:13" x14ac:dyDescent="0.35">
      <c r="A811" t="s">
        <v>4233</v>
      </c>
      <c r="B811">
        <v>956915</v>
      </c>
      <c r="C811">
        <v>957775</v>
      </c>
      <c r="E811" t="s">
        <v>36</v>
      </c>
      <c r="F811" t="s">
        <v>86</v>
      </c>
      <c r="H811">
        <v>29241398</v>
      </c>
      <c r="I811" t="s">
        <v>16</v>
      </c>
      <c r="K811" t="s">
        <v>7038</v>
      </c>
      <c r="L811">
        <v>286</v>
      </c>
      <c r="M811" t="s">
        <v>7037</v>
      </c>
    </row>
    <row r="812" spans="1:13" x14ac:dyDescent="0.35">
      <c r="A812" t="s">
        <v>4233</v>
      </c>
      <c r="B812">
        <v>957802</v>
      </c>
      <c r="C812">
        <v>958059</v>
      </c>
      <c r="E812" t="s">
        <v>36</v>
      </c>
      <c r="F812" t="s">
        <v>7036</v>
      </c>
      <c r="H812">
        <v>31600463</v>
      </c>
      <c r="I812" t="s">
        <v>16</v>
      </c>
      <c r="K812" t="s">
        <v>7035</v>
      </c>
      <c r="L812">
        <v>85</v>
      </c>
      <c r="M812" t="s">
        <v>7034</v>
      </c>
    </row>
    <row r="813" spans="1:13" x14ac:dyDescent="0.35">
      <c r="A813" t="s">
        <v>4233</v>
      </c>
      <c r="B813">
        <v>958135</v>
      </c>
      <c r="C813">
        <v>958422</v>
      </c>
      <c r="E813" t="s">
        <v>13</v>
      </c>
      <c r="F813" t="s">
        <v>40</v>
      </c>
      <c r="H813">
        <v>29241399</v>
      </c>
      <c r="I813" t="s">
        <v>16</v>
      </c>
      <c r="K813" t="s">
        <v>7033</v>
      </c>
      <c r="L813">
        <v>95</v>
      </c>
      <c r="M813" t="s">
        <v>7032</v>
      </c>
    </row>
    <row r="814" spans="1:13" x14ac:dyDescent="0.35">
      <c r="A814" t="s">
        <v>4233</v>
      </c>
      <c r="B814">
        <v>958448</v>
      </c>
      <c r="C814">
        <v>959830</v>
      </c>
      <c r="E814" t="s">
        <v>13</v>
      </c>
      <c r="F814" t="s">
        <v>1158</v>
      </c>
      <c r="H814">
        <v>29241400</v>
      </c>
      <c r="I814" t="s">
        <v>16</v>
      </c>
      <c r="K814" t="s">
        <v>7031</v>
      </c>
      <c r="L814">
        <v>460</v>
      </c>
      <c r="M814" t="s">
        <v>7030</v>
      </c>
    </row>
    <row r="815" spans="1:13" x14ac:dyDescent="0.35">
      <c r="A815" t="s">
        <v>4233</v>
      </c>
      <c r="B815">
        <v>959835</v>
      </c>
      <c r="C815">
        <v>962078</v>
      </c>
      <c r="E815" t="s">
        <v>13</v>
      </c>
      <c r="F815" t="s">
        <v>565</v>
      </c>
      <c r="H815">
        <v>29241401</v>
      </c>
      <c r="I815" t="s">
        <v>16</v>
      </c>
      <c r="K815" t="s">
        <v>7029</v>
      </c>
      <c r="L815">
        <v>747</v>
      </c>
      <c r="M815" t="s">
        <v>7028</v>
      </c>
    </row>
    <row r="816" spans="1:13" x14ac:dyDescent="0.35">
      <c r="A816" t="s">
        <v>4233</v>
      </c>
      <c r="B816">
        <v>962174</v>
      </c>
      <c r="C816">
        <v>962471</v>
      </c>
      <c r="E816" t="s">
        <v>36</v>
      </c>
      <c r="F816" t="s">
        <v>45</v>
      </c>
      <c r="H816">
        <v>31600464</v>
      </c>
      <c r="I816" t="s">
        <v>46</v>
      </c>
      <c r="M816" t="s">
        <v>7027</v>
      </c>
    </row>
    <row r="817" spans="1:13" x14ac:dyDescent="0.35">
      <c r="A817" t="s">
        <v>4233</v>
      </c>
      <c r="B817">
        <v>962942</v>
      </c>
      <c r="C817">
        <v>964207</v>
      </c>
      <c r="E817" t="s">
        <v>36</v>
      </c>
      <c r="F817" t="s">
        <v>849</v>
      </c>
      <c r="H817">
        <v>29241402</v>
      </c>
      <c r="I817" t="s">
        <v>16</v>
      </c>
      <c r="K817" t="s">
        <v>7026</v>
      </c>
      <c r="L817">
        <v>421</v>
      </c>
      <c r="M817" t="s">
        <v>7025</v>
      </c>
    </row>
    <row r="818" spans="1:13" x14ac:dyDescent="0.35">
      <c r="A818" t="s">
        <v>4233</v>
      </c>
      <c r="B818">
        <v>964749</v>
      </c>
      <c r="C818">
        <v>965114</v>
      </c>
      <c r="E818" t="s">
        <v>36</v>
      </c>
      <c r="F818" t="s">
        <v>7024</v>
      </c>
      <c r="H818">
        <v>29241403</v>
      </c>
      <c r="I818" t="s">
        <v>16</v>
      </c>
      <c r="K818" t="s">
        <v>7023</v>
      </c>
      <c r="L818">
        <v>121</v>
      </c>
      <c r="M818" t="s">
        <v>7022</v>
      </c>
    </row>
    <row r="819" spans="1:13" x14ac:dyDescent="0.35">
      <c r="A819" t="s">
        <v>4233</v>
      </c>
      <c r="B819">
        <v>965352</v>
      </c>
      <c r="C819">
        <v>966221</v>
      </c>
      <c r="E819" t="s">
        <v>13</v>
      </c>
      <c r="F819" t="s">
        <v>604</v>
      </c>
      <c r="H819">
        <v>29241404</v>
      </c>
      <c r="I819" t="s">
        <v>16</v>
      </c>
      <c r="K819" t="s">
        <v>7021</v>
      </c>
      <c r="L819">
        <v>289</v>
      </c>
      <c r="M819" t="s">
        <v>7020</v>
      </c>
    </row>
    <row r="820" spans="1:13" x14ac:dyDescent="0.35">
      <c r="A820" t="s">
        <v>4233</v>
      </c>
      <c r="B820">
        <v>966315</v>
      </c>
      <c r="C820">
        <v>966929</v>
      </c>
      <c r="E820" t="s">
        <v>13</v>
      </c>
      <c r="F820" t="s">
        <v>1175</v>
      </c>
      <c r="H820">
        <v>31600466</v>
      </c>
      <c r="I820" t="s">
        <v>16</v>
      </c>
      <c r="K820" t="s">
        <v>7019</v>
      </c>
      <c r="L820">
        <v>204</v>
      </c>
      <c r="M820" t="s">
        <v>7018</v>
      </c>
    </row>
    <row r="821" spans="1:13" x14ac:dyDescent="0.35">
      <c r="A821" t="s">
        <v>4233</v>
      </c>
      <c r="B821">
        <v>967146</v>
      </c>
      <c r="C821">
        <v>967469</v>
      </c>
      <c r="E821" t="s">
        <v>36</v>
      </c>
      <c r="F821" t="s">
        <v>1047</v>
      </c>
      <c r="H821">
        <v>29241406</v>
      </c>
      <c r="I821" t="s">
        <v>16</v>
      </c>
      <c r="K821" t="s">
        <v>7017</v>
      </c>
      <c r="L821">
        <v>107</v>
      </c>
      <c r="M821" t="s">
        <v>7016</v>
      </c>
    </row>
    <row r="822" spans="1:13" x14ac:dyDescent="0.35">
      <c r="A822" t="s">
        <v>4233</v>
      </c>
      <c r="B822">
        <v>967456</v>
      </c>
      <c r="C822">
        <v>967701</v>
      </c>
      <c r="E822" t="s">
        <v>36</v>
      </c>
      <c r="F822" t="s">
        <v>1157</v>
      </c>
      <c r="H822">
        <v>29241407</v>
      </c>
      <c r="I822" t="s">
        <v>16</v>
      </c>
      <c r="K822" t="s">
        <v>7015</v>
      </c>
      <c r="L822">
        <v>81</v>
      </c>
      <c r="M822" t="s">
        <v>7014</v>
      </c>
    </row>
    <row r="823" spans="1:13" x14ac:dyDescent="0.35">
      <c r="A823" t="s">
        <v>4233</v>
      </c>
      <c r="B823">
        <v>967875</v>
      </c>
      <c r="C823">
        <v>969131</v>
      </c>
      <c r="E823" t="s">
        <v>13</v>
      </c>
      <c r="F823" t="s">
        <v>7013</v>
      </c>
      <c r="H823">
        <v>29241408</v>
      </c>
      <c r="I823" t="s">
        <v>16</v>
      </c>
      <c r="K823" t="s">
        <v>7012</v>
      </c>
      <c r="L823">
        <v>418</v>
      </c>
      <c r="M823" t="s">
        <v>7011</v>
      </c>
    </row>
    <row r="824" spans="1:13" x14ac:dyDescent="0.35">
      <c r="A824" t="s">
        <v>4233</v>
      </c>
      <c r="B824">
        <v>969396</v>
      </c>
      <c r="C824">
        <v>969587</v>
      </c>
      <c r="E824" t="s">
        <v>13</v>
      </c>
      <c r="F824" t="s">
        <v>40</v>
      </c>
      <c r="H824">
        <v>29241409</v>
      </c>
      <c r="I824" t="s">
        <v>16</v>
      </c>
      <c r="K824" t="s">
        <v>7010</v>
      </c>
      <c r="L824">
        <v>63</v>
      </c>
      <c r="M824" t="s">
        <v>7009</v>
      </c>
    </row>
    <row r="825" spans="1:13" x14ac:dyDescent="0.35">
      <c r="A825" t="s">
        <v>4233</v>
      </c>
      <c r="B825">
        <v>969771</v>
      </c>
      <c r="C825">
        <v>971042</v>
      </c>
      <c r="E825" t="s">
        <v>36</v>
      </c>
      <c r="F825" t="s">
        <v>121</v>
      </c>
      <c r="H825">
        <v>29241410</v>
      </c>
      <c r="I825" t="s">
        <v>16</v>
      </c>
      <c r="K825" t="s">
        <v>7008</v>
      </c>
      <c r="L825">
        <v>423</v>
      </c>
      <c r="M825" t="s">
        <v>7007</v>
      </c>
    </row>
    <row r="826" spans="1:13" x14ac:dyDescent="0.35">
      <c r="A826" t="s">
        <v>4233</v>
      </c>
      <c r="B826">
        <v>971199</v>
      </c>
      <c r="C826">
        <v>971861</v>
      </c>
      <c r="E826" t="s">
        <v>36</v>
      </c>
      <c r="F826" t="s">
        <v>100</v>
      </c>
      <c r="H826">
        <v>29241411</v>
      </c>
      <c r="I826" t="s">
        <v>16</v>
      </c>
      <c r="K826" t="s">
        <v>7006</v>
      </c>
      <c r="L826">
        <v>220</v>
      </c>
      <c r="M826" t="s">
        <v>7005</v>
      </c>
    </row>
    <row r="827" spans="1:13" x14ac:dyDescent="0.35">
      <c r="A827" t="s">
        <v>4233</v>
      </c>
      <c r="B827">
        <v>972742</v>
      </c>
      <c r="C827">
        <v>974793</v>
      </c>
      <c r="E827" t="s">
        <v>13</v>
      </c>
      <c r="F827" t="s">
        <v>1056</v>
      </c>
      <c r="H827">
        <v>29241412</v>
      </c>
      <c r="I827" t="s">
        <v>16</v>
      </c>
      <c r="K827" t="s">
        <v>7004</v>
      </c>
      <c r="L827">
        <v>683</v>
      </c>
      <c r="M827" t="s">
        <v>7003</v>
      </c>
    </row>
    <row r="828" spans="1:13" x14ac:dyDescent="0.35">
      <c r="A828" t="s">
        <v>4233</v>
      </c>
      <c r="B828">
        <v>974887</v>
      </c>
      <c r="C828">
        <v>975083</v>
      </c>
      <c r="E828" t="s">
        <v>13</v>
      </c>
      <c r="F828" t="s">
        <v>45</v>
      </c>
      <c r="H828">
        <v>42569796</v>
      </c>
      <c r="I828" t="s">
        <v>46</v>
      </c>
      <c r="M828" t="s">
        <v>7002</v>
      </c>
    </row>
    <row r="829" spans="1:13" x14ac:dyDescent="0.35">
      <c r="A829" t="s">
        <v>4233</v>
      </c>
      <c r="B829">
        <v>975153</v>
      </c>
      <c r="C829">
        <v>976766</v>
      </c>
      <c r="E829" t="s">
        <v>13</v>
      </c>
      <c r="F829" t="s">
        <v>45</v>
      </c>
      <c r="G829" t="s">
        <v>7001</v>
      </c>
      <c r="H829">
        <v>29241413</v>
      </c>
      <c r="I829" t="s">
        <v>46</v>
      </c>
      <c r="M829" t="s">
        <v>7000</v>
      </c>
    </row>
    <row r="830" spans="1:13" x14ac:dyDescent="0.35">
      <c r="A830" t="s">
        <v>4233</v>
      </c>
      <c r="B830">
        <v>977029</v>
      </c>
      <c r="C830">
        <v>978273</v>
      </c>
      <c r="E830" t="s">
        <v>36</v>
      </c>
      <c r="F830" t="s">
        <v>103</v>
      </c>
      <c r="H830">
        <v>29241414</v>
      </c>
      <c r="I830" t="s">
        <v>16</v>
      </c>
      <c r="K830" t="s">
        <v>6999</v>
      </c>
      <c r="L830">
        <v>414</v>
      </c>
      <c r="M830" t="s">
        <v>6998</v>
      </c>
    </row>
    <row r="831" spans="1:13" x14ac:dyDescent="0.35">
      <c r="A831" t="s">
        <v>4233</v>
      </c>
      <c r="B831">
        <v>978367</v>
      </c>
      <c r="C831">
        <v>979179</v>
      </c>
      <c r="E831" t="s">
        <v>36</v>
      </c>
      <c r="F831" t="s">
        <v>1258</v>
      </c>
      <c r="G831" t="s">
        <v>1259</v>
      </c>
      <c r="H831">
        <v>29241415</v>
      </c>
      <c r="I831" t="s">
        <v>16</v>
      </c>
      <c r="K831" t="s">
        <v>6997</v>
      </c>
      <c r="L831">
        <v>270</v>
      </c>
      <c r="M831" t="s">
        <v>6996</v>
      </c>
    </row>
    <row r="832" spans="1:13" x14ac:dyDescent="0.35">
      <c r="A832" t="s">
        <v>4233</v>
      </c>
      <c r="B832">
        <v>979265</v>
      </c>
      <c r="C832">
        <v>980239</v>
      </c>
      <c r="E832" t="s">
        <v>36</v>
      </c>
      <c r="F832" t="s">
        <v>35</v>
      </c>
      <c r="H832">
        <v>29241416</v>
      </c>
      <c r="I832" t="s">
        <v>16</v>
      </c>
      <c r="K832" t="s">
        <v>6995</v>
      </c>
      <c r="L832">
        <v>324</v>
      </c>
      <c r="M832" t="s">
        <v>6994</v>
      </c>
    </row>
    <row r="833" spans="1:13" x14ac:dyDescent="0.35">
      <c r="A833" t="s">
        <v>4233</v>
      </c>
      <c r="B833">
        <v>980295</v>
      </c>
      <c r="C833">
        <v>981479</v>
      </c>
      <c r="E833" t="s">
        <v>36</v>
      </c>
      <c r="F833" t="s">
        <v>35</v>
      </c>
      <c r="H833">
        <v>29241417</v>
      </c>
      <c r="I833" t="s">
        <v>16</v>
      </c>
      <c r="K833" t="s">
        <v>6993</v>
      </c>
      <c r="L833">
        <v>394</v>
      </c>
      <c r="M833" t="s">
        <v>6992</v>
      </c>
    </row>
    <row r="834" spans="1:13" x14ac:dyDescent="0.35">
      <c r="A834" t="s">
        <v>4233</v>
      </c>
      <c r="B834">
        <v>981798</v>
      </c>
      <c r="C834">
        <v>982637</v>
      </c>
      <c r="E834" t="s">
        <v>13</v>
      </c>
      <c r="F834" t="s">
        <v>4354</v>
      </c>
      <c r="H834">
        <v>29241418</v>
      </c>
      <c r="I834" t="s">
        <v>16</v>
      </c>
      <c r="K834" t="s">
        <v>6991</v>
      </c>
      <c r="L834">
        <v>279</v>
      </c>
      <c r="M834" t="s">
        <v>6990</v>
      </c>
    </row>
    <row r="835" spans="1:13" x14ac:dyDescent="0.35">
      <c r="A835" t="s">
        <v>4233</v>
      </c>
      <c r="B835">
        <v>982890</v>
      </c>
      <c r="C835">
        <v>984317</v>
      </c>
      <c r="E835" t="s">
        <v>13</v>
      </c>
      <c r="F835" t="s">
        <v>6989</v>
      </c>
      <c r="H835">
        <v>29241419</v>
      </c>
      <c r="I835" t="s">
        <v>16</v>
      </c>
      <c r="K835" t="s">
        <v>6988</v>
      </c>
      <c r="L835">
        <v>475</v>
      </c>
      <c r="M835" t="s">
        <v>6987</v>
      </c>
    </row>
    <row r="836" spans="1:13" x14ac:dyDescent="0.35">
      <c r="A836" t="s">
        <v>4233</v>
      </c>
      <c r="B836">
        <v>984407</v>
      </c>
      <c r="C836">
        <v>985933</v>
      </c>
      <c r="E836" t="s">
        <v>13</v>
      </c>
      <c r="F836" t="s">
        <v>6986</v>
      </c>
      <c r="H836">
        <v>29241420</v>
      </c>
      <c r="I836" t="s">
        <v>16</v>
      </c>
      <c r="K836" t="s">
        <v>6985</v>
      </c>
      <c r="L836">
        <v>508</v>
      </c>
      <c r="M836" t="s">
        <v>6984</v>
      </c>
    </row>
    <row r="837" spans="1:13" x14ac:dyDescent="0.35">
      <c r="A837" t="s">
        <v>4233</v>
      </c>
      <c r="B837">
        <v>986056</v>
      </c>
      <c r="C837">
        <v>987399</v>
      </c>
      <c r="E837" t="s">
        <v>13</v>
      </c>
      <c r="F837" t="s">
        <v>6983</v>
      </c>
      <c r="H837">
        <v>29241421</v>
      </c>
      <c r="I837" t="s">
        <v>16</v>
      </c>
      <c r="K837" t="s">
        <v>6982</v>
      </c>
      <c r="L837">
        <v>447</v>
      </c>
      <c r="M837" t="s">
        <v>6981</v>
      </c>
    </row>
    <row r="838" spans="1:13" x14ac:dyDescent="0.35">
      <c r="A838" t="s">
        <v>4233</v>
      </c>
      <c r="B838">
        <v>987448</v>
      </c>
      <c r="C838">
        <v>988248</v>
      </c>
      <c r="E838" t="s">
        <v>13</v>
      </c>
      <c r="F838" t="s">
        <v>293</v>
      </c>
      <c r="H838">
        <v>29241422</v>
      </c>
      <c r="I838" t="s">
        <v>16</v>
      </c>
      <c r="K838" t="s">
        <v>6980</v>
      </c>
      <c r="L838">
        <v>266</v>
      </c>
      <c r="M838" t="s">
        <v>6979</v>
      </c>
    </row>
    <row r="839" spans="1:13" x14ac:dyDescent="0.35">
      <c r="A839" t="s">
        <v>4233</v>
      </c>
      <c r="B839">
        <v>988346</v>
      </c>
      <c r="C839">
        <v>988711</v>
      </c>
      <c r="E839" t="s">
        <v>13</v>
      </c>
      <c r="F839" t="s">
        <v>5150</v>
      </c>
      <c r="H839">
        <v>29241423</v>
      </c>
      <c r="I839" t="s">
        <v>16</v>
      </c>
      <c r="K839" t="s">
        <v>6978</v>
      </c>
      <c r="L839">
        <v>121</v>
      </c>
      <c r="M839" t="s">
        <v>6977</v>
      </c>
    </row>
    <row r="840" spans="1:13" x14ac:dyDescent="0.35">
      <c r="A840" t="s">
        <v>4233</v>
      </c>
      <c r="B840">
        <v>988681</v>
      </c>
      <c r="C840">
        <v>989298</v>
      </c>
      <c r="E840" t="s">
        <v>13</v>
      </c>
      <c r="F840" t="s">
        <v>45</v>
      </c>
      <c r="H840">
        <v>29241424</v>
      </c>
      <c r="I840" t="s">
        <v>46</v>
      </c>
      <c r="M840" t="s">
        <v>6976</v>
      </c>
    </row>
    <row r="841" spans="1:13" x14ac:dyDescent="0.35">
      <c r="A841" t="s">
        <v>4233</v>
      </c>
      <c r="B841">
        <v>989438</v>
      </c>
      <c r="C841">
        <v>989800</v>
      </c>
      <c r="E841" t="s">
        <v>36</v>
      </c>
      <c r="F841" t="s">
        <v>4918</v>
      </c>
      <c r="H841">
        <v>29241425</v>
      </c>
      <c r="I841" t="s">
        <v>16</v>
      </c>
      <c r="K841" t="s">
        <v>6975</v>
      </c>
      <c r="L841">
        <v>120</v>
      </c>
      <c r="M841" t="s">
        <v>6974</v>
      </c>
    </row>
    <row r="842" spans="1:13" x14ac:dyDescent="0.35">
      <c r="A842" t="s">
        <v>4233</v>
      </c>
      <c r="B842">
        <v>989933</v>
      </c>
      <c r="C842">
        <v>990040</v>
      </c>
      <c r="E842" t="s">
        <v>36</v>
      </c>
      <c r="F842" t="s">
        <v>45</v>
      </c>
      <c r="H842">
        <v>97007096</v>
      </c>
      <c r="I842" t="s">
        <v>46</v>
      </c>
      <c r="M842" t="s">
        <v>6973</v>
      </c>
    </row>
    <row r="843" spans="1:13" x14ac:dyDescent="0.35">
      <c r="A843" t="s">
        <v>4233</v>
      </c>
      <c r="B843">
        <v>990261</v>
      </c>
      <c r="C843">
        <v>991631</v>
      </c>
      <c r="E843" t="s">
        <v>13</v>
      </c>
      <c r="F843" t="s">
        <v>121</v>
      </c>
      <c r="H843">
        <v>29241427</v>
      </c>
      <c r="I843" t="s">
        <v>16</v>
      </c>
      <c r="K843" t="s">
        <v>6972</v>
      </c>
      <c r="L843">
        <v>456</v>
      </c>
      <c r="M843" t="s">
        <v>6971</v>
      </c>
    </row>
    <row r="844" spans="1:13" x14ac:dyDescent="0.35">
      <c r="A844" t="s">
        <v>4233</v>
      </c>
      <c r="B844">
        <v>991751</v>
      </c>
      <c r="C844">
        <v>992332</v>
      </c>
      <c r="E844" t="s">
        <v>13</v>
      </c>
      <c r="F844" t="s">
        <v>6970</v>
      </c>
      <c r="H844">
        <v>29241428</v>
      </c>
      <c r="I844" t="s">
        <v>16</v>
      </c>
      <c r="K844" t="s">
        <v>6969</v>
      </c>
      <c r="L844">
        <v>193</v>
      </c>
      <c r="M844" t="s">
        <v>6968</v>
      </c>
    </row>
    <row r="845" spans="1:13" x14ac:dyDescent="0.35">
      <c r="A845" t="s">
        <v>4233</v>
      </c>
      <c r="B845">
        <v>992383</v>
      </c>
      <c r="C845">
        <v>993213</v>
      </c>
      <c r="E845" t="s">
        <v>13</v>
      </c>
      <c r="F845" t="s">
        <v>294</v>
      </c>
      <c r="H845">
        <v>29241429</v>
      </c>
      <c r="I845" t="s">
        <v>16</v>
      </c>
      <c r="K845" t="s">
        <v>6967</v>
      </c>
      <c r="L845">
        <v>276</v>
      </c>
      <c r="M845" t="s">
        <v>6966</v>
      </c>
    </row>
    <row r="846" spans="1:13" x14ac:dyDescent="0.35">
      <c r="A846" t="s">
        <v>4233</v>
      </c>
      <c r="B846">
        <v>993319</v>
      </c>
      <c r="C846">
        <v>994608</v>
      </c>
      <c r="E846" t="s">
        <v>13</v>
      </c>
      <c r="F846" t="s">
        <v>6965</v>
      </c>
      <c r="H846">
        <v>29241430</v>
      </c>
      <c r="I846" t="s">
        <v>16</v>
      </c>
      <c r="K846" t="s">
        <v>6964</v>
      </c>
      <c r="L846">
        <v>429</v>
      </c>
      <c r="M846" t="s">
        <v>6963</v>
      </c>
    </row>
    <row r="847" spans="1:13" x14ac:dyDescent="0.35">
      <c r="A847" t="s">
        <v>4233</v>
      </c>
      <c r="B847">
        <v>994981</v>
      </c>
      <c r="C847">
        <v>997008</v>
      </c>
      <c r="E847" t="s">
        <v>13</v>
      </c>
      <c r="F847" t="s">
        <v>56</v>
      </c>
      <c r="H847">
        <v>29241431</v>
      </c>
      <c r="I847" t="s">
        <v>16</v>
      </c>
      <c r="K847" t="s">
        <v>6962</v>
      </c>
      <c r="L847">
        <v>675</v>
      </c>
      <c r="M847" t="s">
        <v>6961</v>
      </c>
    </row>
    <row r="848" spans="1:13" x14ac:dyDescent="0.35">
      <c r="A848" t="s">
        <v>4233</v>
      </c>
      <c r="B848">
        <v>997048</v>
      </c>
      <c r="C848">
        <v>998343</v>
      </c>
      <c r="E848" t="s">
        <v>36</v>
      </c>
      <c r="F848" t="s">
        <v>6960</v>
      </c>
      <c r="H848">
        <v>29241432</v>
      </c>
      <c r="I848" t="s">
        <v>16</v>
      </c>
      <c r="K848" t="s">
        <v>6959</v>
      </c>
      <c r="L848">
        <v>431</v>
      </c>
      <c r="M848" t="s">
        <v>6958</v>
      </c>
    </row>
    <row r="849" spans="1:13" x14ac:dyDescent="0.35">
      <c r="A849" t="s">
        <v>4233</v>
      </c>
      <c r="B849">
        <v>998595</v>
      </c>
      <c r="C849">
        <v>999647</v>
      </c>
      <c r="E849" t="s">
        <v>13</v>
      </c>
      <c r="F849" t="s">
        <v>6957</v>
      </c>
      <c r="H849">
        <v>29241433</v>
      </c>
      <c r="I849" t="s">
        <v>16</v>
      </c>
      <c r="K849" t="s">
        <v>6956</v>
      </c>
      <c r="L849">
        <v>350</v>
      </c>
      <c r="M849" t="s">
        <v>6955</v>
      </c>
    </row>
    <row r="850" spans="1:13" x14ac:dyDescent="0.35">
      <c r="A850" t="s">
        <v>4233</v>
      </c>
      <c r="B850">
        <v>999665</v>
      </c>
      <c r="C850">
        <v>1000288</v>
      </c>
      <c r="E850" t="s">
        <v>13</v>
      </c>
      <c r="F850" t="s">
        <v>6954</v>
      </c>
      <c r="H850">
        <v>29241434</v>
      </c>
      <c r="I850" t="s">
        <v>16</v>
      </c>
      <c r="K850" t="s">
        <v>6953</v>
      </c>
      <c r="L850">
        <v>207</v>
      </c>
      <c r="M850" t="s">
        <v>6952</v>
      </c>
    </row>
    <row r="851" spans="1:13" x14ac:dyDescent="0.35">
      <c r="A851" t="s">
        <v>4233</v>
      </c>
      <c r="B851">
        <v>1000471</v>
      </c>
      <c r="C851">
        <v>1001124</v>
      </c>
      <c r="E851" t="s">
        <v>36</v>
      </c>
      <c r="F851" t="s">
        <v>6951</v>
      </c>
      <c r="H851">
        <v>29241435</v>
      </c>
      <c r="I851" t="s">
        <v>16</v>
      </c>
      <c r="K851" t="s">
        <v>6950</v>
      </c>
      <c r="L851">
        <v>217</v>
      </c>
      <c r="M851" t="s">
        <v>6949</v>
      </c>
    </row>
    <row r="852" spans="1:13" x14ac:dyDescent="0.35">
      <c r="A852" t="s">
        <v>4233</v>
      </c>
      <c r="B852">
        <v>1001124</v>
      </c>
      <c r="C852">
        <v>1002476</v>
      </c>
      <c r="E852" t="s">
        <v>36</v>
      </c>
      <c r="F852" t="s">
        <v>6342</v>
      </c>
      <c r="H852">
        <v>29241436</v>
      </c>
      <c r="I852" t="s">
        <v>16</v>
      </c>
      <c r="K852" t="s">
        <v>6948</v>
      </c>
      <c r="L852">
        <v>450</v>
      </c>
      <c r="M852" t="s">
        <v>6947</v>
      </c>
    </row>
    <row r="853" spans="1:13" x14ac:dyDescent="0.35">
      <c r="A853" t="s">
        <v>4233</v>
      </c>
      <c r="B853">
        <v>1002862</v>
      </c>
      <c r="C853">
        <v>1003845</v>
      </c>
      <c r="E853" t="s">
        <v>13</v>
      </c>
      <c r="F853" t="s">
        <v>73</v>
      </c>
      <c r="H853">
        <v>29241437</v>
      </c>
      <c r="I853" t="s">
        <v>16</v>
      </c>
      <c r="K853" t="s">
        <v>6946</v>
      </c>
      <c r="L853">
        <v>327</v>
      </c>
      <c r="M853" t="s">
        <v>6945</v>
      </c>
    </row>
    <row r="854" spans="1:13" x14ac:dyDescent="0.35">
      <c r="A854" t="s">
        <v>4233</v>
      </c>
      <c r="B854">
        <v>1003962</v>
      </c>
      <c r="C854">
        <v>1005200</v>
      </c>
      <c r="E854" t="s">
        <v>13</v>
      </c>
      <c r="F854" t="s">
        <v>133</v>
      </c>
      <c r="H854">
        <v>29241438</v>
      </c>
      <c r="I854" t="s">
        <v>16</v>
      </c>
      <c r="K854" t="s">
        <v>6944</v>
      </c>
      <c r="L854">
        <v>412</v>
      </c>
      <c r="M854" t="s">
        <v>6943</v>
      </c>
    </row>
    <row r="855" spans="1:13" x14ac:dyDescent="0.35">
      <c r="A855" t="s">
        <v>4233</v>
      </c>
      <c r="B855">
        <v>1005187</v>
      </c>
      <c r="C855">
        <v>1006626</v>
      </c>
      <c r="E855" t="s">
        <v>13</v>
      </c>
      <c r="F855" t="s">
        <v>133</v>
      </c>
      <c r="H855">
        <v>29241439</v>
      </c>
      <c r="I855" t="s">
        <v>16</v>
      </c>
      <c r="K855" t="s">
        <v>6942</v>
      </c>
      <c r="L855">
        <v>479</v>
      </c>
      <c r="M855" t="s">
        <v>6941</v>
      </c>
    </row>
    <row r="856" spans="1:13" x14ac:dyDescent="0.35">
      <c r="A856" t="s">
        <v>4233</v>
      </c>
      <c r="B856">
        <v>1006631</v>
      </c>
      <c r="C856">
        <v>1008109</v>
      </c>
      <c r="E856" t="s">
        <v>36</v>
      </c>
      <c r="F856" t="s">
        <v>96</v>
      </c>
      <c r="H856">
        <v>29241440</v>
      </c>
      <c r="I856" t="s">
        <v>16</v>
      </c>
      <c r="K856" t="s">
        <v>6940</v>
      </c>
      <c r="L856">
        <v>492</v>
      </c>
      <c r="M856" t="s">
        <v>6939</v>
      </c>
    </row>
    <row r="857" spans="1:13" x14ac:dyDescent="0.35">
      <c r="A857" t="s">
        <v>4233</v>
      </c>
      <c r="B857">
        <v>1008108</v>
      </c>
      <c r="C857">
        <v>1008539</v>
      </c>
      <c r="E857" t="s">
        <v>13</v>
      </c>
      <c r="F857" t="s">
        <v>40</v>
      </c>
      <c r="H857">
        <v>93018730</v>
      </c>
      <c r="I857" t="s">
        <v>16</v>
      </c>
      <c r="K857" t="s">
        <v>6938</v>
      </c>
      <c r="L857">
        <v>143</v>
      </c>
      <c r="M857" t="s">
        <v>6937</v>
      </c>
    </row>
    <row r="858" spans="1:13" x14ac:dyDescent="0.35">
      <c r="A858" t="s">
        <v>4233</v>
      </c>
      <c r="B858">
        <v>1008536</v>
      </c>
      <c r="C858">
        <v>1008709</v>
      </c>
      <c r="E858" t="s">
        <v>36</v>
      </c>
      <c r="F858" t="s">
        <v>40</v>
      </c>
      <c r="H858">
        <v>93018731</v>
      </c>
      <c r="I858" t="s">
        <v>16</v>
      </c>
      <c r="K858" t="s">
        <v>6936</v>
      </c>
      <c r="L858">
        <v>57</v>
      </c>
      <c r="M858" t="s">
        <v>6935</v>
      </c>
    </row>
    <row r="859" spans="1:13" x14ac:dyDescent="0.35">
      <c r="A859" t="s">
        <v>4233</v>
      </c>
      <c r="B859">
        <v>1008925</v>
      </c>
      <c r="C859">
        <v>1010145</v>
      </c>
      <c r="E859" t="s">
        <v>13</v>
      </c>
      <c r="F859" t="s">
        <v>121</v>
      </c>
      <c r="H859">
        <v>29241442</v>
      </c>
      <c r="I859" t="s">
        <v>16</v>
      </c>
      <c r="K859" t="s">
        <v>6934</v>
      </c>
      <c r="L859">
        <v>406</v>
      </c>
      <c r="M859" t="s">
        <v>6933</v>
      </c>
    </row>
    <row r="860" spans="1:13" x14ac:dyDescent="0.35">
      <c r="A860" t="s">
        <v>4233</v>
      </c>
      <c r="B860">
        <v>1010341</v>
      </c>
      <c r="C860">
        <v>1010961</v>
      </c>
      <c r="E860" t="s">
        <v>36</v>
      </c>
      <c r="F860" t="s">
        <v>6932</v>
      </c>
      <c r="H860">
        <v>29241443</v>
      </c>
      <c r="I860" t="s">
        <v>16</v>
      </c>
      <c r="K860" t="s">
        <v>6931</v>
      </c>
      <c r="L860">
        <v>206</v>
      </c>
      <c r="M860" t="s">
        <v>6930</v>
      </c>
    </row>
    <row r="861" spans="1:13" x14ac:dyDescent="0.35">
      <c r="A861" t="s">
        <v>4233</v>
      </c>
      <c r="B861">
        <v>1011053</v>
      </c>
      <c r="C861">
        <v>1011667</v>
      </c>
      <c r="E861" t="s">
        <v>36</v>
      </c>
      <c r="F861" t="s">
        <v>6929</v>
      </c>
      <c r="H861">
        <v>29241444</v>
      </c>
      <c r="I861" t="s">
        <v>16</v>
      </c>
      <c r="K861" t="s">
        <v>6928</v>
      </c>
      <c r="L861">
        <v>204</v>
      </c>
      <c r="M861" t="s">
        <v>6927</v>
      </c>
    </row>
    <row r="862" spans="1:13" x14ac:dyDescent="0.35">
      <c r="A862" t="s">
        <v>4233</v>
      </c>
      <c r="B862">
        <v>1011777</v>
      </c>
      <c r="C862">
        <v>1012709</v>
      </c>
      <c r="E862" t="s">
        <v>36</v>
      </c>
      <c r="F862" t="s">
        <v>40</v>
      </c>
      <c r="H862">
        <v>29241445</v>
      </c>
      <c r="I862" t="s">
        <v>16</v>
      </c>
      <c r="K862" t="s">
        <v>6926</v>
      </c>
      <c r="L862">
        <v>310</v>
      </c>
      <c r="M862" t="s">
        <v>6925</v>
      </c>
    </row>
    <row r="863" spans="1:13" x14ac:dyDescent="0.35">
      <c r="A863" t="s">
        <v>4233</v>
      </c>
      <c r="B863">
        <v>1013236</v>
      </c>
      <c r="C863">
        <v>1014057</v>
      </c>
      <c r="E863" t="s">
        <v>13</v>
      </c>
      <c r="F863" t="s">
        <v>831</v>
      </c>
      <c r="H863">
        <v>29241446</v>
      </c>
      <c r="I863" t="s">
        <v>16</v>
      </c>
      <c r="K863" t="s">
        <v>6924</v>
      </c>
      <c r="L863">
        <v>273</v>
      </c>
      <c r="M863" t="s">
        <v>6923</v>
      </c>
    </row>
    <row r="864" spans="1:13" x14ac:dyDescent="0.35">
      <c r="A864" t="s">
        <v>4233</v>
      </c>
      <c r="B864">
        <v>1014198</v>
      </c>
      <c r="C864">
        <v>1014458</v>
      </c>
      <c r="E864" t="s">
        <v>13</v>
      </c>
      <c r="F864" t="s">
        <v>6922</v>
      </c>
      <c r="H864">
        <v>29241447</v>
      </c>
      <c r="I864" t="s">
        <v>16</v>
      </c>
      <c r="K864" t="s">
        <v>6921</v>
      </c>
      <c r="L864">
        <v>86</v>
      </c>
      <c r="M864" t="s">
        <v>6920</v>
      </c>
    </row>
    <row r="865" spans="1:13" x14ac:dyDescent="0.35">
      <c r="A865" t="s">
        <v>4233</v>
      </c>
      <c r="B865">
        <v>1014465</v>
      </c>
      <c r="C865">
        <v>1014674</v>
      </c>
      <c r="E865" t="s">
        <v>13</v>
      </c>
      <c r="F865" t="s">
        <v>82</v>
      </c>
      <c r="H865">
        <v>29241448</v>
      </c>
      <c r="I865" t="s">
        <v>16</v>
      </c>
      <c r="K865" t="s">
        <v>6919</v>
      </c>
      <c r="L865">
        <v>69</v>
      </c>
      <c r="M865" t="s">
        <v>6918</v>
      </c>
    </row>
    <row r="866" spans="1:13" x14ac:dyDescent="0.35">
      <c r="A866" t="s">
        <v>4233</v>
      </c>
      <c r="B866">
        <v>1014804</v>
      </c>
      <c r="C866">
        <v>1016168</v>
      </c>
      <c r="E866" t="s">
        <v>36</v>
      </c>
      <c r="F866" t="s">
        <v>168</v>
      </c>
      <c r="H866">
        <v>29241449</v>
      </c>
      <c r="I866" t="s">
        <v>16</v>
      </c>
      <c r="K866" t="s">
        <v>6917</v>
      </c>
      <c r="L866">
        <v>454</v>
      </c>
      <c r="M866" t="s">
        <v>6916</v>
      </c>
    </row>
    <row r="867" spans="1:13" x14ac:dyDescent="0.35">
      <c r="A867" t="s">
        <v>4233</v>
      </c>
      <c r="B867">
        <v>1016316</v>
      </c>
      <c r="C867">
        <v>1016897</v>
      </c>
      <c r="E867" t="s">
        <v>36</v>
      </c>
      <c r="F867" t="s">
        <v>169</v>
      </c>
      <c r="H867">
        <v>29241450</v>
      </c>
      <c r="I867" t="s">
        <v>16</v>
      </c>
      <c r="K867" t="s">
        <v>6915</v>
      </c>
      <c r="L867">
        <v>193</v>
      </c>
      <c r="M867" t="s">
        <v>6914</v>
      </c>
    </row>
    <row r="868" spans="1:13" x14ac:dyDescent="0.35">
      <c r="A868" t="s">
        <v>4233</v>
      </c>
      <c r="B868">
        <v>1017142</v>
      </c>
      <c r="C868">
        <v>1019817</v>
      </c>
      <c r="E868" t="s">
        <v>13</v>
      </c>
      <c r="F868" t="s">
        <v>6913</v>
      </c>
      <c r="H868">
        <v>29241451</v>
      </c>
      <c r="I868" t="s">
        <v>16</v>
      </c>
      <c r="K868" t="s">
        <v>6912</v>
      </c>
      <c r="L868">
        <v>891</v>
      </c>
      <c r="M868" t="s">
        <v>6911</v>
      </c>
    </row>
    <row r="869" spans="1:13" x14ac:dyDescent="0.35">
      <c r="A869" t="s">
        <v>4233</v>
      </c>
      <c r="B869">
        <v>1019938</v>
      </c>
      <c r="C869">
        <v>1020333</v>
      </c>
      <c r="E869" t="s">
        <v>13</v>
      </c>
      <c r="F869" t="s">
        <v>6910</v>
      </c>
      <c r="H869">
        <v>29241452</v>
      </c>
      <c r="I869" t="s">
        <v>16</v>
      </c>
      <c r="K869" t="s">
        <v>6909</v>
      </c>
      <c r="L869">
        <v>131</v>
      </c>
      <c r="M869" t="s">
        <v>6908</v>
      </c>
    </row>
    <row r="870" spans="1:13" x14ac:dyDescent="0.35">
      <c r="A870" t="s">
        <v>4233</v>
      </c>
      <c r="B870">
        <v>1020430</v>
      </c>
      <c r="C870">
        <v>1021647</v>
      </c>
      <c r="E870" t="s">
        <v>13</v>
      </c>
      <c r="F870" t="s">
        <v>1192</v>
      </c>
      <c r="H870">
        <v>29241453</v>
      </c>
      <c r="I870" t="s">
        <v>16</v>
      </c>
      <c r="K870" t="s">
        <v>6907</v>
      </c>
      <c r="L870">
        <v>405</v>
      </c>
      <c r="M870" t="s">
        <v>6906</v>
      </c>
    </row>
    <row r="871" spans="1:13" x14ac:dyDescent="0.35">
      <c r="A871" t="s">
        <v>4233</v>
      </c>
      <c r="B871">
        <v>1021649</v>
      </c>
      <c r="C871">
        <v>1022560</v>
      </c>
      <c r="E871" t="s">
        <v>13</v>
      </c>
      <c r="F871" t="s">
        <v>73</v>
      </c>
      <c r="H871">
        <v>29241454</v>
      </c>
      <c r="I871" t="s">
        <v>16</v>
      </c>
      <c r="K871" t="s">
        <v>6905</v>
      </c>
      <c r="L871">
        <v>303</v>
      </c>
      <c r="M871" t="s">
        <v>6904</v>
      </c>
    </row>
    <row r="872" spans="1:13" x14ac:dyDescent="0.35">
      <c r="A872" t="s">
        <v>4233</v>
      </c>
      <c r="B872">
        <v>1022757</v>
      </c>
      <c r="C872">
        <v>1023383</v>
      </c>
      <c r="E872" t="s">
        <v>13</v>
      </c>
      <c r="F872" t="s">
        <v>645</v>
      </c>
      <c r="G872" t="s">
        <v>646</v>
      </c>
      <c r="H872">
        <v>29241455</v>
      </c>
      <c r="I872" t="s">
        <v>16</v>
      </c>
      <c r="K872" t="s">
        <v>6903</v>
      </c>
      <c r="L872">
        <v>208</v>
      </c>
      <c r="M872" t="s">
        <v>6902</v>
      </c>
    </row>
    <row r="873" spans="1:13" x14ac:dyDescent="0.35">
      <c r="A873" t="s">
        <v>4233</v>
      </c>
      <c r="B873">
        <v>1023720</v>
      </c>
      <c r="C873">
        <v>1024502</v>
      </c>
      <c r="E873" t="s">
        <v>36</v>
      </c>
      <c r="F873" t="s">
        <v>1251</v>
      </c>
      <c r="H873">
        <v>29241456</v>
      </c>
      <c r="I873" t="s">
        <v>16</v>
      </c>
      <c r="K873" t="s">
        <v>6901</v>
      </c>
      <c r="L873">
        <v>260</v>
      </c>
      <c r="M873" t="s">
        <v>6900</v>
      </c>
    </row>
    <row r="874" spans="1:13" x14ac:dyDescent="0.35">
      <c r="A874" t="s">
        <v>4233</v>
      </c>
      <c r="B874">
        <v>1024643</v>
      </c>
      <c r="C874">
        <v>1025128</v>
      </c>
      <c r="E874" t="s">
        <v>36</v>
      </c>
      <c r="F874" t="s">
        <v>6899</v>
      </c>
      <c r="H874">
        <v>29241457</v>
      </c>
      <c r="I874" t="s">
        <v>16</v>
      </c>
      <c r="K874" t="s">
        <v>6898</v>
      </c>
      <c r="L874">
        <v>161</v>
      </c>
      <c r="M874" t="s">
        <v>6897</v>
      </c>
    </row>
    <row r="875" spans="1:13" x14ac:dyDescent="0.35">
      <c r="A875" t="s">
        <v>4233</v>
      </c>
      <c r="B875">
        <v>1025239</v>
      </c>
      <c r="C875">
        <v>1025574</v>
      </c>
      <c r="E875" t="s">
        <v>13</v>
      </c>
      <c r="F875" t="s">
        <v>607</v>
      </c>
      <c r="H875">
        <v>29241458</v>
      </c>
      <c r="I875" t="s">
        <v>16</v>
      </c>
      <c r="K875" t="s">
        <v>6896</v>
      </c>
      <c r="L875">
        <v>111</v>
      </c>
      <c r="M875" t="s">
        <v>6895</v>
      </c>
    </row>
    <row r="876" spans="1:13" x14ac:dyDescent="0.35">
      <c r="A876" t="s">
        <v>4233</v>
      </c>
      <c r="B876">
        <v>1025679</v>
      </c>
      <c r="C876">
        <v>1026281</v>
      </c>
      <c r="E876" t="s">
        <v>13</v>
      </c>
      <c r="F876" t="s">
        <v>5003</v>
      </c>
      <c r="H876">
        <v>29241459</v>
      </c>
      <c r="I876" t="s">
        <v>16</v>
      </c>
      <c r="K876" t="s">
        <v>6894</v>
      </c>
      <c r="L876">
        <v>200</v>
      </c>
      <c r="M876" t="s">
        <v>6893</v>
      </c>
    </row>
    <row r="877" spans="1:13" x14ac:dyDescent="0.35">
      <c r="A877" t="s">
        <v>4233</v>
      </c>
      <c r="B877">
        <v>1026458</v>
      </c>
      <c r="C877">
        <v>1026814</v>
      </c>
      <c r="E877" t="s">
        <v>36</v>
      </c>
      <c r="F877" t="s">
        <v>1047</v>
      </c>
      <c r="H877">
        <v>29241460</v>
      </c>
      <c r="I877" t="s">
        <v>16</v>
      </c>
      <c r="K877" t="s">
        <v>6892</v>
      </c>
      <c r="L877">
        <v>118</v>
      </c>
      <c r="M877" t="s">
        <v>6891</v>
      </c>
    </row>
    <row r="878" spans="1:13" x14ac:dyDescent="0.35">
      <c r="A878" t="s">
        <v>4233</v>
      </c>
      <c r="B878">
        <v>1026801</v>
      </c>
      <c r="C878">
        <v>1027097</v>
      </c>
      <c r="E878" t="s">
        <v>36</v>
      </c>
      <c r="F878" t="s">
        <v>1157</v>
      </c>
      <c r="H878">
        <v>29241461</v>
      </c>
      <c r="I878" t="s">
        <v>16</v>
      </c>
      <c r="K878" t="s">
        <v>6890</v>
      </c>
      <c r="L878">
        <v>98</v>
      </c>
      <c r="M878" t="s">
        <v>6889</v>
      </c>
    </row>
    <row r="879" spans="1:13" x14ac:dyDescent="0.35">
      <c r="A879" t="s">
        <v>4233</v>
      </c>
      <c r="B879">
        <v>1027245</v>
      </c>
      <c r="C879">
        <v>1027433</v>
      </c>
      <c r="E879" t="s">
        <v>36</v>
      </c>
      <c r="F879" t="s">
        <v>40</v>
      </c>
      <c r="H879">
        <v>29241462</v>
      </c>
      <c r="I879" t="s">
        <v>16</v>
      </c>
      <c r="K879" t="s">
        <v>6888</v>
      </c>
      <c r="L879">
        <v>62</v>
      </c>
      <c r="M879" t="s">
        <v>6887</v>
      </c>
    </row>
    <row r="880" spans="1:13" x14ac:dyDescent="0.35">
      <c r="A880" t="s">
        <v>4233</v>
      </c>
      <c r="B880">
        <v>1027509</v>
      </c>
      <c r="C880">
        <v>1028183</v>
      </c>
      <c r="E880" t="s">
        <v>13</v>
      </c>
      <c r="F880" t="s">
        <v>294</v>
      </c>
      <c r="H880">
        <v>29241463</v>
      </c>
      <c r="I880" t="s">
        <v>16</v>
      </c>
      <c r="K880" t="s">
        <v>6886</v>
      </c>
      <c r="L880">
        <v>224</v>
      </c>
      <c r="M880" t="s">
        <v>6885</v>
      </c>
    </row>
    <row r="881" spans="1:13" x14ac:dyDescent="0.35">
      <c r="A881" t="s">
        <v>4233</v>
      </c>
      <c r="B881">
        <v>1028266</v>
      </c>
      <c r="C881">
        <v>1028670</v>
      </c>
      <c r="E881" t="s">
        <v>13</v>
      </c>
      <c r="F881" t="s">
        <v>409</v>
      </c>
      <c r="H881">
        <v>29241464</v>
      </c>
      <c r="I881" t="s">
        <v>16</v>
      </c>
      <c r="K881" t="s">
        <v>6884</v>
      </c>
      <c r="L881">
        <v>134</v>
      </c>
      <c r="M881" t="s">
        <v>6883</v>
      </c>
    </row>
    <row r="882" spans="1:13" x14ac:dyDescent="0.35">
      <c r="A882" t="s">
        <v>4233</v>
      </c>
      <c r="B882">
        <v>1028670</v>
      </c>
      <c r="C882">
        <v>1028906</v>
      </c>
      <c r="E882" t="s">
        <v>13</v>
      </c>
      <c r="F882" t="s">
        <v>40</v>
      </c>
      <c r="H882">
        <v>29241465</v>
      </c>
      <c r="I882" t="s">
        <v>16</v>
      </c>
      <c r="K882" t="s">
        <v>6882</v>
      </c>
      <c r="L882">
        <v>78</v>
      </c>
      <c r="M882" t="s">
        <v>6881</v>
      </c>
    </row>
    <row r="883" spans="1:13" x14ac:dyDescent="0.35">
      <c r="A883" t="s">
        <v>4233</v>
      </c>
      <c r="B883">
        <v>1029002</v>
      </c>
      <c r="C883">
        <v>1031680</v>
      </c>
      <c r="E883" t="s">
        <v>13</v>
      </c>
      <c r="F883" t="s">
        <v>396</v>
      </c>
      <c r="G883" t="s">
        <v>397</v>
      </c>
      <c r="H883">
        <v>29241466</v>
      </c>
      <c r="I883" t="s">
        <v>16</v>
      </c>
      <c r="K883" t="s">
        <v>6880</v>
      </c>
      <c r="L883">
        <v>892</v>
      </c>
      <c r="M883" t="s">
        <v>6879</v>
      </c>
    </row>
    <row r="884" spans="1:13" x14ac:dyDescent="0.35">
      <c r="A884" t="s">
        <v>4233</v>
      </c>
      <c r="B884">
        <v>1031689</v>
      </c>
      <c r="C884">
        <v>1032141</v>
      </c>
      <c r="E884" t="s">
        <v>13</v>
      </c>
      <c r="F884" t="s">
        <v>400</v>
      </c>
      <c r="G884" t="s">
        <v>401</v>
      </c>
      <c r="H884">
        <v>29241467</v>
      </c>
      <c r="I884" t="s">
        <v>16</v>
      </c>
      <c r="K884" t="s">
        <v>6878</v>
      </c>
      <c r="L884">
        <v>150</v>
      </c>
      <c r="M884" t="s">
        <v>6877</v>
      </c>
    </row>
    <row r="885" spans="1:13" x14ac:dyDescent="0.35">
      <c r="A885" t="s">
        <v>4233</v>
      </c>
      <c r="B885">
        <v>1032154</v>
      </c>
      <c r="C885">
        <v>1033341</v>
      </c>
      <c r="E885" t="s">
        <v>13</v>
      </c>
      <c r="F885" t="s">
        <v>6876</v>
      </c>
      <c r="G885" t="s">
        <v>6875</v>
      </c>
      <c r="H885">
        <v>29241468</v>
      </c>
      <c r="I885" t="s">
        <v>16</v>
      </c>
      <c r="K885" t="s">
        <v>6874</v>
      </c>
      <c r="L885">
        <v>395</v>
      </c>
      <c r="M885" t="s">
        <v>6873</v>
      </c>
    </row>
    <row r="886" spans="1:13" x14ac:dyDescent="0.35">
      <c r="A886" t="s">
        <v>4233</v>
      </c>
      <c r="B886">
        <v>1033443</v>
      </c>
      <c r="C886">
        <v>1033916</v>
      </c>
      <c r="E886" t="s">
        <v>36</v>
      </c>
      <c r="F886" t="s">
        <v>6872</v>
      </c>
      <c r="H886">
        <v>29241469</v>
      </c>
      <c r="I886" t="s">
        <v>16</v>
      </c>
      <c r="K886" t="s">
        <v>6871</v>
      </c>
      <c r="L886">
        <v>157</v>
      </c>
      <c r="M886" t="s">
        <v>6870</v>
      </c>
    </row>
    <row r="887" spans="1:13" x14ac:dyDescent="0.35">
      <c r="A887" t="s">
        <v>4233</v>
      </c>
      <c r="B887">
        <v>1033965</v>
      </c>
      <c r="C887">
        <v>1035152</v>
      </c>
      <c r="E887" t="s">
        <v>13</v>
      </c>
      <c r="F887" t="s">
        <v>6869</v>
      </c>
      <c r="G887" t="s">
        <v>6868</v>
      </c>
      <c r="H887">
        <v>29241470</v>
      </c>
      <c r="I887" t="s">
        <v>16</v>
      </c>
      <c r="K887" t="s">
        <v>6867</v>
      </c>
      <c r="L887">
        <v>395</v>
      </c>
      <c r="M887" t="s">
        <v>6866</v>
      </c>
    </row>
    <row r="888" spans="1:13" x14ac:dyDescent="0.35">
      <c r="A888" t="s">
        <v>4233</v>
      </c>
      <c r="B888">
        <v>1035187</v>
      </c>
      <c r="C888">
        <v>1036809</v>
      </c>
      <c r="E888" t="s">
        <v>13</v>
      </c>
      <c r="F888" t="s">
        <v>6865</v>
      </c>
      <c r="H888">
        <v>29241471</v>
      </c>
      <c r="I888" t="s">
        <v>16</v>
      </c>
      <c r="K888" t="s">
        <v>6864</v>
      </c>
      <c r="L888">
        <v>540</v>
      </c>
      <c r="M888" t="s">
        <v>6863</v>
      </c>
    </row>
    <row r="889" spans="1:13" x14ac:dyDescent="0.35">
      <c r="A889" t="s">
        <v>4233</v>
      </c>
      <c r="B889">
        <v>1036961</v>
      </c>
      <c r="C889">
        <v>1037407</v>
      </c>
      <c r="E889" t="s">
        <v>13</v>
      </c>
      <c r="F889" t="s">
        <v>6862</v>
      </c>
      <c r="G889" t="s">
        <v>6861</v>
      </c>
      <c r="H889">
        <v>29241472</v>
      </c>
      <c r="I889" t="s">
        <v>16</v>
      </c>
      <c r="K889" t="s">
        <v>6860</v>
      </c>
      <c r="L889">
        <v>148</v>
      </c>
      <c r="M889" t="s">
        <v>6859</v>
      </c>
    </row>
    <row r="890" spans="1:13" x14ac:dyDescent="0.35">
      <c r="A890" t="s">
        <v>4233</v>
      </c>
      <c r="B890">
        <v>1037527</v>
      </c>
      <c r="C890">
        <v>1039191</v>
      </c>
      <c r="E890" t="s">
        <v>13</v>
      </c>
      <c r="F890" t="s">
        <v>161</v>
      </c>
      <c r="H890">
        <v>29241473</v>
      </c>
      <c r="I890" t="s">
        <v>16</v>
      </c>
      <c r="K890" t="s">
        <v>6858</v>
      </c>
      <c r="L890">
        <v>554</v>
      </c>
      <c r="M890" t="s">
        <v>6857</v>
      </c>
    </row>
    <row r="891" spans="1:13" x14ac:dyDescent="0.35">
      <c r="A891" t="s">
        <v>4233</v>
      </c>
      <c r="B891">
        <v>1039352</v>
      </c>
      <c r="C891">
        <v>1040980</v>
      </c>
      <c r="E891" t="s">
        <v>13</v>
      </c>
      <c r="F891" t="s">
        <v>4497</v>
      </c>
      <c r="H891">
        <v>29241474</v>
      </c>
      <c r="I891" t="s">
        <v>16</v>
      </c>
      <c r="K891" t="s">
        <v>6856</v>
      </c>
      <c r="L891">
        <v>542</v>
      </c>
      <c r="M891" t="s">
        <v>6855</v>
      </c>
    </row>
    <row r="892" spans="1:13" x14ac:dyDescent="0.35">
      <c r="A892" t="s">
        <v>4233</v>
      </c>
      <c r="B892">
        <v>1041159</v>
      </c>
      <c r="C892">
        <v>1042658</v>
      </c>
      <c r="E892" t="s">
        <v>13</v>
      </c>
      <c r="F892" t="s">
        <v>6854</v>
      </c>
      <c r="G892" t="s">
        <v>6853</v>
      </c>
      <c r="H892">
        <v>29241475</v>
      </c>
      <c r="I892" t="s">
        <v>16</v>
      </c>
      <c r="K892" t="s">
        <v>6852</v>
      </c>
      <c r="L892">
        <v>499</v>
      </c>
      <c r="M892" t="s">
        <v>6851</v>
      </c>
    </row>
    <row r="893" spans="1:13" x14ac:dyDescent="0.35">
      <c r="A893" t="s">
        <v>4233</v>
      </c>
      <c r="B893">
        <v>1042664</v>
      </c>
      <c r="C893">
        <v>1043899</v>
      </c>
      <c r="E893" t="s">
        <v>13</v>
      </c>
      <c r="F893" t="s">
        <v>6850</v>
      </c>
      <c r="G893" t="s">
        <v>6849</v>
      </c>
      <c r="H893">
        <v>29241476</v>
      </c>
      <c r="I893" t="s">
        <v>16</v>
      </c>
      <c r="K893" t="s">
        <v>6848</v>
      </c>
      <c r="L893">
        <v>411</v>
      </c>
      <c r="M893" t="s">
        <v>6847</v>
      </c>
    </row>
    <row r="894" spans="1:13" x14ac:dyDescent="0.35">
      <c r="A894" t="s">
        <v>4233</v>
      </c>
      <c r="B894">
        <v>1043926</v>
      </c>
      <c r="C894">
        <v>1044705</v>
      </c>
      <c r="E894" t="s">
        <v>13</v>
      </c>
      <c r="F894" t="s">
        <v>6846</v>
      </c>
      <c r="G894" t="s">
        <v>6845</v>
      </c>
      <c r="H894">
        <v>29241477</v>
      </c>
      <c r="I894" t="s">
        <v>16</v>
      </c>
      <c r="K894" t="s">
        <v>6844</v>
      </c>
      <c r="L894">
        <v>259</v>
      </c>
      <c r="M894" t="s">
        <v>6843</v>
      </c>
    </row>
    <row r="895" spans="1:13" x14ac:dyDescent="0.35">
      <c r="A895" t="s">
        <v>4233</v>
      </c>
      <c r="B895">
        <v>1044874</v>
      </c>
      <c r="C895">
        <v>1046148</v>
      </c>
      <c r="E895" t="s">
        <v>13</v>
      </c>
      <c r="F895" t="s">
        <v>6842</v>
      </c>
      <c r="H895">
        <v>29241478</v>
      </c>
      <c r="I895" t="s">
        <v>16</v>
      </c>
      <c r="K895" t="s">
        <v>6841</v>
      </c>
      <c r="L895">
        <v>424</v>
      </c>
      <c r="M895" t="s">
        <v>6840</v>
      </c>
    </row>
    <row r="896" spans="1:13" x14ac:dyDescent="0.35">
      <c r="A896" t="s">
        <v>4233</v>
      </c>
      <c r="B896">
        <v>1046160</v>
      </c>
      <c r="C896">
        <v>1046714</v>
      </c>
      <c r="E896" t="s">
        <v>13</v>
      </c>
      <c r="F896" t="s">
        <v>6839</v>
      </c>
      <c r="G896" t="s">
        <v>6838</v>
      </c>
      <c r="H896">
        <v>29241479</v>
      </c>
      <c r="I896" t="s">
        <v>16</v>
      </c>
      <c r="K896" t="s">
        <v>6837</v>
      </c>
      <c r="L896">
        <v>184</v>
      </c>
      <c r="M896" t="s">
        <v>6836</v>
      </c>
    </row>
    <row r="897" spans="1:13" x14ac:dyDescent="0.35">
      <c r="A897" t="s">
        <v>4233</v>
      </c>
      <c r="B897">
        <v>1046722</v>
      </c>
      <c r="C897">
        <v>1047306</v>
      </c>
      <c r="E897" t="s">
        <v>13</v>
      </c>
      <c r="F897" t="s">
        <v>1045</v>
      </c>
      <c r="H897">
        <v>29241480</v>
      </c>
      <c r="I897" t="s">
        <v>16</v>
      </c>
      <c r="K897" t="s">
        <v>6835</v>
      </c>
      <c r="L897">
        <v>194</v>
      </c>
      <c r="M897" t="s">
        <v>6834</v>
      </c>
    </row>
    <row r="898" spans="1:13" x14ac:dyDescent="0.35">
      <c r="A898" t="s">
        <v>4233</v>
      </c>
      <c r="B898">
        <v>1047426</v>
      </c>
      <c r="C898">
        <v>1048670</v>
      </c>
      <c r="E898" t="s">
        <v>36</v>
      </c>
      <c r="F898" t="s">
        <v>554</v>
      </c>
      <c r="G898" t="s">
        <v>6833</v>
      </c>
      <c r="H898">
        <v>29241481</v>
      </c>
      <c r="I898" t="s">
        <v>16</v>
      </c>
      <c r="K898" t="s">
        <v>6832</v>
      </c>
      <c r="L898">
        <v>414</v>
      </c>
      <c r="M898" t="s">
        <v>6831</v>
      </c>
    </row>
    <row r="899" spans="1:13" x14ac:dyDescent="0.35">
      <c r="A899" t="s">
        <v>4233</v>
      </c>
      <c r="B899">
        <v>1048874</v>
      </c>
      <c r="C899">
        <v>1049752</v>
      </c>
      <c r="E899" t="s">
        <v>36</v>
      </c>
      <c r="F899" t="s">
        <v>1093</v>
      </c>
      <c r="H899">
        <v>29241482</v>
      </c>
      <c r="I899" t="s">
        <v>16</v>
      </c>
      <c r="K899" t="s">
        <v>6830</v>
      </c>
      <c r="L899">
        <v>292</v>
      </c>
      <c r="M899" t="s">
        <v>6829</v>
      </c>
    </row>
    <row r="900" spans="1:13" x14ac:dyDescent="0.35">
      <c r="A900" t="s">
        <v>4233</v>
      </c>
      <c r="B900">
        <v>1049812</v>
      </c>
      <c r="C900">
        <v>1049899</v>
      </c>
      <c r="E900" t="s">
        <v>36</v>
      </c>
      <c r="F900" t="s">
        <v>416</v>
      </c>
      <c r="H900">
        <v>29241483</v>
      </c>
      <c r="I900" t="s">
        <v>39</v>
      </c>
      <c r="M900" t="s">
        <v>6828</v>
      </c>
    </row>
    <row r="901" spans="1:13" x14ac:dyDescent="0.35">
      <c r="A901" t="s">
        <v>4233</v>
      </c>
      <c r="B901">
        <v>1049995</v>
      </c>
      <c r="C901">
        <v>1050792</v>
      </c>
      <c r="E901" t="s">
        <v>13</v>
      </c>
      <c r="F901" t="s">
        <v>6827</v>
      </c>
      <c r="H901">
        <v>29241484</v>
      </c>
      <c r="I901" t="s">
        <v>16</v>
      </c>
      <c r="K901" t="s">
        <v>6826</v>
      </c>
      <c r="L901">
        <v>265</v>
      </c>
      <c r="M901" t="s">
        <v>6825</v>
      </c>
    </row>
    <row r="902" spans="1:13" x14ac:dyDescent="0.35">
      <c r="A902" t="s">
        <v>4233</v>
      </c>
      <c r="B902">
        <v>1050903</v>
      </c>
      <c r="C902">
        <v>1051241</v>
      </c>
      <c r="E902" t="s">
        <v>13</v>
      </c>
      <c r="F902" t="s">
        <v>6824</v>
      </c>
      <c r="H902">
        <v>29241485</v>
      </c>
      <c r="I902" t="s">
        <v>16</v>
      </c>
      <c r="K902" t="s">
        <v>6823</v>
      </c>
      <c r="L902">
        <v>112</v>
      </c>
      <c r="M902" t="s">
        <v>6822</v>
      </c>
    </row>
    <row r="903" spans="1:13" x14ac:dyDescent="0.35">
      <c r="A903" t="s">
        <v>4233</v>
      </c>
      <c r="B903">
        <v>1051260</v>
      </c>
      <c r="C903">
        <v>1052444</v>
      </c>
      <c r="E903" t="s">
        <v>13</v>
      </c>
      <c r="F903" t="s">
        <v>883</v>
      </c>
      <c r="H903">
        <v>29241486</v>
      </c>
      <c r="I903" t="s">
        <v>16</v>
      </c>
      <c r="K903" t="s">
        <v>6821</v>
      </c>
      <c r="L903">
        <v>394</v>
      </c>
      <c r="M903" t="s">
        <v>6820</v>
      </c>
    </row>
    <row r="904" spans="1:13" x14ac:dyDescent="0.35">
      <c r="A904" t="s">
        <v>4233</v>
      </c>
      <c r="B904">
        <v>1052434</v>
      </c>
      <c r="C904">
        <v>1052985</v>
      </c>
      <c r="E904" t="s">
        <v>13</v>
      </c>
      <c r="F904" t="s">
        <v>881</v>
      </c>
      <c r="G904" t="s">
        <v>882</v>
      </c>
      <c r="H904">
        <v>29241487</v>
      </c>
      <c r="I904" t="s">
        <v>16</v>
      </c>
      <c r="K904" t="s">
        <v>6819</v>
      </c>
      <c r="L904">
        <v>183</v>
      </c>
      <c r="M904" t="s">
        <v>6818</v>
      </c>
    </row>
    <row r="905" spans="1:13" x14ac:dyDescent="0.35">
      <c r="A905" t="s">
        <v>4233</v>
      </c>
      <c r="B905">
        <v>1053010</v>
      </c>
      <c r="C905">
        <v>1054443</v>
      </c>
      <c r="E905" t="s">
        <v>13</v>
      </c>
      <c r="F905" t="s">
        <v>505</v>
      </c>
      <c r="H905">
        <v>29241488</v>
      </c>
      <c r="I905" t="s">
        <v>16</v>
      </c>
      <c r="K905" t="s">
        <v>6817</v>
      </c>
      <c r="L905">
        <v>477</v>
      </c>
      <c r="M905" t="s">
        <v>6816</v>
      </c>
    </row>
    <row r="906" spans="1:13" x14ac:dyDescent="0.35">
      <c r="A906" t="s">
        <v>4233</v>
      </c>
      <c r="B906">
        <v>1054445</v>
      </c>
      <c r="C906">
        <v>1055452</v>
      </c>
      <c r="E906" t="s">
        <v>13</v>
      </c>
      <c r="F906" t="s">
        <v>879</v>
      </c>
      <c r="G906" t="s">
        <v>880</v>
      </c>
      <c r="H906">
        <v>29241489</v>
      </c>
      <c r="I906" t="s">
        <v>16</v>
      </c>
      <c r="K906" t="s">
        <v>6815</v>
      </c>
      <c r="L906">
        <v>335</v>
      </c>
      <c r="M906" t="s">
        <v>6814</v>
      </c>
    </row>
    <row r="907" spans="1:13" x14ac:dyDescent="0.35">
      <c r="A907" t="s">
        <v>4233</v>
      </c>
      <c r="B907">
        <v>1055526</v>
      </c>
      <c r="C907">
        <v>1057559</v>
      </c>
      <c r="E907" t="s">
        <v>36</v>
      </c>
      <c r="F907" t="s">
        <v>5313</v>
      </c>
      <c r="H907">
        <v>29241490</v>
      </c>
      <c r="I907" t="s">
        <v>16</v>
      </c>
      <c r="K907" t="s">
        <v>6813</v>
      </c>
      <c r="L907">
        <v>677</v>
      </c>
      <c r="M907" t="s">
        <v>6812</v>
      </c>
    </row>
    <row r="908" spans="1:13" x14ac:dyDescent="0.35">
      <c r="A908" t="s">
        <v>4233</v>
      </c>
      <c r="B908">
        <v>1057952</v>
      </c>
      <c r="C908">
        <v>1059115</v>
      </c>
      <c r="E908" t="s">
        <v>13</v>
      </c>
      <c r="F908" t="s">
        <v>6809</v>
      </c>
      <c r="H908">
        <v>29241491</v>
      </c>
      <c r="I908" t="s">
        <v>16</v>
      </c>
      <c r="K908" t="s">
        <v>6811</v>
      </c>
      <c r="L908">
        <v>387</v>
      </c>
      <c r="M908" t="s">
        <v>6810</v>
      </c>
    </row>
    <row r="909" spans="1:13" x14ac:dyDescent="0.35">
      <c r="A909" t="s">
        <v>4233</v>
      </c>
      <c r="B909">
        <v>1059131</v>
      </c>
      <c r="C909">
        <v>1059436</v>
      </c>
      <c r="E909" t="s">
        <v>13</v>
      </c>
      <c r="F909" t="s">
        <v>6809</v>
      </c>
      <c r="H909">
        <v>29241492</v>
      </c>
      <c r="I909" t="s">
        <v>16</v>
      </c>
      <c r="K909" t="s">
        <v>6808</v>
      </c>
      <c r="L909">
        <v>101</v>
      </c>
      <c r="M909" t="s">
        <v>6807</v>
      </c>
    </row>
    <row r="910" spans="1:13" x14ac:dyDescent="0.35">
      <c r="A910" t="s">
        <v>4233</v>
      </c>
      <c r="B910">
        <v>1059436</v>
      </c>
      <c r="C910">
        <v>1060860</v>
      </c>
      <c r="E910" t="s">
        <v>13</v>
      </c>
      <c r="F910" t="s">
        <v>6806</v>
      </c>
      <c r="H910">
        <v>29241493</v>
      </c>
      <c r="I910" t="s">
        <v>16</v>
      </c>
      <c r="K910" t="s">
        <v>6805</v>
      </c>
      <c r="L910">
        <v>474</v>
      </c>
      <c r="M910" t="s">
        <v>6804</v>
      </c>
    </row>
    <row r="911" spans="1:13" x14ac:dyDescent="0.35">
      <c r="A911" t="s">
        <v>4233</v>
      </c>
      <c r="B911">
        <v>1060967</v>
      </c>
      <c r="C911">
        <v>1062250</v>
      </c>
      <c r="E911" t="s">
        <v>36</v>
      </c>
      <c r="F911" t="s">
        <v>6803</v>
      </c>
      <c r="H911">
        <v>29241494</v>
      </c>
      <c r="I911" t="s">
        <v>16</v>
      </c>
      <c r="K911" t="s">
        <v>6802</v>
      </c>
      <c r="L911">
        <v>427</v>
      </c>
      <c r="M911" t="s">
        <v>6801</v>
      </c>
    </row>
    <row r="912" spans="1:13" x14ac:dyDescent="0.35">
      <c r="A912" t="s">
        <v>4233</v>
      </c>
      <c r="B912">
        <v>1062648</v>
      </c>
      <c r="C912">
        <v>1063277</v>
      </c>
      <c r="E912" t="s">
        <v>13</v>
      </c>
      <c r="F912" t="s">
        <v>6800</v>
      </c>
      <c r="H912">
        <v>29241495</v>
      </c>
      <c r="I912" t="s">
        <v>16</v>
      </c>
      <c r="K912" t="s">
        <v>6799</v>
      </c>
      <c r="L912">
        <v>209</v>
      </c>
      <c r="M912" t="s">
        <v>6798</v>
      </c>
    </row>
    <row r="913" spans="1:13" x14ac:dyDescent="0.35">
      <c r="A913" t="s">
        <v>4233</v>
      </c>
      <c r="B913">
        <v>1063501</v>
      </c>
      <c r="C913">
        <v>1064628</v>
      </c>
      <c r="E913" t="s">
        <v>13</v>
      </c>
      <c r="F913" t="s">
        <v>1008</v>
      </c>
      <c r="H913">
        <v>29241496</v>
      </c>
      <c r="I913" t="s">
        <v>16</v>
      </c>
      <c r="K913" t="s">
        <v>6797</v>
      </c>
      <c r="L913">
        <v>375</v>
      </c>
      <c r="M913" t="s">
        <v>6796</v>
      </c>
    </row>
    <row r="914" spans="1:13" x14ac:dyDescent="0.35">
      <c r="A914" t="s">
        <v>4233</v>
      </c>
      <c r="B914">
        <v>1064827</v>
      </c>
      <c r="C914">
        <v>1065708</v>
      </c>
      <c r="E914" t="s">
        <v>13</v>
      </c>
      <c r="F914" t="s">
        <v>6795</v>
      </c>
      <c r="H914">
        <v>29241497</v>
      </c>
      <c r="I914" t="s">
        <v>16</v>
      </c>
      <c r="K914" t="s">
        <v>6794</v>
      </c>
      <c r="L914">
        <v>293</v>
      </c>
      <c r="M914" t="s">
        <v>6793</v>
      </c>
    </row>
    <row r="915" spans="1:13" x14ac:dyDescent="0.35">
      <c r="A915" t="s">
        <v>4233</v>
      </c>
      <c r="B915">
        <v>1066057</v>
      </c>
      <c r="C915">
        <v>1066827</v>
      </c>
      <c r="E915" t="s">
        <v>13</v>
      </c>
      <c r="F915" t="s">
        <v>6792</v>
      </c>
      <c r="H915">
        <v>29241498</v>
      </c>
      <c r="I915" t="s">
        <v>16</v>
      </c>
      <c r="K915" t="s">
        <v>6791</v>
      </c>
      <c r="L915">
        <v>256</v>
      </c>
      <c r="M915" t="s">
        <v>6790</v>
      </c>
    </row>
    <row r="916" spans="1:13" x14ac:dyDescent="0.35">
      <c r="A916" t="s">
        <v>4233</v>
      </c>
      <c r="B916">
        <v>1067036</v>
      </c>
      <c r="C916">
        <v>1067296</v>
      </c>
      <c r="E916" t="s">
        <v>36</v>
      </c>
      <c r="F916" t="s">
        <v>699</v>
      </c>
      <c r="G916" t="s">
        <v>700</v>
      </c>
      <c r="H916">
        <v>29241499</v>
      </c>
      <c r="I916" t="s">
        <v>16</v>
      </c>
      <c r="K916" t="s">
        <v>6789</v>
      </c>
      <c r="L916">
        <v>86</v>
      </c>
      <c r="M916" t="s">
        <v>6788</v>
      </c>
    </row>
    <row r="917" spans="1:13" x14ac:dyDescent="0.35">
      <c r="A917" t="s">
        <v>4233</v>
      </c>
      <c r="B917">
        <v>1067443</v>
      </c>
      <c r="C917">
        <v>1069323</v>
      </c>
      <c r="E917" t="s">
        <v>13</v>
      </c>
      <c r="F917" t="s">
        <v>908</v>
      </c>
      <c r="G917" t="s">
        <v>909</v>
      </c>
      <c r="H917">
        <v>29241500</v>
      </c>
      <c r="I917" t="s">
        <v>16</v>
      </c>
      <c r="K917" t="s">
        <v>6787</v>
      </c>
      <c r="L917">
        <v>626</v>
      </c>
      <c r="M917" t="s">
        <v>6786</v>
      </c>
    </row>
    <row r="918" spans="1:13" x14ac:dyDescent="0.35">
      <c r="A918" t="s">
        <v>4233</v>
      </c>
      <c r="B918">
        <v>1069323</v>
      </c>
      <c r="C918">
        <v>1070636</v>
      </c>
      <c r="E918" t="s">
        <v>13</v>
      </c>
      <c r="F918" t="s">
        <v>6785</v>
      </c>
      <c r="G918" t="s">
        <v>6784</v>
      </c>
      <c r="H918">
        <v>29241501</v>
      </c>
      <c r="I918" t="s">
        <v>16</v>
      </c>
      <c r="K918" t="s">
        <v>6783</v>
      </c>
      <c r="L918">
        <v>437</v>
      </c>
      <c r="M918" t="s">
        <v>6782</v>
      </c>
    </row>
    <row r="919" spans="1:13" x14ac:dyDescent="0.35">
      <c r="A919" t="s">
        <v>4233</v>
      </c>
      <c r="B919">
        <v>1070981</v>
      </c>
      <c r="C919">
        <v>1071109</v>
      </c>
      <c r="E919" t="s">
        <v>36</v>
      </c>
      <c r="F919" t="s">
        <v>40</v>
      </c>
      <c r="H919">
        <v>93018752</v>
      </c>
      <c r="I919" t="s">
        <v>16</v>
      </c>
      <c r="K919" t="s">
        <v>6781</v>
      </c>
      <c r="L919">
        <v>42</v>
      </c>
      <c r="M919" t="s">
        <v>6780</v>
      </c>
    </row>
    <row r="920" spans="1:13" x14ac:dyDescent="0.35">
      <c r="A920" t="s">
        <v>4233</v>
      </c>
      <c r="B920">
        <v>1071348</v>
      </c>
      <c r="C920">
        <v>1072376</v>
      </c>
      <c r="E920" t="s">
        <v>13</v>
      </c>
      <c r="F920" t="s">
        <v>410</v>
      </c>
      <c r="H920">
        <v>29241502</v>
      </c>
      <c r="I920" t="s">
        <v>16</v>
      </c>
      <c r="K920" t="s">
        <v>6779</v>
      </c>
      <c r="L920">
        <v>342</v>
      </c>
      <c r="M920" t="s">
        <v>6778</v>
      </c>
    </row>
    <row r="921" spans="1:13" x14ac:dyDescent="0.35">
      <c r="A921" t="s">
        <v>4233</v>
      </c>
      <c r="B921">
        <v>1072423</v>
      </c>
      <c r="C921">
        <v>1073166</v>
      </c>
      <c r="E921" t="s">
        <v>36</v>
      </c>
      <c r="F921" t="s">
        <v>410</v>
      </c>
      <c r="H921">
        <v>31600472</v>
      </c>
      <c r="I921" t="s">
        <v>16</v>
      </c>
      <c r="K921" t="s">
        <v>6777</v>
      </c>
      <c r="L921">
        <v>247</v>
      </c>
      <c r="M921" t="s">
        <v>6776</v>
      </c>
    </row>
    <row r="922" spans="1:13" x14ac:dyDescent="0.35">
      <c r="A922" t="s">
        <v>4233</v>
      </c>
      <c r="B922">
        <v>1073435</v>
      </c>
      <c r="C922">
        <v>1078006</v>
      </c>
      <c r="E922" t="s">
        <v>13</v>
      </c>
      <c r="F922" t="s">
        <v>6775</v>
      </c>
      <c r="G922" t="s">
        <v>6774</v>
      </c>
      <c r="H922">
        <v>29241504</v>
      </c>
      <c r="I922" t="s">
        <v>16</v>
      </c>
      <c r="K922" t="s">
        <v>6773</v>
      </c>
      <c r="L922">
        <v>1523</v>
      </c>
      <c r="M922" t="s">
        <v>6772</v>
      </c>
    </row>
    <row r="923" spans="1:13" x14ac:dyDescent="0.35">
      <c r="A923" t="s">
        <v>4233</v>
      </c>
      <c r="B923">
        <v>1078008</v>
      </c>
      <c r="C923">
        <v>1079543</v>
      </c>
      <c r="E923" t="s">
        <v>13</v>
      </c>
      <c r="F923" t="s">
        <v>6771</v>
      </c>
      <c r="H923">
        <v>29241505</v>
      </c>
      <c r="I923" t="s">
        <v>16</v>
      </c>
      <c r="K923" t="s">
        <v>6770</v>
      </c>
      <c r="L923">
        <v>511</v>
      </c>
      <c r="M923" t="s">
        <v>6769</v>
      </c>
    </row>
    <row r="924" spans="1:13" x14ac:dyDescent="0.35">
      <c r="A924" t="s">
        <v>4233</v>
      </c>
      <c r="B924">
        <v>1079729</v>
      </c>
      <c r="C924">
        <v>1081369</v>
      </c>
      <c r="E924" t="s">
        <v>13</v>
      </c>
      <c r="F924" t="s">
        <v>590</v>
      </c>
      <c r="H924">
        <v>29241506</v>
      </c>
      <c r="I924" t="s">
        <v>16</v>
      </c>
      <c r="K924" t="s">
        <v>6768</v>
      </c>
      <c r="L924">
        <v>546</v>
      </c>
      <c r="M924" t="s">
        <v>6767</v>
      </c>
    </row>
    <row r="925" spans="1:13" x14ac:dyDescent="0.35">
      <c r="A925" t="s">
        <v>4233</v>
      </c>
      <c r="B925">
        <v>1081525</v>
      </c>
      <c r="C925">
        <v>1083408</v>
      </c>
      <c r="E925" t="s">
        <v>13</v>
      </c>
      <c r="F925" t="s">
        <v>6766</v>
      </c>
      <c r="H925">
        <v>29241507</v>
      </c>
      <c r="I925" t="s">
        <v>16</v>
      </c>
      <c r="K925" t="s">
        <v>6765</v>
      </c>
      <c r="L925">
        <v>627</v>
      </c>
      <c r="M925" t="s">
        <v>6764</v>
      </c>
    </row>
    <row r="926" spans="1:13" x14ac:dyDescent="0.35">
      <c r="A926" t="s">
        <v>4233</v>
      </c>
      <c r="B926">
        <v>1083528</v>
      </c>
      <c r="C926">
        <v>1083992</v>
      </c>
      <c r="E926" t="s">
        <v>13</v>
      </c>
      <c r="F926" t="s">
        <v>1014</v>
      </c>
      <c r="H926">
        <v>29241508</v>
      </c>
      <c r="I926" t="s">
        <v>16</v>
      </c>
      <c r="K926" t="s">
        <v>6763</v>
      </c>
      <c r="L926">
        <v>154</v>
      </c>
      <c r="M926" t="s">
        <v>6762</v>
      </c>
    </row>
    <row r="927" spans="1:13" x14ac:dyDescent="0.35">
      <c r="A927" t="s">
        <v>4233</v>
      </c>
      <c r="B927">
        <v>1084121</v>
      </c>
      <c r="C927">
        <v>1085371</v>
      </c>
      <c r="E927" t="s">
        <v>13</v>
      </c>
      <c r="F927" t="s">
        <v>6761</v>
      </c>
      <c r="G927" t="s">
        <v>557</v>
      </c>
      <c r="H927">
        <v>29241509</v>
      </c>
      <c r="I927" t="s">
        <v>16</v>
      </c>
      <c r="K927" t="s">
        <v>6760</v>
      </c>
      <c r="L927">
        <v>416</v>
      </c>
      <c r="M927" t="s">
        <v>6759</v>
      </c>
    </row>
    <row r="928" spans="1:13" x14ac:dyDescent="0.35">
      <c r="A928" t="s">
        <v>4233</v>
      </c>
      <c r="B928">
        <v>1085522</v>
      </c>
      <c r="C928">
        <v>1086370</v>
      </c>
      <c r="E928" t="s">
        <v>13</v>
      </c>
      <c r="F928" t="s">
        <v>73</v>
      </c>
      <c r="H928">
        <v>29241510</v>
      </c>
      <c r="I928" t="s">
        <v>16</v>
      </c>
      <c r="K928" t="s">
        <v>6758</v>
      </c>
      <c r="L928">
        <v>282</v>
      </c>
      <c r="M928" t="s">
        <v>6757</v>
      </c>
    </row>
    <row r="929" spans="1:13" x14ac:dyDescent="0.35">
      <c r="A929" t="s">
        <v>4233</v>
      </c>
      <c r="B929">
        <v>1086470</v>
      </c>
      <c r="C929">
        <v>1087315</v>
      </c>
      <c r="E929" t="s">
        <v>13</v>
      </c>
      <c r="F929" t="s">
        <v>52</v>
      </c>
      <c r="H929">
        <v>29241511</v>
      </c>
      <c r="I929" t="s">
        <v>16</v>
      </c>
      <c r="K929" t="s">
        <v>6756</v>
      </c>
      <c r="L929">
        <v>281</v>
      </c>
      <c r="M929" t="s">
        <v>6755</v>
      </c>
    </row>
    <row r="930" spans="1:13" x14ac:dyDescent="0.35">
      <c r="A930" t="s">
        <v>4233</v>
      </c>
      <c r="B930">
        <v>1087477</v>
      </c>
      <c r="C930">
        <v>1087659</v>
      </c>
      <c r="E930" t="s">
        <v>13</v>
      </c>
      <c r="F930" t="s">
        <v>40</v>
      </c>
      <c r="H930">
        <v>29241512</v>
      </c>
      <c r="I930" t="s">
        <v>16</v>
      </c>
      <c r="K930" t="s">
        <v>6754</v>
      </c>
      <c r="L930">
        <v>60</v>
      </c>
      <c r="M930" t="s">
        <v>6753</v>
      </c>
    </row>
    <row r="931" spans="1:13" x14ac:dyDescent="0.35">
      <c r="A931" t="s">
        <v>4233</v>
      </c>
      <c r="B931">
        <v>1087699</v>
      </c>
      <c r="C931">
        <v>1088247</v>
      </c>
      <c r="E931" t="s">
        <v>13</v>
      </c>
      <c r="F931" t="s">
        <v>6752</v>
      </c>
      <c r="H931">
        <v>29241513</v>
      </c>
      <c r="I931" t="s">
        <v>16</v>
      </c>
      <c r="K931" t="s">
        <v>6751</v>
      </c>
      <c r="L931">
        <v>182</v>
      </c>
      <c r="M931" t="s">
        <v>6750</v>
      </c>
    </row>
    <row r="932" spans="1:13" x14ac:dyDescent="0.35">
      <c r="A932" t="s">
        <v>4233</v>
      </c>
      <c r="B932">
        <v>1088350</v>
      </c>
      <c r="C932">
        <v>1089174</v>
      </c>
      <c r="E932" t="s">
        <v>36</v>
      </c>
      <c r="F932" t="s">
        <v>40</v>
      </c>
      <c r="H932">
        <v>29241514</v>
      </c>
      <c r="I932" t="s">
        <v>16</v>
      </c>
      <c r="K932" t="s">
        <v>6749</v>
      </c>
      <c r="L932">
        <v>274</v>
      </c>
      <c r="M932" t="s">
        <v>6748</v>
      </c>
    </row>
    <row r="933" spans="1:13" x14ac:dyDescent="0.35">
      <c r="A933" t="s">
        <v>4233</v>
      </c>
      <c r="B933">
        <v>1089305</v>
      </c>
      <c r="C933">
        <v>1089679</v>
      </c>
      <c r="E933" t="s">
        <v>13</v>
      </c>
      <c r="F933" t="s">
        <v>45</v>
      </c>
      <c r="H933">
        <v>31600474</v>
      </c>
      <c r="I933" t="s">
        <v>46</v>
      </c>
      <c r="M933" t="s">
        <v>6747</v>
      </c>
    </row>
    <row r="934" spans="1:13" x14ac:dyDescent="0.35">
      <c r="A934" t="s">
        <v>4233</v>
      </c>
      <c r="B934">
        <v>1089751</v>
      </c>
      <c r="C934">
        <v>1090686</v>
      </c>
      <c r="E934" t="s">
        <v>36</v>
      </c>
      <c r="F934" t="s">
        <v>95</v>
      </c>
      <c r="H934">
        <v>29241515</v>
      </c>
      <c r="I934" t="s">
        <v>16</v>
      </c>
      <c r="K934" t="s">
        <v>6746</v>
      </c>
      <c r="L934">
        <v>311</v>
      </c>
      <c r="M934" t="s">
        <v>6745</v>
      </c>
    </row>
    <row r="935" spans="1:13" x14ac:dyDescent="0.35">
      <c r="A935" t="s">
        <v>4233</v>
      </c>
      <c r="B935">
        <v>1090761</v>
      </c>
      <c r="C935">
        <v>1091270</v>
      </c>
      <c r="E935" t="s">
        <v>36</v>
      </c>
      <c r="F935" t="s">
        <v>6744</v>
      </c>
      <c r="H935">
        <v>29241516</v>
      </c>
      <c r="I935" t="s">
        <v>16</v>
      </c>
      <c r="K935" t="s">
        <v>6743</v>
      </c>
      <c r="L935">
        <v>169</v>
      </c>
      <c r="M935" t="s">
        <v>6742</v>
      </c>
    </row>
    <row r="936" spans="1:13" x14ac:dyDescent="0.35">
      <c r="A936" t="s">
        <v>4233</v>
      </c>
      <c r="B936">
        <v>1091291</v>
      </c>
      <c r="C936">
        <v>1092034</v>
      </c>
      <c r="E936" t="s">
        <v>36</v>
      </c>
      <c r="F936" t="s">
        <v>6741</v>
      </c>
      <c r="H936">
        <v>29241517</v>
      </c>
      <c r="I936" t="s">
        <v>16</v>
      </c>
      <c r="K936" t="s">
        <v>6740</v>
      </c>
      <c r="L936">
        <v>247</v>
      </c>
      <c r="M936" t="s">
        <v>6739</v>
      </c>
    </row>
    <row r="937" spans="1:13" x14ac:dyDescent="0.35">
      <c r="A937" t="s">
        <v>4233</v>
      </c>
      <c r="B937">
        <v>1092334</v>
      </c>
      <c r="C937">
        <v>1093068</v>
      </c>
      <c r="E937" t="s">
        <v>13</v>
      </c>
      <c r="F937" t="s">
        <v>6738</v>
      </c>
      <c r="G937" t="s">
        <v>6737</v>
      </c>
      <c r="H937">
        <v>29241518</v>
      </c>
      <c r="I937" t="s">
        <v>16</v>
      </c>
      <c r="K937" t="s">
        <v>6736</v>
      </c>
      <c r="L937">
        <v>244</v>
      </c>
      <c r="M937" t="s">
        <v>6735</v>
      </c>
    </row>
    <row r="938" spans="1:13" x14ac:dyDescent="0.35">
      <c r="A938" t="s">
        <v>4233</v>
      </c>
      <c r="B938">
        <v>1093056</v>
      </c>
      <c r="C938">
        <v>1093298</v>
      </c>
      <c r="E938" t="s">
        <v>13</v>
      </c>
      <c r="F938" t="s">
        <v>40</v>
      </c>
      <c r="H938">
        <v>29241519</v>
      </c>
      <c r="I938" t="s">
        <v>16</v>
      </c>
      <c r="K938" t="s">
        <v>6734</v>
      </c>
      <c r="L938">
        <v>80</v>
      </c>
      <c r="M938" t="s">
        <v>6733</v>
      </c>
    </row>
    <row r="939" spans="1:13" x14ac:dyDescent="0.35">
      <c r="A939" t="s">
        <v>4233</v>
      </c>
      <c r="B939">
        <v>1093806</v>
      </c>
      <c r="C939">
        <v>1094510</v>
      </c>
      <c r="E939" t="s">
        <v>36</v>
      </c>
      <c r="F939" t="s">
        <v>6732</v>
      </c>
      <c r="H939">
        <v>29241520</v>
      </c>
      <c r="I939" t="s">
        <v>16</v>
      </c>
      <c r="K939" t="s">
        <v>6731</v>
      </c>
      <c r="L939">
        <v>234</v>
      </c>
      <c r="M939" t="s">
        <v>6730</v>
      </c>
    </row>
    <row r="940" spans="1:13" x14ac:dyDescent="0.35">
      <c r="A940" t="s">
        <v>4233</v>
      </c>
      <c r="B940">
        <v>1094607</v>
      </c>
      <c r="C940">
        <v>1095677</v>
      </c>
      <c r="E940" t="s">
        <v>13</v>
      </c>
      <c r="F940" t="s">
        <v>6729</v>
      </c>
      <c r="H940">
        <v>29241521</v>
      </c>
      <c r="I940" t="s">
        <v>16</v>
      </c>
      <c r="K940" t="s">
        <v>6728</v>
      </c>
      <c r="L940">
        <v>356</v>
      </c>
      <c r="M940" t="s">
        <v>6727</v>
      </c>
    </row>
    <row r="941" spans="1:13" x14ac:dyDescent="0.35">
      <c r="A941" t="s">
        <v>4233</v>
      </c>
      <c r="B941">
        <v>1095766</v>
      </c>
      <c r="C941">
        <v>1096323</v>
      </c>
      <c r="E941" t="s">
        <v>13</v>
      </c>
      <c r="F941" t="s">
        <v>294</v>
      </c>
      <c r="H941">
        <v>29241522</v>
      </c>
      <c r="I941" t="s">
        <v>16</v>
      </c>
      <c r="K941" t="s">
        <v>6726</v>
      </c>
      <c r="L941">
        <v>185</v>
      </c>
      <c r="M941" t="s">
        <v>6725</v>
      </c>
    </row>
    <row r="942" spans="1:13" x14ac:dyDescent="0.35">
      <c r="A942" t="s">
        <v>4233</v>
      </c>
      <c r="B942">
        <v>1096572</v>
      </c>
      <c r="C942">
        <v>1098875</v>
      </c>
      <c r="E942" t="s">
        <v>13</v>
      </c>
      <c r="F942" t="s">
        <v>834</v>
      </c>
      <c r="G942" t="s">
        <v>6724</v>
      </c>
      <c r="H942">
        <v>29241523</v>
      </c>
      <c r="I942" t="s">
        <v>16</v>
      </c>
      <c r="K942" t="s">
        <v>6723</v>
      </c>
      <c r="L942">
        <v>767</v>
      </c>
      <c r="M942" t="s">
        <v>6722</v>
      </c>
    </row>
    <row r="943" spans="1:13" x14ac:dyDescent="0.35">
      <c r="A943" t="s">
        <v>4233</v>
      </c>
      <c r="B943">
        <v>1099021</v>
      </c>
      <c r="C943">
        <v>1099875</v>
      </c>
      <c r="E943" t="s">
        <v>13</v>
      </c>
      <c r="F943" t="s">
        <v>6721</v>
      </c>
      <c r="G943" t="s">
        <v>6720</v>
      </c>
      <c r="H943">
        <v>29241524</v>
      </c>
      <c r="I943" t="s">
        <v>16</v>
      </c>
      <c r="K943" t="s">
        <v>6719</v>
      </c>
      <c r="L943">
        <v>284</v>
      </c>
      <c r="M943" t="s">
        <v>6718</v>
      </c>
    </row>
    <row r="944" spans="1:13" x14ac:dyDescent="0.35">
      <c r="A944" t="s">
        <v>4233</v>
      </c>
      <c r="B944">
        <v>1100010</v>
      </c>
      <c r="C944">
        <v>1100963</v>
      </c>
      <c r="E944" t="s">
        <v>13</v>
      </c>
      <c r="F944" t="s">
        <v>743</v>
      </c>
      <c r="G944" t="s">
        <v>744</v>
      </c>
      <c r="H944">
        <v>29241525</v>
      </c>
      <c r="I944" t="s">
        <v>16</v>
      </c>
      <c r="K944" t="s">
        <v>6717</v>
      </c>
      <c r="L944">
        <v>317</v>
      </c>
      <c r="M944" t="s">
        <v>6716</v>
      </c>
    </row>
    <row r="945" spans="1:13" x14ac:dyDescent="0.35">
      <c r="A945" t="s">
        <v>4233</v>
      </c>
      <c r="B945">
        <v>1101020</v>
      </c>
      <c r="C945">
        <v>1104202</v>
      </c>
      <c r="E945" t="s">
        <v>13</v>
      </c>
      <c r="F945" t="s">
        <v>6715</v>
      </c>
      <c r="H945">
        <v>29241526</v>
      </c>
      <c r="I945" t="s">
        <v>16</v>
      </c>
      <c r="K945" t="s">
        <v>6714</v>
      </c>
      <c r="L945">
        <v>1060</v>
      </c>
      <c r="M945" t="s">
        <v>6713</v>
      </c>
    </row>
    <row r="946" spans="1:13" x14ac:dyDescent="0.35">
      <c r="A946" t="s">
        <v>4233</v>
      </c>
      <c r="B946">
        <v>1104513</v>
      </c>
      <c r="C946">
        <v>1105475</v>
      </c>
      <c r="E946" t="s">
        <v>13</v>
      </c>
      <c r="F946" t="s">
        <v>6712</v>
      </c>
      <c r="G946" t="s">
        <v>6711</v>
      </c>
      <c r="H946">
        <v>29241527</v>
      </c>
      <c r="I946" t="s">
        <v>16</v>
      </c>
      <c r="K946" t="s">
        <v>6710</v>
      </c>
      <c r="L946">
        <v>320</v>
      </c>
      <c r="M946" t="s">
        <v>6709</v>
      </c>
    </row>
    <row r="947" spans="1:13" x14ac:dyDescent="0.35">
      <c r="A947" t="s">
        <v>4233</v>
      </c>
      <c r="B947">
        <v>1105475</v>
      </c>
      <c r="C947">
        <v>1105894</v>
      </c>
      <c r="E947" t="s">
        <v>13</v>
      </c>
      <c r="F947" t="s">
        <v>6708</v>
      </c>
      <c r="H947">
        <v>29241528</v>
      </c>
      <c r="I947" t="s">
        <v>16</v>
      </c>
      <c r="K947" t="s">
        <v>6707</v>
      </c>
      <c r="L947">
        <v>139</v>
      </c>
      <c r="M947" t="s">
        <v>6706</v>
      </c>
    </row>
    <row r="948" spans="1:13" x14ac:dyDescent="0.35">
      <c r="A948" t="s">
        <v>4233</v>
      </c>
      <c r="B948">
        <v>1105891</v>
      </c>
      <c r="C948">
        <v>1107405</v>
      </c>
      <c r="E948" t="s">
        <v>13</v>
      </c>
      <c r="F948" t="s">
        <v>1026</v>
      </c>
      <c r="H948">
        <v>29241529</v>
      </c>
      <c r="I948" t="s">
        <v>16</v>
      </c>
      <c r="K948" t="s">
        <v>6705</v>
      </c>
      <c r="L948">
        <v>504</v>
      </c>
      <c r="M948" t="s">
        <v>6704</v>
      </c>
    </row>
    <row r="949" spans="1:13" x14ac:dyDescent="0.35">
      <c r="A949" t="s">
        <v>4233</v>
      </c>
      <c r="B949">
        <v>1107423</v>
      </c>
      <c r="C949">
        <v>1108376</v>
      </c>
      <c r="E949" t="s">
        <v>13</v>
      </c>
      <c r="F949" t="s">
        <v>1034</v>
      </c>
      <c r="G949" t="s">
        <v>1035</v>
      </c>
      <c r="H949">
        <v>29241530</v>
      </c>
      <c r="I949" t="s">
        <v>16</v>
      </c>
      <c r="K949" t="s">
        <v>6703</v>
      </c>
      <c r="L949">
        <v>317</v>
      </c>
      <c r="M949" t="s">
        <v>6702</v>
      </c>
    </row>
    <row r="950" spans="1:13" x14ac:dyDescent="0.35">
      <c r="A950" t="s">
        <v>4233</v>
      </c>
      <c r="B950">
        <v>1108530</v>
      </c>
      <c r="C950">
        <v>1109354</v>
      </c>
      <c r="E950" t="s">
        <v>13</v>
      </c>
      <c r="F950" t="s">
        <v>6701</v>
      </c>
      <c r="H950">
        <v>29241531</v>
      </c>
      <c r="I950" t="s">
        <v>16</v>
      </c>
      <c r="K950" t="s">
        <v>6700</v>
      </c>
      <c r="L950">
        <v>274</v>
      </c>
      <c r="M950" t="s">
        <v>6699</v>
      </c>
    </row>
    <row r="951" spans="1:13" x14ac:dyDescent="0.35">
      <c r="A951" t="s">
        <v>4233</v>
      </c>
      <c r="B951">
        <v>1109357</v>
      </c>
      <c r="C951">
        <v>1110328</v>
      </c>
      <c r="E951" t="s">
        <v>13</v>
      </c>
      <c r="F951" t="s">
        <v>1031</v>
      </c>
      <c r="H951">
        <v>29241532</v>
      </c>
      <c r="I951" t="s">
        <v>16</v>
      </c>
      <c r="K951" t="s">
        <v>6698</v>
      </c>
      <c r="L951">
        <v>323</v>
      </c>
      <c r="M951" t="s">
        <v>6697</v>
      </c>
    </row>
    <row r="952" spans="1:13" x14ac:dyDescent="0.35">
      <c r="A952" t="s">
        <v>4233</v>
      </c>
      <c r="B952">
        <v>1110332</v>
      </c>
      <c r="C952">
        <v>1111027</v>
      </c>
      <c r="E952" t="s">
        <v>13</v>
      </c>
      <c r="F952" t="s">
        <v>1038</v>
      </c>
      <c r="G952" t="s">
        <v>1039</v>
      </c>
      <c r="H952">
        <v>29241533</v>
      </c>
      <c r="I952" t="s">
        <v>16</v>
      </c>
      <c r="K952" t="s">
        <v>6696</v>
      </c>
      <c r="L952">
        <v>231</v>
      </c>
      <c r="M952" t="s">
        <v>6695</v>
      </c>
    </row>
    <row r="953" spans="1:13" x14ac:dyDescent="0.35">
      <c r="A953" t="s">
        <v>4233</v>
      </c>
      <c r="B953">
        <v>1111134</v>
      </c>
      <c r="C953">
        <v>1111322</v>
      </c>
      <c r="E953" t="s">
        <v>13</v>
      </c>
      <c r="F953" t="s">
        <v>40</v>
      </c>
      <c r="H953">
        <v>29241534</v>
      </c>
      <c r="I953" t="s">
        <v>16</v>
      </c>
      <c r="K953" t="s">
        <v>6694</v>
      </c>
      <c r="L953">
        <v>62</v>
      </c>
      <c r="M953" t="s">
        <v>6693</v>
      </c>
    </row>
    <row r="954" spans="1:13" x14ac:dyDescent="0.35">
      <c r="A954" t="s">
        <v>4233</v>
      </c>
      <c r="B954">
        <v>1111648</v>
      </c>
      <c r="C954">
        <v>1112769</v>
      </c>
      <c r="E954" t="s">
        <v>13</v>
      </c>
      <c r="F954" t="s">
        <v>37</v>
      </c>
      <c r="H954">
        <v>29241535</v>
      </c>
      <c r="I954" t="s">
        <v>16</v>
      </c>
      <c r="K954" t="s">
        <v>6692</v>
      </c>
      <c r="L954">
        <v>373</v>
      </c>
      <c r="M954" t="s">
        <v>6691</v>
      </c>
    </row>
    <row r="955" spans="1:13" x14ac:dyDescent="0.35">
      <c r="A955" t="s">
        <v>4233</v>
      </c>
      <c r="B955">
        <v>1112926</v>
      </c>
      <c r="C955">
        <v>1113849</v>
      </c>
      <c r="E955" t="s">
        <v>36</v>
      </c>
      <c r="F955" t="s">
        <v>70</v>
      </c>
      <c r="H955">
        <v>29241536</v>
      </c>
      <c r="I955" t="s">
        <v>16</v>
      </c>
      <c r="K955" t="s">
        <v>6690</v>
      </c>
      <c r="L955">
        <v>307</v>
      </c>
      <c r="M955" t="s">
        <v>6689</v>
      </c>
    </row>
    <row r="956" spans="1:13" x14ac:dyDescent="0.35">
      <c r="A956" t="s">
        <v>4233</v>
      </c>
      <c r="B956">
        <v>1113890</v>
      </c>
      <c r="C956">
        <v>1114519</v>
      </c>
      <c r="E956" t="s">
        <v>36</v>
      </c>
      <c r="F956" t="s">
        <v>655</v>
      </c>
      <c r="H956">
        <v>29241537</v>
      </c>
      <c r="I956" t="s">
        <v>16</v>
      </c>
      <c r="K956" t="s">
        <v>6688</v>
      </c>
      <c r="L956">
        <v>209</v>
      </c>
      <c r="M956" t="s">
        <v>6687</v>
      </c>
    </row>
    <row r="957" spans="1:13" x14ac:dyDescent="0.35">
      <c r="A957" t="s">
        <v>4233</v>
      </c>
      <c r="B957">
        <v>1114711</v>
      </c>
      <c r="C957">
        <v>1116474</v>
      </c>
      <c r="E957" t="s">
        <v>36</v>
      </c>
      <c r="F957" t="s">
        <v>6686</v>
      </c>
      <c r="H957">
        <v>29241538</v>
      </c>
      <c r="I957" t="s">
        <v>16</v>
      </c>
      <c r="K957" t="s">
        <v>6685</v>
      </c>
      <c r="L957">
        <v>587</v>
      </c>
      <c r="M957" t="s">
        <v>6684</v>
      </c>
    </row>
    <row r="958" spans="1:13" x14ac:dyDescent="0.35">
      <c r="A958" t="s">
        <v>4233</v>
      </c>
      <c r="B958">
        <v>1116646</v>
      </c>
      <c r="C958">
        <v>1118247</v>
      </c>
      <c r="E958" t="s">
        <v>13</v>
      </c>
      <c r="F958" t="s">
        <v>372</v>
      </c>
      <c r="H958">
        <v>29241539</v>
      </c>
      <c r="I958" t="s">
        <v>16</v>
      </c>
      <c r="K958" t="s">
        <v>6683</v>
      </c>
      <c r="L958">
        <v>533</v>
      </c>
      <c r="M958" t="s">
        <v>6682</v>
      </c>
    </row>
    <row r="959" spans="1:13" x14ac:dyDescent="0.35">
      <c r="A959" t="s">
        <v>4233</v>
      </c>
      <c r="B959">
        <v>1118309</v>
      </c>
      <c r="C959">
        <v>1119016</v>
      </c>
      <c r="E959" t="s">
        <v>13</v>
      </c>
      <c r="F959" t="s">
        <v>533</v>
      </c>
      <c r="H959">
        <v>29241540</v>
      </c>
      <c r="I959" t="s">
        <v>16</v>
      </c>
      <c r="K959" t="s">
        <v>6681</v>
      </c>
      <c r="L959">
        <v>235</v>
      </c>
      <c r="M959" t="s">
        <v>6680</v>
      </c>
    </row>
    <row r="960" spans="1:13" x14ac:dyDescent="0.35">
      <c r="A960" t="s">
        <v>4233</v>
      </c>
      <c r="B960">
        <v>1119082</v>
      </c>
      <c r="C960">
        <v>1119408</v>
      </c>
      <c r="E960" t="s">
        <v>36</v>
      </c>
      <c r="F960" t="s">
        <v>48</v>
      </c>
      <c r="H960">
        <v>93018732</v>
      </c>
      <c r="I960" t="s">
        <v>16</v>
      </c>
      <c r="K960" t="s">
        <v>6679</v>
      </c>
      <c r="L960">
        <v>108</v>
      </c>
      <c r="M960" t="s">
        <v>6678</v>
      </c>
    </row>
    <row r="961" spans="1:13" x14ac:dyDescent="0.35">
      <c r="A961" t="s">
        <v>4233</v>
      </c>
      <c r="B961">
        <v>1119363</v>
      </c>
      <c r="C961">
        <v>1119596</v>
      </c>
      <c r="E961" t="s">
        <v>36</v>
      </c>
      <c r="F961" t="s">
        <v>40</v>
      </c>
      <c r="H961">
        <v>93018733</v>
      </c>
      <c r="I961" t="s">
        <v>16</v>
      </c>
      <c r="K961" t="s">
        <v>6677</v>
      </c>
      <c r="L961">
        <v>77</v>
      </c>
      <c r="M961" t="s">
        <v>6676</v>
      </c>
    </row>
    <row r="962" spans="1:13" x14ac:dyDescent="0.35">
      <c r="A962" t="s">
        <v>4233</v>
      </c>
      <c r="B962">
        <v>1119607</v>
      </c>
      <c r="C962">
        <v>1119786</v>
      </c>
      <c r="E962" t="s">
        <v>36</v>
      </c>
      <c r="F962" t="s">
        <v>48</v>
      </c>
      <c r="H962">
        <v>93018734</v>
      </c>
      <c r="I962" t="s">
        <v>16</v>
      </c>
      <c r="K962" t="s">
        <v>6675</v>
      </c>
      <c r="L962">
        <v>59</v>
      </c>
      <c r="M962" t="s">
        <v>6674</v>
      </c>
    </row>
    <row r="963" spans="1:13" x14ac:dyDescent="0.35">
      <c r="A963" t="s">
        <v>4233</v>
      </c>
      <c r="B963">
        <v>1119786</v>
      </c>
      <c r="C963">
        <v>1120565</v>
      </c>
      <c r="E963" t="s">
        <v>36</v>
      </c>
      <c r="F963" t="s">
        <v>6673</v>
      </c>
      <c r="H963">
        <v>29241541</v>
      </c>
      <c r="I963" t="s">
        <v>16</v>
      </c>
      <c r="K963" t="s">
        <v>6672</v>
      </c>
      <c r="L963">
        <v>259</v>
      </c>
      <c r="M963" t="s">
        <v>6671</v>
      </c>
    </row>
    <row r="964" spans="1:13" x14ac:dyDescent="0.35">
      <c r="A964" t="s">
        <v>4233</v>
      </c>
      <c r="B964">
        <v>1120757</v>
      </c>
      <c r="C964">
        <v>1121947</v>
      </c>
      <c r="E964" t="s">
        <v>36</v>
      </c>
      <c r="F964" t="s">
        <v>4708</v>
      </c>
      <c r="H964">
        <v>29241542</v>
      </c>
      <c r="I964" t="s">
        <v>16</v>
      </c>
      <c r="K964" t="s">
        <v>6670</v>
      </c>
      <c r="L964">
        <v>396</v>
      </c>
      <c r="M964" t="s">
        <v>6669</v>
      </c>
    </row>
    <row r="965" spans="1:13" x14ac:dyDescent="0.35">
      <c r="A965" t="s">
        <v>4233</v>
      </c>
      <c r="B965">
        <v>1122143</v>
      </c>
      <c r="C965">
        <v>1125172</v>
      </c>
      <c r="E965" t="s">
        <v>13</v>
      </c>
      <c r="F965" t="s">
        <v>565</v>
      </c>
      <c r="G965" t="s">
        <v>566</v>
      </c>
      <c r="H965">
        <v>29241543</v>
      </c>
      <c r="I965" t="s">
        <v>16</v>
      </c>
      <c r="K965" t="s">
        <v>6668</v>
      </c>
      <c r="L965">
        <v>1009</v>
      </c>
      <c r="M965" t="s">
        <v>6667</v>
      </c>
    </row>
    <row r="966" spans="1:13" x14ac:dyDescent="0.35">
      <c r="A966" t="s">
        <v>4233</v>
      </c>
      <c r="B966">
        <v>1125326</v>
      </c>
      <c r="C966">
        <v>1127743</v>
      </c>
      <c r="E966" t="s">
        <v>13</v>
      </c>
      <c r="F966" t="s">
        <v>783</v>
      </c>
      <c r="G966" t="s">
        <v>784</v>
      </c>
      <c r="H966">
        <v>29241544</v>
      </c>
      <c r="I966" t="s">
        <v>16</v>
      </c>
      <c r="K966" t="s">
        <v>6666</v>
      </c>
      <c r="L966">
        <v>805</v>
      </c>
      <c r="M966" t="s">
        <v>6665</v>
      </c>
    </row>
    <row r="967" spans="1:13" x14ac:dyDescent="0.35">
      <c r="A967" t="s">
        <v>4233</v>
      </c>
      <c r="B967">
        <v>1127979</v>
      </c>
      <c r="C967">
        <v>1128959</v>
      </c>
      <c r="E967" t="s">
        <v>13</v>
      </c>
      <c r="F967" t="s">
        <v>6664</v>
      </c>
      <c r="H967">
        <v>29241545</v>
      </c>
      <c r="I967" t="s">
        <v>16</v>
      </c>
      <c r="K967" t="s">
        <v>6663</v>
      </c>
      <c r="L967">
        <v>326</v>
      </c>
      <c r="M967" t="s">
        <v>6662</v>
      </c>
    </row>
    <row r="968" spans="1:13" x14ac:dyDescent="0.35">
      <c r="A968" t="s">
        <v>4233</v>
      </c>
      <c r="B968">
        <v>1128959</v>
      </c>
      <c r="C968">
        <v>1129924</v>
      </c>
      <c r="E968" t="s">
        <v>13</v>
      </c>
      <c r="F968" t="s">
        <v>567</v>
      </c>
      <c r="G968" t="s">
        <v>568</v>
      </c>
      <c r="H968">
        <v>29241546</v>
      </c>
      <c r="I968" t="s">
        <v>16</v>
      </c>
      <c r="K968" t="s">
        <v>6661</v>
      </c>
      <c r="L968">
        <v>321</v>
      </c>
      <c r="M968" t="s">
        <v>6660</v>
      </c>
    </row>
    <row r="969" spans="1:13" x14ac:dyDescent="0.35">
      <c r="A969" t="s">
        <v>4233</v>
      </c>
      <c r="B969">
        <v>1130081</v>
      </c>
      <c r="C969">
        <v>1131031</v>
      </c>
      <c r="E969" t="s">
        <v>13</v>
      </c>
      <c r="F969" t="s">
        <v>569</v>
      </c>
      <c r="G969" t="s">
        <v>570</v>
      </c>
      <c r="H969">
        <v>29241547</v>
      </c>
      <c r="I969" t="s">
        <v>16</v>
      </c>
      <c r="K969" t="s">
        <v>6659</v>
      </c>
      <c r="L969">
        <v>316</v>
      </c>
      <c r="M969" t="s">
        <v>6658</v>
      </c>
    </row>
    <row r="970" spans="1:13" x14ac:dyDescent="0.35">
      <c r="A970" t="s">
        <v>4233</v>
      </c>
      <c r="B970">
        <v>1131190</v>
      </c>
      <c r="C970">
        <v>1132395</v>
      </c>
      <c r="E970" t="s">
        <v>13</v>
      </c>
      <c r="F970" t="s">
        <v>573</v>
      </c>
      <c r="H970">
        <v>29241548</v>
      </c>
      <c r="I970" t="s">
        <v>16</v>
      </c>
      <c r="K970" t="s">
        <v>6657</v>
      </c>
      <c r="L970">
        <v>401</v>
      </c>
      <c r="M970" t="s">
        <v>6656</v>
      </c>
    </row>
    <row r="971" spans="1:13" x14ac:dyDescent="0.35">
      <c r="A971" t="s">
        <v>4233</v>
      </c>
      <c r="B971">
        <v>1132547</v>
      </c>
      <c r="C971">
        <v>1133350</v>
      </c>
      <c r="E971" t="s">
        <v>13</v>
      </c>
      <c r="F971" t="s">
        <v>576</v>
      </c>
      <c r="G971" t="s">
        <v>577</v>
      </c>
      <c r="H971">
        <v>29241549</v>
      </c>
      <c r="I971" t="s">
        <v>16</v>
      </c>
      <c r="K971" t="s">
        <v>6655</v>
      </c>
      <c r="L971">
        <v>267</v>
      </c>
      <c r="M971" t="s">
        <v>6654</v>
      </c>
    </row>
    <row r="972" spans="1:13" x14ac:dyDescent="0.35">
      <c r="A972" t="s">
        <v>4233</v>
      </c>
      <c r="B972">
        <v>1133414</v>
      </c>
      <c r="C972">
        <v>1133662</v>
      </c>
      <c r="E972" t="s">
        <v>13</v>
      </c>
      <c r="F972" t="s">
        <v>429</v>
      </c>
      <c r="G972" t="s">
        <v>430</v>
      </c>
      <c r="H972">
        <v>29241550</v>
      </c>
      <c r="I972" t="s">
        <v>16</v>
      </c>
      <c r="K972" t="s">
        <v>6653</v>
      </c>
      <c r="L972">
        <v>82</v>
      </c>
      <c r="M972" t="s">
        <v>6652</v>
      </c>
    </row>
    <row r="973" spans="1:13" x14ac:dyDescent="0.35">
      <c r="A973" t="s">
        <v>4233</v>
      </c>
      <c r="B973">
        <v>1133754</v>
      </c>
      <c r="C973">
        <v>1134704</v>
      </c>
      <c r="E973" t="s">
        <v>13</v>
      </c>
      <c r="F973" t="s">
        <v>195</v>
      </c>
      <c r="H973">
        <v>29241551</v>
      </c>
      <c r="I973" t="s">
        <v>16</v>
      </c>
      <c r="K973" t="s">
        <v>6651</v>
      </c>
      <c r="L973">
        <v>316</v>
      </c>
      <c r="M973" t="s">
        <v>6650</v>
      </c>
    </row>
    <row r="974" spans="1:13" x14ac:dyDescent="0.35">
      <c r="A974" t="s">
        <v>4233</v>
      </c>
      <c r="B974">
        <v>1134701</v>
      </c>
      <c r="C974">
        <v>1135552</v>
      </c>
      <c r="E974" t="s">
        <v>13</v>
      </c>
      <c r="F974" t="s">
        <v>6562</v>
      </c>
      <c r="H974">
        <v>29241552</v>
      </c>
      <c r="I974" t="s">
        <v>16</v>
      </c>
      <c r="K974" t="s">
        <v>6649</v>
      </c>
      <c r="L974">
        <v>283</v>
      </c>
      <c r="M974" t="s">
        <v>6648</v>
      </c>
    </row>
    <row r="975" spans="1:13" x14ac:dyDescent="0.35">
      <c r="A975" t="s">
        <v>4233</v>
      </c>
      <c r="B975">
        <v>1135671</v>
      </c>
      <c r="C975">
        <v>1137206</v>
      </c>
      <c r="E975" t="s">
        <v>13</v>
      </c>
      <c r="F975" t="s">
        <v>728</v>
      </c>
      <c r="H975">
        <v>29241553</v>
      </c>
      <c r="I975" t="s">
        <v>16</v>
      </c>
      <c r="K975" t="s">
        <v>6647</v>
      </c>
      <c r="L975">
        <v>511</v>
      </c>
      <c r="M975" t="s">
        <v>6646</v>
      </c>
    </row>
    <row r="976" spans="1:13" x14ac:dyDescent="0.35">
      <c r="A976" t="s">
        <v>4233</v>
      </c>
      <c r="B976">
        <v>1137698</v>
      </c>
      <c r="C976">
        <v>1138882</v>
      </c>
      <c r="E976" t="s">
        <v>36</v>
      </c>
      <c r="F976" t="s">
        <v>40</v>
      </c>
      <c r="H976">
        <v>29241554</v>
      </c>
      <c r="I976" t="s">
        <v>16</v>
      </c>
      <c r="K976" t="s">
        <v>6645</v>
      </c>
      <c r="L976">
        <v>394</v>
      </c>
      <c r="M976" t="s">
        <v>6644</v>
      </c>
    </row>
    <row r="977" spans="1:13" x14ac:dyDescent="0.35">
      <c r="A977" t="s">
        <v>4233</v>
      </c>
      <c r="B977">
        <v>1139055</v>
      </c>
      <c r="C977">
        <v>1140392</v>
      </c>
      <c r="E977" t="s">
        <v>36</v>
      </c>
      <c r="F977" t="s">
        <v>827</v>
      </c>
      <c r="G977" t="s">
        <v>828</v>
      </c>
      <c r="H977">
        <v>29241555</v>
      </c>
      <c r="I977" t="s">
        <v>16</v>
      </c>
      <c r="K977" t="s">
        <v>6643</v>
      </c>
      <c r="L977">
        <v>445</v>
      </c>
      <c r="M977" t="s">
        <v>6642</v>
      </c>
    </row>
    <row r="978" spans="1:13" x14ac:dyDescent="0.35">
      <c r="A978" t="s">
        <v>4233</v>
      </c>
      <c r="B978">
        <v>1140739</v>
      </c>
      <c r="C978">
        <v>1141842</v>
      </c>
      <c r="E978" t="s">
        <v>36</v>
      </c>
      <c r="F978" t="s">
        <v>6641</v>
      </c>
      <c r="G978" t="s">
        <v>6640</v>
      </c>
      <c r="H978">
        <v>29241556</v>
      </c>
      <c r="I978" t="s">
        <v>16</v>
      </c>
      <c r="K978" t="s">
        <v>6639</v>
      </c>
      <c r="L978">
        <v>367</v>
      </c>
      <c r="M978" t="s">
        <v>6638</v>
      </c>
    </row>
    <row r="979" spans="1:13" x14ac:dyDescent="0.35">
      <c r="A979" t="s">
        <v>4233</v>
      </c>
      <c r="B979">
        <v>1141916</v>
      </c>
      <c r="C979">
        <v>1144024</v>
      </c>
      <c r="E979" t="s">
        <v>36</v>
      </c>
      <c r="F979" t="s">
        <v>1072</v>
      </c>
      <c r="G979" t="s">
        <v>6637</v>
      </c>
      <c r="H979">
        <v>29241557</v>
      </c>
      <c r="I979" t="s">
        <v>16</v>
      </c>
      <c r="K979" t="s">
        <v>6636</v>
      </c>
      <c r="L979">
        <v>702</v>
      </c>
      <c r="M979" t="s">
        <v>6635</v>
      </c>
    </row>
    <row r="980" spans="1:13" x14ac:dyDescent="0.35">
      <c r="A980" t="s">
        <v>4233</v>
      </c>
      <c r="B980">
        <v>1144285</v>
      </c>
      <c r="C980">
        <v>1145382</v>
      </c>
      <c r="E980" t="s">
        <v>13</v>
      </c>
      <c r="F980" t="s">
        <v>916</v>
      </c>
      <c r="G980" t="s">
        <v>917</v>
      </c>
      <c r="H980">
        <v>29241558</v>
      </c>
      <c r="I980" t="s">
        <v>16</v>
      </c>
      <c r="K980" t="s">
        <v>6634</v>
      </c>
      <c r="L980">
        <v>365</v>
      </c>
      <c r="M980" t="s">
        <v>6633</v>
      </c>
    </row>
    <row r="981" spans="1:13" x14ac:dyDescent="0.35">
      <c r="A981" t="s">
        <v>4233</v>
      </c>
      <c r="B981">
        <v>1145437</v>
      </c>
      <c r="C981">
        <v>1146582</v>
      </c>
      <c r="E981" t="s">
        <v>13</v>
      </c>
      <c r="F981" t="s">
        <v>910</v>
      </c>
      <c r="G981" t="s">
        <v>911</v>
      </c>
      <c r="H981">
        <v>29241559</v>
      </c>
      <c r="I981" t="s">
        <v>16</v>
      </c>
      <c r="K981" t="s">
        <v>6632</v>
      </c>
      <c r="L981">
        <v>381</v>
      </c>
      <c r="M981" t="s">
        <v>6631</v>
      </c>
    </row>
    <row r="982" spans="1:13" x14ac:dyDescent="0.35">
      <c r="A982" t="s">
        <v>4233</v>
      </c>
      <c r="B982">
        <v>1146728</v>
      </c>
      <c r="C982">
        <v>1147519</v>
      </c>
      <c r="E982" t="s">
        <v>36</v>
      </c>
      <c r="F982" t="s">
        <v>6630</v>
      </c>
      <c r="H982">
        <v>29241560</v>
      </c>
      <c r="I982" t="s">
        <v>16</v>
      </c>
      <c r="K982" t="s">
        <v>6629</v>
      </c>
      <c r="L982">
        <v>263</v>
      </c>
      <c r="M982" t="s">
        <v>6628</v>
      </c>
    </row>
    <row r="983" spans="1:13" x14ac:dyDescent="0.35">
      <c r="A983" t="s">
        <v>4233</v>
      </c>
      <c r="B983">
        <v>1147670</v>
      </c>
      <c r="C983">
        <v>1148554</v>
      </c>
      <c r="E983" t="s">
        <v>13</v>
      </c>
      <c r="F983" t="s">
        <v>6627</v>
      </c>
      <c r="H983">
        <v>29241561</v>
      </c>
      <c r="I983" t="s">
        <v>16</v>
      </c>
      <c r="K983" t="s">
        <v>6626</v>
      </c>
      <c r="L983">
        <v>294</v>
      </c>
      <c r="M983" t="s">
        <v>6625</v>
      </c>
    </row>
    <row r="984" spans="1:13" x14ac:dyDescent="0.35">
      <c r="A984" t="s">
        <v>4233</v>
      </c>
      <c r="B984">
        <v>1148705</v>
      </c>
      <c r="C984">
        <v>1149538</v>
      </c>
      <c r="E984" t="s">
        <v>36</v>
      </c>
      <c r="F984" t="s">
        <v>45</v>
      </c>
      <c r="H984">
        <v>29241562</v>
      </c>
      <c r="I984" t="s">
        <v>46</v>
      </c>
      <c r="M984" t="s">
        <v>6624</v>
      </c>
    </row>
    <row r="985" spans="1:13" x14ac:dyDescent="0.35">
      <c r="A985" t="s">
        <v>4233</v>
      </c>
      <c r="B985">
        <v>1149705</v>
      </c>
      <c r="C985">
        <v>1149777</v>
      </c>
      <c r="E985" t="s">
        <v>13</v>
      </c>
      <c r="F985" t="s">
        <v>136</v>
      </c>
      <c r="H985">
        <v>29241563</v>
      </c>
      <c r="I985" t="s">
        <v>39</v>
      </c>
      <c r="M985" t="s">
        <v>6623</v>
      </c>
    </row>
    <row r="986" spans="1:13" x14ac:dyDescent="0.35">
      <c r="A986" t="s">
        <v>4233</v>
      </c>
      <c r="B986">
        <v>1149806</v>
      </c>
      <c r="C986">
        <v>1149876</v>
      </c>
      <c r="E986" t="s">
        <v>13</v>
      </c>
      <c r="F986" t="s">
        <v>428</v>
      </c>
      <c r="H986">
        <v>29241564</v>
      </c>
      <c r="I986" t="s">
        <v>39</v>
      </c>
      <c r="M986" t="s">
        <v>6622</v>
      </c>
    </row>
    <row r="987" spans="1:13" x14ac:dyDescent="0.35">
      <c r="A987" t="s">
        <v>4233</v>
      </c>
      <c r="B987">
        <v>1149917</v>
      </c>
      <c r="C987">
        <v>1149988</v>
      </c>
      <c r="E987" t="s">
        <v>13</v>
      </c>
      <c r="F987" t="s">
        <v>415</v>
      </c>
      <c r="H987">
        <v>29241565</v>
      </c>
      <c r="I987" t="s">
        <v>39</v>
      </c>
      <c r="M987" t="s">
        <v>6621</v>
      </c>
    </row>
    <row r="988" spans="1:13" x14ac:dyDescent="0.35">
      <c r="A988" t="s">
        <v>4233</v>
      </c>
      <c r="B988">
        <v>1150037</v>
      </c>
      <c r="C988">
        <v>1150109</v>
      </c>
      <c r="E988" t="s">
        <v>13</v>
      </c>
      <c r="F988" t="s">
        <v>415</v>
      </c>
      <c r="H988">
        <v>29241566</v>
      </c>
      <c r="I988" t="s">
        <v>39</v>
      </c>
      <c r="M988" t="s">
        <v>6620</v>
      </c>
    </row>
    <row r="989" spans="1:13" x14ac:dyDescent="0.35">
      <c r="A989" t="s">
        <v>4233</v>
      </c>
      <c r="B989">
        <v>1150141</v>
      </c>
      <c r="C989">
        <v>1150216</v>
      </c>
      <c r="E989" t="s">
        <v>13</v>
      </c>
      <c r="F989" t="s">
        <v>136</v>
      </c>
      <c r="H989">
        <v>29241567</v>
      </c>
      <c r="I989" t="s">
        <v>39</v>
      </c>
      <c r="M989" t="s">
        <v>6619</v>
      </c>
    </row>
    <row r="990" spans="1:13" x14ac:dyDescent="0.35">
      <c r="A990" t="s">
        <v>4233</v>
      </c>
      <c r="B990">
        <v>1150359</v>
      </c>
      <c r="C990">
        <v>1152392</v>
      </c>
      <c r="E990" t="s">
        <v>13</v>
      </c>
      <c r="F990" t="s">
        <v>1112</v>
      </c>
      <c r="G990" t="s">
        <v>1113</v>
      </c>
      <c r="H990">
        <v>29241568</v>
      </c>
      <c r="I990" t="s">
        <v>16</v>
      </c>
      <c r="K990" t="s">
        <v>6618</v>
      </c>
      <c r="L990">
        <v>677</v>
      </c>
      <c r="M990" t="s">
        <v>6617</v>
      </c>
    </row>
    <row r="991" spans="1:13" x14ac:dyDescent="0.35">
      <c r="A991" t="s">
        <v>4233</v>
      </c>
      <c r="B991">
        <v>1152404</v>
      </c>
      <c r="C991">
        <v>1152988</v>
      </c>
      <c r="E991" t="s">
        <v>13</v>
      </c>
      <c r="F991" t="s">
        <v>6616</v>
      </c>
      <c r="H991">
        <v>29241569</v>
      </c>
      <c r="I991" t="s">
        <v>16</v>
      </c>
      <c r="K991" t="s">
        <v>6615</v>
      </c>
      <c r="L991">
        <v>194</v>
      </c>
      <c r="M991" t="s">
        <v>6614</v>
      </c>
    </row>
    <row r="992" spans="1:13" x14ac:dyDescent="0.35">
      <c r="A992" t="s">
        <v>4233</v>
      </c>
      <c r="B992">
        <v>1153128</v>
      </c>
      <c r="C992">
        <v>1153883</v>
      </c>
      <c r="E992" t="s">
        <v>13</v>
      </c>
      <c r="F992" t="s">
        <v>603</v>
      </c>
      <c r="H992">
        <v>29241570</v>
      </c>
      <c r="I992" t="s">
        <v>16</v>
      </c>
      <c r="K992" t="s">
        <v>6613</v>
      </c>
      <c r="L992">
        <v>251</v>
      </c>
      <c r="M992" t="s">
        <v>6612</v>
      </c>
    </row>
    <row r="993" spans="1:13" x14ac:dyDescent="0.35">
      <c r="A993" t="s">
        <v>4233</v>
      </c>
      <c r="B993">
        <v>1153889</v>
      </c>
      <c r="C993">
        <v>1154473</v>
      </c>
      <c r="E993" t="s">
        <v>13</v>
      </c>
      <c r="F993" t="s">
        <v>6611</v>
      </c>
      <c r="G993" t="s">
        <v>6610</v>
      </c>
      <c r="H993">
        <v>29241571</v>
      </c>
      <c r="I993" t="s">
        <v>16</v>
      </c>
      <c r="K993" t="s">
        <v>6609</v>
      </c>
      <c r="L993">
        <v>194</v>
      </c>
      <c r="M993" t="s">
        <v>6608</v>
      </c>
    </row>
    <row r="994" spans="1:13" x14ac:dyDescent="0.35">
      <c r="A994" t="s">
        <v>4233</v>
      </c>
      <c r="B994">
        <v>1154517</v>
      </c>
      <c r="C994">
        <v>1155143</v>
      </c>
      <c r="E994" t="s">
        <v>13</v>
      </c>
      <c r="F994" t="s">
        <v>382</v>
      </c>
      <c r="G994" t="s">
        <v>383</v>
      </c>
      <c r="H994">
        <v>29241572</v>
      </c>
      <c r="I994" t="s">
        <v>16</v>
      </c>
      <c r="K994" t="s">
        <v>6607</v>
      </c>
      <c r="L994">
        <v>208</v>
      </c>
      <c r="M994" t="s">
        <v>6606</v>
      </c>
    </row>
    <row r="995" spans="1:13" x14ac:dyDescent="0.35">
      <c r="A995" t="s">
        <v>4233</v>
      </c>
      <c r="B995">
        <v>1155143</v>
      </c>
      <c r="C995">
        <v>1156207</v>
      </c>
      <c r="E995" t="s">
        <v>13</v>
      </c>
      <c r="F995" t="s">
        <v>384</v>
      </c>
      <c r="G995" t="s">
        <v>385</v>
      </c>
      <c r="H995">
        <v>29241573</v>
      </c>
      <c r="I995" t="s">
        <v>16</v>
      </c>
      <c r="K995" t="s">
        <v>6605</v>
      </c>
      <c r="L995">
        <v>354</v>
      </c>
      <c r="M995" t="s">
        <v>6604</v>
      </c>
    </row>
    <row r="996" spans="1:13" x14ac:dyDescent="0.35">
      <c r="A996" t="s">
        <v>4233</v>
      </c>
      <c r="B996">
        <v>1156272</v>
      </c>
      <c r="C996">
        <v>1156718</v>
      </c>
      <c r="E996" t="s">
        <v>13</v>
      </c>
      <c r="F996" t="s">
        <v>386</v>
      </c>
      <c r="G996" t="s">
        <v>387</v>
      </c>
      <c r="H996">
        <v>29241574</v>
      </c>
      <c r="I996" t="s">
        <v>16</v>
      </c>
      <c r="K996" t="s">
        <v>6603</v>
      </c>
      <c r="L996">
        <v>148</v>
      </c>
      <c r="M996" t="s">
        <v>6602</v>
      </c>
    </row>
    <row r="997" spans="1:13" x14ac:dyDescent="0.35">
      <c r="A997" t="s">
        <v>4233</v>
      </c>
      <c r="B997">
        <v>1156769</v>
      </c>
      <c r="C997">
        <v>1157350</v>
      </c>
      <c r="E997" t="s">
        <v>13</v>
      </c>
      <c r="F997" t="s">
        <v>905</v>
      </c>
      <c r="H997">
        <v>29241575</v>
      </c>
      <c r="I997" t="s">
        <v>16</v>
      </c>
      <c r="K997" t="s">
        <v>6601</v>
      </c>
      <c r="L997">
        <v>193</v>
      </c>
      <c r="M997" t="s">
        <v>6600</v>
      </c>
    </row>
    <row r="998" spans="1:13" x14ac:dyDescent="0.35">
      <c r="A998" t="s">
        <v>4233</v>
      </c>
      <c r="B998">
        <v>1157435</v>
      </c>
      <c r="C998">
        <v>1158637</v>
      </c>
      <c r="E998" t="s">
        <v>13</v>
      </c>
      <c r="F998" t="s">
        <v>6599</v>
      </c>
      <c r="G998" t="s">
        <v>6598</v>
      </c>
      <c r="H998">
        <v>29241576</v>
      </c>
      <c r="I998" t="s">
        <v>16</v>
      </c>
      <c r="K998" t="s">
        <v>6597</v>
      </c>
      <c r="L998">
        <v>400</v>
      </c>
      <c r="M998" t="s">
        <v>6596</v>
      </c>
    </row>
    <row r="999" spans="1:13" x14ac:dyDescent="0.35">
      <c r="A999" t="s">
        <v>4233</v>
      </c>
      <c r="B999">
        <v>1158637</v>
      </c>
      <c r="C999">
        <v>1159548</v>
      </c>
      <c r="E999" t="s">
        <v>13</v>
      </c>
      <c r="F999" t="s">
        <v>6595</v>
      </c>
      <c r="G999" t="s">
        <v>6594</v>
      </c>
      <c r="H999">
        <v>29241577</v>
      </c>
      <c r="I999" t="s">
        <v>16</v>
      </c>
      <c r="K999" t="s">
        <v>6593</v>
      </c>
      <c r="L999">
        <v>303</v>
      </c>
      <c r="M999" t="s">
        <v>6592</v>
      </c>
    </row>
    <row r="1000" spans="1:13" x14ac:dyDescent="0.35">
      <c r="A1000" t="s">
        <v>4233</v>
      </c>
      <c r="B1000">
        <v>1159568</v>
      </c>
      <c r="C1000">
        <v>1160953</v>
      </c>
      <c r="E1000" t="s">
        <v>13</v>
      </c>
      <c r="F1000" t="s">
        <v>6591</v>
      </c>
      <c r="H1000">
        <v>29241578</v>
      </c>
      <c r="I1000" t="s">
        <v>16</v>
      </c>
      <c r="K1000" t="s">
        <v>6590</v>
      </c>
      <c r="L1000">
        <v>461</v>
      </c>
      <c r="M1000" t="s">
        <v>6589</v>
      </c>
    </row>
    <row r="1001" spans="1:13" x14ac:dyDescent="0.35">
      <c r="A1001" t="s">
        <v>4233</v>
      </c>
      <c r="B1001">
        <v>1160901</v>
      </c>
      <c r="C1001">
        <v>1162538</v>
      </c>
      <c r="E1001" t="s">
        <v>13</v>
      </c>
      <c r="F1001" t="s">
        <v>1128</v>
      </c>
      <c r="G1001" t="s">
        <v>1129</v>
      </c>
      <c r="H1001">
        <v>29241579</v>
      </c>
      <c r="I1001" t="s">
        <v>16</v>
      </c>
      <c r="K1001" t="s">
        <v>6588</v>
      </c>
      <c r="L1001">
        <v>545</v>
      </c>
      <c r="M1001" t="s">
        <v>6587</v>
      </c>
    </row>
    <row r="1002" spans="1:13" x14ac:dyDescent="0.35">
      <c r="A1002" t="s">
        <v>4233</v>
      </c>
      <c r="B1002">
        <v>1162693</v>
      </c>
      <c r="C1002">
        <v>1162995</v>
      </c>
      <c r="E1002" t="s">
        <v>13</v>
      </c>
      <c r="F1002" t="s">
        <v>40</v>
      </c>
      <c r="H1002">
        <v>93018735</v>
      </c>
      <c r="I1002" t="s">
        <v>16</v>
      </c>
      <c r="K1002" t="s">
        <v>6586</v>
      </c>
      <c r="L1002">
        <v>100</v>
      </c>
      <c r="M1002" t="s">
        <v>6585</v>
      </c>
    </row>
    <row r="1003" spans="1:13" x14ac:dyDescent="0.35">
      <c r="A1003" t="s">
        <v>4233</v>
      </c>
      <c r="B1003">
        <v>1162894</v>
      </c>
      <c r="C1003">
        <v>1163832</v>
      </c>
      <c r="E1003" t="s">
        <v>36</v>
      </c>
      <c r="F1003" t="s">
        <v>1054</v>
      </c>
      <c r="H1003">
        <v>29241580</v>
      </c>
      <c r="I1003" t="s">
        <v>16</v>
      </c>
      <c r="K1003" t="s">
        <v>6584</v>
      </c>
      <c r="L1003">
        <v>312</v>
      </c>
      <c r="M1003" t="s">
        <v>6583</v>
      </c>
    </row>
    <row r="1004" spans="1:13" x14ac:dyDescent="0.35">
      <c r="A1004" t="s">
        <v>4233</v>
      </c>
      <c r="B1004">
        <v>1164021</v>
      </c>
      <c r="C1004">
        <v>1164791</v>
      </c>
      <c r="E1004" t="s">
        <v>13</v>
      </c>
      <c r="F1004" t="s">
        <v>650</v>
      </c>
      <c r="H1004">
        <v>29241581</v>
      </c>
      <c r="I1004" t="s">
        <v>16</v>
      </c>
      <c r="K1004" t="s">
        <v>6582</v>
      </c>
      <c r="L1004">
        <v>256</v>
      </c>
      <c r="M1004" t="s">
        <v>6581</v>
      </c>
    </row>
    <row r="1005" spans="1:13" x14ac:dyDescent="0.35">
      <c r="A1005" t="s">
        <v>4233</v>
      </c>
      <c r="B1005">
        <v>1164788</v>
      </c>
      <c r="C1005">
        <v>1166914</v>
      </c>
      <c r="E1005" t="s">
        <v>13</v>
      </c>
      <c r="F1005" t="s">
        <v>6580</v>
      </c>
      <c r="G1005" t="s">
        <v>805</v>
      </c>
      <c r="H1005">
        <v>29241582</v>
      </c>
      <c r="I1005" t="s">
        <v>16</v>
      </c>
      <c r="K1005" t="s">
        <v>6579</v>
      </c>
      <c r="L1005">
        <v>708</v>
      </c>
      <c r="M1005" t="s">
        <v>6578</v>
      </c>
    </row>
    <row r="1006" spans="1:13" x14ac:dyDescent="0.35">
      <c r="A1006" t="s">
        <v>4233</v>
      </c>
      <c r="B1006">
        <v>1167041</v>
      </c>
      <c r="C1006">
        <v>1167114</v>
      </c>
      <c r="E1006" t="s">
        <v>13</v>
      </c>
      <c r="F1006" t="s">
        <v>217</v>
      </c>
      <c r="H1006">
        <v>29241583</v>
      </c>
      <c r="I1006" t="s">
        <v>39</v>
      </c>
      <c r="M1006" t="s">
        <v>6577</v>
      </c>
    </row>
    <row r="1007" spans="1:13" x14ac:dyDescent="0.35">
      <c r="A1007" t="s">
        <v>4233</v>
      </c>
      <c r="B1007">
        <v>1167177</v>
      </c>
      <c r="C1007">
        <v>1168016</v>
      </c>
      <c r="E1007" t="s">
        <v>13</v>
      </c>
      <c r="F1007" t="s">
        <v>52</v>
      </c>
      <c r="H1007">
        <v>29241584</v>
      </c>
      <c r="I1007" t="s">
        <v>16</v>
      </c>
      <c r="K1007" t="s">
        <v>6576</v>
      </c>
      <c r="L1007">
        <v>279</v>
      </c>
      <c r="M1007" t="s">
        <v>6575</v>
      </c>
    </row>
    <row r="1008" spans="1:13" x14ac:dyDescent="0.35">
      <c r="A1008" t="s">
        <v>4233</v>
      </c>
      <c r="B1008">
        <v>1168114</v>
      </c>
      <c r="C1008">
        <v>1169616</v>
      </c>
      <c r="E1008" t="s">
        <v>13</v>
      </c>
      <c r="F1008" t="s">
        <v>6574</v>
      </c>
      <c r="H1008">
        <v>29241585</v>
      </c>
      <c r="I1008" t="s">
        <v>16</v>
      </c>
      <c r="K1008" t="s">
        <v>6573</v>
      </c>
      <c r="L1008">
        <v>500</v>
      </c>
      <c r="M1008" t="s">
        <v>6572</v>
      </c>
    </row>
    <row r="1009" spans="1:13" x14ac:dyDescent="0.35">
      <c r="A1009" t="s">
        <v>4233</v>
      </c>
      <c r="B1009">
        <v>1169757</v>
      </c>
      <c r="C1009">
        <v>1171670</v>
      </c>
      <c r="E1009" t="s">
        <v>13</v>
      </c>
      <c r="F1009" t="s">
        <v>5647</v>
      </c>
      <c r="H1009">
        <v>29241586</v>
      </c>
      <c r="I1009" t="s">
        <v>16</v>
      </c>
      <c r="K1009" t="s">
        <v>6571</v>
      </c>
      <c r="L1009">
        <v>637</v>
      </c>
      <c r="M1009" t="s">
        <v>6570</v>
      </c>
    </row>
    <row r="1010" spans="1:13" x14ac:dyDescent="0.35">
      <c r="A1010" t="s">
        <v>4233</v>
      </c>
      <c r="B1010">
        <v>1171683</v>
      </c>
      <c r="C1010">
        <v>1172000</v>
      </c>
      <c r="E1010" t="s">
        <v>13</v>
      </c>
      <c r="F1010" t="s">
        <v>40</v>
      </c>
      <c r="H1010">
        <v>29241587</v>
      </c>
      <c r="I1010" t="s">
        <v>16</v>
      </c>
      <c r="K1010" t="s">
        <v>6569</v>
      </c>
      <c r="L1010">
        <v>105</v>
      </c>
      <c r="M1010" t="s">
        <v>6568</v>
      </c>
    </row>
    <row r="1011" spans="1:13" x14ac:dyDescent="0.35">
      <c r="A1011" t="s">
        <v>4233</v>
      </c>
      <c r="B1011">
        <v>1172021</v>
      </c>
      <c r="C1011">
        <v>1174609</v>
      </c>
      <c r="E1011" t="s">
        <v>13</v>
      </c>
      <c r="F1011" t="s">
        <v>5559</v>
      </c>
      <c r="H1011">
        <v>29241588</v>
      </c>
      <c r="I1011" t="s">
        <v>16</v>
      </c>
      <c r="K1011" t="s">
        <v>6567</v>
      </c>
      <c r="L1011">
        <v>862</v>
      </c>
      <c r="M1011" t="s">
        <v>6566</v>
      </c>
    </row>
    <row r="1012" spans="1:13" x14ac:dyDescent="0.35">
      <c r="A1012" t="s">
        <v>4233</v>
      </c>
      <c r="B1012">
        <v>1174723</v>
      </c>
      <c r="C1012">
        <v>1175070</v>
      </c>
      <c r="E1012" t="s">
        <v>13</v>
      </c>
      <c r="F1012" t="s">
        <v>6565</v>
      </c>
      <c r="H1012">
        <v>29241589</v>
      </c>
      <c r="I1012" t="s">
        <v>16</v>
      </c>
      <c r="K1012" t="s">
        <v>6564</v>
      </c>
      <c r="L1012">
        <v>115</v>
      </c>
      <c r="M1012" t="s">
        <v>6563</v>
      </c>
    </row>
    <row r="1013" spans="1:13" x14ac:dyDescent="0.35">
      <c r="A1013" t="s">
        <v>4233</v>
      </c>
      <c r="B1013">
        <v>1175179</v>
      </c>
      <c r="C1013">
        <v>1175898</v>
      </c>
      <c r="E1013" t="s">
        <v>13</v>
      </c>
      <c r="F1013" t="s">
        <v>6562</v>
      </c>
      <c r="H1013">
        <v>29241590</v>
      </c>
      <c r="I1013" t="s">
        <v>16</v>
      </c>
      <c r="K1013" t="s">
        <v>6561</v>
      </c>
      <c r="L1013">
        <v>239</v>
      </c>
      <c r="M1013" t="s">
        <v>6560</v>
      </c>
    </row>
    <row r="1014" spans="1:13" x14ac:dyDescent="0.35">
      <c r="A1014" t="s">
        <v>4233</v>
      </c>
      <c r="B1014">
        <v>1175922</v>
      </c>
      <c r="C1014">
        <v>1176146</v>
      </c>
      <c r="E1014" t="s">
        <v>13</v>
      </c>
      <c r="F1014" t="s">
        <v>40</v>
      </c>
      <c r="H1014">
        <v>29241591</v>
      </c>
      <c r="I1014" t="s">
        <v>16</v>
      </c>
      <c r="K1014" t="s">
        <v>6559</v>
      </c>
      <c r="L1014">
        <v>74</v>
      </c>
      <c r="M1014" t="s">
        <v>6558</v>
      </c>
    </row>
    <row r="1015" spans="1:13" x14ac:dyDescent="0.35">
      <c r="A1015" t="s">
        <v>4233</v>
      </c>
      <c r="B1015">
        <v>1176197</v>
      </c>
      <c r="C1015">
        <v>1176604</v>
      </c>
      <c r="E1015" t="s">
        <v>36</v>
      </c>
      <c r="F1015" t="s">
        <v>40</v>
      </c>
      <c r="H1015">
        <v>29241592</v>
      </c>
      <c r="I1015" t="s">
        <v>16</v>
      </c>
      <c r="K1015" t="s">
        <v>6557</v>
      </c>
      <c r="L1015">
        <v>135</v>
      </c>
      <c r="M1015" t="s">
        <v>6556</v>
      </c>
    </row>
    <row r="1016" spans="1:13" x14ac:dyDescent="0.35">
      <c r="A1016" t="s">
        <v>4233</v>
      </c>
      <c r="B1016">
        <v>1176721</v>
      </c>
      <c r="C1016">
        <v>1177353</v>
      </c>
      <c r="E1016" t="s">
        <v>36</v>
      </c>
      <c r="F1016" t="s">
        <v>102</v>
      </c>
      <c r="H1016">
        <v>29241593</v>
      </c>
      <c r="I1016" t="s">
        <v>16</v>
      </c>
      <c r="K1016" t="s">
        <v>6555</v>
      </c>
      <c r="L1016">
        <v>210</v>
      </c>
      <c r="M1016" t="s">
        <v>6554</v>
      </c>
    </row>
    <row r="1017" spans="1:13" x14ac:dyDescent="0.35">
      <c r="A1017" t="s">
        <v>4233</v>
      </c>
      <c r="B1017">
        <v>1177432</v>
      </c>
      <c r="C1017">
        <v>1177875</v>
      </c>
      <c r="E1017" t="s">
        <v>36</v>
      </c>
      <c r="F1017" t="s">
        <v>4828</v>
      </c>
      <c r="H1017">
        <v>29241594</v>
      </c>
      <c r="I1017" t="s">
        <v>16</v>
      </c>
      <c r="K1017" t="s">
        <v>6553</v>
      </c>
      <c r="L1017">
        <v>147</v>
      </c>
      <c r="M1017" t="s">
        <v>6552</v>
      </c>
    </row>
    <row r="1018" spans="1:13" x14ac:dyDescent="0.35">
      <c r="A1018" t="s">
        <v>4233</v>
      </c>
      <c r="B1018">
        <v>1177882</v>
      </c>
      <c r="C1018">
        <v>1178703</v>
      </c>
      <c r="E1018" t="s">
        <v>36</v>
      </c>
      <c r="F1018" t="s">
        <v>6546</v>
      </c>
      <c r="H1018">
        <v>29241595</v>
      </c>
      <c r="I1018" t="s">
        <v>16</v>
      </c>
      <c r="K1018" t="s">
        <v>6551</v>
      </c>
      <c r="L1018">
        <v>273</v>
      </c>
      <c r="M1018" t="s">
        <v>6550</v>
      </c>
    </row>
    <row r="1019" spans="1:13" x14ac:dyDescent="0.35">
      <c r="A1019" t="s">
        <v>4233</v>
      </c>
      <c r="B1019">
        <v>1178705</v>
      </c>
      <c r="C1019">
        <v>1179037</v>
      </c>
      <c r="E1019" t="s">
        <v>36</v>
      </c>
      <c r="F1019" t="s">
        <v>6549</v>
      </c>
      <c r="H1019">
        <v>29241596</v>
      </c>
      <c r="I1019" t="s">
        <v>16</v>
      </c>
      <c r="K1019" t="s">
        <v>6548</v>
      </c>
      <c r="L1019">
        <v>110</v>
      </c>
      <c r="M1019" t="s">
        <v>6547</v>
      </c>
    </row>
    <row r="1020" spans="1:13" x14ac:dyDescent="0.35">
      <c r="A1020" t="s">
        <v>4233</v>
      </c>
      <c r="B1020">
        <v>1179037</v>
      </c>
      <c r="C1020">
        <v>1180014</v>
      </c>
      <c r="E1020" t="s">
        <v>36</v>
      </c>
      <c r="F1020" t="s">
        <v>6546</v>
      </c>
      <c r="H1020">
        <v>29241597</v>
      </c>
      <c r="I1020" t="s">
        <v>16</v>
      </c>
      <c r="K1020" t="s">
        <v>6545</v>
      </c>
      <c r="L1020">
        <v>325</v>
      </c>
      <c r="M1020" t="s">
        <v>6544</v>
      </c>
    </row>
    <row r="1021" spans="1:13" x14ac:dyDescent="0.35">
      <c r="A1021" t="s">
        <v>4233</v>
      </c>
      <c r="B1021">
        <v>1180004</v>
      </c>
      <c r="C1021">
        <v>1180621</v>
      </c>
      <c r="E1021" t="s">
        <v>36</v>
      </c>
      <c r="F1021" t="s">
        <v>6543</v>
      </c>
      <c r="H1021">
        <v>29241598</v>
      </c>
      <c r="I1021" t="s">
        <v>16</v>
      </c>
      <c r="K1021" t="s">
        <v>6542</v>
      </c>
      <c r="L1021">
        <v>205</v>
      </c>
      <c r="M1021" t="s">
        <v>6541</v>
      </c>
    </row>
    <row r="1022" spans="1:13" x14ac:dyDescent="0.35">
      <c r="A1022" t="s">
        <v>4233</v>
      </c>
      <c r="B1022">
        <v>1180644</v>
      </c>
      <c r="C1022">
        <v>1181495</v>
      </c>
      <c r="E1022" t="s">
        <v>36</v>
      </c>
      <c r="F1022" t="s">
        <v>6540</v>
      </c>
      <c r="G1022" t="s">
        <v>6539</v>
      </c>
      <c r="H1022">
        <v>29241599</v>
      </c>
      <c r="I1022" t="s">
        <v>16</v>
      </c>
      <c r="K1022" t="s">
        <v>6538</v>
      </c>
      <c r="L1022">
        <v>283</v>
      </c>
      <c r="M1022" t="s">
        <v>6537</v>
      </c>
    </row>
    <row r="1023" spans="1:13" x14ac:dyDescent="0.35">
      <c r="A1023" t="s">
        <v>4233</v>
      </c>
      <c r="B1023">
        <v>1181621</v>
      </c>
      <c r="C1023">
        <v>1181884</v>
      </c>
      <c r="E1023" t="s">
        <v>36</v>
      </c>
      <c r="F1023" t="s">
        <v>6536</v>
      </c>
      <c r="H1023">
        <v>29241600</v>
      </c>
      <c r="I1023" t="s">
        <v>16</v>
      </c>
      <c r="K1023" t="s">
        <v>6535</v>
      </c>
      <c r="L1023">
        <v>87</v>
      </c>
      <c r="M1023" t="s">
        <v>6534</v>
      </c>
    </row>
    <row r="1024" spans="1:13" x14ac:dyDescent="0.35">
      <c r="A1024" t="s">
        <v>4233</v>
      </c>
      <c r="B1024">
        <v>1181934</v>
      </c>
      <c r="C1024">
        <v>1182602</v>
      </c>
      <c r="E1024" t="s">
        <v>36</v>
      </c>
      <c r="F1024" t="s">
        <v>972</v>
      </c>
      <c r="G1024" t="s">
        <v>973</v>
      </c>
      <c r="H1024">
        <v>29241601</v>
      </c>
      <c r="I1024" t="s">
        <v>16</v>
      </c>
      <c r="K1024" t="s">
        <v>6533</v>
      </c>
      <c r="L1024">
        <v>222</v>
      </c>
      <c r="M1024" t="s">
        <v>6532</v>
      </c>
    </row>
    <row r="1025" spans="1:13" x14ac:dyDescent="0.35">
      <c r="A1025" t="s">
        <v>4233</v>
      </c>
      <c r="B1025">
        <v>1182678</v>
      </c>
      <c r="C1025">
        <v>1183634</v>
      </c>
      <c r="E1025" t="s">
        <v>36</v>
      </c>
      <c r="F1025" t="s">
        <v>547</v>
      </c>
      <c r="G1025" t="s">
        <v>548</v>
      </c>
      <c r="H1025">
        <v>29241602</v>
      </c>
      <c r="I1025" t="s">
        <v>16</v>
      </c>
      <c r="K1025" t="s">
        <v>6531</v>
      </c>
      <c r="L1025">
        <v>318</v>
      </c>
      <c r="M1025" t="s">
        <v>6530</v>
      </c>
    </row>
    <row r="1026" spans="1:13" x14ac:dyDescent="0.35">
      <c r="A1026" t="s">
        <v>4233</v>
      </c>
      <c r="B1026">
        <v>1183869</v>
      </c>
      <c r="C1026">
        <v>1184738</v>
      </c>
      <c r="E1026" t="s">
        <v>36</v>
      </c>
      <c r="F1026" t="s">
        <v>6529</v>
      </c>
      <c r="G1026" t="s">
        <v>6528</v>
      </c>
      <c r="H1026">
        <v>29241603</v>
      </c>
      <c r="I1026" t="s">
        <v>16</v>
      </c>
      <c r="K1026" t="s">
        <v>6527</v>
      </c>
      <c r="L1026">
        <v>289</v>
      </c>
      <c r="M1026" t="s">
        <v>6526</v>
      </c>
    </row>
    <row r="1027" spans="1:13" x14ac:dyDescent="0.35">
      <c r="A1027" t="s">
        <v>4233</v>
      </c>
      <c r="B1027">
        <v>1184761</v>
      </c>
      <c r="C1027">
        <v>1186848</v>
      </c>
      <c r="E1027" t="s">
        <v>36</v>
      </c>
      <c r="F1027" t="s">
        <v>6525</v>
      </c>
      <c r="H1027">
        <v>29241604</v>
      </c>
      <c r="I1027" t="s">
        <v>16</v>
      </c>
      <c r="K1027" t="s">
        <v>6524</v>
      </c>
      <c r="L1027">
        <v>695</v>
      </c>
      <c r="M1027" t="s">
        <v>6523</v>
      </c>
    </row>
    <row r="1028" spans="1:13" x14ac:dyDescent="0.35">
      <c r="A1028" t="s">
        <v>4233</v>
      </c>
      <c r="B1028">
        <v>1187049</v>
      </c>
      <c r="C1028">
        <v>1187741</v>
      </c>
      <c r="E1028" t="s">
        <v>13</v>
      </c>
      <c r="F1028" t="s">
        <v>6522</v>
      </c>
      <c r="H1028">
        <v>29241605</v>
      </c>
      <c r="I1028" t="s">
        <v>16</v>
      </c>
      <c r="K1028" t="s">
        <v>6521</v>
      </c>
      <c r="L1028">
        <v>230</v>
      </c>
      <c r="M1028" t="s">
        <v>6520</v>
      </c>
    </row>
    <row r="1029" spans="1:13" x14ac:dyDescent="0.35">
      <c r="A1029" t="s">
        <v>4233</v>
      </c>
      <c r="B1029">
        <v>1187871</v>
      </c>
      <c r="C1029">
        <v>1188725</v>
      </c>
      <c r="E1029" t="s">
        <v>36</v>
      </c>
      <c r="F1029" t="s">
        <v>6519</v>
      </c>
      <c r="H1029">
        <v>29241606</v>
      </c>
      <c r="I1029" t="s">
        <v>16</v>
      </c>
      <c r="K1029" t="s">
        <v>6518</v>
      </c>
      <c r="L1029">
        <v>284</v>
      </c>
      <c r="M1029" t="s">
        <v>6517</v>
      </c>
    </row>
    <row r="1030" spans="1:13" x14ac:dyDescent="0.35">
      <c r="A1030" t="s">
        <v>4233</v>
      </c>
      <c r="B1030">
        <v>1188858</v>
      </c>
      <c r="C1030">
        <v>1190258</v>
      </c>
      <c r="E1030" t="s">
        <v>13</v>
      </c>
      <c r="F1030" t="s">
        <v>55</v>
      </c>
      <c r="H1030">
        <v>29241607</v>
      </c>
      <c r="I1030" t="s">
        <v>16</v>
      </c>
      <c r="K1030" t="s">
        <v>6516</v>
      </c>
      <c r="L1030">
        <v>466</v>
      </c>
      <c r="M1030" t="s">
        <v>6515</v>
      </c>
    </row>
    <row r="1031" spans="1:13" x14ac:dyDescent="0.35">
      <c r="A1031" t="s">
        <v>4233</v>
      </c>
      <c r="B1031">
        <v>1190746</v>
      </c>
      <c r="C1031">
        <v>1190898</v>
      </c>
      <c r="E1031" t="s">
        <v>13</v>
      </c>
      <c r="F1031" t="s">
        <v>40</v>
      </c>
      <c r="H1031">
        <v>31600478</v>
      </c>
      <c r="I1031" t="s">
        <v>16</v>
      </c>
      <c r="K1031" t="s">
        <v>6514</v>
      </c>
      <c r="L1031">
        <v>50</v>
      </c>
      <c r="M1031" t="s">
        <v>6513</v>
      </c>
    </row>
    <row r="1032" spans="1:13" x14ac:dyDescent="0.35">
      <c r="A1032" t="s">
        <v>4233</v>
      </c>
      <c r="B1032">
        <v>1191082</v>
      </c>
      <c r="C1032">
        <v>1192095</v>
      </c>
      <c r="E1032" t="s">
        <v>36</v>
      </c>
      <c r="F1032" t="s">
        <v>602</v>
      </c>
      <c r="H1032">
        <v>29241608</v>
      </c>
      <c r="I1032" t="s">
        <v>16</v>
      </c>
      <c r="K1032" t="s">
        <v>6512</v>
      </c>
      <c r="L1032">
        <v>337</v>
      </c>
      <c r="M1032" t="s">
        <v>6511</v>
      </c>
    </row>
    <row r="1033" spans="1:13" x14ac:dyDescent="0.35">
      <c r="A1033" t="s">
        <v>4233</v>
      </c>
      <c r="B1033">
        <v>1192242</v>
      </c>
      <c r="C1033">
        <v>1193066</v>
      </c>
      <c r="E1033" t="s">
        <v>13</v>
      </c>
      <c r="F1033" t="s">
        <v>6510</v>
      </c>
      <c r="H1033">
        <v>29241609</v>
      </c>
      <c r="I1033" t="s">
        <v>16</v>
      </c>
      <c r="K1033" t="s">
        <v>6509</v>
      </c>
      <c r="L1033">
        <v>274</v>
      </c>
      <c r="M1033" t="s">
        <v>6508</v>
      </c>
    </row>
    <row r="1034" spans="1:13" x14ac:dyDescent="0.35">
      <c r="A1034" t="s">
        <v>4233</v>
      </c>
      <c r="B1034">
        <v>1193243</v>
      </c>
      <c r="C1034">
        <v>1193386</v>
      </c>
      <c r="E1034" t="s">
        <v>13</v>
      </c>
      <c r="F1034" t="s">
        <v>45</v>
      </c>
      <c r="H1034">
        <v>93018763</v>
      </c>
      <c r="I1034" t="s">
        <v>46</v>
      </c>
      <c r="M1034" t="s">
        <v>6507</v>
      </c>
    </row>
    <row r="1035" spans="1:13" x14ac:dyDescent="0.35">
      <c r="A1035" t="s">
        <v>4233</v>
      </c>
      <c r="B1035">
        <v>1193427</v>
      </c>
      <c r="C1035">
        <v>1193960</v>
      </c>
      <c r="E1035" t="s">
        <v>36</v>
      </c>
      <c r="F1035" t="s">
        <v>177</v>
      </c>
      <c r="H1035">
        <v>29241610</v>
      </c>
      <c r="I1035" t="s">
        <v>16</v>
      </c>
      <c r="K1035" t="s">
        <v>6506</v>
      </c>
      <c r="L1035">
        <v>177</v>
      </c>
      <c r="M1035" t="s">
        <v>6505</v>
      </c>
    </row>
    <row r="1036" spans="1:13" x14ac:dyDescent="0.35">
      <c r="A1036" t="s">
        <v>4233</v>
      </c>
      <c r="B1036">
        <v>1194096</v>
      </c>
      <c r="C1036">
        <v>1194425</v>
      </c>
      <c r="E1036" t="s">
        <v>36</v>
      </c>
      <c r="F1036" t="s">
        <v>40</v>
      </c>
      <c r="H1036">
        <v>29241611</v>
      </c>
      <c r="I1036" t="s">
        <v>16</v>
      </c>
      <c r="K1036" t="s">
        <v>6504</v>
      </c>
      <c r="L1036">
        <v>109</v>
      </c>
      <c r="M1036" t="s">
        <v>6503</v>
      </c>
    </row>
    <row r="1037" spans="1:13" x14ac:dyDescent="0.35">
      <c r="A1037" t="s">
        <v>4233</v>
      </c>
      <c r="B1037">
        <v>1194835</v>
      </c>
      <c r="C1037">
        <v>1195641</v>
      </c>
      <c r="E1037" t="s">
        <v>36</v>
      </c>
      <c r="F1037" t="s">
        <v>6502</v>
      </c>
      <c r="H1037">
        <v>29241612</v>
      </c>
      <c r="I1037" t="s">
        <v>16</v>
      </c>
      <c r="K1037" t="s">
        <v>6501</v>
      </c>
      <c r="L1037">
        <v>268</v>
      </c>
      <c r="M1037" t="s">
        <v>6500</v>
      </c>
    </row>
    <row r="1038" spans="1:13" x14ac:dyDescent="0.35">
      <c r="A1038" t="s">
        <v>4233</v>
      </c>
      <c r="B1038">
        <v>1195804</v>
      </c>
      <c r="C1038">
        <v>1196058</v>
      </c>
      <c r="E1038" t="s">
        <v>36</v>
      </c>
      <c r="F1038" t="s">
        <v>40</v>
      </c>
      <c r="H1038">
        <v>55549236</v>
      </c>
      <c r="I1038" t="s">
        <v>16</v>
      </c>
      <c r="K1038" t="s">
        <v>6499</v>
      </c>
      <c r="L1038">
        <v>84</v>
      </c>
      <c r="M1038" t="s">
        <v>6498</v>
      </c>
    </row>
    <row r="1039" spans="1:13" x14ac:dyDescent="0.35">
      <c r="A1039" t="s">
        <v>4233</v>
      </c>
      <c r="B1039">
        <v>1197574</v>
      </c>
      <c r="C1039">
        <v>1198647</v>
      </c>
      <c r="E1039" t="s">
        <v>36</v>
      </c>
      <c r="F1039" t="s">
        <v>5566</v>
      </c>
      <c r="H1039">
        <v>29241614</v>
      </c>
      <c r="I1039" t="s">
        <v>16</v>
      </c>
      <c r="K1039" t="s">
        <v>6497</v>
      </c>
      <c r="L1039">
        <v>357</v>
      </c>
      <c r="M1039" t="s">
        <v>6496</v>
      </c>
    </row>
    <row r="1040" spans="1:13" x14ac:dyDescent="0.35">
      <c r="A1040" t="s">
        <v>4233</v>
      </c>
      <c r="B1040">
        <v>1198713</v>
      </c>
      <c r="C1040">
        <v>1199408</v>
      </c>
      <c r="E1040" t="s">
        <v>36</v>
      </c>
      <c r="F1040" t="s">
        <v>608</v>
      </c>
      <c r="H1040">
        <v>29241615</v>
      </c>
      <c r="I1040" t="s">
        <v>16</v>
      </c>
      <c r="K1040" t="s">
        <v>6495</v>
      </c>
      <c r="L1040">
        <v>231</v>
      </c>
      <c r="M1040" t="s">
        <v>6494</v>
      </c>
    </row>
    <row r="1041" spans="1:13" x14ac:dyDescent="0.35">
      <c r="A1041" t="s">
        <v>4233</v>
      </c>
      <c r="B1041">
        <v>1199534</v>
      </c>
      <c r="C1041">
        <v>1200049</v>
      </c>
      <c r="E1041" t="s">
        <v>13</v>
      </c>
      <c r="F1041" t="s">
        <v>40</v>
      </c>
      <c r="H1041">
        <v>29241616</v>
      </c>
      <c r="I1041" t="s">
        <v>16</v>
      </c>
      <c r="K1041" t="s">
        <v>6493</v>
      </c>
      <c r="L1041">
        <v>171</v>
      </c>
      <c r="M1041" t="s">
        <v>6492</v>
      </c>
    </row>
    <row r="1042" spans="1:13" x14ac:dyDescent="0.35">
      <c r="A1042" t="s">
        <v>4233</v>
      </c>
      <c r="B1042">
        <v>1200046</v>
      </c>
      <c r="C1042">
        <v>1200936</v>
      </c>
      <c r="E1042" t="s">
        <v>13</v>
      </c>
      <c r="F1042" t="s">
        <v>40</v>
      </c>
      <c r="H1042">
        <v>29241617</v>
      </c>
      <c r="I1042" t="s">
        <v>16</v>
      </c>
      <c r="K1042" t="s">
        <v>6491</v>
      </c>
      <c r="L1042">
        <v>296</v>
      </c>
      <c r="M1042" t="s">
        <v>6490</v>
      </c>
    </row>
    <row r="1043" spans="1:13" x14ac:dyDescent="0.35">
      <c r="A1043" t="s">
        <v>4233</v>
      </c>
      <c r="B1043">
        <v>1200933</v>
      </c>
      <c r="C1043">
        <v>1201613</v>
      </c>
      <c r="E1043" t="s">
        <v>13</v>
      </c>
      <c r="F1043" t="s">
        <v>73</v>
      </c>
      <c r="H1043">
        <v>29241618</v>
      </c>
      <c r="I1043" t="s">
        <v>16</v>
      </c>
      <c r="K1043" t="s">
        <v>6489</v>
      </c>
      <c r="L1043">
        <v>226</v>
      </c>
      <c r="M1043" t="s">
        <v>6488</v>
      </c>
    </row>
    <row r="1044" spans="1:13" x14ac:dyDescent="0.35">
      <c r="A1044" t="s">
        <v>4233</v>
      </c>
      <c r="B1044">
        <v>1201610</v>
      </c>
      <c r="C1044">
        <v>1202779</v>
      </c>
      <c r="E1044" t="s">
        <v>13</v>
      </c>
      <c r="F1044" t="s">
        <v>133</v>
      </c>
      <c r="H1044">
        <v>29241619</v>
      </c>
      <c r="I1044" t="s">
        <v>16</v>
      </c>
      <c r="K1044" t="s">
        <v>6487</v>
      </c>
      <c r="L1044">
        <v>389</v>
      </c>
      <c r="M1044" t="s">
        <v>6486</v>
      </c>
    </row>
    <row r="1045" spans="1:13" x14ac:dyDescent="0.35">
      <c r="A1045" t="s">
        <v>4233</v>
      </c>
      <c r="B1045">
        <v>1202964</v>
      </c>
      <c r="C1045">
        <v>1203233</v>
      </c>
      <c r="E1045" t="s">
        <v>13</v>
      </c>
      <c r="F1045" t="s">
        <v>1157</v>
      </c>
      <c r="H1045">
        <v>29241620</v>
      </c>
      <c r="I1045" t="s">
        <v>16</v>
      </c>
      <c r="K1045" t="s">
        <v>6485</v>
      </c>
      <c r="L1045">
        <v>89</v>
      </c>
      <c r="M1045" t="s">
        <v>6484</v>
      </c>
    </row>
    <row r="1046" spans="1:13" x14ac:dyDescent="0.35">
      <c r="A1046" t="s">
        <v>4233</v>
      </c>
      <c r="B1046">
        <v>1203237</v>
      </c>
      <c r="C1046">
        <v>1203530</v>
      </c>
      <c r="E1046" t="s">
        <v>13</v>
      </c>
      <c r="F1046" t="s">
        <v>1046</v>
      </c>
      <c r="H1046">
        <v>29241621</v>
      </c>
      <c r="I1046" t="s">
        <v>16</v>
      </c>
      <c r="K1046" t="s">
        <v>6483</v>
      </c>
      <c r="L1046">
        <v>97</v>
      </c>
      <c r="M1046" t="s">
        <v>6482</v>
      </c>
    </row>
    <row r="1047" spans="1:13" x14ac:dyDescent="0.35">
      <c r="A1047" t="s">
        <v>4233</v>
      </c>
      <c r="B1047">
        <v>1203536</v>
      </c>
      <c r="C1047">
        <v>1203835</v>
      </c>
      <c r="E1047" t="s">
        <v>36</v>
      </c>
      <c r="F1047" t="s">
        <v>40</v>
      </c>
      <c r="H1047">
        <v>42569799</v>
      </c>
      <c r="I1047" t="s">
        <v>16</v>
      </c>
      <c r="K1047" t="s">
        <v>6481</v>
      </c>
      <c r="L1047">
        <v>99</v>
      </c>
      <c r="M1047" t="s">
        <v>6480</v>
      </c>
    </row>
    <row r="1048" spans="1:13" x14ac:dyDescent="0.35">
      <c r="A1048" t="s">
        <v>4233</v>
      </c>
      <c r="B1048">
        <v>1203873</v>
      </c>
      <c r="C1048">
        <v>1204001</v>
      </c>
      <c r="E1048" t="s">
        <v>13</v>
      </c>
      <c r="F1048" t="s">
        <v>40</v>
      </c>
      <c r="H1048">
        <v>93018753</v>
      </c>
      <c r="I1048" t="s">
        <v>16</v>
      </c>
      <c r="K1048" t="s">
        <v>6479</v>
      </c>
      <c r="L1048">
        <v>42</v>
      </c>
      <c r="M1048" t="s">
        <v>6478</v>
      </c>
    </row>
    <row r="1049" spans="1:13" x14ac:dyDescent="0.35">
      <c r="A1049" t="s">
        <v>4233</v>
      </c>
      <c r="B1049">
        <v>1204198</v>
      </c>
      <c r="C1049">
        <v>1204749</v>
      </c>
      <c r="E1049" t="s">
        <v>13</v>
      </c>
      <c r="F1049" t="s">
        <v>6103</v>
      </c>
      <c r="H1049">
        <v>29241622</v>
      </c>
      <c r="I1049" t="s">
        <v>16</v>
      </c>
      <c r="K1049" t="s">
        <v>6477</v>
      </c>
      <c r="L1049">
        <v>183</v>
      </c>
      <c r="M1049" t="s">
        <v>6476</v>
      </c>
    </row>
    <row r="1050" spans="1:13" x14ac:dyDescent="0.35">
      <c r="A1050" t="s">
        <v>4233</v>
      </c>
      <c r="B1050">
        <v>1204783</v>
      </c>
      <c r="C1050">
        <v>1205610</v>
      </c>
      <c r="E1050" t="s">
        <v>13</v>
      </c>
      <c r="F1050" t="s">
        <v>40</v>
      </c>
      <c r="H1050">
        <v>29241623</v>
      </c>
      <c r="I1050" t="s">
        <v>16</v>
      </c>
      <c r="K1050" t="s">
        <v>6475</v>
      </c>
      <c r="L1050">
        <v>275</v>
      </c>
      <c r="M1050" t="s">
        <v>6474</v>
      </c>
    </row>
    <row r="1051" spans="1:13" x14ac:dyDescent="0.35">
      <c r="A1051" t="s">
        <v>4233</v>
      </c>
      <c r="B1051">
        <v>1205743</v>
      </c>
      <c r="C1051">
        <v>1206369</v>
      </c>
      <c r="E1051" t="s">
        <v>13</v>
      </c>
      <c r="F1051" t="s">
        <v>40</v>
      </c>
      <c r="H1051">
        <v>29241624</v>
      </c>
      <c r="I1051" t="s">
        <v>16</v>
      </c>
      <c r="K1051" t="s">
        <v>6473</v>
      </c>
      <c r="L1051">
        <v>208</v>
      </c>
      <c r="M1051" t="s">
        <v>6472</v>
      </c>
    </row>
    <row r="1052" spans="1:13" x14ac:dyDescent="0.35">
      <c r="A1052" t="s">
        <v>4233</v>
      </c>
      <c r="B1052">
        <v>1206312</v>
      </c>
      <c r="C1052">
        <v>1207148</v>
      </c>
      <c r="E1052" t="s">
        <v>13</v>
      </c>
      <c r="F1052" t="s">
        <v>6471</v>
      </c>
      <c r="H1052">
        <v>29241625</v>
      </c>
      <c r="I1052" t="s">
        <v>16</v>
      </c>
      <c r="K1052" t="s">
        <v>6470</v>
      </c>
      <c r="L1052">
        <v>278</v>
      </c>
      <c r="M1052" t="s">
        <v>6469</v>
      </c>
    </row>
    <row r="1053" spans="1:13" x14ac:dyDescent="0.35">
      <c r="A1053" t="s">
        <v>4233</v>
      </c>
      <c r="B1053">
        <v>1207201</v>
      </c>
      <c r="C1053">
        <v>1208076</v>
      </c>
      <c r="E1053" t="s">
        <v>13</v>
      </c>
      <c r="F1053" t="s">
        <v>73</v>
      </c>
      <c r="H1053">
        <v>29241626</v>
      </c>
      <c r="I1053" t="s">
        <v>16</v>
      </c>
      <c r="K1053" t="s">
        <v>6468</v>
      </c>
      <c r="L1053">
        <v>291</v>
      </c>
      <c r="M1053" t="s">
        <v>6467</v>
      </c>
    </row>
    <row r="1054" spans="1:13" x14ac:dyDescent="0.35">
      <c r="A1054" t="s">
        <v>4233</v>
      </c>
      <c r="B1054">
        <v>1208130</v>
      </c>
      <c r="C1054">
        <v>1208528</v>
      </c>
      <c r="E1054" t="s">
        <v>13</v>
      </c>
      <c r="F1054" t="s">
        <v>6466</v>
      </c>
      <c r="H1054">
        <v>29241627</v>
      </c>
      <c r="I1054" t="s">
        <v>16</v>
      </c>
      <c r="K1054" t="s">
        <v>6465</v>
      </c>
      <c r="L1054">
        <v>132</v>
      </c>
      <c r="M1054" t="s">
        <v>6464</v>
      </c>
    </row>
    <row r="1055" spans="1:13" x14ac:dyDescent="0.35">
      <c r="A1055" t="s">
        <v>4233</v>
      </c>
      <c r="B1055">
        <v>1208623</v>
      </c>
      <c r="C1055">
        <v>1208985</v>
      </c>
      <c r="E1055" t="s">
        <v>36</v>
      </c>
      <c r="F1055" t="s">
        <v>40</v>
      </c>
      <c r="H1055">
        <v>29241628</v>
      </c>
      <c r="I1055" t="s">
        <v>16</v>
      </c>
      <c r="K1055" t="s">
        <v>6463</v>
      </c>
      <c r="L1055">
        <v>120</v>
      </c>
      <c r="M1055" t="s">
        <v>6462</v>
      </c>
    </row>
    <row r="1056" spans="1:13" x14ac:dyDescent="0.35">
      <c r="A1056" t="s">
        <v>4233</v>
      </c>
      <c r="B1056">
        <v>1209109</v>
      </c>
      <c r="C1056">
        <v>1209984</v>
      </c>
      <c r="E1056" t="s">
        <v>36</v>
      </c>
      <c r="F1056" t="s">
        <v>1238</v>
      </c>
      <c r="H1056">
        <v>29241629</v>
      </c>
      <c r="I1056" t="s">
        <v>16</v>
      </c>
      <c r="K1056" t="s">
        <v>6461</v>
      </c>
      <c r="L1056">
        <v>291</v>
      </c>
      <c r="M1056" t="s">
        <v>6460</v>
      </c>
    </row>
    <row r="1057" spans="1:13" x14ac:dyDescent="0.35">
      <c r="A1057" t="s">
        <v>4233</v>
      </c>
      <c r="B1057">
        <v>1210188</v>
      </c>
      <c r="C1057">
        <v>1210811</v>
      </c>
      <c r="E1057" t="s">
        <v>36</v>
      </c>
      <c r="F1057" t="s">
        <v>40</v>
      </c>
      <c r="H1057">
        <v>29241630</v>
      </c>
      <c r="I1057" t="s">
        <v>16</v>
      </c>
      <c r="K1057" t="s">
        <v>6459</v>
      </c>
      <c r="L1057">
        <v>207</v>
      </c>
      <c r="M1057" t="s">
        <v>6458</v>
      </c>
    </row>
    <row r="1058" spans="1:13" x14ac:dyDescent="0.35">
      <c r="A1058" t="s">
        <v>4233</v>
      </c>
      <c r="B1058">
        <v>1210808</v>
      </c>
      <c r="C1058">
        <v>1211536</v>
      </c>
      <c r="E1058" t="s">
        <v>36</v>
      </c>
      <c r="F1058" t="s">
        <v>40</v>
      </c>
      <c r="H1058">
        <v>29241631</v>
      </c>
      <c r="I1058" t="s">
        <v>16</v>
      </c>
      <c r="K1058" t="s">
        <v>6457</v>
      </c>
      <c r="L1058">
        <v>242</v>
      </c>
      <c r="M1058" t="s">
        <v>6456</v>
      </c>
    </row>
    <row r="1059" spans="1:13" x14ac:dyDescent="0.35">
      <c r="A1059" t="s">
        <v>4233</v>
      </c>
      <c r="B1059">
        <v>1211541</v>
      </c>
      <c r="C1059">
        <v>1212197</v>
      </c>
      <c r="E1059" t="s">
        <v>36</v>
      </c>
      <c r="F1059" t="s">
        <v>73</v>
      </c>
      <c r="H1059">
        <v>29241632</v>
      </c>
      <c r="I1059" t="s">
        <v>16</v>
      </c>
      <c r="K1059" t="s">
        <v>6455</v>
      </c>
      <c r="L1059">
        <v>218</v>
      </c>
      <c r="M1059" t="s">
        <v>6454</v>
      </c>
    </row>
    <row r="1060" spans="1:13" x14ac:dyDescent="0.35">
      <c r="A1060" t="s">
        <v>4233</v>
      </c>
      <c r="B1060">
        <v>1212130</v>
      </c>
      <c r="C1060">
        <v>1212327</v>
      </c>
      <c r="E1060" t="s">
        <v>36</v>
      </c>
      <c r="F1060" t="s">
        <v>40</v>
      </c>
      <c r="H1060">
        <v>55549237</v>
      </c>
      <c r="I1060" t="s">
        <v>16</v>
      </c>
      <c r="K1060" t="s">
        <v>6453</v>
      </c>
      <c r="L1060">
        <v>65</v>
      </c>
      <c r="M1060" t="s">
        <v>6452</v>
      </c>
    </row>
    <row r="1061" spans="1:13" x14ac:dyDescent="0.35">
      <c r="A1061" t="s">
        <v>4233</v>
      </c>
      <c r="B1061">
        <v>1212578</v>
      </c>
      <c r="C1061">
        <v>1213763</v>
      </c>
      <c r="E1061" t="s">
        <v>13</v>
      </c>
      <c r="F1061" t="s">
        <v>45</v>
      </c>
      <c r="H1061">
        <v>29241633</v>
      </c>
      <c r="I1061" t="s">
        <v>46</v>
      </c>
      <c r="M1061" t="s">
        <v>6451</v>
      </c>
    </row>
    <row r="1062" spans="1:13" x14ac:dyDescent="0.35">
      <c r="A1062" t="s">
        <v>4233</v>
      </c>
      <c r="B1062">
        <v>1213955</v>
      </c>
      <c r="C1062">
        <v>1214623</v>
      </c>
      <c r="E1062" t="s">
        <v>36</v>
      </c>
      <c r="F1062" t="s">
        <v>608</v>
      </c>
      <c r="H1062">
        <v>29241634</v>
      </c>
      <c r="I1062" t="s">
        <v>16</v>
      </c>
      <c r="K1062" t="s">
        <v>6450</v>
      </c>
      <c r="L1062">
        <v>222</v>
      </c>
      <c r="M1062" t="s">
        <v>6449</v>
      </c>
    </row>
    <row r="1063" spans="1:13" x14ac:dyDescent="0.35">
      <c r="A1063" t="s">
        <v>4233</v>
      </c>
      <c r="B1063">
        <v>1214620</v>
      </c>
      <c r="C1063">
        <v>1215849</v>
      </c>
      <c r="E1063" t="s">
        <v>36</v>
      </c>
      <c r="F1063" t="s">
        <v>6342</v>
      </c>
      <c r="H1063">
        <v>29241635</v>
      </c>
      <c r="I1063" t="s">
        <v>16</v>
      </c>
      <c r="K1063" t="s">
        <v>6448</v>
      </c>
      <c r="L1063">
        <v>409</v>
      </c>
      <c r="M1063" t="s">
        <v>6447</v>
      </c>
    </row>
    <row r="1064" spans="1:13" x14ac:dyDescent="0.35">
      <c r="A1064" t="s">
        <v>4233</v>
      </c>
      <c r="B1064">
        <v>1215882</v>
      </c>
      <c r="C1064">
        <v>1217306</v>
      </c>
      <c r="E1064" t="s">
        <v>36</v>
      </c>
      <c r="F1064" t="s">
        <v>1192</v>
      </c>
      <c r="H1064">
        <v>29241636</v>
      </c>
      <c r="I1064" t="s">
        <v>16</v>
      </c>
      <c r="K1064" t="s">
        <v>6446</v>
      </c>
      <c r="L1064">
        <v>474</v>
      </c>
      <c r="M1064" t="s">
        <v>6445</v>
      </c>
    </row>
    <row r="1065" spans="1:13" x14ac:dyDescent="0.35">
      <c r="A1065" t="s">
        <v>4233</v>
      </c>
      <c r="B1065">
        <v>1217299</v>
      </c>
      <c r="C1065">
        <v>1218201</v>
      </c>
      <c r="E1065" t="s">
        <v>36</v>
      </c>
      <c r="F1065" t="s">
        <v>73</v>
      </c>
      <c r="H1065">
        <v>29241637</v>
      </c>
      <c r="I1065" t="s">
        <v>16</v>
      </c>
      <c r="K1065" t="s">
        <v>6444</v>
      </c>
      <c r="L1065">
        <v>300</v>
      </c>
      <c r="M1065" t="s">
        <v>6443</v>
      </c>
    </row>
    <row r="1066" spans="1:13" x14ac:dyDescent="0.35">
      <c r="A1066" t="s">
        <v>4233</v>
      </c>
      <c r="B1066">
        <v>1218396</v>
      </c>
      <c r="C1066">
        <v>1218929</v>
      </c>
      <c r="E1066" t="s">
        <v>36</v>
      </c>
      <c r="F1066" t="s">
        <v>40</v>
      </c>
      <c r="H1066">
        <v>29241638</v>
      </c>
      <c r="I1066" t="s">
        <v>16</v>
      </c>
      <c r="K1066" t="s">
        <v>6442</v>
      </c>
      <c r="L1066">
        <v>177</v>
      </c>
      <c r="M1066" t="s">
        <v>6441</v>
      </c>
    </row>
    <row r="1067" spans="1:13" x14ac:dyDescent="0.35">
      <c r="A1067" t="s">
        <v>4233</v>
      </c>
      <c r="B1067">
        <v>1219261</v>
      </c>
      <c r="C1067">
        <v>1219563</v>
      </c>
      <c r="E1067" t="s">
        <v>13</v>
      </c>
      <c r="F1067" t="s">
        <v>6440</v>
      </c>
      <c r="H1067">
        <v>29241639</v>
      </c>
      <c r="I1067" t="s">
        <v>16</v>
      </c>
      <c r="K1067" t="s">
        <v>6439</v>
      </c>
      <c r="L1067">
        <v>100</v>
      </c>
      <c r="M1067" t="s">
        <v>6438</v>
      </c>
    </row>
    <row r="1068" spans="1:13" x14ac:dyDescent="0.35">
      <c r="A1068" t="s">
        <v>4233</v>
      </c>
      <c r="B1068">
        <v>1219566</v>
      </c>
      <c r="C1068">
        <v>1219910</v>
      </c>
      <c r="E1068" t="s">
        <v>13</v>
      </c>
      <c r="F1068" t="s">
        <v>40</v>
      </c>
      <c r="H1068">
        <v>29241640</v>
      </c>
      <c r="I1068" t="s">
        <v>16</v>
      </c>
      <c r="K1068" t="s">
        <v>6437</v>
      </c>
      <c r="L1068">
        <v>114</v>
      </c>
      <c r="M1068" t="s">
        <v>6436</v>
      </c>
    </row>
    <row r="1069" spans="1:13" x14ac:dyDescent="0.35">
      <c r="A1069" t="s">
        <v>4233</v>
      </c>
      <c r="B1069">
        <v>1220051</v>
      </c>
      <c r="C1069">
        <v>1220464</v>
      </c>
      <c r="E1069" t="s">
        <v>36</v>
      </c>
      <c r="F1069" t="s">
        <v>825</v>
      </c>
      <c r="H1069">
        <v>29241641</v>
      </c>
      <c r="I1069" t="s">
        <v>16</v>
      </c>
      <c r="K1069" t="s">
        <v>6435</v>
      </c>
      <c r="L1069">
        <v>137</v>
      </c>
      <c r="M1069" t="s">
        <v>6434</v>
      </c>
    </row>
    <row r="1070" spans="1:13" x14ac:dyDescent="0.35">
      <c r="A1070" t="s">
        <v>4233</v>
      </c>
      <c r="B1070">
        <v>1220886</v>
      </c>
      <c r="C1070">
        <v>1221527</v>
      </c>
      <c r="E1070" t="s">
        <v>13</v>
      </c>
      <c r="F1070" t="s">
        <v>40</v>
      </c>
      <c r="H1070">
        <v>29241642</v>
      </c>
      <c r="I1070" t="s">
        <v>16</v>
      </c>
      <c r="K1070" t="s">
        <v>6433</v>
      </c>
      <c r="L1070">
        <v>213</v>
      </c>
      <c r="M1070" t="s">
        <v>6432</v>
      </c>
    </row>
    <row r="1071" spans="1:13" x14ac:dyDescent="0.35">
      <c r="A1071" t="s">
        <v>4233</v>
      </c>
      <c r="B1071">
        <v>1221620</v>
      </c>
      <c r="C1071">
        <v>1221913</v>
      </c>
      <c r="E1071" t="s">
        <v>13</v>
      </c>
      <c r="F1071" t="s">
        <v>40</v>
      </c>
      <c r="H1071">
        <v>55549238</v>
      </c>
      <c r="I1071" t="s">
        <v>16</v>
      </c>
      <c r="K1071" t="s">
        <v>6431</v>
      </c>
      <c r="L1071">
        <v>97</v>
      </c>
      <c r="M1071" t="s">
        <v>6430</v>
      </c>
    </row>
    <row r="1072" spans="1:13" x14ac:dyDescent="0.35">
      <c r="A1072" t="s">
        <v>4233</v>
      </c>
      <c r="B1072">
        <v>1222251</v>
      </c>
      <c r="C1072">
        <v>1222397</v>
      </c>
      <c r="E1072" t="s">
        <v>13</v>
      </c>
      <c r="F1072" t="s">
        <v>40</v>
      </c>
      <c r="H1072">
        <v>55549239</v>
      </c>
      <c r="I1072" t="s">
        <v>16</v>
      </c>
      <c r="K1072" t="s">
        <v>6429</v>
      </c>
      <c r="L1072">
        <v>48</v>
      </c>
      <c r="M1072" t="s">
        <v>6428</v>
      </c>
    </row>
    <row r="1073" spans="1:13" x14ac:dyDescent="0.35">
      <c r="A1073" t="s">
        <v>4233</v>
      </c>
      <c r="B1073">
        <v>1222566</v>
      </c>
      <c r="C1073">
        <v>1223006</v>
      </c>
      <c r="E1073" t="s">
        <v>13</v>
      </c>
      <c r="F1073" t="s">
        <v>40</v>
      </c>
      <c r="H1073">
        <v>55549240</v>
      </c>
      <c r="I1073" t="s">
        <v>16</v>
      </c>
      <c r="K1073" t="s">
        <v>6427</v>
      </c>
      <c r="L1073">
        <v>146</v>
      </c>
      <c r="M1073" t="s">
        <v>6426</v>
      </c>
    </row>
    <row r="1074" spans="1:13" x14ac:dyDescent="0.35">
      <c r="A1074" t="s">
        <v>4233</v>
      </c>
      <c r="B1074">
        <v>1223033</v>
      </c>
      <c r="C1074">
        <v>1223341</v>
      </c>
      <c r="E1074" t="s">
        <v>13</v>
      </c>
      <c r="F1074" t="s">
        <v>765</v>
      </c>
      <c r="H1074">
        <v>55549241</v>
      </c>
      <c r="I1074" t="s">
        <v>16</v>
      </c>
      <c r="K1074" t="s">
        <v>6425</v>
      </c>
      <c r="L1074">
        <v>102</v>
      </c>
      <c r="M1074" t="s">
        <v>6424</v>
      </c>
    </row>
    <row r="1075" spans="1:13" x14ac:dyDescent="0.35">
      <c r="A1075" t="s">
        <v>4233</v>
      </c>
      <c r="B1075">
        <v>1223670</v>
      </c>
      <c r="C1075">
        <v>1225250</v>
      </c>
      <c r="E1075" t="s">
        <v>13</v>
      </c>
      <c r="F1075" t="s">
        <v>55</v>
      </c>
      <c r="H1075">
        <v>29241647</v>
      </c>
      <c r="I1075" t="s">
        <v>16</v>
      </c>
      <c r="K1075" t="s">
        <v>6423</v>
      </c>
      <c r="L1075">
        <v>526</v>
      </c>
      <c r="M1075" t="s">
        <v>6422</v>
      </c>
    </row>
    <row r="1076" spans="1:13" x14ac:dyDescent="0.35">
      <c r="A1076" t="s">
        <v>4233</v>
      </c>
      <c r="B1076">
        <v>1225493</v>
      </c>
      <c r="C1076">
        <v>1225732</v>
      </c>
      <c r="E1076" t="s">
        <v>36</v>
      </c>
      <c r="F1076" t="s">
        <v>40</v>
      </c>
      <c r="H1076">
        <v>29241648</v>
      </c>
      <c r="I1076" t="s">
        <v>16</v>
      </c>
      <c r="K1076" t="s">
        <v>6421</v>
      </c>
      <c r="L1076">
        <v>79</v>
      </c>
      <c r="M1076" t="s">
        <v>6420</v>
      </c>
    </row>
    <row r="1077" spans="1:13" x14ac:dyDescent="0.35">
      <c r="A1077" t="s">
        <v>4233</v>
      </c>
      <c r="B1077">
        <v>1226029</v>
      </c>
      <c r="C1077">
        <v>1226382</v>
      </c>
      <c r="E1077" t="s">
        <v>13</v>
      </c>
      <c r="F1077" t="s">
        <v>6419</v>
      </c>
      <c r="H1077">
        <v>29241649</v>
      </c>
      <c r="I1077" t="s">
        <v>16</v>
      </c>
      <c r="K1077" t="s">
        <v>6418</v>
      </c>
      <c r="L1077">
        <v>117</v>
      </c>
      <c r="M1077" t="s">
        <v>6417</v>
      </c>
    </row>
    <row r="1078" spans="1:13" x14ac:dyDescent="0.35">
      <c r="A1078" t="s">
        <v>4233</v>
      </c>
      <c r="B1078">
        <v>1226448</v>
      </c>
      <c r="C1078">
        <v>1226876</v>
      </c>
      <c r="E1078" t="s">
        <v>36</v>
      </c>
      <c r="F1078" t="s">
        <v>40</v>
      </c>
      <c r="H1078">
        <v>55549242</v>
      </c>
      <c r="I1078" t="s">
        <v>16</v>
      </c>
      <c r="K1078" t="s">
        <v>6416</v>
      </c>
      <c r="L1078">
        <v>142</v>
      </c>
      <c r="M1078" t="s">
        <v>6415</v>
      </c>
    </row>
    <row r="1079" spans="1:13" x14ac:dyDescent="0.35">
      <c r="A1079" t="s">
        <v>4233</v>
      </c>
      <c r="B1079">
        <v>1227194</v>
      </c>
      <c r="C1079">
        <v>1228090</v>
      </c>
      <c r="E1079" t="s">
        <v>13</v>
      </c>
      <c r="F1079" t="s">
        <v>40</v>
      </c>
      <c r="H1079">
        <v>29241651</v>
      </c>
      <c r="I1079" t="s">
        <v>16</v>
      </c>
      <c r="K1079" t="s">
        <v>6414</v>
      </c>
      <c r="L1079">
        <v>298</v>
      </c>
      <c r="M1079" t="s">
        <v>6413</v>
      </c>
    </row>
    <row r="1080" spans="1:13" x14ac:dyDescent="0.35">
      <c r="A1080" t="s">
        <v>4233</v>
      </c>
      <c r="B1080">
        <v>1228074</v>
      </c>
      <c r="C1080">
        <v>1228682</v>
      </c>
      <c r="E1080" t="s">
        <v>36</v>
      </c>
      <c r="F1080" t="s">
        <v>6412</v>
      </c>
      <c r="H1080">
        <v>29241652</v>
      </c>
      <c r="I1080" t="s">
        <v>16</v>
      </c>
      <c r="K1080" t="s">
        <v>6411</v>
      </c>
      <c r="L1080">
        <v>202</v>
      </c>
      <c r="M1080" t="s">
        <v>6410</v>
      </c>
    </row>
    <row r="1081" spans="1:13" x14ac:dyDescent="0.35">
      <c r="A1081" t="s">
        <v>4233</v>
      </c>
      <c r="B1081">
        <v>1229045</v>
      </c>
      <c r="C1081">
        <v>1230601</v>
      </c>
      <c r="E1081" t="s">
        <v>36</v>
      </c>
      <c r="F1081" t="s">
        <v>6409</v>
      </c>
      <c r="G1081" t="s">
        <v>6408</v>
      </c>
      <c r="H1081">
        <v>29241653</v>
      </c>
      <c r="I1081" t="s">
        <v>16</v>
      </c>
      <c r="K1081" t="s">
        <v>6407</v>
      </c>
      <c r="L1081">
        <v>518</v>
      </c>
      <c r="M1081" t="s">
        <v>6406</v>
      </c>
    </row>
    <row r="1082" spans="1:13" x14ac:dyDescent="0.35">
      <c r="A1082" t="s">
        <v>4233</v>
      </c>
      <c r="B1082">
        <v>1230807</v>
      </c>
      <c r="C1082">
        <v>1231202</v>
      </c>
      <c r="E1082" t="s">
        <v>36</v>
      </c>
      <c r="F1082" t="s">
        <v>6405</v>
      </c>
      <c r="G1082" t="s">
        <v>6404</v>
      </c>
      <c r="H1082">
        <v>29241654</v>
      </c>
      <c r="I1082" t="s">
        <v>16</v>
      </c>
      <c r="K1082" t="s">
        <v>6403</v>
      </c>
      <c r="L1082">
        <v>131</v>
      </c>
      <c r="M1082" t="s">
        <v>6402</v>
      </c>
    </row>
    <row r="1083" spans="1:13" x14ac:dyDescent="0.35">
      <c r="A1083" t="s">
        <v>4233</v>
      </c>
      <c r="B1083">
        <v>1231285</v>
      </c>
      <c r="C1083">
        <v>1232055</v>
      </c>
      <c r="E1083" t="s">
        <v>36</v>
      </c>
      <c r="F1083" t="s">
        <v>6401</v>
      </c>
      <c r="G1083" t="s">
        <v>6400</v>
      </c>
      <c r="H1083">
        <v>29241655</v>
      </c>
      <c r="I1083" t="s">
        <v>16</v>
      </c>
      <c r="K1083" t="s">
        <v>6399</v>
      </c>
      <c r="L1083">
        <v>256</v>
      </c>
      <c r="M1083" t="s">
        <v>6398</v>
      </c>
    </row>
    <row r="1084" spans="1:13" x14ac:dyDescent="0.35">
      <c r="A1084" t="s">
        <v>4233</v>
      </c>
      <c r="B1084">
        <v>1232317</v>
      </c>
      <c r="C1084">
        <v>1232790</v>
      </c>
      <c r="E1084" t="s">
        <v>13</v>
      </c>
      <c r="F1084" t="s">
        <v>6397</v>
      </c>
      <c r="H1084">
        <v>29241656</v>
      </c>
      <c r="I1084" t="s">
        <v>16</v>
      </c>
      <c r="K1084" t="s">
        <v>6396</v>
      </c>
      <c r="L1084">
        <v>157</v>
      </c>
      <c r="M1084" t="s">
        <v>6395</v>
      </c>
    </row>
    <row r="1085" spans="1:13" x14ac:dyDescent="0.35">
      <c r="A1085" t="s">
        <v>4233</v>
      </c>
      <c r="B1085">
        <v>1232791</v>
      </c>
      <c r="C1085">
        <v>1233960</v>
      </c>
      <c r="E1085" t="s">
        <v>36</v>
      </c>
      <c r="F1085" t="s">
        <v>6394</v>
      </c>
      <c r="G1085" t="s">
        <v>6393</v>
      </c>
      <c r="H1085">
        <v>29241657</v>
      </c>
      <c r="I1085" t="s">
        <v>16</v>
      </c>
      <c r="K1085" t="s">
        <v>6392</v>
      </c>
      <c r="L1085">
        <v>389</v>
      </c>
      <c r="M1085" t="s">
        <v>6391</v>
      </c>
    </row>
    <row r="1086" spans="1:13" x14ac:dyDescent="0.35">
      <c r="A1086" t="s">
        <v>4233</v>
      </c>
      <c r="B1086">
        <v>1233986</v>
      </c>
      <c r="C1086">
        <v>1234972</v>
      </c>
      <c r="E1086" t="s">
        <v>36</v>
      </c>
      <c r="F1086" t="s">
        <v>928</v>
      </c>
      <c r="H1086">
        <v>29241658</v>
      </c>
      <c r="I1086" t="s">
        <v>16</v>
      </c>
      <c r="K1086" t="s">
        <v>6390</v>
      </c>
      <c r="L1086">
        <v>328</v>
      </c>
      <c r="M1086" t="s">
        <v>6389</v>
      </c>
    </row>
    <row r="1087" spans="1:13" x14ac:dyDescent="0.35">
      <c r="A1087" t="s">
        <v>4233</v>
      </c>
      <c r="B1087">
        <v>1234997</v>
      </c>
      <c r="C1087">
        <v>1235548</v>
      </c>
      <c r="E1087" t="s">
        <v>36</v>
      </c>
      <c r="F1087" t="s">
        <v>6388</v>
      </c>
      <c r="G1087" t="s">
        <v>932</v>
      </c>
      <c r="H1087">
        <v>29241659</v>
      </c>
      <c r="I1087" t="s">
        <v>16</v>
      </c>
      <c r="K1087" t="s">
        <v>6387</v>
      </c>
      <c r="L1087">
        <v>183</v>
      </c>
      <c r="M1087" t="s">
        <v>6386</v>
      </c>
    </row>
    <row r="1088" spans="1:13" x14ac:dyDescent="0.35">
      <c r="A1088" t="s">
        <v>4233</v>
      </c>
      <c r="B1088">
        <v>1235611</v>
      </c>
      <c r="C1088">
        <v>1236351</v>
      </c>
      <c r="E1088" t="s">
        <v>36</v>
      </c>
      <c r="F1088" t="s">
        <v>933</v>
      </c>
      <c r="G1088" t="s">
        <v>934</v>
      </c>
      <c r="H1088">
        <v>29241660</v>
      </c>
      <c r="I1088" t="s">
        <v>16</v>
      </c>
      <c r="K1088" t="s">
        <v>6385</v>
      </c>
      <c r="L1088">
        <v>246</v>
      </c>
      <c r="M1088" t="s">
        <v>6384</v>
      </c>
    </row>
    <row r="1089" spans="1:13" x14ac:dyDescent="0.35">
      <c r="A1089" t="s">
        <v>4233</v>
      </c>
      <c r="B1089">
        <v>1236527</v>
      </c>
      <c r="C1089">
        <v>1237378</v>
      </c>
      <c r="E1089" t="s">
        <v>36</v>
      </c>
      <c r="F1089" t="s">
        <v>937</v>
      </c>
      <c r="G1089" t="s">
        <v>938</v>
      </c>
      <c r="H1089">
        <v>29241661</v>
      </c>
      <c r="I1089" t="s">
        <v>16</v>
      </c>
      <c r="K1089" t="s">
        <v>6383</v>
      </c>
      <c r="L1089">
        <v>283</v>
      </c>
      <c r="M1089" t="s">
        <v>6382</v>
      </c>
    </row>
    <row r="1090" spans="1:13" x14ac:dyDescent="0.35">
      <c r="A1090" t="s">
        <v>4233</v>
      </c>
      <c r="B1090">
        <v>1237460</v>
      </c>
      <c r="C1090">
        <v>1238299</v>
      </c>
      <c r="E1090" t="s">
        <v>36</v>
      </c>
      <c r="F1090" t="s">
        <v>939</v>
      </c>
      <c r="G1090" t="s">
        <v>940</v>
      </c>
      <c r="H1090">
        <v>29241662</v>
      </c>
      <c r="I1090" t="s">
        <v>16</v>
      </c>
      <c r="K1090" t="s">
        <v>6381</v>
      </c>
      <c r="L1090">
        <v>279</v>
      </c>
      <c r="M1090" t="s">
        <v>6380</v>
      </c>
    </row>
    <row r="1091" spans="1:13" x14ac:dyDescent="0.35">
      <c r="A1091" t="s">
        <v>4233</v>
      </c>
      <c r="B1091">
        <v>1238635</v>
      </c>
      <c r="C1091">
        <v>1239120</v>
      </c>
      <c r="E1091" t="s">
        <v>36</v>
      </c>
      <c r="F1091" t="s">
        <v>61</v>
      </c>
      <c r="G1091" t="s">
        <v>686</v>
      </c>
      <c r="H1091">
        <v>29241663</v>
      </c>
      <c r="I1091" t="s">
        <v>16</v>
      </c>
      <c r="K1091" t="s">
        <v>6379</v>
      </c>
      <c r="L1091">
        <v>161</v>
      </c>
      <c r="M1091" t="s">
        <v>6378</v>
      </c>
    </row>
    <row r="1092" spans="1:13" x14ac:dyDescent="0.35">
      <c r="A1092" t="s">
        <v>4233</v>
      </c>
      <c r="B1092">
        <v>1239127</v>
      </c>
      <c r="C1092">
        <v>1241208</v>
      </c>
      <c r="E1092" t="s">
        <v>36</v>
      </c>
      <c r="F1092" t="s">
        <v>5313</v>
      </c>
      <c r="H1092">
        <v>29241664</v>
      </c>
      <c r="I1092" t="s">
        <v>16</v>
      </c>
      <c r="K1092" t="s">
        <v>6377</v>
      </c>
      <c r="L1092">
        <v>693</v>
      </c>
      <c r="M1092" t="s">
        <v>6376</v>
      </c>
    </row>
    <row r="1093" spans="1:13" x14ac:dyDescent="0.35">
      <c r="A1093" t="s">
        <v>4233</v>
      </c>
      <c r="B1093">
        <v>1241284</v>
      </c>
      <c r="C1093">
        <v>1241772</v>
      </c>
      <c r="E1093" t="s">
        <v>36</v>
      </c>
      <c r="F1093" t="s">
        <v>40</v>
      </c>
      <c r="H1093">
        <v>29241665</v>
      </c>
      <c r="I1093" t="s">
        <v>16</v>
      </c>
      <c r="K1093" t="s">
        <v>6375</v>
      </c>
      <c r="L1093">
        <v>162</v>
      </c>
      <c r="M1093" t="s">
        <v>6374</v>
      </c>
    </row>
    <row r="1094" spans="1:13" x14ac:dyDescent="0.35">
      <c r="A1094" t="s">
        <v>4233</v>
      </c>
      <c r="B1094">
        <v>1241918</v>
      </c>
      <c r="C1094">
        <v>1243042</v>
      </c>
      <c r="E1094" t="s">
        <v>36</v>
      </c>
      <c r="F1094" t="s">
        <v>6373</v>
      </c>
      <c r="H1094">
        <v>29241666</v>
      </c>
      <c r="I1094" t="s">
        <v>16</v>
      </c>
      <c r="K1094" t="s">
        <v>6372</v>
      </c>
      <c r="L1094">
        <v>374</v>
      </c>
      <c r="M1094" t="s">
        <v>6371</v>
      </c>
    </row>
    <row r="1095" spans="1:13" x14ac:dyDescent="0.35">
      <c r="A1095" t="s">
        <v>4233</v>
      </c>
      <c r="B1095">
        <v>1243171</v>
      </c>
      <c r="C1095">
        <v>1244391</v>
      </c>
      <c r="E1095" t="s">
        <v>13</v>
      </c>
      <c r="F1095" t="s">
        <v>6370</v>
      </c>
      <c r="H1095">
        <v>29241667</v>
      </c>
      <c r="I1095" t="s">
        <v>16</v>
      </c>
      <c r="K1095" t="s">
        <v>6369</v>
      </c>
      <c r="L1095">
        <v>406</v>
      </c>
      <c r="M1095" t="s">
        <v>6368</v>
      </c>
    </row>
    <row r="1096" spans="1:13" x14ac:dyDescent="0.35">
      <c r="A1096" t="s">
        <v>4233</v>
      </c>
      <c r="B1096">
        <v>1244532</v>
      </c>
      <c r="C1096">
        <v>1246217</v>
      </c>
      <c r="E1096" t="s">
        <v>13</v>
      </c>
      <c r="F1096" t="s">
        <v>410</v>
      </c>
      <c r="H1096">
        <v>29241668</v>
      </c>
      <c r="I1096" t="s">
        <v>16</v>
      </c>
      <c r="K1096" t="s">
        <v>6367</v>
      </c>
      <c r="L1096">
        <v>561</v>
      </c>
      <c r="M1096" t="s">
        <v>6366</v>
      </c>
    </row>
    <row r="1097" spans="1:13" x14ac:dyDescent="0.35">
      <c r="A1097" t="s">
        <v>4233</v>
      </c>
      <c r="B1097">
        <v>1246230</v>
      </c>
      <c r="C1097">
        <v>1246853</v>
      </c>
      <c r="E1097" t="s">
        <v>36</v>
      </c>
      <c r="F1097" t="s">
        <v>872</v>
      </c>
      <c r="H1097">
        <v>29241669</v>
      </c>
      <c r="I1097" t="s">
        <v>16</v>
      </c>
      <c r="K1097" t="s">
        <v>6365</v>
      </c>
      <c r="L1097">
        <v>207</v>
      </c>
      <c r="M1097" t="s">
        <v>6364</v>
      </c>
    </row>
    <row r="1098" spans="1:13" x14ac:dyDescent="0.35">
      <c r="A1098" t="s">
        <v>4233</v>
      </c>
      <c r="B1098">
        <v>1247093</v>
      </c>
      <c r="C1098">
        <v>1247165</v>
      </c>
      <c r="E1098" t="s">
        <v>36</v>
      </c>
      <c r="F1098" t="s">
        <v>69</v>
      </c>
      <c r="H1098">
        <v>29241670</v>
      </c>
      <c r="I1098" t="s">
        <v>39</v>
      </c>
      <c r="M1098" t="s">
        <v>6363</v>
      </c>
    </row>
    <row r="1099" spans="1:13" x14ac:dyDescent="0.35">
      <c r="A1099" t="s">
        <v>4233</v>
      </c>
      <c r="B1099">
        <v>1247470</v>
      </c>
      <c r="C1099">
        <v>1247787</v>
      </c>
      <c r="E1099" t="s">
        <v>13</v>
      </c>
      <c r="F1099" t="s">
        <v>6362</v>
      </c>
      <c r="H1099">
        <v>29242558</v>
      </c>
      <c r="I1099" t="s">
        <v>16</v>
      </c>
      <c r="K1099" t="s">
        <v>6361</v>
      </c>
      <c r="L1099">
        <v>105</v>
      </c>
      <c r="M1099" t="s">
        <v>6360</v>
      </c>
    </row>
    <row r="1100" spans="1:13" x14ac:dyDescent="0.35">
      <c r="A1100" t="s">
        <v>4233</v>
      </c>
      <c r="B1100">
        <v>1247676</v>
      </c>
      <c r="C1100">
        <v>1247930</v>
      </c>
      <c r="E1100" t="s">
        <v>36</v>
      </c>
      <c r="F1100" t="s">
        <v>6244</v>
      </c>
      <c r="H1100">
        <v>31600486</v>
      </c>
      <c r="I1100" t="s">
        <v>16</v>
      </c>
      <c r="K1100" t="s">
        <v>6359</v>
      </c>
      <c r="L1100">
        <v>84</v>
      </c>
      <c r="M1100" t="s">
        <v>6358</v>
      </c>
    </row>
    <row r="1101" spans="1:13" x14ac:dyDescent="0.35">
      <c r="A1101" t="s">
        <v>4233</v>
      </c>
      <c r="B1101">
        <v>1247840</v>
      </c>
      <c r="C1101">
        <v>1248310</v>
      </c>
      <c r="E1101" t="s">
        <v>36</v>
      </c>
      <c r="F1101" t="s">
        <v>40</v>
      </c>
      <c r="H1101">
        <v>93018736</v>
      </c>
      <c r="I1101" t="s">
        <v>16</v>
      </c>
      <c r="K1101" t="s">
        <v>6357</v>
      </c>
      <c r="L1101">
        <v>156</v>
      </c>
      <c r="M1101" t="s">
        <v>6356</v>
      </c>
    </row>
    <row r="1102" spans="1:13" x14ac:dyDescent="0.35">
      <c r="A1102" t="s">
        <v>4233</v>
      </c>
      <c r="B1102">
        <v>1248363</v>
      </c>
      <c r="C1102">
        <v>1249145</v>
      </c>
      <c r="E1102" t="s">
        <v>36</v>
      </c>
      <c r="F1102" t="s">
        <v>849</v>
      </c>
      <c r="H1102">
        <v>29241671</v>
      </c>
      <c r="I1102" t="s">
        <v>16</v>
      </c>
      <c r="K1102" t="s">
        <v>6355</v>
      </c>
      <c r="L1102">
        <v>260</v>
      </c>
      <c r="M1102" t="s">
        <v>6354</v>
      </c>
    </row>
    <row r="1103" spans="1:13" x14ac:dyDescent="0.35">
      <c r="A1103" t="s">
        <v>4233</v>
      </c>
      <c r="B1103">
        <v>1249263</v>
      </c>
      <c r="C1103">
        <v>1250581</v>
      </c>
      <c r="E1103" t="s">
        <v>13</v>
      </c>
      <c r="F1103" t="s">
        <v>45</v>
      </c>
      <c r="H1103">
        <v>55549243</v>
      </c>
      <c r="I1103" t="s">
        <v>46</v>
      </c>
      <c r="M1103" t="s">
        <v>6353</v>
      </c>
    </row>
    <row r="1104" spans="1:13" x14ac:dyDescent="0.35">
      <c r="A1104" t="s">
        <v>4233</v>
      </c>
      <c r="B1104">
        <v>1250739</v>
      </c>
      <c r="C1104">
        <v>1251833</v>
      </c>
      <c r="E1104" t="s">
        <v>13</v>
      </c>
      <c r="F1104" t="s">
        <v>73</v>
      </c>
      <c r="H1104">
        <v>29241673</v>
      </c>
      <c r="I1104" t="s">
        <v>16</v>
      </c>
      <c r="K1104" t="s">
        <v>6352</v>
      </c>
      <c r="L1104">
        <v>364</v>
      </c>
      <c r="M1104" t="s">
        <v>6351</v>
      </c>
    </row>
    <row r="1105" spans="1:13" x14ac:dyDescent="0.35">
      <c r="A1105" t="s">
        <v>4233</v>
      </c>
      <c r="B1105">
        <v>1251830</v>
      </c>
      <c r="C1105">
        <v>1252669</v>
      </c>
      <c r="E1105" t="s">
        <v>13</v>
      </c>
      <c r="F1105" t="s">
        <v>133</v>
      </c>
      <c r="H1105">
        <v>29241674</v>
      </c>
      <c r="I1105" t="s">
        <v>16</v>
      </c>
      <c r="K1105" t="s">
        <v>6350</v>
      </c>
      <c r="L1105">
        <v>279</v>
      </c>
      <c r="M1105" t="s">
        <v>6349</v>
      </c>
    </row>
    <row r="1106" spans="1:13" x14ac:dyDescent="0.35">
      <c r="A1106" t="s">
        <v>4233</v>
      </c>
      <c r="B1106">
        <v>1252666</v>
      </c>
      <c r="C1106">
        <v>1253529</v>
      </c>
      <c r="E1106" t="s">
        <v>13</v>
      </c>
      <c r="F1106" t="s">
        <v>133</v>
      </c>
      <c r="H1106">
        <v>29241675</v>
      </c>
      <c r="I1106" t="s">
        <v>16</v>
      </c>
      <c r="K1106" t="s">
        <v>6348</v>
      </c>
      <c r="L1106">
        <v>287</v>
      </c>
      <c r="M1106" t="s">
        <v>6347</v>
      </c>
    </row>
    <row r="1107" spans="1:13" x14ac:dyDescent="0.35">
      <c r="A1107" t="s">
        <v>4233</v>
      </c>
      <c r="B1107">
        <v>1253596</v>
      </c>
      <c r="C1107">
        <v>1254084</v>
      </c>
      <c r="E1107" t="s">
        <v>13</v>
      </c>
      <c r="F1107" t="s">
        <v>40</v>
      </c>
      <c r="H1107">
        <v>29241676</v>
      </c>
      <c r="I1107" t="s">
        <v>16</v>
      </c>
      <c r="K1107" t="s">
        <v>6346</v>
      </c>
      <c r="L1107">
        <v>162</v>
      </c>
      <c r="M1107" t="s">
        <v>6345</v>
      </c>
    </row>
    <row r="1108" spans="1:13" x14ac:dyDescent="0.35">
      <c r="A1108" t="s">
        <v>4233</v>
      </c>
      <c r="B1108">
        <v>1254087</v>
      </c>
      <c r="C1108">
        <v>1254437</v>
      </c>
      <c r="E1108" t="s">
        <v>13</v>
      </c>
      <c r="F1108" t="s">
        <v>40</v>
      </c>
      <c r="H1108">
        <v>29241677</v>
      </c>
      <c r="I1108" t="s">
        <v>16</v>
      </c>
      <c r="K1108" t="s">
        <v>6344</v>
      </c>
      <c r="L1108">
        <v>116</v>
      </c>
      <c r="M1108" t="s">
        <v>6343</v>
      </c>
    </row>
    <row r="1109" spans="1:13" x14ac:dyDescent="0.35">
      <c r="A1109" t="s">
        <v>4233</v>
      </c>
      <c r="B1109">
        <v>1254561</v>
      </c>
      <c r="C1109">
        <v>1255850</v>
      </c>
      <c r="E1109" t="s">
        <v>13</v>
      </c>
      <c r="F1109" t="s">
        <v>6342</v>
      </c>
      <c r="H1109">
        <v>29241678</v>
      </c>
      <c r="I1109" t="s">
        <v>16</v>
      </c>
      <c r="K1109" t="s">
        <v>6341</v>
      </c>
      <c r="L1109">
        <v>429</v>
      </c>
      <c r="M1109" t="s">
        <v>6340</v>
      </c>
    </row>
    <row r="1110" spans="1:13" x14ac:dyDescent="0.35">
      <c r="A1110" t="s">
        <v>4233</v>
      </c>
      <c r="B1110">
        <v>1255843</v>
      </c>
      <c r="C1110">
        <v>1256526</v>
      </c>
      <c r="E1110" t="s">
        <v>13</v>
      </c>
      <c r="F1110" t="s">
        <v>608</v>
      </c>
      <c r="H1110">
        <v>29241679</v>
      </c>
      <c r="I1110" t="s">
        <v>16</v>
      </c>
      <c r="K1110" t="s">
        <v>6339</v>
      </c>
      <c r="L1110">
        <v>227</v>
      </c>
      <c r="M1110" t="s">
        <v>6338</v>
      </c>
    </row>
    <row r="1111" spans="1:13" x14ac:dyDescent="0.35">
      <c r="A1111" t="s">
        <v>4233</v>
      </c>
      <c r="B1111">
        <v>1256900</v>
      </c>
      <c r="C1111">
        <v>1256972</v>
      </c>
      <c r="E1111" t="s">
        <v>36</v>
      </c>
      <c r="F1111" t="s">
        <v>69</v>
      </c>
      <c r="H1111">
        <v>29241680</v>
      </c>
      <c r="I1111" t="s">
        <v>39</v>
      </c>
      <c r="M1111" t="s">
        <v>6337</v>
      </c>
    </row>
    <row r="1112" spans="1:13" x14ac:dyDescent="0.35">
      <c r="A1112" t="s">
        <v>4233</v>
      </c>
      <c r="B1112">
        <v>1257084</v>
      </c>
      <c r="C1112">
        <v>1258127</v>
      </c>
      <c r="E1112" t="s">
        <v>36</v>
      </c>
      <c r="F1112" t="s">
        <v>361</v>
      </c>
      <c r="G1112" t="s">
        <v>362</v>
      </c>
      <c r="H1112">
        <v>29241681</v>
      </c>
      <c r="I1112" t="s">
        <v>16</v>
      </c>
      <c r="K1112" t="s">
        <v>6336</v>
      </c>
      <c r="L1112">
        <v>347</v>
      </c>
      <c r="M1112" t="s">
        <v>6335</v>
      </c>
    </row>
    <row r="1113" spans="1:13" x14ac:dyDescent="0.35">
      <c r="A1113" t="s">
        <v>4233</v>
      </c>
      <c r="B1113">
        <v>1258124</v>
      </c>
      <c r="C1113">
        <v>1258723</v>
      </c>
      <c r="E1113" t="s">
        <v>36</v>
      </c>
      <c r="F1113" t="s">
        <v>357</v>
      </c>
      <c r="G1113" t="s">
        <v>358</v>
      </c>
      <c r="H1113">
        <v>29241682</v>
      </c>
      <c r="I1113" t="s">
        <v>16</v>
      </c>
      <c r="K1113" t="s">
        <v>6334</v>
      </c>
      <c r="L1113">
        <v>199</v>
      </c>
      <c r="M1113" t="s">
        <v>6333</v>
      </c>
    </row>
    <row r="1114" spans="1:13" x14ac:dyDescent="0.35">
      <c r="A1114" t="s">
        <v>4233</v>
      </c>
      <c r="B1114">
        <v>1258738</v>
      </c>
      <c r="C1114">
        <v>1259619</v>
      </c>
      <c r="E1114" t="s">
        <v>36</v>
      </c>
      <c r="F1114" t="s">
        <v>355</v>
      </c>
      <c r="G1114" t="s">
        <v>356</v>
      </c>
      <c r="H1114">
        <v>29241683</v>
      </c>
      <c r="I1114" t="s">
        <v>16</v>
      </c>
      <c r="K1114" t="s">
        <v>6332</v>
      </c>
      <c r="L1114">
        <v>293</v>
      </c>
      <c r="M1114" t="s">
        <v>6331</v>
      </c>
    </row>
    <row r="1115" spans="1:13" x14ac:dyDescent="0.35">
      <c r="A1115" t="s">
        <v>4233</v>
      </c>
      <c r="B1115">
        <v>1259676</v>
      </c>
      <c r="C1115">
        <v>1260242</v>
      </c>
      <c r="E1115" t="s">
        <v>36</v>
      </c>
      <c r="F1115" t="s">
        <v>585</v>
      </c>
      <c r="G1115" t="s">
        <v>586</v>
      </c>
      <c r="H1115">
        <v>29241684</v>
      </c>
      <c r="I1115" t="s">
        <v>16</v>
      </c>
      <c r="K1115" t="s">
        <v>6330</v>
      </c>
      <c r="L1115">
        <v>188</v>
      </c>
      <c r="M1115" t="s">
        <v>6329</v>
      </c>
    </row>
    <row r="1116" spans="1:13" x14ac:dyDescent="0.35">
      <c r="A1116" t="s">
        <v>4233</v>
      </c>
      <c r="B1116">
        <v>1260251</v>
      </c>
      <c r="C1116">
        <v>1261222</v>
      </c>
      <c r="E1116" t="s">
        <v>36</v>
      </c>
      <c r="F1116" t="s">
        <v>350</v>
      </c>
      <c r="G1116" t="s">
        <v>698</v>
      </c>
      <c r="H1116">
        <v>29241685</v>
      </c>
      <c r="I1116" t="s">
        <v>16</v>
      </c>
      <c r="K1116" t="s">
        <v>6328</v>
      </c>
      <c r="L1116">
        <v>323</v>
      </c>
      <c r="M1116" t="s">
        <v>6327</v>
      </c>
    </row>
    <row r="1117" spans="1:13" x14ac:dyDescent="0.35">
      <c r="A1117" t="s">
        <v>4233</v>
      </c>
      <c r="B1117">
        <v>1261301</v>
      </c>
      <c r="C1117">
        <v>1263007</v>
      </c>
      <c r="E1117" t="s">
        <v>36</v>
      </c>
      <c r="F1117" t="s">
        <v>6326</v>
      </c>
      <c r="H1117">
        <v>29241686</v>
      </c>
      <c r="I1117" t="s">
        <v>16</v>
      </c>
      <c r="K1117" t="s">
        <v>6325</v>
      </c>
      <c r="L1117">
        <v>568</v>
      </c>
      <c r="M1117" t="s">
        <v>6324</v>
      </c>
    </row>
    <row r="1118" spans="1:13" x14ac:dyDescent="0.35">
      <c r="A1118" t="s">
        <v>4233</v>
      </c>
      <c r="B1118">
        <v>1263004</v>
      </c>
      <c r="C1118">
        <v>1263771</v>
      </c>
      <c r="E1118" t="s">
        <v>36</v>
      </c>
      <c r="F1118" t="s">
        <v>697</v>
      </c>
      <c r="H1118">
        <v>29241687</v>
      </c>
      <c r="I1118" t="s">
        <v>16</v>
      </c>
      <c r="K1118" t="s">
        <v>6323</v>
      </c>
      <c r="L1118">
        <v>255</v>
      </c>
      <c r="M1118" t="s">
        <v>6322</v>
      </c>
    </row>
    <row r="1119" spans="1:13" x14ac:dyDescent="0.35">
      <c r="A1119" t="s">
        <v>4233</v>
      </c>
      <c r="B1119">
        <v>1263857</v>
      </c>
      <c r="C1119">
        <v>1266820</v>
      </c>
      <c r="E1119" t="s">
        <v>36</v>
      </c>
      <c r="F1119" t="s">
        <v>1176</v>
      </c>
      <c r="G1119" t="s">
        <v>1177</v>
      </c>
      <c r="H1119">
        <v>29241688</v>
      </c>
      <c r="I1119" t="s">
        <v>16</v>
      </c>
      <c r="K1119" t="s">
        <v>6321</v>
      </c>
      <c r="L1119">
        <v>987</v>
      </c>
      <c r="M1119" t="s">
        <v>6320</v>
      </c>
    </row>
    <row r="1120" spans="1:13" x14ac:dyDescent="0.35">
      <c r="A1120" t="s">
        <v>4233</v>
      </c>
      <c r="B1120">
        <v>1266863</v>
      </c>
      <c r="C1120">
        <v>1267744</v>
      </c>
      <c r="E1120" t="s">
        <v>36</v>
      </c>
      <c r="F1120" t="s">
        <v>486</v>
      </c>
      <c r="H1120">
        <v>29241689</v>
      </c>
      <c r="I1120" t="s">
        <v>16</v>
      </c>
      <c r="K1120" t="s">
        <v>6319</v>
      </c>
      <c r="L1120">
        <v>293</v>
      </c>
      <c r="M1120" t="s">
        <v>6318</v>
      </c>
    </row>
    <row r="1121" spans="1:13" x14ac:dyDescent="0.35">
      <c r="A1121" t="s">
        <v>4233</v>
      </c>
      <c r="B1121">
        <v>1267757</v>
      </c>
      <c r="C1121">
        <v>1268707</v>
      </c>
      <c r="E1121" t="s">
        <v>36</v>
      </c>
      <c r="F1121" t="s">
        <v>1189</v>
      </c>
      <c r="H1121">
        <v>29241690</v>
      </c>
      <c r="I1121" t="s">
        <v>16</v>
      </c>
      <c r="K1121" t="s">
        <v>6317</v>
      </c>
      <c r="L1121">
        <v>316</v>
      </c>
      <c r="M1121" t="s">
        <v>6316</v>
      </c>
    </row>
    <row r="1122" spans="1:13" x14ac:dyDescent="0.35">
      <c r="A1122" t="s">
        <v>4233</v>
      </c>
      <c r="B1122">
        <v>1268887</v>
      </c>
      <c r="C1122">
        <v>1269732</v>
      </c>
      <c r="E1122" t="s">
        <v>36</v>
      </c>
      <c r="F1122" t="s">
        <v>294</v>
      </c>
      <c r="H1122">
        <v>29241691</v>
      </c>
      <c r="I1122" t="s">
        <v>16</v>
      </c>
      <c r="K1122" t="s">
        <v>6315</v>
      </c>
      <c r="L1122">
        <v>281</v>
      </c>
      <c r="M1122" t="s">
        <v>6314</v>
      </c>
    </row>
    <row r="1123" spans="1:13" x14ac:dyDescent="0.35">
      <c r="A1123" t="s">
        <v>4233</v>
      </c>
      <c r="B1123">
        <v>1269801</v>
      </c>
      <c r="C1123">
        <v>1271072</v>
      </c>
      <c r="E1123" t="s">
        <v>13</v>
      </c>
      <c r="F1123" t="s">
        <v>6313</v>
      </c>
      <c r="H1123">
        <v>29241692</v>
      </c>
      <c r="I1123" t="s">
        <v>16</v>
      </c>
      <c r="K1123" t="s">
        <v>6312</v>
      </c>
      <c r="L1123">
        <v>423</v>
      </c>
      <c r="M1123" t="s">
        <v>6311</v>
      </c>
    </row>
    <row r="1124" spans="1:13" x14ac:dyDescent="0.35">
      <c r="A1124" t="s">
        <v>4233</v>
      </c>
      <c r="B1124">
        <v>1271154</v>
      </c>
      <c r="C1124">
        <v>1271558</v>
      </c>
      <c r="E1124" t="s">
        <v>36</v>
      </c>
      <c r="F1124" t="s">
        <v>1212</v>
      </c>
      <c r="H1124">
        <v>29241693</v>
      </c>
      <c r="I1124" t="s">
        <v>16</v>
      </c>
      <c r="K1124" t="s">
        <v>6310</v>
      </c>
      <c r="L1124">
        <v>134</v>
      </c>
      <c r="M1124" t="s">
        <v>6309</v>
      </c>
    </row>
    <row r="1125" spans="1:13" x14ac:dyDescent="0.35">
      <c r="A1125" t="s">
        <v>4233</v>
      </c>
      <c r="B1125">
        <v>1271793</v>
      </c>
      <c r="C1125">
        <v>1272728</v>
      </c>
      <c r="E1125" t="s">
        <v>13</v>
      </c>
      <c r="F1125" t="s">
        <v>1238</v>
      </c>
      <c r="H1125">
        <v>29241694</v>
      </c>
      <c r="I1125" t="s">
        <v>16</v>
      </c>
      <c r="K1125" t="s">
        <v>6308</v>
      </c>
      <c r="L1125">
        <v>311</v>
      </c>
      <c r="M1125" t="s">
        <v>6307</v>
      </c>
    </row>
    <row r="1126" spans="1:13" x14ac:dyDescent="0.35">
      <c r="A1126" t="s">
        <v>4233</v>
      </c>
      <c r="B1126">
        <v>1272803</v>
      </c>
      <c r="C1126">
        <v>1273501</v>
      </c>
      <c r="E1126" t="s">
        <v>13</v>
      </c>
      <c r="F1126" t="s">
        <v>737</v>
      </c>
      <c r="H1126">
        <v>29241695</v>
      </c>
      <c r="I1126" t="s">
        <v>16</v>
      </c>
      <c r="K1126" t="s">
        <v>6306</v>
      </c>
      <c r="L1126">
        <v>232</v>
      </c>
      <c r="M1126" t="s">
        <v>6305</v>
      </c>
    </row>
    <row r="1127" spans="1:13" x14ac:dyDescent="0.35">
      <c r="A1127" t="s">
        <v>4233</v>
      </c>
      <c r="B1127">
        <v>1273673</v>
      </c>
      <c r="C1127">
        <v>1274872</v>
      </c>
      <c r="E1127" t="s">
        <v>13</v>
      </c>
      <c r="F1127" t="s">
        <v>40</v>
      </c>
      <c r="H1127">
        <v>29241696</v>
      </c>
      <c r="I1127" t="s">
        <v>16</v>
      </c>
      <c r="K1127" t="s">
        <v>6304</v>
      </c>
      <c r="L1127">
        <v>399</v>
      </c>
      <c r="M1127" t="s">
        <v>6303</v>
      </c>
    </row>
    <row r="1128" spans="1:13" x14ac:dyDescent="0.35">
      <c r="A1128" t="s">
        <v>4233</v>
      </c>
      <c r="B1128">
        <v>1274899</v>
      </c>
      <c r="C1128">
        <v>1275054</v>
      </c>
      <c r="E1128" t="s">
        <v>13</v>
      </c>
      <c r="F1128" t="s">
        <v>40</v>
      </c>
      <c r="H1128">
        <v>55549244</v>
      </c>
      <c r="I1128" t="s">
        <v>16</v>
      </c>
      <c r="K1128" t="s">
        <v>6302</v>
      </c>
      <c r="L1128">
        <v>51</v>
      </c>
      <c r="M1128" t="s">
        <v>6301</v>
      </c>
    </row>
    <row r="1129" spans="1:13" x14ac:dyDescent="0.35">
      <c r="A1129" t="s">
        <v>4233</v>
      </c>
      <c r="B1129">
        <v>1275348</v>
      </c>
      <c r="C1129">
        <v>1276646</v>
      </c>
      <c r="E1129" t="s">
        <v>13</v>
      </c>
      <c r="F1129" t="s">
        <v>6300</v>
      </c>
      <c r="H1129">
        <v>29241697</v>
      </c>
      <c r="I1129" t="s">
        <v>16</v>
      </c>
      <c r="K1129" t="s">
        <v>6299</v>
      </c>
      <c r="L1129">
        <v>432</v>
      </c>
      <c r="M1129" t="s">
        <v>6298</v>
      </c>
    </row>
    <row r="1130" spans="1:13" x14ac:dyDescent="0.35">
      <c r="A1130" t="s">
        <v>4233</v>
      </c>
      <c r="B1130">
        <v>1276713</v>
      </c>
      <c r="C1130">
        <v>1277948</v>
      </c>
      <c r="E1130" t="s">
        <v>13</v>
      </c>
      <c r="F1130" t="s">
        <v>6297</v>
      </c>
      <c r="H1130">
        <v>29241698</v>
      </c>
      <c r="I1130" t="s">
        <v>16</v>
      </c>
      <c r="K1130" t="s">
        <v>6296</v>
      </c>
      <c r="L1130">
        <v>411</v>
      </c>
      <c r="M1130" t="s">
        <v>6295</v>
      </c>
    </row>
    <row r="1131" spans="1:13" x14ac:dyDescent="0.35">
      <c r="A1131" t="s">
        <v>4233</v>
      </c>
      <c r="B1131">
        <v>1277994</v>
      </c>
      <c r="C1131">
        <v>1278833</v>
      </c>
      <c r="E1131" t="s">
        <v>36</v>
      </c>
      <c r="F1131" t="s">
        <v>510</v>
      </c>
      <c r="H1131">
        <v>93018737</v>
      </c>
      <c r="I1131" t="s">
        <v>16</v>
      </c>
      <c r="K1131" t="s">
        <v>6294</v>
      </c>
      <c r="L1131">
        <v>279</v>
      </c>
      <c r="M1131" t="s">
        <v>6293</v>
      </c>
    </row>
    <row r="1132" spans="1:13" x14ac:dyDescent="0.35">
      <c r="A1132" t="s">
        <v>4233</v>
      </c>
      <c r="B1132">
        <v>1278730</v>
      </c>
      <c r="C1132">
        <v>1279350</v>
      </c>
      <c r="E1132" t="s">
        <v>36</v>
      </c>
      <c r="F1132" t="s">
        <v>167</v>
      </c>
      <c r="H1132">
        <v>93018738</v>
      </c>
      <c r="I1132" t="s">
        <v>16</v>
      </c>
      <c r="K1132" t="s">
        <v>6292</v>
      </c>
      <c r="L1132">
        <v>206</v>
      </c>
      <c r="M1132" t="s">
        <v>6291</v>
      </c>
    </row>
    <row r="1133" spans="1:13" x14ac:dyDescent="0.35">
      <c r="A1133" t="s">
        <v>4233</v>
      </c>
      <c r="B1133">
        <v>1279713</v>
      </c>
      <c r="C1133">
        <v>1280765</v>
      </c>
      <c r="E1133" t="s">
        <v>36</v>
      </c>
      <c r="F1133" t="s">
        <v>373</v>
      </c>
      <c r="H1133">
        <v>29241701</v>
      </c>
      <c r="I1133" t="s">
        <v>16</v>
      </c>
      <c r="K1133" t="s">
        <v>6290</v>
      </c>
      <c r="L1133">
        <v>350</v>
      </c>
      <c r="M1133" t="s">
        <v>6289</v>
      </c>
    </row>
    <row r="1134" spans="1:13" x14ac:dyDescent="0.35">
      <c r="A1134" t="s">
        <v>4233</v>
      </c>
      <c r="B1134">
        <v>1280976</v>
      </c>
      <c r="C1134">
        <v>1282253</v>
      </c>
      <c r="E1134" t="s">
        <v>36</v>
      </c>
      <c r="F1134" t="s">
        <v>40</v>
      </c>
      <c r="H1134">
        <v>29241702</v>
      </c>
      <c r="I1134" t="s">
        <v>16</v>
      </c>
      <c r="K1134" t="s">
        <v>6288</v>
      </c>
      <c r="L1134">
        <v>425</v>
      </c>
      <c r="M1134" t="s">
        <v>6287</v>
      </c>
    </row>
    <row r="1135" spans="1:13" x14ac:dyDescent="0.35">
      <c r="A1135" t="s">
        <v>4233</v>
      </c>
      <c r="B1135">
        <v>1282269</v>
      </c>
      <c r="C1135">
        <v>1283096</v>
      </c>
      <c r="E1135" t="s">
        <v>36</v>
      </c>
      <c r="F1135" t="s">
        <v>453</v>
      </c>
      <c r="H1135">
        <v>29241703</v>
      </c>
      <c r="I1135" t="s">
        <v>16</v>
      </c>
      <c r="K1135" t="s">
        <v>6286</v>
      </c>
      <c r="L1135">
        <v>275</v>
      </c>
      <c r="M1135" t="s">
        <v>6285</v>
      </c>
    </row>
    <row r="1136" spans="1:13" x14ac:dyDescent="0.35">
      <c r="A1136" t="s">
        <v>4233</v>
      </c>
      <c r="B1136">
        <v>1283086</v>
      </c>
      <c r="C1136">
        <v>1284075</v>
      </c>
      <c r="E1136" t="s">
        <v>36</v>
      </c>
      <c r="F1136" t="s">
        <v>453</v>
      </c>
      <c r="H1136">
        <v>29241704</v>
      </c>
      <c r="I1136" t="s">
        <v>16</v>
      </c>
      <c r="K1136" t="s">
        <v>6284</v>
      </c>
      <c r="L1136">
        <v>329</v>
      </c>
      <c r="M1136" t="s">
        <v>6283</v>
      </c>
    </row>
    <row r="1137" spans="1:13" x14ac:dyDescent="0.35">
      <c r="A1137" t="s">
        <v>4233</v>
      </c>
      <c r="B1137">
        <v>1284075</v>
      </c>
      <c r="C1137">
        <v>1285334</v>
      </c>
      <c r="E1137" t="s">
        <v>36</v>
      </c>
      <c r="F1137" t="s">
        <v>451</v>
      </c>
      <c r="H1137">
        <v>29241705</v>
      </c>
      <c r="I1137" t="s">
        <v>16</v>
      </c>
      <c r="K1137" t="s">
        <v>6282</v>
      </c>
      <c r="L1137">
        <v>419</v>
      </c>
      <c r="M1137" t="s">
        <v>6281</v>
      </c>
    </row>
    <row r="1138" spans="1:13" x14ac:dyDescent="0.35">
      <c r="A1138" t="s">
        <v>4233</v>
      </c>
      <c r="B1138">
        <v>1285730</v>
      </c>
      <c r="C1138">
        <v>1288879</v>
      </c>
      <c r="E1138" t="s">
        <v>36</v>
      </c>
      <c r="F1138" t="s">
        <v>6278</v>
      </c>
      <c r="H1138">
        <v>29241706</v>
      </c>
      <c r="I1138" t="s">
        <v>16</v>
      </c>
      <c r="K1138" t="s">
        <v>6280</v>
      </c>
      <c r="L1138">
        <v>1049</v>
      </c>
      <c r="M1138" t="s">
        <v>6279</v>
      </c>
    </row>
    <row r="1139" spans="1:13" x14ac:dyDescent="0.35">
      <c r="A1139" t="s">
        <v>4233</v>
      </c>
      <c r="B1139">
        <v>1289010</v>
      </c>
      <c r="C1139">
        <v>1292129</v>
      </c>
      <c r="E1139" t="s">
        <v>36</v>
      </c>
      <c r="F1139" t="s">
        <v>6278</v>
      </c>
      <c r="H1139">
        <v>29241707</v>
      </c>
      <c r="I1139" t="s">
        <v>16</v>
      </c>
      <c r="K1139" t="s">
        <v>6277</v>
      </c>
      <c r="L1139">
        <v>1039</v>
      </c>
      <c r="M1139" t="s">
        <v>6276</v>
      </c>
    </row>
    <row r="1140" spans="1:13" x14ac:dyDescent="0.35">
      <c r="A1140" t="s">
        <v>4233</v>
      </c>
      <c r="B1140">
        <v>1292290</v>
      </c>
      <c r="C1140">
        <v>1292778</v>
      </c>
      <c r="E1140" t="s">
        <v>36</v>
      </c>
      <c r="F1140" t="s">
        <v>768</v>
      </c>
      <c r="G1140" t="s">
        <v>769</v>
      </c>
      <c r="H1140">
        <v>29241708</v>
      </c>
      <c r="I1140" t="s">
        <v>16</v>
      </c>
      <c r="K1140" t="s">
        <v>6275</v>
      </c>
      <c r="L1140">
        <v>162</v>
      </c>
      <c r="M1140" t="s">
        <v>6274</v>
      </c>
    </row>
    <row r="1141" spans="1:13" x14ac:dyDescent="0.35">
      <c r="A1141" t="s">
        <v>4233</v>
      </c>
      <c r="B1141">
        <v>1292941</v>
      </c>
      <c r="C1141">
        <v>1293555</v>
      </c>
      <c r="E1141" t="s">
        <v>36</v>
      </c>
      <c r="F1141" t="s">
        <v>6273</v>
      </c>
      <c r="H1141">
        <v>29241709</v>
      </c>
      <c r="I1141" t="s">
        <v>16</v>
      </c>
      <c r="K1141" t="s">
        <v>6272</v>
      </c>
      <c r="L1141">
        <v>204</v>
      </c>
      <c r="M1141" t="s">
        <v>6271</v>
      </c>
    </row>
    <row r="1142" spans="1:13" x14ac:dyDescent="0.35">
      <c r="A1142" t="s">
        <v>4233</v>
      </c>
      <c r="B1142">
        <v>1293699</v>
      </c>
      <c r="C1142">
        <v>1294127</v>
      </c>
      <c r="E1142" t="s">
        <v>36</v>
      </c>
      <c r="F1142" t="s">
        <v>500</v>
      </c>
      <c r="H1142">
        <v>29241710</v>
      </c>
      <c r="I1142" t="s">
        <v>16</v>
      </c>
      <c r="K1142" t="s">
        <v>6270</v>
      </c>
      <c r="L1142">
        <v>142</v>
      </c>
      <c r="M1142" t="s">
        <v>6269</v>
      </c>
    </row>
    <row r="1143" spans="1:13" x14ac:dyDescent="0.35">
      <c r="A1143" t="s">
        <v>4233</v>
      </c>
      <c r="B1143">
        <v>1294223</v>
      </c>
      <c r="C1143">
        <v>1294516</v>
      </c>
      <c r="E1143" t="s">
        <v>13</v>
      </c>
      <c r="F1143" t="s">
        <v>510</v>
      </c>
      <c r="H1143">
        <v>42569804</v>
      </c>
      <c r="I1143" t="s">
        <v>16</v>
      </c>
      <c r="K1143" t="s">
        <v>6268</v>
      </c>
      <c r="L1143">
        <v>97</v>
      </c>
      <c r="M1143" t="s">
        <v>6267</v>
      </c>
    </row>
    <row r="1144" spans="1:13" x14ac:dyDescent="0.35">
      <c r="A1144" t="s">
        <v>4233</v>
      </c>
      <c r="B1144">
        <v>1294594</v>
      </c>
      <c r="C1144">
        <v>1294893</v>
      </c>
      <c r="E1144" t="s">
        <v>13</v>
      </c>
      <c r="F1144" t="s">
        <v>510</v>
      </c>
      <c r="H1144">
        <v>93018739</v>
      </c>
      <c r="I1144" t="s">
        <v>16</v>
      </c>
      <c r="K1144" t="s">
        <v>6266</v>
      </c>
      <c r="L1144">
        <v>99</v>
      </c>
      <c r="M1144" t="s">
        <v>6265</v>
      </c>
    </row>
    <row r="1145" spans="1:13" x14ac:dyDescent="0.35">
      <c r="A1145" t="s">
        <v>4233</v>
      </c>
      <c r="B1145">
        <v>1294899</v>
      </c>
      <c r="C1145">
        <v>1295345</v>
      </c>
      <c r="E1145" t="s">
        <v>13</v>
      </c>
      <c r="F1145" t="s">
        <v>6253</v>
      </c>
      <c r="H1145">
        <v>42569805</v>
      </c>
      <c r="I1145" t="s">
        <v>16</v>
      </c>
      <c r="K1145" t="s">
        <v>6252</v>
      </c>
      <c r="L1145">
        <v>148</v>
      </c>
      <c r="M1145" t="s">
        <v>6264</v>
      </c>
    </row>
    <row r="1146" spans="1:13" x14ac:dyDescent="0.35">
      <c r="A1146" t="s">
        <v>4233</v>
      </c>
      <c r="B1146">
        <v>1295713</v>
      </c>
      <c r="C1146">
        <v>1297281</v>
      </c>
      <c r="E1146" t="s">
        <v>13</v>
      </c>
      <c r="F1146" t="s">
        <v>121</v>
      </c>
      <c r="H1146">
        <v>29241714</v>
      </c>
      <c r="I1146" t="s">
        <v>16</v>
      </c>
      <c r="K1146" t="s">
        <v>6263</v>
      </c>
      <c r="L1146">
        <v>522</v>
      </c>
      <c r="M1146" t="s">
        <v>6262</v>
      </c>
    </row>
    <row r="1147" spans="1:13" x14ac:dyDescent="0.35">
      <c r="A1147" t="s">
        <v>4233</v>
      </c>
      <c r="B1147">
        <v>1297428</v>
      </c>
      <c r="C1147">
        <v>1297616</v>
      </c>
      <c r="E1147" t="s">
        <v>36</v>
      </c>
      <c r="F1147" t="s">
        <v>45</v>
      </c>
      <c r="H1147">
        <v>42569807</v>
      </c>
      <c r="I1147" t="s">
        <v>46</v>
      </c>
      <c r="M1147" t="s">
        <v>6261</v>
      </c>
    </row>
    <row r="1148" spans="1:13" x14ac:dyDescent="0.35">
      <c r="A1148" t="s">
        <v>4233</v>
      </c>
      <c r="B1148">
        <v>1297711</v>
      </c>
      <c r="C1148">
        <v>1298001</v>
      </c>
      <c r="E1148" t="s">
        <v>13</v>
      </c>
      <c r="F1148" t="s">
        <v>40</v>
      </c>
      <c r="H1148">
        <v>29241716</v>
      </c>
      <c r="I1148" t="s">
        <v>16</v>
      </c>
      <c r="K1148" t="s">
        <v>6260</v>
      </c>
      <c r="L1148">
        <v>96</v>
      </c>
      <c r="M1148" t="s">
        <v>6259</v>
      </c>
    </row>
    <row r="1149" spans="1:13" x14ac:dyDescent="0.35">
      <c r="A1149" t="s">
        <v>4233</v>
      </c>
      <c r="B1149">
        <v>1298255</v>
      </c>
      <c r="C1149">
        <v>1298890</v>
      </c>
      <c r="E1149" t="s">
        <v>13</v>
      </c>
      <c r="F1149" t="s">
        <v>100</v>
      </c>
      <c r="H1149">
        <v>29241717</v>
      </c>
      <c r="I1149" t="s">
        <v>16</v>
      </c>
      <c r="K1149" t="s">
        <v>6258</v>
      </c>
      <c r="L1149">
        <v>211</v>
      </c>
      <c r="M1149" t="s">
        <v>6257</v>
      </c>
    </row>
    <row r="1150" spans="1:13" x14ac:dyDescent="0.35">
      <c r="A1150" t="s">
        <v>4233</v>
      </c>
      <c r="B1150">
        <v>1298839</v>
      </c>
      <c r="C1150">
        <v>1299387</v>
      </c>
      <c r="E1150" t="s">
        <v>36</v>
      </c>
      <c r="F1150" t="s">
        <v>6256</v>
      </c>
      <c r="H1150">
        <v>42569808</v>
      </c>
      <c r="I1150" t="s">
        <v>16</v>
      </c>
      <c r="K1150" t="s">
        <v>6255</v>
      </c>
      <c r="L1150">
        <v>182</v>
      </c>
      <c r="M1150" t="s">
        <v>6254</v>
      </c>
    </row>
    <row r="1151" spans="1:13" x14ac:dyDescent="0.35">
      <c r="A1151" t="s">
        <v>4233</v>
      </c>
      <c r="B1151">
        <v>1299450</v>
      </c>
      <c r="C1151">
        <v>1299896</v>
      </c>
      <c r="E1151" t="s">
        <v>36</v>
      </c>
      <c r="F1151" t="s">
        <v>6253</v>
      </c>
      <c r="H1151">
        <v>42569809</v>
      </c>
      <c r="I1151" t="s">
        <v>16</v>
      </c>
      <c r="K1151" t="s">
        <v>6252</v>
      </c>
      <c r="L1151">
        <v>148</v>
      </c>
      <c r="M1151" t="s">
        <v>6251</v>
      </c>
    </row>
    <row r="1152" spans="1:13" x14ac:dyDescent="0.35">
      <c r="A1152" t="s">
        <v>4233</v>
      </c>
      <c r="B1152">
        <v>1299902</v>
      </c>
      <c r="C1152">
        <v>1300234</v>
      </c>
      <c r="E1152" t="s">
        <v>36</v>
      </c>
      <c r="F1152" t="s">
        <v>510</v>
      </c>
      <c r="H1152">
        <v>93018740</v>
      </c>
      <c r="I1152" t="s">
        <v>16</v>
      </c>
      <c r="K1152" t="s">
        <v>6250</v>
      </c>
      <c r="L1152">
        <v>110</v>
      </c>
      <c r="M1152" t="s">
        <v>6249</v>
      </c>
    </row>
    <row r="1153" spans="1:13" x14ac:dyDescent="0.35">
      <c r="A1153" t="s">
        <v>4233</v>
      </c>
      <c r="B1153">
        <v>1300279</v>
      </c>
      <c r="C1153">
        <v>1300572</v>
      </c>
      <c r="E1153" t="s">
        <v>36</v>
      </c>
      <c r="F1153" t="s">
        <v>5150</v>
      </c>
      <c r="H1153">
        <v>42569810</v>
      </c>
      <c r="I1153" t="s">
        <v>16</v>
      </c>
      <c r="K1153" t="s">
        <v>6248</v>
      </c>
      <c r="L1153">
        <v>97</v>
      </c>
      <c r="M1153" t="s">
        <v>6247</v>
      </c>
    </row>
    <row r="1154" spans="1:13" x14ac:dyDescent="0.35">
      <c r="A1154" t="s">
        <v>4233</v>
      </c>
      <c r="B1154">
        <v>1300673</v>
      </c>
      <c r="C1154">
        <v>1301515</v>
      </c>
      <c r="E1154" t="s">
        <v>36</v>
      </c>
      <c r="F1154" t="s">
        <v>849</v>
      </c>
      <c r="H1154">
        <v>29241722</v>
      </c>
      <c r="I1154" t="s">
        <v>16</v>
      </c>
      <c r="K1154" t="s">
        <v>6246</v>
      </c>
      <c r="L1154">
        <v>280</v>
      </c>
      <c r="M1154" t="s">
        <v>6245</v>
      </c>
    </row>
    <row r="1155" spans="1:13" x14ac:dyDescent="0.35">
      <c r="A1155" t="s">
        <v>4233</v>
      </c>
      <c r="B1155">
        <v>1301576</v>
      </c>
      <c r="C1155">
        <v>1302889</v>
      </c>
      <c r="E1155" t="s">
        <v>36</v>
      </c>
      <c r="F1155" t="s">
        <v>6244</v>
      </c>
      <c r="H1155">
        <v>29241723</v>
      </c>
      <c r="I1155" t="s">
        <v>16</v>
      </c>
      <c r="K1155" t="s">
        <v>6243</v>
      </c>
      <c r="L1155">
        <v>437</v>
      </c>
      <c r="M1155" t="s">
        <v>6242</v>
      </c>
    </row>
    <row r="1156" spans="1:13" x14ac:dyDescent="0.35">
      <c r="A1156" t="s">
        <v>4233</v>
      </c>
      <c r="B1156">
        <v>1303333</v>
      </c>
      <c r="C1156">
        <v>1303629</v>
      </c>
      <c r="E1156" t="s">
        <v>13</v>
      </c>
      <c r="F1156" t="s">
        <v>40</v>
      </c>
      <c r="H1156">
        <v>29241724</v>
      </c>
      <c r="I1156" t="s">
        <v>16</v>
      </c>
      <c r="K1156" t="s">
        <v>6241</v>
      </c>
      <c r="L1156">
        <v>98</v>
      </c>
      <c r="M1156" t="s">
        <v>6240</v>
      </c>
    </row>
    <row r="1157" spans="1:13" x14ac:dyDescent="0.35">
      <c r="A1157" t="s">
        <v>4233</v>
      </c>
      <c r="B1157">
        <v>1303745</v>
      </c>
      <c r="C1157">
        <v>1303900</v>
      </c>
      <c r="E1157" t="s">
        <v>13</v>
      </c>
      <c r="F1157" t="s">
        <v>40</v>
      </c>
      <c r="H1157">
        <v>55549245</v>
      </c>
      <c r="I1157" t="s">
        <v>16</v>
      </c>
      <c r="K1157" t="s">
        <v>6239</v>
      </c>
      <c r="L1157">
        <v>51</v>
      </c>
      <c r="M1157" t="s">
        <v>6238</v>
      </c>
    </row>
    <row r="1158" spans="1:13" x14ac:dyDescent="0.35">
      <c r="A1158" t="s">
        <v>4233</v>
      </c>
      <c r="B1158">
        <v>1304005</v>
      </c>
      <c r="C1158">
        <v>1305348</v>
      </c>
      <c r="E1158" t="s">
        <v>13</v>
      </c>
      <c r="F1158" t="s">
        <v>292</v>
      </c>
      <c r="H1158">
        <v>29241725</v>
      </c>
      <c r="I1158" t="s">
        <v>16</v>
      </c>
      <c r="K1158" t="s">
        <v>6237</v>
      </c>
      <c r="L1158">
        <v>447</v>
      </c>
      <c r="M1158" t="s">
        <v>6236</v>
      </c>
    </row>
    <row r="1159" spans="1:13" x14ac:dyDescent="0.35">
      <c r="A1159" t="s">
        <v>4233</v>
      </c>
      <c r="B1159">
        <v>1305604</v>
      </c>
      <c r="C1159">
        <v>1306371</v>
      </c>
      <c r="E1159" t="s">
        <v>36</v>
      </c>
      <c r="F1159" t="s">
        <v>849</v>
      </c>
      <c r="H1159">
        <v>29241726</v>
      </c>
      <c r="I1159" t="s">
        <v>16</v>
      </c>
      <c r="K1159" t="s">
        <v>6235</v>
      </c>
      <c r="L1159">
        <v>255</v>
      </c>
      <c r="M1159" t="s">
        <v>6234</v>
      </c>
    </row>
    <row r="1160" spans="1:13" x14ac:dyDescent="0.35">
      <c r="A1160" t="s">
        <v>4233</v>
      </c>
      <c r="B1160">
        <v>1306374</v>
      </c>
      <c r="C1160">
        <v>1306565</v>
      </c>
      <c r="E1160" t="s">
        <v>36</v>
      </c>
      <c r="F1160" t="s">
        <v>6233</v>
      </c>
      <c r="H1160">
        <v>29241727</v>
      </c>
      <c r="I1160" t="s">
        <v>16</v>
      </c>
      <c r="K1160" t="s">
        <v>6232</v>
      </c>
      <c r="L1160">
        <v>63</v>
      </c>
      <c r="M1160" t="s">
        <v>6231</v>
      </c>
    </row>
    <row r="1161" spans="1:13" x14ac:dyDescent="0.35">
      <c r="A1161" t="s">
        <v>4233</v>
      </c>
      <c r="B1161">
        <v>1306652</v>
      </c>
      <c r="C1161">
        <v>1307089</v>
      </c>
      <c r="E1161" t="s">
        <v>36</v>
      </c>
      <c r="F1161" t="s">
        <v>40</v>
      </c>
      <c r="H1161">
        <v>29241728</v>
      </c>
      <c r="I1161" t="s">
        <v>16</v>
      </c>
      <c r="K1161" t="s">
        <v>6230</v>
      </c>
      <c r="L1161">
        <v>145</v>
      </c>
      <c r="M1161" t="s">
        <v>6229</v>
      </c>
    </row>
    <row r="1162" spans="1:13" x14ac:dyDescent="0.35">
      <c r="A1162" t="s">
        <v>4233</v>
      </c>
      <c r="B1162">
        <v>1307111</v>
      </c>
      <c r="C1162">
        <v>1307524</v>
      </c>
      <c r="E1162" t="s">
        <v>36</v>
      </c>
      <c r="F1162" t="s">
        <v>82</v>
      </c>
      <c r="H1162">
        <v>29241729</v>
      </c>
      <c r="I1162" t="s">
        <v>16</v>
      </c>
      <c r="K1162" t="s">
        <v>6228</v>
      </c>
      <c r="L1162">
        <v>137</v>
      </c>
      <c r="M1162" t="s">
        <v>6227</v>
      </c>
    </row>
    <row r="1163" spans="1:13" x14ac:dyDescent="0.35">
      <c r="A1163" t="s">
        <v>4233</v>
      </c>
      <c r="B1163">
        <v>1307662</v>
      </c>
      <c r="C1163">
        <v>1308210</v>
      </c>
      <c r="E1163" t="s">
        <v>36</v>
      </c>
      <c r="F1163" t="s">
        <v>40</v>
      </c>
      <c r="H1163">
        <v>29241730</v>
      </c>
      <c r="I1163" t="s">
        <v>16</v>
      </c>
      <c r="K1163" t="s">
        <v>6226</v>
      </c>
      <c r="L1163">
        <v>182</v>
      </c>
      <c r="M1163" t="s">
        <v>6225</v>
      </c>
    </row>
    <row r="1164" spans="1:13" x14ac:dyDescent="0.35">
      <c r="A1164" t="s">
        <v>4233</v>
      </c>
      <c r="B1164">
        <v>1308336</v>
      </c>
      <c r="C1164">
        <v>1308521</v>
      </c>
      <c r="E1164" t="s">
        <v>36</v>
      </c>
      <c r="F1164" t="s">
        <v>40</v>
      </c>
      <c r="H1164">
        <v>29241731</v>
      </c>
      <c r="I1164" t="s">
        <v>16</v>
      </c>
      <c r="K1164" t="s">
        <v>6224</v>
      </c>
      <c r="L1164">
        <v>61</v>
      </c>
      <c r="M1164" t="s">
        <v>6223</v>
      </c>
    </row>
    <row r="1165" spans="1:13" x14ac:dyDescent="0.35">
      <c r="A1165" t="s">
        <v>4233</v>
      </c>
      <c r="B1165">
        <v>1308648</v>
      </c>
      <c r="C1165">
        <v>1310870</v>
      </c>
      <c r="E1165" t="s">
        <v>36</v>
      </c>
      <c r="F1165" t="s">
        <v>6222</v>
      </c>
      <c r="H1165">
        <v>29241732</v>
      </c>
      <c r="I1165" t="s">
        <v>16</v>
      </c>
      <c r="K1165" t="s">
        <v>6221</v>
      </c>
      <c r="L1165">
        <v>740</v>
      </c>
      <c r="M1165" t="s">
        <v>6220</v>
      </c>
    </row>
    <row r="1166" spans="1:13" x14ac:dyDescent="0.35">
      <c r="A1166" t="s">
        <v>4233</v>
      </c>
      <c r="B1166">
        <v>1310890</v>
      </c>
      <c r="C1166">
        <v>1311321</v>
      </c>
      <c r="E1166" t="s">
        <v>36</v>
      </c>
      <c r="F1166" t="s">
        <v>40</v>
      </c>
      <c r="H1166">
        <v>29241733</v>
      </c>
      <c r="I1166" t="s">
        <v>16</v>
      </c>
      <c r="K1166" t="s">
        <v>6219</v>
      </c>
      <c r="L1166">
        <v>143</v>
      </c>
      <c r="M1166" t="s">
        <v>6218</v>
      </c>
    </row>
    <row r="1167" spans="1:13" x14ac:dyDescent="0.35">
      <c r="A1167" t="s">
        <v>4233</v>
      </c>
      <c r="B1167">
        <v>1311749</v>
      </c>
      <c r="C1167">
        <v>1312051</v>
      </c>
      <c r="E1167" t="s">
        <v>13</v>
      </c>
      <c r="F1167" t="s">
        <v>6217</v>
      </c>
      <c r="H1167">
        <v>29241734</v>
      </c>
      <c r="I1167" t="s">
        <v>16</v>
      </c>
      <c r="K1167" t="s">
        <v>6216</v>
      </c>
      <c r="L1167">
        <v>100</v>
      </c>
      <c r="M1167" t="s">
        <v>6215</v>
      </c>
    </row>
    <row r="1168" spans="1:13" x14ac:dyDescent="0.35">
      <c r="A1168" t="s">
        <v>4233</v>
      </c>
      <c r="B1168">
        <v>1312048</v>
      </c>
      <c r="C1168">
        <v>1312407</v>
      </c>
      <c r="E1168" t="s">
        <v>13</v>
      </c>
      <c r="F1168" t="s">
        <v>40</v>
      </c>
      <c r="H1168">
        <v>29241735</v>
      </c>
      <c r="I1168" t="s">
        <v>16</v>
      </c>
      <c r="K1168" t="s">
        <v>6214</v>
      </c>
      <c r="L1168">
        <v>119</v>
      </c>
      <c r="M1168" t="s">
        <v>6213</v>
      </c>
    </row>
    <row r="1169" spans="1:13" x14ac:dyDescent="0.35">
      <c r="A1169" t="s">
        <v>4233</v>
      </c>
      <c r="B1169">
        <v>1312787</v>
      </c>
      <c r="C1169">
        <v>1313074</v>
      </c>
      <c r="E1169" t="s">
        <v>13</v>
      </c>
      <c r="F1169" t="s">
        <v>1057</v>
      </c>
      <c r="H1169">
        <v>29241736</v>
      </c>
      <c r="I1169" t="s">
        <v>16</v>
      </c>
      <c r="K1169" t="s">
        <v>6212</v>
      </c>
      <c r="L1169">
        <v>95</v>
      </c>
      <c r="M1169" t="s">
        <v>6211</v>
      </c>
    </row>
    <row r="1170" spans="1:13" x14ac:dyDescent="0.35">
      <c r="A1170" t="s">
        <v>4233</v>
      </c>
      <c r="B1170">
        <v>1313091</v>
      </c>
      <c r="C1170">
        <v>1313339</v>
      </c>
      <c r="E1170" t="s">
        <v>13</v>
      </c>
      <c r="F1170" t="s">
        <v>6210</v>
      </c>
      <c r="H1170">
        <v>29241737</v>
      </c>
      <c r="I1170" t="s">
        <v>16</v>
      </c>
      <c r="K1170" t="s">
        <v>6209</v>
      </c>
      <c r="L1170">
        <v>82</v>
      </c>
      <c r="M1170" t="s">
        <v>6208</v>
      </c>
    </row>
    <row r="1171" spans="1:13" x14ac:dyDescent="0.35">
      <c r="A1171" t="s">
        <v>4233</v>
      </c>
      <c r="B1171">
        <v>1313787</v>
      </c>
      <c r="C1171">
        <v>1314167</v>
      </c>
      <c r="E1171" t="s">
        <v>13</v>
      </c>
      <c r="F1171" t="s">
        <v>6207</v>
      </c>
      <c r="H1171">
        <v>29241738</v>
      </c>
      <c r="I1171" t="s">
        <v>16</v>
      </c>
      <c r="K1171" t="s">
        <v>6206</v>
      </c>
      <c r="L1171">
        <v>126</v>
      </c>
      <c r="M1171" t="s">
        <v>6205</v>
      </c>
    </row>
    <row r="1172" spans="1:13" x14ac:dyDescent="0.35">
      <c r="A1172" t="s">
        <v>4233</v>
      </c>
      <c r="B1172">
        <v>1314170</v>
      </c>
      <c r="C1172">
        <v>1315795</v>
      </c>
      <c r="E1172" t="s">
        <v>13</v>
      </c>
      <c r="F1172" t="s">
        <v>6204</v>
      </c>
      <c r="H1172">
        <v>29241739</v>
      </c>
      <c r="I1172" t="s">
        <v>16</v>
      </c>
      <c r="K1172" t="s">
        <v>6203</v>
      </c>
      <c r="L1172">
        <v>541</v>
      </c>
      <c r="M1172" t="s">
        <v>6202</v>
      </c>
    </row>
    <row r="1173" spans="1:13" x14ac:dyDescent="0.35">
      <c r="A1173" t="s">
        <v>4233</v>
      </c>
      <c r="B1173">
        <v>1315839</v>
      </c>
      <c r="C1173">
        <v>1316912</v>
      </c>
      <c r="E1173" t="s">
        <v>13</v>
      </c>
      <c r="F1173" t="s">
        <v>6201</v>
      </c>
      <c r="H1173">
        <v>29241740</v>
      </c>
      <c r="I1173" t="s">
        <v>16</v>
      </c>
      <c r="K1173" t="s">
        <v>6200</v>
      </c>
      <c r="L1173">
        <v>357</v>
      </c>
      <c r="M1173" t="s">
        <v>6199</v>
      </c>
    </row>
    <row r="1174" spans="1:13" x14ac:dyDescent="0.35">
      <c r="A1174" t="s">
        <v>4233</v>
      </c>
      <c r="B1174">
        <v>1316925</v>
      </c>
      <c r="C1174">
        <v>1318943</v>
      </c>
      <c r="E1174" t="s">
        <v>13</v>
      </c>
      <c r="F1174" t="s">
        <v>40</v>
      </c>
      <c r="H1174">
        <v>29241741</v>
      </c>
      <c r="I1174" t="s">
        <v>16</v>
      </c>
      <c r="K1174" t="s">
        <v>6198</v>
      </c>
      <c r="L1174">
        <v>672</v>
      </c>
      <c r="M1174" t="s">
        <v>6197</v>
      </c>
    </row>
    <row r="1175" spans="1:13" x14ac:dyDescent="0.35">
      <c r="A1175" t="s">
        <v>4233</v>
      </c>
      <c r="B1175">
        <v>1319021</v>
      </c>
      <c r="C1175">
        <v>1319326</v>
      </c>
      <c r="E1175" t="s">
        <v>13</v>
      </c>
      <c r="F1175" t="s">
        <v>40</v>
      </c>
      <c r="H1175">
        <v>29241742</v>
      </c>
      <c r="I1175" t="s">
        <v>16</v>
      </c>
      <c r="K1175" t="s">
        <v>6196</v>
      </c>
      <c r="L1175">
        <v>101</v>
      </c>
      <c r="M1175" t="s">
        <v>6195</v>
      </c>
    </row>
    <row r="1176" spans="1:13" x14ac:dyDescent="0.35">
      <c r="A1176" t="s">
        <v>4233</v>
      </c>
      <c r="B1176">
        <v>1319323</v>
      </c>
      <c r="C1176">
        <v>1319643</v>
      </c>
      <c r="E1176" t="s">
        <v>13</v>
      </c>
      <c r="F1176" t="s">
        <v>40</v>
      </c>
      <c r="H1176">
        <v>29241743</v>
      </c>
      <c r="I1176" t="s">
        <v>16</v>
      </c>
      <c r="K1176" t="s">
        <v>6194</v>
      </c>
      <c r="L1176">
        <v>106</v>
      </c>
      <c r="M1176" t="s">
        <v>6193</v>
      </c>
    </row>
    <row r="1177" spans="1:13" x14ac:dyDescent="0.35">
      <c r="A1177" t="s">
        <v>4233</v>
      </c>
      <c r="B1177">
        <v>1319656</v>
      </c>
      <c r="C1177">
        <v>1321488</v>
      </c>
      <c r="E1177" t="s">
        <v>13</v>
      </c>
      <c r="F1177" t="s">
        <v>6192</v>
      </c>
      <c r="H1177">
        <v>29241744</v>
      </c>
      <c r="I1177" t="s">
        <v>16</v>
      </c>
      <c r="K1177" t="s">
        <v>6191</v>
      </c>
      <c r="L1177">
        <v>610</v>
      </c>
      <c r="M1177" t="s">
        <v>6190</v>
      </c>
    </row>
    <row r="1178" spans="1:13" x14ac:dyDescent="0.35">
      <c r="A1178" t="s">
        <v>4233</v>
      </c>
      <c r="B1178">
        <v>1321485</v>
      </c>
      <c r="C1178">
        <v>1322108</v>
      </c>
      <c r="E1178" t="s">
        <v>13</v>
      </c>
      <c r="F1178" t="s">
        <v>40</v>
      </c>
      <c r="H1178">
        <v>29241745</v>
      </c>
      <c r="I1178" t="s">
        <v>16</v>
      </c>
      <c r="K1178" t="s">
        <v>6189</v>
      </c>
      <c r="L1178">
        <v>207</v>
      </c>
      <c r="M1178" t="s">
        <v>6188</v>
      </c>
    </row>
    <row r="1179" spans="1:13" x14ac:dyDescent="0.35">
      <c r="A1179" t="s">
        <v>4233</v>
      </c>
      <c r="B1179">
        <v>1322068</v>
      </c>
      <c r="C1179">
        <v>1323027</v>
      </c>
      <c r="E1179" t="s">
        <v>36</v>
      </c>
      <c r="F1179" t="s">
        <v>448</v>
      </c>
      <c r="H1179">
        <v>29241746</v>
      </c>
      <c r="I1179" t="s">
        <v>16</v>
      </c>
      <c r="K1179" t="s">
        <v>6187</v>
      </c>
      <c r="L1179">
        <v>319</v>
      </c>
      <c r="M1179" t="s">
        <v>6186</v>
      </c>
    </row>
    <row r="1180" spans="1:13" x14ac:dyDescent="0.35">
      <c r="A1180" t="s">
        <v>4233</v>
      </c>
      <c r="B1180">
        <v>1323076</v>
      </c>
      <c r="C1180">
        <v>1324476</v>
      </c>
      <c r="E1180" t="s">
        <v>36</v>
      </c>
      <c r="F1180" t="s">
        <v>6185</v>
      </c>
      <c r="H1180">
        <v>29241747</v>
      </c>
      <c r="I1180" t="s">
        <v>16</v>
      </c>
      <c r="K1180" t="s">
        <v>6184</v>
      </c>
      <c r="L1180">
        <v>466</v>
      </c>
      <c r="M1180" t="s">
        <v>6183</v>
      </c>
    </row>
    <row r="1181" spans="1:13" x14ac:dyDescent="0.35">
      <c r="A1181" t="s">
        <v>4233</v>
      </c>
      <c r="B1181">
        <v>1324862</v>
      </c>
      <c r="C1181">
        <v>1326217</v>
      </c>
      <c r="E1181" t="s">
        <v>36</v>
      </c>
      <c r="F1181" t="s">
        <v>40</v>
      </c>
      <c r="H1181">
        <v>29241748</v>
      </c>
      <c r="I1181" t="s">
        <v>16</v>
      </c>
      <c r="K1181" t="s">
        <v>6182</v>
      </c>
      <c r="L1181">
        <v>451</v>
      </c>
      <c r="M1181" t="s">
        <v>6181</v>
      </c>
    </row>
    <row r="1182" spans="1:13" x14ac:dyDescent="0.35">
      <c r="A1182" t="s">
        <v>4233</v>
      </c>
      <c r="B1182">
        <v>1326273</v>
      </c>
      <c r="C1182">
        <v>1326812</v>
      </c>
      <c r="E1182" t="s">
        <v>36</v>
      </c>
      <c r="F1182" t="s">
        <v>40</v>
      </c>
      <c r="H1182">
        <v>29241749</v>
      </c>
      <c r="I1182" t="s">
        <v>16</v>
      </c>
      <c r="K1182" t="s">
        <v>6180</v>
      </c>
      <c r="L1182">
        <v>179</v>
      </c>
      <c r="M1182" t="s">
        <v>6179</v>
      </c>
    </row>
    <row r="1183" spans="1:13" x14ac:dyDescent="0.35">
      <c r="A1183" t="s">
        <v>4233</v>
      </c>
      <c r="B1183">
        <v>1326827</v>
      </c>
      <c r="C1183">
        <v>1328530</v>
      </c>
      <c r="E1183" t="s">
        <v>36</v>
      </c>
      <c r="F1183" t="s">
        <v>6178</v>
      </c>
      <c r="H1183">
        <v>29241750</v>
      </c>
      <c r="I1183" t="s">
        <v>16</v>
      </c>
      <c r="K1183" t="s">
        <v>6177</v>
      </c>
      <c r="L1183">
        <v>567</v>
      </c>
      <c r="M1183" t="s">
        <v>6176</v>
      </c>
    </row>
    <row r="1184" spans="1:13" x14ac:dyDescent="0.35">
      <c r="A1184" t="s">
        <v>4233</v>
      </c>
      <c r="B1184">
        <v>1328535</v>
      </c>
      <c r="C1184">
        <v>1330928</v>
      </c>
      <c r="E1184" t="s">
        <v>36</v>
      </c>
      <c r="F1184" t="s">
        <v>6175</v>
      </c>
      <c r="H1184">
        <v>29241751</v>
      </c>
      <c r="I1184" t="s">
        <v>16</v>
      </c>
      <c r="K1184" t="s">
        <v>6174</v>
      </c>
      <c r="L1184">
        <v>797</v>
      </c>
      <c r="M1184" t="s">
        <v>6173</v>
      </c>
    </row>
    <row r="1185" spans="1:13" x14ac:dyDescent="0.35">
      <c r="A1185" t="s">
        <v>4233</v>
      </c>
      <c r="B1185">
        <v>1330932</v>
      </c>
      <c r="C1185">
        <v>1331282</v>
      </c>
      <c r="E1185" t="s">
        <v>36</v>
      </c>
      <c r="F1185" t="s">
        <v>6172</v>
      </c>
      <c r="H1185">
        <v>29241752</v>
      </c>
      <c r="I1185" t="s">
        <v>16</v>
      </c>
      <c r="K1185" t="s">
        <v>6171</v>
      </c>
      <c r="L1185">
        <v>116</v>
      </c>
      <c r="M1185" t="s">
        <v>6170</v>
      </c>
    </row>
    <row r="1186" spans="1:13" x14ac:dyDescent="0.35">
      <c r="A1186" t="s">
        <v>4233</v>
      </c>
      <c r="B1186">
        <v>1331314</v>
      </c>
      <c r="C1186">
        <v>1332159</v>
      </c>
      <c r="E1186" t="s">
        <v>36</v>
      </c>
      <c r="F1186" t="s">
        <v>6169</v>
      </c>
      <c r="H1186">
        <v>29241753</v>
      </c>
      <c r="I1186" t="s">
        <v>16</v>
      </c>
      <c r="K1186" t="s">
        <v>6168</v>
      </c>
      <c r="L1186">
        <v>281</v>
      </c>
      <c r="M1186" t="s">
        <v>6167</v>
      </c>
    </row>
    <row r="1187" spans="1:13" x14ac:dyDescent="0.35">
      <c r="A1187" t="s">
        <v>4233</v>
      </c>
      <c r="B1187">
        <v>1332174</v>
      </c>
      <c r="C1187">
        <v>1332407</v>
      </c>
      <c r="E1187" t="s">
        <v>36</v>
      </c>
      <c r="F1187" t="s">
        <v>40</v>
      </c>
      <c r="H1187">
        <v>29241754</v>
      </c>
      <c r="I1187" t="s">
        <v>16</v>
      </c>
      <c r="K1187" t="s">
        <v>6166</v>
      </c>
      <c r="L1187">
        <v>77</v>
      </c>
      <c r="M1187" t="s">
        <v>6165</v>
      </c>
    </row>
    <row r="1188" spans="1:13" x14ac:dyDescent="0.35">
      <c r="A1188" t="s">
        <v>4233</v>
      </c>
      <c r="B1188">
        <v>1332771</v>
      </c>
      <c r="C1188">
        <v>1338158</v>
      </c>
      <c r="E1188" t="s">
        <v>36</v>
      </c>
      <c r="F1188" t="s">
        <v>42</v>
      </c>
      <c r="H1188">
        <v>29241755</v>
      </c>
      <c r="I1188" t="s">
        <v>16</v>
      </c>
      <c r="K1188" t="s">
        <v>6164</v>
      </c>
      <c r="L1188">
        <v>1795</v>
      </c>
      <c r="M1188" t="s">
        <v>6163</v>
      </c>
    </row>
    <row r="1189" spans="1:13" x14ac:dyDescent="0.35">
      <c r="A1189" t="s">
        <v>4233</v>
      </c>
      <c r="B1189">
        <v>1338492</v>
      </c>
      <c r="C1189">
        <v>1339550</v>
      </c>
      <c r="E1189" t="s">
        <v>36</v>
      </c>
      <c r="F1189" t="s">
        <v>4371</v>
      </c>
      <c r="H1189">
        <v>29241756</v>
      </c>
      <c r="I1189" t="s">
        <v>16</v>
      </c>
      <c r="K1189" t="s">
        <v>6162</v>
      </c>
      <c r="L1189">
        <v>352</v>
      </c>
      <c r="M1189" t="s">
        <v>6161</v>
      </c>
    </row>
    <row r="1190" spans="1:13" x14ac:dyDescent="0.35">
      <c r="A1190" t="s">
        <v>4233</v>
      </c>
      <c r="B1190">
        <v>1339585</v>
      </c>
      <c r="C1190">
        <v>1340058</v>
      </c>
      <c r="E1190" t="s">
        <v>36</v>
      </c>
      <c r="F1190" t="s">
        <v>6154</v>
      </c>
      <c r="H1190">
        <v>29241757</v>
      </c>
      <c r="I1190" t="s">
        <v>16</v>
      </c>
      <c r="K1190" t="s">
        <v>6160</v>
      </c>
      <c r="L1190">
        <v>157</v>
      </c>
      <c r="M1190" t="s">
        <v>6159</v>
      </c>
    </row>
    <row r="1191" spans="1:13" x14ac:dyDescent="0.35">
      <c r="A1191" t="s">
        <v>4233</v>
      </c>
      <c r="B1191">
        <v>1340086</v>
      </c>
      <c r="C1191">
        <v>1340358</v>
      </c>
      <c r="E1191" t="s">
        <v>36</v>
      </c>
      <c r="F1191" t="s">
        <v>40</v>
      </c>
      <c r="H1191">
        <v>29241758</v>
      </c>
      <c r="I1191" t="s">
        <v>16</v>
      </c>
      <c r="K1191" t="s">
        <v>6158</v>
      </c>
      <c r="L1191">
        <v>90</v>
      </c>
      <c r="M1191" t="s">
        <v>6157</v>
      </c>
    </row>
    <row r="1192" spans="1:13" x14ac:dyDescent="0.35">
      <c r="A1192" t="s">
        <v>4233</v>
      </c>
      <c r="B1192">
        <v>1340364</v>
      </c>
      <c r="C1192">
        <v>1341029</v>
      </c>
      <c r="E1192" t="s">
        <v>36</v>
      </c>
      <c r="F1192" t="s">
        <v>4247</v>
      </c>
      <c r="H1192">
        <v>29241759</v>
      </c>
      <c r="I1192" t="s">
        <v>16</v>
      </c>
      <c r="K1192" t="s">
        <v>6156</v>
      </c>
      <c r="L1192">
        <v>221</v>
      </c>
      <c r="M1192" t="s">
        <v>6155</v>
      </c>
    </row>
    <row r="1193" spans="1:13" x14ac:dyDescent="0.35">
      <c r="A1193" t="s">
        <v>4233</v>
      </c>
      <c r="B1193">
        <v>1341142</v>
      </c>
      <c r="C1193">
        <v>1341639</v>
      </c>
      <c r="E1193" t="s">
        <v>36</v>
      </c>
      <c r="F1193" t="s">
        <v>6154</v>
      </c>
      <c r="H1193">
        <v>29241760</v>
      </c>
      <c r="I1193" t="s">
        <v>16</v>
      </c>
      <c r="K1193" t="s">
        <v>6153</v>
      </c>
      <c r="L1193">
        <v>165</v>
      </c>
      <c r="M1193" t="s">
        <v>6152</v>
      </c>
    </row>
    <row r="1194" spans="1:13" x14ac:dyDescent="0.35">
      <c r="A1194" t="s">
        <v>4233</v>
      </c>
      <c r="B1194">
        <v>1341636</v>
      </c>
      <c r="C1194">
        <v>1341890</v>
      </c>
      <c r="E1194" t="s">
        <v>36</v>
      </c>
      <c r="F1194" t="s">
        <v>40</v>
      </c>
      <c r="H1194">
        <v>29241761</v>
      </c>
      <c r="I1194" t="s">
        <v>16</v>
      </c>
      <c r="K1194" t="s">
        <v>6151</v>
      </c>
      <c r="L1194">
        <v>84</v>
      </c>
      <c r="M1194" t="s">
        <v>6150</v>
      </c>
    </row>
    <row r="1195" spans="1:13" x14ac:dyDescent="0.35">
      <c r="A1195" t="s">
        <v>4233</v>
      </c>
      <c r="B1195">
        <v>1341887</v>
      </c>
      <c r="C1195">
        <v>1342153</v>
      </c>
      <c r="E1195" t="s">
        <v>36</v>
      </c>
      <c r="F1195" t="s">
        <v>40</v>
      </c>
      <c r="H1195">
        <v>93018741</v>
      </c>
      <c r="I1195" t="s">
        <v>16</v>
      </c>
      <c r="K1195" t="s">
        <v>6149</v>
      </c>
      <c r="L1195">
        <v>88</v>
      </c>
      <c r="M1195" t="s">
        <v>6148</v>
      </c>
    </row>
    <row r="1196" spans="1:13" x14ac:dyDescent="0.35">
      <c r="A1196" t="s">
        <v>4233</v>
      </c>
      <c r="B1196">
        <v>1342153</v>
      </c>
      <c r="C1196">
        <v>1343016</v>
      </c>
      <c r="E1196" t="s">
        <v>36</v>
      </c>
      <c r="F1196" t="s">
        <v>167</v>
      </c>
      <c r="H1196">
        <v>29241762</v>
      </c>
      <c r="I1196" t="s">
        <v>16</v>
      </c>
      <c r="K1196" t="s">
        <v>6147</v>
      </c>
      <c r="L1196">
        <v>287</v>
      </c>
      <c r="M1196" t="s">
        <v>6146</v>
      </c>
    </row>
    <row r="1197" spans="1:13" x14ac:dyDescent="0.35">
      <c r="A1197" t="s">
        <v>4233</v>
      </c>
      <c r="B1197">
        <v>1343013</v>
      </c>
      <c r="C1197">
        <v>1343168</v>
      </c>
      <c r="E1197" t="s">
        <v>36</v>
      </c>
      <c r="F1197" t="s">
        <v>40</v>
      </c>
      <c r="H1197">
        <v>55549246</v>
      </c>
      <c r="I1197" t="s">
        <v>16</v>
      </c>
      <c r="K1197" t="s">
        <v>6145</v>
      </c>
      <c r="L1197">
        <v>51</v>
      </c>
      <c r="M1197" t="s">
        <v>6144</v>
      </c>
    </row>
    <row r="1198" spans="1:13" x14ac:dyDescent="0.35">
      <c r="A1198" t="s">
        <v>4233</v>
      </c>
      <c r="B1198">
        <v>1343522</v>
      </c>
      <c r="C1198">
        <v>1344226</v>
      </c>
      <c r="E1198" t="s">
        <v>13</v>
      </c>
      <c r="F1198" t="s">
        <v>177</v>
      </c>
      <c r="H1198">
        <v>93018764</v>
      </c>
      <c r="I1198" t="s">
        <v>16</v>
      </c>
      <c r="K1198" t="s">
        <v>6143</v>
      </c>
      <c r="L1198">
        <v>234</v>
      </c>
      <c r="M1198" t="s">
        <v>6142</v>
      </c>
    </row>
    <row r="1199" spans="1:13" x14ac:dyDescent="0.35">
      <c r="A1199" t="s">
        <v>4233</v>
      </c>
      <c r="B1199">
        <v>1344238</v>
      </c>
      <c r="C1199">
        <v>1344606</v>
      </c>
      <c r="E1199" t="s">
        <v>36</v>
      </c>
      <c r="F1199" t="s">
        <v>40</v>
      </c>
      <c r="H1199">
        <v>29241765</v>
      </c>
      <c r="I1199" t="s">
        <v>16</v>
      </c>
      <c r="K1199" t="s">
        <v>6141</v>
      </c>
      <c r="L1199">
        <v>122</v>
      </c>
      <c r="M1199" t="s">
        <v>6140</v>
      </c>
    </row>
    <row r="1200" spans="1:13" x14ac:dyDescent="0.35">
      <c r="A1200" t="s">
        <v>4233</v>
      </c>
      <c r="B1200">
        <v>1344606</v>
      </c>
      <c r="C1200">
        <v>1344872</v>
      </c>
      <c r="E1200" t="s">
        <v>36</v>
      </c>
      <c r="F1200" t="s">
        <v>167</v>
      </c>
      <c r="H1200">
        <v>29241766</v>
      </c>
      <c r="I1200" t="s">
        <v>16</v>
      </c>
      <c r="K1200" t="s">
        <v>6139</v>
      </c>
      <c r="L1200">
        <v>88</v>
      </c>
      <c r="M1200" t="s">
        <v>6138</v>
      </c>
    </row>
    <row r="1201" spans="1:13" x14ac:dyDescent="0.35">
      <c r="A1201" t="s">
        <v>4233</v>
      </c>
      <c r="B1201">
        <v>1345484</v>
      </c>
      <c r="C1201">
        <v>1346017</v>
      </c>
      <c r="E1201" t="s">
        <v>13</v>
      </c>
      <c r="F1201" t="s">
        <v>848</v>
      </c>
      <c r="H1201">
        <v>29241767</v>
      </c>
      <c r="I1201" t="s">
        <v>16</v>
      </c>
      <c r="K1201" t="s">
        <v>6137</v>
      </c>
      <c r="L1201">
        <v>177</v>
      </c>
      <c r="M1201" t="s">
        <v>6136</v>
      </c>
    </row>
    <row r="1202" spans="1:13" x14ac:dyDescent="0.35">
      <c r="A1202" t="s">
        <v>4233</v>
      </c>
      <c r="B1202">
        <v>1346118</v>
      </c>
      <c r="C1202">
        <v>1348442</v>
      </c>
      <c r="E1202" t="s">
        <v>36</v>
      </c>
      <c r="F1202" t="s">
        <v>6135</v>
      </c>
      <c r="H1202">
        <v>29241768</v>
      </c>
      <c r="I1202" t="s">
        <v>16</v>
      </c>
      <c r="K1202" t="s">
        <v>6134</v>
      </c>
      <c r="L1202">
        <v>774</v>
      </c>
      <c r="M1202" t="s">
        <v>6133</v>
      </c>
    </row>
    <row r="1203" spans="1:13" x14ac:dyDescent="0.35">
      <c r="A1203" t="s">
        <v>4233</v>
      </c>
      <c r="B1203">
        <v>1348536</v>
      </c>
      <c r="C1203">
        <v>1349012</v>
      </c>
      <c r="E1203" t="s">
        <v>36</v>
      </c>
      <c r="F1203" t="s">
        <v>297</v>
      </c>
      <c r="G1203" t="s">
        <v>6132</v>
      </c>
      <c r="H1203">
        <v>29241769</v>
      </c>
      <c r="I1203" t="s">
        <v>16</v>
      </c>
      <c r="K1203" t="s">
        <v>6131</v>
      </c>
      <c r="L1203">
        <v>158</v>
      </c>
      <c r="M1203" t="s">
        <v>6130</v>
      </c>
    </row>
    <row r="1204" spans="1:13" x14ac:dyDescent="0.35">
      <c r="A1204" t="s">
        <v>4233</v>
      </c>
      <c r="B1204">
        <v>1349012</v>
      </c>
      <c r="C1204">
        <v>1349305</v>
      </c>
      <c r="E1204" t="s">
        <v>36</v>
      </c>
      <c r="F1204" t="s">
        <v>6129</v>
      </c>
      <c r="H1204">
        <v>29241770</v>
      </c>
      <c r="I1204" t="s">
        <v>16</v>
      </c>
      <c r="K1204" t="s">
        <v>6128</v>
      </c>
      <c r="L1204">
        <v>97</v>
      </c>
      <c r="M1204" t="s">
        <v>6127</v>
      </c>
    </row>
    <row r="1205" spans="1:13" x14ac:dyDescent="0.35">
      <c r="A1205" t="s">
        <v>4233</v>
      </c>
      <c r="B1205">
        <v>1349457</v>
      </c>
      <c r="C1205">
        <v>1350530</v>
      </c>
      <c r="E1205" t="s">
        <v>13</v>
      </c>
      <c r="F1205" t="s">
        <v>6126</v>
      </c>
      <c r="G1205" t="s">
        <v>6125</v>
      </c>
      <c r="H1205">
        <v>29241771</v>
      </c>
      <c r="I1205" t="s">
        <v>16</v>
      </c>
      <c r="K1205" t="s">
        <v>6124</v>
      </c>
      <c r="L1205">
        <v>357</v>
      </c>
      <c r="M1205" t="s">
        <v>6123</v>
      </c>
    </row>
    <row r="1206" spans="1:13" x14ac:dyDescent="0.35">
      <c r="A1206" t="s">
        <v>4233</v>
      </c>
      <c r="B1206">
        <v>1350636</v>
      </c>
      <c r="C1206">
        <v>1351898</v>
      </c>
      <c r="E1206" t="s">
        <v>36</v>
      </c>
      <c r="F1206" t="s">
        <v>5385</v>
      </c>
      <c r="H1206">
        <v>29241772</v>
      </c>
      <c r="I1206" t="s">
        <v>16</v>
      </c>
      <c r="K1206" t="s">
        <v>6122</v>
      </c>
      <c r="L1206">
        <v>420</v>
      </c>
      <c r="M1206" t="s">
        <v>6121</v>
      </c>
    </row>
    <row r="1207" spans="1:13" x14ac:dyDescent="0.35">
      <c r="A1207" t="s">
        <v>4233</v>
      </c>
      <c r="B1207">
        <v>1352130</v>
      </c>
      <c r="C1207">
        <v>1354850</v>
      </c>
      <c r="E1207" t="s">
        <v>13</v>
      </c>
      <c r="F1207" t="s">
        <v>6120</v>
      </c>
      <c r="H1207">
        <v>29241773</v>
      </c>
      <c r="I1207" t="s">
        <v>16</v>
      </c>
      <c r="K1207" t="s">
        <v>6119</v>
      </c>
      <c r="L1207">
        <v>906</v>
      </c>
      <c r="M1207" t="s">
        <v>6118</v>
      </c>
    </row>
    <row r="1208" spans="1:13" x14ac:dyDescent="0.35">
      <c r="A1208" t="s">
        <v>4233</v>
      </c>
      <c r="B1208">
        <v>1354938</v>
      </c>
      <c r="C1208">
        <v>1355141</v>
      </c>
      <c r="E1208" t="s">
        <v>36</v>
      </c>
      <c r="F1208" t="s">
        <v>40</v>
      </c>
      <c r="H1208">
        <v>93018742</v>
      </c>
      <c r="I1208" t="s">
        <v>16</v>
      </c>
      <c r="K1208" t="s">
        <v>6117</v>
      </c>
      <c r="L1208">
        <v>67</v>
      </c>
      <c r="M1208" t="s">
        <v>6116</v>
      </c>
    </row>
    <row r="1209" spans="1:13" x14ac:dyDescent="0.35">
      <c r="A1209" t="s">
        <v>4233</v>
      </c>
      <c r="B1209">
        <v>1355670</v>
      </c>
      <c r="C1209">
        <v>1356629</v>
      </c>
      <c r="E1209" t="s">
        <v>36</v>
      </c>
      <c r="F1209" t="s">
        <v>40</v>
      </c>
      <c r="H1209">
        <v>29241775</v>
      </c>
      <c r="I1209" t="s">
        <v>16</v>
      </c>
      <c r="K1209" t="s">
        <v>6115</v>
      </c>
      <c r="L1209">
        <v>319</v>
      </c>
      <c r="M1209" t="s">
        <v>6114</v>
      </c>
    </row>
    <row r="1210" spans="1:13" x14ac:dyDescent="0.35">
      <c r="A1210" t="s">
        <v>4233</v>
      </c>
      <c r="B1210">
        <v>1357515</v>
      </c>
      <c r="C1210">
        <v>1358618</v>
      </c>
      <c r="E1210" t="s">
        <v>36</v>
      </c>
      <c r="F1210" t="s">
        <v>45</v>
      </c>
      <c r="H1210">
        <v>97007097</v>
      </c>
      <c r="I1210" t="s">
        <v>46</v>
      </c>
      <c r="M1210" t="s">
        <v>6113</v>
      </c>
    </row>
    <row r="1211" spans="1:13" x14ac:dyDescent="0.35">
      <c r="A1211" t="s">
        <v>4233</v>
      </c>
      <c r="B1211">
        <v>1358711</v>
      </c>
      <c r="C1211">
        <v>1362566</v>
      </c>
      <c r="E1211" t="s">
        <v>36</v>
      </c>
      <c r="F1211" t="s">
        <v>45</v>
      </c>
      <c r="H1211">
        <v>29241776</v>
      </c>
      <c r="I1211" t="s">
        <v>46</v>
      </c>
      <c r="M1211" t="s">
        <v>6112</v>
      </c>
    </row>
    <row r="1212" spans="1:13" x14ac:dyDescent="0.35">
      <c r="A1212" t="s">
        <v>4233</v>
      </c>
      <c r="B1212">
        <v>1362761</v>
      </c>
      <c r="C1212">
        <v>1363753</v>
      </c>
      <c r="E1212" t="s">
        <v>36</v>
      </c>
      <c r="F1212" t="s">
        <v>491</v>
      </c>
      <c r="H1212">
        <v>29241777</v>
      </c>
      <c r="I1212" t="s">
        <v>16</v>
      </c>
      <c r="K1212" t="s">
        <v>6111</v>
      </c>
      <c r="L1212">
        <v>330</v>
      </c>
      <c r="M1212" t="s">
        <v>6110</v>
      </c>
    </row>
    <row r="1213" spans="1:13" x14ac:dyDescent="0.35">
      <c r="A1213" t="s">
        <v>4233</v>
      </c>
      <c r="B1213">
        <v>1363797</v>
      </c>
      <c r="C1213">
        <v>1365005</v>
      </c>
      <c r="E1213" t="s">
        <v>36</v>
      </c>
      <c r="F1213" t="s">
        <v>6109</v>
      </c>
      <c r="H1213">
        <v>29241778</v>
      </c>
      <c r="I1213" t="s">
        <v>16</v>
      </c>
      <c r="K1213" t="s">
        <v>6108</v>
      </c>
      <c r="L1213">
        <v>402</v>
      </c>
      <c r="M1213" t="s">
        <v>6107</v>
      </c>
    </row>
    <row r="1214" spans="1:13" x14ac:dyDescent="0.35">
      <c r="A1214" t="s">
        <v>4233</v>
      </c>
      <c r="B1214">
        <v>1365172</v>
      </c>
      <c r="C1214">
        <v>1367523</v>
      </c>
      <c r="E1214" t="s">
        <v>36</v>
      </c>
      <c r="F1214" t="s">
        <v>6106</v>
      </c>
      <c r="H1214">
        <v>29241779</v>
      </c>
      <c r="I1214" t="s">
        <v>16</v>
      </c>
      <c r="K1214" t="s">
        <v>6105</v>
      </c>
      <c r="L1214">
        <v>783</v>
      </c>
      <c r="M1214" t="s">
        <v>6104</v>
      </c>
    </row>
    <row r="1215" spans="1:13" x14ac:dyDescent="0.35">
      <c r="A1215" t="s">
        <v>4233</v>
      </c>
      <c r="B1215">
        <v>1367650</v>
      </c>
      <c r="C1215">
        <v>1369068</v>
      </c>
      <c r="E1215" t="s">
        <v>36</v>
      </c>
      <c r="F1215" t="s">
        <v>6103</v>
      </c>
      <c r="H1215">
        <v>29241780</v>
      </c>
      <c r="I1215" t="s">
        <v>16</v>
      </c>
      <c r="K1215" t="s">
        <v>6102</v>
      </c>
      <c r="L1215">
        <v>472</v>
      </c>
      <c r="M1215" t="s">
        <v>6101</v>
      </c>
    </row>
    <row r="1216" spans="1:13" x14ac:dyDescent="0.35">
      <c r="A1216" t="s">
        <v>4233</v>
      </c>
      <c r="B1216">
        <v>1369271</v>
      </c>
      <c r="C1216">
        <v>1369912</v>
      </c>
      <c r="E1216" t="s">
        <v>36</v>
      </c>
      <c r="F1216" t="s">
        <v>6100</v>
      </c>
      <c r="H1216">
        <v>29241781</v>
      </c>
      <c r="I1216" t="s">
        <v>16</v>
      </c>
      <c r="K1216" t="s">
        <v>6099</v>
      </c>
      <c r="L1216">
        <v>213</v>
      </c>
      <c r="M1216" t="s">
        <v>6098</v>
      </c>
    </row>
    <row r="1217" spans="1:13" x14ac:dyDescent="0.35">
      <c r="A1217" t="s">
        <v>4233</v>
      </c>
      <c r="B1217">
        <v>1370109</v>
      </c>
      <c r="C1217">
        <v>1371200</v>
      </c>
      <c r="E1217" t="s">
        <v>13</v>
      </c>
      <c r="F1217" t="s">
        <v>994</v>
      </c>
      <c r="H1217">
        <v>29241782</v>
      </c>
      <c r="I1217" t="s">
        <v>16</v>
      </c>
      <c r="K1217" t="s">
        <v>6097</v>
      </c>
      <c r="L1217">
        <v>363</v>
      </c>
      <c r="M1217" t="s">
        <v>6096</v>
      </c>
    </row>
    <row r="1218" spans="1:13" x14ac:dyDescent="0.35">
      <c r="A1218" t="s">
        <v>4233</v>
      </c>
      <c r="B1218">
        <v>1371315</v>
      </c>
      <c r="C1218">
        <v>1373462</v>
      </c>
      <c r="E1218" t="s">
        <v>13</v>
      </c>
      <c r="F1218" t="s">
        <v>976</v>
      </c>
      <c r="H1218">
        <v>29241783</v>
      </c>
      <c r="I1218" t="s">
        <v>16</v>
      </c>
      <c r="K1218" t="s">
        <v>6095</v>
      </c>
      <c r="L1218">
        <v>715</v>
      </c>
      <c r="M1218" t="s">
        <v>6094</v>
      </c>
    </row>
    <row r="1219" spans="1:13" x14ac:dyDescent="0.35">
      <c r="A1219" t="s">
        <v>4233</v>
      </c>
      <c r="B1219">
        <v>1373503</v>
      </c>
      <c r="C1219">
        <v>1374213</v>
      </c>
      <c r="E1219" t="s">
        <v>36</v>
      </c>
      <c r="F1219" t="s">
        <v>72</v>
      </c>
      <c r="H1219">
        <v>29241784</v>
      </c>
      <c r="I1219" t="s">
        <v>16</v>
      </c>
      <c r="K1219" t="s">
        <v>6093</v>
      </c>
      <c r="L1219">
        <v>236</v>
      </c>
      <c r="M1219" t="s">
        <v>6092</v>
      </c>
    </row>
    <row r="1220" spans="1:13" x14ac:dyDescent="0.35">
      <c r="A1220" t="s">
        <v>4233</v>
      </c>
      <c r="B1220">
        <v>1374274</v>
      </c>
      <c r="C1220">
        <v>1374963</v>
      </c>
      <c r="E1220" t="s">
        <v>13</v>
      </c>
      <c r="F1220" t="s">
        <v>40</v>
      </c>
      <c r="H1220">
        <v>29241785</v>
      </c>
      <c r="I1220" t="s">
        <v>16</v>
      </c>
      <c r="K1220" t="s">
        <v>6091</v>
      </c>
      <c r="L1220">
        <v>229</v>
      </c>
      <c r="M1220" t="s">
        <v>6090</v>
      </c>
    </row>
    <row r="1221" spans="1:13" x14ac:dyDescent="0.35">
      <c r="A1221" t="s">
        <v>4233</v>
      </c>
      <c r="B1221">
        <v>1375054</v>
      </c>
      <c r="C1221">
        <v>1376100</v>
      </c>
      <c r="E1221" t="s">
        <v>36</v>
      </c>
      <c r="F1221" t="s">
        <v>6089</v>
      </c>
      <c r="G1221" t="s">
        <v>6088</v>
      </c>
      <c r="H1221">
        <v>29241786</v>
      </c>
      <c r="I1221" t="s">
        <v>16</v>
      </c>
      <c r="K1221" t="s">
        <v>6087</v>
      </c>
      <c r="L1221">
        <v>348</v>
      </c>
      <c r="M1221" t="s">
        <v>6086</v>
      </c>
    </row>
    <row r="1222" spans="1:13" x14ac:dyDescent="0.35">
      <c r="A1222" t="s">
        <v>4233</v>
      </c>
      <c r="B1222">
        <v>1376254</v>
      </c>
      <c r="C1222">
        <v>1379136</v>
      </c>
      <c r="E1222" t="s">
        <v>36</v>
      </c>
      <c r="F1222" t="s">
        <v>543</v>
      </c>
      <c r="G1222" t="s">
        <v>544</v>
      </c>
      <c r="H1222">
        <v>29241787</v>
      </c>
      <c r="I1222" t="s">
        <v>16</v>
      </c>
      <c r="K1222" t="s">
        <v>6085</v>
      </c>
      <c r="L1222">
        <v>960</v>
      </c>
      <c r="M1222" t="s">
        <v>6084</v>
      </c>
    </row>
    <row r="1223" spans="1:13" x14ac:dyDescent="0.35">
      <c r="A1223" t="s">
        <v>4233</v>
      </c>
      <c r="B1223">
        <v>1379298</v>
      </c>
      <c r="C1223">
        <v>1379960</v>
      </c>
      <c r="E1223" t="s">
        <v>36</v>
      </c>
      <c r="F1223" t="s">
        <v>6083</v>
      </c>
      <c r="G1223" t="s">
        <v>6082</v>
      </c>
      <c r="H1223">
        <v>29241788</v>
      </c>
      <c r="I1223" t="s">
        <v>16</v>
      </c>
      <c r="K1223" t="s">
        <v>6081</v>
      </c>
      <c r="L1223">
        <v>220</v>
      </c>
      <c r="M1223" t="s">
        <v>6080</v>
      </c>
    </row>
    <row r="1224" spans="1:13" x14ac:dyDescent="0.35">
      <c r="A1224" t="s">
        <v>4233</v>
      </c>
      <c r="B1224">
        <v>1380237</v>
      </c>
      <c r="C1224">
        <v>1380611</v>
      </c>
      <c r="E1224" t="s">
        <v>13</v>
      </c>
      <c r="F1224" t="s">
        <v>6079</v>
      </c>
      <c r="G1224" t="s">
        <v>857</v>
      </c>
      <c r="H1224">
        <v>29242561</v>
      </c>
      <c r="I1224" t="s">
        <v>858</v>
      </c>
      <c r="M1224" t="s">
        <v>6078</v>
      </c>
    </row>
    <row r="1225" spans="1:13" x14ac:dyDescent="0.35">
      <c r="A1225" t="s">
        <v>4233</v>
      </c>
      <c r="B1225">
        <v>1380683</v>
      </c>
      <c r="C1225">
        <v>1381282</v>
      </c>
      <c r="E1225" t="s">
        <v>36</v>
      </c>
      <c r="F1225" t="s">
        <v>6077</v>
      </c>
      <c r="H1225">
        <v>29241789</v>
      </c>
      <c r="I1225" t="s">
        <v>16</v>
      </c>
      <c r="K1225" t="s">
        <v>6076</v>
      </c>
      <c r="L1225">
        <v>199</v>
      </c>
      <c r="M1225" t="s">
        <v>6075</v>
      </c>
    </row>
    <row r="1226" spans="1:13" x14ac:dyDescent="0.35">
      <c r="A1226" t="s">
        <v>4233</v>
      </c>
      <c r="B1226">
        <v>1381279</v>
      </c>
      <c r="C1226">
        <v>1382463</v>
      </c>
      <c r="E1226" t="s">
        <v>36</v>
      </c>
      <c r="F1226" t="s">
        <v>538</v>
      </c>
      <c r="G1226" t="s">
        <v>539</v>
      </c>
      <c r="H1226">
        <v>29241790</v>
      </c>
      <c r="I1226" t="s">
        <v>16</v>
      </c>
      <c r="K1226" t="s">
        <v>6074</v>
      </c>
      <c r="L1226">
        <v>394</v>
      </c>
      <c r="M1226" t="s">
        <v>6073</v>
      </c>
    </row>
    <row r="1227" spans="1:13" x14ac:dyDescent="0.35">
      <c r="A1227" t="s">
        <v>4233</v>
      </c>
      <c r="B1227">
        <v>1382770</v>
      </c>
      <c r="C1227">
        <v>1383003</v>
      </c>
      <c r="E1227" t="s">
        <v>36</v>
      </c>
      <c r="F1227" t="s">
        <v>6072</v>
      </c>
      <c r="H1227">
        <v>29241791</v>
      </c>
      <c r="I1227" t="s">
        <v>16</v>
      </c>
      <c r="K1227" t="s">
        <v>6071</v>
      </c>
      <c r="L1227">
        <v>77</v>
      </c>
      <c r="M1227" t="s">
        <v>6070</v>
      </c>
    </row>
    <row r="1228" spans="1:13" x14ac:dyDescent="0.35">
      <c r="A1228" t="s">
        <v>4233</v>
      </c>
      <c r="B1228">
        <v>1383110</v>
      </c>
      <c r="C1228">
        <v>1383628</v>
      </c>
      <c r="E1228" t="s">
        <v>36</v>
      </c>
      <c r="F1228" t="s">
        <v>167</v>
      </c>
      <c r="H1228">
        <v>29241792</v>
      </c>
      <c r="I1228" t="s">
        <v>16</v>
      </c>
      <c r="K1228" t="s">
        <v>6069</v>
      </c>
      <c r="L1228">
        <v>172</v>
      </c>
      <c r="M1228" t="s">
        <v>6068</v>
      </c>
    </row>
    <row r="1229" spans="1:13" x14ac:dyDescent="0.35">
      <c r="A1229" t="s">
        <v>4233</v>
      </c>
      <c r="B1229">
        <v>1383688</v>
      </c>
      <c r="C1229">
        <v>1384245</v>
      </c>
      <c r="E1229" t="s">
        <v>36</v>
      </c>
      <c r="F1229" t="s">
        <v>6067</v>
      </c>
      <c r="H1229">
        <v>29241793</v>
      </c>
      <c r="I1229" t="s">
        <v>16</v>
      </c>
      <c r="K1229" t="s">
        <v>6066</v>
      </c>
      <c r="L1229">
        <v>185</v>
      </c>
      <c r="M1229" t="s">
        <v>6065</v>
      </c>
    </row>
    <row r="1230" spans="1:13" x14ac:dyDescent="0.35">
      <c r="A1230" t="s">
        <v>4233</v>
      </c>
      <c r="B1230">
        <v>1384346</v>
      </c>
      <c r="C1230">
        <v>1384981</v>
      </c>
      <c r="E1230" t="s">
        <v>36</v>
      </c>
      <c r="F1230" t="s">
        <v>534</v>
      </c>
      <c r="G1230" t="s">
        <v>535</v>
      </c>
      <c r="H1230">
        <v>29241794</v>
      </c>
      <c r="I1230" t="s">
        <v>16</v>
      </c>
      <c r="K1230" t="s">
        <v>6064</v>
      </c>
      <c r="L1230">
        <v>211</v>
      </c>
      <c r="M1230" t="s">
        <v>6063</v>
      </c>
    </row>
    <row r="1231" spans="1:13" x14ac:dyDescent="0.35">
      <c r="A1231" t="s">
        <v>4233</v>
      </c>
      <c r="B1231">
        <v>1385160</v>
      </c>
      <c r="C1231">
        <v>1388015</v>
      </c>
      <c r="E1231" t="s">
        <v>36</v>
      </c>
      <c r="F1231" t="s">
        <v>532</v>
      </c>
      <c r="H1231">
        <v>29241795</v>
      </c>
      <c r="I1231" t="s">
        <v>16</v>
      </c>
      <c r="K1231" t="s">
        <v>6062</v>
      </c>
      <c r="L1231">
        <v>951</v>
      </c>
      <c r="M1231" t="s">
        <v>6061</v>
      </c>
    </row>
    <row r="1232" spans="1:13" x14ac:dyDescent="0.35">
      <c r="A1232" t="s">
        <v>4233</v>
      </c>
      <c r="B1232">
        <v>1388226</v>
      </c>
      <c r="C1232">
        <v>1388975</v>
      </c>
      <c r="E1232" t="s">
        <v>13</v>
      </c>
      <c r="F1232" t="s">
        <v>849</v>
      </c>
      <c r="H1232">
        <v>29241796</v>
      </c>
      <c r="I1232" t="s">
        <v>16</v>
      </c>
      <c r="K1232" t="s">
        <v>6060</v>
      </c>
      <c r="L1232">
        <v>249</v>
      </c>
      <c r="M1232" t="s">
        <v>6059</v>
      </c>
    </row>
    <row r="1233" spans="1:13" x14ac:dyDescent="0.35">
      <c r="A1233" t="s">
        <v>4233</v>
      </c>
      <c r="B1233">
        <v>1389018</v>
      </c>
      <c r="C1233">
        <v>1390001</v>
      </c>
      <c r="E1233" t="s">
        <v>36</v>
      </c>
      <c r="F1233" t="s">
        <v>1077</v>
      </c>
      <c r="G1233" t="s">
        <v>1078</v>
      </c>
      <c r="H1233">
        <v>29241797</v>
      </c>
      <c r="I1233" t="s">
        <v>16</v>
      </c>
      <c r="K1233" t="s">
        <v>6058</v>
      </c>
      <c r="L1233">
        <v>327</v>
      </c>
      <c r="M1233" t="s">
        <v>6057</v>
      </c>
    </row>
    <row r="1234" spans="1:13" x14ac:dyDescent="0.35">
      <c r="A1234" t="s">
        <v>4233</v>
      </c>
      <c r="B1234">
        <v>1390124</v>
      </c>
      <c r="C1234">
        <v>1391575</v>
      </c>
      <c r="E1234" t="s">
        <v>36</v>
      </c>
      <c r="F1234" t="s">
        <v>6056</v>
      </c>
      <c r="G1234" t="s">
        <v>6055</v>
      </c>
      <c r="H1234">
        <v>29241798</v>
      </c>
      <c r="I1234" t="s">
        <v>16</v>
      </c>
      <c r="K1234" t="s">
        <v>6054</v>
      </c>
      <c r="L1234">
        <v>483</v>
      </c>
      <c r="M1234" t="s">
        <v>6053</v>
      </c>
    </row>
    <row r="1235" spans="1:13" x14ac:dyDescent="0.35">
      <c r="A1235" t="s">
        <v>4233</v>
      </c>
      <c r="B1235">
        <v>1391648</v>
      </c>
      <c r="C1235">
        <v>1392448</v>
      </c>
      <c r="E1235" t="s">
        <v>13</v>
      </c>
      <c r="F1235" t="s">
        <v>524</v>
      </c>
      <c r="H1235">
        <v>29241799</v>
      </c>
      <c r="I1235" t="s">
        <v>16</v>
      </c>
      <c r="K1235" t="s">
        <v>6052</v>
      </c>
      <c r="L1235">
        <v>266</v>
      </c>
      <c r="M1235" t="s">
        <v>6051</v>
      </c>
    </row>
    <row r="1236" spans="1:13" x14ac:dyDescent="0.35">
      <c r="A1236" t="s">
        <v>4233</v>
      </c>
      <c r="B1236">
        <v>1392445</v>
      </c>
      <c r="C1236">
        <v>1393392</v>
      </c>
      <c r="E1236" t="s">
        <v>36</v>
      </c>
      <c r="F1236" t="s">
        <v>1238</v>
      </c>
      <c r="H1236">
        <v>29241800</v>
      </c>
      <c r="I1236" t="s">
        <v>16</v>
      </c>
      <c r="K1236" t="s">
        <v>6050</v>
      </c>
      <c r="L1236">
        <v>315</v>
      </c>
      <c r="M1236" t="s">
        <v>6049</v>
      </c>
    </row>
    <row r="1237" spans="1:13" x14ac:dyDescent="0.35">
      <c r="A1237" t="s">
        <v>4233</v>
      </c>
      <c r="B1237">
        <v>1393515</v>
      </c>
      <c r="C1237">
        <v>1394336</v>
      </c>
      <c r="E1237" t="s">
        <v>36</v>
      </c>
      <c r="F1237" t="s">
        <v>6048</v>
      </c>
      <c r="H1237">
        <v>29241801</v>
      </c>
      <c r="I1237" t="s">
        <v>16</v>
      </c>
      <c r="K1237" t="s">
        <v>6047</v>
      </c>
      <c r="L1237">
        <v>273</v>
      </c>
      <c r="M1237" t="s">
        <v>6046</v>
      </c>
    </row>
    <row r="1238" spans="1:13" x14ac:dyDescent="0.35">
      <c r="A1238" t="s">
        <v>4233</v>
      </c>
      <c r="B1238">
        <v>1394415</v>
      </c>
      <c r="C1238">
        <v>1395200</v>
      </c>
      <c r="E1238" t="s">
        <v>13</v>
      </c>
      <c r="F1238" t="s">
        <v>608</v>
      </c>
      <c r="H1238">
        <v>29241802</v>
      </c>
      <c r="I1238" t="s">
        <v>16</v>
      </c>
      <c r="K1238" t="s">
        <v>6045</v>
      </c>
      <c r="L1238">
        <v>261</v>
      </c>
      <c r="M1238" t="s">
        <v>6044</v>
      </c>
    </row>
    <row r="1239" spans="1:13" x14ac:dyDescent="0.35">
      <c r="A1239" t="s">
        <v>4233</v>
      </c>
      <c r="B1239">
        <v>1395263</v>
      </c>
      <c r="C1239">
        <v>1395901</v>
      </c>
      <c r="E1239" t="s">
        <v>13</v>
      </c>
      <c r="F1239" t="s">
        <v>177</v>
      </c>
      <c r="H1239">
        <v>29241803</v>
      </c>
      <c r="I1239" t="s">
        <v>16</v>
      </c>
      <c r="K1239" t="s">
        <v>6043</v>
      </c>
      <c r="L1239">
        <v>212</v>
      </c>
      <c r="M1239" t="s">
        <v>6042</v>
      </c>
    </row>
    <row r="1240" spans="1:13" x14ac:dyDescent="0.35">
      <c r="A1240" t="s">
        <v>4233</v>
      </c>
      <c r="B1240">
        <v>1396020</v>
      </c>
      <c r="C1240">
        <v>1398719</v>
      </c>
      <c r="E1240" t="s">
        <v>36</v>
      </c>
      <c r="F1240" t="s">
        <v>6041</v>
      </c>
      <c r="G1240" t="s">
        <v>6040</v>
      </c>
      <c r="H1240">
        <v>29241804</v>
      </c>
      <c r="I1240" t="s">
        <v>16</v>
      </c>
      <c r="K1240" t="s">
        <v>6039</v>
      </c>
      <c r="L1240">
        <v>899</v>
      </c>
      <c r="M1240" t="s">
        <v>6038</v>
      </c>
    </row>
    <row r="1241" spans="1:13" x14ac:dyDescent="0.35">
      <c r="A1241" t="s">
        <v>4233</v>
      </c>
      <c r="B1241">
        <v>1398838</v>
      </c>
      <c r="C1241">
        <v>1401450</v>
      </c>
      <c r="E1241" t="s">
        <v>36</v>
      </c>
      <c r="F1241" t="s">
        <v>1042</v>
      </c>
      <c r="H1241">
        <v>29241805</v>
      </c>
      <c r="I1241" t="s">
        <v>16</v>
      </c>
      <c r="K1241" t="s">
        <v>6037</v>
      </c>
      <c r="L1241">
        <v>870</v>
      </c>
      <c r="M1241" t="s">
        <v>6036</v>
      </c>
    </row>
    <row r="1242" spans="1:13" x14ac:dyDescent="0.35">
      <c r="A1242" t="s">
        <v>4233</v>
      </c>
      <c r="B1242">
        <v>1401515</v>
      </c>
      <c r="C1242">
        <v>1402099</v>
      </c>
      <c r="E1242" t="s">
        <v>36</v>
      </c>
      <c r="F1242" t="s">
        <v>40</v>
      </c>
      <c r="H1242">
        <v>29241806</v>
      </c>
      <c r="I1242" t="s">
        <v>16</v>
      </c>
      <c r="K1242" t="s">
        <v>6035</v>
      </c>
      <c r="L1242">
        <v>194</v>
      </c>
      <c r="M1242" t="s">
        <v>6034</v>
      </c>
    </row>
    <row r="1243" spans="1:13" x14ac:dyDescent="0.35">
      <c r="A1243" t="s">
        <v>4233</v>
      </c>
      <c r="B1243">
        <v>1402111</v>
      </c>
      <c r="C1243">
        <v>1403370</v>
      </c>
      <c r="E1243" t="s">
        <v>36</v>
      </c>
      <c r="F1243" t="s">
        <v>856</v>
      </c>
      <c r="H1243">
        <v>29241807</v>
      </c>
      <c r="I1243" t="s">
        <v>16</v>
      </c>
      <c r="K1243" t="s">
        <v>6033</v>
      </c>
      <c r="L1243">
        <v>419</v>
      </c>
      <c r="M1243" t="s">
        <v>6032</v>
      </c>
    </row>
    <row r="1244" spans="1:13" x14ac:dyDescent="0.35">
      <c r="A1244" t="s">
        <v>4233</v>
      </c>
      <c r="B1244">
        <v>1403360</v>
      </c>
      <c r="C1244">
        <v>1404136</v>
      </c>
      <c r="E1244" t="s">
        <v>36</v>
      </c>
      <c r="F1244" t="s">
        <v>6031</v>
      </c>
      <c r="H1244">
        <v>29241808</v>
      </c>
      <c r="I1244" t="s">
        <v>16</v>
      </c>
      <c r="K1244" t="s">
        <v>6030</v>
      </c>
      <c r="L1244">
        <v>258</v>
      </c>
      <c r="M1244" t="s">
        <v>6029</v>
      </c>
    </row>
    <row r="1245" spans="1:13" x14ac:dyDescent="0.35">
      <c r="A1245" t="s">
        <v>4233</v>
      </c>
      <c r="B1245">
        <v>1404152</v>
      </c>
      <c r="C1245">
        <v>1404997</v>
      </c>
      <c r="E1245" t="s">
        <v>36</v>
      </c>
      <c r="F1245" t="s">
        <v>6028</v>
      </c>
      <c r="H1245">
        <v>29241809</v>
      </c>
      <c r="I1245" t="s">
        <v>16</v>
      </c>
      <c r="K1245" t="s">
        <v>6027</v>
      </c>
      <c r="L1245">
        <v>281</v>
      </c>
      <c r="M1245" t="s">
        <v>6026</v>
      </c>
    </row>
    <row r="1246" spans="1:13" x14ac:dyDescent="0.35">
      <c r="A1246" t="s">
        <v>4233</v>
      </c>
      <c r="B1246">
        <v>1405122</v>
      </c>
      <c r="C1246">
        <v>1405982</v>
      </c>
      <c r="E1246" t="s">
        <v>13</v>
      </c>
      <c r="F1246" t="s">
        <v>54</v>
      </c>
      <c r="H1246">
        <v>29241810</v>
      </c>
      <c r="I1246" t="s">
        <v>16</v>
      </c>
      <c r="K1246" t="s">
        <v>6025</v>
      </c>
      <c r="L1246">
        <v>286</v>
      </c>
      <c r="M1246" t="s">
        <v>6024</v>
      </c>
    </row>
    <row r="1247" spans="1:13" x14ac:dyDescent="0.35">
      <c r="A1247" t="s">
        <v>4233</v>
      </c>
      <c r="B1247">
        <v>1406291</v>
      </c>
      <c r="C1247">
        <v>1408300</v>
      </c>
      <c r="E1247" t="s">
        <v>36</v>
      </c>
      <c r="F1247" t="s">
        <v>73</v>
      </c>
      <c r="H1247">
        <v>29241811</v>
      </c>
      <c r="I1247" t="s">
        <v>16</v>
      </c>
      <c r="K1247" t="s">
        <v>6023</v>
      </c>
      <c r="L1247">
        <v>669</v>
      </c>
      <c r="M1247" t="s">
        <v>6022</v>
      </c>
    </row>
    <row r="1248" spans="1:13" x14ac:dyDescent="0.35">
      <c r="A1248" t="s">
        <v>4233</v>
      </c>
      <c r="B1248">
        <v>1408323</v>
      </c>
      <c r="C1248">
        <v>1409327</v>
      </c>
      <c r="E1248" t="s">
        <v>36</v>
      </c>
      <c r="F1248" t="s">
        <v>133</v>
      </c>
      <c r="H1248">
        <v>29241812</v>
      </c>
      <c r="I1248" t="s">
        <v>16</v>
      </c>
      <c r="K1248" t="s">
        <v>6021</v>
      </c>
      <c r="L1248">
        <v>334</v>
      </c>
      <c r="M1248" t="s">
        <v>6020</v>
      </c>
    </row>
    <row r="1249" spans="1:13" x14ac:dyDescent="0.35">
      <c r="A1249" t="s">
        <v>4233</v>
      </c>
      <c r="B1249">
        <v>1409346</v>
      </c>
      <c r="C1249">
        <v>1410272</v>
      </c>
      <c r="E1249" t="s">
        <v>36</v>
      </c>
      <c r="F1249" t="s">
        <v>133</v>
      </c>
      <c r="H1249">
        <v>29241813</v>
      </c>
      <c r="I1249" t="s">
        <v>16</v>
      </c>
      <c r="K1249" t="s">
        <v>6019</v>
      </c>
      <c r="L1249">
        <v>308</v>
      </c>
      <c r="M1249" t="s">
        <v>6018</v>
      </c>
    </row>
    <row r="1250" spans="1:13" x14ac:dyDescent="0.35">
      <c r="A1250" t="s">
        <v>4233</v>
      </c>
      <c r="B1250">
        <v>1410662</v>
      </c>
      <c r="C1250">
        <v>1412302</v>
      </c>
      <c r="E1250" t="s">
        <v>36</v>
      </c>
      <c r="F1250" t="s">
        <v>590</v>
      </c>
      <c r="H1250">
        <v>29241814</v>
      </c>
      <c r="I1250" t="s">
        <v>16</v>
      </c>
      <c r="K1250" t="s">
        <v>6017</v>
      </c>
      <c r="L1250">
        <v>546</v>
      </c>
      <c r="M1250" t="s">
        <v>6016</v>
      </c>
    </row>
    <row r="1251" spans="1:13" x14ac:dyDescent="0.35">
      <c r="A1251" t="s">
        <v>4233</v>
      </c>
      <c r="B1251">
        <v>1412556</v>
      </c>
      <c r="C1251">
        <v>1413575</v>
      </c>
      <c r="E1251" t="s">
        <v>36</v>
      </c>
      <c r="F1251" t="s">
        <v>6015</v>
      </c>
      <c r="H1251">
        <v>29241815</v>
      </c>
      <c r="I1251" t="s">
        <v>16</v>
      </c>
      <c r="K1251" t="s">
        <v>6014</v>
      </c>
      <c r="L1251">
        <v>339</v>
      </c>
      <c r="M1251" t="s">
        <v>6013</v>
      </c>
    </row>
    <row r="1252" spans="1:13" x14ac:dyDescent="0.35">
      <c r="A1252" t="s">
        <v>4233</v>
      </c>
      <c r="B1252">
        <v>1413737</v>
      </c>
      <c r="C1252">
        <v>1414549</v>
      </c>
      <c r="E1252" t="s">
        <v>13</v>
      </c>
      <c r="F1252" t="s">
        <v>73</v>
      </c>
      <c r="H1252">
        <v>29241816</v>
      </c>
      <c r="I1252" t="s">
        <v>16</v>
      </c>
      <c r="K1252" t="s">
        <v>6012</v>
      </c>
      <c r="L1252">
        <v>270</v>
      </c>
      <c r="M1252" t="s">
        <v>6011</v>
      </c>
    </row>
    <row r="1253" spans="1:13" x14ac:dyDescent="0.35">
      <c r="A1253" t="s">
        <v>4233</v>
      </c>
      <c r="B1253">
        <v>1414546</v>
      </c>
      <c r="C1253">
        <v>1417404</v>
      </c>
      <c r="E1253" t="s">
        <v>13</v>
      </c>
      <c r="F1253" t="s">
        <v>133</v>
      </c>
      <c r="H1253">
        <v>29241817</v>
      </c>
      <c r="I1253" t="s">
        <v>16</v>
      </c>
      <c r="K1253" t="s">
        <v>6010</v>
      </c>
      <c r="L1253">
        <v>952</v>
      </c>
      <c r="M1253" t="s">
        <v>6009</v>
      </c>
    </row>
    <row r="1254" spans="1:13" x14ac:dyDescent="0.35">
      <c r="A1254" t="s">
        <v>4233</v>
      </c>
      <c r="B1254">
        <v>1417657</v>
      </c>
      <c r="C1254">
        <v>1417914</v>
      </c>
      <c r="E1254" t="s">
        <v>36</v>
      </c>
      <c r="F1254" t="s">
        <v>6008</v>
      </c>
      <c r="H1254">
        <v>29241818</v>
      </c>
      <c r="I1254" t="s">
        <v>16</v>
      </c>
      <c r="K1254" t="s">
        <v>6007</v>
      </c>
      <c r="L1254">
        <v>85</v>
      </c>
      <c r="M1254" t="s">
        <v>6006</v>
      </c>
    </row>
    <row r="1255" spans="1:13" x14ac:dyDescent="0.35">
      <c r="A1255" t="s">
        <v>4233</v>
      </c>
      <c r="B1255">
        <v>1418000</v>
      </c>
      <c r="C1255">
        <v>1419016</v>
      </c>
      <c r="E1255" t="s">
        <v>36</v>
      </c>
      <c r="F1255" t="s">
        <v>6005</v>
      </c>
      <c r="H1255">
        <v>29241819</v>
      </c>
      <c r="I1255" t="s">
        <v>16</v>
      </c>
      <c r="K1255" t="s">
        <v>6004</v>
      </c>
      <c r="L1255">
        <v>338</v>
      </c>
      <c r="M1255" t="s">
        <v>6003</v>
      </c>
    </row>
    <row r="1256" spans="1:13" x14ac:dyDescent="0.35">
      <c r="A1256" t="s">
        <v>4233</v>
      </c>
      <c r="B1256">
        <v>1419010</v>
      </c>
      <c r="C1256">
        <v>1419990</v>
      </c>
      <c r="E1256" t="s">
        <v>36</v>
      </c>
      <c r="F1256" t="s">
        <v>6002</v>
      </c>
      <c r="H1256">
        <v>29241820</v>
      </c>
      <c r="I1256" t="s">
        <v>16</v>
      </c>
      <c r="K1256" t="s">
        <v>6001</v>
      </c>
      <c r="L1256">
        <v>326</v>
      </c>
      <c r="M1256" t="s">
        <v>6000</v>
      </c>
    </row>
    <row r="1257" spans="1:13" x14ac:dyDescent="0.35">
      <c r="A1257" t="s">
        <v>4233</v>
      </c>
      <c r="B1257">
        <v>1420049</v>
      </c>
      <c r="C1257">
        <v>1420489</v>
      </c>
      <c r="E1257" t="s">
        <v>36</v>
      </c>
      <c r="F1257" t="s">
        <v>5999</v>
      </c>
      <c r="H1257">
        <v>29241821</v>
      </c>
      <c r="I1257" t="s">
        <v>16</v>
      </c>
      <c r="K1257" t="s">
        <v>5998</v>
      </c>
      <c r="L1257">
        <v>146</v>
      </c>
      <c r="M1257" t="s">
        <v>5997</v>
      </c>
    </row>
    <row r="1258" spans="1:13" x14ac:dyDescent="0.35">
      <c r="A1258" t="s">
        <v>4233</v>
      </c>
      <c r="B1258">
        <v>1420622</v>
      </c>
      <c r="C1258">
        <v>1422553</v>
      </c>
      <c r="E1258" t="s">
        <v>36</v>
      </c>
      <c r="F1258" t="s">
        <v>687</v>
      </c>
      <c r="G1258" t="s">
        <v>688</v>
      </c>
      <c r="H1258">
        <v>29241822</v>
      </c>
      <c r="I1258" t="s">
        <v>16</v>
      </c>
      <c r="K1258" t="s">
        <v>5996</v>
      </c>
      <c r="L1258">
        <v>643</v>
      </c>
      <c r="M1258" t="s">
        <v>5995</v>
      </c>
    </row>
    <row r="1259" spans="1:13" x14ac:dyDescent="0.35">
      <c r="A1259" t="s">
        <v>4233</v>
      </c>
      <c r="B1259">
        <v>1422954</v>
      </c>
      <c r="C1259">
        <v>1423559</v>
      </c>
      <c r="E1259" t="s">
        <v>13</v>
      </c>
      <c r="F1259" t="s">
        <v>5994</v>
      </c>
      <c r="H1259">
        <v>29241823</v>
      </c>
      <c r="I1259" t="s">
        <v>16</v>
      </c>
      <c r="K1259" t="s">
        <v>5993</v>
      </c>
      <c r="L1259">
        <v>201</v>
      </c>
      <c r="M1259" t="s">
        <v>5992</v>
      </c>
    </row>
    <row r="1260" spans="1:13" x14ac:dyDescent="0.35">
      <c r="A1260" t="s">
        <v>4233</v>
      </c>
      <c r="B1260">
        <v>1423576</v>
      </c>
      <c r="C1260">
        <v>1424337</v>
      </c>
      <c r="E1260" t="s">
        <v>13</v>
      </c>
      <c r="F1260" t="s">
        <v>73</v>
      </c>
      <c r="H1260">
        <v>29241824</v>
      </c>
      <c r="I1260" t="s">
        <v>16</v>
      </c>
      <c r="K1260" t="s">
        <v>5991</v>
      </c>
      <c r="L1260">
        <v>253</v>
      </c>
      <c r="M1260" t="s">
        <v>5990</v>
      </c>
    </row>
    <row r="1261" spans="1:13" x14ac:dyDescent="0.35">
      <c r="A1261" t="s">
        <v>4233</v>
      </c>
      <c r="B1261">
        <v>1424334</v>
      </c>
      <c r="C1261">
        <v>1427456</v>
      </c>
      <c r="E1261" t="s">
        <v>13</v>
      </c>
      <c r="F1261" t="s">
        <v>133</v>
      </c>
      <c r="H1261">
        <v>29241825</v>
      </c>
      <c r="I1261" t="s">
        <v>16</v>
      </c>
      <c r="K1261" t="s">
        <v>5989</v>
      </c>
      <c r="L1261">
        <v>1040</v>
      </c>
      <c r="M1261" t="s">
        <v>5988</v>
      </c>
    </row>
    <row r="1262" spans="1:13" x14ac:dyDescent="0.35">
      <c r="A1262" t="s">
        <v>4233</v>
      </c>
      <c r="B1262">
        <v>1427615</v>
      </c>
      <c r="C1262">
        <v>1427785</v>
      </c>
      <c r="E1262" t="s">
        <v>36</v>
      </c>
      <c r="F1262" t="s">
        <v>45</v>
      </c>
      <c r="H1262">
        <v>29241826</v>
      </c>
      <c r="I1262" t="s">
        <v>46</v>
      </c>
      <c r="M1262" t="s">
        <v>5987</v>
      </c>
    </row>
    <row r="1263" spans="1:13" x14ac:dyDescent="0.35">
      <c r="A1263" t="s">
        <v>4233</v>
      </c>
      <c r="B1263">
        <v>1427883</v>
      </c>
      <c r="C1263">
        <v>1429181</v>
      </c>
      <c r="E1263" t="s">
        <v>36</v>
      </c>
      <c r="F1263" t="s">
        <v>647</v>
      </c>
      <c r="H1263">
        <v>29241827</v>
      </c>
      <c r="I1263" t="s">
        <v>16</v>
      </c>
      <c r="K1263" t="s">
        <v>5986</v>
      </c>
      <c r="L1263">
        <v>432</v>
      </c>
      <c r="M1263" t="s">
        <v>5985</v>
      </c>
    </row>
    <row r="1264" spans="1:13" x14ac:dyDescent="0.35">
      <c r="A1264" t="s">
        <v>4233</v>
      </c>
      <c r="B1264">
        <v>1429184</v>
      </c>
      <c r="C1264">
        <v>1430077</v>
      </c>
      <c r="E1264" t="s">
        <v>36</v>
      </c>
      <c r="F1264" t="s">
        <v>5984</v>
      </c>
      <c r="G1264" t="s">
        <v>5983</v>
      </c>
      <c r="H1264">
        <v>29241828</v>
      </c>
      <c r="I1264" t="s">
        <v>16</v>
      </c>
      <c r="K1264" t="s">
        <v>5982</v>
      </c>
      <c r="L1264">
        <v>297</v>
      </c>
      <c r="M1264" t="s">
        <v>5981</v>
      </c>
    </row>
    <row r="1265" spans="1:13" x14ac:dyDescent="0.35">
      <c r="A1265" t="s">
        <v>4233</v>
      </c>
      <c r="B1265">
        <v>1430081</v>
      </c>
      <c r="C1265">
        <v>1431685</v>
      </c>
      <c r="E1265" t="s">
        <v>36</v>
      </c>
      <c r="F1265" t="s">
        <v>5980</v>
      </c>
      <c r="G1265" t="s">
        <v>5979</v>
      </c>
      <c r="H1265">
        <v>29241829</v>
      </c>
      <c r="I1265" t="s">
        <v>16</v>
      </c>
      <c r="K1265" t="s">
        <v>5978</v>
      </c>
      <c r="L1265">
        <v>534</v>
      </c>
      <c r="M1265" t="s">
        <v>5977</v>
      </c>
    </row>
    <row r="1266" spans="1:13" x14ac:dyDescent="0.35">
      <c r="A1266" t="s">
        <v>4233</v>
      </c>
      <c r="B1266">
        <v>1431742</v>
      </c>
      <c r="C1266">
        <v>1433022</v>
      </c>
      <c r="E1266" t="s">
        <v>36</v>
      </c>
      <c r="F1266" t="s">
        <v>5976</v>
      </c>
      <c r="G1266" t="s">
        <v>5975</v>
      </c>
      <c r="H1266">
        <v>29241830</v>
      </c>
      <c r="I1266" t="s">
        <v>16</v>
      </c>
      <c r="K1266" t="s">
        <v>5974</v>
      </c>
      <c r="L1266">
        <v>426</v>
      </c>
      <c r="M1266" t="s">
        <v>5973</v>
      </c>
    </row>
    <row r="1267" spans="1:13" x14ac:dyDescent="0.35">
      <c r="A1267" t="s">
        <v>4233</v>
      </c>
      <c r="B1267">
        <v>1433075</v>
      </c>
      <c r="C1267">
        <v>1433911</v>
      </c>
      <c r="E1267" t="s">
        <v>36</v>
      </c>
      <c r="F1267" t="s">
        <v>5972</v>
      </c>
      <c r="H1267">
        <v>29241831</v>
      </c>
      <c r="I1267" t="s">
        <v>16</v>
      </c>
      <c r="K1267" t="s">
        <v>5971</v>
      </c>
      <c r="L1267">
        <v>278</v>
      </c>
      <c r="M1267" t="s">
        <v>5970</v>
      </c>
    </row>
    <row r="1268" spans="1:13" x14ac:dyDescent="0.35">
      <c r="A1268" t="s">
        <v>4233</v>
      </c>
      <c r="B1268">
        <v>1434044</v>
      </c>
      <c r="C1268">
        <v>1434718</v>
      </c>
      <c r="E1268" t="s">
        <v>36</v>
      </c>
      <c r="F1268" t="s">
        <v>799</v>
      </c>
      <c r="G1268" t="s">
        <v>800</v>
      </c>
      <c r="H1268">
        <v>29241832</v>
      </c>
      <c r="I1268" t="s">
        <v>16</v>
      </c>
      <c r="K1268" t="s">
        <v>5969</v>
      </c>
      <c r="L1268">
        <v>224</v>
      </c>
      <c r="M1268" t="s">
        <v>5968</v>
      </c>
    </row>
    <row r="1269" spans="1:13" x14ac:dyDescent="0.35">
      <c r="A1269" t="s">
        <v>4233</v>
      </c>
      <c r="B1269">
        <v>1434731</v>
      </c>
      <c r="C1269">
        <v>1435582</v>
      </c>
      <c r="E1269" t="s">
        <v>36</v>
      </c>
      <c r="F1269" t="s">
        <v>5967</v>
      </c>
      <c r="H1269">
        <v>29241833</v>
      </c>
      <c r="I1269" t="s">
        <v>16</v>
      </c>
      <c r="K1269" t="s">
        <v>5966</v>
      </c>
      <c r="L1269">
        <v>283</v>
      </c>
      <c r="M1269" t="s">
        <v>5965</v>
      </c>
    </row>
    <row r="1270" spans="1:13" x14ac:dyDescent="0.35">
      <c r="A1270" t="s">
        <v>4233</v>
      </c>
      <c r="B1270">
        <v>1435582</v>
      </c>
      <c r="C1270">
        <v>1436421</v>
      </c>
      <c r="E1270" t="s">
        <v>36</v>
      </c>
      <c r="F1270" t="s">
        <v>4247</v>
      </c>
      <c r="H1270">
        <v>29241834</v>
      </c>
      <c r="I1270" t="s">
        <v>16</v>
      </c>
      <c r="K1270" t="s">
        <v>5964</v>
      </c>
      <c r="L1270">
        <v>279</v>
      </c>
      <c r="M1270" t="s">
        <v>5963</v>
      </c>
    </row>
    <row r="1271" spans="1:13" x14ac:dyDescent="0.35">
      <c r="A1271" t="s">
        <v>4233</v>
      </c>
      <c r="B1271">
        <v>1436646</v>
      </c>
      <c r="C1271">
        <v>1437575</v>
      </c>
      <c r="E1271" t="s">
        <v>36</v>
      </c>
      <c r="F1271" t="s">
        <v>797</v>
      </c>
      <c r="G1271" t="s">
        <v>798</v>
      </c>
      <c r="H1271">
        <v>29241835</v>
      </c>
      <c r="I1271" t="s">
        <v>16</v>
      </c>
      <c r="K1271" t="s">
        <v>5962</v>
      </c>
      <c r="L1271">
        <v>309</v>
      </c>
      <c r="M1271" t="s">
        <v>5961</v>
      </c>
    </row>
    <row r="1272" spans="1:13" x14ac:dyDescent="0.35">
      <c r="A1272" t="s">
        <v>4233</v>
      </c>
      <c r="B1272">
        <v>1437611</v>
      </c>
      <c r="C1272">
        <v>1438765</v>
      </c>
      <c r="E1272" t="s">
        <v>36</v>
      </c>
      <c r="F1272" t="s">
        <v>598</v>
      </c>
      <c r="H1272">
        <v>29241836</v>
      </c>
      <c r="I1272" t="s">
        <v>16</v>
      </c>
      <c r="K1272" t="s">
        <v>5960</v>
      </c>
      <c r="L1272">
        <v>384</v>
      </c>
      <c r="M1272" t="s">
        <v>5959</v>
      </c>
    </row>
    <row r="1273" spans="1:13" x14ac:dyDescent="0.35">
      <c r="A1273" t="s">
        <v>4233</v>
      </c>
      <c r="B1273">
        <v>1438836</v>
      </c>
      <c r="C1273">
        <v>1439219</v>
      </c>
      <c r="E1273" t="s">
        <v>36</v>
      </c>
      <c r="F1273" t="s">
        <v>1106</v>
      </c>
      <c r="G1273" t="s">
        <v>1107</v>
      </c>
      <c r="H1273">
        <v>29241837</v>
      </c>
      <c r="I1273" t="s">
        <v>16</v>
      </c>
      <c r="K1273" t="s">
        <v>5958</v>
      </c>
      <c r="L1273">
        <v>127</v>
      </c>
      <c r="M1273" t="s">
        <v>5957</v>
      </c>
    </row>
    <row r="1274" spans="1:13" x14ac:dyDescent="0.35">
      <c r="A1274" t="s">
        <v>4233</v>
      </c>
      <c r="B1274">
        <v>1439271</v>
      </c>
      <c r="C1274">
        <v>1439465</v>
      </c>
      <c r="E1274" t="s">
        <v>36</v>
      </c>
      <c r="F1274" t="s">
        <v>1108</v>
      </c>
      <c r="G1274" t="s">
        <v>1109</v>
      </c>
      <c r="H1274">
        <v>29241838</v>
      </c>
      <c r="I1274" t="s">
        <v>16</v>
      </c>
      <c r="K1274" t="s">
        <v>5956</v>
      </c>
      <c r="L1274">
        <v>64</v>
      </c>
      <c r="M1274" t="s">
        <v>5955</v>
      </c>
    </row>
    <row r="1275" spans="1:13" x14ac:dyDescent="0.35">
      <c r="A1275" t="s">
        <v>4233</v>
      </c>
      <c r="B1275">
        <v>1439446</v>
      </c>
      <c r="C1275">
        <v>1440231</v>
      </c>
      <c r="E1275" t="s">
        <v>36</v>
      </c>
      <c r="F1275" t="s">
        <v>1110</v>
      </c>
      <c r="G1275" t="s">
        <v>1111</v>
      </c>
      <c r="H1275">
        <v>29241839</v>
      </c>
      <c r="I1275" t="s">
        <v>16</v>
      </c>
      <c r="K1275" t="s">
        <v>5954</v>
      </c>
      <c r="L1275">
        <v>261</v>
      </c>
      <c r="M1275" t="s">
        <v>5953</v>
      </c>
    </row>
    <row r="1276" spans="1:13" x14ac:dyDescent="0.35">
      <c r="A1276" t="s">
        <v>4233</v>
      </c>
      <c r="B1276">
        <v>1440530</v>
      </c>
      <c r="C1276">
        <v>1441102</v>
      </c>
      <c r="E1276" t="s">
        <v>36</v>
      </c>
      <c r="F1276" t="s">
        <v>40</v>
      </c>
      <c r="H1276">
        <v>29241840</v>
      </c>
      <c r="I1276" t="s">
        <v>16</v>
      </c>
      <c r="K1276" t="s">
        <v>5952</v>
      </c>
      <c r="L1276">
        <v>190</v>
      </c>
      <c r="M1276" t="s">
        <v>5951</v>
      </c>
    </row>
    <row r="1277" spans="1:13" x14ac:dyDescent="0.35">
      <c r="A1277" t="s">
        <v>4233</v>
      </c>
      <c r="B1277">
        <v>1441198</v>
      </c>
      <c r="C1277">
        <v>1441923</v>
      </c>
      <c r="E1277" t="s">
        <v>13</v>
      </c>
      <c r="F1277" t="s">
        <v>969</v>
      </c>
      <c r="H1277">
        <v>29241841</v>
      </c>
      <c r="I1277" t="s">
        <v>16</v>
      </c>
      <c r="K1277" t="s">
        <v>5950</v>
      </c>
      <c r="L1277">
        <v>241</v>
      </c>
      <c r="M1277" t="s">
        <v>5949</v>
      </c>
    </row>
    <row r="1278" spans="1:13" x14ac:dyDescent="0.35">
      <c r="A1278" t="s">
        <v>4233</v>
      </c>
      <c r="B1278">
        <v>1442158</v>
      </c>
      <c r="C1278">
        <v>1443216</v>
      </c>
      <c r="E1278" t="s">
        <v>13</v>
      </c>
      <c r="F1278" t="s">
        <v>571</v>
      </c>
      <c r="G1278" t="s">
        <v>572</v>
      </c>
      <c r="H1278">
        <v>29241842</v>
      </c>
      <c r="I1278" t="s">
        <v>16</v>
      </c>
      <c r="K1278" t="s">
        <v>5948</v>
      </c>
      <c r="L1278">
        <v>352</v>
      </c>
      <c r="M1278" t="s">
        <v>5947</v>
      </c>
    </row>
    <row r="1279" spans="1:13" x14ac:dyDescent="0.35">
      <c r="A1279" t="s">
        <v>4233</v>
      </c>
      <c r="B1279">
        <v>1443310</v>
      </c>
      <c r="C1279">
        <v>1443816</v>
      </c>
      <c r="E1279" t="s">
        <v>13</v>
      </c>
      <c r="F1279" t="s">
        <v>766</v>
      </c>
      <c r="G1279" t="s">
        <v>767</v>
      </c>
      <c r="H1279">
        <v>29241843</v>
      </c>
      <c r="I1279" t="s">
        <v>16</v>
      </c>
      <c r="K1279" t="s">
        <v>5946</v>
      </c>
      <c r="L1279">
        <v>168</v>
      </c>
      <c r="M1279" t="s">
        <v>5945</v>
      </c>
    </row>
    <row r="1280" spans="1:13" x14ac:dyDescent="0.35">
      <c r="A1280" t="s">
        <v>4233</v>
      </c>
      <c r="B1280">
        <v>1443857</v>
      </c>
      <c r="C1280">
        <v>1444849</v>
      </c>
      <c r="E1280" t="s">
        <v>36</v>
      </c>
      <c r="F1280" t="s">
        <v>5944</v>
      </c>
      <c r="H1280">
        <v>29241844</v>
      </c>
      <c r="I1280" t="s">
        <v>16</v>
      </c>
      <c r="K1280" t="s">
        <v>5943</v>
      </c>
      <c r="L1280">
        <v>330</v>
      </c>
      <c r="M1280" t="s">
        <v>5942</v>
      </c>
    </row>
    <row r="1281" spans="1:13" x14ac:dyDescent="0.35">
      <c r="A1281" t="s">
        <v>4233</v>
      </c>
      <c r="B1281">
        <v>1445141</v>
      </c>
      <c r="C1281">
        <v>1446097</v>
      </c>
      <c r="E1281" t="s">
        <v>13</v>
      </c>
      <c r="F1281" t="s">
        <v>818</v>
      </c>
      <c r="H1281">
        <v>29241845</v>
      </c>
      <c r="I1281" t="s">
        <v>16</v>
      </c>
      <c r="K1281" t="s">
        <v>5941</v>
      </c>
      <c r="L1281">
        <v>318</v>
      </c>
      <c r="M1281" t="s">
        <v>5940</v>
      </c>
    </row>
    <row r="1282" spans="1:13" x14ac:dyDescent="0.35">
      <c r="A1282" t="s">
        <v>4233</v>
      </c>
      <c r="B1282">
        <v>1446232</v>
      </c>
      <c r="C1282">
        <v>1447176</v>
      </c>
      <c r="E1282" t="s">
        <v>13</v>
      </c>
      <c r="F1282" t="s">
        <v>818</v>
      </c>
      <c r="H1282">
        <v>29241846</v>
      </c>
      <c r="I1282" t="s">
        <v>16</v>
      </c>
      <c r="K1282" t="s">
        <v>5939</v>
      </c>
      <c r="L1282">
        <v>314</v>
      </c>
      <c r="M1282" t="s">
        <v>5938</v>
      </c>
    </row>
    <row r="1283" spans="1:13" x14ac:dyDescent="0.35">
      <c r="A1283" t="s">
        <v>4233</v>
      </c>
      <c r="B1283">
        <v>1447283</v>
      </c>
      <c r="C1283">
        <v>1447357</v>
      </c>
      <c r="E1283" t="s">
        <v>13</v>
      </c>
      <c r="F1283" t="s">
        <v>5937</v>
      </c>
      <c r="H1283">
        <v>97007098</v>
      </c>
      <c r="I1283" t="s">
        <v>16</v>
      </c>
      <c r="K1283" t="s">
        <v>5936</v>
      </c>
      <c r="L1283">
        <v>24</v>
      </c>
      <c r="M1283" t="s">
        <v>5935</v>
      </c>
    </row>
    <row r="1284" spans="1:13" x14ac:dyDescent="0.35">
      <c r="A1284" t="s">
        <v>4233</v>
      </c>
      <c r="B1284">
        <v>1447432</v>
      </c>
      <c r="C1284">
        <v>1447740</v>
      </c>
      <c r="E1284" t="s">
        <v>36</v>
      </c>
      <c r="F1284" t="s">
        <v>40</v>
      </c>
      <c r="H1284">
        <v>29241847</v>
      </c>
      <c r="I1284" t="s">
        <v>16</v>
      </c>
      <c r="K1284" t="s">
        <v>5934</v>
      </c>
      <c r="L1284">
        <v>102</v>
      </c>
      <c r="M1284" t="s">
        <v>5933</v>
      </c>
    </row>
    <row r="1285" spans="1:13" x14ac:dyDescent="0.35">
      <c r="A1285" t="s">
        <v>4233</v>
      </c>
      <c r="B1285">
        <v>1447737</v>
      </c>
      <c r="C1285">
        <v>1448498</v>
      </c>
      <c r="E1285" t="s">
        <v>36</v>
      </c>
      <c r="F1285" t="s">
        <v>5932</v>
      </c>
      <c r="H1285">
        <v>29241848</v>
      </c>
      <c r="I1285" t="s">
        <v>16</v>
      </c>
      <c r="K1285" t="s">
        <v>5931</v>
      </c>
      <c r="L1285">
        <v>253</v>
      </c>
      <c r="M1285" t="s">
        <v>5930</v>
      </c>
    </row>
    <row r="1286" spans="1:13" x14ac:dyDescent="0.35">
      <c r="A1286" t="s">
        <v>4233</v>
      </c>
      <c r="B1286">
        <v>1448649</v>
      </c>
      <c r="C1286">
        <v>1450196</v>
      </c>
      <c r="E1286" t="s">
        <v>13</v>
      </c>
      <c r="F1286" t="s">
        <v>5929</v>
      </c>
      <c r="H1286">
        <v>29241849</v>
      </c>
      <c r="I1286" t="s">
        <v>16</v>
      </c>
      <c r="K1286" t="s">
        <v>5928</v>
      </c>
      <c r="L1286">
        <v>515</v>
      </c>
      <c r="M1286" t="s">
        <v>5927</v>
      </c>
    </row>
    <row r="1287" spans="1:13" x14ac:dyDescent="0.35">
      <c r="A1287" t="s">
        <v>4233</v>
      </c>
      <c r="B1287">
        <v>1450257</v>
      </c>
      <c r="C1287">
        <v>1451264</v>
      </c>
      <c r="E1287" t="s">
        <v>13</v>
      </c>
      <c r="F1287" t="s">
        <v>177</v>
      </c>
      <c r="H1287">
        <v>29241850</v>
      </c>
      <c r="I1287" t="s">
        <v>16</v>
      </c>
      <c r="K1287" t="s">
        <v>5926</v>
      </c>
      <c r="L1287">
        <v>335</v>
      </c>
      <c r="M1287" t="s">
        <v>5925</v>
      </c>
    </row>
    <row r="1288" spans="1:13" x14ac:dyDescent="0.35">
      <c r="A1288" t="s">
        <v>4233</v>
      </c>
      <c r="B1288">
        <v>1451483</v>
      </c>
      <c r="C1288">
        <v>1451890</v>
      </c>
      <c r="E1288" t="s">
        <v>13</v>
      </c>
      <c r="F1288" t="s">
        <v>45</v>
      </c>
      <c r="H1288">
        <v>29241851</v>
      </c>
      <c r="I1288" t="s">
        <v>46</v>
      </c>
      <c r="M1288" t="s">
        <v>5924</v>
      </c>
    </row>
    <row r="1289" spans="1:13" x14ac:dyDescent="0.35">
      <c r="A1289" t="s">
        <v>4233</v>
      </c>
      <c r="B1289">
        <v>1451904</v>
      </c>
      <c r="C1289">
        <v>1455551</v>
      </c>
      <c r="E1289" t="s">
        <v>36</v>
      </c>
      <c r="F1289" t="s">
        <v>960</v>
      </c>
      <c r="G1289" t="s">
        <v>961</v>
      </c>
      <c r="H1289">
        <v>29241852</v>
      </c>
      <c r="I1289" t="s">
        <v>16</v>
      </c>
      <c r="K1289" t="s">
        <v>5923</v>
      </c>
      <c r="L1289">
        <v>1215</v>
      </c>
      <c r="M1289" t="s">
        <v>5922</v>
      </c>
    </row>
    <row r="1290" spans="1:13" x14ac:dyDescent="0.35">
      <c r="A1290" t="s">
        <v>4233</v>
      </c>
      <c r="B1290">
        <v>1455596</v>
      </c>
      <c r="C1290">
        <v>1457197</v>
      </c>
      <c r="E1290" t="s">
        <v>36</v>
      </c>
      <c r="F1290" t="s">
        <v>654</v>
      </c>
      <c r="H1290">
        <v>29241853</v>
      </c>
      <c r="I1290" t="s">
        <v>16</v>
      </c>
      <c r="K1290" t="s">
        <v>5921</v>
      </c>
      <c r="L1290">
        <v>533</v>
      </c>
      <c r="M1290" t="s">
        <v>5920</v>
      </c>
    </row>
    <row r="1291" spans="1:13" x14ac:dyDescent="0.35">
      <c r="A1291" t="s">
        <v>4233</v>
      </c>
      <c r="B1291">
        <v>1457785</v>
      </c>
      <c r="C1291">
        <v>1459380</v>
      </c>
      <c r="E1291" t="s">
        <v>13</v>
      </c>
      <c r="F1291" t="s">
        <v>1003</v>
      </c>
      <c r="H1291">
        <v>29241854</v>
      </c>
      <c r="I1291" t="s">
        <v>16</v>
      </c>
      <c r="K1291" t="s">
        <v>5919</v>
      </c>
      <c r="L1291">
        <v>531</v>
      </c>
      <c r="M1291" t="s">
        <v>5918</v>
      </c>
    </row>
    <row r="1292" spans="1:13" x14ac:dyDescent="0.35">
      <c r="A1292" t="s">
        <v>4233</v>
      </c>
      <c r="B1292">
        <v>1459518</v>
      </c>
      <c r="C1292">
        <v>1460039</v>
      </c>
      <c r="E1292" t="s">
        <v>13</v>
      </c>
      <c r="F1292" t="s">
        <v>4600</v>
      </c>
      <c r="H1292">
        <v>29241855</v>
      </c>
      <c r="I1292" t="s">
        <v>16</v>
      </c>
      <c r="K1292" t="s">
        <v>5917</v>
      </c>
      <c r="L1292">
        <v>173</v>
      </c>
      <c r="M1292" t="s">
        <v>5916</v>
      </c>
    </row>
    <row r="1293" spans="1:13" x14ac:dyDescent="0.35">
      <c r="A1293" t="s">
        <v>4233</v>
      </c>
      <c r="B1293">
        <v>1460137</v>
      </c>
      <c r="C1293">
        <v>1461414</v>
      </c>
      <c r="E1293" t="s">
        <v>36</v>
      </c>
      <c r="F1293" t="s">
        <v>103</v>
      </c>
      <c r="H1293">
        <v>29241856</v>
      </c>
      <c r="I1293" t="s">
        <v>16</v>
      </c>
      <c r="K1293" t="s">
        <v>5915</v>
      </c>
      <c r="L1293">
        <v>425</v>
      </c>
      <c r="M1293" t="s">
        <v>5914</v>
      </c>
    </row>
    <row r="1294" spans="1:13" x14ac:dyDescent="0.35">
      <c r="A1294" t="s">
        <v>4233</v>
      </c>
      <c r="B1294">
        <v>1461468</v>
      </c>
      <c r="C1294">
        <v>1462280</v>
      </c>
      <c r="E1294" t="s">
        <v>36</v>
      </c>
      <c r="F1294" t="s">
        <v>1258</v>
      </c>
      <c r="G1294" t="s">
        <v>1259</v>
      </c>
      <c r="H1294">
        <v>29241857</v>
      </c>
      <c r="I1294" t="s">
        <v>16</v>
      </c>
      <c r="K1294" t="s">
        <v>5913</v>
      </c>
      <c r="L1294">
        <v>270</v>
      </c>
      <c r="M1294" t="s">
        <v>5912</v>
      </c>
    </row>
    <row r="1295" spans="1:13" x14ac:dyDescent="0.35">
      <c r="A1295" t="s">
        <v>4233</v>
      </c>
      <c r="B1295">
        <v>1462617</v>
      </c>
      <c r="C1295">
        <v>1463741</v>
      </c>
      <c r="E1295" t="s">
        <v>13</v>
      </c>
      <c r="F1295" t="s">
        <v>4390</v>
      </c>
      <c r="H1295">
        <v>29241858</v>
      </c>
      <c r="I1295" t="s">
        <v>16</v>
      </c>
      <c r="K1295" t="s">
        <v>5911</v>
      </c>
      <c r="L1295">
        <v>374</v>
      </c>
      <c r="M1295" t="s">
        <v>5910</v>
      </c>
    </row>
    <row r="1296" spans="1:13" x14ac:dyDescent="0.35">
      <c r="A1296" t="s">
        <v>4233</v>
      </c>
      <c r="B1296">
        <v>1463769</v>
      </c>
      <c r="C1296">
        <v>1464683</v>
      </c>
      <c r="E1296" t="s">
        <v>36</v>
      </c>
      <c r="F1296" t="s">
        <v>35</v>
      </c>
      <c r="H1296">
        <v>29241859</v>
      </c>
      <c r="I1296" t="s">
        <v>16</v>
      </c>
      <c r="K1296" t="s">
        <v>5909</v>
      </c>
      <c r="L1296">
        <v>304</v>
      </c>
      <c r="M1296" t="s">
        <v>5908</v>
      </c>
    </row>
    <row r="1297" spans="1:13" x14ac:dyDescent="0.35">
      <c r="A1297" t="s">
        <v>4233</v>
      </c>
      <c r="B1297">
        <v>1464909</v>
      </c>
      <c r="C1297">
        <v>1466123</v>
      </c>
      <c r="E1297" t="s">
        <v>13</v>
      </c>
      <c r="F1297" t="s">
        <v>4390</v>
      </c>
      <c r="H1297">
        <v>29241860</v>
      </c>
      <c r="I1297" t="s">
        <v>16</v>
      </c>
      <c r="K1297" t="s">
        <v>5907</v>
      </c>
      <c r="L1297">
        <v>404</v>
      </c>
      <c r="M1297" t="s">
        <v>5906</v>
      </c>
    </row>
    <row r="1298" spans="1:13" x14ac:dyDescent="0.35">
      <c r="A1298" t="s">
        <v>4233</v>
      </c>
      <c r="B1298">
        <v>1466193</v>
      </c>
      <c r="C1298">
        <v>1467089</v>
      </c>
      <c r="E1298" t="s">
        <v>13</v>
      </c>
      <c r="F1298" t="s">
        <v>5905</v>
      </c>
      <c r="H1298">
        <v>29241861</v>
      </c>
      <c r="I1298" t="s">
        <v>16</v>
      </c>
      <c r="K1298" t="s">
        <v>5904</v>
      </c>
      <c r="L1298">
        <v>298</v>
      </c>
      <c r="M1298" t="s">
        <v>5903</v>
      </c>
    </row>
    <row r="1299" spans="1:13" x14ac:dyDescent="0.35">
      <c r="A1299" t="s">
        <v>4233</v>
      </c>
      <c r="B1299">
        <v>1467341</v>
      </c>
      <c r="C1299">
        <v>1467760</v>
      </c>
      <c r="E1299" t="s">
        <v>13</v>
      </c>
      <c r="F1299" t="s">
        <v>40</v>
      </c>
      <c r="H1299">
        <v>97007099</v>
      </c>
      <c r="I1299" t="s">
        <v>16</v>
      </c>
      <c r="K1299" t="s">
        <v>5902</v>
      </c>
      <c r="L1299">
        <v>139</v>
      </c>
      <c r="M1299" t="s">
        <v>5901</v>
      </c>
    </row>
    <row r="1300" spans="1:13" x14ac:dyDescent="0.35">
      <c r="A1300" t="s">
        <v>4233</v>
      </c>
      <c r="B1300">
        <v>1467733</v>
      </c>
      <c r="C1300">
        <v>1468317</v>
      </c>
      <c r="E1300" t="s">
        <v>13</v>
      </c>
      <c r="F1300" t="s">
        <v>121</v>
      </c>
      <c r="H1300">
        <v>97007100</v>
      </c>
      <c r="I1300" t="s">
        <v>16</v>
      </c>
      <c r="K1300" t="s">
        <v>5900</v>
      </c>
      <c r="L1300">
        <v>194</v>
      </c>
      <c r="M1300" t="s">
        <v>5899</v>
      </c>
    </row>
    <row r="1301" spans="1:13" x14ac:dyDescent="0.35">
      <c r="A1301" t="s">
        <v>4233</v>
      </c>
      <c r="B1301">
        <v>1468436</v>
      </c>
      <c r="C1301">
        <v>1468915</v>
      </c>
      <c r="E1301" t="s">
        <v>36</v>
      </c>
      <c r="F1301" t="s">
        <v>45</v>
      </c>
      <c r="G1301" t="s">
        <v>769</v>
      </c>
      <c r="H1301">
        <v>29241864</v>
      </c>
      <c r="I1301" t="s">
        <v>46</v>
      </c>
      <c r="M1301" t="s">
        <v>5898</v>
      </c>
    </row>
    <row r="1302" spans="1:13" x14ac:dyDescent="0.35">
      <c r="A1302" t="s">
        <v>4233</v>
      </c>
      <c r="B1302">
        <v>1469124</v>
      </c>
      <c r="C1302">
        <v>1470254</v>
      </c>
      <c r="E1302" t="s">
        <v>36</v>
      </c>
      <c r="F1302" t="s">
        <v>292</v>
      </c>
      <c r="H1302">
        <v>29241865</v>
      </c>
      <c r="I1302" t="s">
        <v>16</v>
      </c>
      <c r="K1302" t="s">
        <v>5897</v>
      </c>
      <c r="L1302">
        <v>376</v>
      </c>
      <c r="M1302" t="s">
        <v>5896</v>
      </c>
    </row>
    <row r="1303" spans="1:13" x14ac:dyDescent="0.35">
      <c r="A1303" t="s">
        <v>4233</v>
      </c>
      <c r="B1303">
        <v>1470564</v>
      </c>
      <c r="C1303">
        <v>1470704</v>
      </c>
      <c r="E1303" t="s">
        <v>13</v>
      </c>
      <c r="F1303" t="s">
        <v>40</v>
      </c>
      <c r="H1303">
        <v>42569812</v>
      </c>
      <c r="I1303" t="s">
        <v>16</v>
      </c>
      <c r="K1303" t="s">
        <v>5895</v>
      </c>
      <c r="L1303">
        <v>46</v>
      </c>
      <c r="M1303" t="s">
        <v>5894</v>
      </c>
    </row>
    <row r="1304" spans="1:13" x14ac:dyDescent="0.35">
      <c r="A1304" t="s">
        <v>4233</v>
      </c>
      <c r="B1304">
        <v>1470706</v>
      </c>
      <c r="C1304">
        <v>1470912</v>
      </c>
      <c r="E1304" t="s">
        <v>13</v>
      </c>
      <c r="F1304" t="s">
        <v>5783</v>
      </c>
      <c r="H1304">
        <v>29241866</v>
      </c>
      <c r="I1304" t="s">
        <v>16</v>
      </c>
      <c r="K1304" t="s">
        <v>5893</v>
      </c>
      <c r="L1304">
        <v>68</v>
      </c>
      <c r="M1304" t="s">
        <v>5892</v>
      </c>
    </row>
    <row r="1305" spans="1:13" x14ac:dyDescent="0.35">
      <c r="A1305" t="s">
        <v>4233</v>
      </c>
      <c r="B1305">
        <v>1470975</v>
      </c>
      <c r="C1305">
        <v>1471529</v>
      </c>
      <c r="E1305" t="s">
        <v>36</v>
      </c>
      <c r="F1305" t="s">
        <v>5388</v>
      </c>
      <c r="H1305">
        <v>29241867</v>
      </c>
      <c r="I1305" t="s">
        <v>16</v>
      </c>
      <c r="K1305" t="s">
        <v>5891</v>
      </c>
      <c r="L1305">
        <v>184</v>
      </c>
      <c r="M1305" t="s">
        <v>5890</v>
      </c>
    </row>
    <row r="1306" spans="1:13" x14ac:dyDescent="0.35">
      <c r="A1306" t="s">
        <v>4233</v>
      </c>
      <c r="B1306">
        <v>1472087</v>
      </c>
      <c r="C1306">
        <v>1472368</v>
      </c>
      <c r="E1306" t="s">
        <v>36</v>
      </c>
      <c r="F1306" t="s">
        <v>40</v>
      </c>
      <c r="H1306">
        <v>29241868</v>
      </c>
      <c r="I1306" t="s">
        <v>16</v>
      </c>
      <c r="K1306" t="s">
        <v>5889</v>
      </c>
      <c r="L1306">
        <v>93</v>
      </c>
      <c r="M1306" t="s">
        <v>5888</v>
      </c>
    </row>
    <row r="1307" spans="1:13" x14ac:dyDescent="0.35">
      <c r="A1307" t="s">
        <v>4233</v>
      </c>
      <c r="B1307">
        <v>1472385</v>
      </c>
      <c r="C1307">
        <v>1473188</v>
      </c>
      <c r="E1307" t="s">
        <v>36</v>
      </c>
      <c r="F1307" t="s">
        <v>5887</v>
      </c>
      <c r="H1307">
        <v>29241869</v>
      </c>
      <c r="I1307" t="s">
        <v>16</v>
      </c>
      <c r="K1307" t="s">
        <v>5886</v>
      </c>
      <c r="L1307">
        <v>267</v>
      </c>
      <c r="M1307" t="s">
        <v>5885</v>
      </c>
    </row>
    <row r="1308" spans="1:13" x14ac:dyDescent="0.35">
      <c r="A1308" t="s">
        <v>4233</v>
      </c>
      <c r="B1308">
        <v>1473214</v>
      </c>
      <c r="C1308">
        <v>1473441</v>
      </c>
      <c r="E1308" t="s">
        <v>36</v>
      </c>
      <c r="F1308" t="s">
        <v>5566</v>
      </c>
      <c r="H1308">
        <v>29241870</v>
      </c>
      <c r="I1308" t="s">
        <v>16</v>
      </c>
      <c r="K1308" t="s">
        <v>5884</v>
      </c>
      <c r="L1308">
        <v>75</v>
      </c>
      <c r="M1308" t="s">
        <v>5883</v>
      </c>
    </row>
    <row r="1309" spans="1:13" x14ac:dyDescent="0.35">
      <c r="A1309" t="s">
        <v>4233</v>
      </c>
      <c r="B1309">
        <v>1473431</v>
      </c>
      <c r="C1309">
        <v>1473595</v>
      </c>
      <c r="E1309" t="s">
        <v>36</v>
      </c>
      <c r="F1309" t="s">
        <v>40</v>
      </c>
      <c r="H1309">
        <v>55549248</v>
      </c>
      <c r="I1309" t="s">
        <v>16</v>
      </c>
      <c r="K1309" t="s">
        <v>5882</v>
      </c>
      <c r="L1309">
        <v>54</v>
      </c>
      <c r="M1309" t="s">
        <v>5881</v>
      </c>
    </row>
    <row r="1310" spans="1:13" x14ac:dyDescent="0.35">
      <c r="A1310" t="s">
        <v>4233</v>
      </c>
      <c r="B1310">
        <v>1473659</v>
      </c>
      <c r="C1310">
        <v>1474048</v>
      </c>
      <c r="E1310" t="s">
        <v>36</v>
      </c>
      <c r="F1310" t="s">
        <v>40</v>
      </c>
      <c r="H1310">
        <v>29241871</v>
      </c>
      <c r="I1310" t="s">
        <v>16</v>
      </c>
      <c r="K1310" t="s">
        <v>5880</v>
      </c>
      <c r="L1310">
        <v>129</v>
      </c>
      <c r="M1310" t="s">
        <v>5879</v>
      </c>
    </row>
    <row r="1311" spans="1:13" x14ac:dyDescent="0.35">
      <c r="A1311" t="s">
        <v>4233</v>
      </c>
      <c r="B1311">
        <v>1474068</v>
      </c>
      <c r="C1311">
        <v>1474556</v>
      </c>
      <c r="E1311" t="s">
        <v>36</v>
      </c>
      <c r="F1311" t="s">
        <v>40</v>
      </c>
      <c r="H1311">
        <v>29241872</v>
      </c>
      <c r="I1311" t="s">
        <v>16</v>
      </c>
      <c r="K1311" t="s">
        <v>5878</v>
      </c>
      <c r="L1311">
        <v>162</v>
      </c>
      <c r="M1311" t="s">
        <v>5877</v>
      </c>
    </row>
    <row r="1312" spans="1:13" x14ac:dyDescent="0.35">
      <c r="A1312" t="s">
        <v>4233</v>
      </c>
      <c r="B1312">
        <v>1474576</v>
      </c>
      <c r="C1312">
        <v>1474941</v>
      </c>
      <c r="E1312" t="s">
        <v>36</v>
      </c>
      <c r="F1312" t="s">
        <v>40</v>
      </c>
      <c r="H1312">
        <v>29241873</v>
      </c>
      <c r="I1312" t="s">
        <v>16</v>
      </c>
      <c r="K1312" t="s">
        <v>5876</v>
      </c>
      <c r="L1312">
        <v>121</v>
      </c>
      <c r="M1312" t="s">
        <v>5875</v>
      </c>
    </row>
    <row r="1313" spans="1:13" x14ac:dyDescent="0.35">
      <c r="A1313" t="s">
        <v>4233</v>
      </c>
      <c r="B1313">
        <v>1474969</v>
      </c>
      <c r="C1313">
        <v>1475412</v>
      </c>
      <c r="E1313" t="s">
        <v>36</v>
      </c>
      <c r="F1313" t="s">
        <v>40</v>
      </c>
      <c r="H1313">
        <v>29241874</v>
      </c>
      <c r="I1313" t="s">
        <v>16</v>
      </c>
      <c r="K1313" t="s">
        <v>5874</v>
      </c>
      <c r="L1313">
        <v>147</v>
      </c>
      <c r="M1313" t="s">
        <v>5873</v>
      </c>
    </row>
    <row r="1314" spans="1:13" x14ac:dyDescent="0.35">
      <c r="A1314" t="s">
        <v>4233</v>
      </c>
      <c r="B1314">
        <v>1475399</v>
      </c>
      <c r="C1314">
        <v>1475569</v>
      </c>
      <c r="E1314" t="s">
        <v>36</v>
      </c>
      <c r="F1314" t="s">
        <v>40</v>
      </c>
      <c r="H1314">
        <v>55549249</v>
      </c>
      <c r="I1314" t="s">
        <v>16</v>
      </c>
      <c r="K1314" t="s">
        <v>5872</v>
      </c>
      <c r="L1314">
        <v>56</v>
      </c>
      <c r="M1314" t="s">
        <v>5871</v>
      </c>
    </row>
    <row r="1315" spans="1:13" x14ac:dyDescent="0.35">
      <c r="A1315" t="s">
        <v>4233</v>
      </c>
      <c r="B1315">
        <v>1475647</v>
      </c>
      <c r="C1315">
        <v>1475961</v>
      </c>
      <c r="E1315" t="s">
        <v>36</v>
      </c>
      <c r="F1315" t="s">
        <v>40</v>
      </c>
      <c r="H1315">
        <v>29241875</v>
      </c>
      <c r="I1315" t="s">
        <v>16</v>
      </c>
      <c r="K1315" t="s">
        <v>5870</v>
      </c>
      <c r="L1315">
        <v>104</v>
      </c>
      <c r="M1315" t="s">
        <v>5869</v>
      </c>
    </row>
    <row r="1316" spans="1:13" x14ac:dyDescent="0.35">
      <c r="A1316" t="s">
        <v>4233</v>
      </c>
      <c r="B1316">
        <v>1475973</v>
      </c>
      <c r="C1316">
        <v>1476539</v>
      </c>
      <c r="E1316" t="s">
        <v>36</v>
      </c>
      <c r="F1316" t="s">
        <v>5868</v>
      </c>
      <c r="H1316">
        <v>29241876</v>
      </c>
      <c r="I1316" t="s">
        <v>16</v>
      </c>
      <c r="K1316" t="s">
        <v>5867</v>
      </c>
      <c r="L1316">
        <v>188</v>
      </c>
      <c r="M1316" t="s">
        <v>5866</v>
      </c>
    </row>
    <row r="1317" spans="1:13" x14ac:dyDescent="0.35">
      <c r="A1317" t="s">
        <v>4233</v>
      </c>
      <c r="B1317">
        <v>1476554</v>
      </c>
      <c r="C1317">
        <v>1481404</v>
      </c>
      <c r="E1317" t="s">
        <v>36</v>
      </c>
      <c r="F1317" t="s">
        <v>40</v>
      </c>
      <c r="H1317">
        <v>29241877</v>
      </c>
      <c r="I1317" t="s">
        <v>16</v>
      </c>
      <c r="K1317" t="s">
        <v>5865</v>
      </c>
      <c r="L1317">
        <v>1616</v>
      </c>
      <c r="M1317" t="s">
        <v>5864</v>
      </c>
    </row>
    <row r="1318" spans="1:13" x14ac:dyDescent="0.35">
      <c r="A1318" t="s">
        <v>4233</v>
      </c>
      <c r="B1318">
        <v>1481411</v>
      </c>
      <c r="C1318">
        <v>1482316</v>
      </c>
      <c r="E1318" t="s">
        <v>36</v>
      </c>
      <c r="F1318" t="s">
        <v>40</v>
      </c>
      <c r="H1318">
        <v>29241878</v>
      </c>
      <c r="I1318" t="s">
        <v>16</v>
      </c>
      <c r="K1318" t="s">
        <v>5863</v>
      </c>
      <c r="L1318">
        <v>301</v>
      </c>
      <c r="M1318" t="s">
        <v>5862</v>
      </c>
    </row>
    <row r="1319" spans="1:13" x14ac:dyDescent="0.35">
      <c r="A1319" t="s">
        <v>4233</v>
      </c>
      <c r="B1319">
        <v>1482332</v>
      </c>
      <c r="C1319">
        <v>1485193</v>
      </c>
      <c r="E1319" t="s">
        <v>36</v>
      </c>
      <c r="F1319" t="s">
        <v>40</v>
      </c>
      <c r="H1319">
        <v>29241879</v>
      </c>
      <c r="I1319" t="s">
        <v>16</v>
      </c>
      <c r="K1319" t="s">
        <v>5861</v>
      </c>
      <c r="L1319">
        <v>953</v>
      </c>
      <c r="M1319" t="s">
        <v>5860</v>
      </c>
    </row>
    <row r="1320" spans="1:13" x14ac:dyDescent="0.35">
      <c r="A1320" t="s">
        <v>4233</v>
      </c>
      <c r="B1320">
        <v>1485228</v>
      </c>
      <c r="C1320">
        <v>1485554</v>
      </c>
      <c r="E1320" t="s">
        <v>36</v>
      </c>
      <c r="F1320" t="s">
        <v>40</v>
      </c>
      <c r="H1320">
        <v>29241880</v>
      </c>
      <c r="I1320" t="s">
        <v>16</v>
      </c>
      <c r="K1320" t="s">
        <v>5859</v>
      </c>
      <c r="L1320">
        <v>108</v>
      </c>
      <c r="M1320" t="s">
        <v>5858</v>
      </c>
    </row>
    <row r="1321" spans="1:13" x14ac:dyDescent="0.35">
      <c r="A1321" t="s">
        <v>4233</v>
      </c>
      <c r="B1321">
        <v>1485551</v>
      </c>
      <c r="C1321">
        <v>1485973</v>
      </c>
      <c r="E1321" t="s">
        <v>36</v>
      </c>
      <c r="F1321" t="s">
        <v>40</v>
      </c>
      <c r="H1321">
        <v>29241881</v>
      </c>
      <c r="I1321" t="s">
        <v>16</v>
      </c>
      <c r="K1321" t="s">
        <v>5857</v>
      </c>
      <c r="L1321">
        <v>140</v>
      </c>
      <c r="M1321" t="s">
        <v>5856</v>
      </c>
    </row>
    <row r="1322" spans="1:13" x14ac:dyDescent="0.35">
      <c r="A1322" t="s">
        <v>4233</v>
      </c>
      <c r="B1322">
        <v>1486074</v>
      </c>
      <c r="C1322">
        <v>1486340</v>
      </c>
      <c r="E1322" t="s">
        <v>36</v>
      </c>
      <c r="F1322" t="s">
        <v>40</v>
      </c>
      <c r="H1322">
        <v>29241882</v>
      </c>
      <c r="I1322" t="s">
        <v>16</v>
      </c>
      <c r="K1322" t="s">
        <v>5855</v>
      </c>
      <c r="L1322">
        <v>88</v>
      </c>
      <c r="M1322" t="s">
        <v>5854</v>
      </c>
    </row>
    <row r="1323" spans="1:13" x14ac:dyDescent="0.35">
      <c r="A1323" t="s">
        <v>4233</v>
      </c>
      <c r="B1323">
        <v>1486346</v>
      </c>
      <c r="C1323">
        <v>1486945</v>
      </c>
      <c r="E1323" t="s">
        <v>36</v>
      </c>
      <c r="F1323" t="s">
        <v>40</v>
      </c>
      <c r="H1323">
        <v>29241883</v>
      </c>
      <c r="I1323" t="s">
        <v>16</v>
      </c>
      <c r="K1323" t="s">
        <v>5853</v>
      </c>
      <c r="L1323">
        <v>199</v>
      </c>
      <c r="M1323" t="s">
        <v>5852</v>
      </c>
    </row>
    <row r="1324" spans="1:13" x14ac:dyDescent="0.35">
      <c r="A1324" t="s">
        <v>4233</v>
      </c>
      <c r="B1324">
        <v>1486959</v>
      </c>
      <c r="C1324">
        <v>1487390</v>
      </c>
      <c r="E1324" t="s">
        <v>36</v>
      </c>
      <c r="F1324" t="s">
        <v>40</v>
      </c>
      <c r="H1324">
        <v>29241884</v>
      </c>
      <c r="I1324" t="s">
        <v>16</v>
      </c>
      <c r="K1324" t="s">
        <v>5851</v>
      </c>
      <c r="L1324">
        <v>143</v>
      </c>
      <c r="M1324" t="s">
        <v>5850</v>
      </c>
    </row>
    <row r="1325" spans="1:13" x14ac:dyDescent="0.35">
      <c r="A1325" t="s">
        <v>4233</v>
      </c>
      <c r="B1325">
        <v>1487390</v>
      </c>
      <c r="C1325">
        <v>1487677</v>
      </c>
      <c r="E1325" t="s">
        <v>36</v>
      </c>
      <c r="F1325" t="s">
        <v>5849</v>
      </c>
      <c r="H1325">
        <v>29241885</v>
      </c>
      <c r="I1325" t="s">
        <v>16</v>
      </c>
      <c r="K1325" t="s">
        <v>5848</v>
      </c>
      <c r="L1325">
        <v>95</v>
      </c>
      <c r="M1325" t="s">
        <v>5847</v>
      </c>
    </row>
    <row r="1326" spans="1:13" x14ac:dyDescent="0.35">
      <c r="A1326" t="s">
        <v>4233</v>
      </c>
      <c r="B1326">
        <v>1487682</v>
      </c>
      <c r="C1326">
        <v>1488080</v>
      </c>
      <c r="E1326" t="s">
        <v>36</v>
      </c>
      <c r="F1326" t="s">
        <v>40</v>
      </c>
      <c r="H1326">
        <v>29241886</v>
      </c>
      <c r="I1326" t="s">
        <v>16</v>
      </c>
      <c r="K1326" t="s">
        <v>5846</v>
      </c>
      <c r="L1326">
        <v>132</v>
      </c>
      <c r="M1326" t="s">
        <v>5845</v>
      </c>
    </row>
    <row r="1327" spans="1:13" x14ac:dyDescent="0.35">
      <c r="A1327" t="s">
        <v>4233</v>
      </c>
      <c r="B1327">
        <v>1488077</v>
      </c>
      <c r="C1327">
        <v>1488595</v>
      </c>
      <c r="E1327" t="s">
        <v>36</v>
      </c>
      <c r="F1327" t="s">
        <v>40</v>
      </c>
      <c r="H1327">
        <v>29241887</v>
      </c>
      <c r="I1327" t="s">
        <v>16</v>
      </c>
      <c r="K1327" t="s">
        <v>5844</v>
      </c>
      <c r="L1327">
        <v>172</v>
      </c>
      <c r="M1327" t="s">
        <v>5843</v>
      </c>
    </row>
    <row r="1328" spans="1:13" x14ac:dyDescent="0.35">
      <c r="A1328" t="s">
        <v>4233</v>
      </c>
      <c r="B1328">
        <v>1488610</v>
      </c>
      <c r="C1328">
        <v>1488957</v>
      </c>
      <c r="E1328" t="s">
        <v>36</v>
      </c>
      <c r="F1328" t="s">
        <v>40</v>
      </c>
      <c r="H1328">
        <v>29241888</v>
      </c>
      <c r="I1328" t="s">
        <v>16</v>
      </c>
      <c r="K1328" t="s">
        <v>5842</v>
      </c>
      <c r="L1328">
        <v>115</v>
      </c>
      <c r="M1328" t="s">
        <v>5841</v>
      </c>
    </row>
    <row r="1329" spans="1:13" x14ac:dyDescent="0.35">
      <c r="A1329" t="s">
        <v>4233</v>
      </c>
      <c r="B1329">
        <v>1488966</v>
      </c>
      <c r="C1329">
        <v>1490168</v>
      </c>
      <c r="E1329" t="s">
        <v>36</v>
      </c>
      <c r="F1329" t="s">
        <v>5840</v>
      </c>
      <c r="H1329">
        <v>29241889</v>
      </c>
      <c r="I1329" t="s">
        <v>16</v>
      </c>
      <c r="K1329" t="s">
        <v>5839</v>
      </c>
      <c r="L1329">
        <v>400</v>
      </c>
      <c r="M1329" t="s">
        <v>5838</v>
      </c>
    </row>
    <row r="1330" spans="1:13" x14ac:dyDescent="0.35">
      <c r="A1330" t="s">
        <v>4233</v>
      </c>
      <c r="B1330">
        <v>1490183</v>
      </c>
      <c r="C1330">
        <v>1490929</v>
      </c>
      <c r="E1330" t="s">
        <v>36</v>
      </c>
      <c r="F1330" t="s">
        <v>5837</v>
      </c>
      <c r="H1330">
        <v>29241890</v>
      </c>
      <c r="I1330" t="s">
        <v>16</v>
      </c>
      <c r="K1330" t="s">
        <v>5836</v>
      </c>
      <c r="L1330">
        <v>248</v>
      </c>
      <c r="M1330" t="s">
        <v>5835</v>
      </c>
    </row>
    <row r="1331" spans="1:13" x14ac:dyDescent="0.35">
      <c r="A1331" t="s">
        <v>4233</v>
      </c>
      <c r="B1331">
        <v>1490926</v>
      </c>
      <c r="C1331">
        <v>1492332</v>
      </c>
      <c r="E1331" t="s">
        <v>36</v>
      </c>
      <c r="F1331" t="s">
        <v>479</v>
      </c>
      <c r="H1331">
        <v>29241891</v>
      </c>
      <c r="I1331" t="s">
        <v>16</v>
      </c>
      <c r="K1331" t="s">
        <v>5834</v>
      </c>
      <c r="L1331">
        <v>468</v>
      </c>
      <c r="M1331" t="s">
        <v>5833</v>
      </c>
    </row>
    <row r="1332" spans="1:13" x14ac:dyDescent="0.35">
      <c r="A1332" t="s">
        <v>4233</v>
      </c>
      <c r="B1332">
        <v>1492354</v>
      </c>
      <c r="C1332">
        <v>1493967</v>
      </c>
      <c r="E1332" t="s">
        <v>36</v>
      </c>
      <c r="F1332" t="s">
        <v>40</v>
      </c>
      <c r="H1332">
        <v>29241892</v>
      </c>
      <c r="I1332" t="s">
        <v>16</v>
      </c>
      <c r="K1332" t="s">
        <v>5832</v>
      </c>
      <c r="L1332">
        <v>537</v>
      </c>
      <c r="M1332" t="s">
        <v>5831</v>
      </c>
    </row>
    <row r="1333" spans="1:13" x14ac:dyDescent="0.35">
      <c r="A1333" t="s">
        <v>4233</v>
      </c>
      <c r="B1333">
        <v>1493981</v>
      </c>
      <c r="C1333">
        <v>1494343</v>
      </c>
      <c r="E1333" t="s">
        <v>36</v>
      </c>
      <c r="F1333" t="s">
        <v>40</v>
      </c>
      <c r="H1333">
        <v>29241893</v>
      </c>
      <c r="I1333" t="s">
        <v>16</v>
      </c>
      <c r="K1333" t="s">
        <v>5830</v>
      </c>
      <c r="L1333">
        <v>120</v>
      </c>
      <c r="M1333" t="s">
        <v>5829</v>
      </c>
    </row>
    <row r="1334" spans="1:13" x14ac:dyDescent="0.35">
      <c r="A1334" t="s">
        <v>4233</v>
      </c>
      <c r="B1334">
        <v>1494436</v>
      </c>
      <c r="C1334">
        <v>1494732</v>
      </c>
      <c r="E1334" t="s">
        <v>36</v>
      </c>
      <c r="F1334" t="s">
        <v>40</v>
      </c>
      <c r="H1334">
        <v>29241894</v>
      </c>
      <c r="I1334" t="s">
        <v>16</v>
      </c>
      <c r="K1334" t="s">
        <v>5828</v>
      </c>
      <c r="L1334">
        <v>98</v>
      </c>
      <c r="M1334" t="s">
        <v>5827</v>
      </c>
    </row>
    <row r="1335" spans="1:13" x14ac:dyDescent="0.35">
      <c r="A1335" t="s">
        <v>4233</v>
      </c>
      <c r="B1335">
        <v>1495245</v>
      </c>
      <c r="C1335">
        <v>1495994</v>
      </c>
      <c r="E1335" t="s">
        <v>36</v>
      </c>
      <c r="F1335" t="s">
        <v>40</v>
      </c>
      <c r="H1335">
        <v>29241895</v>
      </c>
      <c r="I1335" t="s">
        <v>16</v>
      </c>
      <c r="K1335" t="s">
        <v>5826</v>
      </c>
      <c r="L1335">
        <v>249</v>
      </c>
      <c r="M1335" t="s">
        <v>5825</v>
      </c>
    </row>
    <row r="1336" spans="1:13" x14ac:dyDescent="0.35">
      <c r="A1336" t="s">
        <v>4233</v>
      </c>
      <c r="B1336">
        <v>1495991</v>
      </c>
      <c r="C1336">
        <v>1496134</v>
      </c>
      <c r="E1336" t="s">
        <v>36</v>
      </c>
      <c r="F1336" t="s">
        <v>40</v>
      </c>
      <c r="H1336">
        <v>29241896</v>
      </c>
      <c r="I1336" t="s">
        <v>16</v>
      </c>
      <c r="K1336" t="s">
        <v>5824</v>
      </c>
      <c r="L1336">
        <v>47</v>
      </c>
      <c r="M1336" t="s">
        <v>5823</v>
      </c>
    </row>
    <row r="1337" spans="1:13" x14ac:dyDescent="0.35">
      <c r="A1337" t="s">
        <v>4233</v>
      </c>
      <c r="B1337">
        <v>1496131</v>
      </c>
      <c r="C1337">
        <v>1496358</v>
      </c>
      <c r="E1337" t="s">
        <v>36</v>
      </c>
      <c r="F1337" t="s">
        <v>40</v>
      </c>
      <c r="H1337">
        <v>29241897</v>
      </c>
      <c r="I1337" t="s">
        <v>16</v>
      </c>
      <c r="K1337" t="s">
        <v>5822</v>
      </c>
      <c r="L1337">
        <v>75</v>
      </c>
      <c r="M1337" t="s">
        <v>5821</v>
      </c>
    </row>
    <row r="1338" spans="1:13" x14ac:dyDescent="0.35">
      <c r="A1338" t="s">
        <v>4233</v>
      </c>
      <c r="B1338">
        <v>1496355</v>
      </c>
      <c r="C1338">
        <v>1496666</v>
      </c>
      <c r="E1338" t="s">
        <v>36</v>
      </c>
      <c r="F1338" t="s">
        <v>40</v>
      </c>
      <c r="H1338">
        <v>29241898</v>
      </c>
      <c r="I1338" t="s">
        <v>16</v>
      </c>
      <c r="K1338" t="s">
        <v>5820</v>
      </c>
      <c r="L1338">
        <v>103</v>
      </c>
      <c r="M1338" t="s">
        <v>5819</v>
      </c>
    </row>
    <row r="1339" spans="1:13" x14ac:dyDescent="0.35">
      <c r="A1339" t="s">
        <v>4233</v>
      </c>
      <c r="B1339">
        <v>1496669</v>
      </c>
      <c r="C1339">
        <v>1496845</v>
      </c>
      <c r="E1339" t="s">
        <v>36</v>
      </c>
      <c r="F1339" t="s">
        <v>40</v>
      </c>
      <c r="H1339">
        <v>29241899</v>
      </c>
      <c r="I1339" t="s">
        <v>16</v>
      </c>
      <c r="K1339" t="s">
        <v>5818</v>
      </c>
      <c r="L1339">
        <v>58</v>
      </c>
      <c r="M1339" t="s">
        <v>5817</v>
      </c>
    </row>
    <row r="1340" spans="1:13" x14ac:dyDescent="0.35">
      <c r="A1340" t="s">
        <v>4233</v>
      </c>
      <c r="B1340">
        <v>1496842</v>
      </c>
      <c r="C1340">
        <v>1497075</v>
      </c>
      <c r="E1340" t="s">
        <v>36</v>
      </c>
      <c r="F1340" t="s">
        <v>40</v>
      </c>
      <c r="H1340">
        <v>29241900</v>
      </c>
      <c r="I1340" t="s">
        <v>16</v>
      </c>
      <c r="K1340" t="s">
        <v>5816</v>
      </c>
      <c r="L1340">
        <v>77</v>
      </c>
      <c r="M1340" t="s">
        <v>5815</v>
      </c>
    </row>
    <row r="1341" spans="1:13" x14ac:dyDescent="0.35">
      <c r="A1341" t="s">
        <v>4233</v>
      </c>
      <c r="B1341">
        <v>1497060</v>
      </c>
      <c r="C1341">
        <v>1497866</v>
      </c>
      <c r="E1341" t="s">
        <v>36</v>
      </c>
      <c r="F1341" t="s">
        <v>40</v>
      </c>
      <c r="H1341">
        <v>29241901</v>
      </c>
      <c r="I1341" t="s">
        <v>16</v>
      </c>
      <c r="K1341" t="s">
        <v>5814</v>
      </c>
      <c r="L1341">
        <v>268</v>
      </c>
      <c r="M1341" t="s">
        <v>5813</v>
      </c>
    </row>
    <row r="1342" spans="1:13" x14ac:dyDescent="0.35">
      <c r="A1342" t="s">
        <v>4233</v>
      </c>
      <c r="B1342">
        <v>1497884</v>
      </c>
      <c r="C1342">
        <v>1498342</v>
      </c>
      <c r="E1342" t="s">
        <v>36</v>
      </c>
      <c r="F1342" t="s">
        <v>5812</v>
      </c>
      <c r="H1342">
        <v>29241902</v>
      </c>
      <c r="I1342" t="s">
        <v>16</v>
      </c>
      <c r="K1342" t="s">
        <v>5811</v>
      </c>
      <c r="L1342">
        <v>152</v>
      </c>
      <c r="M1342" t="s">
        <v>5810</v>
      </c>
    </row>
    <row r="1343" spans="1:13" x14ac:dyDescent="0.35">
      <c r="A1343" t="s">
        <v>4233</v>
      </c>
      <c r="B1343">
        <v>1498374</v>
      </c>
      <c r="C1343">
        <v>1498550</v>
      </c>
      <c r="E1343" t="s">
        <v>36</v>
      </c>
      <c r="F1343" t="s">
        <v>40</v>
      </c>
      <c r="H1343">
        <v>55549250</v>
      </c>
      <c r="I1343" t="s">
        <v>16</v>
      </c>
      <c r="K1343" t="s">
        <v>5809</v>
      </c>
      <c r="L1343">
        <v>58</v>
      </c>
      <c r="M1343" t="s">
        <v>5808</v>
      </c>
    </row>
    <row r="1344" spans="1:13" x14ac:dyDescent="0.35">
      <c r="A1344" t="s">
        <v>4233</v>
      </c>
      <c r="B1344">
        <v>1498547</v>
      </c>
      <c r="C1344">
        <v>1498876</v>
      </c>
      <c r="E1344" t="s">
        <v>36</v>
      </c>
      <c r="F1344" t="s">
        <v>40</v>
      </c>
      <c r="H1344">
        <v>29241903</v>
      </c>
      <c r="I1344" t="s">
        <v>16</v>
      </c>
      <c r="K1344" t="s">
        <v>5807</v>
      </c>
      <c r="L1344">
        <v>109</v>
      </c>
      <c r="M1344" t="s">
        <v>5806</v>
      </c>
    </row>
    <row r="1345" spans="1:13" x14ac:dyDescent="0.35">
      <c r="A1345" t="s">
        <v>4233</v>
      </c>
      <c r="B1345">
        <v>1498873</v>
      </c>
      <c r="C1345">
        <v>1499154</v>
      </c>
      <c r="E1345" t="s">
        <v>36</v>
      </c>
      <c r="F1345" t="s">
        <v>40</v>
      </c>
      <c r="H1345">
        <v>29241904</v>
      </c>
      <c r="I1345" t="s">
        <v>16</v>
      </c>
      <c r="K1345" t="s">
        <v>5805</v>
      </c>
      <c r="L1345">
        <v>93</v>
      </c>
      <c r="M1345" t="s">
        <v>5804</v>
      </c>
    </row>
    <row r="1346" spans="1:13" x14ac:dyDescent="0.35">
      <c r="A1346" t="s">
        <v>4233</v>
      </c>
      <c r="B1346">
        <v>1499151</v>
      </c>
      <c r="C1346">
        <v>1499348</v>
      </c>
      <c r="E1346" t="s">
        <v>36</v>
      </c>
      <c r="F1346" t="s">
        <v>40</v>
      </c>
      <c r="H1346">
        <v>29241905</v>
      </c>
      <c r="I1346" t="s">
        <v>16</v>
      </c>
      <c r="K1346" t="s">
        <v>5803</v>
      </c>
      <c r="L1346">
        <v>65</v>
      </c>
      <c r="M1346" t="s">
        <v>5802</v>
      </c>
    </row>
    <row r="1347" spans="1:13" x14ac:dyDescent="0.35">
      <c r="A1347" t="s">
        <v>4233</v>
      </c>
      <c r="B1347">
        <v>1499345</v>
      </c>
      <c r="C1347">
        <v>1499848</v>
      </c>
      <c r="E1347" t="s">
        <v>36</v>
      </c>
      <c r="F1347" t="s">
        <v>40</v>
      </c>
      <c r="H1347">
        <v>29241906</v>
      </c>
      <c r="I1347" t="s">
        <v>16</v>
      </c>
      <c r="K1347" t="s">
        <v>5801</v>
      </c>
      <c r="L1347">
        <v>167</v>
      </c>
      <c r="M1347" t="s">
        <v>5800</v>
      </c>
    </row>
    <row r="1348" spans="1:13" x14ac:dyDescent="0.35">
      <c r="A1348" t="s">
        <v>4233</v>
      </c>
      <c r="B1348">
        <v>1499851</v>
      </c>
      <c r="C1348">
        <v>1500243</v>
      </c>
      <c r="E1348" t="s">
        <v>36</v>
      </c>
      <c r="F1348" t="s">
        <v>40</v>
      </c>
      <c r="H1348">
        <v>29241907</v>
      </c>
      <c r="I1348" t="s">
        <v>16</v>
      </c>
      <c r="K1348" t="s">
        <v>5799</v>
      </c>
      <c r="L1348">
        <v>130</v>
      </c>
      <c r="M1348" t="s">
        <v>5798</v>
      </c>
    </row>
    <row r="1349" spans="1:13" x14ac:dyDescent="0.35">
      <c r="A1349" t="s">
        <v>4233</v>
      </c>
      <c r="B1349">
        <v>1500373</v>
      </c>
      <c r="C1349">
        <v>1500873</v>
      </c>
      <c r="E1349" t="s">
        <v>36</v>
      </c>
      <c r="F1349" t="s">
        <v>28</v>
      </c>
      <c r="H1349">
        <v>29241908</v>
      </c>
      <c r="I1349" t="s">
        <v>16</v>
      </c>
      <c r="K1349" t="s">
        <v>5797</v>
      </c>
      <c r="L1349">
        <v>166</v>
      </c>
      <c r="M1349" t="s">
        <v>5796</v>
      </c>
    </row>
    <row r="1350" spans="1:13" x14ac:dyDescent="0.35">
      <c r="A1350" t="s">
        <v>4233</v>
      </c>
      <c r="B1350">
        <v>1500873</v>
      </c>
      <c r="C1350">
        <v>1501043</v>
      </c>
      <c r="E1350" t="s">
        <v>36</v>
      </c>
      <c r="F1350" t="s">
        <v>40</v>
      </c>
      <c r="H1350">
        <v>55549251</v>
      </c>
      <c r="I1350" t="s">
        <v>16</v>
      </c>
      <c r="K1350" t="s">
        <v>5795</v>
      </c>
      <c r="L1350">
        <v>56</v>
      </c>
      <c r="M1350" t="s">
        <v>5794</v>
      </c>
    </row>
    <row r="1351" spans="1:13" x14ac:dyDescent="0.35">
      <c r="A1351" t="s">
        <v>4233</v>
      </c>
      <c r="B1351">
        <v>1501043</v>
      </c>
      <c r="C1351">
        <v>1501888</v>
      </c>
      <c r="E1351" t="s">
        <v>36</v>
      </c>
      <c r="F1351" t="s">
        <v>5793</v>
      </c>
      <c r="H1351">
        <v>29241909</v>
      </c>
      <c r="I1351" t="s">
        <v>16</v>
      </c>
      <c r="K1351" t="s">
        <v>5792</v>
      </c>
      <c r="L1351">
        <v>281</v>
      </c>
      <c r="M1351" t="s">
        <v>5791</v>
      </c>
    </row>
    <row r="1352" spans="1:13" x14ac:dyDescent="0.35">
      <c r="A1352" t="s">
        <v>4233</v>
      </c>
      <c r="B1352">
        <v>1501891</v>
      </c>
      <c r="C1352">
        <v>1502853</v>
      </c>
      <c r="E1352" t="s">
        <v>36</v>
      </c>
      <c r="F1352" t="s">
        <v>5790</v>
      </c>
      <c r="H1352">
        <v>29241910</v>
      </c>
      <c r="I1352" t="s">
        <v>16</v>
      </c>
      <c r="K1352" t="s">
        <v>5789</v>
      </c>
      <c r="L1352">
        <v>320</v>
      </c>
      <c r="M1352" t="s">
        <v>5788</v>
      </c>
    </row>
    <row r="1353" spans="1:13" x14ac:dyDescent="0.35">
      <c r="A1353" t="s">
        <v>4233</v>
      </c>
      <c r="B1353">
        <v>1502850</v>
      </c>
      <c r="C1353">
        <v>1503008</v>
      </c>
      <c r="E1353" t="s">
        <v>36</v>
      </c>
      <c r="F1353" t="s">
        <v>40</v>
      </c>
      <c r="H1353">
        <v>55549252</v>
      </c>
      <c r="I1353" t="s">
        <v>16</v>
      </c>
      <c r="K1353" t="s">
        <v>5787</v>
      </c>
      <c r="L1353">
        <v>52</v>
      </c>
      <c r="M1353" t="s">
        <v>5786</v>
      </c>
    </row>
    <row r="1354" spans="1:13" x14ac:dyDescent="0.35">
      <c r="A1354" t="s">
        <v>4233</v>
      </c>
      <c r="B1354">
        <v>1503005</v>
      </c>
      <c r="C1354">
        <v>1503652</v>
      </c>
      <c r="E1354" t="s">
        <v>36</v>
      </c>
      <c r="F1354" t="s">
        <v>40</v>
      </c>
      <c r="H1354">
        <v>29241911</v>
      </c>
      <c r="I1354" t="s">
        <v>16</v>
      </c>
      <c r="K1354" t="s">
        <v>5785</v>
      </c>
      <c r="L1354">
        <v>215</v>
      </c>
      <c r="M1354" t="s">
        <v>5784</v>
      </c>
    </row>
    <row r="1355" spans="1:13" x14ac:dyDescent="0.35">
      <c r="A1355" t="s">
        <v>4233</v>
      </c>
      <c r="B1355">
        <v>1503824</v>
      </c>
      <c r="C1355">
        <v>1504045</v>
      </c>
      <c r="E1355" t="s">
        <v>36</v>
      </c>
      <c r="F1355" t="s">
        <v>5783</v>
      </c>
      <c r="H1355">
        <v>29241912</v>
      </c>
      <c r="I1355" t="s">
        <v>16</v>
      </c>
      <c r="K1355" t="s">
        <v>5782</v>
      </c>
      <c r="L1355">
        <v>73</v>
      </c>
      <c r="M1355" t="s">
        <v>5781</v>
      </c>
    </row>
    <row r="1356" spans="1:13" x14ac:dyDescent="0.35">
      <c r="A1356" t="s">
        <v>4233</v>
      </c>
      <c r="B1356">
        <v>1504038</v>
      </c>
      <c r="C1356">
        <v>1504817</v>
      </c>
      <c r="E1356" t="s">
        <v>36</v>
      </c>
      <c r="F1356" t="s">
        <v>5780</v>
      </c>
      <c r="H1356">
        <v>29241913</v>
      </c>
      <c r="I1356" t="s">
        <v>16</v>
      </c>
      <c r="K1356" t="s">
        <v>5779</v>
      </c>
      <c r="L1356">
        <v>259</v>
      </c>
      <c r="M1356" t="s">
        <v>5778</v>
      </c>
    </row>
    <row r="1357" spans="1:13" x14ac:dyDescent="0.35">
      <c r="A1357" t="s">
        <v>4233</v>
      </c>
      <c r="B1357">
        <v>1504814</v>
      </c>
      <c r="C1357">
        <v>1505461</v>
      </c>
      <c r="E1357" t="s">
        <v>36</v>
      </c>
      <c r="F1357" t="s">
        <v>5775</v>
      </c>
      <c r="H1357">
        <v>93018754</v>
      </c>
      <c r="I1357" t="s">
        <v>16</v>
      </c>
      <c r="K1357" t="s">
        <v>5777</v>
      </c>
      <c r="L1357">
        <v>215</v>
      </c>
      <c r="M1357" t="s">
        <v>5776</v>
      </c>
    </row>
    <row r="1358" spans="1:13" x14ac:dyDescent="0.35">
      <c r="A1358" t="s">
        <v>4233</v>
      </c>
      <c r="B1358">
        <v>1505394</v>
      </c>
      <c r="C1358">
        <v>1505900</v>
      </c>
      <c r="E1358" t="s">
        <v>36</v>
      </c>
      <c r="F1358" t="s">
        <v>5775</v>
      </c>
      <c r="H1358">
        <v>93018755</v>
      </c>
      <c r="I1358" t="s">
        <v>16</v>
      </c>
      <c r="K1358" t="s">
        <v>5774</v>
      </c>
      <c r="L1358">
        <v>168</v>
      </c>
      <c r="M1358" t="s">
        <v>5773</v>
      </c>
    </row>
    <row r="1359" spans="1:13" x14ac:dyDescent="0.35">
      <c r="A1359" t="s">
        <v>4233</v>
      </c>
      <c r="B1359">
        <v>1506109</v>
      </c>
      <c r="C1359">
        <v>1506318</v>
      </c>
      <c r="E1359" t="s">
        <v>36</v>
      </c>
      <c r="F1359" t="s">
        <v>40</v>
      </c>
      <c r="H1359">
        <v>29241915</v>
      </c>
      <c r="I1359" t="s">
        <v>16</v>
      </c>
      <c r="K1359" t="s">
        <v>5772</v>
      </c>
      <c r="L1359">
        <v>69</v>
      </c>
      <c r="M1359" t="s">
        <v>5771</v>
      </c>
    </row>
    <row r="1360" spans="1:13" x14ac:dyDescent="0.35">
      <c r="A1360" t="s">
        <v>4233</v>
      </c>
      <c r="B1360">
        <v>1506315</v>
      </c>
      <c r="C1360">
        <v>1506797</v>
      </c>
      <c r="E1360" t="s">
        <v>36</v>
      </c>
      <c r="F1360" t="s">
        <v>604</v>
      </c>
      <c r="H1360">
        <v>29241916</v>
      </c>
      <c r="I1360" t="s">
        <v>16</v>
      </c>
      <c r="K1360" t="s">
        <v>5770</v>
      </c>
      <c r="L1360">
        <v>160</v>
      </c>
      <c r="M1360" t="s">
        <v>5769</v>
      </c>
    </row>
    <row r="1361" spans="1:13" x14ac:dyDescent="0.35">
      <c r="A1361" t="s">
        <v>4233</v>
      </c>
      <c r="B1361">
        <v>1506818</v>
      </c>
      <c r="C1361">
        <v>1507021</v>
      </c>
      <c r="E1361" t="s">
        <v>36</v>
      </c>
      <c r="F1361" t="s">
        <v>40</v>
      </c>
      <c r="H1361">
        <v>42569814</v>
      </c>
      <c r="I1361" t="s">
        <v>16</v>
      </c>
      <c r="K1361" t="s">
        <v>5768</v>
      </c>
      <c r="L1361">
        <v>67</v>
      </c>
      <c r="M1361" t="s">
        <v>5767</v>
      </c>
    </row>
    <row r="1362" spans="1:13" x14ac:dyDescent="0.35">
      <c r="A1362" t="s">
        <v>4233</v>
      </c>
      <c r="B1362">
        <v>1507118</v>
      </c>
      <c r="C1362">
        <v>1507366</v>
      </c>
      <c r="E1362" t="s">
        <v>36</v>
      </c>
      <c r="F1362" t="s">
        <v>40</v>
      </c>
      <c r="H1362">
        <v>29241917</v>
      </c>
      <c r="I1362" t="s">
        <v>16</v>
      </c>
      <c r="K1362" t="s">
        <v>5766</v>
      </c>
      <c r="L1362">
        <v>82</v>
      </c>
      <c r="M1362" t="s">
        <v>5765</v>
      </c>
    </row>
    <row r="1363" spans="1:13" x14ac:dyDescent="0.35">
      <c r="A1363" t="s">
        <v>4233</v>
      </c>
      <c r="B1363">
        <v>1507354</v>
      </c>
      <c r="C1363">
        <v>1507482</v>
      </c>
      <c r="E1363" t="s">
        <v>36</v>
      </c>
      <c r="F1363" t="s">
        <v>40</v>
      </c>
      <c r="H1363">
        <v>29241918</v>
      </c>
      <c r="I1363" t="s">
        <v>16</v>
      </c>
      <c r="K1363" t="s">
        <v>5764</v>
      </c>
      <c r="L1363">
        <v>42</v>
      </c>
      <c r="M1363" t="s">
        <v>5763</v>
      </c>
    </row>
    <row r="1364" spans="1:13" x14ac:dyDescent="0.35">
      <c r="A1364" t="s">
        <v>4233</v>
      </c>
      <c r="B1364">
        <v>1507599</v>
      </c>
      <c r="C1364">
        <v>1507961</v>
      </c>
      <c r="E1364" t="s">
        <v>13</v>
      </c>
      <c r="F1364" t="s">
        <v>82</v>
      </c>
      <c r="H1364">
        <v>29241919</v>
      </c>
      <c r="I1364" t="s">
        <v>16</v>
      </c>
      <c r="K1364" t="s">
        <v>5762</v>
      </c>
      <c r="L1364">
        <v>120</v>
      </c>
      <c r="M1364" t="s">
        <v>5761</v>
      </c>
    </row>
    <row r="1365" spans="1:13" x14ac:dyDescent="0.35">
      <c r="A1365" t="s">
        <v>4233</v>
      </c>
      <c r="B1365">
        <v>1507924</v>
      </c>
      <c r="C1365">
        <v>1508394</v>
      </c>
      <c r="E1365" t="s">
        <v>13</v>
      </c>
      <c r="F1365" t="s">
        <v>5760</v>
      </c>
      <c r="H1365">
        <v>29241920</v>
      </c>
      <c r="I1365" t="s">
        <v>16</v>
      </c>
      <c r="K1365" t="s">
        <v>5759</v>
      </c>
      <c r="L1365">
        <v>156</v>
      </c>
      <c r="M1365" t="s">
        <v>5758</v>
      </c>
    </row>
    <row r="1366" spans="1:13" x14ac:dyDescent="0.35">
      <c r="A1366" t="s">
        <v>4233</v>
      </c>
      <c r="B1366">
        <v>1508387</v>
      </c>
      <c r="C1366">
        <v>1508974</v>
      </c>
      <c r="E1366" t="s">
        <v>13</v>
      </c>
      <c r="F1366" t="s">
        <v>40</v>
      </c>
      <c r="H1366">
        <v>29241921</v>
      </c>
      <c r="I1366" t="s">
        <v>16</v>
      </c>
      <c r="K1366" t="s">
        <v>5757</v>
      </c>
      <c r="L1366">
        <v>195</v>
      </c>
      <c r="M1366" t="s">
        <v>5756</v>
      </c>
    </row>
    <row r="1367" spans="1:13" x14ac:dyDescent="0.35">
      <c r="A1367" t="s">
        <v>4233</v>
      </c>
      <c r="B1367">
        <v>1509211</v>
      </c>
      <c r="C1367">
        <v>1509723</v>
      </c>
      <c r="E1367" t="s">
        <v>13</v>
      </c>
      <c r="F1367" t="s">
        <v>40</v>
      </c>
      <c r="H1367">
        <v>29241922</v>
      </c>
      <c r="I1367" t="s">
        <v>16</v>
      </c>
      <c r="K1367" t="s">
        <v>5755</v>
      </c>
      <c r="L1367">
        <v>170</v>
      </c>
      <c r="M1367" t="s">
        <v>5754</v>
      </c>
    </row>
    <row r="1368" spans="1:13" x14ac:dyDescent="0.35">
      <c r="A1368" t="s">
        <v>4233</v>
      </c>
      <c r="B1368">
        <v>1509861</v>
      </c>
      <c r="C1368">
        <v>1510257</v>
      </c>
      <c r="E1368" t="s">
        <v>36</v>
      </c>
      <c r="F1368" t="s">
        <v>605</v>
      </c>
      <c r="G1368" t="s">
        <v>606</v>
      </c>
      <c r="H1368">
        <v>29242565</v>
      </c>
      <c r="I1368" t="s">
        <v>343</v>
      </c>
      <c r="M1368" t="s">
        <v>5753</v>
      </c>
    </row>
    <row r="1369" spans="1:13" x14ac:dyDescent="0.35">
      <c r="A1369" t="s">
        <v>4233</v>
      </c>
      <c r="B1369">
        <v>1510393</v>
      </c>
      <c r="C1369">
        <v>1511427</v>
      </c>
      <c r="E1369" t="s">
        <v>36</v>
      </c>
      <c r="F1369" t="s">
        <v>5752</v>
      </c>
      <c r="H1369">
        <v>29241923</v>
      </c>
      <c r="I1369" t="s">
        <v>16</v>
      </c>
      <c r="K1369" t="s">
        <v>5751</v>
      </c>
      <c r="L1369">
        <v>344</v>
      </c>
      <c r="M1369" t="s">
        <v>5750</v>
      </c>
    </row>
    <row r="1370" spans="1:13" x14ac:dyDescent="0.35">
      <c r="A1370" t="s">
        <v>4233</v>
      </c>
      <c r="B1370">
        <v>1511427</v>
      </c>
      <c r="C1370">
        <v>1512965</v>
      </c>
      <c r="E1370" t="s">
        <v>36</v>
      </c>
      <c r="F1370" t="s">
        <v>1160</v>
      </c>
      <c r="G1370" t="s">
        <v>1161</v>
      </c>
      <c r="H1370">
        <v>29241924</v>
      </c>
      <c r="I1370" t="s">
        <v>16</v>
      </c>
      <c r="K1370" t="s">
        <v>5749</v>
      </c>
      <c r="L1370">
        <v>512</v>
      </c>
      <c r="M1370" t="s">
        <v>5748</v>
      </c>
    </row>
    <row r="1371" spans="1:13" x14ac:dyDescent="0.35">
      <c r="A1371" t="s">
        <v>4233</v>
      </c>
      <c r="B1371">
        <v>1513068</v>
      </c>
      <c r="C1371">
        <v>1514240</v>
      </c>
      <c r="E1371" t="s">
        <v>36</v>
      </c>
      <c r="F1371" t="s">
        <v>71</v>
      </c>
      <c r="H1371">
        <v>29241925</v>
      </c>
      <c r="I1371" t="s">
        <v>16</v>
      </c>
      <c r="K1371" t="s">
        <v>5747</v>
      </c>
      <c r="L1371">
        <v>390</v>
      </c>
      <c r="M1371" t="s">
        <v>5746</v>
      </c>
    </row>
    <row r="1372" spans="1:13" x14ac:dyDescent="0.35">
      <c r="A1372" t="s">
        <v>4233</v>
      </c>
      <c r="B1372">
        <v>1514257</v>
      </c>
      <c r="C1372">
        <v>1515474</v>
      </c>
      <c r="E1372" t="s">
        <v>36</v>
      </c>
      <c r="F1372" t="s">
        <v>5745</v>
      </c>
      <c r="G1372" t="s">
        <v>5744</v>
      </c>
      <c r="H1372">
        <v>29241926</v>
      </c>
      <c r="I1372" t="s">
        <v>16</v>
      </c>
      <c r="K1372" t="s">
        <v>5743</v>
      </c>
      <c r="L1372">
        <v>405</v>
      </c>
      <c r="M1372" t="s">
        <v>5742</v>
      </c>
    </row>
    <row r="1373" spans="1:13" x14ac:dyDescent="0.35">
      <c r="A1373" t="s">
        <v>4233</v>
      </c>
      <c r="B1373">
        <v>1515461</v>
      </c>
      <c r="C1373">
        <v>1516906</v>
      </c>
      <c r="E1373" t="s">
        <v>36</v>
      </c>
      <c r="F1373" t="s">
        <v>666</v>
      </c>
      <c r="G1373" t="s">
        <v>667</v>
      </c>
      <c r="H1373">
        <v>29241927</v>
      </c>
      <c r="I1373" t="s">
        <v>16</v>
      </c>
      <c r="K1373" t="s">
        <v>5741</v>
      </c>
      <c r="L1373">
        <v>481</v>
      </c>
      <c r="M1373" t="s">
        <v>5740</v>
      </c>
    </row>
    <row r="1374" spans="1:13" x14ac:dyDescent="0.35">
      <c r="A1374" t="s">
        <v>4233</v>
      </c>
      <c r="B1374">
        <v>1516962</v>
      </c>
      <c r="C1374">
        <v>1518068</v>
      </c>
      <c r="E1374" t="s">
        <v>36</v>
      </c>
      <c r="F1374" t="s">
        <v>662</v>
      </c>
      <c r="G1374" t="s">
        <v>663</v>
      </c>
      <c r="H1374">
        <v>29241928</v>
      </c>
      <c r="I1374" t="s">
        <v>16</v>
      </c>
      <c r="K1374" t="s">
        <v>5739</v>
      </c>
      <c r="L1374">
        <v>368</v>
      </c>
      <c r="M1374" t="s">
        <v>5738</v>
      </c>
    </row>
    <row r="1375" spans="1:13" x14ac:dyDescent="0.35">
      <c r="A1375" t="s">
        <v>4233</v>
      </c>
      <c r="B1375">
        <v>1518112</v>
      </c>
      <c r="C1375">
        <v>1519557</v>
      </c>
      <c r="E1375" t="s">
        <v>36</v>
      </c>
      <c r="F1375" t="s">
        <v>184</v>
      </c>
      <c r="G1375" t="s">
        <v>185</v>
      </c>
      <c r="H1375">
        <v>29241929</v>
      </c>
      <c r="I1375" t="s">
        <v>16</v>
      </c>
      <c r="K1375" t="s">
        <v>5737</v>
      </c>
      <c r="L1375">
        <v>481</v>
      </c>
      <c r="M1375" t="s">
        <v>5736</v>
      </c>
    </row>
    <row r="1376" spans="1:13" x14ac:dyDescent="0.35">
      <c r="A1376" t="s">
        <v>4233</v>
      </c>
      <c r="B1376">
        <v>1519618</v>
      </c>
      <c r="C1376">
        <v>1520490</v>
      </c>
      <c r="E1376" t="s">
        <v>36</v>
      </c>
      <c r="F1376" t="s">
        <v>40</v>
      </c>
      <c r="H1376">
        <v>29241930</v>
      </c>
      <c r="I1376" t="s">
        <v>16</v>
      </c>
      <c r="K1376" t="s">
        <v>5735</v>
      </c>
      <c r="L1376">
        <v>290</v>
      </c>
      <c r="M1376" t="s">
        <v>5734</v>
      </c>
    </row>
    <row r="1377" spans="1:13" x14ac:dyDescent="0.35">
      <c r="A1377" t="s">
        <v>4233</v>
      </c>
      <c r="B1377">
        <v>1520517</v>
      </c>
      <c r="C1377">
        <v>1522307</v>
      </c>
      <c r="E1377" t="s">
        <v>36</v>
      </c>
      <c r="F1377" t="s">
        <v>1086</v>
      </c>
      <c r="H1377">
        <v>29241931</v>
      </c>
      <c r="I1377" t="s">
        <v>16</v>
      </c>
      <c r="K1377" t="s">
        <v>5733</v>
      </c>
      <c r="L1377">
        <v>596</v>
      </c>
      <c r="M1377" t="s">
        <v>5732</v>
      </c>
    </row>
    <row r="1378" spans="1:13" x14ac:dyDescent="0.35">
      <c r="A1378" t="s">
        <v>4233</v>
      </c>
      <c r="B1378">
        <v>1522304</v>
      </c>
      <c r="C1378">
        <v>1522756</v>
      </c>
      <c r="E1378" t="s">
        <v>36</v>
      </c>
      <c r="F1378" t="s">
        <v>40</v>
      </c>
      <c r="H1378">
        <v>29241932</v>
      </c>
      <c r="I1378" t="s">
        <v>16</v>
      </c>
      <c r="K1378" t="s">
        <v>5731</v>
      </c>
      <c r="L1378">
        <v>150</v>
      </c>
      <c r="M1378" t="s">
        <v>5730</v>
      </c>
    </row>
    <row r="1379" spans="1:13" x14ac:dyDescent="0.35">
      <c r="A1379" t="s">
        <v>4233</v>
      </c>
      <c r="B1379">
        <v>1522759</v>
      </c>
      <c r="C1379">
        <v>1523811</v>
      </c>
      <c r="E1379" t="s">
        <v>36</v>
      </c>
      <c r="F1379" t="s">
        <v>658</v>
      </c>
      <c r="G1379" t="s">
        <v>659</v>
      </c>
      <c r="H1379">
        <v>29241933</v>
      </c>
      <c r="I1379" t="s">
        <v>16</v>
      </c>
      <c r="K1379" t="s">
        <v>5729</v>
      </c>
      <c r="L1379">
        <v>350</v>
      </c>
      <c r="M1379" t="s">
        <v>5728</v>
      </c>
    </row>
    <row r="1380" spans="1:13" x14ac:dyDescent="0.35">
      <c r="A1380" t="s">
        <v>4233</v>
      </c>
      <c r="B1380">
        <v>1523811</v>
      </c>
      <c r="C1380">
        <v>1524332</v>
      </c>
      <c r="E1380" t="s">
        <v>36</v>
      </c>
      <c r="F1380" t="s">
        <v>656</v>
      </c>
      <c r="G1380" t="s">
        <v>657</v>
      </c>
      <c r="H1380">
        <v>29241934</v>
      </c>
      <c r="I1380" t="s">
        <v>16</v>
      </c>
      <c r="K1380" t="s">
        <v>5727</v>
      </c>
      <c r="L1380">
        <v>173</v>
      </c>
      <c r="M1380" t="s">
        <v>5726</v>
      </c>
    </row>
    <row r="1381" spans="1:13" x14ac:dyDescent="0.35">
      <c r="A1381" t="s">
        <v>4233</v>
      </c>
      <c r="B1381">
        <v>1524659</v>
      </c>
      <c r="C1381">
        <v>1526938</v>
      </c>
      <c r="E1381" t="s">
        <v>13</v>
      </c>
      <c r="F1381" t="s">
        <v>296</v>
      </c>
      <c r="H1381">
        <v>29241935</v>
      </c>
      <c r="I1381" t="s">
        <v>16</v>
      </c>
      <c r="K1381" t="s">
        <v>5725</v>
      </c>
      <c r="L1381">
        <v>759</v>
      </c>
      <c r="M1381" t="s">
        <v>5724</v>
      </c>
    </row>
    <row r="1382" spans="1:13" x14ac:dyDescent="0.35">
      <c r="A1382" t="s">
        <v>4233</v>
      </c>
      <c r="B1382">
        <v>1526949</v>
      </c>
      <c r="C1382">
        <v>1528148</v>
      </c>
      <c r="E1382" t="s">
        <v>13</v>
      </c>
      <c r="F1382" t="s">
        <v>5723</v>
      </c>
      <c r="G1382" t="s">
        <v>5722</v>
      </c>
      <c r="H1382">
        <v>29241936</v>
      </c>
      <c r="I1382" t="s">
        <v>16</v>
      </c>
      <c r="K1382" t="s">
        <v>5721</v>
      </c>
      <c r="L1382">
        <v>399</v>
      </c>
      <c r="M1382" t="s">
        <v>5720</v>
      </c>
    </row>
    <row r="1383" spans="1:13" x14ac:dyDescent="0.35">
      <c r="A1383" t="s">
        <v>4233</v>
      </c>
      <c r="B1383">
        <v>1528225</v>
      </c>
      <c r="C1383">
        <v>1528665</v>
      </c>
      <c r="E1383" t="s">
        <v>36</v>
      </c>
      <c r="F1383" t="s">
        <v>1116</v>
      </c>
      <c r="G1383" t="s">
        <v>1117</v>
      </c>
      <c r="H1383">
        <v>29241937</v>
      </c>
      <c r="I1383" t="s">
        <v>16</v>
      </c>
      <c r="K1383" t="s">
        <v>5719</v>
      </c>
      <c r="L1383">
        <v>146</v>
      </c>
      <c r="M1383" t="s">
        <v>5718</v>
      </c>
    </row>
    <row r="1384" spans="1:13" x14ac:dyDescent="0.35">
      <c r="A1384" t="s">
        <v>4233</v>
      </c>
      <c r="B1384">
        <v>1528719</v>
      </c>
      <c r="C1384">
        <v>1529102</v>
      </c>
      <c r="E1384" t="s">
        <v>36</v>
      </c>
      <c r="F1384" t="s">
        <v>5717</v>
      </c>
      <c r="H1384">
        <v>29241938</v>
      </c>
      <c r="I1384" t="s">
        <v>16</v>
      </c>
      <c r="K1384" t="s">
        <v>5716</v>
      </c>
      <c r="L1384">
        <v>127</v>
      </c>
      <c r="M1384" t="s">
        <v>5715</v>
      </c>
    </row>
    <row r="1385" spans="1:13" x14ac:dyDescent="0.35">
      <c r="A1385" t="s">
        <v>4233</v>
      </c>
      <c r="B1385">
        <v>1529253</v>
      </c>
      <c r="C1385">
        <v>1529966</v>
      </c>
      <c r="E1385" t="s">
        <v>13</v>
      </c>
      <c r="F1385" t="s">
        <v>943</v>
      </c>
      <c r="G1385" t="s">
        <v>944</v>
      </c>
      <c r="H1385">
        <v>29241939</v>
      </c>
      <c r="I1385" t="s">
        <v>16</v>
      </c>
      <c r="K1385" t="s">
        <v>5714</v>
      </c>
      <c r="L1385">
        <v>237</v>
      </c>
      <c r="M1385" t="s">
        <v>5713</v>
      </c>
    </row>
    <row r="1386" spans="1:13" x14ac:dyDescent="0.35">
      <c r="A1386" t="s">
        <v>4233</v>
      </c>
      <c r="B1386">
        <v>1530117</v>
      </c>
      <c r="C1386">
        <v>1531061</v>
      </c>
      <c r="E1386" t="s">
        <v>13</v>
      </c>
      <c r="F1386" t="s">
        <v>295</v>
      </c>
      <c r="H1386">
        <v>29241940</v>
      </c>
      <c r="I1386" t="s">
        <v>16</v>
      </c>
      <c r="K1386" t="s">
        <v>5712</v>
      </c>
      <c r="L1386">
        <v>314</v>
      </c>
      <c r="M1386" t="s">
        <v>5711</v>
      </c>
    </row>
    <row r="1387" spans="1:13" x14ac:dyDescent="0.35">
      <c r="A1387" t="s">
        <v>4233</v>
      </c>
      <c r="B1387">
        <v>1531315</v>
      </c>
      <c r="C1387">
        <v>1532277</v>
      </c>
      <c r="E1387" t="s">
        <v>36</v>
      </c>
      <c r="F1387" t="s">
        <v>195</v>
      </c>
      <c r="H1387">
        <v>29241941</v>
      </c>
      <c r="I1387" t="s">
        <v>16</v>
      </c>
      <c r="K1387" t="s">
        <v>5710</v>
      </c>
      <c r="L1387">
        <v>320</v>
      </c>
      <c r="M1387" t="s">
        <v>5709</v>
      </c>
    </row>
    <row r="1388" spans="1:13" x14ac:dyDescent="0.35">
      <c r="A1388" t="s">
        <v>4233</v>
      </c>
      <c r="B1388">
        <v>1532462</v>
      </c>
      <c r="C1388">
        <v>1533967</v>
      </c>
      <c r="E1388" t="s">
        <v>36</v>
      </c>
      <c r="F1388" t="s">
        <v>1205</v>
      </c>
      <c r="G1388" t="s">
        <v>1206</v>
      </c>
      <c r="H1388">
        <v>29241942</v>
      </c>
      <c r="I1388" t="s">
        <v>16</v>
      </c>
      <c r="K1388" t="s">
        <v>5708</v>
      </c>
      <c r="L1388">
        <v>501</v>
      </c>
      <c r="M1388" t="s">
        <v>5707</v>
      </c>
    </row>
    <row r="1389" spans="1:13" x14ac:dyDescent="0.35">
      <c r="A1389" t="s">
        <v>4233</v>
      </c>
      <c r="B1389">
        <v>1534091</v>
      </c>
      <c r="C1389">
        <v>1534747</v>
      </c>
      <c r="E1389" t="s">
        <v>13</v>
      </c>
      <c r="F1389" t="s">
        <v>604</v>
      </c>
      <c r="H1389">
        <v>29241943</v>
      </c>
      <c r="I1389" t="s">
        <v>16</v>
      </c>
      <c r="K1389" t="s">
        <v>5706</v>
      </c>
      <c r="L1389">
        <v>218</v>
      </c>
      <c r="M1389" t="s">
        <v>5705</v>
      </c>
    </row>
    <row r="1390" spans="1:13" x14ac:dyDescent="0.35">
      <c r="A1390" t="s">
        <v>4233</v>
      </c>
      <c r="B1390">
        <v>1534737</v>
      </c>
      <c r="C1390">
        <v>1538873</v>
      </c>
      <c r="E1390" t="s">
        <v>13</v>
      </c>
      <c r="F1390" t="s">
        <v>5704</v>
      </c>
      <c r="H1390">
        <v>29241944</v>
      </c>
      <c r="I1390" t="s">
        <v>16</v>
      </c>
      <c r="K1390" t="s">
        <v>5703</v>
      </c>
      <c r="L1390">
        <v>1378</v>
      </c>
      <c r="M1390" t="s">
        <v>5702</v>
      </c>
    </row>
    <row r="1391" spans="1:13" x14ac:dyDescent="0.35">
      <c r="A1391" t="s">
        <v>4233</v>
      </c>
      <c r="B1391">
        <v>1538882</v>
      </c>
      <c r="C1391">
        <v>1540087</v>
      </c>
      <c r="E1391" t="s">
        <v>36</v>
      </c>
      <c r="F1391" t="s">
        <v>121</v>
      </c>
      <c r="H1391">
        <v>29241945</v>
      </c>
      <c r="I1391" t="s">
        <v>16</v>
      </c>
      <c r="K1391" t="s">
        <v>5701</v>
      </c>
      <c r="L1391">
        <v>401</v>
      </c>
      <c r="M1391" t="s">
        <v>5700</v>
      </c>
    </row>
    <row r="1392" spans="1:13" x14ac:dyDescent="0.35">
      <c r="A1392" t="s">
        <v>4233</v>
      </c>
      <c r="B1392">
        <v>1540298</v>
      </c>
      <c r="C1392">
        <v>1541635</v>
      </c>
      <c r="E1392" t="s">
        <v>36</v>
      </c>
      <c r="F1392" t="s">
        <v>1073</v>
      </c>
      <c r="G1392" t="s">
        <v>1074</v>
      </c>
      <c r="H1392">
        <v>29241946</v>
      </c>
      <c r="I1392" t="s">
        <v>16</v>
      </c>
      <c r="K1392" t="s">
        <v>5699</v>
      </c>
      <c r="L1392">
        <v>445</v>
      </c>
      <c r="M1392" t="s">
        <v>5698</v>
      </c>
    </row>
    <row r="1393" spans="1:13" x14ac:dyDescent="0.35">
      <c r="A1393" t="s">
        <v>4233</v>
      </c>
      <c r="B1393">
        <v>1541737</v>
      </c>
      <c r="C1393">
        <v>1543173</v>
      </c>
      <c r="E1393" t="s">
        <v>13</v>
      </c>
      <c r="F1393" t="s">
        <v>5697</v>
      </c>
      <c r="H1393">
        <v>29241947</v>
      </c>
      <c r="I1393" t="s">
        <v>16</v>
      </c>
      <c r="K1393" t="s">
        <v>5696</v>
      </c>
      <c r="L1393">
        <v>478</v>
      </c>
      <c r="M1393" t="s">
        <v>5695</v>
      </c>
    </row>
    <row r="1394" spans="1:13" x14ac:dyDescent="0.35">
      <c r="A1394" t="s">
        <v>4233</v>
      </c>
      <c r="B1394">
        <v>1543341</v>
      </c>
      <c r="C1394">
        <v>1544066</v>
      </c>
      <c r="E1394" t="s">
        <v>36</v>
      </c>
      <c r="F1394" t="s">
        <v>5694</v>
      </c>
      <c r="G1394" t="s">
        <v>985</v>
      </c>
      <c r="H1394">
        <v>29241948</v>
      </c>
      <c r="I1394" t="s">
        <v>16</v>
      </c>
      <c r="K1394" t="s">
        <v>5693</v>
      </c>
      <c r="L1394">
        <v>241</v>
      </c>
      <c r="M1394" t="s">
        <v>5692</v>
      </c>
    </row>
    <row r="1395" spans="1:13" x14ac:dyDescent="0.35">
      <c r="A1395" t="s">
        <v>4233</v>
      </c>
      <c r="B1395">
        <v>1544090</v>
      </c>
      <c r="C1395">
        <v>1544737</v>
      </c>
      <c r="E1395" t="s">
        <v>36</v>
      </c>
      <c r="F1395" t="s">
        <v>5691</v>
      </c>
      <c r="G1395" t="s">
        <v>5690</v>
      </c>
      <c r="H1395">
        <v>29241949</v>
      </c>
      <c r="I1395" t="s">
        <v>16</v>
      </c>
      <c r="K1395" t="s">
        <v>5689</v>
      </c>
      <c r="L1395">
        <v>215</v>
      </c>
      <c r="M1395" t="s">
        <v>5688</v>
      </c>
    </row>
    <row r="1396" spans="1:13" x14ac:dyDescent="0.35">
      <c r="A1396" t="s">
        <v>4233</v>
      </c>
      <c r="B1396">
        <v>1544768</v>
      </c>
      <c r="C1396">
        <v>1545514</v>
      </c>
      <c r="E1396" t="s">
        <v>36</v>
      </c>
      <c r="F1396" t="s">
        <v>40</v>
      </c>
      <c r="H1396">
        <v>29241950</v>
      </c>
      <c r="I1396" t="s">
        <v>16</v>
      </c>
      <c r="K1396" t="s">
        <v>5687</v>
      </c>
      <c r="L1396">
        <v>248</v>
      </c>
      <c r="M1396" t="s">
        <v>5686</v>
      </c>
    </row>
    <row r="1397" spans="1:13" x14ac:dyDescent="0.35">
      <c r="A1397" t="s">
        <v>4233</v>
      </c>
      <c r="B1397">
        <v>1545514</v>
      </c>
      <c r="C1397">
        <v>1546113</v>
      </c>
      <c r="E1397" t="s">
        <v>36</v>
      </c>
      <c r="F1397" t="s">
        <v>5685</v>
      </c>
      <c r="G1397" t="s">
        <v>5684</v>
      </c>
      <c r="H1397">
        <v>29241951</v>
      </c>
      <c r="I1397" t="s">
        <v>16</v>
      </c>
      <c r="K1397" t="s">
        <v>5683</v>
      </c>
      <c r="L1397">
        <v>199</v>
      </c>
      <c r="M1397" t="s">
        <v>5682</v>
      </c>
    </row>
    <row r="1398" spans="1:13" x14ac:dyDescent="0.35">
      <c r="A1398" t="s">
        <v>4233</v>
      </c>
      <c r="B1398">
        <v>1546191</v>
      </c>
      <c r="C1398">
        <v>1547351</v>
      </c>
      <c r="E1398" t="s">
        <v>36</v>
      </c>
      <c r="F1398" t="s">
        <v>5681</v>
      </c>
      <c r="H1398">
        <v>29241952</v>
      </c>
      <c r="I1398" t="s">
        <v>16</v>
      </c>
      <c r="K1398" t="s">
        <v>5680</v>
      </c>
      <c r="L1398">
        <v>386</v>
      </c>
      <c r="M1398" t="s">
        <v>5679</v>
      </c>
    </row>
    <row r="1399" spans="1:13" x14ac:dyDescent="0.35">
      <c r="A1399" t="s">
        <v>4233</v>
      </c>
      <c r="B1399">
        <v>1547348</v>
      </c>
      <c r="C1399">
        <v>1548745</v>
      </c>
      <c r="E1399" t="s">
        <v>36</v>
      </c>
      <c r="F1399" t="s">
        <v>5678</v>
      </c>
      <c r="G1399" t="s">
        <v>5677</v>
      </c>
      <c r="H1399">
        <v>29241953</v>
      </c>
      <c r="I1399" t="s">
        <v>16</v>
      </c>
      <c r="K1399" t="s">
        <v>5676</v>
      </c>
      <c r="L1399">
        <v>465</v>
      </c>
      <c r="M1399" t="s">
        <v>5675</v>
      </c>
    </row>
    <row r="1400" spans="1:13" x14ac:dyDescent="0.35">
      <c r="A1400" t="s">
        <v>4233</v>
      </c>
      <c r="B1400">
        <v>1548833</v>
      </c>
      <c r="C1400">
        <v>1549156</v>
      </c>
      <c r="E1400" t="s">
        <v>36</v>
      </c>
      <c r="F1400" t="s">
        <v>1094</v>
      </c>
      <c r="H1400">
        <v>29241954</v>
      </c>
      <c r="I1400" t="s">
        <v>16</v>
      </c>
      <c r="K1400" t="s">
        <v>5674</v>
      </c>
      <c r="L1400">
        <v>107</v>
      </c>
      <c r="M1400" t="s">
        <v>5673</v>
      </c>
    </row>
    <row r="1401" spans="1:13" x14ac:dyDescent="0.35">
      <c r="A1401" t="s">
        <v>4233</v>
      </c>
      <c r="B1401">
        <v>1549271</v>
      </c>
      <c r="C1401">
        <v>1550098</v>
      </c>
      <c r="E1401" t="s">
        <v>13</v>
      </c>
      <c r="F1401" t="s">
        <v>483</v>
      </c>
      <c r="H1401">
        <v>29241955</v>
      </c>
      <c r="I1401" t="s">
        <v>16</v>
      </c>
      <c r="K1401" t="s">
        <v>5672</v>
      </c>
      <c r="L1401">
        <v>275</v>
      </c>
      <c r="M1401" t="s">
        <v>5671</v>
      </c>
    </row>
    <row r="1402" spans="1:13" x14ac:dyDescent="0.35">
      <c r="A1402" t="s">
        <v>4233</v>
      </c>
      <c r="B1402">
        <v>1550237</v>
      </c>
      <c r="C1402">
        <v>1552588</v>
      </c>
      <c r="E1402" t="s">
        <v>36</v>
      </c>
      <c r="F1402" t="s">
        <v>5670</v>
      </c>
      <c r="H1402">
        <v>29241956</v>
      </c>
      <c r="I1402" t="s">
        <v>16</v>
      </c>
      <c r="K1402" t="s">
        <v>5669</v>
      </c>
      <c r="L1402">
        <v>783</v>
      </c>
      <c r="M1402" t="s">
        <v>5668</v>
      </c>
    </row>
    <row r="1403" spans="1:13" x14ac:dyDescent="0.35">
      <c r="A1403" t="s">
        <v>4233</v>
      </c>
      <c r="B1403">
        <v>1552615</v>
      </c>
      <c r="C1403">
        <v>1553508</v>
      </c>
      <c r="E1403" t="s">
        <v>36</v>
      </c>
      <c r="F1403" t="s">
        <v>4683</v>
      </c>
      <c r="H1403">
        <v>29241957</v>
      </c>
      <c r="I1403" t="s">
        <v>16</v>
      </c>
      <c r="K1403" t="s">
        <v>5667</v>
      </c>
      <c r="L1403">
        <v>297</v>
      </c>
      <c r="M1403" t="s">
        <v>5666</v>
      </c>
    </row>
    <row r="1404" spans="1:13" x14ac:dyDescent="0.35">
      <c r="A1404" t="s">
        <v>4233</v>
      </c>
      <c r="B1404">
        <v>1553505</v>
      </c>
      <c r="C1404">
        <v>1554326</v>
      </c>
      <c r="E1404" t="s">
        <v>36</v>
      </c>
      <c r="F1404" t="s">
        <v>4680</v>
      </c>
      <c r="H1404">
        <v>29241958</v>
      </c>
      <c r="I1404" t="s">
        <v>16</v>
      </c>
      <c r="K1404" t="s">
        <v>5665</v>
      </c>
      <c r="L1404">
        <v>273</v>
      </c>
      <c r="M1404" t="s">
        <v>5664</v>
      </c>
    </row>
    <row r="1405" spans="1:13" x14ac:dyDescent="0.35">
      <c r="A1405" t="s">
        <v>4233</v>
      </c>
      <c r="B1405">
        <v>1554337</v>
      </c>
      <c r="C1405">
        <v>1555128</v>
      </c>
      <c r="E1405" t="s">
        <v>36</v>
      </c>
      <c r="F1405" t="s">
        <v>787</v>
      </c>
      <c r="H1405">
        <v>29241959</v>
      </c>
      <c r="I1405" t="s">
        <v>16</v>
      </c>
      <c r="K1405" t="s">
        <v>5663</v>
      </c>
      <c r="L1405">
        <v>263</v>
      </c>
      <c r="M1405" t="s">
        <v>5662</v>
      </c>
    </row>
    <row r="1406" spans="1:13" x14ac:dyDescent="0.35">
      <c r="A1406" t="s">
        <v>4233</v>
      </c>
      <c r="B1406">
        <v>1555144</v>
      </c>
      <c r="C1406">
        <v>1556019</v>
      </c>
      <c r="E1406" t="s">
        <v>36</v>
      </c>
      <c r="F1406" t="s">
        <v>45</v>
      </c>
      <c r="H1406">
        <v>29241960</v>
      </c>
      <c r="I1406" t="s">
        <v>46</v>
      </c>
      <c r="M1406" t="s">
        <v>5661</v>
      </c>
    </row>
    <row r="1407" spans="1:13" x14ac:dyDescent="0.35">
      <c r="A1407" t="s">
        <v>4233</v>
      </c>
      <c r="B1407">
        <v>1556271</v>
      </c>
      <c r="C1407">
        <v>1556387</v>
      </c>
      <c r="E1407" t="s">
        <v>36</v>
      </c>
      <c r="F1407" t="s">
        <v>67</v>
      </c>
      <c r="G1407" t="s">
        <v>68</v>
      </c>
      <c r="H1407">
        <v>29241961</v>
      </c>
      <c r="I1407" t="s">
        <v>65</v>
      </c>
      <c r="M1407" t="s">
        <v>5660</v>
      </c>
    </row>
    <row r="1408" spans="1:13" x14ac:dyDescent="0.35">
      <c r="A1408" t="s">
        <v>4233</v>
      </c>
      <c r="B1408">
        <v>1556550</v>
      </c>
      <c r="C1408">
        <v>1559614</v>
      </c>
      <c r="E1408" t="s">
        <v>36</v>
      </c>
      <c r="F1408" t="s">
        <v>66</v>
      </c>
      <c r="H1408">
        <v>29241962</v>
      </c>
      <c r="I1408" t="s">
        <v>65</v>
      </c>
      <c r="M1408" t="s">
        <v>5659</v>
      </c>
    </row>
    <row r="1409" spans="1:13" x14ac:dyDescent="0.35">
      <c r="A1409" t="s">
        <v>4233</v>
      </c>
      <c r="B1409">
        <v>1560058</v>
      </c>
      <c r="C1409">
        <v>1561588</v>
      </c>
      <c r="E1409" t="s">
        <v>36</v>
      </c>
      <c r="F1409" t="s">
        <v>64</v>
      </c>
      <c r="H1409">
        <v>29241963</v>
      </c>
      <c r="I1409" t="s">
        <v>65</v>
      </c>
      <c r="M1409" t="s">
        <v>5658</v>
      </c>
    </row>
    <row r="1410" spans="1:13" x14ac:dyDescent="0.35">
      <c r="A1410" t="s">
        <v>4233</v>
      </c>
      <c r="B1410">
        <v>1562135</v>
      </c>
      <c r="C1410">
        <v>1564012</v>
      </c>
      <c r="E1410" t="s">
        <v>36</v>
      </c>
      <c r="F1410" t="s">
        <v>480</v>
      </c>
      <c r="H1410">
        <v>29241964</v>
      </c>
      <c r="I1410" t="s">
        <v>16</v>
      </c>
      <c r="K1410" t="s">
        <v>5657</v>
      </c>
      <c r="L1410">
        <v>625</v>
      </c>
      <c r="M1410" t="s">
        <v>5656</v>
      </c>
    </row>
    <row r="1411" spans="1:13" x14ac:dyDescent="0.35">
      <c r="A1411" t="s">
        <v>4233</v>
      </c>
      <c r="B1411">
        <v>1564190</v>
      </c>
      <c r="C1411">
        <v>1565071</v>
      </c>
      <c r="E1411" t="s">
        <v>36</v>
      </c>
      <c r="F1411" t="s">
        <v>483</v>
      </c>
      <c r="H1411">
        <v>29241965</v>
      </c>
      <c r="I1411" t="s">
        <v>16</v>
      </c>
      <c r="K1411" t="s">
        <v>5655</v>
      </c>
      <c r="L1411">
        <v>293</v>
      </c>
      <c r="M1411" t="s">
        <v>5654</v>
      </c>
    </row>
    <row r="1412" spans="1:13" x14ac:dyDescent="0.35">
      <c r="A1412" t="s">
        <v>4233</v>
      </c>
      <c r="B1412">
        <v>1565162</v>
      </c>
      <c r="C1412">
        <v>1565548</v>
      </c>
      <c r="E1412" t="s">
        <v>36</v>
      </c>
      <c r="F1412" t="s">
        <v>5653</v>
      </c>
      <c r="H1412">
        <v>29241966</v>
      </c>
      <c r="I1412" t="s">
        <v>16</v>
      </c>
      <c r="K1412" t="s">
        <v>5652</v>
      </c>
      <c r="L1412">
        <v>128</v>
      </c>
      <c r="M1412" t="s">
        <v>5651</v>
      </c>
    </row>
    <row r="1413" spans="1:13" x14ac:dyDescent="0.35">
      <c r="A1413" t="s">
        <v>4233</v>
      </c>
      <c r="B1413">
        <v>1565560</v>
      </c>
      <c r="C1413">
        <v>1569117</v>
      </c>
      <c r="E1413" t="s">
        <v>36</v>
      </c>
      <c r="F1413" t="s">
        <v>790</v>
      </c>
      <c r="G1413" t="s">
        <v>5650</v>
      </c>
      <c r="H1413">
        <v>29241967</v>
      </c>
      <c r="I1413" t="s">
        <v>16</v>
      </c>
      <c r="K1413" t="s">
        <v>5649</v>
      </c>
      <c r="L1413">
        <v>1185</v>
      </c>
      <c r="M1413" t="s">
        <v>5648</v>
      </c>
    </row>
    <row r="1414" spans="1:13" x14ac:dyDescent="0.35">
      <c r="A1414" t="s">
        <v>4233</v>
      </c>
      <c r="B1414">
        <v>1569412</v>
      </c>
      <c r="C1414">
        <v>1570461</v>
      </c>
      <c r="E1414" t="s">
        <v>13</v>
      </c>
      <c r="F1414" t="s">
        <v>5647</v>
      </c>
      <c r="H1414">
        <v>29241968</v>
      </c>
      <c r="I1414" t="s">
        <v>16</v>
      </c>
      <c r="K1414" t="s">
        <v>5646</v>
      </c>
      <c r="L1414">
        <v>349</v>
      </c>
      <c r="M1414" t="s">
        <v>5645</v>
      </c>
    </row>
    <row r="1415" spans="1:13" x14ac:dyDescent="0.35">
      <c r="A1415" t="s">
        <v>4233</v>
      </c>
      <c r="B1415">
        <v>1570472</v>
      </c>
      <c r="C1415">
        <v>1571416</v>
      </c>
      <c r="E1415" t="s">
        <v>36</v>
      </c>
      <c r="F1415" t="s">
        <v>528</v>
      </c>
      <c r="H1415">
        <v>29241969</v>
      </c>
      <c r="I1415" t="s">
        <v>16</v>
      </c>
      <c r="K1415" t="s">
        <v>5644</v>
      </c>
      <c r="L1415">
        <v>314</v>
      </c>
      <c r="M1415" t="s">
        <v>5643</v>
      </c>
    </row>
    <row r="1416" spans="1:13" x14ac:dyDescent="0.35">
      <c r="A1416" t="s">
        <v>4233</v>
      </c>
      <c r="B1416">
        <v>1571416</v>
      </c>
      <c r="C1416">
        <v>1571970</v>
      </c>
      <c r="E1416" t="s">
        <v>36</v>
      </c>
      <c r="F1416" t="s">
        <v>851</v>
      </c>
      <c r="G1416" t="s">
        <v>852</v>
      </c>
      <c r="H1416">
        <v>29241970</v>
      </c>
      <c r="I1416" t="s">
        <v>16</v>
      </c>
      <c r="K1416" t="s">
        <v>5642</v>
      </c>
      <c r="L1416">
        <v>184</v>
      </c>
      <c r="M1416" t="s">
        <v>5641</v>
      </c>
    </row>
    <row r="1417" spans="1:13" x14ac:dyDescent="0.35">
      <c r="A1417" t="s">
        <v>4233</v>
      </c>
      <c r="B1417">
        <v>1571987</v>
      </c>
      <c r="C1417">
        <v>1573303</v>
      </c>
      <c r="E1417" t="s">
        <v>36</v>
      </c>
      <c r="F1417" t="s">
        <v>675</v>
      </c>
      <c r="H1417">
        <v>29241971</v>
      </c>
      <c r="I1417" t="s">
        <v>16</v>
      </c>
      <c r="K1417" t="s">
        <v>5640</v>
      </c>
      <c r="L1417">
        <v>438</v>
      </c>
      <c r="M1417" t="s">
        <v>5639</v>
      </c>
    </row>
    <row r="1418" spans="1:13" x14ac:dyDescent="0.35">
      <c r="A1418" t="s">
        <v>4233</v>
      </c>
      <c r="B1418">
        <v>1573444</v>
      </c>
      <c r="C1418">
        <v>1573746</v>
      </c>
      <c r="E1418" t="s">
        <v>36</v>
      </c>
      <c r="F1418" t="s">
        <v>5638</v>
      </c>
      <c r="H1418">
        <v>29241972</v>
      </c>
      <c r="I1418" t="s">
        <v>16</v>
      </c>
      <c r="K1418" t="s">
        <v>5637</v>
      </c>
      <c r="L1418">
        <v>100</v>
      </c>
      <c r="M1418" t="s">
        <v>5636</v>
      </c>
    </row>
    <row r="1419" spans="1:13" x14ac:dyDescent="0.35">
      <c r="A1419" t="s">
        <v>4233</v>
      </c>
      <c r="B1419">
        <v>1573858</v>
      </c>
      <c r="C1419">
        <v>1574334</v>
      </c>
      <c r="E1419" t="s">
        <v>36</v>
      </c>
      <c r="F1419" t="s">
        <v>674</v>
      </c>
      <c r="H1419">
        <v>29241973</v>
      </c>
      <c r="I1419" t="s">
        <v>16</v>
      </c>
      <c r="K1419" t="s">
        <v>5635</v>
      </c>
      <c r="L1419">
        <v>158</v>
      </c>
      <c r="M1419" t="s">
        <v>5634</v>
      </c>
    </row>
    <row r="1420" spans="1:13" x14ac:dyDescent="0.35">
      <c r="A1420" t="s">
        <v>4233</v>
      </c>
      <c r="B1420">
        <v>1574347</v>
      </c>
      <c r="C1420">
        <v>1575549</v>
      </c>
      <c r="E1420" t="s">
        <v>36</v>
      </c>
      <c r="F1420" t="s">
        <v>672</v>
      </c>
      <c r="G1420" t="s">
        <v>673</v>
      </c>
      <c r="H1420">
        <v>29241974</v>
      </c>
      <c r="I1420" t="s">
        <v>16</v>
      </c>
      <c r="K1420" t="s">
        <v>5633</v>
      </c>
      <c r="L1420">
        <v>400</v>
      </c>
      <c r="M1420" t="s">
        <v>5632</v>
      </c>
    </row>
    <row r="1421" spans="1:13" x14ac:dyDescent="0.35">
      <c r="A1421" t="s">
        <v>4233</v>
      </c>
      <c r="B1421">
        <v>1575670</v>
      </c>
      <c r="C1421">
        <v>1576905</v>
      </c>
      <c r="E1421" t="s">
        <v>36</v>
      </c>
      <c r="F1421" t="s">
        <v>211</v>
      </c>
      <c r="G1421" t="s">
        <v>212</v>
      </c>
      <c r="H1421">
        <v>29241975</v>
      </c>
      <c r="I1421" t="s">
        <v>16</v>
      </c>
      <c r="K1421" t="s">
        <v>5631</v>
      </c>
      <c r="L1421">
        <v>411</v>
      </c>
      <c r="M1421" t="s">
        <v>5630</v>
      </c>
    </row>
    <row r="1422" spans="1:13" x14ac:dyDescent="0.35">
      <c r="A1422" t="s">
        <v>4233</v>
      </c>
      <c r="B1422">
        <v>1577048</v>
      </c>
      <c r="C1422">
        <v>1578520</v>
      </c>
      <c r="E1422" t="s">
        <v>36</v>
      </c>
      <c r="F1422" t="s">
        <v>5629</v>
      </c>
      <c r="H1422">
        <v>29241976</v>
      </c>
      <c r="I1422" t="s">
        <v>16</v>
      </c>
      <c r="K1422" t="s">
        <v>5628</v>
      </c>
      <c r="L1422">
        <v>490</v>
      </c>
      <c r="M1422" t="s">
        <v>5627</v>
      </c>
    </row>
    <row r="1423" spans="1:13" x14ac:dyDescent="0.35">
      <c r="A1423" t="s">
        <v>4233</v>
      </c>
      <c r="B1423">
        <v>1578870</v>
      </c>
      <c r="C1423">
        <v>1579814</v>
      </c>
      <c r="E1423" t="s">
        <v>13</v>
      </c>
      <c r="F1423" t="s">
        <v>5626</v>
      </c>
      <c r="H1423">
        <v>29241977</v>
      </c>
      <c r="I1423" t="s">
        <v>16</v>
      </c>
      <c r="K1423" t="s">
        <v>5625</v>
      </c>
      <c r="L1423">
        <v>314</v>
      </c>
      <c r="M1423" t="s">
        <v>5624</v>
      </c>
    </row>
    <row r="1424" spans="1:13" x14ac:dyDescent="0.35">
      <c r="A1424" t="s">
        <v>4233</v>
      </c>
      <c r="B1424">
        <v>1579996</v>
      </c>
      <c r="C1424">
        <v>1582749</v>
      </c>
      <c r="E1424" t="s">
        <v>13</v>
      </c>
      <c r="F1424" t="s">
        <v>5623</v>
      </c>
      <c r="G1424" t="s">
        <v>5622</v>
      </c>
      <c r="H1424">
        <v>29241978</v>
      </c>
      <c r="I1424" t="s">
        <v>16</v>
      </c>
      <c r="K1424" t="s">
        <v>5621</v>
      </c>
      <c r="L1424">
        <v>917</v>
      </c>
      <c r="M1424" t="s">
        <v>5620</v>
      </c>
    </row>
    <row r="1425" spans="1:13" x14ac:dyDescent="0.35">
      <c r="A1425" t="s">
        <v>4233</v>
      </c>
      <c r="B1425">
        <v>1582787</v>
      </c>
      <c r="C1425">
        <v>1583992</v>
      </c>
      <c r="E1425" t="s">
        <v>36</v>
      </c>
      <c r="F1425" t="s">
        <v>5619</v>
      </c>
      <c r="H1425">
        <v>29241979</v>
      </c>
      <c r="I1425" t="s">
        <v>16</v>
      </c>
      <c r="K1425" t="s">
        <v>5618</v>
      </c>
      <c r="L1425">
        <v>401</v>
      </c>
      <c r="M1425" t="s">
        <v>5617</v>
      </c>
    </row>
    <row r="1426" spans="1:13" x14ac:dyDescent="0.35">
      <c r="A1426" t="s">
        <v>4233</v>
      </c>
      <c r="B1426">
        <v>1584119</v>
      </c>
      <c r="C1426">
        <v>1584928</v>
      </c>
      <c r="E1426" t="s">
        <v>13</v>
      </c>
      <c r="F1426" t="s">
        <v>1234</v>
      </c>
      <c r="G1426" t="s">
        <v>1235</v>
      </c>
      <c r="H1426">
        <v>29241980</v>
      </c>
      <c r="I1426" t="s">
        <v>16</v>
      </c>
      <c r="K1426" t="s">
        <v>5616</v>
      </c>
      <c r="L1426">
        <v>269</v>
      </c>
      <c r="M1426" t="s">
        <v>5615</v>
      </c>
    </row>
    <row r="1427" spans="1:13" x14ac:dyDescent="0.35">
      <c r="A1427" t="s">
        <v>4233</v>
      </c>
      <c r="B1427">
        <v>1584992</v>
      </c>
      <c r="C1427">
        <v>1585369</v>
      </c>
      <c r="E1427" t="s">
        <v>13</v>
      </c>
      <c r="F1427" t="s">
        <v>5614</v>
      </c>
      <c r="H1427">
        <v>29241981</v>
      </c>
      <c r="I1427" t="s">
        <v>16</v>
      </c>
      <c r="K1427" t="s">
        <v>5613</v>
      </c>
      <c r="L1427">
        <v>125</v>
      </c>
      <c r="M1427" t="s">
        <v>5612</v>
      </c>
    </row>
    <row r="1428" spans="1:13" x14ac:dyDescent="0.35">
      <c r="A1428" t="s">
        <v>4233</v>
      </c>
      <c r="B1428">
        <v>1585894</v>
      </c>
      <c r="C1428">
        <v>1587273</v>
      </c>
      <c r="E1428" t="s">
        <v>13</v>
      </c>
      <c r="F1428" t="s">
        <v>121</v>
      </c>
      <c r="H1428">
        <v>29241982</v>
      </c>
      <c r="I1428" t="s">
        <v>16</v>
      </c>
      <c r="K1428" t="s">
        <v>5611</v>
      </c>
      <c r="L1428">
        <v>459</v>
      </c>
      <c r="M1428" t="s">
        <v>5610</v>
      </c>
    </row>
    <row r="1429" spans="1:13" x14ac:dyDescent="0.35">
      <c r="A1429" t="s">
        <v>4233</v>
      </c>
      <c r="B1429">
        <v>1587283</v>
      </c>
      <c r="C1429">
        <v>1588695</v>
      </c>
      <c r="E1429" t="s">
        <v>36</v>
      </c>
      <c r="F1429" t="s">
        <v>5609</v>
      </c>
      <c r="G1429" t="s">
        <v>5608</v>
      </c>
      <c r="H1429">
        <v>29241983</v>
      </c>
      <c r="I1429" t="s">
        <v>16</v>
      </c>
      <c r="K1429" t="s">
        <v>5607</v>
      </c>
      <c r="L1429">
        <v>470</v>
      </c>
      <c r="M1429" t="s">
        <v>5606</v>
      </c>
    </row>
    <row r="1430" spans="1:13" x14ac:dyDescent="0.35">
      <c r="A1430" t="s">
        <v>4233</v>
      </c>
      <c r="B1430">
        <v>1588749</v>
      </c>
      <c r="C1430">
        <v>1589441</v>
      </c>
      <c r="E1430" t="s">
        <v>36</v>
      </c>
      <c r="F1430" t="s">
        <v>608</v>
      </c>
      <c r="H1430">
        <v>29241984</v>
      </c>
      <c r="I1430" t="s">
        <v>16</v>
      </c>
      <c r="K1430" t="s">
        <v>5605</v>
      </c>
      <c r="L1430">
        <v>230</v>
      </c>
      <c r="M1430" t="s">
        <v>5604</v>
      </c>
    </row>
    <row r="1431" spans="1:13" x14ac:dyDescent="0.35">
      <c r="A1431" t="s">
        <v>4233</v>
      </c>
      <c r="B1431">
        <v>1589588</v>
      </c>
      <c r="C1431">
        <v>1590604</v>
      </c>
      <c r="E1431" t="s">
        <v>13</v>
      </c>
      <c r="F1431" t="s">
        <v>40</v>
      </c>
      <c r="H1431">
        <v>29241985</v>
      </c>
      <c r="I1431" t="s">
        <v>16</v>
      </c>
      <c r="K1431" t="s">
        <v>5603</v>
      </c>
      <c r="L1431">
        <v>338</v>
      </c>
      <c r="M1431" t="s">
        <v>5602</v>
      </c>
    </row>
    <row r="1432" spans="1:13" x14ac:dyDescent="0.35">
      <c r="A1432" t="s">
        <v>4233</v>
      </c>
      <c r="B1432">
        <v>1590643</v>
      </c>
      <c r="C1432">
        <v>1592076</v>
      </c>
      <c r="E1432" t="s">
        <v>13</v>
      </c>
      <c r="F1432" t="s">
        <v>5601</v>
      </c>
      <c r="G1432" t="s">
        <v>5600</v>
      </c>
      <c r="H1432">
        <v>29241986</v>
      </c>
      <c r="I1432" t="s">
        <v>16</v>
      </c>
      <c r="K1432" t="s">
        <v>5599</v>
      </c>
      <c r="L1432">
        <v>477</v>
      </c>
      <c r="M1432" t="s">
        <v>5598</v>
      </c>
    </row>
    <row r="1433" spans="1:13" x14ac:dyDescent="0.35">
      <c r="A1433" t="s">
        <v>4233</v>
      </c>
      <c r="B1433">
        <v>1592120</v>
      </c>
      <c r="C1433">
        <v>1593160</v>
      </c>
      <c r="E1433" t="s">
        <v>13</v>
      </c>
      <c r="F1433" t="s">
        <v>373</v>
      </c>
      <c r="H1433">
        <v>29241987</v>
      </c>
      <c r="I1433" t="s">
        <v>16</v>
      </c>
      <c r="K1433" t="s">
        <v>5597</v>
      </c>
      <c r="L1433">
        <v>346</v>
      </c>
      <c r="M1433" t="s">
        <v>5596</v>
      </c>
    </row>
    <row r="1434" spans="1:13" x14ac:dyDescent="0.35">
      <c r="A1434" t="s">
        <v>4233</v>
      </c>
      <c r="B1434">
        <v>1593374</v>
      </c>
      <c r="C1434">
        <v>1594699</v>
      </c>
      <c r="E1434" t="s">
        <v>13</v>
      </c>
      <c r="F1434" t="s">
        <v>121</v>
      </c>
      <c r="H1434">
        <v>29241988</v>
      </c>
      <c r="I1434" t="s">
        <v>16</v>
      </c>
      <c r="K1434" t="s">
        <v>5595</v>
      </c>
      <c r="L1434">
        <v>441</v>
      </c>
      <c r="M1434" t="s">
        <v>5594</v>
      </c>
    </row>
    <row r="1435" spans="1:13" x14ac:dyDescent="0.35">
      <c r="A1435" t="s">
        <v>4233</v>
      </c>
      <c r="B1435">
        <v>1594864</v>
      </c>
      <c r="C1435">
        <v>1596420</v>
      </c>
      <c r="E1435" t="s">
        <v>13</v>
      </c>
      <c r="F1435" t="s">
        <v>5593</v>
      </c>
      <c r="H1435">
        <v>29241989</v>
      </c>
      <c r="I1435" t="s">
        <v>16</v>
      </c>
      <c r="K1435" t="s">
        <v>5592</v>
      </c>
      <c r="L1435">
        <v>518</v>
      </c>
      <c r="M1435" t="s">
        <v>5591</v>
      </c>
    </row>
    <row r="1436" spans="1:13" x14ac:dyDescent="0.35">
      <c r="A1436" t="s">
        <v>4233</v>
      </c>
      <c r="B1436">
        <v>1596564</v>
      </c>
      <c r="C1436">
        <v>1597331</v>
      </c>
      <c r="E1436" t="s">
        <v>36</v>
      </c>
      <c r="F1436" t="s">
        <v>5590</v>
      </c>
      <c r="G1436" t="s">
        <v>5589</v>
      </c>
      <c r="H1436">
        <v>29241990</v>
      </c>
      <c r="I1436" t="s">
        <v>16</v>
      </c>
      <c r="K1436" t="s">
        <v>5588</v>
      </c>
      <c r="L1436">
        <v>255</v>
      </c>
      <c r="M1436" t="s">
        <v>5587</v>
      </c>
    </row>
    <row r="1437" spans="1:13" x14ac:dyDescent="0.35">
      <c r="A1437" t="s">
        <v>4233</v>
      </c>
      <c r="B1437">
        <v>1597560</v>
      </c>
      <c r="C1437">
        <v>1598342</v>
      </c>
      <c r="E1437" t="s">
        <v>13</v>
      </c>
      <c r="F1437" t="s">
        <v>737</v>
      </c>
      <c r="H1437">
        <v>29241991</v>
      </c>
      <c r="I1437" t="s">
        <v>16</v>
      </c>
      <c r="K1437" t="s">
        <v>5586</v>
      </c>
      <c r="L1437">
        <v>260</v>
      </c>
      <c r="M1437" t="s">
        <v>5585</v>
      </c>
    </row>
    <row r="1438" spans="1:13" x14ac:dyDescent="0.35">
      <c r="A1438" t="s">
        <v>4233</v>
      </c>
      <c r="B1438">
        <v>1598481</v>
      </c>
      <c r="C1438">
        <v>1599503</v>
      </c>
      <c r="E1438" t="s">
        <v>36</v>
      </c>
      <c r="F1438" t="s">
        <v>945</v>
      </c>
      <c r="H1438">
        <v>29241992</v>
      </c>
      <c r="I1438" t="s">
        <v>16</v>
      </c>
      <c r="K1438" t="s">
        <v>5584</v>
      </c>
      <c r="L1438">
        <v>340</v>
      </c>
      <c r="M1438" t="s">
        <v>5583</v>
      </c>
    </row>
    <row r="1439" spans="1:13" x14ac:dyDescent="0.35">
      <c r="A1439" t="s">
        <v>4233</v>
      </c>
      <c r="B1439">
        <v>1599785</v>
      </c>
      <c r="C1439">
        <v>1600441</v>
      </c>
      <c r="E1439" t="s">
        <v>13</v>
      </c>
      <c r="F1439" t="s">
        <v>44</v>
      </c>
      <c r="H1439">
        <v>29241993</v>
      </c>
      <c r="I1439" t="s">
        <v>16</v>
      </c>
      <c r="K1439" t="s">
        <v>5582</v>
      </c>
      <c r="L1439">
        <v>218</v>
      </c>
      <c r="M1439" t="s">
        <v>5581</v>
      </c>
    </row>
    <row r="1440" spans="1:13" x14ac:dyDescent="0.35">
      <c r="A1440" t="s">
        <v>4233</v>
      </c>
      <c r="B1440">
        <v>1600452</v>
      </c>
      <c r="C1440">
        <v>1602803</v>
      </c>
      <c r="E1440" t="s">
        <v>13</v>
      </c>
      <c r="F1440" t="s">
        <v>283</v>
      </c>
      <c r="H1440">
        <v>29241994</v>
      </c>
      <c r="I1440" t="s">
        <v>16</v>
      </c>
      <c r="K1440" t="s">
        <v>5580</v>
      </c>
      <c r="L1440">
        <v>783</v>
      </c>
      <c r="M1440" t="s">
        <v>5579</v>
      </c>
    </row>
    <row r="1441" spans="1:13" x14ac:dyDescent="0.35">
      <c r="A1441" t="s">
        <v>4233</v>
      </c>
      <c r="B1441">
        <v>1602868</v>
      </c>
      <c r="C1441">
        <v>1603173</v>
      </c>
      <c r="E1441" t="s">
        <v>13</v>
      </c>
      <c r="F1441" t="s">
        <v>5578</v>
      </c>
      <c r="H1441">
        <v>29241995</v>
      </c>
      <c r="I1441" t="s">
        <v>16</v>
      </c>
      <c r="K1441" t="s">
        <v>5577</v>
      </c>
      <c r="L1441">
        <v>101</v>
      </c>
      <c r="M1441" t="s">
        <v>5576</v>
      </c>
    </row>
    <row r="1442" spans="1:13" x14ac:dyDescent="0.35">
      <c r="A1442" t="s">
        <v>4233</v>
      </c>
      <c r="B1442">
        <v>1603259</v>
      </c>
      <c r="C1442">
        <v>1603624</v>
      </c>
      <c r="E1442" t="s">
        <v>36</v>
      </c>
      <c r="F1442" t="s">
        <v>5575</v>
      </c>
      <c r="H1442">
        <v>29241996</v>
      </c>
      <c r="I1442" t="s">
        <v>16</v>
      </c>
      <c r="K1442" t="s">
        <v>5574</v>
      </c>
      <c r="L1442">
        <v>121</v>
      </c>
      <c r="M1442" t="s">
        <v>5573</v>
      </c>
    </row>
    <row r="1443" spans="1:13" x14ac:dyDescent="0.35">
      <c r="A1443" t="s">
        <v>4233</v>
      </c>
      <c r="B1443">
        <v>1604039</v>
      </c>
      <c r="C1443">
        <v>1604422</v>
      </c>
      <c r="E1443" t="s">
        <v>13</v>
      </c>
      <c r="F1443" t="s">
        <v>40</v>
      </c>
      <c r="H1443">
        <v>29241997</v>
      </c>
      <c r="I1443" t="s">
        <v>16</v>
      </c>
      <c r="K1443" t="s">
        <v>5572</v>
      </c>
      <c r="L1443">
        <v>127</v>
      </c>
      <c r="M1443" t="s">
        <v>5571</v>
      </c>
    </row>
    <row r="1444" spans="1:13" x14ac:dyDescent="0.35">
      <c r="A1444" t="s">
        <v>4233</v>
      </c>
      <c r="B1444">
        <v>1604499</v>
      </c>
      <c r="C1444">
        <v>1605485</v>
      </c>
      <c r="E1444" t="s">
        <v>36</v>
      </c>
      <c r="F1444" t="s">
        <v>53</v>
      </c>
      <c r="H1444">
        <v>29241998</v>
      </c>
      <c r="I1444" t="s">
        <v>16</v>
      </c>
      <c r="K1444" t="s">
        <v>5570</v>
      </c>
      <c r="L1444">
        <v>328</v>
      </c>
      <c r="M1444" t="s">
        <v>5569</v>
      </c>
    </row>
    <row r="1445" spans="1:13" x14ac:dyDescent="0.35">
      <c r="A1445" t="s">
        <v>4233</v>
      </c>
      <c r="B1445">
        <v>1605737</v>
      </c>
      <c r="C1445">
        <v>1607197</v>
      </c>
      <c r="E1445" t="s">
        <v>13</v>
      </c>
      <c r="F1445" t="s">
        <v>121</v>
      </c>
      <c r="H1445">
        <v>29241999</v>
      </c>
      <c r="I1445" t="s">
        <v>16</v>
      </c>
      <c r="K1445" t="s">
        <v>5568</v>
      </c>
      <c r="L1445">
        <v>486</v>
      </c>
      <c r="M1445" t="s">
        <v>5567</v>
      </c>
    </row>
    <row r="1446" spans="1:13" x14ac:dyDescent="0.35">
      <c r="A1446" t="s">
        <v>4233</v>
      </c>
      <c r="B1446">
        <v>1607201</v>
      </c>
      <c r="C1446">
        <v>1607623</v>
      </c>
      <c r="E1446" t="s">
        <v>36</v>
      </c>
      <c r="F1446" t="s">
        <v>5566</v>
      </c>
      <c r="H1446">
        <v>29242000</v>
      </c>
      <c r="I1446" t="s">
        <v>16</v>
      </c>
      <c r="K1446" t="s">
        <v>5565</v>
      </c>
      <c r="L1446">
        <v>140</v>
      </c>
      <c r="M1446" t="s">
        <v>5564</v>
      </c>
    </row>
    <row r="1447" spans="1:13" x14ac:dyDescent="0.35">
      <c r="A1447" t="s">
        <v>4233</v>
      </c>
      <c r="B1447">
        <v>1607628</v>
      </c>
      <c r="C1447">
        <v>1607780</v>
      </c>
      <c r="E1447" t="s">
        <v>36</v>
      </c>
      <c r="F1447" t="s">
        <v>40</v>
      </c>
      <c r="H1447">
        <v>55549253</v>
      </c>
      <c r="I1447" t="s">
        <v>16</v>
      </c>
      <c r="K1447" t="s">
        <v>5563</v>
      </c>
      <c r="L1447">
        <v>50</v>
      </c>
      <c r="M1447" t="s">
        <v>5562</v>
      </c>
    </row>
    <row r="1448" spans="1:13" x14ac:dyDescent="0.35">
      <c r="A1448" t="s">
        <v>4233</v>
      </c>
      <c r="B1448">
        <v>1607840</v>
      </c>
      <c r="C1448">
        <v>1609219</v>
      </c>
      <c r="E1448" t="s">
        <v>36</v>
      </c>
      <c r="F1448" t="s">
        <v>644</v>
      </c>
      <c r="H1448">
        <v>29242001</v>
      </c>
      <c r="I1448" t="s">
        <v>16</v>
      </c>
      <c r="K1448" t="s">
        <v>5561</v>
      </c>
      <c r="L1448">
        <v>459</v>
      </c>
      <c r="M1448" t="s">
        <v>5560</v>
      </c>
    </row>
    <row r="1449" spans="1:13" x14ac:dyDescent="0.35">
      <c r="A1449" t="s">
        <v>4233</v>
      </c>
      <c r="B1449">
        <v>1609322</v>
      </c>
      <c r="C1449">
        <v>1611892</v>
      </c>
      <c r="E1449" t="s">
        <v>36</v>
      </c>
      <c r="F1449" t="s">
        <v>5559</v>
      </c>
      <c r="H1449">
        <v>29242002</v>
      </c>
      <c r="I1449" t="s">
        <v>16</v>
      </c>
      <c r="K1449" t="s">
        <v>5558</v>
      </c>
      <c r="L1449">
        <v>856</v>
      </c>
      <c r="M1449" t="s">
        <v>5557</v>
      </c>
    </row>
    <row r="1450" spans="1:13" x14ac:dyDescent="0.35">
      <c r="A1450" t="s">
        <v>4233</v>
      </c>
      <c r="B1450">
        <v>1611980</v>
      </c>
      <c r="C1450">
        <v>1613053</v>
      </c>
      <c r="E1450" t="s">
        <v>36</v>
      </c>
      <c r="F1450" t="s">
        <v>5556</v>
      </c>
      <c r="H1450">
        <v>29242003</v>
      </c>
      <c r="I1450" t="s">
        <v>16</v>
      </c>
      <c r="K1450" t="s">
        <v>5555</v>
      </c>
      <c r="L1450">
        <v>357</v>
      </c>
      <c r="M1450" t="s">
        <v>5554</v>
      </c>
    </row>
    <row r="1451" spans="1:13" x14ac:dyDescent="0.35">
      <c r="A1451" t="s">
        <v>4233</v>
      </c>
      <c r="B1451">
        <v>1613113</v>
      </c>
      <c r="C1451">
        <v>1614594</v>
      </c>
      <c r="E1451" t="s">
        <v>36</v>
      </c>
      <c r="F1451" t="s">
        <v>5553</v>
      </c>
      <c r="H1451">
        <v>29242004</v>
      </c>
      <c r="I1451" t="s">
        <v>16</v>
      </c>
      <c r="K1451" t="s">
        <v>5552</v>
      </c>
      <c r="L1451">
        <v>493</v>
      </c>
      <c r="M1451" t="s">
        <v>5551</v>
      </c>
    </row>
    <row r="1452" spans="1:13" x14ac:dyDescent="0.35">
      <c r="A1452" t="s">
        <v>4233</v>
      </c>
      <c r="B1452">
        <v>1614875</v>
      </c>
      <c r="C1452">
        <v>1615534</v>
      </c>
      <c r="E1452" t="s">
        <v>13</v>
      </c>
      <c r="F1452" t="s">
        <v>5550</v>
      </c>
      <c r="H1452">
        <v>29242005</v>
      </c>
      <c r="I1452" t="s">
        <v>16</v>
      </c>
      <c r="K1452" t="s">
        <v>5549</v>
      </c>
      <c r="L1452">
        <v>219</v>
      </c>
      <c r="M1452" t="s">
        <v>5548</v>
      </c>
    </row>
    <row r="1453" spans="1:13" x14ac:dyDescent="0.35">
      <c r="A1453" t="s">
        <v>4233</v>
      </c>
      <c r="B1453">
        <v>1615518</v>
      </c>
      <c r="C1453">
        <v>1617062</v>
      </c>
      <c r="E1453" t="s">
        <v>36</v>
      </c>
      <c r="F1453" t="s">
        <v>742</v>
      </c>
      <c r="H1453">
        <v>29242006</v>
      </c>
      <c r="I1453" t="s">
        <v>16</v>
      </c>
      <c r="K1453" t="s">
        <v>5547</v>
      </c>
      <c r="L1453">
        <v>514</v>
      </c>
      <c r="M1453" t="s">
        <v>5546</v>
      </c>
    </row>
    <row r="1454" spans="1:13" x14ac:dyDescent="0.35">
      <c r="A1454" t="s">
        <v>4233</v>
      </c>
      <c r="B1454">
        <v>1617158</v>
      </c>
      <c r="C1454">
        <v>1618258</v>
      </c>
      <c r="E1454" t="s">
        <v>36</v>
      </c>
      <c r="F1454" t="s">
        <v>489</v>
      </c>
      <c r="H1454">
        <v>29242007</v>
      </c>
      <c r="I1454" t="s">
        <v>16</v>
      </c>
      <c r="K1454" t="s">
        <v>5545</v>
      </c>
      <c r="L1454">
        <v>366</v>
      </c>
      <c r="M1454" t="s">
        <v>5544</v>
      </c>
    </row>
    <row r="1455" spans="1:13" x14ac:dyDescent="0.35">
      <c r="A1455" t="s">
        <v>4233</v>
      </c>
      <c r="B1455">
        <v>1618264</v>
      </c>
      <c r="C1455">
        <v>1618941</v>
      </c>
      <c r="E1455" t="s">
        <v>36</v>
      </c>
      <c r="F1455" t="s">
        <v>489</v>
      </c>
      <c r="H1455">
        <v>29242008</v>
      </c>
      <c r="I1455" t="s">
        <v>16</v>
      </c>
      <c r="K1455" t="s">
        <v>5543</v>
      </c>
      <c r="L1455">
        <v>225</v>
      </c>
      <c r="M1455" t="s">
        <v>5542</v>
      </c>
    </row>
    <row r="1456" spans="1:13" x14ac:dyDescent="0.35">
      <c r="A1456" t="s">
        <v>4233</v>
      </c>
      <c r="B1456">
        <v>1618941</v>
      </c>
      <c r="C1456">
        <v>1619780</v>
      </c>
      <c r="E1456" t="s">
        <v>36</v>
      </c>
      <c r="F1456" t="s">
        <v>5541</v>
      </c>
      <c r="H1456">
        <v>29242009</v>
      </c>
      <c r="I1456" t="s">
        <v>16</v>
      </c>
      <c r="K1456" t="s">
        <v>5540</v>
      </c>
      <c r="L1456">
        <v>279</v>
      </c>
      <c r="M1456" t="s">
        <v>5539</v>
      </c>
    </row>
    <row r="1457" spans="1:13" x14ac:dyDescent="0.35">
      <c r="A1457" t="s">
        <v>4233</v>
      </c>
      <c r="B1457">
        <v>1619799</v>
      </c>
      <c r="C1457">
        <v>1620641</v>
      </c>
      <c r="E1457" t="s">
        <v>36</v>
      </c>
      <c r="F1457" t="s">
        <v>91</v>
      </c>
      <c r="H1457">
        <v>29242010</v>
      </c>
      <c r="I1457" t="s">
        <v>16</v>
      </c>
      <c r="K1457" t="s">
        <v>5538</v>
      </c>
      <c r="L1457">
        <v>280</v>
      </c>
      <c r="M1457" t="s">
        <v>5537</v>
      </c>
    </row>
    <row r="1458" spans="1:13" x14ac:dyDescent="0.35">
      <c r="A1458" t="s">
        <v>4233</v>
      </c>
      <c r="B1458">
        <v>1620694</v>
      </c>
      <c r="C1458">
        <v>1621245</v>
      </c>
      <c r="E1458" t="s">
        <v>36</v>
      </c>
      <c r="F1458" t="s">
        <v>5536</v>
      </c>
      <c r="H1458">
        <v>29242011</v>
      </c>
      <c r="I1458" t="s">
        <v>16</v>
      </c>
      <c r="K1458" t="s">
        <v>5535</v>
      </c>
      <c r="L1458">
        <v>183</v>
      </c>
      <c r="M1458" t="s">
        <v>5534</v>
      </c>
    </row>
    <row r="1459" spans="1:13" x14ac:dyDescent="0.35">
      <c r="A1459" t="s">
        <v>4233</v>
      </c>
      <c r="B1459">
        <v>1621450</v>
      </c>
      <c r="C1459">
        <v>1623249</v>
      </c>
      <c r="E1459" t="s">
        <v>36</v>
      </c>
      <c r="F1459" t="s">
        <v>774</v>
      </c>
      <c r="G1459" t="s">
        <v>775</v>
      </c>
      <c r="H1459">
        <v>29242012</v>
      </c>
      <c r="I1459" t="s">
        <v>16</v>
      </c>
      <c r="K1459" t="s">
        <v>5533</v>
      </c>
      <c r="L1459">
        <v>599</v>
      </c>
      <c r="M1459" t="s">
        <v>5532</v>
      </c>
    </row>
    <row r="1460" spans="1:13" x14ac:dyDescent="0.35">
      <c r="A1460" t="s">
        <v>4233</v>
      </c>
      <c r="B1460">
        <v>1623285</v>
      </c>
      <c r="C1460">
        <v>1624676</v>
      </c>
      <c r="E1460" t="s">
        <v>36</v>
      </c>
      <c r="F1460" t="s">
        <v>772</v>
      </c>
      <c r="G1460" t="s">
        <v>773</v>
      </c>
      <c r="H1460">
        <v>29242013</v>
      </c>
      <c r="I1460" t="s">
        <v>16</v>
      </c>
      <c r="K1460" t="s">
        <v>5531</v>
      </c>
      <c r="L1460">
        <v>463</v>
      </c>
      <c r="M1460" t="s">
        <v>5530</v>
      </c>
    </row>
    <row r="1461" spans="1:13" x14ac:dyDescent="0.35">
      <c r="A1461" t="s">
        <v>4233</v>
      </c>
      <c r="B1461">
        <v>1624776</v>
      </c>
      <c r="C1461">
        <v>1626221</v>
      </c>
      <c r="E1461" t="s">
        <v>13</v>
      </c>
      <c r="F1461" t="s">
        <v>5529</v>
      </c>
      <c r="H1461">
        <v>29242014</v>
      </c>
      <c r="I1461" t="s">
        <v>16</v>
      </c>
      <c r="K1461" t="s">
        <v>5528</v>
      </c>
      <c r="L1461">
        <v>481</v>
      </c>
      <c r="M1461" t="s">
        <v>5527</v>
      </c>
    </row>
    <row r="1462" spans="1:13" x14ac:dyDescent="0.35">
      <c r="A1462" t="s">
        <v>4233</v>
      </c>
      <c r="B1462">
        <v>1626380</v>
      </c>
      <c r="C1462">
        <v>1628143</v>
      </c>
      <c r="E1462" t="s">
        <v>36</v>
      </c>
      <c r="F1462" t="s">
        <v>411</v>
      </c>
      <c r="H1462">
        <v>29242015</v>
      </c>
      <c r="I1462" t="s">
        <v>16</v>
      </c>
      <c r="K1462" t="s">
        <v>5526</v>
      </c>
      <c r="L1462">
        <v>587</v>
      </c>
      <c r="M1462" t="s">
        <v>5525</v>
      </c>
    </row>
    <row r="1463" spans="1:13" x14ac:dyDescent="0.35">
      <c r="A1463" t="s">
        <v>4233</v>
      </c>
      <c r="B1463">
        <v>1628253</v>
      </c>
      <c r="C1463">
        <v>1629011</v>
      </c>
      <c r="E1463" t="s">
        <v>36</v>
      </c>
      <c r="F1463" t="s">
        <v>5524</v>
      </c>
      <c r="H1463">
        <v>29242016</v>
      </c>
      <c r="I1463" t="s">
        <v>16</v>
      </c>
      <c r="K1463" t="s">
        <v>5523</v>
      </c>
      <c r="L1463">
        <v>252</v>
      </c>
      <c r="M1463" t="s">
        <v>5522</v>
      </c>
    </row>
    <row r="1464" spans="1:13" x14ac:dyDescent="0.35">
      <c r="A1464" t="s">
        <v>4233</v>
      </c>
      <c r="B1464">
        <v>1629119</v>
      </c>
      <c r="C1464">
        <v>1630495</v>
      </c>
      <c r="E1464" t="s">
        <v>36</v>
      </c>
      <c r="F1464" t="s">
        <v>121</v>
      </c>
      <c r="H1464">
        <v>29242017</v>
      </c>
      <c r="I1464" t="s">
        <v>16</v>
      </c>
      <c r="K1464" t="s">
        <v>5521</v>
      </c>
      <c r="L1464">
        <v>458</v>
      </c>
      <c r="M1464" t="s">
        <v>5520</v>
      </c>
    </row>
    <row r="1465" spans="1:13" x14ac:dyDescent="0.35">
      <c r="A1465" t="s">
        <v>4233</v>
      </c>
      <c r="B1465">
        <v>1630530</v>
      </c>
      <c r="C1465">
        <v>1630709</v>
      </c>
      <c r="E1465" t="s">
        <v>13</v>
      </c>
      <c r="F1465" t="s">
        <v>40</v>
      </c>
      <c r="H1465">
        <v>29242018</v>
      </c>
      <c r="I1465" t="s">
        <v>16</v>
      </c>
      <c r="K1465" t="s">
        <v>5519</v>
      </c>
      <c r="L1465">
        <v>59</v>
      </c>
      <c r="M1465" t="s">
        <v>5518</v>
      </c>
    </row>
    <row r="1466" spans="1:13" x14ac:dyDescent="0.35">
      <c r="A1466" t="s">
        <v>4233</v>
      </c>
      <c r="B1466">
        <v>1630683</v>
      </c>
      <c r="C1466">
        <v>1632185</v>
      </c>
      <c r="E1466" t="s">
        <v>36</v>
      </c>
      <c r="F1466" t="s">
        <v>5517</v>
      </c>
      <c r="H1466">
        <v>29242019</v>
      </c>
      <c r="I1466" t="s">
        <v>16</v>
      </c>
      <c r="K1466" t="s">
        <v>5516</v>
      </c>
      <c r="L1466">
        <v>500</v>
      </c>
      <c r="M1466" t="s">
        <v>5515</v>
      </c>
    </row>
    <row r="1467" spans="1:13" x14ac:dyDescent="0.35">
      <c r="A1467" t="s">
        <v>4233</v>
      </c>
      <c r="B1467">
        <v>1632328</v>
      </c>
      <c r="C1467">
        <v>1633650</v>
      </c>
      <c r="E1467" t="s">
        <v>13</v>
      </c>
      <c r="F1467" t="s">
        <v>829</v>
      </c>
      <c r="H1467">
        <v>29242020</v>
      </c>
      <c r="I1467" t="s">
        <v>16</v>
      </c>
      <c r="K1467" t="s">
        <v>5514</v>
      </c>
      <c r="L1467">
        <v>440</v>
      </c>
      <c r="M1467" t="s">
        <v>5513</v>
      </c>
    </row>
    <row r="1468" spans="1:13" x14ac:dyDescent="0.35">
      <c r="A1468" t="s">
        <v>4233</v>
      </c>
      <c r="B1468">
        <v>1633807</v>
      </c>
      <c r="C1468">
        <v>1636416</v>
      </c>
      <c r="E1468" t="s">
        <v>36</v>
      </c>
      <c r="F1468" t="s">
        <v>218</v>
      </c>
      <c r="H1468">
        <v>29242021</v>
      </c>
      <c r="I1468" t="s">
        <v>16</v>
      </c>
      <c r="K1468" t="s">
        <v>5512</v>
      </c>
      <c r="L1468">
        <v>869</v>
      </c>
      <c r="M1468" t="s">
        <v>5511</v>
      </c>
    </row>
    <row r="1469" spans="1:13" x14ac:dyDescent="0.35">
      <c r="A1469" t="s">
        <v>4233</v>
      </c>
      <c r="B1469">
        <v>1636569</v>
      </c>
      <c r="C1469">
        <v>1637532</v>
      </c>
      <c r="E1469" t="s">
        <v>13</v>
      </c>
      <c r="F1469" t="s">
        <v>45</v>
      </c>
      <c r="H1469">
        <v>29242022</v>
      </c>
      <c r="I1469" t="s">
        <v>46</v>
      </c>
      <c r="M1469" t="s">
        <v>5510</v>
      </c>
    </row>
    <row r="1470" spans="1:13" x14ac:dyDescent="0.35">
      <c r="A1470" t="s">
        <v>4233</v>
      </c>
      <c r="B1470">
        <v>1637684</v>
      </c>
      <c r="C1470">
        <v>1638733</v>
      </c>
      <c r="E1470" t="s">
        <v>36</v>
      </c>
      <c r="F1470" t="s">
        <v>5509</v>
      </c>
      <c r="H1470">
        <v>29242023</v>
      </c>
      <c r="I1470" t="s">
        <v>16</v>
      </c>
      <c r="K1470" t="s">
        <v>5508</v>
      </c>
      <c r="L1470">
        <v>349</v>
      </c>
      <c r="M1470" t="s">
        <v>5507</v>
      </c>
    </row>
    <row r="1471" spans="1:13" x14ac:dyDescent="0.35">
      <c r="A1471" t="s">
        <v>4233</v>
      </c>
      <c r="B1471">
        <v>1638742</v>
      </c>
      <c r="C1471">
        <v>1639131</v>
      </c>
      <c r="E1471" t="s">
        <v>36</v>
      </c>
      <c r="F1471" t="s">
        <v>5493</v>
      </c>
      <c r="H1471">
        <v>29242024</v>
      </c>
      <c r="I1471" t="s">
        <v>16</v>
      </c>
      <c r="K1471" t="s">
        <v>5506</v>
      </c>
      <c r="L1471">
        <v>129</v>
      </c>
      <c r="M1471" t="s">
        <v>5505</v>
      </c>
    </row>
    <row r="1472" spans="1:13" x14ac:dyDescent="0.35">
      <c r="A1472" t="s">
        <v>4233</v>
      </c>
      <c r="B1472">
        <v>1639225</v>
      </c>
      <c r="C1472">
        <v>1641183</v>
      </c>
      <c r="E1472" t="s">
        <v>36</v>
      </c>
      <c r="F1472" t="s">
        <v>75</v>
      </c>
      <c r="H1472">
        <v>29242025</v>
      </c>
      <c r="I1472" t="s">
        <v>16</v>
      </c>
      <c r="K1472" t="s">
        <v>5504</v>
      </c>
      <c r="L1472">
        <v>652</v>
      </c>
      <c r="M1472" t="s">
        <v>5503</v>
      </c>
    </row>
    <row r="1473" spans="1:13" x14ac:dyDescent="0.35">
      <c r="A1473" t="s">
        <v>4233</v>
      </c>
      <c r="B1473">
        <v>1641227</v>
      </c>
      <c r="C1473">
        <v>1641958</v>
      </c>
      <c r="E1473" t="s">
        <v>36</v>
      </c>
      <c r="F1473" t="s">
        <v>608</v>
      </c>
      <c r="H1473">
        <v>29242026</v>
      </c>
      <c r="I1473" t="s">
        <v>16</v>
      </c>
      <c r="K1473" t="s">
        <v>5502</v>
      </c>
      <c r="L1473">
        <v>243</v>
      </c>
      <c r="M1473" t="s">
        <v>5501</v>
      </c>
    </row>
    <row r="1474" spans="1:13" x14ac:dyDescent="0.35">
      <c r="A1474" t="s">
        <v>4233</v>
      </c>
      <c r="B1474">
        <v>1641951</v>
      </c>
      <c r="C1474">
        <v>1642646</v>
      </c>
      <c r="E1474" t="s">
        <v>36</v>
      </c>
      <c r="F1474" t="s">
        <v>141</v>
      </c>
      <c r="H1474">
        <v>29242027</v>
      </c>
      <c r="I1474" t="s">
        <v>16</v>
      </c>
      <c r="K1474" t="s">
        <v>5500</v>
      </c>
      <c r="L1474">
        <v>231</v>
      </c>
      <c r="M1474" t="s">
        <v>5499</v>
      </c>
    </row>
    <row r="1475" spans="1:13" x14ac:dyDescent="0.35">
      <c r="A1475" t="s">
        <v>4233</v>
      </c>
      <c r="B1475">
        <v>1642864</v>
      </c>
      <c r="C1475">
        <v>1643154</v>
      </c>
      <c r="E1475" t="s">
        <v>13</v>
      </c>
      <c r="F1475" t="s">
        <v>5498</v>
      </c>
      <c r="H1475">
        <v>29242028</v>
      </c>
      <c r="I1475" t="s">
        <v>16</v>
      </c>
      <c r="K1475" t="s">
        <v>5497</v>
      </c>
      <c r="L1475">
        <v>96</v>
      </c>
      <c r="M1475" t="s">
        <v>5496</v>
      </c>
    </row>
    <row r="1476" spans="1:13" x14ac:dyDescent="0.35">
      <c r="A1476" t="s">
        <v>4233</v>
      </c>
      <c r="B1476">
        <v>1643339</v>
      </c>
      <c r="C1476">
        <v>1644964</v>
      </c>
      <c r="E1476" t="s">
        <v>36</v>
      </c>
      <c r="F1476" t="s">
        <v>380</v>
      </c>
      <c r="G1476" t="s">
        <v>381</v>
      </c>
      <c r="H1476">
        <v>29242029</v>
      </c>
      <c r="I1476" t="s">
        <v>16</v>
      </c>
      <c r="K1476" t="s">
        <v>5495</v>
      </c>
      <c r="L1476">
        <v>541</v>
      </c>
      <c r="M1476" t="s">
        <v>5494</v>
      </c>
    </row>
    <row r="1477" spans="1:13" x14ac:dyDescent="0.35">
      <c r="A1477" t="s">
        <v>4233</v>
      </c>
      <c r="B1477">
        <v>1645203</v>
      </c>
      <c r="C1477">
        <v>1645442</v>
      </c>
      <c r="E1477" t="s">
        <v>36</v>
      </c>
      <c r="F1477" t="s">
        <v>5493</v>
      </c>
      <c r="H1477">
        <v>29242030</v>
      </c>
      <c r="I1477" t="s">
        <v>16</v>
      </c>
      <c r="K1477" t="s">
        <v>5492</v>
      </c>
      <c r="L1477">
        <v>79</v>
      </c>
      <c r="M1477" t="s">
        <v>5491</v>
      </c>
    </row>
    <row r="1478" spans="1:13" x14ac:dyDescent="0.35">
      <c r="A1478" t="s">
        <v>4233</v>
      </c>
      <c r="B1478">
        <v>1645666</v>
      </c>
      <c r="C1478">
        <v>1646322</v>
      </c>
      <c r="E1478" t="s">
        <v>36</v>
      </c>
      <c r="F1478" t="s">
        <v>4265</v>
      </c>
      <c r="H1478">
        <v>29242031</v>
      </c>
      <c r="I1478" t="s">
        <v>16</v>
      </c>
      <c r="K1478" t="s">
        <v>5490</v>
      </c>
      <c r="L1478">
        <v>218</v>
      </c>
      <c r="M1478" t="s">
        <v>5489</v>
      </c>
    </row>
    <row r="1479" spans="1:13" x14ac:dyDescent="0.35">
      <c r="A1479" t="s">
        <v>4233</v>
      </c>
      <c r="B1479">
        <v>1646439</v>
      </c>
      <c r="C1479">
        <v>1647128</v>
      </c>
      <c r="E1479" t="s">
        <v>13</v>
      </c>
      <c r="F1479" t="s">
        <v>580</v>
      </c>
      <c r="H1479">
        <v>29242032</v>
      </c>
      <c r="I1479" t="s">
        <v>16</v>
      </c>
      <c r="K1479" t="s">
        <v>5488</v>
      </c>
      <c r="L1479">
        <v>229</v>
      </c>
      <c r="M1479" t="s">
        <v>5487</v>
      </c>
    </row>
    <row r="1480" spans="1:13" x14ac:dyDescent="0.35">
      <c r="A1480" t="s">
        <v>4233</v>
      </c>
      <c r="B1480">
        <v>1647167</v>
      </c>
      <c r="C1480">
        <v>1648246</v>
      </c>
      <c r="E1480" t="s">
        <v>13</v>
      </c>
      <c r="F1480" t="s">
        <v>5486</v>
      </c>
      <c r="H1480">
        <v>29242033</v>
      </c>
      <c r="I1480" t="s">
        <v>16</v>
      </c>
      <c r="K1480" t="s">
        <v>5485</v>
      </c>
      <c r="L1480">
        <v>359</v>
      </c>
      <c r="M1480" t="s">
        <v>5484</v>
      </c>
    </row>
    <row r="1481" spans="1:13" x14ac:dyDescent="0.35">
      <c r="A1481" t="s">
        <v>4233</v>
      </c>
      <c r="B1481">
        <v>1648243</v>
      </c>
      <c r="C1481">
        <v>1649187</v>
      </c>
      <c r="E1481" t="s">
        <v>13</v>
      </c>
      <c r="F1481" t="s">
        <v>5483</v>
      </c>
      <c r="H1481">
        <v>29242034</v>
      </c>
      <c r="I1481" t="s">
        <v>16</v>
      </c>
      <c r="K1481" t="s">
        <v>5482</v>
      </c>
      <c r="L1481">
        <v>314</v>
      </c>
      <c r="M1481" t="s">
        <v>5481</v>
      </c>
    </row>
    <row r="1482" spans="1:13" x14ac:dyDescent="0.35">
      <c r="A1482" t="s">
        <v>4233</v>
      </c>
      <c r="B1482">
        <v>1649184</v>
      </c>
      <c r="C1482">
        <v>1649726</v>
      </c>
      <c r="E1482" t="s">
        <v>13</v>
      </c>
      <c r="F1482" t="s">
        <v>40</v>
      </c>
      <c r="H1482">
        <v>29242035</v>
      </c>
      <c r="I1482" t="s">
        <v>16</v>
      </c>
      <c r="K1482" t="s">
        <v>5480</v>
      </c>
      <c r="L1482">
        <v>180</v>
      </c>
      <c r="M1482" t="s">
        <v>5479</v>
      </c>
    </row>
    <row r="1483" spans="1:13" x14ac:dyDescent="0.35">
      <c r="A1483" t="s">
        <v>4233</v>
      </c>
      <c r="B1483">
        <v>1649723</v>
      </c>
      <c r="C1483">
        <v>1650781</v>
      </c>
      <c r="E1483" t="s">
        <v>13</v>
      </c>
      <c r="F1483" t="s">
        <v>5476</v>
      </c>
      <c r="H1483">
        <v>29242036</v>
      </c>
      <c r="I1483" t="s">
        <v>16</v>
      </c>
      <c r="K1483" t="s">
        <v>5478</v>
      </c>
      <c r="L1483">
        <v>352</v>
      </c>
      <c r="M1483" t="s">
        <v>5477</v>
      </c>
    </row>
    <row r="1484" spans="1:13" x14ac:dyDescent="0.35">
      <c r="A1484" t="s">
        <v>4233</v>
      </c>
      <c r="B1484">
        <v>1650778</v>
      </c>
      <c r="C1484">
        <v>1651815</v>
      </c>
      <c r="E1484" t="s">
        <v>13</v>
      </c>
      <c r="F1484" t="s">
        <v>5476</v>
      </c>
      <c r="H1484">
        <v>29242037</v>
      </c>
      <c r="I1484" t="s">
        <v>16</v>
      </c>
      <c r="K1484" t="s">
        <v>5475</v>
      </c>
      <c r="L1484">
        <v>345</v>
      </c>
      <c r="M1484" t="s">
        <v>5474</v>
      </c>
    </row>
    <row r="1485" spans="1:13" x14ac:dyDescent="0.35">
      <c r="A1485" t="s">
        <v>4233</v>
      </c>
      <c r="B1485">
        <v>1651812</v>
      </c>
      <c r="C1485">
        <v>1652384</v>
      </c>
      <c r="E1485" t="s">
        <v>13</v>
      </c>
      <c r="F1485" t="s">
        <v>5473</v>
      </c>
      <c r="H1485">
        <v>29242038</v>
      </c>
      <c r="I1485" t="s">
        <v>16</v>
      </c>
      <c r="K1485" t="s">
        <v>5472</v>
      </c>
      <c r="L1485">
        <v>190</v>
      </c>
      <c r="M1485" t="s">
        <v>5471</v>
      </c>
    </row>
    <row r="1486" spans="1:13" x14ac:dyDescent="0.35">
      <c r="A1486" t="s">
        <v>4233</v>
      </c>
      <c r="B1486">
        <v>1652511</v>
      </c>
      <c r="C1486">
        <v>1652819</v>
      </c>
      <c r="E1486" t="s">
        <v>13</v>
      </c>
      <c r="F1486" t="s">
        <v>40</v>
      </c>
      <c r="H1486">
        <v>55549254</v>
      </c>
      <c r="I1486" t="s">
        <v>16</v>
      </c>
      <c r="K1486" t="s">
        <v>5470</v>
      </c>
      <c r="L1486">
        <v>102</v>
      </c>
      <c r="M1486" t="s">
        <v>5469</v>
      </c>
    </row>
    <row r="1487" spans="1:13" x14ac:dyDescent="0.35">
      <c r="A1487" t="s">
        <v>4233</v>
      </c>
      <c r="B1487">
        <v>1652816</v>
      </c>
      <c r="C1487">
        <v>1654396</v>
      </c>
      <c r="E1487" t="s">
        <v>13</v>
      </c>
      <c r="F1487" t="s">
        <v>831</v>
      </c>
      <c r="H1487">
        <v>29242040</v>
      </c>
      <c r="I1487" t="s">
        <v>16</v>
      </c>
      <c r="K1487" t="s">
        <v>5468</v>
      </c>
      <c r="L1487">
        <v>526</v>
      </c>
      <c r="M1487" t="s">
        <v>5467</v>
      </c>
    </row>
    <row r="1488" spans="1:13" x14ac:dyDescent="0.35">
      <c r="A1488" t="s">
        <v>4233</v>
      </c>
      <c r="B1488">
        <v>1654423</v>
      </c>
      <c r="C1488">
        <v>1655067</v>
      </c>
      <c r="E1488" t="s">
        <v>36</v>
      </c>
      <c r="F1488" t="s">
        <v>44</v>
      </c>
      <c r="H1488">
        <v>29242041</v>
      </c>
      <c r="I1488" t="s">
        <v>16</v>
      </c>
      <c r="K1488" t="s">
        <v>5466</v>
      </c>
      <c r="L1488">
        <v>214</v>
      </c>
      <c r="M1488" t="s">
        <v>5465</v>
      </c>
    </row>
    <row r="1489" spans="1:13" x14ac:dyDescent="0.35">
      <c r="A1489" t="s">
        <v>4233</v>
      </c>
      <c r="B1489">
        <v>1655201</v>
      </c>
      <c r="C1489">
        <v>1656637</v>
      </c>
      <c r="E1489" t="s">
        <v>13</v>
      </c>
      <c r="F1489" t="s">
        <v>1240</v>
      </c>
      <c r="G1489" t="s">
        <v>1241</v>
      </c>
      <c r="H1489">
        <v>29242042</v>
      </c>
      <c r="I1489" t="s">
        <v>16</v>
      </c>
      <c r="K1489" t="s">
        <v>5464</v>
      </c>
      <c r="L1489">
        <v>478</v>
      </c>
      <c r="M1489" t="s">
        <v>5463</v>
      </c>
    </row>
    <row r="1490" spans="1:13" x14ac:dyDescent="0.35">
      <c r="A1490" t="s">
        <v>4233</v>
      </c>
      <c r="B1490">
        <v>1656710</v>
      </c>
      <c r="C1490">
        <v>1659274</v>
      </c>
      <c r="E1490" t="s">
        <v>13</v>
      </c>
      <c r="F1490" t="s">
        <v>5462</v>
      </c>
      <c r="H1490">
        <v>29242043</v>
      </c>
      <c r="I1490" t="s">
        <v>16</v>
      </c>
      <c r="K1490" t="s">
        <v>5461</v>
      </c>
      <c r="L1490">
        <v>854</v>
      </c>
      <c r="M1490" t="s">
        <v>5460</v>
      </c>
    </row>
    <row r="1491" spans="1:13" x14ac:dyDescent="0.35">
      <c r="A1491" t="s">
        <v>4233</v>
      </c>
      <c r="B1491">
        <v>1659412</v>
      </c>
      <c r="C1491">
        <v>1659693</v>
      </c>
      <c r="E1491" t="s">
        <v>13</v>
      </c>
      <c r="F1491" t="s">
        <v>806</v>
      </c>
      <c r="H1491">
        <v>29242044</v>
      </c>
      <c r="I1491" t="s">
        <v>16</v>
      </c>
      <c r="K1491" t="s">
        <v>5459</v>
      </c>
      <c r="L1491">
        <v>93</v>
      </c>
      <c r="M1491" t="s">
        <v>5458</v>
      </c>
    </row>
    <row r="1492" spans="1:13" x14ac:dyDescent="0.35">
      <c r="A1492" t="s">
        <v>4233</v>
      </c>
      <c r="B1492">
        <v>1659800</v>
      </c>
      <c r="C1492">
        <v>1661287</v>
      </c>
      <c r="E1492" t="s">
        <v>36</v>
      </c>
      <c r="F1492" t="s">
        <v>5457</v>
      </c>
      <c r="G1492" t="s">
        <v>5456</v>
      </c>
      <c r="H1492">
        <v>29242045</v>
      </c>
      <c r="I1492" t="s">
        <v>16</v>
      </c>
      <c r="K1492" t="s">
        <v>5455</v>
      </c>
      <c r="L1492">
        <v>495</v>
      </c>
      <c r="M1492" t="s">
        <v>5454</v>
      </c>
    </row>
    <row r="1493" spans="1:13" x14ac:dyDescent="0.35">
      <c r="A1493" t="s">
        <v>4233</v>
      </c>
      <c r="B1493">
        <v>1661287</v>
      </c>
      <c r="C1493">
        <v>1661484</v>
      </c>
      <c r="E1493" t="s">
        <v>36</v>
      </c>
      <c r="F1493" t="s">
        <v>5453</v>
      </c>
      <c r="H1493">
        <v>29242046</v>
      </c>
      <c r="I1493" t="s">
        <v>16</v>
      </c>
      <c r="K1493" t="s">
        <v>5452</v>
      </c>
      <c r="L1493">
        <v>65</v>
      </c>
      <c r="M1493" t="s">
        <v>5451</v>
      </c>
    </row>
    <row r="1494" spans="1:13" x14ac:dyDescent="0.35">
      <c r="A1494" t="s">
        <v>4233</v>
      </c>
      <c r="B1494">
        <v>1661594</v>
      </c>
      <c r="C1494">
        <v>1662490</v>
      </c>
      <c r="E1494" t="s">
        <v>36</v>
      </c>
      <c r="F1494" t="s">
        <v>5450</v>
      </c>
      <c r="H1494">
        <v>29242047</v>
      </c>
      <c r="I1494" t="s">
        <v>16</v>
      </c>
      <c r="K1494" t="s">
        <v>5449</v>
      </c>
      <c r="L1494">
        <v>298</v>
      </c>
      <c r="M1494" t="s">
        <v>5448</v>
      </c>
    </row>
    <row r="1495" spans="1:13" x14ac:dyDescent="0.35">
      <c r="A1495" t="s">
        <v>4233</v>
      </c>
      <c r="B1495">
        <v>1662502</v>
      </c>
      <c r="C1495">
        <v>1664166</v>
      </c>
      <c r="E1495" t="s">
        <v>36</v>
      </c>
      <c r="F1495" t="s">
        <v>5447</v>
      </c>
      <c r="G1495" t="s">
        <v>5446</v>
      </c>
      <c r="H1495">
        <v>29242048</v>
      </c>
      <c r="I1495" t="s">
        <v>16</v>
      </c>
      <c r="K1495" t="s">
        <v>5445</v>
      </c>
      <c r="L1495">
        <v>554</v>
      </c>
      <c r="M1495" t="s">
        <v>5444</v>
      </c>
    </row>
    <row r="1496" spans="1:13" x14ac:dyDescent="0.35">
      <c r="A1496" t="s">
        <v>4233</v>
      </c>
      <c r="B1496">
        <v>1664278</v>
      </c>
      <c r="C1496">
        <v>1664994</v>
      </c>
      <c r="E1496" t="s">
        <v>36</v>
      </c>
      <c r="F1496" t="s">
        <v>5443</v>
      </c>
      <c r="G1496" t="s">
        <v>5442</v>
      </c>
      <c r="H1496">
        <v>29242049</v>
      </c>
      <c r="I1496" t="s">
        <v>16</v>
      </c>
      <c r="K1496" t="s">
        <v>5441</v>
      </c>
      <c r="L1496">
        <v>238</v>
      </c>
      <c r="M1496" t="s">
        <v>5440</v>
      </c>
    </row>
    <row r="1497" spans="1:13" x14ac:dyDescent="0.35">
      <c r="A1497" t="s">
        <v>4233</v>
      </c>
      <c r="B1497">
        <v>1665172</v>
      </c>
      <c r="C1497">
        <v>1666290</v>
      </c>
      <c r="E1497" t="s">
        <v>36</v>
      </c>
      <c r="F1497" t="s">
        <v>5439</v>
      </c>
      <c r="H1497">
        <v>29242050</v>
      </c>
      <c r="I1497" t="s">
        <v>16</v>
      </c>
      <c r="K1497" t="s">
        <v>5438</v>
      </c>
      <c r="L1497">
        <v>372</v>
      </c>
      <c r="M1497" t="s">
        <v>5437</v>
      </c>
    </row>
    <row r="1498" spans="1:13" x14ac:dyDescent="0.35">
      <c r="A1498" t="s">
        <v>4233</v>
      </c>
      <c r="B1498">
        <v>1666342</v>
      </c>
      <c r="C1498">
        <v>1666653</v>
      </c>
      <c r="E1498" t="s">
        <v>36</v>
      </c>
      <c r="F1498" t="s">
        <v>5436</v>
      </c>
      <c r="H1498">
        <v>29242051</v>
      </c>
      <c r="I1498" t="s">
        <v>16</v>
      </c>
      <c r="K1498" t="s">
        <v>5435</v>
      </c>
      <c r="L1498">
        <v>103</v>
      </c>
      <c r="M1498" t="s">
        <v>5434</v>
      </c>
    </row>
    <row r="1499" spans="1:13" x14ac:dyDescent="0.35">
      <c r="A1499" t="s">
        <v>4233</v>
      </c>
      <c r="B1499">
        <v>1666704</v>
      </c>
      <c r="C1499">
        <v>1667174</v>
      </c>
      <c r="E1499" t="s">
        <v>36</v>
      </c>
      <c r="F1499" t="s">
        <v>107</v>
      </c>
      <c r="H1499">
        <v>29242052</v>
      </c>
      <c r="I1499" t="s">
        <v>16</v>
      </c>
      <c r="K1499" t="s">
        <v>5433</v>
      </c>
      <c r="L1499">
        <v>156</v>
      </c>
      <c r="M1499" t="s">
        <v>5432</v>
      </c>
    </row>
    <row r="1500" spans="1:13" x14ac:dyDescent="0.35">
      <c r="A1500" t="s">
        <v>4233</v>
      </c>
      <c r="B1500">
        <v>1667218</v>
      </c>
      <c r="C1500">
        <v>1667646</v>
      </c>
      <c r="E1500" t="s">
        <v>36</v>
      </c>
      <c r="F1500" t="s">
        <v>107</v>
      </c>
      <c r="H1500">
        <v>29242053</v>
      </c>
      <c r="I1500" t="s">
        <v>16</v>
      </c>
      <c r="K1500" t="s">
        <v>5431</v>
      </c>
      <c r="L1500">
        <v>142</v>
      </c>
      <c r="M1500" t="s">
        <v>5430</v>
      </c>
    </row>
    <row r="1501" spans="1:13" x14ac:dyDescent="0.35">
      <c r="A1501" t="s">
        <v>4233</v>
      </c>
      <c r="B1501">
        <v>1667643</v>
      </c>
      <c r="C1501">
        <v>1669136</v>
      </c>
      <c r="E1501" t="s">
        <v>36</v>
      </c>
      <c r="F1501" t="s">
        <v>601</v>
      </c>
      <c r="H1501">
        <v>29242054</v>
      </c>
      <c r="I1501" t="s">
        <v>16</v>
      </c>
      <c r="K1501" t="s">
        <v>5429</v>
      </c>
      <c r="L1501">
        <v>497</v>
      </c>
      <c r="M1501" t="s">
        <v>5428</v>
      </c>
    </row>
    <row r="1502" spans="1:13" x14ac:dyDescent="0.35">
      <c r="A1502" t="s">
        <v>4233</v>
      </c>
      <c r="B1502">
        <v>1669380</v>
      </c>
      <c r="C1502">
        <v>1670093</v>
      </c>
      <c r="E1502" t="s">
        <v>13</v>
      </c>
      <c r="F1502" t="s">
        <v>655</v>
      </c>
      <c r="H1502">
        <v>29242055</v>
      </c>
      <c r="I1502" t="s">
        <v>16</v>
      </c>
      <c r="K1502" t="s">
        <v>5427</v>
      </c>
      <c r="L1502">
        <v>237</v>
      </c>
      <c r="M1502" t="s">
        <v>5426</v>
      </c>
    </row>
    <row r="1503" spans="1:13" x14ac:dyDescent="0.35">
      <c r="A1503" t="s">
        <v>4233</v>
      </c>
      <c r="B1503">
        <v>1670153</v>
      </c>
      <c r="C1503">
        <v>1671712</v>
      </c>
      <c r="E1503" t="s">
        <v>36</v>
      </c>
      <c r="F1503" t="s">
        <v>45</v>
      </c>
      <c r="G1503" t="s">
        <v>5425</v>
      </c>
      <c r="H1503">
        <v>29242056</v>
      </c>
      <c r="I1503" t="s">
        <v>46</v>
      </c>
      <c r="M1503" t="s">
        <v>5424</v>
      </c>
    </row>
    <row r="1504" spans="1:13" x14ac:dyDescent="0.35">
      <c r="A1504" t="s">
        <v>4233</v>
      </c>
      <c r="B1504">
        <v>1671781</v>
      </c>
      <c r="C1504">
        <v>1672476</v>
      </c>
      <c r="E1504" t="s">
        <v>36</v>
      </c>
      <c r="F1504" t="s">
        <v>782</v>
      </c>
      <c r="H1504">
        <v>29242057</v>
      </c>
      <c r="I1504" t="s">
        <v>16</v>
      </c>
      <c r="K1504" t="s">
        <v>5423</v>
      </c>
      <c r="L1504">
        <v>231</v>
      </c>
      <c r="M1504" t="s">
        <v>5422</v>
      </c>
    </row>
    <row r="1505" spans="1:13" x14ac:dyDescent="0.35">
      <c r="A1505" t="s">
        <v>4233</v>
      </c>
      <c r="B1505">
        <v>1672527</v>
      </c>
      <c r="C1505">
        <v>1673249</v>
      </c>
      <c r="E1505" t="s">
        <v>13</v>
      </c>
      <c r="F1505" t="s">
        <v>5421</v>
      </c>
      <c r="G1505" t="s">
        <v>5420</v>
      </c>
      <c r="H1505">
        <v>29242058</v>
      </c>
      <c r="I1505" t="s">
        <v>16</v>
      </c>
      <c r="K1505" t="s">
        <v>5419</v>
      </c>
      <c r="L1505">
        <v>240</v>
      </c>
      <c r="M1505" t="s">
        <v>5418</v>
      </c>
    </row>
    <row r="1506" spans="1:13" x14ac:dyDescent="0.35">
      <c r="A1506" t="s">
        <v>4233</v>
      </c>
      <c r="B1506">
        <v>1673297</v>
      </c>
      <c r="C1506">
        <v>1675606</v>
      </c>
      <c r="E1506" t="s">
        <v>13</v>
      </c>
      <c r="F1506" t="s">
        <v>984</v>
      </c>
      <c r="H1506">
        <v>29242059</v>
      </c>
      <c r="I1506" t="s">
        <v>16</v>
      </c>
      <c r="K1506" t="s">
        <v>5417</v>
      </c>
      <c r="L1506">
        <v>769</v>
      </c>
      <c r="M1506" t="s">
        <v>5416</v>
      </c>
    </row>
    <row r="1507" spans="1:13" x14ac:dyDescent="0.35">
      <c r="A1507" t="s">
        <v>4233</v>
      </c>
      <c r="B1507">
        <v>1675851</v>
      </c>
      <c r="C1507">
        <v>1676555</v>
      </c>
      <c r="E1507" t="s">
        <v>13</v>
      </c>
      <c r="F1507" t="s">
        <v>655</v>
      </c>
      <c r="H1507">
        <v>29242060</v>
      </c>
      <c r="I1507" t="s">
        <v>16</v>
      </c>
      <c r="K1507" t="s">
        <v>5415</v>
      </c>
      <c r="L1507">
        <v>234</v>
      </c>
      <c r="M1507" t="s">
        <v>5414</v>
      </c>
    </row>
    <row r="1508" spans="1:13" x14ac:dyDescent="0.35">
      <c r="A1508" t="s">
        <v>4233</v>
      </c>
      <c r="B1508">
        <v>1676694</v>
      </c>
      <c r="C1508">
        <v>1677707</v>
      </c>
      <c r="E1508" t="s">
        <v>13</v>
      </c>
      <c r="F1508" t="s">
        <v>980</v>
      </c>
      <c r="G1508" t="s">
        <v>981</v>
      </c>
      <c r="H1508">
        <v>29242061</v>
      </c>
      <c r="I1508" t="s">
        <v>16</v>
      </c>
      <c r="K1508" t="s">
        <v>5413</v>
      </c>
      <c r="L1508">
        <v>337</v>
      </c>
      <c r="M1508" t="s">
        <v>5412</v>
      </c>
    </row>
    <row r="1509" spans="1:13" x14ac:dyDescent="0.35">
      <c r="A1509" t="s">
        <v>4233</v>
      </c>
      <c r="B1509">
        <v>1678004</v>
      </c>
      <c r="C1509">
        <v>1679866</v>
      </c>
      <c r="E1509" t="s">
        <v>36</v>
      </c>
      <c r="F1509" t="s">
        <v>5411</v>
      </c>
      <c r="G1509" t="s">
        <v>5410</v>
      </c>
      <c r="H1509">
        <v>29242062</v>
      </c>
      <c r="I1509" t="s">
        <v>16</v>
      </c>
      <c r="K1509" t="s">
        <v>5409</v>
      </c>
      <c r="L1509">
        <v>620</v>
      </c>
      <c r="M1509" t="s">
        <v>5408</v>
      </c>
    </row>
    <row r="1510" spans="1:13" x14ac:dyDescent="0.35">
      <c r="A1510" t="s">
        <v>4233</v>
      </c>
      <c r="B1510">
        <v>1680033</v>
      </c>
      <c r="C1510">
        <v>1680317</v>
      </c>
      <c r="E1510" t="s">
        <v>13</v>
      </c>
      <c r="F1510" t="s">
        <v>986</v>
      </c>
      <c r="G1510" t="s">
        <v>987</v>
      </c>
      <c r="H1510">
        <v>29242063</v>
      </c>
      <c r="I1510" t="s">
        <v>16</v>
      </c>
      <c r="K1510" t="s">
        <v>5407</v>
      </c>
      <c r="L1510">
        <v>94</v>
      </c>
      <c r="M1510" t="s">
        <v>5406</v>
      </c>
    </row>
    <row r="1511" spans="1:13" x14ac:dyDescent="0.35">
      <c r="A1511" t="s">
        <v>4233</v>
      </c>
      <c r="B1511">
        <v>1680603</v>
      </c>
      <c r="C1511">
        <v>1681823</v>
      </c>
      <c r="E1511" t="s">
        <v>13</v>
      </c>
      <c r="F1511" t="s">
        <v>1180</v>
      </c>
      <c r="G1511" t="s">
        <v>1181</v>
      </c>
      <c r="H1511">
        <v>29242064</v>
      </c>
      <c r="I1511" t="s">
        <v>16</v>
      </c>
      <c r="K1511" t="s">
        <v>5405</v>
      </c>
      <c r="L1511">
        <v>406</v>
      </c>
      <c r="M1511" t="s">
        <v>5404</v>
      </c>
    </row>
    <row r="1512" spans="1:13" x14ac:dyDescent="0.35">
      <c r="A1512" t="s">
        <v>4233</v>
      </c>
      <c r="B1512">
        <v>1682072</v>
      </c>
      <c r="C1512">
        <v>1682923</v>
      </c>
      <c r="E1512" t="s">
        <v>36</v>
      </c>
      <c r="F1512" t="s">
        <v>5397</v>
      </c>
      <c r="H1512">
        <v>29242566</v>
      </c>
      <c r="I1512" t="s">
        <v>16</v>
      </c>
      <c r="K1512" t="s">
        <v>5403</v>
      </c>
      <c r="L1512">
        <v>283</v>
      </c>
      <c r="M1512" t="s">
        <v>5402</v>
      </c>
    </row>
    <row r="1513" spans="1:13" x14ac:dyDescent="0.35">
      <c r="A1513" t="s">
        <v>4233</v>
      </c>
      <c r="B1513">
        <v>1683015</v>
      </c>
      <c r="C1513">
        <v>1683974</v>
      </c>
      <c r="E1513" t="s">
        <v>13</v>
      </c>
      <c r="F1513" t="s">
        <v>816</v>
      </c>
      <c r="G1513" t="s">
        <v>817</v>
      </c>
      <c r="H1513">
        <v>29242065</v>
      </c>
      <c r="I1513" t="s">
        <v>16</v>
      </c>
      <c r="K1513" t="s">
        <v>5401</v>
      </c>
      <c r="L1513">
        <v>319</v>
      </c>
      <c r="M1513" t="s">
        <v>5400</v>
      </c>
    </row>
    <row r="1514" spans="1:13" x14ac:dyDescent="0.35">
      <c r="A1514" t="s">
        <v>4233</v>
      </c>
      <c r="B1514">
        <v>1683971</v>
      </c>
      <c r="C1514">
        <v>1685062</v>
      </c>
      <c r="E1514" t="s">
        <v>13</v>
      </c>
      <c r="F1514" t="s">
        <v>5397</v>
      </c>
      <c r="H1514">
        <v>29242066</v>
      </c>
      <c r="I1514" t="s">
        <v>16</v>
      </c>
      <c r="K1514" t="s">
        <v>5399</v>
      </c>
      <c r="L1514">
        <v>363</v>
      </c>
      <c r="M1514" t="s">
        <v>5398</v>
      </c>
    </row>
    <row r="1515" spans="1:13" x14ac:dyDescent="0.35">
      <c r="A1515" t="s">
        <v>4233</v>
      </c>
      <c r="B1515">
        <v>1685025</v>
      </c>
      <c r="C1515">
        <v>1685528</v>
      </c>
      <c r="E1515" t="s">
        <v>36</v>
      </c>
      <c r="F1515" t="s">
        <v>5397</v>
      </c>
      <c r="H1515">
        <v>31600500</v>
      </c>
      <c r="I1515" t="s">
        <v>16</v>
      </c>
      <c r="K1515" t="s">
        <v>5396</v>
      </c>
      <c r="L1515">
        <v>167</v>
      </c>
      <c r="M1515" t="s">
        <v>5395</v>
      </c>
    </row>
    <row r="1516" spans="1:13" x14ac:dyDescent="0.35">
      <c r="A1516" t="s">
        <v>4233</v>
      </c>
      <c r="B1516">
        <v>1685518</v>
      </c>
      <c r="C1516">
        <v>1687026</v>
      </c>
      <c r="E1516" t="s">
        <v>36</v>
      </c>
      <c r="F1516" t="s">
        <v>5394</v>
      </c>
      <c r="H1516">
        <v>29242067</v>
      </c>
      <c r="I1516" t="s">
        <v>16</v>
      </c>
      <c r="K1516" t="s">
        <v>5393</v>
      </c>
      <c r="L1516">
        <v>502</v>
      </c>
      <c r="M1516" t="s">
        <v>5392</v>
      </c>
    </row>
    <row r="1517" spans="1:13" x14ac:dyDescent="0.35">
      <c r="A1517" t="s">
        <v>4233</v>
      </c>
      <c r="B1517">
        <v>1687052</v>
      </c>
      <c r="C1517">
        <v>1690108</v>
      </c>
      <c r="E1517" t="s">
        <v>36</v>
      </c>
      <c r="F1517" t="s">
        <v>5391</v>
      </c>
      <c r="H1517">
        <v>29242068</v>
      </c>
      <c r="I1517" t="s">
        <v>16</v>
      </c>
      <c r="K1517" t="s">
        <v>5390</v>
      </c>
      <c r="L1517">
        <v>1018</v>
      </c>
      <c r="M1517" t="s">
        <v>5389</v>
      </c>
    </row>
    <row r="1518" spans="1:13" x14ac:dyDescent="0.35">
      <c r="A1518" t="s">
        <v>4233</v>
      </c>
      <c r="B1518">
        <v>1690488</v>
      </c>
      <c r="C1518">
        <v>1690919</v>
      </c>
      <c r="E1518" t="s">
        <v>13</v>
      </c>
      <c r="F1518" t="s">
        <v>5388</v>
      </c>
      <c r="H1518">
        <v>29242069</v>
      </c>
      <c r="I1518" t="s">
        <v>16</v>
      </c>
      <c r="K1518" t="s">
        <v>5387</v>
      </c>
      <c r="L1518">
        <v>143</v>
      </c>
      <c r="M1518" t="s">
        <v>5386</v>
      </c>
    </row>
    <row r="1519" spans="1:13" x14ac:dyDescent="0.35">
      <c r="A1519" t="s">
        <v>4233</v>
      </c>
      <c r="B1519">
        <v>1690913</v>
      </c>
      <c r="C1519">
        <v>1691740</v>
      </c>
      <c r="E1519" t="s">
        <v>36</v>
      </c>
      <c r="F1519" t="s">
        <v>5385</v>
      </c>
      <c r="H1519">
        <v>29242070</v>
      </c>
      <c r="I1519" t="s">
        <v>16</v>
      </c>
      <c r="K1519" t="s">
        <v>5384</v>
      </c>
      <c r="L1519">
        <v>275</v>
      </c>
      <c r="M1519" t="s">
        <v>5383</v>
      </c>
    </row>
    <row r="1520" spans="1:13" x14ac:dyDescent="0.35">
      <c r="A1520" t="s">
        <v>4233</v>
      </c>
      <c r="B1520">
        <v>1691811</v>
      </c>
      <c r="C1520">
        <v>1692929</v>
      </c>
      <c r="E1520" t="s">
        <v>36</v>
      </c>
      <c r="F1520" t="s">
        <v>73</v>
      </c>
      <c r="H1520">
        <v>29242071</v>
      </c>
      <c r="I1520" t="s">
        <v>16</v>
      </c>
      <c r="K1520" t="s">
        <v>5382</v>
      </c>
      <c r="L1520">
        <v>372</v>
      </c>
      <c r="M1520" t="s">
        <v>5381</v>
      </c>
    </row>
    <row r="1521" spans="1:13" x14ac:dyDescent="0.35">
      <c r="A1521" t="s">
        <v>4233</v>
      </c>
      <c r="B1521">
        <v>1692926</v>
      </c>
      <c r="C1521">
        <v>1693852</v>
      </c>
      <c r="E1521" t="s">
        <v>36</v>
      </c>
      <c r="F1521" t="s">
        <v>133</v>
      </c>
      <c r="H1521">
        <v>29242072</v>
      </c>
      <c r="I1521" t="s">
        <v>16</v>
      </c>
      <c r="K1521" t="s">
        <v>5380</v>
      </c>
      <c r="L1521">
        <v>308</v>
      </c>
      <c r="M1521" t="s">
        <v>5379</v>
      </c>
    </row>
    <row r="1522" spans="1:13" x14ac:dyDescent="0.35">
      <c r="A1522" t="s">
        <v>4233</v>
      </c>
      <c r="B1522">
        <v>1693840</v>
      </c>
      <c r="C1522">
        <v>1694742</v>
      </c>
      <c r="E1522" t="s">
        <v>36</v>
      </c>
      <c r="F1522" t="s">
        <v>5378</v>
      </c>
      <c r="H1522">
        <v>29242073</v>
      </c>
      <c r="I1522" t="s">
        <v>16</v>
      </c>
      <c r="K1522" t="s">
        <v>5377</v>
      </c>
      <c r="L1522">
        <v>300</v>
      </c>
      <c r="M1522" t="s">
        <v>5376</v>
      </c>
    </row>
    <row r="1523" spans="1:13" x14ac:dyDescent="0.35">
      <c r="A1523" t="s">
        <v>4233</v>
      </c>
      <c r="B1523">
        <v>1694779</v>
      </c>
      <c r="C1523">
        <v>1695903</v>
      </c>
      <c r="E1523" t="s">
        <v>36</v>
      </c>
      <c r="F1523" t="s">
        <v>590</v>
      </c>
      <c r="H1523">
        <v>29242074</v>
      </c>
      <c r="I1523" t="s">
        <v>16</v>
      </c>
      <c r="K1523" t="s">
        <v>5375</v>
      </c>
      <c r="L1523">
        <v>374</v>
      </c>
      <c r="M1523" t="s">
        <v>5374</v>
      </c>
    </row>
    <row r="1524" spans="1:13" x14ac:dyDescent="0.35">
      <c r="A1524" t="s">
        <v>4233</v>
      </c>
      <c r="B1524">
        <v>1696447</v>
      </c>
      <c r="C1524">
        <v>1699755</v>
      </c>
      <c r="E1524" t="s">
        <v>36</v>
      </c>
      <c r="F1524" t="s">
        <v>5373</v>
      </c>
      <c r="G1524" t="s">
        <v>676</v>
      </c>
      <c r="H1524">
        <v>29242075</v>
      </c>
      <c r="I1524" t="s">
        <v>16</v>
      </c>
      <c r="K1524" t="s">
        <v>5372</v>
      </c>
      <c r="L1524">
        <v>1102</v>
      </c>
      <c r="M1524" t="s">
        <v>5371</v>
      </c>
    </row>
    <row r="1525" spans="1:13" x14ac:dyDescent="0.35">
      <c r="A1525" t="s">
        <v>4233</v>
      </c>
      <c r="B1525">
        <v>1700428</v>
      </c>
      <c r="C1525">
        <v>1701396</v>
      </c>
      <c r="E1525" t="s">
        <v>36</v>
      </c>
      <c r="F1525" t="s">
        <v>491</v>
      </c>
      <c r="H1525">
        <v>29242076</v>
      </c>
      <c r="I1525" t="s">
        <v>16</v>
      </c>
      <c r="K1525" t="s">
        <v>5370</v>
      </c>
      <c r="L1525">
        <v>322</v>
      </c>
      <c r="M1525" t="s">
        <v>5369</v>
      </c>
    </row>
    <row r="1526" spans="1:13" x14ac:dyDescent="0.35">
      <c r="A1526" t="s">
        <v>4233</v>
      </c>
      <c r="B1526">
        <v>1701622</v>
      </c>
      <c r="C1526">
        <v>1703052</v>
      </c>
      <c r="E1526" t="s">
        <v>36</v>
      </c>
      <c r="F1526" t="s">
        <v>5368</v>
      </c>
      <c r="G1526" t="s">
        <v>5367</v>
      </c>
      <c r="H1526">
        <v>29242077</v>
      </c>
      <c r="I1526" t="s">
        <v>16</v>
      </c>
      <c r="K1526" t="s">
        <v>5366</v>
      </c>
      <c r="L1526">
        <v>476</v>
      </c>
      <c r="M1526" t="s">
        <v>5365</v>
      </c>
    </row>
    <row r="1527" spans="1:13" x14ac:dyDescent="0.35">
      <c r="A1527" t="s">
        <v>4233</v>
      </c>
      <c r="B1527">
        <v>1703154</v>
      </c>
      <c r="C1527">
        <v>1704074</v>
      </c>
      <c r="E1527" t="s">
        <v>36</v>
      </c>
      <c r="F1527" t="s">
        <v>5364</v>
      </c>
      <c r="G1527" t="s">
        <v>5363</v>
      </c>
      <c r="H1527">
        <v>29242078</v>
      </c>
      <c r="I1527" t="s">
        <v>16</v>
      </c>
      <c r="K1527" t="s">
        <v>5362</v>
      </c>
      <c r="L1527">
        <v>306</v>
      </c>
      <c r="M1527" t="s">
        <v>5361</v>
      </c>
    </row>
    <row r="1528" spans="1:13" x14ac:dyDescent="0.35">
      <c r="A1528" t="s">
        <v>4233</v>
      </c>
      <c r="B1528">
        <v>1704139</v>
      </c>
      <c r="C1528">
        <v>1704600</v>
      </c>
      <c r="E1528" t="s">
        <v>36</v>
      </c>
      <c r="F1528" t="s">
        <v>177</v>
      </c>
      <c r="H1528">
        <v>29242079</v>
      </c>
      <c r="I1528" t="s">
        <v>16</v>
      </c>
      <c r="K1528" t="s">
        <v>5360</v>
      </c>
      <c r="L1528">
        <v>153</v>
      </c>
      <c r="M1528" t="s">
        <v>5359</v>
      </c>
    </row>
    <row r="1529" spans="1:13" x14ac:dyDescent="0.35">
      <c r="A1529" t="s">
        <v>4233</v>
      </c>
      <c r="B1529">
        <v>1704788</v>
      </c>
      <c r="C1529">
        <v>1705813</v>
      </c>
      <c r="E1529" t="s">
        <v>36</v>
      </c>
      <c r="F1529" t="s">
        <v>410</v>
      </c>
      <c r="H1529">
        <v>29242080</v>
      </c>
      <c r="I1529" t="s">
        <v>16</v>
      </c>
      <c r="K1529" t="s">
        <v>5358</v>
      </c>
      <c r="L1529">
        <v>341</v>
      </c>
      <c r="M1529" t="s">
        <v>5357</v>
      </c>
    </row>
    <row r="1530" spans="1:13" x14ac:dyDescent="0.35">
      <c r="A1530" t="s">
        <v>4233</v>
      </c>
      <c r="B1530">
        <v>1705993</v>
      </c>
      <c r="C1530">
        <v>1708008</v>
      </c>
      <c r="E1530" t="s">
        <v>36</v>
      </c>
      <c r="F1530" t="s">
        <v>73</v>
      </c>
      <c r="H1530">
        <v>29242081</v>
      </c>
      <c r="I1530" t="s">
        <v>16</v>
      </c>
      <c r="K1530" t="s">
        <v>5356</v>
      </c>
      <c r="L1530">
        <v>671</v>
      </c>
      <c r="M1530" t="s">
        <v>5355</v>
      </c>
    </row>
    <row r="1531" spans="1:13" x14ac:dyDescent="0.35">
      <c r="A1531" t="s">
        <v>4233</v>
      </c>
      <c r="B1531">
        <v>1708005</v>
      </c>
      <c r="C1531">
        <v>1709966</v>
      </c>
      <c r="E1531" t="s">
        <v>36</v>
      </c>
      <c r="F1531" t="s">
        <v>73</v>
      </c>
      <c r="H1531">
        <v>29242082</v>
      </c>
      <c r="I1531" t="s">
        <v>16</v>
      </c>
      <c r="K1531" t="s">
        <v>5354</v>
      </c>
      <c r="L1531">
        <v>653</v>
      </c>
      <c r="M1531" t="s">
        <v>5353</v>
      </c>
    </row>
    <row r="1532" spans="1:13" x14ac:dyDescent="0.35">
      <c r="A1532" t="s">
        <v>4233</v>
      </c>
      <c r="B1532">
        <v>1709963</v>
      </c>
      <c r="C1532">
        <v>1710496</v>
      </c>
      <c r="E1532" t="s">
        <v>36</v>
      </c>
      <c r="F1532" t="s">
        <v>850</v>
      </c>
      <c r="H1532">
        <v>29242083</v>
      </c>
      <c r="I1532" t="s">
        <v>16</v>
      </c>
      <c r="K1532" t="s">
        <v>5352</v>
      </c>
      <c r="L1532">
        <v>177</v>
      </c>
      <c r="M1532" t="s">
        <v>5351</v>
      </c>
    </row>
    <row r="1533" spans="1:13" x14ac:dyDescent="0.35">
      <c r="A1533" t="s">
        <v>4233</v>
      </c>
      <c r="B1533">
        <v>1710707</v>
      </c>
      <c r="C1533">
        <v>1712980</v>
      </c>
      <c r="E1533" t="s">
        <v>36</v>
      </c>
      <c r="F1533" t="s">
        <v>5350</v>
      </c>
      <c r="H1533">
        <v>29242084</v>
      </c>
      <c r="I1533" t="s">
        <v>16</v>
      </c>
      <c r="K1533" t="s">
        <v>5349</v>
      </c>
      <c r="L1533">
        <v>757</v>
      </c>
      <c r="M1533" t="s">
        <v>5348</v>
      </c>
    </row>
    <row r="1534" spans="1:13" x14ac:dyDescent="0.35">
      <c r="A1534" t="s">
        <v>4233</v>
      </c>
      <c r="B1534">
        <v>1713227</v>
      </c>
      <c r="C1534">
        <v>1713814</v>
      </c>
      <c r="E1534" t="s">
        <v>13</v>
      </c>
      <c r="F1534" t="s">
        <v>100</v>
      </c>
      <c r="H1534">
        <v>29242085</v>
      </c>
      <c r="I1534" t="s">
        <v>16</v>
      </c>
      <c r="K1534" t="s">
        <v>5347</v>
      </c>
      <c r="L1534">
        <v>195</v>
      </c>
      <c r="M1534" t="s">
        <v>5346</v>
      </c>
    </row>
    <row r="1535" spans="1:13" x14ac:dyDescent="0.35">
      <c r="A1535" t="s">
        <v>4233</v>
      </c>
      <c r="B1535">
        <v>1714031</v>
      </c>
      <c r="C1535">
        <v>1715299</v>
      </c>
      <c r="E1535" t="s">
        <v>36</v>
      </c>
      <c r="F1535" t="s">
        <v>5345</v>
      </c>
      <c r="H1535">
        <v>29242086</v>
      </c>
      <c r="I1535" t="s">
        <v>16</v>
      </c>
      <c r="K1535" t="s">
        <v>5344</v>
      </c>
      <c r="L1535">
        <v>422</v>
      </c>
      <c r="M1535" t="s">
        <v>5343</v>
      </c>
    </row>
    <row r="1536" spans="1:13" x14ac:dyDescent="0.35">
      <c r="A1536" t="s">
        <v>4233</v>
      </c>
      <c r="B1536">
        <v>1715314</v>
      </c>
      <c r="C1536">
        <v>1715715</v>
      </c>
      <c r="E1536" t="s">
        <v>36</v>
      </c>
      <c r="F1536" t="s">
        <v>5342</v>
      </c>
      <c r="H1536">
        <v>29242087</v>
      </c>
      <c r="I1536" t="s">
        <v>16</v>
      </c>
      <c r="K1536" t="s">
        <v>5341</v>
      </c>
      <c r="L1536">
        <v>133</v>
      </c>
      <c r="M1536" t="s">
        <v>5340</v>
      </c>
    </row>
    <row r="1537" spans="1:13" x14ac:dyDescent="0.35">
      <c r="A1537" t="s">
        <v>4233</v>
      </c>
      <c r="B1537">
        <v>1715702</v>
      </c>
      <c r="C1537">
        <v>1715989</v>
      </c>
      <c r="E1537" t="s">
        <v>36</v>
      </c>
      <c r="F1537" t="s">
        <v>5339</v>
      </c>
      <c r="H1537">
        <v>29242088</v>
      </c>
      <c r="I1537" t="s">
        <v>16</v>
      </c>
      <c r="K1537" t="s">
        <v>5338</v>
      </c>
      <c r="L1537">
        <v>95</v>
      </c>
      <c r="M1537" t="s">
        <v>5337</v>
      </c>
    </row>
    <row r="1538" spans="1:13" x14ac:dyDescent="0.35">
      <c r="A1538" t="s">
        <v>4233</v>
      </c>
      <c r="B1538">
        <v>1716170</v>
      </c>
      <c r="C1538">
        <v>1716421</v>
      </c>
      <c r="E1538" t="s">
        <v>13</v>
      </c>
      <c r="F1538" t="s">
        <v>40</v>
      </c>
      <c r="H1538">
        <v>55549255</v>
      </c>
      <c r="I1538" t="s">
        <v>16</v>
      </c>
      <c r="K1538" t="s">
        <v>5336</v>
      </c>
      <c r="L1538">
        <v>83</v>
      </c>
      <c r="M1538" t="s">
        <v>5335</v>
      </c>
    </row>
    <row r="1539" spans="1:13" x14ac:dyDescent="0.35">
      <c r="A1539" t="s">
        <v>4233</v>
      </c>
      <c r="B1539">
        <v>1716427</v>
      </c>
      <c r="C1539">
        <v>1718790</v>
      </c>
      <c r="E1539" t="s">
        <v>36</v>
      </c>
      <c r="F1539" t="s">
        <v>5334</v>
      </c>
      <c r="H1539">
        <v>29242089</v>
      </c>
      <c r="I1539" t="s">
        <v>16</v>
      </c>
      <c r="K1539" t="s">
        <v>5333</v>
      </c>
      <c r="L1539">
        <v>787</v>
      </c>
      <c r="M1539" t="s">
        <v>5332</v>
      </c>
    </row>
    <row r="1540" spans="1:13" x14ac:dyDescent="0.35">
      <c r="A1540" t="s">
        <v>4233</v>
      </c>
      <c r="B1540">
        <v>1718986</v>
      </c>
      <c r="C1540">
        <v>1719717</v>
      </c>
      <c r="E1540" t="s">
        <v>36</v>
      </c>
      <c r="F1540" t="s">
        <v>100</v>
      </c>
      <c r="H1540">
        <v>29242090</v>
      </c>
      <c r="I1540" t="s">
        <v>16</v>
      </c>
      <c r="K1540" t="s">
        <v>5331</v>
      </c>
      <c r="L1540">
        <v>243</v>
      </c>
      <c r="M1540" t="s">
        <v>5330</v>
      </c>
    </row>
    <row r="1541" spans="1:13" x14ac:dyDescent="0.35">
      <c r="A1541" t="s">
        <v>4233</v>
      </c>
      <c r="B1541">
        <v>1719777</v>
      </c>
      <c r="C1541">
        <v>1721054</v>
      </c>
      <c r="E1541" t="s">
        <v>36</v>
      </c>
      <c r="F1541" t="s">
        <v>5329</v>
      </c>
      <c r="H1541">
        <v>29242091</v>
      </c>
      <c r="I1541" t="s">
        <v>16</v>
      </c>
      <c r="K1541" t="s">
        <v>5328</v>
      </c>
      <c r="L1541">
        <v>425</v>
      </c>
      <c r="M1541" t="s">
        <v>5327</v>
      </c>
    </row>
    <row r="1542" spans="1:13" x14ac:dyDescent="0.35">
      <c r="A1542" t="s">
        <v>4233</v>
      </c>
      <c r="B1542">
        <v>1721222</v>
      </c>
      <c r="C1542">
        <v>1726336</v>
      </c>
      <c r="E1542" t="s">
        <v>36</v>
      </c>
      <c r="F1542" t="s">
        <v>5326</v>
      </c>
      <c r="H1542">
        <v>29242092</v>
      </c>
      <c r="I1542" t="s">
        <v>16</v>
      </c>
      <c r="K1542" t="s">
        <v>5325</v>
      </c>
      <c r="L1542">
        <v>1704</v>
      </c>
      <c r="M1542" t="s">
        <v>5324</v>
      </c>
    </row>
    <row r="1543" spans="1:13" x14ac:dyDescent="0.35">
      <c r="A1543" t="s">
        <v>4233</v>
      </c>
      <c r="B1543">
        <v>1726563</v>
      </c>
      <c r="C1543">
        <v>1727285</v>
      </c>
      <c r="E1543" t="s">
        <v>36</v>
      </c>
      <c r="F1543" t="s">
        <v>119</v>
      </c>
      <c r="G1543" t="s">
        <v>120</v>
      </c>
      <c r="H1543">
        <v>29242093</v>
      </c>
      <c r="I1543" t="s">
        <v>16</v>
      </c>
      <c r="K1543" t="s">
        <v>5323</v>
      </c>
      <c r="L1543">
        <v>240</v>
      </c>
      <c r="M1543" t="s">
        <v>5322</v>
      </c>
    </row>
    <row r="1544" spans="1:13" x14ac:dyDescent="0.35">
      <c r="A1544" t="s">
        <v>4233</v>
      </c>
      <c r="B1544">
        <v>1727434</v>
      </c>
      <c r="C1544">
        <v>1729842</v>
      </c>
      <c r="E1544" t="s">
        <v>36</v>
      </c>
      <c r="F1544" t="s">
        <v>115</v>
      </c>
      <c r="G1544" t="s">
        <v>116</v>
      </c>
      <c r="H1544">
        <v>29242094</v>
      </c>
      <c r="I1544" t="s">
        <v>16</v>
      </c>
      <c r="K1544" t="s">
        <v>5321</v>
      </c>
      <c r="L1544">
        <v>802</v>
      </c>
      <c r="M1544" t="s">
        <v>5320</v>
      </c>
    </row>
    <row r="1545" spans="1:13" x14ac:dyDescent="0.35">
      <c r="A1545" t="s">
        <v>4233</v>
      </c>
      <c r="B1545">
        <v>1730256</v>
      </c>
      <c r="C1545">
        <v>1731611</v>
      </c>
      <c r="E1545" t="s">
        <v>13</v>
      </c>
      <c r="F1545" t="s">
        <v>996</v>
      </c>
      <c r="G1545" t="s">
        <v>997</v>
      </c>
      <c r="H1545">
        <v>29242095</v>
      </c>
      <c r="I1545" t="s">
        <v>16</v>
      </c>
      <c r="K1545" t="s">
        <v>5319</v>
      </c>
      <c r="L1545">
        <v>451</v>
      </c>
      <c r="M1545" t="s">
        <v>5318</v>
      </c>
    </row>
    <row r="1546" spans="1:13" x14ac:dyDescent="0.35">
      <c r="A1546" t="s">
        <v>4233</v>
      </c>
      <c r="B1546">
        <v>1731673</v>
      </c>
      <c r="C1546">
        <v>1731957</v>
      </c>
      <c r="E1546" t="s">
        <v>13</v>
      </c>
      <c r="F1546" t="s">
        <v>995</v>
      </c>
      <c r="H1546">
        <v>29242096</v>
      </c>
      <c r="I1546" t="s">
        <v>16</v>
      </c>
      <c r="K1546" t="s">
        <v>5317</v>
      </c>
      <c r="L1546">
        <v>94</v>
      </c>
      <c r="M1546" t="s">
        <v>5316</v>
      </c>
    </row>
    <row r="1547" spans="1:13" x14ac:dyDescent="0.35">
      <c r="A1547" t="s">
        <v>4233</v>
      </c>
      <c r="B1547">
        <v>1732024</v>
      </c>
      <c r="C1547">
        <v>1732548</v>
      </c>
      <c r="E1547" t="s">
        <v>13</v>
      </c>
      <c r="F1547" t="s">
        <v>1226</v>
      </c>
      <c r="H1547">
        <v>29242097</v>
      </c>
      <c r="I1547" t="s">
        <v>16</v>
      </c>
      <c r="K1547" t="s">
        <v>5315</v>
      </c>
      <c r="L1547">
        <v>174</v>
      </c>
      <c r="M1547" t="s">
        <v>5314</v>
      </c>
    </row>
    <row r="1548" spans="1:13" x14ac:dyDescent="0.35">
      <c r="A1548" t="s">
        <v>4233</v>
      </c>
      <c r="B1548">
        <v>1732684</v>
      </c>
      <c r="C1548">
        <v>1734540</v>
      </c>
      <c r="E1548" t="s">
        <v>36</v>
      </c>
      <c r="F1548" t="s">
        <v>5313</v>
      </c>
      <c r="H1548">
        <v>29242098</v>
      </c>
      <c r="I1548" t="s">
        <v>16</v>
      </c>
      <c r="K1548" t="s">
        <v>5312</v>
      </c>
      <c r="L1548">
        <v>618</v>
      </c>
      <c r="M1548" t="s">
        <v>5311</v>
      </c>
    </row>
    <row r="1549" spans="1:13" x14ac:dyDescent="0.35">
      <c r="A1549" t="s">
        <v>4233</v>
      </c>
      <c r="B1549">
        <v>1734677</v>
      </c>
      <c r="C1549">
        <v>1735183</v>
      </c>
      <c r="E1549" t="s">
        <v>36</v>
      </c>
      <c r="F1549" t="s">
        <v>5310</v>
      </c>
      <c r="G1549" t="s">
        <v>404</v>
      </c>
      <c r="H1549">
        <v>29242099</v>
      </c>
      <c r="I1549" t="s">
        <v>16</v>
      </c>
      <c r="K1549" t="s">
        <v>5309</v>
      </c>
      <c r="L1549">
        <v>168</v>
      </c>
      <c r="M1549" t="s">
        <v>5308</v>
      </c>
    </row>
    <row r="1550" spans="1:13" x14ac:dyDescent="0.35">
      <c r="A1550" t="s">
        <v>4233</v>
      </c>
      <c r="B1550">
        <v>1735371</v>
      </c>
      <c r="C1550">
        <v>1735799</v>
      </c>
      <c r="E1550" t="s">
        <v>36</v>
      </c>
      <c r="F1550" t="s">
        <v>106</v>
      </c>
      <c r="H1550">
        <v>29242100</v>
      </c>
      <c r="I1550" t="s">
        <v>16</v>
      </c>
      <c r="K1550" t="s">
        <v>5307</v>
      </c>
      <c r="L1550">
        <v>142</v>
      </c>
      <c r="M1550" t="s">
        <v>5306</v>
      </c>
    </row>
    <row r="1551" spans="1:13" x14ac:dyDescent="0.35">
      <c r="A1551" t="s">
        <v>4233</v>
      </c>
      <c r="B1551">
        <v>1735891</v>
      </c>
      <c r="C1551">
        <v>1735963</v>
      </c>
      <c r="E1551" t="s">
        <v>36</v>
      </c>
      <c r="F1551" t="s">
        <v>417</v>
      </c>
      <c r="H1551">
        <v>29242101</v>
      </c>
      <c r="I1551" t="s">
        <v>39</v>
      </c>
      <c r="M1551" t="s">
        <v>5305</v>
      </c>
    </row>
    <row r="1552" spans="1:13" x14ac:dyDescent="0.35">
      <c r="A1552" t="s">
        <v>4233</v>
      </c>
      <c r="B1552">
        <v>1736154</v>
      </c>
      <c r="C1552">
        <v>1737293</v>
      </c>
      <c r="E1552" t="s">
        <v>13</v>
      </c>
      <c r="F1552" t="s">
        <v>5304</v>
      </c>
      <c r="H1552">
        <v>29242102</v>
      </c>
      <c r="I1552" t="s">
        <v>16</v>
      </c>
      <c r="K1552" t="s">
        <v>5303</v>
      </c>
      <c r="L1552">
        <v>379</v>
      </c>
      <c r="M1552" t="s">
        <v>5302</v>
      </c>
    </row>
    <row r="1553" spans="1:13" x14ac:dyDescent="0.35">
      <c r="A1553" t="s">
        <v>4233</v>
      </c>
      <c r="B1553">
        <v>1737327</v>
      </c>
      <c r="C1553">
        <v>1738295</v>
      </c>
      <c r="E1553" t="s">
        <v>36</v>
      </c>
      <c r="F1553" t="s">
        <v>5301</v>
      </c>
      <c r="H1553">
        <v>29242103</v>
      </c>
      <c r="I1553" t="s">
        <v>16</v>
      </c>
      <c r="K1553" t="s">
        <v>5300</v>
      </c>
      <c r="L1553">
        <v>322</v>
      </c>
      <c r="M1553" t="s">
        <v>5299</v>
      </c>
    </row>
    <row r="1554" spans="1:13" x14ac:dyDescent="0.35">
      <c r="A1554" t="s">
        <v>4233</v>
      </c>
      <c r="B1554">
        <v>1738348</v>
      </c>
      <c r="C1554">
        <v>1739559</v>
      </c>
      <c r="E1554" t="s">
        <v>36</v>
      </c>
      <c r="F1554" t="s">
        <v>4708</v>
      </c>
      <c r="H1554">
        <v>29242104</v>
      </c>
      <c r="I1554" t="s">
        <v>16</v>
      </c>
      <c r="K1554" t="s">
        <v>5298</v>
      </c>
      <c r="L1554">
        <v>403</v>
      </c>
      <c r="M1554" t="s">
        <v>5297</v>
      </c>
    </row>
    <row r="1555" spans="1:13" x14ac:dyDescent="0.35">
      <c r="A1555" t="s">
        <v>4233</v>
      </c>
      <c r="B1555">
        <v>1739658</v>
      </c>
      <c r="C1555">
        <v>1740713</v>
      </c>
      <c r="E1555" t="s">
        <v>13</v>
      </c>
      <c r="F1555" t="s">
        <v>5296</v>
      </c>
      <c r="H1555">
        <v>29242105</v>
      </c>
      <c r="I1555" t="s">
        <v>16</v>
      </c>
      <c r="K1555" t="s">
        <v>5295</v>
      </c>
      <c r="L1555">
        <v>351</v>
      </c>
      <c r="M1555" t="s">
        <v>5294</v>
      </c>
    </row>
    <row r="1556" spans="1:13" x14ac:dyDescent="0.35">
      <c r="A1556" t="s">
        <v>4233</v>
      </c>
      <c r="B1556">
        <v>1740793</v>
      </c>
      <c r="C1556">
        <v>1741266</v>
      </c>
      <c r="E1556" t="s">
        <v>36</v>
      </c>
      <c r="F1556" t="s">
        <v>5293</v>
      </c>
      <c r="H1556">
        <v>29242106</v>
      </c>
      <c r="I1556" t="s">
        <v>16</v>
      </c>
      <c r="K1556" t="s">
        <v>5292</v>
      </c>
      <c r="L1556">
        <v>157</v>
      </c>
      <c r="M1556" t="s">
        <v>5291</v>
      </c>
    </row>
    <row r="1557" spans="1:13" x14ac:dyDescent="0.35">
      <c r="A1557" t="s">
        <v>4233</v>
      </c>
      <c r="B1557">
        <v>1741400</v>
      </c>
      <c r="C1557">
        <v>1741963</v>
      </c>
      <c r="E1557" t="s">
        <v>13</v>
      </c>
      <c r="F1557" t="s">
        <v>177</v>
      </c>
      <c r="H1557">
        <v>29242107</v>
      </c>
      <c r="I1557" t="s">
        <v>16</v>
      </c>
      <c r="K1557" t="s">
        <v>5290</v>
      </c>
      <c r="L1557">
        <v>187</v>
      </c>
      <c r="M1557" t="s">
        <v>5289</v>
      </c>
    </row>
    <row r="1558" spans="1:13" x14ac:dyDescent="0.35">
      <c r="A1558" t="s">
        <v>4233</v>
      </c>
      <c r="B1558">
        <v>1741969</v>
      </c>
      <c r="C1558">
        <v>1746045</v>
      </c>
      <c r="E1558" t="s">
        <v>36</v>
      </c>
      <c r="F1558" t="s">
        <v>56</v>
      </c>
      <c r="H1558">
        <v>29242108</v>
      </c>
      <c r="I1558" t="s">
        <v>16</v>
      </c>
      <c r="K1558" t="s">
        <v>5288</v>
      </c>
      <c r="L1558">
        <v>1358</v>
      </c>
      <c r="M1558" t="s">
        <v>5287</v>
      </c>
    </row>
    <row r="1559" spans="1:13" x14ac:dyDescent="0.35">
      <c r="A1559" t="s">
        <v>4233</v>
      </c>
      <c r="B1559">
        <v>1746223</v>
      </c>
      <c r="C1559">
        <v>1747242</v>
      </c>
      <c r="E1559" t="s">
        <v>13</v>
      </c>
      <c r="F1559" t="s">
        <v>5286</v>
      </c>
      <c r="G1559" t="s">
        <v>5285</v>
      </c>
      <c r="H1559">
        <v>29242109</v>
      </c>
      <c r="I1559" t="s">
        <v>16</v>
      </c>
      <c r="K1559" t="s">
        <v>5284</v>
      </c>
      <c r="L1559">
        <v>339</v>
      </c>
      <c r="M1559" t="s">
        <v>5283</v>
      </c>
    </row>
    <row r="1560" spans="1:13" x14ac:dyDescent="0.35">
      <c r="A1560" t="s">
        <v>4233</v>
      </c>
      <c r="B1560">
        <v>1747617</v>
      </c>
      <c r="C1560">
        <v>1748909</v>
      </c>
      <c r="E1560" t="s">
        <v>36</v>
      </c>
      <c r="F1560" t="s">
        <v>5282</v>
      </c>
      <c r="H1560">
        <v>29242110</v>
      </c>
      <c r="I1560" t="s">
        <v>16</v>
      </c>
      <c r="K1560" t="s">
        <v>5281</v>
      </c>
      <c r="L1560">
        <v>430</v>
      </c>
      <c r="M1560" t="s">
        <v>5280</v>
      </c>
    </row>
    <row r="1561" spans="1:13" x14ac:dyDescent="0.35">
      <c r="A1561" t="s">
        <v>4233</v>
      </c>
      <c r="B1561">
        <v>1749121</v>
      </c>
      <c r="C1561">
        <v>1749903</v>
      </c>
      <c r="E1561" t="s">
        <v>36</v>
      </c>
      <c r="F1561" t="s">
        <v>514</v>
      </c>
      <c r="G1561" t="s">
        <v>515</v>
      </c>
      <c r="H1561">
        <v>29242111</v>
      </c>
      <c r="I1561" t="s">
        <v>16</v>
      </c>
      <c r="K1561" t="s">
        <v>5279</v>
      </c>
      <c r="L1561">
        <v>260</v>
      </c>
      <c r="M1561" t="s">
        <v>5278</v>
      </c>
    </row>
    <row r="1562" spans="1:13" x14ac:dyDescent="0.35">
      <c r="A1562" t="s">
        <v>4233</v>
      </c>
      <c r="B1562">
        <v>1750067</v>
      </c>
      <c r="C1562">
        <v>1750951</v>
      </c>
      <c r="E1562" t="s">
        <v>36</v>
      </c>
      <c r="F1562" t="s">
        <v>5277</v>
      </c>
      <c r="H1562">
        <v>29242112</v>
      </c>
      <c r="I1562" t="s">
        <v>16</v>
      </c>
      <c r="K1562" t="s">
        <v>5276</v>
      </c>
      <c r="L1562">
        <v>294</v>
      </c>
      <c r="M1562" t="s">
        <v>5275</v>
      </c>
    </row>
    <row r="1563" spans="1:13" x14ac:dyDescent="0.35">
      <c r="A1563" t="s">
        <v>4233</v>
      </c>
      <c r="B1563">
        <v>1751116</v>
      </c>
      <c r="C1563">
        <v>1753299</v>
      </c>
      <c r="E1563" t="s">
        <v>13</v>
      </c>
      <c r="F1563" t="s">
        <v>942</v>
      </c>
      <c r="H1563">
        <v>29242113</v>
      </c>
      <c r="I1563" t="s">
        <v>16</v>
      </c>
      <c r="K1563" t="s">
        <v>5274</v>
      </c>
      <c r="L1563">
        <v>727</v>
      </c>
      <c r="M1563" t="s">
        <v>5273</v>
      </c>
    </row>
    <row r="1564" spans="1:13" x14ac:dyDescent="0.35">
      <c r="A1564" t="s">
        <v>4233</v>
      </c>
      <c r="B1564">
        <v>1753369</v>
      </c>
      <c r="C1564">
        <v>1754043</v>
      </c>
      <c r="E1564" t="s">
        <v>36</v>
      </c>
      <c r="F1564" t="s">
        <v>28</v>
      </c>
      <c r="H1564">
        <v>29242114</v>
      </c>
      <c r="I1564" t="s">
        <v>16</v>
      </c>
      <c r="K1564" t="s">
        <v>5272</v>
      </c>
      <c r="L1564">
        <v>224</v>
      </c>
      <c r="M1564" t="s">
        <v>5271</v>
      </c>
    </row>
    <row r="1565" spans="1:13" x14ac:dyDescent="0.35">
      <c r="A1565" t="s">
        <v>4233</v>
      </c>
      <c r="B1565">
        <v>1754306</v>
      </c>
      <c r="C1565">
        <v>1756120</v>
      </c>
      <c r="E1565" t="s">
        <v>36</v>
      </c>
      <c r="F1565" t="s">
        <v>925</v>
      </c>
      <c r="H1565">
        <v>29242115</v>
      </c>
      <c r="I1565" t="s">
        <v>16</v>
      </c>
      <c r="K1565" t="s">
        <v>5270</v>
      </c>
      <c r="L1565">
        <v>604</v>
      </c>
      <c r="M1565" t="s">
        <v>5269</v>
      </c>
    </row>
    <row r="1566" spans="1:13" x14ac:dyDescent="0.35">
      <c r="A1566" t="s">
        <v>4233</v>
      </c>
      <c r="B1566">
        <v>1756259</v>
      </c>
      <c r="C1566">
        <v>1757326</v>
      </c>
      <c r="E1566" t="s">
        <v>36</v>
      </c>
      <c r="F1566" t="s">
        <v>5268</v>
      </c>
      <c r="G1566" t="s">
        <v>5267</v>
      </c>
      <c r="H1566">
        <v>29242116</v>
      </c>
      <c r="I1566" t="s">
        <v>16</v>
      </c>
      <c r="K1566" t="s">
        <v>5266</v>
      </c>
      <c r="L1566">
        <v>355</v>
      </c>
      <c r="M1566" t="s">
        <v>5265</v>
      </c>
    </row>
    <row r="1567" spans="1:13" x14ac:dyDescent="0.35">
      <c r="A1567" t="s">
        <v>4233</v>
      </c>
      <c r="B1567">
        <v>1757457</v>
      </c>
      <c r="C1567">
        <v>1758875</v>
      </c>
      <c r="E1567" t="s">
        <v>36</v>
      </c>
      <c r="F1567" t="s">
        <v>5264</v>
      </c>
      <c r="H1567">
        <v>29242117</v>
      </c>
      <c r="I1567" t="s">
        <v>16</v>
      </c>
      <c r="K1567" t="s">
        <v>5263</v>
      </c>
      <c r="L1567">
        <v>472</v>
      </c>
      <c r="M1567" t="s">
        <v>5262</v>
      </c>
    </row>
    <row r="1568" spans="1:13" x14ac:dyDescent="0.35">
      <c r="A1568" t="s">
        <v>4233</v>
      </c>
      <c r="B1568">
        <v>1759000</v>
      </c>
      <c r="C1568">
        <v>1759650</v>
      </c>
      <c r="E1568" t="s">
        <v>36</v>
      </c>
      <c r="F1568" t="s">
        <v>5261</v>
      </c>
      <c r="G1568" t="s">
        <v>5260</v>
      </c>
      <c r="H1568">
        <v>29242118</v>
      </c>
      <c r="I1568" t="s">
        <v>16</v>
      </c>
      <c r="K1568" t="s">
        <v>5259</v>
      </c>
      <c r="L1568">
        <v>216</v>
      </c>
      <c r="M1568" t="s">
        <v>5258</v>
      </c>
    </row>
    <row r="1569" spans="1:13" x14ac:dyDescent="0.35">
      <c r="A1569" t="s">
        <v>4233</v>
      </c>
      <c r="B1569">
        <v>1759818</v>
      </c>
      <c r="C1569">
        <v>1761371</v>
      </c>
      <c r="E1569" t="s">
        <v>36</v>
      </c>
      <c r="F1569" t="s">
        <v>132</v>
      </c>
      <c r="G1569" t="s">
        <v>5257</v>
      </c>
      <c r="H1569">
        <v>29242119</v>
      </c>
      <c r="I1569" t="s">
        <v>16</v>
      </c>
      <c r="K1569" t="s">
        <v>5256</v>
      </c>
      <c r="L1569">
        <v>517</v>
      </c>
      <c r="M1569" t="s">
        <v>5255</v>
      </c>
    </row>
    <row r="1570" spans="1:13" x14ac:dyDescent="0.35">
      <c r="A1570" t="s">
        <v>4233</v>
      </c>
      <c r="B1570">
        <v>1761460</v>
      </c>
      <c r="C1570">
        <v>1762707</v>
      </c>
      <c r="E1570" t="s">
        <v>36</v>
      </c>
      <c r="F1570" t="s">
        <v>540</v>
      </c>
      <c r="H1570">
        <v>29242120</v>
      </c>
      <c r="I1570" t="s">
        <v>16</v>
      </c>
      <c r="K1570" t="s">
        <v>5254</v>
      </c>
      <c r="L1570">
        <v>415</v>
      </c>
      <c r="M1570" t="s">
        <v>5253</v>
      </c>
    </row>
    <row r="1571" spans="1:13" x14ac:dyDescent="0.35">
      <c r="A1571" t="s">
        <v>4233</v>
      </c>
      <c r="B1571">
        <v>1762704</v>
      </c>
      <c r="C1571">
        <v>1763366</v>
      </c>
      <c r="E1571" t="s">
        <v>36</v>
      </c>
      <c r="F1571" t="s">
        <v>621</v>
      </c>
      <c r="H1571">
        <v>29242121</v>
      </c>
      <c r="I1571" t="s">
        <v>16</v>
      </c>
      <c r="K1571" t="s">
        <v>5252</v>
      </c>
      <c r="L1571">
        <v>220</v>
      </c>
      <c r="M1571" t="s">
        <v>5251</v>
      </c>
    </row>
    <row r="1572" spans="1:13" x14ac:dyDescent="0.35">
      <c r="A1572" t="s">
        <v>4233</v>
      </c>
      <c r="B1572">
        <v>1763525</v>
      </c>
      <c r="C1572">
        <v>1764229</v>
      </c>
      <c r="E1572" t="s">
        <v>36</v>
      </c>
      <c r="F1572" t="s">
        <v>73</v>
      </c>
      <c r="H1572">
        <v>29242122</v>
      </c>
      <c r="I1572" t="s">
        <v>16</v>
      </c>
      <c r="K1572" t="s">
        <v>5250</v>
      </c>
      <c r="L1572">
        <v>234</v>
      </c>
      <c r="M1572" t="s">
        <v>5249</v>
      </c>
    </row>
    <row r="1573" spans="1:13" x14ac:dyDescent="0.35">
      <c r="A1573" t="s">
        <v>4233</v>
      </c>
      <c r="B1573">
        <v>1764229</v>
      </c>
      <c r="C1573">
        <v>1765092</v>
      </c>
      <c r="E1573" t="s">
        <v>36</v>
      </c>
      <c r="F1573" t="s">
        <v>73</v>
      </c>
      <c r="H1573">
        <v>29242123</v>
      </c>
      <c r="I1573" t="s">
        <v>16</v>
      </c>
      <c r="K1573" t="s">
        <v>5248</v>
      </c>
      <c r="L1573">
        <v>287</v>
      </c>
      <c r="M1573" t="s">
        <v>5247</v>
      </c>
    </row>
    <row r="1574" spans="1:13" x14ac:dyDescent="0.35">
      <c r="A1574" t="s">
        <v>4233</v>
      </c>
      <c r="B1574">
        <v>1765089</v>
      </c>
      <c r="C1574">
        <v>1766177</v>
      </c>
      <c r="E1574" t="s">
        <v>36</v>
      </c>
      <c r="F1574" t="s">
        <v>49</v>
      </c>
      <c r="H1574">
        <v>29242124</v>
      </c>
      <c r="I1574" t="s">
        <v>16</v>
      </c>
      <c r="K1574" t="s">
        <v>5246</v>
      </c>
      <c r="L1574">
        <v>362</v>
      </c>
      <c r="M1574" t="s">
        <v>5245</v>
      </c>
    </row>
    <row r="1575" spans="1:13" x14ac:dyDescent="0.35">
      <c r="A1575" t="s">
        <v>4233</v>
      </c>
      <c r="B1575">
        <v>1766182</v>
      </c>
      <c r="C1575">
        <v>1767105</v>
      </c>
      <c r="E1575" t="s">
        <v>36</v>
      </c>
      <c r="F1575" t="s">
        <v>49</v>
      </c>
      <c r="H1575">
        <v>29242125</v>
      </c>
      <c r="I1575" t="s">
        <v>16</v>
      </c>
      <c r="K1575" t="s">
        <v>5244</v>
      </c>
      <c r="L1575">
        <v>307</v>
      </c>
      <c r="M1575" t="s">
        <v>5243</v>
      </c>
    </row>
    <row r="1576" spans="1:13" x14ac:dyDescent="0.35">
      <c r="A1576" t="s">
        <v>4233</v>
      </c>
      <c r="B1576">
        <v>1767268</v>
      </c>
      <c r="C1576">
        <v>1768455</v>
      </c>
      <c r="E1576" t="s">
        <v>36</v>
      </c>
      <c r="F1576" t="s">
        <v>590</v>
      </c>
      <c r="H1576">
        <v>29242126</v>
      </c>
      <c r="I1576" t="s">
        <v>16</v>
      </c>
      <c r="K1576" t="s">
        <v>5242</v>
      </c>
      <c r="L1576">
        <v>395</v>
      </c>
      <c r="M1576" t="s">
        <v>5241</v>
      </c>
    </row>
    <row r="1577" spans="1:13" x14ac:dyDescent="0.35">
      <c r="A1577" t="s">
        <v>4233</v>
      </c>
      <c r="B1577">
        <v>1768728</v>
      </c>
      <c r="C1577">
        <v>1769612</v>
      </c>
      <c r="E1577" t="s">
        <v>36</v>
      </c>
      <c r="F1577" t="s">
        <v>617</v>
      </c>
      <c r="G1577" t="s">
        <v>618</v>
      </c>
      <c r="H1577">
        <v>29242127</v>
      </c>
      <c r="I1577" t="s">
        <v>16</v>
      </c>
      <c r="K1577" t="s">
        <v>5240</v>
      </c>
      <c r="L1577">
        <v>294</v>
      </c>
      <c r="M1577" t="s">
        <v>5239</v>
      </c>
    </row>
    <row r="1578" spans="1:13" x14ac:dyDescent="0.35">
      <c r="A1578" t="s">
        <v>4233</v>
      </c>
      <c r="B1578">
        <v>1769755</v>
      </c>
      <c r="C1578">
        <v>1770843</v>
      </c>
      <c r="E1578" t="s">
        <v>36</v>
      </c>
      <c r="F1578" t="s">
        <v>615</v>
      </c>
      <c r="G1578" t="s">
        <v>616</v>
      </c>
      <c r="H1578">
        <v>29242128</v>
      </c>
      <c r="I1578" t="s">
        <v>16</v>
      </c>
      <c r="K1578" t="s">
        <v>5238</v>
      </c>
      <c r="L1578">
        <v>362</v>
      </c>
      <c r="M1578" t="s">
        <v>5237</v>
      </c>
    </row>
    <row r="1579" spans="1:13" x14ac:dyDescent="0.35">
      <c r="A1579" t="s">
        <v>4233</v>
      </c>
      <c r="B1579">
        <v>1770953</v>
      </c>
      <c r="C1579">
        <v>1771165</v>
      </c>
      <c r="E1579" t="s">
        <v>36</v>
      </c>
      <c r="F1579" t="s">
        <v>5236</v>
      </c>
      <c r="G1579" t="s">
        <v>5235</v>
      </c>
      <c r="H1579">
        <v>29242129</v>
      </c>
      <c r="I1579" t="s">
        <v>16</v>
      </c>
      <c r="K1579" t="s">
        <v>5234</v>
      </c>
      <c r="L1579">
        <v>70</v>
      </c>
      <c r="M1579" t="s">
        <v>5233</v>
      </c>
    </row>
    <row r="1580" spans="1:13" x14ac:dyDescent="0.35">
      <c r="A1580" t="s">
        <v>4233</v>
      </c>
      <c r="B1580">
        <v>1771289</v>
      </c>
      <c r="C1580">
        <v>1771362</v>
      </c>
      <c r="E1580" t="s">
        <v>36</v>
      </c>
      <c r="F1580" t="s">
        <v>413</v>
      </c>
      <c r="H1580">
        <v>29242130</v>
      </c>
      <c r="I1580" t="s">
        <v>39</v>
      </c>
      <c r="M1580" t="s">
        <v>5232</v>
      </c>
    </row>
    <row r="1581" spans="1:13" x14ac:dyDescent="0.35">
      <c r="A1581" t="s">
        <v>4233</v>
      </c>
      <c r="B1581">
        <v>1771454</v>
      </c>
      <c r="C1581">
        <v>1772065</v>
      </c>
      <c r="E1581" t="s">
        <v>13</v>
      </c>
      <c r="F1581" t="s">
        <v>5231</v>
      </c>
      <c r="H1581">
        <v>29242131</v>
      </c>
      <c r="I1581" t="s">
        <v>16</v>
      </c>
      <c r="K1581" t="s">
        <v>5230</v>
      </c>
      <c r="L1581">
        <v>203</v>
      </c>
      <c r="M1581" t="s">
        <v>5229</v>
      </c>
    </row>
    <row r="1582" spans="1:13" x14ac:dyDescent="0.35">
      <c r="A1582" t="s">
        <v>4233</v>
      </c>
      <c r="B1582">
        <v>1772168</v>
      </c>
      <c r="C1582">
        <v>1772959</v>
      </c>
      <c r="E1582" t="s">
        <v>36</v>
      </c>
      <c r="F1582" t="s">
        <v>40</v>
      </c>
      <c r="H1582">
        <v>29242132</v>
      </c>
      <c r="I1582" t="s">
        <v>16</v>
      </c>
      <c r="K1582" t="s">
        <v>5228</v>
      </c>
      <c r="L1582">
        <v>263</v>
      </c>
      <c r="M1582" t="s">
        <v>5227</v>
      </c>
    </row>
    <row r="1583" spans="1:13" x14ac:dyDescent="0.35">
      <c r="A1583" t="s">
        <v>4233</v>
      </c>
      <c r="B1583">
        <v>1773348</v>
      </c>
      <c r="C1583">
        <v>1773767</v>
      </c>
      <c r="E1583" t="s">
        <v>36</v>
      </c>
      <c r="F1583" t="s">
        <v>61</v>
      </c>
      <c r="H1583">
        <v>29242133</v>
      </c>
      <c r="I1583" t="s">
        <v>16</v>
      </c>
      <c r="K1583" t="s">
        <v>5226</v>
      </c>
      <c r="L1583">
        <v>139</v>
      </c>
      <c r="M1583" t="s">
        <v>5225</v>
      </c>
    </row>
    <row r="1584" spans="1:13" x14ac:dyDescent="0.35">
      <c r="A1584" t="s">
        <v>4233</v>
      </c>
      <c r="B1584">
        <v>1773767</v>
      </c>
      <c r="C1584">
        <v>1774615</v>
      </c>
      <c r="E1584" t="s">
        <v>36</v>
      </c>
      <c r="F1584" t="s">
        <v>483</v>
      </c>
      <c r="H1584">
        <v>29242134</v>
      </c>
      <c r="I1584" t="s">
        <v>16</v>
      </c>
      <c r="K1584" t="s">
        <v>5224</v>
      </c>
      <c r="L1584">
        <v>282</v>
      </c>
      <c r="M1584" t="s">
        <v>5223</v>
      </c>
    </row>
    <row r="1585" spans="1:13" x14ac:dyDescent="0.35">
      <c r="A1585" t="s">
        <v>4233</v>
      </c>
      <c r="B1585">
        <v>1774688</v>
      </c>
      <c r="C1585">
        <v>1774882</v>
      </c>
      <c r="E1585" t="s">
        <v>36</v>
      </c>
      <c r="F1585" t="s">
        <v>40</v>
      </c>
      <c r="H1585">
        <v>29242135</v>
      </c>
      <c r="I1585" t="s">
        <v>16</v>
      </c>
      <c r="K1585" t="s">
        <v>5222</v>
      </c>
      <c r="L1585">
        <v>64</v>
      </c>
      <c r="M1585" t="s">
        <v>5221</v>
      </c>
    </row>
    <row r="1586" spans="1:13" x14ac:dyDescent="0.35">
      <c r="A1586" t="s">
        <v>4233</v>
      </c>
      <c r="B1586">
        <v>1775048</v>
      </c>
      <c r="C1586">
        <v>1775590</v>
      </c>
      <c r="E1586" t="s">
        <v>36</v>
      </c>
      <c r="F1586" t="s">
        <v>850</v>
      </c>
      <c r="H1586">
        <v>29242136</v>
      </c>
      <c r="I1586" t="s">
        <v>16</v>
      </c>
      <c r="K1586" t="s">
        <v>5220</v>
      </c>
      <c r="L1586">
        <v>180</v>
      </c>
      <c r="M1586" t="s">
        <v>5219</v>
      </c>
    </row>
    <row r="1587" spans="1:13" x14ac:dyDescent="0.35">
      <c r="A1587" t="s">
        <v>4233</v>
      </c>
      <c r="B1587">
        <v>1775835</v>
      </c>
      <c r="C1587">
        <v>1776785</v>
      </c>
      <c r="E1587" t="s">
        <v>36</v>
      </c>
      <c r="F1587" t="s">
        <v>5218</v>
      </c>
      <c r="H1587">
        <v>29242137</v>
      </c>
      <c r="I1587" t="s">
        <v>16</v>
      </c>
      <c r="K1587" t="s">
        <v>5217</v>
      </c>
      <c r="L1587">
        <v>316</v>
      </c>
      <c r="M1587" t="s">
        <v>5216</v>
      </c>
    </row>
    <row r="1588" spans="1:13" x14ac:dyDescent="0.35">
      <c r="A1588" t="s">
        <v>4233</v>
      </c>
      <c r="B1588">
        <v>1777067</v>
      </c>
      <c r="C1588">
        <v>1777143</v>
      </c>
      <c r="E1588" t="s">
        <v>36</v>
      </c>
      <c r="F1588" t="s">
        <v>419</v>
      </c>
      <c r="H1588">
        <v>29242139</v>
      </c>
      <c r="I1588" t="s">
        <v>39</v>
      </c>
      <c r="M1588" t="s">
        <v>5215</v>
      </c>
    </row>
    <row r="1589" spans="1:13" x14ac:dyDescent="0.35">
      <c r="A1589" t="s">
        <v>4233</v>
      </c>
      <c r="B1589">
        <v>1777321</v>
      </c>
      <c r="C1589">
        <v>1779126</v>
      </c>
      <c r="E1589" t="s">
        <v>36</v>
      </c>
      <c r="F1589" t="s">
        <v>121</v>
      </c>
      <c r="H1589">
        <v>29242140</v>
      </c>
      <c r="I1589" t="s">
        <v>16</v>
      </c>
      <c r="K1589" t="s">
        <v>5214</v>
      </c>
      <c r="L1589">
        <v>601</v>
      </c>
      <c r="M1589" t="s">
        <v>5213</v>
      </c>
    </row>
    <row r="1590" spans="1:13" x14ac:dyDescent="0.35">
      <c r="A1590" t="s">
        <v>4233</v>
      </c>
      <c r="B1590">
        <v>1779661</v>
      </c>
      <c r="C1590">
        <v>1781340</v>
      </c>
      <c r="E1590" t="s">
        <v>13</v>
      </c>
      <c r="F1590" t="s">
        <v>5212</v>
      </c>
      <c r="G1590" t="s">
        <v>5211</v>
      </c>
      <c r="H1590">
        <v>29242141</v>
      </c>
      <c r="I1590" t="s">
        <v>16</v>
      </c>
      <c r="K1590" t="s">
        <v>5210</v>
      </c>
      <c r="L1590">
        <v>559</v>
      </c>
      <c r="M1590" t="s">
        <v>5209</v>
      </c>
    </row>
    <row r="1591" spans="1:13" x14ac:dyDescent="0.35">
      <c r="A1591" t="s">
        <v>4233</v>
      </c>
      <c r="B1591">
        <v>1781557</v>
      </c>
      <c r="C1591">
        <v>1782462</v>
      </c>
      <c r="E1591" t="s">
        <v>13</v>
      </c>
      <c r="F1591" t="s">
        <v>5208</v>
      </c>
      <c r="H1591">
        <v>29242142</v>
      </c>
      <c r="I1591" t="s">
        <v>16</v>
      </c>
      <c r="K1591" t="s">
        <v>5207</v>
      </c>
      <c r="L1591">
        <v>301</v>
      </c>
      <c r="M1591" t="s">
        <v>5206</v>
      </c>
    </row>
    <row r="1592" spans="1:13" x14ac:dyDescent="0.35">
      <c r="A1592" t="s">
        <v>4233</v>
      </c>
      <c r="B1592">
        <v>1782539</v>
      </c>
      <c r="C1592">
        <v>1783066</v>
      </c>
      <c r="E1592" t="s">
        <v>36</v>
      </c>
      <c r="F1592" t="s">
        <v>5205</v>
      </c>
      <c r="H1592">
        <v>29242143</v>
      </c>
      <c r="I1592" t="s">
        <v>16</v>
      </c>
      <c r="K1592" t="s">
        <v>5204</v>
      </c>
      <c r="L1592">
        <v>175</v>
      </c>
      <c r="M1592" t="s">
        <v>5203</v>
      </c>
    </row>
    <row r="1593" spans="1:13" x14ac:dyDescent="0.35">
      <c r="A1593" t="s">
        <v>4233</v>
      </c>
      <c r="B1593">
        <v>1783160</v>
      </c>
      <c r="C1593">
        <v>1784704</v>
      </c>
      <c r="E1593" t="s">
        <v>36</v>
      </c>
      <c r="F1593" t="s">
        <v>5202</v>
      </c>
      <c r="G1593" t="s">
        <v>5201</v>
      </c>
      <c r="H1593">
        <v>29242144</v>
      </c>
      <c r="I1593" t="s">
        <v>16</v>
      </c>
      <c r="K1593" t="s">
        <v>5200</v>
      </c>
      <c r="L1593">
        <v>514</v>
      </c>
      <c r="M1593" t="s">
        <v>5199</v>
      </c>
    </row>
    <row r="1594" spans="1:13" x14ac:dyDescent="0.35">
      <c r="A1594" t="s">
        <v>4233</v>
      </c>
      <c r="B1594">
        <v>1784716</v>
      </c>
      <c r="C1594">
        <v>1785594</v>
      </c>
      <c r="E1594" t="s">
        <v>36</v>
      </c>
      <c r="F1594" t="s">
        <v>5198</v>
      </c>
      <c r="G1594" t="s">
        <v>5197</v>
      </c>
      <c r="H1594">
        <v>29242145</v>
      </c>
      <c r="I1594" t="s">
        <v>16</v>
      </c>
      <c r="K1594" t="s">
        <v>5196</v>
      </c>
      <c r="L1594">
        <v>292</v>
      </c>
      <c r="M1594" t="s">
        <v>5195</v>
      </c>
    </row>
    <row r="1595" spans="1:13" x14ac:dyDescent="0.35">
      <c r="A1595" t="s">
        <v>4233</v>
      </c>
      <c r="B1595">
        <v>1785791</v>
      </c>
      <c r="C1595">
        <v>1786450</v>
      </c>
      <c r="E1595" t="s">
        <v>36</v>
      </c>
      <c r="F1595" t="s">
        <v>5194</v>
      </c>
      <c r="G1595" t="s">
        <v>5193</v>
      </c>
      <c r="H1595">
        <v>29242146</v>
      </c>
      <c r="I1595" t="s">
        <v>16</v>
      </c>
      <c r="K1595" t="s">
        <v>5192</v>
      </c>
      <c r="L1595">
        <v>219</v>
      </c>
      <c r="M1595" t="s">
        <v>5191</v>
      </c>
    </row>
    <row r="1596" spans="1:13" x14ac:dyDescent="0.35">
      <c r="A1596" t="s">
        <v>4233</v>
      </c>
      <c r="B1596">
        <v>1786547</v>
      </c>
      <c r="C1596">
        <v>1788643</v>
      </c>
      <c r="E1596" t="s">
        <v>36</v>
      </c>
      <c r="F1596" t="s">
        <v>209</v>
      </c>
      <c r="G1596" t="s">
        <v>210</v>
      </c>
      <c r="H1596">
        <v>29242147</v>
      </c>
      <c r="I1596" t="s">
        <v>16</v>
      </c>
      <c r="K1596" t="s">
        <v>5190</v>
      </c>
      <c r="L1596">
        <v>698</v>
      </c>
      <c r="M1596" t="s">
        <v>5189</v>
      </c>
    </row>
    <row r="1597" spans="1:13" x14ac:dyDescent="0.35">
      <c r="A1597" t="s">
        <v>4233</v>
      </c>
      <c r="B1597">
        <v>1788640</v>
      </c>
      <c r="C1597">
        <v>1789203</v>
      </c>
      <c r="E1597" t="s">
        <v>36</v>
      </c>
      <c r="F1597" t="s">
        <v>506</v>
      </c>
      <c r="G1597" t="s">
        <v>507</v>
      </c>
      <c r="H1597">
        <v>29242148</v>
      </c>
      <c r="I1597" t="s">
        <v>16</v>
      </c>
      <c r="K1597" t="s">
        <v>5188</v>
      </c>
      <c r="L1597">
        <v>187</v>
      </c>
      <c r="M1597" t="s">
        <v>5187</v>
      </c>
    </row>
    <row r="1598" spans="1:13" x14ac:dyDescent="0.35">
      <c r="A1598" t="s">
        <v>4233</v>
      </c>
      <c r="B1598">
        <v>1789190</v>
      </c>
      <c r="C1598">
        <v>1790341</v>
      </c>
      <c r="E1598" t="s">
        <v>36</v>
      </c>
      <c r="F1598" t="s">
        <v>205</v>
      </c>
      <c r="G1598" t="s">
        <v>206</v>
      </c>
      <c r="H1598">
        <v>29242149</v>
      </c>
      <c r="I1598" t="s">
        <v>16</v>
      </c>
      <c r="K1598" t="s">
        <v>5186</v>
      </c>
      <c r="L1598">
        <v>383</v>
      </c>
      <c r="M1598" t="s">
        <v>5185</v>
      </c>
    </row>
    <row r="1599" spans="1:13" x14ac:dyDescent="0.35">
      <c r="A1599" t="s">
        <v>4233</v>
      </c>
      <c r="B1599">
        <v>1790377</v>
      </c>
      <c r="C1599">
        <v>1791873</v>
      </c>
      <c r="E1599" t="s">
        <v>36</v>
      </c>
      <c r="F1599" t="s">
        <v>5184</v>
      </c>
      <c r="H1599">
        <v>29242150</v>
      </c>
      <c r="I1599" t="s">
        <v>16</v>
      </c>
      <c r="K1599" t="s">
        <v>5183</v>
      </c>
      <c r="L1599">
        <v>498</v>
      </c>
      <c r="M1599" t="s">
        <v>5182</v>
      </c>
    </row>
    <row r="1600" spans="1:13" x14ac:dyDescent="0.35">
      <c r="A1600" t="s">
        <v>4233</v>
      </c>
      <c r="B1600">
        <v>1791898</v>
      </c>
      <c r="C1600">
        <v>1793568</v>
      </c>
      <c r="E1600" t="s">
        <v>36</v>
      </c>
      <c r="F1600" t="s">
        <v>40</v>
      </c>
      <c r="H1600">
        <v>29242151</v>
      </c>
      <c r="I1600" t="s">
        <v>16</v>
      </c>
      <c r="K1600" t="s">
        <v>5181</v>
      </c>
      <c r="L1600">
        <v>556</v>
      </c>
      <c r="M1600" t="s">
        <v>5180</v>
      </c>
    </row>
    <row r="1601" spans="1:13" x14ac:dyDescent="0.35">
      <c r="A1601" t="s">
        <v>4233</v>
      </c>
      <c r="B1601">
        <v>1793568</v>
      </c>
      <c r="C1601">
        <v>1794605</v>
      </c>
      <c r="E1601" t="s">
        <v>36</v>
      </c>
      <c r="F1601" t="s">
        <v>73</v>
      </c>
      <c r="H1601">
        <v>29242152</v>
      </c>
      <c r="I1601" t="s">
        <v>16</v>
      </c>
      <c r="K1601" t="s">
        <v>5179</v>
      </c>
      <c r="L1601">
        <v>345</v>
      </c>
      <c r="M1601" t="s">
        <v>5178</v>
      </c>
    </row>
    <row r="1602" spans="1:13" x14ac:dyDescent="0.35">
      <c r="A1602" t="s">
        <v>4233</v>
      </c>
      <c r="B1602">
        <v>1795083</v>
      </c>
      <c r="C1602">
        <v>1796306</v>
      </c>
      <c r="E1602" t="s">
        <v>36</v>
      </c>
      <c r="F1602" t="s">
        <v>945</v>
      </c>
      <c r="H1602">
        <v>29242153</v>
      </c>
      <c r="I1602" t="s">
        <v>16</v>
      </c>
      <c r="K1602" t="s">
        <v>5177</v>
      </c>
      <c r="L1602">
        <v>407</v>
      </c>
      <c r="M1602" t="s">
        <v>5176</v>
      </c>
    </row>
    <row r="1603" spans="1:13" x14ac:dyDescent="0.35">
      <c r="A1603" t="s">
        <v>4233</v>
      </c>
      <c r="B1603">
        <v>1796306</v>
      </c>
      <c r="C1603">
        <v>1797898</v>
      </c>
      <c r="E1603" t="s">
        <v>36</v>
      </c>
      <c r="F1603" t="s">
        <v>47</v>
      </c>
      <c r="H1603">
        <v>29242154</v>
      </c>
      <c r="I1603" t="s">
        <v>16</v>
      </c>
      <c r="K1603" t="s">
        <v>5175</v>
      </c>
      <c r="L1603">
        <v>530</v>
      </c>
      <c r="M1603" t="s">
        <v>5174</v>
      </c>
    </row>
    <row r="1604" spans="1:13" x14ac:dyDescent="0.35">
      <c r="A1604" t="s">
        <v>4233</v>
      </c>
      <c r="B1604">
        <v>1797976</v>
      </c>
      <c r="C1604">
        <v>1798902</v>
      </c>
      <c r="E1604" t="s">
        <v>13</v>
      </c>
      <c r="F1604" t="s">
        <v>945</v>
      </c>
      <c r="H1604">
        <v>29242155</v>
      </c>
      <c r="I1604" t="s">
        <v>16</v>
      </c>
      <c r="K1604" t="s">
        <v>5173</v>
      </c>
      <c r="L1604">
        <v>308</v>
      </c>
      <c r="M1604" t="s">
        <v>5172</v>
      </c>
    </row>
    <row r="1605" spans="1:13" x14ac:dyDescent="0.35">
      <c r="A1605" t="s">
        <v>4233</v>
      </c>
      <c r="B1605">
        <v>1799038</v>
      </c>
      <c r="C1605">
        <v>1800189</v>
      </c>
      <c r="E1605" t="s">
        <v>36</v>
      </c>
      <c r="F1605" t="s">
        <v>5171</v>
      </c>
      <c r="G1605" t="s">
        <v>5170</v>
      </c>
      <c r="H1605">
        <v>29242156</v>
      </c>
      <c r="I1605" t="s">
        <v>16</v>
      </c>
      <c r="K1605" t="s">
        <v>5169</v>
      </c>
      <c r="L1605">
        <v>383</v>
      </c>
      <c r="M1605" t="s">
        <v>5168</v>
      </c>
    </row>
    <row r="1606" spans="1:13" x14ac:dyDescent="0.35">
      <c r="A1606" t="s">
        <v>4233</v>
      </c>
      <c r="B1606">
        <v>1800541</v>
      </c>
      <c r="C1606">
        <v>1801845</v>
      </c>
      <c r="E1606" t="s">
        <v>13</v>
      </c>
      <c r="F1606" t="s">
        <v>604</v>
      </c>
      <c r="H1606">
        <v>29242157</v>
      </c>
      <c r="I1606" t="s">
        <v>16</v>
      </c>
      <c r="K1606" t="s">
        <v>5167</v>
      </c>
      <c r="L1606">
        <v>434</v>
      </c>
      <c r="M1606" t="s">
        <v>5166</v>
      </c>
    </row>
    <row r="1607" spans="1:13" x14ac:dyDescent="0.35">
      <c r="A1607" t="s">
        <v>4233</v>
      </c>
      <c r="B1607">
        <v>1801893</v>
      </c>
      <c r="C1607">
        <v>1801968</v>
      </c>
      <c r="E1607" t="s">
        <v>36</v>
      </c>
      <c r="F1607" t="s">
        <v>420</v>
      </c>
      <c r="H1607">
        <v>29242158</v>
      </c>
      <c r="I1607" t="s">
        <v>39</v>
      </c>
      <c r="M1607" t="s">
        <v>5165</v>
      </c>
    </row>
    <row r="1608" spans="1:13" x14ac:dyDescent="0.35">
      <c r="A1608" t="s">
        <v>4233</v>
      </c>
      <c r="B1608">
        <v>1802018</v>
      </c>
      <c r="C1608">
        <v>1802091</v>
      </c>
      <c r="E1608" t="s">
        <v>36</v>
      </c>
      <c r="F1608" t="s">
        <v>419</v>
      </c>
      <c r="H1608">
        <v>29242159</v>
      </c>
      <c r="I1608" t="s">
        <v>39</v>
      </c>
      <c r="M1608" t="s">
        <v>5164</v>
      </c>
    </row>
    <row r="1609" spans="1:13" x14ac:dyDescent="0.35">
      <c r="A1609" t="s">
        <v>4233</v>
      </c>
      <c r="B1609">
        <v>1802332</v>
      </c>
      <c r="C1609">
        <v>1803255</v>
      </c>
      <c r="E1609" t="s">
        <v>13</v>
      </c>
      <c r="F1609" t="s">
        <v>1164</v>
      </c>
      <c r="G1609" t="s">
        <v>1165</v>
      </c>
      <c r="H1609">
        <v>29242160</v>
      </c>
      <c r="I1609" t="s">
        <v>16</v>
      </c>
      <c r="K1609" t="s">
        <v>5163</v>
      </c>
      <c r="L1609">
        <v>307</v>
      </c>
      <c r="M1609" t="s">
        <v>5162</v>
      </c>
    </row>
    <row r="1610" spans="1:13" x14ac:dyDescent="0.35">
      <c r="A1610" t="s">
        <v>4233</v>
      </c>
      <c r="B1610">
        <v>1803342</v>
      </c>
      <c r="C1610">
        <v>1803413</v>
      </c>
      <c r="E1610" t="s">
        <v>13</v>
      </c>
      <c r="F1610" t="s">
        <v>423</v>
      </c>
      <c r="H1610">
        <v>29242161</v>
      </c>
      <c r="I1610" t="s">
        <v>39</v>
      </c>
      <c r="M1610" t="s">
        <v>5161</v>
      </c>
    </row>
    <row r="1611" spans="1:13" x14ac:dyDescent="0.35">
      <c r="A1611" t="s">
        <v>4233</v>
      </c>
      <c r="B1611">
        <v>1803510</v>
      </c>
      <c r="C1611">
        <v>1803773</v>
      </c>
      <c r="E1611" t="s">
        <v>36</v>
      </c>
      <c r="F1611" t="s">
        <v>449</v>
      </c>
      <c r="H1611">
        <v>29242162</v>
      </c>
      <c r="I1611" t="s">
        <v>16</v>
      </c>
      <c r="K1611" t="s">
        <v>5160</v>
      </c>
      <c r="L1611">
        <v>87</v>
      </c>
      <c r="M1611" t="s">
        <v>5159</v>
      </c>
    </row>
    <row r="1612" spans="1:13" x14ac:dyDescent="0.35">
      <c r="A1612" t="s">
        <v>4233</v>
      </c>
      <c r="B1612">
        <v>1804274</v>
      </c>
      <c r="C1612">
        <v>1805755</v>
      </c>
      <c r="E1612" t="s">
        <v>36</v>
      </c>
      <c r="F1612" t="s">
        <v>5158</v>
      </c>
      <c r="H1612">
        <v>29242163</v>
      </c>
      <c r="I1612" t="s">
        <v>16</v>
      </c>
      <c r="K1612" t="s">
        <v>5157</v>
      </c>
      <c r="L1612">
        <v>493</v>
      </c>
      <c r="M1612" t="s">
        <v>5156</v>
      </c>
    </row>
    <row r="1613" spans="1:13" x14ac:dyDescent="0.35">
      <c r="A1613" t="s">
        <v>4233</v>
      </c>
      <c r="B1613">
        <v>1806120</v>
      </c>
      <c r="C1613">
        <v>1809257</v>
      </c>
      <c r="E1613" t="s">
        <v>13</v>
      </c>
      <c r="F1613" t="s">
        <v>1064</v>
      </c>
      <c r="H1613">
        <v>29242164</v>
      </c>
      <c r="I1613" t="s">
        <v>16</v>
      </c>
      <c r="K1613" t="s">
        <v>5155</v>
      </c>
      <c r="L1613">
        <v>1045</v>
      </c>
      <c r="M1613" t="s">
        <v>5154</v>
      </c>
    </row>
    <row r="1614" spans="1:13" x14ac:dyDescent="0.35">
      <c r="A1614" t="s">
        <v>4233</v>
      </c>
      <c r="B1614">
        <v>1809329</v>
      </c>
      <c r="C1614">
        <v>1809433</v>
      </c>
      <c r="E1614" t="s">
        <v>13</v>
      </c>
      <c r="F1614" t="s">
        <v>45</v>
      </c>
      <c r="H1614">
        <v>42569815</v>
      </c>
      <c r="I1614" t="s">
        <v>46</v>
      </c>
      <c r="M1614" t="s">
        <v>5153</v>
      </c>
    </row>
    <row r="1615" spans="1:13" x14ac:dyDescent="0.35">
      <c r="A1615" t="s">
        <v>4233</v>
      </c>
      <c r="B1615">
        <v>1809458</v>
      </c>
      <c r="C1615">
        <v>1810468</v>
      </c>
      <c r="E1615" t="s">
        <v>36</v>
      </c>
      <c r="F1615" t="s">
        <v>373</v>
      </c>
      <c r="H1615">
        <v>29242165</v>
      </c>
      <c r="I1615" t="s">
        <v>16</v>
      </c>
      <c r="K1615" t="s">
        <v>5152</v>
      </c>
      <c r="L1615">
        <v>336</v>
      </c>
      <c r="M1615" t="s">
        <v>5151</v>
      </c>
    </row>
    <row r="1616" spans="1:13" x14ac:dyDescent="0.35">
      <c r="A1616" t="s">
        <v>4233</v>
      </c>
      <c r="B1616">
        <v>1810549</v>
      </c>
      <c r="C1616">
        <v>1810797</v>
      </c>
      <c r="E1616" t="s">
        <v>36</v>
      </c>
      <c r="F1616" t="s">
        <v>5150</v>
      </c>
      <c r="H1616">
        <v>29242166</v>
      </c>
      <c r="I1616" t="s">
        <v>16</v>
      </c>
      <c r="K1616" t="s">
        <v>5149</v>
      </c>
      <c r="L1616">
        <v>82</v>
      </c>
      <c r="M1616" t="s">
        <v>5148</v>
      </c>
    </row>
    <row r="1617" spans="1:13" x14ac:dyDescent="0.35">
      <c r="A1617" t="s">
        <v>4233</v>
      </c>
      <c r="B1617">
        <v>1810974</v>
      </c>
      <c r="C1617">
        <v>1812299</v>
      </c>
      <c r="E1617" t="s">
        <v>36</v>
      </c>
      <c r="F1617" t="s">
        <v>590</v>
      </c>
      <c r="H1617">
        <v>29242167</v>
      </c>
      <c r="I1617" t="s">
        <v>16</v>
      </c>
      <c r="K1617" t="s">
        <v>5147</v>
      </c>
      <c r="L1617">
        <v>441</v>
      </c>
      <c r="M1617" t="s">
        <v>5146</v>
      </c>
    </row>
    <row r="1618" spans="1:13" x14ac:dyDescent="0.35">
      <c r="A1618" t="s">
        <v>4233</v>
      </c>
      <c r="B1618">
        <v>1812529</v>
      </c>
      <c r="C1618">
        <v>1813704</v>
      </c>
      <c r="E1618" t="s">
        <v>13</v>
      </c>
      <c r="F1618" t="s">
        <v>35</v>
      </c>
      <c r="H1618">
        <v>29242168</v>
      </c>
      <c r="I1618" t="s">
        <v>16</v>
      </c>
      <c r="K1618" t="s">
        <v>5145</v>
      </c>
      <c r="L1618">
        <v>391</v>
      </c>
      <c r="M1618" t="s">
        <v>5144</v>
      </c>
    </row>
    <row r="1619" spans="1:13" x14ac:dyDescent="0.35">
      <c r="A1619" t="s">
        <v>4233</v>
      </c>
      <c r="B1619">
        <v>1813714</v>
      </c>
      <c r="C1619">
        <v>1813938</v>
      </c>
      <c r="E1619" t="s">
        <v>13</v>
      </c>
      <c r="F1619" t="s">
        <v>452</v>
      </c>
      <c r="H1619">
        <v>42569816</v>
      </c>
      <c r="I1619" t="s">
        <v>16</v>
      </c>
      <c r="K1619" t="s">
        <v>5143</v>
      </c>
      <c r="L1619">
        <v>74</v>
      </c>
      <c r="M1619" t="s">
        <v>5142</v>
      </c>
    </row>
    <row r="1620" spans="1:13" x14ac:dyDescent="0.35">
      <c r="A1620" t="s">
        <v>4233</v>
      </c>
      <c r="B1620">
        <v>1814117</v>
      </c>
      <c r="C1620">
        <v>1816138</v>
      </c>
      <c r="E1620" t="s">
        <v>13</v>
      </c>
      <c r="F1620" t="s">
        <v>5141</v>
      </c>
      <c r="H1620">
        <v>29242169</v>
      </c>
      <c r="I1620" t="s">
        <v>16</v>
      </c>
      <c r="K1620" t="s">
        <v>5140</v>
      </c>
      <c r="L1620">
        <v>673</v>
      </c>
      <c r="M1620" t="s">
        <v>5139</v>
      </c>
    </row>
    <row r="1621" spans="1:13" x14ac:dyDescent="0.35">
      <c r="A1621" t="s">
        <v>4233</v>
      </c>
      <c r="B1621">
        <v>1816310</v>
      </c>
      <c r="C1621">
        <v>1816501</v>
      </c>
      <c r="E1621" t="s">
        <v>36</v>
      </c>
      <c r="F1621" t="s">
        <v>40</v>
      </c>
      <c r="H1621">
        <v>42569817</v>
      </c>
      <c r="I1621" t="s">
        <v>16</v>
      </c>
      <c r="K1621" t="s">
        <v>5138</v>
      </c>
      <c r="L1621">
        <v>63</v>
      </c>
      <c r="M1621" t="s">
        <v>5137</v>
      </c>
    </row>
    <row r="1622" spans="1:13" x14ac:dyDescent="0.35">
      <c r="A1622" t="s">
        <v>4233</v>
      </c>
      <c r="B1622">
        <v>1816415</v>
      </c>
      <c r="C1622">
        <v>1816628</v>
      </c>
      <c r="E1622" t="s">
        <v>13</v>
      </c>
      <c r="F1622" t="s">
        <v>45</v>
      </c>
      <c r="H1622">
        <v>93018766</v>
      </c>
      <c r="I1622" t="s">
        <v>46</v>
      </c>
      <c r="M1622" t="s">
        <v>5136</v>
      </c>
    </row>
    <row r="1623" spans="1:13" x14ac:dyDescent="0.35">
      <c r="A1623" t="s">
        <v>4233</v>
      </c>
      <c r="B1623">
        <v>1816777</v>
      </c>
      <c r="C1623">
        <v>1818144</v>
      </c>
      <c r="E1623" t="s">
        <v>13</v>
      </c>
      <c r="F1623" t="s">
        <v>133</v>
      </c>
      <c r="H1623">
        <v>29242171</v>
      </c>
      <c r="I1623" t="s">
        <v>16</v>
      </c>
      <c r="K1623" t="s">
        <v>5135</v>
      </c>
      <c r="L1623">
        <v>455</v>
      </c>
      <c r="M1623" t="s">
        <v>5134</v>
      </c>
    </row>
    <row r="1624" spans="1:13" x14ac:dyDescent="0.35">
      <c r="A1624" t="s">
        <v>4233</v>
      </c>
      <c r="B1624">
        <v>1818141</v>
      </c>
      <c r="C1624">
        <v>1819364</v>
      </c>
      <c r="E1624" t="s">
        <v>13</v>
      </c>
      <c r="F1624" t="s">
        <v>133</v>
      </c>
      <c r="H1624">
        <v>29242172</v>
      </c>
      <c r="I1624" t="s">
        <v>16</v>
      </c>
      <c r="K1624" t="s">
        <v>5133</v>
      </c>
      <c r="L1624">
        <v>407</v>
      </c>
      <c r="M1624" t="s">
        <v>5132</v>
      </c>
    </row>
    <row r="1625" spans="1:13" x14ac:dyDescent="0.35">
      <c r="A1625" t="s">
        <v>4233</v>
      </c>
      <c r="B1625">
        <v>1819377</v>
      </c>
      <c r="C1625">
        <v>1820012</v>
      </c>
      <c r="E1625" t="s">
        <v>13</v>
      </c>
      <c r="F1625" t="s">
        <v>73</v>
      </c>
      <c r="H1625">
        <v>29242173</v>
      </c>
      <c r="I1625" t="s">
        <v>16</v>
      </c>
      <c r="K1625" t="s">
        <v>5131</v>
      </c>
      <c r="L1625">
        <v>211</v>
      </c>
      <c r="M1625" t="s">
        <v>5130</v>
      </c>
    </row>
    <row r="1626" spans="1:13" x14ac:dyDescent="0.35">
      <c r="A1626" t="s">
        <v>4233</v>
      </c>
      <c r="B1626">
        <v>1820321</v>
      </c>
      <c r="C1626">
        <v>1820413</v>
      </c>
      <c r="E1626" t="s">
        <v>13</v>
      </c>
      <c r="F1626" t="s">
        <v>45</v>
      </c>
      <c r="H1626">
        <v>93018767</v>
      </c>
      <c r="I1626" t="s">
        <v>46</v>
      </c>
      <c r="M1626" t="s">
        <v>5129</v>
      </c>
    </row>
    <row r="1627" spans="1:13" x14ac:dyDescent="0.35">
      <c r="A1627" t="s">
        <v>4233</v>
      </c>
      <c r="B1627">
        <v>1820506</v>
      </c>
      <c r="C1627">
        <v>1821024</v>
      </c>
      <c r="E1627" t="s">
        <v>36</v>
      </c>
      <c r="F1627" t="s">
        <v>597</v>
      </c>
      <c r="H1627">
        <v>29242175</v>
      </c>
      <c r="I1627" t="s">
        <v>16</v>
      </c>
      <c r="K1627" t="s">
        <v>5128</v>
      </c>
      <c r="L1627">
        <v>172</v>
      </c>
      <c r="M1627" t="s">
        <v>5127</v>
      </c>
    </row>
    <row r="1628" spans="1:13" x14ac:dyDescent="0.35">
      <c r="A1628" t="s">
        <v>4233</v>
      </c>
      <c r="B1628">
        <v>1821140</v>
      </c>
      <c r="C1628">
        <v>1821802</v>
      </c>
      <c r="E1628" t="s">
        <v>36</v>
      </c>
      <c r="F1628" t="s">
        <v>750</v>
      </c>
      <c r="H1628">
        <v>29242176</v>
      </c>
      <c r="I1628" t="s">
        <v>16</v>
      </c>
      <c r="K1628" t="s">
        <v>5126</v>
      </c>
      <c r="L1628">
        <v>220</v>
      </c>
      <c r="M1628" t="s">
        <v>5125</v>
      </c>
    </row>
    <row r="1629" spans="1:13" x14ac:dyDescent="0.35">
      <c r="A1629" t="s">
        <v>4233</v>
      </c>
      <c r="B1629">
        <v>1821920</v>
      </c>
      <c r="C1629">
        <v>1822720</v>
      </c>
      <c r="E1629" t="s">
        <v>36</v>
      </c>
      <c r="F1629" t="s">
        <v>747</v>
      </c>
      <c r="H1629">
        <v>29242177</v>
      </c>
      <c r="I1629" t="s">
        <v>16</v>
      </c>
      <c r="K1629" t="s">
        <v>5124</v>
      </c>
      <c r="L1629">
        <v>266</v>
      </c>
      <c r="M1629" t="s">
        <v>5123</v>
      </c>
    </row>
    <row r="1630" spans="1:13" x14ac:dyDescent="0.35">
      <c r="A1630" t="s">
        <v>4233</v>
      </c>
      <c r="B1630">
        <v>1822925</v>
      </c>
      <c r="C1630">
        <v>1823338</v>
      </c>
      <c r="E1630" t="s">
        <v>13</v>
      </c>
      <c r="F1630" t="s">
        <v>1051</v>
      </c>
      <c r="H1630">
        <v>29242178</v>
      </c>
      <c r="I1630" t="s">
        <v>16</v>
      </c>
      <c r="K1630" t="s">
        <v>5122</v>
      </c>
      <c r="L1630">
        <v>137</v>
      </c>
      <c r="M1630" t="s">
        <v>5121</v>
      </c>
    </row>
    <row r="1631" spans="1:13" x14ac:dyDescent="0.35">
      <c r="A1631" t="s">
        <v>4233</v>
      </c>
      <c r="B1631">
        <v>1823483</v>
      </c>
      <c r="C1631">
        <v>1824520</v>
      </c>
      <c r="E1631" t="s">
        <v>36</v>
      </c>
      <c r="F1631" t="s">
        <v>110</v>
      </c>
      <c r="H1631">
        <v>29242179</v>
      </c>
      <c r="I1631" t="s">
        <v>16</v>
      </c>
      <c r="K1631" t="s">
        <v>5120</v>
      </c>
      <c r="L1631">
        <v>345</v>
      </c>
      <c r="M1631" t="s">
        <v>5119</v>
      </c>
    </row>
    <row r="1632" spans="1:13" x14ac:dyDescent="0.35">
      <c r="A1632" t="s">
        <v>4233</v>
      </c>
      <c r="B1632">
        <v>1824741</v>
      </c>
      <c r="C1632">
        <v>1825466</v>
      </c>
      <c r="E1632" t="s">
        <v>36</v>
      </c>
      <c r="F1632" t="s">
        <v>1207</v>
      </c>
      <c r="H1632">
        <v>29242180</v>
      </c>
      <c r="I1632" t="s">
        <v>16</v>
      </c>
      <c r="K1632" t="s">
        <v>5118</v>
      </c>
      <c r="L1632">
        <v>241</v>
      </c>
      <c r="M1632" t="s">
        <v>5117</v>
      </c>
    </row>
    <row r="1633" spans="1:13" x14ac:dyDescent="0.35">
      <c r="A1633" t="s">
        <v>4233</v>
      </c>
      <c r="B1633">
        <v>1825626</v>
      </c>
      <c r="C1633">
        <v>1826363</v>
      </c>
      <c r="E1633" t="s">
        <v>36</v>
      </c>
      <c r="F1633" t="s">
        <v>5116</v>
      </c>
      <c r="H1633">
        <v>29242181</v>
      </c>
      <c r="I1633" t="s">
        <v>16</v>
      </c>
      <c r="K1633" t="s">
        <v>5115</v>
      </c>
      <c r="L1633">
        <v>245</v>
      </c>
      <c r="M1633" t="s">
        <v>5114</v>
      </c>
    </row>
    <row r="1634" spans="1:13" x14ac:dyDescent="0.35">
      <c r="A1634" t="s">
        <v>4233</v>
      </c>
      <c r="B1634">
        <v>1826465</v>
      </c>
      <c r="C1634">
        <v>1827424</v>
      </c>
      <c r="E1634" t="s">
        <v>36</v>
      </c>
      <c r="F1634" t="s">
        <v>1257</v>
      </c>
      <c r="H1634">
        <v>29242182</v>
      </c>
      <c r="I1634" t="s">
        <v>16</v>
      </c>
      <c r="K1634" t="s">
        <v>5113</v>
      </c>
      <c r="L1634">
        <v>319</v>
      </c>
      <c r="M1634" t="s">
        <v>5112</v>
      </c>
    </row>
    <row r="1635" spans="1:13" x14ac:dyDescent="0.35">
      <c r="A1635" t="s">
        <v>4233</v>
      </c>
      <c r="B1635">
        <v>1827678</v>
      </c>
      <c r="C1635">
        <v>1828814</v>
      </c>
      <c r="E1635" t="s">
        <v>13</v>
      </c>
      <c r="F1635" t="s">
        <v>5111</v>
      </c>
      <c r="G1635" t="s">
        <v>5110</v>
      </c>
      <c r="H1635">
        <v>29242183</v>
      </c>
      <c r="I1635" t="s">
        <v>16</v>
      </c>
      <c r="K1635" t="s">
        <v>5109</v>
      </c>
      <c r="L1635">
        <v>378</v>
      </c>
      <c r="M1635" t="s">
        <v>5108</v>
      </c>
    </row>
    <row r="1636" spans="1:13" x14ac:dyDescent="0.35">
      <c r="A1636" t="s">
        <v>4233</v>
      </c>
      <c r="B1636">
        <v>1828910</v>
      </c>
      <c r="C1636">
        <v>1829164</v>
      </c>
      <c r="E1636" t="s">
        <v>13</v>
      </c>
      <c r="F1636" t="s">
        <v>40</v>
      </c>
      <c r="H1636">
        <v>29242184</v>
      </c>
      <c r="I1636" t="s">
        <v>16</v>
      </c>
      <c r="K1636" t="s">
        <v>5107</v>
      </c>
      <c r="L1636">
        <v>84</v>
      </c>
      <c r="M1636" t="s">
        <v>5106</v>
      </c>
    </row>
    <row r="1637" spans="1:13" x14ac:dyDescent="0.35">
      <c r="A1637" t="s">
        <v>4233</v>
      </c>
      <c r="B1637">
        <v>1829165</v>
      </c>
      <c r="C1637">
        <v>1830358</v>
      </c>
      <c r="E1637" t="s">
        <v>36</v>
      </c>
      <c r="F1637" t="s">
        <v>75</v>
      </c>
      <c r="H1637">
        <v>29242185</v>
      </c>
      <c r="I1637" t="s">
        <v>16</v>
      </c>
      <c r="K1637" t="s">
        <v>5105</v>
      </c>
      <c r="L1637">
        <v>397</v>
      </c>
      <c r="M1637" t="s">
        <v>5104</v>
      </c>
    </row>
    <row r="1638" spans="1:13" x14ac:dyDescent="0.35">
      <c r="A1638" t="s">
        <v>4233</v>
      </c>
      <c r="B1638">
        <v>1830550</v>
      </c>
      <c r="C1638">
        <v>1831224</v>
      </c>
      <c r="E1638" t="s">
        <v>13</v>
      </c>
      <c r="F1638" t="s">
        <v>330</v>
      </c>
      <c r="G1638" t="s">
        <v>331</v>
      </c>
      <c r="H1638">
        <v>29242186</v>
      </c>
      <c r="I1638" t="s">
        <v>16</v>
      </c>
      <c r="K1638" t="s">
        <v>5103</v>
      </c>
      <c r="L1638">
        <v>224</v>
      </c>
      <c r="M1638" t="s">
        <v>5102</v>
      </c>
    </row>
    <row r="1639" spans="1:13" x14ac:dyDescent="0.35">
      <c r="A1639" t="s">
        <v>4233</v>
      </c>
      <c r="B1639">
        <v>1831594</v>
      </c>
      <c r="C1639">
        <v>1832334</v>
      </c>
      <c r="E1639" t="s">
        <v>36</v>
      </c>
      <c r="F1639" t="s">
        <v>5101</v>
      </c>
      <c r="H1639">
        <v>29242187</v>
      </c>
      <c r="I1639" t="s">
        <v>16</v>
      </c>
      <c r="K1639" t="s">
        <v>5100</v>
      </c>
      <c r="L1639">
        <v>246</v>
      </c>
      <c r="M1639" t="s">
        <v>5099</v>
      </c>
    </row>
    <row r="1640" spans="1:13" x14ac:dyDescent="0.35">
      <c r="A1640" t="s">
        <v>4233</v>
      </c>
      <c r="B1640">
        <v>1832472</v>
      </c>
      <c r="C1640">
        <v>1833437</v>
      </c>
      <c r="E1640" t="s">
        <v>36</v>
      </c>
      <c r="F1640" t="s">
        <v>5098</v>
      </c>
      <c r="G1640" t="s">
        <v>5097</v>
      </c>
      <c r="H1640">
        <v>29242188</v>
      </c>
      <c r="I1640" t="s">
        <v>16</v>
      </c>
      <c r="K1640" t="s">
        <v>5096</v>
      </c>
      <c r="L1640">
        <v>321</v>
      </c>
      <c r="M1640" t="s">
        <v>5095</v>
      </c>
    </row>
    <row r="1641" spans="1:13" x14ac:dyDescent="0.35">
      <c r="A1641" t="s">
        <v>4233</v>
      </c>
      <c r="B1641">
        <v>1833595</v>
      </c>
      <c r="C1641">
        <v>1835277</v>
      </c>
      <c r="E1641" t="s">
        <v>36</v>
      </c>
      <c r="F1641" t="s">
        <v>213</v>
      </c>
      <c r="G1641" t="s">
        <v>214</v>
      </c>
      <c r="H1641">
        <v>29242189</v>
      </c>
      <c r="I1641" t="s">
        <v>16</v>
      </c>
      <c r="K1641" t="s">
        <v>5094</v>
      </c>
      <c r="L1641">
        <v>560</v>
      </c>
      <c r="M1641" t="s">
        <v>5093</v>
      </c>
    </row>
    <row r="1642" spans="1:13" x14ac:dyDescent="0.35">
      <c r="A1642" t="s">
        <v>4233</v>
      </c>
      <c r="B1642">
        <v>1835372</v>
      </c>
      <c r="C1642">
        <v>1835445</v>
      </c>
      <c r="E1642" t="s">
        <v>13</v>
      </c>
      <c r="F1642" t="s">
        <v>217</v>
      </c>
      <c r="H1642">
        <v>29242190</v>
      </c>
      <c r="I1642" t="s">
        <v>39</v>
      </c>
      <c r="M1642" t="s">
        <v>5092</v>
      </c>
    </row>
    <row r="1643" spans="1:13" x14ac:dyDescent="0.35">
      <c r="A1643" t="s">
        <v>4233</v>
      </c>
      <c r="B1643">
        <v>1835637</v>
      </c>
      <c r="C1643">
        <v>1835912</v>
      </c>
      <c r="E1643" t="s">
        <v>13</v>
      </c>
      <c r="F1643" t="s">
        <v>5091</v>
      </c>
      <c r="H1643">
        <v>29242191</v>
      </c>
      <c r="I1643" t="s">
        <v>16</v>
      </c>
      <c r="K1643" t="s">
        <v>5090</v>
      </c>
      <c r="L1643">
        <v>91</v>
      </c>
      <c r="M1643" t="s">
        <v>5089</v>
      </c>
    </row>
    <row r="1644" spans="1:13" x14ac:dyDescent="0.35">
      <c r="A1644" t="s">
        <v>4233</v>
      </c>
      <c r="B1644">
        <v>1836027</v>
      </c>
      <c r="C1644">
        <v>1837217</v>
      </c>
      <c r="E1644" t="s">
        <v>13</v>
      </c>
      <c r="F1644" t="s">
        <v>121</v>
      </c>
      <c r="H1644">
        <v>29242192</v>
      </c>
      <c r="I1644" t="s">
        <v>16</v>
      </c>
      <c r="K1644" t="s">
        <v>5088</v>
      </c>
      <c r="L1644">
        <v>396</v>
      </c>
      <c r="M1644" t="s">
        <v>5087</v>
      </c>
    </row>
    <row r="1645" spans="1:13" x14ac:dyDescent="0.35">
      <c r="A1645" t="s">
        <v>4233</v>
      </c>
      <c r="B1645">
        <v>1837301</v>
      </c>
      <c r="C1645">
        <v>1839502</v>
      </c>
      <c r="E1645" t="s">
        <v>13</v>
      </c>
      <c r="F1645" t="s">
        <v>5086</v>
      </c>
      <c r="H1645">
        <v>29242193</v>
      </c>
      <c r="I1645" t="s">
        <v>16</v>
      </c>
      <c r="K1645" t="s">
        <v>5085</v>
      </c>
      <c r="L1645">
        <v>733</v>
      </c>
      <c r="M1645" t="s">
        <v>5084</v>
      </c>
    </row>
    <row r="1646" spans="1:13" x14ac:dyDescent="0.35">
      <c r="A1646" t="s">
        <v>4233</v>
      </c>
      <c r="B1646">
        <v>1839512</v>
      </c>
      <c r="C1646">
        <v>1840144</v>
      </c>
      <c r="E1646" t="s">
        <v>13</v>
      </c>
      <c r="F1646" t="s">
        <v>5083</v>
      </c>
      <c r="H1646">
        <v>29242194</v>
      </c>
      <c r="I1646" t="s">
        <v>16</v>
      </c>
      <c r="K1646" t="s">
        <v>5082</v>
      </c>
      <c r="L1646">
        <v>210</v>
      </c>
      <c r="M1646" t="s">
        <v>5081</v>
      </c>
    </row>
    <row r="1647" spans="1:13" x14ac:dyDescent="0.35">
      <c r="A1647" t="s">
        <v>4233</v>
      </c>
      <c r="B1647">
        <v>1840162</v>
      </c>
      <c r="C1647">
        <v>1841886</v>
      </c>
      <c r="E1647" t="s">
        <v>36</v>
      </c>
      <c r="F1647" t="s">
        <v>5080</v>
      </c>
      <c r="H1647">
        <v>29242195</v>
      </c>
      <c r="I1647" t="s">
        <v>16</v>
      </c>
      <c r="K1647" t="s">
        <v>5079</v>
      </c>
      <c r="L1647">
        <v>574</v>
      </c>
      <c r="M1647" t="s">
        <v>5078</v>
      </c>
    </row>
    <row r="1648" spans="1:13" x14ac:dyDescent="0.35">
      <c r="A1648" t="s">
        <v>4233</v>
      </c>
      <c r="B1648">
        <v>1842007</v>
      </c>
      <c r="C1648">
        <v>1842726</v>
      </c>
      <c r="E1648" t="s">
        <v>36</v>
      </c>
      <c r="F1648" t="s">
        <v>133</v>
      </c>
      <c r="H1648">
        <v>29242196</v>
      </c>
      <c r="I1648" t="s">
        <v>16</v>
      </c>
      <c r="K1648" t="s">
        <v>5077</v>
      </c>
      <c r="L1648">
        <v>239</v>
      </c>
      <c r="M1648" t="s">
        <v>5076</v>
      </c>
    </row>
    <row r="1649" spans="1:13" x14ac:dyDescent="0.35">
      <c r="A1649" t="s">
        <v>4233</v>
      </c>
      <c r="B1649">
        <v>1842723</v>
      </c>
      <c r="C1649">
        <v>1844405</v>
      </c>
      <c r="E1649" t="s">
        <v>36</v>
      </c>
      <c r="F1649" t="s">
        <v>1174</v>
      </c>
      <c r="H1649">
        <v>29242197</v>
      </c>
      <c r="I1649" t="s">
        <v>16</v>
      </c>
      <c r="K1649" t="s">
        <v>5075</v>
      </c>
      <c r="L1649">
        <v>560</v>
      </c>
      <c r="M1649" t="s">
        <v>5074</v>
      </c>
    </row>
    <row r="1650" spans="1:13" x14ac:dyDescent="0.35">
      <c r="A1650" t="s">
        <v>4233</v>
      </c>
      <c r="B1650">
        <v>1844534</v>
      </c>
      <c r="C1650">
        <v>1845820</v>
      </c>
      <c r="E1650" t="s">
        <v>13</v>
      </c>
      <c r="F1650" t="s">
        <v>96</v>
      </c>
      <c r="H1650">
        <v>29242198</v>
      </c>
      <c r="I1650" t="s">
        <v>16</v>
      </c>
      <c r="K1650" t="s">
        <v>5073</v>
      </c>
      <c r="L1650">
        <v>428</v>
      </c>
      <c r="M1650" t="s">
        <v>5072</v>
      </c>
    </row>
    <row r="1651" spans="1:13" x14ac:dyDescent="0.35">
      <c r="A1651" t="s">
        <v>4233</v>
      </c>
      <c r="B1651">
        <v>1845817</v>
      </c>
      <c r="C1651">
        <v>1846500</v>
      </c>
      <c r="E1651" t="s">
        <v>13</v>
      </c>
      <c r="F1651" t="s">
        <v>608</v>
      </c>
      <c r="H1651">
        <v>29242199</v>
      </c>
      <c r="I1651" t="s">
        <v>16</v>
      </c>
      <c r="K1651" t="s">
        <v>5071</v>
      </c>
      <c r="L1651">
        <v>227</v>
      </c>
      <c r="M1651" t="s">
        <v>5070</v>
      </c>
    </row>
    <row r="1652" spans="1:13" x14ac:dyDescent="0.35">
      <c r="A1652" t="s">
        <v>4233</v>
      </c>
      <c r="B1652">
        <v>1846626</v>
      </c>
      <c r="C1652">
        <v>1847648</v>
      </c>
      <c r="E1652" t="s">
        <v>36</v>
      </c>
      <c r="F1652" t="s">
        <v>1065</v>
      </c>
      <c r="G1652" t="s">
        <v>1066</v>
      </c>
      <c r="H1652">
        <v>29242200</v>
      </c>
      <c r="I1652" t="s">
        <v>16</v>
      </c>
      <c r="K1652" t="s">
        <v>5069</v>
      </c>
      <c r="L1652">
        <v>340</v>
      </c>
      <c r="M1652" t="s">
        <v>5068</v>
      </c>
    </row>
    <row r="1653" spans="1:13" x14ac:dyDescent="0.35">
      <c r="A1653" t="s">
        <v>4233</v>
      </c>
      <c r="B1653">
        <v>1847787</v>
      </c>
      <c r="C1653">
        <v>1848857</v>
      </c>
      <c r="E1653" t="s">
        <v>36</v>
      </c>
      <c r="F1653" t="s">
        <v>5067</v>
      </c>
      <c r="G1653" t="s">
        <v>5066</v>
      </c>
      <c r="H1653">
        <v>29242201</v>
      </c>
      <c r="I1653" t="s">
        <v>16</v>
      </c>
      <c r="K1653" t="s">
        <v>5065</v>
      </c>
      <c r="L1653">
        <v>356</v>
      </c>
      <c r="M1653" t="s">
        <v>5064</v>
      </c>
    </row>
    <row r="1654" spans="1:13" x14ac:dyDescent="0.35">
      <c r="A1654" t="s">
        <v>4233</v>
      </c>
      <c r="B1654">
        <v>1849234</v>
      </c>
      <c r="C1654">
        <v>1851486</v>
      </c>
      <c r="E1654" t="s">
        <v>36</v>
      </c>
      <c r="F1654" t="s">
        <v>5063</v>
      </c>
      <c r="G1654" t="s">
        <v>5062</v>
      </c>
      <c r="H1654">
        <v>29242202</v>
      </c>
      <c r="I1654" t="s">
        <v>16</v>
      </c>
      <c r="K1654" t="s">
        <v>5061</v>
      </c>
      <c r="L1654">
        <v>750</v>
      </c>
      <c r="M1654" t="s">
        <v>5060</v>
      </c>
    </row>
    <row r="1655" spans="1:13" x14ac:dyDescent="0.35">
      <c r="A1655" t="s">
        <v>4233</v>
      </c>
      <c r="B1655">
        <v>1851700</v>
      </c>
      <c r="C1655">
        <v>1852650</v>
      </c>
      <c r="E1655" t="s">
        <v>36</v>
      </c>
      <c r="F1655" t="s">
        <v>453</v>
      </c>
      <c r="H1655">
        <v>29242203</v>
      </c>
      <c r="I1655" t="s">
        <v>16</v>
      </c>
      <c r="K1655" t="s">
        <v>5059</v>
      </c>
      <c r="L1655">
        <v>316</v>
      </c>
      <c r="M1655" t="s">
        <v>5058</v>
      </c>
    </row>
    <row r="1656" spans="1:13" x14ac:dyDescent="0.35">
      <c r="A1656" t="s">
        <v>4233</v>
      </c>
      <c r="B1656">
        <v>1852650</v>
      </c>
      <c r="C1656">
        <v>1853621</v>
      </c>
      <c r="E1656" t="s">
        <v>36</v>
      </c>
      <c r="F1656" t="s">
        <v>453</v>
      </c>
      <c r="H1656">
        <v>29242204</v>
      </c>
      <c r="I1656" t="s">
        <v>16</v>
      </c>
      <c r="K1656" t="s">
        <v>5057</v>
      </c>
      <c r="L1656">
        <v>323</v>
      </c>
      <c r="M1656" t="s">
        <v>5056</v>
      </c>
    </row>
    <row r="1657" spans="1:13" x14ac:dyDescent="0.35">
      <c r="A1657" t="s">
        <v>4233</v>
      </c>
      <c r="B1657">
        <v>1853811</v>
      </c>
      <c r="C1657">
        <v>1855127</v>
      </c>
      <c r="E1657" t="s">
        <v>36</v>
      </c>
      <c r="F1657" t="s">
        <v>590</v>
      </c>
      <c r="H1657">
        <v>29242205</v>
      </c>
      <c r="I1657" t="s">
        <v>16</v>
      </c>
      <c r="K1657" t="s">
        <v>5055</v>
      </c>
      <c r="L1657">
        <v>438</v>
      </c>
      <c r="M1657" t="s">
        <v>5054</v>
      </c>
    </row>
    <row r="1658" spans="1:13" x14ac:dyDescent="0.35">
      <c r="A1658" t="s">
        <v>4233</v>
      </c>
      <c r="B1658">
        <v>1855393</v>
      </c>
      <c r="C1658">
        <v>1855477</v>
      </c>
      <c r="E1658" t="s">
        <v>36</v>
      </c>
      <c r="F1658" t="s">
        <v>421</v>
      </c>
      <c r="H1658">
        <v>29242206</v>
      </c>
      <c r="I1658" t="s">
        <v>39</v>
      </c>
      <c r="M1658" t="s">
        <v>5053</v>
      </c>
    </row>
    <row r="1659" spans="1:13" x14ac:dyDescent="0.35">
      <c r="A1659" t="s">
        <v>4233</v>
      </c>
      <c r="B1659">
        <v>1855603</v>
      </c>
      <c r="C1659">
        <v>1856889</v>
      </c>
      <c r="E1659" t="s">
        <v>36</v>
      </c>
      <c r="F1659" t="s">
        <v>1184</v>
      </c>
      <c r="G1659" t="s">
        <v>1185</v>
      </c>
      <c r="H1659">
        <v>29242207</v>
      </c>
      <c r="I1659" t="s">
        <v>16</v>
      </c>
      <c r="K1659" t="s">
        <v>5052</v>
      </c>
      <c r="L1659">
        <v>428</v>
      </c>
      <c r="M1659" t="s">
        <v>5051</v>
      </c>
    </row>
    <row r="1660" spans="1:13" x14ac:dyDescent="0.35">
      <c r="A1660" t="s">
        <v>4233</v>
      </c>
      <c r="B1660">
        <v>1857129</v>
      </c>
      <c r="C1660">
        <v>1858310</v>
      </c>
      <c r="E1660" t="s">
        <v>13</v>
      </c>
      <c r="F1660" t="s">
        <v>5050</v>
      </c>
      <c r="H1660">
        <v>29242208</v>
      </c>
      <c r="I1660" t="s">
        <v>16</v>
      </c>
      <c r="K1660" t="s">
        <v>5049</v>
      </c>
      <c r="L1660">
        <v>393</v>
      </c>
      <c r="M1660" t="s">
        <v>5048</v>
      </c>
    </row>
    <row r="1661" spans="1:13" x14ac:dyDescent="0.35">
      <c r="A1661" t="s">
        <v>4233</v>
      </c>
      <c r="B1661">
        <v>1858312</v>
      </c>
      <c r="C1661">
        <v>1859205</v>
      </c>
      <c r="E1661" t="s">
        <v>36</v>
      </c>
      <c r="F1661" t="s">
        <v>601</v>
      </c>
      <c r="H1661">
        <v>29242209</v>
      </c>
      <c r="I1661" t="s">
        <v>16</v>
      </c>
      <c r="K1661" t="s">
        <v>5047</v>
      </c>
      <c r="L1661">
        <v>297</v>
      </c>
      <c r="M1661" t="s">
        <v>5046</v>
      </c>
    </row>
    <row r="1662" spans="1:13" x14ac:dyDescent="0.35">
      <c r="A1662" t="s">
        <v>4233</v>
      </c>
      <c r="B1662">
        <v>1859257</v>
      </c>
      <c r="C1662">
        <v>1861347</v>
      </c>
      <c r="E1662" t="s">
        <v>36</v>
      </c>
      <c r="F1662" t="s">
        <v>1159</v>
      </c>
      <c r="H1662">
        <v>29242210</v>
      </c>
      <c r="I1662" t="s">
        <v>16</v>
      </c>
      <c r="K1662" t="s">
        <v>5045</v>
      </c>
      <c r="L1662">
        <v>696</v>
      </c>
      <c r="M1662" t="s">
        <v>5044</v>
      </c>
    </row>
    <row r="1663" spans="1:13" x14ac:dyDescent="0.35">
      <c r="A1663" t="s">
        <v>4233</v>
      </c>
      <c r="B1663">
        <v>1861843</v>
      </c>
      <c r="C1663">
        <v>1863519</v>
      </c>
      <c r="E1663" t="s">
        <v>13</v>
      </c>
      <c r="F1663" t="s">
        <v>5043</v>
      </c>
      <c r="G1663" t="s">
        <v>5042</v>
      </c>
      <c r="H1663">
        <v>29242211</v>
      </c>
      <c r="I1663" t="s">
        <v>16</v>
      </c>
      <c r="K1663" t="s">
        <v>5041</v>
      </c>
      <c r="L1663">
        <v>558</v>
      </c>
      <c r="M1663" t="s">
        <v>5040</v>
      </c>
    </row>
    <row r="1664" spans="1:13" x14ac:dyDescent="0.35">
      <c r="A1664" t="s">
        <v>4233</v>
      </c>
      <c r="B1664">
        <v>1864103</v>
      </c>
      <c r="C1664">
        <v>1865170</v>
      </c>
      <c r="E1664" t="s">
        <v>36</v>
      </c>
      <c r="F1664" t="s">
        <v>40</v>
      </c>
      <c r="H1664">
        <v>29242212</v>
      </c>
      <c r="I1664" t="s">
        <v>16</v>
      </c>
      <c r="K1664" t="s">
        <v>5039</v>
      </c>
      <c r="L1664">
        <v>355</v>
      </c>
      <c r="M1664" t="s">
        <v>5038</v>
      </c>
    </row>
    <row r="1665" spans="1:13" x14ac:dyDescent="0.35">
      <c r="A1665" t="s">
        <v>4233</v>
      </c>
      <c r="B1665">
        <v>1865366</v>
      </c>
      <c r="C1665">
        <v>1865797</v>
      </c>
      <c r="E1665" t="s">
        <v>13</v>
      </c>
      <c r="F1665" t="s">
        <v>826</v>
      </c>
      <c r="H1665">
        <v>29242213</v>
      </c>
      <c r="I1665" t="s">
        <v>16</v>
      </c>
      <c r="K1665" t="s">
        <v>5037</v>
      </c>
      <c r="L1665">
        <v>143</v>
      </c>
      <c r="M1665" t="s">
        <v>5036</v>
      </c>
    </row>
    <row r="1666" spans="1:13" x14ac:dyDescent="0.35">
      <c r="A1666" t="s">
        <v>4233</v>
      </c>
      <c r="B1666">
        <v>1866081</v>
      </c>
      <c r="C1666">
        <v>1867589</v>
      </c>
      <c r="E1666" t="s">
        <v>13</v>
      </c>
      <c r="F1666" t="s">
        <v>897</v>
      </c>
      <c r="H1666">
        <v>29242214</v>
      </c>
      <c r="I1666" t="s">
        <v>16</v>
      </c>
      <c r="K1666" t="s">
        <v>5035</v>
      </c>
      <c r="L1666">
        <v>502</v>
      </c>
      <c r="M1666" t="s">
        <v>5034</v>
      </c>
    </row>
    <row r="1667" spans="1:13" x14ac:dyDescent="0.35">
      <c r="A1667" t="s">
        <v>4233</v>
      </c>
      <c r="B1667">
        <v>1867695</v>
      </c>
      <c r="C1667">
        <v>1868738</v>
      </c>
      <c r="E1667" t="s">
        <v>13</v>
      </c>
      <c r="F1667" t="s">
        <v>5033</v>
      </c>
      <c r="H1667">
        <v>29242215</v>
      </c>
      <c r="I1667" t="s">
        <v>16</v>
      </c>
      <c r="K1667" t="s">
        <v>5032</v>
      </c>
      <c r="L1667">
        <v>347</v>
      </c>
      <c r="M1667" t="s">
        <v>5031</v>
      </c>
    </row>
    <row r="1668" spans="1:13" x14ac:dyDescent="0.35">
      <c r="A1668" t="s">
        <v>4233</v>
      </c>
      <c r="B1668">
        <v>1868869</v>
      </c>
      <c r="C1668">
        <v>1869567</v>
      </c>
      <c r="E1668" t="s">
        <v>13</v>
      </c>
      <c r="F1668" t="s">
        <v>494</v>
      </c>
      <c r="G1668" t="s">
        <v>495</v>
      </c>
      <c r="H1668">
        <v>29242216</v>
      </c>
      <c r="I1668" t="s">
        <v>16</v>
      </c>
      <c r="K1668" t="s">
        <v>5030</v>
      </c>
      <c r="L1668">
        <v>232</v>
      </c>
      <c r="M1668" t="s">
        <v>5029</v>
      </c>
    </row>
    <row r="1669" spans="1:13" x14ac:dyDescent="0.35">
      <c r="A1669" t="s">
        <v>4233</v>
      </c>
      <c r="B1669">
        <v>1869757</v>
      </c>
      <c r="C1669">
        <v>1869846</v>
      </c>
      <c r="E1669" t="s">
        <v>36</v>
      </c>
      <c r="F1669" t="s">
        <v>5028</v>
      </c>
      <c r="H1669">
        <v>31600506</v>
      </c>
      <c r="I1669" t="s">
        <v>16</v>
      </c>
      <c r="K1669" t="s">
        <v>5027</v>
      </c>
      <c r="L1669">
        <v>29</v>
      </c>
      <c r="M1669" t="s">
        <v>5026</v>
      </c>
    </row>
    <row r="1670" spans="1:13" x14ac:dyDescent="0.35">
      <c r="A1670" t="s">
        <v>4233</v>
      </c>
      <c r="B1670">
        <v>1869996</v>
      </c>
      <c r="C1670">
        <v>1870619</v>
      </c>
      <c r="E1670" t="s">
        <v>36</v>
      </c>
      <c r="F1670" t="s">
        <v>40</v>
      </c>
      <c r="H1670">
        <v>29242217</v>
      </c>
      <c r="I1670" t="s">
        <v>16</v>
      </c>
      <c r="K1670" t="s">
        <v>5025</v>
      </c>
      <c r="L1670">
        <v>207</v>
      </c>
      <c r="M1670" t="s">
        <v>5024</v>
      </c>
    </row>
    <row r="1671" spans="1:13" x14ac:dyDescent="0.35">
      <c r="A1671" t="s">
        <v>4233</v>
      </c>
      <c r="B1671">
        <v>1870739</v>
      </c>
      <c r="C1671">
        <v>1872238</v>
      </c>
      <c r="E1671" t="s">
        <v>13</v>
      </c>
      <c r="F1671" t="s">
        <v>298</v>
      </c>
      <c r="H1671">
        <v>29242218</v>
      </c>
      <c r="I1671" t="s">
        <v>16</v>
      </c>
      <c r="K1671" t="s">
        <v>5023</v>
      </c>
      <c r="L1671">
        <v>499</v>
      </c>
      <c r="M1671" t="s">
        <v>5022</v>
      </c>
    </row>
    <row r="1672" spans="1:13" x14ac:dyDescent="0.35">
      <c r="A1672" t="s">
        <v>4233</v>
      </c>
      <c r="B1672">
        <v>1872248</v>
      </c>
      <c r="C1672">
        <v>1873372</v>
      </c>
      <c r="E1672" t="s">
        <v>36</v>
      </c>
      <c r="F1672" t="s">
        <v>5021</v>
      </c>
      <c r="H1672">
        <v>29242219</v>
      </c>
      <c r="I1672" t="s">
        <v>16</v>
      </c>
      <c r="K1672" t="s">
        <v>5020</v>
      </c>
      <c r="L1672">
        <v>374</v>
      </c>
      <c r="M1672" t="s">
        <v>5019</v>
      </c>
    </row>
    <row r="1673" spans="1:13" x14ac:dyDescent="0.35">
      <c r="A1673" t="s">
        <v>4233</v>
      </c>
      <c r="B1673">
        <v>1873427</v>
      </c>
      <c r="C1673">
        <v>1874581</v>
      </c>
      <c r="E1673" t="s">
        <v>36</v>
      </c>
      <c r="F1673" t="s">
        <v>650</v>
      </c>
      <c r="H1673">
        <v>29242220</v>
      </c>
      <c r="I1673" t="s">
        <v>16</v>
      </c>
      <c r="K1673" t="s">
        <v>5018</v>
      </c>
      <c r="L1673">
        <v>384</v>
      </c>
      <c r="M1673" t="s">
        <v>5017</v>
      </c>
    </row>
    <row r="1674" spans="1:13" x14ac:dyDescent="0.35">
      <c r="A1674" t="s">
        <v>4233</v>
      </c>
      <c r="B1674">
        <v>1874675</v>
      </c>
      <c r="C1674">
        <v>1875160</v>
      </c>
      <c r="E1674" t="s">
        <v>36</v>
      </c>
      <c r="F1674" t="s">
        <v>5016</v>
      </c>
      <c r="G1674" t="s">
        <v>5015</v>
      </c>
      <c r="H1674">
        <v>29242221</v>
      </c>
      <c r="I1674" t="s">
        <v>16</v>
      </c>
      <c r="K1674" t="s">
        <v>5014</v>
      </c>
      <c r="L1674">
        <v>161</v>
      </c>
      <c r="M1674" t="s">
        <v>5013</v>
      </c>
    </row>
    <row r="1675" spans="1:13" x14ac:dyDescent="0.35">
      <c r="A1675" t="s">
        <v>4233</v>
      </c>
      <c r="B1675">
        <v>1875429</v>
      </c>
      <c r="C1675">
        <v>1878251</v>
      </c>
      <c r="E1675" t="s">
        <v>36</v>
      </c>
      <c r="F1675" t="s">
        <v>920</v>
      </c>
      <c r="G1675" t="s">
        <v>921</v>
      </c>
      <c r="H1675">
        <v>29242222</v>
      </c>
      <c r="I1675" t="s">
        <v>16</v>
      </c>
      <c r="K1675" t="s">
        <v>5012</v>
      </c>
      <c r="L1675">
        <v>940</v>
      </c>
      <c r="M1675" t="s">
        <v>5011</v>
      </c>
    </row>
    <row r="1676" spans="1:13" x14ac:dyDescent="0.35">
      <c r="A1676" t="s">
        <v>4233</v>
      </c>
      <c r="B1676">
        <v>1878527</v>
      </c>
      <c r="C1676">
        <v>1879582</v>
      </c>
      <c r="E1676" t="s">
        <v>36</v>
      </c>
      <c r="F1676" t="s">
        <v>922</v>
      </c>
      <c r="G1676" t="s">
        <v>923</v>
      </c>
      <c r="H1676">
        <v>29242223</v>
      </c>
      <c r="I1676" t="s">
        <v>16</v>
      </c>
      <c r="K1676" t="s">
        <v>5010</v>
      </c>
      <c r="L1676">
        <v>351</v>
      </c>
      <c r="M1676" t="s">
        <v>5009</v>
      </c>
    </row>
    <row r="1677" spans="1:13" x14ac:dyDescent="0.35">
      <c r="A1677" t="s">
        <v>4233</v>
      </c>
      <c r="B1677">
        <v>1879786</v>
      </c>
      <c r="C1677">
        <v>1880514</v>
      </c>
      <c r="E1677" t="s">
        <v>13</v>
      </c>
      <c r="F1677" t="s">
        <v>40</v>
      </c>
      <c r="H1677">
        <v>29242224</v>
      </c>
      <c r="I1677" t="s">
        <v>16</v>
      </c>
      <c r="K1677" t="s">
        <v>5008</v>
      </c>
      <c r="L1677">
        <v>242</v>
      </c>
      <c r="M1677" t="s">
        <v>5007</v>
      </c>
    </row>
    <row r="1678" spans="1:13" x14ac:dyDescent="0.35">
      <c r="A1678" t="s">
        <v>4233</v>
      </c>
      <c r="B1678">
        <v>1880572</v>
      </c>
      <c r="C1678">
        <v>1881372</v>
      </c>
      <c r="E1678" t="s">
        <v>36</v>
      </c>
      <c r="F1678" t="s">
        <v>373</v>
      </c>
      <c r="H1678">
        <v>29242225</v>
      </c>
      <c r="I1678" t="s">
        <v>16</v>
      </c>
      <c r="K1678" t="s">
        <v>5006</v>
      </c>
      <c r="L1678">
        <v>266</v>
      </c>
      <c r="M1678" t="s">
        <v>5005</v>
      </c>
    </row>
    <row r="1679" spans="1:13" x14ac:dyDescent="0.35">
      <c r="A1679" t="s">
        <v>4233</v>
      </c>
      <c r="B1679">
        <v>1881430</v>
      </c>
      <c r="C1679">
        <v>1881514</v>
      </c>
      <c r="E1679" t="s">
        <v>36</v>
      </c>
      <c r="F1679" t="s">
        <v>421</v>
      </c>
      <c r="H1679">
        <v>29242226</v>
      </c>
      <c r="I1679" t="s">
        <v>39</v>
      </c>
      <c r="M1679" t="s">
        <v>5004</v>
      </c>
    </row>
    <row r="1680" spans="1:13" x14ac:dyDescent="0.35">
      <c r="A1680" t="s">
        <v>4233</v>
      </c>
      <c r="B1680">
        <v>1881585</v>
      </c>
      <c r="C1680">
        <v>1882385</v>
      </c>
      <c r="E1680" t="s">
        <v>36</v>
      </c>
      <c r="F1680" t="s">
        <v>5003</v>
      </c>
      <c r="H1680">
        <v>29242227</v>
      </c>
      <c r="I1680" t="s">
        <v>16</v>
      </c>
      <c r="K1680" t="s">
        <v>5002</v>
      </c>
      <c r="L1680">
        <v>266</v>
      </c>
      <c r="M1680" t="s">
        <v>5001</v>
      </c>
    </row>
    <row r="1681" spans="1:13" x14ac:dyDescent="0.35">
      <c r="A1681" t="s">
        <v>4233</v>
      </c>
      <c r="B1681">
        <v>1882531</v>
      </c>
      <c r="C1681">
        <v>1884711</v>
      </c>
      <c r="E1681" t="s">
        <v>36</v>
      </c>
      <c r="F1681" t="s">
        <v>5000</v>
      </c>
      <c r="H1681">
        <v>29242228</v>
      </c>
      <c r="I1681" t="s">
        <v>16</v>
      </c>
      <c r="K1681" t="s">
        <v>4999</v>
      </c>
      <c r="L1681">
        <v>726</v>
      </c>
      <c r="M1681" t="s">
        <v>4998</v>
      </c>
    </row>
    <row r="1682" spans="1:13" x14ac:dyDescent="0.35">
      <c r="A1682" t="s">
        <v>4233</v>
      </c>
      <c r="B1682">
        <v>1884872</v>
      </c>
      <c r="C1682">
        <v>1885783</v>
      </c>
      <c r="E1682" t="s">
        <v>36</v>
      </c>
      <c r="F1682" t="s">
        <v>284</v>
      </c>
      <c r="G1682" t="s">
        <v>285</v>
      </c>
      <c r="H1682">
        <v>29242229</v>
      </c>
      <c r="I1682" t="s">
        <v>16</v>
      </c>
      <c r="K1682" t="s">
        <v>4997</v>
      </c>
      <c r="L1682">
        <v>303</v>
      </c>
      <c r="M1682" t="s">
        <v>4996</v>
      </c>
    </row>
    <row r="1683" spans="1:13" x14ac:dyDescent="0.35">
      <c r="A1683" t="s">
        <v>4233</v>
      </c>
      <c r="B1683">
        <v>1885952</v>
      </c>
      <c r="C1683">
        <v>1886479</v>
      </c>
      <c r="E1683" t="s">
        <v>36</v>
      </c>
      <c r="F1683" t="s">
        <v>281</v>
      </c>
      <c r="G1683" t="s">
        <v>282</v>
      </c>
      <c r="H1683">
        <v>29242230</v>
      </c>
      <c r="I1683" t="s">
        <v>16</v>
      </c>
      <c r="K1683" t="s">
        <v>4995</v>
      </c>
      <c r="L1683">
        <v>175</v>
      </c>
      <c r="M1683" t="s">
        <v>4994</v>
      </c>
    </row>
    <row r="1684" spans="1:13" x14ac:dyDescent="0.35">
      <c r="A1684" t="s">
        <v>4233</v>
      </c>
      <c r="B1684">
        <v>1886576</v>
      </c>
      <c r="C1684">
        <v>1887571</v>
      </c>
      <c r="E1684" t="s">
        <v>36</v>
      </c>
      <c r="F1684" t="s">
        <v>280</v>
      </c>
      <c r="H1684">
        <v>29242231</v>
      </c>
      <c r="I1684" t="s">
        <v>16</v>
      </c>
      <c r="K1684" t="s">
        <v>4993</v>
      </c>
      <c r="L1684">
        <v>331</v>
      </c>
      <c r="M1684" t="s">
        <v>4992</v>
      </c>
    </row>
    <row r="1685" spans="1:13" x14ac:dyDescent="0.35">
      <c r="A1685" t="s">
        <v>4233</v>
      </c>
      <c r="B1685">
        <v>1887651</v>
      </c>
      <c r="C1685">
        <v>1888049</v>
      </c>
      <c r="E1685" t="s">
        <v>36</v>
      </c>
      <c r="F1685" t="s">
        <v>278</v>
      </c>
      <c r="G1685" t="s">
        <v>279</v>
      </c>
      <c r="H1685">
        <v>29242232</v>
      </c>
      <c r="I1685" t="s">
        <v>16</v>
      </c>
      <c r="K1685" t="s">
        <v>4991</v>
      </c>
      <c r="L1685">
        <v>132</v>
      </c>
      <c r="M1685" t="s">
        <v>4990</v>
      </c>
    </row>
    <row r="1686" spans="1:13" x14ac:dyDescent="0.35">
      <c r="A1686" t="s">
        <v>4233</v>
      </c>
      <c r="B1686">
        <v>1888137</v>
      </c>
      <c r="C1686">
        <v>1888514</v>
      </c>
      <c r="E1686" t="s">
        <v>36</v>
      </c>
      <c r="F1686" t="s">
        <v>276</v>
      </c>
      <c r="G1686" t="s">
        <v>277</v>
      </c>
      <c r="H1686">
        <v>29242233</v>
      </c>
      <c r="I1686" t="s">
        <v>16</v>
      </c>
      <c r="K1686" t="s">
        <v>4989</v>
      </c>
      <c r="L1686">
        <v>125</v>
      </c>
      <c r="M1686" t="s">
        <v>4988</v>
      </c>
    </row>
    <row r="1687" spans="1:13" x14ac:dyDescent="0.35">
      <c r="A1687" t="s">
        <v>4233</v>
      </c>
      <c r="B1687">
        <v>1888663</v>
      </c>
      <c r="C1687">
        <v>1888776</v>
      </c>
      <c r="E1687" t="s">
        <v>36</v>
      </c>
      <c r="F1687" t="s">
        <v>274</v>
      </c>
      <c r="G1687" t="s">
        <v>275</v>
      </c>
      <c r="H1687">
        <v>29242234</v>
      </c>
      <c r="I1687" t="s">
        <v>16</v>
      </c>
      <c r="K1687" t="s">
        <v>4987</v>
      </c>
      <c r="L1687">
        <v>37</v>
      </c>
      <c r="M1687" t="s">
        <v>4986</v>
      </c>
    </row>
    <row r="1688" spans="1:13" x14ac:dyDescent="0.35">
      <c r="A1688" t="s">
        <v>4233</v>
      </c>
      <c r="B1688">
        <v>1888800</v>
      </c>
      <c r="C1688">
        <v>1889018</v>
      </c>
      <c r="E1688" t="s">
        <v>36</v>
      </c>
      <c r="F1688" t="s">
        <v>272</v>
      </c>
      <c r="G1688" t="s">
        <v>273</v>
      </c>
      <c r="H1688">
        <v>29242235</v>
      </c>
      <c r="I1688" t="s">
        <v>16</v>
      </c>
      <c r="K1688" t="s">
        <v>4985</v>
      </c>
      <c r="L1688">
        <v>72</v>
      </c>
      <c r="M1688" t="s">
        <v>4984</v>
      </c>
    </row>
    <row r="1689" spans="1:13" x14ac:dyDescent="0.35">
      <c r="A1689" t="s">
        <v>4233</v>
      </c>
      <c r="B1689">
        <v>1889171</v>
      </c>
      <c r="C1689">
        <v>1889731</v>
      </c>
      <c r="E1689" t="s">
        <v>36</v>
      </c>
      <c r="F1689" t="s">
        <v>269</v>
      </c>
      <c r="H1689">
        <v>29242236</v>
      </c>
      <c r="I1689" t="s">
        <v>16</v>
      </c>
      <c r="K1689" t="s">
        <v>4983</v>
      </c>
      <c r="L1689">
        <v>186</v>
      </c>
      <c r="M1689" t="s">
        <v>4982</v>
      </c>
    </row>
    <row r="1690" spans="1:13" x14ac:dyDescent="0.35">
      <c r="A1690" t="s">
        <v>4233</v>
      </c>
      <c r="B1690">
        <v>1889883</v>
      </c>
      <c r="C1690">
        <v>1891220</v>
      </c>
      <c r="E1690" t="s">
        <v>36</v>
      </c>
      <c r="F1690" t="s">
        <v>267</v>
      </c>
      <c r="G1690" t="s">
        <v>268</v>
      </c>
      <c r="H1690">
        <v>29242237</v>
      </c>
      <c r="I1690" t="s">
        <v>16</v>
      </c>
      <c r="K1690" t="s">
        <v>4981</v>
      </c>
      <c r="L1690">
        <v>445</v>
      </c>
      <c r="M1690" t="s">
        <v>4980</v>
      </c>
    </row>
    <row r="1691" spans="1:13" x14ac:dyDescent="0.35">
      <c r="A1691" t="s">
        <v>4233</v>
      </c>
      <c r="B1691">
        <v>1891537</v>
      </c>
      <c r="C1691">
        <v>1891989</v>
      </c>
      <c r="E1691" t="s">
        <v>36</v>
      </c>
      <c r="F1691" t="s">
        <v>265</v>
      </c>
      <c r="G1691" t="s">
        <v>266</v>
      </c>
      <c r="H1691">
        <v>29242238</v>
      </c>
      <c r="I1691" t="s">
        <v>16</v>
      </c>
      <c r="K1691" t="s">
        <v>4979</v>
      </c>
      <c r="L1691">
        <v>150</v>
      </c>
      <c r="M1691" t="s">
        <v>4978</v>
      </c>
    </row>
    <row r="1692" spans="1:13" x14ac:dyDescent="0.35">
      <c r="A1692" t="s">
        <v>4233</v>
      </c>
      <c r="B1692">
        <v>1891992</v>
      </c>
      <c r="C1692">
        <v>1892177</v>
      </c>
      <c r="E1692" t="s">
        <v>36</v>
      </c>
      <c r="F1692" t="s">
        <v>263</v>
      </c>
      <c r="G1692" t="s">
        <v>264</v>
      </c>
      <c r="H1692">
        <v>29242239</v>
      </c>
      <c r="I1692" t="s">
        <v>16</v>
      </c>
      <c r="K1692" t="s">
        <v>4977</v>
      </c>
      <c r="L1692">
        <v>61</v>
      </c>
      <c r="M1692" t="s">
        <v>4976</v>
      </c>
    </row>
    <row r="1693" spans="1:13" x14ac:dyDescent="0.35">
      <c r="A1693" t="s">
        <v>4233</v>
      </c>
      <c r="B1693">
        <v>1892183</v>
      </c>
      <c r="C1693">
        <v>1892911</v>
      </c>
      <c r="E1693" t="s">
        <v>36</v>
      </c>
      <c r="F1693" t="s">
        <v>261</v>
      </c>
      <c r="G1693" t="s">
        <v>262</v>
      </c>
      <c r="H1693">
        <v>29242240</v>
      </c>
      <c r="I1693" t="s">
        <v>16</v>
      </c>
      <c r="K1693" t="s">
        <v>4975</v>
      </c>
      <c r="L1693">
        <v>242</v>
      </c>
      <c r="M1693" t="s">
        <v>4974</v>
      </c>
    </row>
    <row r="1694" spans="1:13" x14ac:dyDescent="0.35">
      <c r="A1694" t="s">
        <v>4233</v>
      </c>
      <c r="B1694">
        <v>1892908</v>
      </c>
      <c r="C1694">
        <v>1893279</v>
      </c>
      <c r="E1694" t="s">
        <v>36</v>
      </c>
      <c r="F1694" t="s">
        <v>259</v>
      </c>
      <c r="G1694" t="s">
        <v>260</v>
      </c>
      <c r="H1694">
        <v>29242241</v>
      </c>
      <c r="I1694" t="s">
        <v>16</v>
      </c>
      <c r="K1694" t="s">
        <v>4973</v>
      </c>
      <c r="L1694">
        <v>123</v>
      </c>
      <c r="M1694" t="s">
        <v>4972</v>
      </c>
    </row>
    <row r="1695" spans="1:13" x14ac:dyDescent="0.35">
      <c r="A1695" t="s">
        <v>4233</v>
      </c>
      <c r="B1695">
        <v>1893281</v>
      </c>
      <c r="C1695">
        <v>1893820</v>
      </c>
      <c r="E1695" t="s">
        <v>36</v>
      </c>
      <c r="F1695" t="s">
        <v>257</v>
      </c>
      <c r="G1695" t="s">
        <v>258</v>
      </c>
      <c r="H1695">
        <v>29242242</v>
      </c>
      <c r="I1695" t="s">
        <v>16</v>
      </c>
      <c r="K1695" t="s">
        <v>4971</v>
      </c>
      <c r="L1695">
        <v>179</v>
      </c>
      <c r="M1695" t="s">
        <v>4970</v>
      </c>
    </row>
    <row r="1696" spans="1:13" x14ac:dyDescent="0.35">
      <c r="A1696" t="s">
        <v>4233</v>
      </c>
      <c r="B1696">
        <v>1893838</v>
      </c>
      <c r="C1696">
        <v>1894236</v>
      </c>
      <c r="E1696" t="s">
        <v>36</v>
      </c>
      <c r="F1696" t="s">
        <v>255</v>
      </c>
      <c r="G1696" t="s">
        <v>256</v>
      </c>
      <c r="H1696">
        <v>29242243</v>
      </c>
      <c r="I1696" t="s">
        <v>16</v>
      </c>
      <c r="K1696" t="s">
        <v>4969</v>
      </c>
      <c r="L1696">
        <v>132</v>
      </c>
      <c r="M1696" t="s">
        <v>4968</v>
      </c>
    </row>
    <row r="1697" spans="1:13" x14ac:dyDescent="0.35">
      <c r="A1697" t="s">
        <v>4233</v>
      </c>
      <c r="B1697">
        <v>1894326</v>
      </c>
      <c r="C1697">
        <v>1894511</v>
      </c>
      <c r="E1697" t="s">
        <v>36</v>
      </c>
      <c r="F1697" t="s">
        <v>254</v>
      </c>
      <c r="H1697">
        <v>29242244</v>
      </c>
      <c r="I1697" t="s">
        <v>16</v>
      </c>
      <c r="K1697" t="s">
        <v>4967</v>
      </c>
      <c r="L1697">
        <v>61</v>
      </c>
      <c r="M1697" t="s">
        <v>4966</v>
      </c>
    </row>
    <row r="1698" spans="1:13" x14ac:dyDescent="0.35">
      <c r="A1698" t="s">
        <v>4233</v>
      </c>
      <c r="B1698">
        <v>1894513</v>
      </c>
      <c r="C1698">
        <v>1895085</v>
      </c>
      <c r="E1698" t="s">
        <v>36</v>
      </c>
      <c r="F1698" t="s">
        <v>252</v>
      </c>
      <c r="G1698" t="s">
        <v>253</v>
      </c>
      <c r="H1698">
        <v>29242245</v>
      </c>
      <c r="I1698" t="s">
        <v>16</v>
      </c>
      <c r="K1698" t="s">
        <v>4965</v>
      </c>
      <c r="L1698">
        <v>190</v>
      </c>
      <c r="M1698" t="s">
        <v>4964</v>
      </c>
    </row>
    <row r="1699" spans="1:13" x14ac:dyDescent="0.35">
      <c r="A1699" t="s">
        <v>4233</v>
      </c>
      <c r="B1699">
        <v>1895082</v>
      </c>
      <c r="C1699">
        <v>1895417</v>
      </c>
      <c r="E1699" t="s">
        <v>36</v>
      </c>
      <c r="F1699" t="s">
        <v>250</v>
      </c>
      <c r="G1699" t="s">
        <v>251</v>
      </c>
      <c r="H1699">
        <v>29242246</v>
      </c>
      <c r="I1699" t="s">
        <v>16</v>
      </c>
      <c r="K1699" t="s">
        <v>4963</v>
      </c>
      <c r="L1699">
        <v>111</v>
      </c>
      <c r="M1699" t="s">
        <v>4962</v>
      </c>
    </row>
    <row r="1700" spans="1:13" x14ac:dyDescent="0.35">
      <c r="A1700" t="s">
        <v>4233</v>
      </c>
      <c r="B1700">
        <v>1895419</v>
      </c>
      <c r="C1700">
        <v>1895787</v>
      </c>
      <c r="E1700" t="s">
        <v>36</v>
      </c>
      <c r="F1700" t="s">
        <v>248</v>
      </c>
      <c r="G1700" t="s">
        <v>249</v>
      </c>
      <c r="H1700">
        <v>29242247</v>
      </c>
      <c r="I1700" t="s">
        <v>16</v>
      </c>
      <c r="K1700" t="s">
        <v>4961</v>
      </c>
      <c r="L1700">
        <v>122</v>
      </c>
      <c r="M1700" t="s">
        <v>4960</v>
      </c>
    </row>
    <row r="1701" spans="1:13" x14ac:dyDescent="0.35">
      <c r="A1701" t="s">
        <v>4233</v>
      </c>
      <c r="B1701">
        <v>1895882</v>
      </c>
      <c r="C1701">
        <v>1896142</v>
      </c>
      <c r="E1701" t="s">
        <v>36</v>
      </c>
      <c r="F1701" t="s">
        <v>246</v>
      </c>
      <c r="G1701" t="s">
        <v>247</v>
      </c>
      <c r="H1701">
        <v>29242248</v>
      </c>
      <c r="I1701" t="s">
        <v>16</v>
      </c>
      <c r="K1701" t="s">
        <v>4959</v>
      </c>
      <c r="L1701">
        <v>86</v>
      </c>
      <c r="M1701" t="s">
        <v>4958</v>
      </c>
    </row>
    <row r="1702" spans="1:13" x14ac:dyDescent="0.35">
      <c r="A1702" t="s">
        <v>4233</v>
      </c>
      <c r="B1702">
        <v>1896145</v>
      </c>
      <c r="C1702">
        <v>1896396</v>
      </c>
      <c r="E1702" t="s">
        <v>36</v>
      </c>
      <c r="F1702" t="s">
        <v>244</v>
      </c>
      <c r="G1702" t="s">
        <v>245</v>
      </c>
      <c r="H1702">
        <v>29242249</v>
      </c>
      <c r="I1702" t="s">
        <v>16</v>
      </c>
      <c r="K1702" t="s">
        <v>4957</v>
      </c>
      <c r="L1702">
        <v>83</v>
      </c>
      <c r="M1702" t="s">
        <v>4956</v>
      </c>
    </row>
    <row r="1703" spans="1:13" x14ac:dyDescent="0.35">
      <c r="A1703" t="s">
        <v>4233</v>
      </c>
      <c r="B1703">
        <v>1896396</v>
      </c>
      <c r="C1703">
        <v>1896815</v>
      </c>
      <c r="E1703" t="s">
        <v>36</v>
      </c>
      <c r="F1703" t="s">
        <v>242</v>
      </c>
      <c r="G1703" t="s">
        <v>243</v>
      </c>
      <c r="H1703">
        <v>29242250</v>
      </c>
      <c r="I1703" t="s">
        <v>16</v>
      </c>
      <c r="K1703" t="s">
        <v>4955</v>
      </c>
      <c r="L1703">
        <v>139</v>
      </c>
      <c r="M1703" t="s">
        <v>4954</v>
      </c>
    </row>
    <row r="1704" spans="1:13" x14ac:dyDescent="0.35">
      <c r="A1704" t="s">
        <v>4233</v>
      </c>
      <c r="B1704">
        <v>1896822</v>
      </c>
      <c r="C1704">
        <v>1897622</v>
      </c>
      <c r="E1704" t="s">
        <v>36</v>
      </c>
      <c r="F1704" t="s">
        <v>240</v>
      </c>
      <c r="G1704" t="s">
        <v>241</v>
      </c>
      <c r="H1704">
        <v>29242251</v>
      </c>
      <c r="I1704" t="s">
        <v>16</v>
      </c>
      <c r="K1704" t="s">
        <v>4953</v>
      </c>
      <c r="L1704">
        <v>266</v>
      </c>
      <c r="M1704" t="s">
        <v>4952</v>
      </c>
    </row>
    <row r="1705" spans="1:13" x14ac:dyDescent="0.35">
      <c r="A1705" t="s">
        <v>4233</v>
      </c>
      <c r="B1705">
        <v>1897625</v>
      </c>
      <c r="C1705">
        <v>1897984</v>
      </c>
      <c r="E1705" t="s">
        <v>36</v>
      </c>
      <c r="F1705" t="s">
        <v>238</v>
      </c>
      <c r="G1705" t="s">
        <v>239</v>
      </c>
      <c r="H1705">
        <v>29242252</v>
      </c>
      <c r="I1705" t="s">
        <v>16</v>
      </c>
      <c r="K1705" t="s">
        <v>4951</v>
      </c>
      <c r="L1705">
        <v>119</v>
      </c>
      <c r="M1705" t="s">
        <v>4950</v>
      </c>
    </row>
    <row r="1706" spans="1:13" x14ac:dyDescent="0.35">
      <c r="A1706" t="s">
        <v>4233</v>
      </c>
      <c r="B1706">
        <v>1898001</v>
      </c>
      <c r="C1706">
        <v>1898279</v>
      </c>
      <c r="E1706" t="s">
        <v>36</v>
      </c>
      <c r="F1706" t="s">
        <v>4949</v>
      </c>
      <c r="G1706" t="s">
        <v>237</v>
      </c>
      <c r="H1706">
        <v>29242253</v>
      </c>
      <c r="I1706" t="s">
        <v>16</v>
      </c>
      <c r="K1706" t="s">
        <v>4948</v>
      </c>
      <c r="L1706">
        <v>92</v>
      </c>
      <c r="M1706" t="s">
        <v>4947</v>
      </c>
    </row>
    <row r="1707" spans="1:13" x14ac:dyDescent="0.35">
      <c r="A1707" t="s">
        <v>4233</v>
      </c>
      <c r="B1707">
        <v>1898295</v>
      </c>
      <c r="C1707">
        <v>1899125</v>
      </c>
      <c r="E1707" t="s">
        <v>36</v>
      </c>
      <c r="F1707" t="s">
        <v>235</v>
      </c>
      <c r="G1707" t="s">
        <v>236</v>
      </c>
      <c r="H1707">
        <v>29242254</v>
      </c>
      <c r="I1707" t="s">
        <v>16</v>
      </c>
      <c r="K1707" t="s">
        <v>4946</v>
      </c>
      <c r="L1707">
        <v>276</v>
      </c>
      <c r="M1707" t="s">
        <v>4945</v>
      </c>
    </row>
    <row r="1708" spans="1:13" x14ac:dyDescent="0.35">
      <c r="A1708" t="s">
        <v>4233</v>
      </c>
      <c r="B1708">
        <v>1899162</v>
      </c>
      <c r="C1708">
        <v>1899458</v>
      </c>
      <c r="E1708" t="s">
        <v>36</v>
      </c>
      <c r="F1708" t="s">
        <v>233</v>
      </c>
      <c r="G1708" t="s">
        <v>234</v>
      </c>
      <c r="H1708">
        <v>29242255</v>
      </c>
      <c r="I1708" t="s">
        <v>16</v>
      </c>
      <c r="K1708" t="s">
        <v>4944</v>
      </c>
      <c r="L1708">
        <v>98</v>
      </c>
      <c r="M1708" t="s">
        <v>4943</v>
      </c>
    </row>
    <row r="1709" spans="1:13" x14ac:dyDescent="0.35">
      <c r="A1709" t="s">
        <v>4233</v>
      </c>
      <c r="B1709">
        <v>1899464</v>
      </c>
      <c r="C1709">
        <v>1900120</v>
      </c>
      <c r="E1709" t="s">
        <v>36</v>
      </c>
      <c r="F1709" t="s">
        <v>231</v>
      </c>
      <c r="G1709" t="s">
        <v>232</v>
      </c>
      <c r="H1709">
        <v>29242256</v>
      </c>
      <c r="I1709" t="s">
        <v>16</v>
      </c>
      <c r="K1709" t="s">
        <v>4942</v>
      </c>
      <c r="L1709">
        <v>218</v>
      </c>
      <c r="M1709" t="s">
        <v>4941</v>
      </c>
    </row>
    <row r="1710" spans="1:13" x14ac:dyDescent="0.35">
      <c r="A1710" t="s">
        <v>4233</v>
      </c>
      <c r="B1710">
        <v>1900127</v>
      </c>
      <c r="C1710">
        <v>1900768</v>
      </c>
      <c r="E1710" t="s">
        <v>36</v>
      </c>
      <c r="F1710" t="s">
        <v>229</v>
      </c>
      <c r="G1710" t="s">
        <v>230</v>
      </c>
      <c r="H1710">
        <v>29242257</v>
      </c>
      <c r="I1710" t="s">
        <v>16</v>
      </c>
      <c r="K1710" t="s">
        <v>4940</v>
      </c>
      <c r="L1710">
        <v>213</v>
      </c>
      <c r="M1710" t="s">
        <v>4939</v>
      </c>
    </row>
    <row r="1711" spans="1:13" x14ac:dyDescent="0.35">
      <c r="A1711" t="s">
        <v>4233</v>
      </c>
      <c r="B1711">
        <v>1900785</v>
      </c>
      <c r="C1711">
        <v>1901093</v>
      </c>
      <c r="E1711" t="s">
        <v>36</v>
      </c>
      <c r="F1711" t="s">
        <v>227</v>
      </c>
      <c r="G1711" t="s">
        <v>228</v>
      </c>
      <c r="H1711">
        <v>29242258</v>
      </c>
      <c r="I1711" t="s">
        <v>16</v>
      </c>
      <c r="K1711" t="s">
        <v>4938</v>
      </c>
      <c r="L1711">
        <v>102</v>
      </c>
      <c r="M1711" t="s">
        <v>4937</v>
      </c>
    </row>
    <row r="1712" spans="1:13" x14ac:dyDescent="0.35">
      <c r="A1712" t="s">
        <v>4233</v>
      </c>
      <c r="B1712">
        <v>1901543</v>
      </c>
      <c r="C1712">
        <v>1902316</v>
      </c>
      <c r="E1712" t="s">
        <v>13</v>
      </c>
      <c r="F1712" t="s">
        <v>4936</v>
      </c>
      <c r="G1712" t="s">
        <v>4935</v>
      </c>
      <c r="H1712">
        <v>29242259</v>
      </c>
      <c r="I1712" t="s">
        <v>16</v>
      </c>
      <c r="K1712" t="s">
        <v>4934</v>
      </c>
      <c r="L1712">
        <v>257</v>
      </c>
      <c r="M1712" t="s">
        <v>4933</v>
      </c>
    </row>
    <row r="1713" spans="1:13" x14ac:dyDescent="0.35">
      <c r="A1713" t="s">
        <v>4233</v>
      </c>
      <c r="B1713">
        <v>1902669</v>
      </c>
      <c r="C1713">
        <v>1903565</v>
      </c>
      <c r="E1713" t="s">
        <v>13</v>
      </c>
      <c r="F1713" t="s">
        <v>4932</v>
      </c>
      <c r="H1713">
        <v>29242260</v>
      </c>
      <c r="I1713" t="s">
        <v>16</v>
      </c>
      <c r="K1713" t="s">
        <v>4931</v>
      </c>
      <c r="L1713">
        <v>298</v>
      </c>
      <c r="M1713" t="s">
        <v>4930</v>
      </c>
    </row>
    <row r="1714" spans="1:13" x14ac:dyDescent="0.35">
      <c r="A1714" t="s">
        <v>4233</v>
      </c>
      <c r="B1714">
        <v>1903856</v>
      </c>
      <c r="C1714">
        <v>1906579</v>
      </c>
      <c r="E1714" t="s">
        <v>36</v>
      </c>
      <c r="F1714" t="s">
        <v>434</v>
      </c>
      <c r="G1714" t="s">
        <v>435</v>
      </c>
      <c r="H1714">
        <v>29242261</v>
      </c>
      <c r="I1714" t="s">
        <v>16</v>
      </c>
      <c r="K1714" t="s">
        <v>4929</v>
      </c>
      <c r="L1714">
        <v>907</v>
      </c>
      <c r="M1714" t="s">
        <v>4928</v>
      </c>
    </row>
    <row r="1715" spans="1:13" x14ac:dyDescent="0.35">
      <c r="A1715" t="s">
        <v>4233</v>
      </c>
      <c r="B1715">
        <v>1906988</v>
      </c>
      <c r="C1715">
        <v>1907935</v>
      </c>
      <c r="E1715" t="s">
        <v>36</v>
      </c>
      <c r="F1715" t="s">
        <v>86</v>
      </c>
      <c r="H1715">
        <v>29242262</v>
      </c>
      <c r="I1715" t="s">
        <v>16</v>
      </c>
      <c r="K1715" t="s">
        <v>4927</v>
      </c>
      <c r="L1715">
        <v>315</v>
      </c>
      <c r="M1715" t="s">
        <v>4926</v>
      </c>
    </row>
    <row r="1716" spans="1:13" x14ac:dyDescent="0.35">
      <c r="A1716" t="s">
        <v>4233</v>
      </c>
      <c r="B1716">
        <v>1908016</v>
      </c>
      <c r="C1716">
        <v>1909056</v>
      </c>
      <c r="E1716" t="s">
        <v>36</v>
      </c>
      <c r="F1716" t="s">
        <v>4925</v>
      </c>
      <c r="H1716">
        <v>29242263</v>
      </c>
      <c r="I1716" t="s">
        <v>16</v>
      </c>
      <c r="K1716" t="s">
        <v>4924</v>
      </c>
      <c r="L1716">
        <v>346</v>
      </c>
      <c r="M1716" t="s">
        <v>4923</v>
      </c>
    </row>
    <row r="1717" spans="1:13" x14ac:dyDescent="0.35">
      <c r="A1717" t="s">
        <v>4233</v>
      </c>
      <c r="B1717">
        <v>1909168</v>
      </c>
      <c r="C1717">
        <v>1910505</v>
      </c>
      <c r="E1717" t="s">
        <v>36</v>
      </c>
      <c r="F1717" t="s">
        <v>121</v>
      </c>
      <c r="H1717">
        <v>29242264</v>
      </c>
      <c r="I1717" t="s">
        <v>16</v>
      </c>
      <c r="K1717" t="s">
        <v>4922</v>
      </c>
      <c r="L1717">
        <v>445</v>
      </c>
      <c r="M1717" t="s">
        <v>4921</v>
      </c>
    </row>
    <row r="1718" spans="1:13" x14ac:dyDescent="0.35">
      <c r="A1718" t="s">
        <v>4233</v>
      </c>
      <c r="B1718">
        <v>1910726</v>
      </c>
      <c r="C1718">
        <v>1911874</v>
      </c>
      <c r="E1718" t="s">
        <v>13</v>
      </c>
      <c r="F1718" t="s">
        <v>4390</v>
      </c>
      <c r="H1718">
        <v>29242265</v>
      </c>
      <c r="I1718" t="s">
        <v>16</v>
      </c>
      <c r="K1718" t="s">
        <v>4920</v>
      </c>
      <c r="L1718">
        <v>382</v>
      </c>
      <c r="M1718" t="s">
        <v>4919</v>
      </c>
    </row>
    <row r="1719" spans="1:13" x14ac:dyDescent="0.35">
      <c r="A1719" t="s">
        <v>4233</v>
      </c>
      <c r="B1719">
        <v>1911954</v>
      </c>
      <c r="C1719">
        <v>1912352</v>
      </c>
      <c r="E1719" t="s">
        <v>36</v>
      </c>
      <c r="F1719" t="s">
        <v>4918</v>
      </c>
      <c r="H1719">
        <v>29242266</v>
      </c>
      <c r="I1719" t="s">
        <v>16</v>
      </c>
      <c r="K1719" t="s">
        <v>4917</v>
      </c>
      <c r="L1719">
        <v>132</v>
      </c>
      <c r="M1719" t="s">
        <v>4916</v>
      </c>
    </row>
    <row r="1720" spans="1:13" x14ac:dyDescent="0.35">
      <c r="A1720" t="s">
        <v>4233</v>
      </c>
      <c r="B1720">
        <v>1912426</v>
      </c>
      <c r="C1720">
        <v>1913799</v>
      </c>
      <c r="E1720" t="s">
        <v>36</v>
      </c>
      <c r="F1720" t="s">
        <v>121</v>
      </c>
      <c r="H1720">
        <v>29242267</v>
      </c>
      <c r="I1720" t="s">
        <v>16</v>
      </c>
      <c r="K1720" t="s">
        <v>4915</v>
      </c>
      <c r="L1720">
        <v>457</v>
      </c>
      <c r="M1720" t="s">
        <v>4914</v>
      </c>
    </row>
    <row r="1721" spans="1:13" x14ac:dyDescent="0.35">
      <c r="A1721" t="s">
        <v>4233</v>
      </c>
      <c r="B1721">
        <v>1913985</v>
      </c>
      <c r="C1721">
        <v>1914989</v>
      </c>
      <c r="E1721" t="s">
        <v>36</v>
      </c>
      <c r="F1721" t="s">
        <v>4913</v>
      </c>
      <c r="H1721">
        <v>29242268</v>
      </c>
      <c r="I1721" t="s">
        <v>16</v>
      </c>
      <c r="K1721" t="s">
        <v>4912</v>
      </c>
      <c r="L1721">
        <v>334</v>
      </c>
      <c r="M1721" t="s">
        <v>4911</v>
      </c>
    </row>
    <row r="1722" spans="1:13" x14ac:dyDescent="0.35">
      <c r="A1722" t="s">
        <v>4233</v>
      </c>
      <c r="B1722">
        <v>1915285</v>
      </c>
      <c r="C1722">
        <v>1917732</v>
      </c>
      <c r="E1722" t="s">
        <v>13</v>
      </c>
      <c r="F1722" t="s">
        <v>4910</v>
      </c>
      <c r="G1722" t="s">
        <v>4909</v>
      </c>
      <c r="H1722">
        <v>29242269</v>
      </c>
      <c r="I1722" t="s">
        <v>16</v>
      </c>
      <c r="K1722" t="s">
        <v>4908</v>
      </c>
      <c r="L1722">
        <v>815</v>
      </c>
      <c r="M1722" t="s">
        <v>4907</v>
      </c>
    </row>
    <row r="1723" spans="1:13" x14ac:dyDescent="0.35">
      <c r="A1723" t="s">
        <v>4233</v>
      </c>
      <c r="B1723">
        <v>1917816</v>
      </c>
      <c r="C1723">
        <v>1918307</v>
      </c>
      <c r="E1723" t="s">
        <v>36</v>
      </c>
      <c r="F1723" t="s">
        <v>290</v>
      </c>
      <c r="G1723" t="s">
        <v>291</v>
      </c>
      <c r="H1723">
        <v>29242270</v>
      </c>
      <c r="I1723" t="s">
        <v>16</v>
      </c>
      <c r="K1723" t="s">
        <v>4906</v>
      </c>
      <c r="L1723">
        <v>163</v>
      </c>
      <c r="M1723" t="s">
        <v>4905</v>
      </c>
    </row>
    <row r="1724" spans="1:13" x14ac:dyDescent="0.35">
      <c r="A1724" t="s">
        <v>4233</v>
      </c>
      <c r="B1724">
        <v>1918330</v>
      </c>
      <c r="C1724">
        <v>1918779</v>
      </c>
      <c r="E1724" t="s">
        <v>36</v>
      </c>
      <c r="F1724" t="s">
        <v>288</v>
      </c>
      <c r="G1724" t="s">
        <v>289</v>
      </c>
      <c r="H1724">
        <v>29242271</v>
      </c>
      <c r="I1724" t="s">
        <v>16</v>
      </c>
      <c r="K1724" t="s">
        <v>4904</v>
      </c>
      <c r="L1724">
        <v>149</v>
      </c>
      <c r="M1724" t="s">
        <v>4903</v>
      </c>
    </row>
    <row r="1725" spans="1:13" x14ac:dyDescent="0.35">
      <c r="A1725" t="s">
        <v>4233</v>
      </c>
      <c r="B1725">
        <v>1919070</v>
      </c>
      <c r="C1725">
        <v>1921235</v>
      </c>
      <c r="E1725" t="s">
        <v>36</v>
      </c>
      <c r="F1725" t="s">
        <v>4902</v>
      </c>
      <c r="G1725" t="s">
        <v>4901</v>
      </c>
      <c r="H1725">
        <v>29242272</v>
      </c>
      <c r="I1725" t="s">
        <v>16</v>
      </c>
      <c r="K1725" t="s">
        <v>4900</v>
      </c>
      <c r="L1725">
        <v>721</v>
      </c>
      <c r="M1725" t="s">
        <v>4899</v>
      </c>
    </row>
    <row r="1726" spans="1:13" x14ac:dyDescent="0.35">
      <c r="A1726" t="s">
        <v>4233</v>
      </c>
      <c r="B1726">
        <v>1921358</v>
      </c>
      <c r="C1726">
        <v>1922041</v>
      </c>
      <c r="E1726" t="s">
        <v>36</v>
      </c>
      <c r="F1726" t="s">
        <v>4898</v>
      </c>
      <c r="H1726">
        <v>29242273</v>
      </c>
      <c r="I1726" t="s">
        <v>16</v>
      </c>
      <c r="K1726" t="s">
        <v>4897</v>
      </c>
      <c r="L1726">
        <v>227</v>
      </c>
      <c r="M1726" t="s">
        <v>4896</v>
      </c>
    </row>
    <row r="1727" spans="1:13" x14ac:dyDescent="0.35">
      <c r="A1727" t="s">
        <v>4233</v>
      </c>
      <c r="B1727">
        <v>1922038</v>
      </c>
      <c r="C1727">
        <v>1922679</v>
      </c>
      <c r="E1727" t="s">
        <v>36</v>
      </c>
      <c r="F1727" t="s">
        <v>541</v>
      </c>
      <c r="H1727">
        <v>29242274</v>
      </c>
      <c r="I1727" t="s">
        <v>16</v>
      </c>
      <c r="K1727" t="s">
        <v>4895</v>
      </c>
      <c r="L1727">
        <v>213</v>
      </c>
      <c r="M1727" t="s">
        <v>4894</v>
      </c>
    </row>
    <row r="1728" spans="1:13" x14ac:dyDescent="0.35">
      <c r="A1728" t="s">
        <v>4233</v>
      </c>
      <c r="B1728">
        <v>1922703</v>
      </c>
      <c r="C1728">
        <v>1923719</v>
      </c>
      <c r="E1728" t="s">
        <v>36</v>
      </c>
      <c r="F1728" t="s">
        <v>4893</v>
      </c>
      <c r="H1728">
        <v>29242275</v>
      </c>
      <c r="I1728" t="s">
        <v>16</v>
      </c>
      <c r="K1728" t="s">
        <v>4892</v>
      </c>
      <c r="L1728">
        <v>338</v>
      </c>
      <c r="M1728" t="s">
        <v>4891</v>
      </c>
    </row>
    <row r="1729" spans="1:13" x14ac:dyDescent="0.35">
      <c r="A1729" t="s">
        <v>4233</v>
      </c>
      <c r="B1729">
        <v>1923750</v>
      </c>
      <c r="C1729">
        <v>1924704</v>
      </c>
      <c r="E1729" t="s">
        <v>36</v>
      </c>
      <c r="F1729" t="s">
        <v>45</v>
      </c>
      <c r="H1729">
        <v>29242276</v>
      </c>
      <c r="I1729" t="s">
        <v>46</v>
      </c>
      <c r="M1729" t="s">
        <v>4890</v>
      </c>
    </row>
    <row r="1730" spans="1:13" x14ac:dyDescent="0.35">
      <c r="A1730" t="s">
        <v>4233</v>
      </c>
      <c r="B1730">
        <v>1925074</v>
      </c>
      <c r="C1730">
        <v>1926264</v>
      </c>
      <c r="E1730" t="s">
        <v>36</v>
      </c>
      <c r="F1730" t="s">
        <v>736</v>
      </c>
      <c r="H1730">
        <v>29242277</v>
      </c>
      <c r="I1730" t="s">
        <v>16</v>
      </c>
      <c r="K1730" t="s">
        <v>4889</v>
      </c>
      <c r="L1730">
        <v>396</v>
      </c>
      <c r="M1730" t="s">
        <v>4888</v>
      </c>
    </row>
    <row r="1731" spans="1:13" x14ac:dyDescent="0.35">
      <c r="A1731" t="s">
        <v>4233</v>
      </c>
      <c r="B1731">
        <v>1926295</v>
      </c>
      <c r="C1731">
        <v>1927182</v>
      </c>
      <c r="E1731" t="s">
        <v>36</v>
      </c>
      <c r="F1731" t="s">
        <v>453</v>
      </c>
      <c r="H1731">
        <v>29242278</v>
      </c>
      <c r="I1731" t="s">
        <v>16</v>
      </c>
      <c r="K1731" t="s">
        <v>4887</v>
      </c>
      <c r="L1731">
        <v>295</v>
      </c>
      <c r="M1731" t="s">
        <v>4886</v>
      </c>
    </row>
    <row r="1732" spans="1:13" x14ac:dyDescent="0.35">
      <c r="A1732" t="s">
        <v>4233</v>
      </c>
      <c r="B1732">
        <v>1927194</v>
      </c>
      <c r="C1732">
        <v>1928111</v>
      </c>
      <c r="E1732" t="s">
        <v>36</v>
      </c>
      <c r="F1732" t="s">
        <v>453</v>
      </c>
      <c r="H1732">
        <v>29242279</v>
      </c>
      <c r="I1732" t="s">
        <v>16</v>
      </c>
      <c r="K1732" t="s">
        <v>4885</v>
      </c>
      <c r="L1732">
        <v>305</v>
      </c>
      <c r="M1732" t="s">
        <v>4884</v>
      </c>
    </row>
    <row r="1733" spans="1:13" x14ac:dyDescent="0.35">
      <c r="A1733" t="s">
        <v>4233</v>
      </c>
      <c r="B1733">
        <v>1928132</v>
      </c>
      <c r="C1733">
        <v>1929427</v>
      </c>
      <c r="E1733" t="s">
        <v>36</v>
      </c>
      <c r="F1733" t="s">
        <v>490</v>
      </c>
      <c r="H1733">
        <v>29242280</v>
      </c>
      <c r="I1733" t="s">
        <v>16</v>
      </c>
      <c r="K1733" t="s">
        <v>4883</v>
      </c>
      <c r="L1733">
        <v>431</v>
      </c>
      <c r="M1733" t="s">
        <v>4882</v>
      </c>
    </row>
    <row r="1734" spans="1:13" x14ac:dyDescent="0.35">
      <c r="A1734" t="s">
        <v>4233</v>
      </c>
      <c r="B1734">
        <v>1929610</v>
      </c>
      <c r="C1734">
        <v>1930737</v>
      </c>
      <c r="E1734" t="s">
        <v>36</v>
      </c>
      <c r="F1734" t="s">
        <v>373</v>
      </c>
      <c r="H1734">
        <v>29242281</v>
      </c>
      <c r="I1734" t="s">
        <v>16</v>
      </c>
      <c r="K1734" t="s">
        <v>4881</v>
      </c>
      <c r="L1734">
        <v>375</v>
      </c>
      <c r="M1734" t="s">
        <v>4880</v>
      </c>
    </row>
    <row r="1735" spans="1:13" x14ac:dyDescent="0.35">
      <c r="A1735" t="s">
        <v>4233</v>
      </c>
      <c r="B1735">
        <v>1930882</v>
      </c>
      <c r="C1735">
        <v>1931037</v>
      </c>
      <c r="E1735" t="s">
        <v>36</v>
      </c>
      <c r="F1735" t="s">
        <v>40</v>
      </c>
      <c r="H1735">
        <v>55549257</v>
      </c>
      <c r="I1735" t="s">
        <v>16</v>
      </c>
      <c r="K1735" t="s">
        <v>4879</v>
      </c>
      <c r="L1735">
        <v>51</v>
      </c>
      <c r="M1735" t="s">
        <v>4878</v>
      </c>
    </row>
    <row r="1736" spans="1:13" x14ac:dyDescent="0.35">
      <c r="A1736" t="s">
        <v>4233</v>
      </c>
      <c r="B1736">
        <v>1931345</v>
      </c>
      <c r="C1736">
        <v>1931431</v>
      </c>
      <c r="E1736" t="s">
        <v>36</v>
      </c>
      <c r="F1736" t="s">
        <v>421</v>
      </c>
      <c r="H1736">
        <v>29242282</v>
      </c>
      <c r="I1736" t="s">
        <v>39</v>
      </c>
      <c r="M1736" t="s">
        <v>4877</v>
      </c>
    </row>
    <row r="1737" spans="1:13" x14ac:dyDescent="0.35">
      <c r="A1737" t="s">
        <v>4233</v>
      </c>
      <c r="B1737">
        <v>1931543</v>
      </c>
      <c r="C1737">
        <v>1931974</v>
      </c>
      <c r="E1737" t="s">
        <v>36</v>
      </c>
      <c r="F1737" t="s">
        <v>1239</v>
      </c>
      <c r="H1737">
        <v>29242283</v>
      </c>
      <c r="I1737" t="s">
        <v>16</v>
      </c>
      <c r="K1737" t="s">
        <v>4876</v>
      </c>
      <c r="L1737">
        <v>143</v>
      </c>
      <c r="M1737" t="s">
        <v>4875</v>
      </c>
    </row>
    <row r="1738" spans="1:13" x14ac:dyDescent="0.35">
      <c r="A1738" t="s">
        <v>4233</v>
      </c>
      <c r="B1738">
        <v>1932007</v>
      </c>
      <c r="C1738">
        <v>1933311</v>
      </c>
      <c r="E1738" t="s">
        <v>36</v>
      </c>
      <c r="F1738" t="s">
        <v>4874</v>
      </c>
      <c r="G1738" t="s">
        <v>4873</v>
      </c>
      <c r="H1738">
        <v>29242284</v>
      </c>
      <c r="I1738" t="s">
        <v>16</v>
      </c>
      <c r="K1738" t="s">
        <v>4872</v>
      </c>
      <c r="L1738">
        <v>434</v>
      </c>
      <c r="M1738" t="s">
        <v>4871</v>
      </c>
    </row>
    <row r="1739" spans="1:13" x14ac:dyDescent="0.35">
      <c r="A1739" t="s">
        <v>4233</v>
      </c>
      <c r="B1739">
        <v>1933304</v>
      </c>
      <c r="C1739">
        <v>1933891</v>
      </c>
      <c r="E1739" t="s">
        <v>36</v>
      </c>
      <c r="F1739" t="s">
        <v>4870</v>
      </c>
      <c r="H1739">
        <v>29242285</v>
      </c>
      <c r="I1739" t="s">
        <v>16</v>
      </c>
      <c r="K1739" t="s">
        <v>4869</v>
      </c>
      <c r="L1739">
        <v>195</v>
      </c>
      <c r="M1739" t="s">
        <v>4868</v>
      </c>
    </row>
    <row r="1740" spans="1:13" x14ac:dyDescent="0.35">
      <c r="A1740" t="s">
        <v>4233</v>
      </c>
      <c r="B1740">
        <v>1933939</v>
      </c>
      <c r="C1740">
        <v>1934219</v>
      </c>
      <c r="E1740" t="s">
        <v>36</v>
      </c>
      <c r="F1740" t="s">
        <v>45</v>
      </c>
      <c r="H1740">
        <v>29242286</v>
      </c>
      <c r="I1740" t="s">
        <v>46</v>
      </c>
      <c r="M1740" t="s">
        <v>4867</v>
      </c>
    </row>
    <row r="1741" spans="1:13" x14ac:dyDescent="0.35">
      <c r="A1741" t="s">
        <v>4233</v>
      </c>
      <c r="B1741">
        <v>1934326</v>
      </c>
      <c r="C1741">
        <v>1935600</v>
      </c>
      <c r="E1741" t="s">
        <v>13</v>
      </c>
      <c r="F1741" t="s">
        <v>392</v>
      </c>
      <c r="G1741" t="s">
        <v>393</v>
      </c>
      <c r="H1741">
        <v>29242287</v>
      </c>
      <c r="I1741" t="s">
        <v>16</v>
      </c>
      <c r="K1741" t="s">
        <v>4866</v>
      </c>
      <c r="L1741">
        <v>424</v>
      </c>
      <c r="M1741" t="s">
        <v>4865</v>
      </c>
    </row>
    <row r="1742" spans="1:13" x14ac:dyDescent="0.35">
      <c r="A1742" t="s">
        <v>4233</v>
      </c>
      <c r="B1742">
        <v>1935601</v>
      </c>
      <c r="C1742">
        <v>1936788</v>
      </c>
      <c r="E1742" t="s">
        <v>36</v>
      </c>
      <c r="F1742" t="s">
        <v>4864</v>
      </c>
      <c r="G1742" t="s">
        <v>4863</v>
      </c>
      <c r="H1742">
        <v>29242288</v>
      </c>
      <c r="I1742" t="s">
        <v>16</v>
      </c>
      <c r="K1742" t="s">
        <v>4862</v>
      </c>
      <c r="L1742">
        <v>395</v>
      </c>
      <c r="M1742" t="s">
        <v>4861</v>
      </c>
    </row>
    <row r="1743" spans="1:13" x14ac:dyDescent="0.35">
      <c r="A1743" t="s">
        <v>4233</v>
      </c>
      <c r="B1743">
        <v>1936881</v>
      </c>
      <c r="C1743">
        <v>1937201</v>
      </c>
      <c r="E1743" t="s">
        <v>36</v>
      </c>
      <c r="F1743" t="s">
        <v>4860</v>
      </c>
      <c r="G1743" t="s">
        <v>4859</v>
      </c>
      <c r="H1743">
        <v>29242289</v>
      </c>
      <c r="I1743" t="s">
        <v>16</v>
      </c>
      <c r="K1743" t="s">
        <v>4858</v>
      </c>
      <c r="L1743">
        <v>106</v>
      </c>
      <c r="M1743" t="s">
        <v>4857</v>
      </c>
    </row>
    <row r="1744" spans="1:13" x14ac:dyDescent="0.35">
      <c r="A1744" t="s">
        <v>4233</v>
      </c>
      <c r="B1744">
        <v>1937266</v>
      </c>
      <c r="C1744">
        <v>1938792</v>
      </c>
      <c r="E1744" t="s">
        <v>36</v>
      </c>
      <c r="F1744" t="s">
        <v>55</v>
      </c>
      <c r="H1744">
        <v>29242290</v>
      </c>
      <c r="I1744" t="s">
        <v>16</v>
      </c>
      <c r="K1744" t="s">
        <v>4856</v>
      </c>
      <c r="L1744">
        <v>508</v>
      </c>
      <c r="M1744" t="s">
        <v>4855</v>
      </c>
    </row>
    <row r="1745" spans="1:13" x14ac:dyDescent="0.35">
      <c r="A1745" t="s">
        <v>4233</v>
      </c>
      <c r="B1745">
        <v>1938954</v>
      </c>
      <c r="C1745">
        <v>1940177</v>
      </c>
      <c r="E1745" t="s">
        <v>36</v>
      </c>
      <c r="F1745" t="s">
        <v>587</v>
      </c>
      <c r="H1745">
        <v>29242291</v>
      </c>
      <c r="I1745" t="s">
        <v>16</v>
      </c>
      <c r="K1745" t="s">
        <v>4854</v>
      </c>
      <c r="L1745">
        <v>407</v>
      </c>
      <c r="M1745" t="s">
        <v>4853</v>
      </c>
    </row>
    <row r="1746" spans="1:13" x14ac:dyDescent="0.35">
      <c r="A1746" t="s">
        <v>4233</v>
      </c>
      <c r="B1746">
        <v>1940302</v>
      </c>
      <c r="C1746">
        <v>1940469</v>
      </c>
      <c r="E1746" t="s">
        <v>36</v>
      </c>
      <c r="F1746" t="s">
        <v>314</v>
      </c>
      <c r="G1746" t="s">
        <v>315</v>
      </c>
      <c r="H1746">
        <v>29242292</v>
      </c>
      <c r="I1746" t="s">
        <v>16</v>
      </c>
      <c r="K1746" t="s">
        <v>4852</v>
      </c>
      <c r="L1746">
        <v>55</v>
      </c>
      <c r="M1746" t="s">
        <v>4851</v>
      </c>
    </row>
    <row r="1747" spans="1:13" x14ac:dyDescent="0.35">
      <c r="A1747" t="s">
        <v>4233</v>
      </c>
      <c r="B1747">
        <v>1940534</v>
      </c>
      <c r="C1747">
        <v>1940607</v>
      </c>
      <c r="E1747" t="s">
        <v>36</v>
      </c>
      <c r="F1747" t="s">
        <v>418</v>
      </c>
      <c r="H1747">
        <v>29242293</v>
      </c>
      <c r="I1747" t="s">
        <v>39</v>
      </c>
      <c r="M1747" t="s">
        <v>4850</v>
      </c>
    </row>
    <row r="1748" spans="1:13" x14ac:dyDescent="0.35">
      <c r="A1748" t="s">
        <v>4233</v>
      </c>
      <c r="B1748">
        <v>1940612</v>
      </c>
      <c r="C1748">
        <v>1940683</v>
      </c>
      <c r="E1748" t="s">
        <v>36</v>
      </c>
      <c r="F1748" t="s">
        <v>38</v>
      </c>
      <c r="H1748">
        <v>29242294</v>
      </c>
      <c r="I1748" t="s">
        <v>39</v>
      </c>
      <c r="M1748" t="s">
        <v>4849</v>
      </c>
    </row>
    <row r="1749" spans="1:13" x14ac:dyDescent="0.35">
      <c r="A1749" t="s">
        <v>4233</v>
      </c>
      <c r="B1749">
        <v>1940685</v>
      </c>
      <c r="C1749">
        <v>1940766</v>
      </c>
      <c r="E1749" t="s">
        <v>36</v>
      </c>
      <c r="F1749" t="s">
        <v>424</v>
      </c>
      <c r="H1749">
        <v>29242295</v>
      </c>
      <c r="I1749" t="s">
        <v>39</v>
      </c>
      <c r="M1749" t="s">
        <v>4848</v>
      </c>
    </row>
    <row r="1750" spans="1:13" x14ac:dyDescent="0.35">
      <c r="A1750" t="s">
        <v>4233</v>
      </c>
      <c r="B1750">
        <v>1941187</v>
      </c>
      <c r="C1750">
        <v>1941480</v>
      </c>
      <c r="E1750" t="s">
        <v>36</v>
      </c>
      <c r="F1750" t="s">
        <v>378</v>
      </c>
      <c r="G1750" t="s">
        <v>379</v>
      </c>
      <c r="H1750">
        <v>29242296</v>
      </c>
      <c r="I1750" t="s">
        <v>16</v>
      </c>
      <c r="K1750" t="s">
        <v>4847</v>
      </c>
      <c r="L1750">
        <v>97</v>
      </c>
      <c r="M1750" t="s">
        <v>4846</v>
      </c>
    </row>
    <row r="1751" spans="1:13" x14ac:dyDescent="0.35">
      <c r="A1751" t="s">
        <v>4233</v>
      </c>
      <c r="B1751">
        <v>1941637</v>
      </c>
      <c r="C1751">
        <v>1942836</v>
      </c>
      <c r="E1751" t="s">
        <v>36</v>
      </c>
      <c r="F1751" t="s">
        <v>4845</v>
      </c>
      <c r="H1751">
        <v>29242297</v>
      </c>
      <c r="I1751" t="s">
        <v>16</v>
      </c>
      <c r="K1751" t="s">
        <v>4844</v>
      </c>
      <c r="L1751">
        <v>399</v>
      </c>
      <c r="M1751" t="s">
        <v>4843</v>
      </c>
    </row>
    <row r="1752" spans="1:13" x14ac:dyDescent="0.35">
      <c r="A1752" t="s">
        <v>4233</v>
      </c>
      <c r="B1752">
        <v>1942888</v>
      </c>
      <c r="C1752">
        <v>1943553</v>
      </c>
      <c r="E1752" t="s">
        <v>36</v>
      </c>
      <c r="F1752" t="s">
        <v>177</v>
      </c>
      <c r="H1752">
        <v>29242298</v>
      </c>
      <c r="I1752" t="s">
        <v>16</v>
      </c>
      <c r="K1752" t="s">
        <v>4842</v>
      </c>
      <c r="L1752">
        <v>221</v>
      </c>
      <c r="M1752" t="s">
        <v>4841</v>
      </c>
    </row>
    <row r="1753" spans="1:13" x14ac:dyDescent="0.35">
      <c r="A1753" t="s">
        <v>4233</v>
      </c>
      <c r="B1753">
        <v>1943569</v>
      </c>
      <c r="C1753">
        <v>1944261</v>
      </c>
      <c r="E1753" t="s">
        <v>13</v>
      </c>
      <c r="F1753" t="s">
        <v>1083</v>
      </c>
      <c r="H1753">
        <v>29242299</v>
      </c>
      <c r="I1753" t="s">
        <v>16</v>
      </c>
      <c r="K1753" t="s">
        <v>4840</v>
      </c>
      <c r="L1753">
        <v>230</v>
      </c>
      <c r="M1753" t="s">
        <v>4839</v>
      </c>
    </row>
    <row r="1754" spans="1:13" x14ac:dyDescent="0.35">
      <c r="A1754" t="s">
        <v>4233</v>
      </c>
      <c r="B1754">
        <v>1944321</v>
      </c>
      <c r="C1754">
        <v>1944506</v>
      </c>
      <c r="E1754" t="s">
        <v>13</v>
      </c>
      <c r="F1754" t="s">
        <v>4838</v>
      </c>
      <c r="H1754">
        <v>29242300</v>
      </c>
      <c r="I1754" t="s">
        <v>16</v>
      </c>
      <c r="K1754" t="s">
        <v>4837</v>
      </c>
      <c r="L1754">
        <v>61</v>
      </c>
      <c r="M1754" t="s">
        <v>4836</v>
      </c>
    </row>
    <row r="1755" spans="1:13" x14ac:dyDescent="0.35">
      <c r="A1755" t="s">
        <v>4233</v>
      </c>
      <c r="B1755">
        <v>1944644</v>
      </c>
      <c r="C1755">
        <v>1945210</v>
      </c>
      <c r="E1755" t="s">
        <v>13</v>
      </c>
      <c r="F1755" t="s">
        <v>4835</v>
      </c>
      <c r="H1755">
        <v>29242301</v>
      </c>
      <c r="I1755" t="s">
        <v>16</v>
      </c>
      <c r="K1755" t="s">
        <v>4834</v>
      </c>
      <c r="L1755">
        <v>188</v>
      </c>
      <c r="M1755" t="s">
        <v>4833</v>
      </c>
    </row>
    <row r="1756" spans="1:13" x14ac:dyDescent="0.35">
      <c r="A1756" t="s">
        <v>4233</v>
      </c>
      <c r="B1756">
        <v>1945450</v>
      </c>
      <c r="C1756">
        <v>1945650</v>
      </c>
      <c r="E1756" t="s">
        <v>36</v>
      </c>
      <c r="F1756" t="s">
        <v>40</v>
      </c>
      <c r="H1756">
        <v>29242302</v>
      </c>
      <c r="I1756" t="s">
        <v>16</v>
      </c>
      <c r="K1756" t="s">
        <v>4832</v>
      </c>
      <c r="L1756">
        <v>66</v>
      </c>
      <c r="M1756" t="s">
        <v>4831</v>
      </c>
    </row>
    <row r="1757" spans="1:13" x14ac:dyDescent="0.35">
      <c r="A1757" t="s">
        <v>4233</v>
      </c>
      <c r="B1757">
        <v>1945653</v>
      </c>
      <c r="C1757">
        <v>1949273</v>
      </c>
      <c r="E1757" t="s">
        <v>36</v>
      </c>
      <c r="F1757" t="s">
        <v>843</v>
      </c>
      <c r="H1757">
        <v>29242303</v>
      </c>
      <c r="I1757" t="s">
        <v>16</v>
      </c>
      <c r="K1757" t="s">
        <v>4830</v>
      </c>
      <c r="L1757">
        <v>1206</v>
      </c>
      <c r="M1757" t="s">
        <v>4829</v>
      </c>
    </row>
    <row r="1758" spans="1:13" x14ac:dyDescent="0.35">
      <c r="A1758" t="s">
        <v>4233</v>
      </c>
      <c r="B1758">
        <v>1949282</v>
      </c>
      <c r="C1758">
        <v>1950592</v>
      </c>
      <c r="E1758" t="s">
        <v>36</v>
      </c>
      <c r="F1758" t="s">
        <v>4828</v>
      </c>
      <c r="H1758">
        <v>29242304</v>
      </c>
      <c r="I1758" t="s">
        <v>16</v>
      </c>
      <c r="K1758" t="s">
        <v>4827</v>
      </c>
      <c r="L1758">
        <v>436</v>
      </c>
      <c r="M1758" t="s">
        <v>4826</v>
      </c>
    </row>
    <row r="1759" spans="1:13" x14ac:dyDescent="0.35">
      <c r="A1759" t="s">
        <v>4233</v>
      </c>
      <c r="B1759">
        <v>1950851</v>
      </c>
      <c r="C1759">
        <v>1951231</v>
      </c>
      <c r="E1759" t="s">
        <v>36</v>
      </c>
      <c r="F1759" t="s">
        <v>335</v>
      </c>
      <c r="G1759" t="s">
        <v>336</v>
      </c>
      <c r="H1759">
        <v>29242305</v>
      </c>
      <c r="I1759" t="s">
        <v>16</v>
      </c>
      <c r="K1759" t="s">
        <v>4825</v>
      </c>
      <c r="L1759">
        <v>126</v>
      </c>
      <c r="M1759" t="s">
        <v>4824</v>
      </c>
    </row>
    <row r="1760" spans="1:13" x14ac:dyDescent="0.35">
      <c r="A1760" t="s">
        <v>4233</v>
      </c>
      <c r="B1760">
        <v>1951341</v>
      </c>
      <c r="C1760">
        <v>1951862</v>
      </c>
      <c r="E1760" t="s">
        <v>36</v>
      </c>
      <c r="F1760" t="s">
        <v>333</v>
      </c>
      <c r="G1760" t="s">
        <v>334</v>
      </c>
      <c r="H1760">
        <v>29242306</v>
      </c>
      <c r="I1760" t="s">
        <v>16</v>
      </c>
      <c r="K1760" t="s">
        <v>4823</v>
      </c>
      <c r="L1760">
        <v>173</v>
      </c>
      <c r="M1760" t="s">
        <v>4822</v>
      </c>
    </row>
    <row r="1761" spans="1:13" x14ac:dyDescent="0.35">
      <c r="A1761" t="s">
        <v>4233</v>
      </c>
      <c r="B1761">
        <v>1952208</v>
      </c>
      <c r="C1761">
        <v>1952999</v>
      </c>
      <c r="E1761" t="s">
        <v>36</v>
      </c>
      <c r="F1761" t="s">
        <v>40</v>
      </c>
      <c r="H1761">
        <v>29242307</v>
      </c>
      <c r="I1761" t="s">
        <v>16</v>
      </c>
      <c r="K1761" t="s">
        <v>4821</v>
      </c>
      <c r="L1761">
        <v>263</v>
      </c>
      <c r="M1761" t="s">
        <v>4820</v>
      </c>
    </row>
    <row r="1762" spans="1:13" x14ac:dyDescent="0.35">
      <c r="A1762" t="s">
        <v>4233</v>
      </c>
      <c r="B1762">
        <v>1953241</v>
      </c>
      <c r="C1762">
        <v>1954635</v>
      </c>
      <c r="E1762" t="s">
        <v>13</v>
      </c>
      <c r="F1762" t="s">
        <v>1262</v>
      </c>
      <c r="H1762">
        <v>29242308</v>
      </c>
      <c r="I1762" t="s">
        <v>16</v>
      </c>
      <c r="K1762" t="s">
        <v>4819</v>
      </c>
      <c r="L1762">
        <v>464</v>
      </c>
      <c r="M1762" t="s">
        <v>4818</v>
      </c>
    </row>
    <row r="1763" spans="1:13" x14ac:dyDescent="0.35">
      <c r="A1763" t="s">
        <v>4233</v>
      </c>
      <c r="B1763">
        <v>1955273</v>
      </c>
      <c r="C1763">
        <v>1956052</v>
      </c>
      <c r="E1763" t="s">
        <v>36</v>
      </c>
      <c r="F1763" t="s">
        <v>328</v>
      </c>
      <c r="G1763" t="s">
        <v>329</v>
      </c>
      <c r="H1763">
        <v>29242309</v>
      </c>
      <c r="I1763" t="s">
        <v>16</v>
      </c>
      <c r="K1763" t="s">
        <v>4817</v>
      </c>
      <c r="L1763">
        <v>259</v>
      </c>
      <c r="M1763" t="s">
        <v>4816</v>
      </c>
    </row>
    <row r="1764" spans="1:13" x14ac:dyDescent="0.35">
      <c r="A1764" t="s">
        <v>4233</v>
      </c>
      <c r="B1764">
        <v>1956098</v>
      </c>
      <c r="C1764">
        <v>1957096</v>
      </c>
      <c r="E1764" t="s">
        <v>36</v>
      </c>
      <c r="F1764" t="s">
        <v>326</v>
      </c>
      <c r="G1764" t="s">
        <v>327</v>
      </c>
      <c r="H1764">
        <v>29242310</v>
      </c>
      <c r="I1764" t="s">
        <v>16</v>
      </c>
      <c r="K1764" t="s">
        <v>4815</v>
      </c>
      <c r="L1764">
        <v>332</v>
      </c>
      <c r="M1764" t="s">
        <v>4814</v>
      </c>
    </row>
    <row r="1765" spans="1:13" x14ac:dyDescent="0.35">
      <c r="A1765" t="s">
        <v>4233</v>
      </c>
      <c r="B1765">
        <v>1957096</v>
      </c>
      <c r="C1765">
        <v>1958049</v>
      </c>
      <c r="E1765" t="s">
        <v>36</v>
      </c>
      <c r="F1765" t="s">
        <v>324</v>
      </c>
      <c r="G1765" t="s">
        <v>325</v>
      </c>
      <c r="H1765">
        <v>29242311</v>
      </c>
      <c r="I1765" t="s">
        <v>16</v>
      </c>
      <c r="K1765" t="s">
        <v>4813</v>
      </c>
      <c r="L1765">
        <v>317</v>
      </c>
      <c r="M1765" t="s">
        <v>4812</v>
      </c>
    </row>
    <row r="1766" spans="1:13" x14ac:dyDescent="0.35">
      <c r="A1766" t="s">
        <v>4233</v>
      </c>
      <c r="B1766">
        <v>1958256</v>
      </c>
      <c r="C1766">
        <v>1959386</v>
      </c>
      <c r="E1766" t="s">
        <v>36</v>
      </c>
      <c r="F1766" t="s">
        <v>4811</v>
      </c>
      <c r="G1766" t="s">
        <v>4810</v>
      </c>
      <c r="H1766">
        <v>29242312</v>
      </c>
      <c r="I1766" t="s">
        <v>16</v>
      </c>
      <c r="K1766" t="s">
        <v>4809</v>
      </c>
      <c r="L1766">
        <v>376</v>
      </c>
      <c r="M1766" t="s">
        <v>4808</v>
      </c>
    </row>
    <row r="1767" spans="1:13" x14ac:dyDescent="0.35">
      <c r="A1767" t="s">
        <v>4233</v>
      </c>
      <c r="B1767">
        <v>1959640</v>
      </c>
      <c r="C1767">
        <v>1960344</v>
      </c>
      <c r="E1767" t="s">
        <v>36</v>
      </c>
      <c r="F1767" t="s">
        <v>608</v>
      </c>
      <c r="H1767">
        <v>29242313</v>
      </c>
      <c r="I1767" t="s">
        <v>16</v>
      </c>
      <c r="K1767" t="s">
        <v>4807</v>
      </c>
      <c r="L1767">
        <v>234</v>
      </c>
      <c r="M1767" t="s">
        <v>4806</v>
      </c>
    </row>
    <row r="1768" spans="1:13" x14ac:dyDescent="0.35">
      <c r="A1768" t="s">
        <v>4233</v>
      </c>
      <c r="B1768">
        <v>1960463</v>
      </c>
      <c r="C1768">
        <v>1961758</v>
      </c>
      <c r="E1768" t="s">
        <v>36</v>
      </c>
      <c r="F1768" t="s">
        <v>75</v>
      </c>
      <c r="H1768">
        <v>29242314</v>
      </c>
      <c r="I1768" t="s">
        <v>16</v>
      </c>
      <c r="K1768" t="s">
        <v>4805</v>
      </c>
      <c r="L1768">
        <v>431</v>
      </c>
      <c r="M1768" t="s">
        <v>4804</v>
      </c>
    </row>
    <row r="1769" spans="1:13" x14ac:dyDescent="0.35">
      <c r="A1769" t="s">
        <v>4233</v>
      </c>
      <c r="B1769">
        <v>1961896</v>
      </c>
      <c r="C1769">
        <v>1963203</v>
      </c>
      <c r="E1769" t="s">
        <v>36</v>
      </c>
      <c r="F1769" t="s">
        <v>121</v>
      </c>
      <c r="H1769">
        <v>29242315</v>
      </c>
      <c r="I1769" t="s">
        <v>16</v>
      </c>
      <c r="K1769" t="s">
        <v>4803</v>
      </c>
      <c r="L1769">
        <v>435</v>
      </c>
      <c r="M1769" t="s">
        <v>4802</v>
      </c>
    </row>
    <row r="1770" spans="1:13" x14ac:dyDescent="0.35">
      <c r="A1770" t="s">
        <v>4233</v>
      </c>
      <c r="B1770">
        <v>1963471</v>
      </c>
      <c r="C1770">
        <v>1964184</v>
      </c>
      <c r="E1770" t="s">
        <v>36</v>
      </c>
      <c r="F1770" t="s">
        <v>4801</v>
      </c>
      <c r="G1770" t="s">
        <v>4800</v>
      </c>
      <c r="H1770">
        <v>29242316</v>
      </c>
      <c r="I1770" t="s">
        <v>16</v>
      </c>
      <c r="K1770" t="s">
        <v>4799</v>
      </c>
      <c r="L1770">
        <v>237</v>
      </c>
      <c r="M1770" t="s">
        <v>4798</v>
      </c>
    </row>
    <row r="1771" spans="1:13" x14ac:dyDescent="0.35">
      <c r="A1771" t="s">
        <v>4233</v>
      </c>
      <c r="B1771">
        <v>1964324</v>
      </c>
      <c r="C1771">
        <v>1965556</v>
      </c>
      <c r="E1771" t="s">
        <v>36</v>
      </c>
      <c r="F1771" t="s">
        <v>4795</v>
      </c>
      <c r="H1771">
        <v>29242317</v>
      </c>
      <c r="I1771" t="s">
        <v>16</v>
      </c>
      <c r="K1771" t="s">
        <v>4797</v>
      </c>
      <c r="L1771">
        <v>410</v>
      </c>
      <c r="M1771" t="s">
        <v>4796</v>
      </c>
    </row>
    <row r="1772" spans="1:13" x14ac:dyDescent="0.35">
      <c r="A1772" t="s">
        <v>4233</v>
      </c>
      <c r="B1772">
        <v>1965621</v>
      </c>
      <c r="C1772">
        <v>1966757</v>
      </c>
      <c r="E1772" t="s">
        <v>36</v>
      </c>
      <c r="F1772" t="s">
        <v>4795</v>
      </c>
      <c r="H1772">
        <v>29242318</v>
      </c>
      <c r="I1772" t="s">
        <v>16</v>
      </c>
      <c r="K1772" t="s">
        <v>4794</v>
      </c>
      <c r="L1772">
        <v>378</v>
      </c>
      <c r="M1772" t="s">
        <v>4793</v>
      </c>
    </row>
    <row r="1773" spans="1:13" x14ac:dyDescent="0.35">
      <c r="A1773" t="s">
        <v>4233</v>
      </c>
      <c r="B1773">
        <v>1966977</v>
      </c>
      <c r="C1773">
        <v>1968323</v>
      </c>
      <c r="E1773" t="s">
        <v>36</v>
      </c>
      <c r="F1773" t="s">
        <v>131</v>
      </c>
      <c r="H1773">
        <v>29242319</v>
      </c>
      <c r="I1773" t="s">
        <v>16</v>
      </c>
      <c r="K1773" t="s">
        <v>4792</v>
      </c>
      <c r="L1773">
        <v>448</v>
      </c>
      <c r="M1773" t="s">
        <v>4791</v>
      </c>
    </row>
    <row r="1774" spans="1:13" x14ac:dyDescent="0.35">
      <c r="A1774" t="s">
        <v>4233</v>
      </c>
      <c r="B1774">
        <v>1968441</v>
      </c>
      <c r="C1774">
        <v>1969880</v>
      </c>
      <c r="E1774" t="s">
        <v>36</v>
      </c>
      <c r="F1774" t="s">
        <v>40</v>
      </c>
      <c r="H1774">
        <v>29242320</v>
      </c>
      <c r="I1774" t="s">
        <v>16</v>
      </c>
      <c r="K1774" t="s">
        <v>4790</v>
      </c>
      <c r="L1774">
        <v>479</v>
      </c>
      <c r="M1774" t="s">
        <v>4789</v>
      </c>
    </row>
    <row r="1775" spans="1:13" x14ac:dyDescent="0.35">
      <c r="A1775" t="s">
        <v>4233</v>
      </c>
      <c r="B1775">
        <v>1970019</v>
      </c>
      <c r="C1775">
        <v>1970696</v>
      </c>
      <c r="E1775" t="s">
        <v>36</v>
      </c>
      <c r="F1775" t="s">
        <v>122</v>
      </c>
      <c r="H1775">
        <v>29242321</v>
      </c>
      <c r="I1775" t="s">
        <v>16</v>
      </c>
      <c r="K1775" t="s">
        <v>4788</v>
      </c>
      <c r="L1775">
        <v>225</v>
      </c>
      <c r="M1775" t="s">
        <v>4787</v>
      </c>
    </row>
    <row r="1776" spans="1:13" x14ac:dyDescent="0.35">
      <c r="A1776" t="s">
        <v>4233</v>
      </c>
      <c r="B1776">
        <v>1970735</v>
      </c>
      <c r="C1776">
        <v>1971580</v>
      </c>
      <c r="E1776" t="s">
        <v>36</v>
      </c>
      <c r="F1776" t="s">
        <v>4786</v>
      </c>
      <c r="H1776">
        <v>29242322</v>
      </c>
      <c r="I1776" t="s">
        <v>16</v>
      </c>
      <c r="K1776" t="s">
        <v>4785</v>
      </c>
      <c r="L1776">
        <v>281</v>
      </c>
      <c r="M1776" t="s">
        <v>4784</v>
      </c>
    </row>
    <row r="1777" spans="1:13" x14ac:dyDescent="0.35">
      <c r="A1777" t="s">
        <v>4233</v>
      </c>
      <c r="B1777">
        <v>1971651</v>
      </c>
      <c r="C1777">
        <v>1972715</v>
      </c>
      <c r="E1777" t="s">
        <v>36</v>
      </c>
      <c r="F1777" t="s">
        <v>4783</v>
      </c>
      <c r="H1777">
        <v>29242323</v>
      </c>
      <c r="I1777" t="s">
        <v>16</v>
      </c>
      <c r="K1777" t="s">
        <v>4782</v>
      </c>
      <c r="L1777">
        <v>354</v>
      </c>
      <c r="M1777" t="s">
        <v>4781</v>
      </c>
    </row>
    <row r="1778" spans="1:13" x14ac:dyDescent="0.35">
      <c r="A1778" t="s">
        <v>4233</v>
      </c>
      <c r="B1778">
        <v>1972726</v>
      </c>
      <c r="C1778">
        <v>1974264</v>
      </c>
      <c r="E1778" t="s">
        <v>36</v>
      </c>
      <c r="F1778" t="s">
        <v>4780</v>
      </c>
      <c r="H1778">
        <v>29242324</v>
      </c>
      <c r="I1778" t="s">
        <v>16</v>
      </c>
      <c r="K1778" t="s">
        <v>4779</v>
      </c>
      <c r="L1778">
        <v>512</v>
      </c>
      <c r="M1778" t="s">
        <v>4778</v>
      </c>
    </row>
    <row r="1779" spans="1:13" x14ac:dyDescent="0.35">
      <c r="A1779" t="s">
        <v>4233</v>
      </c>
      <c r="B1779">
        <v>1974398</v>
      </c>
      <c r="C1779">
        <v>1975288</v>
      </c>
      <c r="E1779" t="s">
        <v>13</v>
      </c>
      <c r="F1779" t="s">
        <v>948</v>
      </c>
      <c r="G1779" t="s">
        <v>949</v>
      </c>
      <c r="H1779">
        <v>29242325</v>
      </c>
      <c r="I1779" t="s">
        <v>16</v>
      </c>
      <c r="K1779" t="s">
        <v>4777</v>
      </c>
      <c r="L1779">
        <v>296</v>
      </c>
      <c r="M1779" t="s">
        <v>4776</v>
      </c>
    </row>
    <row r="1780" spans="1:13" x14ac:dyDescent="0.35">
      <c r="A1780" t="s">
        <v>4233</v>
      </c>
      <c r="B1780">
        <v>1975290</v>
      </c>
      <c r="C1780">
        <v>1975871</v>
      </c>
      <c r="E1780" t="s">
        <v>36</v>
      </c>
      <c r="F1780" t="s">
        <v>689</v>
      </c>
      <c r="G1780" t="s">
        <v>690</v>
      </c>
      <c r="H1780">
        <v>29242326</v>
      </c>
      <c r="I1780" t="s">
        <v>16</v>
      </c>
      <c r="K1780" t="s">
        <v>4775</v>
      </c>
      <c r="L1780">
        <v>193</v>
      </c>
      <c r="M1780" t="s">
        <v>4774</v>
      </c>
    </row>
    <row r="1781" spans="1:13" x14ac:dyDescent="0.35">
      <c r="A1781" t="s">
        <v>4233</v>
      </c>
      <c r="B1781">
        <v>1976207</v>
      </c>
      <c r="C1781">
        <v>1978813</v>
      </c>
      <c r="E1781" t="s">
        <v>36</v>
      </c>
      <c r="F1781" t="s">
        <v>966</v>
      </c>
      <c r="H1781">
        <v>29242327</v>
      </c>
      <c r="I1781" t="s">
        <v>16</v>
      </c>
      <c r="K1781" t="s">
        <v>4773</v>
      </c>
      <c r="L1781">
        <v>868</v>
      </c>
      <c r="M1781" t="s">
        <v>4772</v>
      </c>
    </row>
    <row r="1782" spans="1:13" x14ac:dyDescent="0.35">
      <c r="A1782" t="s">
        <v>4233</v>
      </c>
      <c r="B1782">
        <v>1978921</v>
      </c>
      <c r="C1782">
        <v>1979115</v>
      </c>
      <c r="E1782" t="s">
        <v>36</v>
      </c>
      <c r="F1782" t="s">
        <v>967</v>
      </c>
      <c r="G1782" t="s">
        <v>968</v>
      </c>
      <c r="H1782">
        <v>29242328</v>
      </c>
      <c r="I1782" t="s">
        <v>16</v>
      </c>
      <c r="K1782" t="s">
        <v>4771</v>
      </c>
      <c r="L1782">
        <v>64</v>
      </c>
      <c r="M1782" t="s">
        <v>4770</v>
      </c>
    </row>
    <row r="1783" spans="1:13" x14ac:dyDescent="0.35">
      <c r="A1783" t="s">
        <v>4233</v>
      </c>
      <c r="B1783">
        <v>1979519</v>
      </c>
      <c r="C1783">
        <v>1980535</v>
      </c>
      <c r="E1783" t="s">
        <v>13</v>
      </c>
      <c r="F1783" t="s">
        <v>4769</v>
      </c>
      <c r="H1783">
        <v>29242329</v>
      </c>
      <c r="I1783" t="s">
        <v>16</v>
      </c>
      <c r="K1783" t="s">
        <v>4768</v>
      </c>
      <c r="L1783">
        <v>338</v>
      </c>
      <c r="M1783" t="s">
        <v>4767</v>
      </c>
    </row>
    <row r="1784" spans="1:13" x14ac:dyDescent="0.35">
      <c r="A1784" t="s">
        <v>4233</v>
      </c>
      <c r="B1784">
        <v>1980689</v>
      </c>
      <c r="C1784">
        <v>1981990</v>
      </c>
      <c r="E1784" t="s">
        <v>13</v>
      </c>
      <c r="F1784" t="s">
        <v>121</v>
      </c>
      <c r="H1784">
        <v>29242330</v>
      </c>
      <c r="I1784" t="s">
        <v>16</v>
      </c>
      <c r="K1784" t="s">
        <v>4766</v>
      </c>
      <c r="L1784">
        <v>433</v>
      </c>
      <c r="M1784" t="s">
        <v>4765</v>
      </c>
    </row>
    <row r="1785" spans="1:13" x14ac:dyDescent="0.35">
      <c r="A1785" t="s">
        <v>4233</v>
      </c>
      <c r="B1785">
        <v>1982171</v>
      </c>
      <c r="C1785">
        <v>1982914</v>
      </c>
      <c r="E1785" t="s">
        <v>36</v>
      </c>
      <c r="F1785" t="s">
        <v>102</v>
      </c>
      <c r="H1785">
        <v>29242331</v>
      </c>
      <c r="I1785" t="s">
        <v>16</v>
      </c>
      <c r="K1785" t="s">
        <v>4764</v>
      </c>
      <c r="L1785">
        <v>247</v>
      </c>
      <c r="M1785" t="s">
        <v>4763</v>
      </c>
    </row>
    <row r="1786" spans="1:13" x14ac:dyDescent="0.35">
      <c r="A1786" t="s">
        <v>4233</v>
      </c>
      <c r="B1786">
        <v>1983093</v>
      </c>
      <c r="C1786">
        <v>1983482</v>
      </c>
      <c r="E1786" t="s">
        <v>36</v>
      </c>
      <c r="F1786" t="s">
        <v>40</v>
      </c>
      <c r="H1786">
        <v>55549258</v>
      </c>
      <c r="I1786" t="s">
        <v>16</v>
      </c>
      <c r="K1786" t="s">
        <v>4762</v>
      </c>
      <c r="L1786">
        <v>129</v>
      </c>
      <c r="M1786" t="s">
        <v>4761</v>
      </c>
    </row>
    <row r="1787" spans="1:13" x14ac:dyDescent="0.35">
      <c r="A1787" t="s">
        <v>4233</v>
      </c>
      <c r="B1787">
        <v>1983472</v>
      </c>
      <c r="C1787">
        <v>1983795</v>
      </c>
      <c r="E1787" t="s">
        <v>36</v>
      </c>
      <c r="F1787" t="s">
        <v>1157</v>
      </c>
      <c r="H1787">
        <v>29242333</v>
      </c>
      <c r="I1787" t="s">
        <v>16</v>
      </c>
      <c r="K1787" t="s">
        <v>4760</v>
      </c>
      <c r="L1787">
        <v>107</v>
      </c>
      <c r="M1787" t="s">
        <v>4759</v>
      </c>
    </row>
    <row r="1788" spans="1:13" x14ac:dyDescent="0.35">
      <c r="A1788" t="s">
        <v>4233</v>
      </c>
      <c r="B1788">
        <v>1984055</v>
      </c>
      <c r="C1788">
        <v>1984243</v>
      </c>
      <c r="E1788" t="s">
        <v>13</v>
      </c>
      <c r="F1788" t="s">
        <v>40</v>
      </c>
      <c r="H1788">
        <v>29242334</v>
      </c>
      <c r="I1788" t="s">
        <v>16</v>
      </c>
      <c r="K1788" t="s">
        <v>4758</v>
      </c>
      <c r="L1788">
        <v>62</v>
      </c>
      <c r="M1788" t="s">
        <v>4757</v>
      </c>
    </row>
    <row r="1789" spans="1:13" x14ac:dyDescent="0.35">
      <c r="A1789" t="s">
        <v>4233</v>
      </c>
      <c r="B1789">
        <v>1984262</v>
      </c>
      <c r="C1789">
        <v>1985332</v>
      </c>
      <c r="E1789" t="s">
        <v>36</v>
      </c>
      <c r="F1789" t="s">
        <v>82</v>
      </c>
      <c r="H1789">
        <v>29242335</v>
      </c>
      <c r="I1789" t="s">
        <v>16</v>
      </c>
      <c r="K1789" t="s">
        <v>4756</v>
      </c>
      <c r="L1789">
        <v>356</v>
      </c>
      <c r="M1789" t="s">
        <v>4755</v>
      </c>
    </row>
    <row r="1790" spans="1:13" x14ac:dyDescent="0.35">
      <c r="A1790" t="s">
        <v>4233</v>
      </c>
      <c r="B1790">
        <v>1985711</v>
      </c>
      <c r="C1790">
        <v>1985896</v>
      </c>
      <c r="E1790" t="s">
        <v>36</v>
      </c>
      <c r="F1790" t="s">
        <v>40</v>
      </c>
      <c r="H1790">
        <v>29242336</v>
      </c>
      <c r="I1790" t="s">
        <v>16</v>
      </c>
      <c r="K1790" t="s">
        <v>4754</v>
      </c>
      <c r="L1790">
        <v>61</v>
      </c>
      <c r="M1790" t="s">
        <v>4753</v>
      </c>
    </row>
    <row r="1791" spans="1:13" x14ac:dyDescent="0.35">
      <c r="A1791" t="s">
        <v>4233</v>
      </c>
      <c r="B1791">
        <v>1985893</v>
      </c>
      <c r="C1791">
        <v>1986057</v>
      </c>
      <c r="E1791" t="s">
        <v>36</v>
      </c>
      <c r="F1791" t="s">
        <v>40</v>
      </c>
      <c r="H1791">
        <v>29242337</v>
      </c>
      <c r="I1791" t="s">
        <v>16</v>
      </c>
      <c r="K1791" t="s">
        <v>4752</v>
      </c>
      <c r="L1791">
        <v>54</v>
      </c>
      <c r="M1791" t="s">
        <v>4751</v>
      </c>
    </row>
    <row r="1792" spans="1:13" x14ac:dyDescent="0.35">
      <c r="A1792" t="s">
        <v>4233</v>
      </c>
      <c r="B1792">
        <v>1986036</v>
      </c>
      <c r="C1792">
        <v>1986668</v>
      </c>
      <c r="E1792" t="s">
        <v>36</v>
      </c>
      <c r="F1792" t="s">
        <v>831</v>
      </c>
      <c r="H1792">
        <v>29242567</v>
      </c>
      <c r="I1792" t="s">
        <v>16</v>
      </c>
      <c r="K1792" t="s">
        <v>4750</v>
      </c>
      <c r="L1792">
        <v>210</v>
      </c>
      <c r="M1792" t="s">
        <v>4749</v>
      </c>
    </row>
    <row r="1793" spans="1:13" x14ac:dyDescent="0.35">
      <c r="A1793" t="s">
        <v>4233</v>
      </c>
      <c r="B1793">
        <v>1986956</v>
      </c>
      <c r="C1793">
        <v>1987028</v>
      </c>
      <c r="E1793" t="s">
        <v>36</v>
      </c>
      <c r="F1793" t="s">
        <v>415</v>
      </c>
      <c r="H1793">
        <v>29242338</v>
      </c>
      <c r="I1793" t="s">
        <v>39</v>
      </c>
      <c r="M1793" t="s">
        <v>4748</v>
      </c>
    </row>
    <row r="1794" spans="1:13" x14ac:dyDescent="0.35">
      <c r="A1794" t="s">
        <v>4233</v>
      </c>
      <c r="B1794">
        <v>1987077</v>
      </c>
      <c r="C1794">
        <v>1987148</v>
      </c>
      <c r="E1794" t="s">
        <v>36</v>
      </c>
      <c r="F1794" t="s">
        <v>415</v>
      </c>
      <c r="H1794">
        <v>29242339</v>
      </c>
      <c r="I1794" t="s">
        <v>39</v>
      </c>
      <c r="M1794" t="s">
        <v>4747</v>
      </c>
    </row>
    <row r="1795" spans="1:13" x14ac:dyDescent="0.35">
      <c r="A1795" t="s">
        <v>4233</v>
      </c>
      <c r="B1795">
        <v>1987195</v>
      </c>
      <c r="C1795">
        <v>1987267</v>
      </c>
      <c r="E1795" t="s">
        <v>36</v>
      </c>
      <c r="F1795" t="s">
        <v>136</v>
      </c>
      <c r="H1795">
        <v>29242340</v>
      </c>
      <c r="I1795" t="s">
        <v>39</v>
      </c>
      <c r="M1795" t="s">
        <v>4746</v>
      </c>
    </row>
    <row r="1796" spans="1:13" x14ac:dyDescent="0.35">
      <c r="A1796" t="s">
        <v>4233</v>
      </c>
      <c r="B1796">
        <v>1987368</v>
      </c>
      <c r="C1796">
        <v>1987592</v>
      </c>
      <c r="E1796" t="s">
        <v>36</v>
      </c>
      <c r="F1796" t="s">
        <v>40</v>
      </c>
      <c r="H1796">
        <v>29242341</v>
      </c>
      <c r="I1796" t="s">
        <v>16</v>
      </c>
      <c r="K1796" t="s">
        <v>4745</v>
      </c>
      <c r="L1796">
        <v>74</v>
      </c>
      <c r="M1796" t="s">
        <v>4744</v>
      </c>
    </row>
    <row r="1797" spans="1:13" x14ac:dyDescent="0.35">
      <c r="A1797" t="s">
        <v>4233</v>
      </c>
      <c r="B1797">
        <v>1987680</v>
      </c>
      <c r="C1797">
        <v>1987775</v>
      </c>
      <c r="E1797" t="s">
        <v>13</v>
      </c>
      <c r="F1797" t="s">
        <v>45</v>
      </c>
      <c r="H1797">
        <v>93018743</v>
      </c>
      <c r="I1797" t="s">
        <v>46</v>
      </c>
      <c r="M1797" t="s">
        <v>4743</v>
      </c>
    </row>
    <row r="1798" spans="1:13" x14ac:dyDescent="0.35">
      <c r="A1798" t="s">
        <v>4233</v>
      </c>
      <c r="B1798">
        <v>1987873</v>
      </c>
      <c r="C1798">
        <v>1988112</v>
      </c>
      <c r="E1798" t="s">
        <v>13</v>
      </c>
      <c r="F1798" t="s">
        <v>40</v>
      </c>
      <c r="H1798">
        <v>93018744</v>
      </c>
      <c r="I1798" t="s">
        <v>16</v>
      </c>
      <c r="K1798" t="s">
        <v>4742</v>
      </c>
      <c r="L1798">
        <v>79</v>
      </c>
      <c r="M1798" t="s">
        <v>4741</v>
      </c>
    </row>
    <row r="1799" spans="1:13" x14ac:dyDescent="0.35">
      <c r="A1799" t="s">
        <v>4233</v>
      </c>
      <c r="B1799">
        <v>1988927</v>
      </c>
      <c r="C1799">
        <v>1998409</v>
      </c>
      <c r="E1799" t="s">
        <v>36</v>
      </c>
      <c r="F1799" t="s">
        <v>4740</v>
      </c>
      <c r="H1799">
        <v>29242343</v>
      </c>
      <c r="I1799" t="s">
        <v>16</v>
      </c>
      <c r="K1799" t="s">
        <v>4739</v>
      </c>
      <c r="L1799">
        <v>3160</v>
      </c>
      <c r="M1799" t="s">
        <v>4738</v>
      </c>
    </row>
    <row r="1800" spans="1:13" x14ac:dyDescent="0.35">
      <c r="A1800" t="s">
        <v>4233</v>
      </c>
      <c r="B1800">
        <v>1998449</v>
      </c>
      <c r="C1800">
        <v>2000071</v>
      </c>
      <c r="E1800" t="s">
        <v>36</v>
      </c>
      <c r="F1800" t="s">
        <v>4737</v>
      </c>
      <c r="H1800">
        <v>29242344</v>
      </c>
      <c r="I1800" t="s">
        <v>16</v>
      </c>
      <c r="K1800" t="s">
        <v>4736</v>
      </c>
      <c r="L1800">
        <v>540</v>
      </c>
      <c r="M1800" t="s">
        <v>4735</v>
      </c>
    </row>
    <row r="1801" spans="1:13" x14ac:dyDescent="0.35">
      <c r="A1801" t="s">
        <v>4233</v>
      </c>
      <c r="B1801">
        <v>2000064</v>
      </c>
      <c r="C1801">
        <v>2001932</v>
      </c>
      <c r="E1801" t="s">
        <v>36</v>
      </c>
      <c r="F1801" t="s">
        <v>4734</v>
      </c>
      <c r="H1801">
        <v>29242345</v>
      </c>
      <c r="I1801" t="s">
        <v>16</v>
      </c>
      <c r="K1801" t="s">
        <v>4733</v>
      </c>
      <c r="L1801">
        <v>622</v>
      </c>
      <c r="M1801" t="s">
        <v>4732</v>
      </c>
    </row>
    <row r="1802" spans="1:13" x14ac:dyDescent="0.35">
      <c r="A1802" t="s">
        <v>4233</v>
      </c>
      <c r="B1802">
        <v>2002444</v>
      </c>
      <c r="C1802">
        <v>2003043</v>
      </c>
      <c r="E1802" t="s">
        <v>13</v>
      </c>
      <c r="F1802" t="s">
        <v>4731</v>
      </c>
      <c r="H1802">
        <v>29242346</v>
      </c>
      <c r="I1802" t="s">
        <v>16</v>
      </c>
      <c r="K1802" t="s">
        <v>4730</v>
      </c>
      <c r="L1802">
        <v>199</v>
      </c>
      <c r="M1802" t="s">
        <v>4729</v>
      </c>
    </row>
    <row r="1803" spans="1:13" x14ac:dyDescent="0.35">
      <c r="A1803" t="s">
        <v>4233</v>
      </c>
      <c r="B1803">
        <v>2003045</v>
      </c>
      <c r="C1803">
        <v>2003932</v>
      </c>
      <c r="E1803" t="s">
        <v>36</v>
      </c>
      <c r="F1803" t="s">
        <v>4728</v>
      </c>
      <c r="H1803">
        <v>29242347</v>
      </c>
      <c r="I1803" t="s">
        <v>16</v>
      </c>
      <c r="K1803" t="s">
        <v>4727</v>
      </c>
      <c r="L1803">
        <v>295</v>
      </c>
      <c r="M1803" t="s">
        <v>4726</v>
      </c>
    </row>
    <row r="1804" spans="1:13" x14ac:dyDescent="0.35">
      <c r="A1804" t="s">
        <v>4233</v>
      </c>
      <c r="B1804">
        <v>2004176</v>
      </c>
      <c r="C1804">
        <v>2006281</v>
      </c>
      <c r="E1804" t="s">
        <v>13</v>
      </c>
      <c r="F1804" t="s">
        <v>4725</v>
      </c>
      <c r="H1804">
        <v>29242348</v>
      </c>
      <c r="I1804" t="s">
        <v>16</v>
      </c>
      <c r="K1804" t="s">
        <v>4724</v>
      </c>
      <c r="L1804">
        <v>701</v>
      </c>
      <c r="M1804" t="s">
        <v>4723</v>
      </c>
    </row>
    <row r="1805" spans="1:13" x14ac:dyDescent="0.35">
      <c r="A1805" t="s">
        <v>4233</v>
      </c>
      <c r="B1805">
        <v>2006360</v>
      </c>
      <c r="C1805">
        <v>2007217</v>
      </c>
      <c r="E1805" t="s">
        <v>13</v>
      </c>
      <c r="F1805" t="s">
        <v>4722</v>
      </c>
      <c r="H1805">
        <v>29242349</v>
      </c>
      <c r="I1805" t="s">
        <v>16</v>
      </c>
      <c r="K1805" t="s">
        <v>4721</v>
      </c>
      <c r="L1805">
        <v>285</v>
      </c>
      <c r="M1805" t="s">
        <v>4720</v>
      </c>
    </row>
    <row r="1806" spans="1:13" x14ac:dyDescent="0.35">
      <c r="A1806" t="s">
        <v>4233</v>
      </c>
      <c r="B1806">
        <v>2007490</v>
      </c>
      <c r="C1806">
        <v>2008182</v>
      </c>
      <c r="E1806" t="s">
        <v>36</v>
      </c>
      <c r="F1806" t="s">
        <v>322</v>
      </c>
      <c r="G1806" t="s">
        <v>323</v>
      </c>
      <c r="H1806">
        <v>29242350</v>
      </c>
      <c r="I1806" t="s">
        <v>16</v>
      </c>
      <c r="K1806" t="s">
        <v>4719</v>
      </c>
      <c r="L1806">
        <v>230</v>
      </c>
      <c r="M1806" t="s">
        <v>4718</v>
      </c>
    </row>
    <row r="1807" spans="1:13" x14ac:dyDescent="0.35">
      <c r="A1807" t="s">
        <v>4233</v>
      </c>
      <c r="B1807">
        <v>2008198</v>
      </c>
      <c r="C1807">
        <v>2008629</v>
      </c>
      <c r="E1807" t="s">
        <v>36</v>
      </c>
      <c r="F1807" t="s">
        <v>320</v>
      </c>
      <c r="G1807" t="s">
        <v>321</v>
      </c>
      <c r="H1807">
        <v>29242351</v>
      </c>
      <c r="I1807" t="s">
        <v>16</v>
      </c>
      <c r="K1807" t="s">
        <v>4717</v>
      </c>
      <c r="L1807">
        <v>143</v>
      </c>
      <c r="M1807" t="s">
        <v>4716</v>
      </c>
    </row>
    <row r="1808" spans="1:13" x14ac:dyDescent="0.35">
      <c r="A1808" t="s">
        <v>4233</v>
      </c>
      <c r="B1808">
        <v>2009246</v>
      </c>
      <c r="C1808">
        <v>2010199</v>
      </c>
      <c r="E1808" t="s">
        <v>13</v>
      </c>
      <c r="F1808" t="s">
        <v>40</v>
      </c>
      <c r="H1808">
        <v>29242352</v>
      </c>
      <c r="I1808" t="s">
        <v>16</v>
      </c>
      <c r="K1808" t="s">
        <v>4715</v>
      </c>
      <c r="L1808">
        <v>317</v>
      </c>
      <c r="M1808" t="s">
        <v>4714</v>
      </c>
    </row>
    <row r="1809" spans="1:13" x14ac:dyDescent="0.35">
      <c r="A1809" t="s">
        <v>4233</v>
      </c>
      <c r="B1809">
        <v>2010555</v>
      </c>
      <c r="C1809">
        <v>2011382</v>
      </c>
      <c r="E1809" t="s">
        <v>36</v>
      </c>
      <c r="F1809" t="s">
        <v>318</v>
      </c>
      <c r="G1809" t="s">
        <v>319</v>
      </c>
      <c r="H1809">
        <v>29242353</v>
      </c>
      <c r="I1809" t="s">
        <v>16</v>
      </c>
      <c r="K1809" t="s">
        <v>4713</v>
      </c>
      <c r="L1809">
        <v>275</v>
      </c>
      <c r="M1809" t="s">
        <v>4712</v>
      </c>
    </row>
    <row r="1810" spans="1:13" x14ac:dyDescent="0.35">
      <c r="A1810" t="s">
        <v>4233</v>
      </c>
      <c r="B1810">
        <v>2011415</v>
      </c>
      <c r="C1810">
        <v>2011642</v>
      </c>
      <c r="E1810" t="s">
        <v>36</v>
      </c>
      <c r="F1810" t="s">
        <v>316</v>
      </c>
      <c r="G1810" t="s">
        <v>317</v>
      </c>
      <c r="H1810">
        <v>29242354</v>
      </c>
      <c r="I1810" t="s">
        <v>16</v>
      </c>
      <c r="K1810" t="s">
        <v>4711</v>
      </c>
      <c r="L1810">
        <v>75</v>
      </c>
      <c r="M1810" t="s">
        <v>4710</v>
      </c>
    </row>
    <row r="1811" spans="1:13" x14ac:dyDescent="0.35">
      <c r="A1811" t="s">
        <v>4233</v>
      </c>
      <c r="B1811">
        <v>2011682</v>
      </c>
      <c r="C1811">
        <v>2011757</v>
      </c>
      <c r="E1811" t="s">
        <v>36</v>
      </c>
      <c r="F1811" t="s">
        <v>425</v>
      </c>
      <c r="H1811">
        <v>29242355</v>
      </c>
      <c r="I1811" t="s">
        <v>39</v>
      </c>
      <c r="M1811" t="s">
        <v>4709</v>
      </c>
    </row>
    <row r="1812" spans="1:13" x14ac:dyDescent="0.35">
      <c r="A1812" t="s">
        <v>4233</v>
      </c>
      <c r="B1812">
        <v>2011972</v>
      </c>
      <c r="C1812">
        <v>2013177</v>
      </c>
      <c r="E1812" t="s">
        <v>36</v>
      </c>
      <c r="F1812" t="s">
        <v>4708</v>
      </c>
      <c r="H1812">
        <v>29242356</v>
      </c>
      <c r="I1812" t="s">
        <v>16</v>
      </c>
      <c r="K1812" t="s">
        <v>4707</v>
      </c>
      <c r="L1812">
        <v>401</v>
      </c>
      <c r="M1812" t="s">
        <v>4706</v>
      </c>
    </row>
    <row r="1813" spans="1:13" x14ac:dyDescent="0.35">
      <c r="A1813" t="s">
        <v>4233</v>
      </c>
      <c r="B1813">
        <v>2013319</v>
      </c>
      <c r="C1813">
        <v>2014581</v>
      </c>
      <c r="E1813" t="s">
        <v>13</v>
      </c>
      <c r="F1813" t="s">
        <v>4705</v>
      </c>
      <c r="H1813">
        <v>29242357</v>
      </c>
      <c r="I1813" t="s">
        <v>16</v>
      </c>
      <c r="K1813" t="s">
        <v>4704</v>
      </c>
      <c r="L1813">
        <v>420</v>
      </c>
      <c r="M1813" t="s">
        <v>4703</v>
      </c>
    </row>
    <row r="1814" spans="1:13" x14ac:dyDescent="0.35">
      <c r="A1814" t="s">
        <v>4233</v>
      </c>
      <c r="B1814">
        <v>2014677</v>
      </c>
      <c r="C1814">
        <v>2015810</v>
      </c>
      <c r="E1814" t="s">
        <v>36</v>
      </c>
      <c r="F1814" t="s">
        <v>4702</v>
      </c>
      <c r="G1814" t="s">
        <v>4701</v>
      </c>
      <c r="H1814">
        <v>29242358</v>
      </c>
      <c r="I1814" t="s">
        <v>16</v>
      </c>
      <c r="K1814" t="s">
        <v>4700</v>
      </c>
      <c r="L1814">
        <v>377</v>
      </c>
      <c r="M1814" t="s">
        <v>4699</v>
      </c>
    </row>
    <row r="1815" spans="1:13" x14ac:dyDescent="0.35">
      <c r="A1815" t="s">
        <v>4233</v>
      </c>
      <c r="B1815">
        <v>2015916</v>
      </c>
      <c r="C1815">
        <v>2017607</v>
      </c>
      <c r="E1815" t="s">
        <v>36</v>
      </c>
      <c r="F1815" t="s">
        <v>785</v>
      </c>
      <c r="G1815" t="s">
        <v>786</v>
      </c>
      <c r="H1815">
        <v>29242359</v>
      </c>
      <c r="I1815" t="s">
        <v>16</v>
      </c>
      <c r="K1815" t="s">
        <v>4698</v>
      </c>
      <c r="L1815">
        <v>563</v>
      </c>
      <c r="M1815" t="s">
        <v>4697</v>
      </c>
    </row>
    <row r="1816" spans="1:13" x14ac:dyDescent="0.35">
      <c r="A1816" t="s">
        <v>4233</v>
      </c>
      <c r="B1816">
        <v>2017674</v>
      </c>
      <c r="C1816">
        <v>2017925</v>
      </c>
      <c r="E1816" t="s">
        <v>36</v>
      </c>
      <c r="F1816" t="s">
        <v>1004</v>
      </c>
      <c r="G1816" t="s">
        <v>1005</v>
      </c>
      <c r="H1816">
        <v>29242360</v>
      </c>
      <c r="I1816" t="s">
        <v>16</v>
      </c>
      <c r="K1816" t="s">
        <v>4696</v>
      </c>
      <c r="L1816">
        <v>83</v>
      </c>
      <c r="M1816" t="s">
        <v>4695</v>
      </c>
    </row>
    <row r="1817" spans="1:13" x14ac:dyDescent="0.35">
      <c r="A1817" t="s">
        <v>4233</v>
      </c>
      <c r="B1817">
        <v>2017948</v>
      </c>
      <c r="C1817">
        <v>2018256</v>
      </c>
      <c r="E1817" t="s">
        <v>36</v>
      </c>
      <c r="F1817" t="s">
        <v>1006</v>
      </c>
      <c r="G1817" t="s">
        <v>1007</v>
      </c>
      <c r="H1817">
        <v>29242361</v>
      </c>
      <c r="I1817" t="s">
        <v>16</v>
      </c>
      <c r="K1817" t="s">
        <v>4694</v>
      </c>
      <c r="L1817">
        <v>102</v>
      </c>
      <c r="M1817" t="s">
        <v>4693</v>
      </c>
    </row>
    <row r="1818" spans="1:13" x14ac:dyDescent="0.35">
      <c r="A1818" t="s">
        <v>4233</v>
      </c>
      <c r="B1818">
        <v>2018443</v>
      </c>
      <c r="C1818">
        <v>2021538</v>
      </c>
      <c r="E1818" t="s">
        <v>36</v>
      </c>
      <c r="F1818" t="s">
        <v>4692</v>
      </c>
      <c r="H1818">
        <v>29242362</v>
      </c>
      <c r="I1818" t="s">
        <v>16</v>
      </c>
      <c r="K1818" t="s">
        <v>4691</v>
      </c>
      <c r="L1818">
        <v>1031</v>
      </c>
      <c r="M1818" t="s">
        <v>4690</v>
      </c>
    </row>
    <row r="1819" spans="1:13" x14ac:dyDescent="0.35">
      <c r="A1819" t="s">
        <v>4233</v>
      </c>
      <c r="B1819">
        <v>2021931</v>
      </c>
      <c r="C1819">
        <v>2023136</v>
      </c>
      <c r="E1819" t="s">
        <v>36</v>
      </c>
      <c r="F1819" t="s">
        <v>4689</v>
      </c>
      <c r="G1819" t="s">
        <v>4688</v>
      </c>
      <c r="H1819">
        <v>29242363</v>
      </c>
      <c r="I1819" t="s">
        <v>16</v>
      </c>
      <c r="K1819" t="s">
        <v>4687</v>
      </c>
      <c r="L1819">
        <v>401</v>
      </c>
      <c r="M1819" t="s">
        <v>4686</v>
      </c>
    </row>
    <row r="1820" spans="1:13" x14ac:dyDescent="0.35">
      <c r="A1820" t="s">
        <v>4233</v>
      </c>
      <c r="B1820">
        <v>2023242</v>
      </c>
      <c r="C1820">
        <v>2024186</v>
      </c>
      <c r="E1820" t="s">
        <v>13</v>
      </c>
      <c r="F1820" t="s">
        <v>332</v>
      </c>
      <c r="H1820">
        <v>29242364</v>
      </c>
      <c r="I1820" t="s">
        <v>16</v>
      </c>
      <c r="K1820" t="s">
        <v>4685</v>
      </c>
      <c r="L1820">
        <v>314</v>
      </c>
      <c r="M1820" t="s">
        <v>4684</v>
      </c>
    </row>
    <row r="1821" spans="1:13" x14ac:dyDescent="0.35">
      <c r="A1821" t="s">
        <v>4233</v>
      </c>
      <c r="B1821">
        <v>2024262</v>
      </c>
      <c r="C1821">
        <v>2025155</v>
      </c>
      <c r="E1821" t="s">
        <v>36</v>
      </c>
      <c r="F1821" t="s">
        <v>4683</v>
      </c>
      <c r="H1821">
        <v>29242365</v>
      </c>
      <c r="I1821" t="s">
        <v>16</v>
      </c>
      <c r="K1821" t="s">
        <v>4682</v>
      </c>
      <c r="L1821">
        <v>297</v>
      </c>
      <c r="M1821" t="s">
        <v>4681</v>
      </c>
    </row>
    <row r="1822" spans="1:13" x14ac:dyDescent="0.35">
      <c r="A1822" t="s">
        <v>4233</v>
      </c>
      <c r="B1822">
        <v>2025267</v>
      </c>
      <c r="C1822">
        <v>2026034</v>
      </c>
      <c r="E1822" t="s">
        <v>36</v>
      </c>
      <c r="F1822" t="s">
        <v>4680</v>
      </c>
      <c r="H1822">
        <v>29242366</v>
      </c>
      <c r="I1822" t="s">
        <v>16</v>
      </c>
      <c r="K1822" t="s">
        <v>4679</v>
      </c>
      <c r="L1822">
        <v>255</v>
      </c>
      <c r="M1822" t="s">
        <v>4678</v>
      </c>
    </row>
    <row r="1823" spans="1:13" x14ac:dyDescent="0.35">
      <c r="A1823" t="s">
        <v>4233</v>
      </c>
      <c r="B1823">
        <v>2026036</v>
      </c>
      <c r="C1823">
        <v>2027298</v>
      </c>
      <c r="E1823" t="s">
        <v>36</v>
      </c>
      <c r="F1823" t="s">
        <v>121</v>
      </c>
      <c r="H1823">
        <v>29242367</v>
      </c>
      <c r="I1823" t="s">
        <v>16</v>
      </c>
      <c r="K1823" t="s">
        <v>4677</v>
      </c>
      <c r="L1823">
        <v>420</v>
      </c>
      <c r="M1823" t="s">
        <v>4676</v>
      </c>
    </row>
    <row r="1824" spans="1:13" x14ac:dyDescent="0.35">
      <c r="A1824" t="s">
        <v>4233</v>
      </c>
      <c r="B1824">
        <v>2027488</v>
      </c>
      <c r="C1824">
        <v>2028279</v>
      </c>
      <c r="E1824" t="s">
        <v>36</v>
      </c>
      <c r="F1824" t="s">
        <v>787</v>
      </c>
      <c r="H1824">
        <v>29242368</v>
      </c>
      <c r="I1824" t="s">
        <v>16</v>
      </c>
      <c r="K1824" t="s">
        <v>4675</v>
      </c>
      <c r="L1824">
        <v>263</v>
      </c>
      <c r="M1824" t="s">
        <v>4674</v>
      </c>
    </row>
    <row r="1825" spans="1:13" x14ac:dyDescent="0.35">
      <c r="A1825" t="s">
        <v>4233</v>
      </c>
      <c r="B1825">
        <v>2028420</v>
      </c>
      <c r="C1825">
        <v>2029703</v>
      </c>
      <c r="E1825" t="s">
        <v>36</v>
      </c>
      <c r="F1825" t="s">
        <v>4673</v>
      </c>
      <c r="H1825">
        <v>29242369</v>
      </c>
      <c r="I1825" t="s">
        <v>16</v>
      </c>
      <c r="K1825" t="s">
        <v>4672</v>
      </c>
      <c r="L1825">
        <v>427</v>
      </c>
      <c r="M1825" t="s">
        <v>4671</v>
      </c>
    </row>
    <row r="1826" spans="1:13" x14ac:dyDescent="0.35">
      <c r="A1826" t="s">
        <v>4233</v>
      </c>
      <c r="B1826">
        <v>2029915</v>
      </c>
      <c r="C1826">
        <v>2030943</v>
      </c>
      <c r="E1826" t="s">
        <v>13</v>
      </c>
      <c r="F1826" t="s">
        <v>373</v>
      </c>
      <c r="H1826">
        <v>29242370</v>
      </c>
      <c r="I1826" t="s">
        <v>16</v>
      </c>
      <c r="K1826" t="s">
        <v>4670</v>
      </c>
      <c r="L1826">
        <v>342</v>
      </c>
      <c r="M1826" t="s">
        <v>4669</v>
      </c>
    </row>
    <row r="1827" spans="1:13" x14ac:dyDescent="0.35">
      <c r="A1827" t="s">
        <v>4233</v>
      </c>
      <c r="B1827">
        <v>2030925</v>
      </c>
      <c r="C1827">
        <v>2032373</v>
      </c>
      <c r="E1827" t="s">
        <v>36</v>
      </c>
      <c r="F1827" t="s">
        <v>1192</v>
      </c>
      <c r="H1827">
        <v>29242371</v>
      </c>
      <c r="I1827" t="s">
        <v>16</v>
      </c>
      <c r="K1827" t="s">
        <v>4668</v>
      </c>
      <c r="L1827">
        <v>482</v>
      </c>
      <c r="M1827" t="s">
        <v>4667</v>
      </c>
    </row>
    <row r="1828" spans="1:13" x14ac:dyDescent="0.35">
      <c r="A1828" t="s">
        <v>4233</v>
      </c>
      <c r="B1828">
        <v>2032370</v>
      </c>
      <c r="C1828">
        <v>2033230</v>
      </c>
      <c r="E1828" t="s">
        <v>36</v>
      </c>
      <c r="F1828" t="s">
        <v>73</v>
      </c>
      <c r="H1828">
        <v>29242372</v>
      </c>
      <c r="I1828" t="s">
        <v>16</v>
      </c>
      <c r="K1828" t="s">
        <v>4666</v>
      </c>
      <c r="L1828">
        <v>286</v>
      </c>
      <c r="M1828" t="s">
        <v>4665</v>
      </c>
    </row>
    <row r="1829" spans="1:13" x14ac:dyDescent="0.35">
      <c r="A1829" t="s">
        <v>4233</v>
      </c>
      <c r="B1829">
        <v>2033562</v>
      </c>
      <c r="C1829">
        <v>2033831</v>
      </c>
      <c r="E1829" t="s">
        <v>13</v>
      </c>
      <c r="F1829" t="s">
        <v>4664</v>
      </c>
      <c r="H1829">
        <v>29242373</v>
      </c>
      <c r="I1829" t="s">
        <v>16</v>
      </c>
      <c r="K1829" t="s">
        <v>4663</v>
      </c>
      <c r="L1829">
        <v>89</v>
      </c>
      <c r="M1829" t="s">
        <v>4662</v>
      </c>
    </row>
    <row r="1830" spans="1:13" x14ac:dyDescent="0.35">
      <c r="A1830" t="s">
        <v>4233</v>
      </c>
      <c r="B1830">
        <v>2033822</v>
      </c>
      <c r="C1830">
        <v>2034331</v>
      </c>
      <c r="E1830" t="s">
        <v>13</v>
      </c>
      <c r="F1830" t="s">
        <v>4661</v>
      </c>
      <c r="H1830">
        <v>29242374</v>
      </c>
      <c r="I1830" t="s">
        <v>16</v>
      </c>
      <c r="K1830" t="s">
        <v>4660</v>
      </c>
      <c r="L1830">
        <v>169</v>
      </c>
      <c r="M1830" t="s">
        <v>4659</v>
      </c>
    </row>
    <row r="1831" spans="1:13" x14ac:dyDescent="0.35">
      <c r="A1831" t="s">
        <v>4233</v>
      </c>
      <c r="B1831">
        <v>2034394</v>
      </c>
      <c r="C1831">
        <v>2035845</v>
      </c>
      <c r="E1831" t="s">
        <v>36</v>
      </c>
      <c r="F1831" t="s">
        <v>4658</v>
      </c>
      <c r="H1831">
        <v>29242375</v>
      </c>
      <c r="I1831" t="s">
        <v>16</v>
      </c>
      <c r="K1831" t="s">
        <v>4657</v>
      </c>
      <c r="L1831">
        <v>483</v>
      </c>
      <c r="M1831" t="s">
        <v>4656</v>
      </c>
    </row>
    <row r="1832" spans="1:13" x14ac:dyDescent="0.35">
      <c r="A1832" t="s">
        <v>4233</v>
      </c>
      <c r="B1832">
        <v>2035983</v>
      </c>
      <c r="C1832">
        <v>2037095</v>
      </c>
      <c r="E1832" t="s">
        <v>36</v>
      </c>
      <c r="F1832" t="s">
        <v>886</v>
      </c>
      <c r="H1832">
        <v>29242376</v>
      </c>
      <c r="I1832" t="s">
        <v>16</v>
      </c>
      <c r="K1832" t="s">
        <v>4655</v>
      </c>
      <c r="L1832">
        <v>370</v>
      </c>
      <c r="M1832" t="s">
        <v>4654</v>
      </c>
    </row>
    <row r="1833" spans="1:13" x14ac:dyDescent="0.35">
      <c r="A1833" t="s">
        <v>4233</v>
      </c>
      <c r="B1833">
        <v>2037190</v>
      </c>
      <c r="C1833">
        <v>2038506</v>
      </c>
      <c r="E1833" t="s">
        <v>36</v>
      </c>
      <c r="F1833" t="s">
        <v>889</v>
      </c>
      <c r="H1833">
        <v>29242377</v>
      </c>
      <c r="I1833" t="s">
        <v>16</v>
      </c>
      <c r="K1833" t="s">
        <v>4653</v>
      </c>
      <c r="L1833">
        <v>438</v>
      </c>
      <c r="M1833" t="s">
        <v>4652</v>
      </c>
    </row>
    <row r="1834" spans="1:13" x14ac:dyDescent="0.35">
      <c r="A1834" t="s">
        <v>4233</v>
      </c>
      <c r="B1834">
        <v>2038673</v>
      </c>
      <c r="C1834">
        <v>2039194</v>
      </c>
      <c r="E1834" t="s">
        <v>13</v>
      </c>
      <c r="F1834" t="s">
        <v>4651</v>
      </c>
      <c r="H1834">
        <v>29242378</v>
      </c>
      <c r="I1834" t="s">
        <v>16</v>
      </c>
      <c r="K1834" t="s">
        <v>4650</v>
      </c>
      <c r="L1834">
        <v>173</v>
      </c>
      <c r="M1834" t="s">
        <v>4649</v>
      </c>
    </row>
    <row r="1835" spans="1:13" x14ac:dyDescent="0.35">
      <c r="A1835" t="s">
        <v>4233</v>
      </c>
      <c r="B1835">
        <v>2039191</v>
      </c>
      <c r="C1835">
        <v>2039694</v>
      </c>
      <c r="E1835" t="s">
        <v>13</v>
      </c>
      <c r="F1835" t="s">
        <v>504</v>
      </c>
      <c r="H1835">
        <v>29242379</v>
      </c>
      <c r="I1835" t="s">
        <v>16</v>
      </c>
      <c r="K1835" t="s">
        <v>4648</v>
      </c>
      <c r="L1835">
        <v>167</v>
      </c>
      <c r="M1835" t="s">
        <v>4647</v>
      </c>
    </row>
    <row r="1836" spans="1:13" x14ac:dyDescent="0.35">
      <c r="A1836" t="s">
        <v>4233</v>
      </c>
      <c r="B1836">
        <v>2039790</v>
      </c>
      <c r="C1836">
        <v>2041412</v>
      </c>
      <c r="E1836" t="s">
        <v>36</v>
      </c>
      <c r="F1836" t="s">
        <v>717</v>
      </c>
      <c r="H1836">
        <v>29242380</v>
      </c>
      <c r="I1836" t="s">
        <v>16</v>
      </c>
      <c r="K1836" t="s">
        <v>4646</v>
      </c>
      <c r="L1836">
        <v>540</v>
      </c>
      <c r="M1836" t="s">
        <v>4645</v>
      </c>
    </row>
    <row r="1837" spans="1:13" x14ac:dyDescent="0.35">
      <c r="A1837" t="s">
        <v>4233</v>
      </c>
      <c r="B1837">
        <v>2041415</v>
      </c>
      <c r="C1837">
        <v>2043277</v>
      </c>
      <c r="E1837" t="s">
        <v>36</v>
      </c>
      <c r="F1837" t="s">
        <v>1170</v>
      </c>
      <c r="G1837" t="s">
        <v>1171</v>
      </c>
      <c r="H1837">
        <v>29242381</v>
      </c>
      <c r="I1837" t="s">
        <v>16</v>
      </c>
      <c r="K1837" t="s">
        <v>4644</v>
      </c>
      <c r="L1837">
        <v>620</v>
      </c>
      <c r="M1837" t="s">
        <v>4643</v>
      </c>
    </row>
    <row r="1838" spans="1:13" x14ac:dyDescent="0.35">
      <c r="A1838" t="s">
        <v>4233</v>
      </c>
      <c r="B1838">
        <v>2043485</v>
      </c>
      <c r="C1838">
        <v>2044192</v>
      </c>
      <c r="E1838" t="s">
        <v>13</v>
      </c>
      <c r="F1838" t="s">
        <v>100</v>
      </c>
      <c r="H1838">
        <v>29242382</v>
      </c>
      <c r="I1838" t="s">
        <v>16</v>
      </c>
      <c r="K1838" t="s">
        <v>4642</v>
      </c>
      <c r="L1838">
        <v>235</v>
      </c>
      <c r="M1838" t="s">
        <v>4641</v>
      </c>
    </row>
    <row r="1839" spans="1:13" x14ac:dyDescent="0.35">
      <c r="A1839" t="s">
        <v>4233</v>
      </c>
      <c r="B1839">
        <v>2044189</v>
      </c>
      <c r="C1839">
        <v>2045457</v>
      </c>
      <c r="E1839" t="s">
        <v>13</v>
      </c>
      <c r="F1839" t="s">
        <v>121</v>
      </c>
      <c r="H1839">
        <v>29242383</v>
      </c>
      <c r="I1839" t="s">
        <v>16</v>
      </c>
      <c r="K1839" t="s">
        <v>4640</v>
      </c>
      <c r="L1839">
        <v>422</v>
      </c>
      <c r="M1839" t="s">
        <v>4639</v>
      </c>
    </row>
    <row r="1840" spans="1:13" x14ac:dyDescent="0.35">
      <c r="A1840" t="s">
        <v>4233</v>
      </c>
      <c r="B1840">
        <v>2045506</v>
      </c>
      <c r="C1840">
        <v>2046831</v>
      </c>
      <c r="E1840" t="s">
        <v>36</v>
      </c>
      <c r="F1840" t="s">
        <v>164</v>
      </c>
      <c r="G1840" t="s">
        <v>4638</v>
      </c>
      <c r="H1840">
        <v>29242384</v>
      </c>
      <c r="I1840" t="s">
        <v>16</v>
      </c>
      <c r="K1840" t="s">
        <v>4637</v>
      </c>
      <c r="L1840">
        <v>441</v>
      </c>
      <c r="M1840" t="s">
        <v>4636</v>
      </c>
    </row>
    <row r="1841" spans="1:13" x14ac:dyDescent="0.35">
      <c r="A1841" t="s">
        <v>4233</v>
      </c>
      <c r="B1841">
        <v>2047125</v>
      </c>
      <c r="C1841">
        <v>2048471</v>
      </c>
      <c r="E1841" t="s">
        <v>13</v>
      </c>
      <c r="F1841" t="s">
        <v>4635</v>
      </c>
      <c r="H1841">
        <v>29242385</v>
      </c>
      <c r="I1841" t="s">
        <v>16</v>
      </c>
      <c r="K1841" t="s">
        <v>4634</v>
      </c>
      <c r="L1841">
        <v>448</v>
      </c>
      <c r="M1841" t="s">
        <v>4633</v>
      </c>
    </row>
    <row r="1842" spans="1:13" x14ac:dyDescent="0.35">
      <c r="A1842" t="s">
        <v>4233</v>
      </c>
      <c r="B1842">
        <v>2048911</v>
      </c>
      <c r="C1842">
        <v>2049762</v>
      </c>
      <c r="E1842" t="s">
        <v>13</v>
      </c>
      <c r="F1842" t="s">
        <v>486</v>
      </c>
      <c r="H1842">
        <v>29242386</v>
      </c>
      <c r="I1842" t="s">
        <v>16</v>
      </c>
      <c r="K1842" t="s">
        <v>4632</v>
      </c>
      <c r="L1842">
        <v>283</v>
      </c>
      <c r="M1842" t="s">
        <v>4631</v>
      </c>
    </row>
    <row r="1843" spans="1:13" x14ac:dyDescent="0.35">
      <c r="A1843" t="s">
        <v>4233</v>
      </c>
      <c r="B1843">
        <v>2049814</v>
      </c>
      <c r="C1843">
        <v>2050503</v>
      </c>
      <c r="E1843" t="s">
        <v>13</v>
      </c>
      <c r="F1843" t="s">
        <v>489</v>
      </c>
      <c r="H1843">
        <v>29242387</v>
      </c>
      <c r="I1843" t="s">
        <v>16</v>
      </c>
      <c r="K1843" t="s">
        <v>4630</v>
      </c>
      <c r="L1843">
        <v>229</v>
      </c>
      <c r="M1843" t="s">
        <v>4629</v>
      </c>
    </row>
    <row r="1844" spans="1:13" x14ac:dyDescent="0.35">
      <c r="A1844" t="s">
        <v>4233</v>
      </c>
      <c r="B1844">
        <v>2050508</v>
      </c>
      <c r="C1844">
        <v>2051296</v>
      </c>
      <c r="E1844" t="s">
        <v>13</v>
      </c>
      <c r="F1844" t="s">
        <v>489</v>
      </c>
      <c r="H1844">
        <v>29242388</v>
      </c>
      <c r="I1844" t="s">
        <v>16</v>
      </c>
      <c r="K1844" t="s">
        <v>4628</v>
      </c>
      <c r="L1844">
        <v>262</v>
      </c>
      <c r="M1844" t="s">
        <v>4627</v>
      </c>
    </row>
    <row r="1845" spans="1:13" x14ac:dyDescent="0.35">
      <c r="A1845" t="s">
        <v>4233</v>
      </c>
      <c r="B1845">
        <v>2051386</v>
      </c>
      <c r="C1845">
        <v>2051940</v>
      </c>
      <c r="E1845" t="s">
        <v>13</v>
      </c>
      <c r="F1845" t="s">
        <v>4626</v>
      </c>
      <c r="H1845">
        <v>29242389</v>
      </c>
      <c r="I1845" t="s">
        <v>16</v>
      </c>
      <c r="K1845" t="s">
        <v>4625</v>
      </c>
      <c r="L1845">
        <v>184</v>
      </c>
      <c r="M1845" t="s">
        <v>4624</v>
      </c>
    </row>
    <row r="1846" spans="1:13" x14ac:dyDescent="0.35">
      <c r="A1846" t="s">
        <v>4233</v>
      </c>
      <c r="B1846">
        <v>2051995</v>
      </c>
      <c r="C1846">
        <v>2052744</v>
      </c>
      <c r="E1846" t="s">
        <v>13</v>
      </c>
      <c r="F1846" t="s">
        <v>91</v>
      </c>
      <c r="H1846">
        <v>29242390</v>
      </c>
      <c r="I1846" t="s">
        <v>16</v>
      </c>
      <c r="K1846" t="s">
        <v>4623</v>
      </c>
      <c r="L1846">
        <v>249</v>
      </c>
      <c r="M1846" t="s">
        <v>4622</v>
      </c>
    </row>
    <row r="1847" spans="1:13" x14ac:dyDescent="0.35">
      <c r="A1847" t="s">
        <v>4233</v>
      </c>
      <c r="B1847">
        <v>2052866</v>
      </c>
      <c r="C1847">
        <v>2053843</v>
      </c>
      <c r="E1847" t="s">
        <v>36</v>
      </c>
      <c r="F1847" t="s">
        <v>45</v>
      </c>
      <c r="H1847">
        <v>29242391</v>
      </c>
      <c r="I1847" t="s">
        <v>46</v>
      </c>
      <c r="M1847" t="s">
        <v>4621</v>
      </c>
    </row>
    <row r="1848" spans="1:13" x14ac:dyDescent="0.35">
      <c r="A1848" t="s">
        <v>4233</v>
      </c>
      <c r="B1848">
        <v>2054357</v>
      </c>
      <c r="C1848">
        <v>2054854</v>
      </c>
      <c r="E1848" t="s">
        <v>36</v>
      </c>
      <c r="F1848" t="s">
        <v>90</v>
      </c>
      <c r="H1848">
        <v>31600513</v>
      </c>
      <c r="I1848" t="s">
        <v>16</v>
      </c>
      <c r="K1848" t="s">
        <v>4620</v>
      </c>
      <c r="L1848">
        <v>165</v>
      </c>
      <c r="M1848" t="s">
        <v>4619</v>
      </c>
    </row>
    <row r="1849" spans="1:13" x14ac:dyDescent="0.35">
      <c r="A1849" t="s">
        <v>4233</v>
      </c>
      <c r="B1849">
        <v>2055149</v>
      </c>
      <c r="C1849">
        <v>2055463</v>
      </c>
      <c r="E1849" t="s">
        <v>13</v>
      </c>
      <c r="F1849" t="s">
        <v>40</v>
      </c>
      <c r="H1849">
        <v>29242393</v>
      </c>
      <c r="I1849" t="s">
        <v>16</v>
      </c>
      <c r="K1849" t="s">
        <v>4618</v>
      </c>
      <c r="L1849">
        <v>104</v>
      </c>
      <c r="M1849" t="s">
        <v>4617</v>
      </c>
    </row>
    <row r="1850" spans="1:13" x14ac:dyDescent="0.35">
      <c r="A1850" t="s">
        <v>4233</v>
      </c>
      <c r="B1850">
        <v>2055522</v>
      </c>
      <c r="C1850">
        <v>2056211</v>
      </c>
      <c r="E1850" t="s">
        <v>36</v>
      </c>
      <c r="F1850" t="s">
        <v>4616</v>
      </c>
      <c r="G1850" t="s">
        <v>4615</v>
      </c>
      <c r="H1850">
        <v>29242394</v>
      </c>
      <c r="I1850" t="s">
        <v>16</v>
      </c>
      <c r="K1850" t="s">
        <v>4614</v>
      </c>
      <c r="L1850">
        <v>229</v>
      </c>
      <c r="M1850" t="s">
        <v>4613</v>
      </c>
    </row>
    <row r="1851" spans="1:13" x14ac:dyDescent="0.35">
      <c r="A1851" t="s">
        <v>4233</v>
      </c>
      <c r="B1851">
        <v>2056359</v>
      </c>
      <c r="C1851">
        <v>2057762</v>
      </c>
      <c r="E1851" t="s">
        <v>36</v>
      </c>
      <c r="F1851" t="s">
        <v>4612</v>
      </c>
      <c r="G1851" t="s">
        <v>4611</v>
      </c>
      <c r="H1851">
        <v>29242395</v>
      </c>
      <c r="I1851" t="s">
        <v>16</v>
      </c>
      <c r="K1851" t="s">
        <v>4610</v>
      </c>
      <c r="L1851">
        <v>467</v>
      </c>
      <c r="M1851" t="s">
        <v>4609</v>
      </c>
    </row>
    <row r="1852" spans="1:13" x14ac:dyDescent="0.35">
      <c r="A1852" t="s">
        <v>4233</v>
      </c>
      <c r="B1852">
        <v>2057958</v>
      </c>
      <c r="C1852">
        <v>2058767</v>
      </c>
      <c r="E1852" t="s">
        <v>13</v>
      </c>
      <c r="F1852" t="s">
        <v>4608</v>
      </c>
      <c r="H1852">
        <v>29242396</v>
      </c>
      <c r="I1852" t="s">
        <v>16</v>
      </c>
      <c r="K1852" t="s">
        <v>4607</v>
      </c>
      <c r="L1852">
        <v>269</v>
      </c>
      <c r="M1852" t="s">
        <v>4606</v>
      </c>
    </row>
    <row r="1853" spans="1:13" x14ac:dyDescent="0.35">
      <c r="A1853" t="s">
        <v>4233</v>
      </c>
      <c r="B1853">
        <v>2058901</v>
      </c>
      <c r="C1853">
        <v>2060244</v>
      </c>
      <c r="E1853" t="s">
        <v>36</v>
      </c>
      <c r="F1853" t="s">
        <v>112</v>
      </c>
      <c r="H1853">
        <v>29242397</v>
      </c>
      <c r="I1853" t="s">
        <v>16</v>
      </c>
      <c r="K1853" t="s">
        <v>4605</v>
      </c>
      <c r="L1853">
        <v>447</v>
      </c>
      <c r="M1853" t="s">
        <v>4604</v>
      </c>
    </row>
    <row r="1854" spans="1:13" x14ac:dyDescent="0.35">
      <c r="A1854" t="s">
        <v>4233</v>
      </c>
      <c r="B1854">
        <v>2060776</v>
      </c>
      <c r="C1854">
        <v>2063013</v>
      </c>
      <c r="E1854" t="s">
        <v>13</v>
      </c>
      <c r="F1854" t="s">
        <v>4603</v>
      </c>
      <c r="H1854">
        <v>29242398</v>
      </c>
      <c r="I1854" t="s">
        <v>16</v>
      </c>
      <c r="K1854" t="s">
        <v>4602</v>
      </c>
      <c r="L1854">
        <v>745</v>
      </c>
      <c r="M1854" t="s">
        <v>4601</v>
      </c>
    </row>
    <row r="1855" spans="1:13" x14ac:dyDescent="0.35">
      <c r="A1855" t="s">
        <v>4233</v>
      </c>
      <c r="B1855">
        <v>2063168</v>
      </c>
      <c r="C1855">
        <v>2064583</v>
      </c>
      <c r="E1855" t="s">
        <v>13</v>
      </c>
      <c r="F1855" t="s">
        <v>4600</v>
      </c>
      <c r="H1855">
        <v>29242399</v>
      </c>
      <c r="I1855" t="s">
        <v>16</v>
      </c>
      <c r="K1855" t="s">
        <v>4599</v>
      </c>
      <c r="L1855">
        <v>471</v>
      </c>
      <c r="M1855" t="s">
        <v>4598</v>
      </c>
    </row>
    <row r="1856" spans="1:13" x14ac:dyDescent="0.35">
      <c r="A1856" t="s">
        <v>4233</v>
      </c>
      <c r="B1856">
        <v>2064573</v>
      </c>
      <c r="C1856">
        <v>2065394</v>
      </c>
      <c r="E1856" t="s">
        <v>13</v>
      </c>
      <c r="F1856" t="s">
        <v>40</v>
      </c>
      <c r="H1856">
        <v>29242400</v>
      </c>
      <c r="I1856" t="s">
        <v>16</v>
      </c>
      <c r="K1856" t="s">
        <v>4597</v>
      </c>
      <c r="L1856">
        <v>273</v>
      </c>
      <c r="M1856" t="s">
        <v>4596</v>
      </c>
    </row>
    <row r="1857" spans="1:13" x14ac:dyDescent="0.35">
      <c r="A1857" t="s">
        <v>4233</v>
      </c>
      <c r="B1857">
        <v>2066248</v>
      </c>
      <c r="C1857">
        <v>2068272</v>
      </c>
      <c r="E1857" t="s">
        <v>36</v>
      </c>
      <c r="F1857" t="s">
        <v>4595</v>
      </c>
      <c r="H1857">
        <v>29242401</v>
      </c>
      <c r="I1857" t="s">
        <v>16</v>
      </c>
      <c r="K1857" t="s">
        <v>4594</v>
      </c>
      <c r="L1857">
        <v>674</v>
      </c>
      <c r="M1857" t="s">
        <v>4593</v>
      </c>
    </row>
    <row r="1858" spans="1:13" x14ac:dyDescent="0.35">
      <c r="A1858" t="s">
        <v>4233</v>
      </c>
      <c r="B1858">
        <v>2068324</v>
      </c>
      <c r="C1858">
        <v>2069208</v>
      </c>
      <c r="E1858" t="s">
        <v>36</v>
      </c>
      <c r="F1858" t="s">
        <v>453</v>
      </c>
      <c r="H1858">
        <v>29242402</v>
      </c>
      <c r="I1858" t="s">
        <v>16</v>
      </c>
      <c r="K1858" t="s">
        <v>4592</v>
      </c>
      <c r="L1858">
        <v>294</v>
      </c>
      <c r="M1858" t="s">
        <v>4591</v>
      </c>
    </row>
    <row r="1859" spans="1:13" x14ac:dyDescent="0.35">
      <c r="A1859" t="s">
        <v>4233</v>
      </c>
      <c r="B1859">
        <v>2069210</v>
      </c>
      <c r="C1859">
        <v>2070439</v>
      </c>
      <c r="E1859" t="s">
        <v>36</v>
      </c>
      <c r="F1859" t="s">
        <v>453</v>
      </c>
      <c r="H1859">
        <v>29242403</v>
      </c>
      <c r="I1859" t="s">
        <v>16</v>
      </c>
      <c r="K1859" t="s">
        <v>4590</v>
      </c>
      <c r="L1859">
        <v>409</v>
      </c>
      <c r="M1859" t="s">
        <v>4589</v>
      </c>
    </row>
    <row r="1860" spans="1:13" x14ac:dyDescent="0.35">
      <c r="A1860" t="s">
        <v>4233</v>
      </c>
      <c r="B1860">
        <v>2070562</v>
      </c>
      <c r="C1860">
        <v>2071809</v>
      </c>
      <c r="E1860" t="s">
        <v>36</v>
      </c>
      <c r="F1860" t="s">
        <v>590</v>
      </c>
      <c r="H1860">
        <v>29242404</v>
      </c>
      <c r="I1860" t="s">
        <v>16</v>
      </c>
      <c r="K1860" t="s">
        <v>4588</v>
      </c>
      <c r="L1860">
        <v>415</v>
      </c>
      <c r="M1860" t="s">
        <v>4587</v>
      </c>
    </row>
    <row r="1861" spans="1:13" x14ac:dyDescent="0.35">
      <c r="A1861" t="s">
        <v>4233</v>
      </c>
      <c r="B1861">
        <v>2072123</v>
      </c>
      <c r="C1861">
        <v>2073145</v>
      </c>
      <c r="E1861" t="s">
        <v>13</v>
      </c>
      <c r="F1861" t="s">
        <v>373</v>
      </c>
      <c r="H1861">
        <v>29242405</v>
      </c>
      <c r="I1861" t="s">
        <v>16</v>
      </c>
      <c r="K1861" t="s">
        <v>4586</v>
      </c>
      <c r="L1861">
        <v>340</v>
      </c>
      <c r="M1861" t="s">
        <v>4585</v>
      </c>
    </row>
    <row r="1862" spans="1:13" x14ac:dyDescent="0.35">
      <c r="A1862" t="s">
        <v>4233</v>
      </c>
      <c r="B1862">
        <v>2073653</v>
      </c>
      <c r="C1862">
        <v>2074294</v>
      </c>
      <c r="E1862" t="s">
        <v>13</v>
      </c>
      <c r="F1862" t="s">
        <v>624</v>
      </c>
      <c r="G1862" t="s">
        <v>625</v>
      </c>
      <c r="H1862">
        <v>29242406</v>
      </c>
      <c r="I1862" t="s">
        <v>16</v>
      </c>
      <c r="K1862" t="s">
        <v>4584</v>
      </c>
      <c r="L1862">
        <v>213</v>
      </c>
      <c r="M1862" t="s">
        <v>4583</v>
      </c>
    </row>
    <row r="1863" spans="1:13" x14ac:dyDescent="0.35">
      <c r="A1863" t="s">
        <v>4233</v>
      </c>
      <c r="B1863">
        <v>2074530</v>
      </c>
      <c r="C1863">
        <v>2075009</v>
      </c>
      <c r="E1863" t="s">
        <v>13</v>
      </c>
      <c r="F1863" t="s">
        <v>78</v>
      </c>
      <c r="G1863" t="s">
        <v>79</v>
      </c>
      <c r="H1863">
        <v>29242407</v>
      </c>
      <c r="I1863" t="s">
        <v>16</v>
      </c>
      <c r="K1863" t="s">
        <v>4582</v>
      </c>
      <c r="L1863">
        <v>159</v>
      </c>
      <c r="M1863" t="s">
        <v>4581</v>
      </c>
    </row>
    <row r="1864" spans="1:13" x14ac:dyDescent="0.35">
      <c r="A1864" t="s">
        <v>4233</v>
      </c>
      <c r="B1864">
        <v>2075052</v>
      </c>
      <c r="C1864">
        <v>2076161</v>
      </c>
      <c r="E1864" t="s">
        <v>36</v>
      </c>
      <c r="F1864" t="s">
        <v>4580</v>
      </c>
      <c r="H1864">
        <v>29242408</v>
      </c>
      <c r="I1864" t="s">
        <v>16</v>
      </c>
      <c r="K1864" t="s">
        <v>4579</v>
      </c>
      <c r="L1864">
        <v>369</v>
      </c>
      <c r="M1864" t="s">
        <v>4578</v>
      </c>
    </row>
    <row r="1865" spans="1:13" x14ac:dyDescent="0.35">
      <c r="A1865" t="s">
        <v>4233</v>
      </c>
      <c r="B1865">
        <v>2076187</v>
      </c>
      <c r="C1865">
        <v>2077284</v>
      </c>
      <c r="E1865" t="s">
        <v>36</v>
      </c>
      <c r="F1865" t="s">
        <v>4577</v>
      </c>
      <c r="G1865" t="s">
        <v>4576</v>
      </c>
      <c r="H1865">
        <v>29242409</v>
      </c>
      <c r="I1865" t="s">
        <v>16</v>
      </c>
      <c r="K1865" t="s">
        <v>4575</v>
      </c>
      <c r="L1865">
        <v>365</v>
      </c>
      <c r="M1865" t="s">
        <v>4574</v>
      </c>
    </row>
    <row r="1866" spans="1:13" x14ac:dyDescent="0.35">
      <c r="A1866" t="s">
        <v>4233</v>
      </c>
      <c r="B1866">
        <v>2077752</v>
      </c>
      <c r="C1866">
        <v>2080421</v>
      </c>
      <c r="E1866" t="s">
        <v>36</v>
      </c>
      <c r="F1866" t="s">
        <v>4573</v>
      </c>
      <c r="G1866" t="s">
        <v>4572</v>
      </c>
      <c r="H1866">
        <v>29242410</v>
      </c>
      <c r="I1866" t="s">
        <v>16</v>
      </c>
      <c r="K1866" t="s">
        <v>4571</v>
      </c>
      <c r="L1866">
        <v>889</v>
      </c>
      <c r="M1866" t="s">
        <v>4570</v>
      </c>
    </row>
    <row r="1867" spans="1:13" x14ac:dyDescent="0.35">
      <c r="A1867" t="s">
        <v>4233</v>
      </c>
      <c r="B1867">
        <v>2080845</v>
      </c>
      <c r="C1867">
        <v>2081774</v>
      </c>
      <c r="E1867" t="s">
        <v>13</v>
      </c>
      <c r="F1867" t="s">
        <v>332</v>
      </c>
      <c r="H1867">
        <v>29242411</v>
      </c>
      <c r="I1867" t="s">
        <v>16</v>
      </c>
      <c r="K1867" t="s">
        <v>4569</v>
      </c>
      <c r="L1867">
        <v>309</v>
      </c>
      <c r="M1867" t="s">
        <v>4568</v>
      </c>
    </row>
    <row r="1868" spans="1:13" x14ac:dyDescent="0.35">
      <c r="A1868" t="s">
        <v>4233</v>
      </c>
      <c r="B1868">
        <v>2081817</v>
      </c>
      <c r="C1868">
        <v>2082638</v>
      </c>
      <c r="E1868" t="s">
        <v>36</v>
      </c>
      <c r="F1868" t="s">
        <v>4567</v>
      </c>
      <c r="H1868">
        <v>29242412</v>
      </c>
      <c r="I1868" t="s">
        <v>16</v>
      </c>
      <c r="K1868" t="s">
        <v>4566</v>
      </c>
      <c r="L1868">
        <v>273</v>
      </c>
      <c r="M1868" t="s">
        <v>4565</v>
      </c>
    </row>
    <row r="1869" spans="1:13" x14ac:dyDescent="0.35">
      <c r="A1869" t="s">
        <v>4233</v>
      </c>
      <c r="B1869">
        <v>2082728</v>
      </c>
      <c r="C1869">
        <v>2083453</v>
      </c>
      <c r="E1869" t="s">
        <v>36</v>
      </c>
      <c r="F1869" t="s">
        <v>4564</v>
      </c>
      <c r="H1869">
        <v>29242413</v>
      </c>
      <c r="I1869" t="s">
        <v>16</v>
      </c>
      <c r="K1869" t="s">
        <v>4563</v>
      </c>
      <c r="L1869">
        <v>241</v>
      </c>
      <c r="M1869" t="s">
        <v>4562</v>
      </c>
    </row>
    <row r="1870" spans="1:13" x14ac:dyDescent="0.35">
      <c r="A1870" t="s">
        <v>4233</v>
      </c>
      <c r="B1870">
        <v>2083606</v>
      </c>
      <c r="C1870">
        <v>2084541</v>
      </c>
      <c r="E1870" t="s">
        <v>13</v>
      </c>
      <c r="F1870" t="s">
        <v>40</v>
      </c>
      <c r="H1870">
        <v>29242414</v>
      </c>
      <c r="I1870" t="s">
        <v>16</v>
      </c>
      <c r="K1870" t="s">
        <v>4561</v>
      </c>
      <c r="L1870">
        <v>311</v>
      </c>
      <c r="M1870" t="s">
        <v>4560</v>
      </c>
    </row>
    <row r="1871" spans="1:13" x14ac:dyDescent="0.35">
      <c r="A1871" t="s">
        <v>4233</v>
      </c>
      <c r="B1871">
        <v>2084649</v>
      </c>
      <c r="C1871">
        <v>2085845</v>
      </c>
      <c r="E1871" t="s">
        <v>36</v>
      </c>
      <c r="F1871" t="s">
        <v>4559</v>
      </c>
      <c r="G1871" t="s">
        <v>1201</v>
      </c>
      <c r="H1871">
        <v>29242415</v>
      </c>
      <c r="I1871" t="s">
        <v>16</v>
      </c>
      <c r="K1871" t="s">
        <v>4558</v>
      </c>
      <c r="L1871">
        <v>398</v>
      </c>
      <c r="M1871" t="s">
        <v>4557</v>
      </c>
    </row>
    <row r="1872" spans="1:13" x14ac:dyDescent="0.35">
      <c r="A1872" t="s">
        <v>4233</v>
      </c>
      <c r="B1872">
        <v>2086044</v>
      </c>
      <c r="C1872">
        <v>2086568</v>
      </c>
      <c r="E1872" t="s">
        <v>13</v>
      </c>
      <c r="F1872" t="s">
        <v>167</v>
      </c>
      <c r="H1872">
        <v>29242416</v>
      </c>
      <c r="I1872" t="s">
        <v>16</v>
      </c>
      <c r="K1872" t="s">
        <v>4556</v>
      </c>
      <c r="L1872">
        <v>174</v>
      </c>
      <c r="M1872" t="s">
        <v>4555</v>
      </c>
    </row>
    <row r="1873" spans="1:13" x14ac:dyDescent="0.35">
      <c r="A1873" t="s">
        <v>4233</v>
      </c>
      <c r="B1873">
        <v>2086602</v>
      </c>
      <c r="C1873">
        <v>2086811</v>
      </c>
      <c r="E1873" t="s">
        <v>13</v>
      </c>
      <c r="F1873" t="s">
        <v>40</v>
      </c>
      <c r="H1873">
        <v>29242417</v>
      </c>
      <c r="I1873" t="s">
        <v>16</v>
      </c>
      <c r="K1873" t="s">
        <v>4554</v>
      </c>
      <c r="L1873">
        <v>69</v>
      </c>
      <c r="M1873" t="s">
        <v>4553</v>
      </c>
    </row>
    <row r="1874" spans="1:13" x14ac:dyDescent="0.35">
      <c r="A1874" t="s">
        <v>4233</v>
      </c>
      <c r="B1874">
        <v>2087170</v>
      </c>
      <c r="C1874">
        <v>2087238</v>
      </c>
      <c r="E1874" t="s">
        <v>13</v>
      </c>
      <c r="F1874" t="s">
        <v>45</v>
      </c>
      <c r="H1874">
        <v>93018745</v>
      </c>
      <c r="I1874" t="s">
        <v>46</v>
      </c>
      <c r="M1874" t="s">
        <v>4552</v>
      </c>
    </row>
    <row r="1875" spans="1:13" x14ac:dyDescent="0.35">
      <c r="A1875" t="s">
        <v>4233</v>
      </c>
      <c r="B1875">
        <v>2087607</v>
      </c>
      <c r="C1875">
        <v>2088317</v>
      </c>
      <c r="E1875" t="s">
        <v>13</v>
      </c>
      <c r="F1875" t="s">
        <v>510</v>
      </c>
      <c r="H1875">
        <v>93018746</v>
      </c>
      <c r="I1875" t="s">
        <v>16</v>
      </c>
      <c r="K1875" t="s">
        <v>4551</v>
      </c>
      <c r="L1875">
        <v>236</v>
      </c>
      <c r="M1875" t="s">
        <v>4550</v>
      </c>
    </row>
    <row r="1876" spans="1:13" x14ac:dyDescent="0.35">
      <c r="A1876" t="s">
        <v>4233</v>
      </c>
      <c r="B1876">
        <v>2088442</v>
      </c>
      <c r="C1876">
        <v>2089020</v>
      </c>
      <c r="E1876" t="s">
        <v>36</v>
      </c>
      <c r="F1876" t="s">
        <v>4549</v>
      </c>
      <c r="H1876">
        <v>29242419</v>
      </c>
      <c r="I1876" t="s">
        <v>16</v>
      </c>
      <c r="K1876" t="s">
        <v>4548</v>
      </c>
      <c r="L1876">
        <v>192</v>
      </c>
      <c r="M1876" t="s">
        <v>4547</v>
      </c>
    </row>
    <row r="1877" spans="1:13" x14ac:dyDescent="0.35">
      <c r="A1877" t="s">
        <v>4233</v>
      </c>
      <c r="B1877">
        <v>2089013</v>
      </c>
      <c r="C1877">
        <v>2090113</v>
      </c>
      <c r="E1877" t="s">
        <v>36</v>
      </c>
      <c r="F1877" t="s">
        <v>133</v>
      </c>
      <c r="H1877">
        <v>29242420</v>
      </c>
      <c r="I1877" t="s">
        <v>16</v>
      </c>
      <c r="K1877" t="s">
        <v>4546</v>
      </c>
      <c r="L1877">
        <v>366</v>
      </c>
      <c r="M1877" t="s">
        <v>4545</v>
      </c>
    </row>
    <row r="1878" spans="1:13" x14ac:dyDescent="0.35">
      <c r="A1878" t="s">
        <v>4233</v>
      </c>
      <c r="B1878">
        <v>2090124</v>
      </c>
      <c r="C1878">
        <v>2091155</v>
      </c>
      <c r="E1878" t="s">
        <v>36</v>
      </c>
      <c r="F1878" t="s">
        <v>133</v>
      </c>
      <c r="H1878">
        <v>29242421</v>
      </c>
      <c r="I1878" t="s">
        <v>16</v>
      </c>
      <c r="K1878" t="s">
        <v>4544</v>
      </c>
      <c r="L1878">
        <v>343</v>
      </c>
      <c r="M1878" t="s">
        <v>4543</v>
      </c>
    </row>
    <row r="1879" spans="1:13" x14ac:dyDescent="0.35">
      <c r="A1879" t="s">
        <v>4233</v>
      </c>
      <c r="B1879">
        <v>2091155</v>
      </c>
      <c r="C1879">
        <v>2092693</v>
      </c>
      <c r="E1879" t="s">
        <v>36</v>
      </c>
      <c r="F1879" t="s">
        <v>1069</v>
      </c>
      <c r="H1879">
        <v>29242422</v>
      </c>
      <c r="I1879" t="s">
        <v>16</v>
      </c>
      <c r="K1879" t="s">
        <v>4542</v>
      </c>
      <c r="L1879">
        <v>512</v>
      </c>
      <c r="M1879" t="s">
        <v>4541</v>
      </c>
    </row>
    <row r="1880" spans="1:13" x14ac:dyDescent="0.35">
      <c r="A1880" t="s">
        <v>4233</v>
      </c>
      <c r="B1880">
        <v>2092749</v>
      </c>
      <c r="C1880">
        <v>2093783</v>
      </c>
      <c r="E1880" t="s">
        <v>36</v>
      </c>
      <c r="F1880" t="s">
        <v>4540</v>
      </c>
      <c r="H1880">
        <v>29242423</v>
      </c>
      <c r="I1880" t="s">
        <v>16</v>
      </c>
      <c r="K1880" t="s">
        <v>4539</v>
      </c>
      <c r="L1880">
        <v>344</v>
      </c>
      <c r="M1880" t="s">
        <v>4538</v>
      </c>
    </row>
    <row r="1881" spans="1:13" x14ac:dyDescent="0.35">
      <c r="A1881" t="s">
        <v>4233</v>
      </c>
      <c r="B1881">
        <v>2093897</v>
      </c>
      <c r="C1881">
        <v>2095381</v>
      </c>
      <c r="E1881" t="s">
        <v>36</v>
      </c>
      <c r="F1881" t="s">
        <v>4537</v>
      </c>
      <c r="G1881" t="s">
        <v>4536</v>
      </c>
      <c r="H1881">
        <v>29242424</v>
      </c>
      <c r="I1881" t="s">
        <v>16</v>
      </c>
      <c r="K1881" t="s">
        <v>4535</v>
      </c>
      <c r="L1881">
        <v>494</v>
      </c>
      <c r="M1881" t="s">
        <v>4534</v>
      </c>
    </row>
    <row r="1882" spans="1:13" x14ac:dyDescent="0.35">
      <c r="A1882" t="s">
        <v>4233</v>
      </c>
      <c r="B1882">
        <v>2095548</v>
      </c>
      <c r="C1882">
        <v>2096846</v>
      </c>
      <c r="E1882" t="s">
        <v>13</v>
      </c>
      <c r="F1882" t="s">
        <v>4390</v>
      </c>
      <c r="H1882">
        <v>29242425</v>
      </c>
      <c r="I1882" t="s">
        <v>16</v>
      </c>
      <c r="K1882" t="s">
        <v>4533</v>
      </c>
      <c r="L1882">
        <v>432</v>
      </c>
      <c r="M1882" t="s">
        <v>4532</v>
      </c>
    </row>
    <row r="1883" spans="1:13" x14ac:dyDescent="0.35">
      <c r="A1883" t="s">
        <v>4233</v>
      </c>
      <c r="B1883">
        <v>2096897</v>
      </c>
      <c r="C1883">
        <v>2097232</v>
      </c>
      <c r="E1883" t="s">
        <v>13</v>
      </c>
      <c r="F1883" t="s">
        <v>40</v>
      </c>
      <c r="H1883">
        <v>93018747</v>
      </c>
      <c r="I1883" t="s">
        <v>16</v>
      </c>
      <c r="K1883" t="s">
        <v>4531</v>
      </c>
      <c r="L1883">
        <v>111</v>
      </c>
      <c r="M1883" t="s">
        <v>4530</v>
      </c>
    </row>
    <row r="1884" spans="1:13" x14ac:dyDescent="0.35">
      <c r="A1884" t="s">
        <v>4233</v>
      </c>
      <c r="B1884">
        <v>2097580</v>
      </c>
      <c r="C1884">
        <v>2097891</v>
      </c>
      <c r="E1884" t="s">
        <v>13</v>
      </c>
      <c r="F1884" t="s">
        <v>40</v>
      </c>
      <c r="H1884">
        <v>93018748</v>
      </c>
      <c r="I1884" t="s">
        <v>16</v>
      </c>
      <c r="K1884" t="s">
        <v>4529</v>
      </c>
      <c r="L1884">
        <v>103</v>
      </c>
      <c r="M1884" t="s">
        <v>4528</v>
      </c>
    </row>
    <row r="1885" spans="1:13" x14ac:dyDescent="0.35">
      <c r="A1885" t="s">
        <v>4233</v>
      </c>
      <c r="B1885">
        <v>2097976</v>
      </c>
      <c r="C1885">
        <v>2099022</v>
      </c>
      <c r="E1885" t="s">
        <v>13</v>
      </c>
      <c r="F1885" t="s">
        <v>71</v>
      </c>
      <c r="H1885">
        <v>29242427</v>
      </c>
      <c r="I1885" t="s">
        <v>16</v>
      </c>
      <c r="K1885" t="s">
        <v>4527</v>
      </c>
      <c r="L1885">
        <v>348</v>
      </c>
      <c r="M1885" t="s">
        <v>4526</v>
      </c>
    </row>
    <row r="1886" spans="1:13" x14ac:dyDescent="0.35">
      <c r="A1886" t="s">
        <v>4233</v>
      </c>
      <c r="B1886">
        <v>2099053</v>
      </c>
      <c r="C1886">
        <v>2100399</v>
      </c>
      <c r="E1886" t="s">
        <v>36</v>
      </c>
      <c r="F1886" t="s">
        <v>4525</v>
      </c>
      <c r="H1886">
        <v>29242428</v>
      </c>
      <c r="I1886" t="s">
        <v>16</v>
      </c>
      <c r="K1886" t="s">
        <v>4524</v>
      </c>
      <c r="L1886">
        <v>448</v>
      </c>
      <c r="M1886" t="s">
        <v>4523</v>
      </c>
    </row>
    <row r="1887" spans="1:13" x14ac:dyDescent="0.35">
      <c r="A1887" t="s">
        <v>4233</v>
      </c>
      <c r="B1887">
        <v>2100574</v>
      </c>
      <c r="C1887">
        <v>2102826</v>
      </c>
      <c r="E1887" t="s">
        <v>13</v>
      </c>
      <c r="F1887" t="s">
        <v>126</v>
      </c>
      <c r="H1887">
        <v>29242429</v>
      </c>
      <c r="I1887" t="s">
        <v>16</v>
      </c>
      <c r="K1887" t="s">
        <v>4522</v>
      </c>
      <c r="L1887">
        <v>750</v>
      </c>
      <c r="M1887" t="s">
        <v>4521</v>
      </c>
    </row>
    <row r="1888" spans="1:13" x14ac:dyDescent="0.35">
      <c r="A1888" t="s">
        <v>4233</v>
      </c>
      <c r="B1888">
        <v>2102870</v>
      </c>
      <c r="C1888">
        <v>2106970</v>
      </c>
      <c r="E1888" t="s">
        <v>36</v>
      </c>
      <c r="F1888" t="s">
        <v>945</v>
      </c>
      <c r="H1888">
        <v>31600518</v>
      </c>
      <c r="I1888" t="s">
        <v>16</v>
      </c>
      <c r="K1888" t="s">
        <v>4520</v>
      </c>
      <c r="L1888">
        <v>1366</v>
      </c>
      <c r="M1888" t="s">
        <v>4519</v>
      </c>
    </row>
    <row r="1889" spans="1:13" x14ac:dyDescent="0.35">
      <c r="A1889" t="s">
        <v>4233</v>
      </c>
      <c r="B1889">
        <v>2107004</v>
      </c>
      <c r="C1889">
        <v>2108227</v>
      </c>
      <c r="E1889" t="s">
        <v>36</v>
      </c>
      <c r="F1889" t="s">
        <v>73</v>
      </c>
      <c r="H1889">
        <v>29242431</v>
      </c>
      <c r="I1889" t="s">
        <v>16</v>
      </c>
      <c r="K1889" t="s">
        <v>4518</v>
      </c>
      <c r="L1889">
        <v>407</v>
      </c>
      <c r="M1889" t="s">
        <v>4517</v>
      </c>
    </row>
    <row r="1890" spans="1:13" x14ac:dyDescent="0.35">
      <c r="A1890" t="s">
        <v>4233</v>
      </c>
      <c r="B1890">
        <v>2108230</v>
      </c>
      <c r="C1890">
        <v>2109057</v>
      </c>
      <c r="E1890" t="s">
        <v>36</v>
      </c>
      <c r="F1890" t="s">
        <v>133</v>
      </c>
      <c r="H1890">
        <v>29242432</v>
      </c>
      <c r="I1890" t="s">
        <v>16</v>
      </c>
      <c r="K1890" t="s">
        <v>4516</v>
      </c>
      <c r="L1890">
        <v>275</v>
      </c>
      <c r="M1890" t="s">
        <v>4515</v>
      </c>
    </row>
    <row r="1891" spans="1:13" x14ac:dyDescent="0.35">
      <c r="A1891" t="s">
        <v>4233</v>
      </c>
      <c r="B1891">
        <v>2109135</v>
      </c>
      <c r="C1891">
        <v>2110028</v>
      </c>
      <c r="E1891" t="s">
        <v>36</v>
      </c>
      <c r="F1891" t="s">
        <v>4514</v>
      </c>
      <c r="G1891" t="s">
        <v>4513</v>
      </c>
      <c r="H1891">
        <v>29242433</v>
      </c>
      <c r="I1891" t="s">
        <v>16</v>
      </c>
      <c r="K1891" t="s">
        <v>4512</v>
      </c>
      <c r="L1891">
        <v>297</v>
      </c>
      <c r="M1891" t="s">
        <v>4511</v>
      </c>
    </row>
    <row r="1892" spans="1:13" x14ac:dyDescent="0.35">
      <c r="A1892" t="s">
        <v>4233</v>
      </c>
      <c r="B1892">
        <v>2110169</v>
      </c>
      <c r="C1892">
        <v>2111620</v>
      </c>
      <c r="E1892" t="s">
        <v>36</v>
      </c>
      <c r="F1892" t="s">
        <v>4510</v>
      </c>
      <c r="H1892">
        <v>29242434</v>
      </c>
      <c r="I1892" t="s">
        <v>16</v>
      </c>
      <c r="K1892" t="s">
        <v>4509</v>
      </c>
      <c r="L1892">
        <v>483</v>
      </c>
      <c r="M1892" t="s">
        <v>4508</v>
      </c>
    </row>
    <row r="1893" spans="1:13" x14ac:dyDescent="0.35">
      <c r="A1893" t="s">
        <v>4233</v>
      </c>
      <c r="B1893">
        <v>2111628</v>
      </c>
      <c r="C1893">
        <v>2112650</v>
      </c>
      <c r="E1893" t="s">
        <v>36</v>
      </c>
      <c r="F1893" t="s">
        <v>4507</v>
      </c>
      <c r="G1893" t="s">
        <v>4506</v>
      </c>
      <c r="H1893">
        <v>29242435</v>
      </c>
      <c r="I1893" t="s">
        <v>16</v>
      </c>
      <c r="K1893" t="s">
        <v>4505</v>
      </c>
      <c r="L1893">
        <v>340</v>
      </c>
      <c r="M1893" t="s">
        <v>4504</v>
      </c>
    </row>
    <row r="1894" spans="1:13" x14ac:dyDescent="0.35">
      <c r="A1894" t="s">
        <v>4233</v>
      </c>
      <c r="B1894">
        <v>2112700</v>
      </c>
      <c r="C1894">
        <v>2114790</v>
      </c>
      <c r="E1894" t="s">
        <v>36</v>
      </c>
      <c r="F1894" t="s">
        <v>40</v>
      </c>
      <c r="H1894">
        <v>29242436</v>
      </c>
      <c r="I1894" t="s">
        <v>16</v>
      </c>
      <c r="K1894" t="s">
        <v>4503</v>
      </c>
      <c r="L1894">
        <v>696</v>
      </c>
      <c r="M1894" t="s">
        <v>4502</v>
      </c>
    </row>
    <row r="1895" spans="1:13" x14ac:dyDescent="0.35">
      <c r="A1895" t="s">
        <v>4233</v>
      </c>
      <c r="B1895">
        <v>2114959</v>
      </c>
      <c r="C1895">
        <v>2115924</v>
      </c>
      <c r="E1895" t="s">
        <v>13</v>
      </c>
      <c r="F1895" t="s">
        <v>945</v>
      </c>
      <c r="H1895">
        <v>29242437</v>
      </c>
      <c r="I1895" t="s">
        <v>16</v>
      </c>
      <c r="K1895" t="s">
        <v>4501</v>
      </c>
      <c r="L1895">
        <v>321</v>
      </c>
      <c r="M1895" t="s">
        <v>4500</v>
      </c>
    </row>
    <row r="1896" spans="1:13" x14ac:dyDescent="0.35">
      <c r="A1896" t="s">
        <v>4233</v>
      </c>
      <c r="B1896">
        <v>2116023</v>
      </c>
      <c r="C1896">
        <v>2116739</v>
      </c>
      <c r="E1896" t="s">
        <v>36</v>
      </c>
      <c r="F1896" t="s">
        <v>40</v>
      </c>
      <c r="H1896">
        <v>29242438</v>
      </c>
      <c r="I1896" t="s">
        <v>16</v>
      </c>
      <c r="K1896" t="s">
        <v>4499</v>
      </c>
      <c r="L1896">
        <v>238</v>
      </c>
      <c r="M1896" t="s">
        <v>4498</v>
      </c>
    </row>
    <row r="1897" spans="1:13" x14ac:dyDescent="0.35">
      <c r="A1897" t="s">
        <v>4233</v>
      </c>
      <c r="B1897">
        <v>2116945</v>
      </c>
      <c r="C1897">
        <v>2117904</v>
      </c>
      <c r="E1897" t="s">
        <v>36</v>
      </c>
      <c r="F1897" t="s">
        <v>4497</v>
      </c>
      <c r="H1897">
        <v>29242439</v>
      </c>
      <c r="I1897" t="s">
        <v>16</v>
      </c>
      <c r="K1897" t="s">
        <v>4496</v>
      </c>
      <c r="L1897">
        <v>319</v>
      </c>
      <c r="M1897" t="s">
        <v>4495</v>
      </c>
    </row>
    <row r="1898" spans="1:13" x14ac:dyDescent="0.35">
      <c r="A1898" t="s">
        <v>4233</v>
      </c>
      <c r="B1898">
        <v>2118001</v>
      </c>
      <c r="C1898">
        <v>2119794</v>
      </c>
      <c r="E1898" t="s">
        <v>36</v>
      </c>
      <c r="F1898" t="s">
        <v>4494</v>
      </c>
      <c r="H1898">
        <v>29242440</v>
      </c>
      <c r="I1898" t="s">
        <v>16</v>
      </c>
      <c r="K1898" t="s">
        <v>4493</v>
      </c>
      <c r="L1898">
        <v>597</v>
      </c>
      <c r="M1898" t="s">
        <v>4492</v>
      </c>
    </row>
    <row r="1899" spans="1:13" x14ac:dyDescent="0.35">
      <c r="A1899" t="s">
        <v>4233</v>
      </c>
      <c r="B1899">
        <v>2120070</v>
      </c>
      <c r="C1899">
        <v>2121476</v>
      </c>
      <c r="E1899" t="s">
        <v>36</v>
      </c>
      <c r="F1899" t="s">
        <v>123</v>
      </c>
      <c r="H1899">
        <v>29242441</v>
      </c>
      <c r="I1899" t="s">
        <v>16</v>
      </c>
      <c r="K1899" t="s">
        <v>4491</v>
      </c>
      <c r="L1899">
        <v>468</v>
      </c>
      <c r="M1899" t="s">
        <v>4490</v>
      </c>
    </row>
    <row r="1900" spans="1:13" x14ac:dyDescent="0.35">
      <c r="A1900" t="s">
        <v>4233</v>
      </c>
      <c r="B1900">
        <v>2121880</v>
      </c>
      <c r="C1900">
        <v>2123340</v>
      </c>
      <c r="E1900" t="s">
        <v>13</v>
      </c>
      <c r="F1900" t="s">
        <v>133</v>
      </c>
      <c r="H1900">
        <v>29242442</v>
      </c>
      <c r="I1900" t="s">
        <v>16</v>
      </c>
      <c r="K1900" t="s">
        <v>4489</v>
      </c>
      <c r="L1900">
        <v>486</v>
      </c>
      <c r="M1900" t="s">
        <v>4488</v>
      </c>
    </row>
    <row r="1901" spans="1:13" x14ac:dyDescent="0.35">
      <c r="A1901" t="s">
        <v>4233</v>
      </c>
      <c r="B1901">
        <v>2123337</v>
      </c>
      <c r="C1901">
        <v>2124521</v>
      </c>
      <c r="E1901" t="s">
        <v>13</v>
      </c>
      <c r="F1901" t="s">
        <v>48</v>
      </c>
      <c r="H1901">
        <v>55549260</v>
      </c>
      <c r="I1901" t="s">
        <v>16</v>
      </c>
      <c r="K1901" t="s">
        <v>4487</v>
      </c>
      <c r="L1901">
        <v>394</v>
      </c>
      <c r="M1901" t="s">
        <v>4486</v>
      </c>
    </row>
    <row r="1902" spans="1:13" x14ac:dyDescent="0.35">
      <c r="A1902" t="s">
        <v>4233</v>
      </c>
      <c r="B1902">
        <v>2124882</v>
      </c>
      <c r="C1902">
        <v>2125646</v>
      </c>
      <c r="E1902" t="s">
        <v>13</v>
      </c>
      <c r="F1902" t="s">
        <v>158</v>
      </c>
      <c r="H1902">
        <v>29242444</v>
      </c>
      <c r="I1902" t="s">
        <v>16</v>
      </c>
      <c r="K1902" t="s">
        <v>4485</v>
      </c>
      <c r="L1902">
        <v>254</v>
      </c>
      <c r="M1902" t="s">
        <v>4484</v>
      </c>
    </row>
    <row r="1903" spans="1:13" x14ac:dyDescent="0.35">
      <c r="A1903" t="s">
        <v>4233</v>
      </c>
      <c r="B1903">
        <v>2125776</v>
      </c>
      <c r="C1903">
        <v>2126636</v>
      </c>
      <c r="E1903" t="s">
        <v>36</v>
      </c>
      <c r="F1903" t="s">
        <v>4483</v>
      </c>
      <c r="H1903">
        <v>29242445</v>
      </c>
      <c r="I1903" t="s">
        <v>16</v>
      </c>
      <c r="K1903" t="s">
        <v>4482</v>
      </c>
      <c r="L1903">
        <v>286</v>
      </c>
      <c r="M1903" t="s">
        <v>4481</v>
      </c>
    </row>
    <row r="1904" spans="1:13" x14ac:dyDescent="0.35">
      <c r="A1904" t="s">
        <v>4233</v>
      </c>
      <c r="B1904">
        <v>2126920</v>
      </c>
      <c r="C1904">
        <v>2129331</v>
      </c>
      <c r="E1904" t="s">
        <v>36</v>
      </c>
      <c r="F1904" t="s">
        <v>498</v>
      </c>
      <c r="H1904">
        <v>29242446</v>
      </c>
      <c r="I1904" t="s">
        <v>16</v>
      </c>
      <c r="K1904" t="s">
        <v>4480</v>
      </c>
      <c r="L1904">
        <v>803</v>
      </c>
      <c r="M1904" t="s">
        <v>4479</v>
      </c>
    </row>
    <row r="1905" spans="1:13" x14ac:dyDescent="0.35">
      <c r="A1905" t="s">
        <v>4233</v>
      </c>
      <c r="B1905">
        <v>2129530</v>
      </c>
      <c r="C1905">
        <v>2130489</v>
      </c>
      <c r="E1905" t="s">
        <v>36</v>
      </c>
      <c r="F1905" t="s">
        <v>146</v>
      </c>
      <c r="H1905">
        <v>29242447</v>
      </c>
      <c r="I1905" t="s">
        <v>16</v>
      </c>
      <c r="K1905" t="s">
        <v>4478</v>
      </c>
      <c r="L1905">
        <v>319</v>
      </c>
      <c r="M1905" t="s">
        <v>4477</v>
      </c>
    </row>
    <row r="1906" spans="1:13" x14ac:dyDescent="0.35">
      <c r="A1906" t="s">
        <v>4233</v>
      </c>
      <c r="B1906">
        <v>2130743</v>
      </c>
      <c r="C1906">
        <v>2132548</v>
      </c>
      <c r="E1906" t="s">
        <v>36</v>
      </c>
      <c r="F1906" t="s">
        <v>73</v>
      </c>
      <c r="H1906">
        <v>29242448</v>
      </c>
      <c r="I1906" t="s">
        <v>16</v>
      </c>
      <c r="K1906" t="s">
        <v>4476</v>
      </c>
      <c r="L1906">
        <v>601</v>
      </c>
      <c r="M1906" t="s">
        <v>4475</v>
      </c>
    </row>
    <row r="1907" spans="1:13" x14ac:dyDescent="0.35">
      <c r="A1907" t="s">
        <v>4233</v>
      </c>
      <c r="B1907">
        <v>2132748</v>
      </c>
      <c r="C1907">
        <v>2134658</v>
      </c>
      <c r="E1907" t="s">
        <v>36</v>
      </c>
      <c r="F1907" t="s">
        <v>73</v>
      </c>
      <c r="H1907">
        <v>29242449</v>
      </c>
      <c r="I1907" t="s">
        <v>16</v>
      </c>
      <c r="K1907" t="s">
        <v>4474</v>
      </c>
      <c r="L1907">
        <v>636</v>
      </c>
      <c r="M1907" t="s">
        <v>4473</v>
      </c>
    </row>
    <row r="1908" spans="1:13" x14ac:dyDescent="0.35">
      <c r="A1908" t="s">
        <v>4233</v>
      </c>
      <c r="B1908">
        <v>2135079</v>
      </c>
      <c r="C1908">
        <v>2135249</v>
      </c>
      <c r="E1908" t="s">
        <v>13</v>
      </c>
      <c r="F1908" t="s">
        <v>40</v>
      </c>
      <c r="H1908">
        <v>29242450</v>
      </c>
      <c r="I1908" t="s">
        <v>16</v>
      </c>
      <c r="K1908" t="s">
        <v>4472</v>
      </c>
      <c r="L1908">
        <v>56</v>
      </c>
      <c r="M1908" t="s">
        <v>4471</v>
      </c>
    </row>
    <row r="1909" spans="1:13" x14ac:dyDescent="0.35">
      <c r="A1909" t="s">
        <v>4233</v>
      </c>
      <c r="B1909">
        <v>2135366</v>
      </c>
      <c r="C1909">
        <v>2136682</v>
      </c>
      <c r="E1909" t="s">
        <v>36</v>
      </c>
      <c r="F1909" t="s">
        <v>96</v>
      </c>
      <c r="H1909">
        <v>29242451</v>
      </c>
      <c r="I1909" t="s">
        <v>16</v>
      </c>
      <c r="K1909" t="s">
        <v>4470</v>
      </c>
      <c r="L1909">
        <v>438</v>
      </c>
      <c r="M1909" t="s">
        <v>4469</v>
      </c>
    </row>
    <row r="1910" spans="1:13" x14ac:dyDescent="0.35">
      <c r="A1910" t="s">
        <v>4233</v>
      </c>
      <c r="B1910">
        <v>2137035</v>
      </c>
      <c r="C1910">
        <v>2137283</v>
      </c>
      <c r="E1910" t="s">
        <v>36</v>
      </c>
      <c r="F1910" t="s">
        <v>45</v>
      </c>
      <c r="H1910">
        <v>29242452</v>
      </c>
      <c r="I1910" t="s">
        <v>46</v>
      </c>
      <c r="M1910" t="s">
        <v>4468</v>
      </c>
    </row>
    <row r="1911" spans="1:13" x14ac:dyDescent="0.35">
      <c r="A1911" t="s">
        <v>4233</v>
      </c>
      <c r="B1911">
        <v>2137703</v>
      </c>
      <c r="C1911">
        <v>2138512</v>
      </c>
      <c r="E1911" t="s">
        <v>36</v>
      </c>
      <c r="F1911" t="s">
        <v>45</v>
      </c>
      <c r="H1911">
        <v>29242453</v>
      </c>
      <c r="I1911" t="s">
        <v>46</v>
      </c>
      <c r="M1911" t="s">
        <v>4467</v>
      </c>
    </row>
    <row r="1912" spans="1:13" x14ac:dyDescent="0.35">
      <c r="A1912" t="s">
        <v>4233</v>
      </c>
      <c r="B1912">
        <v>2138499</v>
      </c>
      <c r="C1912">
        <v>2138981</v>
      </c>
      <c r="E1912" t="s">
        <v>13</v>
      </c>
      <c r="F1912" t="s">
        <v>45</v>
      </c>
      <c r="H1912">
        <v>29242454</v>
      </c>
      <c r="I1912" t="s">
        <v>46</v>
      </c>
      <c r="M1912" t="s">
        <v>4466</v>
      </c>
    </row>
    <row r="1913" spans="1:13" x14ac:dyDescent="0.35">
      <c r="A1913" t="s">
        <v>4233</v>
      </c>
      <c r="B1913">
        <v>2139062</v>
      </c>
      <c r="C1913">
        <v>2139355</v>
      </c>
      <c r="E1913" t="s">
        <v>36</v>
      </c>
      <c r="F1913" t="s">
        <v>40</v>
      </c>
      <c r="H1913">
        <v>29242455</v>
      </c>
      <c r="I1913" t="s">
        <v>16</v>
      </c>
      <c r="K1913" t="s">
        <v>4465</v>
      </c>
      <c r="L1913">
        <v>97</v>
      </c>
      <c r="M1913" t="s">
        <v>4464</v>
      </c>
    </row>
    <row r="1914" spans="1:13" x14ac:dyDescent="0.35">
      <c r="A1914" t="s">
        <v>4233</v>
      </c>
      <c r="B1914">
        <v>2139865</v>
      </c>
      <c r="C1914">
        <v>2141730</v>
      </c>
      <c r="E1914" t="s">
        <v>36</v>
      </c>
      <c r="F1914" t="s">
        <v>142</v>
      </c>
      <c r="G1914" t="s">
        <v>143</v>
      </c>
      <c r="H1914">
        <v>29242456</v>
      </c>
      <c r="I1914" t="s">
        <v>16</v>
      </c>
      <c r="K1914" t="s">
        <v>4463</v>
      </c>
      <c r="L1914">
        <v>621</v>
      </c>
      <c r="M1914" t="s">
        <v>4462</v>
      </c>
    </row>
    <row r="1915" spans="1:13" x14ac:dyDescent="0.35">
      <c r="A1915" t="s">
        <v>4233</v>
      </c>
      <c r="B1915">
        <v>2142007</v>
      </c>
      <c r="C1915">
        <v>2142639</v>
      </c>
      <c r="E1915" t="s">
        <v>13</v>
      </c>
      <c r="F1915" t="s">
        <v>40</v>
      </c>
      <c r="H1915">
        <v>29242457</v>
      </c>
      <c r="I1915" t="s">
        <v>16</v>
      </c>
      <c r="K1915" t="s">
        <v>4461</v>
      </c>
      <c r="L1915">
        <v>210</v>
      </c>
      <c r="M1915" t="s">
        <v>4460</v>
      </c>
    </row>
    <row r="1916" spans="1:13" x14ac:dyDescent="0.35">
      <c r="A1916" t="s">
        <v>4233</v>
      </c>
      <c r="B1916">
        <v>2142777</v>
      </c>
      <c r="C1916">
        <v>2142977</v>
      </c>
      <c r="E1916" t="s">
        <v>13</v>
      </c>
      <c r="F1916" t="s">
        <v>40</v>
      </c>
      <c r="H1916">
        <v>93018749</v>
      </c>
      <c r="I1916" t="s">
        <v>16</v>
      </c>
      <c r="K1916" t="s">
        <v>4459</v>
      </c>
      <c r="L1916">
        <v>66</v>
      </c>
      <c r="M1916" t="s">
        <v>4458</v>
      </c>
    </row>
    <row r="1917" spans="1:13" x14ac:dyDescent="0.35">
      <c r="A1917" t="s">
        <v>4233</v>
      </c>
      <c r="B1917">
        <v>2143097</v>
      </c>
      <c r="C1917">
        <v>2144116</v>
      </c>
      <c r="E1917" t="s">
        <v>36</v>
      </c>
      <c r="F1917" t="s">
        <v>351</v>
      </c>
      <c r="G1917" t="s">
        <v>352</v>
      </c>
      <c r="H1917">
        <v>29242458</v>
      </c>
      <c r="I1917" t="s">
        <v>16</v>
      </c>
      <c r="K1917" t="s">
        <v>4457</v>
      </c>
      <c r="L1917">
        <v>339</v>
      </c>
      <c r="M1917" t="s">
        <v>4456</v>
      </c>
    </row>
    <row r="1918" spans="1:13" x14ac:dyDescent="0.35">
      <c r="A1918" t="s">
        <v>4233</v>
      </c>
      <c r="B1918">
        <v>2144471</v>
      </c>
      <c r="C1918">
        <v>2144543</v>
      </c>
      <c r="E1918" t="s">
        <v>36</v>
      </c>
      <c r="F1918" t="s">
        <v>414</v>
      </c>
      <c r="H1918">
        <v>29242459</v>
      </c>
      <c r="I1918" t="s">
        <v>39</v>
      </c>
      <c r="M1918" t="s">
        <v>4455</v>
      </c>
    </row>
    <row r="1919" spans="1:13" x14ac:dyDescent="0.35">
      <c r="A1919" t="s">
        <v>4233</v>
      </c>
      <c r="B1919">
        <v>2144777</v>
      </c>
      <c r="C1919">
        <v>2146195</v>
      </c>
      <c r="E1919" t="s">
        <v>36</v>
      </c>
      <c r="F1919" t="s">
        <v>121</v>
      </c>
      <c r="H1919">
        <v>29242460</v>
      </c>
      <c r="I1919" t="s">
        <v>16</v>
      </c>
      <c r="K1919" t="s">
        <v>4454</v>
      </c>
      <c r="L1919">
        <v>472</v>
      </c>
      <c r="M1919" t="s">
        <v>4453</v>
      </c>
    </row>
    <row r="1920" spans="1:13" x14ac:dyDescent="0.35">
      <c r="A1920" t="s">
        <v>4233</v>
      </c>
      <c r="B1920">
        <v>2146300</v>
      </c>
      <c r="C1920">
        <v>2147241</v>
      </c>
      <c r="E1920" t="s">
        <v>13</v>
      </c>
      <c r="F1920" t="s">
        <v>1225</v>
      </c>
      <c r="H1920">
        <v>29242461</v>
      </c>
      <c r="I1920" t="s">
        <v>16</v>
      </c>
      <c r="K1920" t="s">
        <v>4452</v>
      </c>
      <c r="L1920">
        <v>313</v>
      </c>
      <c r="M1920" t="s">
        <v>4451</v>
      </c>
    </row>
    <row r="1921" spans="1:13" x14ac:dyDescent="0.35">
      <c r="A1921" t="s">
        <v>4233</v>
      </c>
      <c r="B1921">
        <v>2147250</v>
      </c>
      <c r="C1921">
        <v>2149079</v>
      </c>
      <c r="E1921" t="s">
        <v>36</v>
      </c>
      <c r="F1921" t="s">
        <v>73</v>
      </c>
      <c r="H1921">
        <v>29242462</v>
      </c>
      <c r="I1921" t="s">
        <v>16</v>
      </c>
      <c r="K1921" t="s">
        <v>4450</v>
      </c>
      <c r="L1921">
        <v>609</v>
      </c>
      <c r="M1921" t="s">
        <v>4449</v>
      </c>
    </row>
    <row r="1922" spans="1:13" x14ac:dyDescent="0.35">
      <c r="A1922" t="s">
        <v>4233</v>
      </c>
      <c r="B1922">
        <v>2149211</v>
      </c>
      <c r="C1922">
        <v>2151079</v>
      </c>
      <c r="E1922" t="s">
        <v>36</v>
      </c>
      <c r="F1922" t="s">
        <v>73</v>
      </c>
      <c r="H1922">
        <v>29242463</v>
      </c>
      <c r="I1922" t="s">
        <v>16</v>
      </c>
      <c r="K1922" t="s">
        <v>4448</v>
      </c>
      <c r="L1922">
        <v>622</v>
      </c>
      <c r="M1922" t="s">
        <v>4447</v>
      </c>
    </row>
    <row r="1923" spans="1:13" x14ac:dyDescent="0.35">
      <c r="A1923" t="s">
        <v>4233</v>
      </c>
      <c r="B1923">
        <v>2151263</v>
      </c>
      <c r="C1923">
        <v>2151784</v>
      </c>
      <c r="E1923" t="s">
        <v>36</v>
      </c>
      <c r="F1923" t="s">
        <v>850</v>
      </c>
      <c r="H1923">
        <v>29242464</v>
      </c>
      <c r="I1923" t="s">
        <v>16</v>
      </c>
      <c r="K1923" t="s">
        <v>4446</v>
      </c>
      <c r="L1923">
        <v>173</v>
      </c>
      <c r="M1923" t="s">
        <v>4445</v>
      </c>
    </row>
    <row r="1924" spans="1:13" x14ac:dyDescent="0.35">
      <c r="A1924" t="s">
        <v>4233</v>
      </c>
      <c r="B1924">
        <v>2152412</v>
      </c>
      <c r="C1924">
        <v>2152588</v>
      </c>
      <c r="E1924" t="s">
        <v>13</v>
      </c>
      <c r="F1924" t="s">
        <v>4444</v>
      </c>
      <c r="H1924">
        <v>31600521</v>
      </c>
      <c r="I1924" t="s">
        <v>16</v>
      </c>
      <c r="K1924" t="s">
        <v>4443</v>
      </c>
      <c r="L1924">
        <v>58</v>
      </c>
      <c r="M1924" t="s">
        <v>4442</v>
      </c>
    </row>
    <row r="1925" spans="1:13" x14ac:dyDescent="0.35">
      <c r="A1925" t="s">
        <v>4233</v>
      </c>
      <c r="B1925">
        <v>2152725</v>
      </c>
      <c r="C1925">
        <v>2154248</v>
      </c>
      <c r="E1925" t="s">
        <v>36</v>
      </c>
      <c r="F1925" t="s">
        <v>55</v>
      </c>
      <c r="H1925">
        <v>29242465</v>
      </c>
      <c r="I1925" t="s">
        <v>16</v>
      </c>
      <c r="K1925" t="s">
        <v>4441</v>
      </c>
      <c r="L1925">
        <v>507</v>
      </c>
      <c r="M1925" t="s">
        <v>4440</v>
      </c>
    </row>
    <row r="1926" spans="1:13" x14ac:dyDescent="0.35">
      <c r="A1926" t="s">
        <v>4233</v>
      </c>
      <c r="B1926">
        <v>2154502</v>
      </c>
      <c r="C1926">
        <v>2158260</v>
      </c>
      <c r="E1926" t="s">
        <v>36</v>
      </c>
      <c r="F1926" t="s">
        <v>1192</v>
      </c>
      <c r="H1926">
        <v>29242466</v>
      </c>
      <c r="I1926" t="s">
        <v>16</v>
      </c>
      <c r="K1926" t="s">
        <v>4439</v>
      </c>
      <c r="L1926">
        <v>1252</v>
      </c>
      <c r="M1926" t="s">
        <v>4438</v>
      </c>
    </row>
    <row r="1927" spans="1:13" x14ac:dyDescent="0.35">
      <c r="A1927" t="s">
        <v>4233</v>
      </c>
      <c r="B1927">
        <v>2158270</v>
      </c>
      <c r="C1927">
        <v>2158971</v>
      </c>
      <c r="E1927" t="s">
        <v>36</v>
      </c>
      <c r="F1927" t="s">
        <v>73</v>
      </c>
      <c r="H1927">
        <v>29242467</v>
      </c>
      <c r="I1927" t="s">
        <v>16</v>
      </c>
      <c r="K1927" t="s">
        <v>4437</v>
      </c>
      <c r="L1927">
        <v>233</v>
      </c>
      <c r="M1927" t="s">
        <v>4436</v>
      </c>
    </row>
    <row r="1928" spans="1:13" x14ac:dyDescent="0.35">
      <c r="A1928" t="s">
        <v>4233</v>
      </c>
      <c r="B1928">
        <v>2159453</v>
      </c>
      <c r="C1928">
        <v>2160925</v>
      </c>
      <c r="E1928" t="s">
        <v>13</v>
      </c>
      <c r="F1928" t="s">
        <v>55</v>
      </c>
      <c r="H1928">
        <v>29242468</v>
      </c>
      <c r="I1928" t="s">
        <v>16</v>
      </c>
      <c r="K1928" t="s">
        <v>4435</v>
      </c>
      <c r="L1928">
        <v>490</v>
      </c>
      <c r="M1928" t="s">
        <v>4434</v>
      </c>
    </row>
    <row r="1929" spans="1:13" x14ac:dyDescent="0.35">
      <c r="A1929" t="s">
        <v>4233</v>
      </c>
      <c r="B1929">
        <v>2160977</v>
      </c>
      <c r="C1929">
        <v>2161582</v>
      </c>
      <c r="E1929" t="s">
        <v>36</v>
      </c>
      <c r="F1929" t="s">
        <v>4433</v>
      </c>
      <c r="H1929">
        <v>29242469</v>
      </c>
      <c r="I1929" t="s">
        <v>16</v>
      </c>
      <c r="K1929" t="s">
        <v>4432</v>
      </c>
      <c r="L1929">
        <v>201</v>
      </c>
      <c r="M1929" t="s">
        <v>4431</v>
      </c>
    </row>
    <row r="1930" spans="1:13" x14ac:dyDescent="0.35">
      <c r="A1930" t="s">
        <v>4233</v>
      </c>
      <c r="B1930">
        <v>2161733</v>
      </c>
      <c r="C1930">
        <v>2162575</v>
      </c>
      <c r="E1930" t="s">
        <v>36</v>
      </c>
      <c r="F1930" t="s">
        <v>453</v>
      </c>
      <c r="H1930">
        <v>29242470</v>
      </c>
      <c r="I1930" t="s">
        <v>16</v>
      </c>
      <c r="K1930" t="s">
        <v>4430</v>
      </c>
      <c r="L1930">
        <v>280</v>
      </c>
      <c r="M1930" t="s">
        <v>4429</v>
      </c>
    </row>
    <row r="1931" spans="1:13" x14ac:dyDescent="0.35">
      <c r="A1931" t="s">
        <v>4233</v>
      </c>
      <c r="B1931">
        <v>2162575</v>
      </c>
      <c r="C1931">
        <v>2163429</v>
      </c>
      <c r="E1931" t="s">
        <v>36</v>
      </c>
      <c r="F1931" t="s">
        <v>453</v>
      </c>
      <c r="H1931">
        <v>29242471</v>
      </c>
      <c r="I1931" t="s">
        <v>16</v>
      </c>
      <c r="K1931" t="s">
        <v>4428</v>
      </c>
      <c r="L1931">
        <v>284</v>
      </c>
      <c r="M1931" t="s">
        <v>4427</v>
      </c>
    </row>
    <row r="1932" spans="1:13" x14ac:dyDescent="0.35">
      <c r="A1932" t="s">
        <v>4233</v>
      </c>
      <c r="B1932">
        <v>2163800</v>
      </c>
      <c r="C1932">
        <v>2164816</v>
      </c>
      <c r="E1932" t="s">
        <v>13</v>
      </c>
      <c r="F1932" t="s">
        <v>373</v>
      </c>
      <c r="H1932">
        <v>29242472</v>
      </c>
      <c r="I1932" t="s">
        <v>16</v>
      </c>
      <c r="K1932" t="s">
        <v>4426</v>
      </c>
      <c r="L1932">
        <v>338</v>
      </c>
      <c r="M1932" t="s">
        <v>4425</v>
      </c>
    </row>
    <row r="1933" spans="1:13" x14ac:dyDescent="0.35">
      <c r="A1933" t="s">
        <v>4233</v>
      </c>
      <c r="B1933">
        <v>2165024</v>
      </c>
      <c r="C1933">
        <v>2166370</v>
      </c>
      <c r="E1933" t="s">
        <v>36</v>
      </c>
      <c r="F1933" t="s">
        <v>590</v>
      </c>
      <c r="H1933">
        <v>29242473</v>
      </c>
      <c r="I1933" t="s">
        <v>16</v>
      </c>
      <c r="K1933" t="s">
        <v>4424</v>
      </c>
      <c r="L1933">
        <v>448</v>
      </c>
      <c r="M1933" t="s">
        <v>4423</v>
      </c>
    </row>
    <row r="1934" spans="1:13" x14ac:dyDescent="0.35">
      <c r="A1934" t="s">
        <v>4233</v>
      </c>
      <c r="B1934">
        <v>2166773</v>
      </c>
      <c r="C1934">
        <v>2167486</v>
      </c>
      <c r="E1934" t="s">
        <v>36</v>
      </c>
      <c r="F1934" t="s">
        <v>294</v>
      </c>
      <c r="H1934">
        <v>29242474</v>
      </c>
      <c r="I1934" t="s">
        <v>16</v>
      </c>
      <c r="K1934" t="s">
        <v>4422</v>
      </c>
      <c r="L1934">
        <v>237</v>
      </c>
      <c r="M1934" t="s">
        <v>4421</v>
      </c>
    </row>
    <row r="1935" spans="1:13" x14ac:dyDescent="0.35">
      <c r="A1935" t="s">
        <v>4233</v>
      </c>
      <c r="B1935">
        <v>2167558</v>
      </c>
      <c r="C1935">
        <v>2167935</v>
      </c>
      <c r="E1935" t="s">
        <v>13</v>
      </c>
      <c r="F1935" t="s">
        <v>4420</v>
      </c>
      <c r="H1935">
        <v>29242475</v>
      </c>
      <c r="I1935" t="s">
        <v>16</v>
      </c>
      <c r="K1935" t="s">
        <v>4419</v>
      </c>
      <c r="L1935">
        <v>125</v>
      </c>
      <c r="M1935" t="s">
        <v>4418</v>
      </c>
    </row>
    <row r="1936" spans="1:13" x14ac:dyDescent="0.35">
      <c r="A1936" t="s">
        <v>4233</v>
      </c>
      <c r="B1936">
        <v>2168031</v>
      </c>
      <c r="C1936">
        <v>2168798</v>
      </c>
      <c r="E1936" t="s">
        <v>13</v>
      </c>
      <c r="F1936" t="s">
        <v>737</v>
      </c>
      <c r="H1936">
        <v>29242476</v>
      </c>
      <c r="I1936" t="s">
        <v>16</v>
      </c>
      <c r="K1936" t="s">
        <v>4417</v>
      </c>
      <c r="L1936">
        <v>255</v>
      </c>
      <c r="M1936" t="s">
        <v>4416</v>
      </c>
    </row>
    <row r="1937" spans="1:13" x14ac:dyDescent="0.35">
      <c r="A1937" t="s">
        <v>4233</v>
      </c>
      <c r="B1937">
        <v>2168964</v>
      </c>
      <c r="C1937">
        <v>2171711</v>
      </c>
      <c r="E1937" t="s">
        <v>13</v>
      </c>
      <c r="F1937" t="s">
        <v>4413</v>
      </c>
      <c r="H1937">
        <v>29242477</v>
      </c>
      <c r="I1937" t="s">
        <v>16</v>
      </c>
      <c r="K1937" t="s">
        <v>4415</v>
      </c>
      <c r="L1937">
        <v>915</v>
      </c>
      <c r="M1937" t="s">
        <v>4414</v>
      </c>
    </row>
    <row r="1938" spans="1:13" x14ac:dyDescent="0.35">
      <c r="A1938" t="s">
        <v>4233</v>
      </c>
      <c r="B1938">
        <v>2171708</v>
      </c>
      <c r="C1938">
        <v>2174047</v>
      </c>
      <c r="E1938" t="s">
        <v>13</v>
      </c>
      <c r="F1938" t="s">
        <v>4413</v>
      </c>
      <c r="H1938">
        <v>29242478</v>
      </c>
      <c r="I1938" t="s">
        <v>16</v>
      </c>
      <c r="K1938" t="s">
        <v>4412</v>
      </c>
      <c r="L1938">
        <v>779</v>
      </c>
      <c r="M1938" t="s">
        <v>4411</v>
      </c>
    </row>
    <row r="1939" spans="1:13" x14ac:dyDescent="0.35">
      <c r="A1939" t="s">
        <v>4233</v>
      </c>
      <c r="B1939">
        <v>2174207</v>
      </c>
      <c r="C1939">
        <v>2174458</v>
      </c>
      <c r="E1939" t="s">
        <v>36</v>
      </c>
      <c r="F1939" t="s">
        <v>40</v>
      </c>
      <c r="H1939">
        <v>29242479</v>
      </c>
      <c r="I1939" t="s">
        <v>16</v>
      </c>
      <c r="K1939" t="s">
        <v>4410</v>
      </c>
      <c r="L1939">
        <v>83</v>
      </c>
      <c r="M1939" t="s">
        <v>4409</v>
      </c>
    </row>
    <row r="1940" spans="1:13" x14ac:dyDescent="0.35">
      <c r="A1940" t="s">
        <v>4233</v>
      </c>
      <c r="B1940">
        <v>2174532</v>
      </c>
      <c r="C1940">
        <v>2174648</v>
      </c>
      <c r="E1940" t="s">
        <v>36</v>
      </c>
      <c r="F1940" t="s">
        <v>67</v>
      </c>
      <c r="G1940" t="s">
        <v>68</v>
      </c>
      <c r="H1940">
        <v>29242480</v>
      </c>
      <c r="I1940" t="s">
        <v>65</v>
      </c>
      <c r="M1940" t="s">
        <v>4408</v>
      </c>
    </row>
    <row r="1941" spans="1:13" x14ac:dyDescent="0.35">
      <c r="A1941" t="s">
        <v>4233</v>
      </c>
      <c r="B1941">
        <v>2174811</v>
      </c>
      <c r="C1941">
        <v>2177875</v>
      </c>
      <c r="E1941" t="s">
        <v>36</v>
      </c>
      <c r="F1941" t="s">
        <v>66</v>
      </c>
      <c r="H1941">
        <v>29242481</v>
      </c>
      <c r="I1941" t="s">
        <v>65</v>
      </c>
      <c r="M1941" t="s">
        <v>4407</v>
      </c>
    </row>
    <row r="1942" spans="1:13" x14ac:dyDescent="0.35">
      <c r="A1942" t="s">
        <v>4233</v>
      </c>
      <c r="B1942">
        <v>2178319</v>
      </c>
      <c r="C1942">
        <v>2179849</v>
      </c>
      <c r="E1942" t="s">
        <v>36</v>
      </c>
      <c r="F1942" t="s">
        <v>64</v>
      </c>
      <c r="H1942">
        <v>29242482</v>
      </c>
      <c r="I1942" t="s">
        <v>65</v>
      </c>
      <c r="M1942" t="s">
        <v>4406</v>
      </c>
    </row>
    <row r="1943" spans="1:13" x14ac:dyDescent="0.35">
      <c r="A1943" t="s">
        <v>4233</v>
      </c>
      <c r="B1943">
        <v>2180423</v>
      </c>
      <c r="C1943">
        <v>2181178</v>
      </c>
      <c r="E1943" t="s">
        <v>13</v>
      </c>
      <c r="F1943" t="s">
        <v>4405</v>
      </c>
      <c r="H1943">
        <v>29242483</v>
      </c>
      <c r="I1943" t="s">
        <v>16</v>
      </c>
      <c r="K1943" t="s">
        <v>4404</v>
      </c>
      <c r="L1943">
        <v>251</v>
      </c>
      <c r="M1943" t="s">
        <v>4403</v>
      </c>
    </row>
    <row r="1944" spans="1:13" x14ac:dyDescent="0.35">
      <c r="A1944" t="s">
        <v>4233</v>
      </c>
      <c r="B1944">
        <v>2181383</v>
      </c>
      <c r="C1944">
        <v>2182648</v>
      </c>
      <c r="E1944" t="s">
        <v>36</v>
      </c>
      <c r="F1944" t="s">
        <v>4402</v>
      </c>
      <c r="G1944" t="s">
        <v>4401</v>
      </c>
      <c r="H1944">
        <v>29242484</v>
      </c>
      <c r="I1944" t="s">
        <v>16</v>
      </c>
      <c r="K1944" t="s">
        <v>4400</v>
      </c>
      <c r="L1944">
        <v>421</v>
      </c>
      <c r="M1944" t="s">
        <v>4399</v>
      </c>
    </row>
    <row r="1945" spans="1:13" x14ac:dyDescent="0.35">
      <c r="A1945" t="s">
        <v>4233</v>
      </c>
      <c r="B1945">
        <v>2182951</v>
      </c>
      <c r="C1945">
        <v>2184777</v>
      </c>
      <c r="E1945" t="s">
        <v>36</v>
      </c>
      <c r="F1945" t="s">
        <v>183</v>
      </c>
      <c r="H1945">
        <v>29242485</v>
      </c>
      <c r="I1945" t="s">
        <v>16</v>
      </c>
      <c r="K1945" t="s">
        <v>4398</v>
      </c>
      <c r="L1945">
        <v>608</v>
      </c>
      <c r="M1945" t="s">
        <v>4397</v>
      </c>
    </row>
    <row r="1946" spans="1:13" x14ac:dyDescent="0.35">
      <c r="A1946" t="s">
        <v>4233</v>
      </c>
      <c r="B1946">
        <v>2185549</v>
      </c>
      <c r="C1946">
        <v>2186415</v>
      </c>
      <c r="E1946" t="s">
        <v>36</v>
      </c>
      <c r="F1946" t="s">
        <v>453</v>
      </c>
      <c r="H1946">
        <v>29242486</v>
      </c>
      <c r="I1946" t="s">
        <v>16</v>
      </c>
      <c r="K1946" t="s">
        <v>4396</v>
      </c>
      <c r="L1946">
        <v>288</v>
      </c>
      <c r="M1946" t="s">
        <v>4395</v>
      </c>
    </row>
    <row r="1947" spans="1:13" x14ac:dyDescent="0.35">
      <c r="A1947" t="s">
        <v>4233</v>
      </c>
      <c r="B1947">
        <v>2186434</v>
      </c>
      <c r="C1947">
        <v>2187384</v>
      </c>
      <c r="E1947" t="s">
        <v>36</v>
      </c>
      <c r="F1947" t="s">
        <v>453</v>
      </c>
      <c r="H1947">
        <v>29242487</v>
      </c>
      <c r="I1947" t="s">
        <v>16</v>
      </c>
      <c r="K1947" t="s">
        <v>4394</v>
      </c>
      <c r="L1947">
        <v>316</v>
      </c>
      <c r="M1947" t="s">
        <v>4393</v>
      </c>
    </row>
    <row r="1948" spans="1:13" x14ac:dyDescent="0.35">
      <c r="A1948" t="s">
        <v>4233</v>
      </c>
      <c r="B1948">
        <v>2187406</v>
      </c>
      <c r="C1948">
        <v>2188695</v>
      </c>
      <c r="E1948" t="s">
        <v>36</v>
      </c>
      <c r="F1948" t="s">
        <v>590</v>
      </c>
      <c r="H1948">
        <v>29242488</v>
      </c>
      <c r="I1948" t="s">
        <v>16</v>
      </c>
      <c r="K1948" t="s">
        <v>4392</v>
      </c>
      <c r="L1948">
        <v>429</v>
      </c>
      <c r="M1948" t="s">
        <v>4391</v>
      </c>
    </row>
    <row r="1949" spans="1:13" x14ac:dyDescent="0.35">
      <c r="A1949" t="s">
        <v>4233</v>
      </c>
      <c r="B1949">
        <v>2188868</v>
      </c>
      <c r="C1949">
        <v>2190076</v>
      </c>
      <c r="E1949" t="s">
        <v>13</v>
      </c>
      <c r="F1949" t="s">
        <v>4390</v>
      </c>
      <c r="H1949">
        <v>29242489</v>
      </c>
      <c r="I1949" t="s">
        <v>16</v>
      </c>
      <c r="K1949" t="s">
        <v>4389</v>
      </c>
      <c r="L1949">
        <v>402</v>
      </c>
      <c r="M1949" t="s">
        <v>4388</v>
      </c>
    </row>
    <row r="1950" spans="1:13" x14ac:dyDescent="0.35">
      <c r="A1950" t="s">
        <v>4233</v>
      </c>
      <c r="B1950">
        <v>2190189</v>
      </c>
      <c r="C1950">
        <v>2192504</v>
      </c>
      <c r="E1950" t="s">
        <v>36</v>
      </c>
      <c r="F1950" t="s">
        <v>1055</v>
      </c>
      <c r="H1950">
        <v>29242490</v>
      </c>
      <c r="I1950" t="s">
        <v>16</v>
      </c>
      <c r="K1950" t="s">
        <v>4387</v>
      </c>
      <c r="L1950">
        <v>771</v>
      </c>
      <c r="M1950" t="s">
        <v>4386</v>
      </c>
    </row>
    <row r="1951" spans="1:13" x14ac:dyDescent="0.35">
      <c r="A1951" t="s">
        <v>4233</v>
      </c>
      <c r="B1951">
        <v>2192621</v>
      </c>
      <c r="C1951">
        <v>2193070</v>
      </c>
      <c r="E1951" t="s">
        <v>36</v>
      </c>
      <c r="F1951" t="s">
        <v>337</v>
      </c>
      <c r="G1951" t="s">
        <v>338</v>
      </c>
      <c r="H1951">
        <v>29242491</v>
      </c>
      <c r="I1951" t="s">
        <v>16</v>
      </c>
      <c r="K1951" t="s">
        <v>4385</v>
      </c>
      <c r="L1951">
        <v>149</v>
      </c>
      <c r="M1951" t="s">
        <v>4384</v>
      </c>
    </row>
    <row r="1952" spans="1:13" x14ac:dyDescent="0.35">
      <c r="A1952" t="s">
        <v>4233</v>
      </c>
      <c r="B1952">
        <v>2193506</v>
      </c>
      <c r="C1952">
        <v>2195578</v>
      </c>
      <c r="E1952" t="s">
        <v>13</v>
      </c>
      <c r="F1952" t="s">
        <v>811</v>
      </c>
      <c r="H1952">
        <v>29242492</v>
      </c>
      <c r="I1952" t="s">
        <v>16</v>
      </c>
      <c r="K1952" t="s">
        <v>4383</v>
      </c>
      <c r="L1952">
        <v>690</v>
      </c>
      <c r="M1952" t="s">
        <v>4382</v>
      </c>
    </row>
    <row r="1953" spans="1:13" x14ac:dyDescent="0.35">
      <c r="A1953" t="s">
        <v>4233</v>
      </c>
      <c r="B1953">
        <v>2195618</v>
      </c>
      <c r="C1953">
        <v>2196421</v>
      </c>
      <c r="E1953" t="s">
        <v>36</v>
      </c>
      <c r="F1953" t="s">
        <v>293</v>
      </c>
      <c r="H1953">
        <v>29242493</v>
      </c>
      <c r="I1953" t="s">
        <v>16</v>
      </c>
      <c r="K1953" t="s">
        <v>4381</v>
      </c>
      <c r="L1953">
        <v>267</v>
      </c>
      <c r="M1953" t="s">
        <v>4380</v>
      </c>
    </row>
    <row r="1954" spans="1:13" x14ac:dyDescent="0.35">
      <c r="A1954" t="s">
        <v>4233</v>
      </c>
      <c r="B1954">
        <v>2196533</v>
      </c>
      <c r="C1954">
        <v>2197291</v>
      </c>
      <c r="E1954" t="s">
        <v>36</v>
      </c>
      <c r="F1954" t="s">
        <v>95</v>
      </c>
      <c r="H1954">
        <v>29242494</v>
      </c>
      <c r="I1954" t="s">
        <v>16</v>
      </c>
      <c r="K1954" t="s">
        <v>4379</v>
      </c>
      <c r="L1954">
        <v>252</v>
      </c>
      <c r="M1954" t="s">
        <v>4378</v>
      </c>
    </row>
    <row r="1955" spans="1:13" x14ac:dyDescent="0.35">
      <c r="A1955" t="s">
        <v>4233</v>
      </c>
      <c r="B1955">
        <v>2197349</v>
      </c>
      <c r="C1955">
        <v>2198218</v>
      </c>
      <c r="E1955" t="s">
        <v>36</v>
      </c>
      <c r="F1955" t="s">
        <v>40</v>
      </c>
      <c r="H1955">
        <v>29242495</v>
      </c>
      <c r="I1955" t="s">
        <v>16</v>
      </c>
      <c r="K1955" t="s">
        <v>4377</v>
      </c>
      <c r="L1955">
        <v>289</v>
      </c>
      <c r="M1955" t="s">
        <v>4376</v>
      </c>
    </row>
    <row r="1956" spans="1:13" x14ac:dyDescent="0.35">
      <c r="A1956" t="s">
        <v>4233</v>
      </c>
      <c r="B1956">
        <v>2198575</v>
      </c>
      <c r="C1956">
        <v>2199156</v>
      </c>
      <c r="E1956" t="s">
        <v>13</v>
      </c>
      <c r="F1956" t="s">
        <v>4375</v>
      </c>
      <c r="G1956" t="s">
        <v>4374</v>
      </c>
      <c r="H1956">
        <v>29242496</v>
      </c>
      <c r="I1956" t="s">
        <v>16</v>
      </c>
      <c r="K1956" t="s">
        <v>4373</v>
      </c>
      <c r="L1956">
        <v>193</v>
      </c>
      <c r="M1956" t="s">
        <v>4372</v>
      </c>
    </row>
    <row r="1957" spans="1:13" x14ac:dyDescent="0.35">
      <c r="A1957" t="s">
        <v>4233</v>
      </c>
      <c r="B1957">
        <v>2199219</v>
      </c>
      <c r="C1957">
        <v>2200598</v>
      </c>
      <c r="E1957" t="s">
        <v>13</v>
      </c>
      <c r="F1957" t="s">
        <v>4371</v>
      </c>
      <c r="H1957">
        <v>29242497</v>
      </c>
      <c r="I1957" t="s">
        <v>16</v>
      </c>
      <c r="K1957" t="s">
        <v>4370</v>
      </c>
      <c r="L1957">
        <v>459</v>
      </c>
      <c r="M1957" t="s">
        <v>4369</v>
      </c>
    </row>
    <row r="1958" spans="1:13" x14ac:dyDescent="0.35">
      <c r="A1958" t="s">
        <v>4233</v>
      </c>
      <c r="B1958">
        <v>2200688</v>
      </c>
      <c r="C1958">
        <v>2203678</v>
      </c>
      <c r="E1958" t="s">
        <v>36</v>
      </c>
      <c r="F1958" t="s">
        <v>1042</v>
      </c>
      <c r="H1958">
        <v>29242498</v>
      </c>
      <c r="I1958" t="s">
        <v>16</v>
      </c>
      <c r="K1958" t="s">
        <v>4368</v>
      </c>
      <c r="L1958">
        <v>996</v>
      </c>
      <c r="M1958" t="s">
        <v>4367</v>
      </c>
    </row>
    <row r="1959" spans="1:13" x14ac:dyDescent="0.35">
      <c r="A1959" t="s">
        <v>4233</v>
      </c>
      <c r="B1959">
        <v>2203839</v>
      </c>
      <c r="C1959">
        <v>2204054</v>
      </c>
      <c r="E1959" t="s">
        <v>13</v>
      </c>
      <c r="F1959" t="s">
        <v>410</v>
      </c>
      <c r="H1959">
        <v>29242499</v>
      </c>
      <c r="I1959" t="s">
        <v>16</v>
      </c>
      <c r="K1959" t="s">
        <v>4366</v>
      </c>
      <c r="L1959">
        <v>71</v>
      </c>
      <c r="M1959" t="s">
        <v>4365</v>
      </c>
    </row>
    <row r="1960" spans="1:13" x14ac:dyDescent="0.35">
      <c r="A1960" t="s">
        <v>4233</v>
      </c>
      <c r="B1960">
        <v>2204047</v>
      </c>
      <c r="C1960">
        <v>2204559</v>
      </c>
      <c r="E1960" t="s">
        <v>36</v>
      </c>
      <c r="F1960" t="s">
        <v>504</v>
      </c>
      <c r="H1960">
        <v>29242500</v>
      </c>
      <c r="I1960" t="s">
        <v>16</v>
      </c>
      <c r="K1960" t="s">
        <v>4364</v>
      </c>
      <c r="L1960">
        <v>170</v>
      </c>
      <c r="M1960" t="s">
        <v>4363</v>
      </c>
    </row>
    <row r="1961" spans="1:13" x14ac:dyDescent="0.35">
      <c r="A1961" t="s">
        <v>4233</v>
      </c>
      <c r="B1961">
        <v>2204669</v>
      </c>
      <c r="C1961">
        <v>2206207</v>
      </c>
      <c r="E1961" t="s">
        <v>36</v>
      </c>
      <c r="F1961" t="s">
        <v>4362</v>
      </c>
      <c r="G1961" t="s">
        <v>4361</v>
      </c>
      <c r="H1961">
        <v>29242501</v>
      </c>
      <c r="I1961" t="s">
        <v>16</v>
      </c>
      <c r="K1961" t="s">
        <v>4360</v>
      </c>
      <c r="L1961">
        <v>512</v>
      </c>
      <c r="M1961" t="s">
        <v>4359</v>
      </c>
    </row>
    <row r="1962" spans="1:13" x14ac:dyDescent="0.35">
      <c r="A1962" t="s">
        <v>4233</v>
      </c>
      <c r="B1962">
        <v>2206509</v>
      </c>
      <c r="C1962">
        <v>2207723</v>
      </c>
      <c r="E1962" t="s">
        <v>36</v>
      </c>
      <c r="F1962" t="s">
        <v>121</v>
      </c>
      <c r="H1962">
        <v>29242502</v>
      </c>
      <c r="I1962" t="s">
        <v>16</v>
      </c>
      <c r="K1962" t="s">
        <v>4358</v>
      </c>
      <c r="L1962">
        <v>404</v>
      </c>
      <c r="M1962" t="s">
        <v>4357</v>
      </c>
    </row>
    <row r="1963" spans="1:13" x14ac:dyDescent="0.35">
      <c r="A1963" t="s">
        <v>4233</v>
      </c>
      <c r="B1963">
        <v>2207811</v>
      </c>
      <c r="C1963">
        <v>2208809</v>
      </c>
      <c r="E1963" t="s">
        <v>13</v>
      </c>
      <c r="F1963" t="s">
        <v>307</v>
      </c>
      <c r="G1963" t="s">
        <v>308</v>
      </c>
      <c r="H1963">
        <v>29242503</v>
      </c>
      <c r="I1963" t="s">
        <v>16</v>
      </c>
      <c r="K1963" t="s">
        <v>4356</v>
      </c>
      <c r="L1963">
        <v>332</v>
      </c>
      <c r="M1963" t="s">
        <v>4355</v>
      </c>
    </row>
    <row r="1964" spans="1:13" x14ac:dyDescent="0.35">
      <c r="A1964" t="s">
        <v>4233</v>
      </c>
      <c r="B1964">
        <v>2208861</v>
      </c>
      <c r="C1964">
        <v>2209721</v>
      </c>
      <c r="E1964" t="s">
        <v>36</v>
      </c>
      <c r="F1964" t="s">
        <v>4354</v>
      </c>
      <c r="H1964">
        <v>29242504</v>
      </c>
      <c r="I1964" t="s">
        <v>16</v>
      </c>
      <c r="K1964" t="s">
        <v>4353</v>
      </c>
      <c r="L1964">
        <v>286</v>
      </c>
      <c r="M1964" t="s">
        <v>4352</v>
      </c>
    </row>
    <row r="1965" spans="1:13" x14ac:dyDescent="0.35">
      <c r="A1965" t="s">
        <v>4233</v>
      </c>
      <c r="B1965">
        <v>2209776</v>
      </c>
      <c r="C1965">
        <v>2211287</v>
      </c>
      <c r="E1965" t="s">
        <v>36</v>
      </c>
      <c r="F1965" t="s">
        <v>1058</v>
      </c>
      <c r="H1965">
        <v>29242505</v>
      </c>
      <c r="I1965" t="s">
        <v>16</v>
      </c>
      <c r="K1965" t="s">
        <v>4351</v>
      </c>
      <c r="L1965">
        <v>503</v>
      </c>
      <c r="M1965" t="s">
        <v>4350</v>
      </c>
    </row>
    <row r="1966" spans="1:13" x14ac:dyDescent="0.35">
      <c r="A1966" t="s">
        <v>4233</v>
      </c>
      <c r="B1966">
        <v>2211464</v>
      </c>
      <c r="C1966">
        <v>2212876</v>
      </c>
      <c r="E1966" t="s">
        <v>36</v>
      </c>
      <c r="F1966" t="s">
        <v>4349</v>
      </c>
      <c r="H1966">
        <v>29242506</v>
      </c>
      <c r="I1966" t="s">
        <v>16</v>
      </c>
      <c r="K1966" t="s">
        <v>4348</v>
      </c>
      <c r="L1966">
        <v>470</v>
      </c>
      <c r="M1966" t="s">
        <v>4347</v>
      </c>
    </row>
    <row r="1967" spans="1:13" x14ac:dyDescent="0.35">
      <c r="A1967" t="s">
        <v>4233</v>
      </c>
      <c r="B1967">
        <v>2212867</v>
      </c>
      <c r="C1967">
        <v>2213727</v>
      </c>
      <c r="E1967" t="s">
        <v>36</v>
      </c>
      <c r="F1967" t="s">
        <v>40</v>
      </c>
      <c r="H1967">
        <v>29242507</v>
      </c>
      <c r="I1967" t="s">
        <v>16</v>
      </c>
      <c r="K1967" t="s">
        <v>4346</v>
      </c>
      <c r="L1967">
        <v>286</v>
      </c>
      <c r="M1967" t="s">
        <v>4345</v>
      </c>
    </row>
    <row r="1968" spans="1:13" x14ac:dyDescent="0.35">
      <c r="A1968" t="s">
        <v>4233</v>
      </c>
      <c r="B1968">
        <v>2213711</v>
      </c>
      <c r="C1968">
        <v>2214166</v>
      </c>
      <c r="E1968" t="s">
        <v>36</v>
      </c>
      <c r="F1968" t="s">
        <v>45</v>
      </c>
      <c r="H1968">
        <v>31600524</v>
      </c>
      <c r="I1968" t="s">
        <v>46</v>
      </c>
      <c r="M1968" t="s">
        <v>4344</v>
      </c>
    </row>
    <row r="1969" spans="1:13" x14ac:dyDescent="0.35">
      <c r="A1969" t="s">
        <v>4233</v>
      </c>
      <c r="B1969">
        <v>2214315</v>
      </c>
      <c r="C1969">
        <v>2214575</v>
      </c>
      <c r="E1969" t="s">
        <v>36</v>
      </c>
      <c r="F1969" t="s">
        <v>40</v>
      </c>
      <c r="H1969">
        <v>97007101</v>
      </c>
      <c r="I1969" t="s">
        <v>16</v>
      </c>
      <c r="K1969" t="s">
        <v>4343</v>
      </c>
      <c r="L1969">
        <v>86</v>
      </c>
      <c r="M1969" t="s">
        <v>4342</v>
      </c>
    </row>
    <row r="1970" spans="1:13" x14ac:dyDescent="0.35">
      <c r="A1970" t="s">
        <v>4233</v>
      </c>
      <c r="B1970">
        <v>2214575</v>
      </c>
      <c r="C1970">
        <v>2214790</v>
      </c>
      <c r="E1970" t="s">
        <v>36</v>
      </c>
      <c r="F1970" t="s">
        <v>510</v>
      </c>
      <c r="H1970">
        <v>97007102</v>
      </c>
      <c r="I1970" t="s">
        <v>16</v>
      </c>
      <c r="K1970" t="s">
        <v>4341</v>
      </c>
      <c r="L1970">
        <v>71</v>
      </c>
      <c r="M1970" t="s">
        <v>4340</v>
      </c>
    </row>
    <row r="1971" spans="1:13" x14ac:dyDescent="0.35">
      <c r="A1971" t="s">
        <v>4233</v>
      </c>
      <c r="B1971">
        <v>2215017</v>
      </c>
      <c r="C1971">
        <v>2216099</v>
      </c>
      <c r="E1971" t="s">
        <v>13</v>
      </c>
      <c r="F1971" t="s">
        <v>373</v>
      </c>
      <c r="H1971">
        <v>29242510</v>
      </c>
      <c r="I1971" t="s">
        <v>16</v>
      </c>
      <c r="K1971" t="s">
        <v>4339</v>
      </c>
      <c r="L1971">
        <v>360</v>
      </c>
      <c r="M1971" t="s">
        <v>4338</v>
      </c>
    </row>
    <row r="1972" spans="1:13" x14ac:dyDescent="0.35">
      <c r="A1972" t="s">
        <v>4233</v>
      </c>
      <c r="B1972">
        <v>2216134</v>
      </c>
      <c r="C1972">
        <v>2217102</v>
      </c>
      <c r="E1972" t="s">
        <v>13</v>
      </c>
      <c r="F1972" t="s">
        <v>590</v>
      </c>
      <c r="H1972">
        <v>29242511</v>
      </c>
      <c r="I1972" t="s">
        <v>16</v>
      </c>
      <c r="K1972" t="s">
        <v>4337</v>
      </c>
      <c r="L1972">
        <v>322</v>
      </c>
      <c r="M1972" t="s">
        <v>4336</v>
      </c>
    </row>
    <row r="1973" spans="1:13" x14ac:dyDescent="0.35">
      <c r="A1973" t="s">
        <v>4233</v>
      </c>
      <c r="B1973">
        <v>2217105</v>
      </c>
      <c r="C1973">
        <v>2218670</v>
      </c>
      <c r="E1973" t="s">
        <v>13</v>
      </c>
      <c r="F1973" t="s">
        <v>1069</v>
      </c>
      <c r="H1973">
        <v>29242512</v>
      </c>
      <c r="I1973" t="s">
        <v>16</v>
      </c>
      <c r="K1973" t="s">
        <v>4335</v>
      </c>
      <c r="L1973">
        <v>521</v>
      </c>
      <c r="M1973" t="s">
        <v>4334</v>
      </c>
    </row>
    <row r="1974" spans="1:13" x14ac:dyDescent="0.35">
      <c r="A1974" t="s">
        <v>4233</v>
      </c>
      <c r="B1974">
        <v>2218663</v>
      </c>
      <c r="C1974">
        <v>2219667</v>
      </c>
      <c r="E1974" t="s">
        <v>13</v>
      </c>
      <c r="F1974" t="s">
        <v>133</v>
      </c>
      <c r="H1974">
        <v>29242513</v>
      </c>
      <c r="I1974" t="s">
        <v>16</v>
      </c>
      <c r="K1974" t="s">
        <v>4333</v>
      </c>
      <c r="L1974">
        <v>334</v>
      </c>
      <c r="M1974" t="s">
        <v>4332</v>
      </c>
    </row>
    <row r="1975" spans="1:13" x14ac:dyDescent="0.35">
      <c r="A1975" t="s">
        <v>4233</v>
      </c>
      <c r="B1975">
        <v>2219667</v>
      </c>
      <c r="C1975">
        <v>2221037</v>
      </c>
      <c r="E1975" t="s">
        <v>13</v>
      </c>
      <c r="F1975" t="s">
        <v>40</v>
      </c>
      <c r="H1975">
        <v>29242514</v>
      </c>
      <c r="I1975" t="s">
        <v>16</v>
      </c>
      <c r="K1975" t="s">
        <v>4331</v>
      </c>
      <c r="L1975">
        <v>456</v>
      </c>
      <c r="M1975" t="s">
        <v>4330</v>
      </c>
    </row>
    <row r="1976" spans="1:13" x14ac:dyDescent="0.35">
      <c r="A1976" t="s">
        <v>4233</v>
      </c>
      <c r="B1976">
        <v>2221261</v>
      </c>
      <c r="C1976">
        <v>2222631</v>
      </c>
      <c r="E1976" t="s">
        <v>13</v>
      </c>
      <c r="F1976" t="s">
        <v>4329</v>
      </c>
      <c r="H1976">
        <v>29242515</v>
      </c>
      <c r="I1976" t="s">
        <v>16</v>
      </c>
      <c r="K1976" t="s">
        <v>4328</v>
      </c>
      <c r="L1976">
        <v>456</v>
      </c>
      <c r="M1976" t="s">
        <v>4327</v>
      </c>
    </row>
    <row r="1977" spans="1:13" x14ac:dyDescent="0.35">
      <c r="A1977" t="s">
        <v>4233</v>
      </c>
      <c r="B1977">
        <v>2222660</v>
      </c>
      <c r="C1977">
        <v>2223148</v>
      </c>
      <c r="E1977" t="s">
        <v>36</v>
      </c>
      <c r="F1977" t="s">
        <v>45</v>
      </c>
      <c r="H1977">
        <v>31600525</v>
      </c>
      <c r="I1977" t="s">
        <v>46</v>
      </c>
      <c r="M1977" t="s">
        <v>4326</v>
      </c>
    </row>
    <row r="1978" spans="1:13" x14ac:dyDescent="0.35">
      <c r="A1978" t="s">
        <v>4233</v>
      </c>
      <c r="B1978">
        <v>2223512</v>
      </c>
      <c r="C1978">
        <v>2224639</v>
      </c>
      <c r="E1978" t="s">
        <v>36</v>
      </c>
      <c r="F1978" t="s">
        <v>73</v>
      </c>
      <c r="H1978">
        <v>29242516</v>
      </c>
      <c r="I1978" t="s">
        <v>16</v>
      </c>
      <c r="K1978" t="s">
        <v>4325</v>
      </c>
      <c r="L1978">
        <v>375</v>
      </c>
      <c r="M1978" t="s">
        <v>4324</v>
      </c>
    </row>
    <row r="1979" spans="1:13" x14ac:dyDescent="0.35">
      <c r="A1979" t="s">
        <v>4233</v>
      </c>
      <c r="B1979">
        <v>2224960</v>
      </c>
      <c r="C1979">
        <v>2225699</v>
      </c>
      <c r="E1979" t="s">
        <v>36</v>
      </c>
      <c r="F1979" t="s">
        <v>45</v>
      </c>
      <c r="H1979">
        <v>29242517</v>
      </c>
      <c r="I1979" t="s">
        <v>46</v>
      </c>
      <c r="M1979" t="s">
        <v>4323</v>
      </c>
    </row>
    <row r="1980" spans="1:13" x14ac:dyDescent="0.35">
      <c r="A1980" t="s">
        <v>4233</v>
      </c>
      <c r="B1980">
        <v>2225827</v>
      </c>
      <c r="C1980">
        <v>2227206</v>
      </c>
      <c r="E1980" t="s">
        <v>36</v>
      </c>
      <c r="F1980" t="s">
        <v>4322</v>
      </c>
      <c r="H1980">
        <v>29242518</v>
      </c>
      <c r="I1980" t="s">
        <v>16</v>
      </c>
      <c r="K1980" t="s">
        <v>4321</v>
      </c>
      <c r="L1980">
        <v>459</v>
      </c>
      <c r="M1980" t="s">
        <v>4320</v>
      </c>
    </row>
    <row r="1981" spans="1:13" x14ac:dyDescent="0.35">
      <c r="A1981" t="s">
        <v>4233</v>
      </c>
      <c r="B1981">
        <v>2227303</v>
      </c>
      <c r="C1981">
        <v>2227599</v>
      </c>
      <c r="E1981" t="s">
        <v>36</v>
      </c>
      <c r="F1981" t="s">
        <v>735</v>
      </c>
      <c r="H1981">
        <v>29242519</v>
      </c>
      <c r="I1981" t="s">
        <v>16</v>
      </c>
      <c r="K1981" t="s">
        <v>4319</v>
      </c>
      <c r="L1981">
        <v>98</v>
      </c>
      <c r="M1981" t="s">
        <v>4318</v>
      </c>
    </row>
    <row r="1982" spans="1:13" x14ac:dyDescent="0.35">
      <c r="A1982" t="s">
        <v>4233</v>
      </c>
      <c r="B1982">
        <v>2227648</v>
      </c>
      <c r="C1982">
        <v>2228082</v>
      </c>
      <c r="E1982" t="s">
        <v>36</v>
      </c>
      <c r="F1982" t="s">
        <v>107</v>
      </c>
      <c r="H1982">
        <v>29242520</v>
      </c>
      <c r="I1982" t="s">
        <v>16</v>
      </c>
      <c r="K1982" t="s">
        <v>4317</v>
      </c>
      <c r="L1982">
        <v>144</v>
      </c>
      <c r="M1982" t="s">
        <v>4316</v>
      </c>
    </row>
    <row r="1983" spans="1:13" x14ac:dyDescent="0.35">
      <c r="A1983" t="s">
        <v>4233</v>
      </c>
      <c r="B1983">
        <v>2228361</v>
      </c>
      <c r="C1983">
        <v>2229521</v>
      </c>
      <c r="E1983" t="s">
        <v>36</v>
      </c>
      <c r="F1983" t="s">
        <v>945</v>
      </c>
      <c r="H1983">
        <v>29242521</v>
      </c>
      <c r="I1983" t="s">
        <v>16</v>
      </c>
      <c r="K1983" t="s">
        <v>4315</v>
      </c>
      <c r="L1983">
        <v>386</v>
      </c>
      <c r="M1983" t="s">
        <v>4314</v>
      </c>
    </row>
    <row r="1984" spans="1:13" x14ac:dyDescent="0.35">
      <c r="A1984" t="s">
        <v>4233</v>
      </c>
      <c r="B1984">
        <v>2229625</v>
      </c>
      <c r="C1984">
        <v>2230416</v>
      </c>
      <c r="E1984" t="s">
        <v>13</v>
      </c>
      <c r="F1984" t="s">
        <v>176</v>
      </c>
      <c r="H1984">
        <v>29242522</v>
      </c>
      <c r="I1984" t="s">
        <v>16</v>
      </c>
      <c r="K1984" t="s">
        <v>4313</v>
      </c>
      <c r="L1984">
        <v>263</v>
      </c>
      <c r="M1984" t="s">
        <v>4312</v>
      </c>
    </row>
    <row r="1985" spans="1:13" x14ac:dyDescent="0.35">
      <c r="A1985" t="s">
        <v>4233</v>
      </c>
      <c r="B1985">
        <v>2230416</v>
      </c>
      <c r="C1985">
        <v>2231738</v>
      </c>
      <c r="E1985" t="s">
        <v>13</v>
      </c>
      <c r="F1985" t="s">
        <v>503</v>
      </c>
      <c r="H1985">
        <v>29242523</v>
      </c>
      <c r="I1985" t="s">
        <v>16</v>
      </c>
      <c r="K1985" t="s">
        <v>4311</v>
      </c>
      <c r="L1985">
        <v>440</v>
      </c>
      <c r="M1985" t="s">
        <v>4310</v>
      </c>
    </row>
    <row r="1986" spans="1:13" x14ac:dyDescent="0.35">
      <c r="A1986" t="s">
        <v>4233</v>
      </c>
      <c r="B1986">
        <v>2231742</v>
      </c>
      <c r="C1986">
        <v>2232734</v>
      </c>
      <c r="E1986" t="s">
        <v>36</v>
      </c>
      <c r="F1986" t="s">
        <v>4309</v>
      </c>
      <c r="G1986" t="s">
        <v>4308</v>
      </c>
      <c r="H1986">
        <v>29242524</v>
      </c>
      <c r="I1986" t="s">
        <v>16</v>
      </c>
      <c r="K1986" t="s">
        <v>4307</v>
      </c>
      <c r="L1986">
        <v>330</v>
      </c>
      <c r="M1986" t="s">
        <v>4306</v>
      </c>
    </row>
    <row r="1987" spans="1:13" x14ac:dyDescent="0.35">
      <c r="A1987" t="s">
        <v>4233</v>
      </c>
      <c r="B1987">
        <v>2233039</v>
      </c>
      <c r="C1987">
        <v>2235234</v>
      </c>
      <c r="E1987" t="s">
        <v>36</v>
      </c>
      <c r="F1987" t="s">
        <v>4305</v>
      </c>
      <c r="G1987" t="s">
        <v>4304</v>
      </c>
      <c r="H1987">
        <v>29242525</v>
      </c>
      <c r="I1987" t="s">
        <v>16</v>
      </c>
      <c r="K1987" t="s">
        <v>4303</v>
      </c>
      <c r="L1987">
        <v>731</v>
      </c>
      <c r="M1987" t="s">
        <v>4302</v>
      </c>
    </row>
    <row r="1988" spans="1:13" x14ac:dyDescent="0.35">
      <c r="A1988" t="s">
        <v>4233</v>
      </c>
      <c r="B1988">
        <v>2235243</v>
      </c>
      <c r="C1988">
        <v>2235743</v>
      </c>
      <c r="E1988" t="s">
        <v>36</v>
      </c>
      <c r="F1988" t="s">
        <v>1208</v>
      </c>
      <c r="G1988" t="s">
        <v>1209</v>
      </c>
      <c r="H1988">
        <v>29242526</v>
      </c>
      <c r="I1988" t="s">
        <v>16</v>
      </c>
      <c r="K1988" t="s">
        <v>4301</v>
      </c>
      <c r="L1988">
        <v>166</v>
      </c>
      <c r="M1988" t="s">
        <v>4300</v>
      </c>
    </row>
    <row r="1989" spans="1:13" x14ac:dyDescent="0.35">
      <c r="A1989" t="s">
        <v>4233</v>
      </c>
      <c r="B1989">
        <v>2235740</v>
      </c>
      <c r="C1989">
        <v>2236006</v>
      </c>
      <c r="E1989" t="s">
        <v>36</v>
      </c>
      <c r="F1989" t="s">
        <v>4299</v>
      </c>
      <c r="H1989">
        <v>29242527</v>
      </c>
      <c r="I1989" t="s">
        <v>16</v>
      </c>
      <c r="K1989" t="s">
        <v>4298</v>
      </c>
      <c r="L1989">
        <v>88</v>
      </c>
      <c r="M1989" t="s">
        <v>4297</v>
      </c>
    </row>
    <row r="1990" spans="1:13" x14ac:dyDescent="0.35">
      <c r="A1990" t="s">
        <v>4233</v>
      </c>
      <c r="B1990">
        <v>2236435</v>
      </c>
      <c r="C1990">
        <v>2236509</v>
      </c>
      <c r="E1990" t="s">
        <v>13</v>
      </c>
      <c r="F1990" t="s">
        <v>40</v>
      </c>
      <c r="H1990">
        <v>97007103</v>
      </c>
      <c r="I1990" t="s">
        <v>16</v>
      </c>
      <c r="K1990" t="s">
        <v>4296</v>
      </c>
      <c r="L1990">
        <v>24</v>
      </c>
      <c r="M1990" t="s">
        <v>4295</v>
      </c>
    </row>
    <row r="1991" spans="1:13" x14ac:dyDescent="0.35">
      <c r="A1991" t="s">
        <v>4233</v>
      </c>
      <c r="B1991">
        <v>2236557</v>
      </c>
      <c r="C1991">
        <v>2237210</v>
      </c>
      <c r="E1991" t="s">
        <v>36</v>
      </c>
      <c r="F1991" t="s">
        <v>40</v>
      </c>
      <c r="H1991">
        <v>29242528</v>
      </c>
      <c r="I1991" t="s">
        <v>16</v>
      </c>
      <c r="K1991" t="s">
        <v>4294</v>
      </c>
      <c r="L1991">
        <v>217</v>
      </c>
      <c r="M1991" t="s">
        <v>4293</v>
      </c>
    </row>
    <row r="1992" spans="1:13" x14ac:dyDescent="0.35">
      <c r="A1992" t="s">
        <v>4233</v>
      </c>
      <c r="B1992">
        <v>2237203</v>
      </c>
      <c r="C1992">
        <v>2239704</v>
      </c>
      <c r="E1992" t="s">
        <v>36</v>
      </c>
      <c r="F1992" t="s">
        <v>4292</v>
      </c>
      <c r="H1992">
        <v>29242529</v>
      </c>
      <c r="I1992" t="s">
        <v>16</v>
      </c>
      <c r="K1992" t="s">
        <v>4291</v>
      </c>
      <c r="L1992">
        <v>833</v>
      </c>
      <c r="M1992" t="s">
        <v>4290</v>
      </c>
    </row>
    <row r="1993" spans="1:13" x14ac:dyDescent="0.35">
      <c r="A1993" t="s">
        <v>4233</v>
      </c>
      <c r="B1993">
        <v>2240003</v>
      </c>
      <c r="C1993">
        <v>2240653</v>
      </c>
      <c r="E1993" t="s">
        <v>36</v>
      </c>
      <c r="F1993" t="s">
        <v>82</v>
      </c>
      <c r="H1993">
        <v>29242530</v>
      </c>
      <c r="I1993" t="s">
        <v>16</v>
      </c>
      <c r="K1993" t="s">
        <v>4289</v>
      </c>
      <c r="L1993">
        <v>216</v>
      </c>
      <c r="M1993" t="s">
        <v>4288</v>
      </c>
    </row>
    <row r="1994" spans="1:13" x14ac:dyDescent="0.35">
      <c r="A1994" t="s">
        <v>4233</v>
      </c>
      <c r="B1994">
        <v>2240634</v>
      </c>
      <c r="C1994">
        <v>2241317</v>
      </c>
      <c r="E1994" t="s">
        <v>36</v>
      </c>
      <c r="F1994" t="s">
        <v>4287</v>
      </c>
      <c r="H1994">
        <v>29242531</v>
      </c>
      <c r="I1994" t="s">
        <v>16</v>
      </c>
      <c r="K1994" t="s">
        <v>4286</v>
      </c>
      <c r="L1994">
        <v>227</v>
      </c>
      <c r="M1994" t="s">
        <v>4285</v>
      </c>
    </row>
    <row r="1995" spans="1:13" x14ac:dyDescent="0.35">
      <c r="A1995" t="s">
        <v>4233</v>
      </c>
      <c r="B1995">
        <v>2241510</v>
      </c>
      <c r="C1995">
        <v>2242076</v>
      </c>
      <c r="E1995" t="s">
        <v>13</v>
      </c>
      <c r="F1995" t="s">
        <v>4284</v>
      </c>
      <c r="H1995">
        <v>29242532</v>
      </c>
      <c r="I1995" t="s">
        <v>16</v>
      </c>
      <c r="K1995" t="s">
        <v>4283</v>
      </c>
      <c r="L1995">
        <v>188</v>
      </c>
      <c r="M1995" t="s">
        <v>4282</v>
      </c>
    </row>
    <row r="1996" spans="1:13" x14ac:dyDescent="0.35">
      <c r="A1996" t="s">
        <v>4233</v>
      </c>
      <c r="B1996">
        <v>2242201</v>
      </c>
      <c r="C1996">
        <v>2245103</v>
      </c>
      <c r="E1996" t="s">
        <v>36</v>
      </c>
      <c r="F1996" t="s">
        <v>45</v>
      </c>
      <c r="H1996">
        <v>29242533</v>
      </c>
      <c r="I1996" t="s">
        <v>46</v>
      </c>
      <c r="M1996" t="s">
        <v>4281</v>
      </c>
    </row>
    <row r="1997" spans="1:13" x14ac:dyDescent="0.35">
      <c r="A1997" t="s">
        <v>4233</v>
      </c>
      <c r="B1997">
        <v>2245611</v>
      </c>
      <c r="C1997">
        <v>2247779</v>
      </c>
      <c r="E1997" t="s">
        <v>13</v>
      </c>
      <c r="F1997" t="s">
        <v>4280</v>
      </c>
      <c r="H1997">
        <v>29242534</v>
      </c>
      <c r="I1997" t="s">
        <v>16</v>
      </c>
      <c r="K1997" t="s">
        <v>4279</v>
      </c>
      <c r="L1997">
        <v>722</v>
      </c>
      <c r="M1997" t="s">
        <v>4278</v>
      </c>
    </row>
    <row r="1998" spans="1:13" x14ac:dyDescent="0.35">
      <c r="A1998" t="s">
        <v>4233</v>
      </c>
      <c r="B1998">
        <v>2247892</v>
      </c>
      <c r="C1998">
        <v>2248869</v>
      </c>
      <c r="E1998" t="s">
        <v>13</v>
      </c>
      <c r="F1998" t="s">
        <v>4277</v>
      </c>
      <c r="H1998">
        <v>29242535</v>
      </c>
      <c r="I1998" t="s">
        <v>16</v>
      </c>
      <c r="K1998" t="s">
        <v>4276</v>
      </c>
      <c r="L1998">
        <v>325</v>
      </c>
      <c r="M1998" t="s">
        <v>4275</v>
      </c>
    </row>
    <row r="1999" spans="1:13" x14ac:dyDescent="0.35">
      <c r="A1999" t="s">
        <v>4233</v>
      </c>
      <c r="B1999">
        <v>2249002</v>
      </c>
      <c r="C1999">
        <v>2249075</v>
      </c>
      <c r="E1999" t="s">
        <v>13</v>
      </c>
      <c r="F1999" t="s">
        <v>38</v>
      </c>
      <c r="H1999">
        <v>29242536</v>
      </c>
      <c r="I1999" t="s">
        <v>39</v>
      </c>
      <c r="M1999" t="s">
        <v>4274</v>
      </c>
    </row>
    <row r="2000" spans="1:13" x14ac:dyDescent="0.35">
      <c r="A2000" t="s">
        <v>4233</v>
      </c>
      <c r="B2000">
        <v>2249391</v>
      </c>
      <c r="C2000">
        <v>2250881</v>
      </c>
      <c r="E2000" t="s">
        <v>13</v>
      </c>
      <c r="F2000" t="s">
        <v>4273</v>
      </c>
      <c r="H2000">
        <v>29242537</v>
      </c>
      <c r="I2000" t="s">
        <v>16</v>
      </c>
      <c r="K2000" t="s">
        <v>4272</v>
      </c>
      <c r="L2000">
        <v>496</v>
      </c>
      <c r="M2000" t="s">
        <v>4271</v>
      </c>
    </row>
    <row r="2001" spans="1:13" x14ac:dyDescent="0.35">
      <c r="A2001" t="s">
        <v>4233</v>
      </c>
      <c r="B2001">
        <v>2250902</v>
      </c>
      <c r="C2001">
        <v>2251831</v>
      </c>
      <c r="E2001" t="s">
        <v>13</v>
      </c>
      <c r="F2001" t="s">
        <v>147</v>
      </c>
      <c r="G2001" t="s">
        <v>148</v>
      </c>
      <c r="H2001">
        <v>29242538</v>
      </c>
      <c r="I2001" t="s">
        <v>16</v>
      </c>
      <c r="K2001" t="s">
        <v>4270</v>
      </c>
      <c r="L2001">
        <v>309</v>
      </c>
      <c r="M2001" t="s">
        <v>4269</v>
      </c>
    </row>
    <row r="2002" spans="1:13" x14ac:dyDescent="0.35">
      <c r="A2002" t="s">
        <v>4233</v>
      </c>
      <c r="B2002">
        <v>2251828</v>
      </c>
      <c r="C2002">
        <v>2252775</v>
      </c>
      <c r="E2002" t="s">
        <v>13</v>
      </c>
      <c r="F2002" t="s">
        <v>4268</v>
      </c>
      <c r="H2002">
        <v>29242539</v>
      </c>
      <c r="I2002" t="s">
        <v>16</v>
      </c>
      <c r="K2002" t="s">
        <v>4267</v>
      </c>
      <c r="L2002">
        <v>315</v>
      </c>
      <c r="M2002" t="s">
        <v>4266</v>
      </c>
    </row>
    <row r="2003" spans="1:13" x14ac:dyDescent="0.35">
      <c r="A2003" t="s">
        <v>4233</v>
      </c>
      <c r="B2003">
        <v>2252821</v>
      </c>
      <c r="C2003">
        <v>2253450</v>
      </c>
      <c r="E2003" t="s">
        <v>13</v>
      </c>
      <c r="F2003" t="s">
        <v>4265</v>
      </c>
      <c r="H2003">
        <v>29242540</v>
      </c>
      <c r="I2003" t="s">
        <v>16</v>
      </c>
      <c r="K2003" t="s">
        <v>4264</v>
      </c>
      <c r="L2003">
        <v>209</v>
      </c>
      <c r="M2003" t="s">
        <v>4263</v>
      </c>
    </row>
    <row r="2004" spans="1:13" x14ac:dyDescent="0.35">
      <c r="A2004" t="s">
        <v>4233</v>
      </c>
      <c r="B2004">
        <v>2253579</v>
      </c>
      <c r="C2004">
        <v>2254997</v>
      </c>
      <c r="E2004" t="s">
        <v>36</v>
      </c>
      <c r="F2004" t="s">
        <v>807</v>
      </c>
      <c r="H2004">
        <v>29242541</v>
      </c>
      <c r="I2004" t="s">
        <v>16</v>
      </c>
      <c r="K2004" t="s">
        <v>4262</v>
      </c>
      <c r="L2004">
        <v>472</v>
      </c>
      <c r="M2004" t="s">
        <v>4261</v>
      </c>
    </row>
    <row r="2005" spans="1:13" x14ac:dyDescent="0.35">
      <c r="A2005" t="s">
        <v>4233</v>
      </c>
      <c r="B2005">
        <v>2255084</v>
      </c>
      <c r="C2005">
        <v>2256055</v>
      </c>
      <c r="E2005" t="s">
        <v>13</v>
      </c>
      <c r="F2005" t="s">
        <v>679</v>
      </c>
      <c r="H2005">
        <v>55549262</v>
      </c>
      <c r="I2005" t="s">
        <v>16</v>
      </c>
      <c r="K2005" t="s">
        <v>4260</v>
      </c>
      <c r="L2005">
        <v>323</v>
      </c>
      <c r="M2005" t="s">
        <v>4259</v>
      </c>
    </row>
    <row r="2006" spans="1:13" x14ac:dyDescent="0.35">
      <c r="A2006" t="s">
        <v>4233</v>
      </c>
      <c r="B2006">
        <v>2256136</v>
      </c>
      <c r="C2006">
        <v>2258205</v>
      </c>
      <c r="E2006" t="s">
        <v>13</v>
      </c>
      <c r="F2006" t="s">
        <v>4258</v>
      </c>
      <c r="H2006">
        <v>29242543</v>
      </c>
      <c r="I2006" t="s">
        <v>16</v>
      </c>
      <c r="K2006" t="s">
        <v>4257</v>
      </c>
      <c r="L2006">
        <v>689</v>
      </c>
      <c r="M2006" t="s">
        <v>4256</v>
      </c>
    </row>
    <row r="2007" spans="1:13" x14ac:dyDescent="0.35">
      <c r="A2007" t="s">
        <v>4233</v>
      </c>
      <c r="B2007">
        <v>2258202</v>
      </c>
      <c r="C2007">
        <v>2261981</v>
      </c>
      <c r="E2007" t="s">
        <v>13</v>
      </c>
      <c r="F2007" t="s">
        <v>4255</v>
      </c>
      <c r="G2007" t="s">
        <v>4254</v>
      </c>
      <c r="H2007">
        <v>29242544</v>
      </c>
      <c r="I2007" t="s">
        <v>16</v>
      </c>
      <c r="K2007" t="s">
        <v>4253</v>
      </c>
      <c r="L2007">
        <v>1259</v>
      </c>
      <c r="M2007" t="s">
        <v>4252</v>
      </c>
    </row>
    <row r="2008" spans="1:13" x14ac:dyDescent="0.35">
      <c r="A2008" t="s">
        <v>4233</v>
      </c>
      <c r="B2008">
        <v>2262183</v>
      </c>
      <c r="C2008">
        <v>2263202</v>
      </c>
      <c r="E2008" t="s">
        <v>13</v>
      </c>
      <c r="F2008" t="s">
        <v>412</v>
      </c>
      <c r="H2008">
        <v>29242545</v>
      </c>
      <c r="I2008" t="s">
        <v>16</v>
      </c>
      <c r="K2008" t="s">
        <v>4251</v>
      </c>
      <c r="L2008">
        <v>339</v>
      </c>
      <c r="M2008" t="s">
        <v>4250</v>
      </c>
    </row>
    <row r="2009" spans="1:13" x14ac:dyDescent="0.35">
      <c r="A2009" t="s">
        <v>4233</v>
      </c>
      <c r="B2009">
        <v>2263319</v>
      </c>
      <c r="C2009">
        <v>2264584</v>
      </c>
      <c r="E2009" t="s">
        <v>36</v>
      </c>
      <c r="F2009" t="s">
        <v>1220</v>
      </c>
      <c r="H2009">
        <v>29242546</v>
      </c>
      <c r="I2009" t="s">
        <v>16</v>
      </c>
      <c r="K2009" t="s">
        <v>4249</v>
      </c>
      <c r="L2009">
        <v>421</v>
      </c>
      <c r="M2009" t="s">
        <v>4248</v>
      </c>
    </row>
    <row r="2010" spans="1:13" x14ac:dyDescent="0.35">
      <c r="A2010" t="s">
        <v>4233</v>
      </c>
      <c r="B2010">
        <v>2264584</v>
      </c>
      <c r="C2010">
        <v>2265552</v>
      </c>
      <c r="E2010" t="s">
        <v>36</v>
      </c>
      <c r="F2010" t="s">
        <v>4247</v>
      </c>
      <c r="H2010">
        <v>29242547</v>
      </c>
      <c r="I2010" t="s">
        <v>16</v>
      </c>
      <c r="K2010" t="s">
        <v>4246</v>
      </c>
      <c r="L2010">
        <v>322</v>
      </c>
      <c r="M2010" t="s">
        <v>4245</v>
      </c>
    </row>
    <row r="2011" spans="1:13" x14ac:dyDescent="0.35">
      <c r="A2011" t="s">
        <v>4233</v>
      </c>
      <c r="B2011">
        <v>2265805</v>
      </c>
      <c r="C2011">
        <v>2266470</v>
      </c>
      <c r="E2011" t="s">
        <v>36</v>
      </c>
      <c r="F2011" t="s">
        <v>1221</v>
      </c>
      <c r="G2011" t="s">
        <v>1222</v>
      </c>
      <c r="H2011">
        <v>29242548</v>
      </c>
      <c r="I2011" t="s">
        <v>16</v>
      </c>
      <c r="K2011" t="s">
        <v>4244</v>
      </c>
      <c r="L2011">
        <v>221</v>
      </c>
      <c r="M2011" t="s">
        <v>4243</v>
      </c>
    </row>
    <row r="2012" spans="1:13" x14ac:dyDescent="0.35">
      <c r="A2012" t="s">
        <v>4233</v>
      </c>
      <c r="B2012">
        <v>2266594</v>
      </c>
      <c r="C2012">
        <v>2267130</v>
      </c>
      <c r="E2012" t="s">
        <v>36</v>
      </c>
      <c r="F2012" t="s">
        <v>4242</v>
      </c>
      <c r="H2012">
        <v>29242549</v>
      </c>
      <c r="I2012" t="s">
        <v>16</v>
      </c>
      <c r="K2012" t="s">
        <v>4241</v>
      </c>
      <c r="L2012">
        <v>178</v>
      </c>
      <c r="M2012" t="s">
        <v>4240</v>
      </c>
    </row>
    <row r="2013" spans="1:13" x14ac:dyDescent="0.35">
      <c r="A2013" t="s">
        <v>4233</v>
      </c>
      <c r="B2013">
        <v>2267253</v>
      </c>
      <c r="C2013">
        <v>2268260</v>
      </c>
      <c r="E2013" t="s">
        <v>36</v>
      </c>
      <c r="F2013" t="s">
        <v>1095</v>
      </c>
      <c r="G2013" t="s">
        <v>1096</v>
      </c>
      <c r="H2013">
        <v>29242550</v>
      </c>
      <c r="I2013" t="s">
        <v>16</v>
      </c>
      <c r="K2013" t="s">
        <v>4239</v>
      </c>
      <c r="L2013">
        <v>335</v>
      </c>
      <c r="M2013" t="s">
        <v>4238</v>
      </c>
    </row>
    <row r="2014" spans="1:13" x14ac:dyDescent="0.35">
      <c r="A2014" t="s">
        <v>4233</v>
      </c>
      <c r="B2014">
        <v>2268260</v>
      </c>
      <c r="C2014">
        <v>2268577</v>
      </c>
      <c r="E2014" t="s">
        <v>36</v>
      </c>
      <c r="F2014" t="s">
        <v>639</v>
      </c>
      <c r="G2014" t="s">
        <v>640</v>
      </c>
      <c r="H2014">
        <v>31600527</v>
      </c>
      <c r="I2014" t="s">
        <v>16</v>
      </c>
      <c r="K2014" t="s">
        <v>4237</v>
      </c>
      <c r="L2014">
        <v>105</v>
      </c>
      <c r="M2014" t="s">
        <v>4236</v>
      </c>
    </row>
    <row r="2015" spans="1:13" x14ac:dyDescent="0.35">
      <c r="A2015" t="s">
        <v>4233</v>
      </c>
      <c r="B2015">
        <v>2268581</v>
      </c>
      <c r="C2015">
        <v>2268931</v>
      </c>
      <c r="E2015" t="s">
        <v>36</v>
      </c>
      <c r="F2015" t="s">
        <v>1269</v>
      </c>
      <c r="G2015" t="s">
        <v>1270</v>
      </c>
      <c r="H2015">
        <v>29242551</v>
      </c>
      <c r="I2015" t="s">
        <v>16</v>
      </c>
      <c r="K2015" t="s">
        <v>4235</v>
      </c>
      <c r="L2015">
        <v>116</v>
      </c>
      <c r="M2015" t="s">
        <v>4234</v>
      </c>
    </row>
    <row r="2016" spans="1:13" x14ac:dyDescent="0.35">
      <c r="A2016" t="s">
        <v>4233</v>
      </c>
      <c r="B2016">
        <v>2268963</v>
      </c>
      <c r="C2016">
        <v>2269097</v>
      </c>
      <c r="E2016" t="s">
        <v>36</v>
      </c>
      <c r="F2016" t="s">
        <v>1271</v>
      </c>
      <c r="G2016" t="s">
        <v>1272</v>
      </c>
      <c r="H2016">
        <v>29242552</v>
      </c>
      <c r="I2016" t="s">
        <v>16</v>
      </c>
      <c r="K2016" t="s">
        <v>4232</v>
      </c>
      <c r="L2016">
        <v>44</v>
      </c>
      <c r="M2016" t="s">
        <v>4231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85"/>
  <sheetViews>
    <sheetView topLeftCell="A40" zoomScale="102" zoomScaleNormal="104" workbookViewId="0">
      <selection activeCell="C19" sqref="C19"/>
    </sheetView>
  </sheetViews>
  <sheetFormatPr defaultRowHeight="14.5" x14ac:dyDescent="0.35"/>
  <cols>
    <col min="1" max="1" width="16.453125" style="50" customWidth="1"/>
    <col min="2" max="2" width="15" style="52" customWidth="1"/>
    <col min="3" max="3" width="12.54296875" customWidth="1"/>
    <col min="4" max="4" width="14.1796875" customWidth="1"/>
    <col min="5" max="5" width="35.08984375" customWidth="1"/>
    <col min="6" max="6" width="35.1796875" customWidth="1"/>
    <col min="7" max="7" width="36" customWidth="1"/>
    <col min="8" max="8" width="43.1796875" style="54" customWidth="1"/>
  </cols>
  <sheetData>
    <row r="1" spans="1:8" x14ac:dyDescent="0.35">
      <c r="A1" s="50" t="s">
        <v>10</v>
      </c>
      <c r="B1" s="52" t="s">
        <v>12</v>
      </c>
      <c r="C1" t="s">
        <v>1279</v>
      </c>
      <c r="D1" t="s">
        <v>1359</v>
      </c>
      <c r="E1" t="s">
        <v>1286</v>
      </c>
      <c r="F1" t="s">
        <v>1287</v>
      </c>
      <c r="G1" t="s">
        <v>1288</v>
      </c>
      <c r="H1" s="54" t="s">
        <v>1289</v>
      </c>
    </row>
    <row r="2" spans="1:8" x14ac:dyDescent="0.35">
      <c r="A2" s="50" t="s">
        <v>8704</v>
      </c>
      <c r="B2" s="52" t="s">
        <v>8703</v>
      </c>
      <c r="C2" s="59" t="s">
        <v>8952</v>
      </c>
      <c r="E2" s="57"/>
    </row>
    <row r="3" spans="1:8" x14ac:dyDescent="0.35">
      <c r="A3" s="50" t="s">
        <v>8132</v>
      </c>
      <c r="B3" s="52" t="s">
        <v>8131</v>
      </c>
      <c r="C3" s="59" t="s">
        <v>8952</v>
      </c>
      <c r="E3" s="57"/>
    </row>
    <row r="4" spans="1:8" x14ac:dyDescent="0.35">
      <c r="A4" s="50" t="s">
        <v>7576</v>
      </c>
      <c r="B4" s="52" t="s">
        <v>7575</v>
      </c>
      <c r="C4" s="59" t="s">
        <v>8952</v>
      </c>
    </row>
    <row r="5" spans="1:8" x14ac:dyDescent="0.35">
      <c r="A5" s="50" t="s">
        <v>7446</v>
      </c>
      <c r="B5" s="52" t="s">
        <v>7445</v>
      </c>
      <c r="C5" s="59" t="s">
        <v>8952</v>
      </c>
    </row>
    <row r="6" spans="1:8" x14ac:dyDescent="0.35">
      <c r="A6" s="50" t="s">
        <v>7306</v>
      </c>
      <c r="B6" s="52" t="s">
        <v>7305</v>
      </c>
      <c r="C6" s="59" t="s">
        <v>8952</v>
      </c>
    </row>
    <row r="7" spans="1:8" x14ac:dyDescent="0.35">
      <c r="A7" s="50" t="s">
        <v>6310</v>
      </c>
      <c r="B7" s="52" t="s">
        <v>6309</v>
      </c>
      <c r="C7" s="59" t="s">
        <v>8952</v>
      </c>
    </row>
    <row r="8" spans="1:8" x14ac:dyDescent="0.35">
      <c r="A8" s="50" t="s">
        <v>6306</v>
      </c>
      <c r="B8" s="52" t="s">
        <v>6305</v>
      </c>
      <c r="C8" s="59" t="s">
        <v>8952</v>
      </c>
    </row>
    <row r="9" spans="1:8" x14ac:dyDescent="0.35">
      <c r="A9" s="50" t="s">
        <v>5586</v>
      </c>
      <c r="B9" s="52" t="s">
        <v>5585</v>
      </c>
      <c r="C9" s="59" t="s">
        <v>8952</v>
      </c>
    </row>
    <row r="10" spans="1:8" x14ac:dyDescent="0.35">
      <c r="A10" s="50" t="s">
        <v>5315</v>
      </c>
      <c r="B10" s="52" t="s">
        <v>5314</v>
      </c>
      <c r="C10" s="59" t="s">
        <v>8952</v>
      </c>
    </row>
    <row r="11" spans="1:8" x14ac:dyDescent="0.35">
      <c r="A11" s="50" t="s">
        <v>4634</v>
      </c>
      <c r="B11" s="52" t="s">
        <v>4633</v>
      </c>
      <c r="C11" s="59" t="s">
        <v>8952</v>
      </c>
    </row>
    <row r="12" spans="1:8" x14ac:dyDescent="0.35">
      <c r="A12" s="50" t="s">
        <v>4251</v>
      </c>
      <c r="B12" s="52" t="s">
        <v>4250</v>
      </c>
      <c r="C12" s="59" t="s">
        <v>8952</v>
      </c>
    </row>
    <row r="13" spans="1:8" x14ac:dyDescent="0.35">
      <c r="A13" s="50" t="s">
        <v>8816</v>
      </c>
      <c r="B13" s="52" t="s">
        <v>8815</v>
      </c>
      <c r="C13" s="59" t="s">
        <v>8881</v>
      </c>
      <c r="E13" s="57"/>
      <c r="F13" s="57"/>
    </row>
    <row r="14" spans="1:8" x14ac:dyDescent="0.35">
      <c r="A14" s="50" t="s">
        <v>8024</v>
      </c>
      <c r="B14" s="52" t="s">
        <v>8023</v>
      </c>
      <c r="C14" s="59" t="s">
        <v>8881</v>
      </c>
    </row>
    <row r="15" spans="1:8" x14ac:dyDescent="0.35">
      <c r="A15" s="50" t="s">
        <v>7571</v>
      </c>
      <c r="B15" s="52" t="s">
        <v>7570</v>
      </c>
      <c r="C15" s="59" t="s">
        <v>8881</v>
      </c>
    </row>
    <row r="16" spans="1:8" x14ac:dyDescent="0.35">
      <c r="A16" s="50" t="s">
        <v>6663</v>
      </c>
      <c r="B16" s="52" t="s">
        <v>6662</v>
      </c>
      <c r="C16" s="59" t="s">
        <v>8881</v>
      </c>
    </row>
    <row r="17" spans="1:8" x14ac:dyDescent="0.35">
      <c r="A17" s="50" t="s">
        <v>5655</v>
      </c>
      <c r="B17" s="52" t="s">
        <v>5654</v>
      </c>
      <c r="C17" s="59" t="s">
        <v>8881</v>
      </c>
    </row>
    <row r="18" spans="1:8" x14ac:dyDescent="0.35">
      <c r="A18" s="50" t="s">
        <v>4929</v>
      </c>
      <c r="B18" s="52" t="s">
        <v>4928</v>
      </c>
      <c r="C18" s="59" t="s">
        <v>10541</v>
      </c>
      <c r="E18" s="57" t="s">
        <v>10542</v>
      </c>
      <c r="F18" s="57" t="s">
        <v>10543</v>
      </c>
      <c r="G18" t="s">
        <v>3464</v>
      </c>
      <c r="H18" s="54" t="s">
        <v>3821</v>
      </c>
    </row>
    <row r="19" spans="1:8" x14ac:dyDescent="0.35">
      <c r="A19" s="50" t="s">
        <v>4929</v>
      </c>
      <c r="B19" s="52" t="s">
        <v>4928</v>
      </c>
      <c r="C19" s="59" t="s">
        <v>10541</v>
      </c>
      <c r="E19" s="57" t="s">
        <v>10542</v>
      </c>
      <c r="F19" s="57" t="s">
        <v>10544</v>
      </c>
      <c r="G19" t="s">
        <v>3466</v>
      </c>
      <c r="H19" s="54" t="s">
        <v>3823</v>
      </c>
    </row>
    <row r="20" spans="1:8" x14ac:dyDescent="0.35">
      <c r="A20" s="50" t="s">
        <v>4929</v>
      </c>
      <c r="B20" s="52" t="s">
        <v>4928</v>
      </c>
      <c r="C20" s="59" t="s">
        <v>10541</v>
      </c>
      <c r="E20" s="57" t="s">
        <v>10542</v>
      </c>
      <c r="F20" s="57" t="s">
        <v>10545</v>
      </c>
      <c r="G20" t="s">
        <v>3467</v>
      </c>
      <c r="H20" s="54" t="s">
        <v>3824</v>
      </c>
    </row>
    <row r="21" spans="1:8" x14ac:dyDescent="0.35">
      <c r="A21" s="50" t="s">
        <v>4929</v>
      </c>
      <c r="B21" s="52" t="s">
        <v>4928</v>
      </c>
      <c r="C21" s="59" t="s">
        <v>10541</v>
      </c>
      <c r="E21" s="57" t="s">
        <v>10542</v>
      </c>
      <c r="F21" s="57" t="s">
        <v>10546</v>
      </c>
      <c r="G21" t="s">
        <v>3468</v>
      </c>
      <c r="H21" s="54" t="s">
        <v>3825</v>
      </c>
    </row>
    <row r="22" spans="1:8" x14ac:dyDescent="0.35">
      <c r="A22" s="50" t="s">
        <v>4929</v>
      </c>
      <c r="B22" s="52" t="s">
        <v>4928</v>
      </c>
      <c r="C22" s="59" t="s">
        <v>10541</v>
      </c>
      <c r="E22" s="57" t="s">
        <v>10542</v>
      </c>
      <c r="F22" s="57" t="s">
        <v>10547</v>
      </c>
      <c r="G22" t="s">
        <v>3471</v>
      </c>
      <c r="H22" s="54" t="s">
        <v>3828</v>
      </c>
    </row>
    <row r="23" spans="1:8" x14ac:dyDescent="0.35">
      <c r="A23" s="50" t="s">
        <v>4929</v>
      </c>
      <c r="B23" s="52" t="s">
        <v>4928</v>
      </c>
      <c r="C23" s="59" t="s">
        <v>10541</v>
      </c>
      <c r="E23" s="57" t="s">
        <v>10542</v>
      </c>
      <c r="F23" s="57" t="s">
        <v>10548</v>
      </c>
      <c r="G23" t="s">
        <v>3472</v>
      </c>
      <c r="H23" s="54" t="s">
        <v>3829</v>
      </c>
    </row>
    <row r="24" spans="1:8" x14ac:dyDescent="0.35">
      <c r="A24" s="50" t="s">
        <v>4929</v>
      </c>
      <c r="B24" s="52" t="s">
        <v>4928</v>
      </c>
      <c r="C24" s="59" t="s">
        <v>10541</v>
      </c>
      <c r="E24" s="57" t="s">
        <v>10542</v>
      </c>
      <c r="F24" s="57" t="s">
        <v>10549</v>
      </c>
      <c r="G24" t="s">
        <v>3473</v>
      </c>
      <c r="H24" s="54" t="s">
        <v>3830</v>
      </c>
    </row>
    <row r="25" spans="1:8" x14ac:dyDescent="0.35">
      <c r="A25" s="50" t="s">
        <v>4929</v>
      </c>
      <c r="B25" s="52" t="s">
        <v>4928</v>
      </c>
      <c r="C25" s="59" t="s">
        <v>10541</v>
      </c>
      <c r="E25" s="57" t="s">
        <v>10542</v>
      </c>
      <c r="F25" s="57" t="s">
        <v>10550</v>
      </c>
      <c r="G25" s="8" t="s">
        <v>3474</v>
      </c>
      <c r="H25" s="54" t="s">
        <v>3831</v>
      </c>
    </row>
    <row r="26" spans="1:8" x14ac:dyDescent="0.35">
      <c r="A26" s="50" t="s">
        <v>4929</v>
      </c>
      <c r="B26" s="52" t="s">
        <v>4928</v>
      </c>
      <c r="C26" s="59" t="s">
        <v>10541</v>
      </c>
      <c r="E26" s="57" t="s">
        <v>10542</v>
      </c>
      <c r="F26" s="57" t="s">
        <v>10551</v>
      </c>
      <c r="G26" t="s">
        <v>3477</v>
      </c>
      <c r="H26" s="54" t="s">
        <v>3834</v>
      </c>
    </row>
    <row r="27" spans="1:8" x14ac:dyDescent="0.35">
      <c r="A27" s="50" t="s">
        <v>4929</v>
      </c>
      <c r="B27" s="52" t="s">
        <v>4928</v>
      </c>
      <c r="C27" s="59" t="s">
        <v>10541</v>
      </c>
      <c r="E27" s="57" t="s">
        <v>10542</v>
      </c>
      <c r="F27" s="57" t="s">
        <v>10552</v>
      </c>
      <c r="G27" t="s">
        <v>3470</v>
      </c>
      <c r="H27" s="54" t="s">
        <v>3827</v>
      </c>
    </row>
    <row r="28" spans="1:8" x14ac:dyDescent="0.35">
      <c r="A28" s="50" t="s">
        <v>4929</v>
      </c>
      <c r="B28" s="52" t="s">
        <v>4928</v>
      </c>
      <c r="C28" s="59" t="s">
        <v>10541</v>
      </c>
      <c r="E28" s="57" t="s">
        <v>10542</v>
      </c>
      <c r="F28" s="57" t="s">
        <v>10553</v>
      </c>
      <c r="G28" s="8" t="s">
        <v>3476</v>
      </c>
      <c r="H28" s="54" t="s">
        <v>3833</v>
      </c>
    </row>
    <row r="29" spans="1:8" x14ac:dyDescent="0.35">
      <c r="A29" s="50" t="s">
        <v>4929</v>
      </c>
      <c r="B29" s="52" t="s">
        <v>4928</v>
      </c>
      <c r="C29" s="59" t="s">
        <v>10541</v>
      </c>
      <c r="E29" s="57" t="s">
        <v>10542</v>
      </c>
      <c r="F29" s="57" t="s">
        <v>10554</v>
      </c>
      <c r="G29" t="s">
        <v>3479</v>
      </c>
      <c r="H29" s="54" t="s">
        <v>3836</v>
      </c>
    </row>
    <row r="30" spans="1:8" x14ac:dyDescent="0.35">
      <c r="A30" s="50" t="s">
        <v>4929</v>
      </c>
      <c r="B30" s="52" t="s">
        <v>4928</v>
      </c>
      <c r="C30" s="59" t="s">
        <v>10541</v>
      </c>
      <c r="E30" s="57" t="s">
        <v>10542</v>
      </c>
      <c r="F30" s="57" t="s">
        <v>10555</v>
      </c>
      <c r="G30" t="s">
        <v>3462</v>
      </c>
      <c r="H30" s="54" t="s">
        <v>3819</v>
      </c>
    </row>
    <row r="31" spans="1:8" x14ac:dyDescent="0.35">
      <c r="A31" s="50" t="s">
        <v>4929</v>
      </c>
      <c r="B31" s="52" t="s">
        <v>4928</v>
      </c>
      <c r="C31" s="59" t="s">
        <v>10541</v>
      </c>
      <c r="E31" s="57" t="s">
        <v>10542</v>
      </c>
      <c r="F31" s="57" t="s">
        <v>10556</v>
      </c>
      <c r="G31" s="8" t="s">
        <v>3463</v>
      </c>
      <c r="H31" s="54" t="s">
        <v>3820</v>
      </c>
    </row>
    <row r="32" spans="1:8" x14ac:dyDescent="0.35">
      <c r="A32" s="50" t="s">
        <v>4929</v>
      </c>
      <c r="B32" s="52" t="s">
        <v>4928</v>
      </c>
      <c r="C32" s="59" t="s">
        <v>10541</v>
      </c>
      <c r="E32" s="57" t="s">
        <v>10542</v>
      </c>
      <c r="F32" s="57" t="s">
        <v>10557</v>
      </c>
      <c r="G32" t="s">
        <v>3478</v>
      </c>
      <c r="H32" s="54" t="s">
        <v>3835</v>
      </c>
    </row>
    <row r="33" spans="1:8" x14ac:dyDescent="0.35">
      <c r="A33" s="50" t="s">
        <v>4929</v>
      </c>
      <c r="B33" s="52" t="s">
        <v>4928</v>
      </c>
      <c r="C33" s="59" t="s">
        <v>10541</v>
      </c>
      <c r="E33" s="57" t="s">
        <v>10542</v>
      </c>
      <c r="F33" s="57" t="s">
        <v>10558</v>
      </c>
      <c r="G33" s="8" t="s">
        <v>3469</v>
      </c>
      <c r="H33" s="54" t="s">
        <v>3826</v>
      </c>
    </row>
    <row r="34" spans="1:8" x14ac:dyDescent="0.35">
      <c r="A34" s="50" t="s">
        <v>4929</v>
      </c>
      <c r="B34" s="52" t="s">
        <v>4928</v>
      </c>
      <c r="C34" s="59" t="s">
        <v>10541</v>
      </c>
      <c r="E34" s="57" t="s">
        <v>10542</v>
      </c>
      <c r="F34" s="57" t="s">
        <v>10559</v>
      </c>
      <c r="G34" s="8" t="s">
        <v>3480</v>
      </c>
      <c r="H34" s="54" t="s">
        <v>10560</v>
      </c>
    </row>
    <row r="35" spans="1:8" x14ac:dyDescent="0.35">
      <c r="A35" s="50" t="s">
        <v>4929</v>
      </c>
      <c r="B35" s="52" t="s">
        <v>4928</v>
      </c>
      <c r="C35" s="59" t="s">
        <v>10541</v>
      </c>
      <c r="E35" s="57" t="s">
        <v>10542</v>
      </c>
      <c r="F35" s="57" t="s">
        <v>10561</v>
      </c>
      <c r="G35" s="8" t="s">
        <v>3465</v>
      </c>
      <c r="H35" s="54" t="s">
        <v>3822</v>
      </c>
    </row>
    <row r="36" spans="1:8" x14ac:dyDescent="0.35">
      <c r="A36" s="50" t="s">
        <v>4929</v>
      </c>
      <c r="B36" s="52" t="s">
        <v>4928</v>
      </c>
      <c r="C36" s="59" t="s">
        <v>10541</v>
      </c>
      <c r="E36" s="57" t="s">
        <v>10542</v>
      </c>
      <c r="F36" s="57" t="s">
        <v>10562</v>
      </c>
      <c r="G36" s="8" t="s">
        <v>3475</v>
      </c>
      <c r="H36" s="54" t="s">
        <v>3832</v>
      </c>
    </row>
    <row r="37" spans="1:8" x14ac:dyDescent="0.35">
      <c r="A37" s="50" t="s">
        <v>5256</v>
      </c>
      <c r="B37" s="52" t="s">
        <v>5255</v>
      </c>
      <c r="C37" s="59" t="s">
        <v>10325</v>
      </c>
      <c r="E37" s="57" t="s">
        <v>10326</v>
      </c>
      <c r="F37" s="57" t="s">
        <v>10327</v>
      </c>
      <c r="G37" t="s">
        <v>10328</v>
      </c>
      <c r="H37" s="54" t="s">
        <v>10329</v>
      </c>
    </row>
    <row r="38" spans="1:8" x14ac:dyDescent="0.35">
      <c r="A38" s="50" t="s">
        <v>5256</v>
      </c>
      <c r="B38" s="52" t="s">
        <v>5255</v>
      </c>
      <c r="C38" s="59" t="s">
        <v>10325</v>
      </c>
      <c r="E38" s="57" t="s">
        <v>10326</v>
      </c>
      <c r="F38" s="57" t="s">
        <v>10330</v>
      </c>
      <c r="G38" t="s">
        <v>10331</v>
      </c>
      <c r="H38" s="54" t="s">
        <v>10332</v>
      </c>
    </row>
    <row r="39" spans="1:8" x14ac:dyDescent="0.35">
      <c r="A39" s="50" t="s">
        <v>5676</v>
      </c>
      <c r="B39" s="52" t="s">
        <v>5675</v>
      </c>
      <c r="C39" s="59" t="s">
        <v>10146</v>
      </c>
      <c r="E39" s="57" t="s">
        <v>10147</v>
      </c>
      <c r="F39" s="57" t="s">
        <v>10148</v>
      </c>
      <c r="G39" t="s">
        <v>10149</v>
      </c>
      <c r="H39" s="54" t="s">
        <v>10150</v>
      </c>
    </row>
    <row r="40" spans="1:8" x14ac:dyDescent="0.35">
      <c r="A40" s="50" t="s">
        <v>5676</v>
      </c>
      <c r="B40" s="52" t="s">
        <v>5675</v>
      </c>
      <c r="C40" s="59" t="s">
        <v>10146</v>
      </c>
      <c r="E40" s="57" t="s">
        <v>10147</v>
      </c>
      <c r="F40" s="57" t="s">
        <v>10151</v>
      </c>
      <c r="G40" s="8" t="s">
        <v>10152</v>
      </c>
      <c r="H40" s="54" t="s">
        <v>10150</v>
      </c>
    </row>
    <row r="41" spans="1:8" x14ac:dyDescent="0.35">
      <c r="A41" s="50" t="s">
        <v>5676</v>
      </c>
      <c r="B41" s="52" t="s">
        <v>5675</v>
      </c>
      <c r="C41" s="59" t="s">
        <v>10146</v>
      </c>
      <c r="E41" s="57" t="s">
        <v>10147</v>
      </c>
      <c r="F41" s="57" t="s">
        <v>10153</v>
      </c>
      <c r="G41" s="8" t="s">
        <v>10154</v>
      </c>
      <c r="H41" s="54" t="s">
        <v>10155</v>
      </c>
    </row>
    <row r="42" spans="1:8" x14ac:dyDescent="0.35">
      <c r="A42" s="50" t="s">
        <v>7482</v>
      </c>
      <c r="B42" s="52" t="s">
        <v>7481</v>
      </c>
      <c r="C42" s="59" t="s">
        <v>9461</v>
      </c>
      <c r="E42" s="57" t="s">
        <v>9462</v>
      </c>
      <c r="F42" s="57" t="s">
        <v>9463</v>
      </c>
      <c r="G42" t="s">
        <v>9464</v>
      </c>
      <c r="H42" s="54" t="s">
        <v>9465</v>
      </c>
    </row>
    <row r="43" spans="1:8" x14ac:dyDescent="0.35">
      <c r="A43" s="50" t="s">
        <v>6651</v>
      </c>
      <c r="B43" s="52" t="s">
        <v>6650</v>
      </c>
      <c r="C43" s="59" t="s">
        <v>9838</v>
      </c>
      <c r="E43" s="57" t="s">
        <v>9839</v>
      </c>
      <c r="F43" s="57" t="s">
        <v>9840</v>
      </c>
      <c r="G43" t="s">
        <v>9841</v>
      </c>
      <c r="H43" s="54" t="s">
        <v>3838</v>
      </c>
    </row>
    <row r="44" spans="1:8" x14ac:dyDescent="0.35">
      <c r="A44" s="50" t="s">
        <v>6651</v>
      </c>
      <c r="B44" s="52" t="s">
        <v>6650</v>
      </c>
      <c r="C44" s="59" t="s">
        <v>9838</v>
      </c>
      <c r="E44" s="57" t="s">
        <v>9839</v>
      </c>
      <c r="F44" s="57" t="s">
        <v>9842</v>
      </c>
      <c r="G44" t="s">
        <v>3483</v>
      </c>
      <c r="H44" s="54" t="s">
        <v>3840</v>
      </c>
    </row>
    <row r="45" spans="1:8" x14ac:dyDescent="0.35">
      <c r="A45" s="50" t="s">
        <v>6651</v>
      </c>
      <c r="B45" s="52" t="s">
        <v>6650</v>
      </c>
      <c r="C45" s="59" t="s">
        <v>9838</v>
      </c>
      <c r="E45" s="57" t="s">
        <v>9839</v>
      </c>
      <c r="F45" s="57" t="s">
        <v>9843</v>
      </c>
      <c r="G45" s="8" t="s">
        <v>3482</v>
      </c>
      <c r="H45" s="54" t="s">
        <v>3839</v>
      </c>
    </row>
    <row r="46" spans="1:8" x14ac:dyDescent="0.35">
      <c r="A46" s="50" t="s">
        <v>5710</v>
      </c>
      <c r="B46" s="52" t="s">
        <v>5709</v>
      </c>
      <c r="C46" s="59" t="s">
        <v>9838</v>
      </c>
      <c r="E46" s="57" t="s">
        <v>9839</v>
      </c>
      <c r="F46" s="57" t="s">
        <v>9840</v>
      </c>
      <c r="G46" t="s">
        <v>9841</v>
      </c>
      <c r="H46" s="54" t="s">
        <v>3838</v>
      </c>
    </row>
    <row r="47" spans="1:8" x14ac:dyDescent="0.35">
      <c r="A47" s="50" t="s">
        <v>5710</v>
      </c>
      <c r="B47" s="52" t="s">
        <v>5709</v>
      </c>
      <c r="C47" s="59" t="s">
        <v>9838</v>
      </c>
      <c r="E47" s="57" t="s">
        <v>9839</v>
      </c>
      <c r="F47" s="57" t="s">
        <v>9842</v>
      </c>
      <c r="G47" t="s">
        <v>3483</v>
      </c>
      <c r="H47" s="54" t="s">
        <v>3840</v>
      </c>
    </row>
    <row r="48" spans="1:8" x14ac:dyDescent="0.35">
      <c r="A48" s="50" t="s">
        <v>5710</v>
      </c>
      <c r="B48" s="52" t="s">
        <v>5709</v>
      </c>
      <c r="C48" s="59" t="s">
        <v>9838</v>
      </c>
      <c r="E48" s="57" t="s">
        <v>9839</v>
      </c>
      <c r="F48" s="57" t="s">
        <v>9843</v>
      </c>
      <c r="G48" t="s">
        <v>3482</v>
      </c>
      <c r="H48" s="54" t="s">
        <v>3839</v>
      </c>
    </row>
    <row r="49" spans="1:8" x14ac:dyDescent="0.35">
      <c r="A49" s="50" t="s">
        <v>4653</v>
      </c>
      <c r="B49" s="52" t="s">
        <v>4652</v>
      </c>
      <c r="C49" s="59" t="s">
        <v>10616</v>
      </c>
      <c r="E49" s="57" t="s">
        <v>10617</v>
      </c>
      <c r="F49" s="57" t="s">
        <v>10618</v>
      </c>
      <c r="G49" t="s">
        <v>10619</v>
      </c>
      <c r="H49" s="54" t="s">
        <v>3841</v>
      </c>
    </row>
    <row r="50" spans="1:8" x14ac:dyDescent="0.35">
      <c r="A50" s="50" t="s">
        <v>4653</v>
      </c>
      <c r="B50" s="52" t="s">
        <v>4652</v>
      </c>
      <c r="C50" s="59" t="s">
        <v>10616</v>
      </c>
      <c r="E50" s="57" t="s">
        <v>10617</v>
      </c>
      <c r="F50" s="57" t="s">
        <v>10620</v>
      </c>
      <c r="G50" t="s">
        <v>3485</v>
      </c>
      <c r="H50" s="54" t="s">
        <v>3842</v>
      </c>
    </row>
    <row r="51" spans="1:8" x14ac:dyDescent="0.35">
      <c r="A51" s="50" t="s">
        <v>6369</v>
      </c>
      <c r="B51" s="52" t="s">
        <v>6368</v>
      </c>
      <c r="C51" s="59" t="s">
        <v>9952</v>
      </c>
      <c r="E51" s="57" t="s">
        <v>9953</v>
      </c>
      <c r="F51" s="57" t="s">
        <v>9954</v>
      </c>
      <c r="G51" t="s">
        <v>9955</v>
      </c>
      <c r="H51" s="54" t="s">
        <v>9956</v>
      </c>
    </row>
    <row r="52" spans="1:8" x14ac:dyDescent="0.35">
      <c r="A52" s="50" t="s">
        <v>6369</v>
      </c>
      <c r="B52" s="52" t="s">
        <v>6368</v>
      </c>
      <c r="C52" s="59" t="s">
        <v>9952</v>
      </c>
      <c r="E52" s="57" t="s">
        <v>9953</v>
      </c>
      <c r="F52" s="57" t="s">
        <v>9957</v>
      </c>
      <c r="G52" s="8" t="s">
        <v>9958</v>
      </c>
      <c r="H52" s="54" t="s">
        <v>9959</v>
      </c>
    </row>
    <row r="53" spans="1:8" x14ac:dyDescent="0.35">
      <c r="A53" s="50" t="s">
        <v>6369</v>
      </c>
      <c r="B53" s="52" t="s">
        <v>6368</v>
      </c>
      <c r="C53" s="59" t="s">
        <v>9952</v>
      </c>
      <c r="E53" s="57" t="s">
        <v>9953</v>
      </c>
      <c r="F53" s="57" t="s">
        <v>9960</v>
      </c>
      <c r="G53" t="s">
        <v>9955</v>
      </c>
      <c r="H53" s="54" t="s">
        <v>9961</v>
      </c>
    </row>
    <row r="54" spans="1:8" x14ac:dyDescent="0.35">
      <c r="A54" s="50" t="s">
        <v>5663</v>
      </c>
      <c r="B54" s="52" t="s">
        <v>5662</v>
      </c>
      <c r="C54" s="59" t="s">
        <v>10156</v>
      </c>
      <c r="E54" s="57" t="s">
        <v>10157</v>
      </c>
      <c r="F54" s="57" t="s">
        <v>10158</v>
      </c>
      <c r="G54" t="s">
        <v>10159</v>
      </c>
      <c r="H54" s="54" t="s">
        <v>10160</v>
      </c>
    </row>
    <row r="55" spans="1:8" x14ac:dyDescent="0.35">
      <c r="A55" s="50" t="s">
        <v>8429</v>
      </c>
      <c r="B55" s="52" t="s">
        <v>8428</v>
      </c>
      <c r="C55" s="59" t="s">
        <v>9085</v>
      </c>
      <c r="E55" s="57" t="s">
        <v>9086</v>
      </c>
      <c r="F55" s="57" t="s">
        <v>9087</v>
      </c>
      <c r="G55" t="s">
        <v>9088</v>
      </c>
      <c r="H55" s="54" t="s">
        <v>3843</v>
      </c>
    </row>
    <row r="56" spans="1:8" x14ac:dyDescent="0.35">
      <c r="A56" s="50" t="s">
        <v>8421</v>
      </c>
      <c r="B56" s="52" t="s">
        <v>8420</v>
      </c>
      <c r="C56" s="59" t="s">
        <v>9093</v>
      </c>
      <c r="E56" s="57" t="s">
        <v>9094</v>
      </c>
      <c r="F56" s="57" t="s">
        <v>9095</v>
      </c>
      <c r="G56" t="s">
        <v>3487</v>
      </c>
      <c r="H56" s="54" t="s">
        <v>3844</v>
      </c>
    </row>
    <row r="57" spans="1:8" x14ac:dyDescent="0.35">
      <c r="A57" s="50" t="s">
        <v>8421</v>
      </c>
      <c r="B57" s="52" t="s">
        <v>8420</v>
      </c>
      <c r="C57" s="59" t="s">
        <v>9093</v>
      </c>
      <c r="E57" s="57" t="s">
        <v>9094</v>
      </c>
      <c r="F57" s="57" t="s">
        <v>9096</v>
      </c>
      <c r="G57" t="s">
        <v>3488</v>
      </c>
      <c r="H57" s="54" t="s">
        <v>3844</v>
      </c>
    </row>
    <row r="58" spans="1:8" x14ac:dyDescent="0.35">
      <c r="A58" s="50" t="s">
        <v>5169</v>
      </c>
      <c r="B58" s="52" t="s">
        <v>5168</v>
      </c>
      <c r="C58" s="59" t="s">
        <v>10384</v>
      </c>
      <c r="E58" s="57" t="s">
        <v>10385</v>
      </c>
      <c r="F58" s="57" t="s">
        <v>10386</v>
      </c>
      <c r="G58" t="s">
        <v>10387</v>
      </c>
      <c r="H58" s="54" t="s">
        <v>10388</v>
      </c>
    </row>
    <row r="59" spans="1:8" x14ac:dyDescent="0.35">
      <c r="A59" s="50" t="s">
        <v>5169</v>
      </c>
      <c r="B59" s="52" t="s">
        <v>5168</v>
      </c>
      <c r="C59" s="59" t="s">
        <v>10384</v>
      </c>
      <c r="E59" s="57" t="s">
        <v>10385</v>
      </c>
      <c r="F59" s="57" t="s">
        <v>10389</v>
      </c>
      <c r="G59" t="s">
        <v>10390</v>
      </c>
      <c r="H59" s="54" t="s">
        <v>10391</v>
      </c>
    </row>
    <row r="60" spans="1:8" x14ac:dyDescent="0.35">
      <c r="A60" s="50" t="s">
        <v>5169</v>
      </c>
      <c r="B60" s="52" t="s">
        <v>5168</v>
      </c>
      <c r="C60" s="59" t="s">
        <v>10384</v>
      </c>
      <c r="E60" s="57" t="s">
        <v>10385</v>
      </c>
      <c r="F60" s="57" t="s">
        <v>10392</v>
      </c>
      <c r="G60" s="8" t="s">
        <v>10393</v>
      </c>
      <c r="H60" s="54" t="s">
        <v>10394</v>
      </c>
    </row>
    <row r="61" spans="1:8" x14ac:dyDescent="0.35">
      <c r="A61" s="50" t="s">
        <v>5169</v>
      </c>
      <c r="B61" s="52" t="s">
        <v>5168</v>
      </c>
      <c r="C61" s="59" t="s">
        <v>10384</v>
      </c>
      <c r="E61" s="57" t="s">
        <v>10385</v>
      </c>
      <c r="F61" s="57" t="s">
        <v>10395</v>
      </c>
      <c r="G61" t="s">
        <v>10396</v>
      </c>
      <c r="H61" s="54" t="s">
        <v>10388</v>
      </c>
    </row>
    <row r="62" spans="1:8" x14ac:dyDescent="0.35">
      <c r="A62" s="50" t="s">
        <v>7924</v>
      </c>
      <c r="B62" s="52" t="s">
        <v>7923</v>
      </c>
      <c r="C62" s="59" t="s">
        <v>9265</v>
      </c>
      <c r="E62" s="57" t="s">
        <v>9266</v>
      </c>
      <c r="F62" s="57" t="s">
        <v>9267</v>
      </c>
      <c r="G62" t="s">
        <v>9268</v>
      </c>
      <c r="H62" s="54" t="s">
        <v>9269</v>
      </c>
    </row>
    <row r="63" spans="1:8" x14ac:dyDescent="0.35">
      <c r="A63" s="50" t="s">
        <v>7924</v>
      </c>
      <c r="B63" s="52" t="s">
        <v>7923</v>
      </c>
      <c r="C63" s="59" t="s">
        <v>9265</v>
      </c>
      <c r="E63" s="57" t="s">
        <v>9266</v>
      </c>
      <c r="F63" s="57" t="s">
        <v>9270</v>
      </c>
      <c r="G63" t="s">
        <v>9271</v>
      </c>
      <c r="H63" s="54" t="s">
        <v>9272</v>
      </c>
    </row>
    <row r="64" spans="1:8" x14ac:dyDescent="0.35">
      <c r="A64" s="50" t="s">
        <v>7924</v>
      </c>
      <c r="B64" s="52" t="s">
        <v>7923</v>
      </c>
      <c r="C64" s="59" t="s">
        <v>9265</v>
      </c>
      <c r="E64" s="57" t="s">
        <v>9266</v>
      </c>
      <c r="F64" s="57" t="s">
        <v>9273</v>
      </c>
      <c r="G64" t="s">
        <v>9274</v>
      </c>
      <c r="H64" s="54" t="s">
        <v>9275</v>
      </c>
    </row>
    <row r="65" spans="1:8" x14ac:dyDescent="0.35">
      <c r="A65" s="50" t="s">
        <v>7924</v>
      </c>
      <c r="B65" s="52" t="s">
        <v>7923</v>
      </c>
      <c r="C65" s="59" t="s">
        <v>9265</v>
      </c>
      <c r="E65" s="57" t="s">
        <v>9266</v>
      </c>
      <c r="F65" s="57" t="s">
        <v>9276</v>
      </c>
      <c r="G65" t="s">
        <v>9277</v>
      </c>
      <c r="H65" s="54" t="s">
        <v>9278</v>
      </c>
    </row>
    <row r="66" spans="1:8" x14ac:dyDescent="0.35">
      <c r="A66" s="50" t="s">
        <v>8649</v>
      </c>
      <c r="B66" s="52" t="s">
        <v>8648</v>
      </c>
      <c r="C66" s="59" t="s">
        <v>8986</v>
      </c>
      <c r="E66" s="57" t="s">
        <v>8987</v>
      </c>
      <c r="F66" s="57" t="s">
        <v>8988</v>
      </c>
      <c r="G66" t="s">
        <v>8989</v>
      </c>
      <c r="H66" s="54" t="s">
        <v>8990</v>
      </c>
    </row>
    <row r="67" spans="1:8" x14ac:dyDescent="0.35">
      <c r="A67" s="50" t="s">
        <v>8649</v>
      </c>
      <c r="B67" s="52" t="s">
        <v>8648</v>
      </c>
      <c r="C67" s="59" t="s">
        <v>8986</v>
      </c>
      <c r="E67" s="57" t="s">
        <v>8987</v>
      </c>
      <c r="F67" s="57" t="s">
        <v>8991</v>
      </c>
      <c r="G67" t="s">
        <v>8992</v>
      </c>
      <c r="H67" s="54" t="s">
        <v>8993</v>
      </c>
    </row>
    <row r="68" spans="1:8" x14ac:dyDescent="0.35">
      <c r="A68" s="51" t="s">
        <v>8649</v>
      </c>
      <c r="B68" s="52" t="s">
        <v>8648</v>
      </c>
      <c r="C68" s="59" t="s">
        <v>8986</v>
      </c>
      <c r="E68" s="57" t="s">
        <v>8987</v>
      </c>
      <c r="F68" s="57" t="s">
        <v>8994</v>
      </c>
      <c r="G68" t="s">
        <v>8995</v>
      </c>
      <c r="H68" s="54" t="s">
        <v>8996</v>
      </c>
    </row>
    <row r="69" spans="1:8" x14ac:dyDescent="0.35">
      <c r="A69" s="50" t="s">
        <v>8649</v>
      </c>
      <c r="B69" s="52" t="s">
        <v>8648</v>
      </c>
      <c r="C69" s="59" t="s">
        <v>8986</v>
      </c>
      <c r="E69" s="57" t="s">
        <v>8987</v>
      </c>
      <c r="F69" s="57" t="s">
        <v>8997</v>
      </c>
      <c r="G69" t="s">
        <v>8998</v>
      </c>
      <c r="H69" s="54" t="s">
        <v>8999</v>
      </c>
    </row>
    <row r="70" spans="1:8" x14ac:dyDescent="0.35">
      <c r="A70" s="50" t="s">
        <v>8649</v>
      </c>
      <c r="B70" s="52" t="s">
        <v>8648</v>
      </c>
      <c r="C70" s="59" t="s">
        <v>8986</v>
      </c>
      <c r="E70" s="57" t="s">
        <v>8987</v>
      </c>
      <c r="F70" s="57" t="s">
        <v>9000</v>
      </c>
      <c r="G70" s="8" t="s">
        <v>9001</v>
      </c>
      <c r="H70" s="54" t="s">
        <v>9002</v>
      </c>
    </row>
    <row r="71" spans="1:8" x14ac:dyDescent="0.35">
      <c r="A71" s="50" t="s">
        <v>8649</v>
      </c>
      <c r="B71" s="52" t="s">
        <v>8648</v>
      </c>
      <c r="C71" s="59" t="s">
        <v>8986</v>
      </c>
      <c r="E71" s="57" t="s">
        <v>8987</v>
      </c>
      <c r="F71" s="57" t="s">
        <v>9003</v>
      </c>
      <c r="G71" s="8" t="s">
        <v>9005</v>
      </c>
      <c r="H71" s="54" t="s">
        <v>9004</v>
      </c>
    </row>
    <row r="72" spans="1:8" x14ac:dyDescent="0.35">
      <c r="A72" s="50" t="s">
        <v>8645</v>
      </c>
      <c r="B72" s="52" t="s">
        <v>8644</v>
      </c>
      <c r="C72" s="59" t="s">
        <v>8986</v>
      </c>
      <c r="E72" s="57" t="s">
        <v>8987</v>
      </c>
      <c r="F72" s="57" t="s">
        <v>8988</v>
      </c>
      <c r="G72" t="s">
        <v>9006</v>
      </c>
      <c r="H72" s="54" t="s">
        <v>9007</v>
      </c>
    </row>
    <row r="73" spans="1:8" x14ac:dyDescent="0.35">
      <c r="A73" s="50" t="s">
        <v>8645</v>
      </c>
      <c r="B73" s="52" t="s">
        <v>8644</v>
      </c>
      <c r="C73" s="59" t="s">
        <v>8986</v>
      </c>
      <c r="E73" s="57" t="s">
        <v>8987</v>
      </c>
      <c r="F73" s="57" t="s">
        <v>8991</v>
      </c>
      <c r="G73" t="s">
        <v>8992</v>
      </c>
      <c r="H73" s="54" t="s">
        <v>9008</v>
      </c>
    </row>
    <row r="74" spans="1:8" x14ac:dyDescent="0.35">
      <c r="A74" s="50" t="s">
        <v>8645</v>
      </c>
      <c r="B74" s="52" t="s">
        <v>8644</v>
      </c>
      <c r="C74" s="59" t="s">
        <v>8986</v>
      </c>
      <c r="E74" s="57" t="s">
        <v>8987</v>
      </c>
      <c r="F74" s="57" t="s">
        <v>8994</v>
      </c>
      <c r="G74" t="s">
        <v>9009</v>
      </c>
      <c r="H74" s="54" t="s">
        <v>8996</v>
      </c>
    </row>
    <row r="75" spans="1:8" x14ac:dyDescent="0.35">
      <c r="A75" s="50" t="s">
        <v>8645</v>
      </c>
      <c r="B75" s="52" t="s">
        <v>8644</v>
      </c>
      <c r="C75" s="59" t="s">
        <v>8986</v>
      </c>
      <c r="E75" s="57" t="s">
        <v>8987</v>
      </c>
      <c r="F75" s="57" t="s">
        <v>8997</v>
      </c>
      <c r="G75" t="s">
        <v>9010</v>
      </c>
      <c r="H75" s="54" t="s">
        <v>8999</v>
      </c>
    </row>
    <row r="76" spans="1:8" x14ac:dyDescent="0.35">
      <c r="A76" s="50" t="s">
        <v>8645</v>
      </c>
      <c r="B76" s="52" t="s">
        <v>8644</v>
      </c>
      <c r="C76" s="59" t="s">
        <v>8986</v>
      </c>
      <c r="E76" s="57" t="s">
        <v>8987</v>
      </c>
      <c r="F76" s="57" t="s">
        <v>9000</v>
      </c>
      <c r="G76" t="s">
        <v>9011</v>
      </c>
      <c r="H76" s="54" t="s">
        <v>9002</v>
      </c>
    </row>
    <row r="77" spans="1:8" x14ac:dyDescent="0.35">
      <c r="A77" s="50" t="s">
        <v>8645</v>
      </c>
      <c r="B77" s="52" t="s">
        <v>8644</v>
      </c>
      <c r="C77" s="59" t="s">
        <v>8986</v>
      </c>
      <c r="E77" s="57" t="s">
        <v>8987</v>
      </c>
      <c r="F77" s="57" t="s">
        <v>9003</v>
      </c>
      <c r="G77" t="s">
        <v>9005</v>
      </c>
      <c r="H77" s="54" t="s">
        <v>9004</v>
      </c>
    </row>
    <row r="78" spans="1:8" x14ac:dyDescent="0.35">
      <c r="A78" s="50" t="s">
        <v>8217</v>
      </c>
      <c r="B78" s="52" t="s">
        <v>8216</v>
      </c>
      <c r="C78" s="59" t="s">
        <v>9127</v>
      </c>
      <c r="E78" s="57" t="s">
        <v>9128</v>
      </c>
      <c r="F78" s="57" t="s">
        <v>9129</v>
      </c>
      <c r="G78" t="s">
        <v>3489</v>
      </c>
      <c r="H78" s="54" t="s">
        <v>9130</v>
      </c>
    </row>
    <row r="79" spans="1:8" x14ac:dyDescent="0.35">
      <c r="A79" s="50" t="s">
        <v>8217</v>
      </c>
      <c r="B79" s="52" t="s">
        <v>8216</v>
      </c>
      <c r="C79" s="59" t="s">
        <v>9127</v>
      </c>
      <c r="E79" s="57" t="s">
        <v>9128</v>
      </c>
      <c r="F79" s="57" t="s">
        <v>9131</v>
      </c>
      <c r="G79" t="s">
        <v>3490</v>
      </c>
      <c r="H79" s="54" t="s">
        <v>3846</v>
      </c>
    </row>
    <row r="80" spans="1:8" x14ac:dyDescent="0.35">
      <c r="A80" s="50" t="s">
        <v>5721</v>
      </c>
      <c r="B80" s="52" t="s">
        <v>5720</v>
      </c>
      <c r="C80" s="59" t="s">
        <v>10115</v>
      </c>
      <c r="E80" s="57" t="s">
        <v>10116</v>
      </c>
      <c r="F80" s="57" t="s">
        <v>10117</v>
      </c>
      <c r="G80" t="s">
        <v>10118</v>
      </c>
      <c r="H80" s="54" t="s">
        <v>10119</v>
      </c>
    </row>
    <row r="81" spans="1:8" x14ac:dyDescent="0.35">
      <c r="A81" s="50" t="s">
        <v>5721</v>
      </c>
      <c r="B81" s="52" t="s">
        <v>5720</v>
      </c>
      <c r="C81" s="59" t="s">
        <v>10115</v>
      </c>
      <c r="E81" s="57" t="s">
        <v>10116</v>
      </c>
      <c r="F81" s="57" t="s">
        <v>10120</v>
      </c>
      <c r="G81" t="s">
        <v>10121</v>
      </c>
      <c r="H81" s="54" t="s">
        <v>10122</v>
      </c>
    </row>
    <row r="82" spans="1:8" x14ac:dyDescent="0.35">
      <c r="A82" s="50" t="s">
        <v>5122</v>
      </c>
      <c r="B82" s="52" t="s">
        <v>5121</v>
      </c>
      <c r="C82" s="59" t="s">
        <v>10461</v>
      </c>
    </row>
    <row r="83" spans="1:8" x14ac:dyDescent="0.35">
      <c r="A83" s="50" t="s">
        <v>6751</v>
      </c>
      <c r="B83" s="52" t="s">
        <v>6750</v>
      </c>
      <c r="C83" s="59" t="s">
        <v>9773</v>
      </c>
      <c r="E83" s="57" t="s">
        <v>9774</v>
      </c>
      <c r="F83" s="57" t="s">
        <v>9775</v>
      </c>
      <c r="G83" t="s">
        <v>9776</v>
      </c>
      <c r="H83" s="54" t="s">
        <v>9777</v>
      </c>
    </row>
    <row r="84" spans="1:8" x14ac:dyDescent="0.35">
      <c r="A84" s="50" t="s">
        <v>8821</v>
      </c>
      <c r="B84" s="52" t="s">
        <v>8820</v>
      </c>
      <c r="C84" s="59" t="s">
        <v>8888</v>
      </c>
      <c r="E84" s="57" t="s">
        <v>8919</v>
      </c>
      <c r="F84" s="57" t="s">
        <v>8889</v>
      </c>
      <c r="G84" s="8" t="s">
        <v>8918</v>
      </c>
      <c r="H84" s="54" t="s">
        <v>8917</v>
      </c>
    </row>
    <row r="85" spans="1:8" x14ac:dyDescent="0.35">
      <c r="A85" s="50" t="s">
        <v>8832</v>
      </c>
      <c r="B85" s="52" t="s">
        <v>8831</v>
      </c>
      <c r="C85" s="59" t="s">
        <v>8880</v>
      </c>
      <c r="E85" s="57"/>
    </row>
    <row r="86" spans="1:8" x14ac:dyDescent="0.35">
      <c r="A86" s="50" t="s">
        <v>7865</v>
      </c>
      <c r="B86" s="52" t="s">
        <v>7864</v>
      </c>
      <c r="C86" s="59" t="s">
        <v>9305</v>
      </c>
      <c r="E86" s="57" t="s">
        <v>9306</v>
      </c>
      <c r="F86" s="57" t="s">
        <v>9307</v>
      </c>
      <c r="G86" t="s">
        <v>3493</v>
      </c>
      <c r="H86" s="54" t="s">
        <v>3849</v>
      </c>
    </row>
    <row r="87" spans="1:8" x14ac:dyDescent="0.35">
      <c r="A87" s="50" t="s">
        <v>7865</v>
      </c>
      <c r="B87" s="52" t="s">
        <v>7864</v>
      </c>
      <c r="C87" s="59" t="s">
        <v>9305</v>
      </c>
      <c r="E87" s="57" t="s">
        <v>9306</v>
      </c>
      <c r="F87" s="57" t="s">
        <v>9308</v>
      </c>
      <c r="G87" t="s">
        <v>3494</v>
      </c>
      <c r="H87" s="54" t="s">
        <v>9309</v>
      </c>
    </row>
    <row r="88" spans="1:8" x14ac:dyDescent="0.35">
      <c r="A88" s="50" t="s">
        <v>4307</v>
      </c>
      <c r="B88" s="52" t="s">
        <v>4306</v>
      </c>
      <c r="C88" s="59" t="s">
        <v>10762</v>
      </c>
      <c r="E88" s="57" t="s">
        <v>10763</v>
      </c>
      <c r="F88" s="57" t="s">
        <v>10764</v>
      </c>
      <c r="G88" t="s">
        <v>3499</v>
      </c>
      <c r="H88" s="54" t="s">
        <v>3855</v>
      </c>
    </row>
    <row r="89" spans="1:8" x14ac:dyDescent="0.35">
      <c r="A89" s="50" t="s">
        <v>4307</v>
      </c>
      <c r="B89" s="52" t="s">
        <v>4306</v>
      </c>
      <c r="C89" s="59" t="s">
        <v>10762</v>
      </c>
      <c r="E89" s="57" t="s">
        <v>10763</v>
      </c>
      <c r="F89" s="57" t="s">
        <v>10765</v>
      </c>
      <c r="G89" s="8" t="s">
        <v>3495</v>
      </c>
      <c r="H89" s="54" t="s">
        <v>3851</v>
      </c>
    </row>
    <row r="90" spans="1:8" x14ac:dyDescent="0.35">
      <c r="A90" s="50" t="s">
        <v>4307</v>
      </c>
      <c r="B90" s="52" t="s">
        <v>4306</v>
      </c>
      <c r="C90" s="59" t="s">
        <v>10762</v>
      </c>
      <c r="E90" s="57" t="s">
        <v>10763</v>
      </c>
      <c r="F90" s="57" t="s">
        <v>10766</v>
      </c>
      <c r="G90" t="s">
        <v>3498</v>
      </c>
      <c r="H90" s="54" t="s">
        <v>3854</v>
      </c>
    </row>
    <row r="91" spans="1:8" x14ac:dyDescent="0.35">
      <c r="A91" s="50" t="s">
        <v>4307</v>
      </c>
      <c r="B91" s="52" t="s">
        <v>4306</v>
      </c>
      <c r="C91" s="59" t="s">
        <v>10762</v>
      </c>
      <c r="E91" s="57" t="s">
        <v>10763</v>
      </c>
      <c r="F91" s="57" t="s">
        <v>10767</v>
      </c>
      <c r="G91" t="s">
        <v>3496</v>
      </c>
      <c r="H91" s="54" t="s">
        <v>3852</v>
      </c>
    </row>
    <row r="92" spans="1:8" x14ac:dyDescent="0.35">
      <c r="A92" s="50" t="s">
        <v>4307</v>
      </c>
      <c r="B92" s="52" t="s">
        <v>4306</v>
      </c>
      <c r="C92" s="59" t="s">
        <v>10762</v>
      </c>
      <c r="E92" s="57" t="s">
        <v>10763</v>
      </c>
      <c r="F92" s="57" t="s">
        <v>10768</v>
      </c>
      <c r="G92" t="s">
        <v>3497</v>
      </c>
      <c r="H92" s="54" t="s">
        <v>3853</v>
      </c>
    </row>
    <row r="93" spans="1:8" x14ac:dyDescent="0.35">
      <c r="A93" s="50" t="s">
        <v>4307</v>
      </c>
      <c r="B93" s="52" t="s">
        <v>4306</v>
      </c>
      <c r="C93" s="59" t="s">
        <v>10762</v>
      </c>
      <c r="E93" s="57" t="s">
        <v>10763</v>
      </c>
      <c r="F93" s="57" t="s">
        <v>10769</v>
      </c>
      <c r="G93" s="8" t="s">
        <v>3501</v>
      </c>
      <c r="H93" s="54" t="s">
        <v>3857</v>
      </c>
    </row>
    <row r="94" spans="1:8" x14ac:dyDescent="0.35">
      <c r="A94" s="50" t="s">
        <v>4307</v>
      </c>
      <c r="B94" s="52" t="s">
        <v>4306</v>
      </c>
      <c r="C94" s="59" t="s">
        <v>10762</v>
      </c>
      <c r="E94" s="57" t="s">
        <v>10763</v>
      </c>
      <c r="F94" s="57" t="s">
        <v>10770</v>
      </c>
      <c r="G94" t="s">
        <v>3500</v>
      </c>
      <c r="H94" s="54" t="s">
        <v>3856</v>
      </c>
    </row>
    <row r="95" spans="1:8" x14ac:dyDescent="0.35">
      <c r="A95" s="50" t="s">
        <v>4307</v>
      </c>
      <c r="B95" s="52" t="s">
        <v>4306</v>
      </c>
      <c r="C95" s="59" t="s">
        <v>10762</v>
      </c>
      <c r="E95" s="57" t="s">
        <v>10763</v>
      </c>
      <c r="F95" s="57" t="s">
        <v>10771</v>
      </c>
      <c r="G95" t="s">
        <v>3502</v>
      </c>
      <c r="H95" s="54" t="s">
        <v>3858</v>
      </c>
    </row>
    <row r="96" spans="1:8" x14ac:dyDescent="0.35">
      <c r="A96" s="50" t="s">
        <v>4303</v>
      </c>
      <c r="B96" s="52" t="s">
        <v>4302</v>
      </c>
      <c r="C96" s="59" t="s">
        <v>10762</v>
      </c>
      <c r="E96" s="57" t="s">
        <v>10763</v>
      </c>
      <c r="F96" s="57" t="s">
        <v>10764</v>
      </c>
      <c r="G96" t="s">
        <v>3499</v>
      </c>
      <c r="H96" s="54" t="s">
        <v>3855</v>
      </c>
    </row>
    <row r="97" spans="1:8" x14ac:dyDescent="0.35">
      <c r="A97" s="50" t="s">
        <v>4303</v>
      </c>
      <c r="B97" s="52" t="s">
        <v>4302</v>
      </c>
      <c r="C97" s="59" t="s">
        <v>10762</v>
      </c>
      <c r="E97" s="57" t="s">
        <v>10763</v>
      </c>
      <c r="F97" s="57" t="s">
        <v>10765</v>
      </c>
      <c r="G97" s="8" t="s">
        <v>3495</v>
      </c>
      <c r="H97" s="54" t="s">
        <v>3851</v>
      </c>
    </row>
    <row r="98" spans="1:8" x14ac:dyDescent="0.35">
      <c r="A98" s="50" t="s">
        <v>4303</v>
      </c>
      <c r="B98" s="52" t="s">
        <v>4302</v>
      </c>
      <c r="C98" s="59" t="s">
        <v>10762</v>
      </c>
      <c r="E98" s="57" t="s">
        <v>10763</v>
      </c>
      <c r="F98" s="57" t="s">
        <v>10766</v>
      </c>
      <c r="G98" t="s">
        <v>3498</v>
      </c>
      <c r="H98" s="54" t="s">
        <v>3854</v>
      </c>
    </row>
    <row r="99" spans="1:8" x14ac:dyDescent="0.35">
      <c r="A99" s="50" t="s">
        <v>4303</v>
      </c>
      <c r="B99" s="52" t="s">
        <v>4302</v>
      </c>
      <c r="C99" s="59" t="s">
        <v>10762</v>
      </c>
      <c r="E99" s="57" t="s">
        <v>10763</v>
      </c>
      <c r="F99" s="57" t="s">
        <v>10767</v>
      </c>
      <c r="G99" t="s">
        <v>3496</v>
      </c>
      <c r="H99" s="54" t="s">
        <v>3852</v>
      </c>
    </row>
    <row r="100" spans="1:8" x14ac:dyDescent="0.35">
      <c r="A100" s="50" t="s">
        <v>4303</v>
      </c>
      <c r="B100" s="52" t="s">
        <v>4302</v>
      </c>
      <c r="C100" s="59" t="s">
        <v>10762</v>
      </c>
      <c r="E100" s="57" t="s">
        <v>10763</v>
      </c>
      <c r="F100" s="57" t="s">
        <v>10768</v>
      </c>
      <c r="G100" t="s">
        <v>3497</v>
      </c>
      <c r="H100" s="54" t="s">
        <v>3853</v>
      </c>
    </row>
    <row r="101" spans="1:8" x14ac:dyDescent="0.35">
      <c r="A101" s="50" t="s">
        <v>4303</v>
      </c>
      <c r="B101" s="52" t="s">
        <v>4302</v>
      </c>
      <c r="C101" s="59" t="s">
        <v>10762</v>
      </c>
      <c r="E101" s="57" t="s">
        <v>10763</v>
      </c>
      <c r="F101" s="57" t="s">
        <v>10769</v>
      </c>
      <c r="G101" s="8" t="s">
        <v>3501</v>
      </c>
      <c r="H101" s="54" t="s">
        <v>3857</v>
      </c>
    </row>
    <row r="102" spans="1:8" x14ac:dyDescent="0.35">
      <c r="A102" s="50" t="s">
        <v>4303</v>
      </c>
      <c r="B102" s="52" t="s">
        <v>4302</v>
      </c>
      <c r="C102" s="59" t="s">
        <v>10762</v>
      </c>
      <c r="E102" s="57" t="s">
        <v>10763</v>
      </c>
      <c r="F102" s="57" t="s">
        <v>10770</v>
      </c>
      <c r="G102" t="s">
        <v>3500</v>
      </c>
      <c r="H102" s="54" t="s">
        <v>3856</v>
      </c>
    </row>
    <row r="103" spans="1:8" x14ac:dyDescent="0.35">
      <c r="A103" s="50" t="s">
        <v>4303</v>
      </c>
      <c r="B103" s="52" t="s">
        <v>4302</v>
      </c>
      <c r="C103" s="59" t="s">
        <v>10762</v>
      </c>
      <c r="E103" s="57" t="s">
        <v>10763</v>
      </c>
      <c r="F103" s="57" t="s">
        <v>10771</v>
      </c>
      <c r="G103" t="s">
        <v>3502</v>
      </c>
      <c r="H103" s="54" t="s">
        <v>3858</v>
      </c>
    </row>
    <row r="104" spans="1:8" x14ac:dyDescent="0.35">
      <c r="A104" s="50" t="s">
        <v>5321</v>
      </c>
      <c r="B104" s="52" t="s">
        <v>5320</v>
      </c>
      <c r="C104" s="59" t="s">
        <v>10301</v>
      </c>
      <c r="E104" s="57" t="s">
        <v>10304</v>
      </c>
      <c r="F104" s="57" t="s">
        <v>10305</v>
      </c>
      <c r="G104" t="s">
        <v>3507</v>
      </c>
      <c r="H104" s="54" t="s">
        <v>3863</v>
      </c>
    </row>
    <row r="105" spans="1:8" x14ac:dyDescent="0.35">
      <c r="A105" s="50" t="s">
        <v>5321</v>
      </c>
      <c r="B105" s="52" t="s">
        <v>5320</v>
      </c>
      <c r="C105" s="59" t="s">
        <v>10301</v>
      </c>
      <c r="E105" s="57" t="s">
        <v>10304</v>
      </c>
      <c r="F105" s="57" t="s">
        <v>10306</v>
      </c>
      <c r="G105" t="s">
        <v>3503</v>
      </c>
      <c r="H105" s="54" t="s">
        <v>3859</v>
      </c>
    </row>
    <row r="106" spans="1:8" x14ac:dyDescent="0.35">
      <c r="A106" s="50" t="s">
        <v>5321</v>
      </c>
      <c r="B106" s="52" t="s">
        <v>5320</v>
      </c>
      <c r="C106" s="59" t="s">
        <v>10301</v>
      </c>
      <c r="E106" s="57" t="s">
        <v>10304</v>
      </c>
      <c r="F106" s="57" t="s">
        <v>10307</v>
      </c>
      <c r="G106" s="8" t="s">
        <v>3504</v>
      </c>
      <c r="H106" s="54" t="s">
        <v>3860</v>
      </c>
    </row>
    <row r="107" spans="1:8" x14ac:dyDescent="0.35">
      <c r="A107" s="50" t="s">
        <v>5321</v>
      </c>
      <c r="B107" s="52" t="s">
        <v>5320</v>
      </c>
      <c r="C107" s="59" t="s">
        <v>10301</v>
      </c>
      <c r="E107" s="57" t="s">
        <v>10304</v>
      </c>
      <c r="F107" s="57" t="s">
        <v>10308</v>
      </c>
      <c r="G107" t="s">
        <v>3505</v>
      </c>
      <c r="H107" s="54" t="s">
        <v>3861</v>
      </c>
    </row>
    <row r="108" spans="1:8" x14ac:dyDescent="0.35">
      <c r="A108" s="50" t="s">
        <v>5321</v>
      </c>
      <c r="B108" s="52" t="s">
        <v>5320</v>
      </c>
      <c r="C108" s="59" t="s">
        <v>10301</v>
      </c>
      <c r="E108" s="57" t="s">
        <v>10304</v>
      </c>
      <c r="F108" s="57" t="s">
        <v>10309</v>
      </c>
      <c r="G108" t="s">
        <v>3506</v>
      </c>
      <c r="H108" s="54" t="s">
        <v>3862</v>
      </c>
    </row>
    <row r="109" spans="1:8" x14ac:dyDescent="0.35">
      <c r="A109" s="50" t="s">
        <v>7478</v>
      </c>
      <c r="B109" s="52" t="s">
        <v>7477</v>
      </c>
      <c r="C109" s="59" t="s">
        <v>9466</v>
      </c>
      <c r="E109" s="57" t="s">
        <v>9467</v>
      </c>
      <c r="F109" s="57" t="s">
        <v>9468</v>
      </c>
      <c r="G109" t="s">
        <v>9469</v>
      </c>
      <c r="H109" s="54" t="s">
        <v>9470</v>
      </c>
    </row>
    <row r="110" spans="1:8" x14ac:dyDescent="0.35">
      <c r="A110" s="50" t="s">
        <v>5943</v>
      </c>
      <c r="B110" s="52" t="s">
        <v>5942</v>
      </c>
      <c r="C110" s="59" t="s">
        <v>10061</v>
      </c>
      <c r="E110" s="57" t="s">
        <v>10062</v>
      </c>
      <c r="F110" s="57" t="s">
        <v>10063</v>
      </c>
      <c r="G110" t="s">
        <v>10065</v>
      </c>
      <c r="H110" s="54" t="s">
        <v>10066</v>
      </c>
    </row>
    <row r="111" spans="1:8" x14ac:dyDescent="0.35">
      <c r="A111" s="50" t="s">
        <v>5943</v>
      </c>
      <c r="B111" s="52" t="s">
        <v>5942</v>
      </c>
      <c r="C111" s="59" t="s">
        <v>10061</v>
      </c>
      <c r="E111" s="57" t="s">
        <v>10062</v>
      </c>
      <c r="F111" s="57" t="s">
        <v>10067</v>
      </c>
      <c r="G111" s="8" t="s">
        <v>10068</v>
      </c>
      <c r="H111" s="54" t="s">
        <v>10065</v>
      </c>
    </row>
    <row r="112" spans="1:8" x14ac:dyDescent="0.35">
      <c r="A112" s="50" t="s">
        <v>7687</v>
      </c>
      <c r="B112" s="52" t="s">
        <v>7686</v>
      </c>
      <c r="C112" s="59" t="s">
        <v>9415</v>
      </c>
    </row>
    <row r="113" spans="1:8" x14ac:dyDescent="0.35">
      <c r="A113" s="50" t="s">
        <v>4929</v>
      </c>
      <c r="B113" s="52" t="s">
        <v>4928</v>
      </c>
      <c r="C113" s="59" t="s">
        <v>10563</v>
      </c>
      <c r="E113" s="57" t="s">
        <v>10564</v>
      </c>
      <c r="F113" s="57" t="s">
        <v>10565</v>
      </c>
      <c r="G113" s="8" t="s">
        <v>3508</v>
      </c>
      <c r="H113" s="54" t="s">
        <v>3864</v>
      </c>
    </row>
    <row r="114" spans="1:8" x14ac:dyDescent="0.35">
      <c r="A114" s="50" t="s">
        <v>4929</v>
      </c>
      <c r="B114" s="52" t="s">
        <v>4928</v>
      </c>
      <c r="C114" s="59" t="s">
        <v>10563</v>
      </c>
      <c r="E114" s="57" t="s">
        <v>10564</v>
      </c>
      <c r="F114" s="57" t="s">
        <v>10566</v>
      </c>
      <c r="G114" s="8" t="s">
        <v>3509</v>
      </c>
      <c r="H114" s="54" t="s">
        <v>3865</v>
      </c>
    </row>
    <row r="115" spans="1:8" x14ac:dyDescent="0.35">
      <c r="A115" s="50" t="s">
        <v>8553</v>
      </c>
      <c r="B115" s="52" t="s">
        <v>8552</v>
      </c>
      <c r="C115" s="59" t="s">
        <v>9038</v>
      </c>
      <c r="E115" s="57" t="s">
        <v>9039</v>
      </c>
      <c r="F115" s="57" t="s">
        <v>9040</v>
      </c>
      <c r="G115" t="s">
        <v>9041</v>
      </c>
      <c r="H115" s="54" t="s">
        <v>9042</v>
      </c>
    </row>
    <row r="116" spans="1:8" x14ac:dyDescent="0.35">
      <c r="A116" s="50" t="s">
        <v>7421</v>
      </c>
      <c r="B116" s="52" t="s">
        <v>7420</v>
      </c>
      <c r="C116" s="59" t="s">
        <v>9481</v>
      </c>
      <c r="E116" s="57" t="s">
        <v>9482</v>
      </c>
      <c r="F116" s="57" t="s">
        <v>9483</v>
      </c>
      <c r="G116" t="s">
        <v>9484</v>
      </c>
      <c r="H116" s="54" t="s">
        <v>9485</v>
      </c>
    </row>
    <row r="117" spans="1:8" x14ac:dyDescent="0.35">
      <c r="A117" s="50" t="s">
        <v>7323</v>
      </c>
      <c r="B117" s="52" t="s">
        <v>7322</v>
      </c>
      <c r="C117" s="59" t="s">
        <v>9541</v>
      </c>
      <c r="E117" s="57" t="s">
        <v>9542</v>
      </c>
      <c r="F117" s="57" t="s">
        <v>9543</v>
      </c>
      <c r="G117" s="8" t="s">
        <v>9544</v>
      </c>
      <c r="H117" s="54" t="s">
        <v>9545</v>
      </c>
    </row>
    <row r="118" spans="1:8" x14ac:dyDescent="0.35">
      <c r="A118" s="50" t="s">
        <v>6004</v>
      </c>
      <c r="B118" s="52" t="s">
        <v>6003</v>
      </c>
      <c r="C118" s="59" t="s">
        <v>10029</v>
      </c>
    </row>
    <row r="119" spans="1:8" x14ac:dyDescent="0.35">
      <c r="A119" s="50" t="s">
        <v>5631</v>
      </c>
      <c r="B119" s="52" t="s">
        <v>5630</v>
      </c>
      <c r="C119" s="59" t="s">
        <v>10029</v>
      </c>
    </row>
    <row r="120" spans="1:8" x14ac:dyDescent="0.35">
      <c r="A120" s="50" t="s">
        <v>6698</v>
      </c>
      <c r="B120" s="52" t="s">
        <v>6697</v>
      </c>
      <c r="C120" s="59" t="s">
        <v>9825</v>
      </c>
      <c r="E120" s="57" t="s">
        <v>9826</v>
      </c>
      <c r="F120" s="57" t="s">
        <v>9827</v>
      </c>
      <c r="G120" s="8" t="s">
        <v>3512</v>
      </c>
      <c r="H120" s="54" t="s">
        <v>3868</v>
      </c>
    </row>
    <row r="121" spans="1:8" x14ac:dyDescent="0.35">
      <c r="A121" s="50" t="s">
        <v>4854</v>
      </c>
      <c r="B121" s="52" t="s">
        <v>4853</v>
      </c>
      <c r="C121" s="59" t="s">
        <v>10572</v>
      </c>
      <c r="E121" s="57" t="s">
        <v>10573</v>
      </c>
      <c r="F121" s="57" t="s">
        <v>10574</v>
      </c>
      <c r="G121" t="s">
        <v>3514</v>
      </c>
      <c r="H121" s="54" t="s">
        <v>3870</v>
      </c>
    </row>
    <row r="122" spans="1:8" x14ac:dyDescent="0.35">
      <c r="A122" s="50" t="s">
        <v>4854</v>
      </c>
      <c r="B122" s="52" t="s">
        <v>4853</v>
      </c>
      <c r="C122" s="59" t="s">
        <v>10572</v>
      </c>
      <c r="E122" s="57" t="s">
        <v>10573</v>
      </c>
      <c r="F122" s="57" t="s">
        <v>10575</v>
      </c>
      <c r="G122" t="s">
        <v>3513</v>
      </c>
      <c r="H122" s="54" t="s">
        <v>3869</v>
      </c>
    </row>
    <row r="123" spans="1:8" x14ac:dyDescent="0.35">
      <c r="A123" s="50" t="s">
        <v>7910</v>
      </c>
      <c r="B123" s="52" t="s">
        <v>7909</v>
      </c>
      <c r="C123" s="59" t="s">
        <v>9279</v>
      </c>
      <c r="E123" s="57" t="s">
        <v>9280</v>
      </c>
      <c r="F123" s="57" t="s">
        <v>9281</v>
      </c>
      <c r="G123" t="s">
        <v>9282</v>
      </c>
      <c r="H123" s="54" t="s">
        <v>9283</v>
      </c>
    </row>
    <row r="124" spans="1:8" x14ac:dyDescent="0.35">
      <c r="A124" s="50" t="s">
        <v>6773</v>
      </c>
      <c r="B124" s="52" t="s">
        <v>6772</v>
      </c>
      <c r="C124" s="59" t="s">
        <v>9761</v>
      </c>
      <c r="E124" s="57" t="s">
        <v>9762</v>
      </c>
      <c r="F124" s="57" t="s">
        <v>9763</v>
      </c>
      <c r="G124" t="s">
        <v>9764</v>
      </c>
      <c r="H124" s="54" t="s">
        <v>9765</v>
      </c>
    </row>
    <row r="125" spans="1:8" x14ac:dyDescent="0.35">
      <c r="A125" s="50" t="s">
        <v>6773</v>
      </c>
      <c r="B125" s="52" t="s">
        <v>6772</v>
      </c>
      <c r="C125" s="59" t="s">
        <v>9761</v>
      </c>
      <c r="E125" s="57" t="s">
        <v>9762</v>
      </c>
      <c r="F125" s="57" t="s">
        <v>8885</v>
      </c>
      <c r="G125" t="s">
        <v>8886</v>
      </c>
      <c r="H125" s="54" t="s">
        <v>8887</v>
      </c>
    </row>
    <row r="126" spans="1:8" x14ac:dyDescent="0.35">
      <c r="A126" s="50" t="s">
        <v>6773</v>
      </c>
      <c r="B126" s="52" t="s">
        <v>6772</v>
      </c>
      <c r="C126" s="59" t="s">
        <v>9761</v>
      </c>
      <c r="E126" s="57" t="s">
        <v>9762</v>
      </c>
      <c r="F126" s="57" t="s">
        <v>9384</v>
      </c>
      <c r="G126" s="8" t="s">
        <v>3738</v>
      </c>
      <c r="H126" s="54" t="s">
        <v>4087</v>
      </c>
    </row>
    <row r="127" spans="1:8" x14ac:dyDescent="0.35">
      <c r="A127" s="50" t="s">
        <v>8845</v>
      </c>
      <c r="B127" s="52" t="s">
        <v>8844</v>
      </c>
      <c r="C127" s="59" t="s">
        <v>8879</v>
      </c>
      <c r="E127" s="57" t="s">
        <v>8906</v>
      </c>
      <c r="F127" s="57" t="s">
        <v>8885</v>
      </c>
      <c r="G127" t="s">
        <v>8886</v>
      </c>
      <c r="H127" s="54" t="s">
        <v>8887</v>
      </c>
    </row>
    <row r="128" spans="1:8" x14ac:dyDescent="0.35">
      <c r="A128" s="50" t="s">
        <v>8845</v>
      </c>
      <c r="B128" s="52" t="s">
        <v>8844</v>
      </c>
      <c r="C128" s="59" t="s">
        <v>8879</v>
      </c>
      <c r="E128" s="57" t="s">
        <v>8906</v>
      </c>
      <c r="F128" s="57" t="s">
        <v>8907</v>
      </c>
      <c r="G128" t="s">
        <v>8908</v>
      </c>
      <c r="H128" s="54" t="s">
        <v>8909</v>
      </c>
    </row>
    <row r="129" spans="1:8" x14ac:dyDescent="0.35">
      <c r="A129" s="50" t="s">
        <v>8845</v>
      </c>
      <c r="B129" s="52" t="s">
        <v>8844</v>
      </c>
      <c r="C129" s="59" t="s">
        <v>8879</v>
      </c>
      <c r="E129" s="57" t="s">
        <v>8906</v>
      </c>
      <c r="F129" s="57" t="s">
        <v>8910</v>
      </c>
      <c r="G129" t="s">
        <v>8911</v>
      </c>
      <c r="H129" s="54" t="s">
        <v>8912</v>
      </c>
    </row>
    <row r="130" spans="1:8" x14ac:dyDescent="0.35">
      <c r="A130" s="50" t="s">
        <v>5978</v>
      </c>
      <c r="B130" s="52" t="s">
        <v>5977</v>
      </c>
      <c r="C130" s="59" t="s">
        <v>10043</v>
      </c>
      <c r="E130" s="57" t="s">
        <v>10044</v>
      </c>
      <c r="F130" s="57" t="s">
        <v>10045</v>
      </c>
      <c r="G130" t="s">
        <v>10046</v>
      </c>
      <c r="H130" s="54" t="s">
        <v>10047</v>
      </c>
    </row>
    <row r="131" spans="1:8" x14ac:dyDescent="0.35">
      <c r="A131" s="50" t="s">
        <v>5978</v>
      </c>
      <c r="B131" s="52" t="s">
        <v>5977</v>
      </c>
      <c r="C131" s="59" t="s">
        <v>10043</v>
      </c>
      <c r="E131" s="57" t="s">
        <v>10044</v>
      </c>
      <c r="F131" s="57" t="s">
        <v>10048</v>
      </c>
      <c r="G131" t="s">
        <v>10049</v>
      </c>
      <c r="H131" s="54" t="s">
        <v>10050</v>
      </c>
    </row>
    <row r="132" spans="1:8" x14ac:dyDescent="0.35">
      <c r="A132" s="50" t="s">
        <v>7050</v>
      </c>
      <c r="B132" s="52" t="s">
        <v>7049</v>
      </c>
      <c r="C132" s="59" t="s">
        <v>9679</v>
      </c>
      <c r="E132" s="57" t="s">
        <v>9680</v>
      </c>
      <c r="F132" s="57" t="s">
        <v>9681</v>
      </c>
      <c r="G132" s="8" t="s">
        <v>9682</v>
      </c>
      <c r="H132" s="54" t="s">
        <v>9683</v>
      </c>
    </row>
    <row r="133" spans="1:8" x14ac:dyDescent="0.35">
      <c r="A133" s="50" t="s">
        <v>7050</v>
      </c>
      <c r="B133" s="52" t="s">
        <v>7049</v>
      </c>
      <c r="C133" s="59" t="s">
        <v>9679</v>
      </c>
      <c r="E133" s="57" t="s">
        <v>9680</v>
      </c>
      <c r="F133" s="57" t="s">
        <v>9684</v>
      </c>
      <c r="G133" t="s">
        <v>9685</v>
      </c>
      <c r="H133" s="54" t="s">
        <v>9686</v>
      </c>
    </row>
    <row r="134" spans="1:8" x14ac:dyDescent="0.35">
      <c r="A134" s="50" t="s">
        <v>7050</v>
      </c>
      <c r="B134" s="52" t="s">
        <v>7049</v>
      </c>
      <c r="C134" s="59" t="s">
        <v>9679</v>
      </c>
      <c r="E134" s="57" t="s">
        <v>9680</v>
      </c>
      <c r="F134" s="57" t="s">
        <v>9687</v>
      </c>
      <c r="G134" t="s">
        <v>9688</v>
      </c>
      <c r="H134" s="54" t="s">
        <v>9689</v>
      </c>
    </row>
    <row r="135" spans="1:8" x14ac:dyDescent="0.35">
      <c r="A135" s="50" t="s">
        <v>7050</v>
      </c>
      <c r="B135" s="52" t="s">
        <v>7049</v>
      </c>
      <c r="C135" s="59" t="s">
        <v>9679</v>
      </c>
      <c r="E135" s="57" t="s">
        <v>9680</v>
      </c>
      <c r="F135" s="57" t="s">
        <v>9690</v>
      </c>
      <c r="G135" t="s">
        <v>9691</v>
      </c>
      <c r="H135" s="54" t="s">
        <v>9692</v>
      </c>
    </row>
    <row r="136" spans="1:8" x14ac:dyDescent="0.35">
      <c r="A136" s="50" t="s">
        <v>6719</v>
      </c>
      <c r="B136" s="52" t="s">
        <v>6718</v>
      </c>
      <c r="C136" s="59" t="s">
        <v>9792</v>
      </c>
      <c r="E136" s="57" t="s">
        <v>9793</v>
      </c>
      <c r="F136" s="57" t="s">
        <v>9794</v>
      </c>
      <c r="G136" t="s">
        <v>9795</v>
      </c>
      <c r="H136" s="54" t="s">
        <v>9796</v>
      </c>
    </row>
    <row r="137" spans="1:8" x14ac:dyDescent="0.35">
      <c r="A137" s="50" t="s">
        <v>6719</v>
      </c>
      <c r="B137" s="52" t="s">
        <v>6718</v>
      </c>
      <c r="C137" s="59" t="s">
        <v>9792</v>
      </c>
      <c r="E137" s="57" t="s">
        <v>9793</v>
      </c>
      <c r="F137" s="57" t="s">
        <v>9797</v>
      </c>
      <c r="G137" s="8" t="s">
        <v>9798</v>
      </c>
      <c r="H137" s="54" t="s">
        <v>9799</v>
      </c>
    </row>
    <row r="138" spans="1:8" x14ac:dyDescent="0.35">
      <c r="A138" s="50" t="s">
        <v>5126</v>
      </c>
      <c r="B138" s="52" t="s">
        <v>5125</v>
      </c>
      <c r="C138" s="59" t="s">
        <v>10449</v>
      </c>
      <c r="E138" s="57" t="s">
        <v>10450</v>
      </c>
      <c r="F138" s="57" t="s">
        <v>10451</v>
      </c>
      <c r="G138" t="s">
        <v>3520</v>
      </c>
      <c r="H138" s="54" t="s">
        <v>3878</v>
      </c>
    </row>
    <row r="139" spans="1:8" x14ac:dyDescent="0.35">
      <c r="A139" s="50" t="s">
        <v>5126</v>
      </c>
      <c r="B139" s="52" t="s">
        <v>5125</v>
      </c>
      <c r="C139" s="59" t="s">
        <v>10449</v>
      </c>
      <c r="E139" s="57" t="s">
        <v>10450</v>
      </c>
      <c r="F139" s="57" t="s">
        <v>10452</v>
      </c>
      <c r="G139" t="s">
        <v>3519</v>
      </c>
      <c r="H139" s="54" t="s">
        <v>3877</v>
      </c>
    </row>
    <row r="140" spans="1:8" x14ac:dyDescent="0.35">
      <c r="A140" s="50" t="s">
        <v>5126</v>
      </c>
      <c r="B140" s="52" t="s">
        <v>5125</v>
      </c>
      <c r="C140" s="59" t="s">
        <v>10449</v>
      </c>
      <c r="E140" s="57" t="s">
        <v>10450</v>
      </c>
      <c r="F140" s="57" t="s">
        <v>10453</v>
      </c>
      <c r="G140" t="s">
        <v>3519</v>
      </c>
      <c r="H140" s="54" t="s">
        <v>3875</v>
      </c>
    </row>
    <row r="141" spans="1:8" x14ac:dyDescent="0.35">
      <c r="A141" s="50" t="s">
        <v>5126</v>
      </c>
      <c r="B141" s="52" t="s">
        <v>5125</v>
      </c>
      <c r="C141" s="59" t="s">
        <v>10449</v>
      </c>
      <c r="E141" s="57" t="s">
        <v>10450</v>
      </c>
      <c r="F141" s="57" t="s">
        <v>10454</v>
      </c>
      <c r="G141" t="s">
        <v>3520</v>
      </c>
      <c r="H141" s="54" t="s">
        <v>3876</v>
      </c>
    </row>
    <row r="142" spans="1:8" x14ac:dyDescent="0.35">
      <c r="A142" s="50" t="s">
        <v>5126</v>
      </c>
      <c r="B142" s="52" t="s">
        <v>5125</v>
      </c>
      <c r="C142" s="59" t="s">
        <v>10449</v>
      </c>
      <c r="E142" s="57" t="s">
        <v>10450</v>
      </c>
      <c r="F142" s="57" t="s">
        <v>10455</v>
      </c>
      <c r="G142" s="8" t="s">
        <v>3522</v>
      </c>
      <c r="H142" s="54" t="s">
        <v>3875</v>
      </c>
    </row>
    <row r="143" spans="1:8" x14ac:dyDescent="0.35">
      <c r="A143" s="50" t="s">
        <v>5126</v>
      </c>
      <c r="B143" s="52" t="s">
        <v>5125</v>
      </c>
      <c r="C143" s="59" t="s">
        <v>10449</v>
      </c>
      <c r="E143" s="57" t="s">
        <v>10450</v>
      </c>
      <c r="F143" s="57" t="s">
        <v>10456</v>
      </c>
      <c r="G143" t="s">
        <v>3523</v>
      </c>
      <c r="H143" s="54" t="s">
        <v>3876</v>
      </c>
    </row>
    <row r="144" spans="1:8" x14ac:dyDescent="0.35">
      <c r="A144" s="50" t="s">
        <v>5126</v>
      </c>
      <c r="B144" s="52" t="s">
        <v>5125</v>
      </c>
      <c r="C144" s="59" t="s">
        <v>10449</v>
      </c>
      <c r="E144" s="57" t="s">
        <v>10450</v>
      </c>
      <c r="F144" s="57" t="s">
        <v>10457</v>
      </c>
      <c r="G144" t="s">
        <v>3521</v>
      </c>
      <c r="H144" s="54" t="s">
        <v>3879</v>
      </c>
    </row>
    <row r="145" spans="1:8" x14ac:dyDescent="0.35">
      <c r="A145" s="50" t="s">
        <v>4298</v>
      </c>
      <c r="B145" s="52" t="s">
        <v>4297</v>
      </c>
      <c r="C145" s="59" t="s">
        <v>10772</v>
      </c>
      <c r="F145" s="57"/>
    </row>
    <row r="146" spans="1:8" x14ac:dyDescent="0.35">
      <c r="A146" s="50" t="s">
        <v>7736</v>
      </c>
      <c r="B146" s="52" t="s">
        <v>7735</v>
      </c>
      <c r="C146" s="59" t="s">
        <v>9398</v>
      </c>
      <c r="E146" s="57" t="s">
        <v>9399</v>
      </c>
      <c r="F146" s="57" t="s">
        <v>9400</v>
      </c>
      <c r="G146" s="8" t="s">
        <v>3530</v>
      </c>
      <c r="H146" s="54" t="s">
        <v>3886</v>
      </c>
    </row>
    <row r="147" spans="1:8" x14ac:dyDescent="0.35">
      <c r="A147" s="50" t="s">
        <v>7736</v>
      </c>
      <c r="B147" s="52" t="s">
        <v>7735</v>
      </c>
      <c r="C147" s="59" t="s">
        <v>9398</v>
      </c>
      <c r="E147" s="57" t="s">
        <v>9399</v>
      </c>
      <c r="F147" s="57" t="s">
        <v>9401</v>
      </c>
      <c r="G147" t="s">
        <v>3529</v>
      </c>
      <c r="H147" s="54" t="s">
        <v>3885</v>
      </c>
    </row>
    <row r="148" spans="1:8" x14ac:dyDescent="0.35">
      <c r="A148" s="50" t="s">
        <v>8706</v>
      </c>
      <c r="B148" s="52" t="s">
        <v>8705</v>
      </c>
      <c r="C148" s="59" t="s">
        <v>8948</v>
      </c>
      <c r="E148" s="57" t="s">
        <v>8949</v>
      </c>
      <c r="F148" s="57" t="s">
        <v>8950</v>
      </c>
      <c r="G148" t="s">
        <v>3530</v>
      </c>
      <c r="H148" s="54" t="s">
        <v>8951</v>
      </c>
    </row>
    <row r="149" spans="1:8" x14ac:dyDescent="0.35">
      <c r="A149" s="50" t="s">
        <v>7118</v>
      </c>
      <c r="B149" s="52" t="s">
        <v>7117</v>
      </c>
      <c r="C149" s="59" t="s">
        <v>9636</v>
      </c>
      <c r="E149" s="57" t="s">
        <v>9637</v>
      </c>
      <c r="F149" s="57" t="s">
        <v>9638</v>
      </c>
      <c r="G149" t="s">
        <v>9639</v>
      </c>
      <c r="H149" s="54" t="s">
        <v>9640</v>
      </c>
    </row>
    <row r="150" spans="1:8" x14ac:dyDescent="0.35">
      <c r="A150" s="50" t="s">
        <v>7992</v>
      </c>
      <c r="B150" s="52" t="s">
        <v>7991</v>
      </c>
      <c r="C150" s="59" t="s">
        <v>9262</v>
      </c>
    </row>
    <row r="151" spans="1:8" x14ac:dyDescent="0.35">
      <c r="A151" s="50" t="s">
        <v>5254</v>
      </c>
      <c r="B151" s="52" t="s">
        <v>5253</v>
      </c>
      <c r="C151" s="59" t="s">
        <v>9262</v>
      </c>
    </row>
    <row r="152" spans="1:8" x14ac:dyDescent="0.35">
      <c r="A152" s="50" t="s">
        <v>7084</v>
      </c>
      <c r="B152" s="52" t="s">
        <v>7083</v>
      </c>
      <c r="C152" s="59" t="s">
        <v>9667</v>
      </c>
    </row>
    <row r="153" spans="1:8" x14ac:dyDescent="0.35">
      <c r="A153" s="50" t="s">
        <v>5770</v>
      </c>
      <c r="B153" s="52" t="s">
        <v>5769</v>
      </c>
      <c r="C153" s="59" t="s">
        <v>9667</v>
      </c>
    </row>
    <row r="154" spans="1:8" x14ac:dyDescent="0.35">
      <c r="A154" s="50" t="s">
        <v>7431</v>
      </c>
      <c r="B154" s="52" t="s">
        <v>7430</v>
      </c>
      <c r="C154" s="59" t="s">
        <v>9477</v>
      </c>
    </row>
    <row r="155" spans="1:8" x14ac:dyDescent="0.35">
      <c r="A155" s="50" t="s">
        <v>7084</v>
      </c>
      <c r="B155" s="52" t="s">
        <v>7083</v>
      </c>
      <c r="C155" s="59" t="s">
        <v>9477</v>
      </c>
    </row>
    <row r="156" spans="1:8" x14ac:dyDescent="0.35">
      <c r="A156" s="50" t="s">
        <v>7021</v>
      </c>
      <c r="B156" s="52" t="s">
        <v>7020</v>
      </c>
      <c r="C156" s="59" t="s">
        <v>9477</v>
      </c>
    </row>
    <row r="157" spans="1:8" x14ac:dyDescent="0.35">
      <c r="A157" s="50" t="s">
        <v>6830</v>
      </c>
      <c r="B157" s="52" t="s">
        <v>6829</v>
      </c>
      <c r="C157" s="59" t="s">
        <v>9477</v>
      </c>
    </row>
    <row r="158" spans="1:8" x14ac:dyDescent="0.35">
      <c r="A158" s="50" t="s">
        <v>6728</v>
      </c>
      <c r="B158" s="52" t="s">
        <v>6727</v>
      </c>
      <c r="C158" s="59" t="s">
        <v>9477</v>
      </c>
    </row>
    <row r="159" spans="1:8" x14ac:dyDescent="0.35">
      <c r="A159" s="50" t="s">
        <v>6033</v>
      </c>
      <c r="B159" s="52" t="s">
        <v>6032</v>
      </c>
      <c r="C159" s="59" t="s">
        <v>9477</v>
      </c>
    </row>
    <row r="160" spans="1:8" x14ac:dyDescent="0.35">
      <c r="A160" s="50" t="s">
        <v>5770</v>
      </c>
      <c r="B160" s="52" t="s">
        <v>5769</v>
      </c>
      <c r="C160" s="59" t="s">
        <v>9477</v>
      </c>
    </row>
    <row r="161" spans="1:8" x14ac:dyDescent="0.35">
      <c r="A161" s="50" t="s">
        <v>5706</v>
      </c>
      <c r="B161" s="52" t="s">
        <v>5705</v>
      </c>
      <c r="C161" s="59" t="s">
        <v>9477</v>
      </c>
    </row>
    <row r="162" spans="1:8" x14ac:dyDescent="0.35">
      <c r="A162" s="50" t="s">
        <v>5393</v>
      </c>
      <c r="B162" s="52" t="s">
        <v>5392</v>
      </c>
      <c r="C162" s="59" t="s">
        <v>9477</v>
      </c>
    </row>
    <row r="163" spans="1:8" x14ac:dyDescent="0.35">
      <c r="A163" s="50" t="s">
        <v>5167</v>
      </c>
      <c r="B163" s="52" t="s">
        <v>5166</v>
      </c>
      <c r="C163" s="59" t="s">
        <v>9477</v>
      </c>
    </row>
    <row r="164" spans="1:8" x14ac:dyDescent="0.35">
      <c r="A164" s="50" t="s">
        <v>6723</v>
      </c>
      <c r="B164" s="52" t="s">
        <v>6722</v>
      </c>
      <c r="C164" s="59" t="s">
        <v>9786</v>
      </c>
      <c r="E164" s="57" t="s">
        <v>9787</v>
      </c>
      <c r="F164" s="57" t="s">
        <v>9788</v>
      </c>
      <c r="G164" t="s">
        <v>3533</v>
      </c>
      <c r="H164" s="54" t="s">
        <v>9789</v>
      </c>
    </row>
    <row r="165" spans="1:8" x14ac:dyDescent="0.35">
      <c r="A165" s="50" t="s">
        <v>6723</v>
      </c>
      <c r="B165" s="52" t="s">
        <v>6722</v>
      </c>
      <c r="C165" s="59" t="s">
        <v>9786</v>
      </c>
      <c r="E165" s="57" t="s">
        <v>9787</v>
      </c>
      <c r="F165" s="57" t="s">
        <v>9790</v>
      </c>
      <c r="G165" t="s">
        <v>3534</v>
      </c>
      <c r="H165" s="54" t="s">
        <v>9791</v>
      </c>
    </row>
    <row r="166" spans="1:8" x14ac:dyDescent="0.35">
      <c r="A166" s="50" t="s">
        <v>4244</v>
      </c>
      <c r="B166" s="52" t="s">
        <v>4243</v>
      </c>
      <c r="C166" s="59" t="s">
        <v>10787</v>
      </c>
      <c r="E166" s="57" t="s">
        <v>10788</v>
      </c>
    </row>
    <row r="167" spans="1:8" x14ac:dyDescent="0.35">
      <c r="A167" s="50" t="s">
        <v>4775</v>
      </c>
      <c r="B167" s="52" t="s">
        <v>4774</v>
      </c>
      <c r="C167" s="59" t="s">
        <v>10599</v>
      </c>
      <c r="E167" s="57" t="s">
        <v>10600</v>
      </c>
      <c r="F167" s="57" t="s">
        <v>10601</v>
      </c>
      <c r="G167" t="s">
        <v>3535</v>
      </c>
      <c r="H167" s="54" t="s">
        <v>3891</v>
      </c>
    </row>
    <row r="168" spans="1:8" x14ac:dyDescent="0.35">
      <c r="A168" s="50" t="s">
        <v>4582</v>
      </c>
      <c r="B168" s="52" t="s">
        <v>4581</v>
      </c>
      <c r="C168" s="59" t="s">
        <v>10644</v>
      </c>
      <c r="E168" s="57" t="s">
        <v>10645</v>
      </c>
    </row>
    <row r="169" spans="1:8" x14ac:dyDescent="0.35">
      <c r="A169" s="50" t="s">
        <v>4270</v>
      </c>
      <c r="B169" s="52" t="s">
        <v>4269</v>
      </c>
      <c r="C169" s="59" t="s">
        <v>10773</v>
      </c>
      <c r="E169" s="57" t="s">
        <v>10774</v>
      </c>
      <c r="F169" s="57" t="s">
        <v>10775</v>
      </c>
      <c r="G169" t="s">
        <v>3536</v>
      </c>
      <c r="H169" s="54" t="s">
        <v>3892</v>
      </c>
    </row>
    <row r="170" spans="1:8" x14ac:dyDescent="0.35">
      <c r="A170" s="50" t="s">
        <v>6392</v>
      </c>
      <c r="B170" s="52" t="s">
        <v>6391</v>
      </c>
      <c r="C170" s="59" t="s">
        <v>9944</v>
      </c>
      <c r="E170" s="57" t="s">
        <v>9945</v>
      </c>
    </row>
    <row r="171" spans="1:8" x14ac:dyDescent="0.35">
      <c r="A171" s="50" t="s">
        <v>6826</v>
      </c>
      <c r="B171" s="52" t="s">
        <v>6825</v>
      </c>
      <c r="C171" s="59" t="s">
        <v>9746</v>
      </c>
      <c r="E171" s="57" t="s">
        <v>9747</v>
      </c>
    </row>
    <row r="172" spans="1:8" x14ac:dyDescent="0.35">
      <c r="A172" s="50" t="s">
        <v>4457</v>
      </c>
      <c r="B172" s="52" t="s">
        <v>4456</v>
      </c>
      <c r="C172" s="59" t="s">
        <v>10675</v>
      </c>
      <c r="E172" s="57" t="s">
        <v>10676</v>
      </c>
    </row>
    <row r="173" spans="1:8" x14ac:dyDescent="0.35">
      <c r="A173" s="50" t="s">
        <v>5729</v>
      </c>
      <c r="B173" s="52" t="s">
        <v>5728</v>
      </c>
      <c r="C173" s="59" t="s">
        <v>10113</v>
      </c>
      <c r="E173" s="57" t="s">
        <v>10114</v>
      </c>
    </row>
    <row r="174" spans="1:8" x14ac:dyDescent="0.35">
      <c r="A174" s="50" t="s">
        <v>7893</v>
      </c>
      <c r="B174" s="52" t="s">
        <v>7892</v>
      </c>
      <c r="C174" s="59" t="s">
        <v>9291</v>
      </c>
      <c r="E174" s="57" t="s">
        <v>9292</v>
      </c>
    </row>
    <row r="175" spans="1:8" x14ac:dyDescent="0.35">
      <c r="A175" s="50" t="s">
        <v>4777</v>
      </c>
      <c r="B175" s="52" t="s">
        <v>4776</v>
      </c>
      <c r="C175" s="59" t="s">
        <v>10596</v>
      </c>
      <c r="E175" s="57" t="s">
        <v>10597</v>
      </c>
      <c r="F175" s="57" t="s">
        <v>10598</v>
      </c>
      <c r="G175" t="s">
        <v>3537</v>
      </c>
      <c r="H175" s="54" t="s">
        <v>3893</v>
      </c>
    </row>
    <row r="176" spans="1:8" x14ac:dyDescent="0.35">
      <c r="A176" s="50" t="s">
        <v>5240</v>
      </c>
      <c r="B176" s="52" t="s">
        <v>5239</v>
      </c>
      <c r="C176" s="59" t="s">
        <v>10336</v>
      </c>
      <c r="E176" s="57" t="s">
        <v>10337</v>
      </c>
      <c r="F176" s="57" t="s">
        <v>10338</v>
      </c>
      <c r="G176" t="s">
        <v>3538</v>
      </c>
      <c r="H176" s="54" t="s">
        <v>3894</v>
      </c>
    </row>
    <row r="177" spans="1:8" x14ac:dyDescent="0.35">
      <c r="A177" s="50" t="s">
        <v>5163</v>
      </c>
      <c r="B177" s="52" t="s">
        <v>5162</v>
      </c>
      <c r="C177" s="59" t="s">
        <v>10397</v>
      </c>
      <c r="E177" s="57" t="s">
        <v>10398</v>
      </c>
      <c r="F177" s="57" t="s">
        <v>10399</v>
      </c>
      <c r="G177" t="s">
        <v>3537</v>
      </c>
      <c r="H177" s="54" t="s">
        <v>3895</v>
      </c>
    </row>
    <row r="178" spans="1:8" x14ac:dyDescent="0.35">
      <c r="A178" s="50" t="s">
        <v>5774</v>
      </c>
      <c r="B178" s="52" t="s">
        <v>5773</v>
      </c>
      <c r="C178" s="59" t="s">
        <v>10079</v>
      </c>
      <c r="E178" s="57" t="s">
        <v>10080</v>
      </c>
      <c r="F178" s="57" t="s">
        <v>10081</v>
      </c>
      <c r="G178" t="s">
        <v>10082</v>
      </c>
      <c r="H178" s="54" t="s">
        <v>10083</v>
      </c>
    </row>
    <row r="179" spans="1:8" x14ac:dyDescent="0.35">
      <c r="A179" s="50" t="s">
        <v>5774</v>
      </c>
      <c r="B179" s="52" t="s">
        <v>5773</v>
      </c>
      <c r="C179" s="59" t="s">
        <v>10079</v>
      </c>
      <c r="E179" s="57" t="s">
        <v>10080</v>
      </c>
      <c r="F179" s="57" t="s">
        <v>10084</v>
      </c>
      <c r="G179" t="s">
        <v>10085</v>
      </c>
      <c r="H179" s="54" t="s">
        <v>10083</v>
      </c>
    </row>
    <row r="180" spans="1:8" x14ac:dyDescent="0.35">
      <c r="A180" s="50" t="s">
        <v>5124</v>
      </c>
      <c r="B180" s="52" t="s">
        <v>5123</v>
      </c>
      <c r="C180" s="59" t="s">
        <v>10458</v>
      </c>
      <c r="E180" s="57" t="s">
        <v>10459</v>
      </c>
      <c r="F180" s="57" t="s">
        <v>10460</v>
      </c>
      <c r="G180" t="s">
        <v>3539</v>
      </c>
      <c r="H180" s="54" t="s">
        <v>3896</v>
      </c>
    </row>
    <row r="181" spans="1:8" x14ac:dyDescent="0.35">
      <c r="A181" s="50" t="s">
        <v>8173</v>
      </c>
      <c r="B181" s="52" t="s">
        <v>8172</v>
      </c>
      <c r="C181" s="59" t="s">
        <v>9138</v>
      </c>
      <c r="E181" s="57" t="s">
        <v>9139</v>
      </c>
      <c r="F181" s="57" t="s">
        <v>9140</v>
      </c>
      <c r="G181" t="s">
        <v>3540</v>
      </c>
      <c r="H181" s="54" t="s">
        <v>3897</v>
      </c>
    </row>
    <row r="182" spans="1:8" x14ac:dyDescent="0.35">
      <c r="A182" s="50" t="s">
        <v>8108</v>
      </c>
      <c r="B182" s="52" t="s">
        <v>8107</v>
      </c>
      <c r="C182" s="59" t="s">
        <v>9162</v>
      </c>
      <c r="E182" s="57" t="s">
        <v>9163</v>
      </c>
      <c r="F182" s="57" t="s">
        <v>9164</v>
      </c>
      <c r="G182" t="s">
        <v>9165</v>
      </c>
      <c r="H182" s="54" t="s">
        <v>9166</v>
      </c>
    </row>
    <row r="183" spans="1:8" x14ac:dyDescent="0.35">
      <c r="A183" s="50" t="s">
        <v>6187</v>
      </c>
      <c r="B183" s="52" t="s">
        <v>6186</v>
      </c>
      <c r="C183" s="59" t="s">
        <v>9162</v>
      </c>
      <c r="E183" s="57" t="s">
        <v>9163</v>
      </c>
      <c r="F183" s="57" t="s">
        <v>9164</v>
      </c>
      <c r="G183" t="s">
        <v>9165</v>
      </c>
      <c r="H183" s="54" t="s">
        <v>9166</v>
      </c>
    </row>
    <row r="184" spans="1:8" x14ac:dyDescent="0.35">
      <c r="A184" s="50" t="s">
        <v>5811</v>
      </c>
      <c r="B184" s="52" t="s">
        <v>5810</v>
      </c>
      <c r="C184" s="59" t="s">
        <v>9162</v>
      </c>
      <c r="E184" s="57" t="s">
        <v>9163</v>
      </c>
      <c r="F184" s="57" t="s">
        <v>9164</v>
      </c>
      <c r="G184" t="s">
        <v>9165</v>
      </c>
      <c r="H184" s="54" t="s">
        <v>9166</v>
      </c>
    </row>
    <row r="185" spans="1:8" x14ac:dyDescent="0.35">
      <c r="A185" s="50" t="s">
        <v>5393</v>
      </c>
      <c r="B185" s="52" t="s">
        <v>5392</v>
      </c>
      <c r="C185" s="59" t="s">
        <v>9162</v>
      </c>
      <c r="E185" s="57" t="s">
        <v>9163</v>
      </c>
      <c r="F185" s="57" t="s">
        <v>9164</v>
      </c>
      <c r="G185" t="s">
        <v>9165</v>
      </c>
      <c r="H185" s="54" t="s">
        <v>9166</v>
      </c>
    </row>
    <row r="186" spans="1:8" x14ac:dyDescent="0.35">
      <c r="A186" s="50" t="s">
        <v>7645</v>
      </c>
      <c r="B186" s="52" t="s">
        <v>7644</v>
      </c>
      <c r="C186" s="59" t="s">
        <v>9436</v>
      </c>
    </row>
    <row r="187" spans="1:8" x14ac:dyDescent="0.35">
      <c r="A187" s="50" t="s">
        <v>6588</v>
      </c>
      <c r="B187" s="52" t="s">
        <v>6587</v>
      </c>
      <c r="C187" s="59" t="s">
        <v>9891</v>
      </c>
      <c r="E187" s="57" t="s">
        <v>9892</v>
      </c>
      <c r="F187" s="57" t="s">
        <v>9893</v>
      </c>
      <c r="G187" s="8" t="s">
        <v>3545</v>
      </c>
      <c r="H187" s="54" t="s">
        <v>3902</v>
      </c>
    </row>
    <row r="188" spans="1:8" x14ac:dyDescent="0.35">
      <c r="A188" s="50" t="s">
        <v>5413</v>
      </c>
      <c r="B188" s="52" t="s">
        <v>5412</v>
      </c>
      <c r="C188" s="59" t="s">
        <v>10280</v>
      </c>
      <c r="E188" s="57" t="s">
        <v>10281</v>
      </c>
      <c r="F188" s="57" t="s">
        <v>10282</v>
      </c>
      <c r="G188" t="s">
        <v>3546</v>
      </c>
      <c r="H188" s="54" t="s">
        <v>3903</v>
      </c>
    </row>
    <row r="189" spans="1:8" x14ac:dyDescent="0.35">
      <c r="A189" s="50" t="s">
        <v>6710</v>
      </c>
      <c r="B189" s="52" t="s">
        <v>6709</v>
      </c>
      <c r="C189" s="59" t="s">
        <v>9819</v>
      </c>
      <c r="E189" s="57" t="s">
        <v>9820</v>
      </c>
      <c r="F189" s="57" t="s">
        <v>9821</v>
      </c>
      <c r="G189" t="s">
        <v>3547</v>
      </c>
      <c r="H189" s="54" t="s">
        <v>3904</v>
      </c>
    </row>
    <row r="190" spans="1:8" x14ac:dyDescent="0.35">
      <c r="A190" s="50" t="s">
        <v>7406</v>
      </c>
      <c r="B190" s="52" t="s">
        <v>7405</v>
      </c>
      <c r="C190" s="59" t="s">
        <v>9506</v>
      </c>
      <c r="E190" s="57" t="s">
        <v>9507</v>
      </c>
      <c r="F190" s="57" t="s">
        <v>9508</v>
      </c>
      <c r="G190" s="8" t="s">
        <v>9509</v>
      </c>
      <c r="H190" s="54" t="s">
        <v>9510</v>
      </c>
    </row>
    <row r="191" spans="1:8" x14ac:dyDescent="0.35">
      <c r="A191" s="50" t="s">
        <v>6636</v>
      </c>
      <c r="B191" s="52" t="s">
        <v>6635</v>
      </c>
      <c r="C191" s="59" t="s">
        <v>9851</v>
      </c>
      <c r="E191" s="57" t="s">
        <v>9852</v>
      </c>
      <c r="F191" s="57" t="s">
        <v>9853</v>
      </c>
      <c r="G191" s="8" t="s">
        <v>9847</v>
      </c>
      <c r="H191" s="54" t="s">
        <v>9854</v>
      </c>
    </row>
    <row r="192" spans="1:8" x14ac:dyDescent="0.35">
      <c r="A192" s="50" t="s">
        <v>6636</v>
      </c>
      <c r="B192" s="52" t="s">
        <v>6635</v>
      </c>
      <c r="C192" s="59" t="s">
        <v>9851</v>
      </c>
      <c r="E192" s="57" t="s">
        <v>9852</v>
      </c>
      <c r="F192" s="57" t="s">
        <v>9855</v>
      </c>
      <c r="G192" t="s">
        <v>9856</v>
      </c>
      <c r="H192" s="54" t="s">
        <v>9857</v>
      </c>
    </row>
    <row r="193" spans="1:8" x14ac:dyDescent="0.35">
      <c r="A193" s="50" t="s">
        <v>6636</v>
      </c>
      <c r="B193" s="52" t="s">
        <v>6635</v>
      </c>
      <c r="C193" s="59" t="s">
        <v>9851</v>
      </c>
      <c r="E193" s="57" t="s">
        <v>9852</v>
      </c>
      <c r="F193" s="57" t="s">
        <v>9858</v>
      </c>
      <c r="G193" t="s">
        <v>9859</v>
      </c>
      <c r="H193" s="54" t="s">
        <v>9857</v>
      </c>
    </row>
    <row r="194" spans="1:8" x14ac:dyDescent="0.35">
      <c r="A194" s="50" t="s">
        <v>6636</v>
      </c>
      <c r="B194" s="52" t="s">
        <v>6635</v>
      </c>
      <c r="C194" s="59" t="s">
        <v>9851</v>
      </c>
      <c r="E194" s="57" t="s">
        <v>9852</v>
      </c>
      <c r="F194" s="57" t="s">
        <v>9860</v>
      </c>
      <c r="G194" s="8" t="s">
        <v>9861</v>
      </c>
      <c r="H194" s="54" t="s">
        <v>9862</v>
      </c>
    </row>
    <row r="195" spans="1:8" x14ac:dyDescent="0.35">
      <c r="A195" s="50" t="s">
        <v>6636</v>
      </c>
      <c r="B195" s="52" t="s">
        <v>6635</v>
      </c>
      <c r="C195" s="59" t="s">
        <v>9851</v>
      </c>
      <c r="E195" s="57" t="s">
        <v>9852</v>
      </c>
      <c r="F195" s="57" t="s">
        <v>9863</v>
      </c>
      <c r="G195" t="s">
        <v>9864</v>
      </c>
      <c r="H195" s="54" t="s">
        <v>9865</v>
      </c>
    </row>
    <row r="196" spans="1:8" x14ac:dyDescent="0.35">
      <c r="A196" s="50" t="s">
        <v>6636</v>
      </c>
      <c r="B196" s="52" t="s">
        <v>6635</v>
      </c>
      <c r="C196" s="59" t="s">
        <v>9851</v>
      </c>
      <c r="E196" s="57" t="s">
        <v>9852</v>
      </c>
      <c r="F196" s="57" t="s">
        <v>9866</v>
      </c>
      <c r="G196" t="s">
        <v>9867</v>
      </c>
      <c r="H196" s="54" t="s">
        <v>9868</v>
      </c>
    </row>
    <row r="197" spans="1:8" x14ac:dyDescent="0.35">
      <c r="A197" s="50" t="s">
        <v>6639</v>
      </c>
      <c r="B197" s="52" t="s">
        <v>6638</v>
      </c>
      <c r="C197" s="59" t="s">
        <v>9844</v>
      </c>
      <c r="E197" s="57" t="s">
        <v>9845</v>
      </c>
      <c r="F197" s="57" t="s">
        <v>9846</v>
      </c>
      <c r="G197" t="s">
        <v>9847</v>
      </c>
      <c r="H197" s="54" t="s">
        <v>9848</v>
      </c>
    </row>
    <row r="198" spans="1:8" x14ac:dyDescent="0.35">
      <c r="A198" s="50" t="s">
        <v>6639</v>
      </c>
      <c r="B198" s="52" t="s">
        <v>6638</v>
      </c>
      <c r="C198" s="59" t="s">
        <v>9844</v>
      </c>
      <c r="E198" s="57" t="s">
        <v>9845</v>
      </c>
      <c r="F198" s="57" t="s">
        <v>9849</v>
      </c>
      <c r="G198" t="s">
        <v>9847</v>
      </c>
      <c r="H198" s="54" t="s">
        <v>9850</v>
      </c>
    </row>
    <row r="199" spans="1:8" x14ac:dyDescent="0.35">
      <c r="A199" s="50" t="s">
        <v>8096</v>
      </c>
      <c r="B199" s="52" t="s">
        <v>8095</v>
      </c>
      <c r="C199" s="59" t="s">
        <v>9167</v>
      </c>
      <c r="E199" s="57" t="s">
        <v>9168</v>
      </c>
      <c r="F199" s="57" t="s">
        <v>9169</v>
      </c>
      <c r="G199" t="s">
        <v>9170</v>
      </c>
      <c r="H199" s="54" t="s">
        <v>2471</v>
      </c>
    </row>
    <row r="200" spans="1:8" x14ac:dyDescent="0.35">
      <c r="A200" s="50" t="s">
        <v>8096</v>
      </c>
      <c r="B200" s="52" t="s">
        <v>8095</v>
      </c>
      <c r="C200" s="59" t="s">
        <v>9167</v>
      </c>
      <c r="E200" s="57" t="s">
        <v>9168</v>
      </c>
      <c r="F200" s="57" t="s">
        <v>9171</v>
      </c>
      <c r="G200" t="s">
        <v>9172</v>
      </c>
      <c r="H200" s="54" t="s">
        <v>2471</v>
      </c>
    </row>
    <row r="201" spans="1:8" x14ac:dyDescent="0.35">
      <c r="A201" s="50" t="s">
        <v>8096</v>
      </c>
      <c r="B201" s="52" t="s">
        <v>8095</v>
      </c>
      <c r="C201" s="59" t="s">
        <v>9167</v>
      </c>
      <c r="E201" s="57" t="s">
        <v>9168</v>
      </c>
      <c r="F201" s="57" t="s">
        <v>9173</v>
      </c>
      <c r="G201" t="s">
        <v>9174</v>
      </c>
      <c r="H201" s="54" t="s">
        <v>9175</v>
      </c>
    </row>
    <row r="202" spans="1:8" x14ac:dyDescent="0.35">
      <c r="A202" s="50" t="s">
        <v>8096</v>
      </c>
      <c r="B202" s="52" t="s">
        <v>8095</v>
      </c>
      <c r="C202" s="59" t="s">
        <v>9167</v>
      </c>
      <c r="E202" s="57" t="s">
        <v>9168</v>
      </c>
      <c r="F202" s="57" t="s">
        <v>9176</v>
      </c>
      <c r="G202" t="s">
        <v>9177</v>
      </c>
      <c r="H202" s="54" t="s">
        <v>9178</v>
      </c>
    </row>
    <row r="203" spans="1:8" x14ac:dyDescent="0.35">
      <c r="A203" s="50" t="s">
        <v>8096</v>
      </c>
      <c r="B203" s="52" t="s">
        <v>8095</v>
      </c>
      <c r="C203" s="59" t="s">
        <v>9167</v>
      </c>
      <c r="E203" s="57" t="s">
        <v>9168</v>
      </c>
      <c r="F203" s="57" t="s">
        <v>9179</v>
      </c>
      <c r="G203" t="s">
        <v>9180</v>
      </c>
      <c r="H203" s="54" t="s">
        <v>9178</v>
      </c>
    </row>
    <row r="204" spans="1:8" x14ac:dyDescent="0.35">
      <c r="A204" s="50" t="s">
        <v>8096</v>
      </c>
      <c r="B204" s="52" t="s">
        <v>8095</v>
      </c>
      <c r="C204" s="59" t="s">
        <v>9167</v>
      </c>
      <c r="E204" s="57" t="s">
        <v>9168</v>
      </c>
      <c r="F204" s="57" t="s">
        <v>9181</v>
      </c>
      <c r="G204" t="s">
        <v>9182</v>
      </c>
      <c r="H204" s="54" t="s">
        <v>9183</v>
      </c>
    </row>
    <row r="205" spans="1:8" x14ac:dyDescent="0.35">
      <c r="A205" s="50" t="s">
        <v>8096</v>
      </c>
      <c r="B205" s="52" t="s">
        <v>8095</v>
      </c>
      <c r="C205" s="59" t="s">
        <v>9167</v>
      </c>
      <c r="E205" s="57" t="s">
        <v>9168</v>
      </c>
      <c r="F205" s="57" t="s">
        <v>9184</v>
      </c>
      <c r="G205" t="s">
        <v>9185</v>
      </c>
      <c r="H205" s="54" t="s">
        <v>9186</v>
      </c>
    </row>
    <row r="206" spans="1:8" x14ac:dyDescent="0.35">
      <c r="A206" s="50" t="s">
        <v>7727</v>
      </c>
      <c r="B206" s="52" t="s">
        <v>7726</v>
      </c>
      <c r="C206" s="59" t="s">
        <v>9402</v>
      </c>
      <c r="E206" s="57" t="s">
        <v>9403</v>
      </c>
      <c r="F206" s="57" t="s">
        <v>9404</v>
      </c>
      <c r="G206" t="s">
        <v>3548</v>
      </c>
      <c r="H206" s="54" t="s">
        <v>3905</v>
      </c>
    </row>
    <row r="207" spans="1:8" x14ac:dyDescent="0.35">
      <c r="A207" s="50" t="s">
        <v>8316</v>
      </c>
      <c r="B207" s="52" t="s">
        <v>8315</v>
      </c>
      <c r="C207" s="59" t="s">
        <v>9103</v>
      </c>
      <c r="E207" s="57"/>
    </row>
    <row r="208" spans="1:8" x14ac:dyDescent="0.35">
      <c r="A208" s="50" t="s">
        <v>7340</v>
      </c>
      <c r="B208" s="52" t="s">
        <v>7339</v>
      </c>
      <c r="C208" s="59" t="s">
        <v>9103</v>
      </c>
    </row>
    <row r="209" spans="1:8" x14ac:dyDescent="0.35">
      <c r="A209" s="50" t="s">
        <v>7312</v>
      </c>
      <c r="B209" s="52" t="s">
        <v>7311</v>
      </c>
      <c r="C209" s="59" t="s">
        <v>9103</v>
      </c>
    </row>
    <row r="210" spans="1:8" x14ac:dyDescent="0.35">
      <c r="A210" s="50" t="s">
        <v>4842</v>
      </c>
      <c r="B210" s="52" t="s">
        <v>4841</v>
      </c>
      <c r="C210" s="59" t="s">
        <v>9103</v>
      </c>
    </row>
    <row r="211" spans="1:8" x14ac:dyDescent="0.35">
      <c r="A211" s="50" t="s">
        <v>8219</v>
      </c>
      <c r="B211" s="52" t="s">
        <v>8218</v>
      </c>
      <c r="C211" s="59" t="s">
        <v>9126</v>
      </c>
    </row>
    <row r="212" spans="1:8" x14ac:dyDescent="0.35">
      <c r="A212" s="50" t="s">
        <v>7784</v>
      </c>
      <c r="B212" s="52" t="s">
        <v>7783</v>
      </c>
      <c r="C212" s="59" t="s">
        <v>9126</v>
      </c>
    </row>
    <row r="213" spans="1:8" x14ac:dyDescent="0.35">
      <c r="A213" s="50" t="s">
        <v>7582</v>
      </c>
      <c r="B213" s="52" t="s">
        <v>7581</v>
      </c>
      <c r="C213" s="59" t="s">
        <v>9126</v>
      </c>
    </row>
    <row r="214" spans="1:8" x14ac:dyDescent="0.35">
      <c r="A214" s="50" t="s">
        <v>7183</v>
      </c>
      <c r="B214" s="52" t="s">
        <v>7182</v>
      </c>
      <c r="C214" s="59" t="s">
        <v>9126</v>
      </c>
    </row>
    <row r="215" spans="1:8" x14ac:dyDescent="0.35">
      <c r="A215" s="50" t="s">
        <v>6506</v>
      </c>
      <c r="B215" s="52" t="s">
        <v>6505</v>
      </c>
      <c r="C215" s="59" t="s">
        <v>9126</v>
      </c>
    </row>
    <row r="216" spans="1:8" x14ac:dyDescent="0.35">
      <c r="A216" s="50" t="s">
        <v>6143</v>
      </c>
      <c r="B216" s="52" t="s">
        <v>6142</v>
      </c>
      <c r="C216" s="59" t="s">
        <v>9126</v>
      </c>
    </row>
    <row r="217" spans="1:8" x14ac:dyDescent="0.35">
      <c r="A217" s="50" t="s">
        <v>6093</v>
      </c>
      <c r="B217" s="52" t="s">
        <v>6092</v>
      </c>
      <c r="C217" s="59" t="s">
        <v>9126</v>
      </c>
    </row>
    <row r="218" spans="1:8" x14ac:dyDescent="0.35">
      <c r="A218" s="50" t="s">
        <v>6043</v>
      </c>
      <c r="B218" s="52" t="s">
        <v>6042</v>
      </c>
      <c r="C218" s="59" t="s">
        <v>9126</v>
      </c>
    </row>
    <row r="219" spans="1:8" x14ac:dyDescent="0.35">
      <c r="A219" s="50" t="s">
        <v>5360</v>
      </c>
      <c r="B219" s="52" t="s">
        <v>5359</v>
      </c>
      <c r="C219" s="59" t="s">
        <v>9126</v>
      </c>
    </row>
    <row r="220" spans="1:8" x14ac:dyDescent="0.35">
      <c r="A220" s="50" t="s">
        <v>5290</v>
      </c>
      <c r="B220" s="52" t="s">
        <v>5289</v>
      </c>
      <c r="C220" s="59" t="s">
        <v>9126</v>
      </c>
    </row>
    <row r="221" spans="1:8" x14ac:dyDescent="0.35">
      <c r="A221" s="50" t="s">
        <v>7417</v>
      </c>
      <c r="B221" s="52" t="s">
        <v>7416</v>
      </c>
      <c r="C221" s="59" t="s">
        <v>9486</v>
      </c>
      <c r="E221" s="57" t="s">
        <v>9487</v>
      </c>
      <c r="F221" s="57" t="s">
        <v>9488</v>
      </c>
      <c r="G221" t="s">
        <v>9489</v>
      </c>
      <c r="H221" s="54" t="s">
        <v>9490</v>
      </c>
    </row>
    <row r="222" spans="1:8" x14ac:dyDescent="0.35">
      <c r="A222" s="50" t="s">
        <v>5284</v>
      </c>
      <c r="B222" s="52" t="s">
        <v>5283</v>
      </c>
      <c r="C222" s="59" t="s">
        <v>10310</v>
      </c>
      <c r="E222" s="57" t="s">
        <v>10311</v>
      </c>
      <c r="F222" s="57" t="s">
        <v>10312</v>
      </c>
      <c r="G222" t="s">
        <v>10313</v>
      </c>
      <c r="H222" s="54" t="s">
        <v>10314</v>
      </c>
    </row>
    <row r="223" spans="1:8" x14ac:dyDescent="0.35">
      <c r="A223" s="50" t="s">
        <v>6336</v>
      </c>
      <c r="B223" s="52" t="s">
        <v>6335</v>
      </c>
      <c r="C223" s="59" t="s">
        <v>9962</v>
      </c>
      <c r="E223" s="57" t="s">
        <v>9963</v>
      </c>
      <c r="F223" s="57" t="s">
        <v>9964</v>
      </c>
      <c r="G223" s="8" t="s">
        <v>3553</v>
      </c>
      <c r="H223" s="54" t="s">
        <v>9965</v>
      </c>
    </row>
    <row r="224" spans="1:8" x14ac:dyDescent="0.35">
      <c r="A224" s="50" t="s">
        <v>6332</v>
      </c>
      <c r="B224" s="52" t="s">
        <v>6331</v>
      </c>
      <c r="C224" s="59" t="s">
        <v>9962</v>
      </c>
      <c r="E224" s="57" t="s">
        <v>9963</v>
      </c>
      <c r="F224" s="57" t="s">
        <v>9964</v>
      </c>
      <c r="G224" t="s">
        <v>3553</v>
      </c>
      <c r="H224" s="54" t="s">
        <v>3910</v>
      </c>
    </row>
    <row r="225" spans="1:8" x14ac:dyDescent="0.35">
      <c r="A225" s="50" t="s">
        <v>6334</v>
      </c>
      <c r="B225" s="52" t="s">
        <v>6333</v>
      </c>
      <c r="C225" s="59" t="s">
        <v>9966</v>
      </c>
      <c r="E225" s="57" t="s">
        <v>9967</v>
      </c>
      <c r="F225" s="57" t="s">
        <v>9968</v>
      </c>
      <c r="G225" t="s">
        <v>3554</v>
      </c>
      <c r="H225" s="54" t="s">
        <v>3911</v>
      </c>
    </row>
    <row r="226" spans="1:8" x14ac:dyDescent="0.35">
      <c r="A226" s="50" t="s">
        <v>4404</v>
      </c>
      <c r="B226" s="52" t="s">
        <v>4403</v>
      </c>
      <c r="C226" s="59" t="s">
        <v>10682</v>
      </c>
      <c r="E226" s="57" t="s">
        <v>10683</v>
      </c>
      <c r="F226" s="57" t="s">
        <v>10684</v>
      </c>
      <c r="G226" s="8" t="s">
        <v>3558</v>
      </c>
      <c r="H226" s="54" t="s">
        <v>3915</v>
      </c>
    </row>
    <row r="227" spans="1:8" x14ac:dyDescent="0.35">
      <c r="A227" s="50" t="s">
        <v>4404</v>
      </c>
      <c r="B227" s="52" t="s">
        <v>4403</v>
      </c>
      <c r="C227" s="59" t="s">
        <v>10682</v>
      </c>
      <c r="E227" s="57" t="s">
        <v>10683</v>
      </c>
      <c r="F227" s="57" t="s">
        <v>10685</v>
      </c>
      <c r="G227" t="s">
        <v>3557</v>
      </c>
      <c r="H227" s="54" t="s">
        <v>3914</v>
      </c>
    </row>
    <row r="228" spans="1:8" x14ac:dyDescent="0.35">
      <c r="A228" s="50" t="s">
        <v>7417</v>
      </c>
      <c r="B228" s="52" t="s">
        <v>7416</v>
      </c>
      <c r="C228" s="59" t="s">
        <v>9491</v>
      </c>
      <c r="E228" s="57" t="s">
        <v>9492</v>
      </c>
      <c r="F228" s="57" t="s">
        <v>9493</v>
      </c>
      <c r="G228" t="s">
        <v>9494</v>
      </c>
      <c r="H228" s="54" t="s">
        <v>9495</v>
      </c>
    </row>
    <row r="229" spans="1:8" x14ac:dyDescent="0.35">
      <c r="A229" s="50" t="s">
        <v>8259</v>
      </c>
      <c r="B229" s="52" t="s">
        <v>8258</v>
      </c>
      <c r="C229" s="59" t="s">
        <v>9114</v>
      </c>
      <c r="E229" s="57" t="s">
        <v>9115</v>
      </c>
      <c r="F229" s="57" t="s">
        <v>9116</v>
      </c>
      <c r="G229" t="s">
        <v>9117</v>
      </c>
      <c r="H229" s="54" t="s">
        <v>9118</v>
      </c>
    </row>
    <row r="230" spans="1:8" x14ac:dyDescent="0.35">
      <c r="A230" s="50" t="s">
        <v>7122</v>
      </c>
      <c r="B230" s="52" t="s">
        <v>7121</v>
      </c>
      <c r="C230" s="59" t="s">
        <v>9628</v>
      </c>
      <c r="E230" s="57" t="s">
        <v>9629</v>
      </c>
      <c r="F230" s="57" t="s">
        <v>9630</v>
      </c>
      <c r="G230" t="s">
        <v>9631</v>
      </c>
      <c r="H230" s="54" t="s">
        <v>9632</v>
      </c>
    </row>
    <row r="231" spans="1:8" x14ac:dyDescent="0.35">
      <c r="A231" s="50" t="s">
        <v>7122</v>
      </c>
      <c r="B231" s="52" t="s">
        <v>7121</v>
      </c>
      <c r="C231" s="59" t="s">
        <v>9628</v>
      </c>
      <c r="E231" s="57" t="s">
        <v>9629</v>
      </c>
      <c r="F231" s="57" t="s">
        <v>9633</v>
      </c>
      <c r="G231" t="s">
        <v>9634</v>
      </c>
      <c r="H231" s="54" t="s">
        <v>9635</v>
      </c>
    </row>
    <row r="232" spans="1:8" x14ac:dyDescent="0.35">
      <c r="A232" s="50" t="s">
        <v>7188</v>
      </c>
      <c r="B232" s="52" t="s">
        <v>7187</v>
      </c>
      <c r="C232" s="59" t="s">
        <v>9608</v>
      </c>
      <c r="E232" s="57" t="s">
        <v>9609</v>
      </c>
      <c r="F232" s="57" t="s">
        <v>9610</v>
      </c>
      <c r="G232" t="s">
        <v>3559</v>
      </c>
      <c r="H232" s="54" t="s">
        <v>3916</v>
      </c>
    </row>
    <row r="233" spans="1:8" x14ac:dyDescent="0.35">
      <c r="A233" s="50" t="s">
        <v>7188</v>
      </c>
      <c r="B233" s="52" t="s">
        <v>7187</v>
      </c>
      <c r="C233" s="59" t="s">
        <v>9608</v>
      </c>
      <c r="E233" s="57" t="s">
        <v>9609</v>
      </c>
      <c r="F233" s="57" t="s">
        <v>9611</v>
      </c>
      <c r="G233" t="s">
        <v>3560</v>
      </c>
      <c r="H233" s="54" t="s">
        <v>3917</v>
      </c>
    </row>
    <row r="234" spans="1:8" x14ac:dyDescent="0.35">
      <c r="A234" s="50" t="s">
        <v>7557</v>
      </c>
      <c r="B234" s="52" t="s">
        <v>7556</v>
      </c>
      <c r="C234" s="59" t="s">
        <v>9438</v>
      </c>
    </row>
    <row r="235" spans="1:8" x14ac:dyDescent="0.35">
      <c r="A235" s="50" t="s">
        <v>6856</v>
      </c>
      <c r="B235" s="52" t="s">
        <v>6855</v>
      </c>
      <c r="C235" s="59" t="s">
        <v>9438</v>
      </c>
    </row>
    <row r="236" spans="1:8" x14ac:dyDescent="0.35">
      <c r="A236" s="50" t="s">
        <v>5926</v>
      </c>
      <c r="B236" s="52" t="s">
        <v>5925</v>
      </c>
      <c r="C236" s="59" t="s">
        <v>9438</v>
      </c>
    </row>
    <row r="237" spans="1:8" x14ac:dyDescent="0.35">
      <c r="A237" s="50" t="s">
        <v>8512</v>
      </c>
      <c r="B237" s="52" t="s">
        <v>8511</v>
      </c>
      <c r="C237" s="59" t="s">
        <v>9055</v>
      </c>
      <c r="E237" s="57" t="s">
        <v>9056</v>
      </c>
      <c r="F237" s="57" t="s">
        <v>9057</v>
      </c>
      <c r="G237" t="s">
        <v>9058</v>
      </c>
      <c r="H237" s="54" t="s">
        <v>9059</v>
      </c>
    </row>
    <row r="238" spans="1:8" x14ac:dyDescent="0.35">
      <c r="A238" s="50" t="s">
        <v>5281</v>
      </c>
      <c r="B238" s="52" t="s">
        <v>5280</v>
      </c>
      <c r="C238" s="59" t="s">
        <v>10315</v>
      </c>
      <c r="E238" s="57" t="s">
        <v>10316</v>
      </c>
      <c r="F238" s="57" t="s">
        <v>10317</v>
      </c>
      <c r="G238" t="s">
        <v>10318</v>
      </c>
      <c r="H238" s="54" t="s">
        <v>10319</v>
      </c>
    </row>
    <row r="239" spans="1:8" x14ac:dyDescent="0.35">
      <c r="A239" s="50" t="s">
        <v>8700</v>
      </c>
      <c r="B239" s="52" t="s">
        <v>8699</v>
      </c>
      <c r="C239" s="59" t="s">
        <v>8953</v>
      </c>
    </row>
    <row r="240" spans="1:8" x14ac:dyDescent="0.35">
      <c r="A240" s="50" t="s">
        <v>8510</v>
      </c>
      <c r="B240" s="52" t="s">
        <v>8509</v>
      </c>
      <c r="C240" s="59" t="s">
        <v>8953</v>
      </c>
    </row>
    <row r="241" spans="1:8" x14ac:dyDescent="0.35">
      <c r="A241" s="50" t="s">
        <v>8414</v>
      </c>
      <c r="B241" s="52" t="s">
        <v>8413</v>
      </c>
      <c r="C241" s="59" t="s">
        <v>8953</v>
      </c>
    </row>
    <row r="242" spans="1:8" x14ac:dyDescent="0.35">
      <c r="A242" s="50" t="s">
        <v>7997</v>
      </c>
      <c r="B242" s="52" t="s">
        <v>7996</v>
      </c>
      <c r="C242" s="59" t="s">
        <v>8953</v>
      </c>
    </row>
    <row r="243" spans="1:8" x14ac:dyDescent="0.35">
      <c r="A243" s="50" t="s">
        <v>7988</v>
      </c>
      <c r="B243" s="52" t="s">
        <v>7987</v>
      </c>
      <c r="C243" s="59" t="s">
        <v>8953</v>
      </c>
    </row>
    <row r="244" spans="1:8" x14ac:dyDescent="0.35">
      <c r="A244" s="50" t="s">
        <v>7916</v>
      </c>
      <c r="B244" s="52" t="s">
        <v>7915</v>
      </c>
      <c r="C244" s="59" t="s">
        <v>8953</v>
      </c>
      <c r="E244" s="57"/>
    </row>
    <row r="245" spans="1:8" x14ac:dyDescent="0.35">
      <c r="A245" s="50" t="s">
        <v>5584</v>
      </c>
      <c r="B245" s="52" t="s">
        <v>5583</v>
      </c>
      <c r="C245" s="59" t="s">
        <v>8953</v>
      </c>
    </row>
    <row r="246" spans="1:8" x14ac:dyDescent="0.35">
      <c r="A246" s="50" t="s">
        <v>5177</v>
      </c>
      <c r="B246" s="52" t="s">
        <v>5176</v>
      </c>
      <c r="C246" s="59" t="s">
        <v>8953</v>
      </c>
    </row>
    <row r="247" spans="1:8" x14ac:dyDescent="0.35">
      <c r="A247" s="50" t="s">
        <v>5173</v>
      </c>
      <c r="B247" s="52" t="s">
        <v>5172</v>
      </c>
      <c r="C247" s="59" t="s">
        <v>8953</v>
      </c>
    </row>
    <row r="248" spans="1:8" x14ac:dyDescent="0.35">
      <c r="A248" s="50" t="s">
        <v>4527</v>
      </c>
      <c r="B248" s="52" t="s">
        <v>4526</v>
      </c>
      <c r="C248" s="59" t="s">
        <v>8953</v>
      </c>
    </row>
    <row r="249" spans="1:8" x14ac:dyDescent="0.35">
      <c r="A249" s="50" t="s">
        <v>4520</v>
      </c>
      <c r="B249" s="52" t="s">
        <v>4519</v>
      </c>
      <c r="C249" s="59" t="s">
        <v>8953</v>
      </c>
    </row>
    <row r="250" spans="1:8" x14ac:dyDescent="0.35">
      <c r="A250" s="50" t="s">
        <v>4501</v>
      </c>
      <c r="B250" s="52" t="s">
        <v>4500</v>
      </c>
      <c r="C250" s="59" t="s">
        <v>8953</v>
      </c>
    </row>
    <row r="251" spans="1:8" x14ac:dyDescent="0.35">
      <c r="A251" s="50" t="s">
        <v>4315</v>
      </c>
      <c r="B251" s="52" t="s">
        <v>4314</v>
      </c>
      <c r="C251" s="59" t="s">
        <v>8953</v>
      </c>
    </row>
    <row r="252" spans="1:8" x14ac:dyDescent="0.35">
      <c r="A252" s="50" t="s">
        <v>8758</v>
      </c>
      <c r="B252" s="52" t="s">
        <v>8757</v>
      </c>
      <c r="C252" s="59" t="s">
        <v>1283</v>
      </c>
      <c r="E252" s="57" t="s">
        <v>8896</v>
      </c>
      <c r="F252" s="57" t="s">
        <v>8897</v>
      </c>
      <c r="G252" t="s">
        <v>3563</v>
      </c>
      <c r="H252" s="54" t="s">
        <v>3919</v>
      </c>
    </row>
    <row r="253" spans="1:8" x14ac:dyDescent="0.35">
      <c r="A253" s="51" t="s">
        <v>8758</v>
      </c>
      <c r="B253" s="52" t="s">
        <v>8757</v>
      </c>
      <c r="C253" s="59" t="s">
        <v>1283</v>
      </c>
      <c r="E253" s="57" t="s">
        <v>8896</v>
      </c>
      <c r="F253" s="57" t="s">
        <v>8900</v>
      </c>
      <c r="G253" s="8" t="s">
        <v>8898</v>
      </c>
      <c r="H253" s="54" t="s">
        <v>8899</v>
      </c>
    </row>
    <row r="254" spans="1:8" x14ac:dyDescent="0.35">
      <c r="A254" s="51" t="s">
        <v>8758</v>
      </c>
      <c r="B254" s="52" t="s">
        <v>8757</v>
      </c>
      <c r="C254" s="59" t="s">
        <v>1283</v>
      </c>
      <c r="E254" s="57" t="s">
        <v>8896</v>
      </c>
      <c r="F254" s="57" t="s">
        <v>8901</v>
      </c>
      <c r="G254" t="s">
        <v>8902</v>
      </c>
      <c r="H254" s="54" t="s">
        <v>3919</v>
      </c>
    </row>
    <row r="255" spans="1:8" x14ac:dyDescent="0.35">
      <c r="A255" s="51" t="s">
        <v>8758</v>
      </c>
      <c r="B255" s="52" t="s">
        <v>8757</v>
      </c>
      <c r="C255" s="59" t="s">
        <v>1283</v>
      </c>
      <c r="E255" s="57" t="s">
        <v>8896</v>
      </c>
      <c r="F255" s="57" t="s">
        <v>8903</v>
      </c>
      <c r="G255" s="8" t="s">
        <v>8905</v>
      </c>
      <c r="H255" s="54" t="s">
        <v>8904</v>
      </c>
    </row>
    <row r="256" spans="1:8" x14ac:dyDescent="0.35">
      <c r="A256" s="50" t="s">
        <v>7251</v>
      </c>
      <c r="B256" s="52" t="s">
        <v>7250</v>
      </c>
      <c r="C256" s="59" t="s">
        <v>9574</v>
      </c>
      <c r="E256" s="57" t="s">
        <v>9575</v>
      </c>
      <c r="F256" s="57" t="s">
        <v>9576</v>
      </c>
      <c r="G256" t="s">
        <v>2381</v>
      </c>
      <c r="H256" s="54" t="s">
        <v>2535</v>
      </c>
    </row>
    <row r="257" spans="1:8" x14ac:dyDescent="0.35">
      <c r="A257" s="50" t="s">
        <v>7251</v>
      </c>
      <c r="B257" s="52" t="s">
        <v>7250</v>
      </c>
      <c r="C257" s="59" t="s">
        <v>9574</v>
      </c>
      <c r="E257" s="57" t="s">
        <v>9575</v>
      </c>
      <c r="F257" s="57" t="s">
        <v>9577</v>
      </c>
      <c r="G257" s="8" t="s">
        <v>2536</v>
      </c>
      <c r="H257" s="54" t="s">
        <v>2537</v>
      </c>
    </row>
    <row r="258" spans="1:8" x14ac:dyDescent="0.35">
      <c r="A258" s="50" t="s">
        <v>6760</v>
      </c>
      <c r="B258" s="52" t="s">
        <v>6759</v>
      </c>
      <c r="C258" s="59" t="s">
        <v>9766</v>
      </c>
      <c r="E258" s="57" t="s">
        <v>9767</v>
      </c>
      <c r="F258" s="57" t="s">
        <v>9768</v>
      </c>
      <c r="G258" t="s">
        <v>9769</v>
      </c>
      <c r="H258" s="54" t="s">
        <v>3920</v>
      </c>
    </row>
    <row r="259" spans="1:8" x14ac:dyDescent="0.35">
      <c r="A259" s="50" t="s">
        <v>6760</v>
      </c>
      <c r="B259" s="52" t="s">
        <v>6759</v>
      </c>
      <c r="C259" s="59" t="s">
        <v>9766</v>
      </c>
      <c r="E259" s="57" t="s">
        <v>9767</v>
      </c>
      <c r="F259" s="57" t="s">
        <v>9770</v>
      </c>
      <c r="G259" s="8" t="s">
        <v>9771</v>
      </c>
      <c r="H259" s="54" t="s">
        <v>9772</v>
      </c>
    </row>
    <row r="260" spans="1:8" x14ac:dyDescent="0.35">
      <c r="A260" s="50" t="s">
        <v>5061</v>
      </c>
      <c r="B260" s="52" t="s">
        <v>5060</v>
      </c>
      <c r="C260" s="59" t="s">
        <v>10494</v>
      </c>
      <c r="E260" s="57" t="s">
        <v>10495</v>
      </c>
      <c r="F260" s="57" t="s">
        <v>10496</v>
      </c>
      <c r="G260" s="8" t="s">
        <v>10497</v>
      </c>
      <c r="H260" s="54" t="s">
        <v>10498</v>
      </c>
    </row>
    <row r="261" spans="1:8" x14ac:dyDescent="0.35">
      <c r="A261" s="50" t="s">
        <v>5061</v>
      </c>
      <c r="B261" s="52" t="s">
        <v>5060</v>
      </c>
      <c r="C261" s="59" t="s">
        <v>10494</v>
      </c>
      <c r="E261" s="57" t="s">
        <v>10495</v>
      </c>
      <c r="F261" s="57" t="s">
        <v>10499</v>
      </c>
      <c r="G261" t="s">
        <v>10500</v>
      </c>
      <c r="H261" s="54" t="s">
        <v>10498</v>
      </c>
    </row>
    <row r="262" spans="1:8" x14ac:dyDescent="0.35">
      <c r="A262" s="50" t="s">
        <v>5747</v>
      </c>
      <c r="B262" s="52" t="s">
        <v>5746</v>
      </c>
      <c r="C262" s="59" t="s">
        <v>10089</v>
      </c>
      <c r="E262" s="57" t="s">
        <v>10090</v>
      </c>
      <c r="F262" s="57" t="s">
        <v>10091</v>
      </c>
      <c r="G262" t="s">
        <v>3565</v>
      </c>
      <c r="H262" s="54" t="s">
        <v>3921</v>
      </c>
    </row>
    <row r="263" spans="1:8" x14ac:dyDescent="0.35">
      <c r="A263" s="50" t="s">
        <v>5747</v>
      </c>
      <c r="B263" s="52" t="s">
        <v>5746</v>
      </c>
      <c r="C263" s="59" t="s">
        <v>10089</v>
      </c>
      <c r="E263" s="57" t="s">
        <v>10090</v>
      </c>
      <c r="F263" s="57" t="s">
        <v>10092</v>
      </c>
      <c r="G263" t="s">
        <v>10093</v>
      </c>
      <c r="H263" s="54" t="s">
        <v>10094</v>
      </c>
    </row>
    <row r="264" spans="1:8" x14ac:dyDescent="0.35">
      <c r="A264" s="50" t="s">
        <v>5747</v>
      </c>
      <c r="B264" s="52" t="s">
        <v>5746</v>
      </c>
      <c r="C264" s="59" t="s">
        <v>10089</v>
      </c>
      <c r="E264" s="57" t="s">
        <v>10090</v>
      </c>
      <c r="F264" s="57" t="s">
        <v>10095</v>
      </c>
      <c r="G264" t="s">
        <v>3566</v>
      </c>
      <c r="H264" s="54" t="s">
        <v>3922</v>
      </c>
    </row>
    <row r="265" spans="1:8" x14ac:dyDescent="0.35">
      <c r="A265" s="50" t="s">
        <v>5747</v>
      </c>
      <c r="B265" s="52" t="s">
        <v>5746</v>
      </c>
      <c r="C265" s="59" t="s">
        <v>10089</v>
      </c>
      <c r="E265" s="57" t="s">
        <v>10090</v>
      </c>
      <c r="F265" s="57" t="s">
        <v>10096</v>
      </c>
      <c r="G265" t="s">
        <v>10097</v>
      </c>
      <c r="H265" s="54" t="s">
        <v>10098</v>
      </c>
    </row>
    <row r="266" spans="1:8" x14ac:dyDescent="0.35">
      <c r="A266" s="50" t="s">
        <v>5747</v>
      </c>
      <c r="B266" s="52" t="s">
        <v>5746</v>
      </c>
      <c r="C266" s="59" t="s">
        <v>10089</v>
      </c>
      <c r="E266" s="57" t="s">
        <v>10090</v>
      </c>
      <c r="F266" s="57" t="s">
        <v>10099</v>
      </c>
      <c r="G266" t="s">
        <v>10100</v>
      </c>
      <c r="H266" s="54" t="s">
        <v>10101</v>
      </c>
    </row>
    <row r="267" spans="1:8" x14ac:dyDescent="0.35">
      <c r="A267" s="50" t="s">
        <v>8632</v>
      </c>
      <c r="B267" s="52" t="s">
        <v>8631</v>
      </c>
      <c r="C267" s="59" t="s">
        <v>9013</v>
      </c>
      <c r="E267" s="57" t="s">
        <v>9014</v>
      </c>
      <c r="F267" s="57" t="s">
        <v>9015</v>
      </c>
      <c r="G267" t="s">
        <v>9016</v>
      </c>
      <c r="H267" s="54" t="s">
        <v>9017</v>
      </c>
    </row>
    <row r="268" spans="1:8" x14ac:dyDescent="0.35">
      <c r="A268" s="50" t="s">
        <v>8632</v>
      </c>
      <c r="B268" s="52" t="s">
        <v>8631</v>
      </c>
      <c r="C268" s="59" t="s">
        <v>9013</v>
      </c>
      <c r="E268" s="57" t="s">
        <v>9014</v>
      </c>
      <c r="F268" s="57" t="s">
        <v>9018</v>
      </c>
      <c r="G268" t="s">
        <v>9019</v>
      </c>
      <c r="H268" s="54" t="s">
        <v>9020</v>
      </c>
    </row>
    <row r="269" spans="1:8" x14ac:dyDescent="0.35">
      <c r="A269" s="50" t="s">
        <v>4900</v>
      </c>
      <c r="B269" s="52" t="s">
        <v>4899</v>
      </c>
      <c r="C269" s="59" t="s">
        <v>9013</v>
      </c>
      <c r="E269" s="57" t="s">
        <v>9014</v>
      </c>
      <c r="F269" s="57" t="s">
        <v>9015</v>
      </c>
      <c r="G269" t="s">
        <v>9016</v>
      </c>
      <c r="H269" s="54" t="s">
        <v>9017</v>
      </c>
    </row>
    <row r="270" spans="1:8" x14ac:dyDescent="0.35">
      <c r="A270" s="50" t="s">
        <v>4900</v>
      </c>
      <c r="B270" s="52" t="s">
        <v>4899</v>
      </c>
      <c r="C270" s="59" t="s">
        <v>9013</v>
      </c>
      <c r="E270" s="57" t="s">
        <v>9014</v>
      </c>
      <c r="F270" s="57" t="s">
        <v>9018</v>
      </c>
      <c r="G270" t="s">
        <v>9019</v>
      </c>
      <c r="H270" s="54" t="s">
        <v>9020</v>
      </c>
    </row>
    <row r="271" spans="1:8" x14ac:dyDescent="0.35">
      <c r="A271" s="50" t="s">
        <v>8657</v>
      </c>
      <c r="B271" s="52" t="s">
        <v>8656</v>
      </c>
      <c r="C271" s="59" t="s">
        <v>8981</v>
      </c>
      <c r="E271" s="57" t="s">
        <v>8982</v>
      </c>
      <c r="F271" s="57" t="s">
        <v>8983</v>
      </c>
      <c r="G271" s="8" t="s">
        <v>3567</v>
      </c>
      <c r="H271" s="54" t="s">
        <v>3923</v>
      </c>
    </row>
    <row r="272" spans="1:8" x14ac:dyDescent="0.35">
      <c r="A272" s="50" t="s">
        <v>8657</v>
      </c>
      <c r="B272" s="53" t="s">
        <v>8656</v>
      </c>
      <c r="C272" s="59" t="s">
        <v>8981</v>
      </c>
      <c r="E272" s="57" t="s">
        <v>8982</v>
      </c>
      <c r="F272" s="57" t="s">
        <v>8984</v>
      </c>
      <c r="G272" t="s">
        <v>8985</v>
      </c>
      <c r="H272" s="54" t="s">
        <v>3923</v>
      </c>
    </row>
    <row r="273" spans="1:8" x14ac:dyDescent="0.35">
      <c r="A273" s="50" t="s">
        <v>4482</v>
      </c>
      <c r="B273" s="52" t="s">
        <v>4481</v>
      </c>
      <c r="C273" s="59" t="s">
        <v>10669</v>
      </c>
    </row>
    <row r="274" spans="1:8" x14ac:dyDescent="0.35">
      <c r="A274" s="50" t="s">
        <v>6696</v>
      </c>
      <c r="B274" s="52" t="s">
        <v>6695</v>
      </c>
      <c r="C274" s="59" t="s">
        <v>9828</v>
      </c>
      <c r="E274" s="57" t="s">
        <v>9829</v>
      </c>
      <c r="F274" s="57" t="s">
        <v>9830</v>
      </c>
      <c r="G274" t="s">
        <v>3568</v>
      </c>
      <c r="H274" s="54" t="s">
        <v>3924</v>
      </c>
    </row>
    <row r="275" spans="1:8" x14ac:dyDescent="0.35">
      <c r="A275" s="50" t="s">
        <v>6696</v>
      </c>
      <c r="B275" s="52" t="s">
        <v>6695</v>
      </c>
      <c r="C275" s="59" t="s">
        <v>9828</v>
      </c>
      <c r="E275" s="57" t="s">
        <v>9829</v>
      </c>
      <c r="F275" s="57" t="s">
        <v>9831</v>
      </c>
      <c r="G275" t="s">
        <v>3569</v>
      </c>
      <c r="H275" s="54" t="s">
        <v>3925</v>
      </c>
    </row>
    <row r="276" spans="1:8" x14ac:dyDescent="0.35">
      <c r="A276" s="50" t="s">
        <v>7681</v>
      </c>
      <c r="B276" s="52" t="s">
        <v>7680</v>
      </c>
      <c r="C276" s="59" t="s">
        <v>9423</v>
      </c>
      <c r="E276" s="57" t="s">
        <v>9424</v>
      </c>
      <c r="F276" s="57" t="s">
        <v>9425</v>
      </c>
      <c r="G276" t="s">
        <v>3570</v>
      </c>
      <c r="H276" s="54" t="s">
        <v>3926</v>
      </c>
    </row>
    <row r="277" spans="1:8" x14ac:dyDescent="0.35">
      <c r="A277" s="50" t="s">
        <v>6538</v>
      </c>
      <c r="B277" s="52" t="s">
        <v>6537</v>
      </c>
      <c r="C277" s="59" t="s">
        <v>9901</v>
      </c>
      <c r="E277" s="57" t="s">
        <v>9902</v>
      </c>
      <c r="F277" s="57" t="s">
        <v>9903</v>
      </c>
      <c r="G277" t="s">
        <v>9904</v>
      </c>
      <c r="H277" s="54" t="s">
        <v>9905</v>
      </c>
    </row>
    <row r="278" spans="1:8" x14ac:dyDescent="0.35">
      <c r="A278" s="50" t="s">
        <v>6087</v>
      </c>
      <c r="B278" s="52" t="s">
        <v>6086</v>
      </c>
      <c r="C278" s="59" t="s">
        <v>9998</v>
      </c>
      <c r="E278" s="57" t="s">
        <v>9999</v>
      </c>
      <c r="F278" s="57" t="s">
        <v>10000</v>
      </c>
      <c r="G278" t="s">
        <v>10001</v>
      </c>
      <c r="H278" s="54" t="s">
        <v>10002</v>
      </c>
    </row>
    <row r="279" spans="1:8" x14ac:dyDescent="0.35">
      <c r="A279" s="50" t="s">
        <v>5982</v>
      </c>
      <c r="B279" s="52" t="s">
        <v>5981</v>
      </c>
      <c r="C279" s="59" t="s">
        <v>10038</v>
      </c>
      <c r="E279" s="57" t="s">
        <v>10039</v>
      </c>
      <c r="F279" s="57" t="s">
        <v>10040</v>
      </c>
      <c r="G279" t="s">
        <v>10041</v>
      </c>
      <c r="H279" s="54" t="s">
        <v>10042</v>
      </c>
    </row>
    <row r="280" spans="1:8" x14ac:dyDescent="0.35">
      <c r="A280" s="50" t="s">
        <v>6915</v>
      </c>
      <c r="B280" s="52" t="s">
        <v>6914</v>
      </c>
      <c r="C280" s="59" t="s">
        <v>9698</v>
      </c>
      <c r="E280" s="57" t="s">
        <v>9699</v>
      </c>
      <c r="F280" s="57" t="s">
        <v>9700</v>
      </c>
      <c r="G280" t="s">
        <v>3572</v>
      </c>
      <c r="H280" s="54" t="s">
        <v>3928</v>
      </c>
    </row>
    <row r="281" spans="1:8" x14ac:dyDescent="0.35">
      <c r="A281" s="50" t="s">
        <v>6915</v>
      </c>
      <c r="B281" s="52" t="s">
        <v>6914</v>
      </c>
      <c r="C281" s="59" t="s">
        <v>9698</v>
      </c>
      <c r="E281" s="57" t="s">
        <v>9699</v>
      </c>
      <c r="F281" s="57" t="s">
        <v>9701</v>
      </c>
      <c r="G281" t="s">
        <v>3571</v>
      </c>
      <c r="H281" s="54" t="s">
        <v>3927</v>
      </c>
    </row>
    <row r="282" spans="1:8" x14ac:dyDescent="0.35">
      <c r="A282" s="50" t="s">
        <v>8686</v>
      </c>
      <c r="B282" s="52" t="s">
        <v>8685</v>
      </c>
      <c r="C282" s="59" t="s">
        <v>8962</v>
      </c>
      <c r="E282" s="57" t="s">
        <v>8963</v>
      </c>
      <c r="F282" s="57" t="s">
        <v>8964</v>
      </c>
      <c r="G282" t="s">
        <v>8965</v>
      </c>
      <c r="H282" s="54" t="s">
        <v>8966</v>
      </c>
    </row>
    <row r="283" spans="1:8" x14ac:dyDescent="0.35">
      <c r="A283" s="50" t="s">
        <v>6601</v>
      </c>
      <c r="B283" s="52" t="s">
        <v>6600</v>
      </c>
      <c r="C283" s="59" t="s">
        <v>9879</v>
      </c>
      <c r="E283" s="57" t="s">
        <v>9880</v>
      </c>
      <c r="F283" s="57" t="s">
        <v>9881</v>
      </c>
      <c r="G283" t="s">
        <v>3574</v>
      </c>
      <c r="H283" s="54" t="s">
        <v>3930</v>
      </c>
    </row>
    <row r="284" spans="1:8" x14ac:dyDescent="0.35">
      <c r="A284" s="50" t="s">
        <v>6601</v>
      </c>
      <c r="B284" s="52" t="s">
        <v>6600</v>
      </c>
      <c r="C284" s="59" t="s">
        <v>9879</v>
      </c>
      <c r="E284" s="57" t="s">
        <v>9880</v>
      </c>
      <c r="F284" s="57" t="s">
        <v>9882</v>
      </c>
      <c r="G284" t="s">
        <v>3575</v>
      </c>
      <c r="H284" s="54" t="s">
        <v>3931</v>
      </c>
    </row>
    <row r="285" spans="1:8" x14ac:dyDescent="0.35">
      <c r="A285" s="50" t="s">
        <v>5188</v>
      </c>
      <c r="B285" s="52" t="s">
        <v>5187</v>
      </c>
      <c r="C285" s="59" t="s">
        <v>10379</v>
      </c>
      <c r="E285" s="57" t="s">
        <v>10380</v>
      </c>
    </row>
    <row r="286" spans="1:8" x14ac:dyDescent="0.35">
      <c r="A286" s="50" t="s">
        <v>4584</v>
      </c>
      <c r="B286" s="52" t="s">
        <v>4583</v>
      </c>
      <c r="C286" s="59" t="s">
        <v>10641</v>
      </c>
      <c r="E286" s="57" t="s">
        <v>10642</v>
      </c>
      <c r="F286" s="57" t="s">
        <v>10643</v>
      </c>
      <c r="G286" s="8" t="s">
        <v>3580</v>
      </c>
      <c r="H286" s="54" t="s">
        <v>3936</v>
      </c>
    </row>
    <row r="287" spans="1:8" x14ac:dyDescent="0.35">
      <c r="A287" s="50" t="s">
        <v>8734</v>
      </c>
      <c r="B287" s="52" t="s">
        <v>8733</v>
      </c>
      <c r="C287" s="59" t="s">
        <v>8932</v>
      </c>
      <c r="E287" s="57" t="s">
        <v>8933</v>
      </c>
      <c r="F287" s="57" t="s">
        <v>8935</v>
      </c>
      <c r="G287" s="8" t="s">
        <v>3581</v>
      </c>
      <c r="H287" s="54" t="s">
        <v>3937</v>
      </c>
    </row>
    <row r="288" spans="1:8" x14ac:dyDescent="0.35">
      <c r="A288" s="50" t="s">
        <v>8734</v>
      </c>
      <c r="B288" s="52" t="s">
        <v>8733</v>
      </c>
      <c r="C288" s="59" t="s">
        <v>8932</v>
      </c>
      <c r="E288" s="57" t="s">
        <v>8933</v>
      </c>
      <c r="F288" s="57" t="s">
        <v>8936</v>
      </c>
      <c r="G288" t="s">
        <v>8937</v>
      </c>
      <c r="H288" s="54" t="s">
        <v>8938</v>
      </c>
    </row>
    <row r="289" spans="1:8" x14ac:dyDescent="0.35">
      <c r="A289" s="50" t="s">
        <v>8734</v>
      </c>
      <c r="B289" s="52" t="s">
        <v>8733</v>
      </c>
      <c r="C289" s="59" t="s">
        <v>8932</v>
      </c>
      <c r="E289" s="57" t="s">
        <v>8933</v>
      </c>
      <c r="F289" s="57" t="s">
        <v>8939</v>
      </c>
      <c r="G289" t="s">
        <v>3582</v>
      </c>
      <c r="H289" s="54" t="s">
        <v>3938</v>
      </c>
    </row>
    <row r="290" spans="1:8" x14ac:dyDescent="0.35">
      <c r="A290" s="50" t="s">
        <v>8734</v>
      </c>
      <c r="B290" s="52" t="s">
        <v>8733</v>
      </c>
      <c r="C290" s="59" t="s">
        <v>8932</v>
      </c>
      <c r="E290" s="57" t="s">
        <v>8933</v>
      </c>
      <c r="F290" s="57" t="s">
        <v>8940</v>
      </c>
      <c r="G290" t="s">
        <v>8941</v>
      </c>
      <c r="H290" s="54" t="s">
        <v>8942</v>
      </c>
    </row>
    <row r="291" spans="1:8" x14ac:dyDescent="0.35">
      <c r="A291" s="50" t="s">
        <v>6097</v>
      </c>
      <c r="B291" s="52" t="s">
        <v>6096</v>
      </c>
      <c r="C291" s="59" t="s">
        <v>9997</v>
      </c>
    </row>
    <row r="292" spans="1:8" x14ac:dyDescent="0.35">
      <c r="A292" s="50" t="s">
        <v>6531</v>
      </c>
      <c r="B292" s="52" t="s">
        <v>6530</v>
      </c>
      <c r="C292" s="59" t="s">
        <v>9914</v>
      </c>
      <c r="E292" s="57" t="s">
        <v>9915</v>
      </c>
      <c r="F292" s="57"/>
    </row>
    <row r="293" spans="1:8" x14ac:dyDescent="0.35">
      <c r="A293" s="50" t="s">
        <v>5196</v>
      </c>
      <c r="B293" s="52" t="s">
        <v>5195</v>
      </c>
      <c r="C293" s="59" t="s">
        <v>10356</v>
      </c>
      <c r="E293" s="57" t="s">
        <v>10357</v>
      </c>
      <c r="F293" s="57" t="s">
        <v>10358</v>
      </c>
      <c r="G293" t="s">
        <v>10359</v>
      </c>
      <c r="H293" s="54" t="s">
        <v>10360</v>
      </c>
    </row>
    <row r="294" spans="1:8" x14ac:dyDescent="0.35">
      <c r="A294" s="50" t="s">
        <v>5196</v>
      </c>
      <c r="B294" s="52" t="s">
        <v>5195</v>
      </c>
      <c r="C294" s="59" t="s">
        <v>10356</v>
      </c>
      <c r="E294" s="57" t="s">
        <v>10357</v>
      </c>
      <c r="F294" s="57" t="s">
        <v>10361</v>
      </c>
      <c r="G294" t="s">
        <v>10362</v>
      </c>
      <c r="H294" s="54" t="s">
        <v>10363</v>
      </c>
    </row>
    <row r="295" spans="1:8" x14ac:dyDescent="0.35">
      <c r="A295" s="50" t="s">
        <v>7193</v>
      </c>
      <c r="B295" s="52" t="s">
        <v>7192</v>
      </c>
      <c r="C295" s="59" t="s">
        <v>9602</v>
      </c>
      <c r="E295" s="57" t="s">
        <v>9603</v>
      </c>
      <c r="F295" s="57" t="s">
        <v>9604</v>
      </c>
      <c r="G295" t="s">
        <v>9605</v>
      </c>
      <c r="H295" s="54" t="s">
        <v>9606</v>
      </c>
    </row>
    <row r="296" spans="1:8" x14ac:dyDescent="0.35">
      <c r="A296" s="50" t="s">
        <v>7791</v>
      </c>
      <c r="B296" s="52" t="s">
        <v>7790</v>
      </c>
      <c r="C296" s="59" t="s">
        <v>9348</v>
      </c>
      <c r="E296" s="57" t="s">
        <v>9349</v>
      </c>
      <c r="F296" s="57" t="s">
        <v>9350</v>
      </c>
      <c r="G296" t="s">
        <v>9351</v>
      </c>
      <c r="H296" s="54" t="s">
        <v>9352</v>
      </c>
    </row>
    <row r="297" spans="1:8" x14ac:dyDescent="0.35">
      <c r="A297" s="50" t="s">
        <v>7791</v>
      </c>
      <c r="B297" s="52" t="s">
        <v>7790</v>
      </c>
      <c r="C297" s="59" t="s">
        <v>9348</v>
      </c>
      <c r="E297" s="57" t="s">
        <v>9349</v>
      </c>
      <c r="F297" s="57" t="s">
        <v>9353</v>
      </c>
      <c r="G297" t="s">
        <v>9354</v>
      </c>
      <c r="H297" s="54" t="s">
        <v>9355</v>
      </c>
    </row>
    <row r="298" spans="1:8" x14ac:dyDescent="0.35">
      <c r="A298" s="50" t="s">
        <v>7791</v>
      </c>
      <c r="B298" s="52" t="s">
        <v>7790</v>
      </c>
      <c r="C298" s="59" t="s">
        <v>9348</v>
      </c>
      <c r="E298" s="57" t="s">
        <v>9349</v>
      </c>
      <c r="F298" s="57" t="s">
        <v>9356</v>
      </c>
      <c r="G298" t="s">
        <v>9357</v>
      </c>
      <c r="H298" s="54" t="s">
        <v>9358</v>
      </c>
    </row>
    <row r="299" spans="1:8" x14ac:dyDescent="0.35">
      <c r="A299" s="50" t="s">
        <v>7791</v>
      </c>
      <c r="B299" s="52" t="s">
        <v>7790</v>
      </c>
      <c r="C299" s="59" t="s">
        <v>9348</v>
      </c>
      <c r="E299" s="57" t="s">
        <v>9349</v>
      </c>
      <c r="F299" s="57" t="s">
        <v>9359</v>
      </c>
      <c r="G299" s="8" t="s">
        <v>9360</v>
      </c>
      <c r="H299" s="54" t="s">
        <v>9351</v>
      </c>
    </row>
    <row r="300" spans="1:8" x14ac:dyDescent="0.35">
      <c r="A300" s="50" t="s">
        <v>7791</v>
      </c>
      <c r="B300" s="52" t="s">
        <v>7790</v>
      </c>
      <c r="C300" s="59" t="s">
        <v>9348</v>
      </c>
      <c r="E300" s="57" t="s">
        <v>9349</v>
      </c>
      <c r="F300" s="57" t="s">
        <v>9361</v>
      </c>
      <c r="G300" t="s">
        <v>9362</v>
      </c>
      <c r="H300" s="54" t="s">
        <v>9363</v>
      </c>
    </row>
    <row r="301" spans="1:8" x14ac:dyDescent="0.35">
      <c r="A301" s="50" t="s">
        <v>7791</v>
      </c>
      <c r="B301" s="52" t="s">
        <v>7790</v>
      </c>
      <c r="C301" s="59" t="s">
        <v>9348</v>
      </c>
      <c r="E301" s="57" t="s">
        <v>9349</v>
      </c>
      <c r="F301" s="57" t="s">
        <v>9364</v>
      </c>
      <c r="G301" t="s">
        <v>9365</v>
      </c>
      <c r="H301" s="54" t="s">
        <v>9366</v>
      </c>
    </row>
    <row r="302" spans="1:8" x14ac:dyDescent="0.35">
      <c r="A302" s="50" t="s">
        <v>7791</v>
      </c>
      <c r="B302" s="52" t="s">
        <v>7790</v>
      </c>
      <c r="C302" s="59" t="s">
        <v>9348</v>
      </c>
      <c r="E302" s="57" t="s">
        <v>9349</v>
      </c>
      <c r="F302" s="57" t="s">
        <v>9367</v>
      </c>
      <c r="G302" t="s">
        <v>9368</v>
      </c>
      <c r="H302" s="54" t="s">
        <v>9369</v>
      </c>
    </row>
    <row r="303" spans="1:8" x14ac:dyDescent="0.35">
      <c r="A303" s="50" t="s">
        <v>7791</v>
      </c>
      <c r="B303" s="52" t="s">
        <v>7790</v>
      </c>
      <c r="C303" s="59" t="s">
        <v>9348</v>
      </c>
      <c r="E303" s="57" t="s">
        <v>9349</v>
      </c>
      <c r="F303" s="57" t="s">
        <v>9370</v>
      </c>
      <c r="G303" t="s">
        <v>9371</v>
      </c>
      <c r="H303" s="54" t="s">
        <v>9372</v>
      </c>
    </row>
    <row r="304" spans="1:8" x14ac:dyDescent="0.35">
      <c r="A304" s="50" t="s">
        <v>4797</v>
      </c>
      <c r="B304" s="52" t="s">
        <v>4796</v>
      </c>
      <c r="C304" s="59" t="s">
        <v>10588</v>
      </c>
      <c r="E304" s="57" t="s">
        <v>10589</v>
      </c>
      <c r="F304" s="57" t="s">
        <v>10590</v>
      </c>
      <c r="G304" t="s">
        <v>10591</v>
      </c>
      <c r="H304" s="54" t="s">
        <v>10592</v>
      </c>
    </row>
    <row r="305" spans="1:8" x14ac:dyDescent="0.35">
      <c r="A305" s="50" t="s">
        <v>4794</v>
      </c>
      <c r="B305" s="52" t="s">
        <v>4793</v>
      </c>
      <c r="C305" s="59" t="s">
        <v>10588</v>
      </c>
      <c r="E305" s="57" t="s">
        <v>10589</v>
      </c>
      <c r="F305" s="57" t="s">
        <v>10590</v>
      </c>
      <c r="G305" t="s">
        <v>10591</v>
      </c>
      <c r="H305" s="54" t="s">
        <v>10592</v>
      </c>
    </row>
    <row r="306" spans="1:8" x14ac:dyDescent="0.35">
      <c r="A306" s="50" t="s">
        <v>5405</v>
      </c>
      <c r="B306" s="52" t="s">
        <v>5404</v>
      </c>
      <c r="C306" s="59" t="s">
        <v>10293</v>
      </c>
      <c r="E306" s="57" t="s">
        <v>10294</v>
      </c>
      <c r="F306" s="57" t="s">
        <v>10295</v>
      </c>
      <c r="G306" t="s">
        <v>3588</v>
      </c>
      <c r="H306" s="54" t="s">
        <v>3944</v>
      </c>
    </row>
    <row r="307" spans="1:8" x14ac:dyDescent="0.35">
      <c r="A307" s="50" t="s">
        <v>5405</v>
      </c>
      <c r="B307" s="52" t="s">
        <v>5404</v>
      </c>
      <c r="C307" s="59" t="s">
        <v>10293</v>
      </c>
      <c r="E307" s="57" t="s">
        <v>10294</v>
      </c>
      <c r="F307" s="57" t="s">
        <v>10296</v>
      </c>
      <c r="G307" t="s">
        <v>3587</v>
      </c>
      <c r="H307" s="54" t="s">
        <v>3943</v>
      </c>
    </row>
    <row r="308" spans="1:8" x14ac:dyDescent="0.35">
      <c r="A308" s="50" t="s">
        <v>4637</v>
      </c>
      <c r="B308" s="52" t="s">
        <v>4636</v>
      </c>
      <c r="C308" s="59" t="s">
        <v>10625</v>
      </c>
      <c r="E308" s="57" t="s">
        <v>10626</v>
      </c>
      <c r="F308" s="57" t="s">
        <v>10627</v>
      </c>
      <c r="G308" t="s">
        <v>3589</v>
      </c>
      <c r="H308" s="54" t="s">
        <v>3945</v>
      </c>
    </row>
    <row r="309" spans="1:8" x14ac:dyDescent="0.35">
      <c r="A309" s="50" t="s">
        <v>5974</v>
      </c>
      <c r="B309" s="52" t="s">
        <v>5973</v>
      </c>
      <c r="C309" s="59" t="s">
        <v>10051</v>
      </c>
      <c r="E309" s="57" t="s">
        <v>10052</v>
      </c>
      <c r="F309" s="57" t="s">
        <v>10053</v>
      </c>
      <c r="G309" t="s">
        <v>10064</v>
      </c>
      <c r="H309" s="54" t="s">
        <v>10054</v>
      </c>
    </row>
    <row r="310" spans="1:8" x14ac:dyDescent="0.35">
      <c r="A310" s="50" t="s">
        <v>5096</v>
      </c>
      <c r="B310" s="52" t="s">
        <v>5095</v>
      </c>
      <c r="C310" s="59" t="s">
        <v>10471</v>
      </c>
      <c r="E310" s="57" t="s">
        <v>10472</v>
      </c>
      <c r="F310" s="57" t="s">
        <v>10473</v>
      </c>
      <c r="G310" t="s">
        <v>10474</v>
      </c>
      <c r="H310" s="54" t="s">
        <v>10475</v>
      </c>
    </row>
    <row r="311" spans="1:8" x14ac:dyDescent="0.35">
      <c r="A311" s="50" t="s">
        <v>6058</v>
      </c>
      <c r="B311" s="52" t="s">
        <v>6057</v>
      </c>
      <c r="C311" s="59" t="s">
        <v>10006</v>
      </c>
      <c r="E311" s="57" t="s">
        <v>10007</v>
      </c>
      <c r="F311" s="57" t="s">
        <v>10008</v>
      </c>
      <c r="G311" s="8" t="s">
        <v>3590</v>
      </c>
      <c r="H311" s="54" t="s">
        <v>3946</v>
      </c>
    </row>
    <row r="312" spans="1:8" x14ac:dyDescent="0.35">
      <c r="A312" s="50" t="s">
        <v>7643</v>
      </c>
      <c r="B312" s="52" t="s">
        <v>7642</v>
      </c>
      <c r="C312" s="59" t="s">
        <v>9437</v>
      </c>
    </row>
    <row r="313" spans="1:8" x14ac:dyDescent="0.35">
      <c r="A313" s="50" t="s">
        <v>7466</v>
      </c>
      <c r="B313" s="52" t="s">
        <v>7465</v>
      </c>
      <c r="C313" s="59" t="s">
        <v>9437</v>
      </c>
    </row>
    <row r="314" spans="1:8" x14ac:dyDescent="0.35">
      <c r="A314" s="50" t="s">
        <v>6670</v>
      </c>
      <c r="B314" s="52" t="s">
        <v>6669</v>
      </c>
      <c r="C314" s="59" t="s">
        <v>9437</v>
      </c>
    </row>
    <row r="315" spans="1:8" x14ac:dyDescent="0.35">
      <c r="A315" s="50" t="s">
        <v>5298</v>
      </c>
      <c r="B315" s="52" t="s">
        <v>5297</v>
      </c>
      <c r="C315" s="59" t="s">
        <v>9437</v>
      </c>
    </row>
    <row r="316" spans="1:8" x14ac:dyDescent="0.35">
      <c r="A316" s="50" t="s">
        <v>4707</v>
      </c>
      <c r="B316" s="52" t="s">
        <v>4706</v>
      </c>
      <c r="C316" s="59" t="s">
        <v>9437</v>
      </c>
    </row>
    <row r="317" spans="1:8" x14ac:dyDescent="0.35">
      <c r="A317" s="50" t="s">
        <v>7410</v>
      </c>
      <c r="B317" s="52" t="s">
        <v>7409</v>
      </c>
      <c r="C317" s="59" t="s">
        <v>9501</v>
      </c>
      <c r="E317" s="57" t="s">
        <v>9502</v>
      </c>
      <c r="F317" s="57" t="s">
        <v>9503</v>
      </c>
      <c r="G317" t="s">
        <v>9504</v>
      </c>
      <c r="H317" s="54" t="s">
        <v>9505</v>
      </c>
    </row>
    <row r="318" spans="1:8" x14ac:dyDescent="0.35">
      <c r="A318" s="50" t="s">
        <v>7824</v>
      </c>
      <c r="B318" s="52" t="s">
        <v>7823</v>
      </c>
      <c r="C318" s="59" t="s">
        <v>9331</v>
      </c>
      <c r="E318" s="57" t="s">
        <v>9332</v>
      </c>
      <c r="F318" s="57" t="s">
        <v>9333</v>
      </c>
      <c r="G318" t="s">
        <v>3598</v>
      </c>
      <c r="H318" s="54" t="s">
        <v>9334</v>
      </c>
    </row>
    <row r="319" spans="1:8" x14ac:dyDescent="0.35">
      <c r="A319" s="50" t="s">
        <v>4862</v>
      </c>
      <c r="B319" s="52" t="s">
        <v>4861</v>
      </c>
      <c r="C319" s="59" t="s">
        <v>10567</v>
      </c>
      <c r="E319" s="57" t="s">
        <v>10568</v>
      </c>
      <c r="F319" s="57" t="s">
        <v>10569</v>
      </c>
      <c r="G319" t="s">
        <v>10570</v>
      </c>
      <c r="H319" s="54" t="s">
        <v>10571</v>
      </c>
    </row>
    <row r="320" spans="1:8" x14ac:dyDescent="0.35">
      <c r="A320" s="50" t="s">
        <v>6797</v>
      </c>
      <c r="B320" s="52" t="s">
        <v>6796</v>
      </c>
      <c r="C320" s="59" t="s">
        <v>9753</v>
      </c>
      <c r="E320" s="57" t="s">
        <v>9754</v>
      </c>
      <c r="F320" s="57" t="s">
        <v>9755</v>
      </c>
      <c r="G320" t="s">
        <v>3599</v>
      </c>
      <c r="H320" s="54" t="s">
        <v>3956</v>
      </c>
    </row>
    <row r="321" spans="1:8" x14ac:dyDescent="0.35">
      <c r="A321" s="50" t="s">
        <v>6797</v>
      </c>
      <c r="B321" s="52" t="s">
        <v>6796</v>
      </c>
      <c r="C321" s="59" t="s">
        <v>9753</v>
      </c>
      <c r="E321" s="57" t="s">
        <v>9754</v>
      </c>
      <c r="F321" s="57" t="s">
        <v>9756</v>
      </c>
      <c r="G321" t="s">
        <v>3600</v>
      </c>
      <c r="H321" s="54" t="s">
        <v>3957</v>
      </c>
    </row>
    <row r="322" spans="1:8" x14ac:dyDescent="0.35">
      <c r="A322" s="50" t="s">
        <v>6797</v>
      </c>
      <c r="B322" s="52" t="s">
        <v>6796</v>
      </c>
      <c r="C322" s="59" t="s">
        <v>9753</v>
      </c>
      <c r="E322" s="57" t="s">
        <v>9754</v>
      </c>
      <c r="F322" s="57" t="s">
        <v>9757</v>
      </c>
      <c r="G322" t="s">
        <v>3601</v>
      </c>
      <c r="H322" s="54" t="s">
        <v>3958</v>
      </c>
    </row>
    <row r="323" spans="1:8" x14ac:dyDescent="0.35">
      <c r="A323" s="50" t="s">
        <v>6797</v>
      </c>
      <c r="B323" s="52" t="s">
        <v>6796</v>
      </c>
      <c r="C323" s="59" t="s">
        <v>9753</v>
      </c>
      <c r="E323" s="57" t="s">
        <v>9754</v>
      </c>
      <c r="F323" s="57" t="s">
        <v>9758</v>
      </c>
      <c r="G323" t="s">
        <v>3602</v>
      </c>
      <c r="H323" s="54" t="s">
        <v>9759</v>
      </c>
    </row>
    <row r="324" spans="1:8" x14ac:dyDescent="0.35">
      <c r="A324" s="50" t="s">
        <v>5109</v>
      </c>
      <c r="B324" s="52" t="s">
        <v>5108</v>
      </c>
      <c r="C324" s="59" t="s">
        <v>10462</v>
      </c>
      <c r="E324" s="57" t="s">
        <v>10463</v>
      </c>
      <c r="F324" s="57" t="s">
        <v>10464</v>
      </c>
      <c r="G324" t="s">
        <v>10465</v>
      </c>
      <c r="H324" s="54" t="s">
        <v>10466</v>
      </c>
    </row>
    <row r="325" spans="1:8" x14ac:dyDescent="0.35">
      <c r="A325" s="50" t="s">
        <v>5109</v>
      </c>
      <c r="B325" s="52" t="s">
        <v>5108</v>
      </c>
      <c r="C325" s="59" t="s">
        <v>10462</v>
      </c>
      <c r="E325" s="57" t="s">
        <v>10463</v>
      </c>
      <c r="F325" s="57" t="s">
        <v>10467</v>
      </c>
      <c r="G325" t="s">
        <v>10468</v>
      </c>
      <c r="H325" s="54" t="s">
        <v>10468</v>
      </c>
    </row>
    <row r="326" spans="1:8" x14ac:dyDescent="0.35">
      <c r="A326" s="50" t="s">
        <v>5680</v>
      </c>
      <c r="B326" s="52" t="s">
        <v>5679</v>
      </c>
      <c r="C326" s="59" t="s">
        <v>10139</v>
      </c>
      <c r="E326" s="57" t="s">
        <v>10140</v>
      </c>
      <c r="F326" s="57" t="s">
        <v>10141</v>
      </c>
      <c r="G326" t="s">
        <v>10142</v>
      </c>
      <c r="H326" s="54" t="s">
        <v>10143</v>
      </c>
    </row>
    <row r="327" spans="1:8" x14ac:dyDescent="0.35">
      <c r="A327" s="50" t="s">
        <v>5680</v>
      </c>
      <c r="B327" s="52" t="s">
        <v>5679</v>
      </c>
      <c r="C327" s="59" t="s">
        <v>10139</v>
      </c>
      <c r="E327" s="57" t="s">
        <v>10140</v>
      </c>
      <c r="F327" s="57" t="s">
        <v>10144</v>
      </c>
      <c r="G327" t="s">
        <v>3592</v>
      </c>
      <c r="H327" s="54" t="s">
        <v>3948</v>
      </c>
    </row>
    <row r="328" spans="1:8" x14ac:dyDescent="0.35">
      <c r="A328" s="50" t="s">
        <v>5680</v>
      </c>
      <c r="B328" s="52" t="s">
        <v>5679</v>
      </c>
      <c r="C328" s="59" t="s">
        <v>10139</v>
      </c>
      <c r="E328" s="57" t="s">
        <v>10140</v>
      </c>
      <c r="F328" s="57" t="s">
        <v>10145</v>
      </c>
      <c r="G328" t="s">
        <v>3593</v>
      </c>
      <c r="H328" s="54" t="s">
        <v>3949</v>
      </c>
    </row>
    <row r="329" spans="1:8" x14ac:dyDescent="0.35">
      <c r="A329" s="50" t="s">
        <v>8388</v>
      </c>
      <c r="B329" s="52" t="s">
        <v>8387</v>
      </c>
      <c r="C329" s="59" t="s">
        <v>9099</v>
      </c>
      <c r="E329" s="57"/>
    </row>
    <row r="330" spans="1:8" x14ac:dyDescent="0.35">
      <c r="A330" s="50" t="s">
        <v>8577</v>
      </c>
      <c r="B330" s="52" t="s">
        <v>8576</v>
      </c>
      <c r="C330" s="59" t="s">
        <v>9023</v>
      </c>
      <c r="E330" s="57"/>
    </row>
    <row r="331" spans="1:8" x14ac:dyDescent="0.35">
      <c r="A331" s="50" t="s">
        <v>6629</v>
      </c>
      <c r="B331" s="52" t="s">
        <v>6628</v>
      </c>
      <c r="C331" s="59" t="s">
        <v>9023</v>
      </c>
    </row>
    <row r="332" spans="1:8" x14ac:dyDescent="0.35">
      <c r="A332" s="50" t="s">
        <v>5904</v>
      </c>
      <c r="B332" s="52" t="s">
        <v>5903</v>
      </c>
      <c r="C332" s="59" t="s">
        <v>9023</v>
      </c>
    </row>
    <row r="333" spans="1:8" x14ac:dyDescent="0.35">
      <c r="A333" s="50" t="s">
        <v>5049</v>
      </c>
      <c r="B333" s="52" t="s">
        <v>5048</v>
      </c>
      <c r="C333" s="59" t="s">
        <v>9023</v>
      </c>
    </row>
    <row r="334" spans="1:8" x14ac:dyDescent="0.35">
      <c r="A334" s="50" t="s">
        <v>4768</v>
      </c>
      <c r="B334" s="52" t="s">
        <v>4767</v>
      </c>
      <c r="C334" s="59" t="s">
        <v>9023</v>
      </c>
    </row>
    <row r="335" spans="1:8" x14ac:dyDescent="0.35">
      <c r="A335" s="50" t="s">
        <v>4650</v>
      </c>
      <c r="B335" s="52" t="s">
        <v>4649</v>
      </c>
      <c r="C335" s="59" t="s">
        <v>9023</v>
      </c>
    </row>
    <row r="336" spans="1:8" x14ac:dyDescent="0.35">
      <c r="A336" s="50" t="s">
        <v>4319</v>
      </c>
      <c r="B336" s="52" t="s">
        <v>4318</v>
      </c>
      <c r="C336" s="59" t="s">
        <v>9023</v>
      </c>
    </row>
    <row r="337" spans="1:8" x14ac:dyDescent="0.35">
      <c r="A337" s="50" t="s">
        <v>4317</v>
      </c>
      <c r="B337" s="52" t="s">
        <v>4316</v>
      </c>
      <c r="C337" s="59" t="s">
        <v>9023</v>
      </c>
    </row>
    <row r="338" spans="1:8" x14ac:dyDescent="0.35">
      <c r="A338" s="50" t="s">
        <v>4267</v>
      </c>
      <c r="B338" s="52" t="s">
        <v>4266</v>
      </c>
      <c r="C338" s="59" t="s">
        <v>10776</v>
      </c>
      <c r="E338" s="57" t="s">
        <v>10777</v>
      </c>
      <c r="F338" s="57" t="s">
        <v>10778</v>
      </c>
      <c r="G338" s="8" t="s">
        <v>10779</v>
      </c>
      <c r="H338" s="54" t="s">
        <v>10780</v>
      </c>
    </row>
    <row r="339" spans="1:8" x14ac:dyDescent="0.35">
      <c r="A339" s="50" t="s">
        <v>6111</v>
      </c>
      <c r="B339" s="52" t="s">
        <v>6110</v>
      </c>
      <c r="C339" s="59" t="s">
        <v>9993</v>
      </c>
      <c r="E339" s="57" t="s">
        <v>9994</v>
      </c>
      <c r="F339" s="57" t="s">
        <v>9995</v>
      </c>
      <c r="G339" t="s">
        <v>3615</v>
      </c>
      <c r="H339" s="54" t="s">
        <v>3972</v>
      </c>
    </row>
    <row r="340" spans="1:8" x14ac:dyDescent="0.35">
      <c r="A340" s="50" t="s">
        <v>6111</v>
      </c>
      <c r="B340" s="52" t="s">
        <v>6110</v>
      </c>
      <c r="C340" s="59" t="s">
        <v>9993</v>
      </c>
      <c r="E340" s="57" t="s">
        <v>9994</v>
      </c>
      <c r="F340" s="57" t="s">
        <v>9996</v>
      </c>
      <c r="G340" s="8" t="s">
        <v>3616</v>
      </c>
      <c r="H340" s="54" t="s">
        <v>3973</v>
      </c>
    </row>
    <row r="341" spans="1:8" x14ac:dyDescent="0.35">
      <c r="A341" s="50" t="s">
        <v>5370</v>
      </c>
      <c r="B341" s="52" t="s">
        <v>5369</v>
      </c>
      <c r="C341" s="59" t="s">
        <v>9993</v>
      </c>
      <c r="E341" s="57" t="s">
        <v>9994</v>
      </c>
      <c r="F341" s="57" t="s">
        <v>9995</v>
      </c>
      <c r="G341" t="s">
        <v>3615</v>
      </c>
      <c r="H341" s="54" t="s">
        <v>3972</v>
      </c>
    </row>
    <row r="342" spans="1:8" x14ac:dyDescent="0.35">
      <c r="A342" s="50" t="s">
        <v>5370</v>
      </c>
      <c r="B342" s="52" t="s">
        <v>5369</v>
      </c>
      <c r="C342" s="59" t="s">
        <v>9993</v>
      </c>
      <c r="E342" s="57" t="s">
        <v>9994</v>
      </c>
      <c r="F342" s="57" t="s">
        <v>9996</v>
      </c>
      <c r="G342" t="s">
        <v>3616</v>
      </c>
      <c r="H342" s="54" t="s">
        <v>3973</v>
      </c>
    </row>
    <row r="343" spans="1:8" x14ac:dyDescent="0.35">
      <c r="A343" s="50" t="s">
        <v>5065</v>
      </c>
      <c r="B343" s="52" t="s">
        <v>5064</v>
      </c>
      <c r="C343" s="59" t="s">
        <v>10484</v>
      </c>
      <c r="E343" s="57" t="s">
        <v>10485</v>
      </c>
      <c r="F343" s="57" t="s">
        <v>10486</v>
      </c>
      <c r="G343" t="s">
        <v>10487</v>
      </c>
      <c r="H343" s="54" t="s">
        <v>10488</v>
      </c>
    </row>
    <row r="344" spans="1:8" x14ac:dyDescent="0.35">
      <c r="A344" s="50" t="s">
        <v>5065</v>
      </c>
      <c r="B344" s="52" t="s">
        <v>5064</v>
      </c>
      <c r="C344" s="59" t="s">
        <v>10484</v>
      </c>
      <c r="E344" s="57" t="s">
        <v>10485</v>
      </c>
      <c r="F344" s="57" t="s">
        <v>10489</v>
      </c>
      <c r="G344" t="s">
        <v>10490</v>
      </c>
      <c r="H344" s="54" t="s">
        <v>10491</v>
      </c>
    </row>
    <row r="345" spans="1:8" x14ac:dyDescent="0.35">
      <c r="A345" s="50" t="s">
        <v>5065</v>
      </c>
      <c r="B345" s="52" t="s">
        <v>5064</v>
      </c>
      <c r="C345" s="59" t="s">
        <v>10484</v>
      </c>
      <c r="E345" s="57" t="s">
        <v>10485</v>
      </c>
      <c r="F345" s="57" t="s">
        <v>10492</v>
      </c>
      <c r="G345" t="s">
        <v>10493</v>
      </c>
      <c r="H345" s="54" t="s">
        <v>10493</v>
      </c>
    </row>
    <row r="346" spans="1:8" x14ac:dyDescent="0.35">
      <c r="A346" s="50" t="s">
        <v>4535</v>
      </c>
      <c r="B346" s="52" t="s">
        <v>4534</v>
      </c>
      <c r="C346" s="59" t="s">
        <v>10655</v>
      </c>
      <c r="E346" s="57" t="s">
        <v>10656</v>
      </c>
      <c r="F346" s="57" t="s">
        <v>10657</v>
      </c>
      <c r="G346" t="s">
        <v>10658</v>
      </c>
      <c r="H346" s="54" t="s">
        <v>10659</v>
      </c>
    </row>
    <row r="347" spans="1:8" x14ac:dyDescent="0.35">
      <c r="A347" s="50" t="s">
        <v>4452</v>
      </c>
      <c r="B347" s="52" t="s">
        <v>4451</v>
      </c>
      <c r="C347" s="59" t="s">
        <v>10677</v>
      </c>
      <c r="E347" s="57" t="s">
        <v>10678</v>
      </c>
      <c r="F347" s="57" t="s">
        <v>10679</v>
      </c>
      <c r="G347" t="s">
        <v>10680</v>
      </c>
      <c r="H347" s="54" t="s">
        <v>10681</v>
      </c>
    </row>
    <row r="348" spans="1:8" x14ac:dyDescent="0.35">
      <c r="A348" s="50" t="s">
        <v>4360</v>
      </c>
      <c r="B348" s="52" t="s">
        <v>4359</v>
      </c>
      <c r="C348" s="59" t="s">
        <v>10757</v>
      </c>
      <c r="E348" s="57" t="s">
        <v>10758</v>
      </c>
      <c r="F348" s="57" t="s">
        <v>10759</v>
      </c>
      <c r="G348" t="s">
        <v>10760</v>
      </c>
      <c r="H348" s="54" t="s">
        <v>10761</v>
      </c>
    </row>
    <row r="349" spans="1:8" x14ac:dyDescent="0.35">
      <c r="A349" s="50" t="s">
        <v>5217</v>
      </c>
      <c r="B349" s="52" t="s">
        <v>5216</v>
      </c>
      <c r="C349" s="59" t="s">
        <v>10339</v>
      </c>
      <c r="E349" s="57" t="s">
        <v>10340</v>
      </c>
      <c r="F349" s="57" t="s">
        <v>10342</v>
      </c>
      <c r="G349" t="s">
        <v>10341</v>
      </c>
      <c r="H349" s="54" t="s">
        <v>10343</v>
      </c>
    </row>
    <row r="350" spans="1:8" x14ac:dyDescent="0.35">
      <c r="A350" s="50" t="s">
        <v>5217</v>
      </c>
      <c r="B350" s="52" t="s">
        <v>5216</v>
      </c>
      <c r="C350" s="59" t="s">
        <v>10339</v>
      </c>
      <c r="E350" s="57" t="s">
        <v>10340</v>
      </c>
      <c r="F350" s="57" t="s">
        <v>10344</v>
      </c>
      <c r="G350" t="s">
        <v>10345</v>
      </c>
      <c r="H350" s="54" t="s">
        <v>10346</v>
      </c>
    </row>
    <row r="351" spans="1:8" x14ac:dyDescent="0.35">
      <c r="A351" s="50" t="s">
        <v>5217</v>
      </c>
      <c r="B351" s="52" t="s">
        <v>5216</v>
      </c>
      <c r="C351" s="59" t="s">
        <v>10339</v>
      </c>
      <c r="E351" s="57" t="s">
        <v>10340</v>
      </c>
      <c r="F351" s="57" t="s">
        <v>10347</v>
      </c>
      <c r="G351" t="s">
        <v>10348</v>
      </c>
      <c r="H351" s="54" t="s">
        <v>10349</v>
      </c>
    </row>
    <row r="352" spans="1:8" x14ac:dyDescent="0.35">
      <c r="A352" s="50" t="s">
        <v>5435</v>
      </c>
      <c r="B352" s="52" t="s">
        <v>5434</v>
      </c>
      <c r="C352" s="59" t="s">
        <v>10267</v>
      </c>
      <c r="E352" s="57" t="s">
        <v>10268</v>
      </c>
      <c r="F352" s="57" t="s">
        <v>10269</v>
      </c>
      <c r="G352" t="s">
        <v>10270</v>
      </c>
      <c r="H352" s="54" t="s">
        <v>10271</v>
      </c>
    </row>
    <row r="353" spans="1:8" x14ac:dyDescent="0.35">
      <c r="A353" s="50" t="s">
        <v>7346</v>
      </c>
      <c r="B353" s="52" t="s">
        <v>7345</v>
      </c>
      <c r="C353" s="59" t="s">
        <v>9534</v>
      </c>
      <c r="E353" s="57" t="s">
        <v>9535</v>
      </c>
      <c r="F353" s="57" t="s">
        <v>9536</v>
      </c>
      <c r="G353" t="s">
        <v>3621</v>
      </c>
      <c r="H353" s="54" t="s">
        <v>3978</v>
      </c>
    </row>
    <row r="354" spans="1:8" x14ac:dyDescent="0.35">
      <c r="A354" s="50" t="s">
        <v>7231</v>
      </c>
      <c r="B354" s="52" t="s">
        <v>7230</v>
      </c>
      <c r="C354" s="59" t="s">
        <v>9583</v>
      </c>
      <c r="E354" s="57" t="s">
        <v>9584</v>
      </c>
      <c r="F354" s="57" t="s">
        <v>9585</v>
      </c>
      <c r="G354" t="s">
        <v>3573</v>
      </c>
      <c r="H354" s="54" t="s">
        <v>3979</v>
      </c>
    </row>
    <row r="355" spans="1:8" x14ac:dyDescent="0.35">
      <c r="A355" s="50" t="s">
        <v>5020</v>
      </c>
      <c r="B355" s="52" t="s">
        <v>5019</v>
      </c>
      <c r="C355" s="59" t="s">
        <v>10518</v>
      </c>
      <c r="E355" s="57" t="s">
        <v>10519</v>
      </c>
      <c r="F355" s="57" t="s">
        <v>10520</v>
      </c>
      <c r="G355" t="s">
        <v>3622</v>
      </c>
      <c r="H355" s="54" t="s">
        <v>3980</v>
      </c>
    </row>
    <row r="356" spans="1:8" x14ac:dyDescent="0.35">
      <c r="A356" s="50" t="s">
        <v>5960</v>
      </c>
      <c r="B356" s="52" t="s">
        <v>5959</v>
      </c>
      <c r="C356" s="59" t="s">
        <v>10055</v>
      </c>
      <c r="E356" s="57" t="s">
        <v>10056</v>
      </c>
      <c r="F356" s="57" t="s">
        <v>10057</v>
      </c>
      <c r="G356" t="s">
        <v>3624</v>
      </c>
      <c r="H356" s="54" t="s">
        <v>3982</v>
      </c>
    </row>
    <row r="357" spans="1:8" x14ac:dyDescent="0.35">
      <c r="A357" s="50" t="s">
        <v>7807</v>
      </c>
      <c r="B357" s="52" t="s">
        <v>7806</v>
      </c>
      <c r="C357" s="59" t="s">
        <v>9342</v>
      </c>
      <c r="E357" s="57" t="s">
        <v>9343</v>
      </c>
      <c r="F357" s="57" t="s">
        <v>9344</v>
      </c>
      <c r="G357" s="8" t="s">
        <v>3626</v>
      </c>
      <c r="H357" s="54" t="s">
        <v>3984</v>
      </c>
    </row>
    <row r="358" spans="1:8" x14ac:dyDescent="0.35">
      <c r="A358" s="50" t="s">
        <v>7807</v>
      </c>
      <c r="B358" s="52" t="s">
        <v>7806</v>
      </c>
      <c r="C358" s="59" t="s">
        <v>9342</v>
      </c>
      <c r="E358" s="57" t="s">
        <v>9343</v>
      </c>
      <c r="F358" s="57" t="s">
        <v>9345</v>
      </c>
      <c r="G358" s="8" t="s">
        <v>9346</v>
      </c>
      <c r="H358" s="54" t="s">
        <v>3983</v>
      </c>
    </row>
    <row r="359" spans="1:8" x14ac:dyDescent="0.35">
      <c r="A359" s="50" t="s">
        <v>7807</v>
      </c>
      <c r="B359" s="52" t="s">
        <v>7806</v>
      </c>
      <c r="C359" s="59" t="s">
        <v>9342</v>
      </c>
      <c r="E359" s="57" t="s">
        <v>9343</v>
      </c>
      <c r="F359" s="57" t="s">
        <v>9347</v>
      </c>
      <c r="G359" s="8" t="s">
        <v>3627</v>
      </c>
      <c r="H359" s="54" t="s">
        <v>3985</v>
      </c>
    </row>
    <row r="360" spans="1:8" x14ac:dyDescent="0.35">
      <c r="A360" s="50" t="s">
        <v>7067</v>
      </c>
      <c r="B360" s="52" t="s">
        <v>7066</v>
      </c>
      <c r="C360" s="59" t="s">
        <v>9668</v>
      </c>
      <c r="E360" s="57" t="s">
        <v>9669</v>
      </c>
      <c r="F360" s="57" t="s">
        <v>9670</v>
      </c>
      <c r="G360" t="s">
        <v>9671</v>
      </c>
      <c r="H360" s="54" t="s">
        <v>9672</v>
      </c>
    </row>
    <row r="361" spans="1:8" x14ac:dyDescent="0.35">
      <c r="A361" s="50" t="s">
        <v>7067</v>
      </c>
      <c r="B361" s="52" t="s">
        <v>7066</v>
      </c>
      <c r="C361" s="59" t="s">
        <v>9668</v>
      </c>
      <c r="E361" s="57" t="s">
        <v>9669</v>
      </c>
      <c r="F361" s="57" t="s">
        <v>9673</v>
      </c>
      <c r="G361" t="s">
        <v>9674</v>
      </c>
      <c r="H361" s="54" t="s">
        <v>9675</v>
      </c>
    </row>
    <row r="362" spans="1:8" x14ac:dyDescent="0.35">
      <c r="A362" s="50" t="s">
        <v>7067</v>
      </c>
      <c r="B362" s="52" t="s">
        <v>7066</v>
      </c>
      <c r="C362" s="59" t="s">
        <v>9668</v>
      </c>
      <c r="E362" s="57" t="s">
        <v>9669</v>
      </c>
      <c r="F362" s="57" t="s">
        <v>9676</v>
      </c>
      <c r="G362" t="s">
        <v>9677</v>
      </c>
      <c r="H362" s="54" t="s">
        <v>9678</v>
      </c>
    </row>
    <row r="363" spans="1:8" x14ac:dyDescent="0.35">
      <c r="A363" s="50" t="s">
        <v>4655</v>
      </c>
      <c r="B363" s="52" t="s">
        <v>4654</v>
      </c>
      <c r="C363" s="59" t="s">
        <v>10613</v>
      </c>
      <c r="E363" s="57" t="s">
        <v>10614</v>
      </c>
      <c r="F363" s="57" t="s">
        <v>10615</v>
      </c>
      <c r="G363" t="s">
        <v>3629</v>
      </c>
      <c r="H363" s="54" t="s">
        <v>3987</v>
      </c>
    </row>
    <row r="364" spans="1:8" x14ac:dyDescent="0.35">
      <c r="A364" s="50" t="s">
        <v>7225</v>
      </c>
      <c r="B364" s="52" t="s">
        <v>7224</v>
      </c>
      <c r="C364" s="59" t="s">
        <v>9587</v>
      </c>
      <c r="E364" s="57" t="s">
        <v>9588</v>
      </c>
      <c r="F364" s="57" t="s">
        <v>9589</v>
      </c>
      <c r="G364" t="s">
        <v>3630</v>
      </c>
      <c r="H364" s="54" t="s">
        <v>3988</v>
      </c>
    </row>
    <row r="365" spans="1:8" x14ac:dyDescent="0.35">
      <c r="A365" s="50" t="s">
        <v>7225</v>
      </c>
      <c r="B365" s="52" t="s">
        <v>7224</v>
      </c>
      <c r="C365" s="59" t="s">
        <v>9587</v>
      </c>
      <c r="E365" s="57" t="s">
        <v>9588</v>
      </c>
      <c r="F365" s="57" t="s">
        <v>9590</v>
      </c>
      <c r="G365" t="s">
        <v>3631</v>
      </c>
      <c r="H365" s="54" t="s">
        <v>3989</v>
      </c>
    </row>
    <row r="366" spans="1:8" x14ac:dyDescent="0.35">
      <c r="A366" s="50" t="s">
        <v>7225</v>
      </c>
      <c r="B366" s="52" t="s">
        <v>7224</v>
      </c>
      <c r="C366" s="59" t="s">
        <v>9587</v>
      </c>
      <c r="E366" s="57" t="s">
        <v>9588</v>
      </c>
      <c r="F366" s="57" t="s">
        <v>9591</v>
      </c>
      <c r="G366" s="8" t="s">
        <v>9592</v>
      </c>
      <c r="H366" s="54" t="s">
        <v>3990</v>
      </c>
    </row>
    <row r="367" spans="1:8" x14ac:dyDescent="0.35">
      <c r="A367" s="50" t="s">
        <v>7225</v>
      </c>
      <c r="B367" s="52" t="s">
        <v>7224</v>
      </c>
      <c r="C367" s="59" t="s">
        <v>9587</v>
      </c>
      <c r="E367" s="57" t="s">
        <v>9588</v>
      </c>
      <c r="F367" s="57" t="s">
        <v>9593</v>
      </c>
      <c r="G367" s="8" t="s">
        <v>3633</v>
      </c>
      <c r="H367" s="54" t="s">
        <v>3991</v>
      </c>
    </row>
    <row r="368" spans="1:8" x14ac:dyDescent="0.35">
      <c r="A368" s="50" t="s">
        <v>7225</v>
      </c>
      <c r="B368" s="52" t="s">
        <v>7224</v>
      </c>
      <c r="C368" s="59" t="s">
        <v>9587</v>
      </c>
      <c r="E368" s="57" t="s">
        <v>9588</v>
      </c>
      <c r="F368" s="57" t="s">
        <v>9594</v>
      </c>
      <c r="G368" s="8" t="s">
        <v>3634</v>
      </c>
      <c r="H368" s="54" t="s">
        <v>3992</v>
      </c>
    </row>
    <row r="369" spans="1:8" x14ac:dyDescent="0.35">
      <c r="A369" s="50" t="s">
        <v>7225</v>
      </c>
      <c r="B369" s="52" t="s">
        <v>7224</v>
      </c>
      <c r="C369" s="59" t="s">
        <v>9587</v>
      </c>
      <c r="E369" s="57" t="s">
        <v>9588</v>
      </c>
      <c r="F369" s="57" t="s">
        <v>9595</v>
      </c>
      <c r="G369" s="8" t="s">
        <v>3635</v>
      </c>
      <c r="H369" s="54" t="s">
        <v>3993</v>
      </c>
    </row>
    <row r="370" spans="1:8" x14ac:dyDescent="0.35">
      <c r="A370" s="50" t="s">
        <v>7225</v>
      </c>
      <c r="B370" s="52" t="s">
        <v>7224</v>
      </c>
      <c r="C370" s="59" t="s">
        <v>9587</v>
      </c>
      <c r="E370" s="57" t="s">
        <v>9588</v>
      </c>
      <c r="F370" s="57" t="s">
        <v>9596</v>
      </c>
      <c r="G370" s="8" t="s">
        <v>3637</v>
      </c>
      <c r="H370" s="54" t="s">
        <v>3995</v>
      </c>
    </row>
    <row r="371" spans="1:8" x14ac:dyDescent="0.35">
      <c r="A371" s="50" t="s">
        <v>7225</v>
      </c>
      <c r="B371" s="52" t="s">
        <v>7224</v>
      </c>
      <c r="C371" s="59" t="s">
        <v>9587</v>
      </c>
      <c r="E371" s="57" t="s">
        <v>9588</v>
      </c>
      <c r="F371" s="57" t="s">
        <v>9597</v>
      </c>
      <c r="G371" s="8" t="s">
        <v>3636</v>
      </c>
      <c r="H371" s="54" t="s">
        <v>3994</v>
      </c>
    </row>
    <row r="372" spans="1:8" x14ac:dyDescent="0.35">
      <c r="A372" s="50" t="s">
        <v>5616</v>
      </c>
      <c r="B372" s="52" t="s">
        <v>5615</v>
      </c>
      <c r="C372" s="59" t="s">
        <v>10179</v>
      </c>
      <c r="E372" s="57" t="s">
        <v>10180</v>
      </c>
      <c r="F372" s="57" t="s">
        <v>10181</v>
      </c>
      <c r="G372" t="s">
        <v>3643</v>
      </c>
      <c r="H372" s="54" t="s">
        <v>4001</v>
      </c>
    </row>
    <row r="373" spans="1:8" x14ac:dyDescent="0.35">
      <c r="A373" s="50" t="s">
        <v>5625</v>
      </c>
      <c r="B373" s="52" t="s">
        <v>5624</v>
      </c>
      <c r="C373" s="59" t="s">
        <v>10169</v>
      </c>
      <c r="E373" s="57" t="s">
        <v>10170</v>
      </c>
      <c r="F373" s="57" t="s">
        <v>10171</v>
      </c>
      <c r="G373" t="s">
        <v>10172</v>
      </c>
      <c r="H373" s="54" t="s">
        <v>10173</v>
      </c>
    </row>
    <row r="374" spans="1:8" x14ac:dyDescent="0.35">
      <c r="A374" s="50" t="s">
        <v>7901</v>
      </c>
      <c r="B374" s="52" t="s">
        <v>7900</v>
      </c>
      <c r="C374" s="59" t="s">
        <v>9287</v>
      </c>
      <c r="E374" s="57" t="s">
        <v>9288</v>
      </c>
      <c r="F374" s="57" t="s">
        <v>9289</v>
      </c>
      <c r="G374" t="s">
        <v>9290</v>
      </c>
      <c r="H374" s="54" t="s">
        <v>4002</v>
      </c>
    </row>
    <row r="375" spans="1:8" x14ac:dyDescent="0.35">
      <c r="A375" s="50" t="s">
        <v>5588</v>
      </c>
      <c r="B375" s="52" t="s">
        <v>5587</v>
      </c>
      <c r="C375" s="59" t="s">
        <v>10185</v>
      </c>
      <c r="E375" s="57" t="s">
        <v>10186</v>
      </c>
      <c r="F375" s="57" t="s">
        <v>10187</v>
      </c>
      <c r="G375" t="s">
        <v>10188</v>
      </c>
      <c r="H375" s="54" t="s">
        <v>10189</v>
      </c>
    </row>
    <row r="376" spans="1:8" x14ac:dyDescent="0.35">
      <c r="A376" s="50" t="s">
        <v>5588</v>
      </c>
      <c r="B376" s="52" t="s">
        <v>5587</v>
      </c>
      <c r="C376" s="59" t="s">
        <v>10185</v>
      </c>
      <c r="E376" s="57" t="s">
        <v>10186</v>
      </c>
      <c r="F376" s="57" t="s">
        <v>10190</v>
      </c>
      <c r="G376" t="s">
        <v>10191</v>
      </c>
      <c r="H376" s="54" t="s">
        <v>10192</v>
      </c>
    </row>
    <row r="377" spans="1:8" x14ac:dyDescent="0.35">
      <c r="A377" s="50" t="s">
        <v>5588</v>
      </c>
      <c r="B377" s="52" t="s">
        <v>5587</v>
      </c>
      <c r="C377" s="59" t="s">
        <v>10185</v>
      </c>
      <c r="E377" s="57" t="s">
        <v>10186</v>
      </c>
      <c r="F377" s="57" t="s">
        <v>10193</v>
      </c>
      <c r="G377" t="s">
        <v>10194</v>
      </c>
      <c r="H377" s="54" t="s">
        <v>10195</v>
      </c>
    </row>
    <row r="378" spans="1:8" x14ac:dyDescent="0.35">
      <c r="A378" s="50" t="s">
        <v>8738</v>
      </c>
      <c r="B378" s="52" t="s">
        <v>8737</v>
      </c>
      <c r="C378" s="59" t="s">
        <v>8929</v>
      </c>
    </row>
    <row r="379" spans="1:8" x14ac:dyDescent="0.35">
      <c r="A379" s="50" t="s">
        <v>7874</v>
      </c>
      <c r="B379" s="52" t="s">
        <v>7873</v>
      </c>
      <c r="C379" s="59" t="s">
        <v>8929</v>
      </c>
    </row>
    <row r="380" spans="1:8" x14ac:dyDescent="0.35">
      <c r="A380" s="50" t="s">
        <v>7283</v>
      </c>
      <c r="B380" s="52" t="s">
        <v>7282</v>
      </c>
      <c r="C380" s="59" t="s">
        <v>9572</v>
      </c>
      <c r="E380" s="57" t="s">
        <v>9573</v>
      </c>
    </row>
    <row r="381" spans="1:8" x14ac:dyDescent="0.35">
      <c r="A381" s="50" t="s">
        <v>7257</v>
      </c>
      <c r="B381" s="52" t="s">
        <v>7256</v>
      </c>
      <c r="C381" s="59" t="s">
        <v>9572</v>
      </c>
      <c r="E381" s="57" t="s">
        <v>9573</v>
      </c>
    </row>
    <row r="382" spans="1:8" x14ac:dyDescent="0.35">
      <c r="A382" s="50" t="s">
        <v>7056</v>
      </c>
      <c r="B382" s="52" t="s">
        <v>7055</v>
      </c>
      <c r="C382" s="59" t="s">
        <v>9572</v>
      </c>
      <c r="E382" s="57" t="s">
        <v>9573</v>
      </c>
    </row>
    <row r="383" spans="1:8" x14ac:dyDescent="0.35">
      <c r="A383" s="50" t="s">
        <v>6948</v>
      </c>
      <c r="B383" s="52" t="s">
        <v>6947</v>
      </c>
      <c r="C383" s="59" t="s">
        <v>9572</v>
      </c>
      <c r="E383" s="57" t="s">
        <v>9573</v>
      </c>
    </row>
    <row r="384" spans="1:8" x14ac:dyDescent="0.35">
      <c r="A384" s="50" t="s">
        <v>6448</v>
      </c>
      <c r="B384" s="52" t="s">
        <v>6447</v>
      </c>
      <c r="C384" s="59" t="s">
        <v>9572</v>
      </c>
      <c r="E384" s="57" t="s">
        <v>9573</v>
      </c>
    </row>
    <row r="385" spans="1:8" x14ac:dyDescent="0.35">
      <c r="A385" s="50" t="s">
        <v>6341</v>
      </c>
      <c r="B385" s="52" t="s">
        <v>6340</v>
      </c>
      <c r="C385" s="59" t="s">
        <v>9572</v>
      </c>
      <c r="E385" s="57" t="s">
        <v>9573</v>
      </c>
    </row>
    <row r="386" spans="1:8" x14ac:dyDescent="0.35">
      <c r="A386" s="50" t="s">
        <v>5504</v>
      </c>
      <c r="B386" s="52" t="s">
        <v>5503</v>
      </c>
      <c r="C386" s="59" t="s">
        <v>9572</v>
      </c>
      <c r="E386" s="57" t="s">
        <v>9573</v>
      </c>
    </row>
    <row r="387" spans="1:8" x14ac:dyDescent="0.35">
      <c r="A387" s="50" t="s">
        <v>5105</v>
      </c>
      <c r="B387" s="52" t="s">
        <v>5104</v>
      </c>
      <c r="C387" s="59" t="s">
        <v>9572</v>
      </c>
      <c r="E387" s="57" t="s">
        <v>9573</v>
      </c>
    </row>
    <row r="388" spans="1:8" x14ac:dyDescent="0.35">
      <c r="A388" s="50" t="s">
        <v>5073</v>
      </c>
      <c r="B388" s="52" t="s">
        <v>5072</v>
      </c>
      <c r="C388" s="59" t="s">
        <v>9572</v>
      </c>
      <c r="E388" s="57" t="s">
        <v>9573</v>
      </c>
    </row>
    <row r="389" spans="1:8" x14ac:dyDescent="0.35">
      <c r="A389" s="50" t="s">
        <v>4805</v>
      </c>
      <c r="B389" s="52" t="s">
        <v>4804</v>
      </c>
      <c r="C389" s="59" t="s">
        <v>9572</v>
      </c>
      <c r="E389" s="57" t="s">
        <v>9573</v>
      </c>
    </row>
    <row r="390" spans="1:8" x14ac:dyDescent="0.35">
      <c r="A390" s="50" t="s">
        <v>4311</v>
      </c>
      <c r="B390" s="52" t="s">
        <v>4310</v>
      </c>
      <c r="C390" s="59" t="s">
        <v>9572</v>
      </c>
      <c r="E390" s="57" t="s">
        <v>9573</v>
      </c>
      <c r="F390" s="57"/>
    </row>
    <row r="391" spans="1:8" x14ac:dyDescent="0.35">
      <c r="A391" s="50" t="s">
        <v>7190</v>
      </c>
      <c r="B391" s="52" t="s">
        <v>7189</v>
      </c>
      <c r="C391" s="59" t="s">
        <v>9607</v>
      </c>
    </row>
    <row r="392" spans="1:8" x14ac:dyDescent="0.35">
      <c r="A392" s="50" t="s">
        <v>4700</v>
      </c>
      <c r="B392" s="52" t="s">
        <v>4699</v>
      </c>
      <c r="C392" s="59" t="s">
        <v>10603</v>
      </c>
      <c r="E392" s="57" t="s">
        <v>10604</v>
      </c>
      <c r="F392" s="57" t="s">
        <v>10605</v>
      </c>
      <c r="G392" t="s">
        <v>10606</v>
      </c>
      <c r="H392" s="54" t="s">
        <v>10607</v>
      </c>
    </row>
    <row r="393" spans="1:8" x14ac:dyDescent="0.35">
      <c r="A393" s="50" t="s">
        <v>6657</v>
      </c>
      <c r="B393" s="52" t="s">
        <v>6656</v>
      </c>
      <c r="C393" s="59" t="s">
        <v>9832</v>
      </c>
      <c r="E393" s="57" t="s">
        <v>9833</v>
      </c>
      <c r="F393" s="57" t="s">
        <v>9834</v>
      </c>
      <c r="G393" t="s">
        <v>3650</v>
      </c>
      <c r="H393" s="54" t="s">
        <v>4006</v>
      </c>
    </row>
    <row r="394" spans="1:8" x14ac:dyDescent="0.35">
      <c r="A394" s="50" t="s">
        <v>8558</v>
      </c>
      <c r="B394" s="52" t="s">
        <v>8557</v>
      </c>
      <c r="C394" s="59" t="s">
        <v>9034</v>
      </c>
      <c r="E394" s="57" t="s">
        <v>9035</v>
      </c>
      <c r="F394" s="57" t="s">
        <v>9036</v>
      </c>
      <c r="G394" t="s">
        <v>3651</v>
      </c>
      <c r="H394" s="54" t="s">
        <v>9037</v>
      </c>
    </row>
    <row r="395" spans="1:8" x14ac:dyDescent="0.35">
      <c r="A395" s="50" t="s">
        <v>7413</v>
      </c>
      <c r="B395" s="52" t="s">
        <v>7412</v>
      </c>
      <c r="C395" s="59" t="s">
        <v>9496</v>
      </c>
      <c r="E395" s="57" t="s">
        <v>9497</v>
      </c>
      <c r="F395" s="57" t="s">
        <v>9498</v>
      </c>
      <c r="G395" t="s">
        <v>9499</v>
      </c>
      <c r="H395" s="54" t="s">
        <v>9500</v>
      </c>
    </row>
    <row r="396" spans="1:8" x14ac:dyDescent="0.35">
      <c r="A396" s="50" t="s">
        <v>8491</v>
      </c>
      <c r="B396" s="52" t="s">
        <v>8490</v>
      </c>
      <c r="C396" s="59" t="s">
        <v>9074</v>
      </c>
      <c r="E396" s="57" t="s">
        <v>9075</v>
      </c>
      <c r="F396" s="57" t="s">
        <v>9076</v>
      </c>
      <c r="G396" t="s">
        <v>3652</v>
      </c>
      <c r="H396" s="54" t="s">
        <v>4008</v>
      </c>
    </row>
    <row r="397" spans="1:8" x14ac:dyDescent="0.35">
      <c r="A397" s="50" t="s">
        <v>5555</v>
      </c>
      <c r="B397" s="52" t="s">
        <v>5554</v>
      </c>
      <c r="C397" s="59" t="s">
        <v>10196</v>
      </c>
    </row>
    <row r="398" spans="1:8" x14ac:dyDescent="0.35">
      <c r="A398" s="50" t="s">
        <v>4602</v>
      </c>
      <c r="B398" s="52" t="s">
        <v>4601</v>
      </c>
      <c r="C398" s="59" t="s">
        <v>10636</v>
      </c>
      <c r="E398" s="57" t="s">
        <v>10637</v>
      </c>
      <c r="F398" s="57" t="s">
        <v>10638</v>
      </c>
      <c r="G398" t="s">
        <v>10639</v>
      </c>
      <c r="H398" s="54" t="s">
        <v>10640</v>
      </c>
    </row>
    <row r="399" spans="1:8" x14ac:dyDescent="0.35">
      <c r="A399" s="50" t="s">
        <v>6385</v>
      </c>
      <c r="B399" s="52" t="s">
        <v>6384</v>
      </c>
      <c r="C399" s="59" t="s">
        <v>9949</v>
      </c>
      <c r="E399" s="57" t="s">
        <v>9950</v>
      </c>
      <c r="F399" s="57" t="s">
        <v>9951</v>
      </c>
      <c r="G399" t="s">
        <v>3654</v>
      </c>
      <c r="H399" s="54" t="s">
        <v>4010</v>
      </c>
    </row>
    <row r="400" spans="1:8" x14ac:dyDescent="0.35">
      <c r="A400" s="50" t="s">
        <v>4983</v>
      </c>
      <c r="B400" s="52" t="s">
        <v>4982</v>
      </c>
      <c r="C400" s="59" t="s">
        <v>10530</v>
      </c>
      <c r="E400" s="57" t="s">
        <v>10531</v>
      </c>
      <c r="F400" s="57" t="s">
        <v>10532</v>
      </c>
      <c r="G400" t="s">
        <v>3657</v>
      </c>
      <c r="H400" s="54" t="s">
        <v>1294</v>
      </c>
    </row>
    <row r="401" spans="1:8" x14ac:dyDescent="0.35">
      <c r="A401" s="50" t="s">
        <v>4983</v>
      </c>
      <c r="B401" s="52" t="s">
        <v>4982</v>
      </c>
      <c r="C401" s="59" t="s">
        <v>10530</v>
      </c>
      <c r="E401" s="57" t="s">
        <v>10531</v>
      </c>
      <c r="F401" s="57" t="s">
        <v>10533</v>
      </c>
      <c r="G401" t="s">
        <v>10534</v>
      </c>
      <c r="H401" s="54" t="s">
        <v>10535</v>
      </c>
    </row>
    <row r="402" spans="1:8" x14ac:dyDescent="0.35">
      <c r="A402" s="50" t="s">
        <v>4983</v>
      </c>
      <c r="B402" s="52" t="s">
        <v>4982</v>
      </c>
      <c r="C402" s="59" t="s">
        <v>10530</v>
      </c>
      <c r="E402" s="57" t="s">
        <v>10531</v>
      </c>
      <c r="F402" s="57" t="s">
        <v>10536</v>
      </c>
      <c r="G402" t="s">
        <v>3658</v>
      </c>
      <c r="H402" s="54" t="s">
        <v>4014</v>
      </c>
    </row>
    <row r="403" spans="1:8" x14ac:dyDescent="0.35">
      <c r="A403" s="50" t="s">
        <v>5616</v>
      </c>
      <c r="B403" s="52" t="s">
        <v>5615</v>
      </c>
      <c r="C403" s="59" t="s">
        <v>10182</v>
      </c>
      <c r="E403" s="57" t="s">
        <v>10183</v>
      </c>
      <c r="F403" s="57" t="s">
        <v>10184</v>
      </c>
      <c r="G403" t="s">
        <v>3659</v>
      </c>
      <c r="H403" s="54" t="s">
        <v>4015</v>
      </c>
    </row>
    <row r="404" spans="1:8" x14ac:dyDescent="0.35">
      <c r="A404" s="50" t="s">
        <v>7541</v>
      </c>
      <c r="B404" s="52" t="s">
        <v>7540</v>
      </c>
      <c r="C404" s="59" t="s">
        <v>9449</v>
      </c>
      <c r="E404" s="57" t="s">
        <v>9450</v>
      </c>
      <c r="F404" s="57" t="s">
        <v>9451</v>
      </c>
      <c r="G404" t="s">
        <v>3660</v>
      </c>
      <c r="H404" s="54" t="s">
        <v>4016</v>
      </c>
    </row>
    <row r="405" spans="1:8" x14ac:dyDescent="0.35">
      <c r="A405" s="50" t="s">
        <v>7541</v>
      </c>
      <c r="B405" s="52" t="s">
        <v>7540</v>
      </c>
      <c r="C405" s="59" t="s">
        <v>9449</v>
      </c>
      <c r="E405" s="57" t="s">
        <v>9450</v>
      </c>
      <c r="F405" s="57" t="s">
        <v>9452</v>
      </c>
      <c r="G405" t="s">
        <v>3661</v>
      </c>
      <c r="H405" s="54" t="s">
        <v>4017</v>
      </c>
    </row>
    <row r="406" spans="1:8" x14ac:dyDescent="0.35">
      <c r="A406" s="50" t="s">
        <v>7541</v>
      </c>
      <c r="B406" s="52" t="s">
        <v>7540</v>
      </c>
      <c r="C406" s="59" t="s">
        <v>9449</v>
      </c>
      <c r="E406" s="57" t="s">
        <v>9450</v>
      </c>
      <c r="F406" s="57" t="s">
        <v>9453</v>
      </c>
      <c r="G406" t="s">
        <v>3662</v>
      </c>
      <c r="H406" s="54" t="s">
        <v>4018</v>
      </c>
    </row>
    <row r="407" spans="1:8" x14ac:dyDescent="0.35">
      <c r="A407" s="50" t="s">
        <v>8503</v>
      </c>
      <c r="B407" s="52" t="s">
        <v>8502</v>
      </c>
      <c r="C407" s="59" t="s">
        <v>9063</v>
      </c>
      <c r="E407" s="57" t="s">
        <v>9064</v>
      </c>
      <c r="F407" s="57" t="s">
        <v>9065</v>
      </c>
      <c r="G407" t="s">
        <v>9066</v>
      </c>
      <c r="H407" s="54" t="s">
        <v>9067</v>
      </c>
    </row>
    <row r="408" spans="1:8" x14ac:dyDescent="0.35">
      <c r="A408" s="50" t="s">
        <v>8503</v>
      </c>
      <c r="B408" s="52" t="s">
        <v>8502</v>
      </c>
      <c r="C408" s="59" t="s">
        <v>9063</v>
      </c>
      <c r="E408" s="57" t="s">
        <v>9064</v>
      </c>
      <c r="F408" s="57" t="s">
        <v>9068</v>
      </c>
      <c r="G408" t="s">
        <v>9069</v>
      </c>
      <c r="H408" s="54" t="s">
        <v>9070</v>
      </c>
    </row>
    <row r="409" spans="1:8" x14ac:dyDescent="0.35">
      <c r="A409" s="50" t="s">
        <v>8381</v>
      </c>
      <c r="B409" s="52" t="s">
        <v>8380</v>
      </c>
      <c r="C409" s="59" t="s">
        <v>9100</v>
      </c>
      <c r="E409" s="57" t="s">
        <v>9101</v>
      </c>
      <c r="F409" s="57" t="s">
        <v>9102</v>
      </c>
      <c r="G409" t="s">
        <v>3663</v>
      </c>
      <c r="H409" s="54" t="s">
        <v>4019</v>
      </c>
    </row>
    <row r="410" spans="1:8" x14ac:dyDescent="0.35">
      <c r="A410" s="50" t="s">
        <v>7185</v>
      </c>
      <c r="B410" s="52" t="s">
        <v>7184</v>
      </c>
      <c r="C410" s="59" t="s">
        <v>9100</v>
      </c>
      <c r="E410" s="57" t="s">
        <v>9101</v>
      </c>
      <c r="F410" s="57" t="s">
        <v>9102</v>
      </c>
      <c r="G410" t="s">
        <v>3663</v>
      </c>
      <c r="H410" s="54" t="s">
        <v>4019</v>
      </c>
    </row>
    <row r="411" spans="1:8" x14ac:dyDescent="0.35">
      <c r="A411" s="50" t="s">
        <v>5950</v>
      </c>
      <c r="B411" s="52" t="s">
        <v>5949</v>
      </c>
      <c r="C411" s="59" t="s">
        <v>10058</v>
      </c>
      <c r="E411" s="57" t="s">
        <v>10059</v>
      </c>
      <c r="F411" s="57" t="s">
        <v>10060</v>
      </c>
      <c r="G411" t="s">
        <v>3664</v>
      </c>
      <c r="H411" s="54" t="s">
        <v>4020</v>
      </c>
    </row>
    <row r="412" spans="1:8" x14ac:dyDescent="0.35">
      <c r="A412" s="50" t="s">
        <v>5200</v>
      </c>
      <c r="B412" s="52" t="s">
        <v>5199</v>
      </c>
      <c r="C412" s="59" t="s">
        <v>10351</v>
      </c>
      <c r="E412" s="57" t="s">
        <v>10352</v>
      </c>
      <c r="F412" s="57" t="s">
        <v>10353</v>
      </c>
      <c r="G412" t="s">
        <v>10354</v>
      </c>
      <c r="H412" s="54" t="s">
        <v>10355</v>
      </c>
    </row>
    <row r="413" spans="1:8" x14ac:dyDescent="0.35">
      <c r="A413" s="50" t="s">
        <v>6134</v>
      </c>
      <c r="B413" s="52" t="s">
        <v>6133</v>
      </c>
      <c r="C413" s="59" t="s">
        <v>9980</v>
      </c>
      <c r="E413" s="57" t="s">
        <v>9981</v>
      </c>
      <c r="F413" s="57" t="s">
        <v>9982</v>
      </c>
      <c r="G413" s="8" t="s">
        <v>9983</v>
      </c>
      <c r="H413" s="54" t="s">
        <v>9984</v>
      </c>
    </row>
    <row r="414" spans="1:8" x14ac:dyDescent="0.35">
      <c r="A414" s="50" t="s">
        <v>6052</v>
      </c>
      <c r="B414" s="52" t="s">
        <v>6051</v>
      </c>
      <c r="C414" s="59" t="s">
        <v>9980</v>
      </c>
      <c r="E414" s="57" t="s">
        <v>9981</v>
      </c>
      <c r="F414" s="57" t="s">
        <v>9982</v>
      </c>
      <c r="G414" s="8" t="s">
        <v>9983</v>
      </c>
      <c r="H414" s="54" t="s">
        <v>9984</v>
      </c>
    </row>
    <row r="415" spans="1:8" x14ac:dyDescent="0.35">
      <c r="A415" s="50" t="s">
        <v>5338</v>
      </c>
      <c r="B415" s="52" t="s">
        <v>5337</v>
      </c>
      <c r="C415" s="59" t="s">
        <v>10300</v>
      </c>
    </row>
    <row r="416" spans="1:8" x14ac:dyDescent="0.35">
      <c r="A416" s="50" t="s">
        <v>4785</v>
      </c>
      <c r="B416" s="52" t="s">
        <v>4784</v>
      </c>
      <c r="C416" s="59" t="s">
        <v>10300</v>
      </c>
    </row>
    <row r="417" spans="1:8" x14ac:dyDescent="0.35">
      <c r="A417" s="50" t="s">
        <v>7904</v>
      </c>
      <c r="B417" s="52" t="s">
        <v>7903</v>
      </c>
      <c r="C417" s="59" t="s">
        <v>9284</v>
      </c>
      <c r="E417" s="57" t="s">
        <v>9285</v>
      </c>
      <c r="F417" s="57" t="s">
        <v>9286</v>
      </c>
      <c r="G417" t="s">
        <v>3665</v>
      </c>
      <c r="H417" s="54" t="s">
        <v>4021</v>
      </c>
    </row>
    <row r="418" spans="1:8" x14ac:dyDescent="0.35">
      <c r="A418" s="50" t="s">
        <v>4351</v>
      </c>
      <c r="B418" s="52" t="s">
        <v>4350</v>
      </c>
      <c r="C418" s="59" t="s">
        <v>9284</v>
      </c>
      <c r="E418" s="57" t="s">
        <v>9285</v>
      </c>
      <c r="F418" s="57" t="s">
        <v>9286</v>
      </c>
      <c r="G418" t="s">
        <v>3665</v>
      </c>
      <c r="H418" s="54" t="s">
        <v>4021</v>
      </c>
    </row>
    <row r="419" spans="1:8" x14ac:dyDescent="0.35">
      <c r="A419" s="50" t="s">
        <v>7318</v>
      </c>
      <c r="B419" s="52" t="s">
        <v>7317</v>
      </c>
      <c r="C419" s="59" t="s">
        <v>9546</v>
      </c>
      <c r="E419" s="57" t="s">
        <v>9547</v>
      </c>
      <c r="F419" s="57" t="s">
        <v>9548</v>
      </c>
      <c r="G419" s="8" t="s">
        <v>3667</v>
      </c>
      <c r="H419" s="54" t="s">
        <v>4023</v>
      </c>
    </row>
    <row r="420" spans="1:8" x14ac:dyDescent="0.35">
      <c r="A420" s="50" t="s">
        <v>7318</v>
      </c>
      <c r="B420" s="52" t="s">
        <v>7317</v>
      </c>
      <c r="C420" s="59" t="s">
        <v>9546</v>
      </c>
      <c r="E420" s="57" t="s">
        <v>9547</v>
      </c>
      <c r="F420" s="57" t="s">
        <v>9549</v>
      </c>
      <c r="G420" t="s">
        <v>3666</v>
      </c>
      <c r="H420" s="54" t="s">
        <v>4022</v>
      </c>
    </row>
    <row r="421" spans="1:8" x14ac:dyDescent="0.35">
      <c r="A421" s="50" t="s">
        <v>5020</v>
      </c>
      <c r="B421" s="52" t="s">
        <v>5019</v>
      </c>
      <c r="C421" s="59" t="s">
        <v>10521</v>
      </c>
      <c r="E421" s="57" t="s">
        <v>10522</v>
      </c>
      <c r="F421" s="57" t="s">
        <v>10523</v>
      </c>
      <c r="G421" t="s">
        <v>3668</v>
      </c>
      <c r="H421" s="54" t="s">
        <v>4024</v>
      </c>
    </row>
    <row r="422" spans="1:8" x14ac:dyDescent="0.35">
      <c r="A422" s="50" t="s">
        <v>7148</v>
      </c>
      <c r="B422" s="52" t="s">
        <v>7147</v>
      </c>
      <c r="C422" s="59" t="s">
        <v>9617</v>
      </c>
      <c r="E422" s="57" t="s">
        <v>9618</v>
      </c>
      <c r="F422" s="57" t="s">
        <v>9619</v>
      </c>
      <c r="G422" t="s">
        <v>3669</v>
      </c>
      <c r="H422" s="54" t="s">
        <v>4025</v>
      </c>
    </row>
    <row r="423" spans="1:8" x14ac:dyDescent="0.35">
      <c r="A423" s="50" t="s">
        <v>4512</v>
      </c>
      <c r="B423" s="52" t="s">
        <v>4511</v>
      </c>
      <c r="C423" s="59" t="s">
        <v>10660</v>
      </c>
      <c r="E423" s="57" t="s">
        <v>10661</v>
      </c>
      <c r="F423" s="57" t="s">
        <v>10662</v>
      </c>
      <c r="G423" t="s">
        <v>10663</v>
      </c>
      <c r="H423" s="54" t="s">
        <v>10664</v>
      </c>
    </row>
    <row r="424" spans="1:8" x14ac:dyDescent="0.35">
      <c r="A424" s="50" t="s">
        <v>6832</v>
      </c>
      <c r="B424" s="52" t="s">
        <v>6831</v>
      </c>
      <c r="C424" s="59" t="s">
        <v>9744</v>
      </c>
      <c r="E424" s="57" t="s">
        <v>9734</v>
      </c>
      <c r="F424" s="57" t="s">
        <v>9745</v>
      </c>
      <c r="G424" s="8" t="s">
        <v>3670</v>
      </c>
      <c r="H424" s="54" t="s">
        <v>4026</v>
      </c>
    </row>
    <row r="425" spans="1:8" x14ac:dyDescent="0.35">
      <c r="A425" s="50" t="s">
        <v>8082</v>
      </c>
      <c r="B425" s="52" t="s">
        <v>8081</v>
      </c>
      <c r="C425" s="59" t="s">
        <v>9189</v>
      </c>
      <c r="E425" s="57" t="s">
        <v>9190</v>
      </c>
      <c r="F425" s="57" t="s">
        <v>9191</v>
      </c>
      <c r="G425" t="s">
        <v>3671</v>
      </c>
      <c r="H425" s="54" t="s">
        <v>4027</v>
      </c>
    </row>
    <row r="426" spans="1:8" x14ac:dyDescent="0.35">
      <c r="A426" s="50" t="s">
        <v>6390</v>
      </c>
      <c r="B426" s="52" t="s">
        <v>6389</v>
      </c>
      <c r="C426" s="59" t="s">
        <v>9946</v>
      </c>
      <c r="E426" s="57" t="s">
        <v>9947</v>
      </c>
      <c r="F426" s="57" t="s">
        <v>9948</v>
      </c>
      <c r="G426" t="s">
        <v>3673</v>
      </c>
      <c r="H426" s="54" t="s">
        <v>4029</v>
      </c>
    </row>
    <row r="427" spans="1:8" x14ac:dyDescent="0.35">
      <c r="A427" s="50" t="s">
        <v>6714</v>
      </c>
      <c r="B427" s="52" t="s">
        <v>6713</v>
      </c>
      <c r="C427" s="59" t="s">
        <v>9809</v>
      </c>
      <c r="E427" s="57" t="s">
        <v>9810</v>
      </c>
      <c r="F427" s="57" t="s">
        <v>9811</v>
      </c>
      <c r="G427" t="s">
        <v>9812</v>
      </c>
      <c r="H427" s="54" t="s">
        <v>9813</v>
      </c>
    </row>
    <row r="428" spans="1:8" x14ac:dyDescent="0.35">
      <c r="A428" s="50" t="s">
        <v>8066</v>
      </c>
      <c r="B428" s="52" t="s">
        <v>8065</v>
      </c>
      <c r="C428" s="59" t="s">
        <v>9196</v>
      </c>
      <c r="E428" s="57" t="s">
        <v>9197</v>
      </c>
      <c r="F428" s="57" t="s">
        <v>9198</v>
      </c>
      <c r="G428" t="s">
        <v>9199</v>
      </c>
      <c r="H428" s="54" t="s">
        <v>9200</v>
      </c>
    </row>
    <row r="429" spans="1:8" x14ac:dyDescent="0.35">
      <c r="A429" s="50" t="s">
        <v>7886</v>
      </c>
      <c r="B429" s="52" t="s">
        <v>7885</v>
      </c>
      <c r="C429" s="59" t="s">
        <v>9293</v>
      </c>
      <c r="E429" s="57" t="s">
        <v>9294</v>
      </c>
      <c r="F429" s="57" t="s">
        <v>9295</v>
      </c>
      <c r="G429" s="8" t="s">
        <v>9296</v>
      </c>
      <c r="H429" s="54" t="s">
        <v>4030</v>
      </c>
    </row>
    <row r="430" spans="1:8" x14ac:dyDescent="0.35">
      <c r="A430" s="50" t="s">
        <v>7886</v>
      </c>
      <c r="B430" s="52" t="s">
        <v>7885</v>
      </c>
      <c r="C430" s="59" t="s">
        <v>9293</v>
      </c>
      <c r="E430" s="57" t="s">
        <v>9294</v>
      </c>
      <c r="F430" s="57" t="s">
        <v>9297</v>
      </c>
      <c r="G430" t="s">
        <v>9298</v>
      </c>
      <c r="H430" s="54" t="s">
        <v>4030</v>
      </c>
    </row>
    <row r="431" spans="1:8" x14ac:dyDescent="0.35">
      <c r="A431" s="50" t="s">
        <v>7886</v>
      </c>
      <c r="B431" s="52" t="s">
        <v>7885</v>
      </c>
      <c r="C431" s="59" t="s">
        <v>9293</v>
      </c>
      <c r="E431" s="57" t="s">
        <v>9294</v>
      </c>
      <c r="F431" s="57" t="s">
        <v>9299</v>
      </c>
      <c r="G431" t="s">
        <v>3675</v>
      </c>
      <c r="H431" s="54" t="s">
        <v>4030</v>
      </c>
    </row>
    <row r="432" spans="1:8" x14ac:dyDescent="0.35">
      <c r="A432" s="50" t="s">
        <v>7886</v>
      </c>
      <c r="B432" s="52" t="s">
        <v>7885</v>
      </c>
      <c r="C432" s="59" t="s">
        <v>9293</v>
      </c>
      <c r="E432" s="57" t="s">
        <v>9294</v>
      </c>
      <c r="F432" s="57" t="s">
        <v>9300</v>
      </c>
      <c r="G432" s="8" t="s">
        <v>3676</v>
      </c>
      <c r="H432" s="54" t="s">
        <v>4030</v>
      </c>
    </row>
    <row r="433" spans="1:8" x14ac:dyDescent="0.35">
      <c r="A433" s="50" t="s">
        <v>7886</v>
      </c>
      <c r="B433" s="52" t="s">
        <v>7885</v>
      </c>
      <c r="C433" s="59" t="s">
        <v>9293</v>
      </c>
      <c r="E433" s="57" t="s">
        <v>9294</v>
      </c>
      <c r="F433" s="57" t="s">
        <v>9301</v>
      </c>
      <c r="G433" t="s">
        <v>3677</v>
      </c>
      <c r="H433" s="54" t="s">
        <v>9302</v>
      </c>
    </row>
    <row r="434" spans="1:8" x14ac:dyDescent="0.35">
      <c r="A434" s="50" t="s">
        <v>7886</v>
      </c>
      <c r="B434" s="52" t="s">
        <v>7885</v>
      </c>
      <c r="C434" s="59" t="s">
        <v>9293</v>
      </c>
      <c r="E434" s="57" t="s">
        <v>9294</v>
      </c>
      <c r="F434" s="57" t="s">
        <v>9303</v>
      </c>
      <c r="G434" t="s">
        <v>2373</v>
      </c>
      <c r="H434" s="54" t="s">
        <v>9304</v>
      </c>
    </row>
    <row r="435" spans="1:8" x14ac:dyDescent="0.35">
      <c r="A435" s="50" t="s">
        <v>7884</v>
      </c>
      <c r="B435" s="52" t="s">
        <v>7883</v>
      </c>
      <c r="C435" s="59" t="s">
        <v>9293</v>
      </c>
      <c r="E435" s="57" t="s">
        <v>9294</v>
      </c>
      <c r="F435" s="57" t="s">
        <v>9295</v>
      </c>
      <c r="G435" s="8" t="s">
        <v>9296</v>
      </c>
      <c r="H435" s="54" t="s">
        <v>4030</v>
      </c>
    </row>
    <row r="436" spans="1:8" x14ac:dyDescent="0.35">
      <c r="A436" s="50" t="s">
        <v>7884</v>
      </c>
      <c r="B436" s="52" t="s">
        <v>7883</v>
      </c>
      <c r="C436" s="59" t="s">
        <v>9293</v>
      </c>
      <c r="E436" s="57" t="s">
        <v>9294</v>
      </c>
      <c r="F436" s="57" t="s">
        <v>9297</v>
      </c>
      <c r="G436" t="s">
        <v>9298</v>
      </c>
      <c r="H436" s="54" t="s">
        <v>4030</v>
      </c>
    </row>
    <row r="437" spans="1:8" x14ac:dyDescent="0.35">
      <c r="A437" s="50" t="s">
        <v>7884</v>
      </c>
      <c r="B437" s="52" t="s">
        <v>7883</v>
      </c>
      <c r="C437" s="59" t="s">
        <v>9293</v>
      </c>
      <c r="E437" s="57" t="s">
        <v>9294</v>
      </c>
      <c r="F437" s="57" t="s">
        <v>9299</v>
      </c>
      <c r="G437" t="s">
        <v>3675</v>
      </c>
      <c r="H437" s="54" t="s">
        <v>4030</v>
      </c>
    </row>
    <row r="438" spans="1:8" x14ac:dyDescent="0.35">
      <c r="A438" s="50" t="s">
        <v>7884</v>
      </c>
      <c r="B438" s="52" t="s">
        <v>7883</v>
      </c>
      <c r="C438" s="59" t="s">
        <v>9293</v>
      </c>
      <c r="E438" s="57" t="s">
        <v>9294</v>
      </c>
      <c r="F438" s="57" t="s">
        <v>9300</v>
      </c>
      <c r="G438" s="8" t="s">
        <v>3676</v>
      </c>
      <c r="H438" s="54" t="s">
        <v>4030</v>
      </c>
    </row>
    <row r="439" spans="1:8" x14ac:dyDescent="0.35">
      <c r="A439" s="50" t="s">
        <v>7884</v>
      </c>
      <c r="B439" s="52" t="s">
        <v>7883</v>
      </c>
      <c r="C439" s="59" t="s">
        <v>9293</v>
      </c>
      <c r="E439" s="57" t="s">
        <v>9294</v>
      </c>
      <c r="F439" s="57" t="s">
        <v>9301</v>
      </c>
      <c r="G439" t="s">
        <v>3677</v>
      </c>
      <c r="H439" s="54" t="s">
        <v>9302</v>
      </c>
    </row>
    <row r="440" spans="1:8" x14ac:dyDescent="0.35">
      <c r="A440" s="50" t="s">
        <v>7884</v>
      </c>
      <c r="B440" s="52" t="s">
        <v>7883</v>
      </c>
      <c r="C440" s="59" t="s">
        <v>9293</v>
      </c>
      <c r="E440" s="57" t="s">
        <v>9294</v>
      </c>
      <c r="F440" s="57" t="s">
        <v>9303</v>
      </c>
      <c r="G440" t="s">
        <v>2373</v>
      </c>
      <c r="H440" s="54" t="s">
        <v>9304</v>
      </c>
    </row>
    <row r="441" spans="1:8" x14ac:dyDescent="0.35">
      <c r="A441" s="50" t="s">
        <v>5407</v>
      </c>
      <c r="B441" s="52" t="s">
        <v>5406</v>
      </c>
      <c r="C441" s="59" t="s">
        <v>9293</v>
      </c>
      <c r="E441" s="57" t="s">
        <v>9294</v>
      </c>
      <c r="F441" s="57" t="s">
        <v>9295</v>
      </c>
      <c r="G441" t="s">
        <v>3678</v>
      </c>
      <c r="H441" s="54" t="s">
        <v>4030</v>
      </c>
    </row>
    <row r="442" spans="1:8" x14ac:dyDescent="0.35">
      <c r="A442" s="50" t="s">
        <v>5407</v>
      </c>
      <c r="B442" s="52" t="s">
        <v>5406</v>
      </c>
      <c r="C442" s="59" t="s">
        <v>9293</v>
      </c>
      <c r="E442" s="57" t="s">
        <v>9294</v>
      </c>
      <c r="F442" s="57" t="s">
        <v>9297</v>
      </c>
      <c r="G442" t="s">
        <v>3674</v>
      </c>
      <c r="H442" s="54" t="s">
        <v>4030</v>
      </c>
    </row>
    <row r="443" spans="1:8" x14ac:dyDescent="0.35">
      <c r="A443" s="50" t="s">
        <v>5407</v>
      </c>
      <c r="B443" s="52" t="s">
        <v>5406</v>
      </c>
      <c r="C443" s="59" t="s">
        <v>9293</v>
      </c>
      <c r="E443" s="57" t="s">
        <v>9294</v>
      </c>
      <c r="F443" s="57" t="s">
        <v>9299</v>
      </c>
      <c r="G443" t="s">
        <v>3675</v>
      </c>
      <c r="H443" s="54" t="s">
        <v>4030</v>
      </c>
    </row>
    <row r="444" spans="1:8" x14ac:dyDescent="0.35">
      <c r="A444" s="50" t="s">
        <v>5407</v>
      </c>
      <c r="B444" s="52" t="s">
        <v>5406</v>
      </c>
      <c r="C444" s="59" t="s">
        <v>9293</v>
      </c>
      <c r="E444" s="57" t="s">
        <v>9294</v>
      </c>
      <c r="F444" s="57" t="s">
        <v>9300</v>
      </c>
      <c r="G444" t="s">
        <v>3676</v>
      </c>
      <c r="H444" s="54" t="s">
        <v>4030</v>
      </c>
    </row>
    <row r="445" spans="1:8" x14ac:dyDescent="0.35">
      <c r="A445" s="50" t="s">
        <v>5407</v>
      </c>
      <c r="B445" s="52" t="s">
        <v>5406</v>
      </c>
      <c r="C445" s="59" t="s">
        <v>9293</v>
      </c>
      <c r="E445" s="57" t="s">
        <v>9294</v>
      </c>
      <c r="F445" s="57" t="s">
        <v>9301</v>
      </c>
      <c r="G445" t="s">
        <v>3677</v>
      </c>
      <c r="H445" s="54" t="s">
        <v>4030</v>
      </c>
    </row>
    <row r="446" spans="1:8" x14ac:dyDescent="0.35">
      <c r="A446" s="50" t="s">
        <v>5407</v>
      </c>
      <c r="B446" s="52" t="s">
        <v>5406</v>
      </c>
      <c r="C446" s="59" t="s">
        <v>9293</v>
      </c>
      <c r="E446" s="57" t="s">
        <v>9294</v>
      </c>
      <c r="F446" s="57" t="s">
        <v>9303</v>
      </c>
      <c r="G446" t="s">
        <v>2373</v>
      </c>
      <c r="H446" s="54" t="s">
        <v>9304</v>
      </c>
    </row>
    <row r="447" spans="1:8" x14ac:dyDescent="0.35">
      <c r="A447" s="50" t="s">
        <v>4993</v>
      </c>
      <c r="B447" s="52" t="s">
        <v>4992</v>
      </c>
      <c r="C447" s="59" t="s">
        <v>9293</v>
      </c>
      <c r="E447" s="57" t="s">
        <v>9294</v>
      </c>
      <c r="F447" s="57" t="s">
        <v>9295</v>
      </c>
      <c r="G447" t="s">
        <v>3678</v>
      </c>
      <c r="H447" s="54" t="s">
        <v>4030</v>
      </c>
    </row>
    <row r="448" spans="1:8" x14ac:dyDescent="0.35">
      <c r="A448" s="50" t="s">
        <v>4993</v>
      </c>
      <c r="B448" s="52" t="s">
        <v>4992</v>
      </c>
      <c r="C448" s="59" t="s">
        <v>9293</v>
      </c>
      <c r="E448" s="57" t="s">
        <v>9294</v>
      </c>
      <c r="F448" s="57" t="s">
        <v>9297</v>
      </c>
      <c r="G448" t="s">
        <v>3674</v>
      </c>
      <c r="H448" s="54" t="s">
        <v>4030</v>
      </c>
    </row>
    <row r="449" spans="1:8" x14ac:dyDescent="0.35">
      <c r="A449" s="50" t="s">
        <v>4993</v>
      </c>
      <c r="B449" s="52" t="s">
        <v>4992</v>
      </c>
      <c r="C449" s="59" t="s">
        <v>9293</v>
      </c>
      <c r="E449" s="57" t="s">
        <v>9294</v>
      </c>
      <c r="F449" s="57" t="s">
        <v>9299</v>
      </c>
      <c r="G449" t="s">
        <v>3675</v>
      </c>
      <c r="H449" s="54" t="s">
        <v>4030</v>
      </c>
    </row>
    <row r="450" spans="1:8" x14ac:dyDescent="0.35">
      <c r="A450" s="50" t="s">
        <v>4993</v>
      </c>
      <c r="B450" s="52" t="s">
        <v>4992</v>
      </c>
      <c r="C450" s="59" t="s">
        <v>9293</v>
      </c>
      <c r="E450" s="57" t="s">
        <v>9294</v>
      </c>
      <c r="F450" s="57" t="s">
        <v>9300</v>
      </c>
      <c r="G450" t="s">
        <v>3676</v>
      </c>
      <c r="H450" s="54" t="s">
        <v>4030</v>
      </c>
    </row>
    <row r="451" spans="1:8" x14ac:dyDescent="0.35">
      <c r="A451" s="50" t="s">
        <v>4993</v>
      </c>
      <c r="B451" s="52" t="s">
        <v>4992</v>
      </c>
      <c r="C451" s="59" t="s">
        <v>9293</v>
      </c>
      <c r="E451" s="57" t="s">
        <v>9294</v>
      </c>
      <c r="F451" s="57" t="s">
        <v>9301</v>
      </c>
      <c r="G451" t="s">
        <v>3677</v>
      </c>
      <c r="H451" s="54" t="s">
        <v>4030</v>
      </c>
    </row>
    <row r="452" spans="1:8" x14ac:dyDescent="0.35">
      <c r="A452" s="50" t="s">
        <v>4993</v>
      </c>
      <c r="B452" s="52" t="s">
        <v>4992</v>
      </c>
      <c r="C452" s="59" t="s">
        <v>9293</v>
      </c>
      <c r="E452" s="57" t="s">
        <v>9294</v>
      </c>
      <c r="F452" s="57" t="s">
        <v>9303</v>
      </c>
      <c r="G452" t="s">
        <v>10529</v>
      </c>
      <c r="H452" s="54" t="s">
        <v>9304</v>
      </c>
    </row>
    <row r="453" spans="1:8" x14ac:dyDescent="0.35">
      <c r="A453" s="50" t="s">
        <v>8791</v>
      </c>
      <c r="B453" s="52" t="s">
        <v>8790</v>
      </c>
      <c r="C453" s="59" t="s">
        <v>1285</v>
      </c>
      <c r="E453" s="57" t="s">
        <v>8916</v>
      </c>
      <c r="F453" s="57" t="s">
        <v>8890</v>
      </c>
      <c r="G453" t="s">
        <v>8891</v>
      </c>
      <c r="H453" s="55" t="s">
        <v>4032</v>
      </c>
    </row>
    <row r="454" spans="1:8" x14ac:dyDescent="0.35">
      <c r="A454" s="50" t="s">
        <v>8573</v>
      </c>
      <c r="B454" s="52" t="s">
        <v>8572</v>
      </c>
      <c r="C454" s="59" t="s">
        <v>9024</v>
      </c>
      <c r="E454" s="57" t="s">
        <v>9025</v>
      </c>
      <c r="F454" s="57" t="s">
        <v>9026</v>
      </c>
      <c r="G454" t="s">
        <v>3685</v>
      </c>
      <c r="H454" s="54" t="s">
        <v>4033</v>
      </c>
    </row>
    <row r="455" spans="1:8" x14ac:dyDescent="0.35">
      <c r="A455" s="50" t="s">
        <v>8573</v>
      </c>
      <c r="B455" s="52" t="s">
        <v>8572</v>
      </c>
      <c r="C455" s="59" t="s">
        <v>9024</v>
      </c>
      <c r="E455" s="57" t="s">
        <v>9025</v>
      </c>
      <c r="F455" s="57" t="s">
        <v>9027</v>
      </c>
      <c r="G455" t="s">
        <v>9028</v>
      </c>
      <c r="H455" s="54" t="s">
        <v>9029</v>
      </c>
    </row>
    <row r="456" spans="1:8" x14ac:dyDescent="0.35">
      <c r="A456" s="50" t="s">
        <v>8573</v>
      </c>
      <c r="B456" s="52" t="s">
        <v>8572</v>
      </c>
      <c r="C456" s="59" t="s">
        <v>9024</v>
      </c>
      <c r="E456" s="57" t="s">
        <v>9025</v>
      </c>
      <c r="F456" s="57" t="s">
        <v>9030</v>
      </c>
      <c r="G456" s="8" t="s">
        <v>3682</v>
      </c>
      <c r="H456" s="54" t="s">
        <v>4033</v>
      </c>
    </row>
    <row r="457" spans="1:8" x14ac:dyDescent="0.35">
      <c r="A457" s="50" t="s">
        <v>8573</v>
      </c>
      <c r="B457" s="52" t="s">
        <v>8572</v>
      </c>
      <c r="C457" s="59" t="s">
        <v>9024</v>
      </c>
      <c r="E457" s="57" t="s">
        <v>9025</v>
      </c>
      <c r="F457" s="57" t="s">
        <v>9031</v>
      </c>
      <c r="G457" t="s">
        <v>3683</v>
      </c>
      <c r="H457" s="54" t="s">
        <v>4033</v>
      </c>
    </row>
    <row r="458" spans="1:8" x14ac:dyDescent="0.35">
      <c r="A458" s="50" t="s">
        <v>8573</v>
      </c>
      <c r="B458" s="52" t="s">
        <v>8572</v>
      </c>
      <c r="C458" s="59" t="s">
        <v>9024</v>
      </c>
      <c r="E458" s="57" t="s">
        <v>9025</v>
      </c>
      <c r="F458" s="57" t="s">
        <v>9032</v>
      </c>
      <c r="G458" s="8" t="s">
        <v>3684</v>
      </c>
      <c r="H458" s="54" t="s">
        <v>4033</v>
      </c>
    </row>
    <row r="459" spans="1:8" x14ac:dyDescent="0.35">
      <c r="A459" s="50" t="s">
        <v>8573</v>
      </c>
      <c r="B459" s="52" t="s">
        <v>8572</v>
      </c>
      <c r="C459" s="59" t="s">
        <v>9024</v>
      </c>
      <c r="E459" s="57" t="s">
        <v>9025</v>
      </c>
      <c r="F459" s="57" t="s">
        <v>9033</v>
      </c>
      <c r="G459" s="8" t="s">
        <v>1297</v>
      </c>
      <c r="H459" s="54" t="s">
        <v>1298</v>
      </c>
    </row>
    <row r="460" spans="1:8" x14ac:dyDescent="0.35">
      <c r="A460" s="50" t="s">
        <v>8500</v>
      </c>
      <c r="B460" s="52" t="s">
        <v>8499</v>
      </c>
      <c r="C460" s="59" t="s">
        <v>9024</v>
      </c>
      <c r="E460" s="57" t="s">
        <v>9025</v>
      </c>
      <c r="F460" s="57" t="s">
        <v>9026</v>
      </c>
      <c r="G460" t="s">
        <v>9071</v>
      </c>
      <c r="H460" s="54" t="s">
        <v>4033</v>
      </c>
    </row>
    <row r="461" spans="1:8" x14ac:dyDescent="0.35">
      <c r="A461" s="50" t="s">
        <v>8500</v>
      </c>
      <c r="B461" s="52" t="s">
        <v>8499</v>
      </c>
      <c r="C461" s="59" t="s">
        <v>9024</v>
      </c>
      <c r="E461" s="57" t="s">
        <v>9025</v>
      </c>
      <c r="F461" s="57" t="s">
        <v>9027</v>
      </c>
      <c r="G461" s="8" t="s">
        <v>3681</v>
      </c>
      <c r="H461" s="54" t="s">
        <v>4033</v>
      </c>
    </row>
    <row r="462" spans="1:8" x14ac:dyDescent="0.35">
      <c r="A462" s="50" t="s">
        <v>8500</v>
      </c>
      <c r="B462" s="52" t="s">
        <v>8499</v>
      </c>
      <c r="C462" s="59" t="s">
        <v>9024</v>
      </c>
      <c r="E462" s="57" t="s">
        <v>9025</v>
      </c>
      <c r="F462" s="57" t="s">
        <v>9030</v>
      </c>
      <c r="G462" t="s">
        <v>3682</v>
      </c>
      <c r="H462" s="54" t="s">
        <v>4033</v>
      </c>
    </row>
    <row r="463" spans="1:8" x14ac:dyDescent="0.35">
      <c r="A463" s="50" t="s">
        <v>8500</v>
      </c>
      <c r="B463" s="52" t="s">
        <v>8499</v>
      </c>
      <c r="C463" s="59" t="s">
        <v>9024</v>
      </c>
      <c r="E463" s="57" t="s">
        <v>9025</v>
      </c>
      <c r="F463" s="57" t="s">
        <v>9031</v>
      </c>
      <c r="G463" t="s">
        <v>3683</v>
      </c>
      <c r="H463" s="54" t="s">
        <v>9072</v>
      </c>
    </row>
    <row r="464" spans="1:8" x14ac:dyDescent="0.35">
      <c r="A464" s="50" t="s">
        <v>8500</v>
      </c>
      <c r="B464" s="52" t="s">
        <v>8499</v>
      </c>
      <c r="C464" s="59" t="s">
        <v>9024</v>
      </c>
      <c r="E464" s="57" t="s">
        <v>9025</v>
      </c>
      <c r="F464" s="57" t="s">
        <v>9032</v>
      </c>
      <c r="G464" t="s">
        <v>9073</v>
      </c>
      <c r="H464" s="54" t="s">
        <v>4033</v>
      </c>
    </row>
    <row r="465" spans="1:8" x14ac:dyDescent="0.35">
      <c r="A465" s="50" t="s">
        <v>8500</v>
      </c>
      <c r="B465" s="52" t="s">
        <v>8499</v>
      </c>
      <c r="C465" s="59" t="s">
        <v>9024</v>
      </c>
      <c r="E465" s="57" t="s">
        <v>9025</v>
      </c>
      <c r="F465" s="57" t="s">
        <v>9033</v>
      </c>
      <c r="G465" s="8" t="s">
        <v>1297</v>
      </c>
      <c r="H465" s="54" t="s">
        <v>1298</v>
      </c>
    </row>
    <row r="466" spans="1:8" x14ac:dyDescent="0.35">
      <c r="A466" s="50" t="s">
        <v>7678</v>
      </c>
      <c r="B466" s="52" t="s">
        <v>7677</v>
      </c>
      <c r="C466" s="59" t="s">
        <v>9024</v>
      </c>
      <c r="E466" s="57" t="s">
        <v>9025</v>
      </c>
      <c r="F466" s="57" t="s">
        <v>9026</v>
      </c>
      <c r="G466" t="s">
        <v>3685</v>
      </c>
      <c r="H466" s="54" t="s">
        <v>4033</v>
      </c>
    </row>
    <row r="467" spans="1:8" x14ac:dyDescent="0.35">
      <c r="A467" s="50" t="s">
        <v>7678</v>
      </c>
      <c r="B467" s="52" t="s">
        <v>7677</v>
      </c>
      <c r="C467" s="59" t="s">
        <v>9024</v>
      </c>
      <c r="E467" s="57" t="s">
        <v>9025</v>
      </c>
      <c r="F467" s="57" t="s">
        <v>9027</v>
      </c>
      <c r="G467" t="s">
        <v>9426</v>
      </c>
      <c r="H467" s="54" t="s">
        <v>4033</v>
      </c>
    </row>
    <row r="468" spans="1:8" x14ac:dyDescent="0.35">
      <c r="A468" s="50" t="s">
        <v>7678</v>
      </c>
      <c r="B468" s="52" t="s">
        <v>7677</v>
      </c>
      <c r="C468" s="59" t="s">
        <v>9024</v>
      </c>
      <c r="E468" s="57" t="s">
        <v>9025</v>
      </c>
      <c r="F468" s="57" t="s">
        <v>9030</v>
      </c>
      <c r="G468" t="s">
        <v>9427</v>
      </c>
      <c r="H468" s="54" t="s">
        <v>4033</v>
      </c>
    </row>
    <row r="469" spans="1:8" x14ac:dyDescent="0.35">
      <c r="A469" s="50" t="s">
        <v>7678</v>
      </c>
      <c r="B469" s="52" t="s">
        <v>7677</v>
      </c>
      <c r="C469" s="59" t="s">
        <v>9024</v>
      </c>
      <c r="E469" s="57" t="s">
        <v>9025</v>
      </c>
      <c r="F469" s="57" t="s">
        <v>9031</v>
      </c>
      <c r="G469" s="8" t="s">
        <v>3683</v>
      </c>
      <c r="H469" s="54" t="s">
        <v>9072</v>
      </c>
    </row>
    <row r="470" spans="1:8" x14ac:dyDescent="0.35">
      <c r="A470" s="50" t="s">
        <v>7678</v>
      </c>
      <c r="B470" s="52" t="s">
        <v>7677</v>
      </c>
      <c r="C470" s="59" t="s">
        <v>9024</v>
      </c>
      <c r="E470" s="57" t="s">
        <v>9025</v>
      </c>
      <c r="F470" s="57" t="s">
        <v>9032</v>
      </c>
      <c r="G470" s="8" t="s">
        <v>3684</v>
      </c>
      <c r="H470" s="54" t="s">
        <v>9072</v>
      </c>
    </row>
    <row r="471" spans="1:8" x14ac:dyDescent="0.35">
      <c r="A471" s="50" t="s">
        <v>7678</v>
      </c>
      <c r="B471" s="52" t="s">
        <v>7677</v>
      </c>
      <c r="C471" s="59" t="s">
        <v>9024</v>
      </c>
      <c r="E471" s="57" t="s">
        <v>9025</v>
      </c>
      <c r="F471" s="57" t="s">
        <v>9033</v>
      </c>
      <c r="G471" t="s">
        <v>1297</v>
      </c>
      <c r="H471" s="54" t="s">
        <v>1298</v>
      </c>
    </row>
    <row r="472" spans="1:8" x14ac:dyDescent="0.35">
      <c r="A472" s="50" t="s">
        <v>7217</v>
      </c>
      <c r="B472" s="52" t="s">
        <v>7216</v>
      </c>
      <c r="C472" s="59" t="s">
        <v>9024</v>
      </c>
      <c r="E472" s="57" t="s">
        <v>9025</v>
      </c>
      <c r="F472" s="57" t="s">
        <v>9026</v>
      </c>
      <c r="G472" t="s">
        <v>9071</v>
      </c>
      <c r="H472" s="54" t="s">
        <v>4033</v>
      </c>
    </row>
    <row r="473" spans="1:8" x14ac:dyDescent="0.35">
      <c r="A473" s="50" t="s">
        <v>7217</v>
      </c>
      <c r="B473" s="52" t="s">
        <v>7216</v>
      </c>
      <c r="C473" s="59" t="s">
        <v>9024</v>
      </c>
      <c r="E473" s="57" t="s">
        <v>9025</v>
      </c>
      <c r="F473" s="57" t="s">
        <v>9027</v>
      </c>
      <c r="G473" t="s">
        <v>3681</v>
      </c>
      <c r="H473" s="54" t="s">
        <v>4033</v>
      </c>
    </row>
    <row r="474" spans="1:8" x14ac:dyDescent="0.35">
      <c r="A474" s="50" t="s">
        <v>7217</v>
      </c>
      <c r="B474" s="52" t="s">
        <v>7216</v>
      </c>
      <c r="C474" s="59" t="s">
        <v>9024</v>
      </c>
      <c r="E474" s="57" t="s">
        <v>9025</v>
      </c>
      <c r="F474" s="57" t="s">
        <v>9030</v>
      </c>
      <c r="G474" t="s">
        <v>3682</v>
      </c>
      <c r="H474" s="54" t="s">
        <v>4033</v>
      </c>
    </row>
    <row r="475" spans="1:8" x14ac:dyDescent="0.35">
      <c r="A475" s="50" t="s">
        <v>7217</v>
      </c>
      <c r="B475" s="52" t="s">
        <v>7216</v>
      </c>
      <c r="C475" s="59" t="s">
        <v>9024</v>
      </c>
      <c r="E475" s="57" t="s">
        <v>9025</v>
      </c>
      <c r="F475" s="57" t="s">
        <v>9031</v>
      </c>
      <c r="G475" t="s">
        <v>3683</v>
      </c>
      <c r="H475" s="54" t="s">
        <v>4033</v>
      </c>
    </row>
    <row r="476" spans="1:8" x14ac:dyDescent="0.35">
      <c r="A476" s="50" t="s">
        <v>7217</v>
      </c>
      <c r="B476" s="52" t="s">
        <v>7216</v>
      </c>
      <c r="C476" s="59" t="s">
        <v>9024</v>
      </c>
      <c r="E476" s="57" t="s">
        <v>9025</v>
      </c>
      <c r="F476" s="57" t="s">
        <v>9032</v>
      </c>
      <c r="G476" t="s">
        <v>3684</v>
      </c>
      <c r="H476" s="54" t="s">
        <v>4033</v>
      </c>
    </row>
    <row r="477" spans="1:8" x14ac:dyDescent="0.35">
      <c r="A477" s="50" t="s">
        <v>7217</v>
      </c>
      <c r="B477" s="52" t="s">
        <v>7216</v>
      </c>
      <c r="C477" s="59" t="s">
        <v>9024</v>
      </c>
      <c r="E477" s="57" t="s">
        <v>9025</v>
      </c>
      <c r="F477" s="57" t="s">
        <v>9033</v>
      </c>
      <c r="G477" s="8" t="s">
        <v>1297</v>
      </c>
      <c r="H477" s="54" t="s">
        <v>1298</v>
      </c>
    </row>
    <row r="478" spans="1:8" x14ac:dyDescent="0.35">
      <c r="A478" s="50" t="s">
        <v>6328</v>
      </c>
      <c r="B478" s="52" t="s">
        <v>6327</v>
      </c>
      <c r="C478" s="59" t="s">
        <v>9024</v>
      </c>
      <c r="E478" s="57" t="s">
        <v>9025</v>
      </c>
      <c r="F478" s="57" t="s">
        <v>9026</v>
      </c>
      <c r="G478" t="s">
        <v>3685</v>
      </c>
      <c r="H478" s="54" t="s">
        <v>4033</v>
      </c>
    </row>
    <row r="479" spans="1:8" x14ac:dyDescent="0.35">
      <c r="A479" s="50" t="s">
        <v>6328</v>
      </c>
      <c r="B479" s="52" t="s">
        <v>6327</v>
      </c>
      <c r="C479" s="59" t="s">
        <v>9024</v>
      </c>
      <c r="E479" s="57" t="s">
        <v>9025</v>
      </c>
      <c r="F479" s="57" t="s">
        <v>9027</v>
      </c>
      <c r="G479" t="s">
        <v>3681</v>
      </c>
      <c r="H479" s="54" t="s">
        <v>4033</v>
      </c>
    </row>
    <row r="480" spans="1:8" x14ac:dyDescent="0.35">
      <c r="A480" s="50" t="s">
        <v>6328</v>
      </c>
      <c r="B480" s="52" t="s">
        <v>6327</v>
      </c>
      <c r="C480" s="59" t="s">
        <v>9024</v>
      </c>
      <c r="E480" s="57" t="s">
        <v>9025</v>
      </c>
      <c r="F480" s="57" t="s">
        <v>9030</v>
      </c>
      <c r="G480" t="s">
        <v>3682</v>
      </c>
      <c r="H480" s="54" t="s">
        <v>4033</v>
      </c>
    </row>
    <row r="481" spans="1:8" x14ac:dyDescent="0.35">
      <c r="A481" s="50" t="s">
        <v>6328</v>
      </c>
      <c r="B481" s="52" t="s">
        <v>6327</v>
      </c>
      <c r="C481" s="59" t="s">
        <v>9024</v>
      </c>
      <c r="E481" s="57" t="s">
        <v>9025</v>
      </c>
      <c r="F481" s="57" t="s">
        <v>9031</v>
      </c>
      <c r="G481" t="s">
        <v>3683</v>
      </c>
      <c r="H481" s="54" t="s">
        <v>4033</v>
      </c>
    </row>
    <row r="482" spans="1:8" x14ac:dyDescent="0.35">
      <c r="A482" s="50" t="s">
        <v>6328</v>
      </c>
      <c r="B482" s="52" t="s">
        <v>6327</v>
      </c>
      <c r="C482" s="59" t="s">
        <v>9024</v>
      </c>
      <c r="E482" s="57" t="s">
        <v>9025</v>
      </c>
      <c r="F482" s="57" t="s">
        <v>9032</v>
      </c>
      <c r="G482" t="s">
        <v>3684</v>
      </c>
      <c r="H482" s="54" t="s">
        <v>4033</v>
      </c>
    </row>
    <row r="483" spans="1:8" x14ac:dyDescent="0.35">
      <c r="A483" s="50" t="s">
        <v>6328</v>
      </c>
      <c r="B483" s="52" t="s">
        <v>6327</v>
      </c>
      <c r="C483" s="59" t="s">
        <v>9024</v>
      </c>
      <c r="E483" s="57" t="s">
        <v>9025</v>
      </c>
      <c r="F483" s="57" t="s">
        <v>9033</v>
      </c>
      <c r="G483" t="s">
        <v>1297</v>
      </c>
      <c r="H483" s="54" t="s">
        <v>1298</v>
      </c>
    </row>
    <row r="484" spans="1:8" x14ac:dyDescent="0.35">
      <c r="A484" s="50" t="s">
        <v>5649</v>
      </c>
      <c r="B484" s="52" t="s">
        <v>5648</v>
      </c>
      <c r="C484" s="59" t="s">
        <v>9024</v>
      </c>
      <c r="E484" s="57" t="s">
        <v>9025</v>
      </c>
      <c r="F484" s="57" t="s">
        <v>9026</v>
      </c>
      <c r="G484" t="s">
        <v>3685</v>
      </c>
      <c r="H484" s="54" t="s">
        <v>4033</v>
      </c>
    </row>
    <row r="485" spans="1:8" x14ac:dyDescent="0.35">
      <c r="A485" s="50" t="s">
        <v>5649</v>
      </c>
      <c r="B485" s="52" t="s">
        <v>5648</v>
      </c>
      <c r="C485" s="59" t="s">
        <v>9024</v>
      </c>
      <c r="E485" s="57" t="s">
        <v>9025</v>
      </c>
      <c r="F485" s="57" t="s">
        <v>9027</v>
      </c>
      <c r="G485" t="s">
        <v>3681</v>
      </c>
      <c r="H485" s="54" t="s">
        <v>4033</v>
      </c>
    </row>
    <row r="486" spans="1:8" x14ac:dyDescent="0.35">
      <c r="A486" s="50" t="s">
        <v>5649</v>
      </c>
      <c r="B486" s="52" t="s">
        <v>5648</v>
      </c>
      <c r="C486" s="59" t="s">
        <v>9024</v>
      </c>
      <c r="E486" s="57" t="s">
        <v>9025</v>
      </c>
      <c r="F486" s="57" t="s">
        <v>9030</v>
      </c>
      <c r="G486" s="8" t="s">
        <v>3682</v>
      </c>
      <c r="H486" s="54" t="s">
        <v>4033</v>
      </c>
    </row>
    <row r="487" spans="1:8" x14ac:dyDescent="0.35">
      <c r="A487" s="50" t="s">
        <v>5649</v>
      </c>
      <c r="B487" s="52" t="s">
        <v>5648</v>
      </c>
      <c r="C487" s="59" t="s">
        <v>9024</v>
      </c>
      <c r="E487" s="57" t="s">
        <v>9025</v>
      </c>
      <c r="F487" s="57" t="s">
        <v>9031</v>
      </c>
      <c r="G487" t="s">
        <v>3683</v>
      </c>
      <c r="H487" s="54" t="s">
        <v>4033</v>
      </c>
    </row>
    <row r="488" spans="1:8" x14ac:dyDescent="0.35">
      <c r="A488" s="50" t="s">
        <v>5649</v>
      </c>
      <c r="B488" s="52" t="s">
        <v>5648</v>
      </c>
      <c r="C488" s="59" t="s">
        <v>9024</v>
      </c>
      <c r="E488" s="57" t="s">
        <v>9025</v>
      </c>
      <c r="F488" s="57" t="s">
        <v>9032</v>
      </c>
      <c r="G488" t="s">
        <v>3684</v>
      </c>
      <c r="H488" s="54" t="s">
        <v>4033</v>
      </c>
    </row>
    <row r="489" spans="1:8" x14ac:dyDescent="0.35">
      <c r="A489" s="50" t="s">
        <v>5649</v>
      </c>
      <c r="B489" s="52" t="s">
        <v>5648</v>
      </c>
      <c r="C489" s="59" t="s">
        <v>9024</v>
      </c>
      <c r="E489" s="57" t="s">
        <v>9025</v>
      </c>
      <c r="F489" s="57" t="s">
        <v>9033</v>
      </c>
      <c r="G489" t="s">
        <v>1297</v>
      </c>
      <c r="H489" s="54" t="s">
        <v>1298</v>
      </c>
    </row>
    <row r="490" spans="1:8" x14ac:dyDescent="0.35">
      <c r="A490" s="50" t="s">
        <v>4866</v>
      </c>
      <c r="B490" s="52" t="s">
        <v>4865</v>
      </c>
      <c r="C490" s="59" t="s">
        <v>9024</v>
      </c>
      <c r="E490" s="57" t="s">
        <v>9025</v>
      </c>
      <c r="F490" s="57" t="s">
        <v>9026</v>
      </c>
      <c r="G490" s="8" t="s">
        <v>3685</v>
      </c>
      <c r="H490" s="54" t="s">
        <v>4033</v>
      </c>
    </row>
    <row r="491" spans="1:8" x14ac:dyDescent="0.35">
      <c r="A491" s="50" t="s">
        <v>4866</v>
      </c>
      <c r="B491" s="52" t="s">
        <v>4865</v>
      </c>
      <c r="C491" s="59" t="s">
        <v>9024</v>
      </c>
      <c r="E491" s="57" t="s">
        <v>9025</v>
      </c>
      <c r="F491" s="57" t="s">
        <v>9027</v>
      </c>
      <c r="G491" t="s">
        <v>3681</v>
      </c>
      <c r="H491" s="54" t="s">
        <v>4033</v>
      </c>
    </row>
    <row r="492" spans="1:8" x14ac:dyDescent="0.35">
      <c r="A492" s="50" t="s">
        <v>4866</v>
      </c>
      <c r="B492" s="52" t="s">
        <v>4865</v>
      </c>
      <c r="C492" s="59" t="s">
        <v>9024</v>
      </c>
      <c r="E492" s="57" t="s">
        <v>9025</v>
      </c>
      <c r="F492" s="57" t="s">
        <v>9030</v>
      </c>
      <c r="G492" t="s">
        <v>3682</v>
      </c>
      <c r="H492" s="54" t="s">
        <v>4033</v>
      </c>
    </row>
    <row r="493" spans="1:8" x14ac:dyDescent="0.35">
      <c r="A493" s="50" t="s">
        <v>4866</v>
      </c>
      <c r="B493" s="52" t="s">
        <v>4865</v>
      </c>
      <c r="C493" s="59" t="s">
        <v>9024</v>
      </c>
      <c r="E493" s="57" t="s">
        <v>9025</v>
      </c>
      <c r="F493" s="57" t="s">
        <v>9031</v>
      </c>
      <c r="G493" t="s">
        <v>3683</v>
      </c>
      <c r="H493" s="54" t="s">
        <v>4033</v>
      </c>
    </row>
    <row r="494" spans="1:8" x14ac:dyDescent="0.35">
      <c r="A494" s="50" t="s">
        <v>4866</v>
      </c>
      <c r="B494" s="52" t="s">
        <v>4865</v>
      </c>
      <c r="C494" s="59" t="s">
        <v>9024</v>
      </c>
      <c r="E494" s="57" t="s">
        <v>9025</v>
      </c>
      <c r="F494" s="57" t="s">
        <v>9032</v>
      </c>
      <c r="G494" t="s">
        <v>3684</v>
      </c>
      <c r="H494" s="54" t="s">
        <v>4033</v>
      </c>
    </row>
    <row r="495" spans="1:8" x14ac:dyDescent="0.35">
      <c r="A495" s="50" t="s">
        <v>4866</v>
      </c>
      <c r="B495" s="52" t="s">
        <v>4865</v>
      </c>
      <c r="C495" s="59" t="s">
        <v>9024</v>
      </c>
      <c r="E495" s="57" t="s">
        <v>9025</v>
      </c>
      <c r="F495" s="57" t="s">
        <v>9033</v>
      </c>
      <c r="G495" t="s">
        <v>1297</v>
      </c>
      <c r="H495" s="54" t="s">
        <v>1298</v>
      </c>
    </row>
    <row r="496" spans="1:8" x14ac:dyDescent="0.35">
      <c r="A496" s="50" t="s">
        <v>4262</v>
      </c>
      <c r="B496" s="52" t="s">
        <v>4261</v>
      </c>
      <c r="C496" s="59" t="s">
        <v>10781</v>
      </c>
      <c r="E496" s="57" t="s">
        <v>10782</v>
      </c>
      <c r="F496" s="57" t="s">
        <v>10783</v>
      </c>
      <c r="G496" t="s">
        <v>3687</v>
      </c>
      <c r="H496" s="54" t="s">
        <v>4035</v>
      </c>
    </row>
    <row r="497" spans="1:8" x14ac:dyDescent="0.35">
      <c r="A497" s="50" t="s">
        <v>4262</v>
      </c>
      <c r="B497" s="52" t="s">
        <v>4261</v>
      </c>
      <c r="C497" s="59" t="s">
        <v>10781</v>
      </c>
      <c r="E497" s="57" t="s">
        <v>10782</v>
      </c>
      <c r="F497" s="57" t="s">
        <v>10784</v>
      </c>
      <c r="G497" t="s">
        <v>3686</v>
      </c>
      <c r="H497" s="54" t="s">
        <v>4034</v>
      </c>
    </row>
    <row r="498" spans="1:8" x14ac:dyDescent="0.35">
      <c r="A498" s="50" t="s">
        <v>4262</v>
      </c>
      <c r="B498" s="52" t="s">
        <v>4261</v>
      </c>
      <c r="C498" s="59" t="s">
        <v>10781</v>
      </c>
      <c r="E498" s="57" t="s">
        <v>10782</v>
      </c>
      <c r="F498" s="57" t="s">
        <v>10785</v>
      </c>
      <c r="G498" t="s">
        <v>3688</v>
      </c>
      <c r="H498" s="54" t="s">
        <v>4036</v>
      </c>
    </row>
    <row r="499" spans="1:8" x14ac:dyDescent="0.35">
      <c r="A499" s="50" t="s">
        <v>4262</v>
      </c>
      <c r="B499" s="52" t="s">
        <v>4261</v>
      </c>
      <c r="C499" s="59" t="s">
        <v>10781</v>
      </c>
      <c r="E499" s="57" t="s">
        <v>10782</v>
      </c>
      <c r="F499" s="57" t="s">
        <v>10786</v>
      </c>
      <c r="G499" t="s">
        <v>3689</v>
      </c>
      <c r="H499" s="54" t="s">
        <v>4035</v>
      </c>
    </row>
    <row r="500" spans="1:8" x14ac:dyDescent="0.35">
      <c r="A500" s="50" t="s">
        <v>7374</v>
      </c>
      <c r="B500" s="52" t="s">
        <v>7373</v>
      </c>
      <c r="C500" s="59" t="s">
        <v>9526</v>
      </c>
      <c r="E500" s="57" t="s">
        <v>9527</v>
      </c>
      <c r="F500" s="57" t="s">
        <v>9528</v>
      </c>
      <c r="G500" t="s">
        <v>9529</v>
      </c>
      <c r="H500" s="54" t="s">
        <v>9530</v>
      </c>
    </row>
    <row r="501" spans="1:8" x14ac:dyDescent="0.35">
      <c r="A501" s="50" t="s">
        <v>8148</v>
      </c>
      <c r="B501" s="52" t="s">
        <v>8147</v>
      </c>
      <c r="C501" s="59" t="s">
        <v>9144</v>
      </c>
      <c r="E501" s="57" t="s">
        <v>9145</v>
      </c>
      <c r="F501" s="57" t="s">
        <v>9146</v>
      </c>
      <c r="G501" t="s">
        <v>9147</v>
      </c>
      <c r="H501" s="54" t="s">
        <v>9148</v>
      </c>
    </row>
    <row r="502" spans="1:8" x14ac:dyDescent="0.35">
      <c r="A502" s="50" t="s">
        <v>8148</v>
      </c>
      <c r="B502" s="52" t="s">
        <v>8147</v>
      </c>
      <c r="C502" s="59" t="s">
        <v>9144</v>
      </c>
      <c r="E502" s="57" t="s">
        <v>9145</v>
      </c>
      <c r="F502" s="57" t="s">
        <v>9149</v>
      </c>
      <c r="G502" t="s">
        <v>9147</v>
      </c>
      <c r="H502" s="54" t="s">
        <v>9150</v>
      </c>
    </row>
    <row r="503" spans="1:8" x14ac:dyDescent="0.35">
      <c r="A503" s="50" t="s">
        <v>8148</v>
      </c>
      <c r="B503" s="52" t="s">
        <v>8147</v>
      </c>
      <c r="C503" s="59" t="s">
        <v>9144</v>
      </c>
      <c r="E503" s="57" t="s">
        <v>9145</v>
      </c>
      <c r="F503" s="57" t="s">
        <v>9151</v>
      </c>
      <c r="G503" t="s">
        <v>9152</v>
      </c>
      <c r="H503" s="54" t="s">
        <v>9153</v>
      </c>
    </row>
    <row r="504" spans="1:8" x14ac:dyDescent="0.35">
      <c r="A504" s="50" t="s">
        <v>8148</v>
      </c>
      <c r="B504" s="52" t="s">
        <v>8147</v>
      </c>
      <c r="C504" s="59" t="s">
        <v>9144</v>
      </c>
      <c r="E504" s="57" t="s">
        <v>9145</v>
      </c>
      <c r="F504" s="57" t="s">
        <v>9154</v>
      </c>
      <c r="G504" t="s">
        <v>9152</v>
      </c>
      <c r="H504" s="54" t="s">
        <v>9155</v>
      </c>
    </row>
    <row r="505" spans="1:8" x14ac:dyDescent="0.35">
      <c r="A505" s="50" t="s">
        <v>8148</v>
      </c>
      <c r="B505" s="52" t="s">
        <v>8147</v>
      </c>
      <c r="C505" s="59" t="s">
        <v>9144</v>
      </c>
      <c r="E505" s="57" t="s">
        <v>9145</v>
      </c>
      <c r="F505" s="57" t="s">
        <v>9156</v>
      </c>
      <c r="G505" t="s">
        <v>9147</v>
      </c>
      <c r="H505" s="54" t="s">
        <v>9157</v>
      </c>
    </row>
    <row r="506" spans="1:8" x14ac:dyDescent="0.35">
      <c r="A506" s="50" t="s">
        <v>5252</v>
      </c>
      <c r="B506" s="52" t="s">
        <v>5251</v>
      </c>
      <c r="C506" s="59" t="s">
        <v>10333</v>
      </c>
      <c r="E506" s="57" t="s">
        <v>10334</v>
      </c>
      <c r="F506" s="57" t="s">
        <v>10335</v>
      </c>
      <c r="G506" t="s">
        <v>3690</v>
      </c>
      <c r="H506" s="54" t="s">
        <v>4038</v>
      </c>
    </row>
    <row r="507" spans="1:8" x14ac:dyDescent="0.35">
      <c r="A507" s="50" t="s">
        <v>6714</v>
      </c>
      <c r="B507" s="52" t="s">
        <v>6713</v>
      </c>
      <c r="C507" s="59" t="s">
        <v>9814</v>
      </c>
      <c r="E507" s="57" t="s">
        <v>9815</v>
      </c>
      <c r="F507" s="57" t="s">
        <v>9816</v>
      </c>
      <c r="G507" s="8" t="s">
        <v>9817</v>
      </c>
      <c r="H507" s="54" t="s">
        <v>9818</v>
      </c>
    </row>
    <row r="508" spans="1:8" x14ac:dyDescent="0.35">
      <c r="A508" s="50" t="s">
        <v>6573</v>
      </c>
      <c r="B508" s="52" t="s">
        <v>6572</v>
      </c>
      <c r="C508" s="59" t="s">
        <v>9898</v>
      </c>
      <c r="E508" s="57" t="s">
        <v>9899</v>
      </c>
      <c r="F508" s="57" t="s">
        <v>9900</v>
      </c>
      <c r="G508" t="s">
        <v>3691</v>
      </c>
      <c r="H508" s="54" t="s">
        <v>4039</v>
      </c>
    </row>
    <row r="509" spans="1:8" x14ac:dyDescent="0.35">
      <c r="A509" s="50" t="s">
        <v>8010</v>
      </c>
      <c r="B509" s="52" t="s">
        <v>8009</v>
      </c>
      <c r="C509" s="59" t="s">
        <v>9259</v>
      </c>
    </row>
    <row r="510" spans="1:8" x14ac:dyDescent="0.35">
      <c r="A510" s="50" t="s">
        <v>6542</v>
      </c>
      <c r="B510" s="52" t="s">
        <v>6541</v>
      </c>
      <c r="C510" s="59" t="s">
        <v>9259</v>
      </c>
    </row>
    <row r="511" spans="1:8" x14ac:dyDescent="0.35">
      <c r="A511" s="50" t="s">
        <v>4522</v>
      </c>
      <c r="B511" s="52" t="s">
        <v>4521</v>
      </c>
      <c r="C511" s="59" t="s">
        <v>9259</v>
      </c>
    </row>
    <row r="512" spans="1:8" x14ac:dyDescent="0.35">
      <c r="A512" s="50" t="s">
        <v>5739</v>
      </c>
      <c r="B512" s="52" t="s">
        <v>5738</v>
      </c>
      <c r="C512" s="59" t="s">
        <v>10105</v>
      </c>
      <c r="E512" s="57" t="s">
        <v>10106</v>
      </c>
      <c r="F512" s="57" t="s">
        <v>10107</v>
      </c>
      <c r="G512" t="s">
        <v>3692</v>
      </c>
      <c r="H512" s="54" t="s">
        <v>4040</v>
      </c>
    </row>
    <row r="513" spans="1:8" x14ac:dyDescent="0.35">
      <c r="A513" s="50" t="s">
        <v>5739</v>
      </c>
      <c r="B513" s="52" t="s">
        <v>5738</v>
      </c>
      <c r="C513" s="59" t="s">
        <v>10105</v>
      </c>
      <c r="E513" s="57" t="s">
        <v>10106</v>
      </c>
      <c r="F513" s="57" t="s">
        <v>10108</v>
      </c>
      <c r="G513" t="s">
        <v>3693</v>
      </c>
      <c r="H513" s="54" t="s">
        <v>4041</v>
      </c>
    </row>
    <row r="514" spans="1:8" x14ac:dyDescent="0.35">
      <c r="A514" s="50" t="s">
        <v>6064</v>
      </c>
      <c r="B514" s="52" t="s">
        <v>6063</v>
      </c>
      <c r="C514" s="59" t="s">
        <v>10003</v>
      </c>
      <c r="E514" s="57" t="s">
        <v>10004</v>
      </c>
      <c r="F514" s="57" t="s">
        <v>10005</v>
      </c>
      <c r="G514" t="s">
        <v>3694</v>
      </c>
      <c r="H514" s="54" t="s">
        <v>4042</v>
      </c>
    </row>
    <row r="515" spans="1:8" x14ac:dyDescent="0.35">
      <c r="A515" s="50" t="s">
        <v>8171</v>
      </c>
      <c r="B515" s="52" t="s">
        <v>8170</v>
      </c>
      <c r="C515" s="59" t="s">
        <v>9141</v>
      </c>
      <c r="E515" s="57" t="s">
        <v>9142</v>
      </c>
      <c r="F515" s="57" t="s">
        <v>9143</v>
      </c>
      <c r="G515" t="s">
        <v>3695</v>
      </c>
      <c r="H515" s="54" t="s">
        <v>4043</v>
      </c>
    </row>
    <row r="516" spans="1:8" x14ac:dyDescent="0.35">
      <c r="A516" s="50" t="s">
        <v>6255</v>
      </c>
      <c r="B516" s="52" t="s">
        <v>6254</v>
      </c>
      <c r="C516" s="59" t="s">
        <v>9141</v>
      </c>
      <c r="E516" s="57" t="s">
        <v>9142</v>
      </c>
      <c r="F516" s="57" t="s">
        <v>9143</v>
      </c>
      <c r="G516" s="8" t="s">
        <v>3695</v>
      </c>
      <c r="H516" s="54" t="s">
        <v>4043</v>
      </c>
    </row>
    <row r="517" spans="1:8" x14ac:dyDescent="0.35">
      <c r="A517" s="50" t="s">
        <v>7378</v>
      </c>
      <c r="B517" s="52" t="s">
        <v>7377</v>
      </c>
      <c r="C517" s="59" t="s">
        <v>9521</v>
      </c>
      <c r="E517" s="57" t="s">
        <v>9522</v>
      </c>
      <c r="F517" s="57" t="s">
        <v>9523</v>
      </c>
      <c r="G517" t="s">
        <v>9524</v>
      </c>
      <c r="H517" s="54" t="s">
        <v>9525</v>
      </c>
    </row>
    <row r="518" spans="1:8" x14ac:dyDescent="0.35">
      <c r="A518" s="50" t="s">
        <v>6841</v>
      </c>
      <c r="B518" s="52" t="s">
        <v>6840</v>
      </c>
      <c r="C518" s="59" t="s">
        <v>9733</v>
      </c>
      <c r="E518" s="57" t="s">
        <v>9734</v>
      </c>
      <c r="F518" s="57" t="s">
        <v>9735</v>
      </c>
      <c r="G518" t="s">
        <v>9736</v>
      </c>
      <c r="H518" s="54" t="s">
        <v>9737</v>
      </c>
    </row>
    <row r="519" spans="1:8" x14ac:dyDescent="0.35">
      <c r="A519" s="50" t="s">
        <v>6841</v>
      </c>
      <c r="B519" s="52" t="s">
        <v>6840</v>
      </c>
      <c r="C519" s="59" t="s">
        <v>9733</v>
      </c>
      <c r="E519" s="57" t="s">
        <v>9734</v>
      </c>
      <c r="F519" s="57" t="s">
        <v>9738</v>
      </c>
      <c r="G519" t="s">
        <v>9739</v>
      </c>
      <c r="H519" s="54" t="s">
        <v>9740</v>
      </c>
    </row>
    <row r="520" spans="1:8" x14ac:dyDescent="0.35">
      <c r="A520" s="50" t="s">
        <v>6841</v>
      </c>
      <c r="B520" s="52" t="s">
        <v>6840</v>
      </c>
      <c r="C520" s="59" t="s">
        <v>9733</v>
      </c>
      <c r="E520" s="57" t="s">
        <v>9734</v>
      </c>
      <c r="F520" s="57" t="s">
        <v>9741</v>
      </c>
      <c r="G520" s="8" t="s">
        <v>9742</v>
      </c>
      <c r="H520" s="54" t="s">
        <v>9743</v>
      </c>
    </row>
    <row r="521" spans="1:8" x14ac:dyDescent="0.35">
      <c r="A521" s="50" t="s">
        <v>8007</v>
      </c>
      <c r="B521" s="52" t="s">
        <v>8006</v>
      </c>
      <c r="C521" s="59" t="s">
        <v>9260</v>
      </c>
      <c r="E521" s="57" t="s">
        <v>9261</v>
      </c>
    </row>
    <row r="522" spans="1:8" x14ac:dyDescent="0.35">
      <c r="A522" s="50" t="s">
        <v>6054</v>
      </c>
      <c r="B522" s="52" t="s">
        <v>6053</v>
      </c>
      <c r="C522" s="59" t="s">
        <v>10009</v>
      </c>
      <c r="E522" s="57" t="s">
        <v>10010</v>
      </c>
      <c r="F522" s="57" t="s">
        <v>10011</v>
      </c>
      <c r="G522" t="s">
        <v>10012</v>
      </c>
      <c r="H522" s="54" t="s">
        <v>10013</v>
      </c>
    </row>
    <row r="523" spans="1:8" x14ac:dyDescent="0.35">
      <c r="A523" s="50" t="s">
        <v>6054</v>
      </c>
      <c r="B523" s="52" t="s">
        <v>6053</v>
      </c>
      <c r="C523" s="59" t="s">
        <v>10009</v>
      </c>
      <c r="E523" s="57" t="s">
        <v>10010</v>
      </c>
      <c r="F523" s="57" t="s">
        <v>10014</v>
      </c>
      <c r="G523" t="s">
        <v>10012</v>
      </c>
      <c r="H523" s="54" t="s">
        <v>10015</v>
      </c>
    </row>
    <row r="524" spans="1:8" x14ac:dyDescent="0.35">
      <c r="A524" s="50" t="s">
        <v>6054</v>
      </c>
      <c r="B524" s="52" t="s">
        <v>6053</v>
      </c>
      <c r="C524" s="59" t="s">
        <v>10009</v>
      </c>
      <c r="E524" s="57" t="s">
        <v>10010</v>
      </c>
      <c r="F524" s="57" t="s">
        <v>10016</v>
      </c>
      <c r="G524" t="s">
        <v>10017</v>
      </c>
      <c r="H524" s="54" t="s">
        <v>10018</v>
      </c>
    </row>
    <row r="525" spans="1:8" x14ac:dyDescent="0.35">
      <c r="A525" s="50" t="s">
        <v>8711</v>
      </c>
      <c r="B525" s="52" t="s">
        <v>8710</v>
      </c>
      <c r="C525" s="59" t="s">
        <v>8947</v>
      </c>
    </row>
    <row r="526" spans="1:8" x14ac:dyDescent="0.35">
      <c r="A526" s="50" t="s">
        <v>8600</v>
      </c>
      <c r="B526" s="52" t="s">
        <v>8599</v>
      </c>
      <c r="C526" s="59" t="s">
        <v>8947</v>
      </c>
      <c r="F526" s="57"/>
    </row>
    <row r="527" spans="1:8" x14ac:dyDescent="0.35">
      <c r="A527" s="50" t="s">
        <v>8175</v>
      </c>
      <c r="B527" s="52" t="s">
        <v>8174</v>
      </c>
      <c r="C527" s="59" t="s">
        <v>8947</v>
      </c>
    </row>
    <row r="528" spans="1:8" x14ac:dyDescent="0.35">
      <c r="A528" s="50" t="s">
        <v>7654</v>
      </c>
      <c r="B528" s="52" t="s">
        <v>7653</v>
      </c>
      <c r="C528" s="59" t="s">
        <v>8947</v>
      </c>
    </row>
    <row r="529" spans="1:3" x14ac:dyDescent="0.35">
      <c r="A529" s="50" t="s">
        <v>7532</v>
      </c>
      <c r="B529" s="52" t="s">
        <v>7531</v>
      </c>
      <c r="C529" s="59" t="s">
        <v>8947</v>
      </c>
    </row>
    <row r="530" spans="1:3" x14ac:dyDescent="0.35">
      <c r="A530" s="50" t="s">
        <v>7476</v>
      </c>
      <c r="B530" s="52" t="s">
        <v>7475</v>
      </c>
      <c r="C530" s="59" t="s">
        <v>8947</v>
      </c>
    </row>
    <row r="531" spans="1:3" x14ac:dyDescent="0.35">
      <c r="A531" s="50" t="s">
        <v>7358</v>
      </c>
      <c r="B531" s="52" t="s">
        <v>7357</v>
      </c>
      <c r="C531" s="59" t="s">
        <v>8947</v>
      </c>
    </row>
    <row r="532" spans="1:3" x14ac:dyDescent="0.35">
      <c r="A532" s="50" t="s">
        <v>7342</v>
      </c>
      <c r="B532" s="52" t="s">
        <v>7341</v>
      </c>
      <c r="C532" s="59" t="s">
        <v>8947</v>
      </c>
    </row>
    <row r="533" spans="1:3" x14ac:dyDescent="0.35">
      <c r="A533" s="50" t="s">
        <v>7131</v>
      </c>
      <c r="B533" s="52" t="s">
        <v>7130</v>
      </c>
      <c r="C533" s="59" t="s">
        <v>8947</v>
      </c>
    </row>
    <row r="534" spans="1:3" x14ac:dyDescent="0.35">
      <c r="A534" s="50" t="s">
        <v>6901</v>
      </c>
      <c r="B534" s="52" t="s">
        <v>6900</v>
      </c>
      <c r="C534" s="59" t="s">
        <v>8947</v>
      </c>
    </row>
    <row r="535" spans="1:3" x14ac:dyDescent="0.35">
      <c r="A535" s="50" t="s">
        <v>6746</v>
      </c>
      <c r="B535" s="52" t="s">
        <v>6745</v>
      </c>
      <c r="C535" s="59" t="s">
        <v>8947</v>
      </c>
    </row>
    <row r="536" spans="1:3" x14ac:dyDescent="0.35">
      <c r="A536" s="50" t="s">
        <v>6731</v>
      </c>
      <c r="B536" s="52" t="s">
        <v>6730</v>
      </c>
      <c r="C536" s="59" t="s">
        <v>8947</v>
      </c>
    </row>
    <row r="537" spans="1:3" x14ac:dyDescent="0.35">
      <c r="A537" s="50" t="s">
        <v>6692</v>
      </c>
      <c r="B537" s="52" t="s">
        <v>6691</v>
      </c>
      <c r="C537" s="59" t="s">
        <v>8947</v>
      </c>
    </row>
    <row r="538" spans="1:3" x14ac:dyDescent="0.35">
      <c r="A538" s="50" t="s">
        <v>6688</v>
      </c>
      <c r="B538" s="52" t="s">
        <v>6687</v>
      </c>
      <c r="C538" s="59" t="s">
        <v>8947</v>
      </c>
    </row>
    <row r="539" spans="1:3" x14ac:dyDescent="0.35">
      <c r="A539" s="50" t="s">
        <v>6649</v>
      </c>
      <c r="B539" s="52" t="s">
        <v>6648</v>
      </c>
      <c r="C539" s="59" t="s">
        <v>8947</v>
      </c>
    </row>
    <row r="540" spans="1:3" x14ac:dyDescent="0.35">
      <c r="A540" s="50" t="s">
        <v>6122</v>
      </c>
      <c r="B540" s="52" t="s">
        <v>6121</v>
      </c>
      <c r="C540" s="59" t="s">
        <v>8947</v>
      </c>
    </row>
    <row r="541" spans="1:3" x14ac:dyDescent="0.35">
      <c r="A541" s="50" t="s">
        <v>5427</v>
      </c>
      <c r="B541" s="52" t="s">
        <v>5426</v>
      </c>
      <c r="C541" s="59" t="s">
        <v>8947</v>
      </c>
    </row>
    <row r="542" spans="1:3" x14ac:dyDescent="0.35">
      <c r="A542" s="50" t="s">
        <v>5415</v>
      </c>
      <c r="B542" s="52" t="s">
        <v>5414</v>
      </c>
      <c r="C542" s="59" t="s">
        <v>8947</v>
      </c>
    </row>
    <row r="543" spans="1:3" x14ac:dyDescent="0.35">
      <c r="A543" s="50" t="s">
        <v>5384</v>
      </c>
      <c r="B543" s="52" t="s">
        <v>5383</v>
      </c>
      <c r="C543" s="59" t="s">
        <v>8947</v>
      </c>
    </row>
    <row r="544" spans="1:3" x14ac:dyDescent="0.35">
      <c r="A544" s="50" t="s">
        <v>5079</v>
      </c>
      <c r="B544" s="52" t="s">
        <v>5078</v>
      </c>
      <c r="C544" s="59" t="s">
        <v>8947</v>
      </c>
    </row>
    <row r="545" spans="1:8" x14ac:dyDescent="0.35">
      <c r="A545" s="50" t="s">
        <v>4379</v>
      </c>
      <c r="B545" s="52" t="s">
        <v>4378</v>
      </c>
      <c r="C545" s="59" t="s">
        <v>8947</v>
      </c>
    </row>
    <row r="546" spans="1:8" x14ac:dyDescent="0.35">
      <c r="A546" s="50" t="s">
        <v>8121</v>
      </c>
      <c r="B546" s="52" t="s">
        <v>8120</v>
      </c>
      <c r="C546" s="59" t="s">
        <v>9158</v>
      </c>
      <c r="E546" s="57"/>
    </row>
    <row r="547" spans="1:8" x14ac:dyDescent="0.35">
      <c r="A547" s="50" t="s">
        <v>7861</v>
      </c>
      <c r="B547" s="52" t="s">
        <v>7860</v>
      </c>
      <c r="C547" s="59" t="s">
        <v>9158</v>
      </c>
    </row>
    <row r="548" spans="1:8" x14ac:dyDescent="0.35">
      <c r="A548" s="50" t="s">
        <v>7017</v>
      </c>
      <c r="B548" s="52" t="s">
        <v>7016</v>
      </c>
      <c r="C548" s="59" t="s">
        <v>9158</v>
      </c>
    </row>
    <row r="549" spans="1:8" x14ac:dyDescent="0.35">
      <c r="A549" s="50" t="s">
        <v>6892</v>
      </c>
      <c r="B549" s="52" t="s">
        <v>6891</v>
      </c>
      <c r="C549" s="59" t="s">
        <v>9158</v>
      </c>
    </row>
    <row r="550" spans="1:8" x14ac:dyDescent="0.35">
      <c r="A550" s="50" t="s">
        <v>5665</v>
      </c>
      <c r="B550" s="52" t="s">
        <v>5664</v>
      </c>
      <c r="C550" s="59" t="s">
        <v>9158</v>
      </c>
    </row>
    <row r="551" spans="1:8" x14ac:dyDescent="0.35">
      <c r="A551" s="50" t="s">
        <v>5526</v>
      </c>
      <c r="B551" s="52" t="s">
        <v>5525</v>
      </c>
      <c r="C551" s="59" t="s">
        <v>9158</v>
      </c>
    </row>
    <row r="552" spans="1:8" x14ac:dyDescent="0.35">
      <c r="A552" s="50" t="s">
        <v>5303</v>
      </c>
      <c r="B552" s="52" t="s">
        <v>5302</v>
      </c>
      <c r="C552" s="59" t="s">
        <v>9158</v>
      </c>
    </row>
    <row r="553" spans="1:8" x14ac:dyDescent="0.35">
      <c r="A553" s="50" t="s">
        <v>5259</v>
      </c>
      <c r="B553" s="52" t="s">
        <v>5258</v>
      </c>
      <c r="C553" s="59" t="s">
        <v>9158</v>
      </c>
    </row>
    <row r="554" spans="1:8" x14ac:dyDescent="0.35">
      <c r="A554" s="50" t="s">
        <v>4679</v>
      </c>
      <c r="B554" s="52" t="s">
        <v>4678</v>
      </c>
      <c r="C554" s="59" t="s">
        <v>9158</v>
      </c>
    </row>
    <row r="555" spans="1:8" x14ac:dyDescent="0.35">
      <c r="A555" s="50" t="s">
        <v>4478</v>
      </c>
      <c r="B555" s="52" t="s">
        <v>4477</v>
      </c>
      <c r="C555" s="59" t="s">
        <v>9158</v>
      </c>
    </row>
    <row r="556" spans="1:8" x14ac:dyDescent="0.35">
      <c r="A556" s="50" t="s">
        <v>7310</v>
      </c>
      <c r="B556" s="52" t="s">
        <v>7309</v>
      </c>
      <c r="C556" s="59" t="s">
        <v>9550</v>
      </c>
      <c r="E556" s="57" t="s">
        <v>9551</v>
      </c>
      <c r="F556" s="57" t="s">
        <v>9552</v>
      </c>
      <c r="G556" t="s">
        <v>9553</v>
      </c>
      <c r="H556" s="54" t="s">
        <v>4051</v>
      </c>
    </row>
    <row r="557" spans="1:8" x14ac:dyDescent="0.35">
      <c r="A557" s="50" t="s">
        <v>8426</v>
      </c>
      <c r="B557" s="52" t="s">
        <v>8425</v>
      </c>
      <c r="C557" s="59" t="s">
        <v>9089</v>
      </c>
      <c r="E557" s="57" t="s">
        <v>9090</v>
      </c>
      <c r="F557" s="57" t="s">
        <v>9091</v>
      </c>
      <c r="G557" t="s">
        <v>9092</v>
      </c>
      <c r="H557" s="54" t="s">
        <v>2492</v>
      </c>
    </row>
    <row r="558" spans="1:8" x14ac:dyDescent="0.35">
      <c r="A558" s="50" t="s">
        <v>6275</v>
      </c>
      <c r="B558" s="52" t="s">
        <v>6274</v>
      </c>
      <c r="C558" s="59" t="s">
        <v>9978</v>
      </c>
      <c r="E558" s="57" t="s">
        <v>9979</v>
      </c>
    </row>
    <row r="559" spans="1:8" x14ac:dyDescent="0.35">
      <c r="A559" s="50" t="s">
        <v>7539</v>
      </c>
      <c r="B559" s="52" t="s">
        <v>7538</v>
      </c>
      <c r="C559" s="59" t="s">
        <v>9454</v>
      </c>
    </row>
    <row r="560" spans="1:8" x14ac:dyDescent="0.35">
      <c r="A560" s="50" t="s">
        <v>6025</v>
      </c>
      <c r="B560" s="52" t="s">
        <v>6024</v>
      </c>
      <c r="C560" s="59" t="s">
        <v>10026</v>
      </c>
      <c r="E560" s="57" t="s">
        <v>10027</v>
      </c>
    </row>
    <row r="561" spans="1:5" x14ac:dyDescent="0.35">
      <c r="A561" s="50" t="s">
        <v>5319</v>
      </c>
      <c r="B561" s="52" t="s">
        <v>5318</v>
      </c>
      <c r="C561" s="59" t="s">
        <v>10302</v>
      </c>
      <c r="E561" s="57" t="s">
        <v>10303</v>
      </c>
    </row>
    <row r="562" spans="1:5" x14ac:dyDescent="0.35">
      <c r="A562" s="50" t="s">
        <v>5317</v>
      </c>
      <c r="B562" s="52" t="s">
        <v>5316</v>
      </c>
      <c r="C562" s="59" t="s">
        <v>10302</v>
      </c>
      <c r="E562" s="57" t="s">
        <v>10303</v>
      </c>
    </row>
    <row r="563" spans="1:5" x14ac:dyDescent="0.35">
      <c r="A563" s="50" t="s">
        <v>5207</v>
      </c>
      <c r="B563" s="52" t="s">
        <v>5206</v>
      </c>
      <c r="C563" s="59" t="s">
        <v>10350</v>
      </c>
    </row>
    <row r="564" spans="1:5" x14ac:dyDescent="0.35">
      <c r="A564" s="50" t="s">
        <v>5399</v>
      </c>
      <c r="B564" s="52" t="s">
        <v>5398</v>
      </c>
      <c r="C564" s="59" t="s">
        <v>10297</v>
      </c>
    </row>
    <row r="565" spans="1:5" x14ac:dyDescent="0.35">
      <c r="A565" s="50" t="s">
        <v>5396</v>
      </c>
      <c r="B565" s="52" t="s">
        <v>5395</v>
      </c>
      <c r="C565" s="59" t="s">
        <v>10297</v>
      </c>
    </row>
    <row r="566" spans="1:5" x14ac:dyDescent="0.35">
      <c r="A566" s="50" t="s">
        <v>6878</v>
      </c>
      <c r="B566" s="52" t="s">
        <v>6877</v>
      </c>
      <c r="C566" s="59" t="s">
        <v>9716</v>
      </c>
      <c r="E566" s="57" t="s">
        <v>9717</v>
      </c>
    </row>
    <row r="567" spans="1:5" x14ac:dyDescent="0.35">
      <c r="A567" s="50" t="s">
        <v>6609</v>
      </c>
      <c r="B567" s="52" t="s">
        <v>6608</v>
      </c>
      <c r="C567" s="59" t="s">
        <v>9716</v>
      </c>
      <c r="E567" s="57" t="s">
        <v>9717</v>
      </c>
    </row>
    <row r="568" spans="1:5" x14ac:dyDescent="0.35">
      <c r="A568" s="50" t="s">
        <v>5799</v>
      </c>
      <c r="B568" s="52" t="s">
        <v>5798</v>
      </c>
      <c r="C568" s="59" t="s">
        <v>9716</v>
      </c>
      <c r="E568" s="57" t="s">
        <v>9717</v>
      </c>
    </row>
    <row r="569" spans="1:5" x14ac:dyDescent="0.35">
      <c r="A569" s="50" t="s">
        <v>6518</v>
      </c>
      <c r="B569" s="52" t="s">
        <v>6517</v>
      </c>
      <c r="C569" s="59" t="s">
        <v>9927</v>
      </c>
      <c r="E569" s="57" t="s">
        <v>9928</v>
      </c>
    </row>
    <row r="570" spans="1:5" x14ac:dyDescent="0.35">
      <c r="A570" s="50" t="s">
        <v>5390</v>
      </c>
      <c r="B570" s="52" t="s">
        <v>5389</v>
      </c>
      <c r="C570" s="59" t="s">
        <v>10298</v>
      </c>
      <c r="E570" s="57" t="s">
        <v>10299</v>
      </c>
    </row>
    <row r="571" spans="1:5" x14ac:dyDescent="0.35">
      <c r="A571" s="50" t="s">
        <v>7229</v>
      </c>
      <c r="B571" s="52" t="s">
        <v>7228</v>
      </c>
      <c r="C571" s="59" t="s">
        <v>9586</v>
      </c>
    </row>
    <row r="572" spans="1:5" x14ac:dyDescent="0.35">
      <c r="A572" s="50" t="s">
        <v>6668</v>
      </c>
      <c r="B572" s="52" t="s">
        <v>6667</v>
      </c>
      <c r="C572" s="59" t="s">
        <v>9586</v>
      </c>
    </row>
    <row r="573" spans="1:5" x14ac:dyDescent="0.35">
      <c r="A573" s="50" t="s">
        <v>6666</v>
      </c>
      <c r="B573" s="52" t="s">
        <v>6665</v>
      </c>
      <c r="C573" s="59" t="s">
        <v>9586</v>
      </c>
    </row>
    <row r="574" spans="1:5" x14ac:dyDescent="0.35">
      <c r="A574" s="50" t="s">
        <v>8091</v>
      </c>
      <c r="B574" s="52" t="s">
        <v>8090</v>
      </c>
      <c r="C574" s="59" t="s">
        <v>9187</v>
      </c>
      <c r="E574" s="57" t="s">
        <v>9188</v>
      </c>
    </row>
    <row r="575" spans="1:5" x14ac:dyDescent="0.35">
      <c r="A575" s="50" t="s">
        <v>8045</v>
      </c>
      <c r="B575" s="52" t="s">
        <v>8044</v>
      </c>
      <c r="C575" s="59" t="s">
        <v>9212</v>
      </c>
      <c r="E575" s="57" t="s">
        <v>9213</v>
      </c>
    </row>
    <row r="576" spans="1:5" x14ac:dyDescent="0.35">
      <c r="A576" s="50" t="s">
        <v>5032</v>
      </c>
      <c r="B576" s="52" t="s">
        <v>5031</v>
      </c>
      <c r="C576" s="59" t="s">
        <v>9212</v>
      </c>
      <c r="E576" s="57" t="s">
        <v>9213</v>
      </c>
    </row>
    <row r="577" spans="1:8" x14ac:dyDescent="0.35">
      <c r="A577" s="50" t="s">
        <v>4235</v>
      </c>
      <c r="B577" s="52" t="s">
        <v>4234</v>
      </c>
      <c r="C577" s="59" t="s">
        <v>10789</v>
      </c>
      <c r="E577" s="57" t="s">
        <v>10790</v>
      </c>
    </row>
    <row r="578" spans="1:8" x14ac:dyDescent="0.35">
      <c r="A578" s="50" t="s">
        <v>8507</v>
      </c>
      <c r="B578" s="52" t="s">
        <v>8506</v>
      </c>
      <c r="C578" s="59" t="s">
        <v>9060</v>
      </c>
    </row>
    <row r="579" spans="1:8" x14ac:dyDescent="0.35">
      <c r="A579" s="50" t="s">
        <v>7140</v>
      </c>
      <c r="B579" s="52" t="s">
        <v>7139</v>
      </c>
      <c r="C579" s="59" t="s">
        <v>9060</v>
      </c>
    </row>
    <row r="580" spans="1:8" x14ac:dyDescent="0.35">
      <c r="A580" s="50" t="s">
        <v>6726</v>
      </c>
      <c r="B580" s="52" t="s">
        <v>6725</v>
      </c>
      <c r="C580" s="59" t="s">
        <v>9060</v>
      </c>
    </row>
    <row r="581" spans="1:8" x14ac:dyDescent="0.35">
      <c r="A581" s="50" t="s">
        <v>6649</v>
      </c>
      <c r="B581" s="52" t="s">
        <v>6648</v>
      </c>
      <c r="C581" s="59" t="s">
        <v>9060</v>
      </c>
    </row>
    <row r="582" spans="1:8" x14ac:dyDescent="0.35">
      <c r="A582" s="50" t="s">
        <v>8731</v>
      </c>
      <c r="B582" s="52" t="s">
        <v>8730</v>
      </c>
      <c r="C582" s="59" t="s">
        <v>8934</v>
      </c>
      <c r="E582" s="57" t="s">
        <v>8943</v>
      </c>
      <c r="F582" s="57" t="s">
        <v>8944</v>
      </c>
      <c r="G582" s="8" t="s">
        <v>8945</v>
      </c>
      <c r="H582" s="54" t="s">
        <v>8946</v>
      </c>
    </row>
    <row r="583" spans="1:8" x14ac:dyDescent="0.35">
      <c r="A583" s="50" t="s">
        <v>5547</v>
      </c>
      <c r="B583" s="52" t="s">
        <v>5546</v>
      </c>
      <c r="C583" s="59" t="s">
        <v>10197</v>
      </c>
      <c r="E583" s="57" t="s">
        <v>10198</v>
      </c>
      <c r="F583" s="57" t="s">
        <v>10199</v>
      </c>
      <c r="G583" t="s">
        <v>10200</v>
      </c>
      <c r="H583" s="54" t="s">
        <v>10201</v>
      </c>
    </row>
    <row r="584" spans="1:8" x14ac:dyDescent="0.35">
      <c r="A584" s="50" t="s">
        <v>5547</v>
      </c>
      <c r="B584" s="52" t="s">
        <v>5546</v>
      </c>
      <c r="C584" s="59" t="s">
        <v>10197</v>
      </c>
      <c r="E584" s="57" t="s">
        <v>10198</v>
      </c>
      <c r="F584" s="57" t="s">
        <v>10202</v>
      </c>
      <c r="G584" t="s">
        <v>10203</v>
      </c>
      <c r="H584" s="54" t="s">
        <v>10204</v>
      </c>
    </row>
    <row r="585" spans="1:8" x14ac:dyDescent="0.35">
      <c r="A585" s="50" t="s">
        <v>5547</v>
      </c>
      <c r="B585" s="52" t="s">
        <v>5546</v>
      </c>
      <c r="C585" s="59" t="s">
        <v>10197</v>
      </c>
      <c r="E585" s="57" t="s">
        <v>10198</v>
      </c>
      <c r="F585" s="57" t="s">
        <v>10205</v>
      </c>
      <c r="G585" t="s">
        <v>10206</v>
      </c>
      <c r="H585" s="54" t="s">
        <v>10207</v>
      </c>
    </row>
    <row r="586" spans="1:8" x14ac:dyDescent="0.35">
      <c r="A586" s="50" t="s">
        <v>5547</v>
      </c>
      <c r="B586" s="52" t="s">
        <v>5546</v>
      </c>
      <c r="C586" s="59" t="s">
        <v>10197</v>
      </c>
      <c r="E586" s="57" t="s">
        <v>10198</v>
      </c>
      <c r="F586" s="57" t="s">
        <v>10208</v>
      </c>
      <c r="G586" t="s">
        <v>10209</v>
      </c>
      <c r="H586" s="54" t="s">
        <v>10210</v>
      </c>
    </row>
    <row r="587" spans="1:8" x14ac:dyDescent="0.35">
      <c r="A587" s="50" t="s">
        <v>5547</v>
      </c>
      <c r="B587" s="52" t="s">
        <v>5546</v>
      </c>
      <c r="C587" s="59" t="s">
        <v>10197</v>
      </c>
      <c r="E587" s="57" t="s">
        <v>10198</v>
      </c>
      <c r="F587" s="57" t="s">
        <v>10211</v>
      </c>
      <c r="G587" t="s">
        <v>10212</v>
      </c>
      <c r="H587" s="54" t="s">
        <v>10213</v>
      </c>
    </row>
    <row r="588" spans="1:8" x14ac:dyDescent="0.35">
      <c r="A588" s="50" t="s">
        <v>5547</v>
      </c>
      <c r="B588" s="52" t="s">
        <v>5546</v>
      </c>
      <c r="C588" s="59" t="s">
        <v>10197</v>
      </c>
      <c r="E588" s="57" t="s">
        <v>10198</v>
      </c>
      <c r="F588" s="57" t="s">
        <v>10214</v>
      </c>
      <c r="G588" t="s">
        <v>10215</v>
      </c>
      <c r="H588" s="54" t="s">
        <v>10216</v>
      </c>
    </row>
    <row r="589" spans="1:8" x14ac:dyDescent="0.35">
      <c r="A589" s="50" t="s">
        <v>5419</v>
      </c>
      <c r="B589" s="52" t="s">
        <v>5418</v>
      </c>
      <c r="C589" s="59" t="s">
        <v>10272</v>
      </c>
      <c r="E589" s="57" t="s">
        <v>10273</v>
      </c>
      <c r="F589" s="57" t="s">
        <v>10274</v>
      </c>
      <c r="G589" t="s">
        <v>10275</v>
      </c>
      <c r="H589" s="54" t="s">
        <v>10276</v>
      </c>
    </row>
    <row r="590" spans="1:8" x14ac:dyDescent="0.35">
      <c r="A590" s="50" t="s">
        <v>5419</v>
      </c>
      <c r="B590" s="52" t="s">
        <v>5418</v>
      </c>
      <c r="C590" s="59" t="s">
        <v>10272</v>
      </c>
      <c r="E590" s="57" t="s">
        <v>10273</v>
      </c>
      <c r="F590" s="57" t="s">
        <v>10277</v>
      </c>
      <c r="G590" t="s">
        <v>10278</v>
      </c>
      <c r="H590" s="54" t="s">
        <v>10279</v>
      </c>
    </row>
    <row r="591" spans="1:8" x14ac:dyDescent="0.35">
      <c r="A591" s="50" t="s">
        <v>5128</v>
      </c>
      <c r="B591" s="52" t="s">
        <v>5127</v>
      </c>
      <c r="C591" s="59" t="s">
        <v>10446</v>
      </c>
      <c r="E591" s="57" t="s">
        <v>10447</v>
      </c>
      <c r="F591" s="57" t="s">
        <v>10448</v>
      </c>
      <c r="G591" t="s">
        <v>3706</v>
      </c>
      <c r="H591" s="54" t="s">
        <v>4054</v>
      </c>
    </row>
    <row r="592" spans="1:8" x14ac:dyDescent="0.35">
      <c r="A592" s="50" t="s">
        <v>5526</v>
      </c>
      <c r="B592" s="52" t="s">
        <v>5525</v>
      </c>
      <c r="C592" s="59" t="s">
        <v>10225</v>
      </c>
      <c r="E592" s="57" t="s">
        <v>10226</v>
      </c>
      <c r="F592" s="57" t="s">
        <v>10227</v>
      </c>
      <c r="G592" t="s">
        <v>3720</v>
      </c>
      <c r="H592" s="54" t="s">
        <v>4068</v>
      </c>
    </row>
    <row r="593" spans="1:8" x14ac:dyDescent="0.35">
      <c r="A593" s="50" t="s">
        <v>5526</v>
      </c>
      <c r="B593" s="52" t="s">
        <v>5525</v>
      </c>
      <c r="C593" s="59" t="s">
        <v>10225</v>
      </c>
      <c r="E593" s="57" t="s">
        <v>10226</v>
      </c>
      <c r="F593" s="57" t="s">
        <v>10228</v>
      </c>
      <c r="G593" t="s">
        <v>3707</v>
      </c>
      <c r="H593" s="54" t="s">
        <v>4055</v>
      </c>
    </row>
    <row r="594" spans="1:8" x14ac:dyDescent="0.35">
      <c r="A594" s="50" t="s">
        <v>5526</v>
      </c>
      <c r="B594" s="52" t="s">
        <v>5525</v>
      </c>
      <c r="C594" s="59" t="s">
        <v>10225</v>
      </c>
      <c r="E594" s="57" t="s">
        <v>10226</v>
      </c>
      <c r="F594" s="57" t="s">
        <v>10229</v>
      </c>
      <c r="G594" t="s">
        <v>3708</v>
      </c>
      <c r="H594" s="54" t="s">
        <v>4056</v>
      </c>
    </row>
    <row r="595" spans="1:8" x14ac:dyDescent="0.35">
      <c r="A595" s="50" t="s">
        <v>5526</v>
      </c>
      <c r="B595" s="52" t="s">
        <v>5525</v>
      </c>
      <c r="C595" s="59" t="s">
        <v>10225</v>
      </c>
      <c r="E595" s="57" t="s">
        <v>10226</v>
      </c>
      <c r="F595" s="57" t="s">
        <v>10230</v>
      </c>
      <c r="G595" t="s">
        <v>3709</v>
      </c>
      <c r="H595" s="54" t="s">
        <v>4057</v>
      </c>
    </row>
    <row r="596" spans="1:8" x14ac:dyDescent="0.35">
      <c r="A596" s="50" t="s">
        <v>5526</v>
      </c>
      <c r="B596" s="52" t="s">
        <v>5525</v>
      </c>
      <c r="C596" s="59" t="s">
        <v>10225</v>
      </c>
      <c r="E596" s="57" t="s">
        <v>10226</v>
      </c>
      <c r="F596" s="57" t="s">
        <v>10231</v>
      </c>
      <c r="G596" t="s">
        <v>3710</v>
      </c>
      <c r="H596" s="54" t="s">
        <v>4058</v>
      </c>
    </row>
    <row r="597" spans="1:8" x14ac:dyDescent="0.35">
      <c r="A597" s="50" t="s">
        <v>5526</v>
      </c>
      <c r="B597" s="52" t="s">
        <v>5525</v>
      </c>
      <c r="C597" s="59" t="s">
        <v>10225</v>
      </c>
      <c r="E597" s="57" t="s">
        <v>10226</v>
      </c>
      <c r="F597" s="57" t="s">
        <v>10232</v>
      </c>
      <c r="G597" t="s">
        <v>3711</v>
      </c>
      <c r="H597" s="54" t="s">
        <v>4059</v>
      </c>
    </row>
    <row r="598" spans="1:8" x14ac:dyDescent="0.35">
      <c r="A598" s="50" t="s">
        <v>5526</v>
      </c>
      <c r="B598" s="52" t="s">
        <v>5525</v>
      </c>
      <c r="C598" s="59" t="s">
        <v>10225</v>
      </c>
      <c r="E598" s="57" t="s">
        <v>10226</v>
      </c>
      <c r="F598" s="57" t="s">
        <v>10233</v>
      </c>
      <c r="G598" t="s">
        <v>3717</v>
      </c>
      <c r="H598" s="54" t="s">
        <v>4065</v>
      </c>
    </row>
    <row r="599" spans="1:8" x14ac:dyDescent="0.35">
      <c r="A599" s="50" t="s">
        <v>5526</v>
      </c>
      <c r="B599" s="52" t="s">
        <v>5525</v>
      </c>
      <c r="C599" s="59" t="s">
        <v>10225</v>
      </c>
      <c r="E599" s="57" t="s">
        <v>10226</v>
      </c>
      <c r="F599" s="57" t="s">
        <v>10234</v>
      </c>
      <c r="G599" t="s">
        <v>3718</v>
      </c>
      <c r="H599" s="54" t="s">
        <v>4066</v>
      </c>
    </row>
    <row r="600" spans="1:8" x14ac:dyDescent="0.35">
      <c r="A600" s="50" t="s">
        <v>5526</v>
      </c>
      <c r="B600" s="52" t="s">
        <v>5525</v>
      </c>
      <c r="C600" s="59" t="s">
        <v>10225</v>
      </c>
      <c r="E600" s="57" t="s">
        <v>10226</v>
      </c>
      <c r="F600" s="57" t="s">
        <v>10235</v>
      </c>
      <c r="G600" t="s">
        <v>3719</v>
      </c>
      <c r="H600" s="54" t="s">
        <v>4067</v>
      </c>
    </row>
    <row r="601" spans="1:8" x14ac:dyDescent="0.35">
      <c r="A601" s="50" t="s">
        <v>5526</v>
      </c>
      <c r="B601" s="52" t="s">
        <v>5525</v>
      </c>
      <c r="C601" s="59" t="s">
        <v>10225</v>
      </c>
      <c r="E601" s="57" t="s">
        <v>10226</v>
      </c>
      <c r="F601" s="57" t="s">
        <v>10236</v>
      </c>
      <c r="G601" t="s">
        <v>3715</v>
      </c>
      <c r="H601" s="54" t="s">
        <v>4063</v>
      </c>
    </row>
    <row r="602" spans="1:8" x14ac:dyDescent="0.35">
      <c r="A602" s="50" t="s">
        <v>5526</v>
      </c>
      <c r="B602" s="52" t="s">
        <v>5525</v>
      </c>
      <c r="C602" s="59" t="s">
        <v>10225</v>
      </c>
      <c r="E602" s="57" t="s">
        <v>10226</v>
      </c>
      <c r="F602" s="57" t="s">
        <v>10237</v>
      </c>
      <c r="G602" s="8" t="s">
        <v>3712</v>
      </c>
      <c r="H602" s="54" t="s">
        <v>4060</v>
      </c>
    </row>
    <row r="603" spans="1:8" x14ac:dyDescent="0.35">
      <c r="A603" s="50" t="s">
        <v>5526</v>
      </c>
      <c r="B603" s="52" t="s">
        <v>5525</v>
      </c>
      <c r="C603" s="59" t="s">
        <v>10225</v>
      </c>
      <c r="E603" s="57" t="s">
        <v>10226</v>
      </c>
      <c r="F603" s="57" t="s">
        <v>10238</v>
      </c>
      <c r="G603" t="s">
        <v>3714</v>
      </c>
      <c r="H603" s="54" t="s">
        <v>4062</v>
      </c>
    </row>
    <row r="604" spans="1:8" x14ac:dyDescent="0.35">
      <c r="A604" s="50" t="s">
        <v>5526</v>
      </c>
      <c r="B604" s="52" t="s">
        <v>5525</v>
      </c>
      <c r="C604" s="59" t="s">
        <v>10225</v>
      </c>
      <c r="E604" s="57" t="s">
        <v>10226</v>
      </c>
      <c r="F604" s="57" t="s">
        <v>10239</v>
      </c>
      <c r="G604" t="s">
        <v>3713</v>
      </c>
      <c r="H604" s="54" t="s">
        <v>4061</v>
      </c>
    </row>
    <row r="605" spans="1:8" x14ac:dyDescent="0.35">
      <c r="A605" s="50" t="s">
        <v>5526</v>
      </c>
      <c r="B605" s="52" t="s">
        <v>5525</v>
      </c>
      <c r="C605" s="59" t="s">
        <v>10225</v>
      </c>
      <c r="E605" s="57" t="s">
        <v>10226</v>
      </c>
      <c r="F605" s="57" t="s">
        <v>10240</v>
      </c>
      <c r="G605" t="s">
        <v>3716</v>
      </c>
      <c r="H605" s="54" t="s">
        <v>4064</v>
      </c>
    </row>
    <row r="606" spans="1:8" x14ac:dyDescent="0.35">
      <c r="A606" s="50" t="s">
        <v>5526</v>
      </c>
      <c r="B606" s="52" t="s">
        <v>5525</v>
      </c>
      <c r="C606" s="59" t="s">
        <v>10225</v>
      </c>
      <c r="E606" s="57" t="s">
        <v>10226</v>
      </c>
      <c r="F606" s="57" t="s">
        <v>10241</v>
      </c>
      <c r="G606" t="s">
        <v>3721</v>
      </c>
      <c r="H606" s="54" t="s">
        <v>4069</v>
      </c>
    </row>
    <row r="607" spans="1:8" x14ac:dyDescent="0.35">
      <c r="A607" s="50" t="s">
        <v>8698</v>
      </c>
      <c r="B607" s="52" t="s">
        <v>8697</v>
      </c>
      <c r="C607" s="59" t="s">
        <v>8954</v>
      </c>
      <c r="E607" s="57" t="s">
        <v>8955</v>
      </c>
      <c r="F607" s="57" t="s">
        <v>8956</v>
      </c>
      <c r="G607" t="s">
        <v>3724</v>
      </c>
      <c r="H607" s="54" t="s">
        <v>4072</v>
      </c>
    </row>
    <row r="608" spans="1:8" x14ac:dyDescent="0.35">
      <c r="A608" s="50" t="s">
        <v>8698</v>
      </c>
      <c r="B608" s="52" t="s">
        <v>8697</v>
      </c>
      <c r="C608" s="59" t="s">
        <v>8954</v>
      </c>
      <c r="E608" s="57" t="s">
        <v>8955</v>
      </c>
      <c r="F608" s="57" t="s">
        <v>8957</v>
      </c>
      <c r="G608" s="8" t="s">
        <v>3725</v>
      </c>
      <c r="H608" s="54" t="s">
        <v>4073</v>
      </c>
    </row>
    <row r="609" spans="1:8" x14ac:dyDescent="0.35">
      <c r="A609" s="50" t="s">
        <v>8698</v>
      </c>
      <c r="B609" s="52" t="s">
        <v>8697</v>
      </c>
      <c r="C609" s="59" t="s">
        <v>8954</v>
      </c>
      <c r="E609" s="57" t="s">
        <v>8955</v>
      </c>
      <c r="F609" s="57" t="s">
        <v>8958</v>
      </c>
      <c r="G609" t="s">
        <v>8959</v>
      </c>
      <c r="H609" s="54" t="s">
        <v>4074</v>
      </c>
    </row>
    <row r="610" spans="1:8" x14ac:dyDescent="0.35">
      <c r="A610" s="50" t="s">
        <v>8643</v>
      </c>
      <c r="B610" s="52" t="s">
        <v>8642</v>
      </c>
      <c r="C610" s="59" t="s">
        <v>9012</v>
      </c>
    </row>
    <row r="611" spans="1:8" x14ac:dyDescent="0.35">
      <c r="A611" s="50" t="s">
        <v>8523</v>
      </c>
      <c r="B611" s="52" t="s">
        <v>8522</v>
      </c>
      <c r="C611" s="59" t="s">
        <v>9012</v>
      </c>
    </row>
    <row r="612" spans="1:8" x14ac:dyDescent="0.35">
      <c r="A612" s="50" t="s">
        <v>7742</v>
      </c>
      <c r="B612" s="52" t="s">
        <v>7741</v>
      </c>
      <c r="C612" s="59" t="s">
        <v>9012</v>
      </c>
    </row>
    <row r="613" spans="1:8" x14ac:dyDescent="0.35">
      <c r="A613" s="50" t="s">
        <v>6288</v>
      </c>
      <c r="B613" s="52" t="s">
        <v>6287</v>
      </c>
      <c r="C613" s="59" t="s">
        <v>9012</v>
      </c>
    </row>
    <row r="614" spans="1:8" x14ac:dyDescent="0.35">
      <c r="A614" s="50" t="s">
        <v>5349</v>
      </c>
      <c r="B614" s="52" t="s">
        <v>5348</v>
      </c>
      <c r="C614" s="59" t="s">
        <v>9012</v>
      </c>
    </row>
    <row r="615" spans="1:8" x14ac:dyDescent="0.35">
      <c r="A615" s="50" t="s">
        <v>5344</v>
      </c>
      <c r="B615" s="52" t="s">
        <v>5343</v>
      </c>
      <c r="C615" s="59" t="s">
        <v>9012</v>
      </c>
    </row>
    <row r="616" spans="1:8" x14ac:dyDescent="0.35">
      <c r="A616" s="50" t="s">
        <v>4889</v>
      </c>
      <c r="B616" s="52" t="s">
        <v>4888</v>
      </c>
      <c r="C616" s="59" t="s">
        <v>9012</v>
      </c>
    </row>
    <row r="617" spans="1:8" x14ac:dyDescent="0.35">
      <c r="A617" s="50" t="s">
        <v>4398</v>
      </c>
      <c r="B617" s="52" t="s">
        <v>4397</v>
      </c>
      <c r="C617" s="59" t="s">
        <v>9012</v>
      </c>
    </row>
    <row r="618" spans="1:8" x14ac:dyDescent="0.35">
      <c r="A618" s="50" t="s">
        <v>6299</v>
      </c>
      <c r="B618" s="52" t="s">
        <v>6298</v>
      </c>
      <c r="C618" s="59" t="s">
        <v>9972</v>
      </c>
      <c r="E618" s="57" t="s">
        <v>9973</v>
      </c>
      <c r="F618" s="57" t="s">
        <v>9974</v>
      </c>
      <c r="G618" s="8" t="s">
        <v>9975</v>
      </c>
      <c r="H618" s="54" t="s">
        <v>9976</v>
      </c>
    </row>
    <row r="619" spans="1:8" x14ac:dyDescent="0.35">
      <c r="A619" s="50" t="s">
        <v>7211</v>
      </c>
      <c r="B619" s="52" t="s">
        <v>7210</v>
      </c>
      <c r="C619" s="59" t="s">
        <v>9598</v>
      </c>
      <c r="E619" s="57" t="s">
        <v>9599</v>
      </c>
    </row>
    <row r="620" spans="1:8" x14ac:dyDescent="0.35">
      <c r="A620" s="50" t="s">
        <v>4908</v>
      </c>
      <c r="B620" s="52" t="s">
        <v>4907</v>
      </c>
      <c r="C620" s="59" t="s">
        <v>9598</v>
      </c>
      <c r="E620" s="57" t="s">
        <v>9599</v>
      </c>
    </row>
    <row r="621" spans="1:8" x14ac:dyDescent="0.35">
      <c r="A621" s="50" t="s">
        <v>4387</v>
      </c>
      <c r="B621" s="52" t="s">
        <v>4386</v>
      </c>
      <c r="C621" s="59" t="s">
        <v>10695</v>
      </c>
      <c r="E621" s="57" t="s">
        <v>10696</v>
      </c>
      <c r="F621" s="57" t="s">
        <v>10697</v>
      </c>
      <c r="G621" t="s">
        <v>10698</v>
      </c>
      <c r="H621" s="54" t="s">
        <v>10699</v>
      </c>
    </row>
    <row r="622" spans="1:8" x14ac:dyDescent="0.35">
      <c r="A622" s="50" t="s">
        <v>4387</v>
      </c>
      <c r="B622" s="52" t="s">
        <v>4386</v>
      </c>
      <c r="C622" s="59" t="s">
        <v>10695</v>
      </c>
      <c r="E622" s="57" t="s">
        <v>10696</v>
      </c>
      <c r="F622" s="57" t="s">
        <v>10700</v>
      </c>
      <c r="G622" t="s">
        <v>3728</v>
      </c>
      <c r="H622" s="54" t="s">
        <v>10701</v>
      </c>
    </row>
    <row r="623" spans="1:8" x14ac:dyDescent="0.35">
      <c r="A623" s="50" t="s">
        <v>4387</v>
      </c>
      <c r="B623" s="52" t="s">
        <v>4386</v>
      </c>
      <c r="C623" s="59" t="s">
        <v>10695</v>
      </c>
      <c r="E623" s="57" t="s">
        <v>10696</v>
      </c>
      <c r="F623" s="57" t="s">
        <v>10702</v>
      </c>
      <c r="G623" t="s">
        <v>10703</v>
      </c>
      <c r="H623" s="54" t="s">
        <v>10704</v>
      </c>
    </row>
    <row r="624" spans="1:8" x14ac:dyDescent="0.35">
      <c r="A624" s="50" t="s">
        <v>4387</v>
      </c>
      <c r="B624" s="52" t="s">
        <v>4386</v>
      </c>
      <c r="C624" s="59" t="s">
        <v>10695</v>
      </c>
      <c r="E624" s="57" t="s">
        <v>10696</v>
      </c>
      <c r="F624" s="57" t="s">
        <v>10705</v>
      </c>
      <c r="G624" t="s">
        <v>10706</v>
      </c>
      <c r="H624" s="54" t="s">
        <v>10707</v>
      </c>
    </row>
    <row r="625" spans="1:8" x14ac:dyDescent="0.35">
      <c r="A625" s="50" t="s">
        <v>4387</v>
      </c>
      <c r="B625" s="52" t="s">
        <v>4386</v>
      </c>
      <c r="C625" s="59" t="s">
        <v>10695</v>
      </c>
      <c r="E625" s="57" t="s">
        <v>10696</v>
      </c>
      <c r="F625" s="57" t="s">
        <v>10708</v>
      </c>
      <c r="G625" t="s">
        <v>10709</v>
      </c>
      <c r="H625" s="54" t="s">
        <v>10710</v>
      </c>
    </row>
    <row r="626" spans="1:8" x14ac:dyDescent="0.35">
      <c r="A626" s="50" t="s">
        <v>4387</v>
      </c>
      <c r="B626" s="52" t="s">
        <v>4386</v>
      </c>
      <c r="C626" s="59" t="s">
        <v>10695</v>
      </c>
      <c r="E626" s="57" t="s">
        <v>10696</v>
      </c>
      <c r="F626" s="57" t="s">
        <v>10711</v>
      </c>
      <c r="G626" t="s">
        <v>10712</v>
      </c>
      <c r="H626" s="54" t="s">
        <v>10713</v>
      </c>
    </row>
    <row r="627" spans="1:8" x14ac:dyDescent="0.35">
      <c r="A627" s="50" t="s">
        <v>4387</v>
      </c>
      <c r="B627" s="52" t="s">
        <v>4386</v>
      </c>
      <c r="C627" s="59" t="s">
        <v>10695</v>
      </c>
      <c r="E627" s="57" t="s">
        <v>10696</v>
      </c>
      <c r="F627" s="57" t="s">
        <v>10714</v>
      </c>
      <c r="G627" t="s">
        <v>10715</v>
      </c>
      <c r="H627" s="54" t="s">
        <v>10716</v>
      </c>
    </row>
    <row r="628" spans="1:8" x14ac:dyDescent="0.35">
      <c r="A628" s="50" t="s">
        <v>4387</v>
      </c>
      <c r="B628" s="52" t="s">
        <v>4386</v>
      </c>
      <c r="C628" s="59" t="s">
        <v>10695</v>
      </c>
      <c r="E628" s="57" t="s">
        <v>10696</v>
      </c>
      <c r="F628" s="57" t="s">
        <v>10717</v>
      </c>
      <c r="G628" t="s">
        <v>3729</v>
      </c>
      <c r="H628" s="54" t="s">
        <v>10718</v>
      </c>
    </row>
    <row r="629" spans="1:8" x14ac:dyDescent="0.35">
      <c r="A629" s="50" t="s">
        <v>4387</v>
      </c>
      <c r="B629" s="52" t="s">
        <v>4386</v>
      </c>
      <c r="C629" s="59" t="s">
        <v>10695</v>
      </c>
      <c r="E629" s="57" t="s">
        <v>10696</v>
      </c>
      <c r="F629" s="57" t="s">
        <v>10719</v>
      </c>
      <c r="G629" t="s">
        <v>10720</v>
      </c>
      <c r="H629" s="54" t="s">
        <v>10721</v>
      </c>
    </row>
    <row r="630" spans="1:8" x14ac:dyDescent="0.35">
      <c r="A630" s="50" t="s">
        <v>4387</v>
      </c>
      <c r="B630" s="52" t="s">
        <v>4386</v>
      </c>
      <c r="C630" s="59" t="s">
        <v>10695</v>
      </c>
      <c r="E630" s="57" t="s">
        <v>10696</v>
      </c>
      <c r="F630" s="57" t="s">
        <v>10722</v>
      </c>
      <c r="G630" t="s">
        <v>10723</v>
      </c>
      <c r="H630" s="54" t="s">
        <v>10724</v>
      </c>
    </row>
    <row r="631" spans="1:8" x14ac:dyDescent="0.35">
      <c r="A631" s="50" t="s">
        <v>4387</v>
      </c>
      <c r="B631" s="52" t="s">
        <v>4386</v>
      </c>
      <c r="C631" s="59" t="s">
        <v>10695</v>
      </c>
      <c r="E631" s="57" t="s">
        <v>10696</v>
      </c>
      <c r="F631" s="57" t="s">
        <v>10725</v>
      </c>
      <c r="G631" t="s">
        <v>10726</v>
      </c>
      <c r="H631" s="54" t="s">
        <v>10727</v>
      </c>
    </row>
    <row r="632" spans="1:8" x14ac:dyDescent="0.35">
      <c r="A632" s="50" t="s">
        <v>4387</v>
      </c>
      <c r="B632" s="52" t="s">
        <v>4386</v>
      </c>
      <c r="C632" s="59" t="s">
        <v>10695</v>
      </c>
      <c r="E632" s="57" t="s">
        <v>10696</v>
      </c>
      <c r="F632" s="57" t="s">
        <v>10728</v>
      </c>
      <c r="G632" t="s">
        <v>10729</v>
      </c>
      <c r="H632" s="54" t="s">
        <v>10730</v>
      </c>
    </row>
    <row r="633" spans="1:8" x14ac:dyDescent="0.35">
      <c r="A633" s="50" t="s">
        <v>4387</v>
      </c>
      <c r="B633" s="52" t="s">
        <v>4386</v>
      </c>
      <c r="C633" s="59" t="s">
        <v>10695</v>
      </c>
      <c r="E633" s="57" t="s">
        <v>10696</v>
      </c>
      <c r="F633" s="57" t="s">
        <v>10731</v>
      </c>
      <c r="G633" t="s">
        <v>10732</v>
      </c>
      <c r="H633" s="54" t="s">
        <v>10733</v>
      </c>
    </row>
    <row r="634" spans="1:8" x14ac:dyDescent="0.35">
      <c r="A634" s="50" t="s">
        <v>4387</v>
      </c>
      <c r="B634" s="52" t="s">
        <v>4386</v>
      </c>
      <c r="C634" s="59" t="s">
        <v>10695</v>
      </c>
      <c r="E634" s="57" t="s">
        <v>10696</v>
      </c>
      <c r="F634" s="57" t="s">
        <v>10734</v>
      </c>
      <c r="G634" s="8" t="s">
        <v>10735</v>
      </c>
      <c r="H634" s="54" t="s">
        <v>10699</v>
      </c>
    </row>
    <row r="635" spans="1:8" x14ac:dyDescent="0.35">
      <c r="A635" s="50" t="s">
        <v>4387</v>
      </c>
      <c r="B635" s="52" t="s">
        <v>4386</v>
      </c>
      <c r="C635" s="59" t="s">
        <v>10695</v>
      </c>
      <c r="E635" s="57" t="s">
        <v>10696</v>
      </c>
      <c r="F635" s="57" t="s">
        <v>10736</v>
      </c>
      <c r="G635" t="s">
        <v>10737</v>
      </c>
      <c r="H635" s="54" t="s">
        <v>10707</v>
      </c>
    </row>
    <row r="636" spans="1:8" x14ac:dyDescent="0.35">
      <c r="A636" s="50" t="s">
        <v>4387</v>
      </c>
      <c r="B636" s="52" t="s">
        <v>4386</v>
      </c>
      <c r="C636" s="59" t="s">
        <v>10695</v>
      </c>
      <c r="E636" s="57" t="s">
        <v>10696</v>
      </c>
      <c r="F636" s="57" t="s">
        <v>10738</v>
      </c>
      <c r="G636" t="s">
        <v>10739</v>
      </c>
      <c r="H636" s="54" t="s">
        <v>10740</v>
      </c>
    </row>
    <row r="637" spans="1:8" x14ac:dyDescent="0.35">
      <c r="A637" s="50" t="s">
        <v>4387</v>
      </c>
      <c r="B637" s="52" t="s">
        <v>4386</v>
      </c>
      <c r="C637" s="59" t="s">
        <v>10695</v>
      </c>
      <c r="E637" s="57" t="s">
        <v>10696</v>
      </c>
      <c r="F637" s="57" t="s">
        <v>10741</v>
      </c>
      <c r="G637" t="s">
        <v>10742</v>
      </c>
      <c r="H637" s="54" t="s">
        <v>10743</v>
      </c>
    </row>
    <row r="638" spans="1:8" x14ac:dyDescent="0.35">
      <c r="A638" s="50" t="s">
        <v>4387</v>
      </c>
      <c r="B638" s="52" t="s">
        <v>4386</v>
      </c>
      <c r="C638" s="59" t="s">
        <v>10695</v>
      </c>
      <c r="E638" s="57" t="s">
        <v>10696</v>
      </c>
      <c r="F638" s="57" t="s">
        <v>10744</v>
      </c>
      <c r="G638" s="8" t="s">
        <v>10745</v>
      </c>
      <c r="H638" s="54" t="s">
        <v>10710</v>
      </c>
    </row>
    <row r="639" spans="1:8" x14ac:dyDescent="0.35">
      <c r="A639" s="50" t="s">
        <v>4387</v>
      </c>
      <c r="B639" s="52" t="s">
        <v>4386</v>
      </c>
      <c r="C639" s="59" t="s">
        <v>10695</v>
      </c>
      <c r="E639" s="57" t="s">
        <v>10696</v>
      </c>
      <c r="F639" s="57" t="s">
        <v>10746</v>
      </c>
      <c r="G639" t="s">
        <v>10747</v>
      </c>
      <c r="H639" s="54" t="s">
        <v>10748</v>
      </c>
    </row>
    <row r="640" spans="1:8" x14ac:dyDescent="0.35">
      <c r="A640" s="50" t="s">
        <v>8028</v>
      </c>
      <c r="B640" s="52" t="s">
        <v>8027</v>
      </c>
      <c r="C640" s="59" t="s">
        <v>9215</v>
      </c>
      <c r="E640" s="57" t="s">
        <v>9216</v>
      </c>
      <c r="F640" s="57" t="s">
        <v>9217</v>
      </c>
      <c r="G640" t="s">
        <v>9218</v>
      </c>
      <c r="H640" s="54" t="s">
        <v>9219</v>
      </c>
    </row>
    <row r="641" spans="1:8" x14ac:dyDescent="0.35">
      <c r="A641" s="50" t="s">
        <v>8028</v>
      </c>
      <c r="B641" s="52" t="s">
        <v>8027</v>
      </c>
      <c r="C641" s="59" t="s">
        <v>9215</v>
      </c>
      <c r="E641" s="57" t="s">
        <v>9216</v>
      </c>
      <c r="F641" s="57" t="s">
        <v>9220</v>
      </c>
      <c r="G641" s="8" t="s">
        <v>9221</v>
      </c>
      <c r="H641" s="54" t="s">
        <v>9222</v>
      </c>
    </row>
    <row r="642" spans="1:8" x14ac:dyDescent="0.35">
      <c r="A642" s="50" t="s">
        <v>8028</v>
      </c>
      <c r="B642" s="52" t="s">
        <v>8027</v>
      </c>
      <c r="C642" s="59" t="s">
        <v>9215</v>
      </c>
      <c r="E642" s="57" t="s">
        <v>9216</v>
      </c>
      <c r="F642" s="57" t="s">
        <v>9223</v>
      </c>
      <c r="G642" t="s">
        <v>9224</v>
      </c>
      <c r="H642" s="54" t="s">
        <v>9225</v>
      </c>
    </row>
    <row r="643" spans="1:8" x14ac:dyDescent="0.35">
      <c r="A643" s="50" t="s">
        <v>8028</v>
      </c>
      <c r="B643" s="52" t="s">
        <v>8027</v>
      </c>
      <c r="C643" s="59" t="s">
        <v>9215</v>
      </c>
      <c r="E643" s="57" t="s">
        <v>9216</v>
      </c>
      <c r="F643" s="57" t="s">
        <v>9226</v>
      </c>
      <c r="G643" s="8" t="s">
        <v>9227</v>
      </c>
      <c r="H643" s="54" t="s">
        <v>9228</v>
      </c>
    </row>
    <row r="644" spans="1:8" x14ac:dyDescent="0.35">
      <c r="A644" s="50" t="s">
        <v>8028</v>
      </c>
      <c r="B644" s="52" t="s">
        <v>8027</v>
      </c>
      <c r="C644" s="59" t="s">
        <v>9215</v>
      </c>
      <c r="E644" s="57" t="s">
        <v>9216</v>
      </c>
      <c r="F644" s="57" t="s">
        <v>9229</v>
      </c>
      <c r="G644" t="s">
        <v>9230</v>
      </c>
      <c r="H644" s="54" t="s">
        <v>9231</v>
      </c>
    </row>
    <row r="645" spans="1:8" x14ac:dyDescent="0.35">
      <c r="A645" s="50" t="s">
        <v>8028</v>
      </c>
      <c r="B645" s="52" t="s">
        <v>8027</v>
      </c>
      <c r="C645" s="59" t="s">
        <v>9215</v>
      </c>
      <c r="E645" s="57" t="s">
        <v>9216</v>
      </c>
      <c r="F645" s="57" t="s">
        <v>9232</v>
      </c>
      <c r="G645" s="8" t="s">
        <v>9233</v>
      </c>
      <c r="H645" s="54" t="s">
        <v>9234</v>
      </c>
    </row>
    <row r="646" spans="1:8" x14ac:dyDescent="0.35">
      <c r="A646" s="50" t="s">
        <v>8028</v>
      </c>
      <c r="B646" s="52" t="s">
        <v>8027</v>
      </c>
      <c r="C646" s="59" t="s">
        <v>9215</v>
      </c>
      <c r="E646" s="57" t="s">
        <v>9216</v>
      </c>
      <c r="F646" s="57" t="s">
        <v>9235</v>
      </c>
      <c r="G646" s="8" t="s">
        <v>9236</v>
      </c>
      <c r="H646" s="54" t="s">
        <v>9237</v>
      </c>
    </row>
    <row r="647" spans="1:8" x14ac:dyDescent="0.35">
      <c r="A647" s="50" t="s">
        <v>8028</v>
      </c>
      <c r="B647" s="52" t="s">
        <v>8027</v>
      </c>
      <c r="C647" s="59" t="s">
        <v>9215</v>
      </c>
      <c r="E647" s="57" t="s">
        <v>9216</v>
      </c>
      <c r="F647" s="57" t="s">
        <v>9238</v>
      </c>
      <c r="G647" s="8" t="s">
        <v>9239</v>
      </c>
      <c r="H647" s="54" t="s">
        <v>9240</v>
      </c>
    </row>
    <row r="648" spans="1:8" x14ac:dyDescent="0.35">
      <c r="A648" s="50" t="s">
        <v>8028</v>
      </c>
      <c r="B648" s="52" t="s">
        <v>8027</v>
      </c>
      <c r="C648" s="59" t="s">
        <v>9215</v>
      </c>
      <c r="E648" s="57" t="s">
        <v>9216</v>
      </c>
      <c r="F648" s="57" t="s">
        <v>9241</v>
      </c>
      <c r="G648" s="8" t="s">
        <v>9242</v>
      </c>
      <c r="H648" s="54" t="s">
        <v>9243</v>
      </c>
    </row>
    <row r="649" spans="1:8" x14ac:dyDescent="0.35">
      <c r="A649" s="50" t="s">
        <v>8028</v>
      </c>
      <c r="B649" s="52" t="s">
        <v>8027</v>
      </c>
      <c r="C649" s="59" t="s">
        <v>9215</v>
      </c>
      <c r="E649" s="57" t="s">
        <v>9216</v>
      </c>
      <c r="F649" s="57" t="s">
        <v>9244</v>
      </c>
      <c r="G649" s="8" t="s">
        <v>9245</v>
      </c>
      <c r="H649" s="54" t="s">
        <v>9246</v>
      </c>
    </row>
    <row r="650" spans="1:8" x14ac:dyDescent="0.35">
      <c r="A650" s="50" t="s">
        <v>8028</v>
      </c>
      <c r="B650" s="52" t="s">
        <v>8027</v>
      </c>
      <c r="C650" s="59" t="s">
        <v>9215</v>
      </c>
      <c r="E650" s="57" t="s">
        <v>9216</v>
      </c>
      <c r="F650" s="57" t="s">
        <v>9247</v>
      </c>
      <c r="G650" s="8" t="s">
        <v>9248</v>
      </c>
      <c r="H650" s="54" t="s">
        <v>9249</v>
      </c>
    </row>
    <row r="651" spans="1:8" x14ac:dyDescent="0.35">
      <c r="A651" s="50" t="s">
        <v>8028</v>
      </c>
      <c r="B651" s="52" t="s">
        <v>8027</v>
      </c>
      <c r="C651" s="59" t="s">
        <v>9215</v>
      </c>
      <c r="E651" s="57" t="s">
        <v>9216</v>
      </c>
      <c r="F651" s="57" t="s">
        <v>9250</v>
      </c>
      <c r="G651" s="8" t="s">
        <v>9245</v>
      </c>
      <c r="H651" s="54" t="s">
        <v>9219</v>
      </c>
    </row>
    <row r="652" spans="1:8" x14ac:dyDescent="0.35">
      <c r="A652" s="50" t="s">
        <v>8028</v>
      </c>
      <c r="B652" s="52" t="s">
        <v>8027</v>
      </c>
      <c r="C652" s="59" t="s">
        <v>9215</v>
      </c>
      <c r="E652" s="57" t="s">
        <v>9216</v>
      </c>
      <c r="F652" s="57" t="s">
        <v>9251</v>
      </c>
      <c r="G652" s="8" t="s">
        <v>9252</v>
      </c>
      <c r="H652" s="54" t="s">
        <v>9234</v>
      </c>
    </row>
    <row r="653" spans="1:8" x14ac:dyDescent="0.35">
      <c r="A653" s="50" t="s">
        <v>8028</v>
      </c>
      <c r="B653" s="52" t="s">
        <v>8027</v>
      </c>
      <c r="C653" s="59" t="s">
        <v>9215</v>
      </c>
      <c r="E653" s="57" t="s">
        <v>9216</v>
      </c>
      <c r="F653" s="57" t="s">
        <v>9253</v>
      </c>
      <c r="G653" s="8" t="s">
        <v>9254</v>
      </c>
      <c r="H653" s="54" t="s">
        <v>9255</v>
      </c>
    </row>
    <row r="654" spans="1:8" x14ac:dyDescent="0.35">
      <c r="A654" s="50" t="s">
        <v>8028</v>
      </c>
      <c r="B654" s="52" t="s">
        <v>8027</v>
      </c>
      <c r="C654" s="59" t="s">
        <v>9215</v>
      </c>
      <c r="E654" s="57" t="s">
        <v>9216</v>
      </c>
      <c r="F654" s="57" t="s">
        <v>9256</v>
      </c>
      <c r="G654" s="8" t="s">
        <v>9257</v>
      </c>
      <c r="H654" s="54" t="s">
        <v>9258</v>
      </c>
    </row>
    <row r="655" spans="1:8" x14ac:dyDescent="0.35">
      <c r="A655" s="50" t="s">
        <v>7814</v>
      </c>
      <c r="B655" s="52" t="s">
        <v>7813</v>
      </c>
      <c r="C655" s="59" t="s">
        <v>9215</v>
      </c>
      <c r="E655" s="57" t="s">
        <v>9216</v>
      </c>
      <c r="F655" s="57" t="s">
        <v>9217</v>
      </c>
      <c r="G655" t="s">
        <v>9218</v>
      </c>
      <c r="H655" s="54" t="s">
        <v>9219</v>
      </c>
    </row>
    <row r="656" spans="1:8" x14ac:dyDescent="0.35">
      <c r="A656" s="50" t="s">
        <v>7814</v>
      </c>
      <c r="B656" s="52" t="s">
        <v>7813</v>
      </c>
      <c r="C656" s="59" t="s">
        <v>9215</v>
      </c>
      <c r="E656" s="57" t="s">
        <v>9216</v>
      </c>
      <c r="F656" s="57" t="s">
        <v>9220</v>
      </c>
      <c r="G656" t="s">
        <v>9221</v>
      </c>
      <c r="H656" s="54" t="s">
        <v>9335</v>
      </c>
    </row>
    <row r="657" spans="1:8" x14ac:dyDescent="0.35">
      <c r="A657" s="50" t="s">
        <v>7814</v>
      </c>
      <c r="B657" s="52" t="s">
        <v>7813</v>
      </c>
      <c r="C657" s="59" t="s">
        <v>9215</v>
      </c>
      <c r="E657" s="57" t="s">
        <v>9216</v>
      </c>
      <c r="F657" s="57" t="s">
        <v>9223</v>
      </c>
      <c r="G657" t="s">
        <v>9218</v>
      </c>
      <c r="H657" s="54" t="s">
        <v>9225</v>
      </c>
    </row>
    <row r="658" spans="1:8" x14ac:dyDescent="0.35">
      <c r="A658" s="50" t="s">
        <v>7814</v>
      </c>
      <c r="B658" s="52" t="s">
        <v>7813</v>
      </c>
      <c r="C658" s="59" t="s">
        <v>9215</v>
      </c>
      <c r="E658" s="57" t="s">
        <v>9216</v>
      </c>
      <c r="F658" s="57" t="s">
        <v>9226</v>
      </c>
      <c r="G658" s="8" t="s">
        <v>9227</v>
      </c>
      <c r="H658" s="54" t="s">
        <v>9228</v>
      </c>
    </row>
    <row r="659" spans="1:8" x14ac:dyDescent="0.35">
      <c r="A659" s="50" t="s">
        <v>7814</v>
      </c>
      <c r="B659" s="52" t="s">
        <v>7813</v>
      </c>
      <c r="C659" s="59" t="s">
        <v>9215</v>
      </c>
      <c r="E659" s="57" t="s">
        <v>9216</v>
      </c>
      <c r="F659" s="57" t="s">
        <v>9229</v>
      </c>
      <c r="G659" s="8" t="s">
        <v>9230</v>
      </c>
      <c r="H659" s="54" t="s">
        <v>9231</v>
      </c>
    </row>
    <row r="660" spans="1:8" x14ac:dyDescent="0.35">
      <c r="A660" s="50" t="s">
        <v>7814</v>
      </c>
      <c r="B660" s="52" t="s">
        <v>7813</v>
      </c>
      <c r="C660" s="59" t="s">
        <v>9215</v>
      </c>
      <c r="E660" s="57" t="s">
        <v>9216</v>
      </c>
      <c r="F660" s="57" t="s">
        <v>9232</v>
      </c>
      <c r="G660" s="8" t="s">
        <v>9233</v>
      </c>
      <c r="H660" s="54" t="s">
        <v>9234</v>
      </c>
    </row>
    <row r="661" spans="1:8" x14ac:dyDescent="0.35">
      <c r="A661" s="50" t="s">
        <v>7814</v>
      </c>
      <c r="B661" s="52" t="s">
        <v>7813</v>
      </c>
      <c r="C661" s="59" t="s">
        <v>9215</v>
      </c>
      <c r="E661" s="57" t="s">
        <v>9216</v>
      </c>
      <c r="F661" s="57" t="s">
        <v>9235</v>
      </c>
      <c r="G661" s="8" t="s">
        <v>9236</v>
      </c>
      <c r="H661" s="54" t="s">
        <v>9237</v>
      </c>
    </row>
    <row r="662" spans="1:8" x14ac:dyDescent="0.35">
      <c r="A662" s="50" t="s">
        <v>7814</v>
      </c>
      <c r="B662" s="52" t="s">
        <v>7813</v>
      </c>
      <c r="C662" s="59" t="s">
        <v>9215</v>
      </c>
      <c r="E662" s="57" t="s">
        <v>9216</v>
      </c>
      <c r="F662" s="57" t="s">
        <v>9238</v>
      </c>
      <c r="G662" s="8" t="s">
        <v>9336</v>
      </c>
      <c r="H662" s="54" t="s">
        <v>9240</v>
      </c>
    </row>
    <row r="663" spans="1:8" x14ac:dyDescent="0.35">
      <c r="A663" s="50" t="s">
        <v>7814</v>
      </c>
      <c r="B663" s="52" t="s">
        <v>7813</v>
      </c>
      <c r="C663" s="59" t="s">
        <v>9215</v>
      </c>
      <c r="E663" s="57" t="s">
        <v>9216</v>
      </c>
      <c r="F663" s="57" t="s">
        <v>9241</v>
      </c>
      <c r="G663" s="8" t="s">
        <v>9242</v>
      </c>
      <c r="H663" s="54" t="s">
        <v>9243</v>
      </c>
    </row>
    <row r="664" spans="1:8" x14ac:dyDescent="0.35">
      <c r="A664" s="50" t="s">
        <v>7814</v>
      </c>
      <c r="B664" s="52" t="s">
        <v>7813</v>
      </c>
      <c r="C664" s="59" t="s">
        <v>9215</v>
      </c>
      <c r="E664" s="57" t="s">
        <v>9216</v>
      </c>
      <c r="F664" s="57" t="s">
        <v>9244</v>
      </c>
      <c r="G664" s="8" t="s">
        <v>9245</v>
      </c>
      <c r="H664" s="54" t="s">
        <v>9246</v>
      </c>
    </row>
    <row r="665" spans="1:8" x14ac:dyDescent="0.35">
      <c r="A665" s="50" t="s">
        <v>7814</v>
      </c>
      <c r="B665" s="52" t="s">
        <v>7813</v>
      </c>
      <c r="C665" s="59" t="s">
        <v>9215</v>
      </c>
      <c r="E665" s="57" t="s">
        <v>9216</v>
      </c>
      <c r="F665" s="57" t="s">
        <v>9247</v>
      </c>
      <c r="G665" s="8" t="s">
        <v>9248</v>
      </c>
      <c r="H665" s="54" t="s">
        <v>9249</v>
      </c>
    </row>
    <row r="666" spans="1:8" x14ac:dyDescent="0.35">
      <c r="A666" s="50" t="s">
        <v>7814</v>
      </c>
      <c r="B666" s="52" t="s">
        <v>7813</v>
      </c>
      <c r="C666" s="59" t="s">
        <v>9215</v>
      </c>
      <c r="E666" s="57" t="s">
        <v>9216</v>
      </c>
      <c r="F666" s="57" t="s">
        <v>9250</v>
      </c>
      <c r="G666" s="8" t="s">
        <v>9337</v>
      </c>
      <c r="H666" s="54" t="s">
        <v>9219</v>
      </c>
    </row>
    <row r="667" spans="1:8" x14ac:dyDescent="0.35">
      <c r="A667" s="50" t="s">
        <v>7814</v>
      </c>
      <c r="B667" s="52" t="s">
        <v>7813</v>
      </c>
      <c r="C667" s="59" t="s">
        <v>9215</v>
      </c>
      <c r="E667" s="57" t="s">
        <v>9216</v>
      </c>
      <c r="F667" s="57" t="s">
        <v>9251</v>
      </c>
      <c r="G667" s="8" t="s">
        <v>9338</v>
      </c>
      <c r="H667" s="54" t="s">
        <v>9234</v>
      </c>
    </row>
    <row r="668" spans="1:8" x14ac:dyDescent="0.35">
      <c r="A668" s="50" t="s">
        <v>7814</v>
      </c>
      <c r="B668" s="52" t="s">
        <v>7813</v>
      </c>
      <c r="C668" s="59" t="s">
        <v>9215</v>
      </c>
      <c r="E668" s="57" t="s">
        <v>9216</v>
      </c>
      <c r="F668" s="57" t="s">
        <v>9253</v>
      </c>
      <c r="G668" s="8" t="s">
        <v>9339</v>
      </c>
      <c r="H668" s="54" t="s">
        <v>9255</v>
      </c>
    </row>
    <row r="669" spans="1:8" x14ac:dyDescent="0.35">
      <c r="A669" s="50" t="s">
        <v>7814</v>
      </c>
      <c r="B669" s="52" t="s">
        <v>7813</v>
      </c>
      <c r="C669" s="59" t="s">
        <v>9215</v>
      </c>
      <c r="E669" s="57" t="s">
        <v>9216</v>
      </c>
      <c r="F669" s="57" t="s">
        <v>9256</v>
      </c>
      <c r="G669" s="8" t="s">
        <v>9340</v>
      </c>
      <c r="H669" s="54" t="s">
        <v>9341</v>
      </c>
    </row>
    <row r="670" spans="1:8" x14ac:dyDescent="0.35">
      <c r="A670" s="50" t="s">
        <v>5155</v>
      </c>
      <c r="B670" s="52" t="s">
        <v>5154</v>
      </c>
      <c r="C670" s="59" t="s">
        <v>9215</v>
      </c>
      <c r="E670" s="57" t="s">
        <v>9216</v>
      </c>
      <c r="F670" s="57" t="s">
        <v>9217</v>
      </c>
      <c r="G670" t="s">
        <v>9218</v>
      </c>
      <c r="H670" s="54" t="s">
        <v>9219</v>
      </c>
    </row>
    <row r="671" spans="1:8" x14ac:dyDescent="0.35">
      <c r="A671" s="50" t="s">
        <v>5155</v>
      </c>
      <c r="B671" s="52" t="s">
        <v>5154</v>
      </c>
      <c r="C671" s="59" t="s">
        <v>9215</v>
      </c>
      <c r="E671" s="57" t="s">
        <v>9216</v>
      </c>
      <c r="F671" s="57" t="s">
        <v>9220</v>
      </c>
      <c r="G671" t="s">
        <v>9221</v>
      </c>
      <c r="H671" s="54" t="s">
        <v>9335</v>
      </c>
    </row>
    <row r="672" spans="1:8" x14ac:dyDescent="0.35">
      <c r="A672" s="50" t="s">
        <v>5155</v>
      </c>
      <c r="B672" s="52" t="s">
        <v>5154</v>
      </c>
      <c r="C672" s="59" t="s">
        <v>9215</v>
      </c>
      <c r="E672" s="57" t="s">
        <v>9216</v>
      </c>
      <c r="F672" s="57" t="s">
        <v>9223</v>
      </c>
      <c r="G672" t="s">
        <v>9218</v>
      </c>
      <c r="H672" s="54" t="s">
        <v>9225</v>
      </c>
    </row>
    <row r="673" spans="1:8" x14ac:dyDescent="0.35">
      <c r="A673" s="50" t="s">
        <v>5155</v>
      </c>
      <c r="B673" s="52" t="s">
        <v>5154</v>
      </c>
      <c r="C673" s="59" t="s">
        <v>9215</v>
      </c>
      <c r="E673" s="57" t="s">
        <v>9216</v>
      </c>
      <c r="F673" s="57" t="s">
        <v>9226</v>
      </c>
      <c r="G673" t="s">
        <v>9227</v>
      </c>
      <c r="H673" s="54" t="s">
        <v>9228</v>
      </c>
    </row>
    <row r="674" spans="1:8" x14ac:dyDescent="0.35">
      <c r="A674" s="50" t="s">
        <v>5155</v>
      </c>
      <c r="B674" s="52" t="s">
        <v>5154</v>
      </c>
      <c r="C674" s="59" t="s">
        <v>9215</v>
      </c>
      <c r="E674" s="57" t="s">
        <v>9216</v>
      </c>
      <c r="F674" s="57" t="s">
        <v>9229</v>
      </c>
      <c r="G674" t="s">
        <v>9230</v>
      </c>
      <c r="H674" s="54" t="s">
        <v>9231</v>
      </c>
    </row>
    <row r="675" spans="1:8" x14ac:dyDescent="0.35">
      <c r="A675" s="50" t="s">
        <v>5155</v>
      </c>
      <c r="B675" s="52" t="s">
        <v>5154</v>
      </c>
      <c r="C675" s="59" t="s">
        <v>9215</v>
      </c>
      <c r="E675" s="57" t="s">
        <v>9216</v>
      </c>
      <c r="F675" s="57" t="s">
        <v>9232</v>
      </c>
      <c r="G675" t="s">
        <v>9233</v>
      </c>
      <c r="H675" s="54" t="s">
        <v>9234</v>
      </c>
    </row>
    <row r="676" spans="1:8" x14ac:dyDescent="0.35">
      <c r="A676" s="50" t="s">
        <v>5155</v>
      </c>
      <c r="B676" s="52" t="s">
        <v>5154</v>
      </c>
      <c r="C676" s="59" t="s">
        <v>9215</v>
      </c>
      <c r="E676" s="57" t="s">
        <v>9216</v>
      </c>
      <c r="F676" s="57" t="s">
        <v>9235</v>
      </c>
      <c r="G676" t="s">
        <v>9236</v>
      </c>
      <c r="H676" s="54" t="s">
        <v>9237</v>
      </c>
    </row>
    <row r="677" spans="1:8" x14ac:dyDescent="0.35">
      <c r="A677" s="50" t="s">
        <v>5155</v>
      </c>
      <c r="B677" s="52" t="s">
        <v>5154</v>
      </c>
      <c r="C677" s="59" t="s">
        <v>9215</v>
      </c>
      <c r="E677" s="57" t="s">
        <v>9216</v>
      </c>
      <c r="F677" s="57" t="s">
        <v>9238</v>
      </c>
      <c r="G677" t="s">
        <v>9336</v>
      </c>
      <c r="H677" s="54" t="s">
        <v>9240</v>
      </c>
    </row>
    <row r="678" spans="1:8" x14ac:dyDescent="0.35">
      <c r="A678" s="50" t="s">
        <v>5155</v>
      </c>
      <c r="B678" s="52" t="s">
        <v>5154</v>
      </c>
      <c r="C678" s="59" t="s">
        <v>9215</v>
      </c>
      <c r="E678" s="57" t="s">
        <v>9216</v>
      </c>
      <c r="F678" s="57" t="s">
        <v>9241</v>
      </c>
      <c r="G678" t="s">
        <v>9242</v>
      </c>
      <c r="H678" s="54" t="s">
        <v>9243</v>
      </c>
    </row>
    <row r="679" spans="1:8" x14ac:dyDescent="0.35">
      <c r="A679" s="50" t="s">
        <v>5155</v>
      </c>
      <c r="B679" s="52" t="s">
        <v>5154</v>
      </c>
      <c r="C679" s="59" t="s">
        <v>9215</v>
      </c>
      <c r="E679" s="57" t="s">
        <v>9216</v>
      </c>
      <c r="F679" s="57" t="s">
        <v>9244</v>
      </c>
      <c r="G679" t="s">
        <v>9245</v>
      </c>
      <c r="H679" s="54" t="s">
        <v>9225</v>
      </c>
    </row>
    <row r="680" spans="1:8" x14ac:dyDescent="0.35">
      <c r="A680" s="50" t="s">
        <v>5155</v>
      </c>
      <c r="B680" s="52" t="s">
        <v>5154</v>
      </c>
      <c r="C680" s="59" t="s">
        <v>9215</v>
      </c>
      <c r="E680" s="57" t="s">
        <v>9216</v>
      </c>
      <c r="F680" s="57" t="s">
        <v>9247</v>
      </c>
      <c r="G680" s="8" t="s">
        <v>9248</v>
      </c>
      <c r="H680" s="54" t="s">
        <v>9249</v>
      </c>
    </row>
    <row r="681" spans="1:8" x14ac:dyDescent="0.35">
      <c r="A681" s="50" t="s">
        <v>5155</v>
      </c>
      <c r="B681" s="52" t="s">
        <v>5154</v>
      </c>
      <c r="C681" s="59" t="s">
        <v>9215</v>
      </c>
      <c r="E681" s="57" t="s">
        <v>9216</v>
      </c>
      <c r="F681" s="57" t="s">
        <v>9250</v>
      </c>
      <c r="G681" t="s">
        <v>9245</v>
      </c>
      <c r="H681" s="54" t="s">
        <v>9219</v>
      </c>
    </row>
    <row r="682" spans="1:8" x14ac:dyDescent="0.35">
      <c r="A682" s="50" t="s">
        <v>5155</v>
      </c>
      <c r="B682" s="52" t="s">
        <v>5154</v>
      </c>
      <c r="C682" s="59" t="s">
        <v>9215</v>
      </c>
      <c r="E682" s="57" t="s">
        <v>9216</v>
      </c>
      <c r="F682" s="57" t="s">
        <v>9251</v>
      </c>
      <c r="G682" t="s">
        <v>9338</v>
      </c>
      <c r="H682" s="54" t="s">
        <v>9234</v>
      </c>
    </row>
    <row r="683" spans="1:8" x14ac:dyDescent="0.35">
      <c r="A683" s="50" t="s">
        <v>5155</v>
      </c>
      <c r="B683" s="52" t="s">
        <v>5154</v>
      </c>
      <c r="C683" s="59" t="s">
        <v>9215</v>
      </c>
      <c r="E683" s="57" t="s">
        <v>9216</v>
      </c>
      <c r="F683" s="57" t="s">
        <v>9253</v>
      </c>
      <c r="G683" t="s">
        <v>9339</v>
      </c>
      <c r="H683" s="54" t="s">
        <v>9255</v>
      </c>
    </row>
    <row r="684" spans="1:8" x14ac:dyDescent="0.35">
      <c r="A684" s="50" t="s">
        <v>5155</v>
      </c>
      <c r="B684" s="52" t="s">
        <v>5154</v>
      </c>
      <c r="C684" s="59" t="s">
        <v>9215</v>
      </c>
      <c r="E684" s="57" t="s">
        <v>9216</v>
      </c>
      <c r="F684" s="57" t="s">
        <v>9256</v>
      </c>
      <c r="G684" t="s">
        <v>10400</v>
      </c>
      <c r="H684" s="54" t="s">
        <v>9341</v>
      </c>
    </row>
    <row r="685" spans="1:8" x14ac:dyDescent="0.35">
      <c r="A685" s="50" t="s">
        <v>8616</v>
      </c>
      <c r="B685" s="52" t="s">
        <v>8615</v>
      </c>
      <c r="C685" s="59" t="s">
        <v>9021</v>
      </c>
      <c r="E685" s="57" t="s">
        <v>9022</v>
      </c>
    </row>
    <row r="686" spans="1:8" x14ac:dyDescent="0.35">
      <c r="A686" s="50" t="s">
        <v>5140</v>
      </c>
      <c r="B686" s="52" t="s">
        <v>5139</v>
      </c>
      <c r="C686" s="59" t="s">
        <v>10401</v>
      </c>
      <c r="E686" s="57" t="s">
        <v>10402</v>
      </c>
      <c r="F686" s="57" t="s">
        <v>10403</v>
      </c>
      <c r="G686" t="s">
        <v>10404</v>
      </c>
      <c r="H686" s="54" t="s">
        <v>10405</v>
      </c>
    </row>
    <row r="687" spans="1:8" x14ac:dyDescent="0.35">
      <c r="A687" s="50" t="s">
        <v>5140</v>
      </c>
      <c r="B687" s="52" t="s">
        <v>5139</v>
      </c>
      <c r="C687" s="59" t="s">
        <v>10401</v>
      </c>
      <c r="E687" s="57" t="s">
        <v>10402</v>
      </c>
      <c r="F687" s="57" t="s">
        <v>10406</v>
      </c>
      <c r="G687" t="s">
        <v>10407</v>
      </c>
      <c r="H687" s="54" t="s">
        <v>10408</v>
      </c>
    </row>
    <row r="688" spans="1:8" x14ac:dyDescent="0.35">
      <c r="A688" s="50" t="s">
        <v>5140</v>
      </c>
      <c r="B688" s="52" t="s">
        <v>5139</v>
      </c>
      <c r="C688" s="59" t="s">
        <v>10401</v>
      </c>
      <c r="E688" s="57" t="s">
        <v>10402</v>
      </c>
      <c r="F688" s="57" t="s">
        <v>10409</v>
      </c>
      <c r="G688" t="s">
        <v>10410</v>
      </c>
      <c r="H688" s="54" t="s">
        <v>10411</v>
      </c>
    </row>
    <row r="689" spans="1:8" x14ac:dyDescent="0.35">
      <c r="A689" s="50" t="s">
        <v>5140</v>
      </c>
      <c r="B689" s="52" t="s">
        <v>5139</v>
      </c>
      <c r="C689" s="59" t="s">
        <v>10401</v>
      </c>
      <c r="E689" s="57" t="s">
        <v>10402</v>
      </c>
      <c r="F689" s="57" t="s">
        <v>10412</v>
      </c>
      <c r="G689" t="s">
        <v>10413</v>
      </c>
      <c r="H689" s="54" t="s">
        <v>10414</v>
      </c>
    </row>
    <row r="690" spans="1:8" x14ac:dyDescent="0.35">
      <c r="A690" s="50" t="s">
        <v>5140</v>
      </c>
      <c r="B690" s="52" t="s">
        <v>5139</v>
      </c>
      <c r="C690" s="59" t="s">
        <v>10401</v>
      </c>
      <c r="E690" s="57" t="s">
        <v>10402</v>
      </c>
      <c r="F690" s="57" t="s">
        <v>10415</v>
      </c>
      <c r="G690" t="s">
        <v>10416</v>
      </c>
      <c r="H690" s="54" t="s">
        <v>10417</v>
      </c>
    </row>
    <row r="691" spans="1:8" x14ac:dyDescent="0.35">
      <c r="A691" s="50" t="s">
        <v>5140</v>
      </c>
      <c r="B691" s="52" t="s">
        <v>5139</v>
      </c>
      <c r="C691" s="59" t="s">
        <v>10401</v>
      </c>
      <c r="E691" s="57" t="s">
        <v>10402</v>
      </c>
      <c r="F691" s="57" t="s">
        <v>10418</v>
      </c>
      <c r="G691" t="s">
        <v>10419</v>
      </c>
      <c r="H691" s="54" t="s">
        <v>10420</v>
      </c>
    </row>
    <row r="692" spans="1:8" x14ac:dyDescent="0.35">
      <c r="A692" s="50" t="s">
        <v>5140</v>
      </c>
      <c r="B692" s="52" t="s">
        <v>5139</v>
      </c>
      <c r="C692" s="59" t="s">
        <v>10401</v>
      </c>
      <c r="E692" s="57" t="s">
        <v>10402</v>
      </c>
      <c r="F692" s="57" t="s">
        <v>10421</v>
      </c>
      <c r="G692" t="s">
        <v>10422</v>
      </c>
      <c r="H692" s="54" t="s">
        <v>10422</v>
      </c>
    </row>
    <row r="693" spans="1:8" x14ac:dyDescent="0.35">
      <c r="A693" s="50" t="s">
        <v>5140</v>
      </c>
      <c r="B693" s="52" t="s">
        <v>5139</v>
      </c>
      <c r="C693" s="59" t="s">
        <v>10401</v>
      </c>
      <c r="E693" s="57" t="s">
        <v>10402</v>
      </c>
      <c r="F693" s="57" t="s">
        <v>10423</v>
      </c>
      <c r="G693" t="s">
        <v>10424</v>
      </c>
      <c r="H693" s="54" t="s">
        <v>10405</v>
      </c>
    </row>
    <row r="694" spans="1:8" x14ac:dyDescent="0.35">
      <c r="A694" s="50" t="s">
        <v>5140</v>
      </c>
      <c r="B694" s="52" t="s">
        <v>5139</v>
      </c>
      <c r="C694" s="59" t="s">
        <v>10401</v>
      </c>
      <c r="E694" s="57" t="s">
        <v>10402</v>
      </c>
      <c r="F694" s="57" t="s">
        <v>10425</v>
      </c>
      <c r="G694" t="s">
        <v>10426</v>
      </c>
      <c r="H694" s="54" t="s">
        <v>10427</v>
      </c>
    </row>
    <row r="695" spans="1:8" x14ac:dyDescent="0.35">
      <c r="A695" s="50" t="s">
        <v>5140</v>
      </c>
      <c r="B695" s="52" t="s">
        <v>5139</v>
      </c>
      <c r="C695" s="59" t="s">
        <v>10401</v>
      </c>
      <c r="E695" s="57" t="s">
        <v>10402</v>
      </c>
      <c r="F695" s="57" t="s">
        <v>10428</v>
      </c>
      <c r="G695" t="s">
        <v>10429</v>
      </c>
      <c r="H695" s="54" t="s">
        <v>10430</v>
      </c>
    </row>
    <row r="696" spans="1:8" x14ac:dyDescent="0.35">
      <c r="A696" s="50" t="s">
        <v>5140</v>
      </c>
      <c r="B696" s="52" t="s">
        <v>5139</v>
      </c>
      <c r="C696" s="59" t="s">
        <v>10401</v>
      </c>
      <c r="E696" s="57" t="s">
        <v>10402</v>
      </c>
      <c r="F696" s="57" t="s">
        <v>10431</v>
      </c>
      <c r="G696" t="s">
        <v>10432</v>
      </c>
      <c r="H696" s="54" t="s">
        <v>10433</v>
      </c>
    </row>
    <row r="697" spans="1:8" x14ac:dyDescent="0.35">
      <c r="A697" s="50" t="s">
        <v>5140</v>
      </c>
      <c r="B697" s="52" t="s">
        <v>5139</v>
      </c>
      <c r="C697" s="59" t="s">
        <v>10401</v>
      </c>
      <c r="E697" s="57" t="s">
        <v>10402</v>
      </c>
      <c r="F697" s="57" t="s">
        <v>10434</v>
      </c>
      <c r="G697" t="s">
        <v>10435</v>
      </c>
      <c r="H697" s="54" t="s">
        <v>10436</v>
      </c>
    </row>
    <row r="698" spans="1:8" x14ac:dyDescent="0.35">
      <c r="A698" s="50" t="s">
        <v>5140</v>
      </c>
      <c r="B698" s="52" t="s">
        <v>5139</v>
      </c>
      <c r="C698" s="59" t="s">
        <v>10401</v>
      </c>
      <c r="E698" s="57" t="s">
        <v>10402</v>
      </c>
      <c r="F698" s="57" t="s">
        <v>10437</v>
      </c>
      <c r="G698" t="s">
        <v>10438</v>
      </c>
      <c r="H698" s="54" t="s">
        <v>10439</v>
      </c>
    </row>
    <row r="699" spans="1:8" x14ac:dyDescent="0.35">
      <c r="A699" s="50" t="s">
        <v>5140</v>
      </c>
      <c r="B699" s="52" t="s">
        <v>5139</v>
      </c>
      <c r="C699" s="59" t="s">
        <v>10401</v>
      </c>
      <c r="E699" s="57" t="s">
        <v>10402</v>
      </c>
      <c r="F699" s="57" t="s">
        <v>10440</v>
      </c>
      <c r="G699" t="s">
        <v>10441</v>
      </c>
      <c r="H699" s="54" t="s">
        <v>10442</v>
      </c>
    </row>
    <row r="700" spans="1:8" x14ac:dyDescent="0.35">
      <c r="A700" s="50" t="s">
        <v>5140</v>
      </c>
      <c r="B700" s="52" t="s">
        <v>5139</v>
      </c>
      <c r="C700" s="59" t="s">
        <v>10401</v>
      </c>
      <c r="E700" s="57" t="s">
        <v>10402</v>
      </c>
      <c r="F700" s="57" t="s">
        <v>10443</v>
      </c>
      <c r="G700" s="8" t="s">
        <v>10444</v>
      </c>
      <c r="H700" s="54" t="s">
        <v>10445</v>
      </c>
    </row>
    <row r="701" spans="1:8" x14ac:dyDescent="0.35">
      <c r="A701" s="50" t="s">
        <v>7087</v>
      </c>
      <c r="B701" s="52" t="s">
        <v>7086</v>
      </c>
      <c r="C701" s="59" t="s">
        <v>9666</v>
      </c>
    </row>
    <row r="702" spans="1:8" x14ac:dyDescent="0.35">
      <c r="A702" s="50" t="s">
        <v>5362</v>
      </c>
      <c r="B702" s="52" t="s">
        <v>5361</v>
      </c>
      <c r="C702" s="59" t="s">
        <v>9666</v>
      </c>
    </row>
    <row r="703" spans="1:8" x14ac:dyDescent="0.35">
      <c r="A703" s="50" t="s">
        <v>7671</v>
      </c>
      <c r="B703" s="52" t="s">
        <v>7670</v>
      </c>
      <c r="C703" s="59" t="s">
        <v>9428</v>
      </c>
      <c r="E703" s="57" t="s">
        <v>9429</v>
      </c>
    </row>
    <row r="704" spans="1:8" x14ac:dyDescent="0.35">
      <c r="A704" s="50" t="s">
        <v>4799</v>
      </c>
      <c r="B704" s="52" t="s">
        <v>4798</v>
      </c>
      <c r="C704" s="59" t="s">
        <v>10581</v>
      </c>
      <c r="E704" s="57" t="s">
        <v>10582</v>
      </c>
      <c r="F704" s="57" t="s">
        <v>10583</v>
      </c>
      <c r="G704" t="s">
        <v>3735</v>
      </c>
      <c r="H704" s="54" t="s">
        <v>4084</v>
      </c>
    </row>
    <row r="705" spans="1:8" x14ac:dyDescent="0.35">
      <c r="A705" s="50" t="s">
        <v>7203</v>
      </c>
      <c r="B705" s="52" t="s">
        <v>7202</v>
      </c>
      <c r="C705" s="59" t="s">
        <v>9600</v>
      </c>
      <c r="E705" s="57" t="s">
        <v>9601</v>
      </c>
    </row>
    <row r="706" spans="1:8" x14ac:dyDescent="0.35">
      <c r="A706" s="50" t="s">
        <v>5488</v>
      </c>
      <c r="B706" s="52" t="s">
        <v>5487</v>
      </c>
      <c r="C706" s="59" t="s">
        <v>10247</v>
      </c>
      <c r="E706" s="57" t="s">
        <v>10248</v>
      </c>
    </row>
    <row r="707" spans="1:8" x14ac:dyDescent="0.35">
      <c r="A707" s="50" t="s">
        <v>4799</v>
      </c>
      <c r="B707" s="52" t="s">
        <v>4798</v>
      </c>
      <c r="C707" s="59" t="s">
        <v>10584</v>
      </c>
      <c r="E707" s="57" t="s">
        <v>10585</v>
      </c>
      <c r="F707" s="57" t="s">
        <v>10586</v>
      </c>
      <c r="G707" t="s">
        <v>3734</v>
      </c>
      <c r="H707" s="54" t="s">
        <v>4083</v>
      </c>
    </row>
    <row r="708" spans="1:8" x14ac:dyDescent="0.35">
      <c r="A708" s="50" t="s">
        <v>4799</v>
      </c>
      <c r="B708" s="52" t="s">
        <v>4798</v>
      </c>
      <c r="C708" s="59" t="s">
        <v>10584</v>
      </c>
      <c r="E708" s="57" t="s">
        <v>10585</v>
      </c>
      <c r="F708" s="57" t="s">
        <v>10583</v>
      </c>
      <c r="G708" t="s">
        <v>3735</v>
      </c>
      <c r="H708" s="54" t="s">
        <v>4084</v>
      </c>
    </row>
    <row r="709" spans="1:8" x14ac:dyDescent="0.35">
      <c r="A709" s="50" t="s">
        <v>4799</v>
      </c>
      <c r="B709" s="52" t="s">
        <v>4798</v>
      </c>
      <c r="C709" s="59" t="s">
        <v>10584</v>
      </c>
      <c r="E709" s="57" t="s">
        <v>10585</v>
      </c>
      <c r="F709" s="57" t="s">
        <v>10587</v>
      </c>
      <c r="G709" t="s">
        <v>3736</v>
      </c>
      <c r="H709" s="54" t="s">
        <v>4085</v>
      </c>
    </row>
    <row r="710" spans="1:8" x14ac:dyDescent="0.35">
      <c r="A710" s="50" t="s">
        <v>8837</v>
      </c>
      <c r="B710" s="52" t="s">
        <v>8836</v>
      </c>
      <c r="C710" s="59" t="s">
        <v>1281</v>
      </c>
      <c r="E710" s="57"/>
      <c r="F710" s="57"/>
    </row>
    <row r="711" spans="1:8" x14ac:dyDescent="0.35">
      <c r="A711" s="50" t="s">
        <v>8204</v>
      </c>
      <c r="B711" s="52" t="s">
        <v>8203</v>
      </c>
      <c r="C711" s="59" t="s">
        <v>1281</v>
      </c>
    </row>
    <row r="712" spans="1:8" x14ac:dyDescent="0.35">
      <c r="A712" s="50" t="s">
        <v>7495</v>
      </c>
      <c r="B712" s="52" t="s">
        <v>7494</v>
      </c>
      <c r="C712" s="59" t="s">
        <v>1281</v>
      </c>
    </row>
    <row r="713" spans="1:8" x14ac:dyDescent="0.35">
      <c r="A713" s="50" t="s">
        <v>6521</v>
      </c>
      <c r="B713" s="52" t="s">
        <v>6520</v>
      </c>
      <c r="C713" s="59" t="s">
        <v>1281</v>
      </c>
    </row>
    <row r="714" spans="1:8" x14ac:dyDescent="0.35">
      <c r="A714" s="50" t="s">
        <v>5919</v>
      </c>
      <c r="B714" s="52" t="s">
        <v>5918</v>
      </c>
      <c r="C714" s="59" t="s">
        <v>1281</v>
      </c>
    </row>
    <row r="715" spans="1:8" x14ac:dyDescent="0.35">
      <c r="A715" s="50" t="s">
        <v>5118</v>
      </c>
      <c r="B715" s="52" t="s">
        <v>5117</v>
      </c>
      <c r="C715" s="59" t="s">
        <v>1281</v>
      </c>
    </row>
    <row r="716" spans="1:8" x14ac:dyDescent="0.35">
      <c r="A716" s="50" t="s">
        <v>5279</v>
      </c>
      <c r="B716" s="52" t="s">
        <v>5278</v>
      </c>
      <c r="C716" s="59" t="s">
        <v>10320</v>
      </c>
      <c r="E716" s="57" t="s">
        <v>10321</v>
      </c>
    </row>
    <row r="717" spans="1:8" x14ac:dyDescent="0.35">
      <c r="A717" s="50" t="s">
        <v>7857</v>
      </c>
      <c r="B717" s="52" t="s">
        <v>7856</v>
      </c>
      <c r="C717" s="59" t="s">
        <v>9314</v>
      </c>
      <c r="E717" s="57" t="s">
        <v>9315</v>
      </c>
      <c r="F717" s="57" t="s">
        <v>9316</v>
      </c>
      <c r="G717" t="s">
        <v>9317</v>
      </c>
      <c r="H717" s="54" t="s">
        <v>9318</v>
      </c>
    </row>
    <row r="718" spans="1:8" x14ac:dyDescent="0.35">
      <c r="A718" s="50" t="s">
        <v>7857</v>
      </c>
      <c r="B718" s="52" t="s">
        <v>7856</v>
      </c>
      <c r="C718" s="59" t="s">
        <v>9314</v>
      </c>
      <c r="E718" s="57" t="s">
        <v>9315</v>
      </c>
      <c r="F718" s="57" t="s">
        <v>9319</v>
      </c>
      <c r="G718" t="s">
        <v>9320</v>
      </c>
      <c r="H718" s="54" t="s">
        <v>9321</v>
      </c>
    </row>
    <row r="719" spans="1:8" x14ac:dyDescent="0.35">
      <c r="A719" s="50" t="s">
        <v>8482</v>
      </c>
      <c r="B719" s="52" t="s">
        <v>8481</v>
      </c>
      <c r="C719" s="59" t="s">
        <v>9077</v>
      </c>
    </row>
    <row r="720" spans="1:8" x14ac:dyDescent="0.35">
      <c r="A720" s="50" t="s">
        <v>8416</v>
      </c>
      <c r="B720" s="52" t="s">
        <v>8415</v>
      </c>
      <c r="C720" s="59" t="s">
        <v>9077</v>
      </c>
    </row>
    <row r="721" spans="1:6" x14ac:dyDescent="0.35">
      <c r="A721" s="50" t="s">
        <v>8736</v>
      </c>
      <c r="B721" s="52" t="s">
        <v>8735</v>
      </c>
      <c r="C721" s="59" t="s">
        <v>8930</v>
      </c>
      <c r="E721" s="57" t="s">
        <v>8931</v>
      </c>
    </row>
    <row r="722" spans="1:6" x14ac:dyDescent="0.35">
      <c r="A722" s="50" t="s">
        <v>5733</v>
      </c>
      <c r="B722" s="52" t="s">
        <v>5732</v>
      </c>
      <c r="C722" s="59" t="s">
        <v>8930</v>
      </c>
      <c r="E722" s="57" t="s">
        <v>8931</v>
      </c>
      <c r="F722" s="57"/>
    </row>
    <row r="723" spans="1:6" x14ac:dyDescent="0.35">
      <c r="A723" s="50" t="s">
        <v>5183</v>
      </c>
      <c r="B723" s="52" t="s">
        <v>5182</v>
      </c>
      <c r="C723" s="59" t="s">
        <v>8930</v>
      </c>
      <c r="E723" s="57" t="s">
        <v>8931</v>
      </c>
    </row>
    <row r="724" spans="1:6" x14ac:dyDescent="0.35">
      <c r="A724" s="50" t="s">
        <v>4788</v>
      </c>
      <c r="B724" s="52" t="s">
        <v>4787</v>
      </c>
      <c r="C724" s="59" t="s">
        <v>10594</v>
      </c>
      <c r="E724" s="57" t="s">
        <v>10595</v>
      </c>
    </row>
    <row r="725" spans="1:6" x14ac:dyDescent="0.35">
      <c r="A725" s="50" t="s">
        <v>8754</v>
      </c>
      <c r="B725" s="53" t="s">
        <v>8753</v>
      </c>
      <c r="C725" s="59" t="s">
        <v>8920</v>
      </c>
      <c r="E725" s="57"/>
      <c r="F725" s="57"/>
    </row>
    <row r="726" spans="1:6" x14ac:dyDescent="0.35">
      <c r="A726" s="50" t="s">
        <v>8683</v>
      </c>
      <c r="B726" s="52" t="s">
        <v>8682</v>
      </c>
      <c r="C726" s="59" t="s">
        <v>8920</v>
      </c>
    </row>
    <row r="727" spans="1:6" x14ac:dyDescent="0.35">
      <c r="A727" s="50" t="s">
        <v>7492</v>
      </c>
      <c r="B727" s="52" t="s">
        <v>7491</v>
      </c>
      <c r="C727" s="59" t="s">
        <v>8920</v>
      </c>
    </row>
    <row r="728" spans="1:6" x14ac:dyDescent="0.35">
      <c r="A728" s="50" t="s">
        <v>8754</v>
      </c>
      <c r="B728" s="52" t="s">
        <v>8753</v>
      </c>
      <c r="C728" s="59" t="s">
        <v>8883</v>
      </c>
      <c r="E728" s="57" t="s">
        <v>8913</v>
      </c>
      <c r="F728" s="57"/>
    </row>
    <row r="729" spans="1:6" x14ac:dyDescent="0.35">
      <c r="A729" s="50" t="s">
        <v>5714</v>
      </c>
      <c r="B729" s="52" t="s">
        <v>5713</v>
      </c>
      <c r="C729" s="59" t="s">
        <v>10123</v>
      </c>
      <c r="E729" s="57" t="s">
        <v>10124</v>
      </c>
    </row>
    <row r="730" spans="1:6" x14ac:dyDescent="0.35">
      <c r="A730" s="50" t="s">
        <v>8047</v>
      </c>
      <c r="B730" s="52" t="s">
        <v>8046</v>
      </c>
      <c r="C730" s="59" t="s">
        <v>9210</v>
      </c>
      <c r="E730" s="57" t="s">
        <v>9211</v>
      </c>
    </row>
    <row r="731" spans="1:6" x14ac:dyDescent="0.35">
      <c r="A731" s="50" t="s">
        <v>4792</v>
      </c>
      <c r="B731" s="52" t="s">
        <v>4791</v>
      </c>
      <c r="C731" s="59" t="s">
        <v>10593</v>
      </c>
    </row>
    <row r="732" spans="1:6" x14ac:dyDescent="0.35">
      <c r="A732" s="50" t="s">
        <v>5642</v>
      </c>
      <c r="B732" s="52" t="s">
        <v>5641</v>
      </c>
      <c r="C732" s="59" t="s">
        <v>10164</v>
      </c>
      <c r="E732" s="57" t="s">
        <v>10165</v>
      </c>
    </row>
    <row r="733" spans="1:6" x14ac:dyDescent="0.35">
      <c r="A733" s="50" t="s">
        <v>8677</v>
      </c>
      <c r="B733" s="52" t="s">
        <v>8676</v>
      </c>
      <c r="C733" s="59" t="s">
        <v>8967</v>
      </c>
      <c r="E733" s="57"/>
    </row>
    <row r="734" spans="1:6" x14ac:dyDescent="0.35">
      <c r="A734" s="50" t="s">
        <v>6365</v>
      </c>
      <c r="B734" s="52" t="s">
        <v>6364</v>
      </c>
      <c r="C734" s="59" t="s">
        <v>8967</v>
      </c>
    </row>
    <row r="735" spans="1:6" x14ac:dyDescent="0.35">
      <c r="A735" s="50" t="s">
        <v>5274</v>
      </c>
      <c r="B735" s="52" t="s">
        <v>5273</v>
      </c>
      <c r="C735" s="59" t="s">
        <v>8967</v>
      </c>
    </row>
    <row r="736" spans="1:6" x14ac:dyDescent="0.35">
      <c r="A736" s="50" t="s">
        <v>8774</v>
      </c>
      <c r="B736" s="52" t="s">
        <v>8773</v>
      </c>
      <c r="C736" s="59" t="s">
        <v>8882</v>
      </c>
    </row>
    <row r="737" spans="1:8" x14ac:dyDescent="0.35">
      <c r="A737" s="50" t="s">
        <v>5445</v>
      </c>
      <c r="B737" s="52" t="s">
        <v>5444</v>
      </c>
      <c r="C737" s="59" t="s">
        <v>10259</v>
      </c>
      <c r="E737" s="57" t="s">
        <v>10260</v>
      </c>
      <c r="F737" s="57" t="s">
        <v>10261</v>
      </c>
      <c r="G737" s="8" t="s">
        <v>10262</v>
      </c>
      <c r="H737" s="54" t="s">
        <v>10263</v>
      </c>
    </row>
    <row r="738" spans="1:8" x14ac:dyDescent="0.35">
      <c r="A738" s="50" t="s">
        <v>5445</v>
      </c>
      <c r="B738" s="52" t="s">
        <v>5444</v>
      </c>
      <c r="C738" s="59" t="s">
        <v>10259</v>
      </c>
      <c r="E738" s="57" t="s">
        <v>10260</v>
      </c>
      <c r="F738" s="57" t="s">
        <v>10264</v>
      </c>
      <c r="G738" t="s">
        <v>10265</v>
      </c>
      <c r="H738" s="54" t="s">
        <v>10266</v>
      </c>
    </row>
    <row r="739" spans="1:8" x14ac:dyDescent="0.35">
      <c r="A739" s="50" t="s">
        <v>4687</v>
      </c>
      <c r="B739" s="52" t="s">
        <v>4686</v>
      </c>
      <c r="C739" s="59" t="s">
        <v>10608</v>
      </c>
      <c r="E739" s="57" t="s">
        <v>10609</v>
      </c>
      <c r="F739" s="57" t="s">
        <v>10610</v>
      </c>
      <c r="G739" t="s">
        <v>10611</v>
      </c>
      <c r="H739" s="54" t="s">
        <v>10612</v>
      </c>
    </row>
    <row r="740" spans="1:8" x14ac:dyDescent="0.35">
      <c r="A740" s="50" t="s">
        <v>7761</v>
      </c>
      <c r="B740" s="52" t="s">
        <v>7760</v>
      </c>
      <c r="C740" s="59" t="s">
        <v>9382</v>
      </c>
      <c r="E740" s="57" t="s">
        <v>9383</v>
      </c>
      <c r="F740" s="57" t="s">
        <v>9384</v>
      </c>
      <c r="G740" t="s">
        <v>3738</v>
      </c>
      <c r="H740" s="54" t="s">
        <v>4087</v>
      </c>
    </row>
    <row r="741" spans="1:8" x14ac:dyDescent="0.35">
      <c r="A741" s="50" t="s">
        <v>7761</v>
      </c>
      <c r="B741" s="52" t="s">
        <v>7760</v>
      </c>
      <c r="C741" s="59" t="s">
        <v>9382</v>
      </c>
      <c r="E741" s="57" t="s">
        <v>9383</v>
      </c>
      <c r="F741" s="57" t="s">
        <v>9385</v>
      </c>
      <c r="G741" t="s">
        <v>3740</v>
      </c>
      <c r="H741" s="54" t="s">
        <v>4089</v>
      </c>
    </row>
    <row r="742" spans="1:8" x14ac:dyDescent="0.35">
      <c r="A742" s="50" t="s">
        <v>7761</v>
      </c>
      <c r="B742" s="52" t="s">
        <v>7760</v>
      </c>
      <c r="C742" s="59" t="s">
        <v>9382</v>
      </c>
      <c r="E742" s="57" t="s">
        <v>9383</v>
      </c>
      <c r="F742" s="57" t="s">
        <v>9386</v>
      </c>
      <c r="G742" t="s">
        <v>3739</v>
      </c>
      <c r="H742" s="54" t="s">
        <v>4088</v>
      </c>
    </row>
    <row r="743" spans="1:8" x14ac:dyDescent="0.35">
      <c r="A743" s="50" t="s">
        <v>6717</v>
      </c>
      <c r="B743" s="52" t="s">
        <v>6716</v>
      </c>
      <c r="C743" s="59" t="s">
        <v>9800</v>
      </c>
      <c r="E743" s="57" t="s">
        <v>9801</v>
      </c>
      <c r="F743" s="57" t="s">
        <v>9802</v>
      </c>
      <c r="G743" s="8" t="s">
        <v>9803</v>
      </c>
      <c r="H743" s="54" t="s">
        <v>4090</v>
      </c>
    </row>
    <row r="744" spans="1:8" x14ac:dyDescent="0.35">
      <c r="A744" s="50" t="s">
        <v>6717</v>
      </c>
      <c r="B744" s="52" t="s">
        <v>6716</v>
      </c>
      <c r="C744" s="59" t="s">
        <v>9800</v>
      </c>
      <c r="E744" s="57" t="s">
        <v>9801</v>
      </c>
      <c r="F744" s="57" t="s">
        <v>9804</v>
      </c>
      <c r="G744" t="s">
        <v>3742</v>
      </c>
      <c r="H744" s="54" t="s">
        <v>4091</v>
      </c>
    </row>
    <row r="745" spans="1:8" x14ac:dyDescent="0.35">
      <c r="A745" s="50" t="s">
        <v>6717</v>
      </c>
      <c r="B745" s="52" t="s">
        <v>6716</v>
      </c>
      <c r="C745" s="59" t="s">
        <v>9800</v>
      </c>
      <c r="E745" s="57" t="s">
        <v>9801</v>
      </c>
      <c r="F745" s="57" t="s">
        <v>9805</v>
      </c>
      <c r="G745" t="s">
        <v>3746</v>
      </c>
      <c r="H745" s="54" t="s">
        <v>4095</v>
      </c>
    </row>
    <row r="746" spans="1:8" x14ac:dyDescent="0.35">
      <c r="A746" s="50" t="s">
        <v>6717</v>
      </c>
      <c r="B746" s="52" t="s">
        <v>6716</v>
      </c>
      <c r="C746" s="59" t="s">
        <v>9800</v>
      </c>
      <c r="E746" s="57" t="s">
        <v>9801</v>
      </c>
      <c r="F746" s="57" t="s">
        <v>9806</v>
      </c>
      <c r="G746" t="s">
        <v>3745</v>
      </c>
      <c r="H746" s="54" t="s">
        <v>4094</v>
      </c>
    </row>
    <row r="747" spans="1:8" x14ac:dyDescent="0.35">
      <c r="A747" s="50" t="s">
        <v>6717</v>
      </c>
      <c r="B747" s="52" t="s">
        <v>6716</v>
      </c>
      <c r="C747" s="59" t="s">
        <v>9800</v>
      </c>
      <c r="E747" s="57" t="s">
        <v>9801</v>
      </c>
      <c r="F747" s="57" t="s">
        <v>9807</v>
      </c>
      <c r="G747" s="8" t="s">
        <v>3744</v>
      </c>
      <c r="H747" s="54" t="s">
        <v>4093</v>
      </c>
    </row>
    <row r="748" spans="1:8" x14ac:dyDescent="0.35">
      <c r="A748" s="50" t="s">
        <v>6717</v>
      </c>
      <c r="B748" s="52" t="s">
        <v>6716</v>
      </c>
      <c r="C748" s="59" t="s">
        <v>9800</v>
      </c>
      <c r="E748" s="57" t="s">
        <v>9801</v>
      </c>
      <c r="F748" s="57" t="s">
        <v>9808</v>
      </c>
      <c r="G748" t="s">
        <v>3743</v>
      </c>
      <c r="H748" s="54" t="s">
        <v>4092</v>
      </c>
    </row>
    <row r="749" spans="1:8" x14ac:dyDescent="0.35">
      <c r="A749" s="50" t="s">
        <v>6999</v>
      </c>
      <c r="B749" s="52" t="s">
        <v>6998</v>
      </c>
      <c r="C749" s="59" t="s">
        <v>9693</v>
      </c>
      <c r="E749" s="57" t="s">
        <v>9694</v>
      </c>
      <c r="F749" s="57" t="s">
        <v>9695</v>
      </c>
      <c r="G749" t="s">
        <v>9696</v>
      </c>
      <c r="H749" s="54" t="s">
        <v>4096</v>
      </c>
    </row>
    <row r="750" spans="1:8" x14ac:dyDescent="0.35">
      <c r="A750" s="50" t="s">
        <v>5915</v>
      </c>
      <c r="B750" s="52" t="s">
        <v>5914</v>
      </c>
      <c r="C750" s="59" t="s">
        <v>9693</v>
      </c>
      <c r="E750" s="57" t="s">
        <v>9694</v>
      </c>
      <c r="F750" s="57" t="s">
        <v>9695</v>
      </c>
      <c r="G750" t="s">
        <v>3747</v>
      </c>
      <c r="H750" s="54" t="s">
        <v>4096</v>
      </c>
    </row>
    <row r="751" spans="1:8" x14ac:dyDescent="0.35">
      <c r="A751" s="50" t="s">
        <v>5886</v>
      </c>
      <c r="B751" s="52" t="s">
        <v>5885</v>
      </c>
      <c r="C751" s="59" t="s">
        <v>10074</v>
      </c>
      <c r="E751" s="57" t="s">
        <v>10075</v>
      </c>
      <c r="F751" s="57" t="s">
        <v>10076</v>
      </c>
      <c r="G751" t="s">
        <v>10077</v>
      </c>
      <c r="H751" s="54" t="s">
        <v>10078</v>
      </c>
    </row>
    <row r="752" spans="1:8" x14ac:dyDescent="0.35">
      <c r="A752" s="50" t="s">
        <v>7853</v>
      </c>
      <c r="B752" s="52" t="s">
        <v>7852</v>
      </c>
      <c r="C752" s="59" t="s">
        <v>9325</v>
      </c>
      <c r="E752" s="57" t="s">
        <v>9326</v>
      </c>
      <c r="F752" s="57" t="s">
        <v>9327</v>
      </c>
      <c r="G752" t="s">
        <v>9328</v>
      </c>
      <c r="H752" s="54" t="s">
        <v>9329</v>
      </c>
    </row>
    <row r="753" spans="1:8" x14ac:dyDescent="0.35">
      <c r="A753" s="50" t="s">
        <v>7853</v>
      </c>
      <c r="B753" s="52" t="s">
        <v>7852</v>
      </c>
      <c r="C753" s="59" t="s">
        <v>9325</v>
      </c>
      <c r="E753" s="57" t="s">
        <v>9326</v>
      </c>
      <c r="F753" s="57" t="s">
        <v>9330</v>
      </c>
      <c r="G753" t="s">
        <v>3749</v>
      </c>
      <c r="H753" s="54" t="s">
        <v>4098</v>
      </c>
    </row>
    <row r="754" spans="1:8" x14ac:dyDescent="0.35">
      <c r="A754" s="50" t="s">
        <v>6379</v>
      </c>
      <c r="B754" s="52" t="s">
        <v>6378</v>
      </c>
      <c r="C754" s="59" t="s">
        <v>9325</v>
      </c>
      <c r="E754" s="57" t="s">
        <v>9326</v>
      </c>
      <c r="F754" s="57" t="s">
        <v>9327</v>
      </c>
      <c r="G754" t="s">
        <v>3750</v>
      </c>
      <c r="H754" s="54" t="s">
        <v>4099</v>
      </c>
    </row>
    <row r="755" spans="1:8" x14ac:dyDescent="0.35">
      <c r="A755" s="50" t="s">
        <v>6379</v>
      </c>
      <c r="B755" s="52" t="s">
        <v>6378</v>
      </c>
      <c r="C755" s="59" t="s">
        <v>9325</v>
      </c>
      <c r="E755" s="57" t="s">
        <v>9326</v>
      </c>
      <c r="F755" s="57" t="s">
        <v>9330</v>
      </c>
      <c r="G755" t="s">
        <v>3749</v>
      </c>
      <c r="H755" s="54" t="s">
        <v>4098</v>
      </c>
    </row>
    <row r="756" spans="1:8" x14ac:dyDescent="0.35">
      <c r="A756" s="50" t="s">
        <v>5226</v>
      </c>
      <c r="B756" s="52" t="s">
        <v>5225</v>
      </c>
      <c r="C756" s="59" t="s">
        <v>9325</v>
      </c>
      <c r="E756" s="57" t="s">
        <v>9326</v>
      </c>
      <c r="F756" s="57" t="s">
        <v>9327</v>
      </c>
      <c r="G756" t="s">
        <v>3750</v>
      </c>
      <c r="H756" s="54" t="s">
        <v>4099</v>
      </c>
    </row>
    <row r="757" spans="1:8" x14ac:dyDescent="0.35">
      <c r="A757" s="50" t="s">
        <v>5226</v>
      </c>
      <c r="B757" s="52" t="s">
        <v>5225</v>
      </c>
      <c r="C757" s="59" t="s">
        <v>9325</v>
      </c>
      <c r="E757" s="57" t="s">
        <v>9326</v>
      </c>
      <c r="F757" s="57" t="s">
        <v>9330</v>
      </c>
      <c r="G757" t="s">
        <v>3749</v>
      </c>
      <c r="H757" s="54" t="s">
        <v>4098</v>
      </c>
    </row>
    <row r="758" spans="1:8" x14ac:dyDescent="0.35">
      <c r="A758" s="50" t="s">
        <v>5523</v>
      </c>
      <c r="B758" s="52" t="s">
        <v>5522</v>
      </c>
      <c r="C758" s="59" t="s">
        <v>10242</v>
      </c>
      <c r="E758" s="57" t="s">
        <v>10243</v>
      </c>
      <c r="F758" s="57" t="s">
        <v>10244</v>
      </c>
      <c r="G758" s="8" t="s">
        <v>10245</v>
      </c>
      <c r="H758" s="54" t="s">
        <v>10246</v>
      </c>
    </row>
    <row r="759" spans="1:8" x14ac:dyDescent="0.35">
      <c r="A759" s="50" t="s">
        <v>6705</v>
      </c>
      <c r="B759" s="52" t="s">
        <v>6704</v>
      </c>
      <c r="C759" s="59" t="s">
        <v>9822</v>
      </c>
      <c r="E759" s="57" t="s">
        <v>9823</v>
      </c>
      <c r="F759" s="57" t="s">
        <v>9824</v>
      </c>
      <c r="G759" t="s">
        <v>3751</v>
      </c>
      <c r="H759" s="54" t="s">
        <v>1302</v>
      </c>
    </row>
    <row r="760" spans="1:8" x14ac:dyDescent="0.35">
      <c r="A760" s="50" t="s">
        <v>6588</v>
      </c>
      <c r="B760" s="52" t="s">
        <v>6587</v>
      </c>
      <c r="C760" s="59" t="s">
        <v>9894</v>
      </c>
      <c r="E760" s="57" t="s">
        <v>9895</v>
      </c>
      <c r="F760" s="57" t="s">
        <v>9896</v>
      </c>
      <c r="G760" s="8" t="s">
        <v>3710</v>
      </c>
      <c r="H760" s="54" t="s">
        <v>1292</v>
      </c>
    </row>
    <row r="761" spans="1:8" x14ac:dyDescent="0.35">
      <c r="A761" s="50" t="s">
        <v>4373</v>
      </c>
      <c r="B761" s="52" t="s">
        <v>4372</v>
      </c>
      <c r="C761" s="59" t="s">
        <v>10752</v>
      </c>
      <c r="E761" s="57" t="s">
        <v>10753</v>
      </c>
      <c r="F761" s="57" t="s">
        <v>10754</v>
      </c>
      <c r="G761" t="s">
        <v>10755</v>
      </c>
      <c r="H761" s="54" t="s">
        <v>10756</v>
      </c>
    </row>
    <row r="762" spans="1:8" x14ac:dyDescent="0.35">
      <c r="A762" s="50" t="s">
        <v>5192</v>
      </c>
      <c r="B762" s="52" t="s">
        <v>5191</v>
      </c>
      <c r="C762" s="59" t="s">
        <v>10364</v>
      </c>
      <c r="E762" s="57" t="s">
        <v>10365</v>
      </c>
      <c r="F762" s="57" t="s">
        <v>10366</v>
      </c>
      <c r="G762" t="s">
        <v>10367</v>
      </c>
      <c r="H762" s="54" t="s">
        <v>10368</v>
      </c>
    </row>
    <row r="763" spans="1:8" x14ac:dyDescent="0.35">
      <c r="A763" s="50" t="s">
        <v>5192</v>
      </c>
      <c r="B763" s="52" t="s">
        <v>5191</v>
      </c>
      <c r="C763" s="59" t="s">
        <v>10364</v>
      </c>
      <c r="E763" s="57" t="s">
        <v>10365</v>
      </c>
      <c r="F763" s="57" t="s">
        <v>10369</v>
      </c>
      <c r="G763" s="8" t="s">
        <v>10367</v>
      </c>
      <c r="H763" s="54" t="s">
        <v>10370</v>
      </c>
    </row>
    <row r="764" spans="1:8" x14ac:dyDescent="0.35">
      <c r="A764" s="50" t="s">
        <v>5192</v>
      </c>
      <c r="B764" s="52" t="s">
        <v>5191</v>
      </c>
      <c r="C764" s="59" t="s">
        <v>10364</v>
      </c>
      <c r="E764" s="57" t="s">
        <v>10365</v>
      </c>
      <c r="F764" s="57" t="s">
        <v>10371</v>
      </c>
      <c r="G764" t="s">
        <v>10372</v>
      </c>
      <c r="H764" s="54" t="s">
        <v>10373</v>
      </c>
    </row>
    <row r="765" spans="1:8" x14ac:dyDescent="0.35">
      <c r="A765" s="50" t="s">
        <v>5192</v>
      </c>
      <c r="B765" s="52" t="s">
        <v>5191</v>
      </c>
      <c r="C765" s="59" t="s">
        <v>10364</v>
      </c>
      <c r="E765" s="57" t="s">
        <v>10365</v>
      </c>
      <c r="F765" s="57" t="s">
        <v>10374</v>
      </c>
      <c r="G765" t="s">
        <v>10375</v>
      </c>
      <c r="H765" s="54" t="s">
        <v>10376</v>
      </c>
    </row>
    <row r="766" spans="1:8" x14ac:dyDescent="0.35">
      <c r="A766" s="50" t="s">
        <v>5192</v>
      </c>
      <c r="B766" s="52" t="s">
        <v>5191</v>
      </c>
      <c r="C766" s="59" t="s">
        <v>10364</v>
      </c>
      <c r="E766" s="57" t="s">
        <v>10365</v>
      </c>
      <c r="F766" s="57" t="s">
        <v>10377</v>
      </c>
      <c r="G766" t="s">
        <v>10378</v>
      </c>
      <c r="H766" s="54" t="s">
        <v>10373</v>
      </c>
    </row>
    <row r="767" spans="1:8" x14ac:dyDescent="0.35">
      <c r="A767" s="50" t="s">
        <v>6403</v>
      </c>
      <c r="B767" s="52" t="s">
        <v>6402</v>
      </c>
      <c r="C767" s="59" t="s">
        <v>9931</v>
      </c>
      <c r="E767" s="57" t="s">
        <v>9932</v>
      </c>
      <c r="F767" s="57" t="s">
        <v>9933</v>
      </c>
      <c r="G767" t="s">
        <v>9934</v>
      </c>
      <c r="H767" s="54" t="s">
        <v>9935</v>
      </c>
    </row>
    <row r="768" spans="1:8" x14ac:dyDescent="0.35">
      <c r="A768" s="50" t="s">
        <v>4385</v>
      </c>
      <c r="B768" s="52" t="s">
        <v>4384</v>
      </c>
      <c r="C768" s="59" t="s">
        <v>10749</v>
      </c>
      <c r="E768" s="57" t="s">
        <v>10750</v>
      </c>
      <c r="F768" s="57" t="s">
        <v>10751</v>
      </c>
      <c r="G768" t="s">
        <v>3752</v>
      </c>
      <c r="H768" s="54" t="s">
        <v>4100</v>
      </c>
    </row>
    <row r="769" spans="1:8" x14ac:dyDescent="0.35">
      <c r="A769" s="50" t="s">
        <v>6898</v>
      </c>
      <c r="B769" s="52" t="s">
        <v>6897</v>
      </c>
      <c r="C769" s="59" t="s">
        <v>9702</v>
      </c>
      <c r="E769" s="57" t="s">
        <v>9703</v>
      </c>
      <c r="F769" s="57" t="s">
        <v>9704</v>
      </c>
      <c r="G769" t="s">
        <v>9705</v>
      </c>
      <c r="H769" s="54" t="s">
        <v>9706</v>
      </c>
    </row>
    <row r="770" spans="1:8" x14ac:dyDescent="0.35">
      <c r="A770" s="50" t="s">
        <v>6898</v>
      </c>
      <c r="B770" s="52" t="s">
        <v>6897</v>
      </c>
      <c r="C770" s="59" t="s">
        <v>9702</v>
      </c>
      <c r="E770" s="57" t="s">
        <v>9703</v>
      </c>
      <c r="F770" s="57" t="s">
        <v>9709</v>
      </c>
      <c r="G770" t="s">
        <v>9707</v>
      </c>
      <c r="H770" s="54" t="s">
        <v>9708</v>
      </c>
    </row>
    <row r="771" spans="1:8" x14ac:dyDescent="0.35">
      <c r="A771" s="50" t="s">
        <v>6898</v>
      </c>
      <c r="B771" s="52" t="s">
        <v>6897</v>
      </c>
      <c r="C771" s="59" t="s">
        <v>9702</v>
      </c>
      <c r="E771" s="57" t="s">
        <v>9703</v>
      </c>
      <c r="F771" s="57" t="s">
        <v>9710</v>
      </c>
      <c r="G771" t="s">
        <v>9711</v>
      </c>
      <c r="H771" s="54" t="s">
        <v>9712</v>
      </c>
    </row>
    <row r="772" spans="1:8" x14ac:dyDescent="0.35">
      <c r="A772" s="50" t="s">
        <v>6736</v>
      </c>
      <c r="B772" s="52" t="s">
        <v>6735</v>
      </c>
      <c r="C772" s="59" t="s">
        <v>9778</v>
      </c>
      <c r="E772" s="57" t="s">
        <v>9779</v>
      </c>
      <c r="F772" s="57" t="s">
        <v>9780</v>
      </c>
      <c r="G772" t="s">
        <v>9781</v>
      </c>
      <c r="H772" s="54" t="s">
        <v>9782</v>
      </c>
    </row>
    <row r="773" spans="1:8" x14ac:dyDescent="0.35">
      <c r="A773" s="50" t="s">
        <v>6736</v>
      </c>
      <c r="B773" s="52" t="s">
        <v>6735</v>
      </c>
      <c r="C773" s="59" t="s">
        <v>9778</v>
      </c>
      <c r="E773" s="57" t="s">
        <v>9779</v>
      </c>
      <c r="F773" s="57" t="s">
        <v>9783</v>
      </c>
      <c r="G773" t="s">
        <v>9784</v>
      </c>
      <c r="H773" s="54" t="s">
        <v>9785</v>
      </c>
    </row>
    <row r="774" spans="1:8" x14ac:dyDescent="0.35">
      <c r="A774" s="50" t="s">
        <v>8527</v>
      </c>
      <c r="B774" s="52" t="s">
        <v>8526</v>
      </c>
      <c r="C774" s="59" t="s">
        <v>9052</v>
      </c>
      <c r="E774" s="57" t="s">
        <v>9053</v>
      </c>
      <c r="F774" s="57" t="s">
        <v>9054</v>
      </c>
      <c r="G774" s="8" t="s">
        <v>3755</v>
      </c>
      <c r="H774" s="54" t="s">
        <v>4103</v>
      </c>
    </row>
    <row r="775" spans="1:8" x14ac:dyDescent="0.35">
      <c r="A775" s="50" t="s">
        <v>6997</v>
      </c>
      <c r="B775" s="52" t="s">
        <v>6996</v>
      </c>
      <c r="C775" s="59" t="s">
        <v>9052</v>
      </c>
      <c r="E775" s="57" t="s">
        <v>9053</v>
      </c>
      <c r="F775" s="57" t="s">
        <v>9054</v>
      </c>
      <c r="G775" t="s">
        <v>3755</v>
      </c>
      <c r="H775" s="54" t="s">
        <v>4103</v>
      </c>
    </row>
    <row r="776" spans="1:8" x14ac:dyDescent="0.35">
      <c r="A776" s="50" t="s">
        <v>5913</v>
      </c>
      <c r="B776" s="52" t="s">
        <v>5912</v>
      </c>
      <c r="C776" s="59" t="s">
        <v>9052</v>
      </c>
      <c r="E776" s="57" t="s">
        <v>9053</v>
      </c>
      <c r="F776" s="57" t="s">
        <v>9054</v>
      </c>
      <c r="G776" t="s">
        <v>3755</v>
      </c>
      <c r="H776" s="54" t="s">
        <v>4103</v>
      </c>
    </row>
    <row r="777" spans="1:8" x14ac:dyDescent="0.35">
      <c r="A777" s="50" t="s">
        <v>8696</v>
      </c>
      <c r="B777" s="52" t="s">
        <v>8695</v>
      </c>
      <c r="C777" s="59" t="s">
        <v>8961</v>
      </c>
    </row>
    <row r="778" spans="1:8" x14ac:dyDescent="0.35">
      <c r="A778" s="50" t="s">
        <v>8063</v>
      </c>
      <c r="B778" s="52" t="s">
        <v>8062</v>
      </c>
      <c r="C778" s="59" t="s">
        <v>9201</v>
      </c>
    </row>
    <row r="779" spans="1:8" x14ac:dyDescent="0.35">
      <c r="A779" s="50" t="s">
        <v>7213</v>
      </c>
      <c r="B779" s="52" t="s">
        <v>7212</v>
      </c>
      <c r="C779" s="59" t="s">
        <v>9201</v>
      </c>
    </row>
    <row r="780" spans="1:8" x14ac:dyDescent="0.35">
      <c r="A780" s="50" t="s">
        <v>5971</v>
      </c>
      <c r="B780" s="52" t="s">
        <v>5970</v>
      </c>
      <c r="C780" s="59" t="s">
        <v>9201</v>
      </c>
    </row>
    <row r="781" spans="1:8" x14ac:dyDescent="0.35">
      <c r="A781" s="50" t="s">
        <v>5917</v>
      </c>
      <c r="B781" s="52" t="s">
        <v>5916</v>
      </c>
      <c r="C781" s="59" t="s">
        <v>9201</v>
      </c>
    </row>
    <row r="782" spans="1:8" x14ac:dyDescent="0.35">
      <c r="A782" s="50" t="s">
        <v>4599</v>
      </c>
      <c r="B782" s="52" t="s">
        <v>4598</v>
      </c>
      <c r="C782" s="59" t="s">
        <v>9201</v>
      </c>
    </row>
    <row r="783" spans="1:8" x14ac:dyDescent="0.35">
      <c r="A783" s="50" t="s">
        <v>4260</v>
      </c>
      <c r="B783" s="52" t="s">
        <v>4259</v>
      </c>
      <c r="C783" s="59" t="s">
        <v>9201</v>
      </c>
    </row>
    <row r="784" spans="1:8" x14ac:dyDescent="0.35">
      <c r="A784" s="50" t="s">
        <v>8268</v>
      </c>
      <c r="B784" s="52" t="s">
        <v>8267</v>
      </c>
      <c r="C784" s="59" t="s">
        <v>9111</v>
      </c>
      <c r="E784" s="57" t="s">
        <v>9112</v>
      </c>
      <c r="F784" s="57" t="s">
        <v>9113</v>
      </c>
      <c r="G784" t="s">
        <v>3756</v>
      </c>
      <c r="H784" s="54" t="s">
        <v>1303</v>
      </c>
    </row>
    <row r="785" spans="1:8" x14ac:dyDescent="0.35">
      <c r="A785" s="50" t="s">
        <v>7935</v>
      </c>
      <c r="B785" s="52" t="s">
        <v>7934</v>
      </c>
      <c r="C785" s="59" t="s">
        <v>9263</v>
      </c>
      <c r="E785" s="57" t="s">
        <v>9264</v>
      </c>
    </row>
    <row r="786" spans="1:8" x14ac:dyDescent="0.35">
      <c r="A786" s="50" t="s">
        <v>6131</v>
      </c>
      <c r="B786" s="52" t="s">
        <v>6130</v>
      </c>
      <c r="C786" s="59" t="s">
        <v>9985</v>
      </c>
      <c r="E786" s="57" t="s">
        <v>9986</v>
      </c>
      <c r="F786" s="57" t="s">
        <v>9987</v>
      </c>
      <c r="G786" t="s">
        <v>9988</v>
      </c>
      <c r="H786" s="54" t="s">
        <v>9989</v>
      </c>
    </row>
    <row r="787" spans="1:8" x14ac:dyDescent="0.35">
      <c r="A787" s="50" t="s">
        <v>6131</v>
      </c>
      <c r="B787" s="52" t="s">
        <v>6130</v>
      </c>
      <c r="C787" s="59" t="s">
        <v>9985</v>
      </c>
      <c r="E787" s="57" t="s">
        <v>9986</v>
      </c>
      <c r="F787" s="57" t="s">
        <v>9990</v>
      </c>
      <c r="G787" t="s">
        <v>9991</v>
      </c>
      <c r="H787" s="54" t="s">
        <v>9992</v>
      </c>
    </row>
    <row r="788" spans="1:8" x14ac:dyDescent="0.35">
      <c r="A788" s="50" t="s">
        <v>6626</v>
      </c>
      <c r="B788" s="52" t="s">
        <v>6625</v>
      </c>
      <c r="C788" s="59" t="s">
        <v>9869</v>
      </c>
      <c r="E788" s="57" t="s">
        <v>9870</v>
      </c>
      <c r="F788" s="57" t="s">
        <v>9871</v>
      </c>
      <c r="G788" s="8" t="s">
        <v>9872</v>
      </c>
      <c r="H788" s="54" t="s">
        <v>9873</v>
      </c>
    </row>
    <row r="789" spans="1:8" x14ac:dyDescent="0.35">
      <c r="A789" s="50" t="s">
        <v>6535</v>
      </c>
      <c r="B789" s="52" t="s">
        <v>6534</v>
      </c>
      <c r="C789" s="59" t="s">
        <v>9906</v>
      </c>
      <c r="E789" s="57" t="s">
        <v>9907</v>
      </c>
      <c r="F789" s="57" t="s">
        <v>9908</v>
      </c>
      <c r="G789" t="s">
        <v>9909</v>
      </c>
      <c r="H789" s="54" t="s">
        <v>9910</v>
      </c>
    </row>
    <row r="790" spans="1:8" x14ac:dyDescent="0.35">
      <c r="A790" s="50" t="s">
        <v>8698</v>
      </c>
      <c r="B790" s="52" t="s">
        <v>8697</v>
      </c>
      <c r="C790" s="59" t="s">
        <v>8960</v>
      </c>
      <c r="E790" s="57"/>
      <c r="F790" s="57"/>
    </row>
    <row r="791" spans="1:8" x14ac:dyDescent="0.35">
      <c r="A791" s="50" t="s">
        <v>7498</v>
      </c>
      <c r="B791" s="52" t="s">
        <v>7497</v>
      </c>
      <c r="C791" s="59" t="s">
        <v>8960</v>
      </c>
    </row>
    <row r="792" spans="1:8" x14ac:dyDescent="0.35">
      <c r="A792" s="50" t="s">
        <v>6962</v>
      </c>
      <c r="B792" s="52" t="s">
        <v>6961</v>
      </c>
      <c r="C792" s="59" t="s">
        <v>8960</v>
      </c>
    </row>
    <row r="793" spans="1:8" x14ac:dyDescent="0.35">
      <c r="A793" s="50" t="s">
        <v>6912</v>
      </c>
      <c r="B793" s="52" t="s">
        <v>6911</v>
      </c>
      <c r="C793" s="59" t="s">
        <v>8960</v>
      </c>
    </row>
    <row r="794" spans="1:8" x14ac:dyDescent="0.35">
      <c r="A794" s="50" t="s">
        <v>6567</v>
      </c>
      <c r="B794" s="52" t="s">
        <v>6566</v>
      </c>
      <c r="C794" s="59" t="s">
        <v>8960</v>
      </c>
    </row>
    <row r="795" spans="1:8" x14ac:dyDescent="0.35">
      <c r="A795" s="50" t="s">
        <v>5725</v>
      </c>
      <c r="B795" s="52" t="s">
        <v>5724</v>
      </c>
      <c r="C795" s="59" t="s">
        <v>8960</v>
      </c>
    </row>
    <row r="796" spans="1:8" x14ac:dyDescent="0.35">
      <c r="A796" s="50" t="s">
        <v>5558</v>
      </c>
      <c r="B796" s="52" t="s">
        <v>5557</v>
      </c>
      <c r="C796" s="59" t="s">
        <v>8960</v>
      </c>
    </row>
    <row r="797" spans="1:8" x14ac:dyDescent="0.35">
      <c r="A797" s="50" t="s">
        <v>5288</v>
      </c>
      <c r="B797" s="52" t="s">
        <v>5287</v>
      </c>
      <c r="C797" s="59" t="s">
        <v>8960</v>
      </c>
    </row>
    <row r="798" spans="1:8" x14ac:dyDescent="0.35">
      <c r="A798" s="50" t="s">
        <v>5263</v>
      </c>
      <c r="B798" s="52" t="s">
        <v>5262</v>
      </c>
      <c r="C798" s="59" t="s">
        <v>8960</v>
      </c>
    </row>
    <row r="799" spans="1:8" x14ac:dyDescent="0.35">
      <c r="A799" s="50" t="s">
        <v>5023</v>
      </c>
      <c r="B799" s="52" t="s">
        <v>5022</v>
      </c>
      <c r="C799" s="59" t="s">
        <v>8960</v>
      </c>
    </row>
    <row r="800" spans="1:8" x14ac:dyDescent="0.35">
      <c r="A800" s="50" t="s">
        <v>6607</v>
      </c>
      <c r="B800" s="52" t="s">
        <v>6606</v>
      </c>
      <c r="C800" s="59" t="s">
        <v>9877</v>
      </c>
      <c r="E800" s="57" t="s">
        <v>9878</v>
      </c>
    </row>
    <row r="801" spans="1:8" x14ac:dyDescent="0.35">
      <c r="A801" s="50" t="s">
        <v>6605</v>
      </c>
      <c r="B801" s="52" t="s">
        <v>6604</v>
      </c>
      <c r="C801" s="59" t="s">
        <v>9877</v>
      </c>
      <c r="E801" s="57" t="s">
        <v>9878</v>
      </c>
    </row>
    <row r="802" spans="1:8" x14ac:dyDescent="0.35">
      <c r="A802" s="50" t="s">
        <v>4773</v>
      </c>
      <c r="B802" s="52" t="s">
        <v>4772</v>
      </c>
      <c r="C802" s="59" t="s">
        <v>9877</v>
      </c>
      <c r="E802" s="57" t="s">
        <v>9878</v>
      </c>
      <c r="F802" s="57" t="s">
        <v>10601</v>
      </c>
      <c r="G802" t="s">
        <v>3535</v>
      </c>
      <c r="H802" s="54" t="s">
        <v>3891</v>
      </c>
    </row>
    <row r="803" spans="1:8" x14ac:dyDescent="0.35">
      <c r="A803" s="50" t="s">
        <v>6787</v>
      </c>
      <c r="B803" s="52" t="s">
        <v>6786</v>
      </c>
      <c r="C803" s="59" t="s">
        <v>9760</v>
      </c>
    </row>
    <row r="804" spans="1:8" x14ac:dyDescent="0.35">
      <c r="A804" s="50" t="s">
        <v>4566</v>
      </c>
      <c r="B804" s="52" t="s">
        <v>4565</v>
      </c>
      <c r="C804" s="59" t="s">
        <v>10647</v>
      </c>
    </row>
    <row r="805" spans="1:8" x14ac:dyDescent="0.35">
      <c r="A805" s="50" t="s">
        <v>8529</v>
      </c>
      <c r="B805" s="52" t="s">
        <v>8528</v>
      </c>
      <c r="C805" s="59" t="s">
        <v>9051</v>
      </c>
      <c r="E805" s="57"/>
    </row>
    <row r="806" spans="1:8" x14ac:dyDescent="0.35">
      <c r="A806" s="50" t="s">
        <v>5667</v>
      </c>
      <c r="B806" s="52" t="s">
        <v>5666</v>
      </c>
      <c r="C806" s="59" t="s">
        <v>9051</v>
      </c>
    </row>
    <row r="807" spans="1:8" x14ac:dyDescent="0.35">
      <c r="A807" s="50" t="s">
        <v>4682</v>
      </c>
      <c r="B807" s="52" t="s">
        <v>4681</v>
      </c>
      <c r="C807" s="59" t="s">
        <v>9051</v>
      </c>
    </row>
    <row r="808" spans="1:8" x14ac:dyDescent="0.35">
      <c r="A808" s="50" t="s">
        <v>4646</v>
      </c>
      <c r="B808" s="52" t="s">
        <v>4645</v>
      </c>
      <c r="C808" s="59" t="s">
        <v>10621</v>
      </c>
    </row>
    <row r="809" spans="1:8" x14ac:dyDescent="0.35">
      <c r="A809" s="50" t="s">
        <v>7722</v>
      </c>
      <c r="B809" s="52" t="s">
        <v>7721</v>
      </c>
      <c r="C809" s="59" t="s">
        <v>9405</v>
      </c>
      <c r="E809" s="57" t="s">
        <v>9406</v>
      </c>
      <c r="F809" s="57" t="s">
        <v>9407</v>
      </c>
      <c r="G809" s="8" t="s">
        <v>9408</v>
      </c>
      <c r="H809" s="54" t="s">
        <v>4108</v>
      </c>
    </row>
    <row r="810" spans="1:8" x14ac:dyDescent="0.35">
      <c r="A810" s="50" t="s">
        <v>7543</v>
      </c>
      <c r="B810" s="52" t="s">
        <v>7542</v>
      </c>
      <c r="C810" s="59" t="s">
        <v>9446</v>
      </c>
      <c r="E810" s="57" t="s">
        <v>9447</v>
      </c>
      <c r="F810" s="57" t="s">
        <v>9448</v>
      </c>
      <c r="G810" t="s">
        <v>1308</v>
      </c>
      <c r="H810" s="54" t="s">
        <v>4109</v>
      </c>
    </row>
    <row r="811" spans="1:8" x14ac:dyDescent="0.35">
      <c r="A811" s="50" t="s">
        <v>6703</v>
      </c>
      <c r="B811" s="52" t="s">
        <v>6702</v>
      </c>
      <c r="C811" s="59" t="s">
        <v>9446</v>
      </c>
      <c r="E811" s="57" t="s">
        <v>9447</v>
      </c>
      <c r="F811" s="57" t="s">
        <v>9448</v>
      </c>
      <c r="G811" t="s">
        <v>1308</v>
      </c>
      <c r="H811" s="54" t="s">
        <v>4109</v>
      </c>
    </row>
    <row r="812" spans="1:8" x14ac:dyDescent="0.35">
      <c r="A812" s="50" t="s">
        <v>8784</v>
      </c>
      <c r="B812" s="52" t="s">
        <v>8783</v>
      </c>
      <c r="C812" s="59" t="s">
        <v>1284</v>
      </c>
      <c r="E812" s="57" t="s">
        <v>8915</v>
      </c>
      <c r="F812" s="57" t="s">
        <v>8892</v>
      </c>
      <c r="G812" s="8" t="s">
        <v>8893</v>
      </c>
      <c r="H812" s="54" t="s">
        <v>8894</v>
      </c>
    </row>
    <row r="813" spans="1:8" x14ac:dyDescent="0.35">
      <c r="A813" s="50" t="s">
        <v>4934</v>
      </c>
      <c r="B813" s="52" t="s">
        <v>4933</v>
      </c>
      <c r="C813" s="59" t="s">
        <v>10537</v>
      </c>
      <c r="E813" s="57" t="s">
        <v>10538</v>
      </c>
      <c r="F813" s="57" t="s">
        <v>10539</v>
      </c>
      <c r="G813" t="s">
        <v>9005</v>
      </c>
      <c r="H813" s="54" t="s">
        <v>10540</v>
      </c>
    </row>
    <row r="814" spans="1:8" x14ac:dyDescent="0.35">
      <c r="A814" s="50" t="s">
        <v>8671</v>
      </c>
      <c r="B814" s="52" t="s">
        <v>8670</v>
      </c>
      <c r="C814" s="59" t="s">
        <v>8968</v>
      </c>
      <c r="E814" s="57" t="s">
        <v>8969</v>
      </c>
      <c r="F814" s="57" t="s">
        <v>8970</v>
      </c>
      <c r="G814" s="8" t="s">
        <v>2733</v>
      </c>
      <c r="H814" s="54" t="s">
        <v>8972</v>
      </c>
    </row>
    <row r="815" spans="1:8" x14ac:dyDescent="0.35">
      <c r="A815" s="50" t="s">
        <v>8671</v>
      </c>
      <c r="B815" s="52" t="s">
        <v>8670</v>
      </c>
      <c r="C815" s="59" t="s">
        <v>8968</v>
      </c>
      <c r="E815" s="57" t="s">
        <v>8969</v>
      </c>
      <c r="F815" s="57" t="s">
        <v>8971</v>
      </c>
      <c r="G815" s="56" t="s">
        <v>2780</v>
      </c>
      <c r="H815" s="54" t="s">
        <v>8972</v>
      </c>
    </row>
    <row r="816" spans="1:8" x14ac:dyDescent="0.35">
      <c r="A816" s="50" t="s">
        <v>8671</v>
      </c>
      <c r="B816" s="52" t="s">
        <v>8670</v>
      </c>
      <c r="C816" s="59" t="s">
        <v>8968</v>
      </c>
      <c r="E816" s="57" t="s">
        <v>8969</v>
      </c>
      <c r="F816" s="57" t="s">
        <v>8973</v>
      </c>
      <c r="G816" t="s">
        <v>2737</v>
      </c>
      <c r="H816" s="54" t="s">
        <v>8974</v>
      </c>
    </row>
    <row r="817" spans="1:8" x14ac:dyDescent="0.35">
      <c r="A817" s="50" t="s">
        <v>8671</v>
      </c>
      <c r="B817" s="52" t="s">
        <v>8670</v>
      </c>
      <c r="C817" s="59" t="s">
        <v>8968</v>
      </c>
      <c r="E817" s="57" t="s">
        <v>8969</v>
      </c>
      <c r="F817" s="57" t="s">
        <v>8975</v>
      </c>
      <c r="G817" s="8" t="s">
        <v>2745</v>
      </c>
      <c r="H817" s="54" t="s">
        <v>8976</v>
      </c>
    </row>
    <row r="818" spans="1:8" x14ac:dyDescent="0.35">
      <c r="A818" s="50" t="s">
        <v>8742</v>
      </c>
      <c r="B818" s="52" t="s">
        <v>8741</v>
      </c>
      <c r="C818" s="59" t="s">
        <v>8921</v>
      </c>
      <c r="E818" s="57" t="s">
        <v>8922</v>
      </c>
      <c r="F818" s="57" t="s">
        <v>8923</v>
      </c>
      <c r="G818" t="s">
        <v>8924</v>
      </c>
      <c r="H818" s="54" t="s">
        <v>8925</v>
      </c>
    </row>
    <row r="819" spans="1:8" x14ac:dyDescent="0.35">
      <c r="A819" s="50" t="s">
        <v>8742</v>
      </c>
      <c r="B819" s="53" t="s">
        <v>8741</v>
      </c>
      <c r="C819" s="59" t="s">
        <v>8921</v>
      </c>
      <c r="E819" s="57" t="s">
        <v>8922</v>
      </c>
      <c r="F819" s="57" t="s">
        <v>8926</v>
      </c>
      <c r="G819" s="8" t="s">
        <v>8927</v>
      </c>
      <c r="H819" s="54" t="s">
        <v>8928</v>
      </c>
    </row>
    <row r="820" spans="1:8" x14ac:dyDescent="0.35">
      <c r="A820" s="50" t="s">
        <v>6407</v>
      </c>
      <c r="B820" s="52" t="s">
        <v>6406</v>
      </c>
      <c r="C820" s="59" t="s">
        <v>8921</v>
      </c>
      <c r="E820" s="57" t="s">
        <v>8922</v>
      </c>
      <c r="F820" s="57" t="s">
        <v>8923</v>
      </c>
      <c r="G820" t="s">
        <v>8924</v>
      </c>
      <c r="H820" s="54" t="s">
        <v>9929</v>
      </c>
    </row>
    <row r="821" spans="1:8" x14ac:dyDescent="0.35">
      <c r="A821" s="50" t="s">
        <v>6407</v>
      </c>
      <c r="B821" s="52" t="s">
        <v>6406</v>
      </c>
      <c r="C821" s="59" t="s">
        <v>8921</v>
      </c>
      <c r="E821" s="57" t="s">
        <v>8922</v>
      </c>
      <c r="F821" s="57" t="s">
        <v>8926</v>
      </c>
      <c r="G821" t="s">
        <v>8927</v>
      </c>
      <c r="H821" s="54" t="s">
        <v>9930</v>
      </c>
    </row>
    <row r="822" spans="1:8" x14ac:dyDescent="0.35">
      <c r="A822" s="50" t="s">
        <v>5621</v>
      </c>
      <c r="B822" s="52" t="s">
        <v>5620</v>
      </c>
      <c r="C822" s="59" t="s">
        <v>10174</v>
      </c>
      <c r="E822" s="57" t="s">
        <v>10175</v>
      </c>
      <c r="F822" s="57" t="s">
        <v>10176</v>
      </c>
      <c r="G822" t="s">
        <v>10177</v>
      </c>
      <c r="H822" s="54" t="s">
        <v>10178</v>
      </c>
    </row>
    <row r="823" spans="1:8" x14ac:dyDescent="0.35">
      <c r="A823" s="50" t="s">
        <v>6860</v>
      </c>
      <c r="B823" s="52" t="s">
        <v>6859</v>
      </c>
      <c r="C823" s="59" t="s">
        <v>9723</v>
      </c>
      <c r="E823" s="57" t="s">
        <v>9724</v>
      </c>
      <c r="F823" s="57" t="s">
        <v>9725</v>
      </c>
      <c r="G823" s="8" t="s">
        <v>9726</v>
      </c>
      <c r="H823" s="54" t="s">
        <v>9727</v>
      </c>
    </row>
    <row r="824" spans="1:8" x14ac:dyDescent="0.35">
      <c r="A824" s="50" t="s">
        <v>7304</v>
      </c>
      <c r="B824" s="52" t="s">
        <v>7303</v>
      </c>
      <c r="C824" s="59" t="s">
        <v>9554</v>
      </c>
      <c r="E824" s="57" t="s">
        <v>9555</v>
      </c>
      <c r="F824" s="57" t="s">
        <v>9556</v>
      </c>
      <c r="G824" t="s">
        <v>1313</v>
      </c>
      <c r="H824" s="54" t="s">
        <v>4118</v>
      </c>
    </row>
    <row r="825" spans="1:8" x14ac:dyDescent="0.35">
      <c r="A825" s="50" t="s">
        <v>7304</v>
      </c>
      <c r="B825" s="52" t="s">
        <v>7303</v>
      </c>
      <c r="C825" s="59" t="s">
        <v>9554</v>
      </c>
      <c r="E825" s="57" t="s">
        <v>9555</v>
      </c>
      <c r="F825" s="57" t="s">
        <v>9557</v>
      </c>
      <c r="G825" s="8" t="s">
        <v>1314</v>
      </c>
      <c r="H825" s="54" t="s">
        <v>4119</v>
      </c>
    </row>
    <row r="826" spans="1:8" x14ac:dyDescent="0.35">
      <c r="A826" s="50" t="s">
        <v>5683</v>
      </c>
      <c r="B826" s="52" t="s">
        <v>5682</v>
      </c>
      <c r="C826" s="59" t="s">
        <v>10134</v>
      </c>
      <c r="E826" s="57" t="s">
        <v>10135</v>
      </c>
      <c r="F826" s="57" t="s">
        <v>10136</v>
      </c>
      <c r="G826" t="s">
        <v>10137</v>
      </c>
      <c r="H826" s="54" t="s">
        <v>10138</v>
      </c>
    </row>
    <row r="827" spans="1:8" x14ac:dyDescent="0.35">
      <c r="A827" s="50" t="s">
        <v>6527</v>
      </c>
      <c r="B827" s="52" t="s">
        <v>6526</v>
      </c>
      <c r="C827" s="59" t="s">
        <v>9916</v>
      </c>
      <c r="E827" s="57" t="s">
        <v>9917</v>
      </c>
      <c r="F827" s="57" t="s">
        <v>9918</v>
      </c>
      <c r="G827" t="s">
        <v>9919</v>
      </c>
      <c r="H827" s="54" t="s">
        <v>9920</v>
      </c>
    </row>
    <row r="828" spans="1:8" x14ac:dyDescent="0.35">
      <c r="A828" s="50" t="s">
        <v>6527</v>
      </c>
      <c r="B828" s="52" t="s">
        <v>6526</v>
      </c>
      <c r="C828" s="59" t="s">
        <v>9916</v>
      </c>
      <c r="E828" s="57" t="s">
        <v>9917</v>
      </c>
      <c r="F828" s="57" t="s">
        <v>9921</v>
      </c>
      <c r="G828" s="8" t="s">
        <v>9922</v>
      </c>
      <c r="H828" s="54" t="s">
        <v>9923</v>
      </c>
    </row>
    <row r="829" spans="1:8" x14ac:dyDescent="0.35">
      <c r="A829" s="50" t="s">
        <v>6527</v>
      </c>
      <c r="B829" s="52" t="s">
        <v>6526</v>
      </c>
      <c r="C829" s="59" t="s">
        <v>9916</v>
      </c>
      <c r="E829" s="57" t="s">
        <v>9917</v>
      </c>
      <c r="F829" s="57" t="s">
        <v>9924</v>
      </c>
      <c r="G829" t="s">
        <v>9925</v>
      </c>
      <c r="H829" s="54" t="s">
        <v>9926</v>
      </c>
    </row>
    <row r="830" spans="1:8" x14ac:dyDescent="0.35">
      <c r="A830" s="50" t="s">
        <v>6039</v>
      </c>
      <c r="B830" s="52" t="s">
        <v>6038</v>
      </c>
      <c r="C830" s="59" t="s">
        <v>10019</v>
      </c>
      <c r="E830" s="57" t="s">
        <v>10020</v>
      </c>
      <c r="F830" s="57" t="s">
        <v>10021</v>
      </c>
      <c r="G830" s="8" t="s">
        <v>1300</v>
      </c>
      <c r="H830" s="54" t="s">
        <v>10022</v>
      </c>
    </row>
    <row r="831" spans="1:8" x14ac:dyDescent="0.35">
      <c r="A831" s="50" t="s">
        <v>6039</v>
      </c>
      <c r="B831" s="52" t="s">
        <v>6038</v>
      </c>
      <c r="C831" s="59" t="s">
        <v>10019</v>
      </c>
      <c r="E831" s="57" t="s">
        <v>10020</v>
      </c>
      <c r="F831" s="57" t="s">
        <v>10023</v>
      </c>
      <c r="G831" s="8" t="s">
        <v>1300</v>
      </c>
      <c r="H831" s="54" t="s">
        <v>10024</v>
      </c>
    </row>
    <row r="832" spans="1:8" x14ac:dyDescent="0.35">
      <c r="A832" s="50" t="s">
        <v>6039</v>
      </c>
      <c r="B832" s="52" t="s">
        <v>6038</v>
      </c>
      <c r="C832" s="59" t="s">
        <v>10019</v>
      </c>
      <c r="E832" s="57" t="s">
        <v>10020</v>
      </c>
      <c r="F832" s="57" t="s">
        <v>10025</v>
      </c>
      <c r="G832" t="s">
        <v>10022</v>
      </c>
      <c r="H832" s="54" t="s">
        <v>10024</v>
      </c>
    </row>
    <row r="833" spans="1:8" x14ac:dyDescent="0.35">
      <c r="A833" s="50" t="s">
        <v>4614</v>
      </c>
      <c r="B833" s="52" t="s">
        <v>4613</v>
      </c>
      <c r="C833" s="59" t="s">
        <v>10628</v>
      </c>
      <c r="E833" s="57" t="s">
        <v>10629</v>
      </c>
      <c r="F833" s="57" t="s">
        <v>10630</v>
      </c>
      <c r="G833" t="s">
        <v>10631</v>
      </c>
      <c r="H833" s="54" t="s">
        <v>10632</v>
      </c>
    </row>
    <row r="834" spans="1:8" x14ac:dyDescent="0.35">
      <c r="A834" s="50" t="s">
        <v>4614</v>
      </c>
      <c r="B834" s="52" t="s">
        <v>4613</v>
      </c>
      <c r="C834" s="59" t="s">
        <v>10628</v>
      </c>
      <c r="E834" s="57" t="s">
        <v>10629</v>
      </c>
      <c r="F834" s="57" t="s">
        <v>10633</v>
      </c>
      <c r="G834" s="8" t="s">
        <v>10634</v>
      </c>
      <c r="H834" s="54" t="s">
        <v>10632</v>
      </c>
    </row>
    <row r="835" spans="1:8" x14ac:dyDescent="0.35">
      <c r="A835" s="50" t="s">
        <v>4614</v>
      </c>
      <c r="B835" s="52" t="s">
        <v>4613</v>
      </c>
      <c r="C835" s="59" t="s">
        <v>10628</v>
      </c>
      <c r="E835" s="57" t="s">
        <v>10629</v>
      </c>
      <c r="F835" s="57" t="s">
        <v>10635</v>
      </c>
      <c r="G835" t="s">
        <v>10634</v>
      </c>
      <c r="H835" s="54" t="s">
        <v>10631</v>
      </c>
    </row>
    <row r="836" spans="1:8" x14ac:dyDescent="0.35">
      <c r="A836" s="50" t="s">
        <v>4610</v>
      </c>
      <c r="B836" s="52" t="s">
        <v>4609</v>
      </c>
      <c r="C836" s="59" t="s">
        <v>10628</v>
      </c>
      <c r="E836" s="57" t="s">
        <v>10629</v>
      </c>
      <c r="F836" s="57" t="s">
        <v>10630</v>
      </c>
      <c r="G836" t="s">
        <v>10631</v>
      </c>
      <c r="H836" s="54" t="s">
        <v>10632</v>
      </c>
    </row>
    <row r="837" spans="1:8" x14ac:dyDescent="0.35">
      <c r="A837" s="50" t="s">
        <v>4610</v>
      </c>
      <c r="B837" s="52" t="s">
        <v>4609</v>
      </c>
      <c r="C837" s="59" t="s">
        <v>10628</v>
      </c>
      <c r="E837" s="57" t="s">
        <v>10629</v>
      </c>
      <c r="F837" s="57" t="s">
        <v>10633</v>
      </c>
      <c r="G837" s="8" t="s">
        <v>10634</v>
      </c>
      <c r="H837" s="54" t="s">
        <v>10632</v>
      </c>
    </row>
    <row r="838" spans="1:8" x14ac:dyDescent="0.35">
      <c r="A838" s="50" t="s">
        <v>4610</v>
      </c>
      <c r="B838" s="52" t="s">
        <v>4609</v>
      </c>
      <c r="C838" s="59" t="s">
        <v>10628</v>
      </c>
      <c r="E838" s="57" t="s">
        <v>10629</v>
      </c>
      <c r="F838" s="57" t="s">
        <v>10635</v>
      </c>
      <c r="G838" t="s">
        <v>10634</v>
      </c>
      <c r="H838" s="54" t="s">
        <v>10631</v>
      </c>
    </row>
    <row r="839" spans="1:8" x14ac:dyDescent="0.35">
      <c r="A839" s="50" t="s">
        <v>4505</v>
      </c>
      <c r="B839" s="52" t="s">
        <v>4504</v>
      </c>
      <c r="C839" s="59" t="s">
        <v>10665</v>
      </c>
      <c r="E839" s="57" t="s">
        <v>10666</v>
      </c>
      <c r="F839" s="57" t="s">
        <v>10667</v>
      </c>
      <c r="G839" t="s">
        <v>1332</v>
      </c>
      <c r="H839" s="54" t="s">
        <v>10668</v>
      </c>
    </row>
    <row r="840" spans="1:8" x14ac:dyDescent="0.35">
      <c r="A840" s="50" t="s">
        <v>6001</v>
      </c>
      <c r="B840" s="52" t="s">
        <v>6000</v>
      </c>
      <c r="C840" s="59" t="s">
        <v>10030</v>
      </c>
      <c r="E840" s="57" t="s">
        <v>10031</v>
      </c>
      <c r="F840" s="57" t="s">
        <v>10032</v>
      </c>
      <c r="G840" t="s">
        <v>10033</v>
      </c>
      <c r="H840" s="54" t="s">
        <v>10034</v>
      </c>
    </row>
    <row r="841" spans="1:8" x14ac:dyDescent="0.35">
      <c r="A841" s="50" t="s">
        <v>6001</v>
      </c>
      <c r="B841" s="52" t="s">
        <v>6000</v>
      </c>
      <c r="C841" s="59" t="s">
        <v>10030</v>
      </c>
      <c r="E841" s="57" t="s">
        <v>10031</v>
      </c>
      <c r="F841" s="57" t="s">
        <v>10035</v>
      </c>
      <c r="G841" s="8" t="s">
        <v>10036</v>
      </c>
      <c r="H841" s="54" t="s">
        <v>10037</v>
      </c>
    </row>
    <row r="842" spans="1:8" x14ac:dyDescent="0.35">
      <c r="A842" s="50" t="s">
        <v>5657</v>
      </c>
      <c r="B842" s="52" t="s">
        <v>5656</v>
      </c>
      <c r="C842" s="59" t="s">
        <v>10161</v>
      </c>
      <c r="E842" s="57" t="s">
        <v>10162</v>
      </c>
      <c r="F842" s="57" t="s">
        <v>10163</v>
      </c>
      <c r="G842" s="8" t="s">
        <v>1315</v>
      </c>
      <c r="H842" s="54" t="s">
        <v>4122</v>
      </c>
    </row>
    <row r="843" spans="1:8" x14ac:dyDescent="0.35">
      <c r="A843" s="50" t="s">
        <v>5409</v>
      </c>
      <c r="B843" s="52" t="s">
        <v>5408</v>
      </c>
      <c r="C843" s="59" t="s">
        <v>10283</v>
      </c>
      <c r="E843" s="57" t="s">
        <v>10284</v>
      </c>
      <c r="F843" s="57" t="s">
        <v>10285</v>
      </c>
      <c r="G843" t="s">
        <v>10286</v>
      </c>
      <c r="H843" s="54" t="s">
        <v>10287</v>
      </c>
    </row>
    <row r="844" spans="1:8" x14ac:dyDescent="0.35">
      <c r="A844" s="50" t="s">
        <v>5409</v>
      </c>
      <c r="B844" s="52" t="s">
        <v>5408</v>
      </c>
      <c r="C844" s="59" t="s">
        <v>10283</v>
      </c>
      <c r="E844" s="57" t="s">
        <v>10284</v>
      </c>
      <c r="F844" s="57" t="s">
        <v>10288</v>
      </c>
      <c r="G844" t="s">
        <v>10289</v>
      </c>
      <c r="H844" s="54" t="s">
        <v>10287</v>
      </c>
    </row>
    <row r="845" spans="1:8" x14ac:dyDescent="0.35">
      <c r="A845" s="50" t="s">
        <v>5409</v>
      </c>
      <c r="B845" s="52" t="s">
        <v>5408</v>
      </c>
      <c r="C845" s="59" t="s">
        <v>10283</v>
      </c>
      <c r="E845" s="57" t="s">
        <v>10284</v>
      </c>
      <c r="F845" s="57" t="s">
        <v>10290</v>
      </c>
      <c r="G845" t="s">
        <v>10291</v>
      </c>
      <c r="H845" s="54" t="s">
        <v>10292</v>
      </c>
    </row>
    <row r="846" spans="1:8" x14ac:dyDescent="0.35">
      <c r="A846" s="50" t="s">
        <v>7326</v>
      </c>
      <c r="B846" s="52" t="s">
        <v>7325</v>
      </c>
      <c r="C846" s="59" t="s">
        <v>9537</v>
      </c>
      <c r="E846" s="57" t="s">
        <v>9538</v>
      </c>
      <c r="F846" s="57" t="s">
        <v>9539</v>
      </c>
      <c r="G846" t="s">
        <v>3762</v>
      </c>
      <c r="H846" s="54" t="s">
        <v>4123</v>
      </c>
    </row>
    <row r="847" spans="1:8" x14ac:dyDescent="0.35">
      <c r="A847" s="50" t="s">
        <v>7326</v>
      </c>
      <c r="B847" s="52" t="s">
        <v>7325</v>
      </c>
      <c r="C847" s="59" t="s">
        <v>9537</v>
      </c>
      <c r="E847" s="57" t="s">
        <v>9538</v>
      </c>
      <c r="F847" s="57" t="s">
        <v>9540</v>
      </c>
      <c r="G847" t="s">
        <v>3763</v>
      </c>
      <c r="H847" s="54" t="s">
        <v>4124</v>
      </c>
    </row>
    <row r="848" spans="1:8" x14ac:dyDescent="0.35">
      <c r="A848" s="50" t="s">
        <v>6867</v>
      </c>
      <c r="B848" s="52" t="s">
        <v>6866</v>
      </c>
      <c r="C848" s="59" t="s">
        <v>9718</v>
      </c>
      <c r="E848" s="57" t="s">
        <v>9719</v>
      </c>
      <c r="F848" s="57" t="s">
        <v>9720</v>
      </c>
      <c r="G848" s="8" t="s">
        <v>9721</v>
      </c>
      <c r="H848" s="54" t="s">
        <v>9722</v>
      </c>
    </row>
    <row r="849" spans="1:8" x14ac:dyDescent="0.35">
      <c r="A849" s="50" t="s">
        <v>8278</v>
      </c>
      <c r="B849" s="52" t="s">
        <v>8277</v>
      </c>
      <c r="C849" s="59" t="s">
        <v>9109</v>
      </c>
      <c r="E849" s="57" t="s">
        <v>9110</v>
      </c>
    </row>
    <row r="850" spans="1:8" x14ac:dyDescent="0.35">
      <c r="A850" s="50" t="s">
        <v>8198</v>
      </c>
      <c r="B850" s="52" t="s">
        <v>8197</v>
      </c>
      <c r="C850" s="59" t="s">
        <v>9134</v>
      </c>
      <c r="E850" s="57" t="s">
        <v>9135</v>
      </c>
      <c r="F850" s="57" t="s">
        <v>9136</v>
      </c>
      <c r="G850" t="s">
        <v>2553</v>
      </c>
      <c r="H850" s="54" t="s">
        <v>9137</v>
      </c>
    </row>
    <row r="851" spans="1:8" x14ac:dyDescent="0.35">
      <c r="A851" s="50" t="s">
        <v>7292</v>
      </c>
      <c r="B851" s="52" t="s">
        <v>7291</v>
      </c>
      <c r="C851" s="59" t="s">
        <v>9558</v>
      </c>
      <c r="E851" s="57" t="s">
        <v>9559</v>
      </c>
      <c r="F851" s="57" t="s">
        <v>9560</v>
      </c>
      <c r="G851" t="s">
        <v>2523</v>
      </c>
      <c r="H851" s="54" t="s">
        <v>9561</v>
      </c>
    </row>
    <row r="852" spans="1:8" x14ac:dyDescent="0.35">
      <c r="A852" s="50" t="s">
        <v>7292</v>
      </c>
      <c r="B852" s="52" t="s">
        <v>7291</v>
      </c>
      <c r="C852" s="59" t="s">
        <v>9558</v>
      </c>
      <c r="E852" s="57" t="s">
        <v>9559</v>
      </c>
      <c r="F852" s="57" t="s">
        <v>9562</v>
      </c>
      <c r="G852" t="s">
        <v>2523</v>
      </c>
      <c r="H852" s="54" t="s">
        <v>9563</v>
      </c>
    </row>
    <row r="853" spans="1:8" x14ac:dyDescent="0.35">
      <c r="A853" s="50" t="s">
        <v>7292</v>
      </c>
      <c r="B853" s="52" t="s">
        <v>7291</v>
      </c>
      <c r="C853" s="59" t="s">
        <v>9558</v>
      </c>
      <c r="E853" s="57" t="s">
        <v>9559</v>
      </c>
      <c r="F853" s="57" t="s">
        <v>9564</v>
      </c>
      <c r="G853" t="s">
        <v>9565</v>
      </c>
      <c r="H853" s="54" t="s">
        <v>9561</v>
      </c>
    </row>
    <row r="854" spans="1:8" x14ac:dyDescent="0.35">
      <c r="A854" s="50" t="s">
        <v>7292</v>
      </c>
      <c r="B854" s="52" t="s">
        <v>7291</v>
      </c>
      <c r="C854" s="59" t="s">
        <v>9558</v>
      </c>
      <c r="E854" s="57" t="s">
        <v>9559</v>
      </c>
      <c r="F854" s="57" t="s">
        <v>9566</v>
      </c>
      <c r="G854" s="8" t="s">
        <v>9567</v>
      </c>
      <c r="H854" s="54" t="s">
        <v>9568</v>
      </c>
    </row>
    <row r="855" spans="1:8" x14ac:dyDescent="0.35">
      <c r="A855" s="50" t="s">
        <v>7292</v>
      </c>
      <c r="B855" s="52" t="s">
        <v>7291</v>
      </c>
      <c r="C855" s="59" t="s">
        <v>9558</v>
      </c>
      <c r="E855" s="57" t="s">
        <v>9559</v>
      </c>
      <c r="F855" s="57" t="s">
        <v>9569</v>
      </c>
      <c r="G855" s="8" t="s">
        <v>9570</v>
      </c>
      <c r="H855" s="54" t="s">
        <v>9571</v>
      </c>
    </row>
    <row r="856" spans="1:8" x14ac:dyDescent="0.35">
      <c r="A856" s="50" t="s">
        <v>4400</v>
      </c>
      <c r="B856" s="52" t="s">
        <v>4399</v>
      </c>
      <c r="C856" s="59" t="s">
        <v>10686</v>
      </c>
      <c r="E856" s="57" t="s">
        <v>10687</v>
      </c>
      <c r="F856" s="57" t="s">
        <v>10688</v>
      </c>
      <c r="G856" t="s">
        <v>2562</v>
      </c>
      <c r="H856" s="54" t="s">
        <v>10689</v>
      </c>
    </row>
    <row r="857" spans="1:8" x14ac:dyDescent="0.35">
      <c r="A857" s="50" t="s">
        <v>4400</v>
      </c>
      <c r="B857" s="52" t="s">
        <v>4399</v>
      </c>
      <c r="C857" s="59" t="s">
        <v>10686</v>
      </c>
      <c r="E857" s="57" t="s">
        <v>10687</v>
      </c>
      <c r="F857" s="57" t="s">
        <v>10690</v>
      </c>
      <c r="G857" t="s">
        <v>10691</v>
      </c>
      <c r="H857" s="54" t="s">
        <v>10689</v>
      </c>
    </row>
    <row r="858" spans="1:8" x14ac:dyDescent="0.35">
      <c r="A858" s="50" t="s">
        <v>4400</v>
      </c>
      <c r="B858" s="52" t="s">
        <v>4399</v>
      </c>
      <c r="C858" s="59" t="s">
        <v>10686</v>
      </c>
      <c r="E858" s="57" t="s">
        <v>10687</v>
      </c>
      <c r="F858" s="57" t="s">
        <v>10692</v>
      </c>
      <c r="G858" s="8" t="s">
        <v>10693</v>
      </c>
      <c r="H858" s="54" t="s">
        <v>10694</v>
      </c>
    </row>
    <row r="859" spans="1:8" x14ac:dyDescent="0.35">
      <c r="A859" s="50" t="s">
        <v>4400</v>
      </c>
      <c r="B859" s="52" t="s">
        <v>4399</v>
      </c>
      <c r="C859" s="59" t="s">
        <v>10686</v>
      </c>
      <c r="E859" s="57" t="s">
        <v>10687</v>
      </c>
      <c r="F859" s="57" t="s">
        <v>9560</v>
      </c>
      <c r="G859" s="8" t="s">
        <v>2523</v>
      </c>
      <c r="H859" s="54" t="s">
        <v>9561</v>
      </c>
    </row>
    <row r="860" spans="1:8" x14ac:dyDescent="0.35">
      <c r="A860" s="50" t="s">
        <v>4400</v>
      </c>
      <c r="B860" s="52" t="s">
        <v>4399</v>
      </c>
      <c r="C860" s="59" t="s">
        <v>10686</v>
      </c>
      <c r="E860" s="57" t="s">
        <v>10687</v>
      </c>
      <c r="F860" s="57" t="s">
        <v>9569</v>
      </c>
      <c r="G860" t="s">
        <v>9570</v>
      </c>
      <c r="H860" s="54" t="s">
        <v>9571</v>
      </c>
    </row>
    <row r="861" spans="1:8" x14ac:dyDescent="0.35">
      <c r="A861" s="50" t="s">
        <v>7385</v>
      </c>
      <c r="B861" s="52" t="s">
        <v>7384</v>
      </c>
      <c r="C861" s="59" t="s">
        <v>9516</v>
      </c>
      <c r="E861" s="57" t="s">
        <v>9517</v>
      </c>
      <c r="F861" s="57" t="s">
        <v>9518</v>
      </c>
      <c r="G861" s="8" t="s">
        <v>9519</v>
      </c>
      <c r="H861" s="54" t="s">
        <v>9520</v>
      </c>
    </row>
    <row r="862" spans="1:8" x14ac:dyDescent="0.35">
      <c r="A862" s="50" t="s">
        <v>6399</v>
      </c>
      <c r="B862" s="52" t="s">
        <v>6398</v>
      </c>
      <c r="C862" s="59" t="s">
        <v>9936</v>
      </c>
      <c r="E862" s="57" t="s">
        <v>9937</v>
      </c>
      <c r="F862" s="57" t="s">
        <v>9384</v>
      </c>
      <c r="G862" s="8" t="s">
        <v>3738</v>
      </c>
      <c r="H862" s="54" t="s">
        <v>4087</v>
      </c>
    </row>
    <row r="863" spans="1:8" x14ac:dyDescent="0.35">
      <c r="A863" s="50" t="s">
        <v>6399</v>
      </c>
      <c r="B863" s="52" t="s">
        <v>6398</v>
      </c>
      <c r="C863" s="59" t="s">
        <v>9936</v>
      </c>
      <c r="E863" s="57" t="s">
        <v>9937</v>
      </c>
      <c r="F863" s="57" t="s">
        <v>9938</v>
      </c>
      <c r="G863" t="s">
        <v>9939</v>
      </c>
      <c r="H863" s="54" t="s">
        <v>9940</v>
      </c>
    </row>
    <row r="864" spans="1:8" x14ac:dyDescent="0.35">
      <c r="A864" s="50" t="s">
        <v>6399</v>
      </c>
      <c r="B864" s="52" t="s">
        <v>6398</v>
      </c>
      <c r="C864" s="59" t="s">
        <v>9936</v>
      </c>
      <c r="E864" s="57" t="s">
        <v>9937</v>
      </c>
      <c r="F864" s="57" t="s">
        <v>9941</v>
      </c>
      <c r="G864" s="8" t="s">
        <v>9942</v>
      </c>
      <c r="H864" s="54" t="s">
        <v>9943</v>
      </c>
    </row>
    <row r="865" spans="1:8" x14ac:dyDescent="0.35">
      <c r="A865" s="50" t="s">
        <v>5689</v>
      </c>
      <c r="B865" s="52" t="s">
        <v>5688</v>
      </c>
      <c r="C865" s="59" t="s">
        <v>9936</v>
      </c>
      <c r="E865" s="57" t="s">
        <v>9937</v>
      </c>
      <c r="F865" s="57" t="s">
        <v>9384</v>
      </c>
      <c r="G865" t="s">
        <v>3738</v>
      </c>
      <c r="H865" s="54" t="s">
        <v>4087</v>
      </c>
    </row>
    <row r="866" spans="1:8" x14ac:dyDescent="0.35">
      <c r="A866" s="50" t="s">
        <v>5689</v>
      </c>
      <c r="B866" s="52" t="s">
        <v>5688</v>
      </c>
      <c r="C866" s="59" t="s">
        <v>9936</v>
      </c>
      <c r="E866" s="57" t="s">
        <v>9937</v>
      </c>
      <c r="F866" s="57" t="s">
        <v>9938</v>
      </c>
      <c r="G866" t="s">
        <v>9939</v>
      </c>
      <c r="H866" s="54" t="s">
        <v>9940</v>
      </c>
    </row>
    <row r="867" spans="1:8" x14ac:dyDescent="0.35">
      <c r="A867" s="50" t="s">
        <v>5689</v>
      </c>
      <c r="B867" s="52" t="s">
        <v>5688</v>
      </c>
      <c r="C867" s="59" t="s">
        <v>9936</v>
      </c>
      <c r="E867" s="57" t="s">
        <v>9937</v>
      </c>
      <c r="F867" s="57" t="s">
        <v>9941</v>
      </c>
      <c r="G867" t="s">
        <v>9942</v>
      </c>
      <c r="H867" s="54" t="s">
        <v>9943</v>
      </c>
    </row>
    <row r="868" spans="1:8" x14ac:dyDescent="0.35">
      <c r="A868" s="50" t="s">
        <v>5464</v>
      </c>
      <c r="B868" s="52" t="s">
        <v>5463</v>
      </c>
      <c r="C868" s="59" t="s">
        <v>10249</v>
      </c>
      <c r="E868" s="57" t="s">
        <v>10250</v>
      </c>
      <c r="F868" s="57" t="s">
        <v>10251</v>
      </c>
      <c r="G868" t="s">
        <v>1316</v>
      </c>
      <c r="H868" s="54" t="s">
        <v>4125</v>
      </c>
    </row>
    <row r="869" spans="1:8" x14ac:dyDescent="0.35">
      <c r="A869" s="50" t="s">
        <v>5464</v>
      </c>
      <c r="B869" s="52" t="s">
        <v>5463</v>
      </c>
      <c r="C869" s="59" t="s">
        <v>10249</v>
      </c>
      <c r="E869" s="57" t="s">
        <v>10250</v>
      </c>
      <c r="F869" s="57" t="s">
        <v>10252</v>
      </c>
      <c r="G869" t="s">
        <v>1317</v>
      </c>
      <c r="H869" s="54" t="s">
        <v>4126</v>
      </c>
    </row>
    <row r="870" spans="1:8" x14ac:dyDescent="0.35">
      <c r="A870" s="50" t="s">
        <v>5464</v>
      </c>
      <c r="B870" s="52" t="s">
        <v>5463</v>
      </c>
      <c r="C870" s="59" t="s">
        <v>10249</v>
      </c>
      <c r="E870" s="57" t="s">
        <v>10250</v>
      </c>
      <c r="F870" s="57" t="s">
        <v>10253</v>
      </c>
      <c r="G870" s="8" t="s">
        <v>1318</v>
      </c>
      <c r="H870" s="54" t="s">
        <v>4127</v>
      </c>
    </row>
    <row r="871" spans="1:8" x14ac:dyDescent="0.35">
      <c r="A871" s="50" t="s">
        <v>7761</v>
      </c>
      <c r="B871" s="52" t="s">
        <v>7760</v>
      </c>
      <c r="C871" s="59" t="s">
        <v>9387</v>
      </c>
      <c r="E871" s="57" t="s">
        <v>9388</v>
      </c>
      <c r="F871" s="57" t="s">
        <v>9384</v>
      </c>
      <c r="G871" t="s">
        <v>3738</v>
      </c>
      <c r="H871" s="54" t="s">
        <v>4087</v>
      </c>
    </row>
    <row r="872" spans="1:8" x14ac:dyDescent="0.35">
      <c r="A872" s="50" t="s">
        <v>7761</v>
      </c>
      <c r="B872" s="52" t="s">
        <v>7760</v>
      </c>
      <c r="C872" s="59" t="s">
        <v>9387</v>
      </c>
      <c r="E872" s="57" t="s">
        <v>9388</v>
      </c>
      <c r="F872" s="57" t="s">
        <v>9389</v>
      </c>
      <c r="G872" t="s">
        <v>9390</v>
      </c>
      <c r="H872" s="54" t="s">
        <v>9391</v>
      </c>
    </row>
    <row r="873" spans="1:8" x14ac:dyDescent="0.35">
      <c r="A873" s="50" t="s">
        <v>7761</v>
      </c>
      <c r="B873" s="52" t="s">
        <v>7760</v>
      </c>
      <c r="C873" s="59" t="s">
        <v>9387</v>
      </c>
      <c r="E873" s="57" t="s">
        <v>9388</v>
      </c>
      <c r="F873" s="57" t="s">
        <v>9392</v>
      </c>
      <c r="G873" t="s">
        <v>9393</v>
      </c>
      <c r="H873" s="54" t="s">
        <v>9394</v>
      </c>
    </row>
    <row r="874" spans="1:8" x14ac:dyDescent="0.35">
      <c r="A874" s="50" t="s">
        <v>7761</v>
      </c>
      <c r="B874" s="52" t="s">
        <v>7760</v>
      </c>
      <c r="C874" s="59" t="s">
        <v>9387</v>
      </c>
      <c r="E874" s="57" t="s">
        <v>9388</v>
      </c>
      <c r="F874" s="57" t="s">
        <v>9395</v>
      </c>
      <c r="G874" t="s">
        <v>9396</v>
      </c>
      <c r="H874" s="54" t="s">
        <v>9397</v>
      </c>
    </row>
    <row r="875" spans="1:8" x14ac:dyDescent="0.35">
      <c r="A875" s="50" t="s">
        <v>7863</v>
      </c>
      <c r="B875" s="52" t="s">
        <v>7862</v>
      </c>
      <c r="C875" s="59" t="s">
        <v>9310</v>
      </c>
      <c r="E875" s="57" t="s">
        <v>9311</v>
      </c>
      <c r="F875" s="57" t="s">
        <v>9312</v>
      </c>
      <c r="G875" t="s">
        <v>3764</v>
      </c>
      <c r="H875" s="54" t="s">
        <v>9313</v>
      </c>
    </row>
    <row r="876" spans="1:8" x14ac:dyDescent="0.35">
      <c r="A876" s="50" t="s">
        <v>7093</v>
      </c>
      <c r="B876" s="52" t="s">
        <v>7092</v>
      </c>
      <c r="C876" s="59" t="s">
        <v>9641</v>
      </c>
      <c r="E876" s="57" t="s">
        <v>9642</v>
      </c>
      <c r="F876" s="57" t="s">
        <v>9643</v>
      </c>
      <c r="G876" s="8" t="s">
        <v>9644</v>
      </c>
      <c r="H876" s="54" t="s">
        <v>9645</v>
      </c>
    </row>
    <row r="877" spans="1:8" x14ac:dyDescent="0.35">
      <c r="A877" s="50" t="s">
        <v>7093</v>
      </c>
      <c r="B877" s="52" t="s">
        <v>7092</v>
      </c>
      <c r="C877" s="59" t="s">
        <v>9641</v>
      </c>
      <c r="E877" s="57" t="s">
        <v>9642</v>
      </c>
      <c r="F877" s="57" t="s">
        <v>9646</v>
      </c>
      <c r="G877" s="8" t="s">
        <v>9647</v>
      </c>
      <c r="H877" s="54" t="s">
        <v>9648</v>
      </c>
    </row>
    <row r="878" spans="1:8" x14ac:dyDescent="0.35">
      <c r="A878" s="50" t="s">
        <v>7093</v>
      </c>
      <c r="B878" s="52" t="s">
        <v>7092</v>
      </c>
      <c r="C878" s="59" t="s">
        <v>9641</v>
      </c>
      <c r="E878" s="57" t="s">
        <v>9642</v>
      </c>
      <c r="F878" s="57" t="s">
        <v>9649</v>
      </c>
      <c r="G878" t="s">
        <v>9650</v>
      </c>
      <c r="H878" s="54" t="s">
        <v>9651</v>
      </c>
    </row>
    <row r="879" spans="1:8" x14ac:dyDescent="0.35">
      <c r="A879" s="50" t="s">
        <v>7093</v>
      </c>
      <c r="B879" s="52" t="s">
        <v>7092</v>
      </c>
      <c r="C879" s="59" t="s">
        <v>9641</v>
      </c>
      <c r="E879" s="57" t="s">
        <v>9642</v>
      </c>
      <c r="F879" s="57" t="s">
        <v>9652</v>
      </c>
      <c r="G879" t="s">
        <v>9653</v>
      </c>
      <c r="H879" s="54" t="s">
        <v>9654</v>
      </c>
    </row>
    <row r="880" spans="1:8" x14ac:dyDescent="0.35">
      <c r="A880" s="50" t="s">
        <v>7093</v>
      </c>
      <c r="B880" s="52" t="s">
        <v>7092</v>
      </c>
      <c r="C880" s="59" t="s">
        <v>9641</v>
      </c>
      <c r="E880" s="57" t="s">
        <v>9642</v>
      </c>
      <c r="F880" s="57" t="s">
        <v>9655</v>
      </c>
      <c r="G880" t="s">
        <v>9644</v>
      </c>
      <c r="H880" s="54" t="s">
        <v>9656</v>
      </c>
    </row>
    <row r="881" spans="1:8" x14ac:dyDescent="0.35">
      <c r="A881" s="50" t="s">
        <v>7093</v>
      </c>
      <c r="B881" s="52" t="s">
        <v>7092</v>
      </c>
      <c r="C881" s="59" t="s">
        <v>9641</v>
      </c>
      <c r="E881" s="57" t="s">
        <v>9642</v>
      </c>
      <c r="F881" s="57" t="s">
        <v>9657</v>
      </c>
      <c r="G881" s="8" t="s">
        <v>9658</v>
      </c>
      <c r="H881" s="54" t="s">
        <v>9659</v>
      </c>
    </row>
    <row r="882" spans="1:8" x14ac:dyDescent="0.35">
      <c r="A882" s="50" t="s">
        <v>7093</v>
      </c>
      <c r="B882" s="52" t="s">
        <v>7092</v>
      </c>
      <c r="C882" s="59" t="s">
        <v>9641</v>
      </c>
      <c r="E882" s="57" t="s">
        <v>9642</v>
      </c>
      <c r="F882" s="57" t="s">
        <v>9660</v>
      </c>
      <c r="G882" t="s">
        <v>9661</v>
      </c>
      <c r="H882" s="54" t="s">
        <v>9662</v>
      </c>
    </row>
    <row r="883" spans="1:8" x14ac:dyDescent="0.35">
      <c r="A883" s="50" t="s">
        <v>7093</v>
      </c>
      <c r="B883" s="52" t="s">
        <v>7092</v>
      </c>
      <c r="C883" s="59" t="s">
        <v>9641</v>
      </c>
      <c r="E883" s="57" t="s">
        <v>9642</v>
      </c>
      <c r="F883" s="57" t="s">
        <v>9663</v>
      </c>
      <c r="G883" t="s">
        <v>9664</v>
      </c>
      <c r="H883" s="54" t="s">
        <v>9665</v>
      </c>
    </row>
    <row r="884" spans="1:8" x14ac:dyDescent="0.35">
      <c r="A884" s="50" t="s">
        <v>7787</v>
      </c>
      <c r="B884" s="52" t="s">
        <v>7786</v>
      </c>
      <c r="C884" s="59" t="s">
        <v>9375</v>
      </c>
      <c r="E884" s="57" t="s">
        <v>9376</v>
      </c>
      <c r="F884" s="57" t="s">
        <v>9377</v>
      </c>
      <c r="G884" s="8" t="s">
        <v>9378</v>
      </c>
      <c r="H884" s="54" t="s">
        <v>4129</v>
      </c>
    </row>
    <row r="885" spans="1:8" x14ac:dyDescent="0.35">
      <c r="A885" s="50" t="s">
        <v>7244</v>
      </c>
      <c r="B885" s="52" t="s">
        <v>7243</v>
      </c>
      <c r="C885" s="59" t="s">
        <v>9578</v>
      </c>
      <c r="E885" s="57" t="s">
        <v>9579</v>
      </c>
      <c r="F885" s="57" t="s">
        <v>9580</v>
      </c>
      <c r="G885" s="8" t="s">
        <v>9581</v>
      </c>
      <c r="H885" s="54" t="s">
        <v>9582</v>
      </c>
    </row>
    <row r="886" spans="1:8" x14ac:dyDescent="0.35">
      <c r="A886" s="50" t="s">
        <v>6296</v>
      </c>
      <c r="B886" s="52" t="s">
        <v>6295</v>
      </c>
      <c r="C886" s="59" t="s">
        <v>9977</v>
      </c>
    </row>
    <row r="887" spans="1:8" x14ac:dyDescent="0.35">
      <c r="A887" s="50" t="s">
        <v>7780</v>
      </c>
      <c r="B887" s="52" t="s">
        <v>7779</v>
      </c>
      <c r="C887" s="59" t="s">
        <v>9379</v>
      </c>
      <c r="E887" s="57" t="s">
        <v>9380</v>
      </c>
      <c r="F887" s="57" t="s">
        <v>9381</v>
      </c>
      <c r="G887" s="8" t="s">
        <v>1320</v>
      </c>
      <c r="H887" s="54" t="s">
        <v>1321</v>
      </c>
    </row>
    <row r="888" spans="1:8" x14ac:dyDescent="0.35">
      <c r="A888" s="50" t="s">
        <v>7514</v>
      </c>
      <c r="B888" s="52" t="s">
        <v>7513</v>
      </c>
      <c r="C888" s="59" t="s">
        <v>9455</v>
      </c>
      <c r="E888" s="57" t="s">
        <v>9456</v>
      </c>
      <c r="F888" s="57" t="s">
        <v>9457</v>
      </c>
      <c r="G888" t="s">
        <v>1322</v>
      </c>
      <c r="H888" s="54" t="s">
        <v>1323</v>
      </c>
    </row>
    <row r="889" spans="1:8" x14ac:dyDescent="0.35">
      <c r="A889" s="50" t="s">
        <v>7512</v>
      </c>
      <c r="B889" s="52" t="s">
        <v>7511</v>
      </c>
      <c r="C889" s="59" t="s">
        <v>9458</v>
      </c>
      <c r="E889" s="57" t="s">
        <v>9459</v>
      </c>
      <c r="F889" s="57" t="s">
        <v>9460</v>
      </c>
      <c r="G889" s="8" t="s">
        <v>1324</v>
      </c>
      <c r="H889" s="54" t="s">
        <v>1305</v>
      </c>
    </row>
    <row r="890" spans="1:8" x14ac:dyDescent="0.35">
      <c r="A890" s="50" t="s">
        <v>6991</v>
      </c>
      <c r="B890" s="52" t="s">
        <v>6990</v>
      </c>
      <c r="C890" s="59" t="s">
        <v>9697</v>
      </c>
    </row>
    <row r="891" spans="1:8" x14ac:dyDescent="0.35">
      <c r="A891" s="50" t="s">
        <v>4353</v>
      </c>
      <c r="B891" s="52" t="s">
        <v>4352</v>
      </c>
      <c r="C891" s="59" t="s">
        <v>9697</v>
      </c>
    </row>
    <row r="892" spans="1:8" x14ac:dyDescent="0.35">
      <c r="A892" s="50" t="s">
        <v>6533</v>
      </c>
      <c r="B892" s="52" t="s">
        <v>6532</v>
      </c>
      <c r="C892" s="59" t="s">
        <v>9911</v>
      </c>
      <c r="E892" s="57" t="s">
        <v>9912</v>
      </c>
      <c r="F892" s="57" t="s">
        <v>9913</v>
      </c>
      <c r="G892" s="8" t="s">
        <v>1325</v>
      </c>
      <c r="H892" s="54" t="s">
        <v>1326</v>
      </c>
    </row>
    <row r="893" spans="1:8" x14ac:dyDescent="0.35">
      <c r="A893" s="50" t="s">
        <v>5069</v>
      </c>
      <c r="B893" s="52" t="s">
        <v>5068</v>
      </c>
      <c r="C893" s="59" t="s">
        <v>10479</v>
      </c>
      <c r="E893" s="57" t="s">
        <v>10480</v>
      </c>
      <c r="F893" s="57" t="s">
        <v>10481</v>
      </c>
      <c r="G893" t="s">
        <v>1329</v>
      </c>
      <c r="H893" s="54" t="s">
        <v>1330</v>
      </c>
    </row>
    <row r="894" spans="1:8" x14ac:dyDescent="0.35">
      <c r="A894" s="50" t="s">
        <v>5069</v>
      </c>
      <c r="B894" s="52" t="s">
        <v>5068</v>
      </c>
      <c r="C894" s="59" t="s">
        <v>10479</v>
      </c>
      <c r="E894" s="57" t="s">
        <v>10480</v>
      </c>
      <c r="F894" s="57" t="s">
        <v>10482</v>
      </c>
      <c r="G894" t="s">
        <v>1327</v>
      </c>
      <c r="H894" s="54" t="s">
        <v>1331</v>
      </c>
    </row>
    <row r="895" spans="1:8" x14ac:dyDescent="0.35">
      <c r="A895" s="50" t="s">
        <v>5069</v>
      </c>
      <c r="B895" s="52" t="s">
        <v>5068</v>
      </c>
      <c r="C895" s="59" t="s">
        <v>10479</v>
      </c>
      <c r="E895" s="57" t="s">
        <v>10480</v>
      </c>
      <c r="F895" s="57" t="s">
        <v>10483</v>
      </c>
      <c r="G895" s="8" t="s">
        <v>1332</v>
      </c>
      <c r="H895" s="54" t="s">
        <v>1333</v>
      </c>
    </row>
    <row r="896" spans="1:8" x14ac:dyDescent="0.35">
      <c r="A896" s="50" t="s">
        <v>8542</v>
      </c>
      <c r="B896" s="52" t="s">
        <v>8541</v>
      </c>
      <c r="C896" s="59" t="s">
        <v>9043</v>
      </c>
      <c r="E896" s="57" t="s">
        <v>9044</v>
      </c>
      <c r="F896" s="57" t="s">
        <v>9045</v>
      </c>
      <c r="G896" s="56" t="s">
        <v>9046</v>
      </c>
      <c r="H896" s="54" t="s">
        <v>9047</v>
      </c>
    </row>
    <row r="897" spans="1:8" x14ac:dyDescent="0.35">
      <c r="A897" s="50" t="s">
        <v>8542</v>
      </c>
      <c r="B897" s="52" t="s">
        <v>8541</v>
      </c>
      <c r="C897" s="59" t="s">
        <v>9043</v>
      </c>
      <c r="E897" s="57" t="s">
        <v>9044</v>
      </c>
      <c r="F897" s="57" t="s">
        <v>9048</v>
      </c>
      <c r="G897" t="s">
        <v>2577</v>
      </c>
      <c r="H897" s="54" t="s">
        <v>9049</v>
      </c>
    </row>
    <row r="898" spans="1:8" x14ac:dyDescent="0.35">
      <c r="A898" s="50" t="s">
        <v>8236</v>
      </c>
      <c r="B898" s="52" t="s">
        <v>8235</v>
      </c>
      <c r="C898" s="59" t="s">
        <v>9123</v>
      </c>
      <c r="E898" s="57" t="s">
        <v>9124</v>
      </c>
      <c r="F898" s="57" t="s">
        <v>9125</v>
      </c>
      <c r="G898" t="s">
        <v>1334</v>
      </c>
      <c r="H898" s="54" t="s">
        <v>1335</v>
      </c>
    </row>
    <row r="899" spans="1:8" x14ac:dyDescent="0.35">
      <c r="A899" s="50" t="s">
        <v>7289</v>
      </c>
      <c r="B899" s="52" t="s">
        <v>7288</v>
      </c>
      <c r="C899" s="59" t="s">
        <v>9123</v>
      </c>
      <c r="E899" s="57" t="s">
        <v>9124</v>
      </c>
      <c r="F899" s="57" t="s">
        <v>9125</v>
      </c>
      <c r="G899" t="s">
        <v>1334</v>
      </c>
      <c r="H899" s="54" t="s">
        <v>1335</v>
      </c>
    </row>
    <row r="900" spans="1:8" x14ac:dyDescent="0.35">
      <c r="A900" s="50" t="s">
        <v>7110</v>
      </c>
      <c r="B900" s="52" t="s">
        <v>7109</v>
      </c>
      <c r="C900" s="59" t="s">
        <v>9123</v>
      </c>
      <c r="E900" s="57" t="s">
        <v>9124</v>
      </c>
      <c r="F900" s="57" t="s">
        <v>9125</v>
      </c>
      <c r="G900" s="8" t="s">
        <v>1334</v>
      </c>
      <c r="H900" s="54" t="s">
        <v>1335</v>
      </c>
    </row>
    <row r="901" spans="1:8" x14ac:dyDescent="0.35">
      <c r="A901" s="50" t="s">
        <v>6137</v>
      </c>
      <c r="B901" s="52" t="s">
        <v>6136</v>
      </c>
      <c r="C901" s="59" t="s">
        <v>9123</v>
      </c>
      <c r="E901" s="57" t="s">
        <v>9124</v>
      </c>
      <c r="F901" s="57" t="s">
        <v>9125</v>
      </c>
      <c r="G901" t="s">
        <v>1334</v>
      </c>
      <c r="H901" s="54" t="s">
        <v>1335</v>
      </c>
    </row>
    <row r="902" spans="1:8" x14ac:dyDescent="0.35">
      <c r="A902" s="50" t="s">
        <v>6655</v>
      </c>
      <c r="B902" s="52" t="s">
        <v>6654</v>
      </c>
      <c r="C902" s="59" t="s">
        <v>9835</v>
      </c>
      <c r="E902" s="57" t="s">
        <v>9836</v>
      </c>
      <c r="F902" s="57" t="s">
        <v>9837</v>
      </c>
      <c r="G902" t="s">
        <v>1336</v>
      </c>
      <c r="H902" s="54" t="s">
        <v>1337</v>
      </c>
    </row>
    <row r="903" spans="1:8" x14ac:dyDescent="0.35">
      <c r="A903" s="50" t="s">
        <v>5693</v>
      </c>
      <c r="B903" s="52" t="s">
        <v>5692</v>
      </c>
      <c r="C903" s="59" t="s">
        <v>10125</v>
      </c>
      <c r="E903" s="57" t="s">
        <v>10126</v>
      </c>
      <c r="F903" s="57" t="s">
        <v>10127</v>
      </c>
      <c r="G903" t="s">
        <v>9935</v>
      </c>
      <c r="H903" s="54" t="s">
        <v>10128</v>
      </c>
    </row>
    <row r="904" spans="1:8" x14ac:dyDescent="0.35">
      <c r="A904" s="50" t="s">
        <v>5693</v>
      </c>
      <c r="B904" s="52" t="s">
        <v>5692</v>
      </c>
      <c r="C904" s="59" t="s">
        <v>10129</v>
      </c>
      <c r="E904" s="57" t="s">
        <v>10130</v>
      </c>
      <c r="F904" s="57" t="s">
        <v>10131</v>
      </c>
      <c r="G904" t="s">
        <v>10132</v>
      </c>
      <c r="H904" s="54" t="s">
        <v>10133</v>
      </c>
    </row>
    <row r="905" spans="1:8" x14ac:dyDescent="0.35">
      <c r="A905" s="50" t="s">
        <v>5030</v>
      </c>
      <c r="B905" s="52" t="s">
        <v>5029</v>
      </c>
      <c r="C905" s="59" t="s">
        <v>10514</v>
      </c>
      <c r="E905" s="57" t="s">
        <v>10515</v>
      </c>
      <c r="F905" s="57" t="s">
        <v>10516</v>
      </c>
      <c r="G905" t="s">
        <v>1338</v>
      </c>
      <c r="H905" s="54" t="s">
        <v>1325</v>
      </c>
    </row>
    <row r="906" spans="1:8" x14ac:dyDescent="0.35">
      <c r="A906" s="50" t="s">
        <v>5030</v>
      </c>
      <c r="B906" s="52" t="s">
        <v>5029</v>
      </c>
      <c r="C906" s="59" t="s">
        <v>10514</v>
      </c>
      <c r="E906" s="57" t="s">
        <v>10515</v>
      </c>
      <c r="F906" s="57" t="s">
        <v>10517</v>
      </c>
      <c r="G906" t="s">
        <v>1339</v>
      </c>
      <c r="H906" s="54" t="s">
        <v>1340</v>
      </c>
    </row>
    <row r="907" spans="1:8" x14ac:dyDescent="0.35">
      <c r="A907" s="50" t="s">
        <v>8056</v>
      </c>
      <c r="B907" s="52" t="s">
        <v>8055</v>
      </c>
      <c r="C907" s="59" t="s">
        <v>9202</v>
      </c>
      <c r="E907" s="57" t="s">
        <v>9203</v>
      </c>
      <c r="F907" s="57" t="s">
        <v>9204</v>
      </c>
      <c r="G907" s="8" t="s">
        <v>9205</v>
      </c>
      <c r="H907" s="54" t="s">
        <v>1342</v>
      </c>
    </row>
    <row r="908" spans="1:8" x14ac:dyDescent="0.35">
      <c r="A908" s="50" t="s">
        <v>8056</v>
      </c>
      <c r="B908" s="52" t="s">
        <v>8055</v>
      </c>
      <c r="C908" s="59" t="s">
        <v>9202</v>
      </c>
      <c r="E908" s="57" t="s">
        <v>9203</v>
      </c>
      <c r="F908" s="57" t="s">
        <v>9206</v>
      </c>
      <c r="G908" s="8" t="s">
        <v>1343</v>
      </c>
      <c r="H908" s="54" t="s">
        <v>1344</v>
      </c>
    </row>
    <row r="909" spans="1:8" x14ac:dyDescent="0.35">
      <c r="A909" s="50" t="s">
        <v>8056</v>
      </c>
      <c r="B909" s="52" t="s">
        <v>8055</v>
      </c>
      <c r="C909" s="59" t="s">
        <v>9202</v>
      </c>
      <c r="E909" s="57" t="s">
        <v>9203</v>
      </c>
      <c r="F909" s="57" t="s">
        <v>9207</v>
      </c>
      <c r="G909" t="s">
        <v>1341</v>
      </c>
      <c r="H909" s="54" t="s">
        <v>1345</v>
      </c>
    </row>
    <row r="910" spans="1:8" x14ac:dyDescent="0.35">
      <c r="A910" s="50" t="s">
        <v>8056</v>
      </c>
      <c r="B910" s="52" t="s">
        <v>8055</v>
      </c>
      <c r="C910" s="59" t="s">
        <v>9202</v>
      </c>
      <c r="E910" s="57" t="s">
        <v>9203</v>
      </c>
      <c r="F910" s="57" t="s">
        <v>9208</v>
      </c>
      <c r="G910" t="s">
        <v>1345</v>
      </c>
      <c r="H910" s="54" t="s">
        <v>1342</v>
      </c>
    </row>
    <row r="911" spans="1:8" x14ac:dyDescent="0.35">
      <c r="A911" s="50" t="s">
        <v>8056</v>
      </c>
      <c r="B911" s="52" t="s">
        <v>8055</v>
      </c>
      <c r="C911" s="59" t="s">
        <v>9202</v>
      </c>
      <c r="E911" s="57" t="s">
        <v>9203</v>
      </c>
      <c r="F911" s="57" t="s">
        <v>9209</v>
      </c>
      <c r="G911" t="s">
        <v>1341</v>
      </c>
      <c r="H911" s="54" t="s">
        <v>1344</v>
      </c>
    </row>
    <row r="912" spans="1:8" x14ac:dyDescent="0.35">
      <c r="A912" s="50" t="s">
        <v>7855</v>
      </c>
      <c r="B912" s="52" t="s">
        <v>7854</v>
      </c>
      <c r="C912" s="59" t="s">
        <v>9322</v>
      </c>
      <c r="E912" s="57" t="s">
        <v>9323</v>
      </c>
      <c r="F912" s="57" t="s">
        <v>9324</v>
      </c>
      <c r="G912" s="8" t="s">
        <v>1352</v>
      </c>
      <c r="H912" s="54" t="s">
        <v>1353</v>
      </c>
    </row>
    <row r="913" spans="1:8" x14ac:dyDescent="0.35">
      <c r="A913" s="50" t="s">
        <v>5100</v>
      </c>
      <c r="B913" s="52" t="s">
        <v>5099</v>
      </c>
      <c r="C913" s="59" t="s">
        <v>10469</v>
      </c>
      <c r="E913" s="57" t="s">
        <v>10470</v>
      </c>
    </row>
    <row r="914" spans="1:8" x14ac:dyDescent="0.35">
      <c r="A914" s="50" t="s">
        <v>5041</v>
      </c>
      <c r="B914" s="52" t="s">
        <v>5040</v>
      </c>
      <c r="C914" s="59" t="s">
        <v>10505</v>
      </c>
      <c r="E914" s="57" t="s">
        <v>10506</v>
      </c>
      <c r="F914" s="57" t="s">
        <v>10507</v>
      </c>
      <c r="G914" t="s">
        <v>2405</v>
      </c>
      <c r="H914" s="54" t="s">
        <v>1343</v>
      </c>
    </row>
    <row r="915" spans="1:8" x14ac:dyDescent="0.35">
      <c r="A915" s="50" t="s">
        <v>5041</v>
      </c>
      <c r="B915" s="52" t="s">
        <v>5040</v>
      </c>
      <c r="C915" s="59" t="s">
        <v>10505</v>
      </c>
      <c r="E915" s="57" t="s">
        <v>10506</v>
      </c>
      <c r="F915" s="57" t="s">
        <v>10508</v>
      </c>
      <c r="G915" t="s">
        <v>2405</v>
      </c>
      <c r="H915" s="54" t="s">
        <v>1341</v>
      </c>
    </row>
    <row r="916" spans="1:8" x14ac:dyDescent="0.35">
      <c r="A916" s="50" t="s">
        <v>5041</v>
      </c>
      <c r="B916" s="52" t="s">
        <v>5040</v>
      </c>
      <c r="C916" s="59" t="s">
        <v>10505</v>
      </c>
      <c r="E916" s="57" t="s">
        <v>10506</v>
      </c>
      <c r="F916" s="57" t="s">
        <v>10509</v>
      </c>
      <c r="G916" t="s">
        <v>10510</v>
      </c>
      <c r="H916" s="54" t="s">
        <v>1338</v>
      </c>
    </row>
    <row r="917" spans="1:8" x14ac:dyDescent="0.35">
      <c r="A917" s="50" t="s">
        <v>5041</v>
      </c>
      <c r="B917" s="52" t="s">
        <v>5040</v>
      </c>
      <c r="C917" s="59" t="s">
        <v>10505</v>
      </c>
      <c r="E917" s="57" t="s">
        <v>10506</v>
      </c>
      <c r="F917" s="57" t="s">
        <v>10511</v>
      </c>
      <c r="G917" t="s">
        <v>10512</v>
      </c>
      <c r="H917" s="54" t="s">
        <v>10513</v>
      </c>
    </row>
    <row r="918" spans="1:8" x14ac:dyDescent="0.35">
      <c r="A918" s="50" t="s">
        <v>6582</v>
      </c>
      <c r="B918" s="52" t="s">
        <v>6581</v>
      </c>
      <c r="C918" s="59" t="s">
        <v>9897</v>
      </c>
    </row>
    <row r="919" spans="1:8" x14ac:dyDescent="0.35">
      <c r="A919" s="50" t="s">
        <v>5644</v>
      </c>
      <c r="B919" s="52" t="s">
        <v>5643</v>
      </c>
      <c r="C919" s="59" t="s">
        <v>9897</v>
      </c>
    </row>
    <row r="920" spans="1:8" x14ac:dyDescent="0.35">
      <c r="A920" s="50" t="s">
        <v>4997</v>
      </c>
      <c r="B920" s="52" t="s">
        <v>4996</v>
      </c>
      <c r="C920" s="59" t="s">
        <v>10526</v>
      </c>
      <c r="E920" s="57" t="s">
        <v>10527</v>
      </c>
      <c r="F920" s="57" t="s">
        <v>10528</v>
      </c>
      <c r="G920" s="8" t="s">
        <v>1355</v>
      </c>
      <c r="H920" s="54" t="s">
        <v>1356</v>
      </c>
    </row>
    <row r="921" spans="1:8" x14ac:dyDescent="0.35">
      <c r="A921" s="50" t="s">
        <v>7722</v>
      </c>
      <c r="B921" s="52" t="s">
        <v>7721</v>
      </c>
      <c r="C921" s="59" t="s">
        <v>9409</v>
      </c>
      <c r="E921" s="57" t="s">
        <v>9410</v>
      </c>
      <c r="F921" s="57" t="s">
        <v>9411</v>
      </c>
      <c r="G921" s="8" t="s">
        <v>1307</v>
      </c>
      <c r="H921" s="54" t="s">
        <v>1306</v>
      </c>
    </row>
    <row r="922" spans="1:8" x14ac:dyDescent="0.35">
      <c r="A922" s="50" t="s">
        <v>5018</v>
      </c>
      <c r="B922" s="52" t="s">
        <v>5017</v>
      </c>
      <c r="C922" s="59" t="s">
        <v>10524</v>
      </c>
      <c r="E922" s="57" t="s">
        <v>10525</v>
      </c>
    </row>
    <row r="923" spans="1:8" x14ac:dyDescent="0.35">
      <c r="A923" s="50" t="s">
        <v>8287</v>
      </c>
      <c r="B923" s="52" t="s">
        <v>8286</v>
      </c>
      <c r="C923" s="59" t="s">
        <v>9104</v>
      </c>
      <c r="E923" s="57" t="s">
        <v>9105</v>
      </c>
    </row>
    <row r="924" spans="1:8" x14ac:dyDescent="0.35">
      <c r="A924" s="50" t="s">
        <v>4558</v>
      </c>
      <c r="B924" s="52" t="s">
        <v>4557</v>
      </c>
      <c r="C924" s="59" t="s">
        <v>10648</v>
      </c>
      <c r="E924" s="57" t="s">
        <v>10649</v>
      </c>
      <c r="F924" s="57" t="s">
        <v>10650</v>
      </c>
      <c r="G924" s="8" t="s">
        <v>1330</v>
      </c>
      <c r="H924" s="54" t="s">
        <v>10651</v>
      </c>
    </row>
    <row r="925" spans="1:8" x14ac:dyDescent="0.35">
      <c r="A925" s="50" t="s">
        <v>4558</v>
      </c>
      <c r="B925" s="52" t="s">
        <v>4557</v>
      </c>
      <c r="C925" s="59" t="s">
        <v>10648</v>
      </c>
      <c r="E925" s="57" t="s">
        <v>10649</v>
      </c>
      <c r="F925" s="57" t="s">
        <v>10652</v>
      </c>
      <c r="G925" s="8" t="s">
        <v>10653</v>
      </c>
      <c r="H925" s="54" t="s">
        <v>10654</v>
      </c>
    </row>
    <row r="926" spans="1:8" x14ac:dyDescent="0.35">
      <c r="A926" s="50" t="s">
        <v>8505</v>
      </c>
      <c r="B926" s="52" t="s">
        <v>8504</v>
      </c>
      <c r="C926" s="59" t="s">
        <v>9061</v>
      </c>
      <c r="E926" s="57" t="s">
        <v>9062</v>
      </c>
    </row>
    <row r="927" spans="1:8" x14ac:dyDescent="0.35">
      <c r="A927" s="50" t="s">
        <v>6221</v>
      </c>
      <c r="B927" s="52" t="s">
        <v>6220</v>
      </c>
      <c r="C927" s="59" t="s">
        <v>9061</v>
      </c>
      <c r="E927" s="57" t="s">
        <v>9062</v>
      </c>
    </row>
    <row r="928" spans="1:8" x14ac:dyDescent="0.35">
      <c r="A928" s="50" t="s">
        <v>8862</v>
      </c>
      <c r="B928" s="52" t="s">
        <v>8861</v>
      </c>
      <c r="C928" s="59" t="s">
        <v>1280</v>
      </c>
      <c r="E928" s="57" t="s">
        <v>8884</v>
      </c>
    </row>
    <row r="929" spans="1:8" x14ac:dyDescent="0.35">
      <c r="A929" s="50" t="s">
        <v>8860</v>
      </c>
      <c r="B929" s="52" t="s">
        <v>8859</v>
      </c>
      <c r="C929" s="59" t="s">
        <v>1280</v>
      </c>
      <c r="E929" s="57" t="s">
        <v>8884</v>
      </c>
      <c r="F929" s="57"/>
    </row>
    <row r="930" spans="1:8" x14ac:dyDescent="0.35">
      <c r="A930" s="50" t="s">
        <v>6119</v>
      </c>
      <c r="B930" s="52" t="s">
        <v>6118</v>
      </c>
      <c r="C930" s="59" t="s">
        <v>1280</v>
      </c>
      <c r="E930" s="57" t="s">
        <v>8884</v>
      </c>
    </row>
    <row r="931" spans="1:8" x14ac:dyDescent="0.35">
      <c r="A931" s="50" t="s">
        <v>6105</v>
      </c>
      <c r="B931" s="52" t="s">
        <v>6104</v>
      </c>
      <c r="C931" s="59" t="s">
        <v>1280</v>
      </c>
      <c r="E931" s="57" t="s">
        <v>8884</v>
      </c>
    </row>
    <row r="932" spans="1:8" x14ac:dyDescent="0.35">
      <c r="A932" s="50" t="s">
        <v>8398</v>
      </c>
      <c r="B932" s="52" t="s">
        <v>8397</v>
      </c>
      <c r="C932" s="59" t="s">
        <v>9097</v>
      </c>
      <c r="E932" s="57" t="s">
        <v>9098</v>
      </c>
    </row>
    <row r="933" spans="1:8" x14ac:dyDescent="0.35">
      <c r="A933" s="50" t="s">
        <v>7789</v>
      </c>
      <c r="B933" s="52" t="s">
        <v>7788</v>
      </c>
      <c r="C933" s="59" t="s">
        <v>9373</v>
      </c>
      <c r="E933" s="57" t="s">
        <v>9374</v>
      </c>
    </row>
    <row r="934" spans="1:8" x14ac:dyDescent="0.35">
      <c r="A934" s="50" t="s">
        <v>7498</v>
      </c>
      <c r="B934" s="52" t="s">
        <v>7497</v>
      </c>
      <c r="C934" s="59" t="s">
        <v>9373</v>
      </c>
      <c r="E934" s="57" t="s">
        <v>9374</v>
      </c>
    </row>
    <row r="935" spans="1:8" x14ac:dyDescent="0.35">
      <c r="A935" s="50" t="s">
        <v>6912</v>
      </c>
      <c r="B935" s="52" t="s">
        <v>6911</v>
      </c>
      <c r="C935" s="59" t="s">
        <v>9373</v>
      </c>
      <c r="E935" s="57" t="s">
        <v>9374</v>
      </c>
    </row>
    <row r="936" spans="1:8" x14ac:dyDescent="0.35">
      <c r="A936" s="50" t="s">
        <v>5417</v>
      </c>
      <c r="B936" s="52" t="s">
        <v>5416</v>
      </c>
      <c r="C936" s="59" t="s">
        <v>9373</v>
      </c>
      <c r="E936" s="57" t="s">
        <v>9374</v>
      </c>
    </row>
    <row r="937" spans="1:8" x14ac:dyDescent="0.35">
      <c r="A937" s="50" t="s">
        <v>4575</v>
      </c>
      <c r="B937" s="52" t="s">
        <v>4574</v>
      </c>
      <c r="C937" s="59" t="s">
        <v>10646</v>
      </c>
    </row>
    <row r="938" spans="1:8" x14ac:dyDescent="0.35">
      <c r="A938" s="50" t="s">
        <v>7364</v>
      </c>
      <c r="B938" s="52" t="s">
        <v>7363</v>
      </c>
      <c r="C938" s="59" t="s">
        <v>9531</v>
      </c>
      <c r="E938" s="57" t="s">
        <v>9532</v>
      </c>
      <c r="F938" s="57" t="s">
        <v>9533</v>
      </c>
      <c r="G938" t="s">
        <v>3767</v>
      </c>
      <c r="H938" s="54" t="s">
        <v>4131</v>
      </c>
    </row>
    <row r="939" spans="1:8" x14ac:dyDescent="0.35">
      <c r="A939" s="50" t="s">
        <v>4463</v>
      </c>
      <c r="B939" s="52" t="s">
        <v>4462</v>
      </c>
      <c r="C939" s="59" t="s">
        <v>10670</v>
      </c>
      <c r="E939" s="57" t="s">
        <v>10671</v>
      </c>
      <c r="F939" s="57" t="s">
        <v>10672</v>
      </c>
      <c r="G939" t="s">
        <v>3768</v>
      </c>
      <c r="H939" s="54" t="s">
        <v>10673</v>
      </c>
    </row>
    <row r="940" spans="1:8" x14ac:dyDescent="0.35">
      <c r="A940" s="50" t="s">
        <v>4463</v>
      </c>
      <c r="B940" s="52" t="s">
        <v>4462</v>
      </c>
      <c r="C940" s="59" t="s">
        <v>10670</v>
      </c>
      <c r="E940" s="57" t="s">
        <v>10671</v>
      </c>
      <c r="F940" s="57" t="s">
        <v>10674</v>
      </c>
      <c r="G940" t="s">
        <v>3769</v>
      </c>
      <c r="H940" s="54" t="s">
        <v>4133</v>
      </c>
    </row>
    <row r="941" spans="1:8" x14ac:dyDescent="0.35">
      <c r="A941" s="50" t="s">
        <v>5052</v>
      </c>
      <c r="B941" s="52" t="s">
        <v>5051</v>
      </c>
      <c r="C941" s="59" t="s">
        <v>10501</v>
      </c>
      <c r="E941" s="57" t="s">
        <v>10502</v>
      </c>
      <c r="F941" s="57" t="s">
        <v>10503</v>
      </c>
      <c r="G941" t="s">
        <v>3770</v>
      </c>
      <c r="H941" s="54" t="s">
        <v>4134</v>
      </c>
    </row>
    <row r="942" spans="1:8" x14ac:dyDescent="0.35">
      <c r="A942" s="50" t="s">
        <v>5052</v>
      </c>
      <c r="B942" s="52" t="s">
        <v>5051</v>
      </c>
      <c r="C942" s="59" t="s">
        <v>10501</v>
      </c>
      <c r="E942" s="57" t="s">
        <v>10502</v>
      </c>
      <c r="F942" s="57" t="s">
        <v>10504</v>
      </c>
      <c r="G942" t="s">
        <v>3771</v>
      </c>
      <c r="H942" s="54" t="s">
        <v>4135</v>
      </c>
    </row>
    <row r="943" spans="1:8" x14ac:dyDescent="0.35">
      <c r="A943" s="50" t="s">
        <v>5533</v>
      </c>
      <c r="B943" s="52" t="s">
        <v>5532</v>
      </c>
      <c r="C943" s="59" t="s">
        <v>10217</v>
      </c>
      <c r="E943" s="57" t="s">
        <v>10218</v>
      </c>
      <c r="F943" s="57" t="s">
        <v>10219</v>
      </c>
      <c r="G943" t="s">
        <v>3772</v>
      </c>
      <c r="H943" s="54" t="s">
        <v>4136</v>
      </c>
    </row>
    <row r="944" spans="1:8" x14ac:dyDescent="0.35">
      <c r="A944" s="50" t="s">
        <v>5628</v>
      </c>
      <c r="B944" s="52" t="s">
        <v>5627</v>
      </c>
      <c r="C944" s="59" t="s">
        <v>10166</v>
      </c>
      <c r="E944" s="57" t="s">
        <v>10167</v>
      </c>
      <c r="F944" s="57" t="s">
        <v>10168</v>
      </c>
      <c r="G944" t="s">
        <v>3773</v>
      </c>
      <c r="H944" s="54" t="s">
        <v>4137</v>
      </c>
    </row>
    <row r="945" spans="1:8" x14ac:dyDescent="0.35">
      <c r="A945" s="50" t="s">
        <v>5270</v>
      </c>
      <c r="B945" s="52" t="s">
        <v>5269</v>
      </c>
      <c r="C945" s="59" t="s">
        <v>10322</v>
      </c>
      <c r="E945" s="57" t="s">
        <v>10323</v>
      </c>
      <c r="F945" s="57" t="s">
        <v>10324</v>
      </c>
      <c r="G945" t="s">
        <v>3774</v>
      </c>
      <c r="H945" s="54" t="s">
        <v>4138</v>
      </c>
    </row>
    <row r="946" spans="1:8" x14ac:dyDescent="0.35">
      <c r="A946" s="50" t="s">
        <v>8115</v>
      </c>
      <c r="B946" s="52" t="s">
        <v>8114</v>
      </c>
      <c r="C946" s="59" t="s">
        <v>9159</v>
      </c>
      <c r="E946" s="57" t="s">
        <v>9160</v>
      </c>
      <c r="F946" s="57" t="s">
        <v>9161</v>
      </c>
      <c r="G946" s="8" t="s">
        <v>3775</v>
      </c>
      <c r="H946" s="54" t="s">
        <v>4139</v>
      </c>
    </row>
    <row r="947" spans="1:8" x14ac:dyDescent="0.35">
      <c r="A947" s="50" t="s">
        <v>8462</v>
      </c>
      <c r="B947" s="52" t="s">
        <v>8461</v>
      </c>
      <c r="C947" s="59" t="s">
        <v>9081</v>
      </c>
      <c r="E947" s="57" t="s">
        <v>9082</v>
      </c>
      <c r="F947" s="57" t="s">
        <v>9083</v>
      </c>
      <c r="G947" t="s">
        <v>3776</v>
      </c>
      <c r="H947" s="54" t="s">
        <v>4140</v>
      </c>
    </row>
    <row r="948" spans="1:8" x14ac:dyDescent="0.35">
      <c r="A948" s="50" t="s">
        <v>4644</v>
      </c>
      <c r="B948" s="52" t="s">
        <v>4643</v>
      </c>
      <c r="C948" s="59" t="s">
        <v>10622</v>
      </c>
      <c r="E948" s="57" t="s">
        <v>10623</v>
      </c>
      <c r="F948" s="57" t="s">
        <v>10624</v>
      </c>
      <c r="G948" s="8" t="s">
        <v>3777</v>
      </c>
      <c r="H948" s="54" t="s">
        <v>4141</v>
      </c>
    </row>
    <row r="949" spans="1:8" x14ac:dyDescent="0.35">
      <c r="A949" s="50" t="s">
        <v>8772</v>
      </c>
      <c r="B949" s="52" t="s">
        <v>8771</v>
      </c>
      <c r="C949" s="59" t="s">
        <v>1282</v>
      </c>
      <c r="E949" s="57" t="s">
        <v>8914</v>
      </c>
      <c r="F949" s="57" t="s">
        <v>8895</v>
      </c>
      <c r="G949" t="s">
        <v>3778</v>
      </c>
      <c r="H949" s="54" t="s">
        <v>4142</v>
      </c>
    </row>
    <row r="950" spans="1:8" x14ac:dyDescent="0.35">
      <c r="A950" s="50" t="s">
        <v>7429</v>
      </c>
      <c r="B950" s="52" t="s">
        <v>7428</v>
      </c>
      <c r="C950" s="59" t="s">
        <v>9478</v>
      </c>
      <c r="E950" s="57" t="s">
        <v>9479</v>
      </c>
      <c r="F950" s="57" t="s">
        <v>9480</v>
      </c>
      <c r="G950" s="8" t="s">
        <v>3779</v>
      </c>
      <c r="H950" s="54" t="s">
        <v>4143</v>
      </c>
    </row>
    <row r="951" spans="1:8" x14ac:dyDescent="0.35">
      <c r="A951" s="50" t="s">
        <v>7427</v>
      </c>
      <c r="B951" s="52" t="s">
        <v>7426</v>
      </c>
      <c r="C951" s="59" t="s">
        <v>9478</v>
      </c>
      <c r="E951" s="57" t="s">
        <v>9479</v>
      </c>
      <c r="F951" s="57" t="s">
        <v>9480</v>
      </c>
      <c r="G951" s="8" t="s">
        <v>3779</v>
      </c>
      <c r="H951" s="54" t="s">
        <v>4143</v>
      </c>
    </row>
    <row r="952" spans="1:8" x14ac:dyDescent="0.35">
      <c r="A952" s="50" t="s">
        <v>5531</v>
      </c>
      <c r="B952" s="52" t="s">
        <v>5530</v>
      </c>
      <c r="C952" s="59" t="s">
        <v>10220</v>
      </c>
      <c r="E952" s="57" t="s">
        <v>10221</v>
      </c>
      <c r="F952" s="57" t="s">
        <v>10222</v>
      </c>
      <c r="G952" t="s">
        <v>10223</v>
      </c>
      <c r="H952" s="54" t="s">
        <v>10224</v>
      </c>
    </row>
    <row r="953" spans="1:8" x14ac:dyDescent="0.35">
      <c r="A953" s="50" t="s">
        <v>6618</v>
      </c>
      <c r="B953" s="52" t="s">
        <v>6617</v>
      </c>
      <c r="C953" s="59" t="s">
        <v>9874</v>
      </c>
      <c r="E953" s="57" t="s">
        <v>9875</v>
      </c>
      <c r="F953" s="57" t="s">
        <v>9876</v>
      </c>
      <c r="G953" t="s">
        <v>3780</v>
      </c>
      <c r="H953" s="54" t="s">
        <v>4144</v>
      </c>
    </row>
    <row r="954" spans="1:8" x14ac:dyDescent="0.35">
      <c r="A954" s="50" t="s">
        <v>6321</v>
      </c>
      <c r="B954" s="52" t="s">
        <v>6320</v>
      </c>
      <c r="C954" s="59" t="s">
        <v>9969</v>
      </c>
      <c r="E954" s="57" t="s">
        <v>9970</v>
      </c>
      <c r="F954" s="57" t="s">
        <v>9971</v>
      </c>
      <c r="G954" s="8" t="s">
        <v>3781</v>
      </c>
      <c r="H954" s="54" t="s">
        <v>4145</v>
      </c>
    </row>
    <row r="955" spans="1:8" x14ac:dyDescent="0.35">
      <c r="A955" s="50" t="s">
        <v>5094</v>
      </c>
      <c r="B955" s="52" t="s">
        <v>5093</v>
      </c>
      <c r="C955" s="59" t="s">
        <v>10476</v>
      </c>
      <c r="E955" s="57" t="s">
        <v>10477</v>
      </c>
      <c r="F955" s="57" t="s">
        <v>10478</v>
      </c>
      <c r="G955" t="s">
        <v>3783</v>
      </c>
      <c r="H955" s="54" t="s">
        <v>4147</v>
      </c>
    </row>
    <row r="956" spans="1:8" x14ac:dyDescent="0.35">
      <c r="A956" s="50" t="s">
        <v>6880</v>
      </c>
      <c r="B956" s="52" t="s">
        <v>6879</v>
      </c>
      <c r="C956" s="59" t="s">
        <v>9713</v>
      </c>
      <c r="E956" s="57" t="s">
        <v>9714</v>
      </c>
      <c r="F956" s="57" t="s">
        <v>9715</v>
      </c>
      <c r="G956" t="s">
        <v>3784</v>
      </c>
      <c r="H956" s="54" t="s">
        <v>4148</v>
      </c>
    </row>
    <row r="957" spans="1:8" x14ac:dyDescent="0.35">
      <c r="A957" s="50" t="s">
        <v>8282</v>
      </c>
      <c r="B957" s="52" t="s">
        <v>8281</v>
      </c>
      <c r="C957" s="59" t="s">
        <v>9106</v>
      </c>
      <c r="E957" s="57" t="s">
        <v>9107</v>
      </c>
      <c r="F957" s="57" t="s">
        <v>9108</v>
      </c>
      <c r="G957" t="s">
        <v>3785</v>
      </c>
      <c r="H957" s="54" t="s">
        <v>4149</v>
      </c>
    </row>
    <row r="958" spans="1:8" x14ac:dyDescent="0.35">
      <c r="A958" s="50" t="s">
        <v>8040</v>
      </c>
      <c r="B958" s="52" t="s">
        <v>8039</v>
      </c>
      <c r="C958" s="59" t="s">
        <v>9214</v>
      </c>
    </row>
    <row r="959" spans="1:8" x14ac:dyDescent="0.35">
      <c r="A959" s="50" t="s">
        <v>6813</v>
      </c>
      <c r="B959" s="52" t="s">
        <v>6812</v>
      </c>
      <c r="C959" s="59" t="s">
        <v>9214</v>
      </c>
    </row>
    <row r="960" spans="1:8" x14ac:dyDescent="0.35">
      <c r="A960" s="50" t="s">
        <v>6377</v>
      </c>
      <c r="B960" s="52" t="s">
        <v>6376</v>
      </c>
      <c r="C960" s="59" t="s">
        <v>9214</v>
      </c>
    </row>
    <row r="961" spans="1:8" x14ac:dyDescent="0.35">
      <c r="A961" s="50" t="s">
        <v>5312</v>
      </c>
      <c r="B961" s="52" t="s">
        <v>5311</v>
      </c>
      <c r="C961" s="59" t="s">
        <v>9214</v>
      </c>
    </row>
    <row r="962" spans="1:8" x14ac:dyDescent="0.35">
      <c r="A962" s="50" t="s">
        <v>6597</v>
      </c>
      <c r="B962" s="52" t="s">
        <v>6596</v>
      </c>
      <c r="C962" s="59" t="s">
        <v>9883</v>
      </c>
      <c r="E962" s="57" t="s">
        <v>9884</v>
      </c>
      <c r="F962" s="57" t="s">
        <v>9885</v>
      </c>
      <c r="G962" s="8" t="s">
        <v>9886</v>
      </c>
      <c r="H962" s="54" t="s">
        <v>9887</v>
      </c>
    </row>
    <row r="963" spans="1:8" x14ac:dyDescent="0.35">
      <c r="A963" s="50" t="s">
        <v>6597</v>
      </c>
      <c r="B963" s="52" t="s">
        <v>6596</v>
      </c>
      <c r="C963" s="59" t="s">
        <v>9883</v>
      </c>
      <c r="E963" s="57" t="s">
        <v>9884</v>
      </c>
      <c r="F963" s="57" t="s">
        <v>9888</v>
      </c>
      <c r="G963" s="8" t="s">
        <v>9889</v>
      </c>
      <c r="H963" s="54" t="s">
        <v>9890</v>
      </c>
    </row>
    <row r="964" spans="1:8" x14ac:dyDescent="0.35">
      <c r="A964" s="50" t="s">
        <v>6593</v>
      </c>
      <c r="B964" s="52" t="s">
        <v>6592</v>
      </c>
      <c r="C964" s="59" t="s">
        <v>9883</v>
      </c>
      <c r="E964" s="57" t="s">
        <v>9884</v>
      </c>
      <c r="F964" s="57" t="s">
        <v>9885</v>
      </c>
      <c r="G964" s="8" t="s">
        <v>9886</v>
      </c>
      <c r="H964" s="54" t="s">
        <v>9887</v>
      </c>
    </row>
    <row r="965" spans="1:8" x14ac:dyDescent="0.35">
      <c r="A965" s="50" t="s">
        <v>6593</v>
      </c>
      <c r="B965" s="52" t="s">
        <v>6592</v>
      </c>
      <c r="C965" s="59" t="s">
        <v>9883</v>
      </c>
      <c r="E965" s="57" t="s">
        <v>9884</v>
      </c>
      <c r="F965" s="57" t="s">
        <v>9888</v>
      </c>
      <c r="G965" s="8" t="s">
        <v>9889</v>
      </c>
      <c r="H965" s="54" t="s">
        <v>9890</v>
      </c>
    </row>
    <row r="966" spans="1:8" x14ac:dyDescent="0.35">
      <c r="A966" s="50" t="s">
        <v>5455</v>
      </c>
      <c r="B966" s="52" t="s">
        <v>5454</v>
      </c>
      <c r="C966" s="59" t="s">
        <v>10254</v>
      </c>
      <c r="E966" s="57" t="s">
        <v>10255</v>
      </c>
      <c r="F966" s="57" t="s">
        <v>10256</v>
      </c>
      <c r="G966" t="s">
        <v>10257</v>
      </c>
      <c r="H966" s="54" t="s">
        <v>10258</v>
      </c>
    </row>
    <row r="967" spans="1:8" x14ac:dyDescent="0.35">
      <c r="A967" s="50" t="s">
        <v>7451</v>
      </c>
      <c r="B967" s="52" t="s">
        <v>7450</v>
      </c>
      <c r="C967" s="59" t="s">
        <v>9474</v>
      </c>
      <c r="E967" s="57" t="s">
        <v>9475</v>
      </c>
      <c r="F967" s="57" t="s">
        <v>9476</v>
      </c>
      <c r="G967" t="s">
        <v>3788</v>
      </c>
      <c r="H967" s="54" t="s">
        <v>4152</v>
      </c>
    </row>
    <row r="968" spans="1:8" x14ac:dyDescent="0.35">
      <c r="A968" s="50" t="s">
        <v>5699</v>
      </c>
      <c r="B968" s="52" t="s">
        <v>5698</v>
      </c>
      <c r="C968" s="59" t="s">
        <v>9474</v>
      </c>
      <c r="E968" s="57" t="s">
        <v>9475</v>
      </c>
      <c r="F968" s="57" t="s">
        <v>9476</v>
      </c>
      <c r="G968" t="s">
        <v>3788</v>
      </c>
      <c r="H968" s="54" t="s">
        <v>4152</v>
      </c>
    </row>
    <row r="969" spans="1:8" x14ac:dyDescent="0.35">
      <c r="A969" s="50" t="s">
        <v>8215</v>
      </c>
      <c r="B969" s="52" t="s">
        <v>8214</v>
      </c>
      <c r="C969" s="59" t="s">
        <v>9132</v>
      </c>
    </row>
    <row r="970" spans="1:8" x14ac:dyDescent="0.35">
      <c r="A970" s="50" t="s">
        <v>5921</v>
      </c>
      <c r="B970" s="52" t="s">
        <v>5920</v>
      </c>
      <c r="C970" s="59" t="s">
        <v>9132</v>
      </c>
    </row>
    <row r="971" spans="1:8" x14ac:dyDescent="0.35">
      <c r="A971" s="50" t="s">
        <v>5737</v>
      </c>
      <c r="B971" s="52" t="s">
        <v>5736</v>
      </c>
      <c r="C971" s="59" t="s">
        <v>10109</v>
      </c>
      <c r="E971" s="57" t="s">
        <v>10110</v>
      </c>
      <c r="F971" s="57" t="s">
        <v>10111</v>
      </c>
      <c r="G971" t="s">
        <v>3791</v>
      </c>
      <c r="H971" s="54" t="s">
        <v>4155</v>
      </c>
    </row>
    <row r="972" spans="1:8" x14ac:dyDescent="0.35">
      <c r="A972" s="50" t="s">
        <v>5737</v>
      </c>
      <c r="B972" s="52" t="s">
        <v>5736</v>
      </c>
      <c r="C972" s="59" t="s">
        <v>10109</v>
      </c>
      <c r="E972" s="57" t="s">
        <v>10110</v>
      </c>
      <c r="F972" s="57" t="s">
        <v>10112</v>
      </c>
      <c r="G972" t="s">
        <v>3790</v>
      </c>
      <c r="H972" s="54" t="s">
        <v>4154</v>
      </c>
    </row>
    <row r="973" spans="1:8" x14ac:dyDescent="0.35">
      <c r="A973" s="50" t="s">
        <v>5928</v>
      </c>
      <c r="B973" s="52" t="s">
        <v>5927</v>
      </c>
      <c r="C973" s="59" t="s">
        <v>10069</v>
      </c>
      <c r="E973" s="57" t="s">
        <v>10070</v>
      </c>
      <c r="F973" s="57" t="s">
        <v>10071</v>
      </c>
      <c r="G973" t="s">
        <v>10072</v>
      </c>
      <c r="H973" s="54" t="s">
        <v>10073</v>
      </c>
    </row>
    <row r="974" spans="1:8" x14ac:dyDescent="0.35">
      <c r="A974" s="50" t="s">
        <v>7649</v>
      </c>
      <c r="B974" s="52" t="s">
        <v>7648</v>
      </c>
      <c r="C974" s="59" t="s">
        <v>9433</v>
      </c>
      <c r="E974" s="57" t="s">
        <v>9434</v>
      </c>
      <c r="F974" s="57" t="s">
        <v>9435</v>
      </c>
      <c r="G974" t="s">
        <v>3793</v>
      </c>
      <c r="H974" s="54" t="s">
        <v>4157</v>
      </c>
    </row>
    <row r="975" spans="1:8" x14ac:dyDescent="0.35">
      <c r="A975" s="50" t="s">
        <v>5749</v>
      </c>
      <c r="B975" s="52" t="s">
        <v>5748</v>
      </c>
      <c r="C975" s="59" t="s">
        <v>10086</v>
      </c>
      <c r="E975" s="57" t="s">
        <v>10087</v>
      </c>
      <c r="F975" s="57" t="s">
        <v>10088</v>
      </c>
      <c r="G975" t="s">
        <v>3794</v>
      </c>
      <c r="H975" s="54" t="s">
        <v>4158</v>
      </c>
    </row>
    <row r="976" spans="1:8" x14ac:dyDescent="0.35">
      <c r="A976" s="50" t="s">
        <v>5741</v>
      </c>
      <c r="B976" s="52" t="s">
        <v>5740</v>
      </c>
      <c r="C976" s="59" t="s">
        <v>10102</v>
      </c>
      <c r="E976" s="57" t="s">
        <v>10103</v>
      </c>
      <c r="F976" s="57" t="s">
        <v>10104</v>
      </c>
      <c r="G976" s="8" t="s">
        <v>3795</v>
      </c>
      <c r="H976" s="54" t="s">
        <v>4159</v>
      </c>
    </row>
    <row r="977" spans="1:8" x14ac:dyDescent="0.35">
      <c r="A977" s="50" t="s">
        <v>7683</v>
      </c>
      <c r="B977" s="52" t="s">
        <v>7682</v>
      </c>
      <c r="C977" s="59" t="s">
        <v>9420</v>
      </c>
      <c r="E977" s="57" t="s">
        <v>9421</v>
      </c>
      <c r="F977" s="57" t="s">
        <v>9422</v>
      </c>
      <c r="G977" t="s">
        <v>3796</v>
      </c>
      <c r="H977" s="54" t="s">
        <v>4160</v>
      </c>
    </row>
    <row r="978" spans="1:8" x14ac:dyDescent="0.35">
      <c r="A978" s="50" t="s">
        <v>4840</v>
      </c>
      <c r="B978" s="52" t="s">
        <v>4839</v>
      </c>
      <c r="C978" s="59" t="s">
        <v>10576</v>
      </c>
      <c r="E978" s="57" t="s">
        <v>10577</v>
      </c>
      <c r="F978" s="57" t="s">
        <v>10578</v>
      </c>
      <c r="G978" t="s">
        <v>3797</v>
      </c>
      <c r="H978" s="54" t="s">
        <v>4161</v>
      </c>
    </row>
    <row r="979" spans="1:8" x14ac:dyDescent="0.35">
      <c r="A979" s="50" t="s">
        <v>4727</v>
      </c>
      <c r="B979" s="52" t="s">
        <v>4726</v>
      </c>
      <c r="C979" s="59" t="s">
        <v>10602</v>
      </c>
    </row>
    <row r="980" spans="1:8" x14ac:dyDescent="0.35">
      <c r="A980" s="50" t="s">
        <v>7685</v>
      </c>
      <c r="B980" s="52" t="s">
        <v>7684</v>
      </c>
      <c r="C980" s="59" t="s">
        <v>9416</v>
      </c>
      <c r="E980" s="57" t="s">
        <v>9417</v>
      </c>
      <c r="F980" s="57" t="s">
        <v>9418</v>
      </c>
      <c r="G980" s="8" t="s">
        <v>3798</v>
      </c>
      <c r="H980" s="54" t="s">
        <v>9419</v>
      </c>
    </row>
    <row r="981" spans="1:8" x14ac:dyDescent="0.35">
      <c r="A981" s="50" t="s">
        <v>7720</v>
      </c>
      <c r="B981" s="52" t="s">
        <v>7719</v>
      </c>
      <c r="C981" s="59" t="s">
        <v>9412</v>
      </c>
      <c r="E981" s="57" t="s">
        <v>9413</v>
      </c>
      <c r="F981" s="57" t="s">
        <v>9414</v>
      </c>
      <c r="G981" t="s">
        <v>3799</v>
      </c>
      <c r="H981" s="54" t="s">
        <v>4163</v>
      </c>
    </row>
    <row r="982" spans="1:8" x14ac:dyDescent="0.35">
      <c r="A982" s="50" t="s">
        <v>5186</v>
      </c>
      <c r="B982" s="52" t="s">
        <v>5185</v>
      </c>
      <c r="C982" s="59" t="s">
        <v>10381</v>
      </c>
      <c r="E982" s="57" t="s">
        <v>10382</v>
      </c>
      <c r="F982" s="57" t="s">
        <v>10383</v>
      </c>
      <c r="G982" t="s">
        <v>3800</v>
      </c>
      <c r="H982" s="54" t="s">
        <v>4164</v>
      </c>
    </row>
    <row r="983" spans="1:8" x14ac:dyDescent="0.35">
      <c r="A983" s="50" t="s">
        <v>6858</v>
      </c>
      <c r="B983" s="52" t="s">
        <v>6857</v>
      </c>
      <c r="C983" s="59" t="s">
        <v>9728</v>
      </c>
      <c r="E983" s="57" t="s">
        <v>9729</v>
      </c>
      <c r="F983" s="57" t="s">
        <v>9384</v>
      </c>
      <c r="G983" t="s">
        <v>3738</v>
      </c>
      <c r="H983" s="54" t="s">
        <v>4087</v>
      </c>
    </row>
    <row r="984" spans="1:8" x14ac:dyDescent="0.35">
      <c r="A984" s="50" t="s">
        <v>6858</v>
      </c>
      <c r="B984" s="52" t="s">
        <v>6857</v>
      </c>
      <c r="C984" s="59" t="s">
        <v>9728</v>
      </c>
      <c r="E984" s="57" t="s">
        <v>9729</v>
      </c>
      <c r="F984" s="57" t="s">
        <v>9730</v>
      </c>
      <c r="G984" s="8" t="s">
        <v>3801</v>
      </c>
      <c r="H984" s="54" t="s">
        <v>4165</v>
      </c>
    </row>
    <row r="985" spans="1:8" x14ac:dyDescent="0.35">
      <c r="A985" s="50" t="s">
        <v>6858</v>
      </c>
      <c r="B985" s="52" t="s">
        <v>6857</v>
      </c>
      <c r="C985" s="59" t="s">
        <v>9728</v>
      </c>
      <c r="E985" s="57" t="s">
        <v>9729</v>
      </c>
      <c r="F985" s="57" t="s">
        <v>9731</v>
      </c>
      <c r="G985" s="8" t="s">
        <v>3802</v>
      </c>
      <c r="H985" s="54" t="s">
        <v>9732</v>
      </c>
    </row>
    <row r="986" spans="1:8" x14ac:dyDescent="0.35">
      <c r="A986" s="50" t="s">
        <v>8070</v>
      </c>
      <c r="B986" s="52" t="s">
        <v>8069</v>
      </c>
      <c r="C986" s="59" t="s">
        <v>9192</v>
      </c>
      <c r="E986" s="57" t="s">
        <v>9193</v>
      </c>
      <c r="F986" s="57" t="s">
        <v>9194</v>
      </c>
      <c r="G986" t="s">
        <v>3803</v>
      </c>
      <c r="H986" s="54" t="s">
        <v>9195</v>
      </c>
    </row>
    <row r="987" spans="1:8" x14ac:dyDescent="0.35">
      <c r="A987" s="50" t="s">
        <v>8480</v>
      </c>
      <c r="B987" s="52" t="s">
        <v>8479</v>
      </c>
      <c r="C987" s="59" t="s">
        <v>9078</v>
      </c>
      <c r="E987" s="57" t="s">
        <v>9079</v>
      </c>
      <c r="F987" s="57" t="s">
        <v>9080</v>
      </c>
      <c r="G987" t="s">
        <v>3804</v>
      </c>
      <c r="H987" s="54" t="s">
        <v>4167</v>
      </c>
    </row>
    <row r="988" spans="1:8" x14ac:dyDescent="0.35">
      <c r="A988" s="50" t="s">
        <v>8669</v>
      </c>
      <c r="B988" s="52" t="s">
        <v>8668</v>
      </c>
      <c r="C988" s="59" t="s">
        <v>8977</v>
      </c>
      <c r="E988" s="57" t="s">
        <v>8978</v>
      </c>
      <c r="F988" s="57" t="s">
        <v>8979</v>
      </c>
      <c r="G988" t="s">
        <v>8980</v>
      </c>
      <c r="H988" s="54" t="s">
        <v>4168</v>
      </c>
    </row>
    <row r="989" spans="1:8" x14ac:dyDescent="0.35">
      <c r="A989" s="50" t="s">
        <v>7399</v>
      </c>
      <c r="B989" s="52" t="s">
        <v>7398</v>
      </c>
      <c r="C989" s="59" t="s">
        <v>9511</v>
      </c>
      <c r="E989" s="57" t="s">
        <v>9512</v>
      </c>
      <c r="F989" s="57" t="s">
        <v>9513</v>
      </c>
      <c r="G989" t="s">
        <v>9514</v>
      </c>
      <c r="H989" s="54" t="s">
        <v>9515</v>
      </c>
    </row>
    <row r="990" spans="1:8" x14ac:dyDescent="0.35">
      <c r="A990" s="50" t="s">
        <v>7128</v>
      </c>
      <c r="B990" s="52" t="s">
        <v>7127</v>
      </c>
      <c r="C990" s="59" t="s">
        <v>9622</v>
      </c>
      <c r="E990" s="57" t="s">
        <v>9623</v>
      </c>
      <c r="F990" s="57" t="s">
        <v>9624</v>
      </c>
      <c r="G990" t="s">
        <v>9625</v>
      </c>
      <c r="H990" s="54" t="s">
        <v>9626</v>
      </c>
    </row>
    <row r="991" spans="1:8" x14ac:dyDescent="0.35">
      <c r="A991" s="50" t="s">
        <v>7128</v>
      </c>
      <c r="B991" s="52" t="s">
        <v>7127</v>
      </c>
      <c r="C991" s="59" t="s">
        <v>9622</v>
      </c>
      <c r="E991" s="57" t="s">
        <v>9623</v>
      </c>
      <c r="F991" s="57" t="s">
        <v>9627</v>
      </c>
      <c r="G991" t="s">
        <v>3789</v>
      </c>
      <c r="H991" s="54" t="s">
        <v>4153</v>
      </c>
    </row>
    <row r="992" spans="1:8" x14ac:dyDescent="0.35">
      <c r="A992" s="50" t="s">
        <v>7153</v>
      </c>
      <c r="B992" s="52" t="s">
        <v>7152</v>
      </c>
      <c r="C992" s="59" t="s">
        <v>9612</v>
      </c>
      <c r="E992" s="57" t="s">
        <v>9613</v>
      </c>
      <c r="F992" s="57" t="s">
        <v>9384</v>
      </c>
      <c r="G992" t="s">
        <v>3738</v>
      </c>
      <c r="H992" s="54" t="s">
        <v>4087</v>
      </c>
    </row>
    <row r="993" spans="1:8" x14ac:dyDescent="0.35">
      <c r="A993" s="50" t="s">
        <v>7153</v>
      </c>
      <c r="B993" s="52" t="s">
        <v>7152</v>
      </c>
      <c r="C993" s="59" t="s">
        <v>9612</v>
      </c>
      <c r="E993" s="57" t="s">
        <v>9613</v>
      </c>
      <c r="F993" s="57" t="s">
        <v>9614</v>
      </c>
      <c r="G993" s="8" t="s">
        <v>3806</v>
      </c>
      <c r="H993" s="54" t="s">
        <v>4169</v>
      </c>
    </row>
    <row r="994" spans="1:8" x14ac:dyDescent="0.35">
      <c r="A994" s="50" t="s">
        <v>7153</v>
      </c>
      <c r="B994" s="52" t="s">
        <v>7152</v>
      </c>
      <c r="C994" s="59" t="s">
        <v>9612</v>
      </c>
      <c r="E994" s="57" t="s">
        <v>9613</v>
      </c>
      <c r="F994" s="57" t="s">
        <v>9615</v>
      </c>
      <c r="G994" t="s">
        <v>3807</v>
      </c>
      <c r="H994" s="54" t="s">
        <v>4170</v>
      </c>
    </row>
    <row r="995" spans="1:8" x14ac:dyDescent="0.35">
      <c r="A995" s="50" t="s">
        <v>7153</v>
      </c>
      <c r="B995" s="52" t="s">
        <v>7152</v>
      </c>
      <c r="C995" s="59" t="s">
        <v>9612</v>
      </c>
      <c r="E995" s="57" t="s">
        <v>9613</v>
      </c>
      <c r="F995" s="57" t="s">
        <v>9616</v>
      </c>
      <c r="G995" t="s">
        <v>3808</v>
      </c>
      <c r="H995" s="54" t="s">
        <v>4171</v>
      </c>
    </row>
    <row r="996" spans="1:8" x14ac:dyDescent="0.35">
      <c r="A996" s="50" t="s">
        <v>7651</v>
      </c>
      <c r="B996" s="52" t="s">
        <v>7650</v>
      </c>
      <c r="C996" s="59" t="s">
        <v>9430</v>
      </c>
      <c r="E996" s="57" t="s">
        <v>9431</v>
      </c>
      <c r="F996" s="57" t="s">
        <v>9432</v>
      </c>
      <c r="G996" t="s">
        <v>3809</v>
      </c>
      <c r="H996" s="54" t="s">
        <v>4172</v>
      </c>
    </row>
    <row r="997" spans="1:8" x14ac:dyDescent="0.35">
      <c r="A997" s="50" t="s">
        <v>7547</v>
      </c>
      <c r="B997" s="52" t="s">
        <v>7546</v>
      </c>
      <c r="C997" s="59" t="s">
        <v>9439</v>
      </c>
      <c r="E997" s="57" t="s">
        <v>9440</v>
      </c>
      <c r="F997" s="57" t="s">
        <v>9384</v>
      </c>
      <c r="G997" t="s">
        <v>3738</v>
      </c>
      <c r="H997" s="54" t="s">
        <v>4087</v>
      </c>
    </row>
    <row r="998" spans="1:8" x14ac:dyDescent="0.35">
      <c r="A998" s="50" t="s">
        <v>7547</v>
      </c>
      <c r="B998" s="52" t="s">
        <v>7546</v>
      </c>
      <c r="C998" s="59" t="s">
        <v>9439</v>
      </c>
      <c r="E998" s="57" t="s">
        <v>9440</v>
      </c>
      <c r="F998" s="57" t="s">
        <v>9441</v>
      </c>
      <c r="G998" t="s">
        <v>3811</v>
      </c>
      <c r="H998" s="54" t="s">
        <v>4174</v>
      </c>
    </row>
    <row r="999" spans="1:8" x14ac:dyDescent="0.35">
      <c r="A999" s="50" t="s">
        <v>7547</v>
      </c>
      <c r="B999" s="52" t="s">
        <v>7546</v>
      </c>
      <c r="C999" s="59" t="s">
        <v>9439</v>
      </c>
      <c r="E999" s="57" t="s">
        <v>9440</v>
      </c>
      <c r="F999" s="57" t="s">
        <v>9442</v>
      </c>
      <c r="G999" s="8" t="s">
        <v>3814</v>
      </c>
      <c r="H999" s="54" t="s">
        <v>4177</v>
      </c>
    </row>
    <row r="1000" spans="1:8" x14ac:dyDescent="0.35">
      <c r="A1000" s="50" t="s">
        <v>7547</v>
      </c>
      <c r="B1000" s="52" t="s">
        <v>7546</v>
      </c>
      <c r="C1000" s="59" t="s">
        <v>9439</v>
      </c>
      <c r="E1000" s="57" t="s">
        <v>9440</v>
      </c>
      <c r="F1000" s="57" t="s">
        <v>9443</v>
      </c>
      <c r="G1000" t="s">
        <v>3812</v>
      </c>
      <c r="H1000" s="54" t="s">
        <v>4175</v>
      </c>
    </row>
    <row r="1001" spans="1:8" x14ac:dyDescent="0.35">
      <c r="A1001" s="50" t="s">
        <v>7547</v>
      </c>
      <c r="B1001" s="52" t="s">
        <v>7546</v>
      </c>
      <c r="C1001" s="59" t="s">
        <v>9439</v>
      </c>
      <c r="E1001" s="57" t="s">
        <v>9440</v>
      </c>
      <c r="F1001" s="57" t="s">
        <v>9444</v>
      </c>
      <c r="G1001" t="s">
        <v>3815</v>
      </c>
      <c r="H1001" s="54" t="s">
        <v>9445</v>
      </c>
    </row>
    <row r="1002" spans="1:8" x14ac:dyDescent="0.35">
      <c r="A1002" s="50" t="s">
        <v>7547</v>
      </c>
      <c r="B1002" s="52" t="s">
        <v>7546</v>
      </c>
      <c r="C1002" s="59" t="s">
        <v>9439</v>
      </c>
      <c r="E1002" s="57" t="s">
        <v>9440</v>
      </c>
      <c r="F1002" s="57" t="s">
        <v>9441</v>
      </c>
      <c r="G1002" t="s">
        <v>3811</v>
      </c>
      <c r="H1002" s="54" t="s">
        <v>4174</v>
      </c>
    </row>
    <row r="1003" spans="1:8" x14ac:dyDescent="0.35">
      <c r="A1003" s="50" t="s">
        <v>7545</v>
      </c>
      <c r="B1003" s="52" t="s">
        <v>7544</v>
      </c>
      <c r="C1003" s="59" t="s">
        <v>9439</v>
      </c>
      <c r="E1003" s="57" t="s">
        <v>9440</v>
      </c>
      <c r="F1003" s="57" t="s">
        <v>9384</v>
      </c>
      <c r="G1003" t="s">
        <v>3738</v>
      </c>
      <c r="H1003" s="54" t="s">
        <v>4087</v>
      </c>
    </row>
    <row r="1004" spans="1:8" x14ac:dyDescent="0.35">
      <c r="A1004" s="50" t="s">
        <v>7545</v>
      </c>
      <c r="B1004" s="52" t="s">
        <v>7544</v>
      </c>
      <c r="C1004" s="59" t="s">
        <v>9439</v>
      </c>
      <c r="E1004" s="57" t="s">
        <v>9440</v>
      </c>
      <c r="F1004" s="57" t="s">
        <v>9441</v>
      </c>
      <c r="G1004" t="s">
        <v>3811</v>
      </c>
      <c r="H1004" s="54" t="s">
        <v>4174</v>
      </c>
    </row>
    <row r="1005" spans="1:8" x14ac:dyDescent="0.35">
      <c r="A1005" s="50" t="s">
        <v>7545</v>
      </c>
      <c r="B1005" s="52" t="s">
        <v>7544</v>
      </c>
      <c r="C1005" s="59" t="s">
        <v>9439</v>
      </c>
      <c r="E1005" s="57" t="s">
        <v>9440</v>
      </c>
      <c r="F1005" s="57" t="s">
        <v>9442</v>
      </c>
      <c r="G1005" s="8" t="s">
        <v>3814</v>
      </c>
      <c r="H1005" s="54" t="s">
        <v>4177</v>
      </c>
    </row>
    <row r="1006" spans="1:8" x14ac:dyDescent="0.35">
      <c r="A1006" s="50" t="s">
        <v>7545</v>
      </c>
      <c r="B1006" s="52" t="s">
        <v>7544</v>
      </c>
      <c r="C1006" s="59" t="s">
        <v>9439</v>
      </c>
      <c r="E1006" s="57" t="s">
        <v>9440</v>
      </c>
      <c r="F1006" s="57" t="s">
        <v>9443</v>
      </c>
      <c r="G1006" t="s">
        <v>3812</v>
      </c>
      <c r="H1006" s="54" t="s">
        <v>4175</v>
      </c>
    </row>
    <row r="1007" spans="1:8" x14ac:dyDescent="0.35">
      <c r="A1007" s="50" t="s">
        <v>7545</v>
      </c>
      <c r="B1007" s="52" t="s">
        <v>7544</v>
      </c>
      <c r="C1007" s="59" t="s">
        <v>9439</v>
      </c>
      <c r="E1007" s="57" t="s">
        <v>9440</v>
      </c>
      <c r="F1007" s="57" t="s">
        <v>9444</v>
      </c>
      <c r="G1007" t="s">
        <v>3815</v>
      </c>
      <c r="H1007" s="54" t="s">
        <v>9445</v>
      </c>
    </row>
    <row r="1008" spans="1:8" x14ac:dyDescent="0.35">
      <c r="A1008" s="50" t="s">
        <v>7545</v>
      </c>
      <c r="B1008" s="52" t="s">
        <v>7544</v>
      </c>
      <c r="C1008" s="59" t="s">
        <v>9439</v>
      </c>
      <c r="E1008" s="57" t="s">
        <v>9440</v>
      </c>
      <c r="F1008" s="57" t="s">
        <v>9441</v>
      </c>
      <c r="G1008" t="s">
        <v>3811</v>
      </c>
      <c r="H1008" s="54" t="s">
        <v>4174</v>
      </c>
    </row>
    <row r="1009" spans="1:8" x14ac:dyDescent="0.35">
      <c r="A1009" s="50" t="s">
        <v>7456</v>
      </c>
      <c r="B1009" s="52" t="s">
        <v>7455</v>
      </c>
      <c r="C1009" s="59" t="s">
        <v>9471</v>
      </c>
      <c r="E1009" s="57" t="s">
        <v>9472</v>
      </c>
      <c r="F1009" s="57" t="s">
        <v>9473</v>
      </c>
      <c r="G1009" t="s">
        <v>3816</v>
      </c>
      <c r="H1009" s="54" t="s">
        <v>4179</v>
      </c>
    </row>
    <row r="1010" spans="1:8" x14ac:dyDescent="0.35">
      <c r="A1010" s="50" t="s">
        <v>8206</v>
      </c>
      <c r="B1010" s="52" t="s">
        <v>8205</v>
      </c>
      <c r="C1010" s="59" t="s">
        <v>9133</v>
      </c>
    </row>
    <row r="1011" spans="1:8" x14ac:dyDescent="0.35">
      <c r="A1011" s="50" t="s">
        <v>5382</v>
      </c>
      <c r="B1011" s="52" t="s">
        <v>5381</v>
      </c>
      <c r="C1011" s="59" t="s">
        <v>9133</v>
      </c>
    </row>
    <row r="1012" spans="1:8" x14ac:dyDescent="0.35">
      <c r="A1012" s="50" t="s">
        <v>5356</v>
      </c>
      <c r="B1012" s="52" t="s">
        <v>5355</v>
      </c>
      <c r="C1012" s="59" t="s">
        <v>9133</v>
      </c>
    </row>
    <row r="1013" spans="1:8" x14ac:dyDescent="0.35">
      <c r="A1013" s="50" t="s">
        <v>5354</v>
      </c>
      <c r="B1013" s="52" t="s">
        <v>5353</v>
      </c>
      <c r="C1013" s="59" t="s">
        <v>9133</v>
      </c>
    </row>
    <row r="1014" spans="1:8" x14ac:dyDescent="0.35">
      <c r="A1014" s="50" t="s">
        <v>4476</v>
      </c>
      <c r="B1014" s="52" t="s">
        <v>4475</v>
      </c>
      <c r="C1014" s="59" t="s">
        <v>9133</v>
      </c>
    </row>
    <row r="1015" spans="1:8" x14ac:dyDescent="0.35">
      <c r="A1015" s="50" t="s">
        <v>4474</v>
      </c>
      <c r="B1015" s="52" t="s">
        <v>4473</v>
      </c>
      <c r="C1015" s="59" t="s">
        <v>9133</v>
      </c>
    </row>
    <row r="1016" spans="1:8" x14ac:dyDescent="0.35">
      <c r="A1016" s="50" t="s">
        <v>4450</v>
      </c>
      <c r="B1016" s="52" t="s">
        <v>4449</v>
      </c>
      <c r="C1016" s="59" t="s">
        <v>9133</v>
      </c>
    </row>
    <row r="1017" spans="1:8" x14ac:dyDescent="0.35">
      <c r="A1017" s="50" t="s">
        <v>4448</v>
      </c>
      <c r="B1017" s="52" t="s">
        <v>4447</v>
      </c>
      <c r="C1017" s="59" t="s">
        <v>9133</v>
      </c>
    </row>
    <row r="1018" spans="1:8" x14ac:dyDescent="0.35">
      <c r="A1018" s="50" t="s">
        <v>6811</v>
      </c>
      <c r="B1018" s="52" t="s">
        <v>6810</v>
      </c>
      <c r="C1018" s="59" t="s">
        <v>9748</v>
      </c>
      <c r="E1018" s="57" t="s">
        <v>9749</v>
      </c>
      <c r="F1018" s="57" t="s">
        <v>9750</v>
      </c>
      <c r="G1018" t="s">
        <v>9751</v>
      </c>
      <c r="H1018" s="54" t="s">
        <v>9752</v>
      </c>
    </row>
    <row r="1019" spans="1:8" x14ac:dyDescent="0.35">
      <c r="A1019" s="50" t="s">
        <v>6808</v>
      </c>
      <c r="B1019" s="52" t="s">
        <v>6807</v>
      </c>
      <c r="C1019" s="59" t="s">
        <v>9748</v>
      </c>
      <c r="E1019" s="57" t="s">
        <v>9749</v>
      </c>
      <c r="F1019" s="57" t="s">
        <v>9750</v>
      </c>
      <c r="G1019" t="s">
        <v>9751</v>
      </c>
      <c r="H1019" s="54" t="s">
        <v>9752</v>
      </c>
    </row>
    <row r="1020" spans="1:8" x14ac:dyDescent="0.35">
      <c r="A1020" s="50" t="s">
        <v>6805</v>
      </c>
      <c r="B1020" s="52" t="s">
        <v>6804</v>
      </c>
      <c r="C1020" s="59" t="s">
        <v>9748</v>
      </c>
      <c r="E1020" s="57" t="s">
        <v>9749</v>
      </c>
      <c r="F1020" s="57" t="s">
        <v>9750</v>
      </c>
      <c r="G1020" t="s">
        <v>9751</v>
      </c>
      <c r="H1020" s="54" t="s">
        <v>9752</v>
      </c>
    </row>
    <row r="1021" spans="1:8" x14ac:dyDescent="0.35">
      <c r="A1021" s="50" t="s">
        <v>8257</v>
      </c>
      <c r="B1021" s="52" t="s">
        <v>8256</v>
      </c>
      <c r="C1021" s="59" t="s">
        <v>9119</v>
      </c>
      <c r="E1021" s="57" t="s">
        <v>9120</v>
      </c>
      <c r="F1021" s="57" t="s">
        <v>9121</v>
      </c>
      <c r="G1021" t="s">
        <v>3817</v>
      </c>
      <c r="H1021" s="54" t="s">
        <v>4180</v>
      </c>
    </row>
    <row r="1022" spans="1:8" x14ac:dyDescent="0.35">
      <c r="A1022" s="50" t="s">
        <v>8254</v>
      </c>
      <c r="B1022" s="52" t="s">
        <v>8253</v>
      </c>
      <c r="C1022" s="59" t="s">
        <v>9119</v>
      </c>
      <c r="E1022" s="57" t="s">
        <v>9120</v>
      </c>
      <c r="F1022" s="57" t="s">
        <v>9121</v>
      </c>
      <c r="G1022" t="s">
        <v>9122</v>
      </c>
      <c r="H1022" s="54" t="s">
        <v>4180</v>
      </c>
    </row>
    <row r="1023" spans="1:8" x14ac:dyDescent="0.35">
      <c r="A1023" s="50" t="s">
        <v>8252</v>
      </c>
      <c r="B1023" s="52" t="s">
        <v>8251</v>
      </c>
      <c r="C1023" s="59" t="s">
        <v>9119</v>
      </c>
      <c r="E1023" s="57" t="s">
        <v>9120</v>
      </c>
      <c r="F1023" s="57" t="s">
        <v>9121</v>
      </c>
      <c r="G1023" t="s">
        <v>9122</v>
      </c>
      <c r="H1023" s="54" t="s">
        <v>4180</v>
      </c>
    </row>
    <row r="1024" spans="1:8" x14ac:dyDescent="0.35">
      <c r="A1024" s="50" t="s">
        <v>8250</v>
      </c>
      <c r="B1024" s="52" t="s">
        <v>8249</v>
      </c>
      <c r="C1024" s="59" t="s">
        <v>9119</v>
      </c>
      <c r="E1024" s="57" t="s">
        <v>9120</v>
      </c>
      <c r="F1024" s="57" t="s">
        <v>9121</v>
      </c>
      <c r="G1024" t="s">
        <v>9122</v>
      </c>
      <c r="H1024" s="54" t="s">
        <v>4180</v>
      </c>
    </row>
    <row r="1025" spans="1:8" x14ac:dyDescent="0.35">
      <c r="A1025" s="50" t="s">
        <v>8248</v>
      </c>
      <c r="B1025" s="52" t="s">
        <v>8247</v>
      </c>
      <c r="C1025" s="59" t="s">
        <v>9119</v>
      </c>
      <c r="E1025" s="57" t="s">
        <v>9120</v>
      </c>
      <c r="F1025" s="57" t="s">
        <v>9121</v>
      </c>
      <c r="G1025" t="s">
        <v>9122</v>
      </c>
      <c r="H1025" s="54" t="s">
        <v>4180</v>
      </c>
    </row>
    <row r="1026" spans="1:8" x14ac:dyDescent="0.35">
      <c r="A1026" s="50" t="s">
        <v>8246</v>
      </c>
      <c r="B1026" s="52" t="s">
        <v>8245</v>
      </c>
      <c r="C1026" s="59" t="s">
        <v>9119</v>
      </c>
      <c r="E1026" s="57" t="s">
        <v>9120</v>
      </c>
      <c r="F1026" s="57" t="s">
        <v>9121</v>
      </c>
      <c r="G1026" t="s">
        <v>9122</v>
      </c>
      <c r="H1026" s="54" t="s">
        <v>4180</v>
      </c>
    </row>
    <row r="1027" spans="1:8" x14ac:dyDescent="0.35">
      <c r="A1027" s="50" t="s">
        <v>8244</v>
      </c>
      <c r="B1027" s="52" t="s">
        <v>8243</v>
      </c>
      <c r="C1027" s="59" t="s">
        <v>9119</v>
      </c>
      <c r="E1027" s="57" t="s">
        <v>9120</v>
      </c>
      <c r="F1027" s="57" t="s">
        <v>9121</v>
      </c>
      <c r="G1027" t="s">
        <v>9122</v>
      </c>
      <c r="H1027" s="54" t="s">
        <v>4180</v>
      </c>
    </row>
    <row r="1028" spans="1:8" x14ac:dyDescent="0.35">
      <c r="A1028" s="50" t="s">
        <v>8242</v>
      </c>
      <c r="B1028" s="52" t="s">
        <v>8241</v>
      </c>
      <c r="C1028" s="59" t="s">
        <v>9119</v>
      </c>
      <c r="E1028" s="57" t="s">
        <v>9120</v>
      </c>
      <c r="F1028" s="57" t="s">
        <v>9121</v>
      </c>
      <c r="G1028" t="s">
        <v>9122</v>
      </c>
      <c r="H1028" s="54" t="s">
        <v>4180</v>
      </c>
    </row>
    <row r="1029" spans="1:8" x14ac:dyDescent="0.35">
      <c r="A1029" s="50" t="s">
        <v>4817</v>
      </c>
      <c r="B1029" s="52" t="s">
        <v>4816</v>
      </c>
      <c r="C1029" s="59" t="s">
        <v>10579</v>
      </c>
      <c r="E1029" s="57" t="s">
        <v>10580</v>
      </c>
    </row>
    <row r="1030" spans="1:8" x14ac:dyDescent="0.35">
      <c r="A1030" s="50" t="s">
        <v>6023</v>
      </c>
      <c r="B1030" s="52" t="s">
        <v>6022</v>
      </c>
      <c r="C1030" s="59" t="s">
        <v>10028</v>
      </c>
    </row>
    <row r="1031" spans="1:8" x14ac:dyDescent="0.35">
      <c r="A1031" s="50" t="s">
        <v>7136</v>
      </c>
      <c r="B1031" s="52" t="s">
        <v>7135</v>
      </c>
      <c r="C1031" s="59" t="s">
        <v>9620</v>
      </c>
      <c r="E1031" s="57" t="s">
        <v>9621</v>
      </c>
    </row>
    <row r="1032" spans="1:8" x14ac:dyDescent="0.35">
      <c r="A1032" s="50" t="s">
        <v>7134</v>
      </c>
      <c r="B1032" s="52" t="s">
        <v>7133</v>
      </c>
      <c r="C1032" s="59" t="s">
        <v>9620</v>
      </c>
      <c r="E1032" s="57" t="s">
        <v>9621</v>
      </c>
    </row>
    <row r="1033" spans="1:8" x14ac:dyDescent="0.35">
      <c r="A1033" s="50" t="s">
        <v>8533</v>
      </c>
      <c r="B1033" s="52" t="s">
        <v>8532</v>
      </c>
      <c r="C1033" s="59" t="s">
        <v>9050</v>
      </c>
    </row>
    <row r="1034" spans="1:8" x14ac:dyDescent="0.35">
      <c r="A1034" s="50" t="s">
        <v>8053</v>
      </c>
      <c r="B1034" s="52" t="s">
        <v>8052</v>
      </c>
      <c r="C1034" s="59" t="s">
        <v>9050</v>
      </c>
    </row>
    <row r="1035" spans="1:8" x14ac:dyDescent="0.35">
      <c r="A1035" s="50" t="s">
        <v>8037</v>
      </c>
      <c r="B1035" s="52" t="s">
        <v>8036</v>
      </c>
      <c r="C1035" s="59" t="s">
        <v>9050</v>
      </c>
    </row>
    <row r="1036" spans="1:8" x14ac:dyDescent="0.35">
      <c r="A1036" s="50" t="s">
        <v>7553</v>
      </c>
      <c r="B1036" s="52" t="s">
        <v>7552</v>
      </c>
      <c r="C1036" s="59" t="s">
        <v>9050</v>
      </c>
    </row>
    <row r="1037" spans="1:8" x14ac:dyDescent="0.35">
      <c r="A1037" s="50" t="s">
        <v>6946</v>
      </c>
      <c r="B1037" s="52" t="s">
        <v>6945</v>
      </c>
      <c r="C1037" s="59" t="s">
        <v>9050</v>
      </c>
    </row>
    <row r="1038" spans="1:8" x14ac:dyDescent="0.35">
      <c r="A1038" s="50" t="s">
        <v>6468</v>
      </c>
      <c r="B1038" s="52" t="s">
        <v>6467</v>
      </c>
      <c r="C1038" s="59" t="s">
        <v>9050</v>
      </c>
    </row>
    <row r="1039" spans="1:8" x14ac:dyDescent="0.35">
      <c r="A1039" s="50" t="s">
        <v>4542</v>
      </c>
      <c r="B1039" s="52" t="s">
        <v>4541</v>
      </c>
      <c r="C1039" s="59" t="s">
        <v>9050</v>
      </c>
    </row>
    <row r="1040" spans="1:8" x14ac:dyDescent="0.35">
      <c r="A1040" s="50" t="s">
        <v>4335</v>
      </c>
      <c r="B1040" s="52" t="s">
        <v>4334</v>
      </c>
      <c r="C1040" s="59" t="s">
        <v>9050</v>
      </c>
    </row>
    <row r="1041" spans="1:5" x14ac:dyDescent="0.35">
      <c r="A1041" s="50" t="s">
        <v>8441</v>
      </c>
      <c r="B1041" s="52" t="s">
        <v>8440</v>
      </c>
      <c r="C1041" s="59" t="s">
        <v>9084</v>
      </c>
    </row>
    <row r="1042" spans="1:5" x14ac:dyDescent="0.35">
      <c r="A1042" s="50" t="s">
        <v>7733</v>
      </c>
      <c r="B1042" s="52" t="s">
        <v>7732</v>
      </c>
      <c r="C1042" s="59" t="s">
        <v>9084</v>
      </c>
    </row>
    <row r="1043" spans="1:5" x14ac:dyDescent="0.35">
      <c r="A1043" s="50" t="s">
        <v>7062</v>
      </c>
      <c r="B1043" s="52" t="s">
        <v>7061</v>
      </c>
      <c r="C1043" s="59" t="s">
        <v>9084</v>
      </c>
    </row>
    <row r="1044" spans="1:5" x14ac:dyDescent="0.35">
      <c r="A1044" s="50" t="s">
        <v>6905</v>
      </c>
      <c r="B1044" s="52" t="s">
        <v>6904</v>
      </c>
      <c r="C1044" s="59" t="s">
        <v>9084</v>
      </c>
    </row>
    <row r="1045" spans="1:5" x14ac:dyDescent="0.35">
      <c r="A1045" s="50" t="s">
        <v>6489</v>
      </c>
      <c r="B1045" s="52" t="s">
        <v>6488</v>
      </c>
      <c r="C1045" s="59" t="s">
        <v>9084</v>
      </c>
    </row>
    <row r="1046" spans="1:5" x14ac:dyDescent="0.35">
      <c r="A1046" s="50" t="s">
        <v>6444</v>
      </c>
      <c r="B1046" s="52" t="s">
        <v>6443</v>
      </c>
      <c r="C1046" s="59" t="s">
        <v>9084</v>
      </c>
    </row>
    <row r="1047" spans="1:5" x14ac:dyDescent="0.35">
      <c r="A1047" s="50" t="s">
        <v>6012</v>
      </c>
      <c r="B1047" s="52" t="s">
        <v>6011</v>
      </c>
      <c r="C1047" s="59" t="s">
        <v>9084</v>
      </c>
    </row>
    <row r="1048" spans="1:5" x14ac:dyDescent="0.35">
      <c r="A1048" s="50" t="s">
        <v>5991</v>
      </c>
      <c r="B1048" s="52" t="s">
        <v>5990</v>
      </c>
      <c r="C1048" s="59" t="s">
        <v>9084</v>
      </c>
    </row>
    <row r="1049" spans="1:5" x14ac:dyDescent="0.35">
      <c r="A1049" s="50" t="s">
        <v>5131</v>
      </c>
      <c r="B1049" s="52" t="s">
        <v>5130</v>
      </c>
      <c r="C1049" s="59" t="s">
        <v>9084</v>
      </c>
    </row>
    <row r="1050" spans="1:5" x14ac:dyDescent="0.35">
      <c r="A1050" s="50" t="s">
        <v>4666</v>
      </c>
      <c r="B1050" s="52" t="s">
        <v>4665</v>
      </c>
      <c r="C1050" s="59" t="s">
        <v>9084</v>
      </c>
    </row>
    <row r="1051" spans="1:5" x14ac:dyDescent="0.35">
      <c r="A1051" s="50" t="s">
        <v>4437</v>
      </c>
      <c r="B1051" s="52" t="s">
        <v>4436</v>
      </c>
      <c r="C1051" s="59" t="s">
        <v>9084</v>
      </c>
    </row>
    <row r="1052" spans="1:5" x14ac:dyDescent="0.35">
      <c r="A1052" s="50" t="s">
        <v>8870</v>
      </c>
      <c r="B1052" s="52" t="s">
        <v>8869</v>
      </c>
    </row>
    <row r="1053" spans="1:5" x14ac:dyDescent="0.35">
      <c r="B1053" s="52" t="s">
        <v>8868</v>
      </c>
    </row>
    <row r="1054" spans="1:5" x14ac:dyDescent="0.35">
      <c r="A1054" s="50" t="s">
        <v>8867</v>
      </c>
      <c r="B1054" s="52" t="s">
        <v>8866</v>
      </c>
    </row>
    <row r="1055" spans="1:5" x14ac:dyDescent="0.35">
      <c r="A1055" s="50" t="s">
        <v>8864</v>
      </c>
      <c r="B1055" s="52" t="s">
        <v>8863</v>
      </c>
    </row>
    <row r="1056" spans="1:5" x14ac:dyDescent="0.35">
      <c r="A1056" s="50" t="s">
        <v>8857</v>
      </c>
      <c r="B1056" s="52" t="s">
        <v>8856</v>
      </c>
      <c r="E1056" s="57"/>
    </row>
    <row r="1057" spans="1:6" x14ac:dyDescent="0.35">
      <c r="A1057" s="50" t="s">
        <v>8855</v>
      </c>
      <c r="B1057" s="52" t="s">
        <v>8854</v>
      </c>
      <c r="E1057" s="57"/>
      <c r="F1057" s="57"/>
    </row>
    <row r="1058" spans="1:6" x14ac:dyDescent="0.35">
      <c r="A1058" s="50" t="s">
        <v>8853</v>
      </c>
      <c r="B1058" s="52" t="s">
        <v>8852</v>
      </c>
      <c r="E1058" s="57"/>
      <c r="F1058" s="57"/>
    </row>
    <row r="1059" spans="1:6" x14ac:dyDescent="0.35">
      <c r="A1059" s="50" t="s">
        <v>8851</v>
      </c>
      <c r="B1059" s="52" t="s">
        <v>8850</v>
      </c>
      <c r="E1059" s="57"/>
    </row>
    <row r="1060" spans="1:6" x14ac:dyDescent="0.35">
      <c r="A1060" s="50" t="s">
        <v>8849</v>
      </c>
      <c r="B1060" s="52" t="s">
        <v>8848</v>
      </c>
      <c r="E1060" s="57"/>
    </row>
    <row r="1061" spans="1:6" x14ac:dyDescent="0.35">
      <c r="A1061" s="50" t="s">
        <v>8842</v>
      </c>
      <c r="B1061" s="52" t="s">
        <v>8841</v>
      </c>
      <c r="C1061" s="59"/>
      <c r="E1061" s="57"/>
    </row>
    <row r="1062" spans="1:6" x14ac:dyDescent="0.35">
      <c r="B1062" s="52" t="s">
        <v>8840</v>
      </c>
      <c r="E1062" s="57"/>
    </row>
    <row r="1063" spans="1:6" x14ac:dyDescent="0.35">
      <c r="B1063" s="52" t="s">
        <v>8839</v>
      </c>
      <c r="E1063" s="57"/>
    </row>
    <row r="1064" spans="1:6" x14ac:dyDescent="0.35">
      <c r="A1064" s="50" t="s">
        <v>8835</v>
      </c>
      <c r="B1064" s="52" t="s">
        <v>8834</v>
      </c>
      <c r="E1064" s="57"/>
      <c r="F1064" s="57"/>
    </row>
    <row r="1065" spans="1:6" x14ac:dyDescent="0.35">
      <c r="A1065" s="50" t="s">
        <v>8830</v>
      </c>
      <c r="B1065" s="52" t="s">
        <v>8829</v>
      </c>
      <c r="E1065" s="57"/>
      <c r="F1065" s="57"/>
    </row>
    <row r="1066" spans="1:6" x14ac:dyDescent="0.35">
      <c r="A1066" s="50" t="s">
        <v>8828</v>
      </c>
      <c r="B1066" s="52" t="s">
        <v>8827</v>
      </c>
      <c r="E1066" s="57"/>
      <c r="F1066" s="57"/>
    </row>
    <row r="1067" spans="1:6" x14ac:dyDescent="0.35">
      <c r="A1067" s="50" t="s">
        <v>8825</v>
      </c>
      <c r="B1067" s="52" t="s">
        <v>8824</v>
      </c>
      <c r="E1067" s="57"/>
      <c r="F1067" s="57"/>
    </row>
    <row r="1068" spans="1:6" x14ac:dyDescent="0.35">
      <c r="A1068" s="50" t="s">
        <v>8819</v>
      </c>
      <c r="B1068" s="52" t="s">
        <v>8818</v>
      </c>
      <c r="E1068" s="57"/>
      <c r="F1068" s="57"/>
    </row>
    <row r="1069" spans="1:6" x14ac:dyDescent="0.35">
      <c r="A1069" s="50" t="s">
        <v>8814</v>
      </c>
      <c r="B1069" s="52" t="s">
        <v>8813</v>
      </c>
      <c r="E1069" s="57"/>
      <c r="F1069" s="57"/>
    </row>
    <row r="1070" spans="1:6" x14ac:dyDescent="0.35">
      <c r="A1070" s="50" t="s">
        <v>8811</v>
      </c>
      <c r="B1070" s="52" t="s">
        <v>8810</v>
      </c>
      <c r="E1070" s="57"/>
      <c r="F1070" s="57"/>
    </row>
    <row r="1071" spans="1:6" x14ac:dyDescent="0.35">
      <c r="A1071" s="50" t="s">
        <v>8807</v>
      </c>
      <c r="B1071" s="52" t="s">
        <v>8806</v>
      </c>
      <c r="E1071" s="57"/>
      <c r="F1071" s="57"/>
    </row>
    <row r="1072" spans="1:6" x14ac:dyDescent="0.35">
      <c r="A1072" s="50" t="s">
        <v>8803</v>
      </c>
      <c r="B1072" s="52" t="s">
        <v>8802</v>
      </c>
      <c r="E1072" s="57"/>
      <c r="F1072" s="57"/>
    </row>
    <row r="1073" spans="1:6" x14ac:dyDescent="0.35">
      <c r="A1073" s="50" t="s">
        <v>8800</v>
      </c>
      <c r="B1073" s="52" t="s">
        <v>8799</v>
      </c>
      <c r="E1073" s="57"/>
      <c r="F1073" s="57"/>
    </row>
    <row r="1074" spans="1:6" x14ac:dyDescent="0.35">
      <c r="A1074" s="50" t="s">
        <v>8797</v>
      </c>
      <c r="B1074" s="52" t="s">
        <v>8796</v>
      </c>
      <c r="E1074" s="57"/>
      <c r="F1074" s="57"/>
    </row>
    <row r="1075" spans="1:6" x14ac:dyDescent="0.35">
      <c r="A1075" s="50" t="s">
        <v>8794</v>
      </c>
      <c r="B1075" s="52" t="s">
        <v>8793</v>
      </c>
      <c r="E1075" s="57"/>
      <c r="F1075" s="57"/>
    </row>
    <row r="1076" spans="1:6" x14ac:dyDescent="0.35">
      <c r="A1076" s="50" t="s">
        <v>8789</v>
      </c>
      <c r="B1076" s="52" t="s">
        <v>8788</v>
      </c>
      <c r="F1076" s="57"/>
    </row>
    <row r="1077" spans="1:6" x14ac:dyDescent="0.35">
      <c r="A1077" s="50" t="s">
        <v>8786</v>
      </c>
      <c r="B1077" s="52" t="s">
        <v>8785</v>
      </c>
      <c r="E1077" s="57"/>
      <c r="F1077" s="57"/>
    </row>
    <row r="1078" spans="1:6" x14ac:dyDescent="0.35">
      <c r="A1078" s="50" t="s">
        <v>8781</v>
      </c>
      <c r="B1078" s="52" t="s">
        <v>8780</v>
      </c>
      <c r="E1078" s="57"/>
      <c r="F1078" s="57"/>
    </row>
    <row r="1079" spans="1:6" x14ac:dyDescent="0.35">
      <c r="A1079" s="50" t="s">
        <v>8778</v>
      </c>
      <c r="B1079" s="52" t="s">
        <v>8777</v>
      </c>
    </row>
    <row r="1080" spans="1:6" x14ac:dyDescent="0.35">
      <c r="A1080" s="50" t="s">
        <v>8776</v>
      </c>
      <c r="B1080" s="52" t="s">
        <v>8775</v>
      </c>
    </row>
    <row r="1081" spans="1:6" x14ac:dyDescent="0.35">
      <c r="A1081" s="50" t="s">
        <v>8769</v>
      </c>
      <c r="B1081" s="52" t="s">
        <v>8768</v>
      </c>
      <c r="E1081" s="57"/>
      <c r="F1081" s="57"/>
    </row>
    <row r="1082" spans="1:6" x14ac:dyDescent="0.35">
      <c r="A1082" s="50" t="s">
        <v>8767</v>
      </c>
      <c r="B1082" s="52" t="s">
        <v>8766</v>
      </c>
    </row>
    <row r="1083" spans="1:6" x14ac:dyDescent="0.35">
      <c r="A1083" s="50" t="s">
        <v>8765</v>
      </c>
      <c r="B1083" s="52" t="s">
        <v>8764</v>
      </c>
    </row>
    <row r="1084" spans="1:6" x14ac:dyDescent="0.35">
      <c r="A1084" s="50" t="s">
        <v>8763</v>
      </c>
      <c r="B1084" s="52" t="s">
        <v>8762</v>
      </c>
    </row>
    <row r="1085" spans="1:6" x14ac:dyDescent="0.35">
      <c r="A1085" s="50" t="s">
        <v>8760</v>
      </c>
      <c r="B1085" s="52" t="s">
        <v>8759</v>
      </c>
    </row>
    <row r="1086" spans="1:6" x14ac:dyDescent="0.35">
      <c r="A1086" s="50" t="s">
        <v>8756</v>
      </c>
      <c r="B1086" s="52" t="s">
        <v>8755</v>
      </c>
    </row>
    <row r="1087" spans="1:6" x14ac:dyDescent="0.35">
      <c r="A1087" s="50" t="s">
        <v>8750</v>
      </c>
      <c r="B1087" s="52" t="s">
        <v>8749</v>
      </c>
    </row>
    <row r="1088" spans="1:6" x14ac:dyDescent="0.35">
      <c r="A1088" s="50" t="s">
        <v>8748</v>
      </c>
      <c r="B1088" s="52" t="s">
        <v>8747</v>
      </c>
    </row>
    <row r="1089" spans="1:5" x14ac:dyDescent="0.35">
      <c r="A1089" s="50" t="s">
        <v>8745</v>
      </c>
      <c r="B1089" s="52" t="s">
        <v>8744</v>
      </c>
    </row>
    <row r="1090" spans="1:5" x14ac:dyDescent="0.35">
      <c r="A1090" s="50" t="s">
        <v>8740</v>
      </c>
      <c r="B1090" s="52" t="s">
        <v>8739</v>
      </c>
    </row>
    <row r="1091" spans="1:5" x14ac:dyDescent="0.35">
      <c r="A1091" s="50" t="s">
        <v>8729</v>
      </c>
      <c r="B1091" s="52" t="s">
        <v>8728</v>
      </c>
      <c r="E1091" s="57"/>
    </row>
    <row r="1092" spans="1:5" x14ac:dyDescent="0.35">
      <c r="A1092" s="50" t="s">
        <v>8726</v>
      </c>
      <c r="B1092" s="52" t="s">
        <v>8725</v>
      </c>
      <c r="E1092" s="57"/>
    </row>
    <row r="1093" spans="1:5" x14ac:dyDescent="0.35">
      <c r="B1093" s="52" t="s">
        <v>8724</v>
      </c>
    </row>
    <row r="1094" spans="1:5" x14ac:dyDescent="0.35">
      <c r="B1094" s="52" t="s">
        <v>8723</v>
      </c>
    </row>
    <row r="1095" spans="1:5" x14ac:dyDescent="0.35">
      <c r="A1095" s="50" t="s">
        <v>8722</v>
      </c>
      <c r="B1095" s="52" t="s">
        <v>8721</v>
      </c>
    </row>
    <row r="1096" spans="1:5" x14ac:dyDescent="0.35">
      <c r="A1096" s="50" t="s">
        <v>8720</v>
      </c>
      <c r="B1096" s="52" t="s">
        <v>8719</v>
      </c>
    </row>
    <row r="1097" spans="1:5" x14ac:dyDescent="0.35">
      <c r="A1097" s="50" t="s">
        <v>8716</v>
      </c>
      <c r="B1097" s="52" t="s">
        <v>8715</v>
      </c>
    </row>
    <row r="1098" spans="1:5" x14ac:dyDescent="0.35">
      <c r="A1098" s="50" t="s">
        <v>8714</v>
      </c>
      <c r="B1098" s="52" t="s">
        <v>8713</v>
      </c>
    </row>
    <row r="1099" spans="1:5" x14ac:dyDescent="0.35">
      <c r="A1099" s="50" t="s">
        <v>8708</v>
      </c>
      <c r="B1099" s="52" t="s">
        <v>8707</v>
      </c>
    </row>
    <row r="1100" spans="1:5" x14ac:dyDescent="0.35">
      <c r="A1100" s="50" t="s">
        <v>8702</v>
      </c>
      <c r="B1100" s="52" t="s">
        <v>8701</v>
      </c>
      <c r="E1100" s="57"/>
    </row>
    <row r="1101" spans="1:5" x14ac:dyDescent="0.35">
      <c r="A1101" s="50" t="s">
        <v>8693</v>
      </c>
      <c r="B1101" s="52" t="s">
        <v>8692</v>
      </c>
    </row>
    <row r="1102" spans="1:5" x14ac:dyDescent="0.35">
      <c r="A1102" s="50" t="s">
        <v>8691</v>
      </c>
      <c r="B1102" s="52" t="s">
        <v>8690</v>
      </c>
    </row>
    <row r="1103" spans="1:5" x14ac:dyDescent="0.35">
      <c r="B1103" s="52" t="s">
        <v>8689</v>
      </c>
      <c r="E1103" s="57"/>
    </row>
    <row r="1104" spans="1:5" x14ac:dyDescent="0.35">
      <c r="B1104" s="52" t="s">
        <v>8681</v>
      </c>
    </row>
    <row r="1105" spans="1:6" x14ac:dyDescent="0.35">
      <c r="B1105" s="52" t="s">
        <v>8680</v>
      </c>
    </row>
    <row r="1106" spans="1:6" x14ac:dyDescent="0.35">
      <c r="A1106" s="50" t="s">
        <v>8679</v>
      </c>
      <c r="B1106" s="52" t="s">
        <v>8678</v>
      </c>
    </row>
    <row r="1107" spans="1:6" x14ac:dyDescent="0.35">
      <c r="B1107" s="52" t="s">
        <v>8675</v>
      </c>
      <c r="E1107" s="57"/>
    </row>
    <row r="1108" spans="1:6" x14ac:dyDescent="0.35">
      <c r="B1108" s="52" t="s">
        <v>8674</v>
      </c>
    </row>
    <row r="1109" spans="1:6" x14ac:dyDescent="0.35">
      <c r="A1109" s="50" t="s">
        <v>8667</v>
      </c>
      <c r="B1109" s="52" t="s">
        <v>8666</v>
      </c>
      <c r="C1109" s="60"/>
      <c r="D1109" s="7"/>
    </row>
    <row r="1110" spans="1:6" x14ac:dyDescent="0.35">
      <c r="A1110" s="50" t="s">
        <v>8665</v>
      </c>
      <c r="B1110" s="52" t="s">
        <v>8664</v>
      </c>
    </row>
    <row r="1111" spans="1:6" x14ac:dyDescent="0.35">
      <c r="A1111" s="50" t="s">
        <v>8663</v>
      </c>
      <c r="B1111" s="52" t="s">
        <v>8662</v>
      </c>
    </row>
    <row r="1112" spans="1:6" x14ac:dyDescent="0.35">
      <c r="A1112" s="50" t="s">
        <v>8661</v>
      </c>
      <c r="B1112" s="52" t="s">
        <v>8660</v>
      </c>
    </row>
    <row r="1113" spans="1:6" x14ac:dyDescent="0.35">
      <c r="A1113" s="50" t="s">
        <v>8659</v>
      </c>
      <c r="B1113" s="52" t="s">
        <v>8658</v>
      </c>
    </row>
    <row r="1114" spans="1:6" x14ac:dyDescent="0.35">
      <c r="A1114" s="50" t="s">
        <v>8655</v>
      </c>
      <c r="B1114" s="52" t="s">
        <v>8654</v>
      </c>
    </row>
    <row r="1115" spans="1:6" x14ac:dyDescent="0.35">
      <c r="A1115" s="50" t="s">
        <v>8653</v>
      </c>
      <c r="B1115" s="52" t="s">
        <v>8652</v>
      </c>
    </row>
    <row r="1116" spans="1:6" x14ac:dyDescent="0.35">
      <c r="A1116" s="50" t="s">
        <v>8651</v>
      </c>
      <c r="B1116" s="52" t="s">
        <v>8650</v>
      </c>
      <c r="E1116" s="57"/>
    </row>
    <row r="1117" spans="1:6" x14ac:dyDescent="0.35">
      <c r="A1117" s="50" t="s">
        <v>8641</v>
      </c>
      <c r="B1117" s="52" t="s">
        <v>8640</v>
      </c>
    </row>
    <row r="1118" spans="1:6" x14ac:dyDescent="0.35">
      <c r="A1118" s="50" t="s">
        <v>8638</v>
      </c>
      <c r="B1118" s="52" t="s">
        <v>8637</v>
      </c>
      <c r="F1118" s="57"/>
    </row>
    <row r="1119" spans="1:6" x14ac:dyDescent="0.35">
      <c r="A1119" s="50" t="s">
        <v>8636</v>
      </c>
      <c r="B1119" s="52" t="s">
        <v>8635</v>
      </c>
    </row>
    <row r="1120" spans="1:6" x14ac:dyDescent="0.35">
      <c r="A1120" s="50" t="s">
        <v>8634</v>
      </c>
      <c r="B1120" s="52" t="s">
        <v>8633</v>
      </c>
    </row>
    <row r="1121" spans="1:6" x14ac:dyDescent="0.35">
      <c r="A1121" s="50" t="s">
        <v>8629</v>
      </c>
      <c r="B1121" s="52" t="s">
        <v>8628</v>
      </c>
      <c r="E1121" s="57"/>
    </row>
    <row r="1122" spans="1:6" x14ac:dyDescent="0.35">
      <c r="A1122" s="50" t="s">
        <v>8627</v>
      </c>
      <c r="B1122" s="52" t="s">
        <v>8626</v>
      </c>
      <c r="E1122" s="57"/>
    </row>
    <row r="1123" spans="1:6" x14ac:dyDescent="0.35">
      <c r="A1123" s="50" t="s">
        <v>8625</v>
      </c>
      <c r="B1123" s="52" t="s">
        <v>8624</v>
      </c>
      <c r="E1123" s="57"/>
    </row>
    <row r="1124" spans="1:6" x14ac:dyDescent="0.35">
      <c r="A1124" s="50" t="s">
        <v>8623</v>
      </c>
      <c r="B1124" s="52" t="s">
        <v>8622</v>
      </c>
    </row>
    <row r="1125" spans="1:6" x14ac:dyDescent="0.35">
      <c r="A1125" s="50" t="s">
        <v>8620</v>
      </c>
      <c r="B1125" s="52" t="s">
        <v>8619</v>
      </c>
    </row>
    <row r="1126" spans="1:6" x14ac:dyDescent="0.35">
      <c r="A1126" s="50" t="s">
        <v>8618</v>
      </c>
      <c r="B1126" s="52" t="s">
        <v>8617</v>
      </c>
      <c r="F1126" s="57"/>
    </row>
    <row r="1127" spans="1:6" x14ac:dyDescent="0.35">
      <c r="A1127" s="50" t="s">
        <v>8614</v>
      </c>
      <c r="B1127" s="52" t="s">
        <v>8613</v>
      </c>
    </row>
    <row r="1128" spans="1:6" x14ac:dyDescent="0.35">
      <c r="A1128" s="50" t="s">
        <v>8612</v>
      </c>
      <c r="B1128" s="52" t="s">
        <v>8611</v>
      </c>
    </row>
    <row r="1129" spans="1:6" x14ac:dyDescent="0.35">
      <c r="A1129" s="50" t="s">
        <v>8609</v>
      </c>
      <c r="B1129" s="52" t="s">
        <v>8608</v>
      </c>
      <c r="E1129" s="57"/>
    </row>
    <row r="1130" spans="1:6" x14ac:dyDescent="0.35">
      <c r="A1130" s="50" t="s">
        <v>8606</v>
      </c>
      <c r="B1130" s="52" t="s">
        <v>8605</v>
      </c>
      <c r="E1130" s="57"/>
    </row>
    <row r="1131" spans="1:6" x14ac:dyDescent="0.35">
      <c r="B1131" s="52" t="s">
        <v>8604</v>
      </c>
      <c r="E1131" s="57"/>
    </row>
    <row r="1132" spans="1:6" x14ac:dyDescent="0.35">
      <c r="B1132" s="52" t="s">
        <v>8603</v>
      </c>
    </row>
    <row r="1133" spans="1:6" x14ac:dyDescent="0.35">
      <c r="A1133" s="50" t="s">
        <v>8602</v>
      </c>
      <c r="B1133" s="52" t="s">
        <v>8601</v>
      </c>
    </row>
    <row r="1134" spans="1:6" x14ac:dyDescent="0.35">
      <c r="A1134" s="50" t="s">
        <v>8598</v>
      </c>
      <c r="B1134" s="52" t="s">
        <v>8597</v>
      </c>
    </row>
    <row r="1135" spans="1:6" x14ac:dyDescent="0.35">
      <c r="A1135" s="50" t="s">
        <v>8595</v>
      </c>
      <c r="B1135" s="52" t="s">
        <v>8594</v>
      </c>
    </row>
    <row r="1136" spans="1:6" x14ac:dyDescent="0.35">
      <c r="A1136" s="50" t="s">
        <v>8592</v>
      </c>
      <c r="B1136" s="52" t="s">
        <v>8591</v>
      </c>
    </row>
    <row r="1137" spans="1:6" x14ac:dyDescent="0.35">
      <c r="A1137" s="50" t="s">
        <v>8590</v>
      </c>
      <c r="B1137" s="52" t="s">
        <v>8589</v>
      </c>
    </row>
    <row r="1138" spans="1:6" x14ac:dyDescent="0.35">
      <c r="A1138" s="50" t="s">
        <v>8588</v>
      </c>
      <c r="B1138" s="52" t="s">
        <v>8587</v>
      </c>
    </row>
    <row r="1139" spans="1:6" x14ac:dyDescent="0.35">
      <c r="A1139" s="50" t="s">
        <v>8585</v>
      </c>
      <c r="B1139" s="52" t="s">
        <v>8584</v>
      </c>
    </row>
    <row r="1140" spans="1:6" x14ac:dyDescent="0.35">
      <c r="A1140" s="50" t="s">
        <v>8582</v>
      </c>
      <c r="B1140" s="52" t="s">
        <v>8581</v>
      </c>
    </row>
    <row r="1141" spans="1:6" x14ac:dyDescent="0.35">
      <c r="A1141" s="50" t="s">
        <v>8579</v>
      </c>
      <c r="B1141" s="52" t="s">
        <v>8578</v>
      </c>
    </row>
    <row r="1142" spans="1:6" x14ac:dyDescent="0.35">
      <c r="A1142" s="50" t="s">
        <v>8575</v>
      </c>
      <c r="B1142" s="52" t="s">
        <v>8574</v>
      </c>
      <c r="F1142" s="57"/>
    </row>
    <row r="1143" spans="1:6" x14ac:dyDescent="0.35">
      <c r="A1143" s="50" t="s">
        <v>8571</v>
      </c>
      <c r="B1143" s="52" t="s">
        <v>8570</v>
      </c>
    </row>
    <row r="1144" spans="1:6" x14ac:dyDescent="0.35">
      <c r="A1144" s="50" t="s">
        <v>8569</v>
      </c>
      <c r="B1144" s="52" t="s">
        <v>8568</v>
      </c>
    </row>
    <row r="1145" spans="1:6" x14ac:dyDescent="0.35">
      <c r="A1145" s="50" t="s">
        <v>8567</v>
      </c>
      <c r="B1145" s="52" t="s">
        <v>8566</v>
      </c>
    </row>
    <row r="1146" spans="1:6" x14ac:dyDescent="0.35">
      <c r="A1146" s="50" t="s">
        <v>8564</v>
      </c>
      <c r="B1146" s="52" t="s">
        <v>8563</v>
      </c>
      <c r="F1146" s="57"/>
    </row>
    <row r="1147" spans="1:6" x14ac:dyDescent="0.35">
      <c r="A1147" s="50" t="s">
        <v>8562</v>
      </c>
      <c r="B1147" s="52" t="s">
        <v>8561</v>
      </c>
    </row>
    <row r="1148" spans="1:6" x14ac:dyDescent="0.35">
      <c r="A1148" s="50" t="s">
        <v>8560</v>
      </c>
      <c r="B1148" s="52" t="s">
        <v>8559</v>
      </c>
      <c r="E1148" s="57"/>
    </row>
    <row r="1149" spans="1:6" x14ac:dyDescent="0.35">
      <c r="A1149" s="50" t="s">
        <v>8556</v>
      </c>
      <c r="B1149" s="52" t="s">
        <v>8555</v>
      </c>
    </row>
    <row r="1150" spans="1:6" x14ac:dyDescent="0.35">
      <c r="A1150" s="50" t="s">
        <v>8550</v>
      </c>
      <c r="B1150" s="52" t="s">
        <v>8549</v>
      </c>
    </row>
    <row r="1151" spans="1:6" x14ac:dyDescent="0.35">
      <c r="A1151" s="50" t="s">
        <v>8547</v>
      </c>
      <c r="B1151" s="52" t="s">
        <v>8546</v>
      </c>
    </row>
    <row r="1152" spans="1:6" x14ac:dyDescent="0.35">
      <c r="A1152" s="50" t="s">
        <v>8545</v>
      </c>
      <c r="B1152" s="52" t="s">
        <v>8544</v>
      </c>
    </row>
    <row r="1153" spans="1:6" x14ac:dyDescent="0.35">
      <c r="A1153" s="50" t="s">
        <v>8540</v>
      </c>
      <c r="B1153" s="52" t="s">
        <v>8539</v>
      </c>
    </row>
    <row r="1154" spans="1:6" x14ac:dyDescent="0.35">
      <c r="A1154" s="50" t="s">
        <v>8538</v>
      </c>
      <c r="B1154" s="52" t="s">
        <v>8537</v>
      </c>
    </row>
    <row r="1155" spans="1:6" x14ac:dyDescent="0.35">
      <c r="A1155" s="50" t="s">
        <v>8536</v>
      </c>
      <c r="B1155" s="52" t="s">
        <v>8535</v>
      </c>
    </row>
    <row r="1156" spans="1:6" x14ac:dyDescent="0.35">
      <c r="A1156" s="50" t="s">
        <v>8531</v>
      </c>
      <c r="B1156" s="52" t="s">
        <v>8530</v>
      </c>
      <c r="E1156" s="57"/>
    </row>
    <row r="1157" spans="1:6" x14ac:dyDescent="0.35">
      <c r="B1157" s="52" t="s">
        <v>8525</v>
      </c>
    </row>
    <row r="1158" spans="1:6" x14ac:dyDescent="0.35">
      <c r="A1158" s="50" t="s">
        <v>8521</v>
      </c>
      <c r="B1158" s="52" t="s">
        <v>8520</v>
      </c>
    </row>
    <row r="1159" spans="1:6" x14ac:dyDescent="0.35">
      <c r="A1159" s="50" t="s">
        <v>8518</v>
      </c>
      <c r="B1159" s="52" t="s">
        <v>8517</v>
      </c>
    </row>
    <row r="1160" spans="1:6" x14ac:dyDescent="0.35">
      <c r="A1160" s="50" t="s">
        <v>8516</v>
      </c>
      <c r="B1160" s="52" t="s">
        <v>8515</v>
      </c>
    </row>
    <row r="1161" spans="1:6" x14ac:dyDescent="0.35">
      <c r="B1161" s="52" t="s">
        <v>8508</v>
      </c>
      <c r="E1161" s="57"/>
    </row>
    <row r="1162" spans="1:6" x14ac:dyDescent="0.35">
      <c r="A1162" s="50" t="s">
        <v>8498</v>
      </c>
      <c r="B1162" s="52" t="s">
        <v>8497</v>
      </c>
    </row>
    <row r="1163" spans="1:6" x14ac:dyDescent="0.35">
      <c r="A1163" s="50" t="s">
        <v>8495</v>
      </c>
      <c r="B1163" s="52" t="s">
        <v>8494</v>
      </c>
    </row>
    <row r="1164" spans="1:6" x14ac:dyDescent="0.35">
      <c r="A1164" s="50" t="s">
        <v>8493</v>
      </c>
      <c r="B1164" s="52" t="s">
        <v>8492</v>
      </c>
    </row>
    <row r="1165" spans="1:6" x14ac:dyDescent="0.35">
      <c r="A1165" s="50" t="s">
        <v>8489</v>
      </c>
      <c r="B1165" s="52" t="s">
        <v>8488</v>
      </c>
    </row>
    <row r="1166" spans="1:6" x14ac:dyDescent="0.35">
      <c r="A1166" s="50" t="s">
        <v>8487</v>
      </c>
      <c r="B1166" s="52" t="s">
        <v>8486</v>
      </c>
    </row>
    <row r="1167" spans="1:6" x14ac:dyDescent="0.35">
      <c r="A1167" s="50" t="s">
        <v>8484</v>
      </c>
      <c r="B1167" s="52" t="s">
        <v>8483</v>
      </c>
      <c r="F1167" s="57"/>
    </row>
    <row r="1168" spans="1:6" x14ac:dyDescent="0.35">
      <c r="A1168" s="50" t="s">
        <v>8477</v>
      </c>
      <c r="B1168" s="52" t="s">
        <v>8476</v>
      </c>
    </row>
    <row r="1169" spans="1:6" x14ac:dyDescent="0.35">
      <c r="A1169" s="50" t="s">
        <v>8475</v>
      </c>
      <c r="B1169" s="52" t="s">
        <v>8474</v>
      </c>
      <c r="E1169" s="57"/>
    </row>
    <row r="1170" spans="1:6" x14ac:dyDescent="0.35">
      <c r="A1170" s="50" t="s">
        <v>8473</v>
      </c>
      <c r="B1170" s="52" t="s">
        <v>8472</v>
      </c>
      <c r="F1170" s="57"/>
    </row>
    <row r="1171" spans="1:6" x14ac:dyDescent="0.35">
      <c r="A1171" s="50" t="s">
        <v>8471</v>
      </c>
      <c r="B1171" s="52" t="s">
        <v>8470</v>
      </c>
    </row>
    <row r="1172" spans="1:6" x14ac:dyDescent="0.35">
      <c r="A1172" s="50" t="s">
        <v>8469</v>
      </c>
      <c r="B1172" s="52" t="s">
        <v>8468</v>
      </c>
    </row>
    <row r="1173" spans="1:6" x14ac:dyDescent="0.35">
      <c r="A1173" s="50" t="s">
        <v>8466</v>
      </c>
      <c r="B1173" s="52" t="s">
        <v>8465</v>
      </c>
      <c r="E1173" s="57"/>
    </row>
    <row r="1174" spans="1:6" x14ac:dyDescent="0.35">
      <c r="A1174" s="50" t="s">
        <v>8464</v>
      </c>
      <c r="B1174" s="52" t="s">
        <v>8463</v>
      </c>
    </row>
    <row r="1175" spans="1:6" x14ac:dyDescent="0.35">
      <c r="B1175" s="52" t="s">
        <v>8460</v>
      </c>
    </row>
    <row r="1176" spans="1:6" x14ac:dyDescent="0.35">
      <c r="B1176" s="52" t="s">
        <v>8459</v>
      </c>
    </row>
    <row r="1177" spans="1:6" x14ac:dyDescent="0.35">
      <c r="B1177" s="52" t="s">
        <v>8458</v>
      </c>
    </row>
    <row r="1178" spans="1:6" x14ac:dyDescent="0.35">
      <c r="A1178" s="50" t="s">
        <v>8457</v>
      </c>
      <c r="B1178" s="52" t="s">
        <v>8456</v>
      </c>
    </row>
    <row r="1179" spans="1:6" x14ac:dyDescent="0.35">
      <c r="B1179" s="52" t="s">
        <v>8455</v>
      </c>
      <c r="E1179" s="57"/>
    </row>
    <row r="1180" spans="1:6" x14ac:dyDescent="0.35">
      <c r="A1180" s="50" t="s">
        <v>8453</v>
      </c>
      <c r="B1180" s="52" t="s">
        <v>8452</v>
      </c>
    </row>
    <row r="1181" spans="1:6" x14ac:dyDescent="0.35">
      <c r="A1181" s="50" t="s">
        <v>8450</v>
      </c>
      <c r="B1181" s="52" t="s">
        <v>8449</v>
      </c>
      <c r="F1181" s="57"/>
    </row>
    <row r="1182" spans="1:6" x14ac:dyDescent="0.35">
      <c r="A1182" s="50" t="s">
        <v>8447</v>
      </c>
      <c r="B1182" s="52" t="s">
        <v>8446</v>
      </c>
    </row>
    <row r="1183" spans="1:6" x14ac:dyDescent="0.35">
      <c r="A1183" s="50" t="s">
        <v>8445</v>
      </c>
      <c r="B1183" s="52" t="s">
        <v>8444</v>
      </c>
    </row>
    <row r="1184" spans="1:6" x14ac:dyDescent="0.35">
      <c r="A1184" s="50" t="s">
        <v>8443</v>
      </c>
      <c r="B1184" s="52" t="s">
        <v>8442</v>
      </c>
    </row>
    <row r="1185" spans="1:5" x14ac:dyDescent="0.35">
      <c r="A1185" s="50" t="s">
        <v>8439</v>
      </c>
      <c r="B1185" s="52" t="s">
        <v>8438</v>
      </c>
    </row>
    <row r="1186" spans="1:5" x14ac:dyDescent="0.35">
      <c r="A1186" s="50" t="s">
        <v>8437</v>
      </c>
      <c r="B1186" s="52" t="s">
        <v>8436</v>
      </c>
    </row>
    <row r="1187" spans="1:5" x14ac:dyDescent="0.35">
      <c r="A1187" s="50" t="s">
        <v>8435</v>
      </c>
      <c r="B1187" s="52" t="s">
        <v>8434</v>
      </c>
    </row>
    <row r="1188" spans="1:5" x14ac:dyDescent="0.35">
      <c r="A1188" s="50" t="s">
        <v>8433</v>
      </c>
      <c r="B1188" s="52" t="s">
        <v>8432</v>
      </c>
    </row>
    <row r="1189" spans="1:5" x14ac:dyDescent="0.35">
      <c r="A1189" s="50" t="s">
        <v>8431</v>
      </c>
      <c r="B1189" s="52" t="s">
        <v>8430</v>
      </c>
      <c r="E1189" s="57"/>
    </row>
    <row r="1190" spans="1:5" x14ac:dyDescent="0.35">
      <c r="A1190" s="50" t="s">
        <v>8423</v>
      </c>
      <c r="B1190" s="52" t="s">
        <v>8422</v>
      </c>
    </row>
    <row r="1191" spans="1:5" x14ac:dyDescent="0.35">
      <c r="A1191" s="50" t="s">
        <v>8419</v>
      </c>
      <c r="B1191" s="52" t="s">
        <v>8418</v>
      </c>
      <c r="E1191" s="57"/>
    </row>
    <row r="1192" spans="1:5" x14ac:dyDescent="0.35">
      <c r="B1192" s="52" t="s">
        <v>8417</v>
      </c>
      <c r="E1192" s="57"/>
    </row>
    <row r="1193" spans="1:5" x14ac:dyDescent="0.35">
      <c r="A1193" s="50" t="s">
        <v>8412</v>
      </c>
      <c r="B1193" s="52" t="s">
        <v>8411</v>
      </c>
    </row>
    <row r="1194" spans="1:5" x14ac:dyDescent="0.35">
      <c r="A1194" s="50" t="s">
        <v>8410</v>
      </c>
      <c r="B1194" s="52" t="s">
        <v>8409</v>
      </c>
    </row>
    <row r="1195" spans="1:5" x14ac:dyDescent="0.35">
      <c r="A1195" s="50" t="s">
        <v>8408</v>
      </c>
      <c r="B1195" s="52" t="s">
        <v>8407</v>
      </c>
    </row>
    <row r="1196" spans="1:5" x14ac:dyDescent="0.35">
      <c r="A1196" s="50" t="s">
        <v>8405</v>
      </c>
      <c r="B1196" s="52" t="s">
        <v>8404</v>
      </c>
    </row>
    <row r="1197" spans="1:5" x14ac:dyDescent="0.35">
      <c r="A1197" s="50" t="s">
        <v>8402</v>
      </c>
      <c r="B1197" s="52" t="s">
        <v>8401</v>
      </c>
    </row>
    <row r="1198" spans="1:5" x14ac:dyDescent="0.35">
      <c r="A1198" s="50" t="s">
        <v>8400</v>
      </c>
      <c r="B1198" s="52" t="s">
        <v>8399</v>
      </c>
    </row>
    <row r="1199" spans="1:5" x14ac:dyDescent="0.35">
      <c r="A1199" s="50" t="s">
        <v>8396</v>
      </c>
      <c r="B1199" s="52" t="s">
        <v>8395</v>
      </c>
    </row>
    <row r="1200" spans="1:5" x14ac:dyDescent="0.35">
      <c r="A1200" s="50" t="s">
        <v>8394</v>
      </c>
      <c r="B1200" s="52" t="s">
        <v>8393</v>
      </c>
    </row>
    <row r="1201" spans="1:5" x14ac:dyDescent="0.35">
      <c r="A1201" s="50" t="s">
        <v>8391</v>
      </c>
      <c r="B1201" s="52" t="s">
        <v>8390</v>
      </c>
      <c r="E1201" s="57"/>
    </row>
    <row r="1202" spans="1:5" x14ac:dyDescent="0.35">
      <c r="B1202" s="52" t="s">
        <v>8386</v>
      </c>
    </row>
    <row r="1203" spans="1:5" x14ac:dyDescent="0.35">
      <c r="B1203" s="52" t="s">
        <v>8385</v>
      </c>
    </row>
    <row r="1204" spans="1:5" x14ac:dyDescent="0.35">
      <c r="A1204" s="50" t="s">
        <v>8383</v>
      </c>
      <c r="B1204" s="52" t="s">
        <v>8382</v>
      </c>
    </row>
    <row r="1205" spans="1:5" x14ac:dyDescent="0.35">
      <c r="A1205" s="50" t="s">
        <v>8379</v>
      </c>
      <c r="B1205" s="52" t="s">
        <v>8378</v>
      </c>
    </row>
    <row r="1206" spans="1:5" x14ac:dyDescent="0.35">
      <c r="A1206" s="50" t="s">
        <v>8377</v>
      </c>
      <c r="B1206" s="52" t="s">
        <v>8376</v>
      </c>
    </row>
    <row r="1207" spans="1:5" x14ac:dyDescent="0.35">
      <c r="A1207" s="50" t="s">
        <v>8375</v>
      </c>
      <c r="B1207" s="52" t="s">
        <v>8374</v>
      </c>
    </row>
    <row r="1208" spans="1:5" x14ac:dyDescent="0.35">
      <c r="A1208" s="50" t="s">
        <v>8373</v>
      </c>
      <c r="B1208" s="52" t="s">
        <v>8372</v>
      </c>
    </row>
    <row r="1209" spans="1:5" x14ac:dyDescent="0.35">
      <c r="B1209" s="52" t="s">
        <v>8371</v>
      </c>
    </row>
    <row r="1210" spans="1:5" x14ac:dyDescent="0.35">
      <c r="A1210" s="50" t="s">
        <v>8369</v>
      </c>
      <c r="B1210" s="52" t="s">
        <v>8368</v>
      </c>
    </row>
    <row r="1211" spans="1:5" x14ac:dyDescent="0.35">
      <c r="A1211" s="50" t="s">
        <v>8367</v>
      </c>
      <c r="B1211" s="52" t="s">
        <v>8366</v>
      </c>
    </row>
    <row r="1212" spans="1:5" x14ac:dyDescent="0.35">
      <c r="A1212" s="50" t="s">
        <v>8365</v>
      </c>
      <c r="B1212" s="52" t="s">
        <v>8364</v>
      </c>
    </row>
    <row r="1213" spans="1:5" x14ac:dyDescent="0.35">
      <c r="A1213" s="50" t="s">
        <v>8363</v>
      </c>
      <c r="B1213" s="52" t="s">
        <v>8362</v>
      </c>
    </row>
    <row r="1214" spans="1:5" x14ac:dyDescent="0.35">
      <c r="A1214" s="50" t="s">
        <v>8361</v>
      </c>
      <c r="B1214" s="52" t="s">
        <v>8360</v>
      </c>
    </row>
    <row r="1215" spans="1:5" x14ac:dyDescent="0.35">
      <c r="A1215" s="50" t="s">
        <v>8358</v>
      </c>
      <c r="B1215" s="52" t="s">
        <v>8357</v>
      </c>
    </row>
    <row r="1216" spans="1:5" x14ac:dyDescent="0.35">
      <c r="A1216" s="50" t="s">
        <v>8356</v>
      </c>
      <c r="B1216" s="52" t="s">
        <v>8355</v>
      </c>
    </row>
    <row r="1217" spans="1:6" x14ac:dyDescent="0.35">
      <c r="A1217" s="50" t="s">
        <v>8354</v>
      </c>
      <c r="B1217" s="52" t="s">
        <v>8353</v>
      </c>
    </row>
    <row r="1218" spans="1:6" x14ac:dyDescent="0.35">
      <c r="A1218" s="50" t="s">
        <v>8352</v>
      </c>
      <c r="B1218" s="52" t="s">
        <v>8351</v>
      </c>
    </row>
    <row r="1219" spans="1:6" x14ac:dyDescent="0.35">
      <c r="A1219" s="50" t="s">
        <v>8350</v>
      </c>
      <c r="B1219" s="52" t="s">
        <v>8349</v>
      </c>
    </row>
    <row r="1220" spans="1:6" x14ac:dyDescent="0.35">
      <c r="A1220" s="50" t="s">
        <v>8348</v>
      </c>
      <c r="B1220" s="52" t="s">
        <v>8347</v>
      </c>
      <c r="F1220" s="57"/>
    </row>
    <row r="1221" spans="1:6" x14ac:dyDescent="0.35">
      <c r="A1221" s="50" t="s">
        <v>8345</v>
      </c>
      <c r="B1221" s="52" t="s">
        <v>8344</v>
      </c>
    </row>
    <row r="1222" spans="1:6" x14ac:dyDescent="0.35">
      <c r="A1222" s="50" t="s">
        <v>8343</v>
      </c>
      <c r="B1222" s="52" t="s">
        <v>8342</v>
      </c>
    </row>
    <row r="1223" spans="1:6" x14ac:dyDescent="0.35">
      <c r="A1223" s="50" t="s">
        <v>8341</v>
      </c>
      <c r="B1223" s="52" t="s">
        <v>8340</v>
      </c>
    </row>
    <row r="1224" spans="1:6" x14ac:dyDescent="0.35">
      <c r="A1224" s="50" t="s">
        <v>8338</v>
      </c>
      <c r="B1224" s="52" t="s">
        <v>8337</v>
      </c>
    </row>
    <row r="1225" spans="1:6" x14ac:dyDescent="0.35">
      <c r="A1225" s="50" t="s">
        <v>8334</v>
      </c>
      <c r="B1225" s="52" t="s">
        <v>8333</v>
      </c>
      <c r="F1225" s="57"/>
    </row>
    <row r="1226" spans="1:6" x14ac:dyDescent="0.35">
      <c r="A1226" s="50" t="s">
        <v>8332</v>
      </c>
      <c r="B1226" s="52" t="s">
        <v>8331</v>
      </c>
    </row>
    <row r="1227" spans="1:6" x14ac:dyDescent="0.35">
      <c r="B1227" s="52" t="s">
        <v>8330</v>
      </c>
    </row>
    <row r="1228" spans="1:6" x14ac:dyDescent="0.35">
      <c r="B1228" s="52" t="s">
        <v>8329</v>
      </c>
      <c r="F1228" s="57"/>
    </row>
    <row r="1229" spans="1:6" x14ac:dyDescent="0.35">
      <c r="B1229" s="52" t="s">
        <v>8328</v>
      </c>
      <c r="E1229" s="57"/>
    </row>
    <row r="1230" spans="1:6" x14ac:dyDescent="0.35">
      <c r="A1230" s="50" t="s">
        <v>8326</v>
      </c>
      <c r="B1230" s="52" t="s">
        <v>8325</v>
      </c>
    </row>
    <row r="1231" spans="1:6" x14ac:dyDescent="0.35">
      <c r="A1231" s="50" t="s">
        <v>8324</v>
      </c>
      <c r="B1231" s="52" t="s">
        <v>8323</v>
      </c>
    </row>
    <row r="1232" spans="1:6" x14ac:dyDescent="0.35">
      <c r="A1232" s="50" t="s">
        <v>8322</v>
      </c>
      <c r="B1232" s="52" t="s">
        <v>8321</v>
      </c>
    </row>
    <row r="1233" spans="1:5" x14ac:dyDescent="0.35">
      <c r="A1233" s="50" t="s">
        <v>8320</v>
      </c>
      <c r="B1233" s="52" t="s">
        <v>8319</v>
      </c>
      <c r="E1233" s="57"/>
    </row>
    <row r="1234" spans="1:5" x14ac:dyDescent="0.35">
      <c r="A1234" s="50" t="s">
        <v>8318</v>
      </c>
      <c r="B1234" s="52" t="s">
        <v>8317</v>
      </c>
      <c r="E1234" s="57"/>
    </row>
    <row r="1235" spans="1:5" x14ac:dyDescent="0.35">
      <c r="A1235" s="50" t="s">
        <v>8313</v>
      </c>
      <c r="B1235" s="52" t="s">
        <v>8312</v>
      </c>
      <c r="E1235" s="57"/>
    </row>
    <row r="1236" spans="1:5" x14ac:dyDescent="0.35">
      <c r="A1236" s="50" t="s">
        <v>8311</v>
      </c>
      <c r="B1236" s="52" t="s">
        <v>8310</v>
      </c>
      <c r="E1236" s="57"/>
    </row>
    <row r="1237" spans="1:5" x14ac:dyDescent="0.35">
      <c r="A1237" s="50" t="s">
        <v>8307</v>
      </c>
      <c r="B1237" s="52" t="s">
        <v>8306</v>
      </c>
      <c r="E1237" s="57"/>
    </row>
    <row r="1238" spans="1:5" x14ac:dyDescent="0.35">
      <c r="A1238" s="50" t="s">
        <v>8304</v>
      </c>
      <c r="B1238" s="52" t="s">
        <v>8303</v>
      </c>
    </row>
    <row r="1239" spans="1:5" x14ac:dyDescent="0.35">
      <c r="A1239" s="50" t="s">
        <v>8301</v>
      </c>
      <c r="B1239" s="52" t="s">
        <v>8300</v>
      </c>
    </row>
    <row r="1240" spans="1:5" x14ac:dyDescent="0.35">
      <c r="A1240" s="50" t="s">
        <v>8299</v>
      </c>
      <c r="B1240" s="52" t="s">
        <v>8298</v>
      </c>
    </row>
    <row r="1241" spans="1:5" x14ac:dyDescent="0.35">
      <c r="A1241" s="50" t="s">
        <v>8297</v>
      </c>
      <c r="B1241" s="52" t="s">
        <v>8296</v>
      </c>
    </row>
    <row r="1242" spans="1:5" x14ac:dyDescent="0.35">
      <c r="A1242" s="50" t="s">
        <v>8295</v>
      </c>
      <c r="B1242" s="52" t="s">
        <v>8294</v>
      </c>
    </row>
    <row r="1243" spans="1:5" x14ac:dyDescent="0.35">
      <c r="A1243" s="50" t="s">
        <v>8293</v>
      </c>
      <c r="B1243" s="52" t="s">
        <v>8292</v>
      </c>
    </row>
    <row r="1244" spans="1:5" x14ac:dyDescent="0.35">
      <c r="A1244" s="50" t="s">
        <v>8290</v>
      </c>
      <c r="B1244" s="52" t="s">
        <v>8289</v>
      </c>
    </row>
    <row r="1245" spans="1:5" x14ac:dyDescent="0.35">
      <c r="A1245" s="50" t="s">
        <v>8285</v>
      </c>
      <c r="B1245" s="52" t="s">
        <v>8284</v>
      </c>
    </row>
    <row r="1246" spans="1:5" x14ac:dyDescent="0.35">
      <c r="A1246" s="50" t="s">
        <v>8280</v>
      </c>
      <c r="B1246" s="52" t="s">
        <v>8279</v>
      </c>
    </row>
    <row r="1247" spans="1:5" x14ac:dyDescent="0.35">
      <c r="A1247" s="50" t="s">
        <v>8276</v>
      </c>
      <c r="B1247" s="52" t="s">
        <v>8275</v>
      </c>
    </row>
    <row r="1248" spans="1:5" x14ac:dyDescent="0.35">
      <c r="A1248" s="50" t="s">
        <v>8274</v>
      </c>
      <c r="B1248" s="52" t="s">
        <v>8273</v>
      </c>
    </row>
    <row r="1249" spans="1:5" x14ac:dyDescent="0.35">
      <c r="A1249" s="50" t="s">
        <v>8271</v>
      </c>
      <c r="B1249" s="52" t="s">
        <v>8270</v>
      </c>
    </row>
    <row r="1250" spans="1:5" x14ac:dyDescent="0.35">
      <c r="A1250" s="50" t="s">
        <v>8265</v>
      </c>
      <c r="B1250" s="52" t="s">
        <v>8264</v>
      </c>
    </row>
    <row r="1251" spans="1:5" x14ac:dyDescent="0.35">
      <c r="A1251" s="50" t="s">
        <v>8263</v>
      </c>
      <c r="B1251" s="52" t="s">
        <v>8262</v>
      </c>
    </row>
    <row r="1252" spans="1:5" x14ac:dyDescent="0.35">
      <c r="B1252" s="52" t="s">
        <v>8261</v>
      </c>
    </row>
    <row r="1253" spans="1:5" x14ac:dyDescent="0.35">
      <c r="A1253" s="50" t="s">
        <v>8238</v>
      </c>
      <c r="B1253" s="52" t="s">
        <v>8237</v>
      </c>
    </row>
    <row r="1254" spans="1:5" x14ac:dyDescent="0.35">
      <c r="A1254" s="50" t="s">
        <v>8234</v>
      </c>
      <c r="B1254" s="52" t="s">
        <v>8233</v>
      </c>
    </row>
    <row r="1255" spans="1:5" x14ac:dyDescent="0.35">
      <c r="A1255" s="50" t="s">
        <v>8232</v>
      </c>
      <c r="B1255" s="52" t="s">
        <v>8231</v>
      </c>
    </row>
    <row r="1256" spans="1:5" x14ac:dyDescent="0.35">
      <c r="A1256" s="50" t="s">
        <v>8230</v>
      </c>
      <c r="B1256" s="52" t="s">
        <v>8229</v>
      </c>
    </row>
    <row r="1257" spans="1:5" x14ac:dyDescent="0.35">
      <c r="A1257" s="50" t="s">
        <v>8227</v>
      </c>
      <c r="B1257" s="52" t="s">
        <v>8226</v>
      </c>
      <c r="E1257" s="57"/>
    </row>
    <row r="1258" spans="1:5" x14ac:dyDescent="0.35">
      <c r="B1258" s="52" t="s">
        <v>8225</v>
      </c>
    </row>
    <row r="1259" spans="1:5" x14ac:dyDescent="0.35">
      <c r="A1259" s="50" t="s">
        <v>8224</v>
      </c>
      <c r="B1259" s="52" t="s">
        <v>8223</v>
      </c>
    </row>
    <row r="1260" spans="1:5" x14ac:dyDescent="0.35">
      <c r="A1260" s="50" t="s">
        <v>8221</v>
      </c>
      <c r="B1260" s="52" t="s">
        <v>8220</v>
      </c>
    </row>
    <row r="1261" spans="1:5" x14ac:dyDescent="0.35">
      <c r="A1261" s="50" t="s">
        <v>8213</v>
      </c>
      <c r="B1261" s="52" t="s">
        <v>8212</v>
      </c>
    </row>
    <row r="1262" spans="1:5" x14ac:dyDescent="0.35">
      <c r="A1262" s="50" t="s">
        <v>8211</v>
      </c>
      <c r="B1262" s="52" t="s">
        <v>8210</v>
      </c>
    </row>
    <row r="1263" spans="1:5" x14ac:dyDescent="0.35">
      <c r="A1263" s="50" t="s">
        <v>8208</v>
      </c>
      <c r="B1263" s="52" t="s">
        <v>8207</v>
      </c>
    </row>
    <row r="1264" spans="1:5" x14ac:dyDescent="0.35">
      <c r="A1264" s="50" t="s">
        <v>8201</v>
      </c>
      <c r="B1264" s="52" t="s">
        <v>8200</v>
      </c>
    </row>
    <row r="1265" spans="1:5" x14ac:dyDescent="0.35">
      <c r="A1265" s="50" t="s">
        <v>8196</v>
      </c>
      <c r="B1265" s="52" t="s">
        <v>8195</v>
      </c>
    </row>
    <row r="1266" spans="1:5" x14ac:dyDescent="0.35">
      <c r="A1266" s="50" t="s">
        <v>8194</v>
      </c>
      <c r="B1266" s="52" t="s">
        <v>8193</v>
      </c>
    </row>
    <row r="1267" spans="1:5" x14ac:dyDescent="0.35">
      <c r="A1267" s="50" t="s">
        <v>8192</v>
      </c>
      <c r="B1267" s="52" t="s">
        <v>8191</v>
      </c>
      <c r="E1267" s="57"/>
    </row>
    <row r="1268" spans="1:5" x14ac:dyDescent="0.35">
      <c r="A1268" s="50" t="s">
        <v>8190</v>
      </c>
      <c r="B1268" s="52" t="s">
        <v>8189</v>
      </c>
    </row>
    <row r="1269" spans="1:5" x14ac:dyDescent="0.35">
      <c r="A1269" s="50" t="s">
        <v>8188</v>
      </c>
      <c r="B1269" s="52" t="s">
        <v>8187</v>
      </c>
    </row>
    <row r="1270" spans="1:5" x14ac:dyDescent="0.35">
      <c r="A1270" s="50" t="s">
        <v>8186</v>
      </c>
      <c r="B1270" s="52" t="s">
        <v>8185</v>
      </c>
    </row>
    <row r="1271" spans="1:5" x14ac:dyDescent="0.35">
      <c r="A1271" s="50" t="s">
        <v>8184</v>
      </c>
      <c r="B1271" s="52" t="s">
        <v>8183</v>
      </c>
    </row>
    <row r="1272" spans="1:5" x14ac:dyDescent="0.35">
      <c r="A1272" s="50" t="s">
        <v>8182</v>
      </c>
      <c r="B1272" s="52" t="s">
        <v>8181</v>
      </c>
    </row>
    <row r="1273" spans="1:5" x14ac:dyDescent="0.35">
      <c r="A1273" s="50" t="s">
        <v>8180</v>
      </c>
      <c r="B1273" s="52" t="s">
        <v>8179</v>
      </c>
      <c r="E1273" s="57"/>
    </row>
    <row r="1274" spans="1:5" x14ac:dyDescent="0.35">
      <c r="B1274" s="52" t="s">
        <v>8178</v>
      </c>
    </row>
    <row r="1275" spans="1:5" x14ac:dyDescent="0.35">
      <c r="A1275" s="50" t="s">
        <v>8177</v>
      </c>
      <c r="B1275" s="52" t="s">
        <v>8176</v>
      </c>
    </row>
    <row r="1276" spans="1:5" x14ac:dyDescent="0.35">
      <c r="B1276" s="52" t="s">
        <v>8169</v>
      </c>
      <c r="E1276" s="57"/>
    </row>
    <row r="1277" spans="1:5" x14ac:dyDescent="0.35">
      <c r="A1277" s="50" t="s">
        <v>8168</v>
      </c>
      <c r="B1277" s="52" t="s">
        <v>8167</v>
      </c>
    </row>
    <row r="1278" spans="1:5" x14ac:dyDescent="0.35">
      <c r="B1278" s="52" t="s">
        <v>8166</v>
      </c>
    </row>
    <row r="1279" spans="1:5" x14ac:dyDescent="0.35">
      <c r="A1279" s="50" t="s">
        <v>8165</v>
      </c>
      <c r="B1279" s="52" t="s">
        <v>8164</v>
      </c>
    </row>
    <row r="1280" spans="1:5" x14ac:dyDescent="0.35">
      <c r="A1280" s="50" t="s">
        <v>8163</v>
      </c>
      <c r="B1280" s="52" t="s">
        <v>8162</v>
      </c>
    </row>
    <row r="1281" spans="1:7" x14ac:dyDescent="0.35">
      <c r="A1281" s="50" t="s">
        <v>8160</v>
      </c>
      <c r="B1281" s="52" t="s">
        <v>8159</v>
      </c>
    </row>
    <row r="1282" spans="1:7" x14ac:dyDescent="0.35">
      <c r="A1282" s="50" t="s">
        <v>8158</v>
      </c>
      <c r="B1282" s="52" t="s">
        <v>8157</v>
      </c>
      <c r="E1282" s="57"/>
    </row>
    <row r="1283" spans="1:7" x14ac:dyDescent="0.35">
      <c r="A1283" s="50" t="s">
        <v>8156</v>
      </c>
      <c r="B1283" s="52" t="s">
        <v>8155</v>
      </c>
    </row>
    <row r="1284" spans="1:7" x14ac:dyDescent="0.35">
      <c r="A1284" s="50" t="s">
        <v>8154</v>
      </c>
      <c r="B1284" s="52" t="s">
        <v>8153</v>
      </c>
    </row>
    <row r="1285" spans="1:7" x14ac:dyDescent="0.35">
      <c r="A1285" s="50" t="s">
        <v>8151</v>
      </c>
      <c r="B1285" s="52" t="s">
        <v>8150</v>
      </c>
    </row>
    <row r="1286" spans="1:7" x14ac:dyDescent="0.35">
      <c r="A1286" s="50" t="s">
        <v>8146</v>
      </c>
      <c r="B1286" s="52" t="s">
        <v>8145</v>
      </c>
      <c r="G1286" s="57"/>
    </row>
    <row r="1287" spans="1:7" x14ac:dyDescent="0.35">
      <c r="A1287" s="50" t="s">
        <v>8144</v>
      </c>
      <c r="B1287" s="52" t="s">
        <v>8143</v>
      </c>
      <c r="E1287" s="57"/>
    </row>
    <row r="1288" spans="1:7" x14ac:dyDescent="0.35">
      <c r="A1288" s="50" t="s">
        <v>8142</v>
      </c>
      <c r="B1288" s="52" t="s">
        <v>8141</v>
      </c>
    </row>
    <row r="1289" spans="1:7" x14ac:dyDescent="0.35">
      <c r="A1289" s="50" t="s">
        <v>8140</v>
      </c>
      <c r="B1289" s="52" t="s">
        <v>8139</v>
      </c>
    </row>
    <row r="1290" spans="1:7" x14ac:dyDescent="0.35">
      <c r="A1290" s="50" t="s">
        <v>8138</v>
      </c>
      <c r="B1290" s="52" t="s">
        <v>8137</v>
      </c>
    </row>
    <row r="1291" spans="1:7" x14ac:dyDescent="0.35">
      <c r="A1291" s="50" t="s">
        <v>8136</v>
      </c>
      <c r="B1291" s="52" t="s">
        <v>8135</v>
      </c>
    </row>
    <row r="1292" spans="1:7" x14ac:dyDescent="0.35">
      <c r="A1292" s="50" t="s">
        <v>8134</v>
      </c>
      <c r="B1292" s="52" t="s">
        <v>8133</v>
      </c>
    </row>
    <row r="1293" spans="1:7" x14ac:dyDescent="0.35">
      <c r="A1293" s="50" t="s">
        <v>8130</v>
      </c>
      <c r="B1293" s="52" t="s">
        <v>8129</v>
      </c>
    </row>
    <row r="1294" spans="1:7" x14ac:dyDescent="0.35">
      <c r="A1294" s="50" t="s">
        <v>8128</v>
      </c>
      <c r="B1294" s="52" t="s">
        <v>8127</v>
      </c>
    </row>
    <row r="1295" spans="1:7" x14ac:dyDescent="0.35">
      <c r="A1295" s="50" t="s">
        <v>8125</v>
      </c>
      <c r="B1295" s="52" t="s">
        <v>8124</v>
      </c>
    </row>
    <row r="1296" spans="1:7" x14ac:dyDescent="0.35">
      <c r="A1296" s="50" t="s">
        <v>8123</v>
      </c>
      <c r="B1296" s="52" t="s">
        <v>8122</v>
      </c>
    </row>
    <row r="1297" spans="1:5" x14ac:dyDescent="0.35">
      <c r="A1297" s="50" t="s">
        <v>8119</v>
      </c>
      <c r="B1297" s="52" t="s">
        <v>8118</v>
      </c>
    </row>
    <row r="1298" spans="1:5" x14ac:dyDescent="0.35">
      <c r="A1298" s="50" t="s">
        <v>8117</v>
      </c>
      <c r="B1298" s="52" t="s">
        <v>8116</v>
      </c>
    </row>
    <row r="1299" spans="1:5" x14ac:dyDescent="0.35">
      <c r="A1299" s="50" t="s">
        <v>8113</v>
      </c>
      <c r="B1299" s="52" t="s">
        <v>8112</v>
      </c>
    </row>
    <row r="1300" spans="1:5" x14ac:dyDescent="0.35">
      <c r="A1300" s="50" t="s">
        <v>8110</v>
      </c>
      <c r="B1300" s="52" t="s">
        <v>8109</v>
      </c>
    </row>
    <row r="1301" spans="1:5" x14ac:dyDescent="0.35">
      <c r="A1301" s="50" t="s">
        <v>8106</v>
      </c>
      <c r="B1301" s="52" t="s">
        <v>8105</v>
      </c>
    </row>
    <row r="1302" spans="1:5" x14ac:dyDescent="0.35">
      <c r="A1302" s="50" t="s">
        <v>8103</v>
      </c>
      <c r="B1302" s="52" t="s">
        <v>8102</v>
      </c>
    </row>
    <row r="1303" spans="1:5" x14ac:dyDescent="0.35">
      <c r="A1303" s="50" t="s">
        <v>8100</v>
      </c>
      <c r="B1303" s="52" t="s">
        <v>8099</v>
      </c>
    </row>
    <row r="1304" spans="1:5" x14ac:dyDescent="0.35">
      <c r="A1304" s="50" t="s">
        <v>8093</v>
      </c>
      <c r="B1304" s="52" t="s">
        <v>8092</v>
      </c>
    </row>
    <row r="1305" spans="1:5" x14ac:dyDescent="0.35">
      <c r="A1305" s="50" t="s">
        <v>8089</v>
      </c>
      <c r="B1305" s="52" t="s">
        <v>8088</v>
      </c>
    </row>
    <row r="1306" spans="1:5" x14ac:dyDescent="0.35">
      <c r="A1306" s="50" t="s">
        <v>8086</v>
      </c>
      <c r="B1306" s="52" t="s">
        <v>8085</v>
      </c>
    </row>
    <row r="1307" spans="1:5" x14ac:dyDescent="0.35">
      <c r="A1307" s="50" t="s">
        <v>8084</v>
      </c>
      <c r="B1307" s="52" t="s">
        <v>8083</v>
      </c>
    </row>
    <row r="1308" spans="1:5" x14ac:dyDescent="0.35">
      <c r="A1308" s="50" t="s">
        <v>8079</v>
      </c>
      <c r="B1308" s="52" t="s">
        <v>8078</v>
      </c>
    </row>
    <row r="1309" spans="1:5" x14ac:dyDescent="0.35">
      <c r="A1309" s="50" t="s">
        <v>8077</v>
      </c>
      <c r="B1309" s="52" t="s">
        <v>8076</v>
      </c>
      <c r="E1309" s="57"/>
    </row>
    <row r="1310" spans="1:5" x14ac:dyDescent="0.35">
      <c r="A1310" s="50" t="s">
        <v>8075</v>
      </c>
      <c r="B1310" s="52" t="s">
        <v>8074</v>
      </c>
    </row>
    <row r="1311" spans="1:5" x14ac:dyDescent="0.35">
      <c r="A1311" s="50" t="s">
        <v>8072</v>
      </c>
      <c r="B1311" s="52" t="s">
        <v>8071</v>
      </c>
    </row>
    <row r="1312" spans="1:5" x14ac:dyDescent="0.35">
      <c r="A1312" s="50" t="s">
        <v>8061</v>
      </c>
      <c r="B1312" s="52" t="s">
        <v>8060</v>
      </c>
      <c r="E1312" s="57"/>
    </row>
    <row r="1313" spans="1:5" x14ac:dyDescent="0.35">
      <c r="B1313" s="52" t="s">
        <v>8059</v>
      </c>
    </row>
    <row r="1314" spans="1:5" x14ac:dyDescent="0.35">
      <c r="B1314" s="52" t="s">
        <v>8058</v>
      </c>
    </row>
    <row r="1315" spans="1:5" x14ac:dyDescent="0.35">
      <c r="A1315" s="50" t="s">
        <v>8051</v>
      </c>
      <c r="B1315" s="52" t="s">
        <v>8050</v>
      </c>
    </row>
    <row r="1316" spans="1:5" x14ac:dyDescent="0.35">
      <c r="A1316" s="50" t="s">
        <v>8049</v>
      </c>
      <c r="B1316" s="52" t="s">
        <v>8048</v>
      </c>
      <c r="E1316" s="57"/>
    </row>
    <row r="1317" spans="1:5" x14ac:dyDescent="0.35">
      <c r="A1317" s="50" t="s">
        <v>8043</v>
      </c>
      <c r="B1317" s="52" t="s">
        <v>8042</v>
      </c>
    </row>
    <row r="1318" spans="1:5" x14ac:dyDescent="0.35">
      <c r="B1318" s="52" t="s">
        <v>8041</v>
      </c>
    </row>
    <row r="1319" spans="1:5" x14ac:dyDescent="0.35">
      <c r="B1319" s="52" t="s">
        <v>8038</v>
      </c>
      <c r="E1319" s="57"/>
    </row>
    <row r="1320" spans="1:5" x14ac:dyDescent="0.35">
      <c r="A1320" s="50" t="s">
        <v>8035</v>
      </c>
      <c r="B1320" s="52" t="s">
        <v>8034</v>
      </c>
    </row>
    <row r="1321" spans="1:5" x14ac:dyDescent="0.35">
      <c r="A1321" s="50" t="s">
        <v>8033</v>
      </c>
      <c r="B1321" s="52" t="s">
        <v>8032</v>
      </c>
    </row>
    <row r="1322" spans="1:5" x14ac:dyDescent="0.35">
      <c r="A1322" s="50" t="s">
        <v>8031</v>
      </c>
      <c r="B1322" s="52" t="s">
        <v>8030</v>
      </c>
    </row>
    <row r="1323" spans="1:5" x14ac:dyDescent="0.35">
      <c r="A1323" s="50" t="s">
        <v>7816</v>
      </c>
      <c r="B1323" s="52" t="s">
        <v>8029</v>
      </c>
    </row>
    <row r="1324" spans="1:5" x14ac:dyDescent="0.35">
      <c r="A1324" s="50" t="s">
        <v>8026</v>
      </c>
      <c r="B1324" s="52" t="s">
        <v>8025</v>
      </c>
    </row>
    <row r="1325" spans="1:5" x14ac:dyDescent="0.35">
      <c r="A1325" s="50" t="s">
        <v>8021</v>
      </c>
      <c r="B1325" s="52" t="s">
        <v>8020</v>
      </c>
    </row>
    <row r="1326" spans="1:5" x14ac:dyDescent="0.35">
      <c r="B1326" s="52" t="s">
        <v>8019</v>
      </c>
    </row>
    <row r="1327" spans="1:5" x14ac:dyDescent="0.35">
      <c r="A1327" s="50" t="s">
        <v>8017</v>
      </c>
      <c r="B1327" s="52" t="s">
        <v>8016</v>
      </c>
    </row>
    <row r="1328" spans="1:5" x14ac:dyDescent="0.35">
      <c r="A1328" s="50" t="s">
        <v>8015</v>
      </c>
      <c r="B1328" s="52" t="s">
        <v>8014</v>
      </c>
    </row>
    <row r="1329" spans="1:5" x14ac:dyDescent="0.35">
      <c r="A1329" s="50" t="s">
        <v>8012</v>
      </c>
      <c r="B1329" s="52" t="s">
        <v>8011</v>
      </c>
    </row>
    <row r="1330" spans="1:5" x14ac:dyDescent="0.35">
      <c r="A1330" s="50" t="s">
        <v>8005</v>
      </c>
      <c r="B1330" s="52" t="s">
        <v>8004</v>
      </c>
    </row>
    <row r="1331" spans="1:5" x14ac:dyDescent="0.35">
      <c r="A1331" s="50" t="s">
        <v>8002</v>
      </c>
      <c r="B1331" s="52" t="s">
        <v>8001</v>
      </c>
    </row>
    <row r="1332" spans="1:5" x14ac:dyDescent="0.35">
      <c r="A1332" s="50" t="s">
        <v>7999</v>
      </c>
      <c r="B1332" s="52" t="s">
        <v>7998</v>
      </c>
    </row>
    <row r="1333" spans="1:5" x14ac:dyDescent="0.35">
      <c r="A1333" s="50" t="s">
        <v>7995</v>
      </c>
      <c r="B1333" s="52" t="s">
        <v>7994</v>
      </c>
    </row>
    <row r="1334" spans="1:5" x14ac:dyDescent="0.35">
      <c r="A1334" s="50" t="s">
        <v>7990</v>
      </c>
      <c r="B1334" s="52" t="s">
        <v>7989</v>
      </c>
    </row>
    <row r="1335" spans="1:5" x14ac:dyDescent="0.35">
      <c r="A1335" s="50" t="s">
        <v>7985</v>
      </c>
      <c r="B1335" s="52" t="s">
        <v>7984</v>
      </c>
      <c r="E1335" s="57"/>
    </row>
    <row r="1336" spans="1:5" x14ac:dyDescent="0.35">
      <c r="B1336" s="52" t="s">
        <v>7983</v>
      </c>
    </row>
    <row r="1337" spans="1:5" x14ac:dyDescent="0.35">
      <c r="A1337" s="50" t="s">
        <v>7982</v>
      </c>
      <c r="B1337" s="52" t="s">
        <v>7981</v>
      </c>
    </row>
    <row r="1338" spans="1:5" x14ac:dyDescent="0.35">
      <c r="A1338" s="50" t="s">
        <v>7980</v>
      </c>
      <c r="B1338" s="52" t="s">
        <v>7979</v>
      </c>
    </row>
    <row r="1339" spans="1:5" x14ac:dyDescent="0.35">
      <c r="A1339" s="50" t="s">
        <v>7978</v>
      </c>
      <c r="B1339" s="52" t="s">
        <v>7977</v>
      </c>
    </row>
    <row r="1340" spans="1:5" x14ac:dyDescent="0.35">
      <c r="A1340" s="50" t="s">
        <v>7976</v>
      </c>
      <c r="B1340" s="52" t="s">
        <v>7975</v>
      </c>
    </row>
    <row r="1341" spans="1:5" x14ac:dyDescent="0.35">
      <c r="A1341" s="50" t="s">
        <v>7974</v>
      </c>
      <c r="B1341" s="52" t="s">
        <v>7973</v>
      </c>
    </row>
    <row r="1342" spans="1:5" x14ac:dyDescent="0.35">
      <c r="A1342" s="50" t="s">
        <v>7972</v>
      </c>
      <c r="B1342" s="52" t="s">
        <v>7971</v>
      </c>
    </row>
    <row r="1343" spans="1:5" x14ac:dyDescent="0.35">
      <c r="B1343" s="52" t="s">
        <v>7970</v>
      </c>
    </row>
    <row r="1344" spans="1:5" x14ac:dyDescent="0.35">
      <c r="A1344" s="50" t="s">
        <v>7969</v>
      </c>
      <c r="B1344" s="52" t="s">
        <v>7968</v>
      </c>
    </row>
    <row r="1345" spans="1:6" x14ac:dyDescent="0.35">
      <c r="A1345" s="50" t="s">
        <v>7967</v>
      </c>
      <c r="B1345" s="52" t="s">
        <v>7966</v>
      </c>
    </row>
    <row r="1346" spans="1:6" x14ac:dyDescent="0.35">
      <c r="A1346" s="50" t="s">
        <v>7963</v>
      </c>
      <c r="B1346" s="52" t="s">
        <v>7962</v>
      </c>
    </row>
    <row r="1347" spans="1:6" x14ac:dyDescent="0.35">
      <c r="B1347" s="52" t="s">
        <v>7961</v>
      </c>
    </row>
    <row r="1348" spans="1:6" x14ac:dyDescent="0.35">
      <c r="A1348" s="50" t="s">
        <v>7960</v>
      </c>
      <c r="B1348" s="52" t="s">
        <v>7959</v>
      </c>
    </row>
    <row r="1349" spans="1:6" x14ac:dyDescent="0.35">
      <c r="A1349" s="50" t="s">
        <v>7958</v>
      </c>
      <c r="B1349" s="52" t="s">
        <v>7957</v>
      </c>
    </row>
    <row r="1350" spans="1:6" x14ac:dyDescent="0.35">
      <c r="B1350" s="52" t="s">
        <v>7956</v>
      </c>
    </row>
    <row r="1351" spans="1:6" x14ac:dyDescent="0.35">
      <c r="A1351" s="50" t="s">
        <v>7955</v>
      </c>
      <c r="B1351" s="52" t="s">
        <v>7954</v>
      </c>
    </row>
    <row r="1352" spans="1:6" x14ac:dyDescent="0.35">
      <c r="A1352" s="50" t="s">
        <v>7953</v>
      </c>
      <c r="B1352" s="52" t="s">
        <v>7952</v>
      </c>
    </row>
    <row r="1353" spans="1:6" x14ac:dyDescent="0.35">
      <c r="A1353" s="50" t="s">
        <v>7950</v>
      </c>
      <c r="B1353" s="52" t="s">
        <v>7949</v>
      </c>
    </row>
    <row r="1354" spans="1:6" x14ac:dyDescent="0.35">
      <c r="A1354" s="50" t="s">
        <v>7948</v>
      </c>
      <c r="B1354" s="52" t="s">
        <v>7947</v>
      </c>
    </row>
    <row r="1355" spans="1:6" x14ac:dyDescent="0.35">
      <c r="A1355" s="50" t="s">
        <v>7946</v>
      </c>
      <c r="B1355" s="52" t="s">
        <v>7945</v>
      </c>
    </row>
    <row r="1356" spans="1:6" x14ac:dyDescent="0.35">
      <c r="A1356" s="50" t="s">
        <v>7944</v>
      </c>
      <c r="B1356" s="52" t="s">
        <v>7943</v>
      </c>
      <c r="F1356" s="57"/>
    </row>
    <row r="1357" spans="1:6" x14ac:dyDescent="0.35">
      <c r="A1357" s="50" t="s">
        <v>7941</v>
      </c>
      <c r="B1357" s="52" t="s">
        <v>7940</v>
      </c>
    </row>
    <row r="1358" spans="1:6" x14ac:dyDescent="0.35">
      <c r="A1358" s="50" t="s">
        <v>7939</v>
      </c>
      <c r="B1358" s="52" t="s">
        <v>7938</v>
      </c>
      <c r="F1358" s="57"/>
    </row>
    <row r="1359" spans="1:6" x14ac:dyDescent="0.35">
      <c r="A1359" s="50" t="s">
        <v>7931</v>
      </c>
      <c r="B1359" s="52" t="s">
        <v>7930</v>
      </c>
    </row>
    <row r="1360" spans="1:6" x14ac:dyDescent="0.35">
      <c r="A1360" s="50" t="s">
        <v>7928</v>
      </c>
      <c r="B1360" s="52" t="s">
        <v>7927</v>
      </c>
    </row>
    <row r="1361" spans="1:2" x14ac:dyDescent="0.35">
      <c r="B1361" s="52" t="s">
        <v>7926</v>
      </c>
    </row>
    <row r="1362" spans="1:2" x14ac:dyDescent="0.35">
      <c r="A1362" s="50" t="s">
        <v>7921</v>
      </c>
      <c r="B1362" s="52" t="s">
        <v>7920</v>
      </c>
    </row>
    <row r="1363" spans="1:2" x14ac:dyDescent="0.35">
      <c r="A1363" s="50" t="s">
        <v>7919</v>
      </c>
      <c r="B1363" s="52" t="s">
        <v>7918</v>
      </c>
    </row>
    <row r="1364" spans="1:2" x14ac:dyDescent="0.35">
      <c r="A1364" s="50" t="s">
        <v>7913</v>
      </c>
      <c r="B1364" s="52" t="s">
        <v>7912</v>
      </c>
    </row>
    <row r="1365" spans="1:2" x14ac:dyDescent="0.35">
      <c r="A1365" s="50" t="s">
        <v>7908</v>
      </c>
      <c r="B1365" s="52" t="s">
        <v>7907</v>
      </c>
    </row>
    <row r="1366" spans="1:2" x14ac:dyDescent="0.35">
      <c r="A1366" s="50" t="s">
        <v>7898</v>
      </c>
      <c r="B1366" s="52" t="s">
        <v>7897</v>
      </c>
    </row>
    <row r="1367" spans="1:2" x14ac:dyDescent="0.35">
      <c r="A1367" s="50" t="s">
        <v>7895</v>
      </c>
      <c r="B1367" s="52" t="s">
        <v>7894</v>
      </c>
    </row>
    <row r="1368" spans="1:2" x14ac:dyDescent="0.35">
      <c r="A1368" s="50" t="s">
        <v>7890</v>
      </c>
      <c r="B1368" s="52" t="s">
        <v>7889</v>
      </c>
    </row>
    <row r="1369" spans="1:2" x14ac:dyDescent="0.35">
      <c r="A1369" s="50" t="s">
        <v>7888</v>
      </c>
      <c r="B1369" s="52" t="s">
        <v>7887</v>
      </c>
    </row>
    <row r="1370" spans="1:2" x14ac:dyDescent="0.35">
      <c r="A1370" s="50" t="s">
        <v>7881</v>
      </c>
      <c r="B1370" s="52" t="s">
        <v>7880</v>
      </c>
    </row>
    <row r="1371" spans="1:2" x14ac:dyDescent="0.35">
      <c r="A1371" s="50" t="s">
        <v>7879</v>
      </c>
      <c r="B1371" s="52" t="s">
        <v>7878</v>
      </c>
    </row>
    <row r="1372" spans="1:2" x14ac:dyDescent="0.35">
      <c r="A1372" s="50" t="s">
        <v>7877</v>
      </c>
      <c r="B1372" s="52" t="s">
        <v>7876</v>
      </c>
    </row>
    <row r="1373" spans="1:2" x14ac:dyDescent="0.35">
      <c r="A1373" s="50" t="s">
        <v>7872</v>
      </c>
      <c r="B1373" s="52" t="s">
        <v>7871</v>
      </c>
    </row>
    <row r="1374" spans="1:2" x14ac:dyDescent="0.35">
      <c r="A1374" s="50" t="s">
        <v>7869</v>
      </c>
      <c r="B1374" s="52" t="s">
        <v>7868</v>
      </c>
    </row>
    <row r="1375" spans="1:2" x14ac:dyDescent="0.35">
      <c r="A1375" s="50" t="s">
        <v>7867</v>
      </c>
      <c r="B1375" s="52" t="s">
        <v>7866</v>
      </c>
    </row>
    <row r="1376" spans="1:2" x14ac:dyDescent="0.35">
      <c r="A1376" s="50" t="s">
        <v>7850</v>
      </c>
      <c r="B1376" s="52" t="s">
        <v>7849</v>
      </c>
    </row>
    <row r="1377" spans="1:5" x14ac:dyDescent="0.35">
      <c r="A1377" s="50" t="s">
        <v>7848</v>
      </c>
      <c r="B1377" s="52" t="s">
        <v>7847</v>
      </c>
    </row>
    <row r="1378" spans="1:5" x14ac:dyDescent="0.35">
      <c r="A1378" s="50" t="s">
        <v>7846</v>
      </c>
      <c r="B1378" s="52" t="s">
        <v>7845</v>
      </c>
    </row>
    <row r="1379" spans="1:5" x14ac:dyDescent="0.35">
      <c r="A1379" s="50" t="s">
        <v>7842</v>
      </c>
      <c r="B1379" s="52" t="s">
        <v>7841</v>
      </c>
    </row>
    <row r="1380" spans="1:5" x14ac:dyDescent="0.35">
      <c r="A1380" s="50" t="s">
        <v>7838</v>
      </c>
      <c r="B1380" s="52" t="s">
        <v>7837</v>
      </c>
    </row>
    <row r="1381" spans="1:5" x14ac:dyDescent="0.35">
      <c r="A1381" s="50" t="s">
        <v>7836</v>
      </c>
      <c r="B1381" s="52" t="s">
        <v>7835</v>
      </c>
    </row>
    <row r="1382" spans="1:5" x14ac:dyDescent="0.35">
      <c r="A1382" s="50" t="s">
        <v>7834</v>
      </c>
      <c r="B1382" s="52" t="s">
        <v>7833</v>
      </c>
    </row>
    <row r="1383" spans="1:5" x14ac:dyDescent="0.35">
      <c r="A1383" s="50" t="s">
        <v>7832</v>
      </c>
      <c r="B1383" s="52" t="s">
        <v>7831</v>
      </c>
    </row>
    <row r="1384" spans="1:5" x14ac:dyDescent="0.35">
      <c r="A1384" s="50" t="s">
        <v>7830</v>
      </c>
      <c r="B1384" s="52" t="s">
        <v>7829</v>
      </c>
    </row>
    <row r="1385" spans="1:5" x14ac:dyDescent="0.35">
      <c r="A1385" s="50" t="s">
        <v>7828</v>
      </c>
      <c r="B1385" s="52" t="s">
        <v>7827</v>
      </c>
      <c r="E1385" s="57"/>
    </row>
    <row r="1386" spans="1:5" x14ac:dyDescent="0.35">
      <c r="A1386" s="50" t="s">
        <v>7826</v>
      </c>
      <c r="B1386" s="52" t="s">
        <v>7825</v>
      </c>
    </row>
    <row r="1387" spans="1:5" x14ac:dyDescent="0.35">
      <c r="A1387" s="50" t="s">
        <v>7822</v>
      </c>
      <c r="B1387" s="52" t="s">
        <v>7821</v>
      </c>
      <c r="E1387" s="57"/>
    </row>
    <row r="1388" spans="1:5" x14ac:dyDescent="0.35">
      <c r="A1388" s="50" t="s">
        <v>7820</v>
      </c>
      <c r="B1388" s="52" t="s">
        <v>7819</v>
      </c>
    </row>
    <row r="1389" spans="1:5" x14ac:dyDescent="0.35">
      <c r="A1389" s="50" t="s">
        <v>7818</v>
      </c>
      <c r="B1389" s="52" t="s">
        <v>7817</v>
      </c>
    </row>
    <row r="1390" spans="1:5" x14ac:dyDescent="0.35">
      <c r="A1390" s="50" t="s">
        <v>7816</v>
      </c>
      <c r="B1390" s="52" t="s">
        <v>7815</v>
      </c>
    </row>
    <row r="1391" spans="1:5" x14ac:dyDescent="0.35">
      <c r="A1391" s="50" t="s">
        <v>7812</v>
      </c>
      <c r="B1391" s="52" t="s">
        <v>7811</v>
      </c>
    </row>
    <row r="1392" spans="1:5" x14ac:dyDescent="0.35">
      <c r="A1392" s="50" t="s">
        <v>7810</v>
      </c>
      <c r="B1392" s="52" t="s">
        <v>7809</v>
      </c>
    </row>
    <row r="1393" spans="1:6" x14ac:dyDescent="0.35">
      <c r="A1393" s="50" t="s">
        <v>7805</v>
      </c>
      <c r="B1393" s="52" t="s">
        <v>7804</v>
      </c>
      <c r="F1393" s="57"/>
    </row>
    <row r="1394" spans="1:6" x14ac:dyDescent="0.35">
      <c r="A1394" s="50" t="s">
        <v>7803</v>
      </c>
      <c r="B1394" s="52" t="s">
        <v>7802</v>
      </c>
    </row>
    <row r="1395" spans="1:6" x14ac:dyDescent="0.35">
      <c r="A1395" s="50" t="s">
        <v>7801</v>
      </c>
      <c r="B1395" s="52" t="s">
        <v>7800</v>
      </c>
    </row>
    <row r="1396" spans="1:6" x14ac:dyDescent="0.35">
      <c r="A1396" s="50" t="s">
        <v>7799</v>
      </c>
      <c r="B1396" s="52" t="s">
        <v>7798</v>
      </c>
    </row>
    <row r="1397" spans="1:6" x14ac:dyDescent="0.35">
      <c r="A1397" s="50" t="s">
        <v>7797</v>
      </c>
      <c r="B1397" s="52" t="s">
        <v>7796</v>
      </c>
    </row>
    <row r="1398" spans="1:6" x14ac:dyDescent="0.35">
      <c r="A1398" s="50" t="s">
        <v>7794</v>
      </c>
      <c r="B1398" s="52" t="s">
        <v>7793</v>
      </c>
    </row>
    <row r="1399" spans="1:6" x14ac:dyDescent="0.35">
      <c r="A1399" s="50" t="s">
        <v>7782</v>
      </c>
      <c r="B1399" s="52" t="s">
        <v>7781</v>
      </c>
    </row>
    <row r="1400" spans="1:6" x14ac:dyDescent="0.35">
      <c r="A1400" s="50" t="s">
        <v>7777</v>
      </c>
      <c r="B1400" s="52" t="s">
        <v>7776</v>
      </c>
    </row>
    <row r="1401" spans="1:6" x14ac:dyDescent="0.35">
      <c r="A1401" s="50" t="s">
        <v>7775</v>
      </c>
      <c r="B1401" s="52" t="s">
        <v>7774</v>
      </c>
    </row>
    <row r="1402" spans="1:6" x14ac:dyDescent="0.35">
      <c r="A1402" s="50" t="s">
        <v>7772</v>
      </c>
      <c r="B1402" s="52" t="s">
        <v>7771</v>
      </c>
    </row>
    <row r="1403" spans="1:6" x14ac:dyDescent="0.35">
      <c r="A1403" s="50" t="s">
        <v>7769</v>
      </c>
      <c r="B1403" s="52" t="s">
        <v>7768</v>
      </c>
    </row>
    <row r="1404" spans="1:6" x14ac:dyDescent="0.35">
      <c r="A1404" s="50" t="s">
        <v>7765</v>
      </c>
      <c r="B1404" s="52" t="s">
        <v>7764</v>
      </c>
      <c r="E1404" s="57"/>
    </row>
    <row r="1405" spans="1:6" x14ac:dyDescent="0.35">
      <c r="A1405" s="50" t="s">
        <v>7759</v>
      </c>
      <c r="B1405" s="52" t="s">
        <v>7758</v>
      </c>
    </row>
    <row r="1406" spans="1:6" x14ac:dyDescent="0.35">
      <c r="A1406" s="50" t="s">
        <v>7756</v>
      </c>
      <c r="B1406" s="52" t="s">
        <v>7755</v>
      </c>
      <c r="F1406" s="57"/>
    </row>
    <row r="1407" spans="1:6" x14ac:dyDescent="0.35">
      <c r="A1407" s="50" t="s">
        <v>7754</v>
      </c>
      <c r="B1407" s="52" t="s">
        <v>7753</v>
      </c>
    </row>
    <row r="1408" spans="1:6" x14ac:dyDescent="0.35">
      <c r="B1408" s="52" t="s">
        <v>7752</v>
      </c>
    </row>
    <row r="1409" spans="1:5" x14ac:dyDescent="0.35">
      <c r="A1409" s="50" t="s">
        <v>7751</v>
      </c>
      <c r="B1409" s="52" t="s">
        <v>7750</v>
      </c>
      <c r="E1409" s="57"/>
    </row>
    <row r="1410" spans="1:5" x14ac:dyDescent="0.35">
      <c r="B1410" s="52" t="s">
        <v>7749</v>
      </c>
    </row>
    <row r="1411" spans="1:5" x14ac:dyDescent="0.35">
      <c r="A1411" s="50" t="s">
        <v>7748</v>
      </c>
      <c r="B1411" s="52" t="s">
        <v>7747</v>
      </c>
    </row>
    <row r="1412" spans="1:5" x14ac:dyDescent="0.35">
      <c r="A1412" s="50" t="s">
        <v>7746</v>
      </c>
      <c r="B1412" s="52" t="s">
        <v>7745</v>
      </c>
    </row>
    <row r="1413" spans="1:5" x14ac:dyDescent="0.35">
      <c r="A1413" s="50" t="s">
        <v>7744</v>
      </c>
      <c r="B1413" s="52" t="s">
        <v>7743</v>
      </c>
      <c r="E1413" s="57"/>
    </row>
    <row r="1414" spans="1:5" x14ac:dyDescent="0.35">
      <c r="B1414" s="52" t="s">
        <v>7740</v>
      </c>
    </row>
    <row r="1415" spans="1:5" x14ac:dyDescent="0.35">
      <c r="A1415" s="50" t="s">
        <v>7739</v>
      </c>
      <c r="B1415" s="52" t="s">
        <v>7738</v>
      </c>
    </row>
    <row r="1416" spans="1:5" x14ac:dyDescent="0.35">
      <c r="B1416" s="52" t="s">
        <v>7734</v>
      </c>
    </row>
    <row r="1417" spans="1:5" x14ac:dyDescent="0.35">
      <c r="A1417" s="50" t="s">
        <v>7731</v>
      </c>
      <c r="B1417" s="52" t="s">
        <v>7730</v>
      </c>
    </row>
    <row r="1418" spans="1:5" x14ac:dyDescent="0.35">
      <c r="A1418" s="50" t="s">
        <v>7729</v>
      </c>
      <c r="B1418" s="52" t="s">
        <v>7728</v>
      </c>
    </row>
    <row r="1419" spans="1:5" x14ac:dyDescent="0.35">
      <c r="A1419" s="50" t="s">
        <v>7724</v>
      </c>
      <c r="B1419" s="52" t="s">
        <v>7723</v>
      </c>
    </row>
    <row r="1420" spans="1:5" x14ac:dyDescent="0.35">
      <c r="A1420" s="50" t="s">
        <v>7718</v>
      </c>
      <c r="B1420" s="52" t="s">
        <v>7717</v>
      </c>
    </row>
    <row r="1421" spans="1:5" x14ac:dyDescent="0.35">
      <c r="A1421" s="50" t="s">
        <v>7716</v>
      </c>
      <c r="B1421" s="52" t="s">
        <v>7715</v>
      </c>
    </row>
    <row r="1422" spans="1:5" x14ac:dyDescent="0.35">
      <c r="A1422" s="50" t="s">
        <v>7714</v>
      </c>
      <c r="B1422" s="52" t="s">
        <v>7713</v>
      </c>
    </row>
    <row r="1423" spans="1:5" x14ac:dyDescent="0.35">
      <c r="B1423" s="52" t="s">
        <v>7712</v>
      </c>
    </row>
    <row r="1424" spans="1:5" x14ac:dyDescent="0.35">
      <c r="A1424" s="50" t="s">
        <v>7710</v>
      </c>
      <c r="B1424" s="52" t="s">
        <v>7709</v>
      </c>
    </row>
    <row r="1425" spans="1:5" x14ac:dyDescent="0.35">
      <c r="A1425" s="50" t="s">
        <v>7708</v>
      </c>
      <c r="B1425" s="52" t="s">
        <v>7707</v>
      </c>
    </row>
    <row r="1426" spans="1:5" x14ac:dyDescent="0.35">
      <c r="A1426" s="50" t="s">
        <v>7705</v>
      </c>
      <c r="B1426" s="52" t="s">
        <v>7704</v>
      </c>
    </row>
    <row r="1427" spans="1:5" x14ac:dyDescent="0.35">
      <c r="A1427" s="50" t="s">
        <v>7702</v>
      </c>
      <c r="B1427" s="52" t="s">
        <v>7701</v>
      </c>
    </row>
    <row r="1428" spans="1:5" x14ac:dyDescent="0.35">
      <c r="A1428" s="50" t="s">
        <v>7699</v>
      </c>
      <c r="B1428" s="52" t="s">
        <v>7698</v>
      </c>
    </row>
    <row r="1429" spans="1:5" x14ac:dyDescent="0.35">
      <c r="A1429" s="50" t="s">
        <v>7696</v>
      </c>
      <c r="B1429" s="52" t="s">
        <v>7695</v>
      </c>
      <c r="E1429" s="57"/>
    </row>
    <row r="1430" spans="1:5" x14ac:dyDescent="0.35">
      <c r="B1430" s="52" t="s">
        <v>7693</v>
      </c>
    </row>
    <row r="1431" spans="1:5" x14ac:dyDescent="0.35">
      <c r="A1431" s="50" t="s">
        <v>7692</v>
      </c>
      <c r="B1431" s="52" t="s">
        <v>7691</v>
      </c>
    </row>
    <row r="1432" spans="1:5" x14ac:dyDescent="0.35">
      <c r="A1432" s="50" t="s">
        <v>7690</v>
      </c>
      <c r="B1432" s="52" t="s">
        <v>7689</v>
      </c>
    </row>
    <row r="1433" spans="1:5" x14ac:dyDescent="0.35">
      <c r="A1433" s="50" t="s">
        <v>7676</v>
      </c>
      <c r="B1433" s="52" t="s">
        <v>7675</v>
      </c>
    </row>
    <row r="1434" spans="1:5" x14ac:dyDescent="0.35">
      <c r="A1434" s="50" t="s">
        <v>7674</v>
      </c>
      <c r="B1434" s="52" t="s">
        <v>7673</v>
      </c>
    </row>
    <row r="1435" spans="1:5" x14ac:dyDescent="0.35">
      <c r="A1435" s="50" t="s">
        <v>7669</v>
      </c>
      <c r="B1435" s="52" t="s">
        <v>7668</v>
      </c>
    </row>
    <row r="1436" spans="1:5" x14ac:dyDescent="0.35">
      <c r="A1436" s="50" t="s">
        <v>7667</v>
      </c>
      <c r="B1436" s="52" t="s">
        <v>7666</v>
      </c>
    </row>
    <row r="1437" spans="1:5" x14ac:dyDescent="0.35">
      <c r="A1437" s="50" t="s">
        <v>7665</v>
      </c>
      <c r="B1437" s="52" t="s">
        <v>7664</v>
      </c>
    </row>
    <row r="1438" spans="1:5" x14ac:dyDescent="0.35">
      <c r="B1438" s="52" t="s">
        <v>7663</v>
      </c>
    </row>
    <row r="1439" spans="1:5" x14ac:dyDescent="0.35">
      <c r="A1439" s="50" t="s">
        <v>7661</v>
      </c>
      <c r="B1439" s="52" t="s">
        <v>7660</v>
      </c>
    </row>
    <row r="1440" spans="1:5" x14ac:dyDescent="0.35">
      <c r="A1440" s="50" t="s">
        <v>7658</v>
      </c>
      <c r="B1440" s="52" t="s">
        <v>7657</v>
      </c>
    </row>
    <row r="1441" spans="1:5" x14ac:dyDescent="0.35">
      <c r="A1441" s="50" t="s">
        <v>7656</v>
      </c>
      <c r="B1441" s="52" t="s">
        <v>7655</v>
      </c>
    </row>
    <row r="1442" spans="1:5" x14ac:dyDescent="0.35">
      <c r="A1442" s="50" t="s">
        <v>7641</v>
      </c>
      <c r="B1442" s="52" t="s">
        <v>7640</v>
      </c>
    </row>
    <row r="1443" spans="1:5" x14ac:dyDescent="0.35">
      <c r="A1443" s="50" t="s">
        <v>7638</v>
      </c>
      <c r="B1443" s="52" t="s">
        <v>7637</v>
      </c>
    </row>
    <row r="1444" spans="1:5" x14ac:dyDescent="0.35">
      <c r="B1444" s="52" t="s">
        <v>7636</v>
      </c>
    </row>
    <row r="1445" spans="1:5" x14ac:dyDescent="0.35">
      <c r="B1445" s="52" t="s">
        <v>7635</v>
      </c>
    </row>
    <row r="1446" spans="1:5" x14ac:dyDescent="0.35">
      <c r="A1446" s="50" t="s">
        <v>7634</v>
      </c>
      <c r="B1446" s="52" t="s">
        <v>7633</v>
      </c>
    </row>
    <row r="1447" spans="1:5" x14ac:dyDescent="0.35">
      <c r="A1447" s="50" t="s">
        <v>7632</v>
      </c>
      <c r="B1447" s="52" t="s">
        <v>7631</v>
      </c>
    </row>
    <row r="1448" spans="1:5" x14ac:dyDescent="0.35">
      <c r="A1448" s="50" t="s">
        <v>7630</v>
      </c>
      <c r="B1448" s="52" t="s">
        <v>7629</v>
      </c>
    </row>
    <row r="1449" spans="1:5" x14ac:dyDescent="0.35">
      <c r="A1449" s="50" t="s">
        <v>7628</v>
      </c>
      <c r="B1449" s="52" t="s">
        <v>7627</v>
      </c>
      <c r="E1449" s="57"/>
    </row>
    <row r="1450" spans="1:5" x14ac:dyDescent="0.35">
      <c r="B1450" s="52" t="s">
        <v>7626</v>
      </c>
      <c r="E1450" s="57"/>
    </row>
    <row r="1451" spans="1:5" x14ac:dyDescent="0.35">
      <c r="A1451" s="50" t="s">
        <v>7625</v>
      </c>
      <c r="B1451" s="52" t="s">
        <v>7624</v>
      </c>
      <c r="E1451" s="57"/>
    </row>
    <row r="1452" spans="1:5" x14ac:dyDescent="0.35">
      <c r="A1452" s="50" t="s">
        <v>7622</v>
      </c>
      <c r="B1452" s="52" t="s">
        <v>7621</v>
      </c>
      <c r="E1452" s="57"/>
    </row>
    <row r="1453" spans="1:5" x14ac:dyDescent="0.35">
      <c r="A1453" s="50" t="s">
        <v>7620</v>
      </c>
      <c r="B1453" s="52" t="s">
        <v>7619</v>
      </c>
      <c r="E1453" s="57"/>
    </row>
    <row r="1454" spans="1:5" x14ac:dyDescent="0.35">
      <c r="B1454" s="52" t="s">
        <v>7618</v>
      </c>
      <c r="E1454" s="57"/>
    </row>
    <row r="1455" spans="1:5" x14ac:dyDescent="0.35">
      <c r="A1455" s="50" t="s">
        <v>7617</v>
      </c>
      <c r="B1455" s="52" t="s">
        <v>7616</v>
      </c>
      <c r="E1455" s="57"/>
    </row>
    <row r="1456" spans="1:5" x14ac:dyDescent="0.35">
      <c r="A1456" s="50" t="s">
        <v>7615</v>
      </c>
      <c r="B1456" s="52" t="s">
        <v>7614</v>
      </c>
      <c r="E1456" s="57"/>
    </row>
    <row r="1457" spans="1:5" x14ac:dyDescent="0.35">
      <c r="A1457" s="50" t="s">
        <v>7613</v>
      </c>
      <c r="B1457" s="52" t="s">
        <v>7612</v>
      </c>
      <c r="E1457" s="57"/>
    </row>
    <row r="1458" spans="1:5" x14ac:dyDescent="0.35">
      <c r="A1458" s="50" t="s">
        <v>7611</v>
      </c>
      <c r="B1458" s="52" t="s">
        <v>7610</v>
      </c>
      <c r="E1458" s="57"/>
    </row>
    <row r="1459" spans="1:5" x14ac:dyDescent="0.35">
      <c r="A1459" s="50" t="s">
        <v>7609</v>
      </c>
      <c r="B1459" s="52" t="s">
        <v>7608</v>
      </c>
      <c r="E1459" s="57"/>
    </row>
    <row r="1460" spans="1:5" x14ac:dyDescent="0.35">
      <c r="A1460" s="50" t="s">
        <v>7607</v>
      </c>
      <c r="B1460" s="52" t="s">
        <v>7606</v>
      </c>
      <c r="E1460" s="57"/>
    </row>
    <row r="1461" spans="1:5" x14ac:dyDescent="0.35">
      <c r="A1461" s="50" t="s">
        <v>7605</v>
      </c>
      <c r="B1461" s="52" t="s">
        <v>7604</v>
      </c>
    </row>
    <row r="1462" spans="1:5" x14ac:dyDescent="0.35">
      <c r="A1462" s="50" t="s">
        <v>7603</v>
      </c>
      <c r="B1462" s="52" t="s">
        <v>7602</v>
      </c>
    </row>
    <row r="1463" spans="1:5" x14ac:dyDescent="0.35">
      <c r="A1463" s="50" t="s">
        <v>7601</v>
      </c>
      <c r="B1463" s="52" t="s">
        <v>7600</v>
      </c>
    </row>
    <row r="1464" spans="1:5" x14ac:dyDescent="0.35">
      <c r="A1464" s="50" t="s">
        <v>7599</v>
      </c>
      <c r="B1464" s="52" t="s">
        <v>7598</v>
      </c>
    </row>
    <row r="1465" spans="1:5" x14ac:dyDescent="0.35">
      <c r="A1465" s="50" t="s">
        <v>7597</v>
      </c>
      <c r="B1465" s="52" t="s">
        <v>7596</v>
      </c>
    </row>
    <row r="1466" spans="1:5" x14ac:dyDescent="0.35">
      <c r="A1466" s="50" t="s">
        <v>7595</v>
      </c>
      <c r="B1466" s="52" t="s">
        <v>7594</v>
      </c>
    </row>
    <row r="1467" spans="1:5" x14ac:dyDescent="0.35">
      <c r="A1467" s="50" t="s">
        <v>7593</v>
      </c>
      <c r="B1467" s="52" t="s">
        <v>7592</v>
      </c>
      <c r="E1467" s="57"/>
    </row>
    <row r="1468" spans="1:5" x14ac:dyDescent="0.35">
      <c r="A1468" s="50" t="s">
        <v>7591</v>
      </c>
      <c r="B1468" s="52" t="s">
        <v>7590</v>
      </c>
    </row>
    <row r="1469" spans="1:5" x14ac:dyDescent="0.35">
      <c r="A1469" s="50" t="s">
        <v>7589</v>
      </c>
      <c r="B1469" s="52" t="s">
        <v>7588</v>
      </c>
    </row>
    <row r="1470" spans="1:5" x14ac:dyDescent="0.35">
      <c r="A1470" s="50" t="s">
        <v>7587</v>
      </c>
      <c r="B1470" s="52" t="s">
        <v>7586</v>
      </c>
    </row>
    <row r="1471" spans="1:5" x14ac:dyDescent="0.35">
      <c r="A1471" s="50" t="s">
        <v>7584</v>
      </c>
      <c r="B1471" s="52" t="s">
        <v>7583</v>
      </c>
    </row>
    <row r="1472" spans="1:5" x14ac:dyDescent="0.35">
      <c r="A1472" s="50" t="s">
        <v>7580</v>
      </c>
      <c r="B1472" s="52" t="s">
        <v>7579</v>
      </c>
    </row>
    <row r="1473" spans="1:5" x14ac:dyDescent="0.35">
      <c r="A1473" s="50" t="s">
        <v>7578</v>
      </c>
      <c r="B1473" s="52" t="s">
        <v>7577</v>
      </c>
    </row>
    <row r="1474" spans="1:5" x14ac:dyDescent="0.35">
      <c r="A1474" s="50" t="s">
        <v>7574</v>
      </c>
      <c r="B1474" s="52" t="s">
        <v>7573</v>
      </c>
    </row>
    <row r="1475" spans="1:5" x14ac:dyDescent="0.35">
      <c r="A1475" s="50" t="s">
        <v>7568</v>
      </c>
      <c r="B1475" s="52" t="s">
        <v>7567</v>
      </c>
    </row>
    <row r="1476" spans="1:5" x14ac:dyDescent="0.35">
      <c r="A1476" s="50" t="s">
        <v>7566</v>
      </c>
      <c r="B1476" s="52" t="s">
        <v>7565</v>
      </c>
    </row>
    <row r="1477" spans="1:5" x14ac:dyDescent="0.35">
      <c r="A1477" s="50" t="s">
        <v>7564</v>
      </c>
      <c r="B1477" s="52" t="s">
        <v>7563</v>
      </c>
    </row>
    <row r="1478" spans="1:5" x14ac:dyDescent="0.35">
      <c r="A1478" s="50" t="s">
        <v>7562</v>
      </c>
      <c r="B1478" s="52" t="s">
        <v>7561</v>
      </c>
    </row>
    <row r="1479" spans="1:5" x14ac:dyDescent="0.35">
      <c r="A1479" s="50" t="s">
        <v>7560</v>
      </c>
      <c r="B1479" s="52" t="s">
        <v>7559</v>
      </c>
      <c r="C1479" s="60"/>
      <c r="E1479" s="57"/>
    </row>
    <row r="1480" spans="1:5" x14ac:dyDescent="0.35">
      <c r="A1480" s="50" t="s">
        <v>7555</v>
      </c>
      <c r="B1480" s="52" t="s">
        <v>7554</v>
      </c>
      <c r="C1480" s="60"/>
    </row>
    <row r="1481" spans="1:5" x14ac:dyDescent="0.35">
      <c r="A1481" s="50" t="s">
        <v>7551</v>
      </c>
      <c r="B1481" s="52" t="s">
        <v>7550</v>
      </c>
      <c r="C1481" s="60"/>
    </row>
    <row r="1482" spans="1:5" x14ac:dyDescent="0.35">
      <c r="A1482" s="50" t="s">
        <v>7549</v>
      </c>
      <c r="B1482" s="52" t="s">
        <v>7548</v>
      </c>
      <c r="C1482" s="60"/>
    </row>
    <row r="1483" spans="1:5" x14ac:dyDescent="0.35">
      <c r="A1483" s="50" t="s">
        <v>7537</v>
      </c>
      <c r="B1483" s="52" t="s">
        <v>7536</v>
      </c>
      <c r="C1483" s="60"/>
    </row>
    <row r="1484" spans="1:5" x14ac:dyDescent="0.35">
      <c r="A1484" s="50" t="s">
        <v>7534</v>
      </c>
      <c r="B1484" s="52" t="s">
        <v>7533</v>
      </c>
    </row>
    <row r="1485" spans="1:5" x14ac:dyDescent="0.35">
      <c r="A1485" s="50" t="s">
        <v>7529</v>
      </c>
      <c r="B1485" s="52" t="s">
        <v>7528</v>
      </c>
    </row>
    <row r="1486" spans="1:5" x14ac:dyDescent="0.35">
      <c r="A1486" s="50" t="s">
        <v>7526</v>
      </c>
      <c r="B1486" s="52" t="s">
        <v>7525</v>
      </c>
    </row>
    <row r="1487" spans="1:5" x14ac:dyDescent="0.35">
      <c r="A1487" s="50" t="s">
        <v>7524</v>
      </c>
      <c r="B1487" s="52" t="s">
        <v>7523</v>
      </c>
    </row>
    <row r="1488" spans="1:5" x14ac:dyDescent="0.35">
      <c r="B1488" s="52" t="s">
        <v>7522</v>
      </c>
    </row>
    <row r="1489" spans="1:5" x14ac:dyDescent="0.35">
      <c r="A1489" s="50" t="s">
        <v>7521</v>
      </c>
      <c r="B1489" s="52" t="s">
        <v>7520</v>
      </c>
    </row>
    <row r="1490" spans="1:5" x14ac:dyDescent="0.35">
      <c r="A1490" s="50" t="s">
        <v>7518</v>
      </c>
      <c r="B1490" s="52" t="s">
        <v>7517</v>
      </c>
    </row>
    <row r="1491" spans="1:5" x14ac:dyDescent="0.35">
      <c r="A1491" s="50" t="s">
        <v>7516</v>
      </c>
      <c r="B1491" s="52" t="s">
        <v>7515</v>
      </c>
    </row>
    <row r="1492" spans="1:5" x14ac:dyDescent="0.35">
      <c r="A1492" s="50" t="s">
        <v>7509</v>
      </c>
      <c r="B1492" s="52" t="s">
        <v>7508</v>
      </c>
    </row>
    <row r="1493" spans="1:5" x14ac:dyDescent="0.35">
      <c r="A1493" s="50" t="s">
        <v>7506</v>
      </c>
      <c r="B1493" s="52" t="s">
        <v>7505</v>
      </c>
    </row>
    <row r="1494" spans="1:5" x14ac:dyDescent="0.35">
      <c r="A1494" s="50" t="s">
        <v>7503</v>
      </c>
      <c r="B1494" s="52" t="s">
        <v>7502</v>
      </c>
    </row>
    <row r="1495" spans="1:5" x14ac:dyDescent="0.35">
      <c r="A1495" s="50" t="s">
        <v>7500</v>
      </c>
      <c r="B1495" s="52" t="s">
        <v>7499</v>
      </c>
    </row>
    <row r="1496" spans="1:5" x14ac:dyDescent="0.35">
      <c r="A1496" s="50" t="s">
        <v>7489</v>
      </c>
      <c r="B1496" s="52" t="s">
        <v>7488</v>
      </c>
    </row>
    <row r="1497" spans="1:5" x14ac:dyDescent="0.35">
      <c r="B1497" s="52" t="s">
        <v>7487</v>
      </c>
      <c r="E1497" s="57"/>
    </row>
    <row r="1498" spans="1:5" x14ac:dyDescent="0.35">
      <c r="A1498" s="50" t="s">
        <v>7486</v>
      </c>
      <c r="B1498" s="52" t="s">
        <v>7485</v>
      </c>
      <c r="E1498" s="57"/>
    </row>
    <row r="1499" spans="1:5" x14ac:dyDescent="0.35">
      <c r="A1499" s="50" t="s">
        <v>7474</v>
      </c>
      <c r="B1499" s="52" t="s">
        <v>7473</v>
      </c>
    </row>
    <row r="1500" spans="1:5" x14ac:dyDescent="0.35">
      <c r="A1500" s="50" t="s">
        <v>7472</v>
      </c>
      <c r="B1500" s="52" t="s">
        <v>7471</v>
      </c>
    </row>
    <row r="1501" spans="1:5" x14ac:dyDescent="0.35">
      <c r="A1501" s="50" t="s">
        <v>7470</v>
      </c>
      <c r="B1501" s="52" t="s">
        <v>7469</v>
      </c>
    </row>
    <row r="1502" spans="1:5" x14ac:dyDescent="0.35">
      <c r="A1502" s="50" t="s">
        <v>7468</v>
      </c>
      <c r="B1502" s="52" t="s">
        <v>7467</v>
      </c>
    </row>
    <row r="1503" spans="1:5" x14ac:dyDescent="0.35">
      <c r="A1503" s="50" t="s">
        <v>7464</v>
      </c>
      <c r="B1503" s="52" t="s">
        <v>7463</v>
      </c>
    </row>
    <row r="1504" spans="1:5" x14ac:dyDescent="0.35">
      <c r="A1504" s="50" t="s">
        <v>7462</v>
      </c>
      <c r="B1504" s="52" t="s">
        <v>7461</v>
      </c>
    </row>
    <row r="1505" spans="1:6" x14ac:dyDescent="0.35">
      <c r="A1505" s="50" t="s">
        <v>7460</v>
      </c>
      <c r="B1505" s="52" t="s">
        <v>7459</v>
      </c>
    </row>
    <row r="1506" spans="1:6" x14ac:dyDescent="0.35">
      <c r="B1506" s="52" t="s">
        <v>7458</v>
      </c>
    </row>
    <row r="1507" spans="1:6" x14ac:dyDescent="0.35">
      <c r="B1507" s="52" t="s">
        <v>7457</v>
      </c>
    </row>
    <row r="1508" spans="1:6" x14ac:dyDescent="0.35">
      <c r="A1508" s="50" t="s">
        <v>7453</v>
      </c>
      <c r="B1508" s="52" t="s">
        <v>7452</v>
      </c>
    </row>
    <row r="1509" spans="1:6" x14ac:dyDescent="0.35">
      <c r="A1509" s="50" t="s">
        <v>7448</v>
      </c>
      <c r="B1509" s="52" t="s">
        <v>7447</v>
      </c>
    </row>
    <row r="1510" spans="1:6" x14ac:dyDescent="0.35">
      <c r="A1510" s="50" t="s">
        <v>7443</v>
      </c>
      <c r="B1510" s="52" t="s">
        <v>7442</v>
      </c>
      <c r="F1510" s="57"/>
    </row>
    <row r="1511" spans="1:6" x14ac:dyDescent="0.35">
      <c r="A1511" s="50" t="s">
        <v>7440</v>
      </c>
      <c r="B1511" s="52" t="s">
        <v>7439</v>
      </c>
    </row>
    <row r="1512" spans="1:6" x14ac:dyDescent="0.35">
      <c r="A1512" s="50" t="s">
        <v>7438</v>
      </c>
      <c r="B1512" s="52" t="s">
        <v>7437</v>
      </c>
    </row>
    <row r="1513" spans="1:6" x14ac:dyDescent="0.35">
      <c r="A1513" s="50" t="s">
        <v>7436</v>
      </c>
      <c r="B1513" s="52" t="s">
        <v>7435</v>
      </c>
      <c r="F1513" s="57"/>
    </row>
    <row r="1514" spans="1:6" x14ac:dyDescent="0.35">
      <c r="A1514" s="50" t="s">
        <v>7433</v>
      </c>
      <c r="B1514" s="52" t="s">
        <v>7432</v>
      </c>
    </row>
    <row r="1515" spans="1:6" x14ac:dyDescent="0.35">
      <c r="A1515" s="50" t="s">
        <v>7425</v>
      </c>
      <c r="B1515" s="52" t="s">
        <v>7424</v>
      </c>
    </row>
    <row r="1516" spans="1:6" x14ac:dyDescent="0.35">
      <c r="A1516" s="50" t="s">
        <v>7402</v>
      </c>
      <c r="B1516" s="52" t="s">
        <v>7401</v>
      </c>
    </row>
    <row r="1517" spans="1:6" x14ac:dyDescent="0.35">
      <c r="B1517" s="52" t="s">
        <v>7397</v>
      </c>
      <c r="E1517" s="57"/>
    </row>
    <row r="1518" spans="1:6" x14ac:dyDescent="0.35">
      <c r="A1518" s="50" t="s">
        <v>7396</v>
      </c>
      <c r="B1518" s="52" t="s">
        <v>7395</v>
      </c>
      <c r="E1518" s="57"/>
    </row>
    <row r="1519" spans="1:6" x14ac:dyDescent="0.35">
      <c r="A1519" s="50" t="s">
        <v>7394</v>
      </c>
      <c r="B1519" s="52" t="s">
        <v>7393</v>
      </c>
    </row>
    <row r="1520" spans="1:6" x14ac:dyDescent="0.35">
      <c r="A1520" s="50" t="s">
        <v>7391</v>
      </c>
      <c r="B1520" s="52" t="s">
        <v>7390</v>
      </c>
    </row>
    <row r="1521" spans="1:5" x14ac:dyDescent="0.35">
      <c r="A1521" s="50" t="s">
        <v>7389</v>
      </c>
      <c r="B1521" s="52" t="s">
        <v>7388</v>
      </c>
      <c r="E1521" s="57"/>
    </row>
    <row r="1522" spans="1:5" x14ac:dyDescent="0.35">
      <c r="A1522" s="50" t="s">
        <v>7381</v>
      </c>
      <c r="B1522" s="52" t="s">
        <v>7380</v>
      </c>
    </row>
    <row r="1523" spans="1:5" x14ac:dyDescent="0.35">
      <c r="A1523" s="50" t="s">
        <v>7372</v>
      </c>
      <c r="B1523" s="52" t="s">
        <v>7371</v>
      </c>
    </row>
    <row r="1524" spans="1:5" x14ac:dyDescent="0.35">
      <c r="A1524" s="50" t="s">
        <v>7370</v>
      </c>
      <c r="B1524" s="52" t="s">
        <v>7369</v>
      </c>
    </row>
    <row r="1525" spans="1:5" x14ac:dyDescent="0.35">
      <c r="A1525" s="50" t="s">
        <v>7368</v>
      </c>
      <c r="B1525" s="52" t="s">
        <v>7367</v>
      </c>
    </row>
    <row r="1526" spans="1:5" x14ac:dyDescent="0.35">
      <c r="A1526" s="50" t="s">
        <v>7366</v>
      </c>
      <c r="B1526" s="52" t="s">
        <v>7365</v>
      </c>
    </row>
    <row r="1527" spans="1:5" x14ac:dyDescent="0.35">
      <c r="A1527" s="50" t="s">
        <v>7361</v>
      </c>
      <c r="B1527" s="52" t="s">
        <v>7360</v>
      </c>
    </row>
    <row r="1528" spans="1:5" x14ac:dyDescent="0.35">
      <c r="A1528" s="50" t="s">
        <v>7356</v>
      </c>
      <c r="B1528" s="52" t="s">
        <v>7355</v>
      </c>
    </row>
    <row r="1529" spans="1:5" x14ac:dyDescent="0.35">
      <c r="A1529" s="50" t="s">
        <v>7353</v>
      </c>
      <c r="B1529" s="52" t="s">
        <v>7352</v>
      </c>
    </row>
    <row r="1530" spans="1:5" x14ac:dyDescent="0.35">
      <c r="A1530" s="50" t="s">
        <v>7351</v>
      </c>
      <c r="B1530" s="52" t="s">
        <v>7350</v>
      </c>
    </row>
    <row r="1531" spans="1:5" x14ac:dyDescent="0.35">
      <c r="B1531" s="52" t="s">
        <v>7349</v>
      </c>
    </row>
    <row r="1532" spans="1:5" x14ac:dyDescent="0.35">
      <c r="A1532" s="50" t="s">
        <v>7348</v>
      </c>
      <c r="B1532" s="52" t="s">
        <v>7347</v>
      </c>
    </row>
    <row r="1533" spans="1:5" x14ac:dyDescent="0.35">
      <c r="A1533" s="50" t="s">
        <v>7344</v>
      </c>
      <c r="B1533" s="52" t="s">
        <v>7343</v>
      </c>
    </row>
    <row r="1534" spans="1:5" x14ac:dyDescent="0.35">
      <c r="A1534" s="50" t="s">
        <v>7338</v>
      </c>
      <c r="B1534" s="52" t="s">
        <v>7337</v>
      </c>
    </row>
    <row r="1535" spans="1:5" x14ac:dyDescent="0.35">
      <c r="A1535" s="50" t="s">
        <v>7336</v>
      </c>
      <c r="B1535" s="52" t="s">
        <v>7335</v>
      </c>
    </row>
    <row r="1536" spans="1:5" x14ac:dyDescent="0.35">
      <c r="A1536" s="50" t="s">
        <v>7334</v>
      </c>
      <c r="B1536" s="52" t="s">
        <v>7333</v>
      </c>
    </row>
    <row r="1537" spans="1:6" x14ac:dyDescent="0.35">
      <c r="A1537" s="50" t="s">
        <v>7331</v>
      </c>
      <c r="B1537" s="52" t="s">
        <v>7330</v>
      </c>
    </row>
    <row r="1538" spans="1:6" x14ac:dyDescent="0.35">
      <c r="A1538" s="50" t="s">
        <v>7328</v>
      </c>
      <c r="B1538" s="52" t="s">
        <v>7327</v>
      </c>
      <c r="F1538" s="57"/>
    </row>
    <row r="1539" spans="1:6" x14ac:dyDescent="0.35">
      <c r="A1539" s="50" t="s">
        <v>7321</v>
      </c>
      <c r="B1539" s="52" t="s">
        <v>7320</v>
      </c>
      <c r="E1539" s="57"/>
    </row>
    <row r="1540" spans="1:6" x14ac:dyDescent="0.35">
      <c r="B1540" s="52" t="s">
        <v>7316</v>
      </c>
    </row>
    <row r="1541" spans="1:6" x14ac:dyDescent="0.35">
      <c r="A1541" s="50" t="s">
        <v>7314</v>
      </c>
      <c r="B1541" s="52" t="s">
        <v>7313</v>
      </c>
      <c r="E1541" s="57"/>
    </row>
    <row r="1542" spans="1:6" x14ac:dyDescent="0.35">
      <c r="A1542" s="50" t="s">
        <v>7308</v>
      </c>
      <c r="B1542" s="52" t="s">
        <v>7307</v>
      </c>
      <c r="E1542" s="57"/>
    </row>
    <row r="1543" spans="1:6" x14ac:dyDescent="0.35">
      <c r="A1543" s="50" t="s">
        <v>7302</v>
      </c>
      <c r="B1543" s="52" t="s">
        <v>7301</v>
      </c>
    </row>
    <row r="1544" spans="1:6" x14ac:dyDescent="0.35">
      <c r="A1544" s="50" t="s">
        <v>7299</v>
      </c>
      <c r="B1544" s="52" t="s">
        <v>7298</v>
      </c>
    </row>
    <row r="1545" spans="1:6" x14ac:dyDescent="0.35">
      <c r="A1545" s="50" t="s">
        <v>7297</v>
      </c>
      <c r="B1545" s="52" t="s">
        <v>7296</v>
      </c>
      <c r="E1545" s="57"/>
    </row>
    <row r="1546" spans="1:6" x14ac:dyDescent="0.35">
      <c r="B1546" s="52" t="s">
        <v>7295</v>
      </c>
    </row>
    <row r="1547" spans="1:6" x14ac:dyDescent="0.35">
      <c r="A1547" s="50" t="s">
        <v>7294</v>
      </c>
      <c r="B1547" s="52" t="s">
        <v>7293</v>
      </c>
    </row>
    <row r="1548" spans="1:6" x14ac:dyDescent="0.35">
      <c r="A1548" s="50" t="s">
        <v>7287</v>
      </c>
      <c r="B1548" s="52" t="s">
        <v>7286</v>
      </c>
    </row>
    <row r="1549" spans="1:6" x14ac:dyDescent="0.35">
      <c r="A1549" s="50" t="s">
        <v>7285</v>
      </c>
      <c r="B1549" s="52" t="s">
        <v>7284</v>
      </c>
    </row>
    <row r="1550" spans="1:6" x14ac:dyDescent="0.35">
      <c r="A1550" s="50" t="s">
        <v>7281</v>
      </c>
      <c r="B1550" s="52" t="s">
        <v>7280</v>
      </c>
    </row>
    <row r="1551" spans="1:6" x14ac:dyDescent="0.35">
      <c r="A1551" s="50" t="s">
        <v>7278</v>
      </c>
      <c r="B1551" s="52" t="s">
        <v>7277</v>
      </c>
      <c r="E1551" s="57"/>
    </row>
    <row r="1552" spans="1:6" x14ac:dyDescent="0.35">
      <c r="A1552" s="50" t="s">
        <v>7276</v>
      </c>
      <c r="B1552" s="52" t="s">
        <v>7275</v>
      </c>
    </row>
    <row r="1553" spans="1:2" x14ac:dyDescent="0.35">
      <c r="A1553" s="50" t="s">
        <v>7274</v>
      </c>
      <c r="B1553" s="52" t="s">
        <v>7273</v>
      </c>
    </row>
    <row r="1554" spans="1:2" x14ac:dyDescent="0.35">
      <c r="A1554" s="50" t="s">
        <v>7272</v>
      </c>
      <c r="B1554" s="52" t="s">
        <v>7271</v>
      </c>
    </row>
    <row r="1555" spans="1:2" x14ac:dyDescent="0.35">
      <c r="A1555" s="50" t="s">
        <v>7270</v>
      </c>
      <c r="B1555" s="52" t="s">
        <v>7269</v>
      </c>
    </row>
    <row r="1556" spans="1:2" x14ac:dyDescent="0.35">
      <c r="A1556" s="50" t="s">
        <v>7267</v>
      </c>
      <c r="B1556" s="52" t="s">
        <v>7266</v>
      </c>
    </row>
    <row r="1557" spans="1:2" x14ac:dyDescent="0.35">
      <c r="A1557" s="50" t="s">
        <v>7264</v>
      </c>
      <c r="B1557" s="52" t="s">
        <v>7263</v>
      </c>
    </row>
    <row r="1558" spans="1:2" x14ac:dyDescent="0.35">
      <c r="A1558" s="50" t="s">
        <v>7261</v>
      </c>
      <c r="B1558" s="52" t="s">
        <v>7260</v>
      </c>
    </row>
    <row r="1559" spans="1:2" x14ac:dyDescent="0.35">
      <c r="A1559" s="50" t="s">
        <v>7259</v>
      </c>
      <c r="B1559" s="52" t="s">
        <v>7258</v>
      </c>
    </row>
    <row r="1560" spans="1:2" x14ac:dyDescent="0.35">
      <c r="A1560" s="50" t="s">
        <v>7255</v>
      </c>
      <c r="B1560" s="52" t="s">
        <v>7254</v>
      </c>
    </row>
    <row r="1561" spans="1:2" x14ac:dyDescent="0.35">
      <c r="A1561" s="50" t="s">
        <v>7248</v>
      </c>
      <c r="B1561" s="52" t="s">
        <v>7247</v>
      </c>
    </row>
    <row r="1562" spans="1:2" x14ac:dyDescent="0.35">
      <c r="A1562" s="50" t="s">
        <v>7242</v>
      </c>
      <c r="B1562" s="52" t="s">
        <v>7241</v>
      </c>
    </row>
    <row r="1563" spans="1:2" x14ac:dyDescent="0.35">
      <c r="A1563" s="50" t="s">
        <v>7240</v>
      </c>
      <c r="B1563" s="52" t="s">
        <v>7239</v>
      </c>
    </row>
    <row r="1564" spans="1:2" x14ac:dyDescent="0.35">
      <c r="A1564" s="50" t="s">
        <v>7237</v>
      </c>
      <c r="B1564" s="52" t="s">
        <v>7236</v>
      </c>
    </row>
    <row r="1565" spans="1:2" x14ac:dyDescent="0.35">
      <c r="A1565" s="50" t="s">
        <v>7235</v>
      </c>
      <c r="B1565" s="52" t="s">
        <v>7234</v>
      </c>
    </row>
    <row r="1566" spans="1:2" x14ac:dyDescent="0.35">
      <c r="A1566" s="50" t="s">
        <v>7233</v>
      </c>
      <c r="B1566" s="52" t="s">
        <v>7232</v>
      </c>
    </row>
    <row r="1567" spans="1:2" x14ac:dyDescent="0.35">
      <c r="A1567" s="50" t="s">
        <v>7227</v>
      </c>
      <c r="B1567" s="52" t="s">
        <v>7226</v>
      </c>
    </row>
    <row r="1568" spans="1:2" x14ac:dyDescent="0.35">
      <c r="A1568" s="50" t="s">
        <v>7223</v>
      </c>
      <c r="B1568" s="52" t="s">
        <v>7222</v>
      </c>
    </row>
    <row r="1569" spans="1:5" x14ac:dyDescent="0.35">
      <c r="B1569" s="52" t="s">
        <v>7221</v>
      </c>
    </row>
    <row r="1570" spans="1:5" x14ac:dyDescent="0.35">
      <c r="A1570" s="50" t="s">
        <v>7219</v>
      </c>
      <c r="B1570" s="52" t="s">
        <v>7218</v>
      </c>
    </row>
    <row r="1571" spans="1:5" x14ac:dyDescent="0.35">
      <c r="A1571" s="50" t="s">
        <v>7215</v>
      </c>
      <c r="B1571" s="52" t="s">
        <v>7214</v>
      </c>
    </row>
    <row r="1572" spans="1:5" x14ac:dyDescent="0.35">
      <c r="A1572" s="50" t="s">
        <v>7209</v>
      </c>
      <c r="B1572" s="52" t="s">
        <v>7208</v>
      </c>
    </row>
    <row r="1573" spans="1:5" x14ac:dyDescent="0.35">
      <c r="A1573" s="50" t="s">
        <v>7207</v>
      </c>
      <c r="B1573" s="52" t="s">
        <v>7206</v>
      </c>
    </row>
    <row r="1574" spans="1:5" x14ac:dyDescent="0.35">
      <c r="A1574" s="50" t="s">
        <v>7205</v>
      </c>
      <c r="B1574" s="52" t="s">
        <v>7204</v>
      </c>
    </row>
    <row r="1575" spans="1:5" x14ac:dyDescent="0.35">
      <c r="B1575" s="52" t="s">
        <v>7201</v>
      </c>
    </row>
    <row r="1576" spans="1:5" x14ac:dyDescent="0.35">
      <c r="A1576" s="50" t="s">
        <v>7199</v>
      </c>
      <c r="B1576" s="52" t="s">
        <v>7198</v>
      </c>
    </row>
    <row r="1577" spans="1:5" x14ac:dyDescent="0.35">
      <c r="A1577" s="50" t="s">
        <v>7197</v>
      </c>
      <c r="B1577" s="52" t="s">
        <v>7196</v>
      </c>
    </row>
    <row r="1578" spans="1:5" x14ac:dyDescent="0.35">
      <c r="B1578" s="52" t="s">
        <v>7186</v>
      </c>
    </row>
    <row r="1579" spans="1:5" x14ac:dyDescent="0.35">
      <c r="A1579" s="50" t="s">
        <v>7181</v>
      </c>
      <c r="B1579" s="52" t="s">
        <v>7180</v>
      </c>
    </row>
    <row r="1580" spans="1:5" x14ac:dyDescent="0.35">
      <c r="A1580" s="50" t="s">
        <v>7179</v>
      </c>
      <c r="B1580" s="52" t="s">
        <v>7178</v>
      </c>
    </row>
    <row r="1581" spans="1:5" x14ac:dyDescent="0.35">
      <c r="A1581" s="50" t="s">
        <v>7177</v>
      </c>
      <c r="B1581" s="52" t="s">
        <v>7176</v>
      </c>
    </row>
    <row r="1582" spans="1:5" x14ac:dyDescent="0.35">
      <c r="A1582" s="50" t="s">
        <v>7175</v>
      </c>
      <c r="B1582" s="52" t="s">
        <v>7174</v>
      </c>
      <c r="E1582" s="57"/>
    </row>
    <row r="1583" spans="1:5" x14ac:dyDescent="0.35">
      <c r="A1583" s="50" t="s">
        <v>7173</v>
      </c>
      <c r="B1583" s="52" t="s">
        <v>7172</v>
      </c>
    </row>
    <row r="1584" spans="1:5" x14ac:dyDescent="0.35">
      <c r="B1584" s="52" t="s">
        <v>7171</v>
      </c>
      <c r="E1584" s="57"/>
    </row>
    <row r="1585" spans="1:2" x14ac:dyDescent="0.35">
      <c r="B1585" s="52" t="s">
        <v>7170</v>
      </c>
    </row>
    <row r="1586" spans="1:2" x14ac:dyDescent="0.35">
      <c r="A1586" s="50" t="s">
        <v>7167</v>
      </c>
      <c r="B1586" s="52" t="s">
        <v>7166</v>
      </c>
    </row>
    <row r="1587" spans="1:2" x14ac:dyDescent="0.35">
      <c r="A1587" s="50" t="s">
        <v>7165</v>
      </c>
      <c r="B1587" s="52" t="s">
        <v>7164</v>
      </c>
    </row>
    <row r="1588" spans="1:2" x14ac:dyDescent="0.35">
      <c r="A1588" s="50" t="s">
        <v>7163</v>
      </c>
      <c r="B1588" s="52" t="s">
        <v>7162</v>
      </c>
    </row>
    <row r="1589" spans="1:2" x14ac:dyDescent="0.35">
      <c r="A1589" s="50" t="s">
        <v>7161</v>
      </c>
      <c r="B1589" s="52" t="s">
        <v>7160</v>
      </c>
    </row>
    <row r="1590" spans="1:2" x14ac:dyDescent="0.35">
      <c r="A1590" s="50" t="s">
        <v>7159</v>
      </c>
      <c r="B1590" s="52" t="s">
        <v>7158</v>
      </c>
    </row>
    <row r="1591" spans="1:2" x14ac:dyDescent="0.35">
      <c r="A1591" s="50" t="s">
        <v>7157</v>
      </c>
      <c r="B1591" s="52" t="s">
        <v>7156</v>
      </c>
    </row>
    <row r="1592" spans="1:2" x14ac:dyDescent="0.35">
      <c r="A1592" s="50" t="s">
        <v>7155</v>
      </c>
      <c r="B1592" s="52" t="s">
        <v>7154</v>
      </c>
    </row>
    <row r="1593" spans="1:2" x14ac:dyDescent="0.35">
      <c r="A1593" s="50" t="s">
        <v>7150</v>
      </c>
      <c r="B1593" s="52" t="s">
        <v>7149</v>
      </c>
    </row>
    <row r="1594" spans="1:2" x14ac:dyDescent="0.35">
      <c r="A1594" s="50" t="s">
        <v>7146</v>
      </c>
      <c r="B1594" s="52" t="s">
        <v>7145</v>
      </c>
    </row>
    <row r="1595" spans="1:2" x14ac:dyDescent="0.35">
      <c r="A1595" s="50" t="s">
        <v>7144</v>
      </c>
      <c r="B1595" s="52" t="s">
        <v>7143</v>
      </c>
    </row>
    <row r="1596" spans="1:2" x14ac:dyDescent="0.35">
      <c r="B1596" s="52" t="s">
        <v>7142</v>
      </c>
    </row>
    <row r="1597" spans="1:2" x14ac:dyDescent="0.35">
      <c r="B1597" s="52" t="s">
        <v>7141</v>
      </c>
    </row>
    <row r="1598" spans="1:2" x14ac:dyDescent="0.35">
      <c r="A1598" s="50" t="s">
        <v>7138</v>
      </c>
      <c r="B1598" s="52" t="s">
        <v>7137</v>
      </c>
    </row>
    <row r="1599" spans="1:2" x14ac:dyDescent="0.35">
      <c r="A1599" s="50" t="s">
        <v>7126</v>
      </c>
      <c r="B1599" s="52" t="s">
        <v>7125</v>
      </c>
    </row>
    <row r="1600" spans="1:2" x14ac:dyDescent="0.35">
      <c r="A1600" s="50" t="s">
        <v>7115</v>
      </c>
      <c r="B1600" s="52" t="s">
        <v>7114</v>
      </c>
    </row>
    <row r="1601" spans="1:2" x14ac:dyDescent="0.35">
      <c r="A1601" s="50" t="s">
        <v>7112</v>
      </c>
      <c r="B1601" s="52" t="s">
        <v>7111</v>
      </c>
    </row>
    <row r="1602" spans="1:2" x14ac:dyDescent="0.35">
      <c r="A1602" s="50" t="s">
        <v>7107</v>
      </c>
      <c r="B1602" s="52" t="s">
        <v>7106</v>
      </c>
    </row>
    <row r="1603" spans="1:2" x14ac:dyDescent="0.35">
      <c r="A1603" s="50" t="s">
        <v>7105</v>
      </c>
      <c r="B1603" s="52" t="s">
        <v>7104</v>
      </c>
    </row>
    <row r="1604" spans="1:2" x14ac:dyDescent="0.35">
      <c r="A1604" s="50" t="s">
        <v>7103</v>
      </c>
      <c r="B1604" s="52" t="s">
        <v>7102</v>
      </c>
    </row>
    <row r="1605" spans="1:2" x14ac:dyDescent="0.35">
      <c r="A1605" s="50" t="s">
        <v>7100</v>
      </c>
      <c r="B1605" s="52" t="s">
        <v>7099</v>
      </c>
    </row>
    <row r="1606" spans="1:2" x14ac:dyDescent="0.35">
      <c r="A1606" s="50" t="s">
        <v>7098</v>
      </c>
      <c r="B1606" s="52" t="s">
        <v>7097</v>
      </c>
    </row>
    <row r="1607" spans="1:2" x14ac:dyDescent="0.35">
      <c r="B1607" s="52" t="s">
        <v>7096</v>
      </c>
    </row>
    <row r="1608" spans="1:2" x14ac:dyDescent="0.35">
      <c r="B1608" s="52" t="s">
        <v>7095</v>
      </c>
    </row>
    <row r="1609" spans="1:2" x14ac:dyDescent="0.35">
      <c r="A1609" s="50" t="s">
        <v>7090</v>
      </c>
      <c r="B1609" s="52" t="s">
        <v>7089</v>
      </c>
    </row>
    <row r="1610" spans="1:2" x14ac:dyDescent="0.35">
      <c r="A1610" s="50" t="s">
        <v>7081</v>
      </c>
      <c r="B1610" s="52" t="s">
        <v>7080</v>
      </c>
    </row>
    <row r="1611" spans="1:2" x14ac:dyDescent="0.35">
      <c r="A1611" s="50" t="s">
        <v>7079</v>
      </c>
      <c r="B1611" s="52" t="s">
        <v>7078</v>
      </c>
    </row>
    <row r="1612" spans="1:2" x14ac:dyDescent="0.35">
      <c r="A1612" s="50" t="s">
        <v>7077</v>
      </c>
      <c r="B1612" s="52" t="s">
        <v>7076</v>
      </c>
    </row>
    <row r="1613" spans="1:2" x14ac:dyDescent="0.35">
      <c r="A1613" s="50" t="s">
        <v>7074</v>
      </c>
      <c r="B1613" s="52" t="s">
        <v>7073</v>
      </c>
    </row>
    <row r="1614" spans="1:2" x14ac:dyDescent="0.35">
      <c r="A1614" s="50" t="s">
        <v>7071</v>
      </c>
      <c r="B1614" s="52" t="s">
        <v>7070</v>
      </c>
    </row>
    <row r="1615" spans="1:2" x14ac:dyDescent="0.35">
      <c r="B1615" s="52" t="s">
        <v>7069</v>
      </c>
    </row>
    <row r="1616" spans="1:2" x14ac:dyDescent="0.35">
      <c r="A1616" s="50" t="s">
        <v>7064</v>
      </c>
      <c r="B1616" s="52" t="s">
        <v>7063</v>
      </c>
    </row>
    <row r="1617" spans="1:2" x14ac:dyDescent="0.35">
      <c r="A1617" s="50" t="s">
        <v>7060</v>
      </c>
      <c r="B1617" s="52" t="s">
        <v>7059</v>
      </c>
    </row>
    <row r="1618" spans="1:2" x14ac:dyDescent="0.35">
      <c r="A1618" s="50" t="s">
        <v>7058</v>
      </c>
      <c r="B1618" s="52" t="s">
        <v>7057</v>
      </c>
    </row>
    <row r="1619" spans="1:2" x14ac:dyDescent="0.35">
      <c r="A1619" s="50" t="s">
        <v>7054</v>
      </c>
      <c r="B1619" s="52" t="s">
        <v>7053</v>
      </c>
    </row>
    <row r="1620" spans="1:2" x14ac:dyDescent="0.35">
      <c r="A1620" s="50" t="s">
        <v>7048</v>
      </c>
      <c r="B1620" s="52" t="s">
        <v>7047</v>
      </c>
    </row>
    <row r="1621" spans="1:2" x14ac:dyDescent="0.35">
      <c r="A1621" s="50" t="s">
        <v>7046</v>
      </c>
      <c r="B1621" s="52" t="s">
        <v>7045</v>
      </c>
    </row>
    <row r="1622" spans="1:2" x14ac:dyDescent="0.35">
      <c r="A1622" s="50" t="s">
        <v>7044</v>
      </c>
      <c r="B1622" s="52" t="s">
        <v>7043</v>
      </c>
    </row>
    <row r="1623" spans="1:2" x14ac:dyDescent="0.35">
      <c r="A1623" s="50" t="s">
        <v>7042</v>
      </c>
      <c r="B1623" s="52" t="s">
        <v>7041</v>
      </c>
    </row>
    <row r="1624" spans="1:2" x14ac:dyDescent="0.35">
      <c r="A1624" s="50" t="s">
        <v>7040</v>
      </c>
      <c r="B1624" s="52" t="s">
        <v>7039</v>
      </c>
    </row>
    <row r="1625" spans="1:2" x14ac:dyDescent="0.35">
      <c r="A1625" s="50" t="s">
        <v>7038</v>
      </c>
      <c r="B1625" s="52" t="s">
        <v>7037</v>
      </c>
    </row>
    <row r="1626" spans="1:2" x14ac:dyDescent="0.35">
      <c r="A1626" s="50" t="s">
        <v>7035</v>
      </c>
      <c r="B1626" s="52" t="s">
        <v>7034</v>
      </c>
    </row>
    <row r="1627" spans="1:2" x14ac:dyDescent="0.35">
      <c r="A1627" s="50" t="s">
        <v>7033</v>
      </c>
      <c r="B1627" s="52" t="s">
        <v>7032</v>
      </c>
    </row>
    <row r="1628" spans="1:2" x14ac:dyDescent="0.35">
      <c r="A1628" s="50" t="s">
        <v>7031</v>
      </c>
      <c r="B1628" s="52" t="s">
        <v>7030</v>
      </c>
    </row>
    <row r="1629" spans="1:2" x14ac:dyDescent="0.35">
      <c r="A1629" s="50" t="s">
        <v>7029</v>
      </c>
      <c r="B1629" s="52" t="s">
        <v>7028</v>
      </c>
    </row>
    <row r="1630" spans="1:2" x14ac:dyDescent="0.35">
      <c r="B1630" s="52" t="s">
        <v>7027</v>
      </c>
    </row>
    <row r="1631" spans="1:2" x14ac:dyDescent="0.35">
      <c r="A1631" s="50" t="s">
        <v>7026</v>
      </c>
      <c r="B1631" s="52" t="s">
        <v>7025</v>
      </c>
    </row>
    <row r="1632" spans="1:2" x14ac:dyDescent="0.35">
      <c r="A1632" s="50" t="s">
        <v>7023</v>
      </c>
      <c r="B1632" s="52" t="s">
        <v>7022</v>
      </c>
    </row>
    <row r="1633" spans="1:2" x14ac:dyDescent="0.35">
      <c r="A1633" s="50" t="s">
        <v>7019</v>
      </c>
      <c r="B1633" s="52" t="s">
        <v>7018</v>
      </c>
    </row>
    <row r="1634" spans="1:2" x14ac:dyDescent="0.35">
      <c r="A1634" s="50" t="s">
        <v>7015</v>
      </c>
      <c r="B1634" s="52" t="s">
        <v>7014</v>
      </c>
    </row>
    <row r="1635" spans="1:2" x14ac:dyDescent="0.35">
      <c r="A1635" s="50" t="s">
        <v>7012</v>
      </c>
      <c r="B1635" s="52" t="s">
        <v>7011</v>
      </c>
    </row>
    <row r="1636" spans="1:2" x14ac:dyDescent="0.35">
      <c r="A1636" s="50" t="s">
        <v>7010</v>
      </c>
      <c r="B1636" s="52" t="s">
        <v>7009</v>
      </c>
    </row>
    <row r="1637" spans="1:2" x14ac:dyDescent="0.35">
      <c r="A1637" s="50" t="s">
        <v>7008</v>
      </c>
      <c r="B1637" s="52" t="s">
        <v>7007</v>
      </c>
    </row>
    <row r="1638" spans="1:2" x14ac:dyDescent="0.35">
      <c r="A1638" s="50" t="s">
        <v>7006</v>
      </c>
      <c r="B1638" s="52" t="s">
        <v>7005</v>
      </c>
    </row>
    <row r="1639" spans="1:2" x14ac:dyDescent="0.35">
      <c r="A1639" s="50" t="s">
        <v>7004</v>
      </c>
      <c r="B1639" s="52" t="s">
        <v>7003</v>
      </c>
    </row>
    <row r="1640" spans="1:2" x14ac:dyDescent="0.35">
      <c r="B1640" s="52" t="s">
        <v>7002</v>
      </c>
    </row>
    <row r="1641" spans="1:2" x14ac:dyDescent="0.35">
      <c r="B1641" s="52" t="s">
        <v>7000</v>
      </c>
    </row>
    <row r="1642" spans="1:2" x14ac:dyDescent="0.35">
      <c r="A1642" s="50" t="s">
        <v>6995</v>
      </c>
      <c r="B1642" s="52" t="s">
        <v>6994</v>
      </c>
    </row>
    <row r="1643" spans="1:2" x14ac:dyDescent="0.35">
      <c r="A1643" s="50" t="s">
        <v>6993</v>
      </c>
      <c r="B1643" s="52" t="s">
        <v>6992</v>
      </c>
    </row>
    <row r="1644" spans="1:2" x14ac:dyDescent="0.35">
      <c r="A1644" s="50" t="s">
        <v>6988</v>
      </c>
      <c r="B1644" s="52" t="s">
        <v>6987</v>
      </c>
    </row>
    <row r="1645" spans="1:2" x14ac:dyDescent="0.35">
      <c r="A1645" s="50" t="s">
        <v>6985</v>
      </c>
      <c r="B1645" s="52" t="s">
        <v>6984</v>
      </c>
    </row>
    <row r="1646" spans="1:2" x14ac:dyDescent="0.35">
      <c r="A1646" s="50" t="s">
        <v>6982</v>
      </c>
      <c r="B1646" s="52" t="s">
        <v>6981</v>
      </c>
    </row>
    <row r="1647" spans="1:2" x14ac:dyDescent="0.35">
      <c r="A1647" s="50" t="s">
        <v>6980</v>
      </c>
      <c r="B1647" s="52" t="s">
        <v>6979</v>
      </c>
    </row>
    <row r="1648" spans="1:2" x14ac:dyDescent="0.35">
      <c r="A1648" s="50" t="s">
        <v>6978</v>
      </c>
      <c r="B1648" s="52" t="s">
        <v>6977</v>
      </c>
    </row>
    <row r="1649" spans="1:2" x14ac:dyDescent="0.35">
      <c r="B1649" s="52" t="s">
        <v>6976</v>
      </c>
    </row>
    <row r="1650" spans="1:2" x14ac:dyDescent="0.35">
      <c r="A1650" s="50" t="s">
        <v>6975</v>
      </c>
      <c r="B1650" s="52" t="s">
        <v>6974</v>
      </c>
    </row>
    <row r="1651" spans="1:2" x14ac:dyDescent="0.35">
      <c r="B1651" s="52" t="s">
        <v>6973</v>
      </c>
    </row>
    <row r="1652" spans="1:2" x14ac:dyDescent="0.35">
      <c r="A1652" s="50" t="s">
        <v>6972</v>
      </c>
      <c r="B1652" s="52" t="s">
        <v>6971</v>
      </c>
    </row>
    <row r="1653" spans="1:2" x14ac:dyDescent="0.35">
      <c r="A1653" s="50" t="s">
        <v>6969</v>
      </c>
      <c r="B1653" s="52" t="s">
        <v>6968</v>
      </c>
    </row>
    <row r="1654" spans="1:2" x14ac:dyDescent="0.35">
      <c r="A1654" s="50" t="s">
        <v>6967</v>
      </c>
      <c r="B1654" s="52" t="s">
        <v>6966</v>
      </c>
    </row>
    <row r="1655" spans="1:2" x14ac:dyDescent="0.35">
      <c r="A1655" s="50" t="s">
        <v>6964</v>
      </c>
      <c r="B1655" s="52" t="s">
        <v>6963</v>
      </c>
    </row>
    <row r="1656" spans="1:2" x14ac:dyDescent="0.35">
      <c r="A1656" s="50" t="s">
        <v>6959</v>
      </c>
      <c r="B1656" s="52" t="s">
        <v>6958</v>
      </c>
    </row>
    <row r="1657" spans="1:2" x14ac:dyDescent="0.35">
      <c r="A1657" s="50" t="s">
        <v>6956</v>
      </c>
      <c r="B1657" s="52" t="s">
        <v>6955</v>
      </c>
    </row>
    <row r="1658" spans="1:2" x14ac:dyDescent="0.35">
      <c r="A1658" s="50" t="s">
        <v>6953</v>
      </c>
      <c r="B1658" s="52" t="s">
        <v>6952</v>
      </c>
    </row>
    <row r="1659" spans="1:2" x14ac:dyDescent="0.35">
      <c r="A1659" s="50" t="s">
        <v>6950</v>
      </c>
      <c r="B1659" s="52" t="s">
        <v>6949</v>
      </c>
    </row>
    <row r="1660" spans="1:2" x14ac:dyDescent="0.35">
      <c r="A1660" s="50" t="s">
        <v>6944</v>
      </c>
      <c r="B1660" s="52" t="s">
        <v>6943</v>
      </c>
    </row>
    <row r="1661" spans="1:2" x14ac:dyDescent="0.35">
      <c r="A1661" s="50" t="s">
        <v>6942</v>
      </c>
      <c r="B1661" s="52" t="s">
        <v>6941</v>
      </c>
    </row>
    <row r="1662" spans="1:2" x14ac:dyDescent="0.35">
      <c r="A1662" s="50" t="s">
        <v>6940</v>
      </c>
      <c r="B1662" s="52" t="s">
        <v>6939</v>
      </c>
    </row>
    <row r="1663" spans="1:2" x14ac:dyDescent="0.35">
      <c r="A1663" s="50" t="s">
        <v>6938</v>
      </c>
      <c r="B1663" s="52" t="s">
        <v>6937</v>
      </c>
    </row>
    <row r="1664" spans="1:2" x14ac:dyDescent="0.35">
      <c r="A1664" s="50" t="s">
        <v>6936</v>
      </c>
      <c r="B1664" s="52" t="s">
        <v>6935</v>
      </c>
    </row>
    <row r="1665" spans="1:2" x14ac:dyDescent="0.35">
      <c r="A1665" s="50" t="s">
        <v>6934</v>
      </c>
      <c r="B1665" s="52" t="s">
        <v>6933</v>
      </c>
    </row>
    <row r="1666" spans="1:2" x14ac:dyDescent="0.35">
      <c r="A1666" s="50" t="s">
        <v>6931</v>
      </c>
      <c r="B1666" s="52" t="s">
        <v>6930</v>
      </c>
    </row>
    <row r="1667" spans="1:2" x14ac:dyDescent="0.35">
      <c r="A1667" s="50" t="s">
        <v>6928</v>
      </c>
      <c r="B1667" s="52" t="s">
        <v>6927</v>
      </c>
    </row>
    <row r="1668" spans="1:2" x14ac:dyDescent="0.35">
      <c r="A1668" s="50" t="s">
        <v>6926</v>
      </c>
      <c r="B1668" s="52" t="s">
        <v>6925</v>
      </c>
    </row>
    <row r="1669" spans="1:2" x14ac:dyDescent="0.35">
      <c r="A1669" s="50" t="s">
        <v>6924</v>
      </c>
      <c r="B1669" s="52" t="s">
        <v>6923</v>
      </c>
    </row>
    <row r="1670" spans="1:2" x14ac:dyDescent="0.35">
      <c r="A1670" s="50" t="s">
        <v>6921</v>
      </c>
      <c r="B1670" s="52" t="s">
        <v>6920</v>
      </c>
    </row>
    <row r="1671" spans="1:2" x14ac:dyDescent="0.35">
      <c r="A1671" s="50" t="s">
        <v>6919</v>
      </c>
      <c r="B1671" s="52" t="s">
        <v>6918</v>
      </c>
    </row>
    <row r="1672" spans="1:2" x14ac:dyDescent="0.35">
      <c r="A1672" s="50" t="s">
        <v>6917</v>
      </c>
      <c r="B1672" s="52" t="s">
        <v>6916</v>
      </c>
    </row>
    <row r="1673" spans="1:2" x14ac:dyDescent="0.35">
      <c r="A1673" s="50" t="s">
        <v>6909</v>
      </c>
      <c r="B1673" s="52" t="s">
        <v>6908</v>
      </c>
    </row>
    <row r="1674" spans="1:2" x14ac:dyDescent="0.35">
      <c r="A1674" s="50" t="s">
        <v>6907</v>
      </c>
      <c r="B1674" s="52" t="s">
        <v>6906</v>
      </c>
    </row>
    <row r="1675" spans="1:2" x14ac:dyDescent="0.35">
      <c r="A1675" s="50" t="s">
        <v>6903</v>
      </c>
      <c r="B1675" s="52" t="s">
        <v>6902</v>
      </c>
    </row>
    <row r="1676" spans="1:2" x14ac:dyDescent="0.35">
      <c r="A1676" s="50" t="s">
        <v>6896</v>
      </c>
      <c r="B1676" s="52" t="s">
        <v>6895</v>
      </c>
    </row>
    <row r="1677" spans="1:2" x14ac:dyDescent="0.35">
      <c r="A1677" s="50" t="s">
        <v>6894</v>
      </c>
      <c r="B1677" s="52" t="s">
        <v>6893</v>
      </c>
    </row>
    <row r="1678" spans="1:2" x14ac:dyDescent="0.35">
      <c r="A1678" s="50" t="s">
        <v>6890</v>
      </c>
      <c r="B1678" s="52" t="s">
        <v>6889</v>
      </c>
    </row>
    <row r="1679" spans="1:2" x14ac:dyDescent="0.35">
      <c r="A1679" s="50" t="s">
        <v>6888</v>
      </c>
      <c r="B1679" s="52" t="s">
        <v>6887</v>
      </c>
    </row>
    <row r="1680" spans="1:2" x14ac:dyDescent="0.35">
      <c r="A1680" s="50" t="s">
        <v>6886</v>
      </c>
      <c r="B1680" s="52" t="s">
        <v>6885</v>
      </c>
    </row>
    <row r="1681" spans="1:2" x14ac:dyDescent="0.35">
      <c r="A1681" s="50" t="s">
        <v>6884</v>
      </c>
      <c r="B1681" s="52" t="s">
        <v>6883</v>
      </c>
    </row>
    <row r="1682" spans="1:2" x14ac:dyDescent="0.35">
      <c r="A1682" s="50" t="s">
        <v>6882</v>
      </c>
      <c r="B1682" s="52" t="s">
        <v>6881</v>
      </c>
    </row>
    <row r="1683" spans="1:2" x14ac:dyDescent="0.35">
      <c r="A1683" s="50" t="s">
        <v>6874</v>
      </c>
      <c r="B1683" s="52" t="s">
        <v>6873</v>
      </c>
    </row>
    <row r="1684" spans="1:2" x14ac:dyDescent="0.35">
      <c r="A1684" s="50" t="s">
        <v>6871</v>
      </c>
      <c r="B1684" s="52" t="s">
        <v>6870</v>
      </c>
    </row>
    <row r="1685" spans="1:2" x14ac:dyDescent="0.35">
      <c r="A1685" s="50" t="s">
        <v>6864</v>
      </c>
      <c r="B1685" s="52" t="s">
        <v>6863</v>
      </c>
    </row>
    <row r="1686" spans="1:2" x14ac:dyDescent="0.35">
      <c r="A1686" s="50" t="s">
        <v>6852</v>
      </c>
      <c r="B1686" s="52" t="s">
        <v>6851</v>
      </c>
    </row>
    <row r="1687" spans="1:2" x14ac:dyDescent="0.35">
      <c r="A1687" s="50" t="s">
        <v>6848</v>
      </c>
      <c r="B1687" s="52" t="s">
        <v>6847</v>
      </c>
    </row>
    <row r="1688" spans="1:2" x14ac:dyDescent="0.35">
      <c r="A1688" s="50" t="s">
        <v>6844</v>
      </c>
      <c r="B1688" s="52" t="s">
        <v>6843</v>
      </c>
    </row>
    <row r="1689" spans="1:2" x14ac:dyDescent="0.35">
      <c r="A1689" s="50" t="s">
        <v>6837</v>
      </c>
      <c r="B1689" s="52" t="s">
        <v>6836</v>
      </c>
    </row>
    <row r="1690" spans="1:2" x14ac:dyDescent="0.35">
      <c r="A1690" s="50" t="s">
        <v>6835</v>
      </c>
      <c r="B1690" s="52" t="s">
        <v>6834</v>
      </c>
    </row>
    <row r="1691" spans="1:2" x14ac:dyDescent="0.35">
      <c r="B1691" s="52" t="s">
        <v>6828</v>
      </c>
    </row>
    <row r="1692" spans="1:2" x14ac:dyDescent="0.35">
      <c r="A1692" s="50" t="s">
        <v>6823</v>
      </c>
      <c r="B1692" s="52" t="s">
        <v>6822</v>
      </c>
    </row>
    <row r="1693" spans="1:2" x14ac:dyDescent="0.35">
      <c r="A1693" s="50" t="s">
        <v>6821</v>
      </c>
      <c r="B1693" s="52" t="s">
        <v>6820</v>
      </c>
    </row>
    <row r="1694" spans="1:2" x14ac:dyDescent="0.35">
      <c r="A1694" s="50" t="s">
        <v>6819</v>
      </c>
      <c r="B1694" s="52" t="s">
        <v>6818</v>
      </c>
    </row>
    <row r="1695" spans="1:2" x14ac:dyDescent="0.35">
      <c r="A1695" s="50" t="s">
        <v>6817</v>
      </c>
      <c r="B1695" s="52" t="s">
        <v>6816</v>
      </c>
    </row>
    <row r="1696" spans="1:2" x14ac:dyDescent="0.35">
      <c r="A1696" s="50" t="s">
        <v>6815</v>
      </c>
      <c r="B1696" s="52" t="s">
        <v>6814</v>
      </c>
    </row>
    <row r="1697" spans="1:2" x14ac:dyDescent="0.35">
      <c r="A1697" s="50" t="s">
        <v>6802</v>
      </c>
      <c r="B1697" s="52" t="s">
        <v>6801</v>
      </c>
    </row>
    <row r="1698" spans="1:2" x14ac:dyDescent="0.35">
      <c r="A1698" s="50" t="s">
        <v>6799</v>
      </c>
      <c r="B1698" s="52" t="s">
        <v>6798</v>
      </c>
    </row>
    <row r="1699" spans="1:2" x14ac:dyDescent="0.35">
      <c r="A1699" s="50" t="s">
        <v>6794</v>
      </c>
      <c r="B1699" s="52" t="s">
        <v>6793</v>
      </c>
    </row>
    <row r="1700" spans="1:2" x14ac:dyDescent="0.35">
      <c r="A1700" s="50" t="s">
        <v>6791</v>
      </c>
      <c r="B1700" s="52" t="s">
        <v>6790</v>
      </c>
    </row>
    <row r="1701" spans="1:2" x14ac:dyDescent="0.35">
      <c r="A1701" s="50" t="s">
        <v>6789</v>
      </c>
      <c r="B1701" s="52" t="s">
        <v>6788</v>
      </c>
    </row>
    <row r="1702" spans="1:2" x14ac:dyDescent="0.35">
      <c r="A1702" s="50" t="s">
        <v>6783</v>
      </c>
      <c r="B1702" s="52" t="s">
        <v>6782</v>
      </c>
    </row>
    <row r="1703" spans="1:2" x14ac:dyDescent="0.35">
      <c r="A1703" s="50" t="s">
        <v>6781</v>
      </c>
      <c r="B1703" s="52" t="s">
        <v>6780</v>
      </c>
    </row>
    <row r="1704" spans="1:2" x14ac:dyDescent="0.35">
      <c r="A1704" s="50" t="s">
        <v>6779</v>
      </c>
      <c r="B1704" s="52" t="s">
        <v>6778</v>
      </c>
    </row>
    <row r="1705" spans="1:2" x14ac:dyDescent="0.35">
      <c r="A1705" s="50" t="s">
        <v>6777</v>
      </c>
      <c r="B1705" s="52" t="s">
        <v>6776</v>
      </c>
    </row>
    <row r="1706" spans="1:2" x14ac:dyDescent="0.35">
      <c r="A1706" s="50" t="s">
        <v>6770</v>
      </c>
      <c r="B1706" s="52" t="s">
        <v>6769</v>
      </c>
    </row>
    <row r="1707" spans="1:2" x14ac:dyDescent="0.35">
      <c r="A1707" s="50" t="s">
        <v>6768</v>
      </c>
      <c r="B1707" s="52" t="s">
        <v>6767</v>
      </c>
    </row>
    <row r="1708" spans="1:2" x14ac:dyDescent="0.35">
      <c r="A1708" s="50" t="s">
        <v>6765</v>
      </c>
      <c r="B1708" s="52" t="s">
        <v>6764</v>
      </c>
    </row>
    <row r="1709" spans="1:2" x14ac:dyDescent="0.35">
      <c r="A1709" s="50" t="s">
        <v>6763</v>
      </c>
      <c r="B1709" s="52" t="s">
        <v>6762</v>
      </c>
    </row>
    <row r="1710" spans="1:2" x14ac:dyDescent="0.35">
      <c r="A1710" s="50" t="s">
        <v>6758</v>
      </c>
      <c r="B1710" s="52" t="s">
        <v>6757</v>
      </c>
    </row>
    <row r="1711" spans="1:2" x14ac:dyDescent="0.35">
      <c r="A1711" s="50" t="s">
        <v>6756</v>
      </c>
      <c r="B1711" s="52" t="s">
        <v>6755</v>
      </c>
    </row>
    <row r="1712" spans="1:2" x14ac:dyDescent="0.35">
      <c r="A1712" s="50" t="s">
        <v>6754</v>
      </c>
      <c r="B1712" s="52" t="s">
        <v>6753</v>
      </c>
    </row>
    <row r="1713" spans="1:2" x14ac:dyDescent="0.35">
      <c r="A1713" s="50" t="s">
        <v>6749</v>
      </c>
      <c r="B1713" s="52" t="s">
        <v>6748</v>
      </c>
    </row>
    <row r="1714" spans="1:2" x14ac:dyDescent="0.35">
      <c r="B1714" s="52" t="s">
        <v>6747</v>
      </c>
    </row>
    <row r="1715" spans="1:2" x14ac:dyDescent="0.35">
      <c r="A1715" s="50" t="s">
        <v>6743</v>
      </c>
      <c r="B1715" s="52" t="s">
        <v>6742</v>
      </c>
    </row>
    <row r="1716" spans="1:2" x14ac:dyDescent="0.35">
      <c r="A1716" s="50" t="s">
        <v>6740</v>
      </c>
      <c r="B1716" s="52" t="s">
        <v>6739</v>
      </c>
    </row>
    <row r="1717" spans="1:2" x14ac:dyDescent="0.35">
      <c r="A1717" s="50" t="s">
        <v>6734</v>
      </c>
      <c r="B1717" s="52" t="s">
        <v>6733</v>
      </c>
    </row>
    <row r="1718" spans="1:2" x14ac:dyDescent="0.35">
      <c r="A1718" s="50" t="s">
        <v>6707</v>
      </c>
      <c r="B1718" s="52" t="s">
        <v>6706</v>
      </c>
    </row>
    <row r="1719" spans="1:2" x14ac:dyDescent="0.35">
      <c r="A1719" s="50" t="s">
        <v>6700</v>
      </c>
      <c r="B1719" s="52" t="s">
        <v>6699</v>
      </c>
    </row>
    <row r="1720" spans="1:2" x14ac:dyDescent="0.35">
      <c r="A1720" s="50" t="s">
        <v>6694</v>
      </c>
      <c r="B1720" s="52" t="s">
        <v>6693</v>
      </c>
    </row>
    <row r="1721" spans="1:2" x14ac:dyDescent="0.35">
      <c r="A1721" s="50" t="s">
        <v>6690</v>
      </c>
      <c r="B1721" s="52" t="s">
        <v>6689</v>
      </c>
    </row>
    <row r="1722" spans="1:2" x14ac:dyDescent="0.35">
      <c r="A1722" s="50" t="s">
        <v>6685</v>
      </c>
      <c r="B1722" s="52" t="s">
        <v>6684</v>
      </c>
    </row>
    <row r="1723" spans="1:2" x14ac:dyDescent="0.35">
      <c r="A1723" s="50" t="s">
        <v>6683</v>
      </c>
      <c r="B1723" s="52" t="s">
        <v>6682</v>
      </c>
    </row>
    <row r="1724" spans="1:2" x14ac:dyDescent="0.35">
      <c r="A1724" s="50" t="s">
        <v>6681</v>
      </c>
      <c r="B1724" s="52" t="s">
        <v>6680</v>
      </c>
    </row>
    <row r="1725" spans="1:2" x14ac:dyDescent="0.35">
      <c r="A1725" s="50" t="s">
        <v>6679</v>
      </c>
      <c r="B1725" s="52" t="s">
        <v>6678</v>
      </c>
    </row>
    <row r="1726" spans="1:2" x14ac:dyDescent="0.35">
      <c r="A1726" s="50" t="s">
        <v>6677</v>
      </c>
      <c r="B1726" s="52" t="s">
        <v>6676</v>
      </c>
    </row>
    <row r="1727" spans="1:2" x14ac:dyDescent="0.35">
      <c r="A1727" s="50" t="s">
        <v>6675</v>
      </c>
      <c r="B1727" s="52" t="s">
        <v>6674</v>
      </c>
    </row>
    <row r="1728" spans="1:2" x14ac:dyDescent="0.35">
      <c r="A1728" s="50" t="s">
        <v>6672</v>
      </c>
      <c r="B1728" s="52" t="s">
        <v>6671</v>
      </c>
    </row>
    <row r="1729" spans="1:2" x14ac:dyDescent="0.35">
      <c r="A1729" s="50" t="s">
        <v>6661</v>
      </c>
      <c r="B1729" s="52" t="s">
        <v>6660</v>
      </c>
    </row>
    <row r="1730" spans="1:2" x14ac:dyDescent="0.35">
      <c r="A1730" s="50" t="s">
        <v>6659</v>
      </c>
      <c r="B1730" s="52" t="s">
        <v>6658</v>
      </c>
    </row>
    <row r="1731" spans="1:2" x14ac:dyDescent="0.35">
      <c r="A1731" s="50" t="s">
        <v>6653</v>
      </c>
      <c r="B1731" s="52" t="s">
        <v>6652</v>
      </c>
    </row>
    <row r="1732" spans="1:2" x14ac:dyDescent="0.35">
      <c r="A1732" s="50" t="s">
        <v>6647</v>
      </c>
      <c r="B1732" s="52" t="s">
        <v>6646</v>
      </c>
    </row>
    <row r="1733" spans="1:2" x14ac:dyDescent="0.35">
      <c r="A1733" s="50" t="s">
        <v>6645</v>
      </c>
      <c r="B1733" s="52" t="s">
        <v>6644</v>
      </c>
    </row>
    <row r="1734" spans="1:2" x14ac:dyDescent="0.35">
      <c r="A1734" s="50" t="s">
        <v>6643</v>
      </c>
      <c r="B1734" s="52" t="s">
        <v>6642</v>
      </c>
    </row>
    <row r="1735" spans="1:2" x14ac:dyDescent="0.35">
      <c r="A1735" s="50" t="s">
        <v>6634</v>
      </c>
      <c r="B1735" s="52" t="s">
        <v>6633</v>
      </c>
    </row>
    <row r="1736" spans="1:2" x14ac:dyDescent="0.35">
      <c r="A1736" s="50" t="s">
        <v>6632</v>
      </c>
      <c r="B1736" s="52" t="s">
        <v>6631</v>
      </c>
    </row>
    <row r="1737" spans="1:2" x14ac:dyDescent="0.35">
      <c r="B1737" s="52" t="s">
        <v>6624</v>
      </c>
    </row>
    <row r="1738" spans="1:2" x14ac:dyDescent="0.35">
      <c r="B1738" s="52" t="s">
        <v>6623</v>
      </c>
    </row>
    <row r="1739" spans="1:2" x14ac:dyDescent="0.35">
      <c r="B1739" s="52" t="s">
        <v>6622</v>
      </c>
    </row>
    <row r="1740" spans="1:2" x14ac:dyDescent="0.35">
      <c r="B1740" s="52" t="s">
        <v>6621</v>
      </c>
    </row>
    <row r="1741" spans="1:2" x14ac:dyDescent="0.35">
      <c r="B1741" s="52" t="s">
        <v>6620</v>
      </c>
    </row>
    <row r="1742" spans="1:2" x14ac:dyDescent="0.35">
      <c r="B1742" s="52" t="s">
        <v>6619</v>
      </c>
    </row>
    <row r="1743" spans="1:2" x14ac:dyDescent="0.35">
      <c r="A1743" s="50" t="s">
        <v>6615</v>
      </c>
      <c r="B1743" s="52" t="s">
        <v>6614</v>
      </c>
    </row>
    <row r="1744" spans="1:2" x14ac:dyDescent="0.35">
      <c r="A1744" s="50" t="s">
        <v>6613</v>
      </c>
      <c r="B1744" s="52" t="s">
        <v>6612</v>
      </c>
    </row>
    <row r="1745" spans="1:2" x14ac:dyDescent="0.35">
      <c r="A1745" s="50" t="s">
        <v>6603</v>
      </c>
      <c r="B1745" s="52" t="s">
        <v>6602</v>
      </c>
    </row>
    <row r="1746" spans="1:2" x14ac:dyDescent="0.35">
      <c r="A1746" s="50" t="s">
        <v>6590</v>
      </c>
      <c r="B1746" s="52" t="s">
        <v>6589</v>
      </c>
    </row>
    <row r="1747" spans="1:2" x14ac:dyDescent="0.35">
      <c r="A1747" s="50" t="s">
        <v>6586</v>
      </c>
      <c r="B1747" s="52" t="s">
        <v>6585</v>
      </c>
    </row>
    <row r="1748" spans="1:2" x14ac:dyDescent="0.35">
      <c r="A1748" s="50" t="s">
        <v>6584</v>
      </c>
      <c r="B1748" s="52" t="s">
        <v>6583</v>
      </c>
    </row>
    <row r="1749" spans="1:2" x14ac:dyDescent="0.35">
      <c r="A1749" s="50" t="s">
        <v>6579</v>
      </c>
      <c r="B1749" s="52" t="s">
        <v>6578</v>
      </c>
    </row>
    <row r="1750" spans="1:2" x14ac:dyDescent="0.35">
      <c r="B1750" s="52" t="s">
        <v>6577</v>
      </c>
    </row>
    <row r="1751" spans="1:2" x14ac:dyDescent="0.35">
      <c r="A1751" s="50" t="s">
        <v>6576</v>
      </c>
      <c r="B1751" s="52" t="s">
        <v>6575</v>
      </c>
    </row>
    <row r="1752" spans="1:2" x14ac:dyDescent="0.35">
      <c r="A1752" s="50" t="s">
        <v>6571</v>
      </c>
      <c r="B1752" s="52" t="s">
        <v>6570</v>
      </c>
    </row>
    <row r="1753" spans="1:2" x14ac:dyDescent="0.35">
      <c r="A1753" s="50" t="s">
        <v>6569</v>
      </c>
      <c r="B1753" s="52" t="s">
        <v>6568</v>
      </c>
    </row>
    <row r="1754" spans="1:2" x14ac:dyDescent="0.35">
      <c r="A1754" s="50" t="s">
        <v>6564</v>
      </c>
      <c r="B1754" s="52" t="s">
        <v>6563</v>
      </c>
    </row>
    <row r="1755" spans="1:2" x14ac:dyDescent="0.35">
      <c r="A1755" s="50" t="s">
        <v>6561</v>
      </c>
      <c r="B1755" s="52" t="s">
        <v>6560</v>
      </c>
    </row>
    <row r="1756" spans="1:2" x14ac:dyDescent="0.35">
      <c r="A1756" s="50" t="s">
        <v>6559</v>
      </c>
      <c r="B1756" s="52" t="s">
        <v>6558</v>
      </c>
    </row>
    <row r="1757" spans="1:2" x14ac:dyDescent="0.35">
      <c r="A1757" s="50" t="s">
        <v>6557</v>
      </c>
      <c r="B1757" s="52" t="s">
        <v>6556</v>
      </c>
    </row>
    <row r="1758" spans="1:2" x14ac:dyDescent="0.35">
      <c r="A1758" s="50" t="s">
        <v>6555</v>
      </c>
      <c r="B1758" s="52" t="s">
        <v>6554</v>
      </c>
    </row>
    <row r="1759" spans="1:2" x14ac:dyDescent="0.35">
      <c r="A1759" s="50" t="s">
        <v>6553</v>
      </c>
      <c r="B1759" s="52" t="s">
        <v>6552</v>
      </c>
    </row>
    <row r="1760" spans="1:2" x14ac:dyDescent="0.35">
      <c r="A1760" s="50" t="s">
        <v>6551</v>
      </c>
      <c r="B1760" s="52" t="s">
        <v>6550</v>
      </c>
    </row>
    <row r="1761" spans="1:2" x14ac:dyDescent="0.35">
      <c r="A1761" s="50" t="s">
        <v>6548</v>
      </c>
      <c r="B1761" s="52" t="s">
        <v>6547</v>
      </c>
    </row>
    <row r="1762" spans="1:2" x14ac:dyDescent="0.35">
      <c r="A1762" s="50" t="s">
        <v>6545</v>
      </c>
      <c r="B1762" s="52" t="s">
        <v>6544</v>
      </c>
    </row>
    <row r="1763" spans="1:2" x14ac:dyDescent="0.35">
      <c r="A1763" s="50" t="s">
        <v>6524</v>
      </c>
      <c r="B1763" s="52" t="s">
        <v>6523</v>
      </c>
    </row>
    <row r="1764" spans="1:2" x14ac:dyDescent="0.35">
      <c r="A1764" s="50" t="s">
        <v>6516</v>
      </c>
      <c r="B1764" s="52" t="s">
        <v>6515</v>
      </c>
    </row>
    <row r="1765" spans="1:2" x14ac:dyDescent="0.35">
      <c r="A1765" s="50" t="s">
        <v>6514</v>
      </c>
      <c r="B1765" s="52" t="s">
        <v>6513</v>
      </c>
    </row>
    <row r="1766" spans="1:2" x14ac:dyDescent="0.35">
      <c r="A1766" s="50" t="s">
        <v>6512</v>
      </c>
      <c r="B1766" s="52" t="s">
        <v>6511</v>
      </c>
    </row>
    <row r="1767" spans="1:2" x14ac:dyDescent="0.35">
      <c r="A1767" s="50" t="s">
        <v>6509</v>
      </c>
      <c r="B1767" s="52" t="s">
        <v>6508</v>
      </c>
    </row>
    <row r="1768" spans="1:2" x14ac:dyDescent="0.35">
      <c r="B1768" s="52" t="s">
        <v>6507</v>
      </c>
    </row>
    <row r="1769" spans="1:2" x14ac:dyDescent="0.35">
      <c r="A1769" s="50" t="s">
        <v>6504</v>
      </c>
      <c r="B1769" s="52" t="s">
        <v>6503</v>
      </c>
    </row>
    <row r="1770" spans="1:2" x14ac:dyDescent="0.35">
      <c r="A1770" s="50" t="s">
        <v>6501</v>
      </c>
      <c r="B1770" s="52" t="s">
        <v>6500</v>
      </c>
    </row>
    <row r="1771" spans="1:2" x14ac:dyDescent="0.35">
      <c r="A1771" s="50" t="s">
        <v>6499</v>
      </c>
      <c r="B1771" s="52" t="s">
        <v>6498</v>
      </c>
    </row>
    <row r="1772" spans="1:2" x14ac:dyDescent="0.35">
      <c r="A1772" s="50" t="s">
        <v>6497</v>
      </c>
      <c r="B1772" s="52" t="s">
        <v>6496</v>
      </c>
    </row>
    <row r="1773" spans="1:2" x14ac:dyDescent="0.35">
      <c r="A1773" s="50" t="s">
        <v>6495</v>
      </c>
      <c r="B1773" s="52" t="s">
        <v>6494</v>
      </c>
    </row>
    <row r="1774" spans="1:2" x14ac:dyDescent="0.35">
      <c r="A1774" s="50" t="s">
        <v>6493</v>
      </c>
      <c r="B1774" s="52" t="s">
        <v>6492</v>
      </c>
    </row>
    <row r="1775" spans="1:2" x14ac:dyDescent="0.35">
      <c r="A1775" s="50" t="s">
        <v>6491</v>
      </c>
      <c r="B1775" s="52" t="s">
        <v>6490</v>
      </c>
    </row>
    <row r="1776" spans="1:2" x14ac:dyDescent="0.35">
      <c r="A1776" s="50" t="s">
        <v>6487</v>
      </c>
      <c r="B1776" s="52" t="s">
        <v>6486</v>
      </c>
    </row>
    <row r="1777" spans="1:2" x14ac:dyDescent="0.35">
      <c r="A1777" s="50" t="s">
        <v>6485</v>
      </c>
      <c r="B1777" s="52" t="s">
        <v>6484</v>
      </c>
    </row>
    <row r="1778" spans="1:2" x14ac:dyDescent="0.35">
      <c r="A1778" s="50" t="s">
        <v>6483</v>
      </c>
      <c r="B1778" s="52" t="s">
        <v>6482</v>
      </c>
    </row>
    <row r="1779" spans="1:2" x14ac:dyDescent="0.35">
      <c r="A1779" s="50" t="s">
        <v>6481</v>
      </c>
      <c r="B1779" s="52" t="s">
        <v>6480</v>
      </c>
    </row>
    <row r="1780" spans="1:2" x14ac:dyDescent="0.35">
      <c r="A1780" s="50" t="s">
        <v>6479</v>
      </c>
      <c r="B1780" s="52" t="s">
        <v>6478</v>
      </c>
    </row>
    <row r="1781" spans="1:2" x14ac:dyDescent="0.35">
      <c r="A1781" s="50" t="s">
        <v>6477</v>
      </c>
      <c r="B1781" s="52" t="s">
        <v>6476</v>
      </c>
    </row>
    <row r="1782" spans="1:2" x14ac:dyDescent="0.35">
      <c r="A1782" s="50" t="s">
        <v>6475</v>
      </c>
      <c r="B1782" s="52" t="s">
        <v>6474</v>
      </c>
    </row>
    <row r="1783" spans="1:2" x14ac:dyDescent="0.35">
      <c r="A1783" s="50" t="s">
        <v>6473</v>
      </c>
      <c r="B1783" s="52" t="s">
        <v>6472</v>
      </c>
    </row>
    <row r="1784" spans="1:2" x14ac:dyDescent="0.35">
      <c r="A1784" s="50" t="s">
        <v>6470</v>
      </c>
      <c r="B1784" s="52" t="s">
        <v>6469</v>
      </c>
    </row>
    <row r="1785" spans="1:2" x14ac:dyDescent="0.35">
      <c r="A1785" s="50" t="s">
        <v>6465</v>
      </c>
      <c r="B1785" s="52" t="s">
        <v>6464</v>
      </c>
    </row>
    <row r="1786" spans="1:2" x14ac:dyDescent="0.35">
      <c r="A1786" s="50" t="s">
        <v>6463</v>
      </c>
      <c r="B1786" s="52" t="s">
        <v>6462</v>
      </c>
    </row>
    <row r="1787" spans="1:2" x14ac:dyDescent="0.35">
      <c r="A1787" s="50" t="s">
        <v>6461</v>
      </c>
      <c r="B1787" s="52" t="s">
        <v>6460</v>
      </c>
    </row>
    <row r="1788" spans="1:2" x14ac:dyDescent="0.35">
      <c r="A1788" s="50" t="s">
        <v>6459</v>
      </c>
      <c r="B1788" s="52" t="s">
        <v>6458</v>
      </c>
    </row>
    <row r="1789" spans="1:2" x14ac:dyDescent="0.35">
      <c r="A1789" s="50" t="s">
        <v>6457</v>
      </c>
      <c r="B1789" s="52" t="s">
        <v>6456</v>
      </c>
    </row>
    <row r="1790" spans="1:2" x14ac:dyDescent="0.35">
      <c r="A1790" s="50" t="s">
        <v>6455</v>
      </c>
      <c r="B1790" s="52" t="s">
        <v>6454</v>
      </c>
    </row>
    <row r="1791" spans="1:2" x14ac:dyDescent="0.35">
      <c r="A1791" s="50" t="s">
        <v>6453</v>
      </c>
      <c r="B1791" s="52" t="s">
        <v>6452</v>
      </c>
    </row>
    <row r="1792" spans="1:2" x14ac:dyDescent="0.35">
      <c r="B1792" s="52" t="s">
        <v>6451</v>
      </c>
    </row>
    <row r="1793" spans="1:2" x14ac:dyDescent="0.35">
      <c r="A1793" s="50" t="s">
        <v>6450</v>
      </c>
      <c r="B1793" s="52" t="s">
        <v>6449</v>
      </c>
    </row>
    <row r="1794" spans="1:2" x14ac:dyDescent="0.35">
      <c r="A1794" s="50" t="s">
        <v>6446</v>
      </c>
      <c r="B1794" s="52" t="s">
        <v>6445</v>
      </c>
    </row>
    <row r="1795" spans="1:2" x14ac:dyDescent="0.35">
      <c r="A1795" s="50" t="s">
        <v>6442</v>
      </c>
      <c r="B1795" s="52" t="s">
        <v>6441</v>
      </c>
    </row>
    <row r="1796" spans="1:2" x14ac:dyDescent="0.35">
      <c r="A1796" s="50" t="s">
        <v>6439</v>
      </c>
      <c r="B1796" s="52" t="s">
        <v>6438</v>
      </c>
    </row>
    <row r="1797" spans="1:2" x14ac:dyDescent="0.35">
      <c r="A1797" s="50" t="s">
        <v>6437</v>
      </c>
      <c r="B1797" s="52" t="s">
        <v>6436</v>
      </c>
    </row>
    <row r="1798" spans="1:2" x14ac:dyDescent="0.35">
      <c r="A1798" s="50" t="s">
        <v>6435</v>
      </c>
      <c r="B1798" s="52" t="s">
        <v>6434</v>
      </c>
    </row>
    <row r="1799" spans="1:2" x14ac:dyDescent="0.35">
      <c r="A1799" s="50" t="s">
        <v>6433</v>
      </c>
      <c r="B1799" s="52" t="s">
        <v>6432</v>
      </c>
    </row>
    <row r="1800" spans="1:2" x14ac:dyDescent="0.35">
      <c r="A1800" s="50" t="s">
        <v>6431</v>
      </c>
      <c r="B1800" s="52" t="s">
        <v>6430</v>
      </c>
    </row>
    <row r="1801" spans="1:2" x14ac:dyDescent="0.35">
      <c r="A1801" s="50" t="s">
        <v>6429</v>
      </c>
      <c r="B1801" s="52" t="s">
        <v>6428</v>
      </c>
    </row>
    <row r="1802" spans="1:2" x14ac:dyDescent="0.35">
      <c r="A1802" s="50" t="s">
        <v>6427</v>
      </c>
      <c r="B1802" s="52" t="s">
        <v>6426</v>
      </c>
    </row>
    <row r="1803" spans="1:2" x14ac:dyDescent="0.35">
      <c r="A1803" s="50" t="s">
        <v>6425</v>
      </c>
      <c r="B1803" s="52" t="s">
        <v>6424</v>
      </c>
    </row>
    <row r="1804" spans="1:2" x14ac:dyDescent="0.35">
      <c r="A1804" s="50" t="s">
        <v>6423</v>
      </c>
      <c r="B1804" s="52" t="s">
        <v>6422</v>
      </c>
    </row>
    <row r="1805" spans="1:2" x14ac:dyDescent="0.35">
      <c r="A1805" s="50" t="s">
        <v>6421</v>
      </c>
      <c r="B1805" s="52" t="s">
        <v>6420</v>
      </c>
    </row>
    <row r="1806" spans="1:2" x14ac:dyDescent="0.35">
      <c r="A1806" s="50" t="s">
        <v>6418</v>
      </c>
      <c r="B1806" s="52" t="s">
        <v>6417</v>
      </c>
    </row>
    <row r="1807" spans="1:2" x14ac:dyDescent="0.35">
      <c r="A1807" s="50" t="s">
        <v>6416</v>
      </c>
      <c r="B1807" s="52" t="s">
        <v>6415</v>
      </c>
    </row>
    <row r="1808" spans="1:2" x14ac:dyDescent="0.35">
      <c r="A1808" s="50" t="s">
        <v>6414</v>
      </c>
      <c r="B1808" s="52" t="s">
        <v>6413</v>
      </c>
    </row>
    <row r="1809" spans="1:2" x14ac:dyDescent="0.35">
      <c r="A1809" s="50" t="s">
        <v>6411</v>
      </c>
      <c r="B1809" s="52" t="s">
        <v>6410</v>
      </c>
    </row>
    <row r="1810" spans="1:2" x14ac:dyDescent="0.35">
      <c r="A1810" s="50" t="s">
        <v>6396</v>
      </c>
      <c r="B1810" s="52" t="s">
        <v>6395</v>
      </c>
    </row>
    <row r="1811" spans="1:2" x14ac:dyDescent="0.35">
      <c r="A1811" s="50" t="s">
        <v>6387</v>
      </c>
      <c r="B1811" s="52" t="s">
        <v>6386</v>
      </c>
    </row>
    <row r="1812" spans="1:2" x14ac:dyDescent="0.35">
      <c r="A1812" s="50" t="s">
        <v>6383</v>
      </c>
      <c r="B1812" s="52" t="s">
        <v>6382</v>
      </c>
    </row>
    <row r="1813" spans="1:2" x14ac:dyDescent="0.35">
      <c r="A1813" s="50" t="s">
        <v>6381</v>
      </c>
      <c r="B1813" s="52" t="s">
        <v>6380</v>
      </c>
    </row>
    <row r="1814" spans="1:2" x14ac:dyDescent="0.35">
      <c r="A1814" s="50" t="s">
        <v>6375</v>
      </c>
      <c r="B1814" s="52" t="s">
        <v>6374</v>
      </c>
    </row>
    <row r="1815" spans="1:2" x14ac:dyDescent="0.35">
      <c r="A1815" s="50" t="s">
        <v>6372</v>
      </c>
      <c r="B1815" s="52" t="s">
        <v>6371</v>
      </c>
    </row>
    <row r="1816" spans="1:2" x14ac:dyDescent="0.35">
      <c r="A1816" s="50" t="s">
        <v>6367</v>
      </c>
      <c r="B1816" s="52" t="s">
        <v>6366</v>
      </c>
    </row>
    <row r="1817" spans="1:2" x14ac:dyDescent="0.35">
      <c r="B1817" s="52" t="s">
        <v>6363</v>
      </c>
    </row>
    <row r="1818" spans="1:2" x14ac:dyDescent="0.35">
      <c r="A1818" s="50" t="s">
        <v>6361</v>
      </c>
      <c r="B1818" s="52" t="s">
        <v>6360</v>
      </c>
    </row>
    <row r="1819" spans="1:2" x14ac:dyDescent="0.35">
      <c r="A1819" s="50" t="s">
        <v>6359</v>
      </c>
      <c r="B1819" s="52" t="s">
        <v>6358</v>
      </c>
    </row>
    <row r="1820" spans="1:2" x14ac:dyDescent="0.35">
      <c r="A1820" s="50" t="s">
        <v>6357</v>
      </c>
      <c r="B1820" s="52" t="s">
        <v>6356</v>
      </c>
    </row>
    <row r="1821" spans="1:2" x14ac:dyDescent="0.35">
      <c r="A1821" s="50" t="s">
        <v>6355</v>
      </c>
      <c r="B1821" s="52" t="s">
        <v>6354</v>
      </c>
    </row>
    <row r="1822" spans="1:2" x14ac:dyDescent="0.35">
      <c r="B1822" s="52" t="s">
        <v>6353</v>
      </c>
    </row>
    <row r="1823" spans="1:2" x14ac:dyDescent="0.35">
      <c r="A1823" s="50" t="s">
        <v>6352</v>
      </c>
      <c r="B1823" s="52" t="s">
        <v>6351</v>
      </c>
    </row>
    <row r="1824" spans="1:2" x14ac:dyDescent="0.35">
      <c r="A1824" s="50" t="s">
        <v>6350</v>
      </c>
      <c r="B1824" s="52" t="s">
        <v>6349</v>
      </c>
    </row>
    <row r="1825" spans="1:2" x14ac:dyDescent="0.35">
      <c r="A1825" s="50" t="s">
        <v>6348</v>
      </c>
      <c r="B1825" s="52" t="s">
        <v>6347</v>
      </c>
    </row>
    <row r="1826" spans="1:2" x14ac:dyDescent="0.35">
      <c r="A1826" s="50" t="s">
        <v>6346</v>
      </c>
      <c r="B1826" s="52" t="s">
        <v>6345</v>
      </c>
    </row>
    <row r="1827" spans="1:2" x14ac:dyDescent="0.35">
      <c r="A1827" s="50" t="s">
        <v>6344</v>
      </c>
      <c r="B1827" s="52" t="s">
        <v>6343</v>
      </c>
    </row>
    <row r="1828" spans="1:2" x14ac:dyDescent="0.35">
      <c r="A1828" s="50" t="s">
        <v>6339</v>
      </c>
      <c r="B1828" s="52" t="s">
        <v>6338</v>
      </c>
    </row>
    <row r="1829" spans="1:2" x14ac:dyDescent="0.35">
      <c r="B1829" s="52" t="s">
        <v>6337</v>
      </c>
    </row>
    <row r="1830" spans="1:2" x14ac:dyDescent="0.35">
      <c r="A1830" s="50" t="s">
        <v>6330</v>
      </c>
      <c r="B1830" s="52" t="s">
        <v>6329</v>
      </c>
    </row>
    <row r="1831" spans="1:2" x14ac:dyDescent="0.35">
      <c r="A1831" s="50" t="s">
        <v>6325</v>
      </c>
      <c r="B1831" s="52" t="s">
        <v>6324</v>
      </c>
    </row>
    <row r="1832" spans="1:2" x14ac:dyDescent="0.35">
      <c r="A1832" s="50" t="s">
        <v>6323</v>
      </c>
      <c r="B1832" s="52" t="s">
        <v>6322</v>
      </c>
    </row>
    <row r="1833" spans="1:2" x14ac:dyDescent="0.35">
      <c r="A1833" s="50" t="s">
        <v>6319</v>
      </c>
      <c r="B1833" s="52" t="s">
        <v>6318</v>
      </c>
    </row>
    <row r="1834" spans="1:2" x14ac:dyDescent="0.35">
      <c r="A1834" s="50" t="s">
        <v>6317</v>
      </c>
      <c r="B1834" s="52" t="s">
        <v>6316</v>
      </c>
    </row>
    <row r="1835" spans="1:2" x14ac:dyDescent="0.35">
      <c r="A1835" s="50" t="s">
        <v>6315</v>
      </c>
      <c r="B1835" s="52" t="s">
        <v>6314</v>
      </c>
    </row>
    <row r="1836" spans="1:2" x14ac:dyDescent="0.35">
      <c r="A1836" s="50" t="s">
        <v>6312</v>
      </c>
      <c r="B1836" s="52" t="s">
        <v>6311</v>
      </c>
    </row>
    <row r="1837" spans="1:2" x14ac:dyDescent="0.35">
      <c r="A1837" s="50" t="s">
        <v>6308</v>
      </c>
      <c r="B1837" s="52" t="s">
        <v>6307</v>
      </c>
    </row>
    <row r="1838" spans="1:2" x14ac:dyDescent="0.35">
      <c r="A1838" s="50" t="s">
        <v>6304</v>
      </c>
      <c r="B1838" s="52" t="s">
        <v>6303</v>
      </c>
    </row>
    <row r="1839" spans="1:2" x14ac:dyDescent="0.35">
      <c r="A1839" s="50" t="s">
        <v>6302</v>
      </c>
      <c r="B1839" s="52" t="s">
        <v>6301</v>
      </c>
    </row>
    <row r="1840" spans="1:2" x14ac:dyDescent="0.35">
      <c r="A1840" s="50" t="s">
        <v>6294</v>
      </c>
      <c r="B1840" s="52" t="s">
        <v>6293</v>
      </c>
    </row>
    <row r="1841" spans="1:2" x14ac:dyDescent="0.35">
      <c r="A1841" s="50" t="s">
        <v>6292</v>
      </c>
      <c r="B1841" s="52" t="s">
        <v>6291</v>
      </c>
    </row>
    <row r="1842" spans="1:2" x14ac:dyDescent="0.35">
      <c r="A1842" s="50" t="s">
        <v>6290</v>
      </c>
      <c r="B1842" s="52" t="s">
        <v>6289</v>
      </c>
    </row>
    <row r="1843" spans="1:2" x14ac:dyDescent="0.35">
      <c r="A1843" s="50" t="s">
        <v>6286</v>
      </c>
      <c r="B1843" s="52" t="s">
        <v>6285</v>
      </c>
    </row>
    <row r="1844" spans="1:2" x14ac:dyDescent="0.35">
      <c r="A1844" s="50" t="s">
        <v>6284</v>
      </c>
      <c r="B1844" s="52" t="s">
        <v>6283</v>
      </c>
    </row>
    <row r="1845" spans="1:2" x14ac:dyDescent="0.35">
      <c r="A1845" s="50" t="s">
        <v>6282</v>
      </c>
      <c r="B1845" s="52" t="s">
        <v>6281</v>
      </c>
    </row>
    <row r="1846" spans="1:2" x14ac:dyDescent="0.35">
      <c r="A1846" s="50" t="s">
        <v>6280</v>
      </c>
      <c r="B1846" s="52" t="s">
        <v>6279</v>
      </c>
    </row>
    <row r="1847" spans="1:2" x14ac:dyDescent="0.35">
      <c r="A1847" s="50" t="s">
        <v>6277</v>
      </c>
      <c r="B1847" s="52" t="s">
        <v>6276</v>
      </c>
    </row>
    <row r="1848" spans="1:2" x14ac:dyDescent="0.35">
      <c r="A1848" s="50" t="s">
        <v>6272</v>
      </c>
      <c r="B1848" s="52" t="s">
        <v>6271</v>
      </c>
    </row>
    <row r="1849" spans="1:2" x14ac:dyDescent="0.35">
      <c r="A1849" s="50" t="s">
        <v>6270</v>
      </c>
      <c r="B1849" s="52" t="s">
        <v>6269</v>
      </c>
    </row>
    <row r="1850" spans="1:2" x14ac:dyDescent="0.35">
      <c r="A1850" s="50" t="s">
        <v>6268</v>
      </c>
      <c r="B1850" s="52" t="s">
        <v>6267</v>
      </c>
    </row>
    <row r="1851" spans="1:2" x14ac:dyDescent="0.35">
      <c r="A1851" s="50" t="s">
        <v>6266</v>
      </c>
      <c r="B1851" s="52" t="s">
        <v>6265</v>
      </c>
    </row>
    <row r="1852" spans="1:2" x14ac:dyDescent="0.35">
      <c r="A1852" s="50" t="s">
        <v>6252</v>
      </c>
      <c r="B1852" s="52" t="s">
        <v>6264</v>
      </c>
    </row>
    <row r="1853" spans="1:2" x14ac:dyDescent="0.35">
      <c r="A1853" s="50" t="s">
        <v>6263</v>
      </c>
      <c r="B1853" s="52" t="s">
        <v>6262</v>
      </c>
    </row>
    <row r="1854" spans="1:2" x14ac:dyDescent="0.35">
      <c r="B1854" s="52" t="s">
        <v>6261</v>
      </c>
    </row>
    <row r="1855" spans="1:2" x14ac:dyDescent="0.35">
      <c r="A1855" s="50" t="s">
        <v>6260</v>
      </c>
      <c r="B1855" s="52" t="s">
        <v>6259</v>
      </c>
    </row>
    <row r="1856" spans="1:2" x14ac:dyDescent="0.35">
      <c r="A1856" s="50" t="s">
        <v>6258</v>
      </c>
      <c r="B1856" s="52" t="s">
        <v>6257</v>
      </c>
    </row>
    <row r="1857" spans="1:2" x14ac:dyDescent="0.35">
      <c r="A1857" s="50" t="s">
        <v>6252</v>
      </c>
      <c r="B1857" s="52" t="s">
        <v>6251</v>
      </c>
    </row>
    <row r="1858" spans="1:2" x14ac:dyDescent="0.35">
      <c r="A1858" s="50" t="s">
        <v>6250</v>
      </c>
      <c r="B1858" s="52" t="s">
        <v>6249</v>
      </c>
    </row>
    <row r="1859" spans="1:2" x14ac:dyDescent="0.35">
      <c r="A1859" s="50" t="s">
        <v>6248</v>
      </c>
      <c r="B1859" s="52" t="s">
        <v>6247</v>
      </c>
    </row>
    <row r="1860" spans="1:2" x14ac:dyDescent="0.35">
      <c r="A1860" s="50" t="s">
        <v>6246</v>
      </c>
      <c r="B1860" s="52" t="s">
        <v>6245</v>
      </c>
    </row>
    <row r="1861" spans="1:2" x14ac:dyDescent="0.35">
      <c r="A1861" s="50" t="s">
        <v>6243</v>
      </c>
      <c r="B1861" s="52" t="s">
        <v>6242</v>
      </c>
    </row>
    <row r="1862" spans="1:2" x14ac:dyDescent="0.35">
      <c r="A1862" s="50" t="s">
        <v>6241</v>
      </c>
      <c r="B1862" s="52" t="s">
        <v>6240</v>
      </c>
    </row>
    <row r="1863" spans="1:2" x14ac:dyDescent="0.35">
      <c r="A1863" s="50" t="s">
        <v>6239</v>
      </c>
      <c r="B1863" s="52" t="s">
        <v>6238</v>
      </c>
    </row>
    <row r="1864" spans="1:2" x14ac:dyDescent="0.35">
      <c r="A1864" s="50" t="s">
        <v>6237</v>
      </c>
      <c r="B1864" s="52" t="s">
        <v>6236</v>
      </c>
    </row>
    <row r="1865" spans="1:2" x14ac:dyDescent="0.35">
      <c r="A1865" s="50" t="s">
        <v>6235</v>
      </c>
      <c r="B1865" s="52" t="s">
        <v>6234</v>
      </c>
    </row>
    <row r="1866" spans="1:2" x14ac:dyDescent="0.35">
      <c r="A1866" s="50" t="s">
        <v>6232</v>
      </c>
      <c r="B1866" s="52" t="s">
        <v>6231</v>
      </c>
    </row>
    <row r="1867" spans="1:2" x14ac:dyDescent="0.35">
      <c r="A1867" s="50" t="s">
        <v>6230</v>
      </c>
      <c r="B1867" s="52" t="s">
        <v>6229</v>
      </c>
    </row>
    <row r="1868" spans="1:2" x14ac:dyDescent="0.35">
      <c r="A1868" s="50" t="s">
        <v>6228</v>
      </c>
      <c r="B1868" s="52" t="s">
        <v>6227</v>
      </c>
    </row>
    <row r="1869" spans="1:2" x14ac:dyDescent="0.35">
      <c r="A1869" s="50" t="s">
        <v>6226</v>
      </c>
      <c r="B1869" s="52" t="s">
        <v>6225</v>
      </c>
    </row>
    <row r="1870" spans="1:2" x14ac:dyDescent="0.35">
      <c r="A1870" s="50" t="s">
        <v>6224</v>
      </c>
      <c r="B1870" s="52" t="s">
        <v>6223</v>
      </c>
    </row>
    <row r="1871" spans="1:2" x14ac:dyDescent="0.35">
      <c r="A1871" s="50" t="s">
        <v>6219</v>
      </c>
      <c r="B1871" s="52" t="s">
        <v>6218</v>
      </c>
    </row>
    <row r="1872" spans="1:2" x14ac:dyDescent="0.35">
      <c r="A1872" s="50" t="s">
        <v>6216</v>
      </c>
      <c r="B1872" s="52" t="s">
        <v>6215</v>
      </c>
    </row>
    <row r="1873" spans="1:2" x14ac:dyDescent="0.35">
      <c r="A1873" s="50" t="s">
        <v>6214</v>
      </c>
      <c r="B1873" s="52" t="s">
        <v>6213</v>
      </c>
    </row>
    <row r="1874" spans="1:2" x14ac:dyDescent="0.35">
      <c r="A1874" s="50" t="s">
        <v>6212</v>
      </c>
      <c r="B1874" s="52" t="s">
        <v>6211</v>
      </c>
    </row>
    <row r="1875" spans="1:2" x14ac:dyDescent="0.35">
      <c r="A1875" s="50" t="s">
        <v>6209</v>
      </c>
      <c r="B1875" s="52" t="s">
        <v>6208</v>
      </c>
    </row>
    <row r="1876" spans="1:2" x14ac:dyDescent="0.35">
      <c r="A1876" s="50" t="s">
        <v>6206</v>
      </c>
      <c r="B1876" s="52" t="s">
        <v>6205</v>
      </c>
    </row>
    <row r="1877" spans="1:2" x14ac:dyDescent="0.35">
      <c r="A1877" s="50" t="s">
        <v>6203</v>
      </c>
      <c r="B1877" s="52" t="s">
        <v>6202</v>
      </c>
    </row>
    <row r="1878" spans="1:2" x14ac:dyDescent="0.35">
      <c r="A1878" s="50" t="s">
        <v>6200</v>
      </c>
      <c r="B1878" s="52" t="s">
        <v>6199</v>
      </c>
    </row>
    <row r="1879" spans="1:2" x14ac:dyDescent="0.35">
      <c r="A1879" s="50" t="s">
        <v>6198</v>
      </c>
      <c r="B1879" s="52" t="s">
        <v>6197</v>
      </c>
    </row>
    <row r="1880" spans="1:2" x14ac:dyDescent="0.35">
      <c r="A1880" s="50" t="s">
        <v>6196</v>
      </c>
      <c r="B1880" s="52" t="s">
        <v>6195</v>
      </c>
    </row>
    <row r="1881" spans="1:2" x14ac:dyDescent="0.35">
      <c r="A1881" s="50" t="s">
        <v>6194</v>
      </c>
      <c r="B1881" s="52" t="s">
        <v>6193</v>
      </c>
    </row>
    <row r="1882" spans="1:2" x14ac:dyDescent="0.35">
      <c r="A1882" s="50" t="s">
        <v>6191</v>
      </c>
      <c r="B1882" s="52" t="s">
        <v>6190</v>
      </c>
    </row>
    <row r="1883" spans="1:2" x14ac:dyDescent="0.35">
      <c r="A1883" s="50" t="s">
        <v>6189</v>
      </c>
      <c r="B1883" s="52" t="s">
        <v>6188</v>
      </c>
    </row>
    <row r="1884" spans="1:2" x14ac:dyDescent="0.35">
      <c r="A1884" s="50" t="s">
        <v>6184</v>
      </c>
      <c r="B1884" s="52" t="s">
        <v>6183</v>
      </c>
    </row>
    <row r="1885" spans="1:2" x14ac:dyDescent="0.35">
      <c r="A1885" s="50" t="s">
        <v>6182</v>
      </c>
      <c r="B1885" s="52" t="s">
        <v>6181</v>
      </c>
    </row>
    <row r="1886" spans="1:2" x14ac:dyDescent="0.35">
      <c r="A1886" s="50" t="s">
        <v>6180</v>
      </c>
      <c r="B1886" s="52" t="s">
        <v>6179</v>
      </c>
    </row>
    <row r="1887" spans="1:2" x14ac:dyDescent="0.35">
      <c r="A1887" s="50" t="s">
        <v>6177</v>
      </c>
      <c r="B1887" s="52" t="s">
        <v>6176</v>
      </c>
    </row>
    <row r="1888" spans="1:2" x14ac:dyDescent="0.35">
      <c r="A1888" s="50" t="s">
        <v>6174</v>
      </c>
      <c r="B1888" s="52" t="s">
        <v>6173</v>
      </c>
    </row>
    <row r="1889" spans="1:2" x14ac:dyDescent="0.35">
      <c r="A1889" s="50" t="s">
        <v>6171</v>
      </c>
      <c r="B1889" s="52" t="s">
        <v>6170</v>
      </c>
    </row>
    <row r="1890" spans="1:2" x14ac:dyDescent="0.35">
      <c r="A1890" s="50" t="s">
        <v>6168</v>
      </c>
      <c r="B1890" s="52" t="s">
        <v>6167</v>
      </c>
    </row>
    <row r="1891" spans="1:2" x14ac:dyDescent="0.35">
      <c r="A1891" s="50" t="s">
        <v>6166</v>
      </c>
      <c r="B1891" s="52" t="s">
        <v>6165</v>
      </c>
    </row>
    <row r="1892" spans="1:2" x14ac:dyDescent="0.35">
      <c r="A1892" s="50" t="s">
        <v>6164</v>
      </c>
      <c r="B1892" s="52" t="s">
        <v>6163</v>
      </c>
    </row>
    <row r="1893" spans="1:2" x14ac:dyDescent="0.35">
      <c r="A1893" s="50" t="s">
        <v>6162</v>
      </c>
      <c r="B1893" s="52" t="s">
        <v>6161</v>
      </c>
    </row>
    <row r="1894" spans="1:2" x14ac:dyDescent="0.35">
      <c r="A1894" s="50" t="s">
        <v>6160</v>
      </c>
      <c r="B1894" s="52" t="s">
        <v>6159</v>
      </c>
    </row>
    <row r="1895" spans="1:2" x14ac:dyDescent="0.35">
      <c r="A1895" s="50" t="s">
        <v>6158</v>
      </c>
      <c r="B1895" s="52" t="s">
        <v>6157</v>
      </c>
    </row>
    <row r="1896" spans="1:2" x14ac:dyDescent="0.35">
      <c r="A1896" s="50" t="s">
        <v>6156</v>
      </c>
      <c r="B1896" s="52" t="s">
        <v>6155</v>
      </c>
    </row>
    <row r="1897" spans="1:2" x14ac:dyDescent="0.35">
      <c r="A1897" s="50" t="s">
        <v>6153</v>
      </c>
      <c r="B1897" s="52" t="s">
        <v>6152</v>
      </c>
    </row>
    <row r="1898" spans="1:2" x14ac:dyDescent="0.35">
      <c r="A1898" s="50" t="s">
        <v>6151</v>
      </c>
      <c r="B1898" s="52" t="s">
        <v>6150</v>
      </c>
    </row>
    <row r="1899" spans="1:2" x14ac:dyDescent="0.35">
      <c r="A1899" s="50" t="s">
        <v>6149</v>
      </c>
      <c r="B1899" s="52" t="s">
        <v>6148</v>
      </c>
    </row>
    <row r="1900" spans="1:2" x14ac:dyDescent="0.35">
      <c r="A1900" s="50" t="s">
        <v>6147</v>
      </c>
      <c r="B1900" s="52" t="s">
        <v>6146</v>
      </c>
    </row>
    <row r="1901" spans="1:2" x14ac:dyDescent="0.35">
      <c r="A1901" s="50" t="s">
        <v>6145</v>
      </c>
      <c r="B1901" s="52" t="s">
        <v>6144</v>
      </c>
    </row>
    <row r="1902" spans="1:2" x14ac:dyDescent="0.35">
      <c r="A1902" s="50" t="s">
        <v>6141</v>
      </c>
      <c r="B1902" s="52" t="s">
        <v>6140</v>
      </c>
    </row>
    <row r="1903" spans="1:2" x14ac:dyDescent="0.35">
      <c r="A1903" s="50" t="s">
        <v>6139</v>
      </c>
      <c r="B1903" s="52" t="s">
        <v>6138</v>
      </c>
    </row>
    <row r="1904" spans="1:2" x14ac:dyDescent="0.35">
      <c r="A1904" s="50" t="s">
        <v>6128</v>
      </c>
      <c r="B1904" s="52" t="s">
        <v>6127</v>
      </c>
    </row>
    <row r="1905" spans="1:2" x14ac:dyDescent="0.35">
      <c r="A1905" s="50" t="s">
        <v>6124</v>
      </c>
      <c r="B1905" s="52" t="s">
        <v>6123</v>
      </c>
    </row>
    <row r="1906" spans="1:2" x14ac:dyDescent="0.35">
      <c r="A1906" s="50" t="s">
        <v>6117</v>
      </c>
      <c r="B1906" s="52" t="s">
        <v>6116</v>
      </c>
    </row>
    <row r="1907" spans="1:2" x14ac:dyDescent="0.35">
      <c r="A1907" s="50" t="s">
        <v>6115</v>
      </c>
      <c r="B1907" s="52" t="s">
        <v>6114</v>
      </c>
    </row>
    <row r="1908" spans="1:2" x14ac:dyDescent="0.35">
      <c r="B1908" s="52" t="s">
        <v>6113</v>
      </c>
    </row>
    <row r="1909" spans="1:2" x14ac:dyDescent="0.35">
      <c r="B1909" s="52" t="s">
        <v>6112</v>
      </c>
    </row>
    <row r="1910" spans="1:2" x14ac:dyDescent="0.35">
      <c r="A1910" s="50" t="s">
        <v>6108</v>
      </c>
      <c r="B1910" s="52" t="s">
        <v>6107</v>
      </c>
    </row>
    <row r="1911" spans="1:2" x14ac:dyDescent="0.35">
      <c r="A1911" s="50" t="s">
        <v>6102</v>
      </c>
      <c r="B1911" s="52" t="s">
        <v>6101</v>
      </c>
    </row>
    <row r="1912" spans="1:2" x14ac:dyDescent="0.35">
      <c r="A1912" s="50" t="s">
        <v>6099</v>
      </c>
      <c r="B1912" s="52" t="s">
        <v>6098</v>
      </c>
    </row>
    <row r="1913" spans="1:2" x14ac:dyDescent="0.35">
      <c r="A1913" s="50" t="s">
        <v>6095</v>
      </c>
      <c r="B1913" s="52" t="s">
        <v>6094</v>
      </c>
    </row>
    <row r="1914" spans="1:2" x14ac:dyDescent="0.35">
      <c r="A1914" s="50" t="s">
        <v>6091</v>
      </c>
      <c r="B1914" s="52" t="s">
        <v>6090</v>
      </c>
    </row>
    <row r="1915" spans="1:2" x14ac:dyDescent="0.35">
      <c r="A1915" s="50" t="s">
        <v>6085</v>
      </c>
      <c r="B1915" s="52" t="s">
        <v>6084</v>
      </c>
    </row>
    <row r="1916" spans="1:2" x14ac:dyDescent="0.35">
      <c r="A1916" s="50" t="s">
        <v>6081</v>
      </c>
      <c r="B1916" s="52" t="s">
        <v>6080</v>
      </c>
    </row>
    <row r="1917" spans="1:2" x14ac:dyDescent="0.35">
      <c r="B1917" s="52" t="s">
        <v>6078</v>
      </c>
    </row>
    <row r="1918" spans="1:2" x14ac:dyDescent="0.35">
      <c r="A1918" s="50" t="s">
        <v>6076</v>
      </c>
      <c r="B1918" s="52" t="s">
        <v>6075</v>
      </c>
    </row>
    <row r="1919" spans="1:2" x14ac:dyDescent="0.35">
      <c r="A1919" s="50" t="s">
        <v>6074</v>
      </c>
      <c r="B1919" s="52" t="s">
        <v>6073</v>
      </c>
    </row>
    <row r="1920" spans="1:2" x14ac:dyDescent="0.35">
      <c r="A1920" s="50" t="s">
        <v>6071</v>
      </c>
      <c r="B1920" s="52" t="s">
        <v>6070</v>
      </c>
    </row>
    <row r="1921" spans="1:2" x14ac:dyDescent="0.35">
      <c r="A1921" s="50" t="s">
        <v>6069</v>
      </c>
      <c r="B1921" s="52" t="s">
        <v>6068</v>
      </c>
    </row>
    <row r="1922" spans="1:2" x14ac:dyDescent="0.35">
      <c r="A1922" s="50" t="s">
        <v>6066</v>
      </c>
      <c r="B1922" s="52" t="s">
        <v>6065</v>
      </c>
    </row>
    <row r="1923" spans="1:2" x14ac:dyDescent="0.35">
      <c r="A1923" s="50" t="s">
        <v>6062</v>
      </c>
      <c r="B1923" s="52" t="s">
        <v>6061</v>
      </c>
    </row>
    <row r="1924" spans="1:2" x14ac:dyDescent="0.35">
      <c r="A1924" s="50" t="s">
        <v>6060</v>
      </c>
      <c r="B1924" s="52" t="s">
        <v>6059</v>
      </c>
    </row>
    <row r="1925" spans="1:2" x14ac:dyDescent="0.35">
      <c r="A1925" s="50" t="s">
        <v>6050</v>
      </c>
      <c r="B1925" s="52" t="s">
        <v>6049</v>
      </c>
    </row>
    <row r="1926" spans="1:2" x14ac:dyDescent="0.35">
      <c r="A1926" s="50" t="s">
        <v>6047</v>
      </c>
      <c r="B1926" s="52" t="s">
        <v>6046</v>
      </c>
    </row>
    <row r="1927" spans="1:2" x14ac:dyDescent="0.35">
      <c r="A1927" s="50" t="s">
        <v>6045</v>
      </c>
      <c r="B1927" s="52" t="s">
        <v>6044</v>
      </c>
    </row>
    <row r="1928" spans="1:2" x14ac:dyDescent="0.35">
      <c r="A1928" s="50" t="s">
        <v>6037</v>
      </c>
      <c r="B1928" s="52" t="s">
        <v>6036</v>
      </c>
    </row>
    <row r="1929" spans="1:2" x14ac:dyDescent="0.35">
      <c r="A1929" s="50" t="s">
        <v>6035</v>
      </c>
      <c r="B1929" s="52" t="s">
        <v>6034</v>
      </c>
    </row>
    <row r="1930" spans="1:2" x14ac:dyDescent="0.35">
      <c r="A1930" s="50" t="s">
        <v>6030</v>
      </c>
      <c r="B1930" s="52" t="s">
        <v>6029</v>
      </c>
    </row>
    <row r="1931" spans="1:2" x14ac:dyDescent="0.35">
      <c r="A1931" s="50" t="s">
        <v>6027</v>
      </c>
      <c r="B1931" s="52" t="s">
        <v>6026</v>
      </c>
    </row>
    <row r="1932" spans="1:2" x14ac:dyDescent="0.35">
      <c r="A1932" s="50" t="s">
        <v>6021</v>
      </c>
      <c r="B1932" s="52" t="s">
        <v>6020</v>
      </c>
    </row>
    <row r="1933" spans="1:2" x14ac:dyDescent="0.35">
      <c r="A1933" s="50" t="s">
        <v>6019</v>
      </c>
      <c r="B1933" s="52" t="s">
        <v>6018</v>
      </c>
    </row>
    <row r="1934" spans="1:2" x14ac:dyDescent="0.35">
      <c r="A1934" s="50" t="s">
        <v>6017</v>
      </c>
      <c r="B1934" s="52" t="s">
        <v>6016</v>
      </c>
    </row>
    <row r="1935" spans="1:2" x14ac:dyDescent="0.35">
      <c r="A1935" s="50" t="s">
        <v>6014</v>
      </c>
      <c r="B1935" s="52" t="s">
        <v>6013</v>
      </c>
    </row>
    <row r="1936" spans="1:2" x14ac:dyDescent="0.35">
      <c r="A1936" s="50" t="s">
        <v>6010</v>
      </c>
      <c r="B1936" s="52" t="s">
        <v>6009</v>
      </c>
    </row>
    <row r="1937" spans="1:2" x14ac:dyDescent="0.35">
      <c r="A1937" s="50" t="s">
        <v>6007</v>
      </c>
      <c r="B1937" s="52" t="s">
        <v>6006</v>
      </c>
    </row>
    <row r="1938" spans="1:2" x14ac:dyDescent="0.35">
      <c r="A1938" s="50" t="s">
        <v>5998</v>
      </c>
      <c r="B1938" s="52" t="s">
        <v>5997</v>
      </c>
    </row>
    <row r="1939" spans="1:2" x14ac:dyDescent="0.35">
      <c r="A1939" s="50" t="s">
        <v>5996</v>
      </c>
      <c r="B1939" s="52" t="s">
        <v>5995</v>
      </c>
    </row>
    <row r="1940" spans="1:2" x14ac:dyDescent="0.35">
      <c r="A1940" s="50" t="s">
        <v>5993</v>
      </c>
      <c r="B1940" s="52" t="s">
        <v>5992</v>
      </c>
    </row>
    <row r="1941" spans="1:2" x14ac:dyDescent="0.35">
      <c r="A1941" s="50" t="s">
        <v>5989</v>
      </c>
      <c r="B1941" s="52" t="s">
        <v>5988</v>
      </c>
    </row>
    <row r="1942" spans="1:2" x14ac:dyDescent="0.35">
      <c r="B1942" s="52" t="s">
        <v>5987</v>
      </c>
    </row>
    <row r="1943" spans="1:2" x14ac:dyDescent="0.35">
      <c r="A1943" s="50" t="s">
        <v>5986</v>
      </c>
      <c r="B1943" s="52" t="s">
        <v>5985</v>
      </c>
    </row>
    <row r="1944" spans="1:2" x14ac:dyDescent="0.35">
      <c r="A1944" s="50" t="s">
        <v>5969</v>
      </c>
      <c r="B1944" s="52" t="s">
        <v>5968</v>
      </c>
    </row>
    <row r="1945" spans="1:2" x14ac:dyDescent="0.35">
      <c r="A1945" s="50" t="s">
        <v>5966</v>
      </c>
      <c r="B1945" s="52" t="s">
        <v>5965</v>
      </c>
    </row>
    <row r="1946" spans="1:2" x14ac:dyDescent="0.35">
      <c r="A1946" s="50" t="s">
        <v>5964</v>
      </c>
      <c r="B1946" s="52" t="s">
        <v>5963</v>
      </c>
    </row>
    <row r="1947" spans="1:2" x14ac:dyDescent="0.35">
      <c r="A1947" s="50" t="s">
        <v>5962</v>
      </c>
      <c r="B1947" s="52" t="s">
        <v>5961</v>
      </c>
    </row>
    <row r="1948" spans="1:2" x14ac:dyDescent="0.35">
      <c r="A1948" s="50" t="s">
        <v>5958</v>
      </c>
      <c r="B1948" s="52" t="s">
        <v>5957</v>
      </c>
    </row>
    <row r="1949" spans="1:2" x14ac:dyDescent="0.35">
      <c r="A1949" s="50" t="s">
        <v>5956</v>
      </c>
      <c r="B1949" s="52" t="s">
        <v>5955</v>
      </c>
    </row>
    <row r="1950" spans="1:2" x14ac:dyDescent="0.35">
      <c r="A1950" s="50" t="s">
        <v>5954</v>
      </c>
      <c r="B1950" s="52" t="s">
        <v>5953</v>
      </c>
    </row>
    <row r="1951" spans="1:2" x14ac:dyDescent="0.35">
      <c r="A1951" s="50" t="s">
        <v>5952</v>
      </c>
      <c r="B1951" s="52" t="s">
        <v>5951</v>
      </c>
    </row>
    <row r="1952" spans="1:2" x14ac:dyDescent="0.35">
      <c r="A1952" s="50" t="s">
        <v>5948</v>
      </c>
      <c r="B1952" s="52" t="s">
        <v>5947</v>
      </c>
    </row>
    <row r="1953" spans="1:2" x14ac:dyDescent="0.35">
      <c r="A1953" s="50" t="s">
        <v>5946</v>
      </c>
      <c r="B1953" s="52" t="s">
        <v>5945</v>
      </c>
    </row>
    <row r="1954" spans="1:2" x14ac:dyDescent="0.35">
      <c r="A1954" s="50" t="s">
        <v>5941</v>
      </c>
      <c r="B1954" s="52" t="s">
        <v>5940</v>
      </c>
    </row>
    <row r="1955" spans="1:2" x14ac:dyDescent="0.35">
      <c r="A1955" s="50" t="s">
        <v>5939</v>
      </c>
      <c r="B1955" s="52" t="s">
        <v>5938</v>
      </c>
    </row>
    <row r="1956" spans="1:2" x14ac:dyDescent="0.35">
      <c r="A1956" s="50" t="s">
        <v>5936</v>
      </c>
      <c r="B1956" s="52" t="s">
        <v>5935</v>
      </c>
    </row>
    <row r="1957" spans="1:2" x14ac:dyDescent="0.35">
      <c r="A1957" s="50" t="s">
        <v>5934</v>
      </c>
      <c r="B1957" s="52" t="s">
        <v>5933</v>
      </c>
    </row>
    <row r="1958" spans="1:2" x14ac:dyDescent="0.35">
      <c r="A1958" s="50" t="s">
        <v>5931</v>
      </c>
      <c r="B1958" s="52" t="s">
        <v>5930</v>
      </c>
    </row>
    <row r="1959" spans="1:2" x14ac:dyDescent="0.35">
      <c r="B1959" s="52" t="s">
        <v>5924</v>
      </c>
    </row>
    <row r="1960" spans="1:2" x14ac:dyDescent="0.35">
      <c r="A1960" s="50" t="s">
        <v>5923</v>
      </c>
      <c r="B1960" s="52" t="s">
        <v>5922</v>
      </c>
    </row>
    <row r="1961" spans="1:2" x14ac:dyDescent="0.35">
      <c r="A1961" s="50" t="s">
        <v>5911</v>
      </c>
      <c r="B1961" s="52" t="s">
        <v>5910</v>
      </c>
    </row>
    <row r="1962" spans="1:2" x14ac:dyDescent="0.35">
      <c r="A1962" s="50" t="s">
        <v>5909</v>
      </c>
      <c r="B1962" s="52" t="s">
        <v>5908</v>
      </c>
    </row>
    <row r="1963" spans="1:2" x14ac:dyDescent="0.35">
      <c r="A1963" s="50" t="s">
        <v>5907</v>
      </c>
      <c r="B1963" s="52" t="s">
        <v>5906</v>
      </c>
    </row>
    <row r="1964" spans="1:2" x14ac:dyDescent="0.35">
      <c r="A1964" s="50" t="s">
        <v>5902</v>
      </c>
      <c r="B1964" s="52" t="s">
        <v>5901</v>
      </c>
    </row>
    <row r="1965" spans="1:2" x14ac:dyDescent="0.35">
      <c r="A1965" s="50" t="s">
        <v>5900</v>
      </c>
      <c r="B1965" s="52" t="s">
        <v>5899</v>
      </c>
    </row>
    <row r="1966" spans="1:2" x14ac:dyDescent="0.35">
      <c r="B1966" s="52" t="s">
        <v>5898</v>
      </c>
    </row>
    <row r="1967" spans="1:2" x14ac:dyDescent="0.35">
      <c r="A1967" s="50" t="s">
        <v>5897</v>
      </c>
      <c r="B1967" s="52" t="s">
        <v>5896</v>
      </c>
    </row>
    <row r="1968" spans="1:2" x14ac:dyDescent="0.35">
      <c r="A1968" s="50" t="s">
        <v>5895</v>
      </c>
      <c r="B1968" s="52" t="s">
        <v>5894</v>
      </c>
    </row>
    <row r="1969" spans="1:2" x14ac:dyDescent="0.35">
      <c r="A1969" s="50" t="s">
        <v>5893</v>
      </c>
      <c r="B1969" s="52" t="s">
        <v>5892</v>
      </c>
    </row>
    <row r="1970" spans="1:2" x14ac:dyDescent="0.35">
      <c r="A1970" s="50" t="s">
        <v>5891</v>
      </c>
      <c r="B1970" s="52" t="s">
        <v>5890</v>
      </c>
    </row>
    <row r="1971" spans="1:2" x14ac:dyDescent="0.35">
      <c r="A1971" s="50" t="s">
        <v>5889</v>
      </c>
      <c r="B1971" s="52" t="s">
        <v>5888</v>
      </c>
    </row>
    <row r="1972" spans="1:2" x14ac:dyDescent="0.35">
      <c r="A1972" s="50" t="s">
        <v>5884</v>
      </c>
      <c r="B1972" s="52" t="s">
        <v>5883</v>
      </c>
    </row>
    <row r="1973" spans="1:2" x14ac:dyDescent="0.35">
      <c r="A1973" s="50" t="s">
        <v>5882</v>
      </c>
      <c r="B1973" s="52" t="s">
        <v>5881</v>
      </c>
    </row>
    <row r="1974" spans="1:2" x14ac:dyDescent="0.35">
      <c r="A1974" s="50" t="s">
        <v>5880</v>
      </c>
      <c r="B1974" s="52" t="s">
        <v>5879</v>
      </c>
    </row>
    <row r="1975" spans="1:2" x14ac:dyDescent="0.35">
      <c r="A1975" s="50" t="s">
        <v>5878</v>
      </c>
      <c r="B1975" s="52" t="s">
        <v>5877</v>
      </c>
    </row>
    <row r="1976" spans="1:2" x14ac:dyDescent="0.35">
      <c r="A1976" s="50" t="s">
        <v>5876</v>
      </c>
      <c r="B1976" s="52" t="s">
        <v>5875</v>
      </c>
    </row>
    <row r="1977" spans="1:2" x14ac:dyDescent="0.35">
      <c r="A1977" s="50" t="s">
        <v>5874</v>
      </c>
      <c r="B1977" s="52" t="s">
        <v>5873</v>
      </c>
    </row>
    <row r="1978" spans="1:2" x14ac:dyDescent="0.35">
      <c r="A1978" s="50" t="s">
        <v>5872</v>
      </c>
      <c r="B1978" s="52" t="s">
        <v>5871</v>
      </c>
    </row>
    <row r="1979" spans="1:2" x14ac:dyDescent="0.35">
      <c r="A1979" s="50" t="s">
        <v>5870</v>
      </c>
      <c r="B1979" s="52" t="s">
        <v>5869</v>
      </c>
    </row>
    <row r="1980" spans="1:2" x14ac:dyDescent="0.35">
      <c r="A1980" s="50" t="s">
        <v>5867</v>
      </c>
      <c r="B1980" s="52" t="s">
        <v>5866</v>
      </c>
    </row>
    <row r="1981" spans="1:2" x14ac:dyDescent="0.35">
      <c r="A1981" s="50" t="s">
        <v>5865</v>
      </c>
      <c r="B1981" s="52" t="s">
        <v>5864</v>
      </c>
    </row>
    <row r="1982" spans="1:2" x14ac:dyDescent="0.35">
      <c r="A1982" s="50" t="s">
        <v>5863</v>
      </c>
      <c r="B1982" s="52" t="s">
        <v>5862</v>
      </c>
    </row>
    <row r="1983" spans="1:2" x14ac:dyDescent="0.35">
      <c r="A1983" s="50" t="s">
        <v>5861</v>
      </c>
      <c r="B1983" s="52" t="s">
        <v>5860</v>
      </c>
    </row>
    <row r="1984" spans="1:2" x14ac:dyDescent="0.35">
      <c r="A1984" s="50" t="s">
        <v>5859</v>
      </c>
      <c r="B1984" s="52" t="s">
        <v>5858</v>
      </c>
    </row>
    <row r="1985" spans="1:2" x14ac:dyDescent="0.35">
      <c r="A1985" s="50" t="s">
        <v>5857</v>
      </c>
      <c r="B1985" s="52" t="s">
        <v>5856</v>
      </c>
    </row>
    <row r="1986" spans="1:2" x14ac:dyDescent="0.35">
      <c r="A1986" s="50" t="s">
        <v>5855</v>
      </c>
      <c r="B1986" s="52" t="s">
        <v>5854</v>
      </c>
    </row>
    <row r="1987" spans="1:2" x14ac:dyDescent="0.35">
      <c r="A1987" s="50" t="s">
        <v>5853</v>
      </c>
      <c r="B1987" s="52" t="s">
        <v>5852</v>
      </c>
    </row>
    <row r="1988" spans="1:2" x14ac:dyDescent="0.35">
      <c r="A1988" s="50" t="s">
        <v>5851</v>
      </c>
      <c r="B1988" s="52" t="s">
        <v>5850</v>
      </c>
    </row>
    <row r="1989" spans="1:2" x14ac:dyDescent="0.35">
      <c r="A1989" s="50" t="s">
        <v>5848</v>
      </c>
      <c r="B1989" s="52" t="s">
        <v>5847</v>
      </c>
    </row>
    <row r="1990" spans="1:2" x14ac:dyDescent="0.35">
      <c r="A1990" s="50" t="s">
        <v>5846</v>
      </c>
      <c r="B1990" s="52" t="s">
        <v>5845</v>
      </c>
    </row>
    <row r="1991" spans="1:2" x14ac:dyDescent="0.35">
      <c r="A1991" s="50" t="s">
        <v>5844</v>
      </c>
      <c r="B1991" s="52" t="s">
        <v>5843</v>
      </c>
    </row>
    <row r="1992" spans="1:2" x14ac:dyDescent="0.35">
      <c r="A1992" s="50" t="s">
        <v>5842</v>
      </c>
      <c r="B1992" s="52" t="s">
        <v>5841</v>
      </c>
    </row>
    <row r="1993" spans="1:2" x14ac:dyDescent="0.35">
      <c r="A1993" s="50" t="s">
        <v>5839</v>
      </c>
      <c r="B1993" s="52" t="s">
        <v>5838</v>
      </c>
    </row>
    <row r="1994" spans="1:2" x14ac:dyDescent="0.35">
      <c r="A1994" s="50" t="s">
        <v>5836</v>
      </c>
      <c r="B1994" s="52" t="s">
        <v>5835</v>
      </c>
    </row>
    <row r="1995" spans="1:2" x14ac:dyDescent="0.35">
      <c r="A1995" s="50" t="s">
        <v>5834</v>
      </c>
      <c r="B1995" s="52" t="s">
        <v>5833</v>
      </c>
    </row>
    <row r="1996" spans="1:2" x14ac:dyDescent="0.35">
      <c r="A1996" s="50" t="s">
        <v>5832</v>
      </c>
      <c r="B1996" s="52" t="s">
        <v>5831</v>
      </c>
    </row>
    <row r="1997" spans="1:2" x14ac:dyDescent="0.35">
      <c r="A1997" s="50" t="s">
        <v>5830</v>
      </c>
      <c r="B1997" s="52" t="s">
        <v>5829</v>
      </c>
    </row>
    <row r="1998" spans="1:2" x14ac:dyDescent="0.35">
      <c r="A1998" s="50" t="s">
        <v>5828</v>
      </c>
      <c r="B1998" s="52" t="s">
        <v>5827</v>
      </c>
    </row>
    <row r="1999" spans="1:2" x14ac:dyDescent="0.35">
      <c r="A1999" s="50" t="s">
        <v>5826</v>
      </c>
      <c r="B1999" s="52" t="s">
        <v>5825</v>
      </c>
    </row>
    <row r="2000" spans="1:2" x14ac:dyDescent="0.35">
      <c r="A2000" s="50" t="s">
        <v>5824</v>
      </c>
      <c r="B2000" s="52" t="s">
        <v>5823</v>
      </c>
    </row>
    <row r="2001" spans="1:2" x14ac:dyDescent="0.35">
      <c r="A2001" s="50" t="s">
        <v>5822</v>
      </c>
      <c r="B2001" s="52" t="s">
        <v>5821</v>
      </c>
    </row>
    <row r="2002" spans="1:2" x14ac:dyDescent="0.35">
      <c r="A2002" s="50" t="s">
        <v>5820</v>
      </c>
      <c r="B2002" s="52" t="s">
        <v>5819</v>
      </c>
    </row>
    <row r="2003" spans="1:2" x14ac:dyDescent="0.35">
      <c r="A2003" s="50" t="s">
        <v>5818</v>
      </c>
      <c r="B2003" s="52" t="s">
        <v>5817</v>
      </c>
    </row>
    <row r="2004" spans="1:2" x14ac:dyDescent="0.35">
      <c r="A2004" s="50" t="s">
        <v>5816</v>
      </c>
      <c r="B2004" s="52" t="s">
        <v>5815</v>
      </c>
    </row>
    <row r="2005" spans="1:2" x14ac:dyDescent="0.35">
      <c r="A2005" s="50" t="s">
        <v>5814</v>
      </c>
      <c r="B2005" s="52" t="s">
        <v>5813</v>
      </c>
    </row>
    <row r="2006" spans="1:2" x14ac:dyDescent="0.35">
      <c r="A2006" s="50" t="s">
        <v>5809</v>
      </c>
      <c r="B2006" s="52" t="s">
        <v>5808</v>
      </c>
    </row>
    <row r="2007" spans="1:2" x14ac:dyDescent="0.35">
      <c r="A2007" s="50" t="s">
        <v>5807</v>
      </c>
      <c r="B2007" s="52" t="s">
        <v>5806</v>
      </c>
    </row>
    <row r="2008" spans="1:2" x14ac:dyDescent="0.35">
      <c r="A2008" s="50" t="s">
        <v>5805</v>
      </c>
      <c r="B2008" s="52" t="s">
        <v>5804</v>
      </c>
    </row>
    <row r="2009" spans="1:2" x14ac:dyDescent="0.35">
      <c r="A2009" s="50" t="s">
        <v>5803</v>
      </c>
      <c r="B2009" s="52" t="s">
        <v>5802</v>
      </c>
    </row>
    <row r="2010" spans="1:2" x14ac:dyDescent="0.35">
      <c r="A2010" s="50" t="s">
        <v>5801</v>
      </c>
      <c r="B2010" s="52" t="s">
        <v>5800</v>
      </c>
    </row>
    <row r="2011" spans="1:2" x14ac:dyDescent="0.35">
      <c r="A2011" s="50" t="s">
        <v>5797</v>
      </c>
      <c r="B2011" s="52" t="s">
        <v>5796</v>
      </c>
    </row>
    <row r="2012" spans="1:2" x14ac:dyDescent="0.35">
      <c r="A2012" s="50" t="s">
        <v>5795</v>
      </c>
      <c r="B2012" s="52" t="s">
        <v>5794</v>
      </c>
    </row>
    <row r="2013" spans="1:2" x14ac:dyDescent="0.35">
      <c r="A2013" s="50" t="s">
        <v>5792</v>
      </c>
      <c r="B2013" s="52" t="s">
        <v>5791</v>
      </c>
    </row>
    <row r="2014" spans="1:2" x14ac:dyDescent="0.35">
      <c r="A2014" s="50" t="s">
        <v>5789</v>
      </c>
      <c r="B2014" s="52" t="s">
        <v>5788</v>
      </c>
    </row>
    <row r="2015" spans="1:2" x14ac:dyDescent="0.35">
      <c r="A2015" s="50" t="s">
        <v>5787</v>
      </c>
      <c r="B2015" s="52" t="s">
        <v>5786</v>
      </c>
    </row>
    <row r="2016" spans="1:2" x14ac:dyDescent="0.35">
      <c r="A2016" s="50" t="s">
        <v>5785</v>
      </c>
      <c r="B2016" s="52" t="s">
        <v>5784</v>
      </c>
    </row>
    <row r="2017" spans="1:2" x14ac:dyDescent="0.35">
      <c r="A2017" s="50" t="s">
        <v>5782</v>
      </c>
      <c r="B2017" s="52" t="s">
        <v>5781</v>
      </c>
    </row>
    <row r="2018" spans="1:2" x14ac:dyDescent="0.35">
      <c r="A2018" s="50" t="s">
        <v>5779</v>
      </c>
      <c r="B2018" s="52" t="s">
        <v>5778</v>
      </c>
    </row>
    <row r="2019" spans="1:2" x14ac:dyDescent="0.35">
      <c r="A2019" s="50" t="s">
        <v>5777</v>
      </c>
      <c r="B2019" s="52" t="s">
        <v>5776</v>
      </c>
    </row>
    <row r="2020" spans="1:2" x14ac:dyDescent="0.35">
      <c r="A2020" s="50" t="s">
        <v>5772</v>
      </c>
      <c r="B2020" s="52" t="s">
        <v>5771</v>
      </c>
    </row>
    <row r="2021" spans="1:2" x14ac:dyDescent="0.35">
      <c r="A2021" s="50" t="s">
        <v>5768</v>
      </c>
      <c r="B2021" s="52" t="s">
        <v>5767</v>
      </c>
    </row>
    <row r="2022" spans="1:2" x14ac:dyDescent="0.35">
      <c r="A2022" s="50" t="s">
        <v>5766</v>
      </c>
      <c r="B2022" s="52" t="s">
        <v>5765</v>
      </c>
    </row>
    <row r="2023" spans="1:2" x14ac:dyDescent="0.35">
      <c r="A2023" s="50" t="s">
        <v>5764</v>
      </c>
      <c r="B2023" s="52" t="s">
        <v>5763</v>
      </c>
    </row>
    <row r="2024" spans="1:2" x14ac:dyDescent="0.35">
      <c r="A2024" s="50" t="s">
        <v>5762</v>
      </c>
      <c r="B2024" s="52" t="s">
        <v>5761</v>
      </c>
    </row>
    <row r="2025" spans="1:2" x14ac:dyDescent="0.35">
      <c r="A2025" s="50" t="s">
        <v>5759</v>
      </c>
      <c r="B2025" s="52" t="s">
        <v>5758</v>
      </c>
    </row>
    <row r="2026" spans="1:2" x14ac:dyDescent="0.35">
      <c r="A2026" s="50" t="s">
        <v>5757</v>
      </c>
      <c r="B2026" s="52" t="s">
        <v>5756</v>
      </c>
    </row>
    <row r="2027" spans="1:2" x14ac:dyDescent="0.35">
      <c r="A2027" s="50" t="s">
        <v>5755</v>
      </c>
      <c r="B2027" s="52" t="s">
        <v>5754</v>
      </c>
    </row>
    <row r="2028" spans="1:2" x14ac:dyDescent="0.35">
      <c r="B2028" s="52" t="s">
        <v>5753</v>
      </c>
    </row>
    <row r="2029" spans="1:2" x14ac:dyDescent="0.35">
      <c r="A2029" s="50" t="s">
        <v>5751</v>
      </c>
      <c r="B2029" s="52" t="s">
        <v>5750</v>
      </c>
    </row>
    <row r="2030" spans="1:2" x14ac:dyDescent="0.35">
      <c r="A2030" s="50" t="s">
        <v>5743</v>
      </c>
      <c r="B2030" s="52" t="s">
        <v>5742</v>
      </c>
    </row>
    <row r="2031" spans="1:2" x14ac:dyDescent="0.35">
      <c r="A2031" s="50" t="s">
        <v>5735</v>
      </c>
      <c r="B2031" s="52" t="s">
        <v>5734</v>
      </c>
    </row>
    <row r="2032" spans="1:2" x14ac:dyDescent="0.35">
      <c r="A2032" s="50" t="s">
        <v>5731</v>
      </c>
      <c r="B2032" s="52" t="s">
        <v>5730</v>
      </c>
    </row>
    <row r="2033" spans="1:2" x14ac:dyDescent="0.35">
      <c r="A2033" s="50" t="s">
        <v>5727</v>
      </c>
      <c r="B2033" s="52" t="s">
        <v>5726</v>
      </c>
    </row>
    <row r="2034" spans="1:2" x14ac:dyDescent="0.35">
      <c r="A2034" s="50" t="s">
        <v>5719</v>
      </c>
      <c r="B2034" s="52" t="s">
        <v>5718</v>
      </c>
    </row>
    <row r="2035" spans="1:2" x14ac:dyDescent="0.35">
      <c r="A2035" s="50" t="s">
        <v>5716</v>
      </c>
      <c r="B2035" s="52" t="s">
        <v>5715</v>
      </c>
    </row>
    <row r="2036" spans="1:2" x14ac:dyDescent="0.35">
      <c r="A2036" s="50" t="s">
        <v>5712</v>
      </c>
      <c r="B2036" s="52" t="s">
        <v>5711</v>
      </c>
    </row>
    <row r="2037" spans="1:2" x14ac:dyDescent="0.35">
      <c r="A2037" s="50" t="s">
        <v>5708</v>
      </c>
      <c r="B2037" s="52" t="s">
        <v>5707</v>
      </c>
    </row>
    <row r="2038" spans="1:2" x14ac:dyDescent="0.35">
      <c r="A2038" s="50" t="s">
        <v>5703</v>
      </c>
      <c r="B2038" s="52" t="s">
        <v>5702</v>
      </c>
    </row>
    <row r="2039" spans="1:2" x14ac:dyDescent="0.35">
      <c r="A2039" s="50" t="s">
        <v>5701</v>
      </c>
      <c r="B2039" s="52" t="s">
        <v>5700</v>
      </c>
    </row>
    <row r="2040" spans="1:2" x14ac:dyDescent="0.35">
      <c r="A2040" s="50" t="s">
        <v>5696</v>
      </c>
      <c r="B2040" s="52" t="s">
        <v>5695</v>
      </c>
    </row>
    <row r="2041" spans="1:2" x14ac:dyDescent="0.35">
      <c r="A2041" s="50" t="s">
        <v>5687</v>
      </c>
      <c r="B2041" s="52" t="s">
        <v>5686</v>
      </c>
    </row>
    <row r="2042" spans="1:2" x14ac:dyDescent="0.35">
      <c r="A2042" s="50" t="s">
        <v>5674</v>
      </c>
      <c r="B2042" s="52" t="s">
        <v>5673</v>
      </c>
    </row>
    <row r="2043" spans="1:2" x14ac:dyDescent="0.35">
      <c r="A2043" s="50" t="s">
        <v>5672</v>
      </c>
      <c r="B2043" s="52" t="s">
        <v>5671</v>
      </c>
    </row>
    <row r="2044" spans="1:2" x14ac:dyDescent="0.35">
      <c r="A2044" s="50" t="s">
        <v>5669</v>
      </c>
      <c r="B2044" s="52" t="s">
        <v>5668</v>
      </c>
    </row>
    <row r="2045" spans="1:2" x14ac:dyDescent="0.35">
      <c r="B2045" s="52" t="s">
        <v>5661</v>
      </c>
    </row>
    <row r="2046" spans="1:2" x14ac:dyDescent="0.35">
      <c r="B2046" s="52" t="s">
        <v>5660</v>
      </c>
    </row>
    <row r="2047" spans="1:2" x14ac:dyDescent="0.35">
      <c r="B2047" s="52" t="s">
        <v>5659</v>
      </c>
    </row>
    <row r="2048" spans="1:2" x14ac:dyDescent="0.35">
      <c r="B2048" s="52" t="s">
        <v>5658</v>
      </c>
    </row>
    <row r="2049" spans="1:2" x14ac:dyDescent="0.35">
      <c r="A2049" s="50" t="s">
        <v>5652</v>
      </c>
      <c r="B2049" s="52" t="s">
        <v>5651</v>
      </c>
    </row>
    <row r="2050" spans="1:2" x14ac:dyDescent="0.35">
      <c r="A2050" s="50" t="s">
        <v>5646</v>
      </c>
      <c r="B2050" s="52" t="s">
        <v>5645</v>
      </c>
    </row>
    <row r="2051" spans="1:2" x14ac:dyDescent="0.35">
      <c r="A2051" s="50" t="s">
        <v>5640</v>
      </c>
      <c r="B2051" s="52" t="s">
        <v>5639</v>
      </c>
    </row>
    <row r="2052" spans="1:2" x14ac:dyDescent="0.35">
      <c r="A2052" s="50" t="s">
        <v>5637</v>
      </c>
      <c r="B2052" s="52" t="s">
        <v>5636</v>
      </c>
    </row>
    <row r="2053" spans="1:2" x14ac:dyDescent="0.35">
      <c r="A2053" s="50" t="s">
        <v>5635</v>
      </c>
      <c r="B2053" s="52" t="s">
        <v>5634</v>
      </c>
    </row>
    <row r="2054" spans="1:2" x14ac:dyDescent="0.35">
      <c r="A2054" s="50" t="s">
        <v>5633</v>
      </c>
      <c r="B2054" s="52" t="s">
        <v>5632</v>
      </c>
    </row>
    <row r="2055" spans="1:2" x14ac:dyDescent="0.35">
      <c r="A2055" s="50" t="s">
        <v>5618</v>
      </c>
      <c r="B2055" s="52" t="s">
        <v>5617</v>
      </c>
    </row>
    <row r="2056" spans="1:2" x14ac:dyDescent="0.35">
      <c r="A2056" s="50" t="s">
        <v>5613</v>
      </c>
      <c r="B2056" s="52" t="s">
        <v>5612</v>
      </c>
    </row>
    <row r="2057" spans="1:2" x14ac:dyDescent="0.35">
      <c r="A2057" s="50" t="s">
        <v>5611</v>
      </c>
      <c r="B2057" s="52" t="s">
        <v>5610</v>
      </c>
    </row>
    <row r="2058" spans="1:2" x14ac:dyDescent="0.35">
      <c r="A2058" s="50" t="s">
        <v>5607</v>
      </c>
      <c r="B2058" s="52" t="s">
        <v>5606</v>
      </c>
    </row>
    <row r="2059" spans="1:2" x14ac:dyDescent="0.35">
      <c r="A2059" s="50" t="s">
        <v>5605</v>
      </c>
      <c r="B2059" s="52" t="s">
        <v>5604</v>
      </c>
    </row>
    <row r="2060" spans="1:2" x14ac:dyDescent="0.35">
      <c r="A2060" s="50" t="s">
        <v>5603</v>
      </c>
      <c r="B2060" s="52" t="s">
        <v>5602</v>
      </c>
    </row>
    <row r="2061" spans="1:2" x14ac:dyDescent="0.35">
      <c r="A2061" s="50" t="s">
        <v>5599</v>
      </c>
      <c r="B2061" s="52" t="s">
        <v>5598</v>
      </c>
    </row>
    <row r="2062" spans="1:2" x14ac:dyDescent="0.35">
      <c r="A2062" s="50" t="s">
        <v>5597</v>
      </c>
      <c r="B2062" s="52" t="s">
        <v>5596</v>
      </c>
    </row>
    <row r="2063" spans="1:2" x14ac:dyDescent="0.35">
      <c r="A2063" s="50" t="s">
        <v>5595</v>
      </c>
      <c r="B2063" s="52" t="s">
        <v>5594</v>
      </c>
    </row>
    <row r="2064" spans="1:2" x14ac:dyDescent="0.35">
      <c r="A2064" s="50" t="s">
        <v>5592</v>
      </c>
      <c r="B2064" s="52" t="s">
        <v>5591</v>
      </c>
    </row>
    <row r="2065" spans="1:2" x14ac:dyDescent="0.35">
      <c r="A2065" s="50" t="s">
        <v>5582</v>
      </c>
      <c r="B2065" s="52" t="s">
        <v>5581</v>
      </c>
    </row>
    <row r="2066" spans="1:2" x14ac:dyDescent="0.35">
      <c r="A2066" s="50" t="s">
        <v>5580</v>
      </c>
      <c r="B2066" s="52" t="s">
        <v>5579</v>
      </c>
    </row>
    <row r="2067" spans="1:2" x14ac:dyDescent="0.35">
      <c r="A2067" s="50" t="s">
        <v>5577</v>
      </c>
      <c r="B2067" s="52" t="s">
        <v>5576</v>
      </c>
    </row>
    <row r="2068" spans="1:2" x14ac:dyDescent="0.35">
      <c r="A2068" s="50" t="s">
        <v>5574</v>
      </c>
      <c r="B2068" s="52" t="s">
        <v>5573</v>
      </c>
    </row>
    <row r="2069" spans="1:2" x14ac:dyDescent="0.35">
      <c r="A2069" s="50" t="s">
        <v>5572</v>
      </c>
      <c r="B2069" s="52" t="s">
        <v>5571</v>
      </c>
    </row>
    <row r="2070" spans="1:2" x14ac:dyDescent="0.35">
      <c r="A2070" s="50" t="s">
        <v>5570</v>
      </c>
      <c r="B2070" s="52" t="s">
        <v>5569</v>
      </c>
    </row>
    <row r="2071" spans="1:2" x14ac:dyDescent="0.35">
      <c r="A2071" s="50" t="s">
        <v>5568</v>
      </c>
      <c r="B2071" s="52" t="s">
        <v>5567</v>
      </c>
    </row>
    <row r="2072" spans="1:2" x14ac:dyDescent="0.35">
      <c r="A2072" s="50" t="s">
        <v>5565</v>
      </c>
      <c r="B2072" s="52" t="s">
        <v>5564</v>
      </c>
    </row>
    <row r="2073" spans="1:2" x14ac:dyDescent="0.35">
      <c r="A2073" s="50" t="s">
        <v>5563</v>
      </c>
      <c r="B2073" s="52" t="s">
        <v>5562</v>
      </c>
    </row>
    <row r="2074" spans="1:2" x14ac:dyDescent="0.35">
      <c r="A2074" s="50" t="s">
        <v>5561</v>
      </c>
      <c r="B2074" s="52" t="s">
        <v>5560</v>
      </c>
    </row>
    <row r="2075" spans="1:2" x14ac:dyDescent="0.35">
      <c r="A2075" s="50" t="s">
        <v>5552</v>
      </c>
      <c r="B2075" s="52" t="s">
        <v>5551</v>
      </c>
    </row>
    <row r="2076" spans="1:2" x14ac:dyDescent="0.35">
      <c r="A2076" s="50" t="s">
        <v>5549</v>
      </c>
      <c r="B2076" s="52" t="s">
        <v>5548</v>
      </c>
    </row>
    <row r="2077" spans="1:2" x14ac:dyDescent="0.35">
      <c r="A2077" s="50" t="s">
        <v>5545</v>
      </c>
      <c r="B2077" s="52" t="s">
        <v>5544</v>
      </c>
    </row>
    <row r="2078" spans="1:2" x14ac:dyDescent="0.35">
      <c r="A2078" s="50" t="s">
        <v>5543</v>
      </c>
      <c r="B2078" s="52" t="s">
        <v>5542</v>
      </c>
    </row>
    <row r="2079" spans="1:2" x14ac:dyDescent="0.35">
      <c r="A2079" s="50" t="s">
        <v>5540</v>
      </c>
      <c r="B2079" s="52" t="s">
        <v>5539</v>
      </c>
    </row>
    <row r="2080" spans="1:2" x14ac:dyDescent="0.35">
      <c r="A2080" s="50" t="s">
        <v>5538</v>
      </c>
      <c r="B2080" s="52" t="s">
        <v>5537</v>
      </c>
    </row>
    <row r="2081" spans="1:2" x14ac:dyDescent="0.35">
      <c r="A2081" s="50" t="s">
        <v>5535</v>
      </c>
      <c r="B2081" s="52" t="s">
        <v>5534</v>
      </c>
    </row>
    <row r="2082" spans="1:2" x14ac:dyDescent="0.35">
      <c r="A2082" s="50" t="s">
        <v>5528</v>
      </c>
      <c r="B2082" s="52" t="s">
        <v>5527</v>
      </c>
    </row>
    <row r="2083" spans="1:2" x14ac:dyDescent="0.35">
      <c r="A2083" s="50" t="s">
        <v>5521</v>
      </c>
      <c r="B2083" s="52" t="s">
        <v>5520</v>
      </c>
    </row>
    <row r="2084" spans="1:2" x14ac:dyDescent="0.35">
      <c r="A2084" s="50" t="s">
        <v>5519</v>
      </c>
      <c r="B2084" s="52" t="s">
        <v>5518</v>
      </c>
    </row>
    <row r="2085" spans="1:2" x14ac:dyDescent="0.35">
      <c r="A2085" s="50" t="s">
        <v>5516</v>
      </c>
      <c r="B2085" s="52" t="s">
        <v>5515</v>
      </c>
    </row>
    <row r="2086" spans="1:2" x14ac:dyDescent="0.35">
      <c r="A2086" s="50" t="s">
        <v>5514</v>
      </c>
      <c r="B2086" s="52" t="s">
        <v>5513</v>
      </c>
    </row>
    <row r="2087" spans="1:2" x14ac:dyDescent="0.35">
      <c r="A2087" s="50" t="s">
        <v>5512</v>
      </c>
      <c r="B2087" s="52" t="s">
        <v>5511</v>
      </c>
    </row>
    <row r="2088" spans="1:2" x14ac:dyDescent="0.35">
      <c r="B2088" s="52" t="s">
        <v>5510</v>
      </c>
    </row>
    <row r="2089" spans="1:2" x14ac:dyDescent="0.35">
      <c r="A2089" s="50" t="s">
        <v>5508</v>
      </c>
      <c r="B2089" s="52" t="s">
        <v>5507</v>
      </c>
    </row>
    <row r="2090" spans="1:2" x14ac:dyDescent="0.35">
      <c r="A2090" s="50" t="s">
        <v>5506</v>
      </c>
      <c r="B2090" s="52" t="s">
        <v>5505</v>
      </c>
    </row>
    <row r="2091" spans="1:2" x14ac:dyDescent="0.35">
      <c r="A2091" s="50" t="s">
        <v>5502</v>
      </c>
      <c r="B2091" s="52" t="s">
        <v>5501</v>
      </c>
    </row>
    <row r="2092" spans="1:2" x14ac:dyDescent="0.35">
      <c r="A2092" s="50" t="s">
        <v>5500</v>
      </c>
      <c r="B2092" s="52" t="s">
        <v>5499</v>
      </c>
    </row>
    <row r="2093" spans="1:2" x14ac:dyDescent="0.35">
      <c r="A2093" s="50" t="s">
        <v>5497</v>
      </c>
      <c r="B2093" s="52" t="s">
        <v>5496</v>
      </c>
    </row>
    <row r="2094" spans="1:2" x14ac:dyDescent="0.35">
      <c r="A2094" s="50" t="s">
        <v>5495</v>
      </c>
      <c r="B2094" s="52" t="s">
        <v>5494</v>
      </c>
    </row>
    <row r="2095" spans="1:2" x14ac:dyDescent="0.35">
      <c r="A2095" s="50" t="s">
        <v>5492</v>
      </c>
      <c r="B2095" s="52" t="s">
        <v>5491</v>
      </c>
    </row>
    <row r="2096" spans="1:2" x14ac:dyDescent="0.35">
      <c r="A2096" s="50" t="s">
        <v>5490</v>
      </c>
      <c r="B2096" s="52" t="s">
        <v>5489</v>
      </c>
    </row>
    <row r="2097" spans="1:2" x14ac:dyDescent="0.35">
      <c r="A2097" s="50" t="s">
        <v>5485</v>
      </c>
      <c r="B2097" s="52" t="s">
        <v>5484</v>
      </c>
    </row>
    <row r="2098" spans="1:2" x14ac:dyDescent="0.35">
      <c r="A2098" s="50" t="s">
        <v>5482</v>
      </c>
      <c r="B2098" s="52" t="s">
        <v>5481</v>
      </c>
    </row>
    <row r="2099" spans="1:2" x14ac:dyDescent="0.35">
      <c r="A2099" s="50" t="s">
        <v>5480</v>
      </c>
      <c r="B2099" s="52" t="s">
        <v>5479</v>
      </c>
    </row>
    <row r="2100" spans="1:2" x14ac:dyDescent="0.35">
      <c r="A2100" s="50" t="s">
        <v>5478</v>
      </c>
      <c r="B2100" s="52" t="s">
        <v>5477</v>
      </c>
    </row>
    <row r="2101" spans="1:2" x14ac:dyDescent="0.35">
      <c r="A2101" s="50" t="s">
        <v>5475</v>
      </c>
      <c r="B2101" s="52" t="s">
        <v>5474</v>
      </c>
    </row>
    <row r="2102" spans="1:2" x14ac:dyDescent="0.35">
      <c r="A2102" s="50" t="s">
        <v>5472</v>
      </c>
      <c r="B2102" s="52" t="s">
        <v>5471</v>
      </c>
    </row>
    <row r="2103" spans="1:2" x14ac:dyDescent="0.35">
      <c r="A2103" s="50" t="s">
        <v>5470</v>
      </c>
      <c r="B2103" s="52" t="s">
        <v>5469</v>
      </c>
    </row>
    <row r="2104" spans="1:2" x14ac:dyDescent="0.35">
      <c r="A2104" s="50" t="s">
        <v>5468</v>
      </c>
      <c r="B2104" s="52" t="s">
        <v>5467</v>
      </c>
    </row>
    <row r="2105" spans="1:2" x14ac:dyDescent="0.35">
      <c r="A2105" s="50" t="s">
        <v>5466</v>
      </c>
      <c r="B2105" s="52" t="s">
        <v>5465</v>
      </c>
    </row>
    <row r="2106" spans="1:2" x14ac:dyDescent="0.35">
      <c r="A2106" s="50" t="s">
        <v>5461</v>
      </c>
      <c r="B2106" s="52" t="s">
        <v>5460</v>
      </c>
    </row>
    <row r="2107" spans="1:2" x14ac:dyDescent="0.35">
      <c r="A2107" s="50" t="s">
        <v>5459</v>
      </c>
      <c r="B2107" s="52" t="s">
        <v>5458</v>
      </c>
    </row>
    <row r="2108" spans="1:2" x14ac:dyDescent="0.35">
      <c r="A2108" s="50" t="s">
        <v>5452</v>
      </c>
      <c r="B2108" s="52" t="s">
        <v>5451</v>
      </c>
    </row>
    <row r="2109" spans="1:2" x14ac:dyDescent="0.35">
      <c r="A2109" s="50" t="s">
        <v>5449</v>
      </c>
      <c r="B2109" s="52" t="s">
        <v>5448</v>
      </c>
    </row>
    <row r="2110" spans="1:2" x14ac:dyDescent="0.35">
      <c r="A2110" s="50" t="s">
        <v>5441</v>
      </c>
      <c r="B2110" s="52" t="s">
        <v>5440</v>
      </c>
    </row>
    <row r="2111" spans="1:2" x14ac:dyDescent="0.35">
      <c r="A2111" s="50" t="s">
        <v>5438</v>
      </c>
      <c r="B2111" s="52" t="s">
        <v>5437</v>
      </c>
    </row>
    <row r="2112" spans="1:2" x14ac:dyDescent="0.35">
      <c r="A2112" s="50" t="s">
        <v>5433</v>
      </c>
      <c r="B2112" s="52" t="s">
        <v>5432</v>
      </c>
    </row>
    <row r="2113" spans="1:2" x14ac:dyDescent="0.35">
      <c r="A2113" s="50" t="s">
        <v>5431</v>
      </c>
      <c r="B2113" s="52" t="s">
        <v>5430</v>
      </c>
    </row>
    <row r="2114" spans="1:2" x14ac:dyDescent="0.35">
      <c r="A2114" s="50" t="s">
        <v>5429</v>
      </c>
      <c r="B2114" s="52" t="s">
        <v>5428</v>
      </c>
    </row>
    <row r="2115" spans="1:2" x14ac:dyDescent="0.35">
      <c r="B2115" s="52" t="s">
        <v>5424</v>
      </c>
    </row>
    <row r="2116" spans="1:2" x14ac:dyDescent="0.35">
      <c r="A2116" s="50" t="s">
        <v>5423</v>
      </c>
      <c r="B2116" s="52" t="s">
        <v>5422</v>
      </c>
    </row>
    <row r="2117" spans="1:2" x14ac:dyDescent="0.35">
      <c r="A2117" s="50" t="s">
        <v>5403</v>
      </c>
      <c r="B2117" s="52" t="s">
        <v>5402</v>
      </c>
    </row>
    <row r="2118" spans="1:2" x14ac:dyDescent="0.35">
      <c r="A2118" s="50" t="s">
        <v>5401</v>
      </c>
      <c r="B2118" s="52" t="s">
        <v>5400</v>
      </c>
    </row>
    <row r="2119" spans="1:2" x14ac:dyDescent="0.35">
      <c r="A2119" s="50" t="s">
        <v>5387</v>
      </c>
      <c r="B2119" s="52" t="s">
        <v>5386</v>
      </c>
    </row>
    <row r="2120" spans="1:2" x14ac:dyDescent="0.35">
      <c r="A2120" s="50" t="s">
        <v>5380</v>
      </c>
      <c r="B2120" s="52" t="s">
        <v>5379</v>
      </c>
    </row>
    <row r="2121" spans="1:2" x14ac:dyDescent="0.35">
      <c r="A2121" s="50" t="s">
        <v>5377</v>
      </c>
      <c r="B2121" s="52" t="s">
        <v>5376</v>
      </c>
    </row>
    <row r="2122" spans="1:2" x14ac:dyDescent="0.35">
      <c r="A2122" s="50" t="s">
        <v>5375</v>
      </c>
      <c r="B2122" s="52" t="s">
        <v>5374</v>
      </c>
    </row>
    <row r="2123" spans="1:2" x14ac:dyDescent="0.35">
      <c r="A2123" s="50" t="s">
        <v>5372</v>
      </c>
      <c r="B2123" s="52" t="s">
        <v>5371</v>
      </c>
    </row>
    <row r="2124" spans="1:2" x14ac:dyDescent="0.35">
      <c r="A2124" s="50" t="s">
        <v>5366</v>
      </c>
      <c r="B2124" s="52" t="s">
        <v>5365</v>
      </c>
    </row>
    <row r="2125" spans="1:2" x14ac:dyDescent="0.35">
      <c r="A2125" s="50" t="s">
        <v>5358</v>
      </c>
      <c r="B2125" s="52" t="s">
        <v>5357</v>
      </c>
    </row>
    <row r="2126" spans="1:2" x14ac:dyDescent="0.35">
      <c r="A2126" s="50" t="s">
        <v>5352</v>
      </c>
      <c r="B2126" s="52" t="s">
        <v>5351</v>
      </c>
    </row>
    <row r="2127" spans="1:2" x14ac:dyDescent="0.35">
      <c r="A2127" s="50" t="s">
        <v>5347</v>
      </c>
      <c r="B2127" s="52" t="s">
        <v>5346</v>
      </c>
    </row>
    <row r="2128" spans="1:2" x14ac:dyDescent="0.35">
      <c r="A2128" s="50" t="s">
        <v>5341</v>
      </c>
      <c r="B2128" s="52" t="s">
        <v>5340</v>
      </c>
    </row>
    <row r="2129" spans="1:2" x14ac:dyDescent="0.35">
      <c r="A2129" s="50" t="s">
        <v>5336</v>
      </c>
      <c r="B2129" s="52" t="s">
        <v>5335</v>
      </c>
    </row>
    <row r="2130" spans="1:2" x14ac:dyDescent="0.35">
      <c r="A2130" s="50" t="s">
        <v>5333</v>
      </c>
      <c r="B2130" s="52" t="s">
        <v>5332</v>
      </c>
    </row>
    <row r="2131" spans="1:2" x14ac:dyDescent="0.35">
      <c r="A2131" s="50" t="s">
        <v>5331</v>
      </c>
      <c r="B2131" s="52" t="s">
        <v>5330</v>
      </c>
    </row>
    <row r="2132" spans="1:2" x14ac:dyDescent="0.35">
      <c r="A2132" s="50" t="s">
        <v>5328</v>
      </c>
      <c r="B2132" s="52" t="s">
        <v>5327</v>
      </c>
    </row>
    <row r="2133" spans="1:2" x14ac:dyDescent="0.35">
      <c r="A2133" s="50" t="s">
        <v>5325</v>
      </c>
      <c r="B2133" s="52" t="s">
        <v>5324</v>
      </c>
    </row>
    <row r="2134" spans="1:2" x14ac:dyDescent="0.35">
      <c r="A2134" s="50" t="s">
        <v>5323</v>
      </c>
      <c r="B2134" s="52" t="s">
        <v>5322</v>
      </c>
    </row>
    <row r="2135" spans="1:2" x14ac:dyDescent="0.35">
      <c r="A2135" s="50" t="s">
        <v>5309</v>
      </c>
      <c r="B2135" s="52" t="s">
        <v>5308</v>
      </c>
    </row>
    <row r="2136" spans="1:2" x14ac:dyDescent="0.35">
      <c r="A2136" s="50" t="s">
        <v>5307</v>
      </c>
      <c r="B2136" s="52" t="s">
        <v>5306</v>
      </c>
    </row>
    <row r="2137" spans="1:2" x14ac:dyDescent="0.35">
      <c r="B2137" s="52" t="s">
        <v>5305</v>
      </c>
    </row>
    <row r="2138" spans="1:2" x14ac:dyDescent="0.35">
      <c r="A2138" s="50" t="s">
        <v>5300</v>
      </c>
      <c r="B2138" s="52" t="s">
        <v>5299</v>
      </c>
    </row>
    <row r="2139" spans="1:2" x14ac:dyDescent="0.35">
      <c r="A2139" s="50" t="s">
        <v>5295</v>
      </c>
      <c r="B2139" s="52" t="s">
        <v>5294</v>
      </c>
    </row>
    <row r="2140" spans="1:2" x14ac:dyDescent="0.35">
      <c r="A2140" s="50" t="s">
        <v>5292</v>
      </c>
      <c r="B2140" s="52" t="s">
        <v>5291</v>
      </c>
    </row>
    <row r="2141" spans="1:2" x14ac:dyDescent="0.35">
      <c r="A2141" s="50" t="s">
        <v>5276</v>
      </c>
      <c r="B2141" s="52" t="s">
        <v>5275</v>
      </c>
    </row>
    <row r="2142" spans="1:2" x14ac:dyDescent="0.35">
      <c r="A2142" s="50" t="s">
        <v>5272</v>
      </c>
      <c r="B2142" s="52" t="s">
        <v>5271</v>
      </c>
    </row>
    <row r="2143" spans="1:2" x14ac:dyDescent="0.35">
      <c r="A2143" s="50" t="s">
        <v>5266</v>
      </c>
      <c r="B2143" s="52" t="s">
        <v>5265</v>
      </c>
    </row>
    <row r="2144" spans="1:2" x14ac:dyDescent="0.35">
      <c r="A2144" s="50" t="s">
        <v>5250</v>
      </c>
      <c r="B2144" s="52" t="s">
        <v>5249</v>
      </c>
    </row>
    <row r="2145" spans="1:2" x14ac:dyDescent="0.35">
      <c r="A2145" s="50" t="s">
        <v>5248</v>
      </c>
      <c r="B2145" s="52" t="s">
        <v>5247</v>
      </c>
    </row>
    <row r="2146" spans="1:2" x14ac:dyDescent="0.35">
      <c r="A2146" s="50" t="s">
        <v>5246</v>
      </c>
      <c r="B2146" s="52" t="s">
        <v>5245</v>
      </c>
    </row>
    <row r="2147" spans="1:2" x14ac:dyDescent="0.35">
      <c r="A2147" s="50" t="s">
        <v>5244</v>
      </c>
      <c r="B2147" s="52" t="s">
        <v>5243</v>
      </c>
    </row>
    <row r="2148" spans="1:2" x14ac:dyDescent="0.35">
      <c r="A2148" s="50" t="s">
        <v>5242</v>
      </c>
      <c r="B2148" s="52" t="s">
        <v>5241</v>
      </c>
    </row>
    <row r="2149" spans="1:2" x14ac:dyDescent="0.35">
      <c r="A2149" s="50" t="s">
        <v>5238</v>
      </c>
      <c r="B2149" s="52" t="s">
        <v>5237</v>
      </c>
    </row>
    <row r="2150" spans="1:2" x14ac:dyDescent="0.35">
      <c r="A2150" s="50" t="s">
        <v>5234</v>
      </c>
      <c r="B2150" s="52" t="s">
        <v>5233</v>
      </c>
    </row>
    <row r="2151" spans="1:2" x14ac:dyDescent="0.35">
      <c r="B2151" s="52" t="s">
        <v>5232</v>
      </c>
    </row>
    <row r="2152" spans="1:2" x14ac:dyDescent="0.35">
      <c r="A2152" s="50" t="s">
        <v>5230</v>
      </c>
      <c r="B2152" s="52" t="s">
        <v>5229</v>
      </c>
    </row>
    <row r="2153" spans="1:2" x14ac:dyDescent="0.35">
      <c r="A2153" s="50" t="s">
        <v>5228</v>
      </c>
      <c r="B2153" s="52" t="s">
        <v>5227</v>
      </c>
    </row>
    <row r="2154" spans="1:2" x14ac:dyDescent="0.35">
      <c r="A2154" s="50" t="s">
        <v>5224</v>
      </c>
      <c r="B2154" s="52" t="s">
        <v>5223</v>
      </c>
    </row>
    <row r="2155" spans="1:2" x14ac:dyDescent="0.35">
      <c r="A2155" s="50" t="s">
        <v>5222</v>
      </c>
      <c r="B2155" s="52" t="s">
        <v>5221</v>
      </c>
    </row>
    <row r="2156" spans="1:2" x14ac:dyDescent="0.35">
      <c r="A2156" s="50" t="s">
        <v>5220</v>
      </c>
      <c r="B2156" s="52" t="s">
        <v>5219</v>
      </c>
    </row>
    <row r="2157" spans="1:2" x14ac:dyDescent="0.35">
      <c r="B2157" s="52" t="s">
        <v>5215</v>
      </c>
    </row>
    <row r="2158" spans="1:2" x14ac:dyDescent="0.35">
      <c r="A2158" s="50" t="s">
        <v>5214</v>
      </c>
      <c r="B2158" s="52" t="s">
        <v>5213</v>
      </c>
    </row>
    <row r="2159" spans="1:2" x14ac:dyDescent="0.35">
      <c r="A2159" s="50" t="s">
        <v>5210</v>
      </c>
      <c r="B2159" s="52" t="s">
        <v>5209</v>
      </c>
    </row>
    <row r="2160" spans="1:2" x14ac:dyDescent="0.35">
      <c r="A2160" s="50" t="s">
        <v>5204</v>
      </c>
      <c r="B2160" s="52" t="s">
        <v>5203</v>
      </c>
    </row>
    <row r="2161" spans="1:2" x14ac:dyDescent="0.35">
      <c r="A2161" s="50" t="s">
        <v>5190</v>
      </c>
      <c r="B2161" s="52" t="s">
        <v>5189</v>
      </c>
    </row>
    <row r="2162" spans="1:2" x14ac:dyDescent="0.35">
      <c r="A2162" s="50" t="s">
        <v>5181</v>
      </c>
      <c r="B2162" s="52" t="s">
        <v>5180</v>
      </c>
    </row>
    <row r="2163" spans="1:2" x14ac:dyDescent="0.35">
      <c r="A2163" s="50" t="s">
        <v>5179</v>
      </c>
      <c r="B2163" s="52" t="s">
        <v>5178</v>
      </c>
    </row>
    <row r="2164" spans="1:2" x14ac:dyDescent="0.35">
      <c r="A2164" s="50" t="s">
        <v>5175</v>
      </c>
      <c r="B2164" s="52" t="s">
        <v>5174</v>
      </c>
    </row>
    <row r="2165" spans="1:2" x14ac:dyDescent="0.35">
      <c r="B2165" s="52" t="s">
        <v>5165</v>
      </c>
    </row>
    <row r="2166" spans="1:2" x14ac:dyDescent="0.35">
      <c r="B2166" s="52" t="s">
        <v>5164</v>
      </c>
    </row>
    <row r="2167" spans="1:2" x14ac:dyDescent="0.35">
      <c r="B2167" s="52" t="s">
        <v>5161</v>
      </c>
    </row>
    <row r="2168" spans="1:2" x14ac:dyDescent="0.35">
      <c r="A2168" s="50" t="s">
        <v>5160</v>
      </c>
      <c r="B2168" s="52" t="s">
        <v>5159</v>
      </c>
    </row>
    <row r="2169" spans="1:2" x14ac:dyDescent="0.35">
      <c r="A2169" s="50" t="s">
        <v>5157</v>
      </c>
      <c r="B2169" s="52" t="s">
        <v>5156</v>
      </c>
    </row>
    <row r="2170" spans="1:2" x14ac:dyDescent="0.35">
      <c r="B2170" s="52" t="s">
        <v>5153</v>
      </c>
    </row>
    <row r="2171" spans="1:2" x14ac:dyDescent="0.35">
      <c r="A2171" s="50" t="s">
        <v>5152</v>
      </c>
      <c r="B2171" s="52" t="s">
        <v>5151</v>
      </c>
    </row>
    <row r="2172" spans="1:2" x14ac:dyDescent="0.35">
      <c r="A2172" s="50" t="s">
        <v>5149</v>
      </c>
      <c r="B2172" s="52" t="s">
        <v>5148</v>
      </c>
    </row>
    <row r="2173" spans="1:2" x14ac:dyDescent="0.35">
      <c r="A2173" s="50" t="s">
        <v>5147</v>
      </c>
      <c r="B2173" s="52" t="s">
        <v>5146</v>
      </c>
    </row>
    <row r="2174" spans="1:2" x14ac:dyDescent="0.35">
      <c r="A2174" s="50" t="s">
        <v>5145</v>
      </c>
      <c r="B2174" s="52" t="s">
        <v>5144</v>
      </c>
    </row>
    <row r="2175" spans="1:2" x14ac:dyDescent="0.35">
      <c r="A2175" s="50" t="s">
        <v>5143</v>
      </c>
      <c r="B2175" s="52" t="s">
        <v>5142</v>
      </c>
    </row>
    <row r="2176" spans="1:2" x14ac:dyDescent="0.35">
      <c r="A2176" s="50" t="s">
        <v>5138</v>
      </c>
      <c r="B2176" s="52" t="s">
        <v>5137</v>
      </c>
    </row>
    <row r="2177" spans="1:2" x14ac:dyDescent="0.35">
      <c r="B2177" s="52" t="s">
        <v>5136</v>
      </c>
    </row>
    <row r="2178" spans="1:2" x14ac:dyDescent="0.35">
      <c r="A2178" s="50" t="s">
        <v>5135</v>
      </c>
      <c r="B2178" s="52" t="s">
        <v>5134</v>
      </c>
    </row>
    <row r="2179" spans="1:2" x14ac:dyDescent="0.35">
      <c r="A2179" s="50" t="s">
        <v>5133</v>
      </c>
      <c r="B2179" s="52" t="s">
        <v>5132</v>
      </c>
    </row>
    <row r="2180" spans="1:2" x14ac:dyDescent="0.35">
      <c r="B2180" s="52" t="s">
        <v>5129</v>
      </c>
    </row>
    <row r="2181" spans="1:2" x14ac:dyDescent="0.35">
      <c r="A2181" s="50" t="s">
        <v>5120</v>
      </c>
      <c r="B2181" s="52" t="s">
        <v>5119</v>
      </c>
    </row>
    <row r="2182" spans="1:2" x14ac:dyDescent="0.35">
      <c r="A2182" s="50" t="s">
        <v>5115</v>
      </c>
      <c r="B2182" s="52" t="s">
        <v>5114</v>
      </c>
    </row>
    <row r="2183" spans="1:2" x14ac:dyDescent="0.35">
      <c r="A2183" s="50" t="s">
        <v>5113</v>
      </c>
      <c r="B2183" s="52" t="s">
        <v>5112</v>
      </c>
    </row>
    <row r="2184" spans="1:2" x14ac:dyDescent="0.35">
      <c r="A2184" s="50" t="s">
        <v>5107</v>
      </c>
      <c r="B2184" s="52" t="s">
        <v>5106</v>
      </c>
    </row>
    <row r="2185" spans="1:2" x14ac:dyDescent="0.35">
      <c r="A2185" s="50" t="s">
        <v>5103</v>
      </c>
      <c r="B2185" s="52" t="s">
        <v>5102</v>
      </c>
    </row>
    <row r="2186" spans="1:2" x14ac:dyDescent="0.35">
      <c r="B2186" s="52" t="s">
        <v>5092</v>
      </c>
    </row>
    <row r="2187" spans="1:2" x14ac:dyDescent="0.35">
      <c r="A2187" s="50" t="s">
        <v>5090</v>
      </c>
      <c r="B2187" s="52" t="s">
        <v>5089</v>
      </c>
    </row>
    <row r="2188" spans="1:2" x14ac:dyDescent="0.35">
      <c r="A2188" s="50" t="s">
        <v>5088</v>
      </c>
      <c r="B2188" s="52" t="s">
        <v>5087</v>
      </c>
    </row>
    <row r="2189" spans="1:2" x14ac:dyDescent="0.35">
      <c r="A2189" s="50" t="s">
        <v>5085</v>
      </c>
      <c r="B2189" s="52" t="s">
        <v>5084</v>
      </c>
    </row>
    <row r="2190" spans="1:2" x14ac:dyDescent="0.35">
      <c r="A2190" s="50" t="s">
        <v>5082</v>
      </c>
      <c r="B2190" s="52" t="s">
        <v>5081</v>
      </c>
    </row>
    <row r="2191" spans="1:2" x14ac:dyDescent="0.35">
      <c r="A2191" s="50" t="s">
        <v>5077</v>
      </c>
      <c r="B2191" s="52" t="s">
        <v>5076</v>
      </c>
    </row>
    <row r="2192" spans="1:2" x14ac:dyDescent="0.35">
      <c r="A2192" s="50" t="s">
        <v>5075</v>
      </c>
      <c r="B2192" s="52" t="s">
        <v>5074</v>
      </c>
    </row>
    <row r="2193" spans="1:2" x14ac:dyDescent="0.35">
      <c r="A2193" s="50" t="s">
        <v>5071</v>
      </c>
      <c r="B2193" s="52" t="s">
        <v>5070</v>
      </c>
    </row>
    <row r="2194" spans="1:2" x14ac:dyDescent="0.35">
      <c r="A2194" s="50" t="s">
        <v>5059</v>
      </c>
      <c r="B2194" s="52" t="s">
        <v>5058</v>
      </c>
    </row>
    <row r="2195" spans="1:2" x14ac:dyDescent="0.35">
      <c r="A2195" s="50" t="s">
        <v>5057</v>
      </c>
      <c r="B2195" s="52" t="s">
        <v>5056</v>
      </c>
    </row>
    <row r="2196" spans="1:2" x14ac:dyDescent="0.35">
      <c r="A2196" s="50" t="s">
        <v>5055</v>
      </c>
      <c r="B2196" s="52" t="s">
        <v>5054</v>
      </c>
    </row>
    <row r="2197" spans="1:2" x14ac:dyDescent="0.35">
      <c r="B2197" s="52" t="s">
        <v>5053</v>
      </c>
    </row>
    <row r="2198" spans="1:2" x14ac:dyDescent="0.35">
      <c r="A2198" s="50" t="s">
        <v>5047</v>
      </c>
      <c r="B2198" s="52" t="s">
        <v>5046</v>
      </c>
    </row>
    <row r="2199" spans="1:2" x14ac:dyDescent="0.35">
      <c r="A2199" s="50" t="s">
        <v>5045</v>
      </c>
      <c r="B2199" s="52" t="s">
        <v>5044</v>
      </c>
    </row>
    <row r="2200" spans="1:2" x14ac:dyDescent="0.35">
      <c r="A2200" s="50" t="s">
        <v>5039</v>
      </c>
      <c r="B2200" s="52" t="s">
        <v>5038</v>
      </c>
    </row>
    <row r="2201" spans="1:2" x14ac:dyDescent="0.35">
      <c r="A2201" s="50" t="s">
        <v>5037</v>
      </c>
      <c r="B2201" s="52" t="s">
        <v>5036</v>
      </c>
    </row>
    <row r="2202" spans="1:2" x14ac:dyDescent="0.35">
      <c r="A2202" s="50" t="s">
        <v>5035</v>
      </c>
      <c r="B2202" s="52" t="s">
        <v>5034</v>
      </c>
    </row>
    <row r="2203" spans="1:2" x14ac:dyDescent="0.35">
      <c r="A2203" s="50" t="s">
        <v>5027</v>
      </c>
      <c r="B2203" s="52" t="s">
        <v>5026</v>
      </c>
    </row>
    <row r="2204" spans="1:2" x14ac:dyDescent="0.35">
      <c r="A2204" s="50" t="s">
        <v>5025</v>
      </c>
      <c r="B2204" s="52" t="s">
        <v>5024</v>
      </c>
    </row>
    <row r="2205" spans="1:2" x14ac:dyDescent="0.35">
      <c r="A2205" s="50" t="s">
        <v>5014</v>
      </c>
      <c r="B2205" s="52" t="s">
        <v>5013</v>
      </c>
    </row>
    <row r="2206" spans="1:2" x14ac:dyDescent="0.35">
      <c r="A2206" s="50" t="s">
        <v>5012</v>
      </c>
      <c r="B2206" s="52" t="s">
        <v>5011</v>
      </c>
    </row>
    <row r="2207" spans="1:2" x14ac:dyDescent="0.35">
      <c r="A2207" s="50" t="s">
        <v>5010</v>
      </c>
      <c r="B2207" s="52" t="s">
        <v>5009</v>
      </c>
    </row>
    <row r="2208" spans="1:2" x14ac:dyDescent="0.35">
      <c r="A2208" s="50" t="s">
        <v>5008</v>
      </c>
      <c r="B2208" s="52" t="s">
        <v>5007</v>
      </c>
    </row>
    <row r="2209" spans="1:2" x14ac:dyDescent="0.35">
      <c r="A2209" s="50" t="s">
        <v>5006</v>
      </c>
      <c r="B2209" s="52" t="s">
        <v>5005</v>
      </c>
    </row>
    <row r="2210" spans="1:2" x14ac:dyDescent="0.35">
      <c r="B2210" s="52" t="s">
        <v>5004</v>
      </c>
    </row>
    <row r="2211" spans="1:2" x14ac:dyDescent="0.35">
      <c r="A2211" s="50" t="s">
        <v>5002</v>
      </c>
      <c r="B2211" s="52" t="s">
        <v>5001</v>
      </c>
    </row>
    <row r="2212" spans="1:2" x14ac:dyDescent="0.35">
      <c r="A2212" s="50" t="s">
        <v>4999</v>
      </c>
      <c r="B2212" s="52" t="s">
        <v>4998</v>
      </c>
    </row>
    <row r="2213" spans="1:2" x14ac:dyDescent="0.35">
      <c r="A2213" s="50" t="s">
        <v>4995</v>
      </c>
      <c r="B2213" s="52" t="s">
        <v>4994</v>
      </c>
    </row>
    <row r="2214" spans="1:2" x14ac:dyDescent="0.35">
      <c r="A2214" s="50" t="s">
        <v>4991</v>
      </c>
      <c r="B2214" s="52" t="s">
        <v>4990</v>
      </c>
    </row>
    <row r="2215" spans="1:2" x14ac:dyDescent="0.35">
      <c r="A2215" s="50" t="s">
        <v>4989</v>
      </c>
      <c r="B2215" s="52" t="s">
        <v>4988</v>
      </c>
    </row>
    <row r="2216" spans="1:2" x14ac:dyDescent="0.35">
      <c r="A2216" s="50" t="s">
        <v>4987</v>
      </c>
      <c r="B2216" s="52" t="s">
        <v>4986</v>
      </c>
    </row>
    <row r="2217" spans="1:2" x14ac:dyDescent="0.35">
      <c r="A2217" s="50" t="s">
        <v>4985</v>
      </c>
      <c r="B2217" s="52" t="s">
        <v>4984</v>
      </c>
    </row>
    <row r="2218" spans="1:2" x14ac:dyDescent="0.35">
      <c r="A2218" s="50" t="s">
        <v>4981</v>
      </c>
      <c r="B2218" s="52" t="s">
        <v>4980</v>
      </c>
    </row>
    <row r="2219" spans="1:2" x14ac:dyDescent="0.35">
      <c r="A2219" s="50" t="s">
        <v>4979</v>
      </c>
      <c r="B2219" s="52" t="s">
        <v>4978</v>
      </c>
    </row>
    <row r="2220" spans="1:2" x14ac:dyDescent="0.35">
      <c r="A2220" s="50" t="s">
        <v>4977</v>
      </c>
      <c r="B2220" s="52" t="s">
        <v>4976</v>
      </c>
    </row>
    <row r="2221" spans="1:2" x14ac:dyDescent="0.35">
      <c r="A2221" s="50" t="s">
        <v>4975</v>
      </c>
      <c r="B2221" s="52" t="s">
        <v>4974</v>
      </c>
    </row>
    <row r="2222" spans="1:2" x14ac:dyDescent="0.35">
      <c r="A2222" s="50" t="s">
        <v>4973</v>
      </c>
      <c r="B2222" s="52" t="s">
        <v>4972</v>
      </c>
    </row>
    <row r="2223" spans="1:2" x14ac:dyDescent="0.35">
      <c r="A2223" s="50" t="s">
        <v>4971</v>
      </c>
      <c r="B2223" s="52" t="s">
        <v>4970</v>
      </c>
    </row>
    <row r="2224" spans="1:2" x14ac:dyDescent="0.35">
      <c r="A2224" s="50" t="s">
        <v>4969</v>
      </c>
      <c r="B2224" s="52" t="s">
        <v>4968</v>
      </c>
    </row>
    <row r="2225" spans="1:2" x14ac:dyDescent="0.35">
      <c r="A2225" s="50" t="s">
        <v>4967</v>
      </c>
      <c r="B2225" s="52" t="s">
        <v>4966</v>
      </c>
    </row>
    <row r="2226" spans="1:2" x14ac:dyDescent="0.35">
      <c r="A2226" s="50" t="s">
        <v>4965</v>
      </c>
      <c r="B2226" s="52" t="s">
        <v>4964</v>
      </c>
    </row>
    <row r="2227" spans="1:2" x14ac:dyDescent="0.35">
      <c r="A2227" s="50" t="s">
        <v>4963</v>
      </c>
      <c r="B2227" s="52" t="s">
        <v>4962</v>
      </c>
    </row>
    <row r="2228" spans="1:2" x14ac:dyDescent="0.35">
      <c r="A2228" s="50" t="s">
        <v>4961</v>
      </c>
      <c r="B2228" s="52" t="s">
        <v>4960</v>
      </c>
    </row>
    <row r="2229" spans="1:2" x14ac:dyDescent="0.35">
      <c r="A2229" s="50" t="s">
        <v>4959</v>
      </c>
      <c r="B2229" s="52" t="s">
        <v>4958</v>
      </c>
    </row>
    <row r="2230" spans="1:2" x14ac:dyDescent="0.35">
      <c r="A2230" s="50" t="s">
        <v>4957</v>
      </c>
      <c r="B2230" s="52" t="s">
        <v>4956</v>
      </c>
    </row>
    <row r="2231" spans="1:2" x14ac:dyDescent="0.35">
      <c r="A2231" s="50" t="s">
        <v>4955</v>
      </c>
      <c r="B2231" s="52" t="s">
        <v>4954</v>
      </c>
    </row>
    <row r="2232" spans="1:2" x14ac:dyDescent="0.35">
      <c r="A2232" s="50" t="s">
        <v>4953</v>
      </c>
      <c r="B2232" s="52" t="s">
        <v>4952</v>
      </c>
    </row>
    <row r="2233" spans="1:2" x14ac:dyDescent="0.35">
      <c r="A2233" s="50" t="s">
        <v>4951</v>
      </c>
      <c r="B2233" s="52" t="s">
        <v>4950</v>
      </c>
    </row>
    <row r="2234" spans="1:2" x14ac:dyDescent="0.35">
      <c r="A2234" s="50" t="s">
        <v>4948</v>
      </c>
      <c r="B2234" s="52" t="s">
        <v>4947</v>
      </c>
    </row>
    <row r="2235" spans="1:2" x14ac:dyDescent="0.35">
      <c r="A2235" s="50" t="s">
        <v>4946</v>
      </c>
      <c r="B2235" s="52" t="s">
        <v>4945</v>
      </c>
    </row>
    <row r="2236" spans="1:2" x14ac:dyDescent="0.35">
      <c r="A2236" s="50" t="s">
        <v>4944</v>
      </c>
      <c r="B2236" s="52" t="s">
        <v>4943</v>
      </c>
    </row>
    <row r="2237" spans="1:2" x14ac:dyDescent="0.35">
      <c r="A2237" s="50" t="s">
        <v>4942</v>
      </c>
      <c r="B2237" s="52" t="s">
        <v>4941</v>
      </c>
    </row>
    <row r="2238" spans="1:2" x14ac:dyDescent="0.35">
      <c r="A2238" s="50" t="s">
        <v>4940</v>
      </c>
      <c r="B2238" s="52" t="s">
        <v>4939</v>
      </c>
    </row>
    <row r="2239" spans="1:2" x14ac:dyDescent="0.35">
      <c r="A2239" s="50" t="s">
        <v>4938</v>
      </c>
      <c r="B2239" s="52" t="s">
        <v>4937</v>
      </c>
    </row>
    <row r="2240" spans="1:2" x14ac:dyDescent="0.35">
      <c r="A2240" s="50" t="s">
        <v>4931</v>
      </c>
      <c r="B2240" s="52" t="s">
        <v>4930</v>
      </c>
    </row>
    <row r="2241" spans="1:2" x14ac:dyDescent="0.35">
      <c r="A2241" s="50" t="s">
        <v>4927</v>
      </c>
      <c r="B2241" s="52" t="s">
        <v>4926</v>
      </c>
    </row>
    <row r="2242" spans="1:2" x14ac:dyDescent="0.35">
      <c r="A2242" s="50" t="s">
        <v>4924</v>
      </c>
      <c r="B2242" s="52" t="s">
        <v>4923</v>
      </c>
    </row>
    <row r="2243" spans="1:2" x14ac:dyDescent="0.35">
      <c r="A2243" s="50" t="s">
        <v>4922</v>
      </c>
      <c r="B2243" s="52" t="s">
        <v>4921</v>
      </c>
    </row>
    <row r="2244" spans="1:2" x14ac:dyDescent="0.35">
      <c r="A2244" s="50" t="s">
        <v>4920</v>
      </c>
      <c r="B2244" s="52" t="s">
        <v>4919</v>
      </c>
    </row>
    <row r="2245" spans="1:2" x14ac:dyDescent="0.35">
      <c r="A2245" s="50" t="s">
        <v>4917</v>
      </c>
      <c r="B2245" s="52" t="s">
        <v>4916</v>
      </c>
    </row>
    <row r="2246" spans="1:2" x14ac:dyDescent="0.35">
      <c r="A2246" s="50" t="s">
        <v>4915</v>
      </c>
      <c r="B2246" s="52" t="s">
        <v>4914</v>
      </c>
    </row>
    <row r="2247" spans="1:2" x14ac:dyDescent="0.35">
      <c r="A2247" s="50" t="s">
        <v>4912</v>
      </c>
      <c r="B2247" s="52" t="s">
        <v>4911</v>
      </c>
    </row>
    <row r="2248" spans="1:2" x14ac:dyDescent="0.35">
      <c r="A2248" s="50" t="s">
        <v>4906</v>
      </c>
      <c r="B2248" s="52" t="s">
        <v>4905</v>
      </c>
    </row>
    <row r="2249" spans="1:2" x14ac:dyDescent="0.35">
      <c r="A2249" s="50" t="s">
        <v>4904</v>
      </c>
      <c r="B2249" s="52" t="s">
        <v>4903</v>
      </c>
    </row>
    <row r="2250" spans="1:2" x14ac:dyDescent="0.35">
      <c r="A2250" s="50" t="s">
        <v>4897</v>
      </c>
      <c r="B2250" s="52" t="s">
        <v>4896</v>
      </c>
    </row>
    <row r="2251" spans="1:2" x14ac:dyDescent="0.35">
      <c r="A2251" s="50" t="s">
        <v>4895</v>
      </c>
      <c r="B2251" s="52" t="s">
        <v>4894</v>
      </c>
    </row>
    <row r="2252" spans="1:2" x14ac:dyDescent="0.35">
      <c r="A2252" s="50" t="s">
        <v>4892</v>
      </c>
      <c r="B2252" s="52" t="s">
        <v>4891</v>
      </c>
    </row>
    <row r="2253" spans="1:2" x14ac:dyDescent="0.35">
      <c r="B2253" s="52" t="s">
        <v>4890</v>
      </c>
    </row>
    <row r="2254" spans="1:2" x14ac:dyDescent="0.35">
      <c r="A2254" s="50" t="s">
        <v>4887</v>
      </c>
      <c r="B2254" s="52" t="s">
        <v>4886</v>
      </c>
    </row>
    <row r="2255" spans="1:2" x14ac:dyDescent="0.35">
      <c r="A2255" s="50" t="s">
        <v>4885</v>
      </c>
      <c r="B2255" s="52" t="s">
        <v>4884</v>
      </c>
    </row>
    <row r="2256" spans="1:2" x14ac:dyDescent="0.35">
      <c r="A2256" s="50" t="s">
        <v>4883</v>
      </c>
      <c r="B2256" s="52" t="s">
        <v>4882</v>
      </c>
    </row>
    <row r="2257" spans="1:2" x14ac:dyDescent="0.35">
      <c r="A2257" s="50" t="s">
        <v>4881</v>
      </c>
      <c r="B2257" s="52" t="s">
        <v>4880</v>
      </c>
    </row>
    <row r="2258" spans="1:2" x14ac:dyDescent="0.35">
      <c r="A2258" s="50" t="s">
        <v>4879</v>
      </c>
      <c r="B2258" s="52" t="s">
        <v>4878</v>
      </c>
    </row>
    <row r="2259" spans="1:2" x14ac:dyDescent="0.35">
      <c r="B2259" s="52" t="s">
        <v>4877</v>
      </c>
    </row>
    <row r="2260" spans="1:2" x14ac:dyDescent="0.35">
      <c r="A2260" s="50" t="s">
        <v>4876</v>
      </c>
      <c r="B2260" s="52" t="s">
        <v>4875</v>
      </c>
    </row>
    <row r="2261" spans="1:2" x14ac:dyDescent="0.35">
      <c r="A2261" s="50" t="s">
        <v>4872</v>
      </c>
      <c r="B2261" s="52" t="s">
        <v>4871</v>
      </c>
    </row>
    <row r="2262" spans="1:2" x14ac:dyDescent="0.35">
      <c r="A2262" s="50" t="s">
        <v>4869</v>
      </c>
      <c r="B2262" s="52" t="s">
        <v>4868</v>
      </c>
    </row>
    <row r="2263" spans="1:2" x14ac:dyDescent="0.35">
      <c r="B2263" s="52" t="s">
        <v>4867</v>
      </c>
    </row>
    <row r="2264" spans="1:2" x14ac:dyDescent="0.35">
      <c r="A2264" s="50" t="s">
        <v>4858</v>
      </c>
      <c r="B2264" s="52" t="s">
        <v>4857</v>
      </c>
    </row>
    <row r="2265" spans="1:2" x14ac:dyDescent="0.35">
      <c r="A2265" s="50" t="s">
        <v>4856</v>
      </c>
      <c r="B2265" s="52" t="s">
        <v>4855</v>
      </c>
    </row>
    <row r="2266" spans="1:2" x14ac:dyDescent="0.35">
      <c r="A2266" s="50" t="s">
        <v>4852</v>
      </c>
      <c r="B2266" s="52" t="s">
        <v>4851</v>
      </c>
    </row>
    <row r="2267" spans="1:2" x14ac:dyDescent="0.35">
      <c r="B2267" s="52" t="s">
        <v>4850</v>
      </c>
    </row>
    <row r="2268" spans="1:2" x14ac:dyDescent="0.35">
      <c r="B2268" s="52" t="s">
        <v>4849</v>
      </c>
    </row>
    <row r="2269" spans="1:2" x14ac:dyDescent="0.35">
      <c r="B2269" s="52" t="s">
        <v>4848</v>
      </c>
    </row>
    <row r="2270" spans="1:2" x14ac:dyDescent="0.35">
      <c r="A2270" s="50" t="s">
        <v>4847</v>
      </c>
      <c r="B2270" s="52" t="s">
        <v>4846</v>
      </c>
    </row>
    <row r="2271" spans="1:2" x14ac:dyDescent="0.35">
      <c r="A2271" s="50" t="s">
        <v>4844</v>
      </c>
      <c r="B2271" s="52" t="s">
        <v>4843</v>
      </c>
    </row>
    <row r="2272" spans="1:2" x14ac:dyDescent="0.35">
      <c r="A2272" s="50" t="s">
        <v>4837</v>
      </c>
      <c r="B2272" s="52" t="s">
        <v>4836</v>
      </c>
    </row>
    <row r="2273" spans="1:2" x14ac:dyDescent="0.35">
      <c r="A2273" s="50" t="s">
        <v>4834</v>
      </c>
      <c r="B2273" s="52" t="s">
        <v>4833</v>
      </c>
    </row>
    <row r="2274" spans="1:2" x14ac:dyDescent="0.35">
      <c r="A2274" s="50" t="s">
        <v>4832</v>
      </c>
      <c r="B2274" s="52" t="s">
        <v>4831</v>
      </c>
    </row>
    <row r="2275" spans="1:2" x14ac:dyDescent="0.35">
      <c r="A2275" s="50" t="s">
        <v>4830</v>
      </c>
      <c r="B2275" s="52" t="s">
        <v>4829</v>
      </c>
    </row>
    <row r="2276" spans="1:2" x14ac:dyDescent="0.35">
      <c r="A2276" s="50" t="s">
        <v>4827</v>
      </c>
      <c r="B2276" s="52" t="s">
        <v>4826</v>
      </c>
    </row>
    <row r="2277" spans="1:2" x14ac:dyDescent="0.35">
      <c r="A2277" s="50" t="s">
        <v>4825</v>
      </c>
      <c r="B2277" s="52" t="s">
        <v>4824</v>
      </c>
    </row>
    <row r="2278" spans="1:2" x14ac:dyDescent="0.35">
      <c r="A2278" s="50" t="s">
        <v>4823</v>
      </c>
      <c r="B2278" s="52" t="s">
        <v>4822</v>
      </c>
    </row>
    <row r="2279" spans="1:2" x14ac:dyDescent="0.35">
      <c r="A2279" s="50" t="s">
        <v>4821</v>
      </c>
      <c r="B2279" s="52" t="s">
        <v>4820</v>
      </c>
    </row>
    <row r="2280" spans="1:2" x14ac:dyDescent="0.35">
      <c r="A2280" s="50" t="s">
        <v>4819</v>
      </c>
      <c r="B2280" s="52" t="s">
        <v>4818</v>
      </c>
    </row>
    <row r="2281" spans="1:2" x14ac:dyDescent="0.35">
      <c r="A2281" s="50" t="s">
        <v>4815</v>
      </c>
      <c r="B2281" s="52" t="s">
        <v>4814</v>
      </c>
    </row>
    <row r="2282" spans="1:2" x14ac:dyDescent="0.35">
      <c r="A2282" s="50" t="s">
        <v>4813</v>
      </c>
      <c r="B2282" s="52" t="s">
        <v>4812</v>
      </c>
    </row>
    <row r="2283" spans="1:2" x14ac:dyDescent="0.35">
      <c r="A2283" s="50" t="s">
        <v>4809</v>
      </c>
      <c r="B2283" s="52" t="s">
        <v>4808</v>
      </c>
    </row>
    <row r="2284" spans="1:2" x14ac:dyDescent="0.35">
      <c r="A2284" s="50" t="s">
        <v>4807</v>
      </c>
      <c r="B2284" s="52" t="s">
        <v>4806</v>
      </c>
    </row>
    <row r="2285" spans="1:2" x14ac:dyDescent="0.35">
      <c r="A2285" s="50" t="s">
        <v>4803</v>
      </c>
      <c r="B2285" s="52" t="s">
        <v>4802</v>
      </c>
    </row>
    <row r="2286" spans="1:2" x14ac:dyDescent="0.35">
      <c r="A2286" s="50" t="s">
        <v>4790</v>
      </c>
      <c r="B2286" s="52" t="s">
        <v>4789</v>
      </c>
    </row>
    <row r="2287" spans="1:2" x14ac:dyDescent="0.35">
      <c r="A2287" s="50" t="s">
        <v>4782</v>
      </c>
      <c r="B2287" s="52" t="s">
        <v>4781</v>
      </c>
    </row>
    <row r="2288" spans="1:2" x14ac:dyDescent="0.35">
      <c r="A2288" s="50" t="s">
        <v>4779</v>
      </c>
      <c r="B2288" s="52" t="s">
        <v>4778</v>
      </c>
    </row>
    <row r="2289" spans="1:2" x14ac:dyDescent="0.35">
      <c r="A2289" s="50" t="s">
        <v>4771</v>
      </c>
      <c r="B2289" s="52" t="s">
        <v>4770</v>
      </c>
    </row>
    <row r="2290" spans="1:2" x14ac:dyDescent="0.35">
      <c r="A2290" s="50" t="s">
        <v>4766</v>
      </c>
      <c r="B2290" s="52" t="s">
        <v>4765</v>
      </c>
    </row>
    <row r="2291" spans="1:2" x14ac:dyDescent="0.35">
      <c r="A2291" s="50" t="s">
        <v>4764</v>
      </c>
      <c r="B2291" s="52" t="s">
        <v>4763</v>
      </c>
    </row>
    <row r="2292" spans="1:2" x14ac:dyDescent="0.35">
      <c r="A2292" s="50" t="s">
        <v>4762</v>
      </c>
      <c r="B2292" s="52" t="s">
        <v>4761</v>
      </c>
    </row>
    <row r="2293" spans="1:2" x14ac:dyDescent="0.35">
      <c r="A2293" s="50" t="s">
        <v>4760</v>
      </c>
      <c r="B2293" s="52" t="s">
        <v>4759</v>
      </c>
    </row>
    <row r="2294" spans="1:2" x14ac:dyDescent="0.35">
      <c r="A2294" s="50" t="s">
        <v>4758</v>
      </c>
      <c r="B2294" s="52" t="s">
        <v>4757</v>
      </c>
    </row>
    <row r="2295" spans="1:2" x14ac:dyDescent="0.35">
      <c r="A2295" s="50" t="s">
        <v>4756</v>
      </c>
      <c r="B2295" s="52" t="s">
        <v>4755</v>
      </c>
    </row>
    <row r="2296" spans="1:2" x14ac:dyDescent="0.35">
      <c r="A2296" s="50" t="s">
        <v>4754</v>
      </c>
      <c r="B2296" s="52" t="s">
        <v>4753</v>
      </c>
    </row>
    <row r="2297" spans="1:2" x14ac:dyDescent="0.35">
      <c r="A2297" s="50" t="s">
        <v>4752</v>
      </c>
      <c r="B2297" s="52" t="s">
        <v>4751</v>
      </c>
    </row>
    <row r="2298" spans="1:2" x14ac:dyDescent="0.35">
      <c r="A2298" s="50" t="s">
        <v>4750</v>
      </c>
      <c r="B2298" s="52" t="s">
        <v>4749</v>
      </c>
    </row>
    <row r="2299" spans="1:2" x14ac:dyDescent="0.35">
      <c r="B2299" s="52" t="s">
        <v>4748</v>
      </c>
    </row>
    <row r="2300" spans="1:2" x14ac:dyDescent="0.35">
      <c r="B2300" s="52" t="s">
        <v>4747</v>
      </c>
    </row>
    <row r="2301" spans="1:2" x14ac:dyDescent="0.35">
      <c r="B2301" s="52" t="s">
        <v>4746</v>
      </c>
    </row>
    <row r="2302" spans="1:2" x14ac:dyDescent="0.35">
      <c r="A2302" s="50" t="s">
        <v>4745</v>
      </c>
      <c r="B2302" s="52" t="s">
        <v>4744</v>
      </c>
    </row>
    <row r="2303" spans="1:2" x14ac:dyDescent="0.35">
      <c r="B2303" s="52" t="s">
        <v>4743</v>
      </c>
    </row>
    <row r="2304" spans="1:2" x14ac:dyDescent="0.35">
      <c r="A2304" s="50" t="s">
        <v>4742</v>
      </c>
      <c r="B2304" s="52" t="s">
        <v>4741</v>
      </c>
    </row>
    <row r="2305" spans="1:2" x14ac:dyDescent="0.35">
      <c r="A2305" s="50" t="s">
        <v>4739</v>
      </c>
      <c r="B2305" s="52" t="s">
        <v>4738</v>
      </c>
    </row>
    <row r="2306" spans="1:2" x14ac:dyDescent="0.35">
      <c r="A2306" s="50" t="s">
        <v>4736</v>
      </c>
      <c r="B2306" s="52" t="s">
        <v>4735</v>
      </c>
    </row>
    <row r="2307" spans="1:2" x14ac:dyDescent="0.35">
      <c r="A2307" s="50" t="s">
        <v>4733</v>
      </c>
      <c r="B2307" s="52" t="s">
        <v>4732</v>
      </c>
    </row>
    <row r="2308" spans="1:2" x14ac:dyDescent="0.35">
      <c r="A2308" s="50" t="s">
        <v>4730</v>
      </c>
      <c r="B2308" s="52" t="s">
        <v>4729</v>
      </c>
    </row>
    <row r="2309" spans="1:2" x14ac:dyDescent="0.35">
      <c r="A2309" s="50" t="s">
        <v>4724</v>
      </c>
      <c r="B2309" s="52" t="s">
        <v>4723</v>
      </c>
    </row>
    <row r="2310" spans="1:2" x14ac:dyDescent="0.35">
      <c r="A2310" s="50" t="s">
        <v>4721</v>
      </c>
      <c r="B2310" s="52" t="s">
        <v>4720</v>
      </c>
    </row>
    <row r="2311" spans="1:2" x14ac:dyDescent="0.35">
      <c r="A2311" s="50" t="s">
        <v>4719</v>
      </c>
      <c r="B2311" s="52" t="s">
        <v>4718</v>
      </c>
    </row>
    <row r="2312" spans="1:2" x14ac:dyDescent="0.35">
      <c r="A2312" s="50" t="s">
        <v>4717</v>
      </c>
      <c r="B2312" s="52" t="s">
        <v>4716</v>
      </c>
    </row>
    <row r="2313" spans="1:2" x14ac:dyDescent="0.35">
      <c r="A2313" s="50" t="s">
        <v>4715</v>
      </c>
      <c r="B2313" s="52" t="s">
        <v>4714</v>
      </c>
    </row>
    <row r="2314" spans="1:2" x14ac:dyDescent="0.35">
      <c r="A2314" s="50" t="s">
        <v>4713</v>
      </c>
      <c r="B2314" s="52" t="s">
        <v>4712</v>
      </c>
    </row>
    <row r="2315" spans="1:2" x14ac:dyDescent="0.35">
      <c r="A2315" s="50" t="s">
        <v>4711</v>
      </c>
      <c r="B2315" s="52" t="s">
        <v>4710</v>
      </c>
    </row>
    <row r="2316" spans="1:2" x14ac:dyDescent="0.35">
      <c r="B2316" s="52" t="s">
        <v>4709</v>
      </c>
    </row>
    <row r="2317" spans="1:2" x14ac:dyDescent="0.35">
      <c r="A2317" s="50" t="s">
        <v>4704</v>
      </c>
      <c r="B2317" s="52" t="s">
        <v>4703</v>
      </c>
    </row>
    <row r="2318" spans="1:2" x14ac:dyDescent="0.35">
      <c r="A2318" s="50" t="s">
        <v>4698</v>
      </c>
      <c r="B2318" s="52" t="s">
        <v>4697</v>
      </c>
    </row>
    <row r="2319" spans="1:2" x14ac:dyDescent="0.35">
      <c r="A2319" s="50" t="s">
        <v>4696</v>
      </c>
      <c r="B2319" s="52" t="s">
        <v>4695</v>
      </c>
    </row>
    <row r="2320" spans="1:2" x14ac:dyDescent="0.35">
      <c r="A2320" s="50" t="s">
        <v>4694</v>
      </c>
      <c r="B2320" s="52" t="s">
        <v>4693</v>
      </c>
    </row>
    <row r="2321" spans="1:2" x14ac:dyDescent="0.35">
      <c r="A2321" s="50" t="s">
        <v>4691</v>
      </c>
      <c r="B2321" s="52" t="s">
        <v>4690</v>
      </c>
    </row>
    <row r="2322" spans="1:2" x14ac:dyDescent="0.35">
      <c r="A2322" s="50" t="s">
        <v>4685</v>
      </c>
      <c r="B2322" s="52" t="s">
        <v>4684</v>
      </c>
    </row>
    <row r="2323" spans="1:2" x14ac:dyDescent="0.35">
      <c r="A2323" s="50" t="s">
        <v>4677</v>
      </c>
      <c r="B2323" s="52" t="s">
        <v>4676</v>
      </c>
    </row>
    <row r="2324" spans="1:2" x14ac:dyDescent="0.35">
      <c r="A2324" s="50" t="s">
        <v>4675</v>
      </c>
      <c r="B2324" s="52" t="s">
        <v>4674</v>
      </c>
    </row>
    <row r="2325" spans="1:2" x14ac:dyDescent="0.35">
      <c r="A2325" s="50" t="s">
        <v>4672</v>
      </c>
      <c r="B2325" s="52" t="s">
        <v>4671</v>
      </c>
    </row>
    <row r="2326" spans="1:2" x14ac:dyDescent="0.35">
      <c r="A2326" s="50" t="s">
        <v>4670</v>
      </c>
      <c r="B2326" s="52" t="s">
        <v>4669</v>
      </c>
    </row>
    <row r="2327" spans="1:2" x14ac:dyDescent="0.35">
      <c r="A2327" s="50" t="s">
        <v>4668</v>
      </c>
      <c r="B2327" s="52" t="s">
        <v>4667</v>
      </c>
    </row>
    <row r="2328" spans="1:2" x14ac:dyDescent="0.35">
      <c r="A2328" s="50" t="s">
        <v>4663</v>
      </c>
      <c r="B2328" s="52" t="s">
        <v>4662</v>
      </c>
    </row>
    <row r="2329" spans="1:2" x14ac:dyDescent="0.35">
      <c r="A2329" s="50" t="s">
        <v>4660</v>
      </c>
      <c r="B2329" s="52" t="s">
        <v>4659</v>
      </c>
    </row>
    <row r="2330" spans="1:2" x14ac:dyDescent="0.35">
      <c r="A2330" s="50" t="s">
        <v>4657</v>
      </c>
      <c r="B2330" s="52" t="s">
        <v>4656</v>
      </c>
    </row>
    <row r="2331" spans="1:2" x14ac:dyDescent="0.35">
      <c r="A2331" s="50" t="s">
        <v>4648</v>
      </c>
      <c r="B2331" s="52" t="s">
        <v>4647</v>
      </c>
    </row>
    <row r="2332" spans="1:2" x14ac:dyDescent="0.35">
      <c r="A2332" s="50" t="s">
        <v>4642</v>
      </c>
      <c r="B2332" s="52" t="s">
        <v>4641</v>
      </c>
    </row>
    <row r="2333" spans="1:2" x14ac:dyDescent="0.35">
      <c r="A2333" s="50" t="s">
        <v>4640</v>
      </c>
      <c r="B2333" s="52" t="s">
        <v>4639</v>
      </c>
    </row>
    <row r="2334" spans="1:2" x14ac:dyDescent="0.35">
      <c r="A2334" s="50" t="s">
        <v>4632</v>
      </c>
      <c r="B2334" s="52" t="s">
        <v>4631</v>
      </c>
    </row>
    <row r="2335" spans="1:2" x14ac:dyDescent="0.35">
      <c r="A2335" s="50" t="s">
        <v>4630</v>
      </c>
      <c r="B2335" s="52" t="s">
        <v>4629</v>
      </c>
    </row>
    <row r="2336" spans="1:2" x14ac:dyDescent="0.35">
      <c r="A2336" s="50" t="s">
        <v>4628</v>
      </c>
      <c r="B2336" s="52" t="s">
        <v>4627</v>
      </c>
    </row>
    <row r="2337" spans="1:2" x14ac:dyDescent="0.35">
      <c r="A2337" s="50" t="s">
        <v>4625</v>
      </c>
      <c r="B2337" s="52" t="s">
        <v>4624</v>
      </c>
    </row>
    <row r="2338" spans="1:2" x14ac:dyDescent="0.35">
      <c r="A2338" s="50" t="s">
        <v>4623</v>
      </c>
      <c r="B2338" s="52" t="s">
        <v>4622</v>
      </c>
    </row>
    <row r="2339" spans="1:2" x14ac:dyDescent="0.35">
      <c r="B2339" s="52" t="s">
        <v>4621</v>
      </c>
    </row>
    <row r="2340" spans="1:2" x14ac:dyDescent="0.35">
      <c r="A2340" s="50" t="s">
        <v>4620</v>
      </c>
      <c r="B2340" s="52" t="s">
        <v>4619</v>
      </c>
    </row>
    <row r="2341" spans="1:2" x14ac:dyDescent="0.35">
      <c r="A2341" s="50" t="s">
        <v>4618</v>
      </c>
      <c r="B2341" s="52" t="s">
        <v>4617</v>
      </c>
    </row>
    <row r="2342" spans="1:2" x14ac:dyDescent="0.35">
      <c r="A2342" s="50" t="s">
        <v>4607</v>
      </c>
      <c r="B2342" s="52" t="s">
        <v>4606</v>
      </c>
    </row>
    <row r="2343" spans="1:2" x14ac:dyDescent="0.35">
      <c r="A2343" s="50" t="s">
        <v>4605</v>
      </c>
      <c r="B2343" s="52" t="s">
        <v>4604</v>
      </c>
    </row>
    <row r="2344" spans="1:2" x14ac:dyDescent="0.35">
      <c r="A2344" s="50" t="s">
        <v>4597</v>
      </c>
      <c r="B2344" s="52" t="s">
        <v>4596</v>
      </c>
    </row>
    <row r="2345" spans="1:2" x14ac:dyDescent="0.35">
      <c r="A2345" s="50" t="s">
        <v>4594</v>
      </c>
      <c r="B2345" s="52" t="s">
        <v>4593</v>
      </c>
    </row>
    <row r="2346" spans="1:2" x14ac:dyDescent="0.35">
      <c r="A2346" s="50" t="s">
        <v>4592</v>
      </c>
      <c r="B2346" s="52" t="s">
        <v>4591</v>
      </c>
    </row>
    <row r="2347" spans="1:2" x14ac:dyDescent="0.35">
      <c r="A2347" s="50" t="s">
        <v>4590</v>
      </c>
      <c r="B2347" s="52" t="s">
        <v>4589</v>
      </c>
    </row>
    <row r="2348" spans="1:2" x14ac:dyDescent="0.35">
      <c r="A2348" s="50" t="s">
        <v>4588</v>
      </c>
      <c r="B2348" s="52" t="s">
        <v>4587</v>
      </c>
    </row>
    <row r="2349" spans="1:2" x14ac:dyDescent="0.35">
      <c r="A2349" s="50" t="s">
        <v>4586</v>
      </c>
      <c r="B2349" s="52" t="s">
        <v>4585</v>
      </c>
    </row>
    <row r="2350" spans="1:2" x14ac:dyDescent="0.35">
      <c r="A2350" s="50" t="s">
        <v>4579</v>
      </c>
      <c r="B2350" s="52" t="s">
        <v>4578</v>
      </c>
    </row>
    <row r="2351" spans="1:2" x14ac:dyDescent="0.35">
      <c r="A2351" s="50" t="s">
        <v>4571</v>
      </c>
      <c r="B2351" s="52" t="s">
        <v>4570</v>
      </c>
    </row>
    <row r="2352" spans="1:2" x14ac:dyDescent="0.35">
      <c r="A2352" s="50" t="s">
        <v>4569</v>
      </c>
      <c r="B2352" s="52" t="s">
        <v>4568</v>
      </c>
    </row>
    <row r="2353" spans="1:2" x14ac:dyDescent="0.35">
      <c r="A2353" s="50" t="s">
        <v>4563</v>
      </c>
      <c r="B2353" s="52" t="s">
        <v>4562</v>
      </c>
    </row>
    <row r="2354" spans="1:2" x14ac:dyDescent="0.35">
      <c r="A2354" s="50" t="s">
        <v>4561</v>
      </c>
      <c r="B2354" s="52" t="s">
        <v>4560</v>
      </c>
    </row>
    <row r="2355" spans="1:2" x14ac:dyDescent="0.35">
      <c r="A2355" s="50" t="s">
        <v>4556</v>
      </c>
      <c r="B2355" s="52" t="s">
        <v>4555</v>
      </c>
    </row>
    <row r="2356" spans="1:2" x14ac:dyDescent="0.35">
      <c r="A2356" s="50" t="s">
        <v>4554</v>
      </c>
      <c r="B2356" s="52" t="s">
        <v>4553</v>
      </c>
    </row>
    <row r="2357" spans="1:2" x14ac:dyDescent="0.35">
      <c r="B2357" s="52" t="s">
        <v>4552</v>
      </c>
    </row>
    <row r="2358" spans="1:2" x14ac:dyDescent="0.35">
      <c r="A2358" s="50" t="s">
        <v>4551</v>
      </c>
      <c r="B2358" s="52" t="s">
        <v>4550</v>
      </c>
    </row>
    <row r="2359" spans="1:2" x14ac:dyDescent="0.35">
      <c r="A2359" s="50" t="s">
        <v>4548</v>
      </c>
      <c r="B2359" s="52" t="s">
        <v>4547</v>
      </c>
    </row>
    <row r="2360" spans="1:2" x14ac:dyDescent="0.35">
      <c r="A2360" s="50" t="s">
        <v>4546</v>
      </c>
      <c r="B2360" s="52" t="s">
        <v>4545</v>
      </c>
    </row>
    <row r="2361" spans="1:2" x14ac:dyDescent="0.35">
      <c r="A2361" s="50" t="s">
        <v>4544</v>
      </c>
      <c r="B2361" s="52" t="s">
        <v>4543</v>
      </c>
    </row>
    <row r="2362" spans="1:2" x14ac:dyDescent="0.35">
      <c r="A2362" s="50" t="s">
        <v>4539</v>
      </c>
      <c r="B2362" s="52" t="s">
        <v>4538</v>
      </c>
    </row>
    <row r="2363" spans="1:2" x14ac:dyDescent="0.35">
      <c r="A2363" s="50" t="s">
        <v>4533</v>
      </c>
      <c r="B2363" s="52" t="s">
        <v>4532</v>
      </c>
    </row>
    <row r="2364" spans="1:2" x14ac:dyDescent="0.35">
      <c r="A2364" s="50" t="s">
        <v>4531</v>
      </c>
      <c r="B2364" s="52" t="s">
        <v>4530</v>
      </c>
    </row>
    <row r="2365" spans="1:2" x14ac:dyDescent="0.35">
      <c r="A2365" s="50" t="s">
        <v>4529</v>
      </c>
      <c r="B2365" s="52" t="s">
        <v>4528</v>
      </c>
    </row>
    <row r="2366" spans="1:2" x14ac:dyDescent="0.35">
      <c r="A2366" s="50" t="s">
        <v>4524</v>
      </c>
      <c r="B2366" s="52" t="s">
        <v>4523</v>
      </c>
    </row>
    <row r="2367" spans="1:2" x14ac:dyDescent="0.35">
      <c r="A2367" s="50" t="s">
        <v>4518</v>
      </c>
      <c r="B2367" s="52" t="s">
        <v>4517</v>
      </c>
    </row>
    <row r="2368" spans="1:2" x14ac:dyDescent="0.35">
      <c r="A2368" s="50" t="s">
        <v>4516</v>
      </c>
      <c r="B2368" s="52" t="s">
        <v>4515</v>
      </c>
    </row>
    <row r="2369" spans="1:2" x14ac:dyDescent="0.35">
      <c r="A2369" s="50" t="s">
        <v>4509</v>
      </c>
      <c r="B2369" s="52" t="s">
        <v>4508</v>
      </c>
    </row>
    <row r="2370" spans="1:2" x14ac:dyDescent="0.35">
      <c r="A2370" s="50" t="s">
        <v>4503</v>
      </c>
      <c r="B2370" s="52" t="s">
        <v>4502</v>
      </c>
    </row>
    <row r="2371" spans="1:2" x14ac:dyDescent="0.35">
      <c r="A2371" s="50" t="s">
        <v>4499</v>
      </c>
      <c r="B2371" s="52" t="s">
        <v>4498</v>
      </c>
    </row>
    <row r="2372" spans="1:2" x14ac:dyDescent="0.35">
      <c r="A2372" s="50" t="s">
        <v>4496</v>
      </c>
      <c r="B2372" s="52" t="s">
        <v>4495</v>
      </c>
    </row>
    <row r="2373" spans="1:2" x14ac:dyDescent="0.35">
      <c r="A2373" s="50" t="s">
        <v>4493</v>
      </c>
      <c r="B2373" s="52" t="s">
        <v>4492</v>
      </c>
    </row>
    <row r="2374" spans="1:2" x14ac:dyDescent="0.35">
      <c r="A2374" s="50" t="s">
        <v>4491</v>
      </c>
      <c r="B2374" s="52" t="s">
        <v>4490</v>
      </c>
    </row>
    <row r="2375" spans="1:2" x14ac:dyDescent="0.35">
      <c r="A2375" s="50" t="s">
        <v>4489</v>
      </c>
      <c r="B2375" s="52" t="s">
        <v>4488</v>
      </c>
    </row>
    <row r="2376" spans="1:2" x14ac:dyDescent="0.35">
      <c r="A2376" s="50" t="s">
        <v>4487</v>
      </c>
      <c r="B2376" s="52" t="s">
        <v>4486</v>
      </c>
    </row>
    <row r="2377" spans="1:2" x14ac:dyDescent="0.35">
      <c r="A2377" s="50" t="s">
        <v>4485</v>
      </c>
      <c r="B2377" s="52" t="s">
        <v>4484</v>
      </c>
    </row>
    <row r="2378" spans="1:2" x14ac:dyDescent="0.35">
      <c r="A2378" s="50" t="s">
        <v>4480</v>
      </c>
      <c r="B2378" s="52" t="s">
        <v>4479</v>
      </c>
    </row>
    <row r="2379" spans="1:2" x14ac:dyDescent="0.35">
      <c r="A2379" s="50" t="s">
        <v>4472</v>
      </c>
      <c r="B2379" s="52" t="s">
        <v>4471</v>
      </c>
    </row>
    <row r="2380" spans="1:2" x14ac:dyDescent="0.35">
      <c r="A2380" s="50" t="s">
        <v>4470</v>
      </c>
      <c r="B2380" s="52" t="s">
        <v>4469</v>
      </c>
    </row>
    <row r="2381" spans="1:2" x14ac:dyDescent="0.35">
      <c r="B2381" s="52" t="s">
        <v>4468</v>
      </c>
    </row>
    <row r="2382" spans="1:2" x14ac:dyDescent="0.35">
      <c r="B2382" s="52" t="s">
        <v>4467</v>
      </c>
    </row>
    <row r="2383" spans="1:2" x14ac:dyDescent="0.35">
      <c r="B2383" s="52" t="s">
        <v>4466</v>
      </c>
    </row>
    <row r="2384" spans="1:2" x14ac:dyDescent="0.35">
      <c r="A2384" s="50" t="s">
        <v>4465</v>
      </c>
      <c r="B2384" s="52" t="s">
        <v>4464</v>
      </c>
    </row>
    <row r="2385" spans="1:2" x14ac:dyDescent="0.35">
      <c r="A2385" s="50" t="s">
        <v>4461</v>
      </c>
      <c r="B2385" s="52" t="s">
        <v>4460</v>
      </c>
    </row>
    <row r="2386" spans="1:2" x14ac:dyDescent="0.35">
      <c r="A2386" s="50" t="s">
        <v>4459</v>
      </c>
      <c r="B2386" s="52" t="s">
        <v>4458</v>
      </c>
    </row>
    <row r="2387" spans="1:2" x14ac:dyDescent="0.35">
      <c r="B2387" s="52" t="s">
        <v>4455</v>
      </c>
    </row>
    <row r="2388" spans="1:2" x14ac:dyDescent="0.35">
      <c r="A2388" s="50" t="s">
        <v>4454</v>
      </c>
      <c r="B2388" s="52" t="s">
        <v>4453</v>
      </c>
    </row>
    <row r="2389" spans="1:2" x14ac:dyDescent="0.35">
      <c r="A2389" s="50" t="s">
        <v>4446</v>
      </c>
      <c r="B2389" s="52" t="s">
        <v>4445</v>
      </c>
    </row>
    <row r="2390" spans="1:2" x14ac:dyDescent="0.35">
      <c r="A2390" s="50" t="s">
        <v>4443</v>
      </c>
      <c r="B2390" s="52" t="s">
        <v>4442</v>
      </c>
    </row>
    <row r="2391" spans="1:2" x14ac:dyDescent="0.35">
      <c r="A2391" s="50" t="s">
        <v>4441</v>
      </c>
      <c r="B2391" s="52" t="s">
        <v>4440</v>
      </c>
    </row>
    <row r="2392" spans="1:2" x14ac:dyDescent="0.35">
      <c r="A2392" s="50" t="s">
        <v>4439</v>
      </c>
      <c r="B2392" s="52" t="s">
        <v>4438</v>
      </c>
    </row>
    <row r="2393" spans="1:2" x14ac:dyDescent="0.35">
      <c r="A2393" s="50" t="s">
        <v>4435</v>
      </c>
      <c r="B2393" s="52" t="s">
        <v>4434</v>
      </c>
    </row>
    <row r="2394" spans="1:2" x14ac:dyDescent="0.35">
      <c r="A2394" s="50" t="s">
        <v>4432</v>
      </c>
      <c r="B2394" s="52" t="s">
        <v>4431</v>
      </c>
    </row>
    <row r="2395" spans="1:2" x14ac:dyDescent="0.35">
      <c r="A2395" s="50" t="s">
        <v>4430</v>
      </c>
      <c r="B2395" s="52" t="s">
        <v>4429</v>
      </c>
    </row>
    <row r="2396" spans="1:2" x14ac:dyDescent="0.35">
      <c r="A2396" s="50" t="s">
        <v>4428</v>
      </c>
      <c r="B2396" s="52" t="s">
        <v>4427</v>
      </c>
    </row>
    <row r="2397" spans="1:2" x14ac:dyDescent="0.35">
      <c r="A2397" s="50" t="s">
        <v>4426</v>
      </c>
      <c r="B2397" s="52" t="s">
        <v>4425</v>
      </c>
    </row>
    <row r="2398" spans="1:2" x14ac:dyDescent="0.35">
      <c r="A2398" s="50" t="s">
        <v>4424</v>
      </c>
      <c r="B2398" s="52" t="s">
        <v>4423</v>
      </c>
    </row>
    <row r="2399" spans="1:2" x14ac:dyDescent="0.35">
      <c r="A2399" s="50" t="s">
        <v>4422</v>
      </c>
      <c r="B2399" s="52" t="s">
        <v>4421</v>
      </c>
    </row>
    <row r="2400" spans="1:2" x14ac:dyDescent="0.35">
      <c r="A2400" s="50" t="s">
        <v>4419</v>
      </c>
      <c r="B2400" s="52" t="s">
        <v>4418</v>
      </c>
    </row>
    <row r="2401" spans="1:2" x14ac:dyDescent="0.35">
      <c r="A2401" s="50" t="s">
        <v>4417</v>
      </c>
      <c r="B2401" s="52" t="s">
        <v>4416</v>
      </c>
    </row>
    <row r="2402" spans="1:2" x14ac:dyDescent="0.35">
      <c r="A2402" s="50" t="s">
        <v>4415</v>
      </c>
      <c r="B2402" s="52" t="s">
        <v>4414</v>
      </c>
    </row>
    <row r="2403" spans="1:2" x14ac:dyDescent="0.35">
      <c r="A2403" s="50" t="s">
        <v>4412</v>
      </c>
      <c r="B2403" s="52" t="s">
        <v>4411</v>
      </c>
    </row>
    <row r="2404" spans="1:2" x14ac:dyDescent="0.35">
      <c r="A2404" s="50" t="s">
        <v>4410</v>
      </c>
      <c r="B2404" s="52" t="s">
        <v>4409</v>
      </c>
    </row>
    <row r="2405" spans="1:2" x14ac:dyDescent="0.35">
      <c r="B2405" s="52" t="s">
        <v>4408</v>
      </c>
    </row>
    <row r="2406" spans="1:2" x14ac:dyDescent="0.35">
      <c r="B2406" s="52" t="s">
        <v>4407</v>
      </c>
    </row>
    <row r="2407" spans="1:2" x14ac:dyDescent="0.35">
      <c r="B2407" s="52" t="s">
        <v>4406</v>
      </c>
    </row>
    <row r="2408" spans="1:2" x14ac:dyDescent="0.35">
      <c r="A2408" s="50" t="s">
        <v>4396</v>
      </c>
      <c r="B2408" s="52" t="s">
        <v>4395</v>
      </c>
    </row>
    <row r="2409" spans="1:2" x14ac:dyDescent="0.35">
      <c r="A2409" s="50" t="s">
        <v>4394</v>
      </c>
      <c r="B2409" s="52" t="s">
        <v>4393</v>
      </c>
    </row>
    <row r="2410" spans="1:2" x14ac:dyDescent="0.35">
      <c r="A2410" s="50" t="s">
        <v>4392</v>
      </c>
      <c r="B2410" s="52" t="s">
        <v>4391</v>
      </c>
    </row>
    <row r="2411" spans="1:2" x14ac:dyDescent="0.35">
      <c r="A2411" s="50" t="s">
        <v>4389</v>
      </c>
      <c r="B2411" s="52" t="s">
        <v>4388</v>
      </c>
    </row>
    <row r="2412" spans="1:2" x14ac:dyDescent="0.35">
      <c r="A2412" s="50" t="s">
        <v>4383</v>
      </c>
      <c r="B2412" s="52" t="s">
        <v>4382</v>
      </c>
    </row>
    <row r="2413" spans="1:2" x14ac:dyDescent="0.35">
      <c r="A2413" s="50" t="s">
        <v>4381</v>
      </c>
      <c r="B2413" s="52" t="s">
        <v>4380</v>
      </c>
    </row>
    <row r="2414" spans="1:2" x14ac:dyDescent="0.35">
      <c r="A2414" s="50" t="s">
        <v>4377</v>
      </c>
      <c r="B2414" s="52" t="s">
        <v>4376</v>
      </c>
    </row>
    <row r="2415" spans="1:2" x14ac:dyDescent="0.35">
      <c r="A2415" s="50" t="s">
        <v>4370</v>
      </c>
      <c r="B2415" s="52" t="s">
        <v>4369</v>
      </c>
    </row>
    <row r="2416" spans="1:2" x14ac:dyDescent="0.35">
      <c r="A2416" s="50" t="s">
        <v>4368</v>
      </c>
      <c r="B2416" s="52" t="s">
        <v>4367</v>
      </c>
    </row>
    <row r="2417" spans="1:2" x14ac:dyDescent="0.35">
      <c r="A2417" s="50" t="s">
        <v>4366</v>
      </c>
      <c r="B2417" s="52" t="s">
        <v>4365</v>
      </c>
    </row>
    <row r="2418" spans="1:2" x14ac:dyDescent="0.35">
      <c r="A2418" s="50" t="s">
        <v>4364</v>
      </c>
      <c r="B2418" s="52" t="s">
        <v>4363</v>
      </c>
    </row>
    <row r="2419" spans="1:2" x14ac:dyDescent="0.35">
      <c r="A2419" s="50" t="s">
        <v>4358</v>
      </c>
      <c r="B2419" s="52" t="s">
        <v>4357</v>
      </c>
    </row>
    <row r="2420" spans="1:2" x14ac:dyDescent="0.35">
      <c r="A2420" s="50" t="s">
        <v>4356</v>
      </c>
      <c r="B2420" s="52" t="s">
        <v>4355</v>
      </c>
    </row>
    <row r="2421" spans="1:2" x14ac:dyDescent="0.35">
      <c r="A2421" s="50" t="s">
        <v>4348</v>
      </c>
      <c r="B2421" s="52" t="s">
        <v>4347</v>
      </c>
    </row>
    <row r="2422" spans="1:2" x14ac:dyDescent="0.35">
      <c r="A2422" s="50" t="s">
        <v>4346</v>
      </c>
      <c r="B2422" s="52" t="s">
        <v>4345</v>
      </c>
    </row>
    <row r="2423" spans="1:2" x14ac:dyDescent="0.35">
      <c r="B2423" s="52" t="s">
        <v>4344</v>
      </c>
    </row>
    <row r="2424" spans="1:2" x14ac:dyDescent="0.35">
      <c r="A2424" s="50" t="s">
        <v>4343</v>
      </c>
      <c r="B2424" s="52" t="s">
        <v>4342</v>
      </c>
    </row>
    <row r="2425" spans="1:2" x14ac:dyDescent="0.35">
      <c r="A2425" s="50" t="s">
        <v>4341</v>
      </c>
      <c r="B2425" s="52" t="s">
        <v>4340</v>
      </c>
    </row>
    <row r="2426" spans="1:2" x14ac:dyDescent="0.35">
      <c r="A2426" s="50" t="s">
        <v>4339</v>
      </c>
      <c r="B2426" s="52" t="s">
        <v>4338</v>
      </c>
    </row>
    <row r="2427" spans="1:2" x14ac:dyDescent="0.35">
      <c r="A2427" s="50" t="s">
        <v>4337</v>
      </c>
      <c r="B2427" s="52" t="s">
        <v>4336</v>
      </c>
    </row>
    <row r="2428" spans="1:2" x14ac:dyDescent="0.35">
      <c r="A2428" s="50" t="s">
        <v>4333</v>
      </c>
      <c r="B2428" s="52" t="s">
        <v>4332</v>
      </c>
    </row>
    <row r="2429" spans="1:2" x14ac:dyDescent="0.35">
      <c r="A2429" s="50" t="s">
        <v>4331</v>
      </c>
      <c r="B2429" s="52" t="s">
        <v>4330</v>
      </c>
    </row>
    <row r="2430" spans="1:2" x14ac:dyDescent="0.35">
      <c r="A2430" s="50" t="s">
        <v>4328</v>
      </c>
      <c r="B2430" s="52" t="s">
        <v>4327</v>
      </c>
    </row>
    <row r="2431" spans="1:2" x14ac:dyDescent="0.35">
      <c r="B2431" s="52" t="s">
        <v>4326</v>
      </c>
    </row>
    <row r="2432" spans="1:2" x14ac:dyDescent="0.35">
      <c r="A2432" s="50" t="s">
        <v>4325</v>
      </c>
      <c r="B2432" s="52" t="s">
        <v>4324</v>
      </c>
    </row>
    <row r="2433" spans="1:7" x14ac:dyDescent="0.35">
      <c r="B2433" s="52" t="s">
        <v>4323</v>
      </c>
    </row>
    <row r="2434" spans="1:7" x14ac:dyDescent="0.35">
      <c r="A2434" s="50" t="s">
        <v>4321</v>
      </c>
      <c r="B2434" s="52" t="s">
        <v>4320</v>
      </c>
    </row>
    <row r="2435" spans="1:7" x14ac:dyDescent="0.35">
      <c r="A2435" s="50" t="s">
        <v>4313</v>
      </c>
      <c r="B2435" s="52" t="s">
        <v>4312</v>
      </c>
    </row>
    <row r="2436" spans="1:7" x14ac:dyDescent="0.35">
      <c r="A2436" s="50" t="s">
        <v>4301</v>
      </c>
      <c r="B2436" s="52" t="s">
        <v>4300</v>
      </c>
      <c r="F2436" s="57"/>
      <c r="G2436" s="8"/>
    </row>
    <row r="2437" spans="1:7" x14ac:dyDescent="0.35">
      <c r="A2437" s="50" t="s">
        <v>4296</v>
      </c>
      <c r="B2437" s="52" t="s">
        <v>4295</v>
      </c>
      <c r="F2437" s="57"/>
    </row>
    <row r="2438" spans="1:7" x14ac:dyDescent="0.35">
      <c r="A2438" s="50" t="s">
        <v>4294</v>
      </c>
      <c r="B2438" s="52" t="s">
        <v>4293</v>
      </c>
      <c r="F2438" s="57"/>
    </row>
    <row r="2439" spans="1:7" x14ac:dyDescent="0.35">
      <c r="A2439" s="50" t="s">
        <v>4291</v>
      </c>
      <c r="B2439" s="52" t="s">
        <v>4290</v>
      </c>
      <c r="F2439" s="57"/>
      <c r="G2439" s="8"/>
    </row>
    <row r="2440" spans="1:7" x14ac:dyDescent="0.35">
      <c r="A2440" s="50" t="s">
        <v>4289</v>
      </c>
      <c r="B2440" s="52" t="s">
        <v>4288</v>
      </c>
      <c r="F2440" s="57"/>
    </row>
    <row r="2441" spans="1:7" x14ac:dyDescent="0.35">
      <c r="A2441" s="50" t="s">
        <v>4286</v>
      </c>
      <c r="B2441" s="52" t="s">
        <v>4285</v>
      </c>
      <c r="F2441" s="57"/>
    </row>
    <row r="2442" spans="1:7" x14ac:dyDescent="0.35">
      <c r="A2442" s="50" t="s">
        <v>4283</v>
      </c>
      <c r="B2442" s="52" t="s">
        <v>4282</v>
      </c>
    </row>
    <row r="2443" spans="1:7" x14ac:dyDescent="0.35">
      <c r="B2443" s="52" t="s">
        <v>4281</v>
      </c>
    </row>
    <row r="2444" spans="1:7" x14ac:dyDescent="0.35">
      <c r="A2444" s="50" t="s">
        <v>4279</v>
      </c>
      <c r="B2444" s="52" t="s">
        <v>4278</v>
      </c>
    </row>
    <row r="2445" spans="1:7" x14ac:dyDescent="0.35">
      <c r="A2445" s="50" t="s">
        <v>4276</v>
      </c>
      <c r="B2445" s="52" t="s">
        <v>4275</v>
      </c>
    </row>
    <row r="2446" spans="1:7" x14ac:dyDescent="0.35">
      <c r="B2446" s="52" t="s">
        <v>4274</v>
      </c>
    </row>
    <row r="2447" spans="1:7" x14ac:dyDescent="0.35">
      <c r="A2447" s="50" t="s">
        <v>4272</v>
      </c>
      <c r="B2447" s="52" t="s">
        <v>4271</v>
      </c>
    </row>
    <row r="2448" spans="1:7" x14ac:dyDescent="0.35">
      <c r="A2448" s="50" t="s">
        <v>4264</v>
      </c>
      <c r="B2448" s="52" t="s">
        <v>4263</v>
      </c>
    </row>
    <row r="2449" spans="1:5" x14ac:dyDescent="0.35">
      <c r="A2449" s="50" t="s">
        <v>4257</v>
      </c>
      <c r="B2449" s="52" t="s">
        <v>4256</v>
      </c>
    </row>
    <row r="2450" spans="1:5" x14ac:dyDescent="0.35">
      <c r="A2450" s="50" t="s">
        <v>4253</v>
      </c>
      <c r="B2450" s="52" t="s">
        <v>4252</v>
      </c>
    </row>
    <row r="2451" spans="1:5" x14ac:dyDescent="0.35">
      <c r="A2451" s="50" t="s">
        <v>4249</v>
      </c>
      <c r="B2451" s="52" t="s">
        <v>4248</v>
      </c>
      <c r="E2451" s="58"/>
    </row>
    <row r="2452" spans="1:5" x14ac:dyDescent="0.35">
      <c r="A2452" s="50" t="s">
        <v>4246</v>
      </c>
      <c r="B2452" s="52" t="s">
        <v>4245</v>
      </c>
    </row>
    <row r="2453" spans="1:5" x14ac:dyDescent="0.35">
      <c r="A2453" s="50" t="s">
        <v>4241</v>
      </c>
      <c r="B2453" s="52" t="s">
        <v>4240</v>
      </c>
    </row>
    <row r="2454" spans="1:5" x14ac:dyDescent="0.35">
      <c r="A2454" s="50" t="s">
        <v>4239</v>
      </c>
      <c r="B2454" s="52" t="s">
        <v>4238</v>
      </c>
    </row>
    <row r="2455" spans="1:5" x14ac:dyDescent="0.35">
      <c r="A2455" s="50" t="s">
        <v>4237</v>
      </c>
      <c r="B2455" s="52" t="s">
        <v>4236</v>
      </c>
    </row>
    <row r="2456" spans="1:5" x14ac:dyDescent="0.35">
      <c r="A2456" s="50" t="s">
        <v>4232</v>
      </c>
      <c r="B2456" s="52" t="s">
        <v>4231</v>
      </c>
    </row>
    <row r="2685" spans="5:5" x14ac:dyDescent="0.35">
      <c r="E2685" s="58"/>
    </row>
  </sheetData>
  <sortState xmlns:xlrd2="http://schemas.microsoft.com/office/spreadsheetml/2017/richdata2" ref="A2:H2456">
    <sortCondition ref="C2:C2456"/>
  </sortState>
  <customSheetViews>
    <customSheetView guid="{F9B45C10-3ABA-4AFD-861C-93BE5D0D4A37}" scale="99" topLeftCell="A69">
      <selection activeCell="D74" sqref="D74"/>
      <pageMargins left="0.7" right="0.7" top="0.75" bottom="0.75" header="0.3" footer="0.3"/>
      <pageSetup paperSize="9" orientation="portrait" r:id="rId1"/>
    </customSheetView>
  </customSheetViews>
  <hyperlinks>
    <hyperlink ref="E928" r:id="rId2" xr:uid="{9FC40E5D-62E3-45AF-81AA-D5D89E4585DE}"/>
    <hyperlink ref="C929" r:id="rId3" display="https://enzyme.expasy.org/EC/5.6.2.2" xr:uid="{FA031D24-94FB-4B31-A14C-20F830573E2B}"/>
    <hyperlink ref="E929" r:id="rId4" xr:uid="{E1609B7C-995F-4545-8065-CAF99D689EE2}"/>
    <hyperlink ref="C127" r:id="rId5" display="https://enzyme.expasy.org/EC/1.4.1.4" xr:uid="{E42537E5-39FA-4F9B-A33F-FF9FED53A682}"/>
    <hyperlink ref="F127" r:id="rId6" xr:uid="{36737F54-4D25-4578-A337-680BF6044543}"/>
    <hyperlink ref="C710" r:id="rId7" display="https://enzyme.expasy.org/EC/3.4.-.-" xr:uid="{C0A1E5C8-3157-498B-8A44-A0D4DC378E4D}"/>
    <hyperlink ref="C85" r:id="rId8" display="https://enzyme.expasy.org/EC/1.16.-.-" xr:uid="{4229C259-DF5A-46CD-A33A-36AEE7A6762F}"/>
    <hyperlink ref="C84" r:id="rId9" display="https://enzyme.expasy.org/EC/1.11.1.26" xr:uid="{E8717D98-91E5-4CB6-A837-4420F95336B5}"/>
    <hyperlink ref="F84" r:id="rId10" xr:uid="{2B9A674E-449D-4C8C-9633-BAECD48816D8}"/>
    <hyperlink ref="C13" r:id="rId11" display="https://enzyme.expasy.org/EC/1.1.1.-" xr:uid="{7C7A5E4D-5F14-4B90-9F63-695A9DFA37D7}"/>
    <hyperlink ref="C453" r:id="rId12" display="https://enzyme.expasy.org/EC/2.7.7.65" xr:uid="{1AF141E7-6AE9-4B2D-98E5-6D2A69A2946F}"/>
    <hyperlink ref="F453" r:id="rId13" xr:uid="{3462D2F1-AE64-4717-BF47-02B00B51AA58}"/>
    <hyperlink ref="C812" r:id="rId14" display="https://enzyme.expasy.org/EC/4.1.1.31" xr:uid="{EC8E5C8C-40F6-41AB-9316-85087B41C7BB}"/>
    <hyperlink ref="F812" r:id="rId15" xr:uid="{AB02F9BD-419D-4524-BD7D-272CC26CB477}"/>
    <hyperlink ref="C736" r:id="rId16" display="https://enzyme.expasy.org/EC/3.5.-.-" xr:uid="{A1CA7C9C-2DD2-4CBA-B447-DD94422F9C01}"/>
    <hyperlink ref="C949" r:id="rId17" display="https://enzyme.expasy.org/EC/6.1.1.2" xr:uid="{F967DE77-34D5-47E6-9517-D9451651B916}"/>
    <hyperlink ref="F949" r:id="rId18" xr:uid="{610F0CC3-BBA1-4C14-BD25-ACF29E114769}"/>
    <hyperlink ref="C252" r:id="rId19" display="https://enzyme.expasy.org/EC/2.4.1.1" xr:uid="{56F1032F-2A1F-420F-AAAA-E4D79FC4BB4C}"/>
    <hyperlink ref="E252" r:id="rId20" xr:uid="{DF26897D-E705-4099-9D3C-21C2995DB13D}"/>
    <hyperlink ref="F252" r:id="rId21" xr:uid="{9D982258-2592-46D6-8059-66DDEEE8AB50}"/>
    <hyperlink ref="E253" r:id="rId22" xr:uid="{206215FE-0925-4C9A-BA87-3F0FFE90B298}"/>
    <hyperlink ref="E254" r:id="rId23" xr:uid="{FFCC89C3-4BFE-4BE8-AEFE-AE889B23118F}"/>
    <hyperlink ref="E255" r:id="rId24" xr:uid="{8C1821A7-3080-41D8-BF50-8A79CA2F0B82}"/>
    <hyperlink ref="C253" r:id="rId25" display="https://enzyme.expasy.org/EC/2.4.1.1" xr:uid="{84C4EC15-DAE5-44AA-9532-6401412FB35E}"/>
    <hyperlink ref="C254" r:id="rId26" display="https://enzyme.expasy.org/EC/2.4.1.1" xr:uid="{DDAC29BC-497E-4A95-8D42-78E89B0D63E7}"/>
    <hyperlink ref="C255" r:id="rId27" display="https://enzyme.expasy.org/EC/2.4.1.1" xr:uid="{3B02072A-D998-4097-B102-95DBF5AEEF8C}"/>
    <hyperlink ref="A253" r:id="rId28" display="https://www.ncbi.nlm.nih.gov/protein/489924576" xr:uid="{2C11AE92-ADA1-48E7-A61E-FC99A4C2672F}"/>
    <hyperlink ref="A254" r:id="rId29" display="https://www.ncbi.nlm.nih.gov/protein/489924576" xr:uid="{5ACF4C50-4C32-4793-B257-FBC72A4DF99F}"/>
    <hyperlink ref="A255" r:id="rId30" display="https://www.ncbi.nlm.nih.gov/protein/489924576" xr:uid="{3656A519-C4BB-47FB-B3D1-7CC3AD4177DD}"/>
    <hyperlink ref="F253" r:id="rId31" xr:uid="{1A679DCA-1603-48BA-8BC2-063A55A843B7}"/>
    <hyperlink ref="F254" r:id="rId32" xr:uid="{22919001-D65D-49F7-BB3A-585A7A725D2F}"/>
    <hyperlink ref="F255" r:id="rId33" xr:uid="{87C32B4C-A983-488A-ABE3-4F4DD51B0106}"/>
    <hyperlink ref="C128" r:id="rId34" display="https://enzyme.expasy.org/EC/1.4.1.4" xr:uid="{D27C2C4C-E58F-4366-B750-42EB3E35A6E8}"/>
    <hyperlink ref="C129" r:id="rId35" display="https://enzyme.expasy.org/EC/1.4.1.4" xr:uid="{D1502B52-2291-4ECC-990A-48101043E4F8}"/>
    <hyperlink ref="E127" r:id="rId36" xr:uid="{F914F2F9-3963-4A0D-B1AC-102A96A7CD9F}"/>
    <hyperlink ref="E128" r:id="rId37" xr:uid="{8A533E0D-870C-4CE0-87AD-E1A891347207}"/>
    <hyperlink ref="E129" r:id="rId38" xr:uid="{55F21DBD-28C7-476C-8344-98D89A9776B3}"/>
    <hyperlink ref="F128" r:id="rId39" xr:uid="{893AD56F-6F19-4446-959B-87C9FA9F80DA}"/>
    <hyperlink ref="F129" r:id="rId40" xr:uid="{B54DF543-735F-4DCB-9473-E629F63A6542}"/>
    <hyperlink ref="C728" r:id="rId41" display="https://enzyme.expasy.org/EC/3.4.21.105" xr:uid="{26F76ADB-CE70-4F27-81BA-4AA32255282F}"/>
    <hyperlink ref="E728" r:id="rId42" xr:uid="{D80E4222-12CE-43CE-83BE-2BA36FF7D80D}"/>
    <hyperlink ref="E949" r:id="rId43" xr:uid="{B211F7E0-3005-46C5-B1FB-AA4FA17B3872}"/>
    <hyperlink ref="E812" r:id="rId44" xr:uid="{7D26DC2D-38E1-4055-8970-BA33C6404619}"/>
    <hyperlink ref="E453" r:id="rId45" xr:uid="{BB90500F-BF85-46DC-AA03-93C5C84278B5}"/>
    <hyperlink ref="E84" r:id="rId46" xr:uid="{E1A97A41-FAB4-4611-A13B-BC54FAE2FB7D}"/>
    <hyperlink ref="C725" r:id="rId47" display="https://enzyme.expasy.org/EC/3.4.21.-" xr:uid="{C7EFDA08-41F2-49DB-AEF6-5B36F6FBE2B2}"/>
    <hyperlink ref="C818" r:id="rId48" display="https://enzyme.expasy.org/EC/4.1.3.27" xr:uid="{9D2F8DA6-A484-4512-B407-0F5F85B8E763}"/>
    <hyperlink ref="C819" r:id="rId49" display="https://enzyme.expasy.org/EC/4.1.3.27" xr:uid="{E7AEDECF-02D3-40E3-992E-17005D02F380}"/>
    <hyperlink ref="E818" r:id="rId50" xr:uid="{25D29A3C-CC41-4D2F-9E58-E3BA8BB08EA3}"/>
    <hyperlink ref="E819" r:id="rId51" xr:uid="{E3FC9FE0-312B-4B4F-B786-43B4F31875C4}"/>
    <hyperlink ref="F818" r:id="rId52" xr:uid="{AD3217D9-8DB4-4645-9481-D4D9CF3B9863}"/>
    <hyperlink ref="F819" r:id="rId53" xr:uid="{467FA029-DE61-46DF-9457-ACBD54EBD155}"/>
    <hyperlink ref="C378" r:id="rId54" display="https://enzyme.expasy.org/EC/2.7.11.-" xr:uid="{54AD24F0-993D-443A-8B15-6180EACB0F73}"/>
    <hyperlink ref="C721" r:id="rId55" display="https://enzyme.expasy.org/EC/3.4.16.4" xr:uid="{C7294E37-514D-434E-B5B5-027087703C36}"/>
    <hyperlink ref="E721" r:id="rId56" xr:uid="{0676D47C-5D6F-4AEE-BB88-1349B2C9CF4C}"/>
    <hyperlink ref="C287" r:id="rId57" display="https://enzyme.expasy.org/EC/2.4.99.28" xr:uid="{371B5D1D-ACA9-4157-AC37-65DA829B7E9E}"/>
    <hyperlink ref="E287" r:id="rId58" xr:uid="{A88DBE03-2F1B-498B-BFDC-D827033FE716}"/>
    <hyperlink ref="C582" r:id="rId59" display="https://enzyme.expasy.org/EC/3.1.3.16" xr:uid="{ACF5E728-77E1-4D27-ADEC-B1C6A1DD7E13}"/>
    <hyperlink ref="C288" r:id="rId60" display="https://enzyme.expasy.org/EC/2.4.99.28" xr:uid="{D401ADF2-0385-4113-AC50-972DC0E579EA}"/>
    <hyperlink ref="C289" r:id="rId61" display="https://enzyme.expasy.org/EC/2.4.99.28" xr:uid="{B0DCB358-6C91-4B71-8645-6994205E1F7D}"/>
    <hyperlink ref="C290" r:id="rId62" display="https://enzyme.expasy.org/EC/2.4.99.28" xr:uid="{17356323-32DA-48A4-8819-9DD92771D5A3}"/>
    <hyperlink ref="E288" r:id="rId63" xr:uid="{E316064A-7A9C-4F0E-AD34-6321450E82F0}"/>
    <hyperlink ref="E289" r:id="rId64" xr:uid="{B98A23C2-6F6D-4F8A-B1C2-2A712DB0444D}"/>
    <hyperlink ref="E290" r:id="rId65" xr:uid="{B0A843B8-144E-4752-A170-13A6D2631956}"/>
    <hyperlink ref="F287" r:id="rId66" xr:uid="{2CD62665-BC1F-4FAF-9AD0-819F35461390}"/>
    <hyperlink ref="F288" r:id="rId67" xr:uid="{071D770E-0F2B-4291-9ECC-B7AA9C0A7C3B}"/>
    <hyperlink ref="F289" r:id="rId68" xr:uid="{0B805AC6-254B-4117-AC40-6F1C6BEE166E}"/>
    <hyperlink ref="F290" r:id="rId69" xr:uid="{5D1EB1E6-8761-46D4-B2D9-23A6717D85C5}"/>
    <hyperlink ref="E582" r:id="rId70" xr:uid="{F10A8C4D-ADFC-4E3C-8717-CA20D6B13A71}"/>
    <hyperlink ref="F582" r:id="rId71" xr:uid="{24E30C44-E54E-4263-8169-E7D1B432E5A8}"/>
    <hyperlink ref="C525" r:id="rId72" display="https://enzyme.expasy.org/EC/3.-.-.-" xr:uid="{CED68854-F4FA-43FC-BA92-EE9CEA2EFB23}"/>
    <hyperlink ref="C148" r:id="rId73" display="https://enzyme.expasy.org/EC/1.8.4.12" xr:uid="{7CDD1C9B-C70A-4E64-9086-CB9217D96ECA}"/>
    <hyperlink ref="E148" r:id="rId74" xr:uid="{FE32E820-66EE-4D3D-B642-ABA5B1E983F1}"/>
    <hyperlink ref="F148" r:id="rId75" xr:uid="{7A16CC66-D1C1-438B-B076-A5C1B1D46D75}"/>
    <hyperlink ref="C2" r:id="rId76" display="https://enzyme.expasy.org/EC/1.-.-.-" xr:uid="{52D10FB8-DE17-4EC7-92FB-5AB1D2DF8B0E}"/>
    <hyperlink ref="C239" r:id="rId77" display="https://enzyme.expasy.org/EC/2.4.-.-" xr:uid="{A2F4F136-2591-484E-854C-C9BA41FE003F}"/>
    <hyperlink ref="C607" r:id="rId78" display="https://enzyme.expasy.org/EC/3.1.4.4" xr:uid="{F3CDD40F-B981-4A81-B8EB-9F4C61FE770C}"/>
    <hyperlink ref="C608" r:id="rId79" display="https://enzyme.expasy.org/EC/3.1.4.4" xr:uid="{53B7ECB6-1A1A-43E1-BA95-0FC4765ABF46}"/>
    <hyperlink ref="C609" r:id="rId80" display="https://enzyme.expasy.org/EC/3.1.4.4" xr:uid="{0A3624DE-75EA-4C5F-A157-A676B64EBE09}"/>
    <hyperlink ref="E607" r:id="rId81" xr:uid="{C414BCDF-97B2-41F0-83D2-9E95D148AD5B}"/>
    <hyperlink ref="E608" r:id="rId82" xr:uid="{F0918ADB-F7F5-4D74-979C-C1A90C560B75}"/>
    <hyperlink ref="E609" r:id="rId83" xr:uid="{36D9285F-3980-42FB-BB2F-6FC33095C7F7}"/>
    <hyperlink ref="F607" r:id="rId84" xr:uid="{3E16B222-ED06-4913-8F42-BD4F0DB1D2E7}"/>
    <hyperlink ref="F608" r:id="rId85" xr:uid="{28744548-95A7-4F5F-99D0-BC3D310F0B5F}"/>
    <hyperlink ref="F609" r:id="rId86" xr:uid="{E7E7C984-22D1-4626-A71F-C9C947F0D9D5}"/>
    <hyperlink ref="C790" r:id="rId87" display="https://enzyme.expasy.org/EC/3.6.4.-" xr:uid="{14F579FB-4175-4245-B131-B87498EB889E}"/>
    <hyperlink ref="C777" r:id="rId88" display="https://enzyme.expasy.org/EC/3.6.-.-" xr:uid="{40AC90A1-1911-424D-95E6-18F2D8D45EB1}"/>
    <hyperlink ref="C282" r:id="rId89" display="https://enzyme.expasy.org/EC/2.4.2.29" xr:uid="{1B2F8643-E4F8-4589-893E-AE3B4F6AA3FB}"/>
    <hyperlink ref="E282" r:id="rId90" xr:uid="{D9CA02B5-6E44-4DC7-A555-1ED1D7F9A52E}"/>
    <hyperlink ref="F282" r:id="rId91" xr:uid="{0D89405B-C73C-47EB-8DB0-5D0C7C7A57DC}"/>
    <hyperlink ref="C726" r:id="rId92" display="https://enzyme.expasy.org/EC/3.4.21.-" xr:uid="{94C93724-2362-4067-8974-70FAEDB65ACC}"/>
    <hyperlink ref="C733" r:id="rId93" display="https://enzyme.expasy.org/EC/3.4.24.-" xr:uid="{0702D77A-8500-4ADF-816D-692407F30CDC}"/>
    <hyperlink ref="C814" r:id="rId94" display="https://enzyme.expasy.org/EC/4.1.2.13" xr:uid="{D56F5556-E7A1-4D1E-97E1-8342BB079302}"/>
    <hyperlink ref="C815" r:id="rId95" display="https://enzyme.expasy.org/EC/4.1.2.13" xr:uid="{335EED8C-6B95-4CCA-8BFA-B0190C1955CB}"/>
    <hyperlink ref="C816" r:id="rId96" display="https://enzyme.expasy.org/EC/4.1.2.13" xr:uid="{2278F572-9615-4483-8D36-D2A16E23EFC4}"/>
    <hyperlink ref="C817" r:id="rId97" display="https://enzyme.expasy.org/EC/4.1.2.13" xr:uid="{232AD5BC-1A1C-4BED-81A1-7498D460F6BC}"/>
    <hyperlink ref="E814" r:id="rId98" xr:uid="{0AA20A94-2B1E-42BD-8EF7-B4A8E983A969}"/>
    <hyperlink ref="E815" r:id="rId99" xr:uid="{99B01720-951B-414E-9E80-C288A20B7FB1}"/>
    <hyperlink ref="E816" r:id="rId100" xr:uid="{7A8F8C2E-A37E-446A-9BAB-0487A25B43EB}"/>
    <hyperlink ref="E817" r:id="rId101" xr:uid="{F43ECC38-FE09-4359-9BCE-7B14516BAE2A}"/>
    <hyperlink ref="F814" r:id="rId102" xr:uid="{41A5937C-4F84-41E2-8FF8-DC3F91993380}"/>
    <hyperlink ref="F815" r:id="rId103" xr:uid="{CF251884-A8FC-42AF-BB46-0ABCEDA1B206}"/>
    <hyperlink ref="G815" r:id="rId104" display="https://www.kegg.jp/entry/C05378" xr:uid="{9CC8E568-C357-4647-A37D-8B33131D5727}"/>
    <hyperlink ref="F816" r:id="rId105" xr:uid="{19C27D4E-F703-47DE-B39F-840004457DBD}"/>
    <hyperlink ref="F817" r:id="rId106" xr:uid="{ECD8FDF5-EFD6-46F9-8696-D00FC5D85616}"/>
    <hyperlink ref="C988" r:id="rId107" display="https://enzyme.expasy.org/EC/6.3.4.4" xr:uid="{15DA90C8-44E0-435B-993B-DF502DAF88E0}"/>
    <hyperlink ref="E988" r:id="rId108" xr:uid="{FA811727-2C3D-46BC-881E-EADB7F137117}"/>
    <hyperlink ref="F988" r:id="rId109" xr:uid="{7E2C8436-E707-4A06-B5F2-28B67748BDB7}"/>
    <hyperlink ref="C271" r:id="rId110" display="https://enzyme.expasy.org/EC/2.4.1.7" xr:uid="{A1A6DD71-6249-4D3A-8AE6-40CF7DC5CE71}"/>
    <hyperlink ref="E271" r:id="rId111" xr:uid="{D5CC4667-B5C2-4651-AAEC-67E9D33388F3}"/>
    <hyperlink ref="E272" r:id="rId112" xr:uid="{D1364AF8-CE8D-4B5D-8247-E280D179A3DA}"/>
    <hyperlink ref="F271" r:id="rId113" xr:uid="{2BEC5415-D500-479D-8795-75DF287D340D}"/>
    <hyperlink ref="F272" r:id="rId114" xr:uid="{9F7B5D15-37FD-4AAE-9FAE-925DD1614B07}"/>
    <hyperlink ref="C66" r:id="rId115" display="https://enzyme.expasy.org/EC/1.1.1.86" xr:uid="{3131E77A-6275-49F0-8729-E2F779A67AF2}"/>
    <hyperlink ref="C67" r:id="rId116" display="https://enzyme.expasy.org/EC/1.1.1.86" xr:uid="{DF6797C8-4606-41F1-B544-0A62660AFE04}"/>
    <hyperlink ref="C68" r:id="rId117" display="https://enzyme.expasy.org/EC/1.1.1.86" xr:uid="{FCD4B37F-2AD3-4C04-B1CC-DC22A2D03082}"/>
    <hyperlink ref="C69" r:id="rId118" display="https://enzyme.expasy.org/EC/1.1.1.86" xr:uid="{82E65811-607F-4D82-A31A-1A5BCA3DCF31}"/>
    <hyperlink ref="C70" r:id="rId119" display="https://enzyme.expasy.org/EC/1.1.1.86" xr:uid="{B2069D2E-8991-41A0-8004-06846205268A}"/>
    <hyperlink ref="C71" r:id="rId120" display="https://enzyme.expasy.org/EC/1.1.1.86" xr:uid="{13E50A85-1EE2-420A-A0A7-EB8CA4359664}"/>
    <hyperlink ref="A68" r:id="rId121" display="https://www.ncbi.nlm.nih.gov/protein/489924626" xr:uid="{A299FE42-7A1F-446B-BC8D-9D529B3D6885}"/>
    <hyperlink ref="E66" r:id="rId122" xr:uid="{763FE7AA-E027-403E-B664-42C0FDCC260B}"/>
    <hyperlink ref="E67" r:id="rId123" xr:uid="{2DC053F2-1D3F-4B58-A32A-0FDC54130115}"/>
    <hyperlink ref="E68" r:id="rId124" xr:uid="{7D80ADF8-70A5-4597-A3C8-21C97A72F801}"/>
    <hyperlink ref="E69" r:id="rId125" xr:uid="{94D0D49B-2232-4DD0-B007-2084BCD98027}"/>
    <hyperlink ref="E70" r:id="rId126" xr:uid="{2AE1579D-3975-4079-A631-F5D358704E04}"/>
    <hyperlink ref="E71" r:id="rId127" xr:uid="{D95F372F-32D9-41BD-AC0A-3FF2FAF444FA}"/>
    <hyperlink ref="F66" r:id="rId128" xr:uid="{9F24D387-6B03-43C2-B24C-C9A7B0A34DA2}"/>
    <hyperlink ref="F67" r:id="rId129" xr:uid="{71EC1CAB-CEA0-4B75-9A99-E745DA0B517D}"/>
    <hyperlink ref="F68" r:id="rId130" xr:uid="{1A17D2DC-9BE9-4ACC-9D2D-FCC232517AD9}"/>
    <hyperlink ref="F69" r:id="rId131" xr:uid="{DB3A3BC2-8A77-450E-A547-882C2D9031D5}"/>
    <hyperlink ref="F70" r:id="rId132" xr:uid="{86BAE7C4-5307-4902-AFA8-68F37099B435}"/>
    <hyperlink ref="F71" r:id="rId133" xr:uid="{021A0C9F-A250-4CC9-8BB0-D39CA449941F}"/>
    <hyperlink ref="C72" r:id="rId134" display="https://enzyme.expasy.org/EC/1.1.1.86" xr:uid="{A510C6B6-3F3E-4CFA-97C3-F47BD8F99837}"/>
    <hyperlink ref="C73" r:id="rId135" display="https://enzyme.expasy.org/EC/1.1.1.86" xr:uid="{E57DEDB9-749A-429E-8F63-1A65E5F770DC}"/>
    <hyperlink ref="C74" r:id="rId136" display="https://enzyme.expasy.org/EC/1.1.1.86" xr:uid="{0C1B5FF2-6947-4EC3-BCB5-4A463540AFA3}"/>
    <hyperlink ref="C75" r:id="rId137" display="https://enzyme.expasy.org/EC/1.1.1.86" xr:uid="{2DD9E034-9374-4706-BB76-F77ECF0C15ED}"/>
    <hyperlink ref="C76" r:id="rId138" display="https://enzyme.expasy.org/EC/1.1.1.86" xr:uid="{F5DCBBC1-C7A0-4B08-877F-6C8355841662}"/>
    <hyperlink ref="C77" r:id="rId139" display="https://enzyme.expasy.org/EC/1.1.1.86" xr:uid="{18727AAA-A947-45DB-B21F-730EB8916E58}"/>
    <hyperlink ref="E72" r:id="rId140" xr:uid="{7A56B253-2EA4-49E1-91B7-187EAA8FF1CE}"/>
    <hyperlink ref="E73" r:id="rId141" xr:uid="{18D4CFFF-9CBF-48A5-9215-113DA0D8B5A6}"/>
    <hyperlink ref="E74" r:id="rId142" xr:uid="{9B6C9882-0DBD-4C66-AD69-2B70D0BB5B0B}"/>
    <hyperlink ref="E76" r:id="rId143" xr:uid="{AC4CD24D-0384-45D3-92C0-E64FAA245547}"/>
    <hyperlink ref="E75" r:id="rId144" xr:uid="{A0BA7AA9-1229-446B-9826-1BEFBD9C35B8}"/>
    <hyperlink ref="E77" r:id="rId145" xr:uid="{36CB9213-7506-4457-8880-4C009FF68041}"/>
    <hyperlink ref="F72" r:id="rId146" xr:uid="{4BDB7F3F-17AD-498D-85BA-59C2096373A0}"/>
    <hyperlink ref="F73" r:id="rId147" xr:uid="{0CF74DFE-2CB1-4BA4-95F5-EF528A0A02AB}"/>
    <hyperlink ref="F74" r:id="rId148" xr:uid="{7B4D94FE-B4C7-4168-9E25-F185A628E44D}"/>
    <hyperlink ref="F75" r:id="rId149" xr:uid="{C1CBE04B-A9C7-4628-B643-E75CB8610947}"/>
    <hyperlink ref="F76" r:id="rId150" xr:uid="{92A568E8-CBDE-4832-97C6-FF2E9E7DD51F}"/>
    <hyperlink ref="F77" r:id="rId151" xr:uid="{D5D4D25B-F03B-413C-AB65-1F305FA279A0}"/>
    <hyperlink ref="C610" r:id="rId152" display="https://enzyme.expasy.org/EC/3.2.1.-" xr:uid="{2FB7A20D-5AB2-443E-9EFF-632961E3CECE}"/>
    <hyperlink ref="C267" r:id="rId153" display="https://enzyme.expasy.org/EC/2.4.1.25" xr:uid="{64BAA67A-5225-49A8-AC02-ED51BCC6FC02}"/>
    <hyperlink ref="C268" r:id="rId154" display="https://enzyme.expasy.org/EC/2.4.1.25" xr:uid="{6E184C60-A8DD-4722-85F9-DB10C8D1A8A7}"/>
    <hyperlink ref="E267" r:id="rId155" xr:uid="{F3B04DA1-CAA1-449A-BB88-F0A8252111DE}"/>
    <hyperlink ref="E268" r:id="rId156" xr:uid="{7C8BD6D0-589D-47C0-A78C-F11978FED7CC}"/>
    <hyperlink ref="F267" r:id="rId157" xr:uid="{67C6465E-76E5-413D-8CB1-70412FB7F17E}"/>
    <hyperlink ref="F268" r:id="rId158" xr:uid="{B0C82B98-6B2E-4514-B99C-5CF47AFABF01}"/>
    <hyperlink ref="C685" r:id="rId159" display="https://enzyme.expasy.org/EC/3.2.1.41" xr:uid="{3161A27D-4162-4A66-86AE-BEAF6F8357C6}"/>
    <hyperlink ref="E685" r:id="rId160" xr:uid="{CA7319C4-C0C5-482E-9C80-E2C1D9C80B46}"/>
    <hyperlink ref="C526" r:id="rId161" display="https://enzyme.expasy.org/EC/3.-.-.-" xr:uid="{5B187D07-A82F-4BEF-A17C-DA33C637CE08}"/>
    <hyperlink ref="C330" r:id="rId162" display="https://enzyme.expasy.org/EC/2.7.1.-" xr:uid="{A25F3DC5-9738-4DE8-A00A-58BAE81E1872}"/>
    <hyperlink ref="C454" r:id="rId163" display="https://enzyme.expasy.org/EC/2.7.7.7" xr:uid="{C727A9B4-8484-4616-8B01-AFFC919BDED0}"/>
    <hyperlink ref="C455" r:id="rId164" display="https://enzyme.expasy.org/EC/2.7.7.7" xr:uid="{6D37D6BE-9B11-47E8-9E91-17E66CA883DC}"/>
    <hyperlink ref="C456" r:id="rId165" display="https://enzyme.expasy.org/EC/2.7.7.7" xr:uid="{832D6C13-B975-440F-9BED-CDBB4F061168}"/>
    <hyperlink ref="C457" r:id="rId166" display="https://enzyme.expasy.org/EC/2.7.7.7" xr:uid="{5C18D046-8692-41E2-9137-D038C491B2D6}"/>
    <hyperlink ref="C458" r:id="rId167" display="https://enzyme.expasy.org/EC/2.7.7.7" xr:uid="{7A3CCE85-25B7-424D-BF2A-7551DCAFAF1C}"/>
    <hyperlink ref="C459" r:id="rId168" display="https://enzyme.expasy.org/EC/2.7.7.7" xr:uid="{B83CFD47-3FC8-45A0-ACC2-135CA6C095D8}"/>
    <hyperlink ref="E454" r:id="rId169" xr:uid="{1F09A0AB-2C3D-4881-A99F-444665C4C378}"/>
    <hyperlink ref="E455" r:id="rId170" xr:uid="{0E6CA060-D36C-4A19-B8AD-D16189DDF234}"/>
    <hyperlink ref="E456" r:id="rId171" xr:uid="{AEE143A7-A8D6-49B4-A5B6-BD097697B90D}"/>
    <hyperlink ref="E457" r:id="rId172" xr:uid="{804CF549-54D0-41EA-A99F-FA95DE150078}"/>
    <hyperlink ref="E458" r:id="rId173" xr:uid="{3039AC32-4E56-4FAB-BD90-202B14DB43C7}"/>
    <hyperlink ref="E459" r:id="rId174" xr:uid="{B5627C16-C4AA-4ED4-BC6E-8E892B156073}"/>
    <hyperlink ref="F454" r:id="rId175" xr:uid="{CAD3B2BF-DF3A-4F32-879E-5D5918242A15}"/>
    <hyperlink ref="F455" r:id="rId176" xr:uid="{BA7D6E66-14EF-4380-BAE7-DA254C10D615}"/>
    <hyperlink ref="F456" r:id="rId177" xr:uid="{654ACE0D-D786-44EF-B84D-8DECB18AA6C2}"/>
    <hyperlink ref="F457" r:id="rId178" xr:uid="{AEC5B6E7-C728-467F-A3B9-C075125BB029}"/>
    <hyperlink ref="F458" r:id="rId179" xr:uid="{E1F14AE8-244A-4AD3-B339-0645600442FA}"/>
    <hyperlink ref="F459" r:id="rId180" xr:uid="{EB241843-AB72-4295-9843-42F3CED79FB9}"/>
    <hyperlink ref="C394" r:id="rId181" display="https://enzyme.expasy.org/EC/2.7.2.4" xr:uid="{E337B019-3EDF-4BFC-B2A4-4201D7873DBB}"/>
    <hyperlink ref="E394" r:id="rId182" xr:uid="{3397E4BF-2EFF-4087-97A4-97BA638D3FAF}"/>
    <hyperlink ref="F394" r:id="rId183" xr:uid="{0FE3400C-B93C-4008-BC5A-75E32C502EDF}"/>
    <hyperlink ref="C115" r:id="rId184" display="https://enzyme.expasy.org/EC/1.2.1.11" xr:uid="{A7C2DFFF-D9C6-4935-8245-C197C4C542D5}"/>
    <hyperlink ref="E115" r:id="rId185" xr:uid="{6FFCB861-0D00-4FB7-9A0A-264CB9C28367}"/>
    <hyperlink ref="F115" r:id="rId186" xr:uid="{7C5EAA7A-79F2-4CD9-9EF4-05AED69F0825}"/>
    <hyperlink ref="C896" r:id="rId187" display="https://enzyme.expasy.org/EC/5.1.3.9" xr:uid="{C67F2D36-FF5A-4623-BE2F-8663B6AAFF65}"/>
    <hyperlink ref="C897" r:id="rId188" display="https://enzyme.expasy.org/EC/5.1.3.9" xr:uid="{2FACCF34-CEC6-4A51-A917-8E043DBCE62E}"/>
    <hyperlink ref="E896" r:id="rId189" xr:uid="{07CE5D29-495F-4EC7-A54F-E9277235B53D}"/>
    <hyperlink ref="E897" r:id="rId190" xr:uid="{E60DCD56-9793-4AB3-9CC1-766C51B8623F}"/>
    <hyperlink ref="F896" r:id="rId191" xr:uid="{BA0D3453-D43E-4249-8345-6AD782FE10D2}"/>
    <hyperlink ref="G896" r:id="rId192" display="https://www.kegg.jp/entry/C00686" xr:uid="{89C7FAFA-5D54-4239-A76B-4D53E8DFB9FD}"/>
    <hyperlink ref="F897" r:id="rId193" xr:uid="{840759EA-DD0C-49BA-8C16-ACB3F37251FA}"/>
    <hyperlink ref="C1033" r:id="rId194" display="https://enzyme.expasy.org/EC/7.5.2.-" xr:uid="{AA2C7F1B-7C81-49C1-82C2-BB3FDEAC41C4}"/>
    <hyperlink ref="C805" r:id="rId195" display="https://enzyme.expasy.org/EC/4.-.-.-" xr:uid="{B599E6D4-4593-4429-9072-4CCF7F443582}"/>
    <hyperlink ref="C774" r:id="rId196" display="https://enzyme.expasy.org/EC/3.5.99.6" xr:uid="{F79326AA-CD8B-45BD-BD53-0081521FC00F}"/>
    <hyperlink ref="E774" r:id="rId197" xr:uid="{D386B548-DB21-4F55-A1C7-196C5B39F76A}"/>
    <hyperlink ref="F774" r:id="rId198" xr:uid="{25ADF305-08A7-4FD5-8BC6-23EA07A7C5AC}"/>
    <hyperlink ref="C611" r:id="rId199" display="https://enzyme.expasy.org/EC/3.2.1.-" xr:uid="{0F12859D-4047-4668-989F-51BA1465BEAB}"/>
    <hyperlink ref="C237" r:id="rId200" display="https://enzyme.expasy.org/EC/2.3.3.13" xr:uid="{367CF115-C915-4983-B8CE-CB21D495D48F}"/>
    <hyperlink ref="E237" r:id="rId201" xr:uid="{100DFD78-7715-488E-B086-DE907F85854E}"/>
    <hyperlink ref="F237" r:id="rId202" xr:uid="{3E092113-63A1-469F-BFB0-33C760FDAC86}"/>
    <hyperlink ref="C240" r:id="rId203" display="https://enzyme.expasy.org/EC/2.4.-.-" xr:uid="{5FA410B9-8A41-4F3B-B8D6-33CBAE0804B8}"/>
    <hyperlink ref="C578" r:id="rId204" display="https://enzyme.expasy.org/EC/3.1.3.-" xr:uid="{8A8DA51B-90B5-43D3-B6FF-7A70EF47BED6}"/>
    <hyperlink ref="C926" r:id="rId205" display="https://enzyme.expasy.org/EC/5.6.2.1" xr:uid="{574DE4C5-C8D4-46EC-8E11-2FAE5787D2B3}"/>
    <hyperlink ref="E926" r:id="rId206" xr:uid="{437F2F83-B54E-4460-A868-E618C1B011B5}"/>
    <hyperlink ref="C407" r:id="rId207" display="https://enzyme.expasy.org/EC/2.7.4.9" xr:uid="{52FBD0FD-8E6E-4CC2-B1A6-EEDC07230E8F}"/>
    <hyperlink ref="C408" r:id="rId208" display="https://enzyme.expasy.org/EC/2.7.4.9" xr:uid="{BE380E83-9547-415A-9000-35295877D4F8}"/>
    <hyperlink ref="E407" r:id="rId209" xr:uid="{30B4388A-3E8A-4B42-8C77-AB535E9BD2B4}"/>
    <hyperlink ref="E408" r:id="rId210" xr:uid="{2AFF1C2D-EC4C-4703-A72D-446ED1149488}"/>
    <hyperlink ref="F407" r:id="rId211" xr:uid="{311F131E-7CFA-44E0-A5FD-A41782C5B3D6}"/>
    <hyperlink ref="F408" r:id="rId212" xr:uid="{B279518F-75CE-484C-9A31-813B265E184F}"/>
    <hyperlink ref="C460" r:id="rId213" display="https://enzyme.expasy.org/EC/2.7.7.7" xr:uid="{A7A2EF7B-3491-449F-BBC5-B0430C8B7A5C}"/>
    <hyperlink ref="C461" r:id="rId214" display="https://enzyme.expasy.org/EC/2.7.7.7" xr:uid="{97F54B3B-EF7A-4BB2-87F6-05F6D30C7A84}"/>
    <hyperlink ref="C462" r:id="rId215" display="https://enzyme.expasy.org/EC/2.7.7.7" xr:uid="{8D415554-A16F-4B87-BDF7-52BEB042423D}"/>
    <hyperlink ref="C463" r:id="rId216" display="https://enzyme.expasy.org/EC/2.7.7.7" xr:uid="{83C977D5-A73C-4320-AACF-3039C436FFFF}"/>
    <hyperlink ref="C464" r:id="rId217" display="https://enzyme.expasy.org/EC/2.7.7.7" xr:uid="{716AC194-38E4-4A33-A606-CB3D8E9EE215}"/>
    <hyperlink ref="C465" r:id="rId218" display="https://enzyme.expasy.org/EC/2.7.7.7" xr:uid="{B379DDF9-EFEC-4A50-8E6F-527AC97997F6}"/>
    <hyperlink ref="E198:E202" r:id="rId219" display="https://www.kegg.jp/entry/2.7.7.7" xr:uid="{25FF2193-06CD-4E8B-A32F-CFE110FACC5D}"/>
    <hyperlink ref="F460" r:id="rId220" xr:uid="{3483011E-D67E-40AB-9E21-2F030CE37F99}"/>
    <hyperlink ref="F461" r:id="rId221" xr:uid="{CF836F0A-B5AA-4BAD-B255-975DC222F938}"/>
    <hyperlink ref="F462" r:id="rId222" xr:uid="{88A2423F-FD27-461B-9056-F8BEC835257E}"/>
    <hyperlink ref="F463" r:id="rId223" xr:uid="{2E9E3549-0E08-40BC-A802-54C1B4874F63}"/>
    <hyperlink ref="F464" r:id="rId224" xr:uid="{AD64F896-B4C7-4E73-8398-F7A9E7D67CCD}"/>
    <hyperlink ref="F465" r:id="rId225" xr:uid="{C943D664-C575-46C4-92B6-416D496BB95A}"/>
    <hyperlink ref="E460" r:id="rId226" xr:uid="{1223F70D-DD8D-439B-94CA-8D8550251893}"/>
    <hyperlink ref="C396" r:id="rId227" display="https://enzyme.expasy.org/EC/2.7.3.9" xr:uid="{47BB136E-F7EA-4788-80F6-B4C437BA7B3E}"/>
    <hyperlink ref="E396" r:id="rId228" xr:uid="{24D5B320-0F5F-4458-9549-5C7B8CA3551C}"/>
    <hyperlink ref="F396" r:id="rId229" xr:uid="{3620C769-123D-4FCE-AC61-1594D8EC8FF5}"/>
    <hyperlink ref="C719" r:id="rId230" display="https://enzyme.expasy.org/EC/3.4.13.-" xr:uid="{B78C6B42-7FD0-4520-9060-6604F892367E}"/>
    <hyperlink ref="C987" r:id="rId231" display="https://enzyme.expasy.org/EC/6.3.4.3" xr:uid="{19572DF3-A2C8-432A-AD32-F975C3268A8F}"/>
    <hyperlink ref="E987" r:id="rId232" xr:uid="{769D4361-4665-4389-88AE-AB8F986A9647}"/>
    <hyperlink ref="F987" r:id="rId233" xr:uid="{07E3E2F6-4094-4144-B5D6-BE1FEBFBF735}"/>
    <hyperlink ref="C947" r:id="rId234" display="https://enzyme.expasy.org/EC/6.1.1.17" xr:uid="{38D5AF03-315E-4956-A46A-6570FDA9D6D5}"/>
    <hyperlink ref="E947" r:id="rId235" xr:uid="{CEDEAD17-2C50-4D34-9302-2E8C938A55A7}"/>
    <hyperlink ref="F947" r:id="rId236" xr:uid="{210B4E49-4182-4539-9FB7-BC795757CDB8}"/>
    <hyperlink ref="C1041" r:id="rId237" display="https://enzyme.expasy.org/EC/7.6.2.-" xr:uid="{518B47FE-C77D-4349-B161-9A241AE1F845}"/>
    <hyperlink ref="C55" r:id="rId238" display="https://enzyme.expasy.org/EC/1.1.1.44" xr:uid="{C4C89C0F-7846-4B90-A893-378267B92A0D}"/>
    <hyperlink ref="E55" r:id="rId239" xr:uid="{318277E5-BE51-4AFB-8022-3536BDD40280}"/>
    <hyperlink ref="F55" r:id="rId240" xr:uid="{EDCAB008-F92D-404A-985C-9FD7C71ED0F5}"/>
    <hyperlink ref="C557" r:id="rId241" display="https://enzyme.expasy.org/EC/3.1.1.31" xr:uid="{B83264B9-130C-4CD3-B561-6956C759F683}"/>
    <hyperlink ref="E557" r:id="rId242" xr:uid="{1C6ABBD5-5B0C-4E75-A6FB-4E6C4F152534}"/>
    <hyperlink ref="F557" r:id="rId243" xr:uid="{D1610DE7-0A81-4568-8F2A-EFCA17069C28}"/>
    <hyperlink ref="C56" r:id="rId244" display="https://enzyme.expasy.org/EC/1.1.1.49" xr:uid="{F0C54A38-2C50-4FC4-80FB-A8D07EEACB91}"/>
    <hyperlink ref="C57" r:id="rId245" display="https://enzyme.expasy.org/EC/1.1.1.49" xr:uid="{5E7E8B02-5A65-4076-B789-1BDADEEB57CE}"/>
    <hyperlink ref="E56" r:id="rId246" xr:uid="{F5013622-E5DC-4321-9A3F-AE508E5CCDB9}"/>
    <hyperlink ref="E57" r:id="rId247" xr:uid="{BA8E9032-49CF-48CA-AEE2-1A92D0E30D36}"/>
    <hyperlink ref="F56" r:id="rId248" xr:uid="{7B648398-9009-458C-9978-AF0747377FAF}"/>
    <hyperlink ref="F57" r:id="rId249" xr:uid="{CE7A5F4A-3051-41AC-AFEA-D58C1E2C6227}"/>
    <hyperlink ref="C720" r:id="rId250" display="https://enzyme.expasy.org/EC/3.4.13.-" xr:uid="{D2DD572F-E6E1-4CF1-B715-F73BF465E4E7}"/>
    <hyperlink ref="C241" r:id="rId251" display="https://enzyme.expasy.org/EC/2.4.-.-" xr:uid="{6362446C-9D2B-418A-8C14-FE5D10FCA422}"/>
    <hyperlink ref="C932" r:id="rId252" display="https://enzyme.expasy.org/EC/5.6.2.3" xr:uid="{EE653F61-C905-4B01-94AB-BB441B3CA2F0}"/>
    <hyperlink ref="E932" r:id="rId253" xr:uid="{A1871EA3-64A2-4F46-A300-6DEC2EC79958}"/>
    <hyperlink ref="C329" r:id="rId254" display="https://enzyme.expasy.org/EC/2.7.-.-" xr:uid="{FB302E16-B2CF-4E71-A8F9-761DA9458509}"/>
    <hyperlink ref="C409" r:id="rId255" display="https://enzyme.expasy.org/EC/2.7.6.1" xr:uid="{0B7F9F78-43F9-4E57-915B-3A3B4E380D54}"/>
    <hyperlink ref="E409" r:id="rId256" xr:uid="{CEBDEA25-F582-4C48-A1FF-E56D0F80C472}"/>
    <hyperlink ref="F409" r:id="rId257" xr:uid="{1EF7F122-207E-4259-98CF-0FAF9E544F33}"/>
    <hyperlink ref="C207" r:id="rId258" display="https://enzyme.expasy.org/EC/2.3.-.-" xr:uid="{1015846C-6D00-445C-A621-DF2526DD5DC1}"/>
    <hyperlink ref="C923" r:id="rId259" display="https://enzyme.expasy.org/EC/5.4.99.5" xr:uid="{D7912570-8FA0-4F04-9C9A-8C2F2B23055C}"/>
    <hyperlink ref="E923" r:id="rId260" xr:uid="{0F7B2A10-F3A5-49D6-8299-7F84F5A6D1D9}"/>
    <hyperlink ref="C957" r:id="rId261" display="https://enzyme.expasy.org/EC/6.1.1.9" xr:uid="{E37F1994-4795-470A-99A0-2B42FC0AC952}"/>
    <hyperlink ref="E957" r:id="rId262" xr:uid="{EF0A9D0B-1F5D-4450-B0EC-0C6044904A34}"/>
    <hyperlink ref="F957" r:id="rId263" xr:uid="{846ACBC2-2294-4FC4-87A7-49544F342CBE}"/>
    <hyperlink ref="C849" r:id="rId264" display="https://enzyme.expasy.org/EC/4.2.99.18" xr:uid="{0E998A4A-0060-4714-8434-14A3BB81B07F}"/>
    <hyperlink ref="E849" r:id="rId265" xr:uid="{561D2A90-8FE6-497F-BF74-8E75E0CAE958}"/>
    <hyperlink ref="C784" r:id="rId266" display="https://enzyme.expasy.org/EC/3.6.1.1" xr:uid="{7867AF17-41A0-4BF7-9316-CF496702C296}"/>
    <hyperlink ref="E784" r:id="rId267" xr:uid="{D5DFD28E-0EE2-4675-838B-52E8B296E897}"/>
    <hyperlink ref="F784" r:id="rId268" xr:uid="{5CBE40AF-2515-4514-9C55-038B767E634A}"/>
    <hyperlink ref="C229" r:id="rId269" display="https://enzyme.expasy.org/EC/2.3.1.46" xr:uid="{63553384-F31F-4519-87DF-29C35A5C5C54}"/>
    <hyperlink ref="E229" r:id="rId270" xr:uid="{F454D332-22AD-4279-8FC3-A7E6792FC8F4}"/>
    <hyperlink ref="F229" r:id="rId271" xr:uid="{F140AB25-E237-49E0-BCE9-DE0B0F59738A}"/>
    <hyperlink ref="C1021" r:id="rId272" display="https://enzyme.expasy.org/EC/7.1.2.2" xr:uid="{9308C969-EFA0-4DC5-AC27-B179ABEF9B35}"/>
    <hyperlink ref="E1021" r:id="rId273" xr:uid="{19C1C66F-617A-4CE2-BC14-F4BEF6AF451D}"/>
    <hyperlink ref="F1021" r:id="rId274" xr:uid="{9653D3CD-5ABE-4803-B92E-0D5538393087}"/>
    <hyperlink ref="C1022" r:id="rId275" display="https://enzyme.expasy.org/EC/7.1.2.2" xr:uid="{CB7E21E2-AD30-4664-A44E-34126EDB1147}"/>
    <hyperlink ref="E1022" r:id="rId276" xr:uid="{71615DB9-6257-47DE-B010-06580D0DD3AC}"/>
    <hyperlink ref="F1022" r:id="rId277" xr:uid="{91BCCBC1-06B4-4496-BF86-8FD15EBCB257}"/>
    <hyperlink ref="C1023" r:id="rId278" display="https://enzyme.expasy.org/EC/7.1.2.2" xr:uid="{4E7D056B-7114-4D53-A3BD-EEA725144AFB}"/>
    <hyperlink ref="E1023" r:id="rId279" xr:uid="{048B8619-DB04-4122-B6E6-501DD00571B7}"/>
    <hyperlink ref="F1023" r:id="rId280" xr:uid="{A04F860C-157D-492C-90BC-C7DF58B8AB57}"/>
    <hyperlink ref="C1024" r:id="rId281" display="https://enzyme.expasy.org/EC/7.1.2.2" xr:uid="{04542FA7-1CCB-4BC3-A7F8-11D708F0D939}"/>
    <hyperlink ref="E1024" r:id="rId282" xr:uid="{CDAFE6F7-2A15-43F6-838F-E3B368BC70C6}"/>
    <hyperlink ref="F1024" r:id="rId283" xr:uid="{6B94BD98-81FB-4B95-9356-A2D3A77F7ADB}"/>
    <hyperlink ref="C1025" r:id="rId284" display="https://enzyme.expasy.org/EC/7.1.2.2" xr:uid="{32FC983D-B06B-4E13-BC71-3C0408941FD8}"/>
    <hyperlink ref="E1025" r:id="rId285" xr:uid="{F704BDED-409D-4A12-82BC-671A1BB0B76B}"/>
    <hyperlink ref="F1025" r:id="rId286" xr:uid="{26ABD20E-ABDB-492C-8F9D-CFAD43C41C6D}"/>
    <hyperlink ref="C1026" r:id="rId287" display="https://enzyme.expasy.org/EC/7.1.2.2" xr:uid="{1D43F9C3-4722-4B6D-BA05-FD7FDEB74466}"/>
    <hyperlink ref="E1026" r:id="rId288" xr:uid="{B68642D3-91A9-4F40-9CF2-9A51F667D625}"/>
    <hyperlink ref="F1026" r:id="rId289" xr:uid="{91FEE072-C5D7-4FF6-BECD-CF66C03FB8B0}"/>
    <hyperlink ref="C1027" r:id="rId290" display="https://enzyme.expasy.org/EC/7.1.2.2" xr:uid="{6DD4504C-4FB4-4B32-B2D3-DD5617B36660}"/>
    <hyperlink ref="E1027" r:id="rId291" xr:uid="{A3AEC384-C6E5-488B-9798-9DC7DBC1959B}"/>
    <hyperlink ref="F1027" r:id="rId292" xr:uid="{C4981B17-9DEF-4E55-B9E9-9426B3A2A62B}"/>
    <hyperlink ref="C1028" r:id="rId293" display="https://enzyme.expasy.org/EC/7.1.2.2" xr:uid="{BAE0498C-1368-4021-8D61-40ED142B246E}"/>
    <hyperlink ref="E1028" r:id="rId294" xr:uid="{B518F019-68D3-4EFA-ADD7-A0B55602FF3B}"/>
    <hyperlink ref="F1028" r:id="rId295" xr:uid="{1D6D5BB8-606C-47C2-8D64-C63CADCD9531}"/>
    <hyperlink ref="C898" r:id="rId296" display="https://enzyme.expasy.org/EC/5.2.1.8" xr:uid="{33095A9F-99C9-451A-97E5-1856799285A2}"/>
    <hyperlink ref="E898" r:id="rId297" xr:uid="{9874AEE9-4C8A-424A-A2C0-2A27F1FD327E}"/>
    <hyperlink ref="F898" r:id="rId298" xr:uid="{7167BB52-1F7C-4D3C-A6CF-80BB81636ECB}"/>
    <hyperlink ref="C211" r:id="rId299" display="https://enzyme.expasy.org/EC/2.3.1.-" xr:uid="{CBC740EC-B3DE-4393-90BA-E6A40CAF2298}"/>
    <hyperlink ref="C78" r:id="rId300" display="https://enzyme.expasy.org/EC/1.1.1.94" xr:uid="{9D5843C4-323B-4976-8475-64E96F496FBE}"/>
    <hyperlink ref="E78" r:id="rId301" xr:uid="{C10EB749-DE94-475B-AA76-C0E6F148FA26}"/>
    <hyperlink ref="C79" r:id="rId302" display="https://enzyme.expasy.org/EC/1.1.1.94" xr:uid="{87757F05-226A-4BB5-B7AF-AAECF199B3E3}"/>
    <hyperlink ref="E79" r:id="rId303" xr:uid="{8B92C969-B7C8-4DA9-B555-9D67777EEC60}"/>
    <hyperlink ref="F78" r:id="rId304" xr:uid="{698165E5-9790-4DC6-9875-6093292C2A85}"/>
    <hyperlink ref="F79" r:id="rId305" xr:uid="{6C6A6949-51CA-4C5D-A7C1-0AAA7494DA30}"/>
    <hyperlink ref="C969" r:id="rId306" display="https://enzyme.expasy.org/EC/6.3.2.-" xr:uid="{0AFF439A-EEC3-409F-ABDC-D88A65960190}"/>
    <hyperlink ref="C1010" r:id="rId307" display="https://enzyme.expasy.org/EC/7.-.-.-" xr:uid="{119D78D1-0379-4C16-BBD1-B65FC569675E}"/>
    <hyperlink ref="C711" r:id="rId308" display="https://enzyme.expasy.org/EC/3.4.-.-" xr:uid="{8CCFD009-F4D7-4CD0-8AC8-77D53B5D4FAC}"/>
    <hyperlink ref="C850" r:id="rId309" display="https://enzyme.expasy.org/EC/4.3.1.1" xr:uid="{B8D67879-18E8-4075-BCEF-EDBBB5990FC8}"/>
    <hyperlink ref="E850" r:id="rId310" xr:uid="{694F1823-F88A-4C40-AB5F-0286021D7BD9}"/>
    <hyperlink ref="F850" r:id="rId311" xr:uid="{D79ACB5B-464B-4A3D-BC22-58A835399995}"/>
    <hyperlink ref="C527" r:id="rId312" display="https://enzyme.expasy.org/EC/3.-.-.-" xr:uid="{21001BE8-34AE-4362-B2E1-41C2BF1AC9DF}"/>
    <hyperlink ref="C181" r:id="rId313" display="https://enzyme.expasy.org/EC/2.1.1.63" xr:uid="{C568C9EE-0E46-48E2-A840-8FD907B7D763}"/>
    <hyperlink ref="E181" r:id="rId314" xr:uid="{E9B81EF9-015A-4BFF-A0A6-47E57D14093B}"/>
    <hyperlink ref="F181" r:id="rId315" xr:uid="{883F1BFD-3851-4A73-8AC5-86207D2A9357}"/>
    <hyperlink ref="C515" r:id="rId316" display="https://enzyme.expasy.org/EC/2.7.8.7" xr:uid="{08DD9C4C-5292-4FC8-8767-78618C8B04C2}"/>
    <hyperlink ref="E515" r:id="rId317" xr:uid="{D84BD55E-1AE0-4CD7-9295-C9405120DD91}"/>
    <hyperlink ref="F515" r:id="rId318" xr:uid="{B5CA2F1E-653B-4CEA-90E1-FB909AE54C90}"/>
    <hyperlink ref="C501" r:id="rId319" display="https://enzyme.expasy.org/EC/2.7.7.8" xr:uid="{69675F6F-9D9E-41F2-9684-89CF1CD299BB}"/>
    <hyperlink ref="C367:C370" r:id="rId320" display="https://enzyme.expasy.org/EC/2.7.7.8" xr:uid="{971E0CD1-2A46-418B-8873-FB46C5F7CA23}"/>
    <hyperlink ref="E501" r:id="rId321" xr:uid="{4185C98E-B88C-4913-ACB9-B8DAF81DE470}"/>
    <hyperlink ref="E367:E370" r:id="rId322" display="https://www.kegg.jp/entry/2.7.7.8" xr:uid="{03835641-FC10-4A84-A0F7-C5C1FB233C04}"/>
    <hyperlink ref="F501" r:id="rId323" xr:uid="{4FCED7E4-61EF-4F47-8505-10F032A06FC6}"/>
    <hyperlink ref="F502" r:id="rId324" xr:uid="{2F94C85B-7B56-421C-895C-267BA526427B}"/>
    <hyperlink ref="F503" r:id="rId325" xr:uid="{8990B37E-3EBD-49D6-A9D1-40F2D6CB3C61}"/>
    <hyperlink ref="F504" r:id="rId326" xr:uid="{2EFB4340-F8D0-4656-B869-149FD2052A41}"/>
    <hyperlink ref="F505" r:id="rId327" xr:uid="{BE0B7F84-E161-4F61-BA4E-F378F2F42FAD}"/>
    <hyperlink ref="C3" r:id="rId328" display="https://enzyme.expasy.org/EC/1.-.-.-" xr:uid="{2373900A-3A31-4010-AB8A-B63F3F8A4CAA}"/>
    <hyperlink ref="C546" r:id="rId329" display="https://enzyme.expasy.org/EC/3.1.-.-" xr:uid="{42A08532-02D9-4EFE-ADD0-137D33C54EB9}"/>
    <hyperlink ref="C946" r:id="rId330" display="https://enzyme.expasy.org/EC/6.1.1.16" xr:uid="{98155A5A-3374-48DC-9D9F-4B6A9512793C}"/>
    <hyperlink ref="E946" r:id="rId331" xr:uid="{4F4ADC01-4944-4CDB-8027-71CDF8EB016A}"/>
    <hyperlink ref="F946" r:id="rId332" xr:uid="{C32953E0-A687-40DE-9BF7-FCE4FECCC48D}"/>
    <hyperlink ref="C182" r:id="rId333" display="https://enzyme.expasy.org/EC/2.1.1.72" xr:uid="{96832684-3227-4E27-BE63-53C6CFFFEB7F}"/>
    <hyperlink ref="E182" r:id="rId334" xr:uid="{000B601E-4D3C-4878-BB16-0556C059E74C}"/>
    <hyperlink ref="F182" r:id="rId335" xr:uid="{27D378AA-21D6-4E23-903E-E6FD80E7B653}"/>
    <hyperlink ref="C199" r:id="rId336" display="https://enzyme.expasy.org/EC/2.2.1.6" xr:uid="{CA6CC95F-E5B9-4E62-8815-65660FFE386E}"/>
    <hyperlink ref="E199" r:id="rId337" xr:uid="{DD332F9D-CE60-48EF-BBCA-7B6EB709563D}"/>
    <hyperlink ref="C394:C399" r:id="rId338" display="https://enzyme.expasy.org/EC/2.2.1.6" xr:uid="{9C04DDB0-91A2-4610-8F34-844A8C2A4602}"/>
    <hyperlink ref="E394:E399" r:id="rId339" display="https://www.kegg.jp/entry/2.2.1.6" xr:uid="{71911075-EC93-46F9-AD72-59F05006CBFD}"/>
    <hyperlink ref="F199" r:id="rId340" xr:uid="{6497382F-79B8-402B-B108-1F2D3B6E015E}"/>
    <hyperlink ref="F200" r:id="rId341" xr:uid="{4302E2D5-07C0-40AE-B1B7-3BD30B85FC03}"/>
    <hyperlink ref="F201" r:id="rId342" xr:uid="{004C458C-5798-4FD2-828F-3A327C897BBE}"/>
    <hyperlink ref="F202" r:id="rId343" xr:uid="{49CF4BDA-8A72-4CC0-BECF-69F617E04A6F}"/>
    <hyperlink ref="F203" r:id="rId344" xr:uid="{69DC0C9A-8B10-445E-9ACE-82D72A6B9591}"/>
    <hyperlink ref="F204" r:id="rId345" xr:uid="{BEF08A5C-66AE-4B49-8CAF-2329BD025C94}"/>
    <hyperlink ref="F205" r:id="rId346" xr:uid="{C0718AAE-8DE2-48AA-8784-4045F890B82B}"/>
    <hyperlink ref="C574" r:id="rId347" display="https://enzyme.expasy.org/EC/3.1.26.3" xr:uid="{082C9DD4-A46A-4DD1-AC3C-160DC4E99FF8}"/>
    <hyperlink ref="E574" r:id="rId348" xr:uid="{89EF8E48-603D-4871-A92E-09C1E4EA64C4}"/>
    <hyperlink ref="C425" r:id="rId349" display="https://enzyme.expasy.org/EC/2.7.7.3" xr:uid="{DAF4FAC3-2040-4602-9AC0-97AF30919FBB}"/>
    <hyperlink ref="E425" r:id="rId350" xr:uid="{412DBCCE-4D55-412F-B281-3FBD147453E4}"/>
    <hyperlink ref="F425" r:id="rId351" xr:uid="{0B59573B-8DEC-4DEB-AF04-EEAA83CEAB01}"/>
    <hyperlink ref="C986" r:id="rId352" display="https://enzyme.expasy.org/EC/6.3.4.21" xr:uid="{296D36FF-0CD3-46A3-B003-C88192F7E666}"/>
    <hyperlink ref="E986" r:id="rId353" xr:uid="{C74BE722-002D-4388-966D-98C9401455E8}"/>
    <hyperlink ref="F986" r:id="rId354" xr:uid="{82BB7515-2752-4164-A7CA-EE9DB7466B21}"/>
    <hyperlink ref="C428" r:id="rId355" display="https://enzyme.expasy.org/EC/2.7.7.56" xr:uid="{2CE0276E-65A4-48C6-BFBC-2EB7BE07413E}"/>
    <hyperlink ref="E428" r:id="rId356" xr:uid="{4F6F9D91-10DF-41EA-872F-D9AF2BE8EA79}"/>
    <hyperlink ref="F428" r:id="rId357" xr:uid="{F2AAFBAA-DC9C-4861-B432-AC7BDBA4E6C8}"/>
    <hyperlink ref="C778" r:id="rId358" display="https://enzyme.expasy.org/EC/3.6.1.-" xr:uid="{DB1B0F05-B80A-4E78-B26E-4E06C06EEB02}"/>
    <hyperlink ref="C907" r:id="rId359" display="https://enzyme.expasy.org/EC/5.3.1.9" xr:uid="{38B5B708-621B-4ADF-A2F0-9FEAF552A15D}"/>
    <hyperlink ref="C417:C420" r:id="rId360" display="https://enzyme.expasy.org/EC/5.3.1.9" xr:uid="{B91C6EB0-C626-4979-A3DA-405FC67C32ED}"/>
    <hyperlink ref="E907" r:id="rId361" xr:uid="{DA076562-50A7-4BD9-BEBB-FA520564203E}"/>
    <hyperlink ref="E417:E420" r:id="rId362" display="https://www.kegg.jp/entry/5.3.1.9" xr:uid="{6BBE4DC6-6507-430A-A53A-DED84CC973B7}"/>
    <hyperlink ref="F907" r:id="rId363" xr:uid="{3EDC90DA-6D76-4673-AE3D-A453AF9C4E4C}"/>
    <hyperlink ref="F908" r:id="rId364" xr:uid="{5715FA35-FF5D-48CA-BABB-C9159A6D09AE}"/>
    <hyperlink ref="F909" r:id="rId365" xr:uid="{BF68EC41-537B-4719-B953-1CA64E27D267}"/>
    <hyperlink ref="F910" r:id="rId366" xr:uid="{111D5F19-6E7E-475E-8045-40030B480E57}"/>
    <hyperlink ref="F911" r:id="rId367" xr:uid="{635083CC-19B2-40FE-BE9E-4BCF3ED496C6}"/>
    <hyperlink ref="C1034" r:id="rId368" display="https://enzyme.expasy.org/EC/7.5.2.-" xr:uid="{CD2EDB6D-B287-4870-8FB3-C9A437D1F647}"/>
    <hyperlink ref="C730" r:id="rId369" display="https://enzyme.expasy.org/EC/3.4.21.89" xr:uid="{F1A71F46-E82D-4073-9EE4-5567F1DBE3CD}"/>
    <hyperlink ref="E730" r:id="rId370" xr:uid="{DD0EF90D-545C-4351-84D4-532400995077}"/>
    <hyperlink ref="C575" r:id="rId371" display="https://enzyme.expasy.org/EC/3.1.26.4" xr:uid="{5EA0EECD-B6B8-4237-A8AD-916E4AB09B84}"/>
    <hyperlink ref="E575" r:id="rId372" xr:uid="{33268700-FD74-4B39-9C58-C09622379525}"/>
    <hyperlink ref="C958" r:id="rId373" display="https://enzyme.expasy.org/EC/6.2.1.-" xr:uid="{F4343306-85E9-432A-AF1D-094A4F457AD7}"/>
    <hyperlink ref="C1035" r:id="rId374" display="https://enzyme.expasy.org/EC/7.5.2.-" xr:uid="{CB3251F8-FE55-4173-B6FA-D683A471B805}"/>
    <hyperlink ref="C640" r:id="rId375" display="https://enzyme.expasy.org/EC/3.2.1.23" xr:uid="{B35BC98C-2F2A-4F06-A140-8AE4DDCF6DE0}"/>
    <hyperlink ref="C436:C449" r:id="rId376" display="https://enzyme.expasy.org/EC/3.2.1.23" xr:uid="{F3A5335F-1FB9-49DC-9DD9-9BA010DE3357}"/>
    <hyperlink ref="E640" r:id="rId377" xr:uid="{EFFA01C2-EDE1-4F87-99CC-7889C3FEEE32}"/>
    <hyperlink ref="E436:E449" r:id="rId378" display="https://www.kegg.jp/entry/3.2.1.23" xr:uid="{CA01CB1A-BDA7-4583-B9B4-F5F79058AD55}"/>
    <hyperlink ref="F640" r:id="rId379" xr:uid="{D70608CB-B4F5-41B6-A128-9F42D4CE0520}"/>
    <hyperlink ref="F641" r:id="rId380" xr:uid="{B9FF14AE-BFC4-4037-BAA9-059AEC8D5F4D}"/>
    <hyperlink ref="F642" r:id="rId381" xr:uid="{B841FFC8-F636-42D0-9999-F0C97DE36587}"/>
    <hyperlink ref="F643" r:id="rId382" xr:uid="{E4CCFAF8-D680-4906-9472-A556BCAD9B98}"/>
    <hyperlink ref="F644" r:id="rId383" xr:uid="{FAFD683E-714C-480E-A3D9-79FAA946D923}"/>
    <hyperlink ref="F645" r:id="rId384" xr:uid="{54751914-03A9-4AAF-9C70-2B4A48A294EB}"/>
    <hyperlink ref="F646" r:id="rId385" xr:uid="{7F7EE99F-2594-4244-8C17-82A0B18DF876}"/>
    <hyperlink ref="F647" r:id="rId386" xr:uid="{8A33D798-5092-4EE2-AA4B-142CACC73D3F}"/>
    <hyperlink ref="F648" r:id="rId387" xr:uid="{2DF7D639-EF87-4C47-AD64-0753D29D1054}"/>
    <hyperlink ref="F649" r:id="rId388" xr:uid="{91916D2D-EE85-40AB-8523-CCEE3CE96473}"/>
    <hyperlink ref="F650" r:id="rId389" xr:uid="{371EDB37-2F71-4621-BCDD-99AE9F93AC2F}"/>
    <hyperlink ref="F651" r:id="rId390" xr:uid="{119429D6-C9FD-404A-A629-FD2644C544A7}"/>
    <hyperlink ref="F652" r:id="rId391" xr:uid="{927BE06B-7158-4AE7-AFF2-55EBB3C7518D}"/>
    <hyperlink ref="F653" r:id="rId392" xr:uid="{D1AEB360-57FB-4617-B064-F8B9DF350833}"/>
    <hyperlink ref="F654" r:id="rId393" xr:uid="{7B5D6BBB-A0FD-4398-A372-890A834C65C2}"/>
    <hyperlink ref="C14" r:id="rId394" display="https://enzyme.expasy.org/EC/1.1.1.-" xr:uid="{6CF5A26A-6791-4D0B-BB91-56B332653A94}"/>
    <hyperlink ref="C509" r:id="rId395" display="https://enzyme.expasy.org/EC/2.7.8.-" xr:uid="{858E07FE-6EBA-4037-B939-B1E19C063CD3}"/>
    <hyperlink ref="C521" r:id="rId396" display="https://enzyme.expasy.org/EC/2.8.4.2" xr:uid="{0910476F-3477-493A-9C28-60D1D33442A6}"/>
    <hyperlink ref="E521" r:id="rId397" xr:uid="{C2C9F494-661A-463F-AB56-696E00E9D58E}"/>
    <hyperlink ref="C242" r:id="rId398" display="https://enzyme.expasy.org/EC/2.4.-.-" xr:uid="{F1E9A278-96B8-493E-8C33-5B22B5427B24}"/>
    <hyperlink ref="C150" r:id="rId399" display="https://enzyme.expasy.org/EC/2.-.-.-" xr:uid="{E54B5080-D989-488C-8ED2-09996FFFB699}"/>
    <hyperlink ref="C243" r:id="rId400" display="https://enzyme.expasy.org/EC/2.4.-.-" xr:uid="{D6E1ED6D-D7F9-4613-8F86-8EDC0019EB5F}"/>
    <hyperlink ref="C785" r:id="rId401" display="https://enzyme.expasy.org/EC/3.6.1.22" xr:uid="{F1EF0BE0-FB0C-46A3-86DD-2C18283FAC73}"/>
    <hyperlink ref="E785" r:id="rId402" xr:uid="{5CBB09B9-9B04-415F-878F-F980FA498F32}"/>
    <hyperlink ref="C62" r:id="rId403" display="https://enzyme.expasy.org/EC/1.1.1.85" xr:uid="{0AEA4A26-8BDD-4EFC-BA6F-0D6B72E26A6E}"/>
    <hyperlink ref="C496:C498" r:id="rId404" display="https://enzyme.expasy.org/EC/1.1.1.85" xr:uid="{BD65F2C0-5C2D-46B2-9AB0-94D69D87167C}"/>
    <hyperlink ref="E62" r:id="rId405" xr:uid="{E00DD437-0480-4614-959F-ADCBDA29DE3E}"/>
    <hyperlink ref="E496:E498" r:id="rId406" display="https://www.kegg.jp/entry/1.1.1.85" xr:uid="{56CB9626-3858-46C8-B9BF-99266A613AA9}"/>
    <hyperlink ref="F62" r:id="rId407" xr:uid="{4CD2CEDF-0C51-4A15-8B1E-933262FD72C0}"/>
    <hyperlink ref="F63" r:id="rId408" xr:uid="{C418FA97-D3B6-46DB-9C15-2224D2C9ECE0}"/>
    <hyperlink ref="F64" r:id="rId409" xr:uid="{64DB7F29-95B3-40E0-948E-88E5D030BCF8}"/>
    <hyperlink ref="F65" r:id="rId410" xr:uid="{661A6CD1-0152-4F92-BDBF-F8C85DFD56B8}"/>
    <hyperlink ref="C244" r:id="rId411" display="https://enzyme.expasy.org/EC/2.4.-.-" xr:uid="{BA67CC0A-1A1D-4038-8BDE-3A011886CDD9}"/>
    <hyperlink ref="C123" r:id="rId412" display="https://enzyme.expasy.org/EC/1.3.5.2" xr:uid="{1967E373-8D69-474B-A34F-438A70C41CA3}"/>
    <hyperlink ref="E123" r:id="rId413" xr:uid="{3150FC53-AB50-49AE-9DA9-638A0F3F7577}"/>
    <hyperlink ref="F123" r:id="rId414" xr:uid="{28CCF115-A493-466D-A7C7-61750CEB1FF5}"/>
    <hyperlink ref="C417" r:id="rId415" display="https://enzyme.expasy.org/EC/2.7.7.12" xr:uid="{5D85FB48-D049-4599-A981-EA0660766E72}"/>
    <hyperlink ref="E417" r:id="rId416" xr:uid="{94A7FDA6-3A65-4E5D-8AC0-8C5BB6BFDFC7}"/>
    <hyperlink ref="F417" r:id="rId417" xr:uid="{FC597CD6-2C17-4E22-8C32-78003AE845F7}"/>
    <hyperlink ref="C374" r:id="rId418" display="https://enzyme.expasy.org/EC/2.7.1.6" xr:uid="{A20E9A7B-2174-4023-A7A1-5A2AFBCA1F4D}"/>
    <hyperlink ref="E374" r:id="rId419" xr:uid="{78B499E0-C3E4-4380-A1EB-BB1A060E0700}"/>
    <hyperlink ref="F374" r:id="rId420" xr:uid="{6F5A3EA1-06BA-4A3C-8C98-0FA89C3ECD9E}"/>
    <hyperlink ref="C174" r:id="rId421" display="https://enzyme.expasy.org/EC/2.1.1.207" xr:uid="{EE22059C-215D-422E-BCAD-C80C1D6D79D9}"/>
    <hyperlink ref="E174" r:id="rId422" xr:uid="{8CB3C0A6-4ADB-4976-AFE1-2500AD6A35AD}"/>
    <hyperlink ref="C429" r:id="rId423" display="https://enzyme.expasy.org/EC/2.7.7.6" xr:uid="{735368E4-2A64-4131-81F4-9909096E96D7}"/>
    <hyperlink ref="C513:C517" r:id="rId424" display="https://enzyme.expasy.org/EC/2.7.7.6" xr:uid="{8D418A35-1654-4918-AB20-33EDF01B7072}"/>
    <hyperlink ref="E429" r:id="rId425" xr:uid="{80289A87-B929-4472-A785-03FF4CB88120}"/>
    <hyperlink ref="E513:E517" r:id="rId426" display="https://www.kegg.jp/entry/2.7.7.6" xr:uid="{3AEB783F-88A9-4BA0-9782-1B4DCE4489DF}"/>
    <hyperlink ref="F429" r:id="rId427" xr:uid="{D70C1D17-C2D6-4C68-A608-3F19CD45F559}"/>
    <hyperlink ref="F430" r:id="rId428" xr:uid="{A76C1538-2529-493C-903B-54979F2F4A9F}"/>
    <hyperlink ref="F431" r:id="rId429" xr:uid="{6C2F697D-3529-47A1-BA49-89BECAC62E43}"/>
    <hyperlink ref="F432" r:id="rId430" xr:uid="{F99634CC-EA6A-4728-B6DD-6CED41D32B16}"/>
    <hyperlink ref="F433" r:id="rId431" xr:uid="{A622FE63-4A43-4565-B769-36113BB6314E}"/>
    <hyperlink ref="F434" r:id="rId432" xr:uid="{A2F9FE16-B60E-43CE-9682-81DC63857613}"/>
    <hyperlink ref="C435" r:id="rId433" display="https://enzyme.expasy.org/EC/2.7.7.6" xr:uid="{B2BC481F-49E0-4FC3-822B-235BDF5503CA}"/>
    <hyperlink ref="C519:C523" r:id="rId434" display="https://enzyme.expasy.org/EC/2.7.7.6" xr:uid="{78D0DA1B-E82F-46B2-B692-CC7F3ED1E8FC}"/>
    <hyperlink ref="E518:E523" r:id="rId435" display="https://www.kegg.jp/entry/2.7.7.6" xr:uid="{22C89F0F-6632-42C2-9672-410986B53B46}"/>
    <hyperlink ref="F435" r:id="rId436" xr:uid="{8368AFE8-D34A-4BEC-B895-BECC1485FECC}"/>
    <hyperlink ref="F436" r:id="rId437" xr:uid="{AA2C926D-B224-4A3A-804B-9656B37EFF7A}"/>
    <hyperlink ref="F437" r:id="rId438" xr:uid="{1C07E44A-0D71-4BB3-BBDC-15F76CD6BF93}"/>
    <hyperlink ref="F438" r:id="rId439" xr:uid="{E441D5AD-8F38-4F6D-A9AF-48BBE27784DF}"/>
    <hyperlink ref="F439" r:id="rId440" xr:uid="{C28622F5-5690-4235-920F-C1BBF2B1E196}"/>
    <hyperlink ref="F440" r:id="rId441" xr:uid="{CE084C7F-C84B-49BF-B454-D14A4A78499F}"/>
    <hyperlink ref="C379" r:id="rId442" display="https://enzyme.expasy.org/EC/2.7.11.-" xr:uid="{AF99C7B0-0368-4076-81DE-8E4C164F4958}"/>
    <hyperlink ref="C86" r:id="rId443" display="https://enzyme.expasy.org/EC/1.17.1.8" xr:uid="{A12FE183-7778-4032-B203-2080896B388F}"/>
    <hyperlink ref="C87" r:id="rId444" display="https://enzyme.expasy.org/EC/1.17.1.8" xr:uid="{E2D4D37D-FB78-4F5D-BD67-7296FEAD5F78}"/>
    <hyperlink ref="E86" r:id="rId445" xr:uid="{269D4611-63B2-4046-AC95-4FDDA19D148D}"/>
    <hyperlink ref="E87" r:id="rId446" xr:uid="{8A0119A1-3C33-487A-AC77-54E7EA8BB6D6}"/>
    <hyperlink ref="F86" r:id="rId447" xr:uid="{92A1E371-4775-4A0F-B44B-1C395686E025}"/>
    <hyperlink ref="F87" r:id="rId448" xr:uid="{33C9C00E-8194-46FA-A67E-555C44C7A930}"/>
    <hyperlink ref="C875" r:id="rId449" display="https://enzyme.expasy.org/EC/4.3.3.7" xr:uid="{D102F28D-4122-413D-AF9E-4E7722CE1207}"/>
    <hyperlink ref="E875" r:id="rId450" xr:uid="{3F3E9A54-83B7-4369-8BF1-3CF65990AB25}"/>
    <hyperlink ref="F875" r:id="rId451" xr:uid="{6FF0372A-E823-4288-AE42-CAC727157384}"/>
    <hyperlink ref="C547" r:id="rId452" display="https://enzyme.expasy.org/EC/3.1.-.-" xr:uid="{FB8DF69C-1C43-4862-B27D-9D1957A82F46}"/>
    <hyperlink ref="C717" r:id="rId453" display="https://enzyme.expasy.org/EC/3.4.11.2" xr:uid="{8AED1688-FA44-4D3A-A952-A4E049B33B70}"/>
    <hyperlink ref="C718" r:id="rId454" display="https://enzyme.expasy.org/EC/3.4.11.2" xr:uid="{06199FEC-C6B6-4398-8440-7B407D2E28A3}"/>
    <hyperlink ref="E717" r:id="rId455" xr:uid="{62E4C8C2-0D5E-4750-B992-AEAC6ED728DD}"/>
    <hyperlink ref="E718" r:id="rId456" xr:uid="{E37CF329-BFF1-499F-AD04-91CCB2D31FDF}"/>
    <hyperlink ref="F717" r:id="rId457" xr:uid="{4B4C5080-8375-4E39-8E42-334172EA2F5D}"/>
    <hyperlink ref="F718" r:id="rId458" xr:uid="{6E1D5F02-65DB-4877-AA5A-2C69E71BAD7F}"/>
    <hyperlink ref="C912" r:id="rId459" display="https://enzyme.expasy.org/EC/5.4.2.10" xr:uid="{A027442A-C570-4F24-9523-54FBA6644D27}"/>
    <hyperlink ref="E912" r:id="rId460" xr:uid="{A9074475-0B76-40D7-A196-B4DD9CC074E8}"/>
    <hyperlink ref="F912" r:id="rId461" xr:uid="{D0E8B001-E4D3-400E-840C-AA5570BD2A6E}"/>
    <hyperlink ref="C752" r:id="rId462" display="https://enzyme.expasy.org/EC/3.5.1.88" xr:uid="{F83F68EC-C05D-41F7-A408-D9B07B1C7214}"/>
    <hyperlink ref="C753" r:id="rId463" display="https://enzyme.expasy.org/EC/3.5.1.88" xr:uid="{1E25831F-65C7-4B2F-9814-55E28E539B3A}"/>
    <hyperlink ref="E752" r:id="rId464" xr:uid="{985F0C65-CFB1-4D49-B1A0-0E0B74F004A6}"/>
    <hyperlink ref="E753" r:id="rId465" xr:uid="{B7226B44-E354-4E0A-A0D7-829C29C8714B}"/>
    <hyperlink ref="F752" r:id="rId466" xr:uid="{E23AD6C0-9247-4C3B-9010-12B5446CC5B7}"/>
    <hyperlink ref="F753" r:id="rId467" xr:uid="{DC29105F-8BFA-44B0-8EC6-C933EEC308B9}"/>
    <hyperlink ref="C318" r:id="rId468" display="https://enzyme.expasy.org/EC/2.6.1.16" xr:uid="{8DD528EF-AC51-430B-922E-7E12F1BD7090}"/>
    <hyperlink ref="E318" r:id="rId469" xr:uid="{E5414A59-8689-4276-8F0E-5D8C9D6AD8CA}"/>
    <hyperlink ref="F318" r:id="rId470" xr:uid="{19DCA28C-1CEB-46FA-A421-8F30560A4BFC}"/>
    <hyperlink ref="C655" r:id="rId471" display="https://enzyme.expasy.org/EC/3.2.1.23" xr:uid="{61FDA954-2625-44C0-A922-8BF10DA4DA1C}"/>
    <hyperlink ref="C557:C570" r:id="rId472" display="https://enzyme.expasy.org/EC/3.2.1.23" xr:uid="{57C93245-A0DE-4DD6-9892-D58A666EF2E5}"/>
    <hyperlink ref="E655" r:id="rId473" xr:uid="{DA938E39-95FC-4AF9-AEC1-5EB3D96CE287}"/>
    <hyperlink ref="E557:E570" r:id="rId474" display="https://www.kegg.jp/entry/3.2.1.23" xr:uid="{8DA202C9-7EC3-4D61-804D-3CAFEF396DA4}"/>
    <hyperlink ref="F655" r:id="rId475" xr:uid="{4A33F384-FB9D-44FF-8D58-EED06EE0729A}"/>
    <hyperlink ref="F656" r:id="rId476" xr:uid="{BA9E082A-D8A9-40A0-BBF6-00235E606297}"/>
    <hyperlink ref="F657" r:id="rId477" xr:uid="{E01D463A-3A78-42B3-9F99-8E68194EFB92}"/>
    <hyperlink ref="F658" r:id="rId478" xr:uid="{CBC9AD23-EEDB-4FE6-BE9C-BDB3050AAE97}"/>
    <hyperlink ref="F659" r:id="rId479" xr:uid="{3807DA59-22D1-41E7-84A6-A18F02AFF05A}"/>
    <hyperlink ref="F660" r:id="rId480" xr:uid="{EFD6E821-DFD0-4DCE-A215-5152860F817D}"/>
    <hyperlink ref="F661" r:id="rId481" xr:uid="{A6E228FB-CAA6-4463-9F4D-CB8A8ACC31C2}"/>
    <hyperlink ref="F662" r:id="rId482" xr:uid="{6CA8D46A-856B-481E-8E29-1D830E482848}"/>
    <hyperlink ref="F663" r:id="rId483" xr:uid="{0A62A1BB-EA4A-45BA-9B66-44672C1ADAFC}"/>
    <hyperlink ref="F664" r:id="rId484" xr:uid="{E62B9A20-F6A3-4830-8F2B-ED9193B26DD9}"/>
    <hyperlink ref="F665" r:id="rId485" xr:uid="{4B96F26D-2402-494A-B3D3-F52B4445DD7A}"/>
    <hyperlink ref="F666" r:id="rId486" xr:uid="{995C069B-58D5-406D-8CA1-F92FFBED941E}"/>
    <hyperlink ref="F667" r:id="rId487" xr:uid="{CBFC58BE-0390-4ED1-9EF8-F781C5308C4A}"/>
    <hyperlink ref="F668" r:id="rId488" xr:uid="{2186F348-0992-4963-9D16-652B023B00FE}"/>
    <hyperlink ref="F669" r:id="rId489" xr:uid="{FA39B98C-4D47-4402-AF5A-A28B71CC7BBC}"/>
    <hyperlink ref="C357" r:id="rId490" display="https://enzyme.expasy.org/EC/2.7.1.33" xr:uid="{B7CA319A-02EB-4028-856E-DF5E6835E838}"/>
    <hyperlink ref="C358" r:id="rId491" display="https://enzyme.expasy.org/EC/2.7.1.33" xr:uid="{1512DE20-B661-42C4-9EB0-84DD83D4CBFB}"/>
    <hyperlink ref="C359" r:id="rId492" display="https://enzyme.expasy.org/EC/2.7.1.33" xr:uid="{4239A5EA-1F51-449E-8BF5-0D564002407D}"/>
    <hyperlink ref="E357" r:id="rId493" xr:uid="{6DCC325F-2F5A-433D-886D-A6C2094713E5}"/>
    <hyperlink ref="E574:E575" r:id="rId494" display="https://www.kegg.jp/entry/2.7.1.33" xr:uid="{53D710D7-2CB2-48BB-A7AD-8171EAA52328}"/>
    <hyperlink ref="F357" r:id="rId495" xr:uid="{977EE12A-3764-469C-9D36-CE161ED42E6A}"/>
    <hyperlink ref="F358" r:id="rId496" xr:uid="{73DE3E0A-D360-4FB6-82E4-C663C703DFEC}"/>
    <hyperlink ref="F359" r:id="rId497" xr:uid="{3808CB8B-F169-4288-A908-AD84AC85A684}"/>
    <hyperlink ref="C296" r:id="rId498" display="https://enzyme.expasy.org/EC/2.5.1.48" xr:uid="{69942AC0-3525-4E96-A1AF-14B494F1CCCE}"/>
    <hyperlink ref="C583:C589" r:id="rId499" display="https://enzyme.expasy.org/EC/2.5.1.48" xr:uid="{A1C182EA-E41B-4E4C-8624-2722735F4FD1}"/>
    <hyperlink ref="E296" r:id="rId500" xr:uid="{FE831540-1234-4CA4-9689-0448E7630EA4}"/>
    <hyperlink ref="E583:E589" r:id="rId501" display="https://www.kegg.jp/entry/2.5.1.48" xr:uid="{7D77FD20-CA17-4B23-AB89-148C9EB31740}"/>
    <hyperlink ref="F296" r:id="rId502" xr:uid="{BB816EEB-1607-42B6-8CFE-974243362874}"/>
    <hyperlink ref="F297" r:id="rId503" xr:uid="{D9B84596-D09C-40E3-869C-66F3EFB3BA53}"/>
    <hyperlink ref="F298" r:id="rId504" xr:uid="{71AD6062-18A0-4AF5-B4D8-78942BDB6E7B}"/>
    <hyperlink ref="F299" r:id="rId505" xr:uid="{CF230FD4-8056-4F36-8E72-DA93337812DF}"/>
    <hyperlink ref="F300" r:id="rId506" xr:uid="{23CC976F-6F32-4149-A6DA-80436754BD85}"/>
    <hyperlink ref="F301" r:id="rId507" xr:uid="{963C7E9A-0FA3-4C5B-BE84-082E57FB7567}"/>
    <hyperlink ref="F302" r:id="rId508" xr:uid="{DB5E67F0-69C7-4C1E-84F1-2E76F416D5B0}"/>
    <hyperlink ref="F303" r:id="rId509" xr:uid="{A0127986-3D56-447F-97C4-408F7441205E}"/>
    <hyperlink ref="C933" r:id="rId510" display="https://enzyme.expasy.org/EC/5.6.2.4" xr:uid="{1A1E2876-26E0-4E9F-8984-65E8A5440A08}"/>
    <hyperlink ref="E933" r:id="rId511" xr:uid="{09B35A59-8271-42E4-8148-AB7F7E05A194}"/>
    <hyperlink ref="C884" r:id="rId512" display="https://enzyme.expasy.org/EC/4.4.1.21" xr:uid="{48CBC669-07D7-49CE-8EAA-B13747FAB040}"/>
    <hyperlink ref="E884" r:id="rId513" xr:uid="{4D861048-E079-4B22-B548-A18C1B00A8F4}"/>
    <hyperlink ref="F884" r:id="rId514" xr:uid="{18CEAD67-9991-4376-908A-C109FA36767F}"/>
    <hyperlink ref="C212" r:id="rId515" display="https://enzyme.expasy.org/EC/2.3.1.-" xr:uid="{AC7970F0-5AB4-4CEC-AF1C-934A9027CD82}"/>
    <hyperlink ref="C887" r:id="rId516" display="https://enzyme.expasy.org/EC/5.1.1.1" xr:uid="{A597E444-0244-48FB-97A0-9F096AA3E759}"/>
    <hyperlink ref="E887" r:id="rId517" xr:uid="{ABFFD49B-D68E-499A-860A-4DC2AFACD961}"/>
    <hyperlink ref="F887" r:id="rId518" xr:uid="{52C85340-0DAD-4F1E-BF75-84AF4C630016}"/>
    <hyperlink ref="C740" r:id="rId519" display="https://enzyme.expasy.org/EC/3.5.1.2" xr:uid="{CC3D60D2-B8B9-40A8-9F25-63E64DD0D252}"/>
    <hyperlink ref="E740" r:id="rId520" xr:uid="{87880CE1-A8C5-4C21-8D89-9185F5784785}"/>
    <hyperlink ref="C601:C602" r:id="rId521" display="https://enzyme.expasy.org/EC/3.5.1.2" xr:uid="{249C4E11-420E-409E-A888-005A7A802DD6}"/>
    <hyperlink ref="E601:E602" r:id="rId522" display="https://www.kegg.jp/entry/3.5.1.2" xr:uid="{06260453-7CD5-4171-A8C1-C9A56DBED91B}"/>
    <hyperlink ref="F740" r:id="rId523" xr:uid="{6450AB89-CDE3-4DCB-9E58-915F1034E6D0}"/>
    <hyperlink ref="F741" r:id="rId524" xr:uid="{46778201-781F-4D15-AAD3-BB3988C22A31}"/>
    <hyperlink ref="F742" r:id="rId525" xr:uid="{4E9589DB-8A60-4C87-8A15-D869FEF41FBF}"/>
    <hyperlink ref="C871" r:id="rId526" display="https://enzyme.expasy.org/EC/4.3.3.6" xr:uid="{56738009-8EF2-4D7A-92B5-A5A1E19AF911}"/>
    <hyperlink ref="E871" r:id="rId527" xr:uid="{816A410E-BB9E-4EB8-98DF-C75A699438EB}"/>
    <hyperlink ref="C872" r:id="rId528" display="https://enzyme.expasy.org/EC/4.3.3.6" xr:uid="{DB59E7F3-22C8-488B-8EF7-5405BDA60F53}"/>
    <hyperlink ref="C873" r:id="rId529" display="https://enzyme.expasy.org/EC/4.3.3.6" xr:uid="{FB08F67C-8A42-43AC-8CC2-1347E07DBD86}"/>
    <hyperlink ref="C874" r:id="rId530" display="https://enzyme.expasy.org/EC/4.3.3.6" xr:uid="{E2C4163A-0D15-454E-BECD-EFF6D67DBF65}"/>
    <hyperlink ref="E872" r:id="rId531" xr:uid="{3F69D292-2BC0-4A25-A44E-C38BE49CF6CB}"/>
    <hyperlink ref="E873" r:id="rId532" xr:uid="{C15A99EE-43C5-4678-8425-3041C72809F5}"/>
    <hyperlink ref="E874" r:id="rId533" xr:uid="{1D76AE08-02F2-40D3-9C88-4CD17E905627}"/>
    <hyperlink ref="F871" r:id="rId534" xr:uid="{DAE70D64-5684-466B-A63C-FDD4BE0C6D07}"/>
    <hyperlink ref="F872" r:id="rId535" xr:uid="{D519E83A-F765-468E-9B30-D2ADBE1173DA}"/>
    <hyperlink ref="F873" r:id="rId536" xr:uid="{ECE428DD-BDCB-4D8C-BE91-7C57402A8863}"/>
    <hyperlink ref="F874" r:id="rId537" xr:uid="{F1318B80-EBDB-4AE8-B261-F6462756CEA4}"/>
    <hyperlink ref="C612" r:id="rId538" display="https://enzyme.expasy.org/EC/3.2.1.-" xr:uid="{860B4565-953C-4C4E-8FC9-1345D6F367E7}"/>
    <hyperlink ref="C146" r:id="rId539" display="https://enzyme.expasy.org/EC/1.8.4.11" xr:uid="{7EBB70B7-779C-448B-812A-08A5ED9BB9F0}"/>
    <hyperlink ref="C147" r:id="rId540" display="https://enzyme.expasy.org/EC/1.8.4.11" xr:uid="{842BE620-CB26-4A09-8165-7348CE0FCAF6}"/>
    <hyperlink ref="E146" r:id="rId541" xr:uid="{A74F6C8D-2D7F-4D5C-B37E-4C1A476F246A}"/>
    <hyperlink ref="E147" r:id="rId542" xr:uid="{C99C1D3F-5A70-48D5-9893-1FCE5223B94C}"/>
    <hyperlink ref="F146" r:id="rId543" xr:uid="{81E4B580-63D3-4A69-911D-E0A353437348}"/>
    <hyperlink ref="F147" r:id="rId544" xr:uid="{CCB5C396-8A99-4D87-9F00-861D924C9080}"/>
    <hyperlink ref="C1042" r:id="rId545" display="https://enzyme.expasy.org/EC/7.6.2.-" xr:uid="{63795A2E-AF57-48A8-898B-C18DE2AF68A4}"/>
    <hyperlink ref="C206" r:id="rId546" display="https://enzyme.expasy.org/EC/2.2.1.7" xr:uid="{725EC46C-D9C9-407D-86AA-B31528274F66}"/>
    <hyperlink ref="E206" r:id="rId547" xr:uid="{FF9F8809-1889-4B25-A152-986B17289A4D}"/>
    <hyperlink ref="F206" r:id="rId548" xr:uid="{593607DB-08AC-4937-8B3B-FAE5E9DCCB3E}"/>
    <hyperlink ref="C809" r:id="rId549" display="https://enzyme.expasy.org/EC/4.1.1.21" xr:uid="{92F009C1-31C5-4C4F-A8D7-C41CC16B3DF9}"/>
    <hyperlink ref="E809" r:id="rId550" xr:uid="{F054DE21-52C9-4FE3-A295-332ADD447DF9}"/>
    <hyperlink ref="F809" r:id="rId551" xr:uid="{5C7E59C9-3ABD-4EA7-ACAD-F9D364ECC775}"/>
    <hyperlink ref="C921" r:id="rId552" display="https://enzyme.expasy.org/EC/5.4.99.18" xr:uid="{C83E6280-DCC9-4B73-8E5B-3C93BA6A70AB}"/>
    <hyperlink ref="E921" r:id="rId553" xr:uid="{E0C87B95-14F8-4E64-9B06-1E16EB5F3222}"/>
    <hyperlink ref="F921" r:id="rId554" xr:uid="{D98B9965-8EDA-4AF2-9319-64FAE19232C8}"/>
    <hyperlink ref="C981" r:id="rId555" display="https://enzyme.expasy.org/EC/6.3.4.18" xr:uid="{E49808BC-62C7-4B34-983C-E201AF5D7807}"/>
    <hyperlink ref="E981" r:id="rId556" xr:uid="{F20A5954-082A-44AA-B433-D74528DC08AC}"/>
    <hyperlink ref="F981" r:id="rId557" xr:uid="{A456247F-3149-42BE-BE29-4B7FECBC86EC}"/>
    <hyperlink ref="C112" r:id="rId558" display="https://enzyme.expasy.org/EC/1.2.1.-" xr:uid="{C5ECDC06-CEFC-474E-92E6-B18AB8D02577}"/>
    <hyperlink ref="C980" r:id="rId559" display="https://enzyme.expasy.org/EC/6.3.4.13" xr:uid="{62C4211B-4975-4626-A43B-291392377EA7}"/>
    <hyperlink ref="E980" r:id="rId560" xr:uid="{7D445A75-B5C2-4808-A506-632A507B0064}"/>
    <hyperlink ref="F980" r:id="rId561" xr:uid="{C29E4B57-697E-4C81-BE0D-B8177C5CB67C}"/>
    <hyperlink ref="C977" r:id="rId562" display="https://enzyme.expasy.org/EC/6.3.3.1" xr:uid="{9B2BE314-4DE8-467F-847A-B19C4ED974C3}"/>
    <hyperlink ref="E977" r:id="rId563" xr:uid="{C8523B69-F51D-4B68-8970-44141F8D87C2}"/>
    <hyperlink ref="F977" r:id="rId564" xr:uid="{04C26F7A-F26F-4182-B14D-759E6650B9FD}"/>
    <hyperlink ref="C276" r:id="rId565" display="https://enzyme.expasy.org/EC/2.4.2.14" xr:uid="{BDF58CE6-F49D-4130-B0DF-8957C737A2D0}"/>
    <hyperlink ref="E276" r:id="rId566" xr:uid="{6C406074-E0B8-4820-9458-812CA834DFEE}"/>
    <hyperlink ref="F276" r:id="rId567" xr:uid="{5704F340-065B-43AB-9B10-DAEF1164CD1C}"/>
    <hyperlink ref="C466" r:id="rId568" display="https://enzyme.expasy.org/EC/2.7.7.7" xr:uid="{0153D14B-CCF0-4C1A-84EA-647505BB45A8}"/>
    <hyperlink ref="E466" r:id="rId569" xr:uid="{B6E8C934-686E-465F-A3AE-18C590AB2BE7}"/>
    <hyperlink ref="C467" r:id="rId570" display="https://enzyme.expasy.org/EC/2.7.7.7" xr:uid="{B97D16EA-D67B-4305-88C3-09AE2B51AD79}"/>
    <hyperlink ref="C468" r:id="rId571" display="https://enzyme.expasy.org/EC/2.7.7.7" xr:uid="{18CC8291-54E1-4F01-AECF-C345F0ECA226}"/>
    <hyperlink ref="C469" r:id="rId572" display="https://enzyme.expasy.org/EC/2.7.7.7" xr:uid="{52250D73-9AC0-432E-865F-1DC16ACDFEEA}"/>
    <hyperlink ref="C470" r:id="rId573" display="https://enzyme.expasy.org/EC/2.7.7.7" xr:uid="{C8DBB564-A7FD-45CB-A150-310F9AFD819C}"/>
    <hyperlink ref="E467" r:id="rId574" xr:uid="{99E90F05-5212-471B-8061-665411D38AAA}"/>
    <hyperlink ref="E468" r:id="rId575" xr:uid="{9D8A1875-156E-4FA7-BAD8-3265A98CE47C}"/>
    <hyperlink ref="E469" r:id="rId576" xr:uid="{5362685A-363F-4A90-8D6F-D8EACD3A27FE}"/>
    <hyperlink ref="E470" r:id="rId577" xr:uid="{A93378D1-77A1-4974-8F9E-D9AA2256664F}"/>
    <hyperlink ref="F466" r:id="rId578" xr:uid="{9DDA8F1D-4BDC-4690-8F84-654EF2AAFAA0}"/>
    <hyperlink ref="F467" r:id="rId579" xr:uid="{314294B5-4BCC-481B-872C-F38896E29220}"/>
    <hyperlink ref="F468" r:id="rId580" xr:uid="{56DBEFF8-2E12-4177-9A57-13F4CF330DBF}"/>
    <hyperlink ref="F469" r:id="rId581" xr:uid="{731C9141-243F-4F4C-8F42-A48C54DBF5C9}"/>
    <hyperlink ref="C471" r:id="rId582" display="https://enzyme.expasy.org/EC/2.7.7.7" xr:uid="{E1784583-53A0-4D13-BFDE-DFF110C7DC8E}"/>
    <hyperlink ref="E471" r:id="rId583" xr:uid="{443742C8-3315-4734-BED9-FDBC737B7AE6}"/>
    <hyperlink ref="F470" r:id="rId584" xr:uid="{E8359E6E-1040-4183-9D29-409C33DBE1AC}"/>
    <hyperlink ref="F471" r:id="rId585" xr:uid="{13468303-7BBC-4F88-98E4-4A1F41172A9B}"/>
    <hyperlink ref="C703" r:id="rId586" display="https://enzyme.expasy.org/EC/3.2.2.15" xr:uid="{DC07EFD2-D99A-4524-A1CB-E68772EAC4BC}"/>
    <hyperlink ref="E703" r:id="rId587" xr:uid="{9C35C2B4-63FA-471A-A181-0C0E414EFFBC}"/>
    <hyperlink ref="C528" r:id="rId588" display="https://enzyme.expasy.org/EC/3.-.-.-" xr:uid="{CEE6FA0A-7B88-4078-8D91-18489106E516}"/>
    <hyperlink ref="C996" r:id="rId589" display="https://enzyme.expasy.org/EC/6.3.5.3" xr:uid="{E0D2801A-8703-46D9-9201-B0C0EA2AA83A}"/>
    <hyperlink ref="E996" r:id="rId590" xr:uid="{C810BB4E-2C77-4403-BE0C-6521FE02142E}"/>
    <hyperlink ref="F996" r:id="rId591" xr:uid="{44903FB3-420B-4B4B-99D3-597ABBA70AD6}"/>
    <hyperlink ref="C974" r:id="rId592" display="https://enzyme.expasy.org/EC/6.3.2.6" xr:uid="{A016B1BB-D58E-4A59-B064-540AF507A15B}"/>
    <hyperlink ref="E974" r:id="rId593" xr:uid="{B966ABBB-2885-40FC-AED2-D1A25B01D328}"/>
    <hyperlink ref="F974" r:id="rId594" xr:uid="{B3DC39D1-2986-45E4-8934-8650E7E63AD7}"/>
    <hyperlink ref="C186" r:id="rId595" display="https://enzyme.expasy.org/EC/2.1.2.-" xr:uid="{6DB77479-2CEC-46B0-95A1-63F2C8E5EB79}"/>
    <hyperlink ref="C312" r:id="rId596" display="https://enzyme.expasy.org/EC/2.6.1.-" xr:uid="{A64ECED7-0E16-4891-B28C-19EA4870006C}"/>
    <hyperlink ref="C213" r:id="rId597" display="https://enzyme.expasy.org/EC/2.3.1.-" xr:uid="{A1764AE6-B2ED-42C4-92CE-2DF1BB932AF3}"/>
    <hyperlink ref="C4" r:id="rId598" display="https://enzyme.expasy.org/EC/1.-.-.-" xr:uid="{B7767D91-F046-4C55-AF26-108A0291E0E5}"/>
    <hyperlink ref="C15" r:id="rId599" display="https://enzyme.expasy.org/EC/1.1.1.-" xr:uid="{B1927DCA-23F3-4C26-A853-20054E932379}"/>
    <hyperlink ref="C234" r:id="rId600" display="https://enzyme.expasy.org/EC/2.3.2.-" xr:uid="{4C16FD72-2291-4159-AFCE-5EED5CDA01C1}"/>
    <hyperlink ref="C1036" r:id="rId601" display="https://enzyme.expasy.org/EC/7.5.2.-" xr:uid="{A5D191D2-9536-49D0-957C-E2ABDB2554FE}"/>
    <hyperlink ref="C997" r:id="rId602" display="https://enzyme.expasy.org/EC/6.3.5.5" xr:uid="{187E22CC-3D9E-4966-BB12-655779C8AE27}"/>
    <hyperlink ref="E997" r:id="rId603" xr:uid="{92C79653-37F6-4EFF-A285-AAA1966EF106}"/>
    <hyperlink ref="C998" r:id="rId604" display="https://enzyme.expasy.org/EC/6.3.5.5" xr:uid="{C575725F-A79D-4639-A7B0-D8EEADCB19C4}"/>
    <hyperlink ref="C999" r:id="rId605" display="https://enzyme.expasy.org/EC/6.3.5.5" xr:uid="{F3979269-1F6B-4EFB-96D0-2563E6C837A4}"/>
    <hyperlink ref="C1000" r:id="rId606" display="https://enzyme.expasy.org/EC/6.3.5.5" xr:uid="{8E13B8BE-C970-4E43-BE9B-0210614533EF}"/>
    <hyperlink ref="C1001" r:id="rId607" display="https://enzyme.expasy.org/EC/6.3.5.5" xr:uid="{0EF17F37-E8B4-47A2-BC96-C5F8DC5E833E}"/>
    <hyperlink ref="C1002" r:id="rId608" display="https://enzyme.expasy.org/EC/6.3.5.5" xr:uid="{D7DA52F2-90B6-4B73-8D4D-09D22C5819EB}"/>
    <hyperlink ref="E998" r:id="rId609" xr:uid="{BB089DD0-DD50-4A8D-BA37-F92593CD2ADE}"/>
    <hyperlink ref="E999" r:id="rId610" xr:uid="{5EF1D51A-3B28-4F5E-8521-58EEB3A98A93}"/>
    <hyperlink ref="E1000" r:id="rId611" xr:uid="{53C5015A-C47B-4B48-A429-1FE7743BDAFB}"/>
    <hyperlink ref="E1001" r:id="rId612" xr:uid="{FDFA17F5-6D7F-425C-BB93-F773DAAB3882}"/>
    <hyperlink ref="E1002" r:id="rId613" xr:uid="{F9BE379B-256F-4537-8EFA-C7EBC1B3E885}"/>
    <hyperlink ref="F997" r:id="rId614" xr:uid="{D68F0766-3959-41D5-9E4A-F322012D8395}"/>
    <hyperlink ref="F998" r:id="rId615" xr:uid="{C5A7667D-BD8E-4474-9D20-6F67FA3C173F}"/>
    <hyperlink ref="F999" r:id="rId616" xr:uid="{9C960388-D506-42EB-A622-B5BDCFDA2F55}"/>
    <hyperlink ref="F1000" r:id="rId617" xr:uid="{03C2F2AB-C998-445E-8271-09D6C8D924DB}"/>
    <hyperlink ref="F1001" r:id="rId618" xr:uid="{11E53B12-B336-4D71-AC97-8FEC6A1B5C1A}"/>
    <hyperlink ref="F1002" r:id="rId619" xr:uid="{EA3D36A6-062E-4804-B4F8-75F52FD094C6}"/>
    <hyperlink ref="C720:C725" r:id="rId620" display="https://enzyme.expasy.org/EC/6.3.5.5" xr:uid="{97D5675C-BA08-478F-9278-4BF162888C15}"/>
    <hyperlink ref="E720:E725" r:id="rId621" display="https://www.kegg.jp/entry/6.3.5.5" xr:uid="{8C16863B-04CE-48DC-88DC-10569C6CF4A8}"/>
    <hyperlink ref="F1003" r:id="rId622" xr:uid="{99989D5E-D377-4D35-A5F5-B40B9A0EFFB2}"/>
    <hyperlink ref="F1004" r:id="rId623" xr:uid="{A24185A2-25B9-4001-91B7-48BD7F390D5F}"/>
    <hyperlink ref="F1005" r:id="rId624" xr:uid="{0F0AFD83-FE61-47EC-8BA7-8423D2394EF1}"/>
    <hyperlink ref="F1006" r:id="rId625" xr:uid="{B1DEE4D8-AD35-4729-8474-5B280920CF55}"/>
    <hyperlink ref="F1007" r:id="rId626" xr:uid="{3AA4B9FB-1795-43FE-9212-391997EDA671}"/>
    <hyperlink ref="F1008" r:id="rId627" xr:uid="{C46A0BEE-DF44-4D4A-A847-442277A5912D}"/>
    <hyperlink ref="C810" r:id="rId628" display="https://enzyme.expasy.org/EC/4.1.1.23" xr:uid="{2C9479FD-2EBE-4E0F-8BC3-673AEA03F229}"/>
    <hyperlink ref="E810" r:id="rId629" xr:uid="{50690893-4AD1-42CD-968C-5D1782E60895}"/>
    <hyperlink ref="F810" r:id="rId630" xr:uid="{F0C8A4FE-CEB3-40D9-AD16-C0C914613461}"/>
    <hyperlink ref="C404" r:id="rId631" display="https://enzyme.expasy.org/EC/2.7.4.8" xr:uid="{1E6C003F-5F4F-4642-8AAB-8AEFF9FF9797}"/>
    <hyperlink ref="E404" r:id="rId632" xr:uid="{C870D95B-3ECB-4DDF-B37E-F0F858D415A8}"/>
    <hyperlink ref="C405" r:id="rId633" display="https://enzyme.expasy.org/EC/2.7.4.8" xr:uid="{4573D910-A6FD-40C0-B736-A8900F98CF65}"/>
    <hyperlink ref="C406" r:id="rId634" display="https://enzyme.expasy.org/EC/2.7.4.8" xr:uid="{1D34BBD0-408E-4C7C-AE5E-6BF3AE70F8FF}"/>
    <hyperlink ref="E405" r:id="rId635" xr:uid="{9092B259-2F82-43CB-99D5-D454EF52912F}"/>
    <hyperlink ref="E406" r:id="rId636" xr:uid="{EA2F9B14-17C8-4661-8C98-5C5DF969AF0E}"/>
    <hyperlink ref="F404" r:id="rId637" xr:uid="{3E8D7110-189A-4624-9BF2-F76B0A18E570}"/>
    <hyperlink ref="F405" r:id="rId638" xr:uid="{8AEE8846-54F7-49A5-9E5F-1240A7121D11}"/>
    <hyperlink ref="F406" r:id="rId639" xr:uid="{D92D16A5-257F-4BB5-9120-17E6F9024060}"/>
    <hyperlink ref="C559" r:id="rId640" display="https://enzyme.expasy.org/EC/3.1.11.-" xr:uid="{FEC846FD-52B9-481C-B545-2D2BFEBDA4F9}"/>
    <hyperlink ref="C529" r:id="rId641" display="https://enzyme.expasy.org/EC/3.-.-.-" xr:uid="{3654AAEB-14F4-47AF-81D1-20BB520B91D9}"/>
    <hyperlink ref="C888" r:id="rId642" display="https://enzyme.expasy.org/EC/5.1.1.3" xr:uid="{C23AB86F-99BA-41CA-BD5F-B06CB00717C2}"/>
    <hyperlink ref="E888" r:id="rId643" xr:uid="{63054F1D-D3FB-4225-A6CF-2E4E0A154B0D}"/>
    <hyperlink ref="F888" r:id="rId644" xr:uid="{149AB5E7-2CF8-4766-992E-09C9EC404AB5}"/>
    <hyperlink ref="C889" r:id="rId645" display="https://enzyme.expasy.org/EC/5.1.1.7" xr:uid="{25F03461-746D-42DC-9B1F-185D81A91085}"/>
    <hyperlink ref="E889" r:id="rId646" xr:uid="{730DDA5E-75EC-44C3-B0BB-B9681F54C845}"/>
    <hyperlink ref="F889" r:id="rId647" xr:uid="{7B9BA883-C545-4248-808F-C88DA15939B2}"/>
    <hyperlink ref="C791" r:id="rId648" display="https://enzyme.expasy.org/EC/3.6.4.-" xr:uid="{B0F1370F-2A7A-460D-BEB9-C01E0BF57A26}"/>
    <hyperlink ref="C934" r:id="rId649" display="https://enzyme.expasy.org/EC/5.6.2.4" xr:uid="{81A6F943-7CFA-441C-9B77-8447BD97849F}"/>
    <hyperlink ref="E934" r:id="rId650" xr:uid="{1906BAA8-9FBB-4C37-AE0F-6EE061644A5A}"/>
    <hyperlink ref="C712" r:id="rId651" display="https://enzyme.expasy.org/EC/3.4.-.-" xr:uid="{6A69E6ED-D555-4BE4-A601-0D3DA20DF1D5}"/>
    <hyperlink ref="C727" r:id="rId652" display="https://enzyme.expasy.org/EC/3.4.21.-" xr:uid="{FCA20627-E436-4D6F-B5ED-95A08BBDD07C}"/>
    <hyperlink ref="C42" r:id="rId653" display="https://enzyme.expasy.org/EC/1.1.1.267" xr:uid="{826E65B6-4FA7-4EA7-86F1-57CE5806C5E3}"/>
    <hyperlink ref="E42" r:id="rId654" xr:uid="{CF382256-909D-43F5-A508-1B882949F644}"/>
    <hyperlink ref="F42" r:id="rId655" xr:uid="{BEB7959B-8D3B-4C2D-BF91-DD7E710D1F42}"/>
    <hyperlink ref="C109" r:id="rId656" display="https://enzyme.expasy.org/EC/1.17.7.1" xr:uid="{D5724357-8E9A-4343-8D6C-001B9426CFAF}"/>
    <hyperlink ref="E109" r:id="rId657" xr:uid="{35B8D44B-1687-46FA-8506-82FB409F6E0E}"/>
    <hyperlink ref="F109" r:id="rId658" xr:uid="{A725AF42-DF7B-47B6-A504-28ADE464A5CF}"/>
    <hyperlink ref="C530" r:id="rId659" display="https://enzyme.expasy.org/EC/3.-.-.-" xr:uid="{AB13FC97-587A-443F-A21A-99F988518843}"/>
    <hyperlink ref="C313" r:id="rId660" display="https://enzyme.expasy.org/EC/2.6.1.-" xr:uid="{D3F9F073-09CF-4722-A65C-063F15257F66}"/>
    <hyperlink ref="C1009" r:id="rId661" display="https://enzyme.expasy.org/EC/6.5.1.2" xr:uid="{8A334974-D563-48D9-8138-F05B0A1DCE87}"/>
    <hyperlink ref="E1009" r:id="rId662" xr:uid="{517EDD61-D871-4797-ADA2-9A35EAF535C0}"/>
    <hyperlink ref="F1009" r:id="rId663" xr:uid="{D56B4BF2-F8E8-4861-B7D8-1343D00CE4A0}"/>
    <hyperlink ref="C967" r:id="rId664" display="https://enzyme.expasy.org/EC/6.3.1.2" xr:uid="{0FF82494-D394-4D81-9789-BB76F1488454}"/>
    <hyperlink ref="E967" r:id="rId665" xr:uid="{54D8F55A-C6EE-45D5-AF15-E0A0AB95A271}"/>
    <hyperlink ref="F967" r:id="rId666" xr:uid="{2A1A2270-1728-4EFF-8690-B1DF7A0C16DA}"/>
    <hyperlink ref="C5" r:id="rId667" display="https://enzyme.expasy.org/EC/1.-.-.-" xr:uid="{F5FEA888-8FF1-4491-B984-92413407EC79}"/>
    <hyperlink ref="C154" r:id="rId668" display="https://enzyme.expasy.org/EC/2.1.1.-" xr:uid="{EEB21614-5003-425D-A3A3-EA3E05B597BA}"/>
    <hyperlink ref="C950" r:id="rId669" display="https://enzyme.expasy.org/EC/6.1.1.20" xr:uid="{7B8BEB47-C9CD-4136-BB3F-C878625B0CA4}"/>
    <hyperlink ref="E950" r:id="rId670" xr:uid="{6EFF611A-EFB3-4A4D-A72F-4AF6EB89A6B4}"/>
    <hyperlink ref="F950" r:id="rId671" xr:uid="{5B158CCF-075D-4E3F-8FD5-E75F4278A904}"/>
    <hyperlink ref="C951" r:id="rId672" display="https://enzyme.expasy.org/EC/6.1.1.20" xr:uid="{B450D41C-6C33-4930-ABCB-579813AF4462}"/>
    <hyperlink ref="E951" r:id="rId673" xr:uid="{2C673BCC-B3AC-4D5F-99C1-77E2889BC748}"/>
    <hyperlink ref="F951" r:id="rId674" xr:uid="{589BBD0B-E4ED-4D5D-9D80-6BAFBAF1A650}"/>
    <hyperlink ref="C116" r:id="rId675" display="https://enzyme.expasy.org/EC/1.2.1.38" xr:uid="{9B1A54E4-21B2-48C7-9550-BB253B9E9C08}"/>
    <hyperlink ref="E116" r:id="rId676" xr:uid="{F7276F37-E250-4560-B80A-E34500F9BEBD}"/>
    <hyperlink ref="F116" r:id="rId677" xr:uid="{072B3C89-7ADE-4C91-88BD-531A7DD931E3}"/>
    <hyperlink ref="C221" r:id="rId678" display="https://enzyme.expasy.org/EC/2.3.1.1" xr:uid="{DEAB1891-41F7-4787-A0F2-A53F0FEA0C24}"/>
    <hyperlink ref="E221" r:id="rId679" xr:uid="{B46F4412-1E68-4700-A058-991714595523}"/>
    <hyperlink ref="F221" r:id="rId680" xr:uid="{06BDDAF4-D3A3-4F32-A058-5E5E8D58E198}"/>
    <hyperlink ref="C228" r:id="rId681" display="https://enzyme.expasy.org/EC/2.3.1.35" xr:uid="{E958BCF6-9C2A-41A1-83D7-FC7814696CB8}"/>
    <hyperlink ref="E228" r:id="rId682" xr:uid="{86EDF5CA-F52F-410D-9678-F3C293B69634}"/>
    <hyperlink ref="F228" r:id="rId683" xr:uid="{8CDA7880-F70F-4BFC-8EBB-45206E1E9872}"/>
    <hyperlink ref="C395" r:id="rId684" display="https://enzyme.expasy.org/EC/2.7.2.8" xr:uid="{1159432D-E9E2-4FCF-99C2-8123ED44FC34}"/>
    <hyperlink ref="E395" r:id="rId685" xr:uid="{64D3D8C8-F1EE-4348-BF8E-B48F34B19AEB}"/>
    <hyperlink ref="F395" r:id="rId686" xr:uid="{1DE2A91B-12B8-4BB6-A896-79A3876B8151}"/>
    <hyperlink ref="C317" r:id="rId687" display="https://enzyme.expasy.org/EC/2.6.1.11" xr:uid="{2F07AE6F-3586-4566-8EBA-3EAFCD41EBC6}"/>
    <hyperlink ref="E317" r:id="rId688" xr:uid="{F4E5988C-9475-4987-A068-2EC8DEC1595E}"/>
    <hyperlink ref="F317" r:id="rId689" xr:uid="{10E7F3BC-B3E7-489F-91A9-0838AB73A08F}"/>
    <hyperlink ref="C190" r:id="rId690" display="https://enzyme.expasy.org/EC/2.1.3.3" xr:uid="{AF6C6E01-E3A4-43EC-B7B5-C1C22CE595CA}"/>
    <hyperlink ref="E190" r:id="rId691" xr:uid="{666C2670-AC90-4D44-801F-1B69BDADA6C0}"/>
    <hyperlink ref="F190" r:id="rId692" xr:uid="{875955B4-8955-4C7B-91CB-4790AF126607}"/>
    <hyperlink ref="C989" r:id="rId693" display="https://enzyme.expasy.org/EC/6.3.4.5" xr:uid="{25E56557-0C72-4294-9913-42CE93E4F389}"/>
    <hyperlink ref="E989" r:id="rId694" xr:uid="{49860830-0D9A-4BCC-BD61-FB98E97AE674}"/>
    <hyperlink ref="F989" r:id="rId695" xr:uid="{CB3CACCB-4534-43B1-A824-92D0826A156A}"/>
    <hyperlink ref="C861" r:id="rId696" display="https://enzyme.expasy.org/EC/4.3.2.1" xr:uid="{C2BC21B2-0ECE-44BE-BC39-0239234BD995}"/>
    <hyperlink ref="E861" r:id="rId697" xr:uid="{7FA9AA7D-FD07-4428-8F76-A911CB909305}"/>
    <hyperlink ref="F861" r:id="rId698" xr:uid="{C412A977-BE58-400A-BC9B-EB14752D5683}"/>
    <hyperlink ref="C517" r:id="rId699" display="https://enzyme.expasy.org/EC/2.8.1.10" xr:uid="{8E67E37F-A341-48EB-9FC9-B8CBA2FF6077}"/>
    <hyperlink ref="E517" r:id="rId700" xr:uid="{6BC5DED5-FE39-41DE-8AC7-BE6981191306}"/>
    <hyperlink ref="F517" r:id="rId701" xr:uid="{5278FB7D-7735-446F-B3AB-01A30194F42F}"/>
    <hyperlink ref="C500" r:id="rId702" display="https://enzyme.expasy.org/EC/2.7.7.73" xr:uid="{253717FD-7671-4079-B796-95004F3117B3}"/>
    <hyperlink ref="E500" r:id="rId703" xr:uid="{6C36377C-F774-4D1D-BC2D-2E85E2B1A449}"/>
    <hyperlink ref="F500" r:id="rId704" xr:uid="{077F6B5F-4E04-43E0-AC51-6E512E943965}"/>
    <hyperlink ref="C938" r:id="rId705" display="https://enzyme.expasy.org/EC/6.1.1.1" xr:uid="{FAC05EA7-4F3B-41CE-9983-2381D5031651}"/>
    <hyperlink ref="E938" r:id="rId706" xr:uid="{BB55F554-60B8-445A-9705-9332758778F0}"/>
    <hyperlink ref="F938" r:id="rId707" xr:uid="{01809255-4E27-4381-817B-35BB56BDD09C}"/>
    <hyperlink ref="C531" r:id="rId708" display="https://enzyme.expasy.org/EC/3.-.-.-" xr:uid="{71596C76-B771-42C1-AFAB-B543FD907C85}"/>
    <hyperlink ref="C353" r:id="rId709" display="https://enzyme.expasy.org/EC/2.7.1.23" xr:uid="{805F53C1-CEB7-4B7A-A515-DCBA919DF180}"/>
    <hyperlink ref="E353" r:id="rId710" xr:uid="{C0471535-E8F0-4DAA-826E-4CF1787637AA}"/>
    <hyperlink ref="F353" r:id="rId711" xr:uid="{F783F179-C05F-4F43-940E-A98E7FD92861}"/>
    <hyperlink ref="C532" r:id="rId712" display="https://enzyme.expasy.org/EC/3.-.-.-" xr:uid="{B754ED3B-D801-481D-90F2-3D102DF253A7}"/>
    <hyperlink ref="C208" r:id="rId713" display="https://enzyme.expasy.org/EC/2.3.-.-" xr:uid="{5E670444-0F40-4FB3-A425-BECEE1BD088F}"/>
    <hyperlink ref="C846" r:id="rId714" display="https://enzyme.expasy.org/EC/4.2.3.1" xr:uid="{5C9B2B88-CF04-4F19-9968-4D16E19DB3F3}"/>
    <hyperlink ref="E846" r:id="rId715" xr:uid="{E5646D83-3782-4675-BD34-AB4CF92034D1}"/>
    <hyperlink ref="C847" r:id="rId716" display="https://enzyme.expasy.org/EC/4.2.3.1" xr:uid="{47AC1367-E60D-4104-8497-9E014CBFD848}"/>
    <hyperlink ref="E847" r:id="rId717" xr:uid="{5162FC2E-4F6A-45E8-B1D2-3D6DEAF57279}"/>
    <hyperlink ref="F846" r:id="rId718" xr:uid="{B8BF5DE2-E70C-4A52-9F27-B97033B554DF}"/>
    <hyperlink ref="F847" r:id="rId719" xr:uid="{DA866F5C-C8F6-486E-B212-C7411FB76A9E}"/>
    <hyperlink ref="C117" r:id="rId720" display="https://enzyme.expasy.org/EC/1.2.1.41" xr:uid="{58237604-37A4-42CE-B2E8-75D454F5CC93}"/>
    <hyperlink ref="E117" r:id="rId721" xr:uid="{E03A5A00-5F70-4EE0-BC25-FE0316CA7CD2}"/>
    <hyperlink ref="F117" r:id="rId722" xr:uid="{E85D02C9-F609-485F-BB60-1C3DD26C2762}"/>
    <hyperlink ref="C419" r:id="rId723" display="https://enzyme.expasy.org/EC/2.7.7.18" xr:uid="{58C0AE4B-1847-4B37-A3DD-3F4D2A814093}"/>
    <hyperlink ref="E419" r:id="rId724" xr:uid="{6D7D4470-EFE0-4A70-950D-0E49C58629E3}"/>
    <hyperlink ref="C420" r:id="rId725" display="https://enzyme.expasy.org/EC/2.7.7.18" xr:uid="{016F03FE-DF60-4181-BB0F-5D6904E88F55}"/>
    <hyperlink ref="E420" r:id="rId726" xr:uid="{DC7EBDBD-C6FA-4CBA-B0F3-9FA336F91C7B}"/>
    <hyperlink ref="F419" r:id="rId727" xr:uid="{BD185F1F-993E-49C2-B396-BE000B645D52}"/>
    <hyperlink ref="F420" r:id="rId728" xr:uid="{ADEABF36-000B-4B3D-82A1-57901E81862E}"/>
    <hyperlink ref="C209" r:id="rId729" display="https://enzyme.expasy.org/EC/2.3.-.-" xr:uid="{79F24E64-77E4-4FC4-B629-5F900270D3B9}"/>
    <hyperlink ref="C556" r:id="rId730" display="https://enzyme.expasy.org/EC/3.1.1.29" xr:uid="{5B28C3BF-55EC-45C7-A83D-CBA82BC99B15}"/>
    <hyperlink ref="E556" r:id="rId731" xr:uid="{B5BBE145-B374-44F5-8D97-8A26A5691B5A}"/>
    <hyperlink ref="F556" r:id="rId732" xr:uid="{E9D6E2F0-D137-4748-9C2E-46DF907685C4}"/>
    <hyperlink ref="C6" r:id="rId733" display="https://enzyme.expasy.org/EC/1.-.-.-" xr:uid="{74DEDEB9-D9A4-4B43-B59A-F3FD82F59B04}"/>
    <hyperlink ref="C824" r:id="rId734" display="https://enzyme.expasy.org/EC/4.2.1.11" xr:uid="{25DFA432-1EFD-44F1-AF13-5EC99A44C95E}"/>
    <hyperlink ref="E824" r:id="rId735" xr:uid="{FDDCE438-7019-461E-91A7-49C88440CB4C}"/>
    <hyperlink ref="C825" r:id="rId736" display="https://enzyme.expasy.org/EC/4.2.1.11" xr:uid="{61C2A5BB-E13D-445E-9B5B-E0E17DAFF47B}"/>
    <hyperlink ref="E825" r:id="rId737" xr:uid="{5F1B4149-34F1-4A98-8DDB-AAAB5BCE0286}"/>
    <hyperlink ref="F824" r:id="rId738" xr:uid="{7EFC6611-9444-4226-B135-17A124970A61}"/>
    <hyperlink ref="F825" r:id="rId739" xr:uid="{9C265EFC-5D6B-46C0-9A87-1661E952D0F6}"/>
    <hyperlink ref="C851" r:id="rId740" display="https://enzyme.expasy.org/EC/4.3.1.17" xr:uid="{0B1D5286-F2B8-4358-9C97-DF1C81D61F78}"/>
    <hyperlink ref="E851" r:id="rId741" xr:uid="{4327D8F3-C222-413D-A368-48297BD9B637}"/>
    <hyperlink ref="C852" r:id="rId742" display="https://enzyme.expasy.org/EC/4.3.1.17" xr:uid="{749D22BB-5F5A-4D24-9DBE-761FB2B844F5}"/>
    <hyperlink ref="E852" r:id="rId743" xr:uid="{60D7B718-1D1E-4C67-92FE-C4D3B23B642E}"/>
    <hyperlink ref="C853" r:id="rId744" display="https://enzyme.expasy.org/EC/4.3.1.17" xr:uid="{B7FD093D-D213-4E2B-BB82-75548D2C567B}"/>
    <hyperlink ref="C854" r:id="rId745" display="https://enzyme.expasy.org/EC/4.3.1.17" xr:uid="{60FBD918-0321-43C4-A299-0ADCCDB1FB1A}"/>
    <hyperlink ref="C855" r:id="rId746" display="https://enzyme.expasy.org/EC/4.3.1.17" xr:uid="{7337B921-A858-451B-ADD6-47EB5AEE421B}"/>
    <hyperlink ref="E853" r:id="rId747" xr:uid="{216E7FD0-B20A-4BE6-926B-D2A2A45C0A67}"/>
    <hyperlink ref="E854" r:id="rId748" xr:uid="{C0D67FBB-640B-43B1-B159-596BD9F0509C}"/>
    <hyperlink ref="E855" r:id="rId749" xr:uid="{69CA2324-E63D-43AB-B62A-6DE768294D01}"/>
    <hyperlink ref="F851" r:id="rId750" xr:uid="{B9221D0F-3FC8-4B86-B3A3-2F8FC333A288}"/>
    <hyperlink ref="F852" r:id="rId751" xr:uid="{CC107580-F49C-4255-BA9B-5CCBADC143F6}"/>
    <hyperlink ref="F853" r:id="rId752" xr:uid="{053DAC41-2F93-482D-9D27-0A30FF79062C}"/>
    <hyperlink ref="F854" r:id="rId753" xr:uid="{C28ED05A-0858-4175-8DCA-7B268D312DA9}"/>
    <hyperlink ref="F855" r:id="rId754" xr:uid="{4FFFDB8C-9DC1-45C9-AD43-831DF9039093}"/>
    <hyperlink ref="C899" r:id="rId755" display="https://enzyme.expasy.org/EC/5.2.1.8" xr:uid="{D1737931-6FAE-46A5-A159-EE9BF3A119D1}"/>
    <hyperlink ref="E899" r:id="rId756" xr:uid="{ECF2168B-6F1E-4285-AB2D-1E793679161F}"/>
    <hyperlink ref="F899" r:id="rId757" xr:uid="{A4271A32-39F5-44B0-AFF4-662011B8F031}"/>
    <hyperlink ref="C380" r:id="rId758" display="https://enzyme.expasy.org/EC/2.7.13.3" xr:uid="{26538F55-5695-4E5A-AD72-22E677B948AB}"/>
    <hyperlink ref="E380" r:id="rId759" xr:uid="{BDD69469-F840-40B7-8805-61C1B8D4A1DC}"/>
    <hyperlink ref="C381" r:id="rId760" display="https://enzyme.expasy.org/EC/2.7.13.3" xr:uid="{BE18C35B-EDFB-4C05-A421-CC9139081ACF}"/>
    <hyperlink ref="E381" r:id="rId761" xr:uid="{851993A8-27E6-423B-95F3-0F2C30D99F68}"/>
    <hyperlink ref="C256" r:id="rId762" display="https://enzyme.expasy.org/EC/2.4.1.18" xr:uid="{FA4B6AE1-B6CC-4419-8104-EA61F5554807}"/>
    <hyperlink ref="E256" r:id="rId763" xr:uid="{6341AFB5-5D4F-4836-A391-59D9BEFA2911}"/>
    <hyperlink ref="C257" r:id="rId764" display="https://enzyme.expasy.org/EC/2.4.1.18" xr:uid="{9B7AB0EF-FFF3-44C6-8494-E03BB2576C3E}"/>
    <hyperlink ref="E257" r:id="rId765" xr:uid="{667F44CF-AC41-45F1-A92E-5E63FB2DDC20}"/>
    <hyperlink ref="F256" r:id="rId766" xr:uid="{94BD94E8-7C5B-4774-972D-74F15A8804C6}"/>
    <hyperlink ref="F257" r:id="rId767" xr:uid="{F757CDDB-CAB9-4E51-8EDE-3865EFB0F5C5}"/>
    <hyperlink ref="C885" r:id="rId768" display="https://enzyme.expasy.org/EC/4.6.1.12" xr:uid="{66C88310-6D18-4C9B-B08F-AFD3A1705566}"/>
    <hyperlink ref="E885" r:id="rId769" xr:uid="{F7609A79-137B-4AD7-B592-3DFA53D12158}"/>
    <hyperlink ref="F885" r:id="rId770" xr:uid="{96B42307-21ED-43BD-B267-9B62ADA233C7}"/>
    <hyperlink ref="C354" r:id="rId771" display="https://enzyme.expasy.org/EC/2.7.1.24" xr:uid="{CCE16313-26B1-4089-8B79-0612A9859C2C}"/>
    <hyperlink ref="E354" r:id="rId772" xr:uid="{9705F800-046B-4746-98BA-CDF76EA277A8}"/>
    <hyperlink ref="F354" r:id="rId773" xr:uid="{BB3E0558-EF5A-486A-89C2-19F8E25BD79C}"/>
    <hyperlink ref="C571" r:id="rId774" display="https://enzyme.expasy.org/EC/3.1.25.-" xr:uid="{9EA5EA38-34AB-491E-892A-9111FD184987}"/>
    <hyperlink ref="C364" r:id="rId775" display="https://enzyme.expasy.org/EC/2.7.1.40" xr:uid="{7A4B58FB-EE32-4A2E-A401-94CDF88B97FE}"/>
    <hyperlink ref="E364" r:id="rId776" xr:uid="{A8FEB81C-5CA7-4A71-AB83-5DC2E8A293CE}"/>
    <hyperlink ref="C365" r:id="rId777" display="https://enzyme.expasy.org/EC/2.7.1.40" xr:uid="{A292BF47-C718-4D6D-9C6D-7400F0419378}"/>
    <hyperlink ref="C366" r:id="rId778" display="https://enzyme.expasy.org/EC/2.7.1.40" xr:uid="{C015D825-0FAE-4961-8A00-252778F1BEEB}"/>
    <hyperlink ref="C367" r:id="rId779" display="https://enzyme.expasy.org/EC/2.7.1.40" xr:uid="{E803CAA2-D535-449A-AE8B-9A89627B525F}"/>
    <hyperlink ref="C368" r:id="rId780" display="https://enzyme.expasy.org/EC/2.7.1.40" xr:uid="{34722C87-7F47-4E37-BE9E-B767B44D1C6B}"/>
    <hyperlink ref="C369" r:id="rId781" display="https://enzyme.expasy.org/EC/2.7.1.40" xr:uid="{5587B4D2-BE5C-460D-A874-20828EB4EAA2}"/>
    <hyperlink ref="C370" r:id="rId782" display="https://enzyme.expasy.org/EC/2.7.1.40" xr:uid="{2ED92072-BF55-475F-BB56-C7C747613E9D}"/>
    <hyperlink ref="C371" r:id="rId783" display="https://enzyme.expasy.org/EC/2.7.1.40" xr:uid="{C5A97493-0182-4921-9B9E-21291D037BFD}"/>
    <hyperlink ref="E365" r:id="rId784" xr:uid="{A9C958B8-11F0-4D47-A395-27BEFA1D40CB}"/>
    <hyperlink ref="E366" r:id="rId785" xr:uid="{578D8768-B94E-40AC-A18A-54A6B903BE4E}"/>
    <hyperlink ref="E367" r:id="rId786" xr:uid="{776D6949-C98E-403D-8144-BF366DDFE798}"/>
    <hyperlink ref="E368" r:id="rId787" xr:uid="{136C3507-AF5A-485D-B52A-494DDD988B95}"/>
    <hyperlink ref="E369" r:id="rId788" xr:uid="{0475E869-6138-45FF-8888-45F12E8E8CC2}"/>
    <hyperlink ref="E370" r:id="rId789" xr:uid="{B15BD010-A252-4449-935A-EB82D5D350D8}"/>
    <hyperlink ref="E371" r:id="rId790" xr:uid="{44B6E6DF-5F31-42A9-8482-323549426FCE}"/>
    <hyperlink ref="F364" r:id="rId791" xr:uid="{7B9B511A-B4C3-4DEC-830E-50C0770D51E4}"/>
    <hyperlink ref="F365" r:id="rId792" xr:uid="{76341B3F-3F79-4E8E-9274-35D1D5075D89}"/>
    <hyperlink ref="F366" r:id="rId793" xr:uid="{4E16B47B-A026-4C75-B9A4-B66757683B83}"/>
    <hyperlink ref="F367" r:id="rId794" xr:uid="{6DC91FEE-780D-4192-8B27-81751A2B9A52}"/>
    <hyperlink ref="F368" r:id="rId795" xr:uid="{7F0F259B-C9D0-4904-A88B-DC6922F69568}"/>
    <hyperlink ref="F369" r:id="rId796" xr:uid="{B2035AF7-7C9D-44BB-97D6-BEFF3D705527}"/>
    <hyperlink ref="F370" r:id="rId797" xr:uid="{D560384E-23F6-4CB7-9D13-9420F5D3D15B}"/>
    <hyperlink ref="F371" r:id="rId798" xr:uid="{92B00042-9E56-414C-9A6C-00601E1EFCFC}"/>
    <hyperlink ref="C472" r:id="rId799" display="https://enzyme.expasy.org/EC/2.7.7.7" xr:uid="{86ED4502-F957-4A09-8521-FF0251FFF878}"/>
    <hyperlink ref="E472" r:id="rId800" xr:uid="{4AA2F5B9-A416-40FD-BA98-3F06EF850518}"/>
    <hyperlink ref="C473" r:id="rId801" display="https://enzyme.expasy.org/EC/2.7.7.7" xr:uid="{BB7DCB1E-70BB-4EBD-B93F-4C3F93E5B7E7}"/>
    <hyperlink ref="C474" r:id="rId802" display="https://enzyme.expasy.org/EC/2.7.7.7" xr:uid="{77C33624-7417-453A-BF95-04C6753B2C1B}"/>
    <hyperlink ref="C475" r:id="rId803" display="https://enzyme.expasy.org/EC/2.7.7.7" xr:uid="{CE809BD4-C3F3-4D62-B42F-87E1162A9DB4}"/>
    <hyperlink ref="C476" r:id="rId804" display="https://enzyme.expasy.org/EC/2.7.7.7" xr:uid="{725A6F97-111E-4325-8DF1-26BDD330F0D6}"/>
    <hyperlink ref="C477" r:id="rId805" display="https://enzyme.expasy.org/EC/2.7.7.7" xr:uid="{505C1E9D-90C2-49C3-AEE6-9B34CF263DA7}"/>
    <hyperlink ref="E473" r:id="rId806" xr:uid="{D8F7EF68-1E0D-4D67-8363-7B05FA8C9987}"/>
    <hyperlink ref="E474" r:id="rId807" xr:uid="{334522B2-7CE0-467C-B402-C7D9FBD56D96}"/>
    <hyperlink ref="E475" r:id="rId808" xr:uid="{10B1298F-3724-4B36-9269-87F9B40DE787}"/>
    <hyperlink ref="E476" r:id="rId809" xr:uid="{44482D69-7E50-4F16-A790-04D01C871DA5}"/>
    <hyperlink ref="E477" r:id="rId810" xr:uid="{44317C62-8DCA-48BC-88B2-15522619DD80}"/>
    <hyperlink ref="F472" r:id="rId811" xr:uid="{10C33DCF-BBE1-42DA-A96A-458B62B4DB8C}"/>
    <hyperlink ref="F473" r:id="rId812" xr:uid="{8B67A73C-C96F-4005-A76C-34658BAC6499}"/>
    <hyperlink ref="F474" r:id="rId813" xr:uid="{350857D3-1C23-4C44-BC80-087708571806}"/>
    <hyperlink ref="F475" r:id="rId814" xr:uid="{621FC556-E401-43D3-8E00-68C32F4998F4}"/>
    <hyperlink ref="F476" r:id="rId815" xr:uid="{3F3FF9A3-BBFF-4940-9011-DFA14975F416}"/>
    <hyperlink ref="F477" r:id="rId816" xr:uid="{B8E2C8A3-0F9D-4281-8157-DF4973C1D443}"/>
    <hyperlink ref="C779" r:id="rId817" display="https://enzyme.expasy.org/EC/3.6.1.-" xr:uid="{34532717-809A-48D2-B550-33EEE24B456B}"/>
    <hyperlink ref="C619" r:id="rId818" display="https://enzyme.expasy.org/EC/3.2.1.196" xr:uid="{7BF9DFB4-6EC4-4903-88D2-1C51A283C65A}"/>
    <hyperlink ref="E619" r:id="rId819" xr:uid="{7B76E3FC-19FD-4AC5-B2D1-04B5C3E048AF}"/>
    <hyperlink ref="C705" r:id="rId820" display="https://enzyme.expasy.org/EC/3.2.2.20" xr:uid="{811D18D4-3273-40C6-9356-E0C7119AD37C}"/>
    <hyperlink ref="E705" r:id="rId821" xr:uid="{8ADDF07C-60EA-4B93-8F02-E6E61FDBE079}"/>
    <hyperlink ref="C295" r:id="rId822" display="https://enzyme.expasy.org/EC/2.5.1.19" xr:uid="{D1986C71-A1AE-4C27-82C3-04BD96BF34A4}"/>
    <hyperlink ref="E295" r:id="rId823" xr:uid="{D59F2130-042A-4049-8CF8-A0085598CB3C}"/>
    <hyperlink ref="F295" r:id="rId824" xr:uid="{47DE1EA1-8B3D-4F4D-B8DE-A97DB1342DF6}"/>
    <hyperlink ref="C391" r:id="rId825" display="https://enzyme.expasy.org/EC/2.7.2.-" xr:uid="{46DE01BF-8BC3-47F0-9287-0512D921F28F}"/>
    <hyperlink ref="C232" r:id="rId826" display="https://enzyme.expasy.org/EC/2.3.1.8" xr:uid="{F67690D1-D41B-420F-BE87-E3BD161E4612}"/>
    <hyperlink ref="E232" r:id="rId827" xr:uid="{CE59A3AB-1526-4468-889E-BF0127F21C05}"/>
    <hyperlink ref="C233" r:id="rId828" display="https://enzyme.expasy.org/EC/2.3.1.8" xr:uid="{8BE67A2D-8955-49E4-B8CE-15C419F621B6}"/>
    <hyperlink ref="E233" r:id="rId829" xr:uid="{A654DB77-B091-4AC5-B89E-838B5FF34824}"/>
    <hyperlink ref="F232" r:id="rId830" xr:uid="{6EFA2D04-B99B-44E3-ABB3-3530330CD9EC}"/>
    <hyperlink ref="F233" r:id="rId831" xr:uid="{AFBBCB7C-4B42-47A3-9F74-B62E9D97C686}"/>
    <hyperlink ref="C410" r:id="rId832" display="https://enzyme.expasy.org/EC/2.7.6.1" xr:uid="{1988AE47-D137-4919-AA1E-1716BD268ED1}"/>
    <hyperlink ref="E410" r:id="rId833" xr:uid="{43113127-6F91-42FB-A803-8E464354303A}"/>
    <hyperlink ref="F410" r:id="rId834" xr:uid="{159D6C79-9EDC-4490-8864-A237095F3AE8}"/>
    <hyperlink ref="C214" r:id="rId835" display="https://enzyme.expasy.org/EC/2.3.1.-" xr:uid="{F1689EC5-4FF5-4D91-95A6-90F981345DF4}"/>
    <hyperlink ref="C992" r:id="rId836" display="https://enzyme.expasy.org/EC/6.3.5.2" xr:uid="{EBAD2841-6BF3-46B8-936C-6DCB2743D4A9}"/>
    <hyperlink ref="E992" r:id="rId837" xr:uid="{4B76C0C7-5220-4D75-BD5D-56D174E1DF67}"/>
    <hyperlink ref="C993" r:id="rId838" display="https://enzyme.expasy.org/EC/6.3.5.2" xr:uid="{6070CC3B-67AE-4706-AB85-F0AEEC39D3F2}"/>
    <hyperlink ref="C994" r:id="rId839" display="https://enzyme.expasy.org/EC/6.3.5.2" xr:uid="{CD73F681-6A9E-43D7-A85B-680BC53FCE9C}"/>
    <hyperlink ref="C995" r:id="rId840" display="https://enzyme.expasy.org/EC/6.3.5.2" xr:uid="{06E2C2F4-4142-4E3C-A520-0299ADAD82DD}"/>
    <hyperlink ref="E993" r:id="rId841" xr:uid="{AE7377B5-8D65-4B3A-8088-F264AD809C10}"/>
    <hyperlink ref="E994" r:id="rId842" xr:uid="{B5A76B03-6D0E-4063-9B9F-AC6D44C7A54B}"/>
    <hyperlink ref="E995" r:id="rId843" xr:uid="{9837B76E-634B-4B87-A892-E8D450939CEF}"/>
    <hyperlink ref="F992" r:id="rId844" xr:uid="{5DC0CC9B-B3F2-4801-BBE7-34FE757AB2BA}"/>
    <hyperlink ref="F993" r:id="rId845" xr:uid="{E5EB23BB-62C3-4306-871B-574907686894}"/>
    <hyperlink ref="F994" r:id="rId846" xr:uid="{E7E3B4EF-6C8E-4138-93C8-86FE78CCA5F7}"/>
    <hyperlink ref="F995" r:id="rId847" xr:uid="{4F4C61E9-4877-4701-BC55-B6F7CE6AEE5F}"/>
    <hyperlink ref="C422" r:id="rId848" display="https://enzyme.expasy.org/EC/2.7.7.23" xr:uid="{7337E3F6-5F4A-442F-8CEA-BE83B5BFE0B4}"/>
    <hyperlink ref="E422" r:id="rId849" xr:uid="{A6A4EA9E-B649-41E1-A9F0-CDDD6BF4DDF5}"/>
    <hyperlink ref="F422" r:id="rId850" xr:uid="{2285900D-27BA-4A26-A9BE-2C07895464F4}"/>
    <hyperlink ref="C579" r:id="rId851" display="https://enzyme.expasy.org/EC/3.1.3.-" xr:uid="{F2E1343E-B58A-4EAF-B78E-C08E4A015FDA}"/>
    <hyperlink ref="C1031" r:id="rId852" display="https://enzyme.expasy.org/EC/7.4.2.11" xr:uid="{B9D3DB67-9F0E-4BC6-B63B-908227003C62}"/>
    <hyperlink ref="E1031" r:id="rId853" xr:uid="{B2355D92-D95D-462E-989B-67EA8BEDFE20}"/>
    <hyperlink ref="C1032" r:id="rId854" display="https://enzyme.expasy.org/EC/7.4.2.11" xr:uid="{87117B31-38FA-43EE-A8BB-5C6A0AD094B0}"/>
    <hyperlink ref="E1032" r:id="rId855" xr:uid="{46300CB0-8ECC-4AC1-AF73-3343BEDDA11D}"/>
    <hyperlink ref="C533" r:id="rId856" display="https://enzyme.expasy.org/EC/3.-.-.-" xr:uid="{9C925651-889A-44DF-88CA-2610F25D0886}"/>
    <hyperlink ref="C990" r:id="rId857" display="https://enzyme.expasy.org/EC/6.3.5.1" xr:uid="{3D563EF1-832B-4C3F-A714-7AAD04615AE1}"/>
    <hyperlink ref="E990" r:id="rId858" xr:uid="{96952E81-050C-4A82-9C11-897A168ED00E}"/>
    <hyperlink ref="C991" r:id="rId859" display="https://enzyme.expasy.org/EC/6.3.5.1" xr:uid="{E3400458-2208-47DB-B482-7676A2FF0957}"/>
    <hyperlink ref="E991" r:id="rId860" xr:uid="{C6C49F7C-EACB-43D1-9004-DD1F446634B9}"/>
    <hyperlink ref="F990" r:id="rId861" xr:uid="{E24EAEB7-08F5-4B71-BE23-D271302EFD20}"/>
    <hyperlink ref="F991" r:id="rId862" xr:uid="{FDEF05BC-432F-401E-84FC-BEA7DC28D99E}"/>
    <hyperlink ref="C230" r:id="rId863" display="https://enzyme.expasy.org/EC/2.3.1.54" xr:uid="{5A24AF37-32D5-4D2A-B15C-4918E56D912F}"/>
    <hyperlink ref="E230" r:id="rId864" xr:uid="{2A9905A2-FD6B-4120-A3A9-120727051864}"/>
    <hyperlink ref="C231" r:id="rId865" display="https://enzyme.expasy.org/EC/2.3.1.54" xr:uid="{D9088644-5BE8-482B-9036-705D82B872FC}"/>
    <hyperlink ref="E231" r:id="rId866" xr:uid="{BBC8EEBC-8B6B-4E92-BB6F-CC65FE239399}"/>
    <hyperlink ref="F230" r:id="rId867" xr:uid="{CC4257AC-97B1-42EF-A926-D1DB8CE25F40}"/>
    <hyperlink ref="F231" r:id="rId868" xr:uid="{9B327079-5B17-4326-8F92-22502D2A9486}"/>
    <hyperlink ref="C149" r:id="rId869" display="https://enzyme.expasy.org/EC/1.97.1.4" xr:uid="{971B31CD-0451-47DD-B601-072E958B50E2}"/>
    <hyperlink ref="E149" r:id="rId870" xr:uid="{B360C3E6-CED3-42EA-B649-E265E713C506}"/>
    <hyperlink ref="F149" r:id="rId871" xr:uid="{21CBE38C-B275-4FEB-8BC3-E4BD47E28098}"/>
    <hyperlink ref="C900" r:id="rId872" display="https://enzyme.expasy.org/EC/5.2.1.8" xr:uid="{EA6EEB10-43FA-43E9-93C7-A5E03E4420AF}"/>
    <hyperlink ref="E900" r:id="rId873" xr:uid="{14929808-3AD9-49E7-A83D-E419DD5F9773}"/>
    <hyperlink ref="F900" r:id="rId874" xr:uid="{E652B50F-5B98-4539-93CF-58F95263B151}"/>
    <hyperlink ref="C876" r:id="rId875" display="https://enzyme.expasy.org/EC/4.4.1.13" xr:uid="{815BEBF0-4A77-475D-88B8-11618BE76A23}"/>
    <hyperlink ref="E876" r:id="rId876" xr:uid="{11A3CBAE-C679-42A4-8F4C-4FE752E6FF6C}"/>
    <hyperlink ref="C877" r:id="rId877" display="https://enzyme.expasy.org/EC/4.4.1.13" xr:uid="{678C85D2-ED35-4C01-936A-FE82B5C6C9A2}"/>
    <hyperlink ref="C878" r:id="rId878" display="https://enzyme.expasy.org/EC/4.4.1.13" xr:uid="{B4786451-C7C0-4DA1-BDEA-FEBF5943944D}"/>
    <hyperlink ref="C879" r:id="rId879" display="https://enzyme.expasy.org/EC/4.4.1.13" xr:uid="{6F7FF38E-CB34-4315-8789-5C8A7A05746F}"/>
    <hyperlink ref="C880" r:id="rId880" display="https://enzyme.expasy.org/EC/4.4.1.13" xr:uid="{0F9D1709-2E47-46DD-AF52-E7D9BDB35AC1}"/>
    <hyperlink ref="C881" r:id="rId881" display="https://enzyme.expasy.org/EC/4.4.1.13" xr:uid="{3688E7A4-F7E0-4586-8C3E-75E196331535}"/>
    <hyperlink ref="C882" r:id="rId882" display="https://enzyme.expasy.org/EC/4.4.1.13" xr:uid="{9BB0E7A3-0CA5-4536-B438-DD81DFDBCB92}"/>
    <hyperlink ref="C883" r:id="rId883" display="https://enzyme.expasy.org/EC/4.4.1.13" xr:uid="{7BA9A76C-B0A0-4EBE-8328-B0450DB2845D}"/>
    <hyperlink ref="E877" r:id="rId884" xr:uid="{9DA8F9DC-A5BF-43BB-9356-C908B252E572}"/>
    <hyperlink ref="E878" r:id="rId885" xr:uid="{DAEAF5AF-9D8B-42D0-8ADA-DE648B4CCF12}"/>
    <hyperlink ref="E879" r:id="rId886" xr:uid="{8ADC90FC-C0E0-4152-A97F-C11B778C145E}"/>
    <hyperlink ref="E880" r:id="rId887" xr:uid="{D5EF8828-06EA-4275-8D5B-180437C73677}"/>
    <hyperlink ref="E881" r:id="rId888" xr:uid="{6141D6E8-914F-401A-B808-893EB05EC977}"/>
    <hyperlink ref="E882" r:id="rId889" xr:uid="{1B39FC66-AF27-4038-89CE-5DE93DC4717B}"/>
    <hyperlink ref="E883" r:id="rId890" xr:uid="{D4EEBB53-04A5-4DF1-8559-F6B4C858E600}"/>
    <hyperlink ref="F876" r:id="rId891" xr:uid="{4C123D21-D287-4F81-B3D4-269F71672A85}"/>
    <hyperlink ref="F877" r:id="rId892" xr:uid="{8EF23D4B-E1D4-45A9-8FC8-D7CC2DEF271E}"/>
    <hyperlink ref="F878" r:id="rId893" xr:uid="{5C5F800B-8C85-4F59-93F0-040C983CE473}"/>
    <hyperlink ref="F879" r:id="rId894" xr:uid="{DEDB4BCF-42E0-4A87-8D94-CAB71C939FF3}"/>
    <hyperlink ref="F880" r:id="rId895" xr:uid="{1D6ADF3C-9E00-48E1-A612-F7C0A535AD9C}"/>
    <hyperlink ref="F881" r:id="rId896" xr:uid="{A4A63A5E-242D-464F-9622-548F0A4EACFD}"/>
    <hyperlink ref="F882" r:id="rId897" xr:uid="{F1BBAC26-1701-40F2-804C-F0E6FC4AACAC}"/>
    <hyperlink ref="F883" r:id="rId898" xr:uid="{D5090738-4434-481B-AB7F-97119F08514A}"/>
    <hyperlink ref="C701" r:id="rId899" display="https://enzyme.expasy.org/EC/3.2.2.-" xr:uid="{97C581E8-8051-4ADF-B16C-0653C1A7F849}"/>
    <hyperlink ref="C152" r:id="rId900" display="https://enzyme.expasy.org/EC/2.1.-.-" xr:uid="{2CF60B20-525D-41F1-BBEE-63EC84C9316A}"/>
    <hyperlink ref="C155" r:id="rId901" display="https://enzyme.expasy.org/EC/2.1.1.-" xr:uid="{D5A288D3-E11B-45A7-876A-5B8C31FBAD0D}"/>
    <hyperlink ref="C360" r:id="rId902" display="https://enzyme.expasy.org/EC/2.7.1.35" xr:uid="{BCE499CD-DEC7-4763-81C7-A685C4F4E8B0}"/>
    <hyperlink ref="E360" r:id="rId903" xr:uid="{032E9B67-6222-45C8-B00D-C4380B786F8D}"/>
    <hyperlink ref="C361" r:id="rId904" display="https://enzyme.expasy.org/EC/2.7.1.35" xr:uid="{F986150F-25C9-46F5-9EA2-2B53EB9AA7B5}"/>
    <hyperlink ref="C362" r:id="rId905" display="https://enzyme.expasy.org/EC/2.7.1.35" xr:uid="{BAA11999-7694-4528-AB8E-D7A736F3E031}"/>
    <hyperlink ref="E361" r:id="rId906" xr:uid="{CA20B223-7789-44A0-9B35-A35463EFFCBB}"/>
    <hyperlink ref="E362" r:id="rId907" xr:uid="{9C026DD7-5F8A-431C-8771-43F65C1E86B1}"/>
    <hyperlink ref="F360" r:id="rId908" xr:uid="{C56FBFF8-00D6-4B29-9CA2-FEE455A99233}"/>
    <hyperlink ref="F361" r:id="rId909" xr:uid="{5848F93D-C5D8-44B1-8CAA-37E452F6C5C9}"/>
    <hyperlink ref="F362" r:id="rId910" xr:uid="{4562A6DE-DEB0-4616-9758-081BDAFC8351}"/>
    <hyperlink ref="C1043" r:id="rId911" display="https://enzyme.expasy.org/EC/7.6.2.-" xr:uid="{65884299-7AB4-4A8E-90AD-A6E320829768}"/>
    <hyperlink ref="C382" r:id="rId912" display="https://enzyme.expasy.org/EC/2.7.13.3" xr:uid="{05BB624A-3E53-4A8F-902F-D77DB43EA1EB}"/>
    <hyperlink ref="E382" r:id="rId913" xr:uid="{BAD374AF-5091-4E63-95DB-29F8C27E7611}"/>
    <hyperlink ref="C132" r:id="rId914" display="https://enzyme.expasy.org/EC/1.5.1.2" xr:uid="{B82360CD-04B6-4E94-966D-2922C26D1EC3}"/>
    <hyperlink ref="E132" r:id="rId915" xr:uid="{D22D9726-7F2A-4F4C-84CC-4F95D8386BC7}"/>
    <hyperlink ref="C133" r:id="rId916" display="https://enzyme.expasy.org/EC/1.5.1.2" xr:uid="{F8B82494-2EE6-4D70-96AE-7F916A38F445}"/>
    <hyperlink ref="C134" r:id="rId917" display="https://enzyme.expasy.org/EC/1.5.1.2" xr:uid="{6198710D-2674-4ED5-92AA-8691AF9B105A}"/>
    <hyperlink ref="C135" r:id="rId918" display="https://enzyme.expasy.org/EC/1.5.1.2" xr:uid="{562DC2D4-FA33-4444-AA56-04939FF8319B}"/>
    <hyperlink ref="E133" r:id="rId919" xr:uid="{9C0B5724-3318-400B-AE5B-37C090D34B59}"/>
    <hyperlink ref="E134" r:id="rId920" xr:uid="{8D2A8996-F569-45D7-BE9E-613306304E4F}"/>
    <hyperlink ref="E135" r:id="rId921" xr:uid="{4176B279-5D3F-4562-848D-4AD7D14D8B41}"/>
    <hyperlink ref="F132" r:id="rId922" xr:uid="{DD688529-4318-41C9-A2D1-CF0E10E7728E}"/>
    <hyperlink ref="F133" r:id="rId923" xr:uid="{59CD6119-0D92-4F33-AF05-BC5BAFA6B25F}"/>
    <hyperlink ref="F134" r:id="rId924" xr:uid="{6CE4F08A-A985-4746-9666-653EEC4543EE}"/>
    <hyperlink ref="F135" r:id="rId925" xr:uid="{EECAE55D-D4A5-458C-973E-E1B3B1D061AD}"/>
    <hyperlink ref="C156" r:id="rId926" display="https://enzyme.expasy.org/EC/2.1.1.-" xr:uid="{2B0FEB6B-5A2B-410A-8029-B1CB80D678F1}"/>
    <hyperlink ref="C548" r:id="rId927" display="https://enzyme.expasy.org/EC/3.1.-.-" xr:uid="{9CEA2FEC-3896-4970-9888-009FB69CE632}"/>
    <hyperlink ref="C749" r:id="rId928" display="https://enzyme.expasy.org/EC/3.5.1.25" xr:uid="{33B10989-32F7-44DE-84F1-201CDD78FDFD}"/>
    <hyperlink ref="E749" r:id="rId929" xr:uid="{B1DF4CAA-3E2D-45DF-AF3F-3A18686E30F6}"/>
    <hyperlink ref="F749" r:id="rId930" xr:uid="{AFEA5894-847C-4896-A441-EB2A712FB613}"/>
    <hyperlink ref="C775" r:id="rId931" display="https://enzyme.expasy.org/EC/3.5.99.6" xr:uid="{667F6249-8B31-47F2-88A6-BC199E373610}"/>
    <hyperlink ref="E775" r:id="rId932" xr:uid="{8C4DB459-D1D9-455E-BC3F-4B484DB5E7A8}"/>
    <hyperlink ref="F775" r:id="rId933" xr:uid="{E76F9794-F5DF-4C2F-96AF-1E9727F57426}"/>
    <hyperlink ref="C890" r:id="rId934" display="https://enzyme.expasy.org/EC/5.1.3.-" xr:uid="{628E5D8F-7250-4B47-A8F0-0DCB21C1FA0B}"/>
    <hyperlink ref="C792" r:id="rId935" display="https://enzyme.expasy.org/EC/3.6.4.-" xr:uid="{998D6054-AE74-484E-801B-11BC9C70751B}"/>
    <hyperlink ref="C383" r:id="rId936" display="https://enzyme.expasy.org/EC/2.7.13.3" xr:uid="{C3E4242B-45D6-456A-8132-0B56D0253D60}"/>
    <hyperlink ref="E383" r:id="rId937" xr:uid="{712FCB57-DFFA-413E-9B45-6A191AF5D74B}"/>
    <hyperlink ref="C1037" r:id="rId938" display="https://enzyme.expasy.org/EC/7.5.2.-" xr:uid="{DB564258-1DBC-48FB-BB98-8E21956694AC}"/>
    <hyperlink ref="C280" r:id="rId939" display="https://enzyme.expasy.org/EC/2.4.2.22" xr:uid="{EDA46C52-09DA-49D2-AFCD-DC460B1881A5}"/>
    <hyperlink ref="E280" r:id="rId940" xr:uid="{2B194DB2-B8C1-47F6-A02A-EAE9F466EB07}"/>
    <hyperlink ref="C281" r:id="rId941" display="https://enzyme.expasy.org/EC/2.4.2.22" xr:uid="{41AD769E-3DC7-444A-8145-02DEFA8BBABB}"/>
    <hyperlink ref="E281" r:id="rId942" xr:uid="{95C2EC33-6B7D-4E39-B1B0-FA73F7E3581B}"/>
    <hyperlink ref="F280" r:id="rId943" xr:uid="{83B32E64-9727-4FF1-A19D-718859C8E2E9}"/>
    <hyperlink ref="F281" r:id="rId944" xr:uid="{C5A9F98C-6523-4677-98D8-61A5755456CF}"/>
    <hyperlink ref="C793" r:id="rId945" display="https://enzyme.expasy.org/EC/3.6.4.-" xr:uid="{5304E2FC-1F59-41AC-A5F2-F14BB463C991}"/>
    <hyperlink ref="C935" r:id="rId946" display="https://enzyme.expasy.org/EC/5.6.2.4" xr:uid="{22106933-4388-424D-8BE9-CFF0FB0937F4}"/>
    <hyperlink ref="E935" r:id="rId947" xr:uid="{07B3DFC0-E221-487D-8DDE-A9828BD2315D}"/>
    <hyperlink ref="C1044" r:id="rId948" display="https://enzyme.expasy.org/EC/7.6.2.-" xr:uid="{673C5FF5-3510-4D5A-8164-826BB1790E50}"/>
    <hyperlink ref="C534" r:id="rId949" display="https://enzyme.expasy.org/EC/3.-.-.-" xr:uid="{F5715D55-6D8E-49D4-BD12-92DEDAC1542F}"/>
    <hyperlink ref="C769" r:id="rId950" display="https://enzyme.expasy.org/EC/3.5.4.5" xr:uid="{D091B145-050E-4E05-A0D9-AC5981CC0835}"/>
    <hyperlink ref="C770" r:id="rId951" display="https://enzyme.expasy.org/EC/3.5.4.5" xr:uid="{DD7EA68F-4E4E-4E55-B535-0FBA7687568A}"/>
    <hyperlink ref="C771" r:id="rId952" display="https://enzyme.expasy.org/EC/3.5.4.5" xr:uid="{93C6C484-570C-4B63-80FA-131870F07030}"/>
    <hyperlink ref="E769" r:id="rId953" xr:uid="{4B664213-1948-461F-AF1A-13F59B34E006}"/>
    <hyperlink ref="E770" r:id="rId954" xr:uid="{ED1D5EE3-A432-4BAF-B885-7567A4156572}"/>
    <hyperlink ref="E771" r:id="rId955" xr:uid="{6CBBD239-721D-4E28-9965-F35E8B66A3F3}"/>
    <hyperlink ref="F769" r:id="rId956" xr:uid="{0425C9AF-BA1E-4D7A-9D82-A9036FF8BC31}"/>
    <hyperlink ref="F770" r:id="rId957" xr:uid="{17D11199-AFC7-498A-9B59-0FDE98545016}"/>
    <hyperlink ref="F771" r:id="rId958" xr:uid="{8BC59152-010A-4986-918E-70F6ED8295FC}"/>
    <hyperlink ref="C549" r:id="rId959" display="https://enzyme.expasy.org/EC/3.1.-.-" xr:uid="{22F7FB43-FED3-412B-B614-A3470BAB6F95}"/>
    <hyperlink ref="C956" r:id="rId960" display="https://enzyme.expasy.org/EC/6.1.1.7" xr:uid="{3F6D5B00-376A-4A7F-8E72-B487687EFC19}"/>
    <hyperlink ref="E956" r:id="rId961" xr:uid="{9DFAEF3F-94B5-48A5-8144-0F508B4F6B0E}"/>
    <hyperlink ref="F956" r:id="rId962" xr:uid="{686B5BA8-AF75-48BA-ACF5-860E94187349}"/>
    <hyperlink ref="C566" r:id="rId963" display="https://enzyme.expasy.org/EC/3.1.21.10" xr:uid="{489D0283-3EB1-43F2-B876-28DF99FCB0E9}"/>
    <hyperlink ref="E566" r:id="rId964" xr:uid="{7355499D-199C-4469-8845-53B2F52D2F87}"/>
    <hyperlink ref="C848" r:id="rId965" display="https://enzyme.expasy.org/EC/4.2.3.5" xr:uid="{96366D6E-BC29-4BAB-996A-17E71DF3703D}"/>
    <hyperlink ref="E848" r:id="rId966" xr:uid="{A2A74F55-9EB3-4524-9015-9A70111BB6FF}"/>
    <hyperlink ref="F848" r:id="rId967" xr:uid="{D1C84565-031E-455B-B8FD-BEE6E181535D}"/>
    <hyperlink ref="C823" r:id="rId968" display="https://enzyme.expasy.org/EC/4.2.1.10" xr:uid="{5D7A369E-3B72-4F1D-AB19-523F466F9D5D}"/>
    <hyperlink ref="E823" r:id="rId969" xr:uid="{7EDA3288-36FB-4857-BB00-CFDCA5504302}"/>
    <hyperlink ref="F823" r:id="rId970" xr:uid="{200B9EC3-F116-470C-9D3A-CCD5DD4BD314}"/>
    <hyperlink ref="C983" r:id="rId971" display="https://enzyme.expasy.org/EC/6.3.4.2" xr:uid="{FD4E75B4-F1F5-46F6-A3A6-052D070CBECA}"/>
    <hyperlink ref="E983" r:id="rId972" xr:uid="{C3AF4359-0919-4F95-9E9E-8063B131ED23}"/>
    <hyperlink ref="C984" r:id="rId973" display="https://enzyme.expasy.org/EC/6.3.4.2" xr:uid="{00397FCD-B0BB-41A4-B0C8-6A232B67A413}"/>
    <hyperlink ref="C985" r:id="rId974" display="https://enzyme.expasy.org/EC/6.3.4.2" xr:uid="{19567DC0-EA26-4572-A059-304224F28BC3}"/>
    <hyperlink ref="E984" r:id="rId975" xr:uid="{EE5D0E40-9DF4-4E01-9862-8F9F4A590609}"/>
    <hyperlink ref="E985" r:id="rId976" xr:uid="{4564E038-7FFB-4A10-A972-8A636FC757AD}"/>
    <hyperlink ref="F983" r:id="rId977" xr:uid="{A1252A71-7963-4B97-92AE-74DB407E8D88}"/>
    <hyperlink ref="F984" r:id="rId978" xr:uid="{DA9BCCA0-F060-497E-981E-653CFA804F7D}"/>
    <hyperlink ref="F985" r:id="rId979" xr:uid="{08D545C3-6D0B-459C-B071-0DA11230BD25}"/>
    <hyperlink ref="C235" r:id="rId980" display="https://enzyme.expasy.org/EC/2.3.2.-" xr:uid="{D1E238EB-A76B-4A0D-962C-30DA78D85697}"/>
    <hyperlink ref="C518" r:id="rId981" display="https://enzyme.expasy.org/EC/2.8.1.7" xr:uid="{768BAF49-0268-4C05-9A18-31A386853C1F}"/>
    <hyperlink ref="E518" r:id="rId982" xr:uid="{388DC8BB-61AA-489E-BC42-EE0B5670607A}"/>
    <hyperlink ref="C519" r:id="rId983" display="https://enzyme.expasy.org/EC/2.8.1.7" xr:uid="{CC53892A-DFCA-45AF-B475-A8A469ACA21E}"/>
    <hyperlink ref="C520" r:id="rId984" display="https://enzyme.expasy.org/EC/2.8.1.7" xr:uid="{D50D82DD-C7D3-4938-9689-0D2D28CA3C6D}"/>
    <hyperlink ref="E519" r:id="rId985" xr:uid="{1177561A-0ADA-4D2C-8E98-428BDCED8465}"/>
    <hyperlink ref="E520" r:id="rId986" xr:uid="{157B5B36-8BE2-4626-AFDA-F5E0600DB029}"/>
    <hyperlink ref="F518" r:id="rId987" xr:uid="{8CD2608C-C828-49AB-9AC8-B0724798A03D}"/>
    <hyperlink ref="F519" r:id="rId988" xr:uid="{10653EC7-2FAE-4199-B228-D8A21D163726}"/>
    <hyperlink ref="F520" r:id="rId989" xr:uid="{A28433C0-3E4C-4A7C-BC92-D6CAD65E8F19}"/>
    <hyperlink ref="C424" r:id="rId990" display="https://enzyme.expasy.org/EC/2.7.7.27" xr:uid="{613C9E26-C0F4-498D-BDD9-E19399A1328D}"/>
    <hyperlink ref="E424" r:id="rId991" xr:uid="{F5F58322-7F5A-454C-94C5-82E18CAE079A}"/>
    <hyperlink ref="F424" r:id="rId992" xr:uid="{5F9887A2-E886-4095-9E35-ABDA3DAB64A8}"/>
    <hyperlink ref="C157" r:id="rId993" display="https://enzyme.expasy.org/EC/2.1.1.-" xr:uid="{BDBAFA2F-B916-41FB-B23D-6C1FDAE0038C}"/>
    <hyperlink ref="C171" r:id="rId994" display="https://enzyme.expasy.org/EC/2.1.1.193" xr:uid="{8D8A5D53-BBB7-4A76-86FC-359703A637B4}"/>
    <hyperlink ref="E171" r:id="rId995" xr:uid="{644DD329-F6F3-4484-B993-8AC1959DECE2}"/>
    <hyperlink ref="C959" r:id="rId996" display="https://enzyme.expasy.org/EC/6.2.1.-" xr:uid="{A9622BA6-B05A-43DA-9099-8ADCEACEF035}"/>
    <hyperlink ref="C1018" r:id="rId997" display="https://enzyme.expasy.org/EC/7.1.1.1" xr:uid="{75B6295D-686F-4CC4-8BEF-3973C0F3C452}"/>
    <hyperlink ref="E1018" r:id="rId998" xr:uid="{7E446003-4721-4088-BA5D-CE412B43AF80}"/>
    <hyperlink ref="F1018" r:id="rId999" xr:uid="{46727BD9-CCA5-40F0-8944-F77CE3DBD8B4}"/>
    <hyperlink ref="C1019" r:id="rId1000" display="https://enzyme.expasy.org/EC/7.1.1.1" xr:uid="{A635F80E-6A57-4203-ADB4-17C109C9CABD}"/>
    <hyperlink ref="E1019" r:id="rId1001" xr:uid="{2096D573-9AF3-464F-B20F-D014ABB24D3D}"/>
    <hyperlink ref="F1019" r:id="rId1002" xr:uid="{034151DD-8A5E-4347-9BE7-F4C952A5A020}"/>
    <hyperlink ref="C1020" r:id="rId1003" display="https://enzyme.expasy.org/EC/7.1.1.1" xr:uid="{40955595-0E8E-4DCE-88A1-419FBECA95F1}"/>
    <hyperlink ref="E1020" r:id="rId1004" xr:uid="{5B3EE531-3C8C-4A78-A0BC-291D1D52593C}"/>
    <hyperlink ref="F1020" r:id="rId1005" xr:uid="{959E2A6B-0268-424C-BC39-4AE75A35A18D}"/>
    <hyperlink ref="C320" r:id="rId1006" display="https://enzyme.expasy.org/EC/2.6.1.42" xr:uid="{1F69B640-A3BF-4491-AA48-0C7DB6EF7734}"/>
    <hyperlink ref="E320" r:id="rId1007" xr:uid="{5CF4CE5A-BE38-4F53-8EA2-B45D9A1368E9}"/>
    <hyperlink ref="C321" r:id="rId1008" display="https://enzyme.expasy.org/EC/2.6.1.42" xr:uid="{91D8133E-4692-4132-963F-DBD51A7DFD0A}"/>
    <hyperlink ref="C322" r:id="rId1009" display="https://enzyme.expasy.org/EC/2.6.1.42" xr:uid="{B08ADEB4-CA01-470B-9CC8-9FFFD8DC124E}"/>
    <hyperlink ref="C323" r:id="rId1010" display="https://enzyme.expasy.org/EC/2.6.1.42" xr:uid="{46341CC4-1190-4FA0-8504-0581F87F8CD8}"/>
    <hyperlink ref="E321" r:id="rId1011" xr:uid="{72D0D52B-65E9-4AE3-A77A-7EB5E45B0BA0}"/>
    <hyperlink ref="E322" r:id="rId1012" xr:uid="{74824952-B202-468A-9C3E-90C8C0440641}"/>
    <hyperlink ref="E323" r:id="rId1013" xr:uid="{10D2555E-6BDD-40EA-AF90-25385B572DB6}"/>
    <hyperlink ref="F320" r:id="rId1014" xr:uid="{6BD9443C-A563-4479-9A95-27601857C1FB}"/>
    <hyperlink ref="F321" r:id="rId1015" xr:uid="{1FD3E7E7-E711-4E33-BAE0-8007ED4409AB}"/>
    <hyperlink ref="F322" r:id="rId1016" xr:uid="{D18E5454-FEF4-4851-8390-185AF3F84E2E}"/>
    <hyperlink ref="F323" r:id="rId1017" xr:uid="{2A48E8B9-EE1F-411C-A33E-51A5324852B6}"/>
    <hyperlink ref="C803" r:id="rId1018" display="https://enzyme.expasy.org/EC/3.6.5.n1" xr:uid="{A7E98FC4-3977-42F3-BFE3-D6DD725BDA23}"/>
    <hyperlink ref="C124" r:id="rId1019" display="https://enzyme.expasy.org/EC/1.4.1.13" xr:uid="{0474861B-217C-4106-AD2E-45726AC83EAA}"/>
    <hyperlink ref="E124" r:id="rId1020" xr:uid="{C4544E07-F25E-4CB8-A51B-FBD476B48FF2}"/>
    <hyperlink ref="C125" r:id="rId1021" display="https://enzyme.expasy.org/EC/1.4.1.13" xr:uid="{6F992FEE-B674-45B3-8CAF-BEB7FF6F10CF}"/>
    <hyperlink ref="C126" r:id="rId1022" display="https://enzyme.expasy.org/EC/1.4.1.13" xr:uid="{87FFAEB0-F8F4-488E-9F42-698EC9B10EC3}"/>
    <hyperlink ref="E125" r:id="rId1023" xr:uid="{538CD3DE-4518-4120-A1F1-706866A4035D}"/>
    <hyperlink ref="E126" r:id="rId1024" xr:uid="{8C77A9AB-81DD-40EE-9175-271AD45EE1CA}"/>
    <hyperlink ref="F124" r:id="rId1025" xr:uid="{BF29529B-87A8-4371-A069-2B81DA10BCF7}"/>
    <hyperlink ref="F125" r:id="rId1026" xr:uid="{9065F8A9-AE10-4D43-9AC7-C686CF9ACC69}"/>
    <hyperlink ref="F126" r:id="rId1027" xr:uid="{E74D464B-514D-4F63-8BEA-26F2F01151A9}"/>
    <hyperlink ref="C258" r:id="rId1028" display="https://enzyme.expasy.org/EC/2.4.1.21" xr:uid="{D6A59847-2ABD-4AD0-B1EA-A597C52EA522}"/>
    <hyperlink ref="E258" r:id="rId1029" xr:uid="{AE494E78-E0FE-4F91-91F3-E65C29E0F49D}"/>
    <hyperlink ref="C259" r:id="rId1030" display="https://enzyme.expasy.org/EC/2.4.1.21" xr:uid="{9A70951A-EFCF-4CE4-B8A2-3FCF6C3F4E6C}"/>
    <hyperlink ref="E259" r:id="rId1031" xr:uid="{8AA128EB-7FED-4340-ABC3-5118CF5D2810}"/>
    <hyperlink ref="F258" r:id="rId1032" xr:uid="{74D11B6D-6B9B-45F7-8600-9649089FB3C9}"/>
    <hyperlink ref="F259" r:id="rId1033" xr:uid="{2E68C4A5-0518-4750-A48B-3628592C2178}"/>
    <hyperlink ref="C83" r:id="rId1034" display="https://enzyme.expasy.org/EC/1.11.1.24" xr:uid="{07653CA5-1D8D-4EF9-A93F-43516EEB1103}"/>
    <hyperlink ref="E83" r:id="rId1035" xr:uid="{95590301-DB4A-455A-88BC-C04E904865D9}"/>
    <hyperlink ref="F83" r:id="rId1036" xr:uid="{037DDF22-4F22-40B9-9152-19CBD2F10A4A}"/>
    <hyperlink ref="C535" r:id="rId1037" display="https://enzyme.expasy.org/EC/3.-.-.-" xr:uid="{93913380-366F-4F56-BF43-CD5F2A956318}"/>
    <hyperlink ref="C772" r:id="rId1038" display="https://enzyme.expasy.org/EC/3.5.99.2" xr:uid="{A4BA9C15-0C18-4E1B-A5CC-3893BC21B6C4}"/>
    <hyperlink ref="E772" r:id="rId1039" xr:uid="{FA9C7785-9942-461E-ACD9-65CB0FB7DE07}"/>
    <hyperlink ref="F772" r:id="rId1040" xr:uid="{6AC1BD37-E94D-4256-B597-09A664497412}"/>
    <hyperlink ref="C773" r:id="rId1041" display="https://enzyme.expasy.org/EC/3.5.99.2" xr:uid="{AC71F415-3495-4443-8F6E-3BB093F47673}"/>
    <hyperlink ref="E773" r:id="rId1042" xr:uid="{73DE8128-6EE5-442C-9636-695F1C117630}"/>
    <hyperlink ref="F773" r:id="rId1043" xr:uid="{289EEBEA-A04F-4E64-A186-D974E8B39339}"/>
    <hyperlink ref="C536" r:id="rId1044" display="https://enzyme.expasy.org/EC/3.-.-.-" xr:uid="{CA68B9A4-CF57-40D4-B20A-ACE2C3F83A07}"/>
    <hyperlink ref="C158" r:id="rId1045" display="https://enzyme.expasy.org/EC/2.1.1.-" xr:uid="{35B0C892-FD5F-45EF-AA76-551B8B7FC37D}"/>
    <hyperlink ref="C580" r:id="rId1046" display="https://enzyme.expasy.org/EC/3.1.3.-" xr:uid="{03EEDBF5-70B8-421E-8E60-0E72E6355665}"/>
    <hyperlink ref="C164" r:id="rId1047" display="https://enzyme.expasy.org/EC/2.1.1.14" xr:uid="{FF65B067-A4C9-44E1-805C-04189167D97D}"/>
    <hyperlink ref="E164" r:id="rId1048" xr:uid="{AB243837-B2A6-4632-8174-616966B1B306}"/>
    <hyperlink ref="C165" r:id="rId1049" display="https://enzyme.expasy.org/EC/2.1.1.14" xr:uid="{564D5E8F-CCAC-4FAC-916F-B45E02FC8071}"/>
    <hyperlink ref="E165" r:id="rId1050" xr:uid="{D313499B-4EBC-4CFE-89FC-BF6B6A715617}"/>
    <hyperlink ref="F164" r:id="rId1051" xr:uid="{72549D6C-C050-47FF-AB55-83499930EF91}"/>
    <hyperlink ref="F165" r:id="rId1052" xr:uid="{C77C4D59-B461-4973-9D7F-B5642D338862}"/>
    <hyperlink ref="C136" r:id="rId1053" display="https://enzyme.expasy.org/EC/1.5.1.20" xr:uid="{133D1DE9-636A-4A1E-A020-8604BC24B95C}"/>
    <hyperlink ref="E136" r:id="rId1054" xr:uid="{AC59AAF9-A65E-4DDF-8964-EF11C62BD8A1}"/>
    <hyperlink ref="C137" r:id="rId1055" display="https://enzyme.expasy.org/EC/1.5.1.20" xr:uid="{C385B1F8-91D9-40DE-B9DE-B216269B84E9}"/>
    <hyperlink ref="E137" r:id="rId1056" xr:uid="{E5E1CAB0-8FE7-4F3B-8432-FD9E2A2CF8A6}"/>
    <hyperlink ref="F136" r:id="rId1057" xr:uid="{C4673F13-A132-42BC-9A72-5CDC37EFD94F}"/>
    <hyperlink ref="F137" r:id="rId1058" xr:uid="{783D41BF-9803-425B-9112-B33CEFF4E5D7}"/>
    <hyperlink ref="C743" r:id="rId1059" display="https://enzyme.expasy.org/EC/3.5.1.24" xr:uid="{1EC4AB10-625F-41BF-8B5A-FA8812AE74AC}"/>
    <hyperlink ref="E743" r:id="rId1060" xr:uid="{2A6B28E5-64A2-4E3E-AE26-9DF124119035}"/>
    <hyperlink ref="C744" r:id="rId1061" display="https://enzyme.expasy.org/EC/3.5.1.24" xr:uid="{FC96DE76-AF64-4CD1-BA71-8537A85BDEA6}"/>
    <hyperlink ref="C745" r:id="rId1062" display="https://enzyme.expasy.org/EC/3.5.1.24" xr:uid="{474FCB02-5CB1-4AA9-BD5D-17671F24EFC3}"/>
    <hyperlink ref="C746" r:id="rId1063" display="https://enzyme.expasy.org/EC/3.5.1.24" xr:uid="{DEC56D58-2D4C-451A-844B-7154B1736B12}"/>
    <hyperlink ref="C747" r:id="rId1064" display="https://enzyme.expasy.org/EC/3.5.1.24" xr:uid="{05BB5CBD-F523-4A39-A8F7-463E07397CA1}"/>
    <hyperlink ref="C748" r:id="rId1065" display="https://enzyme.expasy.org/EC/3.5.1.24" xr:uid="{43A15BC3-9D59-4EEE-BC5E-9C2BB695CD00}"/>
    <hyperlink ref="E744" r:id="rId1066" xr:uid="{2C5FBC5A-4D25-40D8-B748-ABB3C98F8E80}"/>
    <hyperlink ref="E745" r:id="rId1067" xr:uid="{700F4389-3BFD-4EBE-86C5-913E2D4DD4D2}"/>
    <hyperlink ref="E746" r:id="rId1068" xr:uid="{46740659-3270-4A7D-8FA9-0A73D15A386D}"/>
    <hyperlink ref="E747" r:id="rId1069" xr:uid="{1C059906-456A-45A3-B995-5BA1B0244169}"/>
    <hyperlink ref="E748" r:id="rId1070" xr:uid="{3CA9357D-AE6C-431D-A19E-251BBE13AD60}"/>
    <hyperlink ref="F743" r:id="rId1071" xr:uid="{644754AD-016C-4ADB-91A7-9D0B0D241FB3}"/>
    <hyperlink ref="F744" r:id="rId1072" xr:uid="{E41330C4-A928-46DF-957A-C362DFAD793B}"/>
    <hyperlink ref="F745" r:id="rId1073" xr:uid="{CA14FBF3-1DDF-4E16-86E0-DB98157FDF45}"/>
    <hyperlink ref="F746" r:id="rId1074" xr:uid="{FB17B285-2ECD-4EBF-9080-BFDEFD72B578}"/>
    <hyperlink ref="F747" r:id="rId1075" xr:uid="{91AC12F4-51CC-4426-9749-D5A9270E4861}"/>
    <hyperlink ref="F748" r:id="rId1076" xr:uid="{C240B317-CCA6-45D3-9601-770E69E9B2B6}"/>
    <hyperlink ref="C427" r:id="rId1077" display="https://enzyme.expasy.org/EC/2.7.7.42" xr:uid="{263CEB5E-5283-4218-BD90-CFDBD36BCBA8}"/>
    <hyperlink ref="E427" r:id="rId1078" xr:uid="{C7A1D574-D037-4233-9A79-87EBC35C348A}"/>
    <hyperlink ref="F427" r:id="rId1079" xr:uid="{6DF89CAC-4437-4041-ACA6-C69659A4A4E7}"/>
    <hyperlink ref="C507" r:id="rId1080" display="https://enzyme.expasy.org/EC/2.7.7.89" xr:uid="{0EDDA779-27C9-4DA7-8716-8317021A064D}"/>
    <hyperlink ref="E507" r:id="rId1081" xr:uid="{319C1F28-B8DD-4DFA-AE84-A06E1ED5B688}"/>
    <hyperlink ref="F507" r:id="rId1082" xr:uid="{8F494835-5C5B-42E3-9335-EFD9ED728B1D}"/>
    <hyperlink ref="C189" r:id="rId1083" display="https://enzyme.expasy.org/EC/2.1.3.2" xr:uid="{926AD6A8-1121-4219-874E-19B20E701EF3}"/>
    <hyperlink ref="E189" r:id="rId1084" xr:uid="{39408272-F99E-4475-8020-36EAAB0320A7}"/>
    <hyperlink ref="F189" r:id="rId1085" xr:uid="{099E9AE7-9C90-446B-8584-B3C4239696B8}"/>
    <hyperlink ref="C759" r:id="rId1086" display="https://enzyme.expasy.org/EC/3.5.2.3" xr:uid="{95BD7BDF-CDD6-4DDD-9D66-5F82D3270C62}"/>
    <hyperlink ref="E759" r:id="rId1087" xr:uid="{79181B30-17BE-4BD4-BB06-02BA6C60D949}"/>
    <hyperlink ref="F759" r:id="rId1088" xr:uid="{FC0E6DCD-2BE8-4244-84AC-9BE8FDD42B44}"/>
    <hyperlink ref="C811" r:id="rId1089" display="https://enzyme.expasy.org/EC/4.1.1.23" xr:uid="{3378ED20-84B1-42A6-B4C6-4A0DF231D4F4}"/>
    <hyperlink ref="E811" r:id="rId1090" xr:uid="{8F13DAC5-2385-408E-95FD-79707C57F18D}"/>
    <hyperlink ref="F811" r:id="rId1091" xr:uid="{239372A3-BE1F-4011-9E68-DD51F2820270}"/>
    <hyperlink ref="C120" r:id="rId1092" display="https://enzyme.expasy.org/EC/1.3.1.14" xr:uid="{009EC0E6-FD84-4AC9-AC03-4A3DF74FE28C}"/>
    <hyperlink ref="E120" r:id="rId1093" xr:uid="{B26A869E-3118-4869-80B9-038A0B0F8D0C}"/>
    <hyperlink ref="F120" r:id="rId1094" xr:uid="{7AE4E40D-FC44-4248-B96F-A3548A360A00}"/>
    <hyperlink ref="C274" r:id="rId1095" display="https://enzyme.expasy.org/EC/2.4.2.10" xr:uid="{2A64A231-2A7B-4D8B-984D-2766B49611F8}"/>
    <hyperlink ref="E274" r:id="rId1096" xr:uid="{1100C8E5-45E7-4B46-AD86-34700B7EBDCB}"/>
    <hyperlink ref="C275" r:id="rId1097" display="https://enzyme.expasy.org/EC/2.4.2.10" xr:uid="{20EBE689-FCE5-4211-B1B5-EDB49E73D99A}"/>
    <hyperlink ref="E275" r:id="rId1098" xr:uid="{8EF8CEEA-255B-4C6E-964B-7ABF81CC9F07}"/>
    <hyperlink ref="F274" r:id="rId1099" xr:uid="{1C8349C6-F90F-4EE1-9C3E-DD8CD801DA8C}"/>
    <hyperlink ref="F275" r:id="rId1100" xr:uid="{A56049C3-EB9F-43B8-AA18-D735BBDD1AC4}"/>
    <hyperlink ref="C537" r:id="rId1101" display="https://enzyme.expasy.org/EC/3.-.-.-" xr:uid="{AA4A9410-F573-4E24-9638-A22986A013D0}"/>
    <hyperlink ref="C538" r:id="rId1102" display="https://enzyme.expasy.org/EC/3.-.-.-" xr:uid="{330A693C-A5AB-4AC5-914A-53352494B0A3}"/>
    <hyperlink ref="C314" r:id="rId1103" display="https://enzyme.expasy.org/EC/2.6.1.-" xr:uid="{7158E51E-282D-4A1E-8B69-9A13537EB6BF}"/>
    <hyperlink ref="C572" r:id="rId1104" display="https://enzyme.expasy.org/EC/3.1.25.-" xr:uid="{6E64571D-1569-431B-9C07-1B2B477F10B6}"/>
    <hyperlink ref="C573" r:id="rId1105" display="https://enzyme.expasy.org/EC/3.1.25.-" xr:uid="{1C1C052F-6B3E-4F82-BCFB-0FBF697268BB}"/>
    <hyperlink ref="C16" r:id="rId1106" display="https://enzyme.expasy.org/EC/1.1.1.-" xr:uid="{1B5135D4-44E8-4302-B500-79263C10E608}"/>
    <hyperlink ref="C393" r:id="rId1107" display="https://enzyme.expasy.org/EC/2.7.2.3" xr:uid="{02AA2D28-F564-4B37-8F1F-5FE8065ABD27}"/>
    <hyperlink ref="E393" r:id="rId1108" xr:uid="{513DD1FF-CBC0-4FAC-9430-BE1FF522D9E5}"/>
    <hyperlink ref="F393" r:id="rId1109" xr:uid="{E37F21AB-F90C-41BF-AB30-EBFA141C9A14}"/>
    <hyperlink ref="C902" r:id="rId1110" display="https://enzyme.expasy.org/EC/5.3.1.1" xr:uid="{065DD4CF-D5E9-4E3B-9CB1-5D8BEF21187E}"/>
    <hyperlink ref="E902" r:id="rId1111" xr:uid="{BDFA194D-7340-4D09-B4E6-E6CDC44CA78D}"/>
    <hyperlink ref="F902" r:id="rId1112" xr:uid="{4F60B62C-445B-42C4-B705-C86B0C63D755}"/>
    <hyperlink ref="C43" r:id="rId1113" display="https://enzyme.expasy.org/EC/1.1.1.27" xr:uid="{646B55B3-C505-4228-9482-3DB6D7C4FD3D}"/>
    <hyperlink ref="E43" r:id="rId1114" xr:uid="{3893219B-7431-426D-800C-2B53676ED35D}"/>
    <hyperlink ref="C44" r:id="rId1115" display="https://enzyme.expasy.org/EC/1.1.1.27" xr:uid="{21AA8843-B097-4AED-880C-8E8943CFF671}"/>
    <hyperlink ref="C45" r:id="rId1116" display="https://enzyme.expasy.org/EC/1.1.1.27" xr:uid="{ED142242-B290-4273-844C-1D40283D796D}"/>
    <hyperlink ref="E44" r:id="rId1117" xr:uid="{81D92589-F464-4AFE-A579-99FD16F3E747}"/>
    <hyperlink ref="E45" r:id="rId1118" xr:uid="{336C1031-70CF-4812-9A3D-1D0E2CF4F6BF}"/>
    <hyperlink ref="F43" r:id="rId1119" xr:uid="{D3177353-2BB1-46AF-89A3-708CDB3D7A3C}"/>
    <hyperlink ref="F44" r:id="rId1120" xr:uid="{CAC4E7B9-9658-414E-82CD-CC6206826B6E}"/>
    <hyperlink ref="F45" r:id="rId1121" xr:uid="{C8F2D3A1-717B-4703-A446-F00B03227B07}"/>
    <hyperlink ref="C539" r:id="rId1122" display="https://enzyme.expasy.org/EC/3.-.-.-" xr:uid="{43F20AE0-11A6-4FCB-A35D-4D0F70961E7F}"/>
    <hyperlink ref="C581" r:id="rId1123" display="https://enzyme.expasy.org/EC/3.1.3.-" xr:uid="{B70BC553-7901-402C-88F6-650C5B794EE3}"/>
    <hyperlink ref="C197" r:id="rId1124" display="https://enzyme.expasy.org/EC/2.2.1.2" xr:uid="{EF680B16-8E8B-46CF-9AF9-53F97DA2A061}"/>
    <hyperlink ref="E197" r:id="rId1125" xr:uid="{26E8C177-8879-4881-AB41-850BD6C81078}"/>
    <hyperlink ref="C198" r:id="rId1126" display="https://enzyme.expasy.org/EC/2.2.1.2" xr:uid="{13EADB30-FE94-4504-805D-F1E2FB6DE6D7}"/>
    <hyperlink ref="E198" r:id="rId1127" xr:uid="{5B65E6CD-BACD-4D5B-AC57-7FFB33305E2A}"/>
    <hyperlink ref="F197" r:id="rId1128" xr:uid="{8A485928-E9EC-439F-B410-798D878AB20D}"/>
    <hyperlink ref="F198" r:id="rId1129" xr:uid="{D1567980-0A9E-450A-ABDB-E66A456B77CA}"/>
    <hyperlink ref="C191" r:id="rId1130" display="https://enzyme.expasy.org/EC/2.2.1.1" xr:uid="{D6C0A40C-00F5-4263-A68B-4CA7555CBEB7}"/>
    <hyperlink ref="E191" r:id="rId1131" xr:uid="{2E6AB92C-3A3A-4F46-8385-35207FE6C439}"/>
    <hyperlink ref="C192" r:id="rId1132" display="https://enzyme.expasy.org/EC/2.2.1.1" xr:uid="{EB663D18-54E9-45E6-B60F-409639DCF153}"/>
    <hyperlink ref="C193" r:id="rId1133" display="https://enzyme.expasy.org/EC/2.2.1.1" xr:uid="{7F5D5519-893D-4F93-BA00-C79FD7F3781C}"/>
    <hyperlink ref="C194" r:id="rId1134" display="https://enzyme.expasy.org/EC/2.2.1.1" xr:uid="{7085CE6C-D852-47C2-A11A-480D3D219787}"/>
    <hyperlink ref="C195" r:id="rId1135" display="https://enzyme.expasy.org/EC/2.2.1.1" xr:uid="{A1C68219-51C5-4497-9D71-3D3959244430}"/>
    <hyperlink ref="C196" r:id="rId1136" display="https://enzyme.expasy.org/EC/2.2.1.1" xr:uid="{3E833A78-98F8-4DBE-B960-E4F06681026E}"/>
    <hyperlink ref="E192" r:id="rId1137" xr:uid="{CB4DE4D1-FD5E-47DF-9D86-4D7ED964B694}"/>
    <hyperlink ref="E193" r:id="rId1138" xr:uid="{56415E53-C4FE-4711-B128-05F8DF8B68D4}"/>
    <hyperlink ref="E194" r:id="rId1139" xr:uid="{96282A6F-1332-48B5-B034-92DB4783029C}"/>
    <hyperlink ref="E195" r:id="rId1140" xr:uid="{2DB7D085-C108-4966-B403-CA38B5F267FB}"/>
    <hyperlink ref="E196" r:id="rId1141" xr:uid="{C35B9A5E-88D5-41B2-9EFE-28BDC1D6B2B3}"/>
    <hyperlink ref="F191" r:id="rId1142" xr:uid="{75AEDF20-C9CD-4DF3-AA51-D70C7EA30627}"/>
    <hyperlink ref="F192" r:id="rId1143" xr:uid="{76046695-9F2F-4F44-B956-3FFA1256F910}"/>
    <hyperlink ref="F193" r:id="rId1144" xr:uid="{0D0B7416-BF3F-4E39-9DE6-A3213A8D42B9}"/>
    <hyperlink ref="F194" r:id="rId1145" xr:uid="{D711C8CA-2923-456C-9B90-22F5F76028CB}"/>
    <hyperlink ref="F195" r:id="rId1146" xr:uid="{CBB8F2FA-4510-4B1F-BB28-61554FDE984B}"/>
    <hyperlink ref="F196" r:id="rId1147" xr:uid="{790F2811-D082-499E-92B7-02BEF8110E0E}"/>
    <hyperlink ref="C331" r:id="rId1148" display="https://enzyme.expasy.org/EC/2.7.1.-" xr:uid="{A0BB190B-239C-411F-85A4-73ED6F6BA81E}"/>
    <hyperlink ref="C788" r:id="rId1149" display="https://enzyme.expasy.org/EC/3.6.1.27" xr:uid="{FF9157D7-E83B-4877-93E3-54044521FAC2}"/>
    <hyperlink ref="E788" r:id="rId1150" xr:uid="{4838619B-3B04-453C-B929-38536B6CB725}"/>
    <hyperlink ref="F788" r:id="rId1151" xr:uid="{F8B99412-FCCD-4E68-A9D1-D0F4C833F5FA}"/>
    <hyperlink ref="C953" r:id="rId1152" display="https://enzyme.expasy.org/EC/6.1.1.3" xr:uid="{40B5444E-8A95-4427-AF3E-364F65277C63}"/>
    <hyperlink ref="E953" r:id="rId1153" xr:uid="{DA2A0E9C-E52B-4A61-9FDE-7AF98E35817E}"/>
    <hyperlink ref="F953" r:id="rId1154" xr:uid="{BED3BD40-7A0D-4D2B-A724-577FE629BB79}"/>
    <hyperlink ref="C567" r:id="rId1155" display="https://enzyme.expasy.org/EC/3.1.21.10" xr:uid="{4CB8C9F7-FEF2-4A13-93E8-C53DF71EAE38}"/>
    <hyperlink ref="E567" r:id="rId1156" xr:uid="{E44C2A39-8095-4F4A-B79D-6A2E720ED116}"/>
    <hyperlink ref="C800" r:id="rId1157" display="https://enzyme.expasy.org/EC/3.6.4.12" xr:uid="{5523C634-4569-458B-82E6-6F6B00C89D25}"/>
    <hyperlink ref="E800" r:id="rId1158" xr:uid="{75A6BDFF-B750-46BA-97FB-E9169BBFA880}"/>
    <hyperlink ref="C801" r:id="rId1159" display="https://enzyme.expasy.org/EC/3.6.4.12" xr:uid="{8D546392-D29A-4E28-9608-07F5005F12A0}"/>
    <hyperlink ref="E801" r:id="rId1160" xr:uid="{196F6939-2063-44E8-B6E8-0743F3EB29A0}"/>
    <hyperlink ref="C283" r:id="rId1161" display="https://enzyme.expasy.org/EC/2.4.2.7" xr:uid="{534B9998-5F2D-4EF1-9A24-BFED0CDCE80C}"/>
    <hyperlink ref="E283" r:id="rId1162" xr:uid="{AF3B11E6-A72E-4905-9C13-57EEE288D1F3}"/>
    <hyperlink ref="C284" r:id="rId1163" display="https://enzyme.expasy.org/EC/2.4.2.7" xr:uid="{125BB28C-8C6E-49A8-8257-53353A2915B6}"/>
    <hyperlink ref="E284" r:id="rId1164" xr:uid="{B714BCEE-3E51-4916-B911-8DD87B31FAC9}"/>
    <hyperlink ref="F283" r:id="rId1165" xr:uid="{D0C4E162-3907-4E79-86DE-81EBB0C431E4}"/>
    <hyperlink ref="F284" r:id="rId1166" xr:uid="{6BA1135B-09B4-4505-9E5A-675406F729F8}"/>
    <hyperlink ref="C962" r:id="rId1167" display="https://enzyme.expasy.org/EC/6.2.1.5" xr:uid="{D51912E0-0550-4BBA-AB94-75C943F92AE5}"/>
    <hyperlink ref="E962" r:id="rId1168" xr:uid="{3742EC31-A0FC-4B62-8B94-30F38EF5DAF9}"/>
    <hyperlink ref="F962" r:id="rId1169" xr:uid="{1A29ED8A-C8FE-4E2C-9321-D67A19FD79AF}"/>
    <hyperlink ref="C963" r:id="rId1170" display="https://enzyme.expasy.org/EC/6.2.1.5" xr:uid="{792CA82C-8072-47F9-ACB4-A4B52C801904}"/>
    <hyperlink ref="E963" r:id="rId1171" xr:uid="{06482938-142C-443A-8BE2-03C4EBDED833}"/>
    <hyperlink ref="F963" r:id="rId1172" xr:uid="{3237B964-A9C9-4200-B71E-85B5AC18FED4}"/>
    <hyperlink ref="C964" r:id="rId1173" display="https://enzyme.expasy.org/EC/6.2.1.5" xr:uid="{9CF98F02-3AB6-4FFC-A2BD-81693AE7BE91}"/>
    <hyperlink ref="E964" r:id="rId1174" xr:uid="{AF5B4F33-6EA8-4E38-A1CD-596AC1FD0A36}"/>
    <hyperlink ref="C965" r:id="rId1175" display="https://enzyme.expasy.org/EC/6.2.1.5" xr:uid="{C924AC50-06FC-4481-802F-6C5E88FAEC9D}"/>
    <hyperlink ref="E965" r:id="rId1176" xr:uid="{24125181-D174-4765-90CC-A8EEC2B1BC5F}"/>
    <hyperlink ref="F964" r:id="rId1177" xr:uid="{D34EB999-B799-4624-86E5-72B7623EA993}"/>
    <hyperlink ref="F965" r:id="rId1178" xr:uid="{7515B2AD-2422-4E1C-9416-BCECA9AA1990}"/>
    <hyperlink ref="C187" r:id="rId1179" display="https://enzyme.expasy.org/EC/2.1.2.3" xr:uid="{539CF011-CFBD-4E75-9672-CAC6241018AD}"/>
    <hyperlink ref="E187" r:id="rId1180" xr:uid="{D3F46BB6-E24D-461B-B6A7-566A4B72B28E}"/>
    <hyperlink ref="F187" r:id="rId1181" xr:uid="{8C7638EF-9FB8-4C01-86CE-283AE5405EAD}"/>
    <hyperlink ref="C760" r:id="rId1182" display="https://enzyme.expasy.org/EC/3.5.4.10" xr:uid="{9458104A-9EE5-4B80-B86A-76D10C55B624}"/>
    <hyperlink ref="E760" r:id="rId1183" xr:uid="{AE88B523-AD88-4DAA-A96A-3972347ECABE}"/>
    <hyperlink ref="F760" r:id="rId1184" xr:uid="{CF9E9B7F-0892-4E77-8FB1-2119DC2E57A4}"/>
    <hyperlink ref="C918" r:id="rId1185" display="https://enzyme.expasy.org/EC/5.4.99.-" xr:uid="{5141627F-6BB8-4B1D-B8FD-039F372781B5}"/>
    <hyperlink ref="C508" r:id="rId1186" display="https://enzyme.expasy.org/EC/2.7.7.9" xr:uid="{ADDB3988-576F-4E62-B4BD-7B30691A509A}"/>
    <hyperlink ref="E508" r:id="rId1187" xr:uid="{1F981C49-5FD4-4800-8D97-5268BCD6E689}"/>
    <hyperlink ref="F508" r:id="rId1188" xr:uid="{117DAD41-37DF-44BE-BE76-14EBB91FC261}"/>
    <hyperlink ref="C794" r:id="rId1189" display="https://enzyme.expasy.org/EC/3.6.4.-" xr:uid="{69F75839-0EF4-4B94-8B52-F339C85367D2}"/>
    <hyperlink ref="C510" r:id="rId1190" display="https://enzyme.expasy.org/EC/2.7.8.-" xr:uid="{A80A8901-486D-446D-BFE9-CF690B3A4653}"/>
    <hyperlink ref="C277" r:id="rId1191" display="https://enzyme.expasy.org/EC/2.4.2.17" xr:uid="{68B84E0D-A446-4939-85D4-66E9EED04AF5}"/>
    <hyperlink ref="E277" r:id="rId1192" xr:uid="{83CCEDCB-D7A3-4398-AA60-064C31D6FBF9}"/>
    <hyperlink ref="F277" r:id="rId1193" xr:uid="{F19A4F8A-D4C9-4D4D-9AD4-853E0D352E68}"/>
    <hyperlink ref="C789" r:id="rId1194" display="https://enzyme.expasy.org/EC/3.6.1.31" xr:uid="{5F2096C5-0B87-41E2-B87E-A9881DA0CEEA}"/>
    <hyperlink ref="E789" r:id="rId1195" xr:uid="{8B7C58FE-53CC-40C3-B6B7-58F60E320875}"/>
    <hyperlink ref="F789" r:id="rId1196" xr:uid="{816472E9-EC07-481D-9348-2A6B779FAF74}"/>
    <hyperlink ref="C892" r:id="rId1197" display="https://enzyme.expasy.org/EC/5.1.3.1" xr:uid="{F239085A-CD18-4A11-92A8-31AED397A32F}"/>
    <hyperlink ref="E892" r:id="rId1198" xr:uid="{F2033015-89D4-4817-B161-0EBD7B0F521B}"/>
    <hyperlink ref="F892" r:id="rId1199" xr:uid="{6148221A-D5FD-4BC4-B35A-134FB11EC0E3}"/>
    <hyperlink ref="C292" r:id="rId1200" display="https://enzyme.expasy.org/EC/2.5.1.145" xr:uid="{CB07AB1C-A7BE-484A-AC72-C48067B1DE61}"/>
    <hyperlink ref="E292" r:id="rId1201" xr:uid="{D7C5EA1E-1F14-4B16-983F-4CDAA176A1AF}"/>
    <hyperlink ref="C827" r:id="rId1202" display="https://enzyme.expasy.org/EC/4.2.1.20" xr:uid="{0A66A90E-0A2C-480E-870B-6FCA85B6B441}"/>
    <hyperlink ref="E827" r:id="rId1203" xr:uid="{3AC31A2A-5802-4F4B-8535-5DB07D652389}"/>
    <hyperlink ref="C828" r:id="rId1204" display="https://enzyme.expasy.org/EC/4.2.1.20" xr:uid="{8405F13F-CA7E-4CF1-87A9-3E4DCA706E07}"/>
    <hyperlink ref="C829" r:id="rId1205" display="https://enzyme.expasy.org/EC/4.2.1.20" xr:uid="{4E332D5F-CABC-4551-BC24-D117FD5C7844}"/>
    <hyperlink ref="E828" r:id="rId1206" xr:uid="{8194A1D2-9048-48F3-848F-74E6FE9598CC}"/>
    <hyperlink ref="E829" r:id="rId1207" xr:uid="{E14DD946-6225-44DA-ABFA-3AA3EE3F9A26}"/>
    <hyperlink ref="F827" r:id="rId1208" xr:uid="{BD88E804-D10A-4195-B460-FB3885F304B5}"/>
    <hyperlink ref="F828" r:id="rId1209" xr:uid="{DB0003A9-02F8-405B-A508-B3D730DA86F8}"/>
    <hyperlink ref="F829" r:id="rId1210" xr:uid="{E9FE1E6E-3E5F-49C4-8106-18FB54422D2E}"/>
    <hyperlink ref="C713" r:id="rId1211" display="https://enzyme.expasy.org/EC/3.4.-.-" xr:uid="{35290890-248D-433C-AFA0-765DCC3A65BB}"/>
    <hyperlink ref="C569" r:id="rId1212" display="https://enzyme.expasy.org/EC/3.1.21.2" xr:uid="{87FE331E-5021-451E-95DD-47CDFC1F7273}"/>
    <hyperlink ref="E569" r:id="rId1213" xr:uid="{E614D2C4-8B5A-447C-939C-042583013443}"/>
    <hyperlink ref="C215" r:id="rId1214" display="https://enzyme.expasy.org/EC/2.3.1.-" xr:uid="{711C6034-E88A-4CE3-9371-D5DD7CD58AE3}"/>
    <hyperlink ref="C1045" r:id="rId1215" display="https://enzyme.expasy.org/EC/7.6.2.-" xr:uid="{17A24E27-8E67-4034-AE0A-EE4A524725A2}"/>
    <hyperlink ref="C1038" r:id="rId1216" display="https://enzyme.expasy.org/EC/7.5.2.-" xr:uid="{CFEAC0E4-5CBF-473C-BD9C-02E12ADF231B}"/>
    <hyperlink ref="C384" r:id="rId1217" display="https://enzyme.expasy.org/EC/2.7.13.3" xr:uid="{CF89208D-6333-46D9-884C-D4E57A901AE9}"/>
    <hyperlink ref="E384" r:id="rId1218" xr:uid="{DE30672D-F2B9-4D66-B5E4-3125E1617BFA}"/>
    <hyperlink ref="C1046" r:id="rId1219" display="https://enzyme.expasy.org/EC/7.6.2.-" xr:uid="{E0DC7156-F468-4593-B5FE-12F0D0D45263}"/>
    <hyperlink ref="C820" r:id="rId1220" display="https://enzyme.expasy.org/EC/4.1.3.27" xr:uid="{FD4C94CD-1BD2-4A05-8BE1-CB818A6BFDFA}"/>
    <hyperlink ref="E820" r:id="rId1221" xr:uid="{7FFA71BE-8DA9-46A3-9EEC-EDBB9A31A1E7}"/>
    <hyperlink ref="C821" r:id="rId1222" display="https://enzyme.expasy.org/EC/4.1.3.27" xr:uid="{82A94C72-3739-4145-96E5-72650AEB5D15}"/>
    <hyperlink ref="E821" r:id="rId1223" xr:uid="{7C0B6CB0-5C0C-4B75-83AE-2677C1A41200}"/>
    <hyperlink ref="F820" r:id="rId1224" xr:uid="{0A80E6C3-AA22-4A6A-9F87-7AF03F73EA4C}"/>
    <hyperlink ref="F821" r:id="rId1225" xr:uid="{6C22D0BF-3B3A-4399-A13D-12E260186C82}"/>
    <hyperlink ref="C767" r:id="rId1226" display="https://enzyme.expasy.org/EC/3.5.4.19" xr:uid="{F557AD3D-84E4-428B-BF16-C4AF32BC2349}"/>
    <hyperlink ref="E767" r:id="rId1227" xr:uid="{483A719D-96CC-46F2-B2CE-2A5A69142151}"/>
    <hyperlink ref="F767" r:id="rId1228" xr:uid="{C4BF5BCF-1E79-4729-B97C-9E8229B2BF15}"/>
    <hyperlink ref="C862" r:id="rId1229" display="https://enzyme.expasy.org/EC/4.3.2.10" xr:uid="{34DE7B21-BCB9-410A-AC6D-81A87B62A91D}"/>
    <hyperlink ref="E862" r:id="rId1230" xr:uid="{61A39C28-CB41-4F25-B352-BE4F4AC7A1F6}"/>
    <hyperlink ref="C863" r:id="rId1231" display="https://enzyme.expasy.org/EC/4.3.2.10" xr:uid="{96C4A5F9-4996-439B-AB71-2A56EB2832D4}"/>
    <hyperlink ref="C864" r:id="rId1232" display="https://enzyme.expasy.org/EC/4.3.2.10" xr:uid="{1C907AB0-9FD5-4E77-9FC3-DB1CF3192F6C}"/>
    <hyperlink ref="E863" r:id="rId1233" xr:uid="{578531E2-6309-4236-B62A-4E0EDCB3ECA3}"/>
    <hyperlink ref="E864" r:id="rId1234" xr:uid="{854CED34-F462-4B41-BEC0-78B06D68F28E}"/>
    <hyperlink ref="F862" r:id="rId1235" xr:uid="{F86918E9-1CDA-4A59-A6DE-5676343CEC45}"/>
    <hyperlink ref="F863" r:id="rId1236" xr:uid="{E4D428AC-0C48-4816-955A-BA33610E7A39}"/>
    <hyperlink ref="F864" r:id="rId1237" xr:uid="{9E1D7D82-A884-40BD-83EA-EA3F0D0A03ED}"/>
    <hyperlink ref="C170" r:id="rId1238" display="https://enzyme.expasy.org/EC/2.1.1.192" xr:uid="{3C247888-E3A0-4F93-A87B-217A07D44023}"/>
    <hyperlink ref="E170" r:id="rId1239" xr:uid="{142D6A74-B1AC-46A3-8A43-DBD7F104905B}"/>
    <hyperlink ref="C426" r:id="rId1240" display="https://enzyme.expasy.org/EC/2.7.7.41" xr:uid="{F508C94F-EB97-4834-865E-AD1595F1B24E}"/>
    <hyperlink ref="E426" r:id="rId1241" xr:uid="{499EC2E6-6487-4469-AC83-8CA7830B8E68}"/>
    <hyperlink ref="F426" r:id="rId1242" xr:uid="{BC16A77A-7382-47DF-B5C1-272DDF3BCAEA}"/>
    <hyperlink ref="C399" r:id="rId1243" display="https://enzyme.expasy.org/EC/2.7.4.22" xr:uid="{71180169-520C-40EA-A055-AFF3EDE267D0}"/>
    <hyperlink ref="E399" r:id="rId1244" xr:uid="{1CDD985D-1FC2-438F-A575-5806400D38E9}"/>
    <hyperlink ref="F399" r:id="rId1245" xr:uid="{D8953465-5FF5-4964-8B9A-FE42D821A700}"/>
    <hyperlink ref="C754" r:id="rId1246" display="https://enzyme.expasy.org/EC/3.5.1.88" xr:uid="{AF8A69A1-8BDC-4668-8D3A-B829C8539B76}"/>
    <hyperlink ref="E754" r:id="rId1247" xr:uid="{C3184F58-ACE2-4109-BDFB-38F991C8B7FF}"/>
    <hyperlink ref="C755" r:id="rId1248" display="https://enzyme.expasy.org/EC/3.5.1.88" xr:uid="{21613C38-2626-4F8C-9103-4632FE48936A}"/>
    <hyperlink ref="E755" r:id="rId1249" xr:uid="{29B49CE3-AE4B-4BAF-B340-B798EF18F940}"/>
    <hyperlink ref="F754" r:id="rId1250" xr:uid="{15851655-AE17-4790-842B-A61C37745A03}"/>
    <hyperlink ref="F755" r:id="rId1251" xr:uid="{114A0B3D-B3BA-41D9-A3DB-3A4C253E2FD4}"/>
    <hyperlink ref="C960" r:id="rId1252" display="https://enzyme.expasy.org/EC/6.2.1.-" xr:uid="{8B9F8DCC-7FCA-4E6D-8389-6A8A37EBE8FA}"/>
    <hyperlink ref="C51" r:id="rId1253" display="https://enzyme.expasy.org/EC/1.1.1.42" xr:uid="{F86ED7B5-0BAD-4124-BCC3-C92F02BEF3B8}"/>
    <hyperlink ref="E51" r:id="rId1254" xr:uid="{D6381A5E-FDD4-423C-A2E0-F9FA4F1C0199}"/>
    <hyperlink ref="C52" r:id="rId1255" display="https://enzyme.expasy.org/EC/1.1.1.42" xr:uid="{E1A43AE5-D6F9-4C3D-83A5-2DB122294700}"/>
    <hyperlink ref="C53" r:id="rId1256" display="https://enzyme.expasy.org/EC/1.1.1.42" xr:uid="{AD79E924-4001-4F20-B980-9029071CD10B}"/>
    <hyperlink ref="E52" r:id="rId1257" xr:uid="{38BBE444-985F-41C9-B41A-771BC5C8C0D3}"/>
    <hyperlink ref="E53" r:id="rId1258" xr:uid="{D48CC8C2-184C-4E36-89C4-00D00EFB6C85}"/>
    <hyperlink ref="F51" r:id="rId1259" xr:uid="{C1C70382-721A-4FE2-9B93-2A99DD87D055}"/>
    <hyperlink ref="F52" r:id="rId1260" xr:uid="{7B361FE3-9380-4D0B-988A-AE6E8B0C2FFF}"/>
    <hyperlink ref="F53" r:id="rId1261" xr:uid="{BBB51FE7-34AE-4313-AAD9-5A08F42FEFD8}"/>
    <hyperlink ref="C734" r:id="rId1262" display="https://enzyme.expasy.org/EC/3.4.24.-" xr:uid="{6692462A-E74A-4F38-B36D-DFEECE7AF3C0}"/>
    <hyperlink ref="C385" r:id="rId1263" display="https://enzyme.expasy.org/EC/2.7.13.3" xr:uid="{D1B86383-03EF-4100-A2C4-4C3BAD41BB3A}"/>
    <hyperlink ref="E385" r:id="rId1264" xr:uid="{226913B9-3F1F-4A95-99FC-3451BB60344A}"/>
    <hyperlink ref="C223" r:id="rId1265" display="https://enzyme.expasy.org/EC/2.3.1.234" xr:uid="{61A200E2-480F-405B-8A4F-451AE46DBE17}"/>
    <hyperlink ref="E223" r:id="rId1266" xr:uid="{A4CCA0E2-9252-493A-9EB4-092672B9B233}"/>
    <hyperlink ref="F223" r:id="rId1267" xr:uid="{D0796318-0798-4266-BD18-77B21E489D00}"/>
    <hyperlink ref="C225" r:id="rId1268" display="https://enzyme.expasy.org/EC/2.3.1.266" xr:uid="{A71B54C1-D799-4CA3-B35E-E11CD922947D}"/>
    <hyperlink ref="E225" r:id="rId1269" xr:uid="{04B30EB5-5982-4736-8180-0752CE2A001C}"/>
    <hyperlink ref="F225" r:id="rId1270" xr:uid="{1846F7EE-5D8D-4EAA-9746-755109054EEA}"/>
    <hyperlink ref="C224" r:id="rId1271" display="https://enzyme.expasy.org/EC/2.3.1.234" xr:uid="{7BD10F86-71C8-48DD-A93E-9A562D5502F3}"/>
    <hyperlink ref="E224" r:id="rId1272" xr:uid="{8E644BD0-EF87-444A-BAD5-F3A8AE7A684B}"/>
    <hyperlink ref="F224" r:id="rId1273" xr:uid="{46DBE8CA-EB73-4D16-926C-CE4091663A6F}"/>
    <hyperlink ref="C478" r:id="rId1274" display="https://enzyme.expasy.org/EC/2.7.7.7" xr:uid="{26A340FD-7C9A-40C8-8302-475424D969EA}"/>
    <hyperlink ref="E478" r:id="rId1275" xr:uid="{ABE0652C-EA26-4B10-B098-91245A884860}"/>
    <hyperlink ref="C479" r:id="rId1276" display="https://enzyme.expasy.org/EC/2.7.7.7" xr:uid="{A6B24832-3CE6-4807-8F25-800D147FBE97}"/>
    <hyperlink ref="C480" r:id="rId1277" display="https://enzyme.expasy.org/EC/2.7.7.7" xr:uid="{CA154C25-870C-4775-A739-9AAE48A32C09}"/>
    <hyperlink ref="C481" r:id="rId1278" display="https://enzyme.expasy.org/EC/2.7.7.7" xr:uid="{2BD288C9-08D0-43F0-9F23-16458C920C4F}"/>
    <hyperlink ref="C482" r:id="rId1279" display="https://enzyme.expasy.org/EC/2.7.7.7" xr:uid="{F000C271-0065-4FE3-BF2D-A3978289C386}"/>
    <hyperlink ref="C483" r:id="rId1280" display="https://enzyme.expasy.org/EC/2.7.7.7" xr:uid="{F80D26E7-3695-49C4-A7A4-36C2763C9E25}"/>
    <hyperlink ref="E479" r:id="rId1281" xr:uid="{AB3DB8CF-2B5C-4C03-AC81-44DE08163EC2}"/>
    <hyperlink ref="E480" r:id="rId1282" xr:uid="{434FCBF2-8B03-4484-BA87-6B0D58CD28EF}"/>
    <hyperlink ref="E481" r:id="rId1283" xr:uid="{A97AE01F-37C7-4B2F-A1AA-FB2BCD892435}"/>
    <hyperlink ref="E482" r:id="rId1284" xr:uid="{19391D60-EF95-46D0-90E7-A8C942C30B03}"/>
    <hyperlink ref="E483" r:id="rId1285" xr:uid="{3F296B24-56F9-4F0C-AE1C-A880E66C502B}"/>
    <hyperlink ref="F478" r:id="rId1286" xr:uid="{62528BF7-1968-48DA-B28E-9B98FC3DA641}"/>
    <hyperlink ref="F479" r:id="rId1287" xr:uid="{9BFC03BB-3CD4-44F2-9BD3-DB1D22903EDE}"/>
    <hyperlink ref="F480" r:id="rId1288" xr:uid="{EDF347D6-6E0F-4317-8039-1B6D990D5BB1}"/>
    <hyperlink ref="F481" r:id="rId1289" xr:uid="{CB19278C-1CAC-43E1-BA90-B0B5AE07E91D}"/>
    <hyperlink ref="F482" r:id="rId1290" xr:uid="{3B7D2895-ED50-4FD8-BD5F-BDDDA254BEFA}"/>
    <hyperlink ref="F483" r:id="rId1291" xr:uid="{AD9B0C8A-0660-4AFB-8B55-087FD128BA2C}"/>
    <hyperlink ref="C954" r:id="rId1292" display="https://enzyme.expasy.org/EC/6.1.1.4" xr:uid="{0FAFE03D-43D7-4A60-A301-774447B2A218}"/>
    <hyperlink ref="E954" r:id="rId1293" xr:uid="{96495095-78FB-4F5F-8807-7C3F6BA912A9}"/>
    <hyperlink ref="F954" r:id="rId1294" xr:uid="{E925CCFF-CA5B-4022-8F64-B38240429FA7}"/>
    <hyperlink ref="C7" r:id="rId1295" display="https://enzyme.expasy.org/EC/1.-.-.-" xr:uid="{3E7880DC-7D0C-42D9-9A04-5E92941CC9B8}"/>
    <hyperlink ref="C8" r:id="rId1296" display="https://enzyme.expasy.org/EC/1.-.-.-" xr:uid="{ECB9A8DB-F5D9-4C90-B5B2-33518964281A}"/>
    <hyperlink ref="C618" r:id="rId1297" display="https://enzyme.expasy.org/EC/3.2.1.163" xr:uid="{DC5BBD75-B7C2-4A20-9887-D65C0D7D4622}"/>
    <hyperlink ref="E618" r:id="rId1298" xr:uid="{9B6E31A5-4FA7-41A7-A4A5-B9743938AE6D}"/>
    <hyperlink ref="F618" r:id="rId1299" xr:uid="{777EF484-A117-4F3E-B634-1E7DC68655DE}"/>
    <hyperlink ref="C886" r:id="rId1300" display="https://enzyme.expasy.org/EC/5.-.-.-" xr:uid="{219B1DFB-10BA-4D55-AD1F-6910931573CD}"/>
    <hyperlink ref="C613" r:id="rId1301" display="https://enzyme.expasy.org/EC/3.2.1.-" xr:uid="{6CFBA4DD-B64A-4CC6-BD84-101B7F6B0B02}"/>
    <hyperlink ref="C558" r:id="rId1302" display="https://enzyme.expasy.org/EC/3.1.1.96" xr:uid="{4C4A3053-DDC0-4261-BDDC-76BF8A6C508D}"/>
    <hyperlink ref="E558" r:id="rId1303" xr:uid="{59E91641-EA3D-4138-8DD4-899F5A81C0AB}"/>
    <hyperlink ref="C516" r:id="rId1304" display="https://enzyme.expasy.org/EC/2.7.8.7" xr:uid="{930E7DE4-F4E9-49F9-8E42-54267DE24270}"/>
    <hyperlink ref="E516" r:id="rId1305" xr:uid="{0E908626-DEAC-4123-8888-D9ADC35283CB}"/>
    <hyperlink ref="F516" r:id="rId1306" xr:uid="{CC196DD0-062B-439F-8EA3-E5BC2E0B40E6}"/>
    <hyperlink ref="C927" r:id="rId1307" display="https://enzyme.expasy.org/EC/5.6.2.1" xr:uid="{057B26C1-37A8-4756-960F-CE70D0BC6AC5}"/>
    <hyperlink ref="E927" r:id="rId1308" xr:uid="{AFE0C6B0-6162-4D73-9D95-868D2721D4BA}"/>
    <hyperlink ref="C183" r:id="rId1309" display="https://enzyme.expasy.org/EC/2.1.1.72" xr:uid="{DB8A0239-AB8E-4D0F-B42C-C0BBE527805D}"/>
    <hyperlink ref="E183" r:id="rId1310" xr:uid="{92DA9B4F-3BA8-44B7-997B-87CA4D6CDA19}"/>
    <hyperlink ref="F183" r:id="rId1311" xr:uid="{DAA18371-4BCC-4A65-92DB-CDD6FC339CE7}"/>
    <hyperlink ref="C216" r:id="rId1312" display="https://enzyme.expasy.org/EC/2.3.1.-" xr:uid="{7303F9C2-ADC6-4AE4-B92A-D9A75B159372}"/>
    <hyperlink ref="C901" r:id="rId1313" display="https://enzyme.expasy.org/EC/5.2.1.8" xr:uid="{268E58BE-DA6B-4451-82CD-E73EC0543ABF}"/>
    <hyperlink ref="E901" r:id="rId1314" xr:uid="{1776287E-B3DD-4EEB-8E8D-3FDF94DFD289}"/>
    <hyperlink ref="F901" r:id="rId1315" xr:uid="{0FC12DCD-2D85-40DE-B5DF-6E657745D6FB}"/>
    <hyperlink ref="C413" r:id="rId1316" display="https://enzyme.expasy.org/EC/2.7.6.5" xr:uid="{8A84623B-B67D-4F0F-819F-3F0D81F1650C}"/>
    <hyperlink ref="E413" r:id="rId1317" xr:uid="{561FE13D-5D95-4F36-87BA-EA2C73A6900F}"/>
    <hyperlink ref="F413" r:id="rId1318" xr:uid="{42339FF2-F59B-4766-9EA0-A493A63B177B}"/>
    <hyperlink ref="C786" r:id="rId1319" display="https://enzyme.expasy.org/EC/3.6.1.23" xr:uid="{7073D71C-9824-4870-A0BD-3ADB9EA3AB54}"/>
    <hyperlink ref="E786" r:id="rId1320" xr:uid="{9A04A070-AB5A-4785-994C-D66184479D6A}"/>
    <hyperlink ref="C787" r:id="rId1321" display="https://enzyme.expasy.org/EC/3.6.1.23" xr:uid="{2053F643-4BB5-43D6-9309-5990CA35091A}"/>
    <hyperlink ref="E787" r:id="rId1322" xr:uid="{18B93FEF-789F-4E2C-8A77-571CCE43BBD2}"/>
    <hyperlink ref="F786" r:id="rId1323" xr:uid="{A0235724-E3C8-49E2-862E-C82EAD679BD0}"/>
    <hyperlink ref="F787" r:id="rId1324" xr:uid="{C136C558-088A-4D71-AB75-CE2F5CF6A622}"/>
    <hyperlink ref="C540" r:id="rId1325" display="https://enzyme.expasy.org/EC/3.-.-.-" xr:uid="{5EB879B7-E5C1-451B-AC64-9FD85DB5591F}"/>
    <hyperlink ref="C930" r:id="rId1326" display="https://enzyme.expasy.org/EC/5.6.2.2" xr:uid="{D4605D77-A564-4FF7-BA0A-BFD4B85EB926}"/>
    <hyperlink ref="E930" r:id="rId1327" xr:uid="{A855FED1-1BD8-4DB1-B0BB-E4D9825B0934}"/>
    <hyperlink ref="C339" r:id="rId1328" display="https://enzyme.expasy.org/EC/2.7.1.15" xr:uid="{2FB9E976-E25D-4690-BB1A-CF9B7563725C}"/>
    <hyperlink ref="E339" r:id="rId1329" xr:uid="{E31ED746-7D63-4268-8706-87041CCB4850}"/>
    <hyperlink ref="C340" r:id="rId1330" display="https://enzyme.expasy.org/EC/2.7.1.15" xr:uid="{ACB8B4BB-0BCD-44A1-A1D0-558EA5B193CB}"/>
    <hyperlink ref="E340" r:id="rId1331" xr:uid="{0A219800-3EB2-4FD3-9E86-C78E8F314A5A}"/>
    <hyperlink ref="F339" r:id="rId1332" xr:uid="{562C548A-F32E-46E1-B265-8DB3A150890B}"/>
    <hyperlink ref="F340" r:id="rId1333" xr:uid="{ACB4879D-83EF-4302-86B0-817B196B940D}"/>
    <hyperlink ref="C931" r:id="rId1334" display="https://enzyme.expasy.org/EC/5.6.2.2" xr:uid="{D576E556-FF89-4C25-983D-0052146D8726}"/>
    <hyperlink ref="E931" r:id="rId1335" xr:uid="{87153FA1-970B-42BC-B39A-ED18F80AC23C}"/>
    <hyperlink ref="C291" r:id="rId1336" display="https://enzyme.expasy.org/EC/2.5.1.-" xr:uid="{D44B75B2-C3BD-479D-B14F-A14375161FAA}"/>
    <hyperlink ref="C217" r:id="rId1337" display="https://enzyme.expasy.org/EC/2.3.1.-" xr:uid="{B3686E59-FDAB-4BD0-BCA1-0586DCC0E3A4}"/>
    <hyperlink ref="C278" r:id="rId1338" display="https://enzyme.expasy.org/EC/2.4.2.18" xr:uid="{F99D88CE-3880-4BD7-973D-2BEDC6B7344E}"/>
    <hyperlink ref="E278" r:id="rId1339" xr:uid="{BDE14857-3311-4E50-BF25-525614A54F06}"/>
    <hyperlink ref="F278" r:id="rId1340" xr:uid="{79BE5C01-62C8-4FF6-9CF4-8468FA2679A5}"/>
    <hyperlink ref="C514" r:id="rId1341" display="https://enzyme.expasy.org/EC/2.7.8.5" xr:uid="{9798BA22-7D59-434B-B8E4-B4093D1B35C5}"/>
    <hyperlink ref="E514" r:id="rId1342" xr:uid="{215E9062-A229-44A6-AFF8-E72B364DB8BB}"/>
    <hyperlink ref="F514" r:id="rId1343" xr:uid="{B8526CCA-421C-4D4C-AD08-F3918055E9DA}"/>
    <hyperlink ref="C311" r:id="rId1344" display="https://enzyme.expasy.org/EC/2.5.1.75" xr:uid="{F6438C97-B47E-4CAB-89ED-51A1A06A7A97}"/>
    <hyperlink ref="E311" r:id="rId1345" xr:uid="{E436D4D6-FA74-49D3-AD9E-01A13F76C829}"/>
    <hyperlink ref="F311" r:id="rId1346" xr:uid="{3B709FC0-87A8-4D27-8304-3CC97F7B866E}"/>
    <hyperlink ref="C522" r:id="rId1347" display="https://enzyme.expasy.org/EC/2.8.4.3" xr:uid="{70684F51-554E-4F12-A283-7E2A9BFACA1F}"/>
    <hyperlink ref="E522" r:id="rId1348" xr:uid="{BD0FC63B-E6E2-4646-AE28-F5089014ECCD}"/>
    <hyperlink ref="C523" r:id="rId1349" display="https://enzyme.expasy.org/EC/2.8.4.3" xr:uid="{DFF4F60C-CDBF-4A93-B10C-BA6558D06458}"/>
    <hyperlink ref="C524" r:id="rId1350" display="https://enzyme.expasy.org/EC/2.8.4.3" xr:uid="{CE177F4E-4AC2-4E74-B00B-1DDC18D4DF6F}"/>
    <hyperlink ref="E523" r:id="rId1351" xr:uid="{1BCC7DCA-9649-4FCB-B08C-A9E34255E5F5}"/>
    <hyperlink ref="E524" r:id="rId1352" xr:uid="{95C6EA3B-8190-40B9-A5B0-75F38E142103}"/>
    <hyperlink ref="F522" r:id="rId1353" xr:uid="{38404407-7A42-4DD3-BAFA-0170855FDFAB}"/>
    <hyperlink ref="F523" r:id="rId1354" xr:uid="{2FD8566F-D232-4B96-BF0E-76FBA3113BF5}"/>
    <hyperlink ref="F524" r:id="rId1355" xr:uid="{55ABE9F0-AD8D-4D99-A71D-9F6078DED9DC}"/>
    <hyperlink ref="C414" r:id="rId1356" display="https://enzyme.expasy.org/EC/2.7.6.5" xr:uid="{DFBFF363-ED16-4A81-9886-6F3615A0F54C}"/>
    <hyperlink ref="E414" r:id="rId1357" xr:uid="{188046DB-F548-412D-9098-88CE460079BD}"/>
    <hyperlink ref="F414" r:id="rId1358" xr:uid="{B71FF056-60F7-4508-AB13-FFAEBC9F8F32}"/>
    <hyperlink ref="C218" r:id="rId1359" display="https://enzyme.expasy.org/EC/2.3.1.-" xr:uid="{F098D4B6-891B-4A95-8208-7EE56DD760F2}"/>
    <hyperlink ref="C830" r:id="rId1360" display="https://enzyme.expasy.org/EC/4.2.1.3" xr:uid="{461067B0-A192-45DE-BDC2-DD7E517F3131}"/>
    <hyperlink ref="E830" r:id="rId1361" xr:uid="{49A93F2B-7EE6-4B62-880C-96C8A12426E8}"/>
    <hyperlink ref="C831" r:id="rId1362" display="https://enzyme.expasy.org/EC/4.2.1.3" xr:uid="{8993134C-09BE-413B-94F1-7AD56DF4A808}"/>
    <hyperlink ref="C832" r:id="rId1363" display="https://enzyme.expasy.org/EC/4.2.1.3" xr:uid="{716D8347-8770-453F-A41C-DE0133D9CF37}"/>
    <hyperlink ref="E831" r:id="rId1364" xr:uid="{EC35A97F-4197-4700-BD63-36CED7055E99}"/>
    <hyperlink ref="E832" r:id="rId1365" xr:uid="{4F5876A0-2204-497D-8585-929DA725C8C1}"/>
    <hyperlink ref="F830" r:id="rId1366" xr:uid="{FBEBBEDB-8138-466E-A6A3-51A0D0679DBE}"/>
    <hyperlink ref="F831" r:id="rId1367" xr:uid="{B0E1B37D-4653-44BD-A580-062942E3C03F}"/>
    <hyperlink ref="F832" r:id="rId1368" xr:uid="{117FB702-34BA-4EFA-840B-438CE16FCA73}"/>
    <hyperlink ref="C159" r:id="rId1369" display="https://enzyme.expasy.org/EC/2.1.1.-" xr:uid="{769A8A69-F96D-477F-926E-7E18418F602B}"/>
    <hyperlink ref="C560" r:id="rId1370" display="https://enzyme.expasy.org/EC/3.1.11.2" xr:uid="{7E1C5544-78CE-4993-9468-E7DA84932836}"/>
    <hyperlink ref="E560" r:id="rId1371" xr:uid="{B285EAB1-D9CC-41A2-81CA-7169291D4817}"/>
    <hyperlink ref="C1030" r:id="rId1372" display="https://enzyme.expasy.org/EC/7.4.2.-" xr:uid="{E87E4344-C289-449E-9C83-B2D05F9ABEFB}"/>
    <hyperlink ref="C1047" r:id="rId1373" display="https://enzyme.expasy.org/EC/7.6.2.-" xr:uid="{436D65AD-56CA-4CB2-891B-ABF72113A115}"/>
    <hyperlink ref="C118" r:id="rId1374" display="https://enzyme.expasy.org/EC/1.3.1.-" xr:uid="{CF50FD86-D631-4785-B009-8712A0F445DD}"/>
    <hyperlink ref="C840" r:id="rId1375" display="https://enzyme.expasy.org/EC/4.2.1.51" xr:uid="{77E98543-9B4A-44AB-B468-705878413065}"/>
    <hyperlink ref="C841" r:id="rId1376" display="https://enzyme.expasy.org/EC/4.2.1.51" xr:uid="{45FBE61E-8932-404A-8B40-EC34A754F166}"/>
    <hyperlink ref="E840" r:id="rId1377" xr:uid="{E9203A66-FFB2-4657-B3E3-8A251A49F4BC}"/>
    <hyperlink ref="E841" r:id="rId1378" xr:uid="{2BD080D7-7CB6-4D98-8BF4-0D0C199BCD7F}"/>
    <hyperlink ref="F840" r:id="rId1379" xr:uid="{70314B12-1281-4128-A27B-6F18E2AB02AE}"/>
    <hyperlink ref="F841" r:id="rId1380" xr:uid="{89B39DEE-2258-4ECE-945B-AAD018A87D6B}"/>
    <hyperlink ref="C1048" r:id="rId1381" display="https://enzyme.expasy.org/EC/7.6.2.-" xr:uid="{EB9CBF4A-4E5D-46F2-8022-5E45346847E1}"/>
    <hyperlink ref="C279" r:id="rId1382" display="https://enzyme.expasy.org/EC/2.4.2.19" xr:uid="{E37D2EBF-31F4-4497-90B7-196635D5351D}"/>
    <hyperlink ref="E279" r:id="rId1383" xr:uid="{004E1F3F-B09E-419E-9FB8-740711184339}"/>
    <hyperlink ref="F279" r:id="rId1384" xr:uid="{7F50DA30-9F28-41A0-B753-1BC57C99659C}"/>
    <hyperlink ref="C130" r:id="rId1385" display="https://enzyme.expasy.org/EC/1.4.3.16" xr:uid="{E4053A90-CBF0-43E4-A3F3-D0A7E7FC17D7}"/>
    <hyperlink ref="C131" r:id="rId1386" display="https://enzyme.expasy.org/EC/1.4.3.16" xr:uid="{D72533FB-A7E8-4465-96D6-3D4458F463BC}"/>
    <hyperlink ref="E130" r:id="rId1387" xr:uid="{221AA12F-2CE1-4188-B383-70387BA58D3C}"/>
    <hyperlink ref="E131" r:id="rId1388" xr:uid="{05EDA931-98BC-47BD-86F8-979B5966512C}"/>
    <hyperlink ref="F130" r:id="rId1389" xr:uid="{1E356855-2DED-4A87-B8E8-4E4363FF7ED5}"/>
    <hyperlink ref="F131" r:id="rId1390" xr:uid="{847DFDA6-C343-4989-B066-103DBE9866F5}"/>
    <hyperlink ref="C309" r:id="rId1391" display="https://enzyme.expasy.org/EC/2.5.1.72" xr:uid="{76DFF240-54F6-4C1D-855B-688ABFB510C5}"/>
    <hyperlink ref="E309" r:id="rId1392" xr:uid="{8423487E-FE2B-4495-9CF7-276CD1A0A715}"/>
    <hyperlink ref="F309" r:id="rId1393" xr:uid="{FA4EBBF0-3525-4F5D-AE70-C73B457444CE}"/>
    <hyperlink ref="C780" r:id="rId1394" display="https://enzyme.expasy.org/EC/3.6.1.-" xr:uid="{C143FE78-CAA2-4AFD-A29C-3DBDFA341E6B}"/>
    <hyperlink ref="C356" r:id="rId1395" display="https://enzyme.expasy.org/EC/2.7.1.31" xr:uid="{9E211276-9953-4C4E-98E4-D0E772DCB6E9}"/>
    <hyperlink ref="E356" r:id="rId1396" xr:uid="{986DDA5F-667C-4E97-8187-33AF43291CCE}"/>
    <hyperlink ref="F356" r:id="rId1397" xr:uid="{3670F96B-5A78-4FA1-87AA-ADD8514DEF3D}"/>
    <hyperlink ref="C411" r:id="rId1398" display="https://enzyme.expasy.org/EC/2.7.6.2" xr:uid="{190F3EF1-9E18-487A-A81E-17E8EB2E6789}"/>
    <hyperlink ref="E411" r:id="rId1399" xr:uid="{08BEF7CB-00BC-4AFB-818A-F85429626BCA}"/>
    <hyperlink ref="F411" r:id="rId1400" xr:uid="{96588BC6-1AE9-4476-BDF8-B51CD990E8AD}"/>
    <hyperlink ref="C110" r:id="rId1401" display="https://enzyme.expasy.org/EC/1.17.7.4" xr:uid="{9EE0CFDB-93DB-4015-B834-0F7E332C6D08}"/>
    <hyperlink ref="E110" r:id="rId1402" xr:uid="{41292A23-5CC7-4210-AEE7-D461A69128D6}"/>
    <hyperlink ref="C111" r:id="rId1403" display="https://enzyme.expasy.org/EC/1.17.7.4" xr:uid="{EB255E11-9D02-44FB-B164-2C089CDDE88A}"/>
    <hyperlink ref="E111" r:id="rId1404" xr:uid="{F7982E8B-856A-4349-856C-E9C930A68633}"/>
    <hyperlink ref="F110" r:id="rId1405" xr:uid="{E6F2FC46-6BBC-48EF-8B0B-2813BE6DAC76}"/>
    <hyperlink ref="F111" r:id="rId1406" xr:uid="{489BFFC8-CDF8-4085-BF7D-8BF0100980C9}"/>
    <hyperlink ref="C973" r:id="rId1407" display="https://enzyme.expasy.org/EC/6.3.2.13" xr:uid="{62D065C7-DB17-4BF7-811A-F02DC613F866}"/>
    <hyperlink ref="E973" r:id="rId1408" xr:uid="{A5B6A6A8-8441-4854-9082-FD5D255CBE5B}"/>
    <hyperlink ref="F973" r:id="rId1409" xr:uid="{95F59945-DFA2-455E-B570-5A3D46D848AB}"/>
    <hyperlink ref="C236" r:id="rId1410" display="https://enzyme.expasy.org/EC/2.3.2.-" xr:uid="{75306303-EFC2-48B1-B39B-F28D679ABB40}"/>
    <hyperlink ref="C970" r:id="rId1411" display="https://enzyme.expasy.org/EC/6.3.2.-" xr:uid="{444CCFB8-0902-4D0D-9063-1A054B9702BD}"/>
    <hyperlink ref="C714" r:id="rId1412" display="https://enzyme.expasy.org/EC/3.4.-.-" xr:uid="{3032C7C2-BAF2-48C5-BE60-66444BCA9FDD}"/>
    <hyperlink ref="C781" r:id="rId1413" display="https://enzyme.expasy.org/EC/3.6.1.-" xr:uid="{16A60C65-780F-47A4-8D2C-DCBC045F2522}"/>
    <hyperlink ref="C750" r:id="rId1414" display="https://enzyme.expasy.org/EC/3.5.1.25" xr:uid="{A7F110C2-CA56-4328-953D-C774D02E6AC1}"/>
    <hyperlink ref="E750" r:id="rId1415" xr:uid="{40B252E0-C880-43B6-980B-19256A344B2A}"/>
    <hyperlink ref="F750" r:id="rId1416" xr:uid="{47578B64-DCCA-45FF-8226-E97E3F9859D8}"/>
    <hyperlink ref="C776" r:id="rId1417" display="https://enzyme.expasy.org/EC/3.5.99.6" xr:uid="{05D1E0A1-3569-42BF-A200-6727D5DAA28A}"/>
    <hyperlink ref="E776" r:id="rId1418" xr:uid="{A8493094-1DF0-4308-81C9-21A38B0F67AB}"/>
    <hyperlink ref="F776" r:id="rId1419" xr:uid="{A6E352F7-3789-4A4F-A72B-74861B2EC2AA}"/>
    <hyperlink ref="C332" r:id="rId1420" display="https://enzyme.expasy.org/EC/2.7.1.-" xr:uid="{F190E868-1744-42C8-BA1D-07E34F11A12A}"/>
    <hyperlink ref="C751" r:id="rId1421" display="https://enzyme.expasy.org/EC/3.5.1.28" xr:uid="{7E8BA1B6-C9C4-4A96-9F95-F301EA9FB1BE}"/>
    <hyperlink ref="E751" r:id="rId1422" xr:uid="{47CAD556-6A40-4F0B-950F-4B85ED1567F6}"/>
    <hyperlink ref="F751" r:id="rId1423" xr:uid="{69B23882-5089-4D56-BFEC-54E36E66966C}"/>
    <hyperlink ref="C184" r:id="rId1424" display="https://enzyme.expasy.org/EC/2.1.1.72" xr:uid="{496DC22A-2067-4FEF-880B-0D06E7A7A79E}"/>
    <hyperlink ref="E184" r:id="rId1425" xr:uid="{236BD31D-FE42-4D33-BDF4-30CCFBD180B4}"/>
    <hyperlink ref="F184" r:id="rId1426" xr:uid="{CE531A9C-EACE-4E06-9234-21F2AC8018C1}"/>
    <hyperlink ref="C568" r:id="rId1427" display="https://enzyme.expasy.org/EC/3.1.21.10" xr:uid="{156F14C7-DDF4-47A5-B41C-825E469BB9CD}"/>
    <hyperlink ref="E568" r:id="rId1428" xr:uid="{768C0CB5-61C6-450D-AB47-979E8A5C31D3}"/>
    <hyperlink ref="C178" r:id="rId1429" display="https://enzyme.expasy.org/EC/2.1.1.37" xr:uid="{38DB6ADF-2AE6-4E14-995B-8ABAC76D4336}"/>
    <hyperlink ref="E178" r:id="rId1430" xr:uid="{4C6F2718-5814-4A02-92BA-35531714642D}"/>
    <hyperlink ref="C179" r:id="rId1431" display="https://enzyme.expasy.org/EC/2.1.1.37" xr:uid="{C51709EB-CA36-46F7-ADAC-201CD73D1EB5}"/>
    <hyperlink ref="E179" r:id="rId1432" xr:uid="{9BB3A399-1E40-40B8-84E2-B9426256F20F}"/>
    <hyperlink ref="F178" r:id="rId1433" xr:uid="{73AB038A-D25E-4685-BEF8-17F8DEDBDDED}"/>
    <hyperlink ref="F179" r:id="rId1434" xr:uid="{CFCC16DD-D81B-405C-A204-6A16FB52A24B}"/>
    <hyperlink ref="C153" r:id="rId1435" display="https://enzyme.expasy.org/EC/2.1.-.-" xr:uid="{9549222D-E926-41A4-9E23-AB7C3814E0D3}"/>
    <hyperlink ref="C160" r:id="rId1436" display="https://enzyme.expasy.org/EC/2.1.1.-" xr:uid="{2D812FAB-40DE-4A3E-8A4C-65D81AEF27D5}"/>
    <hyperlink ref="C975" r:id="rId1437" display="https://enzyme.expasy.org/EC/6.3.2.8" xr:uid="{696024D6-45D2-4E86-BC74-76E39A2C028D}"/>
    <hyperlink ref="E975" r:id="rId1438" xr:uid="{32966EBF-5F5E-4927-91EA-1993069AC9E2}"/>
    <hyperlink ref="F975" r:id="rId1439" xr:uid="{5D87F348-E1C4-443B-B448-6C71A3A166C8}"/>
    <hyperlink ref="C262" r:id="rId1440" display="https://enzyme.expasy.org/EC/2.4.1.227" xr:uid="{817B60CB-6F42-473E-985A-17ACA8343FB7}"/>
    <hyperlink ref="E262" r:id="rId1441" xr:uid="{CD0CD336-3E7D-4A25-B306-1E78DD547918}"/>
    <hyperlink ref="C263" r:id="rId1442" display="https://enzyme.expasy.org/EC/2.4.1.227" xr:uid="{C0E72C7A-9FFE-4F50-BF8E-C74F7C04664D}"/>
    <hyperlink ref="C264" r:id="rId1443" display="https://enzyme.expasy.org/EC/2.4.1.227" xr:uid="{6079B58D-5609-4125-AB21-39180E2F2086}"/>
    <hyperlink ref="C265" r:id="rId1444" display="https://enzyme.expasy.org/EC/2.4.1.227" xr:uid="{662D1838-D5E8-4E3C-B6B9-0E605D70016E}"/>
    <hyperlink ref="C266" r:id="rId1445" display="https://enzyme.expasy.org/EC/2.4.1.227" xr:uid="{1B0BECD3-9F79-4F21-8AE6-80758DC4D424}"/>
    <hyperlink ref="E263" r:id="rId1446" xr:uid="{F0728C07-BBC8-442A-973C-1FC13CA0D817}"/>
    <hyperlink ref="E264" r:id="rId1447" xr:uid="{BE02FBEE-74D8-4401-B226-CC1B36C544ED}"/>
    <hyperlink ref="E265" r:id="rId1448" xr:uid="{54C8A30D-21E8-4636-AD3A-19C74BB3940C}"/>
    <hyperlink ref="E266" r:id="rId1449" xr:uid="{6B3A610F-489B-4222-89C7-9D1EAF06938F}"/>
    <hyperlink ref="F262" r:id="rId1450" xr:uid="{4F1FAFDE-AF79-4298-83FF-D45F4BB212CF}"/>
    <hyperlink ref="F263" r:id="rId1451" xr:uid="{6BE51737-AB7F-47DB-B8A9-C60721512AF7}"/>
    <hyperlink ref="F264" r:id="rId1452" xr:uid="{B6BB6F03-81BE-48C7-A477-A4221A77906E}"/>
    <hyperlink ref="F265" r:id="rId1453" xr:uid="{503C0213-3DF9-4CE3-98C8-32949724E470}"/>
    <hyperlink ref="F266" r:id="rId1454" xr:uid="{3431141A-BCC7-4A9D-B9AF-708206567A64}"/>
    <hyperlink ref="C976" r:id="rId1455" display="https://enzyme.expasy.org/EC/6.3.2.9" xr:uid="{52E51F3E-4121-400C-85FF-5BCE69267E79}"/>
    <hyperlink ref="E976" r:id="rId1456" xr:uid="{06A24A88-34B8-4D21-A582-4F7D5C83762B}"/>
    <hyperlink ref="F976" r:id="rId1457" xr:uid="{AB0C496E-2865-45E2-A156-32157C59A0E9}"/>
    <hyperlink ref="C512" r:id="rId1458" display="https://enzyme.expasy.org/EC/2.7.8.13" xr:uid="{EC4F0505-3B2F-416F-BC4C-AE73418D6F8F}"/>
    <hyperlink ref="E512" r:id="rId1459" xr:uid="{29817755-1E2C-4D92-85B5-E8AEFD5CD391}"/>
    <hyperlink ref="C513" r:id="rId1460" display="https://enzyme.expasy.org/EC/2.7.8.13" xr:uid="{198FB604-F362-4CAC-A444-C6E48103811B}"/>
    <hyperlink ref="E513" r:id="rId1461" xr:uid="{F171C3A2-5F0E-483B-B952-34806B0BEA11}"/>
    <hyperlink ref="F512" r:id="rId1462" xr:uid="{B299F7B2-4BA4-4971-8CC1-1F5F7DB270B4}"/>
    <hyperlink ref="F513" r:id="rId1463" xr:uid="{B3F8148F-E63F-4072-946F-C49ADCCCADE4}"/>
    <hyperlink ref="C971" r:id="rId1464" display="https://enzyme.expasy.org/EC/6.3.2.10" xr:uid="{8F4DE3E4-3C12-418A-9625-DB20FF701A79}"/>
    <hyperlink ref="E971" r:id="rId1465" xr:uid="{ED24955E-DF2A-4672-9C46-6986DF636296}"/>
    <hyperlink ref="C972" r:id="rId1466" display="https://enzyme.expasy.org/EC/6.3.2.10" xr:uid="{8DC31569-F715-4DE5-AA8F-D38D20E198C0}"/>
    <hyperlink ref="E972" r:id="rId1467" xr:uid="{488F71F1-FFF3-4A71-BCD2-DDEFADB18458}"/>
    <hyperlink ref="F971" r:id="rId1468" xr:uid="{B11D18EB-BFFF-4E6B-8DED-81F23BD6DB94}"/>
    <hyperlink ref="F972" r:id="rId1469" xr:uid="{93DEBC0E-BC16-40FA-9F72-07073E5C79AD}"/>
    <hyperlink ref="C722" r:id="rId1470" display="https://enzyme.expasy.org/EC/3.4.16.4" xr:uid="{5DD32E74-B46A-402C-8630-A8E580EA4F26}"/>
    <hyperlink ref="E722" r:id="rId1471" xr:uid="{2224EDE3-177B-484D-848B-66A9B14E6B7A}"/>
    <hyperlink ref="C173" r:id="rId1472" display="https://enzyme.expasy.org/EC/2.1.1.199" xr:uid="{36112FC1-E288-4356-9E52-0B99F7B506E1}"/>
    <hyperlink ref="E173" r:id="rId1473" xr:uid="{3D585365-53E5-4152-812F-B9A6F4F4B4A9}"/>
    <hyperlink ref="C795" r:id="rId1474" display="https://enzyme.expasy.org/EC/3.6.4.-" xr:uid="{E2099938-83B3-4B2B-AE32-73685828EF0E}"/>
    <hyperlink ref="C80" r:id="rId1475" display="https://enzyme.expasy.org/EC/1.1.1.95" xr:uid="{3BB47BB1-DABE-493E-8B72-3E8B7149263C}"/>
    <hyperlink ref="E80" r:id="rId1476" xr:uid="{8C5FAB8B-AF03-453D-BC23-4CD454C2C9D0}"/>
    <hyperlink ref="C81" r:id="rId1477" display="https://enzyme.expasy.org/EC/1.1.1.95" xr:uid="{AD1C395A-5B24-4DA8-950E-4672D9BB9E82}"/>
    <hyperlink ref="E81" r:id="rId1478" xr:uid="{B16B8C07-C01A-425B-85EA-2436C6AC4E5E}"/>
    <hyperlink ref="F80" r:id="rId1479" xr:uid="{26A0408B-439D-4715-BAB7-734A8D278F6B}"/>
    <hyperlink ref="F81" r:id="rId1480" xr:uid="{C9D1BD8F-960C-4497-8E00-0E5EF3871D4C}"/>
    <hyperlink ref="C729" r:id="rId1481" display="https://enzyme.expasy.org/EC/3.4.21.88" xr:uid="{B0265202-633A-4877-82C3-F1A172C5C20B}"/>
    <hyperlink ref="E729" r:id="rId1482" xr:uid="{1C3F02DD-7F9E-4E3C-940A-48AADED5F6CA}"/>
    <hyperlink ref="C46" r:id="rId1483" display="https://enzyme.expasy.org/EC/1.1.1.27" xr:uid="{270CC081-9ED6-409B-80AF-29171994889D}"/>
    <hyperlink ref="E46" r:id="rId1484" xr:uid="{170E488D-1AF9-45CB-9FB2-6BDBB5BEB4D1}"/>
    <hyperlink ref="C47" r:id="rId1485" display="https://enzyme.expasy.org/EC/1.1.1.27" xr:uid="{8FBFF5D7-96E0-4012-8A90-F94A568A8046}"/>
    <hyperlink ref="C48" r:id="rId1486" display="https://enzyme.expasy.org/EC/1.1.1.27" xr:uid="{1F1A2CE2-7E28-4B48-9A2A-44F521C67AA7}"/>
    <hyperlink ref="E47" r:id="rId1487" xr:uid="{362D4981-2175-4CF7-B045-44B3617BD400}"/>
    <hyperlink ref="E48" r:id="rId1488" xr:uid="{12EDC74C-CC8A-4FBB-851F-9462A7A5CFB7}"/>
    <hyperlink ref="F46" r:id="rId1489" xr:uid="{ADAFB0E4-178A-43A2-9787-0093DCB072C1}"/>
    <hyperlink ref="F47" r:id="rId1490" xr:uid="{4863AC88-2112-478B-B3D3-75B33F892CEA}"/>
    <hyperlink ref="F48" r:id="rId1491" xr:uid="{0DFF3DEC-B684-4348-9917-FB35132DBA1D}"/>
    <hyperlink ref="C161" r:id="rId1492" display="https://enzyme.expasy.org/EC/2.1.1.-" xr:uid="{048D19CE-CFFE-49F5-A5AE-439D6C510427}"/>
    <hyperlink ref="C968" r:id="rId1493" display="https://enzyme.expasy.org/EC/6.3.1.2" xr:uid="{A0BA9BE4-7832-487A-BD1B-8DDD31F09D3D}"/>
    <hyperlink ref="E968" r:id="rId1494" xr:uid="{80D06DC3-BA7F-440D-BEE2-E047B41FA2F8}"/>
    <hyperlink ref="F968" r:id="rId1495" xr:uid="{9722B17E-5B76-4FB2-8E88-8526124D2EEC}"/>
    <hyperlink ref="C903" r:id="rId1496" display="https://enzyme.expasy.org/EC/5.3.1.16" xr:uid="{AECDAB58-935B-467D-96B7-43CB8FAEE0E3}"/>
    <hyperlink ref="E903" r:id="rId1497" xr:uid="{CA901D5D-E83A-4418-8357-19078B762091}"/>
    <hyperlink ref="F903" r:id="rId1498" xr:uid="{FD7AC7C2-FAE8-46CC-B06D-54356F99B0ED}"/>
    <hyperlink ref="C904" r:id="rId1499" display="https://enzyme.expasy.org/EC/5.3.1.24" xr:uid="{6E6904C1-2AF1-4267-8B1B-071B10B9A58D}"/>
    <hyperlink ref="E904" r:id="rId1500" xr:uid="{45A325E1-F348-4420-A5E4-FB0C471EAB99}"/>
    <hyperlink ref="F904" r:id="rId1501" xr:uid="{F4F9EA0D-A115-454C-9B0D-383BE47B21E3}"/>
    <hyperlink ref="C865" r:id="rId1502" display="https://enzyme.expasy.org/EC/4.3.2.10" xr:uid="{A6B8224D-9E73-4B3E-BC60-ED01AD3D110D}"/>
    <hyperlink ref="E865" r:id="rId1503" xr:uid="{05F29EF1-586C-4915-B0D8-43551ECE5EE0}"/>
    <hyperlink ref="C866" r:id="rId1504" display="https://enzyme.expasy.org/EC/4.3.2.10" xr:uid="{F6AB7391-568B-433C-9C52-67D449A46BE8}"/>
    <hyperlink ref="C867" r:id="rId1505" display="https://enzyme.expasy.org/EC/4.3.2.10" xr:uid="{723ABC7E-1BE9-4010-8B37-C2014346A34D}"/>
    <hyperlink ref="E866" r:id="rId1506" xr:uid="{01960D2E-8720-4E1C-8816-457814907BE6}"/>
    <hyperlink ref="E867" r:id="rId1507" xr:uid="{45886780-CFC5-4016-B4A1-3851DBB2BE1A}"/>
    <hyperlink ref="F865" r:id="rId1508" xr:uid="{E2701A50-9E38-443B-8526-15DE10B019C3}"/>
    <hyperlink ref="F866" r:id="rId1509" xr:uid="{9EC679A8-684F-4151-89B3-73176C13922D}"/>
    <hyperlink ref="F867" r:id="rId1510" xr:uid="{32451CA2-FB29-4DFF-A3A1-38EA46DE5730}"/>
    <hyperlink ref="C826" r:id="rId1511" display="https://enzyme.expasy.org/EC/4.2.1.19" xr:uid="{8698531E-55C2-4652-947C-CD1F0E0C2A5B}"/>
    <hyperlink ref="E826" r:id="rId1512" xr:uid="{F0F8A1BB-3892-4BF1-8820-4CEBF1BBB402}"/>
    <hyperlink ref="F826" r:id="rId1513" xr:uid="{A5F7A4B8-515E-4FBE-A033-DDFD882E8AF6}"/>
    <hyperlink ref="C326" r:id="rId1514" display="https://enzyme.expasy.org/EC/2.6.1.9" xr:uid="{811BD5A8-0FE5-4D6C-99AC-FF7C3CE96DDB}"/>
    <hyperlink ref="E326" r:id="rId1515" xr:uid="{0C0BEBDC-D28E-4901-B0BB-06B4AB8EB9EC}"/>
    <hyperlink ref="C327" r:id="rId1516" display="https://enzyme.expasy.org/EC/2.6.1.9" xr:uid="{314BCC32-10AE-4EC8-9D10-FCD1A5F9EB20}"/>
    <hyperlink ref="C328" r:id="rId1517" display="https://enzyme.expasy.org/EC/2.6.1.9" xr:uid="{4B03A1EC-43A9-4865-AFD6-78E18EC7E336}"/>
    <hyperlink ref="E327" r:id="rId1518" xr:uid="{72230516-185F-4859-A660-9D4F839BB821}"/>
    <hyperlink ref="E328" r:id="rId1519" xr:uid="{12574390-77A5-4116-875D-B75C6E42DCFE}"/>
    <hyperlink ref="F326" r:id="rId1520" xr:uid="{96296709-DAD0-466F-97F9-F2D399F08881}"/>
    <hyperlink ref="F327" r:id="rId1521" xr:uid="{E7515E23-ADE4-480E-8A24-F82C34762D60}"/>
    <hyperlink ref="F328" r:id="rId1522" xr:uid="{79B482EE-9256-4234-A5CB-8E6DC7F39A2D}"/>
    <hyperlink ref="C39" r:id="rId1523" display="https://enzyme.expasy.org/EC/1.1.1.23" xr:uid="{36A7ABB7-7F36-44C3-83B8-5DFBD4F2F9A6}"/>
    <hyperlink ref="E39" r:id="rId1524" xr:uid="{273455E9-ED00-4A07-BE5F-CA71D7D60C9E}"/>
    <hyperlink ref="C40" r:id="rId1525" display="https://enzyme.expasy.org/EC/1.1.1.23" xr:uid="{91ECBDB4-59CC-4448-96CD-ABBBE07C6A7C}"/>
    <hyperlink ref="C41" r:id="rId1526" display="https://enzyme.expasy.org/EC/1.1.1.23" xr:uid="{F18E04B7-93D1-4F9A-AC49-67BB7258A22C}"/>
    <hyperlink ref="E40" r:id="rId1527" xr:uid="{574102FA-CCCE-48F6-B84F-8CA6D3295A7C}"/>
    <hyperlink ref="E41" r:id="rId1528" xr:uid="{AFB90604-BB83-4D48-8BBE-98154676BF74}"/>
    <hyperlink ref="F39" r:id="rId1529" xr:uid="{89B3529E-DB25-4DB2-B229-935DF02761B3}"/>
    <hyperlink ref="F40" r:id="rId1530" xr:uid="{68EAFDA0-F00E-4FD4-8AB7-8205A35B2110}"/>
    <hyperlink ref="F41" r:id="rId1531" xr:uid="{7870BAE6-F4FA-4A20-9B21-CD648A6680BB}"/>
    <hyperlink ref="C806" r:id="rId1532" display="https://enzyme.expasy.org/EC/4.-.-.-" xr:uid="{2F8C0B1D-8FBB-4B4D-B313-65DE8B179FC0}"/>
    <hyperlink ref="C550" r:id="rId1533" display="https://enzyme.expasy.org/EC/3.1.-.-" xr:uid="{11FBFDBA-22D0-4F9C-99D4-25ED2BE426F5}"/>
    <hyperlink ref="C54" r:id="rId1534" display="https://enzyme.expasy.org/EC/1.1.1.435" xr:uid="{4DF3005A-3EDA-428D-A27B-832EF5C90218}"/>
    <hyperlink ref="E54" r:id="rId1535" xr:uid="{81562173-9DA3-4516-B0DB-BF51D3C929E6}"/>
    <hyperlink ref="F54" r:id="rId1536" xr:uid="{885509B0-553B-4FAF-94FB-55E1B96B83DC}"/>
    <hyperlink ref="C842" r:id="rId1537" display="https://enzyme.expasy.org/EC/4.2.1.53" xr:uid="{53C1F4E8-60DE-46B6-82B0-8767B86234F4}"/>
    <hyperlink ref="E842" r:id="rId1538" xr:uid="{74456D93-7631-4552-A4BF-C8565A4AA2CA}"/>
    <hyperlink ref="F842" r:id="rId1539" xr:uid="{ADEAAE0F-DE8E-46D7-A0DB-1D1BB283E97A}"/>
    <hyperlink ref="C17" r:id="rId1540" display="https://enzyme.expasy.org/EC/1.1.1.-" xr:uid="{14B7CE43-E9A5-4197-8AFD-81725CF531EA}"/>
    <hyperlink ref="C484" r:id="rId1541" display="https://enzyme.expasy.org/EC/2.7.7.7" xr:uid="{A8D16143-B240-46AC-B39C-914E619CDD53}"/>
    <hyperlink ref="E484" r:id="rId1542" xr:uid="{90A32EFF-CAA5-4F36-94A8-EC21A34BD348}"/>
    <hyperlink ref="C485" r:id="rId1543" display="https://enzyme.expasy.org/EC/2.7.7.7" xr:uid="{69DDB60F-A159-4BA0-8796-5DBB8E8343FC}"/>
    <hyperlink ref="C486" r:id="rId1544" display="https://enzyme.expasy.org/EC/2.7.7.7" xr:uid="{60227BEA-9640-45F5-A6D6-C50984F195B6}"/>
    <hyperlink ref="C487" r:id="rId1545" display="https://enzyme.expasy.org/EC/2.7.7.7" xr:uid="{EAA8CB7A-A260-4258-A61E-A7A9A31A698D}"/>
    <hyperlink ref="C488" r:id="rId1546" display="https://enzyme.expasy.org/EC/2.7.7.7" xr:uid="{1183ACDE-D47D-462A-9FC1-2DF3459D153B}"/>
    <hyperlink ref="E485" r:id="rId1547" xr:uid="{E7F0DF76-2E89-438A-AE78-0D8193C097FB}"/>
    <hyperlink ref="E486" r:id="rId1548" xr:uid="{81799904-1C1C-426A-8533-3CDAD82C1102}"/>
    <hyperlink ref="E487" r:id="rId1549" xr:uid="{E996DF31-BD6F-46AB-A4F4-BB780198CFA3}"/>
    <hyperlink ref="E488" r:id="rId1550" xr:uid="{A7ED7AA2-E51A-4670-96AC-D58C470DFAC0}"/>
    <hyperlink ref="C489" r:id="rId1551" display="https://enzyme.expasy.org/EC/2.7.7.7" xr:uid="{9922AE38-83CA-4BBE-A44E-DEEC66047664}"/>
    <hyperlink ref="E489" r:id="rId1552" xr:uid="{DE19ACCD-DC02-447F-B0EB-8C4A187D163A}"/>
    <hyperlink ref="F484" r:id="rId1553" xr:uid="{6A34C677-989C-47FF-8360-E7BDD6988A63}"/>
    <hyperlink ref="F485" r:id="rId1554" xr:uid="{B5665280-2DCC-49C5-A12F-7AAC3FE14B02}"/>
    <hyperlink ref="F486" r:id="rId1555" xr:uid="{FBBB9605-6F92-4B34-9E11-C495EAA15FAF}"/>
    <hyperlink ref="F487" r:id="rId1556" xr:uid="{99365C17-BA4A-4D07-B657-F8449BC7D9BC}"/>
    <hyperlink ref="F488" r:id="rId1557" xr:uid="{611B2CA4-7E87-427E-96B6-95A5340BAEB1}"/>
    <hyperlink ref="F489" r:id="rId1558" xr:uid="{E33B2365-2545-46E8-8748-1FA1F55BD044}"/>
    <hyperlink ref="C919" r:id="rId1559" display="https://enzyme.expasy.org/EC/5.4.99.-" xr:uid="{9588AE52-B357-4D95-A429-14BF29F528F5}"/>
    <hyperlink ref="C732" r:id="rId1560" display="https://enzyme.expasy.org/EC/3.4.23.36" xr:uid="{56E9A677-DEA0-41B5-8E90-E3C6B7D1E649}"/>
    <hyperlink ref="E732" r:id="rId1561" xr:uid="{605CEF10-4D7E-4816-B61A-76BA0C37536D}"/>
    <hyperlink ref="C119" r:id="rId1562" display="https://enzyme.expasy.org/EC/1.3.1.-" xr:uid="{D0B1B96A-A28B-4B70-893B-1CE6C9AD5534}"/>
    <hyperlink ref="C944" r:id="rId1563" display="https://enzyme.expasy.org/EC/6.1.1.14" xr:uid="{D1A0AD9A-616B-4C35-88D0-AE44BA16A8A0}"/>
    <hyperlink ref="E944" r:id="rId1564" xr:uid="{E0ACBDFD-FC48-40D9-B033-FA6B88944738}"/>
    <hyperlink ref="F944" r:id="rId1565" xr:uid="{D0A66CF2-3716-4FAD-9364-977E3F49C629}"/>
    <hyperlink ref="C373" r:id="rId1566" display="https://enzyme.expasy.org/EC/2.7.1.50" xr:uid="{1C48EA73-718A-43CF-9E46-E662BB46A37D}"/>
    <hyperlink ref="E373" r:id="rId1567" xr:uid="{1F7E312D-BE6C-482C-BC00-6B7F28CFA723}"/>
    <hyperlink ref="F373" r:id="rId1568" xr:uid="{F0D5891E-A8C0-40AF-B4F0-1F8CECFACB72}"/>
    <hyperlink ref="C822" r:id="rId1569" display="https://enzyme.expasy.org/EC/4.1.99.17" xr:uid="{DE6F7908-91AD-47D7-BE41-00B75036C669}"/>
    <hyperlink ref="E822" r:id="rId1570" xr:uid="{13E91B3A-1A46-4D48-85E7-457DE0C90001}"/>
    <hyperlink ref="F822" r:id="rId1571" xr:uid="{D3AFE459-EEB1-46B9-B1E0-9EC58005E9ED}"/>
    <hyperlink ref="C372" r:id="rId1572" display="https://enzyme.expasy.org/EC/2.7.1.49" xr:uid="{9B779D9B-E03A-45DF-B39A-7BB95FDA835E}"/>
    <hyperlink ref="E372" r:id="rId1573" xr:uid="{2F2B01D7-9CAC-4883-9AC3-E6A07EC6531B}"/>
    <hyperlink ref="F372" r:id="rId1574" xr:uid="{CBF1F2E2-AB94-4CE7-A632-492B59B6832F}"/>
    <hyperlink ref="C403" r:id="rId1575" display="https://enzyme.expasy.org/EC/2.7.4.7" xr:uid="{067436BD-9D87-4CC4-8AA9-77A85CC95D97}"/>
    <hyperlink ref="E403" r:id="rId1576" xr:uid="{371A267A-F845-459A-8090-2B9C8D9DA57B}"/>
    <hyperlink ref="F403" r:id="rId1577" xr:uid="{CA1EFD78-2D0A-4149-A2D8-868282B6351E}"/>
    <hyperlink ref="C375" r:id="rId1578" display="https://enzyme.expasy.org/EC/2.7.1.63" xr:uid="{759902A1-E805-410B-8622-F4FAC93F7AA4}"/>
    <hyperlink ref="E375" r:id="rId1579" xr:uid="{2D382AD7-62AF-40BE-B7CC-472DECF2555E}"/>
    <hyperlink ref="C376" r:id="rId1580" display="https://enzyme.expasy.org/EC/2.7.1.63" xr:uid="{3F57EC85-71E9-4047-A70D-8ACA9014C31F}"/>
    <hyperlink ref="C377" r:id="rId1581" display="https://enzyme.expasy.org/EC/2.7.1.63" xr:uid="{151C28F4-401F-4589-B3E7-DDC834946FA5}"/>
    <hyperlink ref="E376" r:id="rId1582" xr:uid="{9C60A5EE-1B50-4249-A9B6-218AD93E11CB}"/>
    <hyperlink ref="E377" r:id="rId1583" xr:uid="{9F649591-F352-4206-A928-B28156A05F24}"/>
    <hyperlink ref="F375" r:id="rId1584" xr:uid="{F5C20880-97FA-40FB-88A3-7A3E4F3F4BAD}"/>
    <hyperlink ref="F376" r:id="rId1585" xr:uid="{1EDAA307-066F-433F-AF45-83C3F02671D5}"/>
    <hyperlink ref="F377" r:id="rId1586" xr:uid="{2B416FB1-D560-4323-B65D-473724847D96}"/>
    <hyperlink ref="C9" r:id="rId1587" display="https://enzyme.expasy.org/EC/1.-.-.-" xr:uid="{462616E6-9C30-445A-9C34-873A8B8D24D6}"/>
    <hyperlink ref="C245" r:id="rId1588" display="https://enzyme.expasy.org/EC/2.4.-.-" xr:uid="{3B178749-7B3D-4C17-AC1A-AABCD51A9C79}"/>
    <hyperlink ref="C796" r:id="rId1589" display="https://enzyme.expasy.org/EC/3.6.4.-" xr:uid="{7C41B135-D469-4593-93F5-2D96D249367E}"/>
    <hyperlink ref="C397" r:id="rId1590" display="https://enzyme.expasy.org/EC/2.7.4.-" xr:uid="{25153741-B188-48D2-AB22-F1F98AF140D0}"/>
    <hyperlink ref="C583" r:id="rId1591" display="https://enzyme.expasy.org/EC/3.1.3.2" xr:uid="{5B559327-00E1-477A-81BF-130934A936AD}"/>
    <hyperlink ref="E583" r:id="rId1592" xr:uid="{94529915-59AE-4577-A15F-AE1F8C86D348}"/>
    <hyperlink ref="C584" r:id="rId1593" display="https://enzyme.expasy.org/EC/3.1.3.2" xr:uid="{32CB23EE-FE8B-43DB-970C-22FE340A00B1}"/>
    <hyperlink ref="C585" r:id="rId1594" display="https://enzyme.expasy.org/EC/3.1.3.2" xr:uid="{7782781E-7099-49F8-A5EC-2D68C364C61A}"/>
    <hyperlink ref="C586" r:id="rId1595" display="https://enzyme.expasy.org/EC/3.1.3.2" xr:uid="{BD5C4CFB-4744-4551-AE90-845C45E788D9}"/>
    <hyperlink ref="C587" r:id="rId1596" display="https://enzyme.expasy.org/EC/3.1.3.2" xr:uid="{83D8C146-8616-47F3-BDE3-070E35B6E56E}"/>
    <hyperlink ref="C588" r:id="rId1597" display="https://enzyme.expasy.org/EC/3.1.3.2" xr:uid="{DDB255B5-7991-45D7-A49A-2DAB4E7D215C}"/>
    <hyperlink ref="E584" r:id="rId1598" xr:uid="{BFC0E0ED-B8A7-4613-A587-973072779C1A}"/>
    <hyperlink ref="E585" r:id="rId1599" xr:uid="{D8343BD6-B74D-4828-9004-07FCA76BDF38}"/>
    <hyperlink ref="E586" r:id="rId1600" xr:uid="{B9B5BCDE-B2D1-4F0E-A42E-3DEFC34B0997}"/>
    <hyperlink ref="E587" r:id="rId1601" xr:uid="{F3DF3529-C38B-4735-A1CC-B6715499813C}"/>
    <hyperlink ref="E588" r:id="rId1602" xr:uid="{0B614E70-2498-4958-99B9-299232D4BA63}"/>
    <hyperlink ref="F583" r:id="rId1603" xr:uid="{C123B2EF-EB2B-4181-93BE-C0182488673C}"/>
    <hyperlink ref="F584" r:id="rId1604" xr:uid="{E8B73B7E-4043-4454-B035-91071D5E1460}"/>
    <hyperlink ref="F585" r:id="rId1605" xr:uid="{65EBC9A1-BE79-4D8F-B02F-8DD65AB8257C}"/>
    <hyperlink ref="F586" r:id="rId1606" xr:uid="{5231A5C6-0D6F-4311-A1FF-B106CB0781F3}"/>
    <hyperlink ref="F587" r:id="rId1607" xr:uid="{66854F06-7049-4F07-9129-3E93C1745836}"/>
    <hyperlink ref="F588" r:id="rId1608" xr:uid="{B71F2B01-C655-46E9-966A-6ADDD7D10DAF}"/>
    <hyperlink ref="C943" r:id="rId1609" display="https://enzyme.expasy.org/EC/6.1.1.12" xr:uid="{E53EB12B-2EA3-4F04-BC0E-4E5480206CD5}"/>
    <hyperlink ref="E943" r:id="rId1610" xr:uid="{CD40BAC0-CF27-485A-A494-768B7686CA1B}"/>
    <hyperlink ref="F943" r:id="rId1611" xr:uid="{37F576FA-6B72-4F67-96C9-AF9B456FAABF}"/>
    <hyperlink ref="C952" r:id="rId1612" display="https://enzyme.expasy.org/EC/6.1.1.21" xr:uid="{30436668-8867-4CFF-A602-10E286BE7412}"/>
    <hyperlink ref="E952" r:id="rId1613" xr:uid="{1C3C22B7-F64B-40C7-AF7D-49B4C3410AE6}"/>
    <hyperlink ref="F952" r:id="rId1614" xr:uid="{13440D4B-C902-4B72-BFC1-3D1C37153F4F}"/>
    <hyperlink ref="C551" r:id="rId1615" display="https://enzyme.expasy.org/EC/3.1.-.-" xr:uid="{9D2DEC4A-D19B-4535-9AE8-DAFD18E88438}"/>
    <hyperlink ref="C592" r:id="rId1616" display="https://enzyme.expasy.org/EC/3.1.3.5" xr:uid="{9A60EFB8-ADDA-48B2-A808-3A299B6D1FE3}"/>
    <hyperlink ref="E592" r:id="rId1617" xr:uid="{D6F744DF-27B3-46F7-AAF9-5B1A6B125A53}"/>
    <hyperlink ref="C593" r:id="rId1618" display="https://enzyme.expasy.org/EC/3.1.3.5" xr:uid="{0E412CF2-635B-4F0B-BFF7-87667DF708EB}"/>
    <hyperlink ref="C594" r:id="rId1619" display="https://enzyme.expasy.org/EC/3.1.3.5" xr:uid="{26A1672E-5297-43F8-9817-E63B9CD91337}"/>
    <hyperlink ref="C595" r:id="rId1620" display="https://enzyme.expasy.org/EC/3.1.3.5" xr:uid="{3E8E6044-7038-451D-9343-EE74749AEBF3}"/>
    <hyperlink ref="C596" r:id="rId1621" display="https://enzyme.expasy.org/EC/3.1.3.5" xr:uid="{5D6C4481-72F8-47D4-B50D-12FC7D8D0D72}"/>
    <hyperlink ref="C597" r:id="rId1622" display="https://enzyme.expasy.org/EC/3.1.3.5" xr:uid="{F3522CEB-2466-440B-86D0-E06A715163B2}"/>
    <hyperlink ref="C598" r:id="rId1623" display="https://enzyme.expasy.org/EC/3.1.3.5" xr:uid="{32E509FF-5615-47B3-8BDD-7DC0D2033048}"/>
    <hyperlink ref="C599" r:id="rId1624" display="https://enzyme.expasy.org/EC/3.1.3.5" xr:uid="{2BF66D4F-8C0C-491A-85D3-8638C81081FF}"/>
    <hyperlink ref="C600" r:id="rId1625" display="https://enzyme.expasy.org/EC/3.1.3.5" xr:uid="{4A016D57-C3D1-41B1-A82F-F9D4FDAE4992}"/>
    <hyperlink ref="C601" r:id="rId1626" display="https://enzyme.expasy.org/EC/3.1.3.5" xr:uid="{48EBB513-654D-4CED-BF4D-BA2172E8DE4B}"/>
    <hyperlink ref="C602" r:id="rId1627" display="https://enzyme.expasy.org/EC/3.1.3.5" xr:uid="{0596CC6C-7C0F-409B-9C35-AB5A53EB2108}"/>
    <hyperlink ref="C603" r:id="rId1628" display="https://enzyme.expasy.org/EC/3.1.3.5" xr:uid="{A8CAE6BC-6838-4224-9DD1-E8D3AF4D1397}"/>
    <hyperlink ref="C604" r:id="rId1629" display="https://enzyme.expasy.org/EC/3.1.3.5" xr:uid="{B9BA3119-E661-45EA-9458-1FC2EA4F199D}"/>
    <hyperlink ref="C605" r:id="rId1630" display="https://enzyme.expasy.org/EC/3.1.3.5" xr:uid="{F39E5F25-B500-4A8E-B783-4B6111192AE1}"/>
    <hyperlink ref="C606" r:id="rId1631" display="https://enzyme.expasy.org/EC/3.1.3.5" xr:uid="{C077CA56-6123-4329-B2AD-C521F75B32CD}"/>
    <hyperlink ref="E593" r:id="rId1632" xr:uid="{064424A5-5323-486D-AB2A-134BA833408A}"/>
    <hyperlink ref="E594" r:id="rId1633" xr:uid="{DAA51A43-03C1-49C7-B1AD-E5DC3714B6EE}"/>
    <hyperlink ref="E595" r:id="rId1634" xr:uid="{621DBBF5-C4D8-4993-B93E-B8B85BA4CD6C}"/>
    <hyperlink ref="E596" r:id="rId1635" xr:uid="{27791CFC-BEC5-47F4-ABAF-E90B58ED9242}"/>
    <hyperlink ref="E597" r:id="rId1636" xr:uid="{8A42FD89-BEE7-45CE-9E6B-7C2C3EBD2A2C}"/>
    <hyperlink ref="E598" r:id="rId1637" xr:uid="{326589BC-077F-466A-86C9-B510F1F5EB01}"/>
    <hyperlink ref="E599" r:id="rId1638" xr:uid="{C15857FF-D03D-4800-A28E-388B6E88E89A}"/>
    <hyperlink ref="E600" r:id="rId1639" xr:uid="{6674F410-E7B4-4234-BC96-9C33A55D5FA4}"/>
    <hyperlink ref="E601" r:id="rId1640" xr:uid="{D468D3BB-145B-4AC1-8386-5DC6C55BC467}"/>
    <hyperlink ref="E602" r:id="rId1641" xr:uid="{8BED66CF-C90E-4D04-A167-E0109E85B8CE}"/>
    <hyperlink ref="E603" r:id="rId1642" xr:uid="{190C3093-A580-434C-9B45-3D7455904269}"/>
    <hyperlink ref="E604" r:id="rId1643" xr:uid="{90A8CCB2-0AE6-45D3-9B50-29491A717230}"/>
    <hyperlink ref="E605" r:id="rId1644" xr:uid="{8297975E-42E4-4A1B-B2B4-B384EEAE2D19}"/>
    <hyperlink ref="E606" r:id="rId1645" xr:uid="{1F9F6FA6-77B7-42E6-AFC8-63F948898CBF}"/>
    <hyperlink ref="F592" r:id="rId1646" xr:uid="{FFFC17A4-8445-4959-99CD-5B6EF4501D34}"/>
    <hyperlink ref="F593" r:id="rId1647" xr:uid="{607974BB-B3D7-4198-A8F4-545E0E6B8412}"/>
    <hyperlink ref="F594" r:id="rId1648" xr:uid="{64CD8B48-EF2F-45E3-8310-522F8603BA61}"/>
    <hyperlink ref="F595" r:id="rId1649" xr:uid="{1C580A76-F997-4C7F-9331-5F2504759BB2}"/>
    <hyperlink ref="F596" r:id="rId1650" xr:uid="{05A58E3D-BC63-4953-B609-64F33D4C1BD7}"/>
    <hyperlink ref="F597" r:id="rId1651" xr:uid="{49431E4F-A242-40E6-B0D1-8A1E16D07FAB}"/>
    <hyperlink ref="F598" r:id="rId1652" xr:uid="{4BCBFE51-51BC-4DAA-A68D-2406A86CEED0}"/>
    <hyperlink ref="F599" r:id="rId1653" xr:uid="{DF6C9255-7875-411F-A998-CED91E0C3998}"/>
    <hyperlink ref="F600" r:id="rId1654" xr:uid="{C4005E56-F5A7-4C65-A355-F179D5A7F440}"/>
    <hyperlink ref="F601" r:id="rId1655" xr:uid="{35DCF0F8-FD36-4A1B-8542-2B06DAC6C4BC}"/>
    <hyperlink ref="F602" r:id="rId1656" xr:uid="{89CFC3C4-1C66-466C-B850-2712F01332D3}"/>
    <hyperlink ref="F603" r:id="rId1657" xr:uid="{42FC29B3-A377-4F59-BD33-FCA9B245058E}"/>
    <hyperlink ref="F604" r:id="rId1658" xr:uid="{55AC4F1F-C01E-4048-8DD7-DC283EDD87AF}"/>
    <hyperlink ref="F605" r:id="rId1659" xr:uid="{CFD6F156-54E7-444F-9ECC-0895794D81F8}"/>
    <hyperlink ref="F606" r:id="rId1660" xr:uid="{B8948501-012C-4D4A-8049-E108EB4E76C4}"/>
    <hyperlink ref="C758" r:id="rId1661" display="https://enzyme.expasy.org/EC/3.5.2.10" xr:uid="{1D12EF40-A4BA-4B1F-ABFE-35D9F67829DA}"/>
    <hyperlink ref="E758" r:id="rId1662" xr:uid="{D7B8D1DD-D321-4633-9DF3-85F7FDEF8071}"/>
    <hyperlink ref="F758" r:id="rId1663" xr:uid="{66FFF8C2-1502-435A-965B-B5C37952C1CB}"/>
    <hyperlink ref="C386" r:id="rId1664" display="https://enzyme.expasy.org/EC/2.7.13.3" xr:uid="{47E475AD-801A-4B4F-A9BF-79D32AE73AF4}"/>
    <hyperlink ref="E386" r:id="rId1665" xr:uid="{96A4A730-57C8-422C-BC17-D79D5855411D}"/>
    <hyperlink ref="C706" r:id="rId1666" display="https://enzyme.expasy.org/EC/3.2.2.27" xr:uid="{7F850BD5-65C4-4039-95A1-46F4749DBF32}"/>
    <hyperlink ref="E706" r:id="rId1667" xr:uid="{CF15F5FF-96F6-42AD-94D5-F390859D9E36}"/>
    <hyperlink ref="C868" r:id="rId1668" display="https://enzyme.expasy.org/EC/4.3.2.2" xr:uid="{E990991C-BC93-4FB7-AA4C-404A6BE2A669}"/>
    <hyperlink ref="E868" r:id="rId1669" xr:uid="{96473FEA-07FE-4D8C-A8A6-941C67A22DBC}"/>
    <hyperlink ref="C869" r:id="rId1670" display="https://enzyme.expasy.org/EC/4.3.2.2" xr:uid="{9A493F2B-D819-48A1-9291-37B3CE4E9E38}"/>
    <hyperlink ref="C870" r:id="rId1671" display="https://enzyme.expasy.org/EC/4.3.2.2" xr:uid="{6578A382-50A4-40D0-A240-8BC5F17233F5}"/>
    <hyperlink ref="E869" r:id="rId1672" xr:uid="{C4A94EBF-5C8C-4E96-A1E2-77021EE60672}"/>
    <hyperlink ref="E870" r:id="rId1673" xr:uid="{1A344775-5583-4793-B489-F5B1C0ABB36D}"/>
    <hyperlink ref="F868" r:id="rId1674" xr:uid="{16E14F05-7B8B-4A11-ADCB-076E2B8F8437}"/>
    <hyperlink ref="F869" r:id="rId1675" xr:uid="{D35DB581-3858-41EC-A0B9-F9400631C8C3}"/>
    <hyperlink ref="F870" r:id="rId1676" xr:uid="{BEA2B55C-235B-4B82-9BD9-E9B6675FAAF4}"/>
    <hyperlink ref="C966" r:id="rId1677" display="https://enzyme.expasy.org/EC/6.3.1.19" xr:uid="{70A9B13B-C78C-4ED4-8383-720BB7B177D0}"/>
    <hyperlink ref="E966" r:id="rId1678" xr:uid="{8DEDE01E-C089-42B0-AAA7-1E512A064FB8}"/>
    <hyperlink ref="F966" r:id="rId1679" xr:uid="{5E5A0DCA-A5E0-43B6-A77A-88C1F0971BFC}"/>
    <hyperlink ref="C737" r:id="rId1680" display="https://enzyme.expasy.org/EC/3.5.1.119" xr:uid="{2DAED0DE-9B76-4E1E-BCA5-1C3FFE67E263}"/>
    <hyperlink ref="E737" r:id="rId1681" xr:uid="{FD69E905-401C-4CB5-A8F9-CCC2DE5F3D8F}"/>
    <hyperlink ref="C738" r:id="rId1682" display="https://enzyme.expasy.org/EC/3.5.1.119" xr:uid="{DDD103E0-168D-4853-906E-A54369880FE8}"/>
    <hyperlink ref="E738" r:id="rId1683" xr:uid="{3B0352F5-14B2-44E6-A371-7CB11C1C1ECF}"/>
    <hyperlink ref="F737" r:id="rId1684" xr:uid="{EBF09246-A9DD-4DEA-A48F-284B977093AD}"/>
    <hyperlink ref="F738" r:id="rId1685" xr:uid="{943426AF-5F5B-4B2C-B98B-013CF2F4E25A}"/>
    <hyperlink ref="C352" r:id="rId1686" display="https://enzyme.expasy.org/EC/2.7.1.202" xr:uid="{18599E81-EA50-4369-BEAA-EED27C44D9E7}"/>
    <hyperlink ref="E352" r:id="rId1687" xr:uid="{4C2B69D1-B2C7-45B5-80C9-6BE001FD7D8B}"/>
    <hyperlink ref="F352" r:id="rId1688" xr:uid="{E9DB5E61-B116-41C2-8513-43DF71B88649}"/>
    <hyperlink ref="C541" r:id="rId1689" display="https://enzyme.expasy.org/EC/3.-.-.-" xr:uid="{73FF5AAD-F2AF-41B1-90FD-3EABC03DD3B4}"/>
    <hyperlink ref="C589" r:id="rId1690" display="https://enzyme.expasy.org/EC/3.1.3.3" xr:uid="{327B13BC-FC74-433C-9A3C-62D2F39F6C1E}"/>
    <hyperlink ref="E589" r:id="rId1691" xr:uid="{050DD416-0870-484C-916A-F2C45FC9118D}"/>
    <hyperlink ref="C590" r:id="rId1692" display="https://enzyme.expasy.org/EC/3.1.3.3" xr:uid="{64B8FF7C-88A4-4906-9103-4F5753A0F655}"/>
    <hyperlink ref="E590" r:id="rId1693" xr:uid="{C11E6BF7-B1C9-4C0A-9604-7880C6BE8CC0}"/>
    <hyperlink ref="F589" r:id="rId1694" xr:uid="{BDAC0964-9F8B-4A06-95DD-C536E6F353A4}"/>
    <hyperlink ref="F590" r:id="rId1695" xr:uid="{212750DC-1427-4AC5-9794-DF4D3A2D9375}"/>
    <hyperlink ref="C936" r:id="rId1696" display="https://enzyme.expasy.org/EC/5.6.2.4" xr:uid="{C1EC8540-FEAF-46F9-B476-D3B80D14C720}"/>
    <hyperlink ref="E936" r:id="rId1697" xr:uid="{81A80EA5-D1C7-4B2F-AD79-E7109EF5E22A}"/>
    <hyperlink ref="C542" r:id="rId1698" display="https://enzyme.expasy.org/EC/3.-.-.-" xr:uid="{4CE1D8B4-62B5-4559-8101-FE7130E86D3B}"/>
    <hyperlink ref="C188" r:id="rId1699" display="https://enzyme.expasy.org/EC/2.1.2.9" xr:uid="{9E8BECEF-0B24-424F-B2AD-75F8BA078ADE}"/>
    <hyperlink ref="E188" r:id="rId1700" xr:uid="{0F7C66C1-0BD1-4538-B35A-34083432278B}"/>
    <hyperlink ref="F188" r:id="rId1701" xr:uid="{1F469A59-7D0F-49D8-B922-B96F7B76CC96}"/>
    <hyperlink ref="C843" r:id="rId1702" display="https://enzyme.expasy.org/EC/4.2.1.9" xr:uid="{82E4E485-4959-421C-852F-480A195ED545}"/>
    <hyperlink ref="E843" r:id="rId1703" xr:uid="{CF1E50CF-A203-4F55-8C2A-305150A85C22}"/>
    <hyperlink ref="C844" r:id="rId1704" display="https://enzyme.expasy.org/EC/4.2.1.9" xr:uid="{CCDFA060-9A1F-4783-900D-112181422D1A}"/>
    <hyperlink ref="C845" r:id="rId1705" display="https://enzyme.expasy.org/EC/4.2.1.9" xr:uid="{5B168CCF-86FC-41E7-9B7E-CDD6EF1B0D1D}"/>
    <hyperlink ref="E844" r:id="rId1706" xr:uid="{3F92DDF3-51A1-4F5A-A9B7-EBAE10D10145}"/>
    <hyperlink ref="E845" r:id="rId1707" xr:uid="{7DFD20C1-1FA8-444E-93DF-79263F460542}"/>
    <hyperlink ref="F843" r:id="rId1708" xr:uid="{7212F7B0-38A3-4894-BADB-F8CB118B2122}"/>
    <hyperlink ref="F844" r:id="rId1709" xr:uid="{52A2ADB0-E6A4-469E-9977-70C2B52BF9D2}"/>
    <hyperlink ref="F845" r:id="rId1710" xr:uid="{1F298886-F41F-4A52-B837-88BEDB7ABBA2}"/>
    <hyperlink ref="C441" r:id="rId1711" display="https://enzyme.expasy.org/EC/2.7.7.6" xr:uid="{875783BC-62F7-4667-8E60-C8E2CA43880D}"/>
    <hyperlink ref="E441" r:id="rId1712" xr:uid="{35257216-7001-4458-A7AE-BA2616DC67E6}"/>
    <hyperlink ref="C442" r:id="rId1713" display="https://enzyme.expasy.org/EC/2.7.7.6" xr:uid="{08064D46-B5F1-45C8-997C-5E6BFB8841A6}"/>
    <hyperlink ref="C443" r:id="rId1714" display="https://enzyme.expasy.org/EC/2.7.7.6" xr:uid="{23F440EB-7A58-445B-97F4-63ED20A69A45}"/>
    <hyperlink ref="C444" r:id="rId1715" display="https://enzyme.expasy.org/EC/2.7.7.6" xr:uid="{C9E1DF12-71C8-452D-8B0F-F9A31892FBB4}"/>
    <hyperlink ref="C445" r:id="rId1716" display="https://enzyme.expasy.org/EC/2.7.7.6" xr:uid="{04E06150-D41E-49E8-9DBF-C350A428461B}"/>
    <hyperlink ref="C446" r:id="rId1717" display="https://enzyme.expasy.org/EC/2.7.7.6" xr:uid="{CC304673-BFF5-4E31-8680-A8A5A317EF9E}"/>
    <hyperlink ref="E442" r:id="rId1718" xr:uid="{CB195A64-4831-4D46-8792-47FAF28B3DBA}"/>
    <hyperlink ref="E443" r:id="rId1719" xr:uid="{B8F43B8B-736E-4D24-BC3C-11BE94147B34}"/>
    <hyperlink ref="E444" r:id="rId1720" xr:uid="{78D49B8B-A0C9-469B-86D0-F590E16B2D28}"/>
    <hyperlink ref="E445" r:id="rId1721" xr:uid="{4DE9455D-CF30-4310-999A-C0B3C1D7BB97}"/>
    <hyperlink ref="E446" r:id="rId1722" xr:uid="{72B26EE4-32C0-408E-BAB2-1DC05B25869B}"/>
    <hyperlink ref="F441" r:id="rId1723" xr:uid="{74A7BCD4-A7B4-45A0-9BF5-446391091D62}"/>
    <hyperlink ref="F442" r:id="rId1724" xr:uid="{29410200-10AE-4B69-A99D-635271A6B770}"/>
    <hyperlink ref="F443" r:id="rId1725" xr:uid="{CC2327D9-822C-40AB-8074-FBF2DF723B17}"/>
    <hyperlink ref="F444" r:id="rId1726" xr:uid="{F0FD84F5-F8C7-476C-96D5-3420004DAADC}"/>
    <hyperlink ref="F445" r:id="rId1727" xr:uid="{D5FF9916-9674-4677-B03D-CBF283AE3463}"/>
    <hyperlink ref="C306" r:id="rId1728" display="https://enzyme.expasy.org/EC/2.5.1.6" xr:uid="{18C4B9CA-3D91-40B4-A413-5F82820513BB}"/>
    <hyperlink ref="E306" r:id="rId1729" xr:uid="{E7BB279A-5B6F-4964-9D89-B33DEE96E24B}"/>
    <hyperlink ref="C307" r:id="rId1730" display="https://enzyme.expasy.org/EC/2.5.1.6" xr:uid="{2AE9F0BA-6215-49C0-9C57-351689E220F7}"/>
    <hyperlink ref="E307" r:id="rId1731" xr:uid="{CFC63BA5-ED73-43A3-81BE-F53181F64632}"/>
    <hyperlink ref="F446" r:id="rId1732" xr:uid="{C72F2B50-53AC-4048-962B-2F6423201E1E}"/>
    <hyperlink ref="F306" r:id="rId1733" xr:uid="{CF024EB3-0793-4494-8336-3AE309D58068}"/>
    <hyperlink ref="F307" r:id="rId1734" xr:uid="{63B522ED-F5B2-4FF5-AE66-B8446EA44DEF}"/>
    <hyperlink ref="C564" r:id="rId1735" display="https://enzyme.expasy.org/EC/3.1.21.-" xr:uid="{A390F6D3-2E52-4726-934A-05E0527B946A}"/>
    <hyperlink ref="C565" r:id="rId1736" display="https://enzyme.expasy.org/EC/3.1.21.-" xr:uid="{F95FD590-8990-41E9-A51B-AEEC418E392B}"/>
    <hyperlink ref="C162" r:id="rId1737" display="https://enzyme.expasy.org/EC/2.1.1.-" xr:uid="{ADCDCD4C-D94B-4EFB-8179-BDE149B551FE}"/>
    <hyperlink ref="C185" r:id="rId1738" display="https://enzyme.expasy.org/EC/2.1.1.72" xr:uid="{AE95788B-BFB7-4B72-8DA8-6A0BA20F7B41}"/>
    <hyperlink ref="E185" r:id="rId1739" xr:uid="{FD13A413-97C7-4AEF-8859-4C849CB4FAF2}"/>
    <hyperlink ref="F185" r:id="rId1740" xr:uid="{634D2C66-BEFE-46C1-AD42-FFEC051850DA}"/>
    <hyperlink ref="C570" r:id="rId1741" display="https://enzyme.expasy.org/EC/3.1.21.3" xr:uid="{4852A9F8-FFDA-47DF-9564-147F335EAF50}"/>
    <hyperlink ref="E570" r:id="rId1742" xr:uid="{81813A83-7365-4851-9316-31E352C76AD1}"/>
    <hyperlink ref="C543" r:id="rId1743" display="https://enzyme.expasy.org/EC/3.-.-.-" xr:uid="{AF2990BD-EF0F-491A-A396-3F8A42DEEE72}"/>
    <hyperlink ref="C1011" r:id="rId1744" display="https://enzyme.expasy.org/EC/7.-.-.-" xr:uid="{EA13C243-A5FB-41CA-BBB7-EAA1E2F70288}"/>
    <hyperlink ref="C341" r:id="rId1745" display="https://enzyme.expasy.org/EC/2.7.1.15" xr:uid="{F10AA1B7-34F0-47F8-B0F1-CDBED76A4103}"/>
    <hyperlink ref="E341" r:id="rId1746" xr:uid="{5FC181C5-86E1-46ED-80E1-7F3C583D156E}"/>
    <hyperlink ref="C342" r:id="rId1747" display="https://enzyme.expasy.org/EC/2.7.1.15" xr:uid="{C9E420DE-CDE2-4BD4-AAFA-65D990C4DD23}"/>
    <hyperlink ref="E342" r:id="rId1748" xr:uid="{B7272BAF-E259-4918-A37D-14421D37F222}"/>
    <hyperlink ref="F341" r:id="rId1749" xr:uid="{080AF079-1AC0-4A11-9291-01F1F576AC9B}"/>
    <hyperlink ref="F342" r:id="rId1750" xr:uid="{E6B2C6FA-E1DF-4C30-8046-FC10FC7CE7C7}"/>
    <hyperlink ref="C702" r:id="rId1751" display="https://enzyme.expasy.org/EC/3.2.2.-" xr:uid="{FC52CA22-ABB5-4549-B98E-4D0635413CB1}"/>
    <hyperlink ref="C219" r:id="rId1752" display="https://enzyme.expasy.org/EC/2.3.1.-" xr:uid="{E899CA86-5BD0-4C8C-9BD5-7A68402C184A}"/>
    <hyperlink ref="C1012" r:id="rId1753" display="https://enzyme.expasy.org/EC/7.-.-.-" xr:uid="{0783A615-8439-4EB7-809D-6E658B691F5E}"/>
    <hyperlink ref="C1013" r:id="rId1754" display="https://enzyme.expasy.org/EC/7.-.-.-" xr:uid="{F6D5FA46-9F77-4686-82D8-52FC9F375A09}"/>
    <hyperlink ref="C614" r:id="rId1755" display="https://enzyme.expasy.org/EC/3.2.1.-" xr:uid="{13BF05B9-876C-4F34-9E90-08AFFF3FA24D}"/>
    <hyperlink ref="C615" r:id="rId1756" display="https://enzyme.expasy.org/EC/3.2.1.-" xr:uid="{CD9E4D4B-F107-44E3-AC84-C1F8FD58986C}"/>
    <hyperlink ref="C415" r:id="rId1757" display="https://enzyme.expasy.org/EC/2.7.7.-" xr:uid="{CDF1655C-DA2E-4849-843C-C6107341E0AF}"/>
    <hyperlink ref="C104" r:id="rId1758" display="https://enzyme.expasy.org/EC/1.17.4.2" xr:uid="{4F2C90D3-ED5B-45C3-B0E0-19E21846E9AC}"/>
    <hyperlink ref="E104" r:id="rId1759" xr:uid="{301481AC-9F82-4D63-B691-BC04E4186ED5}"/>
    <hyperlink ref="C105" r:id="rId1760" display="https://enzyme.expasy.org/EC/1.17.4.2" xr:uid="{F8C557BE-9B3F-4983-9505-11B3BD30335E}"/>
    <hyperlink ref="C106" r:id="rId1761" display="https://enzyme.expasy.org/EC/1.17.4.2" xr:uid="{68E7C03D-4A60-4E7F-A16A-365533DF4A08}"/>
    <hyperlink ref="C107" r:id="rId1762" display="https://enzyme.expasy.org/EC/1.17.4.2" xr:uid="{D91CE5D0-2FE0-4456-B2FF-B232F2126957}"/>
    <hyperlink ref="C108" r:id="rId1763" display="https://enzyme.expasy.org/EC/1.17.4.2" xr:uid="{18262187-03E0-458F-9ECE-2790D0262BCC}"/>
    <hyperlink ref="E105" r:id="rId1764" xr:uid="{9638D3F9-BDD6-4A40-80DE-9A0C9253B200}"/>
    <hyperlink ref="E106" r:id="rId1765" xr:uid="{6CAAFD16-82E9-4A18-B38D-3F2196A17367}"/>
    <hyperlink ref="E107" r:id="rId1766" xr:uid="{9ACF4FF6-BB3B-4B95-8BC2-6C43CB6264C2}"/>
    <hyperlink ref="E108" r:id="rId1767" xr:uid="{41AE98D5-34D0-437D-B53A-1749C7929563}"/>
    <hyperlink ref="F104" r:id="rId1768" xr:uid="{03298C14-908F-4DBD-8188-7C1109C5D1C6}"/>
    <hyperlink ref="F105" r:id="rId1769" xr:uid="{1BFF2BF2-2F14-42EF-9414-F47C87192B25}"/>
    <hyperlink ref="F106" r:id="rId1770" xr:uid="{40464E0C-5BC6-49DF-9963-A2AB9B48D5BF}"/>
    <hyperlink ref="F107" r:id="rId1771" xr:uid="{B0FA242E-A4E2-4B24-A13B-2F2383CC5926}"/>
    <hyperlink ref="F108" r:id="rId1772" xr:uid="{D3A1D587-CEB0-4A50-8958-34B26779C606}"/>
    <hyperlink ref="C561" r:id="rId1773" display="https://enzyme.expasy.org/EC/3.1.11.6" xr:uid="{49AE035D-237E-469A-9CAE-1C19F6F42BDA}"/>
    <hyperlink ref="E561" r:id="rId1774" xr:uid="{D7407AF5-503F-4399-BAF8-8FFEB8E12E0D}"/>
    <hyperlink ref="C562" r:id="rId1775" display="https://enzyme.expasy.org/EC/3.1.11.6" xr:uid="{E31BC231-19C6-47A1-B0A5-555F06FF17AF}"/>
    <hyperlink ref="E562" r:id="rId1776" xr:uid="{F2AE78DE-E39B-4AC2-9E0E-7020C8370EA3}"/>
    <hyperlink ref="C10" r:id="rId1777" display="https://enzyme.expasy.org/EC/1.-.-.-" xr:uid="{31E671C6-3090-4855-B2EE-5D7941952411}"/>
    <hyperlink ref="C961" r:id="rId1778" display="https://enzyme.expasy.org/EC/6.2.1.-" xr:uid="{8F1078AE-549F-4D66-A186-D237B4107C39}"/>
    <hyperlink ref="C552" r:id="rId1779" display="https://enzyme.expasy.org/EC/3.1.-.-" xr:uid="{5DA40F35-8912-4F3A-B0F7-460D58F5DC97}"/>
    <hyperlink ref="C315" r:id="rId1780" display="https://enzyme.expasy.org/EC/2.6.1.-" xr:uid="{6ADD9AE9-A5B3-44F6-833C-4B850F72C9F4}"/>
    <hyperlink ref="C220" r:id="rId1781" display="https://enzyme.expasy.org/EC/2.3.1.-" xr:uid="{40BCA1CE-6000-4A2B-890A-21F4D506CBD0}"/>
    <hyperlink ref="C797" r:id="rId1782" display="https://enzyme.expasy.org/EC/3.6.4.-" xr:uid="{B5362FFC-7B6C-49B2-8210-15C4DC4EFE92}"/>
    <hyperlink ref="C222" r:id="rId1783" display="https://enzyme.expasy.org/EC/2.3.1.117" xr:uid="{7579FB40-6CA2-4148-8EA2-38D2417CBF6F}"/>
    <hyperlink ref="E222" r:id="rId1784" xr:uid="{6F1AEAFD-F022-471A-9332-475F859BEC99}"/>
    <hyperlink ref="F222" r:id="rId1785" xr:uid="{F62757A4-7AC0-4A01-B007-41AE32A0F269}"/>
    <hyperlink ref="C238" r:id="rId1786" display="https://enzyme.expasy.org/EC/2.3.3.16" xr:uid="{8087F067-64D8-4481-B397-0ADB4A2DA6D7}"/>
    <hyperlink ref="E238" r:id="rId1787" xr:uid="{A89333C1-B887-4AA0-B2CC-F3BC0BE94ED2}"/>
    <hyperlink ref="F238" r:id="rId1788" xr:uid="{C93C5BD6-A7AC-42F3-8CD6-0E84E4142940}"/>
    <hyperlink ref="C716" r:id="rId1789" display="https://enzyme.expasy.org/EC/3.4.11.18" xr:uid="{9F212F33-AC7F-4645-A5A2-D1EA10A8D9E5}"/>
    <hyperlink ref="E716" r:id="rId1790" xr:uid="{6EAFBAAE-2EDE-4805-A0E3-6064376C7D1E}"/>
    <hyperlink ref="C735" r:id="rId1791" display="https://enzyme.expasy.org/EC/3.4.24.-" xr:uid="{0732F442-B183-4726-986C-9EC070F31984}"/>
    <hyperlink ref="C945" r:id="rId1792" display="https://enzyme.expasy.org/EC/6.1.1.15" xr:uid="{9202AB02-8870-48B5-AFE3-DF5A0C6FEF3B}"/>
    <hyperlink ref="E945" r:id="rId1793" xr:uid="{E8DA7C2F-D95C-4FA0-BF57-3B3291DDF9B4}"/>
    <hyperlink ref="F945" r:id="rId1794" xr:uid="{EA4BB6A6-B8D4-469F-8CC4-0AD7AF1C9143}"/>
    <hyperlink ref="C798" r:id="rId1795" display="https://enzyme.expasy.org/EC/3.6.4.-" xr:uid="{400E9EF6-E418-4EB1-9812-2141C595236F}"/>
    <hyperlink ref="C553" r:id="rId1796" display="https://enzyme.expasy.org/EC/3.1.-.-" xr:uid="{60D91C13-616C-47DB-8143-FFE297691BE4}"/>
    <hyperlink ref="C37" r:id="rId1797" display="https://enzyme.expasy.org/EC/1.1.1.205" xr:uid="{9B8828D9-CD49-4DA4-A711-B9FDD7BC151D}"/>
    <hyperlink ref="E37" r:id="rId1798" xr:uid="{6EF54F22-01F2-46A9-A93F-D4856801BEF5}"/>
    <hyperlink ref="C38" r:id="rId1799" display="https://enzyme.expasy.org/EC/1.1.1.205" xr:uid="{A7965746-A046-48F6-8F46-555B5022E7B7}"/>
    <hyperlink ref="E38" r:id="rId1800" xr:uid="{6E6C4C4C-5FFB-42FA-B4D1-A8A231E6CD16}"/>
    <hyperlink ref="F37" r:id="rId1801" xr:uid="{20969698-A47E-4493-9076-7C5E1E612967}"/>
    <hyperlink ref="F38" r:id="rId1802" xr:uid="{5CD06470-7DA9-49F1-B05E-FEB97B5392CF}"/>
    <hyperlink ref="C151" r:id="rId1803" display="https://enzyme.expasy.org/EC/2.-.-.-" xr:uid="{442A57A6-4D66-4D2C-A3B8-FB7D195C4F5D}"/>
    <hyperlink ref="C506" r:id="rId1804" display="https://enzyme.expasy.org/EC/2.7.7.87" xr:uid="{EC9C3C44-7B03-4DD8-8EB0-F11ABC46BF18}"/>
    <hyperlink ref="E506" r:id="rId1805" xr:uid="{58118A40-31EE-402A-8E0A-F8BAFE2C8662}"/>
    <hyperlink ref="F506" r:id="rId1806" xr:uid="{55BCB3EA-BA60-429A-931F-4377FF818841}"/>
    <hyperlink ref="C176" r:id="rId1807" display="https://enzyme.expasy.org/EC/2.1.1.297" xr:uid="{ABD3D441-4702-4EE9-BDD9-D2D36D26C3D5}"/>
    <hyperlink ref="E176" r:id="rId1808" xr:uid="{7E6C8D80-1139-4BD6-8EEB-28B7A20A41D8}"/>
    <hyperlink ref="F176" r:id="rId1809" xr:uid="{ABC49A84-059B-43D6-9925-E40E317B7DD3}"/>
    <hyperlink ref="C756" r:id="rId1810" display="https://enzyme.expasy.org/EC/3.5.1.88" xr:uid="{F36FA822-4824-4B95-8C29-DEC91A893A5D}"/>
    <hyperlink ref="E756" r:id="rId1811" xr:uid="{7C1270A2-7E2B-4975-B589-15A5EDA4F85D}"/>
    <hyperlink ref="F756" r:id="rId1812" xr:uid="{CB7E7873-1AC0-4FFF-BD87-5F470895AC19}"/>
    <hyperlink ref="C757" r:id="rId1813" display="https://enzyme.expasy.org/EC/3.5.1.88" xr:uid="{2AC87170-CD9B-49B2-8E7B-91CA89C801D8}"/>
    <hyperlink ref="E757" r:id="rId1814" xr:uid="{F43B2B74-8D4E-465C-B51E-C25602109207}"/>
    <hyperlink ref="F757" r:id="rId1815" xr:uid="{D224C886-D6D3-4F33-BD78-C808ACE8D220}"/>
    <hyperlink ref="C349" r:id="rId1816" display="https://enzyme.expasy.org/EC/2.7.1.2" xr:uid="{EE85B6FD-04C2-480C-84C4-EB8CA143DA8B}"/>
    <hyperlink ref="E349" r:id="rId1817" xr:uid="{44438504-30D8-4304-B461-BCBE5AD0C8F3}"/>
    <hyperlink ref="C350" r:id="rId1818" display="https://enzyme.expasy.org/EC/2.7.1.2" xr:uid="{3AAB71D6-64C4-4B4A-A3A9-01B54862046F}"/>
    <hyperlink ref="C351" r:id="rId1819" display="https://enzyme.expasy.org/EC/2.7.1.2" xr:uid="{3150E022-6EFD-4A97-B1CE-700F171C0A16}"/>
    <hyperlink ref="E350" r:id="rId1820" xr:uid="{91FF94CA-0977-4BEF-BDD9-53C55A2E6B49}"/>
    <hyperlink ref="E351" r:id="rId1821" xr:uid="{51E62FF3-AF09-4611-A25F-6868BCF2F03D}"/>
    <hyperlink ref="F349" r:id="rId1822" xr:uid="{6F93E728-A410-4068-B037-DD29842F8D37}"/>
    <hyperlink ref="F350" r:id="rId1823" xr:uid="{1C4B1BCD-2320-4366-B9AF-2693A7AC9E0F}"/>
    <hyperlink ref="F351" r:id="rId1824" xr:uid="{80512FBD-91FA-4C0F-9234-E1CCEED236A3}"/>
    <hyperlink ref="C563" r:id="rId1825" display="https://enzyme.expasy.org/EC/3.1.2.-" xr:uid="{7BAC5A4C-CFF5-4DEA-BEA6-E96C412BE004}"/>
    <hyperlink ref="C412" r:id="rId1826" display="https://enzyme.expasy.org/EC/2.7.6.3" xr:uid="{B30BC11E-3CEA-42BB-83AB-8E8D5617A081}"/>
    <hyperlink ref="E412" r:id="rId1827" xr:uid="{9A689369-858E-48D0-8261-2E738554619F}"/>
    <hyperlink ref="F412" r:id="rId1828" xr:uid="{5F9F570A-1FA3-4DB3-88BD-BEB4DF5E98F1}"/>
    <hyperlink ref="C293" r:id="rId1829" display="https://enzyme.expasy.org/EC/2.5.1.15" xr:uid="{F72C193C-2490-41F0-B6AD-9E10C93B740F}"/>
    <hyperlink ref="E293" r:id="rId1830" xr:uid="{1DB29D6C-6735-4A66-9EDC-B045D54E7CB2}"/>
    <hyperlink ref="C294" r:id="rId1831" display="https://enzyme.expasy.org/EC/2.5.1.15" xr:uid="{ECF406C0-99F1-4534-B2A9-5F471EBB545D}"/>
    <hyperlink ref="E294" r:id="rId1832" xr:uid="{DAA3C653-7017-40F0-9A86-6783423B743F}"/>
    <hyperlink ref="F293" r:id="rId1833" xr:uid="{E72D5552-064F-478D-9B7F-9C55BF26FDE4}"/>
    <hyperlink ref="F294" r:id="rId1834" xr:uid="{51766006-5239-42AB-887A-74A539233A7A}"/>
    <hyperlink ref="C762" r:id="rId1835" display="https://enzyme.expasy.org/EC/3.5.4.16" xr:uid="{FEDA66B9-EE27-44CE-B0CB-590F182B03F5}"/>
    <hyperlink ref="E762" r:id="rId1836" xr:uid="{F035A4A5-AC27-40EF-84BC-9C35DC4E32D7}"/>
    <hyperlink ref="C763" r:id="rId1837" display="https://enzyme.expasy.org/EC/3.5.4.16" xr:uid="{2D1795AA-B117-470F-979F-B3AEE116F37E}"/>
    <hyperlink ref="C764" r:id="rId1838" display="https://enzyme.expasy.org/EC/3.5.4.16" xr:uid="{11A4B425-9A5C-46C1-8281-DF18C5583730}"/>
    <hyperlink ref="C765" r:id="rId1839" display="https://enzyme.expasy.org/EC/3.5.4.16" xr:uid="{3CFC61A6-8615-4F5D-B01E-B657B579A5BA}"/>
    <hyperlink ref="C766" r:id="rId1840" display="https://enzyme.expasy.org/EC/3.5.4.16" xr:uid="{8F571597-AC71-4F25-96C9-0505F905BB42}"/>
    <hyperlink ref="E763" r:id="rId1841" xr:uid="{FE29AF2B-2FE8-4AC0-83DA-D141609E15AF}"/>
    <hyperlink ref="E764" r:id="rId1842" xr:uid="{423853F2-F767-4646-A5AD-C966D41D8817}"/>
    <hyperlink ref="E765" r:id="rId1843" xr:uid="{A40A6118-3620-4A41-95C5-5A29C77B742D}"/>
    <hyperlink ref="E766" r:id="rId1844" xr:uid="{BC7DA480-4365-4BE9-BB82-9C4B0D64B1D9}"/>
    <hyperlink ref="F762" r:id="rId1845" xr:uid="{A51955EE-97DF-48F2-882E-D038582E1DAF}"/>
    <hyperlink ref="F763" r:id="rId1846" xr:uid="{FD21F522-3A80-4241-83F2-467B32BAE593}"/>
    <hyperlink ref="F764" r:id="rId1847" xr:uid="{A7B13F5F-DA3D-424A-98B6-87F696ED168B}"/>
    <hyperlink ref="F765" r:id="rId1848" xr:uid="{8E7CBC28-45AE-4FFC-BB4E-C2C3A3F4DBBB}"/>
    <hyperlink ref="F766" r:id="rId1849" xr:uid="{8413E782-F901-4D68-8098-7FB01376FBEF}"/>
    <hyperlink ref="C285" r:id="rId1850" display="https://enzyme.expasy.org/EC/2.4.2.8" xr:uid="{7D00666C-1EB0-4897-BF0E-8634D7F941ED}"/>
    <hyperlink ref="E285" r:id="rId1851" xr:uid="{A6506FE3-4D99-45FC-B2BE-EB7B79802A7A}"/>
    <hyperlink ref="C982" r:id="rId1852" display="https://enzyme.expasy.org/EC/6.3.4.19" xr:uid="{8FAE9423-7A97-4B3C-8C89-5F6C9305D64B}"/>
    <hyperlink ref="E982" r:id="rId1853" xr:uid="{B060BBBC-34A3-4F93-B645-7F47EBAA3A28}"/>
    <hyperlink ref="F982" r:id="rId1854" xr:uid="{59419FFF-A8A9-45DD-B869-6F0FFC8F2344}"/>
    <hyperlink ref="C723" r:id="rId1855" display="https://enzyme.expasy.org/EC/3.4.16.4" xr:uid="{6FAFF1C9-4447-4622-8448-413F30C335DB}"/>
    <hyperlink ref="E723" r:id="rId1856" xr:uid="{928FCC2A-CEF0-4B45-B7C2-D94FD4311520}"/>
    <hyperlink ref="C246" r:id="rId1857" display="https://enzyme.expasy.org/EC/2.4.-.-" xr:uid="{D9B68D6C-69A1-4F17-B5F2-7317B8228049}"/>
    <hyperlink ref="C247" r:id="rId1858" display="https://enzyme.expasy.org/EC/2.4.-.-" xr:uid="{38B66228-0505-4AF2-8E27-36EE6D033AF3}"/>
    <hyperlink ref="C58" r:id="rId1859" display="https://enzyme.expasy.org/EC/1.1.1.77" xr:uid="{F7EE1DD4-DE84-4A69-894A-0E6475EC1FF9}"/>
    <hyperlink ref="E58" r:id="rId1860" xr:uid="{FBF63062-EF51-4D73-B8DC-4B1C2C61E203}"/>
    <hyperlink ref="C59" r:id="rId1861" display="https://enzyme.expasy.org/EC/1.1.1.77" xr:uid="{F1E76EF0-4EA8-454D-8D37-A6F5A819A249}"/>
    <hyperlink ref="C60" r:id="rId1862" display="https://enzyme.expasy.org/EC/1.1.1.77" xr:uid="{D6B472D1-909C-4546-A029-68BA31A0C5EB}"/>
    <hyperlink ref="C61" r:id="rId1863" display="https://enzyme.expasy.org/EC/1.1.1.77" xr:uid="{61A7E5D7-C532-45DD-934A-4443954D39D4}"/>
    <hyperlink ref="E59" r:id="rId1864" xr:uid="{585FC411-DC66-47E4-A6DC-FFCA94CB8C6D}"/>
    <hyperlink ref="E60" r:id="rId1865" xr:uid="{134B31B3-CDDF-4046-BEC7-FC68E8E75153}"/>
    <hyperlink ref="E61" r:id="rId1866" xr:uid="{E4845631-7FB9-4E95-8B11-88D4F8FD2F13}"/>
    <hyperlink ref="F58" r:id="rId1867" xr:uid="{3EDF6BA1-CD9C-4C0B-851A-E54D44D5C6CD}"/>
    <hyperlink ref="F59" r:id="rId1868" xr:uid="{20D44555-DD2E-425A-95BF-0123B6BCBF4A}"/>
    <hyperlink ref="F60" r:id="rId1869" xr:uid="{84D814DB-C511-455D-A724-65E440A83705}"/>
    <hyperlink ref="F61" r:id="rId1870" xr:uid="{7E83D9C2-1423-4934-9D55-82AC348329D1}"/>
    <hyperlink ref="C163" r:id="rId1871" display="https://enzyme.expasy.org/EC/2.1.1.-" xr:uid="{6628211B-6E95-41FC-A26C-19AA2558C807}"/>
    <hyperlink ref="C177" r:id="rId1872" display="https://enzyme.expasy.org/EC/2.1.1.33" xr:uid="{36EFBD4C-63EC-4333-9541-45387D490FAC}"/>
    <hyperlink ref="E177" r:id="rId1873" xr:uid="{3720A971-C1F5-4932-88D2-FDEAF4449F4A}"/>
    <hyperlink ref="F177" r:id="rId1874" xr:uid="{CC1B6454-F1DD-4B0D-9298-5A7566195831}"/>
    <hyperlink ref="C670" r:id="rId1875" display="https://enzyme.expasy.org/EC/3.2.1.23" xr:uid="{419C91DB-C928-4779-B1FC-DB6F6BA77333}"/>
    <hyperlink ref="E670" r:id="rId1876" xr:uid="{4A6A7C16-FF21-441A-85BB-0367CC235C93}"/>
    <hyperlink ref="C671" r:id="rId1877" display="https://enzyme.expasy.org/EC/3.2.1.23" xr:uid="{5DB82716-29A3-4887-9BCF-0BDEACF3FBAB}"/>
    <hyperlink ref="C672" r:id="rId1878" display="https://enzyme.expasy.org/EC/3.2.1.23" xr:uid="{2A43BAF8-D563-4706-AF48-B40F0091F371}"/>
    <hyperlink ref="C673" r:id="rId1879" display="https://enzyme.expasy.org/EC/3.2.1.23" xr:uid="{E9E89127-15E2-44AF-87A0-C33962991895}"/>
    <hyperlink ref="C674" r:id="rId1880" display="https://enzyme.expasy.org/EC/3.2.1.23" xr:uid="{161ED045-B18E-4180-97EF-31600981E563}"/>
    <hyperlink ref="C675" r:id="rId1881" display="https://enzyme.expasy.org/EC/3.2.1.23" xr:uid="{26624A92-8F8B-44C3-B627-87E4063CB479}"/>
    <hyperlink ref="C676" r:id="rId1882" display="https://enzyme.expasy.org/EC/3.2.1.23" xr:uid="{B4CEDABE-454D-4BDF-BE97-013BA21AB65B}"/>
    <hyperlink ref="C677" r:id="rId1883" display="https://enzyme.expasy.org/EC/3.2.1.23" xr:uid="{D1C085DA-1EFC-404D-96F2-D91408432F4C}"/>
    <hyperlink ref="C678" r:id="rId1884" display="https://enzyme.expasy.org/EC/3.2.1.23" xr:uid="{82C142DB-7DE8-45BD-B801-A838AEC8E7FB}"/>
    <hyperlink ref="C679" r:id="rId1885" display="https://enzyme.expasy.org/EC/3.2.1.23" xr:uid="{E5DD341D-E2C6-4C89-836A-DC41957F2AA5}"/>
    <hyperlink ref="C680" r:id="rId1886" display="https://enzyme.expasy.org/EC/3.2.1.23" xr:uid="{B2D44D49-66E7-431A-BF2E-B9FB77BB833D}"/>
    <hyperlink ref="C681" r:id="rId1887" display="https://enzyme.expasy.org/EC/3.2.1.23" xr:uid="{79BD719A-FDBE-4D15-9616-2ABD8F350F58}"/>
    <hyperlink ref="C682" r:id="rId1888" display="https://enzyme.expasy.org/EC/3.2.1.23" xr:uid="{9C990B0D-7D0D-4195-9867-88D3EA06CC6B}"/>
    <hyperlink ref="C683" r:id="rId1889" display="https://enzyme.expasy.org/EC/3.2.1.23" xr:uid="{BEA58EB8-7AF4-46F3-90DE-2B92ED4158AD}"/>
    <hyperlink ref="C684" r:id="rId1890" display="https://enzyme.expasy.org/EC/3.2.1.23" xr:uid="{5944C888-7EEC-4637-827B-8FB655AB0DAE}"/>
    <hyperlink ref="E671" r:id="rId1891" xr:uid="{BC5CB64E-6FF3-4A4B-B19E-CE93A8AD96A9}"/>
    <hyperlink ref="E672" r:id="rId1892" xr:uid="{FB9B133D-95DA-461D-8339-B51DCEDB655E}"/>
    <hyperlink ref="E673" r:id="rId1893" xr:uid="{7FCD4AB7-FF26-4D16-92BF-B7AD2EE842A0}"/>
    <hyperlink ref="E674" r:id="rId1894" xr:uid="{4E630BA3-B7FF-4D11-8F86-F44A3DDF374C}"/>
    <hyperlink ref="E675" r:id="rId1895" xr:uid="{763D36FC-63EF-494D-A74A-0E08F6715197}"/>
    <hyperlink ref="E676" r:id="rId1896" xr:uid="{9D592AA1-2C7D-476F-B8B1-F0E499882C0E}"/>
    <hyperlink ref="E677" r:id="rId1897" xr:uid="{EA9424CD-3731-4A4B-8AFC-FE33A30C0858}"/>
    <hyperlink ref="E678" r:id="rId1898" xr:uid="{A5C8E896-6E1C-4D4A-B416-C1A356E74D45}"/>
    <hyperlink ref="E679" r:id="rId1899" xr:uid="{01A1D82D-D112-4D93-B745-3A51A7EF1CCC}"/>
    <hyperlink ref="E680" r:id="rId1900" xr:uid="{9D5EB4DC-1BF9-4EF8-956C-C3CF8EE6F5A0}"/>
    <hyperlink ref="E681" r:id="rId1901" xr:uid="{7034E3A4-A8C6-4193-8A2B-0882AB808201}"/>
    <hyperlink ref="E682" r:id="rId1902" xr:uid="{F8E433CB-B7D3-4921-B0A6-11272C6D47EB}"/>
    <hyperlink ref="E683" r:id="rId1903" xr:uid="{C57DD83F-7084-4963-85D7-63AF9E989C5B}"/>
    <hyperlink ref="E684" r:id="rId1904" xr:uid="{21D84F2E-63C4-4013-B1A9-4A108AB8A965}"/>
    <hyperlink ref="F670" r:id="rId1905" xr:uid="{C28A54C6-7762-44F3-9869-ED5C2FCA37CF}"/>
    <hyperlink ref="F671" r:id="rId1906" xr:uid="{3D209898-7E92-43B7-A023-6F91F14D2019}"/>
    <hyperlink ref="F672" r:id="rId1907" xr:uid="{157094FB-ED71-4C5D-9112-A0B0EBE4A572}"/>
    <hyperlink ref="F673" r:id="rId1908" xr:uid="{BB6C804B-DC99-4545-B1DD-56BFDDD84E2D}"/>
    <hyperlink ref="F674" r:id="rId1909" xr:uid="{F2013E18-2F3D-4F02-9439-867E0FC2EBB3}"/>
    <hyperlink ref="F675" r:id="rId1910" xr:uid="{9551478E-253A-4FBE-9823-38A0D14552CF}"/>
    <hyperlink ref="F676" r:id="rId1911" xr:uid="{1CF35ACE-6981-4CB6-9F2C-B16FBB24D309}"/>
    <hyperlink ref="F677" r:id="rId1912" xr:uid="{D9CBE4C9-6079-448D-A84C-9C9A266D5B5C}"/>
    <hyperlink ref="F678" r:id="rId1913" xr:uid="{57ED714D-48B7-4EB3-BEE0-793E28C3C54F}"/>
    <hyperlink ref="F679" r:id="rId1914" xr:uid="{AD33BAC2-F5CB-4549-9236-AA01CF5A6D73}"/>
    <hyperlink ref="F680" r:id="rId1915" xr:uid="{D9B2C483-40FF-4AB6-A981-141FC2C66524}"/>
    <hyperlink ref="F681" r:id="rId1916" xr:uid="{B441FDB9-7796-406E-8470-8B18159C5F82}"/>
    <hyperlink ref="F683" r:id="rId1917" xr:uid="{FC31ED94-3FB9-4FEC-9280-D301A3CEBBA9}"/>
    <hyperlink ref="F682" r:id="rId1918" xr:uid="{FF76B909-F4E7-49EF-8D99-DBC3D6922D32}"/>
    <hyperlink ref="F684" r:id="rId1919" xr:uid="{E6CB05B7-A681-48AE-9F22-E973C6257CA0}"/>
    <hyperlink ref="C686" r:id="rId1920" display="https://enzyme.expasy.org/EC/3.2.1.52" xr:uid="{CDFE1D03-DA2C-4078-8393-1DE397514668}"/>
    <hyperlink ref="E686" r:id="rId1921" xr:uid="{19ACD1BE-6D1F-4005-87A5-4F7BCA5BCB05}"/>
    <hyperlink ref="C687" r:id="rId1922" display="https://enzyme.expasy.org/EC/3.2.1.52" xr:uid="{552515FF-5A35-4ABE-9A9F-F75455D4BC13}"/>
    <hyperlink ref="C688" r:id="rId1923" display="https://enzyme.expasy.org/EC/3.2.1.52" xr:uid="{D9F07948-5E99-41AE-8C68-B15D24202CAD}"/>
    <hyperlink ref="C689" r:id="rId1924" display="https://enzyme.expasy.org/EC/3.2.1.52" xr:uid="{ADA04C28-3292-4D87-8F5C-2C6C51F5516F}"/>
    <hyperlink ref="C690" r:id="rId1925" display="https://enzyme.expasy.org/EC/3.2.1.52" xr:uid="{0CC25634-CBAF-4F61-A4C2-50941D9AAFB0}"/>
    <hyperlink ref="C691" r:id="rId1926" display="https://enzyme.expasy.org/EC/3.2.1.52" xr:uid="{4C7D67B8-44FE-44FF-93E5-128B43AA9FFD}"/>
    <hyperlink ref="C692" r:id="rId1927" display="https://enzyme.expasy.org/EC/3.2.1.52" xr:uid="{69ADDEB9-F21C-487F-9EB9-7AE7EE371EB8}"/>
    <hyperlink ref="C693" r:id="rId1928" display="https://enzyme.expasy.org/EC/3.2.1.52" xr:uid="{722FDC08-FC65-404D-B748-4B32BAD8A8C3}"/>
    <hyperlink ref="C694" r:id="rId1929" display="https://enzyme.expasy.org/EC/3.2.1.52" xr:uid="{4359480D-9AFD-4C78-AA53-8E19FAA957A7}"/>
    <hyperlink ref="C695" r:id="rId1930" display="https://enzyme.expasy.org/EC/3.2.1.52" xr:uid="{27254694-BDAC-4BD9-A8C2-7531D5B6EF84}"/>
    <hyperlink ref="C696" r:id="rId1931" display="https://enzyme.expasy.org/EC/3.2.1.52" xr:uid="{43622DAC-6625-4692-BCFB-BB2521ED5022}"/>
    <hyperlink ref="C697" r:id="rId1932" display="https://enzyme.expasy.org/EC/3.2.1.52" xr:uid="{573B5907-13C7-4DE7-808A-9DD7FC6D424F}"/>
    <hyperlink ref="C698" r:id="rId1933" display="https://enzyme.expasy.org/EC/3.2.1.52" xr:uid="{732CB674-8221-4636-BAF6-6C3E3613C586}"/>
    <hyperlink ref="C699" r:id="rId1934" display="https://enzyme.expasy.org/EC/3.2.1.52" xr:uid="{4621C1DA-CD00-4B72-8B9E-4DA50A517C03}"/>
    <hyperlink ref="C700" r:id="rId1935" display="https://enzyme.expasy.org/EC/3.2.1.52" xr:uid="{36D04746-567D-410A-A805-04EEA35D2780}"/>
    <hyperlink ref="E687" r:id="rId1936" xr:uid="{83835876-8828-49AC-A444-1D92461B18CF}"/>
    <hyperlink ref="E688" r:id="rId1937" xr:uid="{386FF4A2-4DD8-481C-B4C1-C0A570004D59}"/>
    <hyperlink ref="E689" r:id="rId1938" xr:uid="{1E2E3227-1469-47B9-B17D-EAA25C9F459F}"/>
    <hyperlink ref="E690" r:id="rId1939" xr:uid="{6971486D-89E9-4376-B9FF-A4B5BA0DC7B1}"/>
    <hyperlink ref="E691" r:id="rId1940" xr:uid="{8761CCEE-78C1-4A61-9AAB-E9184629F452}"/>
    <hyperlink ref="E692" r:id="rId1941" xr:uid="{2741A75D-76D5-4A95-92C1-08D4F1894479}"/>
    <hyperlink ref="E693" r:id="rId1942" xr:uid="{172C4EDB-8943-467D-8A48-17244DFC5852}"/>
    <hyperlink ref="E694" r:id="rId1943" xr:uid="{036B503E-E3D7-495B-9614-8555B4180878}"/>
    <hyperlink ref="E695" r:id="rId1944" xr:uid="{30BEF2B4-FED4-48FE-A7F3-CC16A827F761}"/>
    <hyperlink ref="E696" r:id="rId1945" xr:uid="{940619A7-0AA9-45BA-8D8A-910EEA57C2C4}"/>
    <hyperlink ref="E697" r:id="rId1946" xr:uid="{9EE6DE81-4546-4055-84E2-A2F6E6EDF4E9}"/>
    <hyperlink ref="E698" r:id="rId1947" xr:uid="{6ED0F0AE-1E4B-4161-8C0D-7A7E97AB903E}"/>
    <hyperlink ref="E699" r:id="rId1948" xr:uid="{AA7433E9-61FE-4CBE-9A4A-CBE76D79DD92}"/>
    <hyperlink ref="E700" r:id="rId1949" xr:uid="{8512D1AE-C844-49A7-A127-FBEF46ED6C71}"/>
    <hyperlink ref="F686" r:id="rId1950" xr:uid="{573DF318-D1C3-4B59-8D4F-A03344EE51E7}"/>
    <hyperlink ref="F687" r:id="rId1951" xr:uid="{532F0B21-676D-4997-8B57-490E352CDEB5}"/>
    <hyperlink ref="F688" r:id="rId1952" xr:uid="{2554A5D6-9FF0-405A-AB3F-536EEB541DD1}"/>
    <hyperlink ref="F689" r:id="rId1953" xr:uid="{DA219C83-FF63-4341-8965-FDDBD200D42B}"/>
    <hyperlink ref="F690" r:id="rId1954" xr:uid="{66B9E2E1-E2D7-442B-8ED7-659DC3E19E83}"/>
    <hyperlink ref="F691" r:id="rId1955" xr:uid="{E98CF4B4-9933-4841-9B99-26815C7AC6D4}"/>
    <hyperlink ref="F692" r:id="rId1956" xr:uid="{81C2C374-E363-4C57-807A-7F8B7E687C1A}"/>
    <hyperlink ref="F693" r:id="rId1957" xr:uid="{F208E6B4-8B54-4E71-82DC-10F5EE4CC5DD}"/>
    <hyperlink ref="F694" r:id="rId1958" xr:uid="{1F8EA803-6869-4C3A-A200-2019B4A902F2}"/>
    <hyperlink ref="F695" r:id="rId1959" xr:uid="{7353A8DC-A08E-4D5A-8E4C-154BA26D9EA0}"/>
    <hyperlink ref="F696" r:id="rId1960" xr:uid="{F4095FE5-0E05-4A8D-BB4A-613B185A89C3}"/>
    <hyperlink ref="F697" r:id="rId1961" xr:uid="{7A99CA3C-AB31-4393-B2D5-B8B60012B0A0}"/>
    <hyperlink ref="F698" r:id="rId1962" xr:uid="{0C61DA26-39B9-4027-B34D-5E102B47E6A8}"/>
    <hyperlink ref="F699" r:id="rId1963" xr:uid="{6DFBBB04-6DB7-4961-8A22-B7814E5ECE86}"/>
    <hyperlink ref="F700" r:id="rId1964" xr:uid="{B6904E29-3356-4E92-B39C-6AB6237C2C6E}"/>
    <hyperlink ref="C1049" r:id="rId1965" display="https://enzyme.expasy.org/EC/7.6.2.-" xr:uid="{424032A5-DEAE-4FA0-812C-CD2409564E1E}"/>
    <hyperlink ref="C591" r:id="rId1966" display="https://enzyme.expasy.org/EC/3.1.3.48" xr:uid="{8DB98491-8075-4860-9B8C-31DEA61923CA}"/>
    <hyperlink ref="E591" r:id="rId1967" xr:uid="{F35569DF-D561-45C0-B72D-ECE96F9FE1C5}"/>
    <hyperlink ref="F591" r:id="rId1968" xr:uid="{BCD106FE-34D9-4600-B5D7-0D1C74827502}"/>
    <hyperlink ref="C138" r:id="rId1969" display="https://enzyme.expasy.org/EC/1.5.1.3" xr:uid="{4A049743-5AB6-4726-9739-62CB74754E5B}"/>
    <hyperlink ref="E138" r:id="rId1970" xr:uid="{D42F8EC0-A76E-416D-9FE1-FD1E3122F66F}"/>
    <hyperlink ref="C139" r:id="rId1971" display="https://enzyme.expasy.org/EC/1.5.1.3" xr:uid="{74B58822-14A1-478D-BA1A-592706188B34}"/>
    <hyperlink ref="C140" r:id="rId1972" display="https://enzyme.expasy.org/EC/1.5.1.3" xr:uid="{AF9C7CE8-6694-4F62-983F-71A1B48BD61D}"/>
    <hyperlink ref="C141" r:id="rId1973" display="https://enzyme.expasy.org/EC/1.5.1.3" xr:uid="{36B19B88-CC2D-456D-9574-EC74F0B32C98}"/>
    <hyperlink ref="C142" r:id="rId1974" display="https://enzyme.expasy.org/EC/1.5.1.3" xr:uid="{F992763D-9B47-4EE3-89EA-C0CA1C2DA995}"/>
    <hyperlink ref="C143" r:id="rId1975" display="https://enzyme.expasy.org/EC/1.5.1.3" xr:uid="{C6416FC7-E4E2-4542-933D-627A8DAFC681}"/>
    <hyperlink ref="C144" r:id="rId1976" display="https://enzyme.expasy.org/EC/1.5.1.3" xr:uid="{9F5EAE1C-35E3-44D0-8D7E-99A4288459D9}"/>
    <hyperlink ref="E139" r:id="rId1977" xr:uid="{AE42383B-9811-485D-A765-0143884E2816}"/>
    <hyperlink ref="E140" r:id="rId1978" xr:uid="{FBF51031-047B-48E8-B2E7-AA3F92B11BD7}"/>
    <hyperlink ref="E141" r:id="rId1979" xr:uid="{10D49996-6E14-4E6B-A6DD-0F5734DB63F5}"/>
    <hyperlink ref="E142" r:id="rId1980" xr:uid="{04E31025-B065-4694-A484-87561ECF35B5}"/>
    <hyperlink ref="E143" r:id="rId1981" xr:uid="{DF8C6B62-BCD0-443C-B798-A088A090FC2D}"/>
    <hyperlink ref="E144" r:id="rId1982" xr:uid="{B2486E4C-8484-420C-BBCE-E9A860CBAEBA}"/>
    <hyperlink ref="F138" r:id="rId1983" xr:uid="{3B6AB24B-E25F-4D2A-9BD0-8E79313A7D12}"/>
    <hyperlink ref="F139" r:id="rId1984" xr:uid="{7A8906E6-569D-48C4-86D7-8551E3234B16}"/>
    <hyperlink ref="F140" r:id="rId1985" xr:uid="{681A061F-F2C5-46C2-B9BA-63F38BAB7FC3}"/>
    <hyperlink ref="F141" r:id="rId1986" xr:uid="{5FB7FE31-33C5-401B-B4D7-8FAA1C005517}"/>
    <hyperlink ref="F142" r:id="rId1987" xr:uid="{033AD4A8-190E-4283-8BAB-671EBD1AE454}"/>
    <hyperlink ref="F143" r:id="rId1988" xr:uid="{6F336738-9A80-4D1F-A9A7-406DC868518A}"/>
    <hyperlink ref="F144" r:id="rId1989" xr:uid="{C46F5926-0D41-477F-A63D-481598232E4F}"/>
    <hyperlink ref="C180" r:id="rId1990" display="https://enzyme.expasy.org/EC/2.1.1.45" xr:uid="{FE648D06-9805-44FD-8326-DB796BFC7D83}"/>
    <hyperlink ref="E180" r:id="rId1991" xr:uid="{22B10F8A-5AFB-41FA-8F68-DDF4C3300978}"/>
    <hyperlink ref="F180" r:id="rId1992" xr:uid="{36D937C5-5BC2-4A9F-BD8F-5D1FC8BF42DD}"/>
    <hyperlink ref="C82" r:id="rId1993" display="https://enzyme.expasy.org/EC/1.11.1.-" xr:uid="{D3E0DA36-2418-4854-AC72-4474E762172F}"/>
    <hyperlink ref="C715" r:id="rId1994" display="https://enzyme.expasy.org/EC/3.4.-.-" xr:uid="{D690B003-01C8-4196-B72E-7BCB32189034}"/>
    <hyperlink ref="C324" r:id="rId1995" display="https://enzyme.expasy.org/EC/2.6.1.52" xr:uid="{FA1A2DF1-6042-419F-926C-CD4FB1AE2AB4}"/>
    <hyperlink ref="E324" r:id="rId1996" xr:uid="{785CFF96-2D88-44B9-B9D9-EBC16A4778AE}"/>
    <hyperlink ref="C325" r:id="rId1997" display="https://enzyme.expasy.org/EC/2.6.1.52" xr:uid="{E9D7DEE0-FB40-4757-BFEC-DD4948A797F0}"/>
    <hyperlink ref="E325" r:id="rId1998" xr:uid="{6D480FA4-33D4-4226-8F93-4404A6990EE3}"/>
    <hyperlink ref="F324" r:id="rId1999" xr:uid="{E2EC5322-4C6E-46E8-934B-3243C3253D5A}"/>
    <hyperlink ref="F325" r:id="rId2000" xr:uid="{961BE1DC-66C9-4BB2-BA15-27074FA1984C}"/>
    <hyperlink ref="C387" r:id="rId2001" display="https://enzyme.expasy.org/EC/2.7.13.3" xr:uid="{2450FB69-8BDD-4208-B22E-F0A3CD9A2CC9}"/>
    <hyperlink ref="E387" r:id="rId2002" xr:uid="{ED8CB95B-5F45-4CAB-9112-BA70A06589EF}"/>
    <hyperlink ref="C913" r:id="rId2003" display="https://enzyme.expasy.org/EC/5.4.2.11" xr:uid="{44DFCE95-32F4-4181-8A64-AA34AB87EB45}"/>
    <hyperlink ref="E913" r:id="rId2004" xr:uid="{9B3E643C-FFBF-4CA8-8749-0D9A123F9536}"/>
    <hyperlink ref="C310" r:id="rId2005" display="https://enzyme.expasy.org/EC/2.5.1.74" xr:uid="{B7AA4AD4-A3D5-45F0-A311-8EB20EAAC3EC}"/>
    <hyperlink ref="E310" r:id="rId2006" xr:uid="{71F584C5-3B6D-4280-97EC-C54DFF132C9C}"/>
    <hyperlink ref="F310" r:id="rId2007" xr:uid="{BAF9A5BC-54A5-4503-8475-6C7AD166C2EE}"/>
    <hyperlink ref="C955" r:id="rId2008" display="https://enzyme.expasy.org/EC/6.1.1.6" xr:uid="{DDBCBD14-C821-46F8-85A0-50F1B50153D0}"/>
    <hyperlink ref="E955" r:id="rId2009" xr:uid="{04EC5D2F-8A44-41D3-844F-2B5D8FEFC3AD}"/>
    <hyperlink ref="F955" r:id="rId2010" xr:uid="{9C25BED0-4A48-4DA8-86C9-0B427836C776}"/>
    <hyperlink ref="C544" r:id="rId2011" display="https://enzyme.expasy.org/EC/3.-.-.-" xr:uid="{E4D03592-76B3-4AD4-8BAA-A8165D760154}"/>
    <hyperlink ref="C388" r:id="rId2012" display="https://enzyme.expasy.org/EC/2.7.13.3" xr:uid="{01B81D03-E7AF-4B5A-AFB4-8BDAB1B54E8A}"/>
    <hyperlink ref="E388" r:id="rId2013" xr:uid="{75805F97-1020-46C0-8111-C4349271387A}"/>
    <hyperlink ref="C893" r:id="rId2014" display="https://enzyme.expasy.org/EC/5.1.3.2" xr:uid="{83DFC522-4EDA-45A0-B990-91689365D0AE}"/>
    <hyperlink ref="E893" r:id="rId2015" xr:uid="{B2014F42-9BB3-40BE-9F47-771B143A1A97}"/>
    <hyperlink ref="C894" r:id="rId2016" display="https://enzyme.expasy.org/EC/5.1.3.2" xr:uid="{4A79C80D-04AC-4E2D-B007-BD54AD84344E}"/>
    <hyperlink ref="C895" r:id="rId2017" display="https://enzyme.expasy.org/EC/5.1.3.2" xr:uid="{E0C16445-FD0E-490E-B9D0-1F81FC7E57B0}"/>
    <hyperlink ref="E894" r:id="rId2018" xr:uid="{A0C31C74-5A9B-400D-AD1B-F4FDCBAECEA1}"/>
    <hyperlink ref="E895" r:id="rId2019" xr:uid="{42DA5526-F963-46BF-A221-5E42DCDB03A5}"/>
    <hyperlink ref="F893" r:id="rId2020" xr:uid="{24AC2219-C3BC-4A95-877F-A6622045EA72}"/>
    <hyperlink ref="F894" r:id="rId2021" xr:uid="{300EB359-8A92-452D-89F3-58069944527F}"/>
    <hyperlink ref="F895" r:id="rId2022" xr:uid="{5AFDD83E-8AEE-4D2B-8C45-D0007CA5E094}"/>
    <hyperlink ref="C343" r:id="rId2023" display="https://enzyme.expasy.org/EC/2.7.1.162" xr:uid="{6DD881B5-AAF6-420F-8C6E-76D265D9A074}"/>
    <hyperlink ref="E343" r:id="rId2024" xr:uid="{E1796F1C-B88C-4840-9EAB-5C71A20A1BFE}"/>
    <hyperlink ref="F343" r:id="rId2025" xr:uid="{3EF00D8D-25C2-45EE-9BBC-30935E222356}"/>
    <hyperlink ref="C344" r:id="rId2026" display="https://enzyme.expasy.org/EC/2.7.1.162" xr:uid="{BF35A0F8-381C-4856-81A4-ED75FF81125B}"/>
    <hyperlink ref="C345" r:id="rId2027" display="https://enzyme.expasy.org/EC/2.7.1.162" xr:uid="{714070D5-F4C6-4635-AD76-9E5D78839A91}"/>
    <hyperlink ref="E344" r:id="rId2028" xr:uid="{5264310E-B81C-4625-9D27-8A39A4B2FED7}"/>
    <hyperlink ref="E345" r:id="rId2029" xr:uid="{63AF3EEA-8C0B-4216-8D22-FCAD683328FC}"/>
    <hyperlink ref="F344" r:id="rId2030" xr:uid="{B5F395EA-3EA4-4EF2-BE68-49DB0DF0DE17}"/>
    <hyperlink ref="F345" r:id="rId2031" xr:uid="{9807DD4C-88FF-4A88-8AE3-06120DC6226F}"/>
    <hyperlink ref="C260" r:id="rId2032" display="https://enzyme.expasy.org/EC/2.4.1.211" xr:uid="{A3493349-B11E-4BE1-A1BD-A488241A625D}"/>
    <hyperlink ref="E260" r:id="rId2033" xr:uid="{6AAD82F8-BB48-4294-B7E9-54BD58456124}"/>
    <hyperlink ref="C261" r:id="rId2034" display="https://enzyme.expasy.org/EC/2.4.1.211" xr:uid="{3CB0C58D-B552-4E6C-A00A-53ECEA820096}"/>
    <hyperlink ref="E261" r:id="rId2035" xr:uid="{CB92A9E6-AC38-43FA-BAA9-3B0C41ECF2D2}"/>
    <hyperlink ref="F260" r:id="rId2036" xr:uid="{C555083A-59DC-409E-BBBD-27F7FC25936C}"/>
    <hyperlink ref="F261" r:id="rId2037" xr:uid="{FD826F12-4881-47FD-BED3-235CB34EC223}"/>
    <hyperlink ref="C941" r:id="rId2038" display="https://enzyme.expasy.org/EC/6.1.1.11" xr:uid="{C7D251B7-8763-4205-9807-756DCACA421D}"/>
    <hyperlink ref="E941" r:id="rId2039" xr:uid="{A7B01E8B-C534-48FB-A400-4469AE6D3770}"/>
    <hyperlink ref="C942" r:id="rId2040" display="https://enzyme.expasy.org/EC/6.1.1.11" xr:uid="{5E6FAEA8-6C90-4446-A769-7476174E9D01}"/>
    <hyperlink ref="E942" r:id="rId2041" xr:uid="{92078191-3BA8-4BBF-9A69-77A1AB647D1D}"/>
    <hyperlink ref="F941" r:id="rId2042" xr:uid="{38D22B86-51E5-42DE-B861-97BDE0DF7483}"/>
    <hyperlink ref="F942" r:id="rId2043" xr:uid="{BF64BA6C-F1C2-434B-8C8B-E08376756A93}"/>
    <hyperlink ref="C333" r:id="rId2044" display="https://enzyme.expasy.org/EC/2.7.1.-" xr:uid="{267CC400-7775-4941-991C-963ABBB5C18B}"/>
    <hyperlink ref="C914" r:id="rId2045" display="https://enzyme.expasy.org/EC/5.4.2.2" xr:uid="{0C09D14F-2BC3-4E84-BE65-08CC8B312D7B}"/>
    <hyperlink ref="E914" r:id="rId2046" xr:uid="{A492DB8B-4F49-40E0-9407-ED906FC0F2D2}"/>
    <hyperlink ref="C915" r:id="rId2047" display="https://enzyme.expasy.org/EC/5.4.2.2" xr:uid="{7D43AC90-05FB-44D4-A96D-7DABD295349C}"/>
    <hyperlink ref="C916" r:id="rId2048" display="https://enzyme.expasy.org/EC/5.4.2.2" xr:uid="{DCB66E40-A917-4971-989D-32DEA127E5A5}"/>
    <hyperlink ref="C917" r:id="rId2049" display="https://enzyme.expasy.org/EC/5.4.2.2" xr:uid="{26EE2E46-D3BB-4A24-942A-DF179EFC8C94}"/>
    <hyperlink ref="E915" r:id="rId2050" xr:uid="{8648C3CA-9769-4748-9185-99EEA4E2567A}"/>
    <hyperlink ref="E916" r:id="rId2051" xr:uid="{4EA714B2-7302-4522-9F3F-0AF5B7F621D9}"/>
    <hyperlink ref="E917" r:id="rId2052" xr:uid="{8DAC31A0-F55B-4795-983E-8F308BE9F7CC}"/>
    <hyperlink ref="F914" r:id="rId2053" xr:uid="{C752EEF9-70DB-4F78-A107-E96BFAD135E9}"/>
    <hyperlink ref="F915" r:id="rId2054" xr:uid="{290073EE-E947-414F-B3E4-E853B30134D0}"/>
    <hyperlink ref="F916" r:id="rId2055" xr:uid="{886AEB29-B3BA-49F8-A552-650917A69F89}"/>
    <hyperlink ref="F917" r:id="rId2056" xr:uid="{2AF8A593-74FF-4985-B4A9-A457006E2C9C}"/>
    <hyperlink ref="C576" r:id="rId2057" display="https://enzyme.expasy.org/EC/3.1.26.4" xr:uid="{C1E72646-681A-4F76-B29F-A364BC990F05}"/>
    <hyperlink ref="E576" r:id="rId2058" xr:uid="{923544DF-5985-4A3F-87BC-3ECB7D9D7BFE}"/>
    <hyperlink ref="C905" r:id="rId2059" display="https://enzyme.expasy.org/EC/5.3.1.6" xr:uid="{0C04CF65-1C3E-4E8E-A8A0-843136C85C32}"/>
    <hyperlink ref="E905" r:id="rId2060" xr:uid="{C7BA479D-62B2-4827-A55A-B7F08503DE98}"/>
    <hyperlink ref="F905" r:id="rId2061" xr:uid="{D2801611-7C0D-4AA4-8998-80E98D939631}"/>
    <hyperlink ref="C906" r:id="rId2062" display="https://enzyme.expasy.org/EC/5.3.1.6" xr:uid="{FA141011-3729-4969-B4ED-2FC6B9880D75}"/>
    <hyperlink ref="E906" r:id="rId2063" xr:uid="{AE5B7C08-2DE0-4ECD-BC9D-02B874FE4040}"/>
    <hyperlink ref="F906" r:id="rId2064" xr:uid="{B5A57AA9-5A9C-4585-8A0B-11AD41798228}"/>
    <hyperlink ref="C799" r:id="rId2065" display="https://enzyme.expasy.org/EC/3.6.4.-" xr:uid="{5373878A-F01A-4034-B499-63AE1FBFC2C9}"/>
    <hyperlink ref="C355" r:id="rId2066" display="https://enzyme.expasy.org/EC/2.7.1.26" xr:uid="{9165A773-2B54-4032-8550-AF8168A0DEA1}"/>
    <hyperlink ref="E355" r:id="rId2067" xr:uid="{0CB76AF7-3CDF-4AC2-AB5B-4FF9E04068E5}"/>
    <hyperlink ref="F355" r:id="rId2068" xr:uid="{2031E0F2-E18E-4F56-8E22-D467822D24B3}"/>
    <hyperlink ref="E421" r:id="rId2069" xr:uid="{40A22FFC-CD1C-4602-A4B5-A8E86D4BCDAE}"/>
    <hyperlink ref="F421" r:id="rId2070" xr:uid="{BC9BEC87-E7B5-454D-846A-2C3FD2071D2A}"/>
    <hyperlink ref="C922" r:id="rId2071" display="https://enzyme.expasy.org/EC/5.4.99.25" xr:uid="{F03F6303-5902-4CE1-831C-D9883E1921EE}"/>
    <hyperlink ref="E922" r:id="rId2072" xr:uid="{5FA1CA33-C0D0-4D65-8504-06F289237974}"/>
    <hyperlink ref="C920" r:id="rId2073" display="https://enzyme.expasy.org/EC/5.4.99.12" xr:uid="{D336F769-1360-4B6C-8CF8-B6B284269BC2}"/>
    <hyperlink ref="E920" r:id="rId2074" xr:uid="{A67B8D84-22C6-4FF7-8F79-770B117CA559}"/>
    <hyperlink ref="F920" r:id="rId2075" xr:uid="{4DAACBA3-3BBB-4EA4-89B4-B1576FCEF346}"/>
    <hyperlink ref="C447" r:id="rId2076" display="https://enzyme.expasy.org/EC/2.7.7.6" xr:uid="{EF760366-D8AA-4044-A93F-F398953DEBEC}"/>
    <hyperlink ref="E447" r:id="rId2077" xr:uid="{CD9AD9EA-B53C-4821-96EE-750E48658BF6}"/>
    <hyperlink ref="C448" r:id="rId2078" display="https://enzyme.expasy.org/EC/2.7.7.6" xr:uid="{3BD2EB0C-1509-4C98-9BDA-6874143E875A}"/>
    <hyperlink ref="C449" r:id="rId2079" display="https://enzyme.expasy.org/EC/2.7.7.6" xr:uid="{34248265-E9D7-4E71-8828-E42F65A1614C}"/>
    <hyperlink ref="C450" r:id="rId2080" display="https://enzyme.expasy.org/EC/2.7.7.6" xr:uid="{6C86D369-7B54-4B41-9A97-E91A89046082}"/>
    <hyperlink ref="C451" r:id="rId2081" display="https://enzyme.expasy.org/EC/2.7.7.6" xr:uid="{E5099FA6-24CF-40E1-9AEB-60D52C9B0F1A}"/>
    <hyperlink ref="C452" r:id="rId2082" display="https://enzyme.expasy.org/EC/2.7.7.6" xr:uid="{5B9DBC0A-CC68-4595-9A8C-28E98A0D65BD}"/>
    <hyperlink ref="E448" r:id="rId2083" xr:uid="{72A3970E-90EC-4A83-9266-CF8C21A3DD9E}"/>
    <hyperlink ref="E449" r:id="rId2084" xr:uid="{B9CF71B9-A4C2-44D3-9440-E6FBC3C8A8C1}"/>
    <hyperlink ref="E450" r:id="rId2085" xr:uid="{95027E87-08EC-4E56-8C33-C852798918C2}"/>
    <hyperlink ref="E451" r:id="rId2086" xr:uid="{795485BD-3384-446F-9820-1E8DF837D5BE}"/>
    <hyperlink ref="E452" r:id="rId2087" xr:uid="{B7F05511-73CA-457A-B24B-29E9430E03A4}"/>
    <hyperlink ref="F447" r:id="rId2088" xr:uid="{D499B0E4-AD62-436D-9BCD-6C18139675DB}"/>
    <hyperlink ref="F448" r:id="rId2089" xr:uid="{36B81D89-6DA0-4FDE-AC59-0C2771029019}"/>
    <hyperlink ref="F449" r:id="rId2090" xr:uid="{E17435D5-D9AE-4D04-AD93-0528EB38BF49}"/>
    <hyperlink ref="F450" r:id="rId2091" xr:uid="{63598283-CD45-47E1-A4F3-DBC9170EC520}"/>
    <hyperlink ref="F451" r:id="rId2092" xr:uid="{B06542C6-30CA-4413-A886-3EC1A4ED5C66}"/>
    <hyperlink ref="F452" r:id="rId2093" xr:uid="{9504379B-9F19-497C-AC3E-6047220E1C7E}"/>
    <hyperlink ref="C400" r:id="rId2094" display="https://enzyme.expasy.org/EC/2.7.4.3" xr:uid="{3BF286A2-646F-4594-A702-E7110B21CB67}"/>
    <hyperlink ref="E400" r:id="rId2095" xr:uid="{0CA7007F-C977-4943-9863-6002CCB1377B}"/>
    <hyperlink ref="C401" r:id="rId2096" display="https://enzyme.expasy.org/EC/2.7.4.3" xr:uid="{DC1E6BF4-7BBE-4A61-9B96-7478E092CEF0}"/>
    <hyperlink ref="C402" r:id="rId2097" display="https://enzyme.expasy.org/EC/2.7.4.3" xr:uid="{3E0341A8-D88C-42EF-8156-6D8FE5BFC703}"/>
    <hyperlink ref="E401" r:id="rId2098" xr:uid="{573F336C-1AFA-4B28-8FF7-B35135239A2B}"/>
    <hyperlink ref="E402" r:id="rId2099" xr:uid="{6836A94A-11AA-4CEB-BAEF-E13649F1B16D}"/>
    <hyperlink ref="F400" r:id="rId2100" xr:uid="{2D28310F-2FE1-4720-AACA-48233FD5473B}"/>
    <hyperlink ref="F401" r:id="rId2101" xr:uid="{F07CB8C9-83AB-4112-8AEF-9B0F54954F05}"/>
    <hyperlink ref="F402" r:id="rId2102" xr:uid="{1FCED0F5-3411-4BEB-81C4-519AAE6D7B56}"/>
    <hyperlink ref="C813" r:id="rId2103" display="https://enzyme.expasy.org/EC/4.1.1.5" xr:uid="{188D3DCB-8E6B-41CB-89B8-7A3B819D4160}"/>
    <hyperlink ref="E813" r:id="rId2104" xr:uid="{C6734106-8AF7-48E2-9449-87CB10B59039}"/>
    <hyperlink ref="F813" r:id="rId2105" xr:uid="{3F74F18C-9390-4812-AC1C-80F08485DAA4}"/>
    <hyperlink ref="C18" r:id="rId2106" display="https://enzyme.expasy.org/EC/1.1.1.1" xr:uid="{1D8616E9-7AC8-43FC-A1B6-ADE6BF78124C}"/>
    <hyperlink ref="E18" r:id="rId2107" xr:uid="{2B2E6C99-574E-4E78-B2E0-E0547D7D7B98}"/>
    <hyperlink ref="F18" r:id="rId2108" xr:uid="{1F9A1F68-0C4F-40D3-B155-A283441EF6C9}"/>
    <hyperlink ref="C19" r:id="rId2109" display="https://enzyme.expasy.org/EC/1.1.1.1" xr:uid="{05D11790-3645-430A-996F-C0ED36831AED}"/>
    <hyperlink ref="C20" r:id="rId2110" display="https://enzyme.expasy.org/EC/1.1.1.1" xr:uid="{9BC675A5-406C-40A5-88CA-2E0561509E99}"/>
    <hyperlink ref="C21" r:id="rId2111" display="https://enzyme.expasy.org/EC/1.1.1.1" xr:uid="{193F7131-8FC7-477C-AEDF-7DC23A943B95}"/>
    <hyperlink ref="C22" r:id="rId2112" display="https://enzyme.expasy.org/EC/1.1.1.1" xr:uid="{6227D844-7860-4569-9A74-3B67B28CD258}"/>
    <hyperlink ref="C23" r:id="rId2113" display="https://enzyme.expasy.org/EC/1.1.1.1" xr:uid="{7D96FD13-E42A-45FA-9C5A-B2B3B52D98DA}"/>
    <hyperlink ref="C24" r:id="rId2114" display="https://enzyme.expasy.org/EC/1.1.1.1" xr:uid="{2991C664-4CA5-430C-B04D-A280DEF0B18D}"/>
    <hyperlink ref="C25" r:id="rId2115" display="https://enzyme.expasy.org/EC/1.1.1.1" xr:uid="{58683FA7-7023-45DD-9984-DDF3F69DCCE4}"/>
    <hyperlink ref="C26" r:id="rId2116" display="https://enzyme.expasy.org/EC/1.1.1.1" xr:uid="{218D59F8-456F-46C1-A5E4-5766D78EE255}"/>
    <hyperlink ref="C27" r:id="rId2117" display="https://enzyme.expasy.org/EC/1.1.1.1" xr:uid="{D620604F-C694-4CE9-B242-B6F3C6685750}"/>
    <hyperlink ref="C28" r:id="rId2118" display="https://enzyme.expasy.org/EC/1.1.1.1" xr:uid="{B7982916-4C6E-4907-A27F-D94ABC9D34C0}"/>
    <hyperlink ref="C29" r:id="rId2119" display="https://enzyme.expasy.org/EC/1.1.1.1" xr:uid="{0C4A3C4D-1A20-4E13-9C4C-785DF00F1469}"/>
    <hyperlink ref="C30" r:id="rId2120" display="https://enzyme.expasy.org/EC/1.1.1.1" xr:uid="{5C68F905-F9CB-42ED-9B74-5085A8014AAD}"/>
    <hyperlink ref="C31" r:id="rId2121" display="https://enzyme.expasy.org/EC/1.1.1.1" xr:uid="{82721A0A-F2C9-43EA-AC49-1627EFD00E3A}"/>
    <hyperlink ref="C32" r:id="rId2122" display="https://enzyme.expasy.org/EC/1.1.1.1" xr:uid="{DE7636C8-E53B-452E-B360-232C20BAE7B1}"/>
    <hyperlink ref="C33" r:id="rId2123" display="https://enzyme.expasy.org/EC/1.1.1.1" xr:uid="{0570AAE2-F372-4C61-80FE-7FBB8F42240F}"/>
    <hyperlink ref="C34" r:id="rId2124" display="https://enzyme.expasy.org/EC/1.1.1.1" xr:uid="{1CBF11AD-D76E-4540-AD7C-47B834095EF0}"/>
    <hyperlink ref="C35" r:id="rId2125" display="https://enzyme.expasy.org/EC/1.1.1.1" xr:uid="{73CCA1DE-2B78-40CE-872F-2C248010D6B8}"/>
    <hyperlink ref="C36" r:id="rId2126" display="https://enzyme.expasy.org/EC/1.1.1.1" xr:uid="{A8D7F713-1228-413B-987A-372E66878AEA}"/>
    <hyperlink ref="E19" r:id="rId2127" xr:uid="{899F9D54-F83F-4EBE-98F2-C6BAE43DDA6D}"/>
    <hyperlink ref="E20" r:id="rId2128" xr:uid="{E4D2B8D2-098E-4AAD-B1DC-A928833B8FC6}"/>
    <hyperlink ref="E21" r:id="rId2129" xr:uid="{31E31876-6765-461B-A042-B7F067E48F42}"/>
    <hyperlink ref="E22" r:id="rId2130" xr:uid="{6064B46A-8949-4E3B-A393-223DE97784DE}"/>
    <hyperlink ref="E23" r:id="rId2131" xr:uid="{4F298184-AC9E-42FC-8001-BA96A8C568A0}"/>
    <hyperlink ref="E24" r:id="rId2132" xr:uid="{4D009481-C351-4EA7-96B4-42B19783774E}"/>
    <hyperlink ref="E25" r:id="rId2133" xr:uid="{216257B8-BE19-4573-94BE-B48168E7BC08}"/>
    <hyperlink ref="E26" r:id="rId2134" xr:uid="{290AA149-0C87-4B9E-B518-90E86FE66688}"/>
    <hyperlink ref="E27" r:id="rId2135" xr:uid="{7619910C-F92D-44FA-BE66-6BB4A7ED3419}"/>
    <hyperlink ref="E28" r:id="rId2136" xr:uid="{05177BA4-3AFD-4668-8440-D6BABF36818A}"/>
    <hyperlink ref="E29" r:id="rId2137" xr:uid="{95A6FF2D-A77F-47BB-AF14-9BE0934C94FE}"/>
    <hyperlink ref="E30" r:id="rId2138" xr:uid="{0AE4B068-EA92-40B0-8042-E2641560CC4D}"/>
    <hyperlink ref="E31" r:id="rId2139" xr:uid="{1746E087-7498-47A0-9CB5-3BD6F46F35EC}"/>
    <hyperlink ref="E32" r:id="rId2140" xr:uid="{34E17C97-C101-4FE1-B9B6-033A96C7FCA2}"/>
    <hyperlink ref="E33" r:id="rId2141" xr:uid="{D5E7D31A-C820-48DD-96EC-881C4E8D4341}"/>
    <hyperlink ref="E34" r:id="rId2142" xr:uid="{2E589698-A7FD-4EDE-B8BC-A3164E5E10D6}"/>
    <hyperlink ref="E35" r:id="rId2143" xr:uid="{ECF01E66-0597-46E4-8B32-BED8E8FACF30}"/>
    <hyperlink ref="E36" r:id="rId2144" xr:uid="{3E953F83-2D97-44C2-98C5-4D1C08EB8B73}"/>
    <hyperlink ref="F19" r:id="rId2145" xr:uid="{4E65F300-619D-492F-9F61-EAA1752FFE9F}"/>
    <hyperlink ref="F20" r:id="rId2146" xr:uid="{6088C903-DAC7-41D1-ABB7-31BE29BCC6E5}"/>
    <hyperlink ref="F21" r:id="rId2147" xr:uid="{998FACAF-C7B5-48F6-B400-F0832DEDD893}"/>
    <hyperlink ref="F22" r:id="rId2148" xr:uid="{0D2FA3F7-2606-4513-BC22-392F8737BE65}"/>
    <hyperlink ref="F23" r:id="rId2149" xr:uid="{DB0DB9D1-B51D-405A-B102-0BC00CC193B4}"/>
    <hyperlink ref="F24" r:id="rId2150" xr:uid="{72E8137B-5C8C-4A52-BBE3-BED5A25127DA}"/>
    <hyperlink ref="F25" r:id="rId2151" xr:uid="{C9D17E22-4C8D-47CF-911E-F4D998AD73E8}"/>
    <hyperlink ref="F26" r:id="rId2152" xr:uid="{23607CAD-0F5E-43F5-A5F1-09808121D823}"/>
    <hyperlink ref="F27" r:id="rId2153" xr:uid="{E69B4309-BE2D-4A4D-AE6F-1FC8C2A0A318}"/>
    <hyperlink ref="F28" r:id="rId2154" xr:uid="{33A9D1CD-ADED-4D66-9A4C-56981CB18C0C}"/>
    <hyperlink ref="F29" r:id="rId2155" xr:uid="{7094A513-8872-48C8-AD98-5E142068F6C1}"/>
    <hyperlink ref="F30" r:id="rId2156" xr:uid="{10F05518-898A-40C6-8EBF-2C780F74131F}"/>
    <hyperlink ref="F31" r:id="rId2157" xr:uid="{1E3A87E8-330B-4098-BD9B-7B6B2A8EE935}"/>
    <hyperlink ref="F32" r:id="rId2158" xr:uid="{2086ECAE-381D-4A4D-B506-356C1D3A890C}"/>
    <hyperlink ref="F33" r:id="rId2159" xr:uid="{7BB8CB4A-BB0C-47E3-B13D-57B214EE700D}"/>
    <hyperlink ref="F34" r:id="rId2160" xr:uid="{5D5949FA-9B93-4F50-A373-DA522C6B0C14}"/>
    <hyperlink ref="F35" r:id="rId2161" xr:uid="{6F8A0F5F-E292-41DF-A076-F9D966C8A8CC}"/>
    <hyperlink ref="F36" r:id="rId2162" xr:uid="{028AEB81-36BD-4857-B701-BC8FDB1D5FF6}"/>
    <hyperlink ref="C113" r:id="rId2163" display="https://enzyme.expasy.org/EC/1.2.1.10" xr:uid="{E9A14DBB-478C-4048-968F-D0FA07F78E37}"/>
    <hyperlink ref="E113" r:id="rId2164" xr:uid="{8F3E3527-9D39-4757-B38A-63A92EC8B3D2}"/>
    <hyperlink ref="F113" r:id="rId2165" xr:uid="{AEDA7CB2-A63B-419F-BE1B-4BFF221A00BC}"/>
    <hyperlink ref="C114" r:id="rId2166" display="https://enzyme.expasy.org/EC/1.2.1.10" xr:uid="{B59167DA-AB40-45CE-B84B-BB06C4DB2ECA}"/>
    <hyperlink ref="E114" r:id="rId2167" xr:uid="{B08677FA-F8E5-461E-A883-97DA2D41863B}"/>
    <hyperlink ref="F114" r:id="rId2168" xr:uid="{302A8C30-AE67-41EA-AC8E-84D6CF30C0C9}"/>
    <hyperlink ref="C620" r:id="rId2169" display="https://enzyme.expasy.org/EC/3.2.1.196" xr:uid="{9637E84C-BD4B-485D-99E2-DE0C704D373A}"/>
    <hyperlink ref="E620" r:id="rId2170" xr:uid="{1EAAE22E-BC92-4D46-AC62-207300F019A7}"/>
    <hyperlink ref="C269" r:id="rId2171" display="https://enzyme.expasy.org/EC/2.4.1.25" xr:uid="{5AFE83F7-FAD2-4DD5-8FD9-41D29E7716EA}"/>
    <hyperlink ref="E269" r:id="rId2172" xr:uid="{0CD6317A-BBD6-476D-98C5-92403690E91C}"/>
    <hyperlink ref="C270" r:id="rId2173" display="https://enzyme.expasy.org/EC/2.4.1.25" xr:uid="{D8CE1AF3-674A-4578-9626-1D36EF7C17A1}"/>
    <hyperlink ref="E270" r:id="rId2174" xr:uid="{0BC93E3D-F133-4E35-99BA-13E431DEAF92}"/>
    <hyperlink ref="F269" r:id="rId2175" xr:uid="{F4E01DD6-3A87-48BB-B814-9966E3DEC901}"/>
    <hyperlink ref="F270" r:id="rId2176" xr:uid="{A5C0FE7F-0D10-4C54-B02C-42C50BA2D01D}"/>
    <hyperlink ref="C616" r:id="rId2177" display="https://enzyme.expasy.org/EC/3.2.1.-" xr:uid="{64CF93FC-6B0A-4216-813E-0953CBC16D15}"/>
    <hyperlink ref="C490" r:id="rId2178" display="https://enzyme.expasy.org/EC/2.7.7.7" xr:uid="{83647696-1821-42AF-96CB-025F10BF6B8C}"/>
    <hyperlink ref="E490" r:id="rId2179" xr:uid="{CF3BF0A7-22D2-4ACC-BA39-A01BA18FC41C}"/>
    <hyperlink ref="C491" r:id="rId2180" display="https://enzyme.expasy.org/EC/2.7.7.7" xr:uid="{3FD3D038-464F-4BF4-8781-F9B92A5E5FB1}"/>
    <hyperlink ref="C492" r:id="rId2181" display="https://enzyme.expasy.org/EC/2.7.7.7" xr:uid="{3C746E21-5EB0-4610-ABC1-64BF49E305C5}"/>
    <hyperlink ref="C493" r:id="rId2182" display="https://enzyme.expasy.org/EC/2.7.7.7" xr:uid="{DBD429F2-28D0-4830-9263-102BFEA6E1DC}"/>
    <hyperlink ref="C494" r:id="rId2183" display="https://enzyme.expasy.org/EC/2.7.7.7" xr:uid="{72E588EF-2DDC-4A42-A087-9E97FCD21C21}"/>
    <hyperlink ref="C495" r:id="rId2184" display="https://enzyme.expasy.org/EC/2.7.7.7" xr:uid="{2402ECE8-EB18-4609-8837-4CA74090DFC1}"/>
    <hyperlink ref="E491" r:id="rId2185" xr:uid="{D4778F9D-52EA-4384-AD61-3EC62FF5B3FC}"/>
    <hyperlink ref="E492" r:id="rId2186" xr:uid="{7027AE8C-9027-45B1-B6B7-D37207E6842F}"/>
    <hyperlink ref="E493" r:id="rId2187" xr:uid="{EADF9AED-DB91-46AB-A997-282950C70E56}"/>
    <hyperlink ref="E494" r:id="rId2188" xr:uid="{FB98FA25-765C-4287-B324-41ADFBA77563}"/>
    <hyperlink ref="E495" r:id="rId2189" xr:uid="{F92362F1-58C8-4DC4-9649-AB27E8AEF055}"/>
    <hyperlink ref="F490" r:id="rId2190" xr:uid="{BD760E59-FE4F-4716-8CD5-0BE4ABC910A9}"/>
    <hyperlink ref="F491" r:id="rId2191" xr:uid="{67CACC3B-CCFF-4401-81B4-B4A98CEBBC9D}"/>
    <hyperlink ref="F492" r:id="rId2192" xr:uid="{A8519FEC-42B4-483F-BD0A-F4A0EABCC56B}"/>
    <hyperlink ref="F493" r:id="rId2193" xr:uid="{0856CC32-42AB-4E9F-BD95-280D4E44003E}"/>
    <hyperlink ref="F494" r:id="rId2194" xr:uid="{42F3D747-C2E3-491E-BC76-264C7F57135F}"/>
    <hyperlink ref="F495" r:id="rId2195" xr:uid="{659E1502-32B1-47ED-8E20-E76E0DA25BAC}"/>
    <hyperlink ref="C319" r:id="rId2196" display="https://enzyme.expasy.org/EC/2.6.1.17" xr:uid="{1CEC8E25-5DF6-4D79-B378-BFC62CE07445}"/>
    <hyperlink ref="E319" r:id="rId2197" xr:uid="{5B06B837-80CC-4ED8-B0ED-6C1E9A26ED27}"/>
    <hyperlink ref="F319" r:id="rId2198" xr:uid="{4B184502-4C13-4359-8993-D92269EA4681}"/>
    <hyperlink ref="C121" r:id="rId2199" display="https://enzyme.expasy.org/EC/1.3.1.98" xr:uid="{6B444878-88E5-482A-AE13-62F099547A98}"/>
    <hyperlink ref="E121" r:id="rId2200" xr:uid="{CB72AF02-C9E4-4C63-8B62-B8B882294082}"/>
    <hyperlink ref="C122" r:id="rId2201" display="https://enzyme.expasy.org/EC/1.3.1.98" xr:uid="{1C5F1A55-075D-4716-8B6C-C3B9E7194945}"/>
    <hyperlink ref="E122" r:id="rId2202" xr:uid="{2D52C799-40BC-43E3-A9A1-C48D912FC7D0}"/>
    <hyperlink ref="F121" r:id="rId2203" xr:uid="{95C2A0AB-E67F-4F1C-9C94-DD2E5418B47D}"/>
    <hyperlink ref="F122" r:id="rId2204" xr:uid="{688DDBDD-47B3-4C9E-9CDE-9A2C09865E78}"/>
    <hyperlink ref="C210" r:id="rId2205" display="https://enzyme.expasy.org/EC/2.3.-.-" xr:uid="{803FE08B-0A27-4CD0-8DE0-BFA725CB686E}"/>
    <hyperlink ref="C978" r:id="rId2206" display="https://enzyme.expasy.org/EC/6.3.3.2" xr:uid="{58E185C0-40A3-4D79-91CA-05FFA2D6232F}"/>
    <hyperlink ref="E978" r:id="rId2207" xr:uid="{D079AA84-228C-4BC2-9B77-0B3E58D7A9AA}"/>
    <hyperlink ref="F978" r:id="rId2208" xr:uid="{4423F104-7CE3-4F9F-8C3E-7BA429C2B8A2}"/>
    <hyperlink ref="C1029" r:id="rId2209" display="https://enzyme.expasy.org/EC/7.3.2.1" xr:uid="{EA75A7D0-AFA2-4EE1-AB26-611326408A6A}"/>
    <hyperlink ref="E1029" r:id="rId2210" xr:uid="{20289734-FEF0-4CB8-BA86-4D56376C38E3}"/>
    <hyperlink ref="C389" r:id="rId2211" display="https://enzyme.expasy.org/EC/2.7.13.3" xr:uid="{FB9F1E42-EBF0-43AE-80A3-36C90A4DC01A}"/>
    <hyperlink ref="E389" r:id="rId2212" xr:uid="{B93A8703-DB98-4FBC-960B-59424FB5288E}"/>
    <hyperlink ref="C704" r:id="rId2213" display="https://enzyme.expasy.org/EC/3.2.2.16" xr:uid="{723A5932-EDF1-4289-8E6F-118ACFFFF6B7}"/>
    <hyperlink ref="E704" r:id="rId2214" xr:uid="{E2457CFA-0B63-4052-AFD9-6BB74E123B1E}"/>
    <hyperlink ref="F704" r:id="rId2215" xr:uid="{91551B52-7B80-4886-B6DC-FF3BF87BB4EA}"/>
    <hyperlink ref="E707" r:id="rId2216" xr:uid="{4F37E6B5-07BA-4C3B-8EDE-22B9D08E119E}"/>
    <hyperlink ref="E708" r:id="rId2217" xr:uid="{3217472A-ABA2-4DF0-B0A4-9414AD8A2AC5}"/>
    <hyperlink ref="E709" r:id="rId2218" xr:uid="{8729CA8F-D7E8-432F-8597-8F610AC729F6}"/>
    <hyperlink ref="F707" r:id="rId2219" xr:uid="{51D05C32-F7C0-4B8F-A323-DC3C1B54AC60}"/>
    <hyperlink ref="F708" r:id="rId2220" xr:uid="{09EA2F14-7005-4A22-9892-76650A26645D}"/>
    <hyperlink ref="F709" r:id="rId2221" xr:uid="{8FE08B68-F151-4459-A791-30B5E9A267DE}"/>
    <hyperlink ref="C304" r:id="rId2222" display="https://enzyme.expasy.org/EC/2.5.1.54" xr:uid="{1ED41BEB-B683-48D4-A44D-CDABDB74DA73}"/>
    <hyperlink ref="E304" r:id="rId2223" xr:uid="{4A334354-152D-4D8B-BDFC-2FAC0D15C520}"/>
    <hyperlink ref="F304" r:id="rId2224" xr:uid="{4F864667-1E46-444B-8D8B-D19E5CBE2B5B}"/>
    <hyperlink ref="C305" r:id="rId2225" display="https://enzyme.expasy.org/EC/2.5.1.54" xr:uid="{4C8297CA-D232-40CA-8254-65B7B474CC47}"/>
    <hyperlink ref="E305" r:id="rId2226" xr:uid="{C13D3D8D-727F-467F-810A-9B5A33078D80}"/>
    <hyperlink ref="F305" r:id="rId2227" xr:uid="{58B55E60-B4BF-4D4B-A21B-AB22DFBF2CE2}"/>
    <hyperlink ref="C731" r:id="rId2228" display="https://enzyme.expasy.org/EC/3.4.22.-" xr:uid="{72B047E9-E694-4B9C-BA60-B8DAAE29A2C4}"/>
    <hyperlink ref="C724" r:id="rId2229" display="https://enzyme.expasy.org/EC/3.4.19.3" xr:uid="{561F4B70-71E0-4F9B-843A-CF8372E46662}"/>
    <hyperlink ref="E724" r:id="rId2230" xr:uid="{C7FD7327-7039-41D1-90A5-C2B10190C27D}"/>
    <hyperlink ref="C416" r:id="rId2231" display="https://enzyme.expasy.org/EC/2.7.7.-" xr:uid="{7161AE4B-E7DA-4A9E-A302-AB982D3D4D45}"/>
    <hyperlink ref="C175" r:id="rId2232" display="https://enzyme.expasy.org/EC/2.1.1.228" xr:uid="{75358D53-C264-45B3-9C55-1E75233A7BAF}"/>
    <hyperlink ref="E175" r:id="rId2233" xr:uid="{1ED2E29E-1FC1-48FF-9DF1-1CA1924D3FDB}"/>
    <hyperlink ref="F175" r:id="rId2234" xr:uid="{30007FDD-C602-408D-82CA-C9955D4EBB01}"/>
    <hyperlink ref="C167" r:id="rId2235" display="https://enzyme.expasy.org/EC/2.1.1.171" xr:uid="{19FEA04F-E3EA-4A8E-994E-DF6CDFC862E2}"/>
    <hyperlink ref="E167" r:id="rId2236" xr:uid="{392488FF-FDE4-404B-A630-C8CA87C5C201}"/>
    <hyperlink ref="F167" r:id="rId2237" xr:uid="{DDF77906-8C98-4502-967A-65BC51D4E2A3}"/>
    <hyperlink ref="C802" r:id="rId2238" display="https://enzyme.expasy.org/EC/3.6.4.12" xr:uid="{965EA9BD-371B-4170-8B79-8A044405AC61}"/>
    <hyperlink ref="E802" r:id="rId2239" xr:uid="{72915E9F-EC13-4B6C-8BF0-0101F12503CE}"/>
    <hyperlink ref="F802" r:id="rId2240" xr:uid="{9A3E04C6-D489-4069-BC9E-D030F3AFCCA9}"/>
    <hyperlink ref="C334" r:id="rId2241" display="https://enzyme.expasy.org/EC/2.7.1.-" xr:uid="{B908ACA7-4014-4FFA-B948-14BE9F21E45C}"/>
    <hyperlink ref="C979" r:id="rId2242" display="https://enzyme.expasy.org/EC/6.3.4.-" xr:uid="{3EE949EC-C0E7-4EFC-9A3C-6614968314EB}"/>
    <hyperlink ref="C316" r:id="rId2243" display="https://enzyme.expasy.org/EC/2.6.1.-" xr:uid="{7268D259-769B-4A8F-A3C5-B0A007612043}"/>
    <hyperlink ref="C392" r:id="rId2244" display="https://enzyme.expasy.org/EC/2.7.2.11" xr:uid="{F415266E-5C36-43F4-BCAD-AD13F642BF4A}"/>
    <hyperlink ref="E392" r:id="rId2245" xr:uid="{753491B9-7FDC-412C-893B-9A5285B4279E}"/>
    <hyperlink ref="F392" r:id="rId2246" xr:uid="{567DD586-F8E6-4FEE-B770-16778BE0196C}"/>
    <hyperlink ref="C739" r:id="rId2247" display="https://enzyme.expasy.org/EC/3.5.1.18" xr:uid="{37E597F9-1F37-4528-803B-E9FAB1B55096}"/>
    <hyperlink ref="E739" r:id="rId2248" xr:uid="{2D3190AD-541D-470B-B159-6C6694B38D8A}"/>
    <hyperlink ref="F739" r:id="rId2249" xr:uid="{371AFED2-5F7B-4408-AAD1-989530ECFF2C}"/>
    <hyperlink ref="C807" r:id="rId2250" display="https://enzyme.expasy.org/EC/4.-.-.-" xr:uid="{5E38ACD0-FAED-49E5-8674-3E37A80BAEDB}"/>
    <hyperlink ref="C554" r:id="rId2251" display="https://enzyme.expasy.org/EC/3.1.-.-" xr:uid="{A6E1AE6C-615A-411A-93EA-9817CA65A588}"/>
    <hyperlink ref="C1050" r:id="rId2252" display="https://enzyme.expasy.org/EC/7.6.2.-" xr:uid="{E4AB5269-B26E-42CD-A3E2-083EF859DA01}"/>
    <hyperlink ref="C363" r:id="rId2253" display="https://enzyme.expasy.org/EC/2.7.1.39" xr:uid="{FDAE8892-3AED-4D4E-B8AB-28B1D4E84E14}"/>
    <hyperlink ref="E363" r:id="rId2254" xr:uid="{4FE36140-9940-4151-8950-F1FA6D269F79}"/>
    <hyperlink ref="F363" r:id="rId2255" xr:uid="{C32566CF-F37A-40E6-BE56-EF31BEB55C7A}"/>
    <hyperlink ref="C49" r:id="rId2256" display="https://enzyme.expasy.org/EC/1.1.1.3" xr:uid="{AB711D2C-0448-42F1-A197-2BF6EC5ACEFE}"/>
    <hyperlink ref="E49" r:id="rId2257" xr:uid="{59A0BC21-A52A-4FA4-A1BE-3D02B8594B23}"/>
    <hyperlink ref="C50" r:id="rId2258" display="https://enzyme.expasy.org/EC/1.1.1.3" xr:uid="{18067D3A-779D-4876-AFB4-E1D9FB0858CE}"/>
    <hyperlink ref="E50" r:id="rId2259" xr:uid="{4E43C475-E0BC-4AE9-BC48-B88F96BC97F4}"/>
    <hyperlink ref="F49" r:id="rId2260" xr:uid="{AAB41A20-CD73-4B74-B25E-5FD8B609C654}"/>
    <hyperlink ref="F50" r:id="rId2261" xr:uid="{4BE420CD-4191-440C-9EC7-8CF94E0E2448}"/>
    <hyperlink ref="C335" r:id="rId2262" display="https://enzyme.expasy.org/EC/2.7.1.-" xr:uid="{1C5655B8-88C4-4272-B547-A63E568E14A4}"/>
    <hyperlink ref="C808" r:id="rId2263" display="https://enzyme.expasy.org/EC/4.1.1.-" xr:uid="{BC71381A-5850-430D-9C3B-1A753D2A9693}"/>
    <hyperlink ref="C948" r:id="rId2264" display="https://enzyme.expasy.org/EC/6.1.1.19" xr:uid="{135F9474-6F17-45D2-BB7B-A2C0436BB71B}"/>
    <hyperlink ref="E948" r:id="rId2265" xr:uid="{0E41E5A0-D91F-471E-8C21-1C1EDAFB6698}"/>
    <hyperlink ref="F948" r:id="rId2266" xr:uid="{9F0A7E89-DC4A-49DB-9EBB-699E7180AB6B}"/>
    <hyperlink ref="C308" r:id="rId2267" display="https://enzyme.expasy.org/EC/2.5.1.7" xr:uid="{BEE3575C-3F08-4D1E-82B5-FD2359A23BBB}"/>
    <hyperlink ref="E308" r:id="rId2268" xr:uid="{4C709EF3-6C18-4990-B731-B312815A0D13}"/>
    <hyperlink ref="F308" r:id="rId2269" xr:uid="{92AA5D22-8521-4023-9BCE-A90465E4139B}"/>
    <hyperlink ref="C11" r:id="rId2270" display="https://enzyme.expasy.org/EC/1.-.-.-" xr:uid="{0E9E8C54-4E04-48EF-8E62-4B962189493D}"/>
    <hyperlink ref="E833" r:id="rId2271" xr:uid="{5FD202E9-92E7-494B-8361-EEC28BA09D35}"/>
    <hyperlink ref="C834" r:id="rId2272" display="https://enzyme.expasy.org/EC/4.2.1.33" xr:uid="{0534C6B4-82EF-4866-A9DB-CC5BEB6CB09F}"/>
    <hyperlink ref="C835" r:id="rId2273" display="https://enzyme.expasy.org/EC/4.2.1.33" xr:uid="{4B450E0A-3997-4470-A0A5-7B86D5A88EAE}"/>
    <hyperlink ref="E834" r:id="rId2274" xr:uid="{89084E46-F854-429D-84A9-56748953DB63}"/>
    <hyperlink ref="E835" r:id="rId2275" xr:uid="{4DA80152-F7C5-4B18-8254-3A3C48128940}"/>
    <hyperlink ref="F833" r:id="rId2276" xr:uid="{BA5E8A24-F7C8-40A5-88DD-77EAB56574F7}"/>
    <hyperlink ref="F834" r:id="rId2277" xr:uid="{DD9B8BFF-7B53-4D28-A70F-DD847EAA8E18}"/>
    <hyperlink ref="F835" r:id="rId2278" xr:uid="{7789C7A4-2996-4C9B-B60A-4B46CB9A8E49}"/>
    <hyperlink ref="C833" r:id="rId2279" display="https://enzyme.expasy.org/EC/4.2.1.33" xr:uid="{5B4C4CDE-98A7-4FEA-A49C-000163EC49E8}"/>
    <hyperlink ref="E836" r:id="rId2280" xr:uid="{39A9D4B2-2228-4AEC-A8D2-817C391625C7}"/>
    <hyperlink ref="C837" r:id="rId2281" display="https://enzyme.expasy.org/EC/4.2.1.33" xr:uid="{41F3097F-D94A-4464-9F3E-E2294B520D32}"/>
    <hyperlink ref="C838" r:id="rId2282" display="https://enzyme.expasy.org/EC/4.2.1.33" xr:uid="{282546B6-94CA-408F-ACCE-7897C5926555}"/>
    <hyperlink ref="E837" r:id="rId2283" xr:uid="{071946F5-550E-4D13-B481-3AAB713A842D}"/>
    <hyperlink ref="E838" r:id="rId2284" xr:uid="{C5EBFCD1-2F44-4430-9A2F-41E50783739A}"/>
    <hyperlink ref="C836" r:id="rId2285" display="https://enzyme.expasy.org/EC/4.2.1.33" xr:uid="{98137462-66F9-42E1-B2E6-C05D36BC4BF4}"/>
    <hyperlink ref="F836" r:id="rId2286" xr:uid="{F8C93BFC-B24D-4412-B6F0-7576FACAD25F}"/>
    <hyperlink ref="F837" r:id="rId2287" xr:uid="{7839B5EF-EE50-4D6B-9763-63C04F17E6BA}"/>
    <hyperlink ref="F838" r:id="rId2288" xr:uid="{544F42BF-9375-4E58-9D4C-8EA5DBAA9BD5}"/>
    <hyperlink ref="C398" r:id="rId2289" display="https://enzyme.expasy.org/EC/2.7.4.1" xr:uid="{57BCBB08-7A69-4BB4-BCA1-AE66AD819E74}"/>
    <hyperlink ref="E398" r:id="rId2290" xr:uid="{D7ED411F-4612-4F6A-83F3-C5326DD2A546}"/>
    <hyperlink ref="F398" r:id="rId2291" xr:uid="{C0717DC0-44CF-47F0-AA5C-29455CF6784D}"/>
    <hyperlink ref="C782" r:id="rId2292" display="https://enzyme.expasy.org/EC/3.6.1.-" xr:uid="{2BF7B4E3-D358-4F5A-AE23-33138AD1C419}"/>
    <hyperlink ref="C286" r:id="rId2293" display="https://enzyme.expasy.org/EC/2.4.2.9" xr:uid="{A8793ADA-C059-4A72-B9D7-45E31C4D6E6A}"/>
    <hyperlink ref="E286" r:id="rId2294" xr:uid="{42DF1EAC-C1B4-4B5D-98C9-F0232E2EEFE1}"/>
    <hyperlink ref="F286" r:id="rId2295" xr:uid="{26D37397-4829-468C-8465-2E556EB94136}"/>
    <hyperlink ref="C168" r:id="rId2296" display="https://enzyme.expasy.org/EC/2.1.1.177" xr:uid="{BF605888-25E0-4F66-A45B-2596EFA80D0C}"/>
    <hyperlink ref="E168" r:id="rId2297" xr:uid="{FC30AF89-0ADB-4249-B4A1-201689BA660A}"/>
    <hyperlink ref="C937" r:id="rId2298" display="https://enzyme.expasy.org/EC/6.1.1.-" xr:uid="{FCE0E03C-E74A-4856-841B-1578234915AF}"/>
    <hyperlink ref="C804" r:id="rId2299" display="https://enzyme.expasy.org/EC/3.7.-.-" xr:uid="{C6922754-33E7-4BE8-BE17-58F5DF811926}"/>
    <hyperlink ref="C924" r:id="rId2300" display="https://enzyme.expasy.org/EC/5.4.99.9" xr:uid="{19C686D0-E241-457C-8F0C-AD90A1F5B7FE}"/>
    <hyperlink ref="E924" r:id="rId2301" xr:uid="{01B24321-13E6-4FA6-B3C6-F6C116E4E24E}"/>
    <hyperlink ref="C925" r:id="rId2302" display="https://enzyme.expasy.org/EC/5.4.99.9" xr:uid="{1BE356B2-B475-432F-88B5-8755F0900A84}"/>
    <hyperlink ref="E925" r:id="rId2303" xr:uid="{BFEBAD23-C0D6-47BE-AE22-9A0534563393}"/>
    <hyperlink ref="F924" r:id="rId2304" xr:uid="{B234B1EA-D789-421A-9E9B-DFF7D96C85CD}"/>
    <hyperlink ref="F925" r:id="rId2305" xr:uid="{539EB287-9E9E-49F5-B67F-D92FE62B59A3}"/>
    <hyperlink ref="C1039" r:id="rId2306" display="https://enzyme.expasy.org/EC/7.5.2.-" xr:uid="{09EAFFDE-1A7B-435F-A47E-5028F3BBB386}"/>
    <hyperlink ref="C346" r:id="rId2307" display="https://enzyme.expasy.org/EC/2.7.1.17" xr:uid="{75F23A3E-CE09-47DA-87D1-46E4D9F9EECF}"/>
    <hyperlink ref="E346" r:id="rId2308" xr:uid="{6FF5731D-2F29-4E9F-BFD3-0AED7405EB32}"/>
    <hyperlink ref="F346" r:id="rId2309" xr:uid="{3B35A097-5C62-4594-9822-EF2ED26E34F9}"/>
    <hyperlink ref="C248" r:id="rId2310" display="https://enzyme.expasy.org/EC/2.4.-.-" xr:uid="{6CD26CB1-166E-4FF4-BE07-D13121759541}"/>
    <hyperlink ref="C511" r:id="rId2311" display="https://enzyme.expasy.org/EC/2.7.8.-" xr:uid="{32308054-4084-4DA7-BA0A-CE6B1F699E7B}"/>
    <hyperlink ref="C249" r:id="rId2312" display="https://enzyme.expasy.org/EC/2.4.-.-" xr:uid="{B5245F97-25EF-4B6D-B206-8185F17F89AB}"/>
    <hyperlink ref="C423" r:id="rId2313" display="https://enzyme.expasy.org/EC/2.7.7.24" xr:uid="{3B53F02C-DC96-4B92-82E1-7B678ECBC2CC}"/>
    <hyperlink ref="E423" r:id="rId2314" xr:uid="{EE8906DE-580D-434D-8C0D-5A968E6760C1}"/>
    <hyperlink ref="F423" r:id="rId2315" xr:uid="{46F303FD-3A33-4BD4-953F-E376A29700F0}"/>
    <hyperlink ref="C839" r:id="rId2316" display="https://enzyme.expasy.org/EC/4.2.1.46" xr:uid="{6CF90819-E215-4887-BA68-1515D52C11C4}"/>
    <hyperlink ref="E839" r:id="rId2317" xr:uid="{FB45DB72-8D4E-429C-9AC7-77DD8E8C59E2}"/>
    <hyperlink ref="F839" r:id="rId2318" xr:uid="{FB4D45FC-D047-488D-A55C-3A5159DEE516}"/>
    <hyperlink ref="C250" r:id="rId2319" display="https://enzyme.expasy.org/EC/2.4.-.-" xr:uid="{95B9D69F-A85C-4AA3-8562-6C6B448D13A4}"/>
    <hyperlink ref="C273" r:id="rId2320" display="https://enzyme.expasy.org/EC/2.4.2.-" xr:uid="{353C0B01-7AC4-434F-A440-3BA9E9D9BD32}"/>
    <hyperlink ref="C555" r:id="rId2321" display="https://enzyme.expasy.org/EC/3.1.-.-" xr:uid="{09C16C13-A40E-4353-BDE2-2D1253F4009B}"/>
    <hyperlink ref="C1014" r:id="rId2322" display="https://enzyme.expasy.org/EC/7.-.-.-" xr:uid="{69AD177E-1795-4F88-9DF0-97C0530F94AE}"/>
    <hyperlink ref="C1015" r:id="rId2323" display="https://enzyme.expasy.org/EC/7.-.-.-" xr:uid="{514F76A7-DED2-470D-9F03-90B43A7AE6DC}"/>
    <hyperlink ref="C939" r:id="rId2324" display="https://enzyme.expasy.org/EC/6.1.1.10" xr:uid="{D952BE48-C085-4AD5-A92C-5DE0BC498C5A}"/>
    <hyperlink ref="E939" r:id="rId2325" xr:uid="{8A791298-B557-4799-9ABA-B1ABC6215FDC}"/>
    <hyperlink ref="C940" r:id="rId2326" display="https://enzyme.expasy.org/EC/6.1.1.10" xr:uid="{13C8CBB5-9489-453E-9043-7ACA9BAB2102}"/>
    <hyperlink ref="E940" r:id="rId2327" xr:uid="{5BC74AD5-1497-480C-8208-948FF241F4AE}"/>
    <hyperlink ref="F939" r:id="rId2328" xr:uid="{A3011DF5-7EC5-4871-A976-06DD77050A68}"/>
    <hyperlink ref="F940" r:id="rId2329" xr:uid="{73E26D73-D431-437D-8A5E-8DAFC5EE9EB2}"/>
    <hyperlink ref="C172" r:id="rId2330" display="https://enzyme.expasy.org/EC/2.1.1.198" xr:uid="{BF47E8CB-31A1-4488-9AB3-807B24438975}"/>
    <hyperlink ref="E172" r:id="rId2331" xr:uid="{0B658417-3F53-4A7B-9021-1A947EBD3A54}"/>
    <hyperlink ref="C347" r:id="rId2332" display="https://enzyme.expasy.org/EC/2.7.1.180" xr:uid="{B80C318C-B084-4F1D-8BE6-F2E6EBACFF1C}"/>
    <hyperlink ref="E347" r:id="rId2333" xr:uid="{831AE9DF-BBFA-4524-9825-EEE8B8C655F1}"/>
    <hyperlink ref="F347" r:id="rId2334" xr:uid="{F496B6E5-21DB-41A0-AD96-9B3DC25CEDA0}"/>
    <hyperlink ref="C1016" r:id="rId2335" display="https://enzyme.expasy.org/EC/7.-.-.-" xr:uid="{B87B1AF4-9821-4BD3-A4CF-6AA946D68942}"/>
    <hyperlink ref="C1017" r:id="rId2336" display="https://enzyme.expasy.org/EC/7.-.-.-" xr:uid="{6223060D-4D49-45EF-AC00-6E476AD3CF6C}"/>
    <hyperlink ref="C1051" r:id="rId2337" display="https://enzyme.expasy.org/EC/7.6.2.-" xr:uid="{51D21812-656F-45BF-82B9-C7953421FB83}"/>
    <hyperlink ref="C226" r:id="rId2338" display="https://enzyme.expasy.org/EC/2.3.1.286" xr:uid="{0EC722D4-009C-49BB-BDF5-BD3AC8C92620}"/>
    <hyperlink ref="E226" r:id="rId2339" xr:uid="{D9A575B4-7BE6-4AC1-967F-B0BDE9C9DD49}"/>
    <hyperlink ref="C227" r:id="rId2340" display="https://enzyme.expasy.org/EC/2.3.1.286" xr:uid="{C37F3416-F34A-45EA-9B79-A1DB46BED025}"/>
    <hyperlink ref="E227" r:id="rId2341" xr:uid="{4F77A6D2-1549-4ED2-B930-C7F833E2B0A0}"/>
    <hyperlink ref="F226" r:id="rId2342" xr:uid="{7BB46E8B-871F-4DB9-8052-EEC4823C45A4}"/>
    <hyperlink ref="F227" r:id="rId2343" xr:uid="{09222604-54AB-481F-812E-8A0B72BD6B99}"/>
    <hyperlink ref="C856" r:id="rId2344" display="https://enzyme.expasy.org/EC/4.3.1.19" xr:uid="{8998A88E-9F25-4DBB-A510-D45D45C2BB6F}"/>
    <hyperlink ref="E856" r:id="rId2345" xr:uid="{8C6AA758-2B16-43B7-B77D-7F59AA6D1DBB}"/>
    <hyperlink ref="C857" r:id="rId2346" display="https://enzyme.expasy.org/EC/4.3.1.19" xr:uid="{29EBE149-582A-4A06-BA2D-10666C60C69F}"/>
    <hyperlink ref="C858" r:id="rId2347" display="https://enzyme.expasy.org/EC/4.3.1.19" xr:uid="{767AE414-07E3-4F83-9780-298209B590DB}"/>
    <hyperlink ref="C859" r:id="rId2348" display="https://enzyme.expasy.org/EC/4.3.1.19" xr:uid="{6B8C3A85-B03D-4429-9C08-E6EEEF414817}"/>
    <hyperlink ref="C860" r:id="rId2349" display="https://enzyme.expasy.org/EC/4.3.1.19" xr:uid="{0763CDFC-00FE-4C96-BF32-257D27CE209A}"/>
    <hyperlink ref="E857" r:id="rId2350" xr:uid="{11A7AC48-6666-4F24-ACFA-4A44BCD4B924}"/>
    <hyperlink ref="E858" r:id="rId2351" xr:uid="{96C50721-186B-479C-B696-126EE12D12EB}"/>
    <hyperlink ref="E859" r:id="rId2352" xr:uid="{C5C655FC-9809-4E3F-A02B-7149B6C2012B}"/>
    <hyperlink ref="E860" r:id="rId2353" xr:uid="{D4EB069D-D567-46FB-9061-F43A6F5A1089}"/>
    <hyperlink ref="F856" r:id="rId2354" xr:uid="{4E513B0A-1FF8-4DAA-BE37-F038EFF75799}"/>
    <hyperlink ref="F857" r:id="rId2355" xr:uid="{9195D764-3239-4C24-B881-43ECE5B7F3F8}"/>
    <hyperlink ref="F858" r:id="rId2356" xr:uid="{F6A494C7-0200-43F1-9F7D-A5FDB693A64E}"/>
    <hyperlink ref="F859" r:id="rId2357" xr:uid="{E4B4C672-9134-430D-9625-5E81A6D4477D}"/>
    <hyperlink ref="F860" r:id="rId2358" xr:uid="{307CB6FB-9BC7-4CE9-B357-C1786D94D044}"/>
    <hyperlink ref="C617" r:id="rId2359" display="https://enzyme.expasy.org/EC/3.2.1.-" xr:uid="{DF83078C-1212-455E-97C7-8ECBA950C5E9}"/>
    <hyperlink ref="C621" r:id="rId2360" display="https://enzyme.expasy.org/EC/3.2.1.22" xr:uid="{6F5B5703-BCAF-4B9E-8A2D-1750AE3F860C}"/>
    <hyperlink ref="E621" r:id="rId2361" xr:uid="{06B023AF-5ACB-4626-B5CF-7A4E95B9753C}"/>
    <hyperlink ref="C622" r:id="rId2362" display="https://enzyme.expasy.org/EC/3.2.1.22" xr:uid="{EFED1BC9-64BD-4657-9F8A-4A79302F01FB}"/>
    <hyperlink ref="C623" r:id="rId2363" display="https://enzyme.expasy.org/EC/3.2.1.22" xr:uid="{A29E8706-5B09-4CDC-A8D8-43B7FB52429B}"/>
    <hyperlink ref="C624" r:id="rId2364" display="https://enzyme.expasy.org/EC/3.2.1.22" xr:uid="{A094E9FC-D60F-47C9-9BDA-64933E295185}"/>
    <hyperlink ref="C625" r:id="rId2365" display="https://enzyme.expasy.org/EC/3.2.1.22" xr:uid="{31868632-1B90-4388-B955-0110CFEEE6F9}"/>
    <hyperlink ref="C626" r:id="rId2366" display="https://enzyme.expasy.org/EC/3.2.1.22" xr:uid="{38C7C2C3-AE62-4C44-9E01-4F0C2711AF48}"/>
    <hyperlink ref="C627" r:id="rId2367" display="https://enzyme.expasy.org/EC/3.2.1.22" xr:uid="{C4AF29D6-7DA5-4705-9BC0-B55BA8D69CCA}"/>
    <hyperlink ref="C628" r:id="rId2368" display="https://enzyme.expasy.org/EC/3.2.1.22" xr:uid="{8DF45782-8ED9-4687-A8D6-30A5A79E19AF}"/>
    <hyperlink ref="C629" r:id="rId2369" display="https://enzyme.expasy.org/EC/3.2.1.22" xr:uid="{DCBDD8C4-194B-4DA4-B3A0-4DFC356E0573}"/>
    <hyperlink ref="C630" r:id="rId2370" display="https://enzyme.expasy.org/EC/3.2.1.22" xr:uid="{925B0D33-DE08-49BC-BD4E-1DE649FEF6C4}"/>
    <hyperlink ref="C631" r:id="rId2371" display="https://enzyme.expasy.org/EC/3.2.1.22" xr:uid="{E780F086-7180-4227-AF5A-AEBE8146790C}"/>
    <hyperlink ref="C632" r:id="rId2372" display="https://enzyme.expasy.org/EC/3.2.1.22" xr:uid="{122B54AE-F7E1-48A2-A0E8-4C5249CAA039}"/>
    <hyperlink ref="C633" r:id="rId2373" display="https://enzyme.expasy.org/EC/3.2.1.22" xr:uid="{423A1A37-12C0-4898-962E-CCC3AF11BF15}"/>
    <hyperlink ref="C634" r:id="rId2374" display="https://enzyme.expasy.org/EC/3.2.1.22" xr:uid="{B5261DAA-746E-41AA-AB56-52939F5E0F4C}"/>
    <hyperlink ref="C635" r:id="rId2375" display="https://enzyme.expasy.org/EC/3.2.1.22" xr:uid="{48F37759-82A8-461C-B377-71DEE095B777}"/>
    <hyperlink ref="C636" r:id="rId2376" display="https://enzyme.expasy.org/EC/3.2.1.22" xr:uid="{1D55D964-D7B6-45D3-9602-A38782FBFD51}"/>
    <hyperlink ref="C637" r:id="rId2377" display="https://enzyme.expasy.org/EC/3.2.1.22" xr:uid="{5B6A17F8-AF7E-40EC-9AEE-212C8380F60B}"/>
    <hyperlink ref="C638" r:id="rId2378" display="https://enzyme.expasy.org/EC/3.2.1.22" xr:uid="{177107C1-23D4-4657-BF19-C91CEAE9EC30}"/>
    <hyperlink ref="C639" r:id="rId2379" display="https://enzyme.expasy.org/EC/3.2.1.22" xr:uid="{CA5ECCB3-8286-49E6-ACCC-D9FADB0373CB}"/>
    <hyperlink ref="E622" r:id="rId2380" xr:uid="{78C30122-5D3E-4032-B730-803F20A5CCD5}"/>
    <hyperlink ref="E623" r:id="rId2381" xr:uid="{4847CDC1-2518-4C81-867B-2DFF31C1A70D}"/>
    <hyperlink ref="E624" r:id="rId2382" xr:uid="{9942FDC7-6DD2-4E04-99AA-DBA5BF1B3B7B}"/>
    <hyperlink ref="E625" r:id="rId2383" xr:uid="{DF0E2AA7-CD4D-48A8-B660-8120061E0DFE}"/>
    <hyperlink ref="E626" r:id="rId2384" xr:uid="{8AE4C959-BCF0-4C8F-8D75-FB2B986E6013}"/>
    <hyperlink ref="E627" r:id="rId2385" xr:uid="{D517979C-4B10-44F0-947B-97CE41AE8860}"/>
    <hyperlink ref="E628" r:id="rId2386" xr:uid="{A1F0DAE3-97D4-4B33-8997-949E4B4931EF}"/>
    <hyperlink ref="E629" r:id="rId2387" xr:uid="{73CD3A2E-3B62-42E3-9052-FAD3091E955E}"/>
    <hyperlink ref="E630" r:id="rId2388" xr:uid="{D0367C9F-D056-4091-B051-49EC7BA97EF9}"/>
    <hyperlink ref="E631" r:id="rId2389" xr:uid="{1805BA20-DC1C-4508-9D78-A3DF7E3A5549}"/>
    <hyperlink ref="E632" r:id="rId2390" xr:uid="{C158B2CD-2A34-4912-9F04-866B055333C1}"/>
    <hyperlink ref="E633" r:id="rId2391" xr:uid="{25CA411D-DDB1-4365-9431-361D169790BB}"/>
    <hyperlink ref="E634" r:id="rId2392" xr:uid="{24A3733A-DC07-4293-BFB8-84ACD81CA1B0}"/>
    <hyperlink ref="E635" r:id="rId2393" xr:uid="{0C4FD1F7-FBD0-4F1B-B4CB-3179F1DD65E9}"/>
    <hyperlink ref="E636" r:id="rId2394" xr:uid="{AC258EEB-A04E-43D1-9671-1491C91E258A}"/>
    <hyperlink ref="E637" r:id="rId2395" xr:uid="{C642AE94-61AC-4216-9784-F502FBB8F598}"/>
    <hyperlink ref="E638" r:id="rId2396" xr:uid="{166A11F5-8465-45EB-8D97-AE6B9D2AFF3E}"/>
    <hyperlink ref="E639" r:id="rId2397" xr:uid="{B4CAB304-6581-4864-ADDA-63C1A10DDC83}"/>
    <hyperlink ref="F621" r:id="rId2398" xr:uid="{F488F8A3-9D79-466A-B80C-A1A0B3C16189}"/>
    <hyperlink ref="F622" r:id="rId2399" xr:uid="{4C1E86FF-A873-41A2-B1ED-F9F4DBCAFF85}"/>
    <hyperlink ref="F623" r:id="rId2400" xr:uid="{84789753-688D-4A4D-BCAF-6C291668E356}"/>
    <hyperlink ref="F624" r:id="rId2401" xr:uid="{7D7DCCED-4BA5-48B4-859D-FED2AC30B05F}"/>
    <hyperlink ref="F625" r:id="rId2402" xr:uid="{B726AA0C-3894-4CD7-92FC-972ACF144EC6}"/>
    <hyperlink ref="F626" r:id="rId2403" xr:uid="{BF0FF7C8-40DC-48DD-BC3F-38D30FD591AD}"/>
    <hyperlink ref="F627" r:id="rId2404" xr:uid="{7676F630-8FD5-48F6-A297-CB7FFECA28EF}"/>
    <hyperlink ref="F628" r:id="rId2405" xr:uid="{AC74230C-7975-4B4E-A2CF-B588165AF4F9}"/>
    <hyperlink ref="F629" r:id="rId2406" xr:uid="{68CCBF29-7507-4093-AE83-9230E084F26F}"/>
    <hyperlink ref="F630" r:id="rId2407" xr:uid="{A70E4C1D-7FB3-434F-914E-C43DEA70BDD9}"/>
    <hyperlink ref="F631" r:id="rId2408" xr:uid="{AA168833-0400-4A26-A45B-D07474D073B8}"/>
    <hyperlink ref="F632" r:id="rId2409" xr:uid="{81347847-6717-4565-AF92-84735D173194}"/>
    <hyperlink ref="F633" r:id="rId2410" xr:uid="{C9D19C6F-7E29-40DF-85BB-9EFEEE7897A9}"/>
    <hyperlink ref="F634" r:id="rId2411" xr:uid="{56306641-A5E3-4E2A-B7ED-72B7F657B70F}"/>
    <hyperlink ref="F635" r:id="rId2412" xr:uid="{001EECBD-3BDD-4EB7-94CF-2008BB8DEE35}"/>
    <hyperlink ref="F636" r:id="rId2413" xr:uid="{5916CA3A-6C94-4236-B741-67CF012093C3}"/>
    <hyperlink ref="F637" r:id="rId2414" xr:uid="{0F8AE1CD-E736-4181-B175-8241131EEE7D}"/>
    <hyperlink ref="F638" r:id="rId2415" xr:uid="{022AFED9-C98C-45F0-9527-1EAFC4DC1655}"/>
    <hyperlink ref="F639" r:id="rId2416" xr:uid="{6CBDEEC6-26E4-466C-8C65-05D531405FD5}"/>
    <hyperlink ref="C768" r:id="rId2417" display="https://enzyme.expasy.org/EC/3.5.4.33" xr:uid="{72FC5C65-7D86-4707-888D-924EF6C646A6}"/>
    <hyperlink ref="E768" r:id="rId2418" xr:uid="{19093A2C-558F-4641-9AD2-889D538C6E11}"/>
    <hyperlink ref="F768" r:id="rId2419" xr:uid="{0A0783F1-9058-4B15-8862-23E21B8E79A9}"/>
    <hyperlink ref="C545" r:id="rId2420" display="https://enzyme.expasy.org/EC/3.-.-.-" xr:uid="{F2CF98FD-4E43-4115-8ED1-983A715F175F}"/>
    <hyperlink ref="C761" r:id="rId2421" display="https://enzyme.expasy.org/EC/3.5.4.13" xr:uid="{A0C81CBD-05FA-4B7E-8A8F-BD02BE6B789A}"/>
    <hyperlink ref="E761" r:id="rId2422" xr:uid="{279B2E8A-A99B-4E4A-BA4F-9883D7D958A2}"/>
    <hyperlink ref="F761" r:id="rId2423" xr:uid="{71522725-4452-4E34-A3E8-367D900528F4}"/>
    <hyperlink ref="C348" r:id="rId2424" display="https://enzyme.expasy.org/EC/2.7.1.193" xr:uid="{318CB1F6-EAC9-4B2E-9964-29DE40CA8C46}"/>
    <hyperlink ref="E348" r:id="rId2425" xr:uid="{01CAC5F9-099B-485E-B1D8-5BBCDAD3044C}"/>
    <hyperlink ref="F348" r:id="rId2426" xr:uid="{C1085907-95B8-4602-8873-6E804740D64B}"/>
    <hyperlink ref="C891" r:id="rId2427" display="https://enzyme.expasy.org/EC/5.1.3.-" xr:uid="{9C5D719A-2541-4724-85D2-BD508E650586}"/>
    <hyperlink ref="C418" r:id="rId2428" display="https://enzyme.expasy.org/EC/2.7.7.12" xr:uid="{C5D60095-97A1-4967-B407-9A9092DA5CC2}"/>
    <hyperlink ref="E418" r:id="rId2429" xr:uid="{0FDE6FF5-752C-425F-AC07-08A02A775C23}"/>
    <hyperlink ref="F418" r:id="rId2430" xr:uid="{1BCED160-7360-48A7-B470-6D9ABD5A82DD}"/>
    <hyperlink ref="C1040" r:id="rId2431" display="https://enzyme.expasy.org/EC/7.5.2.-" xr:uid="{423025D0-65B5-4410-973B-86DAC93A6CBA}"/>
    <hyperlink ref="C336" r:id="rId2432" display="https://enzyme.expasy.org/EC/2.7.1.-" xr:uid="{9AF637DA-7D5B-4B00-B81D-8FC857DF3D84}"/>
    <hyperlink ref="C337" r:id="rId2433" display="https://enzyme.expasy.org/EC/2.7.1.-" xr:uid="{9F5E0D07-0B38-4FC9-B618-9DBDE000C59B}"/>
    <hyperlink ref="C251" r:id="rId2434" display="https://enzyme.expasy.org/EC/2.4.-.-" xr:uid="{B276867B-2D72-4EBE-8070-01DDF373B371}"/>
    <hyperlink ref="C390" r:id="rId2435" display="https://enzyme.expasy.org/EC/2.7.13.3" xr:uid="{63E60E8C-9EEF-4E4C-BF61-643EF33F3237}"/>
    <hyperlink ref="E390" r:id="rId2436" xr:uid="{EA23FBF6-3A86-44E4-8332-3D771C030B9A}"/>
    <hyperlink ref="C88" r:id="rId2437" display="https://enzyme.expasy.org/EC/1.17.4.1" xr:uid="{5ED9EA52-19E6-4BE0-92E4-72FCB30FEDF7}"/>
    <hyperlink ref="E88" r:id="rId2438" xr:uid="{A644F3FD-EDFC-42FF-8048-90DEF86188BA}"/>
    <hyperlink ref="C89" r:id="rId2439" display="https://enzyme.expasy.org/EC/1.17.4.1" xr:uid="{5904594B-C7B4-4495-9D91-FA03E6FAAF26}"/>
    <hyperlink ref="C90" r:id="rId2440" display="https://enzyme.expasy.org/EC/1.17.4.1" xr:uid="{CE49ADC8-642F-44AD-818F-60045D5F7D8B}"/>
    <hyperlink ref="C91" r:id="rId2441" display="https://enzyme.expasy.org/EC/1.17.4.1" xr:uid="{E7919E12-E4B4-4A27-B14E-BDE99A0EAD85}"/>
    <hyperlink ref="C92" r:id="rId2442" display="https://enzyme.expasy.org/EC/1.17.4.1" xr:uid="{156469BC-F775-4C03-BE37-F49A7F711BD4}"/>
    <hyperlink ref="C93" r:id="rId2443" display="https://enzyme.expasy.org/EC/1.17.4.1" xr:uid="{5FCC224F-84C5-4B5B-AE66-1174C131098D}"/>
    <hyperlink ref="C94" r:id="rId2444" display="https://enzyme.expasy.org/EC/1.17.4.1" xr:uid="{B51C677B-C10E-458F-BA91-48471A4FC798}"/>
    <hyperlink ref="C95" r:id="rId2445" display="https://enzyme.expasy.org/EC/1.17.4.1" xr:uid="{1697991C-AC10-4272-A0E0-D4466AAD6B37}"/>
    <hyperlink ref="E89" r:id="rId2446" xr:uid="{2B9A962D-DD73-4C9A-9C53-66FBC1C521B3}"/>
    <hyperlink ref="E90" r:id="rId2447" xr:uid="{060BBABD-BCBE-40B1-943B-F9373746DDC1}"/>
    <hyperlink ref="E91" r:id="rId2448" xr:uid="{37AE87E8-FB49-463A-A194-2180AA7AABB0}"/>
    <hyperlink ref="E92" r:id="rId2449" xr:uid="{A52E2F0E-A98E-4DAD-A078-25BD08A011DA}"/>
    <hyperlink ref="E93" r:id="rId2450" xr:uid="{92A4C87D-1FF2-47A3-BF95-9DA44F994DD4}"/>
    <hyperlink ref="E94" r:id="rId2451" xr:uid="{5E102FBE-0BC3-479A-A597-2749478272B6}"/>
    <hyperlink ref="E95" r:id="rId2452" xr:uid="{5D20C71D-D403-4934-93FB-5BD9F25CF94B}"/>
    <hyperlink ref="F95" r:id="rId2453" xr:uid="{C4422B97-0EA1-4546-93BB-E7651DAE0CD1}"/>
    <hyperlink ref="F94" r:id="rId2454" xr:uid="{0BFA6B0E-EB61-4C6A-946E-8698AA81CE58}"/>
    <hyperlink ref="F93" r:id="rId2455" xr:uid="{6033D17C-6140-4320-8E7D-3904328AD98C}"/>
    <hyperlink ref="F92" r:id="rId2456" xr:uid="{6DA6E9CA-6DD8-4FDA-BD08-0F1C1E74AA2F}"/>
    <hyperlink ref="F91" r:id="rId2457" xr:uid="{2AD2BEA9-4E41-423E-94E8-4AD1BA9A57A5}"/>
    <hyperlink ref="F90" r:id="rId2458" xr:uid="{9BE82599-0AE7-4CF9-9AA5-0B856ADF0BDF}"/>
    <hyperlink ref="F89" r:id="rId2459" xr:uid="{48E0C644-661A-4D38-979B-414294564425}"/>
    <hyperlink ref="F88" r:id="rId2460" xr:uid="{906E1FD7-91AB-44ED-B4A3-394CC58B0512}"/>
    <hyperlink ref="C96" r:id="rId2461" display="https://enzyme.expasy.org/EC/1.17.4.1" xr:uid="{F51BD3DC-C2CD-426E-92EE-48DB6717678F}"/>
    <hyperlink ref="E96" r:id="rId2462" xr:uid="{F907F3FF-E8AC-4A1E-842D-30770C6E2A73}"/>
    <hyperlink ref="C97" r:id="rId2463" display="https://enzyme.expasy.org/EC/1.17.4.1" xr:uid="{B54AF097-77AE-4E9A-84EF-44B3C743004B}"/>
    <hyperlink ref="C98" r:id="rId2464" display="https://enzyme.expasy.org/EC/1.17.4.1" xr:uid="{3C197E05-F723-46C3-BCE3-F6F20AAF717E}"/>
    <hyperlink ref="C99" r:id="rId2465" display="https://enzyme.expasy.org/EC/1.17.4.1" xr:uid="{D1244766-238A-4903-84D8-067E09E79129}"/>
    <hyperlink ref="C100" r:id="rId2466" display="https://enzyme.expasy.org/EC/1.17.4.1" xr:uid="{5EC223DD-B365-4448-ACA6-0379F20A2DD2}"/>
    <hyperlink ref="C101" r:id="rId2467" display="https://enzyme.expasy.org/EC/1.17.4.1" xr:uid="{393F845D-6833-40BB-AD8B-F80146AD1049}"/>
    <hyperlink ref="C102" r:id="rId2468" display="https://enzyme.expasy.org/EC/1.17.4.1" xr:uid="{8C73C329-C162-4A04-8B22-F86326BB1110}"/>
    <hyperlink ref="C103" r:id="rId2469" display="https://enzyme.expasy.org/EC/1.17.4.1" xr:uid="{496CE6EE-5FEF-4BA8-95AD-DE4663770403}"/>
    <hyperlink ref="E97" r:id="rId2470" xr:uid="{8CE151E6-40F4-4D73-9DA7-0EA559758757}"/>
    <hyperlink ref="E98" r:id="rId2471" xr:uid="{3AD92E33-9B3E-4A38-B259-6EC5538889CF}"/>
    <hyperlink ref="E99" r:id="rId2472" xr:uid="{848A4E89-D9E5-49A0-89C9-386D073A3725}"/>
    <hyperlink ref="E100" r:id="rId2473" xr:uid="{4FE98BD7-5B2B-4775-87EE-3C6B530D5FD1}"/>
    <hyperlink ref="E101" r:id="rId2474" xr:uid="{48129C5E-0994-440C-B1B4-3F2F7AD4F373}"/>
    <hyperlink ref="E102" r:id="rId2475" xr:uid="{E6EF600C-6FE4-462C-8648-80CC01D61F0F}"/>
    <hyperlink ref="E103" r:id="rId2476" xr:uid="{9E1F81CB-C34A-486C-933E-662A211CB047}"/>
    <hyperlink ref="F103" r:id="rId2477" xr:uid="{EFE4A4BA-88E5-4D2E-9B33-B1E248671093}"/>
    <hyperlink ref="F102" r:id="rId2478" xr:uid="{A1BDC0FE-488E-4334-9118-A2E902763976}"/>
    <hyperlink ref="F101" r:id="rId2479" xr:uid="{36C7DC71-1FEA-404C-8FF4-714CF7BC84B8}"/>
    <hyperlink ref="F100" r:id="rId2480" xr:uid="{956195C1-96FC-40F8-A43C-8B74873A0A8F}"/>
    <hyperlink ref="F99" r:id="rId2481" xr:uid="{340803D0-E4A3-4B24-A5F8-C88C1178686B}"/>
    <hyperlink ref="F98" r:id="rId2482" xr:uid="{1F81BB11-01EF-4EB3-941A-A731ED69B21A}"/>
    <hyperlink ref="F97" r:id="rId2483" xr:uid="{178E113E-9F68-4775-B33E-421DCDEDEFB7}"/>
    <hyperlink ref="F96" r:id="rId2484" xr:uid="{DC6C8CDC-0585-41A1-BCC2-0411D04408AB}"/>
    <hyperlink ref="C145" r:id="rId2485" display="https://enzyme.expasy.org/EC/1.8.-.-" xr:uid="{D7A286B7-3E0B-4541-A76A-274663E4B74E}"/>
    <hyperlink ref="C169" r:id="rId2486" display="https://enzyme.expasy.org/EC/2.1.1.182" xr:uid="{6F68519B-959E-4DCC-B605-1F48FFAE29B3}"/>
    <hyperlink ref="E169" r:id="rId2487" xr:uid="{1C401DAD-5A26-40E1-9529-5C18A7D1CEA2}"/>
    <hyperlink ref="F169" r:id="rId2488" xr:uid="{DA2C9100-6791-4470-AACA-EBC9D970509A}"/>
    <hyperlink ref="C338" r:id="rId2489" display="https://enzyme.expasy.org/EC/2.7.1.148" xr:uid="{0F159FB1-DF71-4648-B1E0-02C809884F58}"/>
    <hyperlink ref="E338" r:id="rId2490" xr:uid="{2AECFFEA-505F-47AC-B712-61F837EE03BC}"/>
    <hyperlink ref="F338" r:id="rId2491" xr:uid="{45BEC2B1-15B5-4A0D-A89D-C1C6D5C0B63D}"/>
    <hyperlink ref="C496" r:id="rId2492" display="https://enzyme.expasy.org/EC/2.7.7.72" xr:uid="{412F59A6-17C0-4FC4-975C-5B6951BB6BF6}"/>
    <hyperlink ref="E496" r:id="rId2493" xr:uid="{456D13EC-CF24-4C1A-8D91-5B55375C1129}"/>
    <hyperlink ref="C497" r:id="rId2494" display="https://enzyme.expasy.org/EC/2.7.7.72" xr:uid="{609E8E58-C7A7-47DB-879B-889C485E5110}"/>
    <hyperlink ref="C498" r:id="rId2495" display="https://enzyme.expasy.org/EC/2.7.7.72" xr:uid="{F9915125-B09E-40EB-9B6A-8AE652B5D035}"/>
    <hyperlink ref="C499" r:id="rId2496" display="https://enzyme.expasy.org/EC/2.7.7.72" xr:uid="{39F8AFF3-50B2-41EA-BD6A-30E9A3A1222E}"/>
    <hyperlink ref="E497" r:id="rId2497" xr:uid="{CAB04568-FB45-4388-9AC8-994747B367C1}"/>
    <hyperlink ref="E498" r:id="rId2498" xr:uid="{166730CE-DBA6-4413-B7BC-ACDFAB8E2492}"/>
    <hyperlink ref="E499" r:id="rId2499" xr:uid="{ADA88844-23F5-4151-A03E-8ACCF8EF6C21}"/>
    <hyperlink ref="F496" r:id="rId2500" xr:uid="{00CF0660-1D28-48B5-AEAD-3F3B90E5D5A1}"/>
    <hyperlink ref="F497" r:id="rId2501" xr:uid="{53BF5007-576D-443A-A129-F819771893F0}"/>
    <hyperlink ref="F498" r:id="rId2502" xr:uid="{4491E169-DB29-48D1-9DAD-552BBA87956C}"/>
    <hyperlink ref="F499" r:id="rId2503" xr:uid="{B63DC716-6AF9-4941-A730-0329091240B8}"/>
    <hyperlink ref="C783" r:id="rId2504" display="https://enzyme.expasy.org/EC/3.6.1.-" xr:uid="{457C3BAF-6B6E-4FDE-895B-7D6BBA32EF5B}"/>
    <hyperlink ref="C12" r:id="rId2505" display="https://enzyme.expasy.org/EC/1.-.-.-" xr:uid="{D7D6C541-12F4-45D4-ACEA-A5A4559CC20C}"/>
    <hyperlink ref="C166" r:id="rId2506" display="https://enzyme.expasy.org/EC/2.1.1.170" xr:uid="{70798576-61C4-42A0-9731-5647889E2B76}"/>
    <hyperlink ref="E166" r:id="rId2507" xr:uid="{BC791B79-C0EE-4B7C-94BE-584039ECECC1}"/>
    <hyperlink ref="C577" r:id="rId2508" display="https://enzyme.expasy.org/EC/3.1.26.5" xr:uid="{72EE4936-048F-45C0-AB9A-F76E2CB8363C}"/>
    <hyperlink ref="E577" r:id="rId2509" xr:uid="{E54B8DB0-22CC-4505-9300-F37208DF0362}"/>
  </hyperlinks>
  <pageMargins left="0.7" right="0.7" top="0.75" bottom="0.75" header="0.3" footer="0.3"/>
  <pageSetup paperSize="9" orientation="portrait" r:id="rId25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1"/>
  <sheetViews>
    <sheetView zoomScale="108" zoomScaleNormal="108" workbookViewId="0">
      <pane ySplit="1" topLeftCell="A2" activePane="bottomLeft" state="frozen"/>
      <selection pane="bottomLeft" activeCell="B583" sqref="B583"/>
    </sheetView>
  </sheetViews>
  <sheetFormatPr defaultRowHeight="14.5" x14ac:dyDescent="0.35"/>
  <cols>
    <col min="1" max="1" width="11.26953125" customWidth="1"/>
    <col min="2" max="2" width="27.90625" customWidth="1"/>
    <col min="3" max="3" width="35" style="16" customWidth="1"/>
    <col min="4" max="4" width="35" style="17" customWidth="1"/>
    <col min="19" max="19" width="10.90625" customWidth="1"/>
  </cols>
  <sheetData>
    <row r="1" spans="1:4" s="20" customFormat="1" x14ac:dyDescent="0.35">
      <c r="A1" s="20" t="s">
        <v>3454</v>
      </c>
      <c r="B1" s="20" t="s">
        <v>5</v>
      </c>
      <c r="C1" s="21" t="s">
        <v>4228</v>
      </c>
      <c r="D1" s="22" t="s">
        <v>3408</v>
      </c>
    </row>
    <row r="2" spans="1:4" x14ac:dyDescent="0.35">
      <c r="A2" t="s">
        <v>1301</v>
      </c>
      <c r="B2" t="s">
        <v>2866</v>
      </c>
      <c r="C2" s="16" t="str">
        <f>CONCATENATE(A2,":","1000")</f>
        <v>C00001:1000</v>
      </c>
      <c r="D2" s="17" t="str">
        <f>CONCATENATE(A2," : ",B2)</f>
        <v>C00001 : Water</v>
      </c>
    </row>
    <row r="3" spans="1:4" x14ac:dyDescent="0.35">
      <c r="A3" t="s">
        <v>1299</v>
      </c>
      <c r="B3" t="s">
        <v>2867</v>
      </c>
      <c r="C3" s="16" t="str">
        <f t="shared" ref="C3:C8" si="0">CONCATENATE(A3,":","1000")</f>
        <v>C00002:1000</v>
      </c>
      <c r="D3" s="17" t="str">
        <f t="shared" ref="D3:D66" si="1">CONCATENATE(A3," : ",B3)</f>
        <v>C00002 : ATP</v>
      </c>
    </row>
    <row r="4" spans="1:4" x14ac:dyDescent="0.35">
      <c r="A4" t="s">
        <v>2349</v>
      </c>
      <c r="B4" t="s">
        <v>2868</v>
      </c>
      <c r="C4" s="16" t="str">
        <f t="shared" si="0"/>
        <v>C00003:1000</v>
      </c>
      <c r="D4" s="17" t="str">
        <f t="shared" si="1"/>
        <v>C00003 : NAD+</v>
      </c>
    </row>
    <row r="5" spans="1:4" x14ac:dyDescent="0.35">
      <c r="A5" t="s">
        <v>2423</v>
      </c>
      <c r="B5" t="s">
        <v>2869</v>
      </c>
      <c r="C5" s="16" t="str">
        <f t="shared" si="0"/>
        <v>C00004:1000</v>
      </c>
      <c r="D5" s="17" t="str">
        <f t="shared" si="1"/>
        <v>C00004 : NADH</v>
      </c>
    </row>
    <row r="6" spans="1:4" x14ac:dyDescent="0.35">
      <c r="A6" t="s">
        <v>2514</v>
      </c>
      <c r="B6" t="s">
        <v>2870</v>
      </c>
      <c r="C6" s="16" t="str">
        <f t="shared" si="0"/>
        <v>C00005:1000</v>
      </c>
      <c r="D6" s="17" t="str">
        <f t="shared" si="1"/>
        <v>C00005 : NADPH</v>
      </c>
    </row>
    <row r="7" spans="1:4" x14ac:dyDescent="0.35">
      <c r="A7" t="s">
        <v>2356</v>
      </c>
      <c r="B7" t="s">
        <v>2871</v>
      </c>
      <c r="C7" s="16" t="str">
        <f t="shared" si="0"/>
        <v>C00006:1000</v>
      </c>
      <c r="D7" s="17" t="str">
        <f t="shared" si="1"/>
        <v>C00006 : NADP+</v>
      </c>
    </row>
    <row r="8" spans="1:4" x14ac:dyDescent="0.35">
      <c r="A8" t="s">
        <v>2702</v>
      </c>
      <c r="B8" t="s">
        <v>2872</v>
      </c>
      <c r="C8" s="16" t="str">
        <f t="shared" si="0"/>
        <v>C00007:1000</v>
      </c>
      <c r="D8" s="17" t="str">
        <f t="shared" si="1"/>
        <v>C00007 : Oxygen</v>
      </c>
    </row>
    <row r="9" spans="1:4" x14ac:dyDescent="0.35">
      <c r="A9" t="s">
        <v>1294</v>
      </c>
      <c r="B9" t="s">
        <v>2873</v>
      </c>
      <c r="C9" s="16" t="str">
        <f t="shared" ref="C9:C66" si="2">CONCATENATE(A9,":","1")</f>
        <v>C00008:1</v>
      </c>
      <c r="D9" s="17" t="str">
        <f t="shared" si="1"/>
        <v>C00008 : ADP</v>
      </c>
    </row>
    <row r="10" spans="1:4" x14ac:dyDescent="0.35">
      <c r="A10" t="s">
        <v>1303</v>
      </c>
      <c r="B10" t="s">
        <v>2874</v>
      </c>
      <c r="C10" s="16" t="str">
        <f t="shared" si="2"/>
        <v>C00009:1</v>
      </c>
      <c r="D10" s="17" t="str">
        <f t="shared" si="1"/>
        <v xml:space="preserve">C00009 : Phosphoric Acid </v>
      </c>
    </row>
    <row r="11" spans="1:4" x14ac:dyDescent="0.35">
      <c r="A11" t="s">
        <v>2453</v>
      </c>
      <c r="B11" t="s">
        <v>2875</v>
      </c>
      <c r="C11" s="16" t="str">
        <f t="shared" si="2"/>
        <v>C00010:1</v>
      </c>
      <c r="D11" s="17" t="str">
        <f t="shared" si="1"/>
        <v>C00010 : CoA</v>
      </c>
    </row>
    <row r="12" spans="1:4" x14ac:dyDescent="0.35">
      <c r="A12" t="s">
        <v>2703</v>
      </c>
      <c r="B12" t="s">
        <v>2876</v>
      </c>
      <c r="C12" s="16" t="str">
        <f>CONCATENATE(A12,":","1000")</f>
        <v>C00011:1000</v>
      </c>
      <c r="D12" s="17" t="str">
        <f t="shared" si="1"/>
        <v xml:space="preserve">C00011 : Carbon Dioxide </v>
      </c>
    </row>
    <row r="13" spans="1:4" x14ac:dyDescent="0.35">
      <c r="A13" t="s">
        <v>2570</v>
      </c>
      <c r="B13" t="s">
        <v>2877</v>
      </c>
      <c r="C13" s="16" t="str">
        <f t="shared" si="2"/>
        <v>C00012:1</v>
      </c>
      <c r="D13" s="17" t="str">
        <f t="shared" si="1"/>
        <v>C00012 : peptide</v>
      </c>
    </row>
    <row r="14" spans="1:4" x14ac:dyDescent="0.35">
      <c r="A14" t="s">
        <v>1295</v>
      </c>
      <c r="B14" t="s">
        <v>2878</v>
      </c>
      <c r="C14" s="16" t="str">
        <f t="shared" si="2"/>
        <v>C00013:1</v>
      </c>
      <c r="D14" s="17" t="str">
        <f t="shared" si="1"/>
        <v xml:space="preserve">C00013 : Diphosphoric Acid </v>
      </c>
    </row>
    <row r="15" spans="1:4" x14ac:dyDescent="0.35">
      <c r="A15" t="s">
        <v>2590</v>
      </c>
      <c r="B15" t="s">
        <v>2879</v>
      </c>
      <c r="C15" s="16" t="str">
        <f>CONCATENATE(A15,":","1000")</f>
        <v>C00014:1000</v>
      </c>
      <c r="D15" s="17" t="str">
        <f t="shared" si="1"/>
        <v>C00014 : Ammonia</v>
      </c>
    </row>
    <row r="16" spans="1:4" x14ac:dyDescent="0.35">
      <c r="A16" t="s">
        <v>2651</v>
      </c>
      <c r="B16" t="s">
        <v>2880</v>
      </c>
      <c r="C16" s="16" t="str">
        <f t="shared" si="2"/>
        <v>C00015:1</v>
      </c>
      <c r="D16" s="17" t="str">
        <f t="shared" si="1"/>
        <v>C00015 : UDP</v>
      </c>
    </row>
    <row r="17" spans="1:4" x14ac:dyDescent="0.35">
      <c r="A17" t="s">
        <v>2704</v>
      </c>
      <c r="B17" t="s">
        <v>2881</v>
      </c>
      <c r="C17" s="16" t="str">
        <f t="shared" si="2"/>
        <v>C00016:1</v>
      </c>
      <c r="D17" s="17" t="str">
        <f t="shared" si="1"/>
        <v>C00016 : FAD</v>
      </c>
    </row>
    <row r="18" spans="1:4" x14ac:dyDescent="0.35">
      <c r="A18" t="s">
        <v>2398</v>
      </c>
      <c r="B18" t="s">
        <v>2885</v>
      </c>
      <c r="C18" s="16" t="str">
        <f t="shared" si="2"/>
        <v>C00018:1</v>
      </c>
      <c r="D18" s="17" t="str">
        <f t="shared" si="1"/>
        <v>C00018 : Pyridoxal Phosphate(PLP)</v>
      </c>
    </row>
    <row r="19" spans="1:4" x14ac:dyDescent="0.35">
      <c r="A19" t="s">
        <v>1291</v>
      </c>
      <c r="B19" t="s">
        <v>2882</v>
      </c>
      <c r="C19" s="16" t="str">
        <f t="shared" si="2"/>
        <v>C00019:1</v>
      </c>
      <c r="D19" s="17" t="str">
        <f t="shared" si="1"/>
        <v>C00019 : SAM</v>
      </c>
    </row>
    <row r="20" spans="1:4" x14ac:dyDescent="0.35">
      <c r="A20" t="s">
        <v>2350</v>
      </c>
      <c r="B20" t="s">
        <v>2883</v>
      </c>
      <c r="C20" s="16" t="str">
        <f t="shared" si="2"/>
        <v>C00020:1</v>
      </c>
      <c r="D20" s="17" t="str">
        <f t="shared" si="1"/>
        <v>C00020 : AMP</v>
      </c>
    </row>
    <row r="21" spans="1:4" x14ac:dyDescent="0.35">
      <c r="A21" t="s">
        <v>1290</v>
      </c>
      <c r="B21" s="18" t="s">
        <v>2884</v>
      </c>
      <c r="C21" s="16" t="str">
        <f t="shared" si="2"/>
        <v>C00021:1</v>
      </c>
      <c r="D21" s="17" t="str">
        <f t="shared" si="1"/>
        <v>C00021 : S-Adenosyl-L-Homocysteine(SAH)</v>
      </c>
    </row>
    <row r="22" spans="1:4" x14ac:dyDescent="0.35">
      <c r="A22" t="s">
        <v>2471</v>
      </c>
      <c r="B22" t="s">
        <v>2886</v>
      </c>
      <c r="C22" s="16" t="str">
        <f t="shared" si="2"/>
        <v>C00022:1</v>
      </c>
      <c r="D22" s="17" t="str">
        <f t="shared" si="1"/>
        <v xml:space="preserve">C00022 : Pyruvate </v>
      </c>
    </row>
    <row r="23" spans="1:4" x14ac:dyDescent="0.35">
      <c r="A23" t="s">
        <v>2465</v>
      </c>
      <c r="B23" t="s">
        <v>2887</v>
      </c>
      <c r="C23" s="16" t="str">
        <f t="shared" si="2"/>
        <v>C00024:1</v>
      </c>
      <c r="D23" s="17" t="str">
        <f t="shared" si="1"/>
        <v>C00024 : Acetyl-CoA</v>
      </c>
    </row>
    <row r="24" spans="1:4" x14ac:dyDescent="0.35">
      <c r="A24" t="s">
        <v>1322</v>
      </c>
      <c r="B24" t="s">
        <v>2893</v>
      </c>
      <c r="C24" s="16" t="str">
        <f>CONCATENATE(A24,":","1000")</f>
        <v>C00025:1000</v>
      </c>
      <c r="D24" s="17" t="str">
        <f t="shared" si="1"/>
        <v>C00025 : L-Glutamate</v>
      </c>
    </row>
    <row r="25" spans="1:4" x14ac:dyDescent="0.35">
      <c r="A25" t="s">
        <v>2705</v>
      </c>
      <c r="B25" t="s">
        <v>2888</v>
      </c>
      <c r="C25" s="16" t="str">
        <f t="shared" si="2"/>
        <v>C00026:1</v>
      </c>
      <c r="D25" s="17" t="str">
        <f t="shared" si="1"/>
        <v xml:space="preserve">C00026 : 2-Oxoglutarate </v>
      </c>
    </row>
    <row r="26" spans="1:4" x14ac:dyDescent="0.35">
      <c r="A26" t="s">
        <v>2366</v>
      </c>
      <c r="B26" t="s">
        <v>2889</v>
      </c>
      <c r="C26" s="16" t="str">
        <f t="shared" si="2"/>
        <v>C00027:1</v>
      </c>
      <c r="D26" s="17" t="str">
        <f t="shared" si="1"/>
        <v xml:space="preserve">C00027 : Hydrogen Peroxide </v>
      </c>
    </row>
    <row r="27" spans="1:4" x14ac:dyDescent="0.35">
      <c r="A27" t="s">
        <v>2865</v>
      </c>
      <c r="B27" t="s">
        <v>2890</v>
      </c>
      <c r="C27" s="16" t="str">
        <f t="shared" si="2"/>
        <v>C00028:1</v>
      </c>
      <c r="D27" s="17" t="str">
        <f t="shared" si="1"/>
        <v>C00028 : Acceptor</v>
      </c>
    </row>
    <row r="28" spans="1:4" x14ac:dyDescent="0.35">
      <c r="A28" t="s">
        <v>1329</v>
      </c>
      <c r="B28" t="s">
        <v>3405</v>
      </c>
      <c r="C28" s="16" t="str">
        <f t="shared" si="2"/>
        <v>C00029:1</v>
      </c>
      <c r="D28" s="17" t="str">
        <f t="shared" si="1"/>
        <v>C00029 : UDP-glucose</v>
      </c>
    </row>
    <row r="29" spans="1:4" x14ac:dyDescent="0.35">
      <c r="A29" t="s">
        <v>2806</v>
      </c>
      <c r="B29" t="s">
        <v>2891</v>
      </c>
      <c r="C29" s="16" t="str">
        <f t="shared" si="2"/>
        <v>C00030:1</v>
      </c>
      <c r="D29" s="17" t="str">
        <f t="shared" si="1"/>
        <v xml:space="preserve">C00030 : Reduced Acceptor </v>
      </c>
    </row>
    <row r="30" spans="1:4" x14ac:dyDescent="0.35">
      <c r="A30" t="s">
        <v>2681</v>
      </c>
      <c r="B30" t="s">
        <v>2892</v>
      </c>
      <c r="C30" s="16" t="str">
        <f>CONCATENATE(A30,":","1000")</f>
        <v>C00031:1000</v>
      </c>
      <c r="D30" s="17" t="str">
        <f t="shared" si="1"/>
        <v>C00031 : D-Glucose</v>
      </c>
    </row>
    <row r="31" spans="1:4" x14ac:dyDescent="0.35">
      <c r="A31" t="s">
        <v>2659</v>
      </c>
      <c r="B31" t="s">
        <v>2894</v>
      </c>
      <c r="C31" s="16" t="str">
        <f t="shared" si="2"/>
        <v>C00033:1</v>
      </c>
      <c r="D31" s="17" t="str">
        <f t="shared" si="1"/>
        <v>C00033 : Acetate</v>
      </c>
    </row>
    <row r="32" spans="1:4" x14ac:dyDescent="0.35">
      <c r="A32" t="s">
        <v>2443</v>
      </c>
      <c r="B32" t="s">
        <v>2895</v>
      </c>
      <c r="C32" s="16" t="str">
        <f t="shared" si="2"/>
        <v>C00035:1</v>
      </c>
      <c r="D32" s="17" t="str">
        <f t="shared" si="1"/>
        <v>C00035 : GDP</v>
      </c>
    </row>
    <row r="33" spans="1:4" x14ac:dyDescent="0.35">
      <c r="A33" t="s">
        <v>2642</v>
      </c>
      <c r="B33" t="s">
        <v>2896</v>
      </c>
      <c r="C33" s="16" t="str">
        <f t="shared" si="2"/>
        <v>C00036:1</v>
      </c>
      <c r="D33" s="17" t="str">
        <f t="shared" si="1"/>
        <v>C00036 : Oxaloacetate</v>
      </c>
    </row>
    <row r="34" spans="1:4" x14ac:dyDescent="0.35">
      <c r="A34" t="s">
        <v>2706</v>
      </c>
      <c r="B34" t="s">
        <v>2897</v>
      </c>
      <c r="C34" s="16" t="str">
        <f>CONCATENATE(A34,":","1000")</f>
        <v>C00037:1000</v>
      </c>
      <c r="D34" s="17" t="str">
        <f t="shared" si="1"/>
        <v>C00037 : Glycine</v>
      </c>
    </row>
    <row r="35" spans="1:4" x14ac:dyDescent="0.35">
      <c r="A35" t="s">
        <v>2707</v>
      </c>
      <c r="B35" t="s">
        <v>2898</v>
      </c>
      <c r="C35" s="16" t="str">
        <f t="shared" si="2"/>
        <v>C00039:1</v>
      </c>
      <c r="D35" s="17" t="str">
        <f t="shared" si="1"/>
        <v>C00039 : DNA</v>
      </c>
    </row>
    <row r="36" spans="1:4" x14ac:dyDescent="0.35">
      <c r="A36" t="s">
        <v>2708</v>
      </c>
      <c r="B36" t="s">
        <v>2899</v>
      </c>
      <c r="C36" s="16" t="str">
        <f t="shared" si="2"/>
        <v>C00040:1</v>
      </c>
      <c r="D36" s="17" t="str">
        <f t="shared" si="1"/>
        <v>C00040 : Acyl-CoA</v>
      </c>
    </row>
    <row r="37" spans="1:4" x14ac:dyDescent="0.35">
      <c r="A37" t="s">
        <v>1320</v>
      </c>
      <c r="B37" t="s">
        <v>2900</v>
      </c>
      <c r="C37" s="16" t="str">
        <f>CONCATENATE(A37,":","1000")</f>
        <v>C00041:1000</v>
      </c>
      <c r="D37" s="17" t="str">
        <f t="shared" si="1"/>
        <v>C00041 : L-Alanine</v>
      </c>
    </row>
    <row r="38" spans="1:4" x14ac:dyDescent="0.35">
      <c r="A38" t="s">
        <v>1327</v>
      </c>
      <c r="B38" s="18" t="s">
        <v>2901</v>
      </c>
      <c r="C38" s="16" t="str">
        <f t="shared" si="2"/>
        <v>C00043:1</v>
      </c>
      <c r="D38" s="17" t="str">
        <f t="shared" si="1"/>
        <v>C00043 : UDP-N-Acetyl-Alpha-D-Glucosamine</v>
      </c>
    </row>
    <row r="39" spans="1:4" x14ac:dyDescent="0.35">
      <c r="A39" t="s">
        <v>1296</v>
      </c>
      <c r="B39" t="s">
        <v>2902</v>
      </c>
      <c r="C39" s="16" t="str">
        <f t="shared" si="2"/>
        <v>C00044:1</v>
      </c>
      <c r="D39" s="17" t="str">
        <f t="shared" si="1"/>
        <v>C00044 : GTP</v>
      </c>
    </row>
    <row r="40" spans="1:4" x14ac:dyDescent="0.35">
      <c r="A40" t="s">
        <v>2709</v>
      </c>
      <c r="B40" t="s">
        <v>2903</v>
      </c>
      <c r="C40" s="16" t="str">
        <f t="shared" si="2"/>
        <v>C00046:1</v>
      </c>
      <c r="D40" s="17" t="str">
        <f t="shared" si="1"/>
        <v>C00046 : RNA</v>
      </c>
    </row>
    <row r="41" spans="1:4" x14ac:dyDescent="0.35">
      <c r="A41" t="s">
        <v>2688</v>
      </c>
      <c r="B41" t="s">
        <v>2904</v>
      </c>
      <c r="C41" s="16" t="str">
        <f>CONCATENATE(A41,":","1000")</f>
        <v>C00047:1000</v>
      </c>
      <c r="D41" s="17" t="str">
        <f t="shared" si="1"/>
        <v>C00047 : L-Lysine</v>
      </c>
    </row>
    <row r="42" spans="1:4" x14ac:dyDescent="0.35">
      <c r="A42" t="s">
        <v>2611</v>
      </c>
      <c r="B42" t="s">
        <v>2905</v>
      </c>
      <c r="C42" s="16" t="str">
        <f t="shared" si="2"/>
        <v>C00048:1</v>
      </c>
      <c r="D42" s="17" t="str">
        <f t="shared" si="1"/>
        <v>C00048 : Glyoxylate</v>
      </c>
    </row>
    <row r="43" spans="1:4" x14ac:dyDescent="0.35">
      <c r="A43" t="s">
        <v>2553</v>
      </c>
      <c r="B43" t="s">
        <v>2906</v>
      </c>
      <c r="C43" s="16" t="str">
        <f>CONCATENATE(A43,":","1000")</f>
        <v>C00049:1000</v>
      </c>
      <c r="D43" s="17" t="str">
        <f t="shared" si="1"/>
        <v>C00049 : L-Aspartate</v>
      </c>
    </row>
    <row r="44" spans="1:4" x14ac:dyDescent="0.35">
      <c r="A44" t="s">
        <v>2352</v>
      </c>
      <c r="B44" t="s">
        <v>2907</v>
      </c>
      <c r="C44" s="16" t="str">
        <f t="shared" si="2"/>
        <v>C00051:1</v>
      </c>
      <c r="D44" s="17" t="str">
        <f t="shared" si="1"/>
        <v>C00051 : Glutathione</v>
      </c>
    </row>
    <row r="45" spans="1:4" x14ac:dyDescent="0.35">
      <c r="A45" t="s">
        <v>1330</v>
      </c>
      <c r="B45" t="s">
        <v>2908</v>
      </c>
      <c r="C45" s="16" t="str">
        <f t="shared" si="2"/>
        <v>C00052:1</v>
      </c>
      <c r="D45" s="17" t="str">
        <f t="shared" si="1"/>
        <v>C00052 : UDP-D-Galactose</v>
      </c>
    </row>
    <row r="46" spans="1:4" x14ac:dyDescent="0.35">
      <c r="A46" t="s">
        <v>2451</v>
      </c>
      <c r="B46" t="s">
        <v>2909</v>
      </c>
      <c r="C46" s="16" t="str">
        <f t="shared" si="2"/>
        <v>C00053:1</v>
      </c>
      <c r="D46" s="17" t="str">
        <f t="shared" si="1"/>
        <v>C00053 : 3'-Phosphoadenylyl Sulfate/PAPS</v>
      </c>
    </row>
    <row r="47" spans="1:4" x14ac:dyDescent="0.35">
      <c r="A47" t="s">
        <v>2432</v>
      </c>
      <c r="B47" t="s">
        <v>2910</v>
      </c>
      <c r="C47" s="16" t="str">
        <f t="shared" si="2"/>
        <v>C00054:1</v>
      </c>
      <c r="D47" s="17" t="str">
        <f t="shared" si="1"/>
        <v xml:space="preserve">C00054 : Adenosine 3',5'-bisphosphate </v>
      </c>
    </row>
    <row r="48" spans="1:4" x14ac:dyDescent="0.35">
      <c r="A48" t="s">
        <v>2448</v>
      </c>
      <c r="B48" t="s">
        <v>2911</v>
      </c>
      <c r="C48" s="16" t="str">
        <f t="shared" si="2"/>
        <v>C00055:1</v>
      </c>
      <c r="D48" s="17" t="str">
        <f t="shared" si="1"/>
        <v>C00055 : Cytidine-5'-monophosphate/CMP</v>
      </c>
    </row>
    <row r="49" spans="1:4" x14ac:dyDescent="0.35">
      <c r="A49" t="s">
        <v>2380</v>
      </c>
      <c r="B49" t="s">
        <v>2912</v>
      </c>
      <c r="C49" s="16" t="str">
        <f t="shared" si="2"/>
        <v>C00058:1</v>
      </c>
      <c r="D49" s="17" t="str">
        <f t="shared" si="1"/>
        <v>C00058 : Formate</v>
      </c>
    </row>
    <row r="50" spans="1:4" x14ac:dyDescent="0.35">
      <c r="A50" t="s">
        <v>2353</v>
      </c>
      <c r="B50" t="s">
        <v>2913</v>
      </c>
      <c r="C50" s="16" t="str">
        <f t="shared" si="2"/>
        <v>C00060:1</v>
      </c>
      <c r="D50" s="17" t="str">
        <f t="shared" si="1"/>
        <v xml:space="preserve">C00060 : Carboxylate </v>
      </c>
    </row>
    <row r="51" spans="1:4" x14ac:dyDescent="0.35">
      <c r="A51" t="s">
        <v>2351</v>
      </c>
      <c r="B51" t="s">
        <v>2914</v>
      </c>
      <c r="C51" s="16" t="str">
        <f t="shared" si="2"/>
        <v>C00061:1</v>
      </c>
      <c r="D51" s="17" t="str">
        <f t="shared" si="1"/>
        <v>C00061 : Flavin Mononucleotide/FMN</v>
      </c>
    </row>
    <row r="52" spans="1:4" x14ac:dyDescent="0.35">
      <c r="A52" t="s">
        <v>2710</v>
      </c>
      <c r="B52" t="s">
        <v>2915</v>
      </c>
      <c r="C52" s="16" t="str">
        <f t="shared" si="2"/>
        <v>C00062:1</v>
      </c>
      <c r="D52" s="17" t="str">
        <f t="shared" si="1"/>
        <v>C00062 : L-Arginine</v>
      </c>
    </row>
    <row r="53" spans="1:4" x14ac:dyDescent="0.35">
      <c r="A53" t="s">
        <v>2424</v>
      </c>
      <c r="B53" t="s">
        <v>2916</v>
      </c>
      <c r="C53" s="16" t="str">
        <f t="shared" si="2"/>
        <v>C00063:1</v>
      </c>
      <c r="D53" s="17" t="str">
        <f t="shared" si="1"/>
        <v>C00063 : CTP</v>
      </c>
    </row>
    <row r="54" spans="1:4" x14ac:dyDescent="0.35">
      <c r="A54" t="s">
        <v>2418</v>
      </c>
      <c r="B54" t="s">
        <v>2917</v>
      </c>
      <c r="C54" s="16" t="str">
        <f>CONCATENATE(A54,":","1000")</f>
        <v>C00064:1000</v>
      </c>
      <c r="D54" s="17" t="str">
        <f t="shared" si="1"/>
        <v>C00064 : L-Glutamine</v>
      </c>
    </row>
    <row r="55" spans="1:4" x14ac:dyDescent="0.35">
      <c r="A55" t="s">
        <v>2523</v>
      </c>
      <c r="B55" t="s">
        <v>2918</v>
      </c>
      <c r="C55" s="16" t="str">
        <f>CONCATENATE(A55,":","1000")</f>
        <v>C00065:1000</v>
      </c>
      <c r="D55" s="17" t="str">
        <f t="shared" si="1"/>
        <v>C00065 : L-Serine</v>
      </c>
    </row>
    <row r="56" spans="1:4" x14ac:dyDescent="0.35">
      <c r="A56" t="s">
        <v>2711</v>
      </c>
      <c r="B56" t="s">
        <v>39</v>
      </c>
      <c r="C56" s="16" t="str">
        <f t="shared" si="2"/>
        <v>C00066:1</v>
      </c>
      <c r="D56" s="17" t="str">
        <f t="shared" si="1"/>
        <v>C00066 : tRNA</v>
      </c>
    </row>
    <row r="57" spans="1:4" x14ac:dyDescent="0.35">
      <c r="A57" t="s">
        <v>2557</v>
      </c>
      <c r="B57" t="s">
        <v>2919</v>
      </c>
      <c r="C57" s="16" t="str">
        <f t="shared" si="2"/>
        <v>C00068:1</v>
      </c>
      <c r="D57" s="17" t="str">
        <f t="shared" si="1"/>
        <v xml:space="preserve">C00068 : Thiamin Diphosphate </v>
      </c>
    </row>
    <row r="58" spans="1:4" x14ac:dyDescent="0.35">
      <c r="A58" t="s">
        <v>2592</v>
      </c>
      <c r="B58" t="s">
        <v>2920</v>
      </c>
      <c r="C58" s="16" t="str">
        <f t="shared" si="2"/>
        <v>C00071:1</v>
      </c>
      <c r="D58" s="17" t="str">
        <f t="shared" si="1"/>
        <v xml:space="preserve">C00071 : Aldehyde </v>
      </c>
    </row>
    <row r="59" spans="1:4" x14ac:dyDescent="0.35">
      <c r="A59" t="s">
        <v>2359</v>
      </c>
      <c r="B59" t="s">
        <v>2921</v>
      </c>
      <c r="C59" s="16" t="str">
        <f>CONCATENATE(A59,":","1000")</f>
        <v>C00073:1000</v>
      </c>
      <c r="D59" s="17" t="str">
        <f t="shared" si="1"/>
        <v xml:space="preserve">C00073 : L-Methionine </v>
      </c>
    </row>
    <row r="60" spans="1:4" x14ac:dyDescent="0.35">
      <c r="A60" t="s">
        <v>2426</v>
      </c>
      <c r="B60" t="s">
        <v>2922</v>
      </c>
      <c r="C60" s="16" t="str">
        <f t="shared" si="2"/>
        <v>C00074:1</v>
      </c>
      <c r="D60" s="17" t="str">
        <f t="shared" si="1"/>
        <v xml:space="preserve">C00074 : Phosphoenolpyruvate </v>
      </c>
    </row>
    <row r="61" spans="1:4" x14ac:dyDescent="0.35">
      <c r="A61" t="s">
        <v>2406</v>
      </c>
      <c r="B61" t="s">
        <v>2923</v>
      </c>
      <c r="C61" s="16" t="str">
        <f t="shared" si="2"/>
        <v>C00075:1</v>
      </c>
      <c r="D61" s="17" t="str">
        <f t="shared" si="1"/>
        <v>C00075 : UTP</v>
      </c>
    </row>
    <row r="62" spans="1:4" x14ac:dyDescent="0.35">
      <c r="A62" t="s">
        <v>2712</v>
      </c>
      <c r="B62" t="s">
        <v>2924</v>
      </c>
      <c r="C62" s="16" t="str">
        <f t="shared" si="2"/>
        <v>C00078:1</v>
      </c>
      <c r="D62" s="17" t="str">
        <f t="shared" si="1"/>
        <v>C00078 : L-Tryptophan</v>
      </c>
    </row>
    <row r="63" spans="1:4" x14ac:dyDescent="0.35">
      <c r="A63" t="s">
        <v>2554</v>
      </c>
      <c r="B63" t="s">
        <v>2925</v>
      </c>
      <c r="C63" s="16" t="str">
        <f t="shared" si="2"/>
        <v>C00079:1</v>
      </c>
      <c r="D63" s="17" t="str">
        <f t="shared" si="1"/>
        <v>C00079 : L-Phenylalanine</v>
      </c>
    </row>
    <row r="64" spans="1:4" x14ac:dyDescent="0.35">
      <c r="A64" t="s">
        <v>2354</v>
      </c>
      <c r="B64" t="s">
        <v>2926</v>
      </c>
      <c r="C64" s="16" t="str">
        <f t="shared" si="2"/>
        <v>C00080:1</v>
      </c>
      <c r="D64" s="17" t="str">
        <f t="shared" si="1"/>
        <v>C00080 : H+</v>
      </c>
    </row>
    <row r="65" spans="1:4" x14ac:dyDescent="0.35">
      <c r="A65" t="s">
        <v>2355</v>
      </c>
      <c r="B65" t="s">
        <v>2927</v>
      </c>
      <c r="C65" s="16" t="str">
        <f t="shared" si="2"/>
        <v>C00081:1</v>
      </c>
      <c r="D65" s="17" t="str">
        <f t="shared" si="1"/>
        <v>C00081 : ITP</v>
      </c>
    </row>
    <row r="66" spans="1:4" x14ac:dyDescent="0.35">
      <c r="A66" t="s">
        <v>2555</v>
      </c>
      <c r="B66" t="s">
        <v>2928</v>
      </c>
      <c r="C66" s="16" t="str">
        <f t="shared" si="2"/>
        <v>C00082:1</v>
      </c>
      <c r="D66" s="17" t="str">
        <f t="shared" si="1"/>
        <v>C00082 : L-Tyrosine</v>
      </c>
    </row>
    <row r="67" spans="1:4" x14ac:dyDescent="0.35">
      <c r="A67" t="s">
        <v>2504</v>
      </c>
      <c r="B67" t="s">
        <v>2929</v>
      </c>
      <c r="C67" s="16" t="str">
        <f t="shared" ref="C67:C130" si="3">CONCATENATE(A67,":","1")</f>
        <v>C00084:1</v>
      </c>
      <c r="D67" s="17" t="str">
        <f t="shared" ref="D67:D130" si="4">CONCATENATE(A67," : ",B67)</f>
        <v>C00084 : Acetaldehyde</v>
      </c>
    </row>
    <row r="68" spans="1:4" x14ac:dyDescent="0.35">
      <c r="A68" t="s">
        <v>1344</v>
      </c>
      <c r="B68" t="s">
        <v>2930</v>
      </c>
      <c r="C68" s="16" t="str">
        <f t="shared" si="3"/>
        <v>C00085:1</v>
      </c>
      <c r="D68" s="17" t="str">
        <f t="shared" si="4"/>
        <v xml:space="preserve">C00085 : D-Fructose </v>
      </c>
    </row>
    <row r="69" spans="1:4" x14ac:dyDescent="0.35">
      <c r="A69" t="s">
        <v>2376</v>
      </c>
      <c r="B69" t="s">
        <v>2931</v>
      </c>
      <c r="C69" s="16" t="str">
        <f t="shared" si="3"/>
        <v>C00089:1</v>
      </c>
      <c r="D69" s="17" t="str">
        <f t="shared" si="4"/>
        <v xml:space="preserve">C00089 : Sucrose </v>
      </c>
    </row>
    <row r="70" spans="1:4" x14ac:dyDescent="0.35">
      <c r="A70" t="s">
        <v>1343</v>
      </c>
      <c r="B70" t="s">
        <v>2892</v>
      </c>
      <c r="C70" s="16" t="str">
        <f t="shared" si="3"/>
        <v>C00092:1</v>
      </c>
      <c r="D70" s="17" t="str">
        <f t="shared" si="4"/>
        <v>C00092 : D-Glucose</v>
      </c>
    </row>
    <row r="71" spans="1:4" x14ac:dyDescent="0.35">
      <c r="A71" t="s">
        <v>2493</v>
      </c>
      <c r="B71" t="s">
        <v>2932</v>
      </c>
      <c r="C71" s="16" t="str">
        <f t="shared" si="3"/>
        <v>C00093:1</v>
      </c>
      <c r="D71" s="17" t="str">
        <f t="shared" si="4"/>
        <v xml:space="preserve">C00093 : sn-Glycerol 3-Phosphate </v>
      </c>
    </row>
    <row r="72" spans="1:4" x14ac:dyDescent="0.35">
      <c r="A72" t="s">
        <v>2713</v>
      </c>
      <c r="B72" t="s">
        <v>2933</v>
      </c>
      <c r="C72" s="16" t="str">
        <f t="shared" si="3"/>
        <v>C00094:1</v>
      </c>
      <c r="D72" s="17" t="str">
        <f t="shared" si="4"/>
        <v xml:space="preserve">C00094 : Sulfite </v>
      </c>
    </row>
    <row r="73" spans="1:4" x14ac:dyDescent="0.35">
      <c r="A73" t="s">
        <v>2368</v>
      </c>
      <c r="B73" t="s">
        <v>2930</v>
      </c>
      <c r="C73" s="16" t="str">
        <f t="shared" si="3"/>
        <v>C00095:1</v>
      </c>
      <c r="D73" s="17" t="str">
        <f t="shared" si="4"/>
        <v xml:space="preserve">C00095 : D-Fructose </v>
      </c>
    </row>
    <row r="74" spans="1:4" x14ac:dyDescent="0.35">
      <c r="A74" t="s">
        <v>2388</v>
      </c>
      <c r="B74" t="s">
        <v>2934</v>
      </c>
      <c r="C74" s="16" t="str">
        <f>CONCATENATE(A74,":","1000")</f>
        <v>C00097:1000</v>
      </c>
      <c r="D74" s="17" t="str">
        <f t="shared" si="4"/>
        <v xml:space="preserve">C00097 : L-Cysteine </v>
      </c>
    </row>
    <row r="75" spans="1:4" x14ac:dyDescent="0.35">
      <c r="A75" t="s">
        <v>2533</v>
      </c>
      <c r="B75" t="s">
        <v>2935</v>
      </c>
      <c r="C75" s="16" t="str">
        <f t="shared" si="3"/>
        <v>C00100:1</v>
      </c>
      <c r="D75" s="17" t="str">
        <f t="shared" si="4"/>
        <v>C00100 : Propanoyl-CoA</v>
      </c>
    </row>
    <row r="76" spans="1:4" x14ac:dyDescent="0.35">
      <c r="A76" t="s">
        <v>2436</v>
      </c>
      <c r="B76" t="s">
        <v>2936</v>
      </c>
      <c r="C76" s="16" t="str">
        <f t="shared" si="3"/>
        <v>C00101:1</v>
      </c>
      <c r="D76" s="17" t="str">
        <f t="shared" si="4"/>
        <v xml:space="preserve">C00101 : Tetrahydrofolate </v>
      </c>
    </row>
    <row r="77" spans="1:4" x14ac:dyDescent="0.35">
      <c r="A77" t="s">
        <v>2405</v>
      </c>
      <c r="B77" t="s">
        <v>2937</v>
      </c>
      <c r="C77" s="16" t="str">
        <f t="shared" si="3"/>
        <v>C00103:1</v>
      </c>
      <c r="D77" s="17" t="str">
        <f t="shared" si="4"/>
        <v xml:space="preserve">C00103 : Glucose 1-Phosphate </v>
      </c>
    </row>
    <row r="78" spans="1:4" x14ac:dyDescent="0.35">
      <c r="A78" t="s">
        <v>2435</v>
      </c>
      <c r="B78" t="s">
        <v>2938</v>
      </c>
      <c r="C78" s="16" t="str">
        <f t="shared" si="3"/>
        <v>C00104:1</v>
      </c>
      <c r="D78" s="17" t="str">
        <f t="shared" si="4"/>
        <v>C00104 : IDP</v>
      </c>
    </row>
    <row r="79" spans="1:4" x14ac:dyDescent="0.35">
      <c r="A79" t="s">
        <v>2449</v>
      </c>
      <c r="B79" t="s">
        <v>2939</v>
      </c>
      <c r="C79" s="16" t="str">
        <f t="shared" si="3"/>
        <v>C00105:1</v>
      </c>
      <c r="D79" s="17" t="str">
        <f t="shared" si="4"/>
        <v>C00105 : UMP</v>
      </c>
    </row>
    <row r="80" spans="1:4" x14ac:dyDescent="0.35">
      <c r="A80" t="s">
        <v>2639</v>
      </c>
      <c r="B80" t="s">
        <v>2940</v>
      </c>
      <c r="C80" s="16" t="str">
        <f t="shared" si="3"/>
        <v>C00106:1</v>
      </c>
      <c r="D80" s="17" t="str">
        <f t="shared" si="4"/>
        <v>C00106 : Uracil</v>
      </c>
    </row>
    <row r="81" spans="1:4" x14ac:dyDescent="0.35">
      <c r="A81" t="s">
        <v>2609</v>
      </c>
      <c r="B81" t="s">
        <v>2941</v>
      </c>
      <c r="C81" s="16" t="str">
        <f t="shared" si="3"/>
        <v>C00109:1</v>
      </c>
      <c r="D81" s="17" t="str">
        <f t="shared" si="4"/>
        <v xml:space="preserve">C00109 : 2-Oxobutanoate </v>
      </c>
    </row>
    <row r="82" spans="1:4" x14ac:dyDescent="0.35">
      <c r="A82" t="s">
        <v>1337</v>
      </c>
      <c r="B82" t="s">
        <v>2942</v>
      </c>
      <c r="C82" s="16" t="str">
        <f t="shared" si="3"/>
        <v>C00111:1</v>
      </c>
      <c r="D82" s="17" t="str">
        <f t="shared" si="4"/>
        <v xml:space="preserve">C00111 : Glycerone Phosphate </v>
      </c>
    </row>
    <row r="83" spans="1:4" x14ac:dyDescent="0.35">
      <c r="A83" t="s">
        <v>2650</v>
      </c>
      <c r="B83" t="s">
        <v>2943</v>
      </c>
      <c r="C83" s="16" t="str">
        <f t="shared" si="3"/>
        <v>C00112:1</v>
      </c>
      <c r="D83" s="17" t="str">
        <f t="shared" si="4"/>
        <v>C00112 : CDP</v>
      </c>
    </row>
    <row r="84" spans="1:4" x14ac:dyDescent="0.35">
      <c r="A84" t="s">
        <v>2464</v>
      </c>
      <c r="B84" t="s">
        <v>2944</v>
      </c>
      <c r="C84" s="16" t="str">
        <f t="shared" si="3"/>
        <v>C00114:1</v>
      </c>
      <c r="D84" s="17" t="str">
        <f t="shared" si="4"/>
        <v xml:space="preserve">C00114 : Choline </v>
      </c>
    </row>
    <row r="85" spans="1:4" x14ac:dyDescent="0.35">
      <c r="A85" t="s">
        <v>2714</v>
      </c>
      <c r="B85" t="s">
        <v>2945</v>
      </c>
      <c r="C85" s="16" t="str">
        <f t="shared" si="3"/>
        <v>C00116:1</v>
      </c>
      <c r="D85" s="17" t="str">
        <f t="shared" si="4"/>
        <v>C00116 : Glycerol</v>
      </c>
    </row>
    <row r="86" spans="1:4" x14ac:dyDescent="0.35">
      <c r="A86" t="s">
        <v>1338</v>
      </c>
      <c r="B86" t="s">
        <v>2946</v>
      </c>
      <c r="C86" s="16" t="str">
        <f t="shared" si="3"/>
        <v>C00117:1</v>
      </c>
      <c r="D86" s="17" t="str">
        <f t="shared" si="4"/>
        <v xml:space="preserve">C00117 : D-Ribose 5-Phosphate </v>
      </c>
    </row>
    <row r="87" spans="1:4" x14ac:dyDescent="0.35">
      <c r="A87" t="s">
        <v>1336</v>
      </c>
      <c r="B87" t="s">
        <v>2947</v>
      </c>
      <c r="C87" s="16" t="str">
        <f t="shared" si="3"/>
        <v>C00118:1</v>
      </c>
      <c r="D87" s="17" t="str">
        <f t="shared" si="4"/>
        <v xml:space="preserve">C00118 : D-Glyceraldehyde 3-Phosphate </v>
      </c>
    </row>
    <row r="88" spans="1:4" x14ac:dyDescent="0.35">
      <c r="A88" t="s">
        <v>2715</v>
      </c>
      <c r="B88" t="s">
        <v>2948</v>
      </c>
      <c r="C88" s="16" t="str">
        <f t="shared" si="3"/>
        <v>C00119:1</v>
      </c>
      <c r="D88" s="17" t="str">
        <f t="shared" si="4"/>
        <v xml:space="preserve">C00119 : 5-Phospho-alpha-D-ribose 1-diphosphate </v>
      </c>
    </row>
    <row r="89" spans="1:4" x14ac:dyDescent="0.35">
      <c r="A89" t="s">
        <v>2716</v>
      </c>
      <c r="B89" t="s">
        <v>2949</v>
      </c>
      <c r="C89" s="16" t="str">
        <f t="shared" si="3"/>
        <v>C00121:1</v>
      </c>
      <c r="D89" s="17" t="str">
        <f t="shared" si="4"/>
        <v>C00121 : D-Ribose</v>
      </c>
    </row>
    <row r="90" spans="1:4" x14ac:dyDescent="0.35">
      <c r="A90" t="s">
        <v>2693</v>
      </c>
      <c r="B90" t="s">
        <v>2950</v>
      </c>
      <c r="C90" s="16" t="str">
        <f t="shared" si="3"/>
        <v>C00122:1</v>
      </c>
      <c r="D90" s="17" t="str">
        <f t="shared" si="4"/>
        <v>C00122 : Fumarate</v>
      </c>
    </row>
    <row r="91" spans="1:4" x14ac:dyDescent="0.35">
      <c r="A91" t="s">
        <v>2419</v>
      </c>
      <c r="B91" t="s">
        <v>2951</v>
      </c>
      <c r="C91" s="16" t="str">
        <f t="shared" si="3"/>
        <v>C00123:1</v>
      </c>
      <c r="D91" s="17" t="str">
        <f t="shared" si="4"/>
        <v>C00123 : L-Leucine</v>
      </c>
    </row>
    <row r="92" spans="1:4" x14ac:dyDescent="0.35">
      <c r="A92" t="s">
        <v>1350</v>
      </c>
      <c r="B92" t="s">
        <v>2952</v>
      </c>
      <c r="C92" s="16" t="str">
        <f t="shared" si="3"/>
        <v>C00129:1</v>
      </c>
      <c r="D92" s="17" t="str">
        <f t="shared" si="4"/>
        <v xml:space="preserve">C00129 : Isopentenyl Diphosphate </v>
      </c>
    </row>
    <row r="93" spans="1:4" x14ac:dyDescent="0.35">
      <c r="A93" t="s">
        <v>2452</v>
      </c>
      <c r="B93" t="s">
        <v>2953</v>
      </c>
      <c r="C93" s="16" t="str">
        <f t="shared" si="3"/>
        <v>C00130:1</v>
      </c>
      <c r="D93" s="17" t="str">
        <f t="shared" si="4"/>
        <v>C00130 : IMP</v>
      </c>
    </row>
    <row r="94" spans="1:4" x14ac:dyDescent="0.35">
      <c r="A94" t="s">
        <v>2378</v>
      </c>
      <c r="B94" t="s">
        <v>2954</v>
      </c>
      <c r="C94" s="16" t="str">
        <f t="shared" si="3"/>
        <v>C00131:1</v>
      </c>
      <c r="D94" s="17" t="str">
        <f t="shared" si="4"/>
        <v>C00131 : dATP</v>
      </c>
    </row>
    <row r="95" spans="1:4" x14ac:dyDescent="0.35">
      <c r="A95" t="s">
        <v>1321</v>
      </c>
      <c r="B95" t="s">
        <v>2955</v>
      </c>
      <c r="C95" s="16" t="str">
        <f>CONCATENATE(A95,":","1000")</f>
        <v>C00133:1000</v>
      </c>
      <c r="D95" s="17" t="str">
        <f t="shared" si="4"/>
        <v>C00133 : D-Alanine</v>
      </c>
    </row>
    <row r="96" spans="1:4" x14ac:dyDescent="0.35">
      <c r="A96" t="s">
        <v>2441</v>
      </c>
      <c r="B96" t="s">
        <v>2956</v>
      </c>
      <c r="C96" s="16" t="str">
        <f t="shared" si="3"/>
        <v>C00136:1</v>
      </c>
      <c r="D96" s="17" t="str">
        <f t="shared" si="4"/>
        <v>C00136 : Butanoyl-CoA</v>
      </c>
    </row>
    <row r="97" spans="1:4" x14ac:dyDescent="0.35">
      <c r="A97" t="s">
        <v>2648</v>
      </c>
      <c r="B97" t="s">
        <v>2957</v>
      </c>
      <c r="C97" s="16" t="str">
        <f t="shared" si="3"/>
        <v>C00141:1</v>
      </c>
      <c r="D97" s="17" t="str">
        <f t="shared" si="4"/>
        <v xml:space="preserve">C00141 : 3-Methyl-2-oxobutanoic acid </v>
      </c>
    </row>
    <row r="98" spans="1:4" x14ac:dyDescent="0.35">
      <c r="A98" t="s">
        <v>2524</v>
      </c>
      <c r="B98" t="s">
        <v>2958</v>
      </c>
      <c r="C98" s="16" t="str">
        <f t="shared" si="3"/>
        <v>C00143:1</v>
      </c>
      <c r="D98" s="17" t="str">
        <f t="shared" si="4"/>
        <v>C00143 : 5,10-Methylenetetrahydrofolate</v>
      </c>
    </row>
    <row r="99" spans="1:4" x14ac:dyDescent="0.35">
      <c r="A99" t="s">
        <v>2383</v>
      </c>
      <c r="B99" t="s">
        <v>2959</v>
      </c>
      <c r="C99" s="16" t="str">
        <f t="shared" si="3"/>
        <v>C00144:1</v>
      </c>
      <c r="D99" s="17" t="str">
        <f t="shared" si="4"/>
        <v>C00144 : GMP</v>
      </c>
    </row>
    <row r="100" spans="1:4" x14ac:dyDescent="0.35">
      <c r="A100" t="s">
        <v>2633</v>
      </c>
      <c r="B100" t="s">
        <v>2960</v>
      </c>
      <c r="C100" s="16" t="str">
        <f t="shared" si="3"/>
        <v>C00147:1</v>
      </c>
      <c r="D100" s="17" t="str">
        <f t="shared" si="4"/>
        <v>C00147 : Adenine</v>
      </c>
    </row>
    <row r="101" spans="1:4" x14ac:dyDescent="0.35">
      <c r="A101" t="s">
        <v>2684</v>
      </c>
      <c r="B101" t="s">
        <v>2961</v>
      </c>
      <c r="C101" s="16" t="str">
        <f>CONCATENATE(A101,":","1000")</f>
        <v>C00148:1000</v>
      </c>
      <c r="D101" s="17" t="str">
        <f t="shared" si="4"/>
        <v xml:space="preserve">C00148 : L-Proline </v>
      </c>
    </row>
    <row r="102" spans="1:4" x14ac:dyDescent="0.35">
      <c r="A102" t="s">
        <v>1304</v>
      </c>
      <c r="B102" t="s">
        <v>2962</v>
      </c>
      <c r="C102" s="16" t="str">
        <f t="shared" si="3"/>
        <v>C00149:1</v>
      </c>
      <c r="D102" s="17" t="str">
        <f t="shared" si="4"/>
        <v>C00149 : (S)-Malate</v>
      </c>
    </row>
    <row r="103" spans="1:4" x14ac:dyDescent="0.35">
      <c r="A103" t="s">
        <v>2807</v>
      </c>
      <c r="B103" t="s">
        <v>2963</v>
      </c>
      <c r="C103" s="16" t="str">
        <f t="shared" si="3"/>
        <v>C00152:1</v>
      </c>
      <c r="D103" s="17" t="str">
        <f t="shared" si="4"/>
        <v>C00152 : L-Asparagine</v>
      </c>
    </row>
    <row r="104" spans="1:4" x14ac:dyDescent="0.35">
      <c r="A104" t="s">
        <v>2627</v>
      </c>
      <c r="B104" t="s">
        <v>2964</v>
      </c>
      <c r="C104" s="16" t="str">
        <f t="shared" si="3"/>
        <v>C00153:1</v>
      </c>
      <c r="D104" s="17" t="str">
        <f t="shared" si="4"/>
        <v>C00153 : Nicotinamide</v>
      </c>
    </row>
    <row r="105" spans="1:4" x14ac:dyDescent="0.35">
      <c r="A105" t="s">
        <v>2717</v>
      </c>
      <c r="B105" t="s">
        <v>2965</v>
      </c>
      <c r="C105" s="16" t="str">
        <f t="shared" si="3"/>
        <v>C00155:1</v>
      </c>
      <c r="D105" s="17" t="str">
        <f t="shared" si="4"/>
        <v>C00155 : L-Homocysteine</v>
      </c>
    </row>
    <row r="106" spans="1:4" x14ac:dyDescent="0.35">
      <c r="A106" t="s">
        <v>2430</v>
      </c>
      <c r="B106" t="s">
        <v>2966</v>
      </c>
      <c r="C106" s="16" t="str">
        <f t="shared" si="3"/>
        <v>C00157:1</v>
      </c>
      <c r="D106" s="17" t="str">
        <f t="shared" si="4"/>
        <v xml:space="preserve">C00157 : Phosphatidylcholine </v>
      </c>
    </row>
    <row r="107" spans="1:4" x14ac:dyDescent="0.35">
      <c r="A107" t="s">
        <v>1300</v>
      </c>
      <c r="B107" t="s">
        <v>2967</v>
      </c>
      <c r="C107" s="16" t="str">
        <f t="shared" si="3"/>
        <v>C00158:1</v>
      </c>
      <c r="D107" s="17" t="str">
        <f t="shared" si="4"/>
        <v>C00158 : Citrate</v>
      </c>
    </row>
    <row r="108" spans="1:4" x14ac:dyDescent="0.35">
      <c r="A108" t="s">
        <v>2494</v>
      </c>
      <c r="B108" t="s">
        <v>2968</v>
      </c>
      <c r="C108" s="16" t="str">
        <f t="shared" si="3"/>
        <v>C00160:1</v>
      </c>
      <c r="D108" s="17" t="str">
        <f t="shared" si="4"/>
        <v>C00160 : Glycolate</v>
      </c>
    </row>
    <row r="109" spans="1:4" x14ac:dyDescent="0.35">
      <c r="A109" t="s">
        <v>2612</v>
      </c>
      <c r="B109" t="s">
        <v>2969</v>
      </c>
      <c r="C109" s="16" t="str">
        <f t="shared" si="3"/>
        <v>C00161:1</v>
      </c>
      <c r="D109" s="17" t="str">
        <f t="shared" si="4"/>
        <v>C00161 : 2-Oxo acid</v>
      </c>
    </row>
    <row r="110" spans="1:4" x14ac:dyDescent="0.35">
      <c r="A110" t="s">
        <v>2718</v>
      </c>
      <c r="B110" t="s">
        <v>2970</v>
      </c>
      <c r="C110" s="16" t="str">
        <f t="shared" si="3"/>
        <v>C00163:1</v>
      </c>
      <c r="D110" s="17" t="str">
        <f t="shared" si="4"/>
        <v>C00163 : Propanoate</v>
      </c>
    </row>
    <row r="111" spans="1:4" x14ac:dyDescent="0.35">
      <c r="A111" t="s">
        <v>2643</v>
      </c>
      <c r="B111" t="s">
        <v>2971</v>
      </c>
      <c r="C111" s="16" t="str">
        <f t="shared" si="3"/>
        <v>C00166:1</v>
      </c>
      <c r="D111" s="17" t="str">
        <f t="shared" si="4"/>
        <v>C00166 : Phenylpyruvate</v>
      </c>
    </row>
    <row r="112" spans="1:4" x14ac:dyDescent="0.35">
      <c r="A112" t="s">
        <v>2528</v>
      </c>
      <c r="B112" t="s">
        <v>2972</v>
      </c>
      <c r="C112" s="16" t="str">
        <f t="shared" si="3"/>
        <v>C00169:1</v>
      </c>
      <c r="D112" s="17" t="str">
        <f t="shared" si="4"/>
        <v xml:space="preserve">C00169 : Carbamoyl Phosphate </v>
      </c>
    </row>
    <row r="113" spans="1:4" x14ac:dyDescent="0.35">
      <c r="A113" t="s">
        <v>2568</v>
      </c>
      <c r="B113" t="s">
        <v>2973</v>
      </c>
      <c r="C113" s="16" t="str">
        <f t="shared" si="3"/>
        <v>C00170:1</v>
      </c>
      <c r="D113" s="17" t="str">
        <f t="shared" si="4"/>
        <v xml:space="preserve">C00170 : 5'-Methylthioadenosine </v>
      </c>
    </row>
    <row r="114" spans="1:4" x14ac:dyDescent="0.35">
      <c r="A114" t="s">
        <v>2529</v>
      </c>
      <c r="B114" t="s">
        <v>2974</v>
      </c>
      <c r="C114" s="16" t="str">
        <f t="shared" si="3"/>
        <v>C00173:1</v>
      </c>
      <c r="D114" s="17" t="str">
        <f t="shared" si="4"/>
        <v>C00173 : Acyl-[acyl-carrier protein]</v>
      </c>
    </row>
    <row r="115" spans="1:4" x14ac:dyDescent="0.35">
      <c r="A115" t="s">
        <v>2420</v>
      </c>
      <c r="B115" t="s">
        <v>2975</v>
      </c>
      <c r="C115" s="16" t="str">
        <f t="shared" si="3"/>
        <v>C00183:1</v>
      </c>
      <c r="D115" s="17" t="str">
        <f t="shared" si="4"/>
        <v>C00183 : L-Valine</v>
      </c>
    </row>
    <row r="116" spans="1:4" x14ac:dyDescent="0.35">
      <c r="A116" t="s">
        <v>2719</v>
      </c>
      <c r="B116" t="s">
        <v>2976</v>
      </c>
      <c r="C116" s="16" t="str">
        <f t="shared" si="3"/>
        <v>C00184:1</v>
      </c>
      <c r="D116" s="17" t="str">
        <f t="shared" si="4"/>
        <v>C00184 : Glycerone</v>
      </c>
    </row>
    <row r="117" spans="1:4" x14ac:dyDescent="0.35">
      <c r="A117" t="s">
        <v>2488</v>
      </c>
      <c r="B117" t="s">
        <v>2977</v>
      </c>
      <c r="C117" s="16" t="str">
        <f t="shared" si="3"/>
        <v>C00186:1</v>
      </c>
      <c r="D117" s="17" t="str">
        <f t="shared" si="4"/>
        <v>C00186 : (S)-Lactate</v>
      </c>
    </row>
    <row r="118" spans="1:4" x14ac:dyDescent="0.35">
      <c r="A118" t="s">
        <v>2562</v>
      </c>
      <c r="B118" t="s">
        <v>2978</v>
      </c>
      <c r="C118" s="16" t="str">
        <f t="shared" si="3"/>
        <v>C00188:1</v>
      </c>
      <c r="D118" s="17" t="str">
        <f t="shared" si="4"/>
        <v>C00188 : L-Threonine</v>
      </c>
    </row>
    <row r="119" spans="1:4" x14ac:dyDescent="0.35">
      <c r="A119" t="s">
        <v>2675</v>
      </c>
      <c r="B119" t="s">
        <v>2979</v>
      </c>
      <c r="C119" s="16" t="str">
        <f t="shared" si="3"/>
        <v>C00189:1</v>
      </c>
      <c r="D119" s="17" t="str">
        <f t="shared" si="4"/>
        <v xml:space="preserve">C00189 : Ethanolamine </v>
      </c>
    </row>
    <row r="120" spans="1:4" x14ac:dyDescent="0.35">
      <c r="A120" t="s">
        <v>2720</v>
      </c>
      <c r="B120" t="s">
        <v>2980</v>
      </c>
      <c r="C120" s="16" t="str">
        <f t="shared" si="3"/>
        <v>C00197:1</v>
      </c>
      <c r="D120" s="17" t="str">
        <f t="shared" si="4"/>
        <v xml:space="preserve">C00197 : 3-Phospho-D-glycerate </v>
      </c>
    </row>
    <row r="121" spans="1:4" x14ac:dyDescent="0.35">
      <c r="A121" t="s">
        <v>1325</v>
      </c>
      <c r="B121" t="s">
        <v>2981</v>
      </c>
      <c r="C121" s="16" t="str">
        <f t="shared" si="3"/>
        <v>C00199:1</v>
      </c>
      <c r="D121" s="17" t="str">
        <f t="shared" si="4"/>
        <v xml:space="preserve">C00199 : D-Ribulose 5-phosphate </v>
      </c>
    </row>
    <row r="122" spans="1:4" x14ac:dyDescent="0.35">
      <c r="A122" t="s">
        <v>2373</v>
      </c>
      <c r="B122" t="s">
        <v>2982</v>
      </c>
      <c r="C122" s="16" t="str">
        <f t="shared" si="3"/>
        <v>C00201:1</v>
      </c>
      <c r="D122" s="17" t="str">
        <f t="shared" si="4"/>
        <v>C00201 : NTP</v>
      </c>
    </row>
    <row r="123" spans="1:4" x14ac:dyDescent="0.35">
      <c r="A123" t="s">
        <v>1331</v>
      </c>
      <c r="B123" t="s">
        <v>2983</v>
      </c>
      <c r="C123" s="16" t="str">
        <f t="shared" si="3"/>
        <v>C00203:1</v>
      </c>
      <c r="D123" s="17" t="str">
        <f t="shared" si="4"/>
        <v>C00203 : UDP-N-acetyl-D-galactosamine</v>
      </c>
    </row>
    <row r="124" spans="1:4" x14ac:dyDescent="0.35">
      <c r="A124" t="s">
        <v>2497</v>
      </c>
      <c r="B124" t="s">
        <v>2984</v>
      </c>
      <c r="C124" s="16" t="str">
        <f t="shared" si="3"/>
        <v>C00206:1</v>
      </c>
      <c r="D124" s="17" t="str">
        <f t="shared" si="4"/>
        <v>C00206 : dADP</v>
      </c>
    </row>
    <row r="125" spans="1:4" x14ac:dyDescent="0.35">
      <c r="A125" t="s">
        <v>2721</v>
      </c>
      <c r="B125" t="s">
        <v>2985</v>
      </c>
      <c r="C125" s="16" t="str">
        <f t="shared" si="3"/>
        <v>C00209:1</v>
      </c>
      <c r="D125" s="17" t="str">
        <f t="shared" si="4"/>
        <v xml:space="preserve">C00209 : Oxalate </v>
      </c>
    </row>
    <row r="126" spans="1:4" x14ac:dyDescent="0.35">
      <c r="A126" t="s">
        <v>2391</v>
      </c>
      <c r="B126" t="s">
        <v>2986</v>
      </c>
      <c r="C126" s="16" t="str">
        <f t="shared" si="3"/>
        <v>C00212:1</v>
      </c>
      <c r="D126" s="17" t="str">
        <f t="shared" si="4"/>
        <v xml:space="preserve">C00212 : Adenosine </v>
      </c>
    </row>
    <row r="127" spans="1:4" x14ac:dyDescent="0.35">
      <c r="A127" t="s">
        <v>2666</v>
      </c>
      <c r="B127" t="s">
        <v>2987</v>
      </c>
      <c r="C127" s="16" t="str">
        <f t="shared" si="3"/>
        <v>C00214:1</v>
      </c>
      <c r="D127" s="17" t="str">
        <f t="shared" si="4"/>
        <v xml:space="preserve">C00214 : Thymidine </v>
      </c>
    </row>
    <row r="128" spans="1:4" x14ac:dyDescent="0.35">
      <c r="A128" t="s">
        <v>1323</v>
      </c>
      <c r="B128" t="s">
        <v>2988</v>
      </c>
      <c r="C128" s="16" t="str">
        <f t="shared" si="3"/>
        <v>C00217:1</v>
      </c>
      <c r="D128" s="17" t="str">
        <f t="shared" si="4"/>
        <v xml:space="preserve">C00217 : D-Glutamate </v>
      </c>
    </row>
    <row r="129" spans="1:4" x14ac:dyDescent="0.35">
      <c r="A129" t="s">
        <v>2673</v>
      </c>
      <c r="B129" t="s">
        <v>2989</v>
      </c>
      <c r="C129" s="16" t="str">
        <f t="shared" si="3"/>
        <v>C00224:1</v>
      </c>
      <c r="D129" s="17" t="str">
        <f t="shared" si="4"/>
        <v xml:space="preserve">C00224 : Adenylyl Sulfate </v>
      </c>
    </row>
    <row r="130" spans="1:4" x14ac:dyDescent="0.35">
      <c r="A130" t="s">
        <v>2479</v>
      </c>
      <c r="B130" t="s">
        <v>2990</v>
      </c>
      <c r="C130" s="16" t="str">
        <f t="shared" si="3"/>
        <v>C00226:1</v>
      </c>
      <c r="D130" s="17" t="str">
        <f t="shared" si="4"/>
        <v>C00226 : Primary Alcohol</v>
      </c>
    </row>
    <row r="131" spans="1:4" x14ac:dyDescent="0.35">
      <c r="A131" t="s">
        <v>2617</v>
      </c>
      <c r="B131" t="s">
        <v>2991</v>
      </c>
      <c r="C131" s="16" t="str">
        <f t="shared" ref="C131:C194" si="5">CONCATENATE(A131,":","1")</f>
        <v>C00227:1</v>
      </c>
      <c r="D131" s="17" t="str">
        <f t="shared" ref="D131:D194" si="6">CONCATENATE(A131," : ",B131)</f>
        <v>C00227 : Acetyl Phosphate</v>
      </c>
    </row>
    <row r="132" spans="1:4" x14ac:dyDescent="0.35">
      <c r="A132" t="s">
        <v>2655</v>
      </c>
      <c r="B132" t="s">
        <v>2992</v>
      </c>
      <c r="C132" s="16" t="str">
        <f t="shared" si="5"/>
        <v>C00229:1</v>
      </c>
      <c r="D132" s="17" t="str">
        <f t="shared" si="6"/>
        <v xml:space="preserve">C00229 : Acyl-carrier protein </v>
      </c>
    </row>
    <row r="133" spans="1:4" x14ac:dyDescent="0.35">
      <c r="A133" t="s">
        <v>1326</v>
      </c>
      <c r="B133" t="s">
        <v>2993</v>
      </c>
      <c r="C133" s="16" t="str">
        <f t="shared" si="5"/>
        <v>C00231:1</v>
      </c>
      <c r="D133" s="17" t="str">
        <f t="shared" si="6"/>
        <v xml:space="preserve">C00231 : D-Xylulose 5-Phosphate </v>
      </c>
    </row>
    <row r="134" spans="1:4" x14ac:dyDescent="0.35">
      <c r="A134" t="s">
        <v>2371</v>
      </c>
      <c r="B134" t="s">
        <v>2994</v>
      </c>
      <c r="C134" s="16" t="str">
        <f t="shared" si="5"/>
        <v>C00233:1</v>
      </c>
      <c r="D134" s="17" t="str">
        <f t="shared" si="6"/>
        <v xml:space="preserve">C00233 : 4-Methyl-2-oxopentanoate </v>
      </c>
    </row>
    <row r="135" spans="1:4" x14ac:dyDescent="0.35">
      <c r="A135" t="s">
        <v>2525</v>
      </c>
      <c r="B135" t="s">
        <v>2995</v>
      </c>
      <c r="C135" s="16" t="str">
        <f t="shared" si="5"/>
        <v>C00234:1</v>
      </c>
      <c r="D135" s="17" t="str">
        <f t="shared" si="6"/>
        <v>C00234 : 10-Formyltetrahydrofolate</v>
      </c>
    </row>
    <row r="136" spans="1:4" x14ac:dyDescent="0.35">
      <c r="A136" t="s">
        <v>1351</v>
      </c>
      <c r="B136" s="18" t="s">
        <v>2996</v>
      </c>
      <c r="C136" s="16" t="str">
        <f t="shared" si="5"/>
        <v>C00235:1</v>
      </c>
      <c r="D136" s="17" t="str">
        <f t="shared" si="6"/>
        <v>C00235 : Dimethylallyl diphosphate</v>
      </c>
    </row>
    <row r="137" spans="1:4" x14ac:dyDescent="0.35">
      <c r="A137" t="s">
        <v>2722</v>
      </c>
      <c r="B137" s="18" t="s">
        <v>2997</v>
      </c>
      <c r="C137" s="16" t="str">
        <f t="shared" si="5"/>
        <v>C00236:1</v>
      </c>
      <c r="D137" s="17" t="str">
        <f t="shared" si="6"/>
        <v>C00236 : 3-Phospho-D-glyceroyl phosphate</v>
      </c>
    </row>
    <row r="138" spans="1:4" x14ac:dyDescent="0.35">
      <c r="A138" t="s">
        <v>2408</v>
      </c>
      <c r="B138" t="s">
        <v>2998</v>
      </c>
      <c r="C138" s="16" t="str">
        <f t="shared" si="5"/>
        <v>C00239:1</v>
      </c>
      <c r="D138" s="17" t="str">
        <f t="shared" si="6"/>
        <v>C00239 : dCMP</v>
      </c>
    </row>
    <row r="139" spans="1:4" x14ac:dyDescent="0.35">
      <c r="A139" t="s">
        <v>2723</v>
      </c>
      <c r="B139" t="s">
        <v>65</v>
      </c>
      <c r="C139" s="16" t="str">
        <f t="shared" si="5"/>
        <v>C00240:1</v>
      </c>
      <c r="D139" s="17" t="str">
        <f t="shared" si="6"/>
        <v>C00240 : rRNA</v>
      </c>
    </row>
    <row r="140" spans="1:4" x14ac:dyDescent="0.35">
      <c r="A140" t="s">
        <v>2571</v>
      </c>
      <c r="B140" t="s">
        <v>2999</v>
      </c>
      <c r="C140" s="16" t="str">
        <f t="shared" si="5"/>
        <v>C00241:1</v>
      </c>
      <c r="D140" s="17" t="str">
        <f t="shared" si="6"/>
        <v>C00241 : Amide</v>
      </c>
    </row>
    <row r="141" spans="1:4" x14ac:dyDescent="0.35">
      <c r="A141" t="s">
        <v>2631</v>
      </c>
      <c r="B141" t="s">
        <v>3000</v>
      </c>
      <c r="C141" s="16" t="str">
        <f t="shared" si="5"/>
        <v>C00242:1</v>
      </c>
      <c r="D141" s="17" t="str">
        <f t="shared" si="6"/>
        <v>C00242 : Guanine</v>
      </c>
    </row>
    <row r="142" spans="1:4" x14ac:dyDescent="0.35">
      <c r="A142" t="s">
        <v>2724</v>
      </c>
      <c r="B142" t="s">
        <v>3001</v>
      </c>
      <c r="C142" s="16" t="str">
        <f t="shared" si="5"/>
        <v>C00245:1</v>
      </c>
      <c r="D142" s="17" t="str">
        <f t="shared" si="6"/>
        <v>C00245 : Taurine</v>
      </c>
    </row>
    <row r="143" spans="1:4" x14ac:dyDescent="0.35">
      <c r="A143" t="s">
        <v>2403</v>
      </c>
      <c r="B143" t="s">
        <v>3002</v>
      </c>
      <c r="C143" s="16" t="str">
        <f t="shared" si="5"/>
        <v>C00250:1</v>
      </c>
      <c r="D143" s="17" t="str">
        <f t="shared" si="6"/>
        <v>C00250 : Pyridoxal</v>
      </c>
    </row>
    <row r="144" spans="1:4" x14ac:dyDescent="0.35">
      <c r="A144" t="s">
        <v>2700</v>
      </c>
      <c r="B144" t="s">
        <v>3003</v>
      </c>
      <c r="C144" s="16" t="str">
        <f t="shared" si="5"/>
        <v>C00253:1</v>
      </c>
      <c r="D144" s="17" t="str">
        <f t="shared" si="6"/>
        <v>C00253 : Nicotinate</v>
      </c>
    </row>
    <row r="145" spans="1:4" x14ac:dyDescent="0.35">
      <c r="A145" t="s">
        <v>2725</v>
      </c>
      <c r="B145" t="s">
        <v>3004</v>
      </c>
      <c r="C145" s="16" t="str">
        <f t="shared" si="5"/>
        <v>C00255:1</v>
      </c>
      <c r="D145" s="17" t="str">
        <f t="shared" si="6"/>
        <v>C00255 : Riboflavin</v>
      </c>
    </row>
    <row r="146" spans="1:4" x14ac:dyDescent="0.35">
      <c r="A146" t="s">
        <v>2584</v>
      </c>
      <c r="B146" t="s">
        <v>3005</v>
      </c>
      <c r="C146" s="16" t="str">
        <f t="shared" si="5"/>
        <v>C00256:1</v>
      </c>
      <c r="D146" s="17" t="str">
        <f t="shared" si="6"/>
        <v>C00256 : (R)-Lactate</v>
      </c>
    </row>
    <row r="147" spans="1:4" x14ac:dyDescent="0.35">
      <c r="A147" t="s">
        <v>2726</v>
      </c>
      <c r="B147" t="s">
        <v>3006</v>
      </c>
      <c r="C147" s="16" t="str">
        <f t="shared" si="5"/>
        <v>C00257:1</v>
      </c>
      <c r="D147" s="17" t="str">
        <f t="shared" si="6"/>
        <v xml:space="preserve">C00257 : D-Gluconic Acid </v>
      </c>
    </row>
    <row r="148" spans="1:4" x14ac:dyDescent="0.35">
      <c r="A148" t="s">
        <v>2727</v>
      </c>
      <c r="B148" t="s">
        <v>3007</v>
      </c>
      <c r="C148" s="16" t="str">
        <f t="shared" si="5"/>
        <v>C00258:1</v>
      </c>
      <c r="D148" s="17" t="str">
        <f t="shared" si="6"/>
        <v>C00258 : D-Glycerate</v>
      </c>
    </row>
    <row r="149" spans="1:4" x14ac:dyDescent="0.35">
      <c r="A149" t="s">
        <v>2635</v>
      </c>
      <c r="B149" t="s">
        <v>3008</v>
      </c>
      <c r="C149" s="16" t="str">
        <f t="shared" si="5"/>
        <v>C00262:1</v>
      </c>
      <c r="D149" s="17" t="str">
        <f t="shared" si="6"/>
        <v>C00262 : Hypoxanthine</v>
      </c>
    </row>
    <row r="150" spans="1:4" x14ac:dyDescent="0.35">
      <c r="A150" t="s">
        <v>2491</v>
      </c>
      <c r="B150" t="s">
        <v>3009</v>
      </c>
      <c r="C150" s="16" t="str">
        <f t="shared" si="5"/>
        <v>C00263:1</v>
      </c>
      <c r="D150" s="17" t="str">
        <f t="shared" si="6"/>
        <v>C00263 : L-Homoserine</v>
      </c>
    </row>
    <row r="151" spans="1:4" x14ac:dyDescent="0.35">
      <c r="A151" t="s">
        <v>2728</v>
      </c>
      <c r="B151" t="s">
        <v>3406</v>
      </c>
      <c r="C151" s="16" t="str">
        <f t="shared" si="5"/>
        <v>C00267:1</v>
      </c>
      <c r="D151" s="17" t="str">
        <f t="shared" si="6"/>
        <v xml:space="preserve">C00267 : alpha-D-Glucose </v>
      </c>
    </row>
    <row r="152" spans="1:4" x14ac:dyDescent="0.35">
      <c r="A152" t="s">
        <v>2390</v>
      </c>
      <c r="B152" t="s">
        <v>3010</v>
      </c>
      <c r="C152" s="16" t="str">
        <f t="shared" si="5"/>
        <v>C00269:1</v>
      </c>
      <c r="D152" s="17" t="str">
        <f t="shared" si="6"/>
        <v>C00269 : CDP-diacylglycerol</v>
      </c>
    </row>
    <row r="153" spans="1:4" x14ac:dyDescent="0.35">
      <c r="A153" t="s">
        <v>2513</v>
      </c>
      <c r="B153" t="s">
        <v>3011</v>
      </c>
      <c r="C153" s="16" t="str">
        <f t="shared" si="5"/>
        <v>C00272:1</v>
      </c>
      <c r="D153" s="17" t="str">
        <f t="shared" si="6"/>
        <v>C00272 : Tetrahydrobiopterin</v>
      </c>
    </row>
    <row r="154" spans="1:4" x14ac:dyDescent="0.35">
      <c r="A154" t="s">
        <v>2729</v>
      </c>
      <c r="B154" t="s">
        <v>3012</v>
      </c>
      <c r="C154" s="16" t="str">
        <f t="shared" si="5"/>
        <v>C00283:1</v>
      </c>
      <c r="D154" s="17" t="str">
        <f t="shared" si="6"/>
        <v xml:space="preserve">C00283 : Hydrogen Sulfide </v>
      </c>
    </row>
    <row r="155" spans="1:4" x14ac:dyDescent="0.35">
      <c r="A155" t="s">
        <v>2379</v>
      </c>
      <c r="B155" t="s">
        <v>3013</v>
      </c>
      <c r="C155" s="16" t="str">
        <f t="shared" si="5"/>
        <v>C00286:1</v>
      </c>
      <c r="D155" s="17" t="str">
        <f t="shared" si="6"/>
        <v>C00286 : dGTP</v>
      </c>
    </row>
    <row r="156" spans="1:4" x14ac:dyDescent="0.35">
      <c r="A156" t="s">
        <v>2730</v>
      </c>
      <c r="B156" t="s">
        <v>3014</v>
      </c>
      <c r="C156" s="16" t="str">
        <f t="shared" si="5"/>
        <v>C00288:1</v>
      </c>
      <c r="D156" s="17" t="str">
        <f t="shared" si="6"/>
        <v>C00288 : HCO3-</v>
      </c>
    </row>
    <row r="157" spans="1:4" x14ac:dyDescent="0.35">
      <c r="A157" t="s">
        <v>2428</v>
      </c>
      <c r="B157" t="s">
        <v>3015</v>
      </c>
      <c r="C157" s="16" t="str">
        <f t="shared" si="5"/>
        <v>C00294:1</v>
      </c>
      <c r="D157" s="17" t="str">
        <f t="shared" si="6"/>
        <v>C00294 : Inosine</v>
      </c>
    </row>
    <row r="158" spans="1:4" x14ac:dyDescent="0.35">
      <c r="A158" t="s">
        <v>2618</v>
      </c>
      <c r="B158" t="s">
        <v>3016</v>
      </c>
      <c r="C158" s="16" t="str">
        <f t="shared" si="5"/>
        <v>C00295:1</v>
      </c>
      <c r="D158" s="17" t="str">
        <f t="shared" si="6"/>
        <v>C00295 : Orotate</v>
      </c>
    </row>
    <row r="159" spans="1:4" x14ac:dyDescent="0.35">
      <c r="A159" t="s">
        <v>2433</v>
      </c>
      <c r="B159" t="s">
        <v>3017</v>
      </c>
      <c r="C159" s="16" t="str">
        <f t="shared" si="5"/>
        <v>C00299:1</v>
      </c>
      <c r="D159" s="17" t="str">
        <f t="shared" si="6"/>
        <v>C00299 : Uridine</v>
      </c>
    </row>
    <row r="160" spans="1:4" x14ac:dyDescent="0.35">
      <c r="A160" t="s">
        <v>2385</v>
      </c>
      <c r="B160" t="s">
        <v>3018</v>
      </c>
      <c r="C160" s="16" t="str">
        <f t="shared" si="5"/>
        <v>C00301:1</v>
      </c>
      <c r="D160" s="17" t="str">
        <f t="shared" si="6"/>
        <v>C00301 : ADP-ribose</v>
      </c>
    </row>
    <row r="161" spans="1:4" x14ac:dyDescent="0.35">
      <c r="A161" t="s">
        <v>2731</v>
      </c>
      <c r="B161" t="s">
        <v>3019</v>
      </c>
      <c r="C161" s="16" t="str">
        <f t="shared" si="5"/>
        <v>C00302:1</v>
      </c>
      <c r="D161" s="17" t="str">
        <f t="shared" si="6"/>
        <v xml:space="preserve">C00302 : Glutamate </v>
      </c>
    </row>
    <row r="162" spans="1:4" x14ac:dyDescent="0.35">
      <c r="A162" t="s">
        <v>1310</v>
      </c>
      <c r="B162" t="s">
        <v>3020</v>
      </c>
      <c r="C162" s="16" t="str">
        <f t="shared" si="5"/>
        <v>C00313:1</v>
      </c>
      <c r="D162" s="17" t="str">
        <f t="shared" si="6"/>
        <v>C00313 : Oxalyl-CoA</v>
      </c>
    </row>
    <row r="163" spans="1:4" x14ac:dyDescent="0.35">
      <c r="A163" t="s">
        <v>2509</v>
      </c>
      <c r="B163" t="s">
        <v>3021</v>
      </c>
      <c r="C163" s="16" t="str">
        <f t="shared" si="5"/>
        <v>C00314:1</v>
      </c>
      <c r="D163" s="17" t="str">
        <f t="shared" si="6"/>
        <v>C00314 : Pyridoxine</v>
      </c>
    </row>
    <row r="164" spans="1:4" x14ac:dyDescent="0.35">
      <c r="A164" t="s">
        <v>2732</v>
      </c>
      <c r="B164" t="s">
        <v>3022</v>
      </c>
      <c r="C164" s="16" t="str">
        <f t="shared" si="5"/>
        <v>C00320:1</v>
      </c>
      <c r="D164" s="17" t="str">
        <f t="shared" si="6"/>
        <v>C00320 : Thiosulfate</v>
      </c>
    </row>
    <row r="165" spans="1:4" x14ac:dyDescent="0.35">
      <c r="A165" t="s">
        <v>2665</v>
      </c>
      <c r="B165" t="s">
        <v>3023</v>
      </c>
      <c r="C165" s="16" t="str">
        <f t="shared" si="5"/>
        <v>C00330:1</v>
      </c>
      <c r="D165" s="17" t="str">
        <f t="shared" si="6"/>
        <v>C00330 : Deoxyguanosine</v>
      </c>
    </row>
    <row r="166" spans="1:4" x14ac:dyDescent="0.35">
      <c r="A166" t="s">
        <v>2808</v>
      </c>
      <c r="B166" t="s">
        <v>3024</v>
      </c>
      <c r="C166" s="16" t="str">
        <f t="shared" si="5"/>
        <v>C00332:1</v>
      </c>
      <c r="D166" s="17" t="str">
        <f t="shared" si="6"/>
        <v>C00332 : Acetoacetyl-CoA</v>
      </c>
    </row>
    <row r="167" spans="1:4" x14ac:dyDescent="0.35">
      <c r="A167" t="s">
        <v>2507</v>
      </c>
      <c r="B167" t="s">
        <v>3025</v>
      </c>
      <c r="C167" s="16" t="str">
        <f t="shared" si="5"/>
        <v>C00337:1</v>
      </c>
      <c r="D167" s="17" t="str">
        <f t="shared" si="6"/>
        <v>C00337 : (S)-Dihydroorotate</v>
      </c>
    </row>
    <row r="168" spans="1:4" x14ac:dyDescent="0.35">
      <c r="A168" t="s">
        <v>2515</v>
      </c>
      <c r="B168" t="s">
        <v>3026</v>
      </c>
      <c r="C168" s="16" t="str">
        <f t="shared" si="5"/>
        <v>C00342:1</v>
      </c>
      <c r="D168" s="17" t="str">
        <f t="shared" si="6"/>
        <v>C00342 : Thioredoxin</v>
      </c>
    </row>
    <row r="169" spans="1:4" x14ac:dyDescent="0.35">
      <c r="A169" t="s">
        <v>2620</v>
      </c>
      <c r="B169" t="s">
        <v>3027</v>
      </c>
      <c r="C169" s="16" t="str">
        <f t="shared" si="5"/>
        <v>C00343:1</v>
      </c>
      <c r="D169" s="17" t="str">
        <f t="shared" si="6"/>
        <v xml:space="preserve">C00343 : Thioredoxin disulfide </v>
      </c>
    </row>
    <row r="170" spans="1:4" x14ac:dyDescent="0.35">
      <c r="A170" t="s">
        <v>2492</v>
      </c>
      <c r="B170" t="s">
        <v>3028</v>
      </c>
      <c r="C170" s="16" t="str">
        <f t="shared" si="5"/>
        <v>C00345:1</v>
      </c>
      <c r="D170" s="17" t="str">
        <f t="shared" si="6"/>
        <v>C00345 : 6-Phospho-D-gluconate</v>
      </c>
    </row>
    <row r="171" spans="1:4" x14ac:dyDescent="0.35">
      <c r="A171" t="s">
        <v>2395</v>
      </c>
      <c r="B171" t="s">
        <v>3029</v>
      </c>
      <c r="C171" s="16" t="str">
        <f t="shared" si="5"/>
        <v>C00350:1</v>
      </c>
      <c r="D171" s="17" t="str">
        <f t="shared" si="6"/>
        <v>C00350 : Phosphatidylethanolamine</v>
      </c>
    </row>
    <row r="172" spans="1:4" x14ac:dyDescent="0.35">
      <c r="A172" t="s">
        <v>1353</v>
      </c>
      <c r="B172" s="18" t="s">
        <v>3030</v>
      </c>
      <c r="C172" s="16" t="str">
        <f t="shared" si="5"/>
        <v>C00352:1</v>
      </c>
      <c r="D172" s="17" t="str">
        <f t="shared" si="6"/>
        <v>C00352 : D-Glucosamine 6-phosphate</v>
      </c>
    </row>
    <row r="173" spans="1:4" x14ac:dyDescent="0.35">
      <c r="A173" t="s">
        <v>2733</v>
      </c>
      <c r="B173" s="18" t="s">
        <v>3031</v>
      </c>
      <c r="C173" s="16" t="str">
        <f t="shared" si="5"/>
        <v>C00354:1</v>
      </c>
      <c r="D173" s="17" t="str">
        <f t="shared" si="6"/>
        <v>C00354 : D-Fructose 1,6-bisphosphate</v>
      </c>
    </row>
    <row r="174" spans="1:4" x14ac:dyDescent="0.35">
      <c r="A174" t="s">
        <v>2534</v>
      </c>
      <c r="B174" t="s">
        <v>3032</v>
      </c>
      <c r="C174" s="16" t="str">
        <f t="shared" si="5"/>
        <v>C00356:1</v>
      </c>
      <c r="D174" s="17" t="str">
        <f t="shared" si="6"/>
        <v>C00356 : (S)-3-Hydroxy-3-methylglutaryl-CoA</v>
      </c>
    </row>
    <row r="175" spans="1:4" x14ac:dyDescent="0.35">
      <c r="A175" t="s">
        <v>2577</v>
      </c>
      <c r="B175" s="18" t="s">
        <v>3033</v>
      </c>
      <c r="C175" s="16" t="str">
        <f t="shared" si="5"/>
        <v>C00357:1</v>
      </c>
      <c r="D175" s="17" t="str">
        <f t="shared" si="6"/>
        <v>C00357 : N-Acetyl-D-glucosamine 6-phosphate</v>
      </c>
    </row>
    <row r="176" spans="1:4" x14ac:dyDescent="0.35">
      <c r="A176" t="s">
        <v>2447</v>
      </c>
      <c r="B176" s="18" t="s">
        <v>3034</v>
      </c>
      <c r="C176" s="16" t="str">
        <f t="shared" si="5"/>
        <v>C00360:1</v>
      </c>
      <c r="D176" s="17" t="str">
        <f t="shared" si="6"/>
        <v>C00360 : dAMP</v>
      </c>
    </row>
    <row r="177" spans="1:4" x14ac:dyDescent="0.35">
      <c r="A177" t="s">
        <v>2445</v>
      </c>
      <c r="B177" s="18" t="s">
        <v>3035</v>
      </c>
      <c r="C177" s="16" t="str">
        <f t="shared" si="5"/>
        <v>C00361:1</v>
      </c>
      <c r="D177" s="17" t="str">
        <f t="shared" si="6"/>
        <v>C00361 : dGDP</v>
      </c>
    </row>
    <row r="178" spans="1:4" x14ac:dyDescent="0.35">
      <c r="A178" t="s">
        <v>2458</v>
      </c>
      <c r="B178" s="18" t="s">
        <v>3036</v>
      </c>
      <c r="C178" s="16" t="str">
        <f t="shared" si="5"/>
        <v>C00362:1</v>
      </c>
      <c r="D178" s="17" t="str">
        <f t="shared" si="6"/>
        <v>C00362 : dGMP</v>
      </c>
    </row>
    <row r="179" spans="1:4" x14ac:dyDescent="0.35">
      <c r="A179" t="s">
        <v>2456</v>
      </c>
      <c r="B179" s="18" t="s">
        <v>3037</v>
      </c>
      <c r="C179" s="16" t="str">
        <f t="shared" si="5"/>
        <v>C00364:1</v>
      </c>
      <c r="D179" s="17" t="str">
        <f t="shared" si="6"/>
        <v>C00364 : dTMP</v>
      </c>
    </row>
    <row r="180" spans="1:4" x14ac:dyDescent="0.35">
      <c r="A180" t="s">
        <v>2457</v>
      </c>
      <c r="B180" s="18" t="s">
        <v>3038</v>
      </c>
      <c r="C180" s="16" t="str">
        <f t="shared" si="5"/>
        <v>C00365:1</v>
      </c>
      <c r="D180" s="17" t="str">
        <f t="shared" si="6"/>
        <v>C00365 : dUMP</v>
      </c>
    </row>
    <row r="181" spans="1:4" x14ac:dyDescent="0.35">
      <c r="A181" t="s">
        <v>2535</v>
      </c>
      <c r="B181" s="18" t="s">
        <v>3039</v>
      </c>
      <c r="C181" s="16" t="str">
        <f t="shared" si="5"/>
        <v>C00369:1</v>
      </c>
      <c r="D181" s="17" t="str">
        <f t="shared" si="6"/>
        <v>C00369 : Starch</v>
      </c>
    </row>
    <row r="182" spans="1:4" x14ac:dyDescent="0.35">
      <c r="A182" t="s">
        <v>2594</v>
      </c>
      <c r="B182" s="18" t="s">
        <v>3040</v>
      </c>
      <c r="C182" s="16" t="str">
        <f t="shared" si="5"/>
        <v>C00376:1</v>
      </c>
      <c r="D182" s="17" t="str">
        <f t="shared" si="6"/>
        <v>C00376 : Retinal</v>
      </c>
    </row>
    <row r="183" spans="1:4" x14ac:dyDescent="0.35">
      <c r="A183" t="s">
        <v>2734</v>
      </c>
      <c r="B183" s="18" t="s">
        <v>3041</v>
      </c>
      <c r="C183" s="16" t="str">
        <f t="shared" si="5"/>
        <v>C00378:1</v>
      </c>
      <c r="D183" s="17" t="str">
        <f t="shared" si="6"/>
        <v>C00378 : Thiamine</v>
      </c>
    </row>
    <row r="184" spans="1:4" x14ac:dyDescent="0.35">
      <c r="A184" t="s">
        <v>2632</v>
      </c>
      <c r="B184" s="18" t="s">
        <v>3042</v>
      </c>
      <c r="C184" s="16" t="str">
        <f t="shared" si="5"/>
        <v>C00385:1</v>
      </c>
      <c r="D184" s="17" t="str">
        <f t="shared" si="6"/>
        <v>C00385 : Xanthine</v>
      </c>
    </row>
    <row r="185" spans="1:4" x14ac:dyDescent="0.35">
      <c r="A185" t="s">
        <v>2664</v>
      </c>
      <c r="B185" s="18" t="s">
        <v>3043</v>
      </c>
      <c r="C185" s="16" t="str">
        <f t="shared" si="5"/>
        <v>C00387:1</v>
      </c>
      <c r="D185" s="17" t="str">
        <f t="shared" si="6"/>
        <v xml:space="preserve">C00387 : Guanosine </v>
      </c>
    </row>
    <row r="186" spans="1:4" x14ac:dyDescent="0.35">
      <c r="A186" t="s">
        <v>2661</v>
      </c>
      <c r="B186" s="18" t="s">
        <v>3044</v>
      </c>
      <c r="C186" s="16" t="str">
        <f t="shared" si="5"/>
        <v>C00405:1</v>
      </c>
      <c r="D186" s="17" t="str">
        <f t="shared" si="6"/>
        <v>C00405 : D-Amino acid</v>
      </c>
    </row>
    <row r="187" spans="1:4" x14ac:dyDescent="0.35">
      <c r="A187" t="s">
        <v>2421</v>
      </c>
      <c r="B187" s="18" t="s">
        <v>3045</v>
      </c>
      <c r="C187" s="16" t="str">
        <f t="shared" si="5"/>
        <v>C00407:1</v>
      </c>
      <c r="D187" s="17" t="str">
        <f t="shared" si="6"/>
        <v>C00407 : L-Isoleucine</v>
      </c>
    </row>
    <row r="188" spans="1:4" x14ac:dyDescent="0.35">
      <c r="A188" t="s">
        <v>2404</v>
      </c>
      <c r="B188" s="18" t="s">
        <v>3046</v>
      </c>
      <c r="C188" s="16" t="str">
        <f t="shared" si="5"/>
        <v>C00415:1</v>
      </c>
      <c r="D188" s="17" t="str">
        <f t="shared" si="6"/>
        <v>C00415 : Dihydrofolate</v>
      </c>
    </row>
    <row r="189" spans="1:4" x14ac:dyDescent="0.35">
      <c r="A189" t="s">
        <v>2674</v>
      </c>
      <c r="B189" s="18" t="s">
        <v>3047</v>
      </c>
      <c r="C189" s="16" t="str">
        <f t="shared" si="5"/>
        <v>C00416:1</v>
      </c>
      <c r="D189" s="17" t="str">
        <f t="shared" si="6"/>
        <v>C00416 : Phosphatidate</v>
      </c>
    </row>
    <row r="190" spans="1:4" x14ac:dyDescent="0.35">
      <c r="A190" t="s">
        <v>2413</v>
      </c>
      <c r="B190" s="18" t="s">
        <v>3049</v>
      </c>
      <c r="C190" s="16" t="str">
        <f t="shared" si="5"/>
        <v>C00418:1</v>
      </c>
      <c r="D190" s="17" t="str">
        <f t="shared" si="6"/>
        <v>C00418 : ( R )-Mevalonate</v>
      </c>
    </row>
    <row r="191" spans="1:4" x14ac:dyDescent="0.35">
      <c r="A191" t="s">
        <v>1302</v>
      </c>
      <c r="B191" s="18" t="s">
        <v>3048</v>
      </c>
      <c r="C191" s="16" t="str">
        <f t="shared" si="5"/>
        <v>C00438:1</v>
      </c>
      <c r="D191" s="17" t="str">
        <f t="shared" si="6"/>
        <v>C00438 : N-Carbamoyl-L-aspartate</v>
      </c>
    </row>
    <row r="192" spans="1:4" x14ac:dyDescent="0.35">
      <c r="A192" t="s">
        <v>2506</v>
      </c>
      <c r="B192" s="18" t="s">
        <v>3050</v>
      </c>
      <c r="C192" s="16" t="str">
        <f t="shared" si="5"/>
        <v>C00441:1</v>
      </c>
      <c r="D192" s="17" t="str">
        <f t="shared" si="6"/>
        <v>C00441 : L-Aspartate 4-semialdehyde</v>
      </c>
    </row>
    <row r="193" spans="1:4" x14ac:dyDescent="0.35">
      <c r="A193" t="s">
        <v>2735</v>
      </c>
      <c r="B193" s="18" t="s">
        <v>3051</v>
      </c>
      <c r="C193" s="16" t="str">
        <f t="shared" si="5"/>
        <v>C00445:1</v>
      </c>
      <c r="D193" s="17" t="str">
        <f t="shared" si="6"/>
        <v>C00445 : 5,10-Methenyltetrahydrofolate</v>
      </c>
    </row>
    <row r="194" spans="1:4" x14ac:dyDescent="0.35">
      <c r="A194" t="s">
        <v>2736</v>
      </c>
      <c r="B194" s="18" t="s">
        <v>3052</v>
      </c>
      <c r="C194" s="16" t="str">
        <f t="shared" si="5"/>
        <v>C00446:1</v>
      </c>
      <c r="D194" s="17" t="str">
        <f t="shared" si="6"/>
        <v xml:space="preserve">C00446 : alpha-D-Galactose 1-phosphate </v>
      </c>
    </row>
    <row r="195" spans="1:4" x14ac:dyDescent="0.35">
      <c r="A195" t="s">
        <v>2737</v>
      </c>
      <c r="B195" s="18" t="s">
        <v>3053</v>
      </c>
      <c r="C195" s="16" t="str">
        <f t="shared" ref="C195:C258" si="7">CONCATENATE(A195,":","1")</f>
        <v>C00447:1</v>
      </c>
      <c r="D195" s="17" t="str">
        <f t="shared" ref="D195:D258" si="8">CONCATENATE(A195," : ",B195)</f>
        <v>C00447 : Sedoheptulose 1,7-bisphosphate</v>
      </c>
    </row>
    <row r="196" spans="1:4" x14ac:dyDescent="0.35">
      <c r="A196" t="s">
        <v>2652</v>
      </c>
      <c r="B196" s="18" t="s">
        <v>3054</v>
      </c>
      <c r="C196" s="16" t="str">
        <f t="shared" si="7"/>
        <v>C00454:1</v>
      </c>
      <c r="D196" s="17" t="str">
        <f t="shared" si="8"/>
        <v>C00454 : NDP</v>
      </c>
    </row>
    <row r="197" spans="1:4" x14ac:dyDescent="0.35">
      <c r="A197" t="s">
        <v>2454</v>
      </c>
      <c r="B197" s="18" t="s">
        <v>3055</v>
      </c>
      <c r="C197" s="16" t="str">
        <f t="shared" si="7"/>
        <v>C00455:1</v>
      </c>
      <c r="D197" s="17" t="str">
        <f t="shared" si="8"/>
        <v>C00455 : Nicotinamide-D-ribonucleotide</v>
      </c>
    </row>
    <row r="198" spans="1:4" x14ac:dyDescent="0.35">
      <c r="A198" t="s">
        <v>2394</v>
      </c>
      <c r="B198" s="18" t="s">
        <v>3056</v>
      </c>
      <c r="C198" s="16" t="str">
        <f t="shared" si="7"/>
        <v>C00458:1</v>
      </c>
      <c r="D198" s="17" t="str">
        <f t="shared" si="8"/>
        <v>C00458 : dCTP</v>
      </c>
    </row>
    <row r="199" spans="1:4" x14ac:dyDescent="0.35">
      <c r="A199" t="s">
        <v>2382</v>
      </c>
      <c r="B199" s="18" t="s">
        <v>3057</v>
      </c>
      <c r="C199" s="16" t="str">
        <f t="shared" si="7"/>
        <v>C00459:1</v>
      </c>
      <c r="D199" s="17" t="str">
        <f t="shared" si="8"/>
        <v>C00459 : dTTP</v>
      </c>
    </row>
    <row r="200" spans="1:4" x14ac:dyDescent="0.35">
      <c r="A200" t="s">
        <v>2502</v>
      </c>
      <c r="B200" s="18" t="s">
        <v>3058</v>
      </c>
      <c r="C200" s="16" t="str">
        <f t="shared" si="7"/>
        <v>C00460:1</v>
      </c>
      <c r="D200" s="17" t="str">
        <f t="shared" si="8"/>
        <v>C00460 : dUTP</v>
      </c>
    </row>
    <row r="201" spans="1:4" x14ac:dyDescent="0.35">
      <c r="A201" t="s">
        <v>2414</v>
      </c>
      <c r="B201" s="18" t="s">
        <v>3059</v>
      </c>
      <c r="C201" s="16" t="str">
        <f t="shared" si="7"/>
        <v>C00469:1</v>
      </c>
      <c r="D201" s="17" t="str">
        <f t="shared" si="8"/>
        <v>C00469 : Ethanol</v>
      </c>
    </row>
    <row r="202" spans="1:4" x14ac:dyDescent="0.35">
      <c r="A202" t="s">
        <v>2480</v>
      </c>
      <c r="B202" s="18" t="s">
        <v>3060</v>
      </c>
      <c r="C202" s="16" t="str">
        <f t="shared" si="7"/>
        <v>C00473:1</v>
      </c>
      <c r="D202" s="17" t="str">
        <f t="shared" si="8"/>
        <v>C00473 : Retinol</v>
      </c>
    </row>
    <row r="203" spans="1:4" x14ac:dyDescent="0.35">
      <c r="A203" t="s">
        <v>2663</v>
      </c>
      <c r="B203" s="18" t="s">
        <v>3061</v>
      </c>
      <c r="C203" s="16" t="str">
        <f t="shared" si="7"/>
        <v>C00475:1</v>
      </c>
      <c r="D203" s="17" t="str">
        <f t="shared" si="8"/>
        <v>C00475 : Cytidine</v>
      </c>
    </row>
    <row r="204" spans="1:4" x14ac:dyDescent="0.35">
      <c r="A204" t="s">
        <v>2431</v>
      </c>
      <c r="B204" s="18" t="s">
        <v>3062</v>
      </c>
      <c r="C204" s="16" t="str">
        <f t="shared" si="7"/>
        <v>C00492:1</v>
      </c>
      <c r="D204" s="17" t="str">
        <f t="shared" si="8"/>
        <v>C00492 : Raffinose</v>
      </c>
    </row>
    <row r="205" spans="1:4" x14ac:dyDescent="0.35">
      <c r="A205" t="s">
        <v>2538</v>
      </c>
      <c r="B205" s="18" t="s">
        <v>3063</v>
      </c>
      <c r="C205" s="16" t="str">
        <f t="shared" si="7"/>
        <v>C00498:1</v>
      </c>
      <c r="D205" s="17" t="str">
        <f t="shared" si="8"/>
        <v>C00498 : ADP-glucose</v>
      </c>
    </row>
    <row r="206" spans="1:4" x14ac:dyDescent="0.35">
      <c r="A206" t="s">
        <v>2399</v>
      </c>
      <c r="B206" s="18" t="s">
        <v>3064</v>
      </c>
      <c r="C206" s="16" t="str">
        <f t="shared" si="7"/>
        <v>C00504:1</v>
      </c>
      <c r="D206" s="17" t="str">
        <f t="shared" si="8"/>
        <v>C00504 : Folate</v>
      </c>
    </row>
    <row r="207" spans="1:4" x14ac:dyDescent="0.35">
      <c r="A207" t="s">
        <v>2389</v>
      </c>
      <c r="B207" s="18" t="s">
        <v>3065</v>
      </c>
      <c r="C207" s="16" t="str">
        <f t="shared" si="7"/>
        <v>C00506:1</v>
      </c>
      <c r="D207" s="17" t="str">
        <f t="shared" si="8"/>
        <v>C00506 : L-Cysteate</v>
      </c>
    </row>
    <row r="208" spans="1:4" x14ac:dyDescent="0.35">
      <c r="A208" t="s">
        <v>2738</v>
      </c>
      <c r="B208" s="18" t="s">
        <v>3066</v>
      </c>
      <c r="C208" s="16" t="str">
        <f t="shared" si="7"/>
        <v>C00513:1</v>
      </c>
      <c r="D208" s="17" t="str">
        <f t="shared" si="8"/>
        <v>C00513 : CDP-glycerol</v>
      </c>
    </row>
    <row r="209" spans="1:4" x14ac:dyDescent="0.35">
      <c r="A209" t="s">
        <v>2667</v>
      </c>
      <c r="B209" s="18" t="s">
        <v>3067</v>
      </c>
      <c r="C209" s="16" t="str">
        <f t="shared" si="7"/>
        <v>C00526:1</v>
      </c>
      <c r="D209" s="17" t="str">
        <f t="shared" si="8"/>
        <v>C00526 : Deoxyuridine</v>
      </c>
    </row>
    <row r="210" spans="1:4" x14ac:dyDescent="0.35">
      <c r="A210" t="s">
        <v>2682</v>
      </c>
      <c r="B210" s="18" t="s">
        <v>3068</v>
      </c>
      <c r="C210" s="16" t="str">
        <f t="shared" si="7"/>
        <v>C00530:1</v>
      </c>
      <c r="D210" s="17" t="str">
        <f t="shared" si="8"/>
        <v>C00530 : Hydroquinone</v>
      </c>
    </row>
    <row r="211" spans="1:4" x14ac:dyDescent="0.35">
      <c r="A211" t="s">
        <v>2510</v>
      </c>
      <c r="B211" s="18" t="s">
        <v>3069</v>
      </c>
      <c r="C211" s="16" t="str">
        <f t="shared" si="7"/>
        <v>C00534:1</v>
      </c>
      <c r="D211" s="17" t="str">
        <f t="shared" si="8"/>
        <v>C00534 : Pyridoxamine</v>
      </c>
    </row>
    <row r="212" spans="1:4" x14ac:dyDescent="0.35">
      <c r="A212" t="s">
        <v>2582</v>
      </c>
      <c r="B212" s="18" t="s">
        <v>3070</v>
      </c>
      <c r="C212" s="16" t="str">
        <f t="shared" si="7"/>
        <v>C00559:1</v>
      </c>
      <c r="D212" s="17" t="str">
        <f t="shared" si="8"/>
        <v>C00559 : Deoxyadenosine</v>
      </c>
    </row>
    <row r="213" spans="1:4" x14ac:dyDescent="0.35">
      <c r="A213" t="s">
        <v>1312</v>
      </c>
      <c r="B213" s="18" t="s">
        <v>3071</v>
      </c>
      <c r="C213" s="16" t="str">
        <f t="shared" si="7"/>
        <v>C00566:1</v>
      </c>
      <c r="D213" s="17" t="str">
        <f t="shared" si="8"/>
        <v>C00566 : (3S)-Citryl-CoA</v>
      </c>
    </row>
    <row r="214" spans="1:4" x14ac:dyDescent="0.35">
      <c r="A214" t="s">
        <v>2591</v>
      </c>
      <c r="B214" s="18" t="s">
        <v>3072</v>
      </c>
      <c r="C214" s="16" t="str">
        <f t="shared" si="7"/>
        <v>C00576:1</v>
      </c>
      <c r="D214" s="17" t="str">
        <f t="shared" si="8"/>
        <v xml:space="preserve">C00576 : Betaine aldehyde </v>
      </c>
    </row>
    <row r="215" spans="1:4" x14ac:dyDescent="0.35">
      <c r="A215" t="s">
        <v>2411</v>
      </c>
      <c r="B215" s="18" t="s">
        <v>3073</v>
      </c>
      <c r="C215" s="16" t="str">
        <f t="shared" si="7"/>
        <v>C00585:1</v>
      </c>
      <c r="D215" s="17" t="str">
        <f t="shared" si="8"/>
        <v>C00585 : Protein tyrosine</v>
      </c>
    </row>
    <row r="216" spans="1:4" x14ac:dyDescent="0.35">
      <c r="A216" t="s">
        <v>2530</v>
      </c>
      <c r="B216" s="18" t="s">
        <v>3074</v>
      </c>
      <c r="C216" s="16" t="str">
        <f t="shared" si="7"/>
        <v>C00605:1</v>
      </c>
      <c r="D216" s="17" t="str">
        <f t="shared" si="8"/>
        <v>C00605 : 2,3-Dehydroacyl-CoA</v>
      </c>
    </row>
    <row r="217" spans="1:4" x14ac:dyDescent="0.35">
      <c r="A217" t="s">
        <v>1293</v>
      </c>
      <c r="B217" s="18" t="s">
        <v>3075</v>
      </c>
      <c r="C217" s="16" t="str">
        <f t="shared" si="7"/>
        <v>C00606:1</v>
      </c>
      <c r="D217" s="17" t="str">
        <f t="shared" si="8"/>
        <v>C00606 : 3-Sulfino-L-alanine</v>
      </c>
    </row>
    <row r="218" spans="1:4" x14ac:dyDescent="0.35">
      <c r="A218" t="s">
        <v>2739</v>
      </c>
      <c r="B218" s="18" t="s">
        <v>3076</v>
      </c>
      <c r="C218" s="16" t="str">
        <f t="shared" si="7"/>
        <v>C00615:1</v>
      </c>
      <c r="D218" s="17" t="str">
        <f t="shared" si="8"/>
        <v>C00615 : Protein histidine</v>
      </c>
    </row>
    <row r="219" spans="1:4" x14ac:dyDescent="0.35">
      <c r="A219" t="s">
        <v>2511</v>
      </c>
      <c r="B219" s="18" t="s">
        <v>3077</v>
      </c>
      <c r="C219" s="16" t="str">
        <f t="shared" si="7"/>
        <v>C00627:1</v>
      </c>
      <c r="D219" s="17" t="str">
        <f t="shared" si="8"/>
        <v>C00627 : Pyridoxine phosphate</v>
      </c>
    </row>
    <row r="220" spans="1:4" x14ac:dyDescent="0.35">
      <c r="A220" t="s">
        <v>1313</v>
      </c>
      <c r="B220" s="18" t="s">
        <v>3078</v>
      </c>
      <c r="C220" s="16" t="str">
        <f t="shared" si="7"/>
        <v>C00631:1</v>
      </c>
      <c r="D220" s="17" t="str">
        <f t="shared" si="8"/>
        <v>C00631 : 2-Phospho-D-glycerate</v>
      </c>
    </row>
    <row r="221" spans="1:4" x14ac:dyDescent="0.35">
      <c r="A221" t="s">
        <v>2461</v>
      </c>
      <c r="B221" s="18" t="s">
        <v>3079</v>
      </c>
      <c r="C221" s="16" t="str">
        <f t="shared" si="7"/>
        <v>C00645:1</v>
      </c>
      <c r="D221" s="17" t="str">
        <f t="shared" si="8"/>
        <v>C00645 : N-Acetyl-D-mannosamine</v>
      </c>
    </row>
    <row r="222" spans="1:4" x14ac:dyDescent="0.35">
      <c r="A222" t="s">
        <v>2512</v>
      </c>
      <c r="B222" s="18" t="s">
        <v>3080</v>
      </c>
      <c r="C222" s="16" t="str">
        <f t="shared" si="7"/>
        <v>C00647:1</v>
      </c>
      <c r="D222" s="17" t="str">
        <f t="shared" si="8"/>
        <v>C00647 : Pyridoxamine phosphate</v>
      </c>
    </row>
    <row r="223" spans="1:4" x14ac:dyDescent="0.35">
      <c r="A223" t="s">
        <v>2809</v>
      </c>
      <c r="B223" s="18" t="s">
        <v>3081</v>
      </c>
      <c r="C223" s="16" t="str">
        <f t="shared" si="7"/>
        <v>C00653:1</v>
      </c>
      <c r="D223" s="17" t="str">
        <f t="shared" si="8"/>
        <v>C00653 : Poly(ribitol phosphate)</v>
      </c>
    </row>
    <row r="224" spans="1:4" x14ac:dyDescent="0.35">
      <c r="A224" t="s">
        <v>2365</v>
      </c>
      <c r="B224" s="18" t="s">
        <v>3082</v>
      </c>
      <c r="C224" s="16" t="str">
        <f t="shared" si="7"/>
        <v>C00655:1</v>
      </c>
      <c r="D224" s="17" t="str">
        <f t="shared" si="8"/>
        <v>C00655 : Xanthosine 5'-phosphate</v>
      </c>
    </row>
    <row r="225" spans="1:4" x14ac:dyDescent="0.35">
      <c r="A225" t="s">
        <v>1354</v>
      </c>
      <c r="B225" s="18" t="s">
        <v>3083</v>
      </c>
      <c r="C225" s="16" t="str">
        <f t="shared" si="7"/>
        <v>C00663:1</v>
      </c>
      <c r="D225" s="17" t="str">
        <f t="shared" si="8"/>
        <v>C00663 : beta-D-Glucose 1-phosphate</v>
      </c>
    </row>
    <row r="226" spans="1:4" x14ac:dyDescent="0.35">
      <c r="A226" t="s">
        <v>1324</v>
      </c>
      <c r="B226" s="18" t="s">
        <v>3084</v>
      </c>
      <c r="C226" s="16" t="str">
        <f t="shared" si="7"/>
        <v>C00666:1</v>
      </c>
      <c r="D226" s="17" t="str">
        <f t="shared" si="8"/>
        <v>C00666 : LL-2,6-Diaminoheptanedioate</v>
      </c>
    </row>
    <row r="227" spans="1:4" x14ac:dyDescent="0.35">
      <c r="A227" t="s">
        <v>1341</v>
      </c>
      <c r="B227" s="18" t="s">
        <v>3085</v>
      </c>
      <c r="C227" s="16" t="str">
        <f t="shared" si="7"/>
        <v>C00668:1</v>
      </c>
      <c r="D227" s="17" t="str">
        <f t="shared" si="8"/>
        <v xml:space="preserve">C00668 : alpha-D-Glucose 6-phosphate </v>
      </c>
    </row>
    <row r="228" spans="1:4" x14ac:dyDescent="0.35">
      <c r="A228" t="s">
        <v>2649</v>
      </c>
      <c r="B228" s="18" t="s">
        <v>3086</v>
      </c>
      <c r="C228" s="16" t="str">
        <f t="shared" si="7"/>
        <v>C00671:1</v>
      </c>
      <c r="D228" s="17" t="str">
        <f t="shared" si="8"/>
        <v>C00671 : (S)-3-Methyl-2-oxopentanoic acid</v>
      </c>
    </row>
    <row r="229" spans="1:4" x14ac:dyDescent="0.35">
      <c r="A229" t="s">
        <v>1311</v>
      </c>
      <c r="B229" s="18" t="s">
        <v>3087</v>
      </c>
      <c r="C229" s="16" t="str">
        <f t="shared" si="7"/>
        <v>C00673:1</v>
      </c>
      <c r="D229" s="17" t="str">
        <f t="shared" si="8"/>
        <v>C00673 : 2-Deoxy-D-ribose 5-phosphate</v>
      </c>
    </row>
    <row r="230" spans="1:4" x14ac:dyDescent="0.35">
      <c r="A230" t="s">
        <v>2503</v>
      </c>
      <c r="B230" s="18" t="s">
        <v>3088</v>
      </c>
      <c r="C230" s="16" t="str">
        <f t="shared" si="7"/>
        <v>C00677:1</v>
      </c>
      <c r="D230" s="17" t="str">
        <f t="shared" si="8"/>
        <v>C00677 : Deoxynucleoside triphosphate</v>
      </c>
    </row>
    <row r="231" spans="1:4" x14ac:dyDescent="0.35">
      <c r="A231" t="s">
        <v>1305</v>
      </c>
      <c r="B231" s="18" t="s">
        <v>3089</v>
      </c>
      <c r="C231" s="16" t="str">
        <f t="shared" si="7"/>
        <v>C00680:1</v>
      </c>
      <c r="D231" s="17" t="str">
        <f t="shared" si="8"/>
        <v>C00680 : meso-2,6-Diaminoheptanedioate</v>
      </c>
    </row>
    <row r="232" spans="1:4" x14ac:dyDescent="0.35">
      <c r="A232" t="s">
        <v>2626</v>
      </c>
      <c r="B232" s="18" t="s">
        <v>3090</v>
      </c>
      <c r="C232" s="16" t="str">
        <f t="shared" si="7"/>
        <v>C00681:1</v>
      </c>
      <c r="D232" s="17" t="str">
        <f t="shared" si="8"/>
        <v>C00681 : 1-Acyl-sn-glycerol 3-phosphate</v>
      </c>
    </row>
    <row r="233" spans="1:4" x14ac:dyDescent="0.35">
      <c r="A233" t="s">
        <v>2810</v>
      </c>
      <c r="B233" s="18" t="s">
        <v>3091</v>
      </c>
      <c r="C233" s="16" t="str">
        <f t="shared" si="7"/>
        <v>C00692:1</v>
      </c>
      <c r="D233" s="17" t="str">
        <f t="shared" si="8"/>
        <v>C00692 : UDP-N-acetylmuramoyl-L-alanyl-D-glutamate</v>
      </c>
    </row>
    <row r="234" spans="1:4" x14ac:dyDescent="0.35">
      <c r="A234" t="s">
        <v>2685</v>
      </c>
      <c r="B234" s="18" t="s">
        <v>3092</v>
      </c>
      <c r="C234" s="16" t="str">
        <f t="shared" si="7"/>
        <v>C00695:1</v>
      </c>
      <c r="D234" s="17" t="str">
        <f t="shared" si="8"/>
        <v>C00695 : Cholic Acid</v>
      </c>
    </row>
    <row r="235" spans="1:4" x14ac:dyDescent="0.35">
      <c r="A235" t="s">
        <v>2498</v>
      </c>
      <c r="B235" s="18" t="s">
        <v>3093</v>
      </c>
      <c r="C235" s="16" t="str">
        <f t="shared" si="7"/>
        <v>C00705:1</v>
      </c>
      <c r="D235" s="17" t="str">
        <f t="shared" si="8"/>
        <v>C00705 : dCDP</v>
      </c>
    </row>
    <row r="236" spans="1:4" x14ac:dyDescent="0.35">
      <c r="A236" t="s">
        <v>2694</v>
      </c>
      <c r="B236" s="18" t="s">
        <v>3094</v>
      </c>
      <c r="C236" s="16" t="str">
        <f t="shared" si="7"/>
        <v>C00712:1</v>
      </c>
      <c r="D236" s="17" t="str">
        <f t="shared" si="8"/>
        <v>C00712 : (9Z)-Octadecenoic acid</v>
      </c>
    </row>
    <row r="237" spans="1:4" x14ac:dyDescent="0.35">
      <c r="A237" t="s">
        <v>2381</v>
      </c>
      <c r="B237" s="18" t="s">
        <v>3095</v>
      </c>
      <c r="C237" s="16" t="str">
        <f t="shared" si="7"/>
        <v>C00718:1</v>
      </c>
      <c r="D237" s="17" t="str">
        <f t="shared" si="8"/>
        <v>C00718 : Amylose</v>
      </c>
    </row>
    <row r="238" spans="1:4" x14ac:dyDescent="0.35">
      <c r="A238" t="s">
        <v>2468</v>
      </c>
      <c r="B238" s="18" t="s">
        <v>3096</v>
      </c>
      <c r="C238" s="16" t="str">
        <f t="shared" si="7"/>
        <v>C00756:1</v>
      </c>
      <c r="D238" s="17" t="str">
        <f t="shared" si="8"/>
        <v>C00756 : 1-Octanol</v>
      </c>
    </row>
    <row r="239" spans="1:4" x14ac:dyDescent="0.35">
      <c r="A239" t="s">
        <v>2593</v>
      </c>
      <c r="B239" s="18" t="s">
        <v>3097</v>
      </c>
      <c r="C239" s="16" t="str">
        <f t="shared" si="7"/>
        <v>C00772:1</v>
      </c>
      <c r="D239" s="17" t="str">
        <f t="shared" si="8"/>
        <v>C00772 : Mevaldate</v>
      </c>
    </row>
    <row r="240" spans="1:4" x14ac:dyDescent="0.35">
      <c r="A240" t="s">
        <v>2811</v>
      </c>
      <c r="B240" s="18" t="s">
        <v>3098</v>
      </c>
      <c r="C240" s="16" t="str">
        <f t="shared" si="7"/>
        <v>C00787:1</v>
      </c>
      <c r="D240" s="17" t="str">
        <f t="shared" si="8"/>
        <v>C00787 : tRNA(Tyr)</v>
      </c>
    </row>
    <row r="241" spans="1:4" x14ac:dyDescent="0.35">
      <c r="A241" t="s">
        <v>2407</v>
      </c>
      <c r="B241" s="18" t="s">
        <v>3099</v>
      </c>
      <c r="C241" s="16" t="str">
        <f t="shared" si="7"/>
        <v>C00798:1</v>
      </c>
      <c r="D241" s="17" t="str">
        <f t="shared" si="8"/>
        <v>C00798 : Formyl-CoA</v>
      </c>
    </row>
    <row r="242" spans="1:4" x14ac:dyDescent="0.35">
      <c r="A242" t="s">
        <v>2572</v>
      </c>
      <c r="B242" s="18" t="s">
        <v>3100</v>
      </c>
      <c r="C242" s="16" t="str">
        <f t="shared" si="7"/>
        <v>C00819:1</v>
      </c>
      <c r="D242" s="17" t="str">
        <f t="shared" si="8"/>
        <v>C00819 : D-Glutamine</v>
      </c>
    </row>
    <row r="243" spans="1:4" x14ac:dyDescent="0.35">
      <c r="A243" t="s">
        <v>2740</v>
      </c>
      <c r="B243" s="18" t="s">
        <v>3102</v>
      </c>
      <c r="C243" s="16" t="str">
        <f t="shared" si="7"/>
        <v>C00831:1</v>
      </c>
      <c r="D243" s="17" t="str">
        <f t="shared" si="8"/>
        <v xml:space="preserve">C00831 : Pantethiene </v>
      </c>
    </row>
    <row r="244" spans="1:4" x14ac:dyDescent="0.35">
      <c r="A244" t="s">
        <v>1332</v>
      </c>
      <c r="B244" s="18" t="s">
        <v>3101</v>
      </c>
      <c r="C244" s="16" t="str">
        <f t="shared" si="7"/>
        <v>C00842:1</v>
      </c>
      <c r="D244" s="17" t="str">
        <f t="shared" si="8"/>
        <v>C00842 : dTDP-glucose</v>
      </c>
    </row>
    <row r="245" spans="1:4" x14ac:dyDescent="0.35">
      <c r="A245" t="s">
        <v>2741</v>
      </c>
      <c r="B245" s="18" t="s">
        <v>3103</v>
      </c>
      <c r="C245" s="16" t="str">
        <f t="shared" si="7"/>
        <v>C00857:1</v>
      </c>
      <c r="D245" s="17" t="str">
        <f t="shared" si="8"/>
        <v>C00857 : Deamino-NAD+</v>
      </c>
    </row>
    <row r="246" spans="1:4" x14ac:dyDescent="0.35">
      <c r="A246" t="s">
        <v>2742</v>
      </c>
      <c r="B246" s="18" t="s">
        <v>3104</v>
      </c>
      <c r="C246" s="16" t="str">
        <f t="shared" si="7"/>
        <v>C00864:1</v>
      </c>
      <c r="D246" s="17" t="str">
        <f t="shared" si="8"/>
        <v>C00864 : Pantothenate</v>
      </c>
    </row>
    <row r="247" spans="1:4" x14ac:dyDescent="0.35">
      <c r="A247" t="s">
        <v>1355</v>
      </c>
      <c r="B247" s="18" t="s">
        <v>3105</v>
      </c>
      <c r="C247" s="16" t="str">
        <f t="shared" si="7"/>
        <v>C00868:1</v>
      </c>
      <c r="D247" s="17" t="str">
        <f t="shared" si="8"/>
        <v>C00868 : tRNA uridine</v>
      </c>
    </row>
    <row r="248" spans="1:4" x14ac:dyDescent="0.35">
      <c r="A248" t="s">
        <v>2429</v>
      </c>
      <c r="B248" s="18" t="s">
        <v>3106</v>
      </c>
      <c r="C248" s="16" t="str">
        <f t="shared" si="7"/>
        <v>C00881:1</v>
      </c>
      <c r="D248" s="17" t="str">
        <f t="shared" si="8"/>
        <v>C00881 : Deoxycytidine</v>
      </c>
    </row>
    <row r="249" spans="1:4" x14ac:dyDescent="0.35">
      <c r="A249" t="s">
        <v>2743</v>
      </c>
      <c r="B249" s="18" t="s">
        <v>3107</v>
      </c>
      <c r="C249" s="16" t="str">
        <f t="shared" si="7"/>
        <v>C00882:1</v>
      </c>
      <c r="D249" s="17" t="str">
        <f t="shared" si="8"/>
        <v>C00882 : Dephospho-CoA</v>
      </c>
    </row>
    <row r="250" spans="1:4" x14ac:dyDescent="0.35">
      <c r="A250" t="s">
        <v>2812</v>
      </c>
      <c r="B250" s="18" t="s">
        <v>3108</v>
      </c>
      <c r="C250" s="16" t="str">
        <f t="shared" si="7"/>
        <v>C00886:1</v>
      </c>
      <c r="D250" s="17" t="str">
        <f t="shared" si="8"/>
        <v>C00886 : L-Alanyl-tRNA</v>
      </c>
    </row>
    <row r="251" spans="1:4" x14ac:dyDescent="0.35">
      <c r="A251" t="s">
        <v>2671</v>
      </c>
      <c r="B251" s="18" t="s">
        <v>3109</v>
      </c>
      <c r="C251" s="16" t="str">
        <f t="shared" si="7"/>
        <v>C00911:1</v>
      </c>
      <c r="D251" s="17" t="str">
        <f t="shared" si="8"/>
        <v>C00911 : Ribonucleoside</v>
      </c>
    </row>
    <row r="252" spans="1:4" x14ac:dyDescent="0.35">
      <c r="A252" t="s">
        <v>2476</v>
      </c>
      <c r="B252" s="18" t="s">
        <v>3110</v>
      </c>
      <c r="C252" s="16" t="str">
        <f t="shared" si="7"/>
        <v>C00934:1</v>
      </c>
      <c r="D252" s="17" t="str">
        <f t="shared" si="8"/>
        <v>C00934 : sugar phosphate</v>
      </c>
    </row>
    <row r="253" spans="1:4" x14ac:dyDescent="0.35">
      <c r="A253" t="s">
        <v>2608</v>
      </c>
      <c r="B253" s="18" t="s">
        <v>3111</v>
      </c>
      <c r="C253" s="16" t="str">
        <f t="shared" si="7"/>
        <v>C00957:1</v>
      </c>
      <c r="D253" s="17" t="str">
        <f t="shared" si="8"/>
        <v>C00957 : Mercaptopyruvate</v>
      </c>
    </row>
    <row r="254" spans="1:4" x14ac:dyDescent="0.35">
      <c r="A254" t="s">
        <v>2551</v>
      </c>
      <c r="B254" s="18" t="s">
        <v>3112</v>
      </c>
      <c r="C254" s="16" t="str">
        <f t="shared" si="7"/>
        <v>C00979:1</v>
      </c>
      <c r="D254" s="17" t="str">
        <f t="shared" si="8"/>
        <v>C00979 : O-Acetyl-L-serine</v>
      </c>
    </row>
    <row r="255" spans="1:4" x14ac:dyDescent="0.35">
      <c r="A255" t="s">
        <v>2744</v>
      </c>
      <c r="B255" s="18" t="s">
        <v>3113</v>
      </c>
      <c r="C255" s="16" t="str">
        <f t="shared" si="7"/>
        <v>C00984:1</v>
      </c>
      <c r="D255" s="17" t="str">
        <f t="shared" si="8"/>
        <v>C00984 : alpha-D-Galactose</v>
      </c>
    </row>
    <row r="256" spans="1:4" x14ac:dyDescent="0.35">
      <c r="A256" t="s">
        <v>2813</v>
      </c>
      <c r="B256" s="18" t="s">
        <v>3114</v>
      </c>
      <c r="C256" s="16" t="str">
        <f t="shared" si="7"/>
        <v>C00993:1</v>
      </c>
      <c r="D256" s="17" t="str">
        <f t="shared" si="8"/>
        <v>C00993 : D-Alanyl-D-alanine</v>
      </c>
    </row>
    <row r="257" spans="1:4" x14ac:dyDescent="0.35">
      <c r="A257" t="s">
        <v>2552</v>
      </c>
      <c r="B257" s="18" t="s">
        <v>3115</v>
      </c>
      <c r="C257" s="16" t="str">
        <f t="shared" si="7"/>
        <v>C01005:1</v>
      </c>
      <c r="D257" s="17" t="str">
        <f t="shared" si="8"/>
        <v>C01005 : O-Phospho-L-serine</v>
      </c>
    </row>
    <row r="258" spans="1:4" x14ac:dyDescent="0.35">
      <c r="A258" t="s">
        <v>2508</v>
      </c>
      <c r="B258" s="18" t="s">
        <v>3116</v>
      </c>
      <c r="C258" s="16" t="str">
        <f t="shared" si="7"/>
        <v>C01050:1</v>
      </c>
      <c r="D258" s="17" t="str">
        <f t="shared" si="8"/>
        <v>C01050 : UDP-N-acetylmuramate</v>
      </c>
    </row>
    <row r="259" spans="1:4" x14ac:dyDescent="0.35">
      <c r="A259" t="s">
        <v>2745</v>
      </c>
      <c r="B259" s="18" t="s">
        <v>3117</v>
      </c>
      <c r="C259" s="16" t="str">
        <f t="shared" ref="C259:C322" si="9">CONCATENATE(A259,":","1")</f>
        <v>C01094:1</v>
      </c>
      <c r="D259" s="17" t="str">
        <f t="shared" ref="D259:D322" si="10">CONCATENATE(A259," : ",B259)</f>
        <v>C01094 : D-Fructose 1-phosphate</v>
      </c>
    </row>
    <row r="260" spans="1:4" x14ac:dyDescent="0.35">
      <c r="A260" t="s">
        <v>2425</v>
      </c>
      <c r="B260" s="18" t="s">
        <v>3118</v>
      </c>
      <c r="C260" s="16" t="str">
        <f t="shared" si="9"/>
        <v>C01097:1</v>
      </c>
      <c r="D260" s="17" t="str">
        <f t="shared" si="10"/>
        <v>C01097 : D-Tagatose 6-phosphate</v>
      </c>
    </row>
    <row r="261" spans="1:4" x14ac:dyDescent="0.35">
      <c r="A261" t="s">
        <v>2402</v>
      </c>
      <c r="B261" s="18" t="s">
        <v>3119</v>
      </c>
      <c r="C261" s="16" t="str">
        <f t="shared" si="9"/>
        <v>C01102:1</v>
      </c>
      <c r="D261" s="17" t="str">
        <f t="shared" si="10"/>
        <v>C01102 : O-Phospho-L-homoserine</v>
      </c>
    </row>
    <row r="262" spans="1:4" x14ac:dyDescent="0.35">
      <c r="A262" t="s">
        <v>1308</v>
      </c>
      <c r="B262" s="18" t="s">
        <v>3120</v>
      </c>
      <c r="C262" s="16" t="str">
        <f t="shared" si="9"/>
        <v>C01103:1</v>
      </c>
      <c r="D262" s="17" t="str">
        <f t="shared" si="10"/>
        <v xml:space="preserve">C01103 : Orotidine 5'-phosphate </v>
      </c>
    </row>
    <row r="263" spans="1:4" x14ac:dyDescent="0.35">
      <c r="A263" t="s">
        <v>2746</v>
      </c>
      <c r="B263" s="18" t="s">
        <v>3121</v>
      </c>
      <c r="C263" s="16" t="str">
        <f t="shared" si="9"/>
        <v>C01107:1</v>
      </c>
      <c r="D263" s="17" t="str">
        <f t="shared" si="10"/>
        <v>C01107 : (R)-5-Phosphomevalonate</v>
      </c>
    </row>
    <row r="264" spans="1:4" x14ac:dyDescent="0.35">
      <c r="A264" t="s">
        <v>2690</v>
      </c>
      <c r="B264" s="18" t="s">
        <v>3122</v>
      </c>
      <c r="C264" s="16" t="str">
        <f t="shared" si="9"/>
        <v>C01134:1</v>
      </c>
      <c r="D264" s="17" t="str">
        <f t="shared" si="10"/>
        <v>C01134 : Pantetheine 4'-phosphate</v>
      </c>
    </row>
    <row r="265" spans="1:4" x14ac:dyDescent="0.35">
      <c r="A265" t="s">
        <v>2747</v>
      </c>
      <c r="B265" s="18" t="s">
        <v>3123</v>
      </c>
      <c r="C265" s="16" t="str">
        <f t="shared" si="9"/>
        <v>C01143:1</v>
      </c>
      <c r="D265" s="17" t="str">
        <f t="shared" si="10"/>
        <v>C01143 : (R)-5-Diphosphomevalonate</v>
      </c>
    </row>
    <row r="266" spans="1:4" x14ac:dyDescent="0.35">
      <c r="A266" t="s">
        <v>2466</v>
      </c>
      <c r="B266" s="18" t="s">
        <v>3124</v>
      </c>
      <c r="C266" s="16" t="str">
        <f t="shared" si="9"/>
        <v>C01167:1</v>
      </c>
      <c r="D266" s="17" t="str">
        <f t="shared" si="10"/>
        <v>C01167 : Protein tyrosine phosphate</v>
      </c>
    </row>
    <row r="267" spans="1:4" x14ac:dyDescent="0.35">
      <c r="A267" t="s">
        <v>1328</v>
      </c>
      <c r="B267" s="18" t="s">
        <v>3125</v>
      </c>
      <c r="C267" s="16" t="str">
        <f t="shared" si="9"/>
        <v>C01170:1</v>
      </c>
      <c r="D267" s="17" t="str">
        <f t="shared" si="10"/>
        <v>C01170 : UDP-N-acetyl-D-mannosamine</v>
      </c>
    </row>
    <row r="268" spans="1:4" x14ac:dyDescent="0.35">
      <c r="A268" t="s">
        <v>1345</v>
      </c>
      <c r="B268" s="18" t="s">
        <v>3126</v>
      </c>
      <c r="C268" s="16" t="str">
        <f t="shared" si="9"/>
        <v>C01172:1</v>
      </c>
      <c r="D268" s="17" t="str">
        <f t="shared" si="10"/>
        <v>C01172 : beta-D-Glucose 6-phosphate</v>
      </c>
    </row>
    <row r="269" spans="1:4" x14ac:dyDescent="0.35">
      <c r="A269" t="s">
        <v>2644</v>
      </c>
      <c r="B269" s="18" t="s">
        <v>3127</v>
      </c>
      <c r="C269" s="16" t="str">
        <f t="shared" si="9"/>
        <v>C01179:1</v>
      </c>
      <c r="D269" s="17" t="str">
        <f t="shared" si="10"/>
        <v>C01179 : 3-(4-Hydroxyphenyl)pyruvate</v>
      </c>
    </row>
    <row r="270" spans="1:4" x14ac:dyDescent="0.35">
      <c r="A270" t="s">
        <v>2455</v>
      </c>
      <c r="B270" s="18" t="s">
        <v>3128</v>
      </c>
      <c r="C270" s="16" t="str">
        <f t="shared" si="9"/>
        <v>C01185:1</v>
      </c>
      <c r="D270" s="17" t="str">
        <f t="shared" si="10"/>
        <v>C01185 : Nicotinate D-ribonucleotide</v>
      </c>
    </row>
    <row r="271" spans="1:4" x14ac:dyDescent="0.35">
      <c r="A271" t="s">
        <v>2748</v>
      </c>
      <c r="B271" s="18" t="s">
        <v>3129</v>
      </c>
      <c r="C271" s="16" t="str">
        <f t="shared" si="9"/>
        <v>C01212:1</v>
      </c>
      <c r="D271" s="17" t="str">
        <f t="shared" si="10"/>
        <v>C01212 : UDP-N-acetylmuramoyl-L-alanine</v>
      </c>
    </row>
    <row r="272" spans="1:4" x14ac:dyDescent="0.35">
      <c r="A272" t="s">
        <v>2749</v>
      </c>
      <c r="B272" s="18" t="s">
        <v>3130</v>
      </c>
      <c r="C272" s="16" t="str">
        <f t="shared" si="9"/>
        <v>C01217:1</v>
      </c>
      <c r="D272" s="17" t="str">
        <f t="shared" si="10"/>
        <v>C01217 : 5,6,7,8-Tetrahydromethanopterin</v>
      </c>
    </row>
    <row r="273" spans="1:4" x14ac:dyDescent="0.35">
      <c r="A273" t="s">
        <v>2610</v>
      </c>
      <c r="B273" s="18" t="s">
        <v>3131</v>
      </c>
      <c r="C273" s="16" t="str">
        <f t="shared" si="9"/>
        <v>C01236:1</v>
      </c>
      <c r="D273" s="17" t="str">
        <f t="shared" si="10"/>
        <v>C01236 : D-Glucono-1,5-lactone 6-phosphate</v>
      </c>
    </row>
    <row r="274" spans="1:4" x14ac:dyDescent="0.35">
      <c r="A274" t="s">
        <v>2583</v>
      </c>
      <c r="B274" s="18" t="s">
        <v>3132</v>
      </c>
      <c r="C274" s="16" t="str">
        <f t="shared" si="9"/>
        <v>C01260:1</v>
      </c>
      <c r="D274" s="17" t="str">
        <f t="shared" si="10"/>
        <v>C01260 : P1,P4-Bis(5'-adenosyl)tetraphosphate</v>
      </c>
    </row>
    <row r="275" spans="1:4" x14ac:dyDescent="0.35">
      <c r="A275" t="s">
        <v>2750</v>
      </c>
      <c r="B275" s="18" t="s">
        <v>3133</v>
      </c>
      <c r="C275" s="16" t="str">
        <f t="shared" si="9"/>
        <v>C01279:1</v>
      </c>
      <c r="D275" s="17" t="str">
        <f t="shared" si="10"/>
        <v>C01279 : 4-Amino-5-hydroxymethyl-2-methylpyrimidine</v>
      </c>
    </row>
    <row r="276" spans="1:4" x14ac:dyDescent="0.35">
      <c r="A276" t="s">
        <v>2499</v>
      </c>
      <c r="B276" s="18" t="s">
        <v>3134</v>
      </c>
      <c r="C276" s="16" t="str">
        <f t="shared" si="9"/>
        <v>C01346:1</v>
      </c>
      <c r="D276" s="17" t="str">
        <f t="shared" si="10"/>
        <v>C01346 : dUDP</v>
      </c>
    </row>
    <row r="277" spans="1:4" x14ac:dyDescent="0.35">
      <c r="A277" t="s">
        <v>2505</v>
      </c>
      <c r="B277" s="18" t="s">
        <v>3135</v>
      </c>
      <c r="C277" s="16" t="str">
        <f t="shared" si="9"/>
        <v>C01412:1</v>
      </c>
      <c r="D277" s="17" t="str">
        <f t="shared" si="10"/>
        <v>C01412 : Butanal</v>
      </c>
    </row>
    <row r="278" spans="1:4" x14ac:dyDescent="0.35">
      <c r="A278" t="s">
        <v>2596</v>
      </c>
      <c r="B278" s="18" t="s">
        <v>3136</v>
      </c>
      <c r="C278" s="16" t="str">
        <f t="shared" si="9"/>
        <v>C01450:1</v>
      </c>
      <c r="D278" s="17" t="str">
        <f t="shared" si="10"/>
        <v>C01450 : Ketone</v>
      </c>
    </row>
    <row r="279" spans="1:4" x14ac:dyDescent="0.35">
      <c r="A279" t="s">
        <v>2516</v>
      </c>
      <c r="B279" s="18" t="s">
        <v>3137</v>
      </c>
      <c r="C279" s="16" t="str">
        <f t="shared" si="9"/>
        <v>C01528:1</v>
      </c>
      <c r="D279" s="17" t="str">
        <f t="shared" si="10"/>
        <v>C01528 : Hydrogen Selenide</v>
      </c>
    </row>
    <row r="280" spans="1:4" x14ac:dyDescent="0.35">
      <c r="A280" t="s">
        <v>2595</v>
      </c>
      <c r="B280" s="18" t="s">
        <v>3138</v>
      </c>
      <c r="C280" s="16" t="str">
        <f t="shared" si="9"/>
        <v>C01545:1</v>
      </c>
      <c r="D280" s="17" t="str">
        <f t="shared" si="10"/>
        <v>C01545 : Octanal</v>
      </c>
    </row>
    <row r="281" spans="1:4" x14ac:dyDescent="0.35">
      <c r="A281" t="s">
        <v>2701</v>
      </c>
      <c r="B281" s="18" t="s">
        <v>3139</v>
      </c>
      <c r="C281" s="16" t="str">
        <f t="shared" si="9"/>
        <v>C01563:1</v>
      </c>
      <c r="D281" s="17" t="str">
        <f t="shared" si="10"/>
        <v>C01563 : Carbamate</v>
      </c>
    </row>
    <row r="282" spans="1:4" x14ac:dyDescent="0.35">
      <c r="A282" t="s">
        <v>2469</v>
      </c>
      <c r="B282" s="18" t="s">
        <v>3140</v>
      </c>
      <c r="C282" s="16" t="str">
        <f t="shared" si="9"/>
        <v>C01612:1</v>
      </c>
      <c r="D282" s="17" t="str">
        <f t="shared" si="10"/>
        <v>C01612 : Secondary alcohol</v>
      </c>
    </row>
    <row r="283" spans="1:4" x14ac:dyDescent="0.35">
      <c r="A283" t="s">
        <v>2377</v>
      </c>
      <c r="B283" s="18" t="s">
        <v>3141</v>
      </c>
      <c r="C283" s="16" t="str">
        <f t="shared" si="9"/>
        <v>C01613:1</v>
      </c>
      <c r="D283" s="17" t="str">
        <f t="shared" si="10"/>
        <v>C01613 : Stachyose</v>
      </c>
    </row>
    <row r="284" spans="1:4" x14ac:dyDescent="0.35">
      <c r="A284" t="s">
        <v>2814</v>
      </c>
      <c r="B284" s="18" t="s">
        <v>3142</v>
      </c>
      <c r="C284" s="16" t="str">
        <f t="shared" si="9"/>
        <v>C01635:1</v>
      </c>
      <c r="D284" s="17" t="str">
        <f t="shared" si="10"/>
        <v>C01635 : tRNA(Ala)</v>
      </c>
    </row>
    <row r="285" spans="1:4" x14ac:dyDescent="0.35">
      <c r="A285" t="s">
        <v>2815</v>
      </c>
      <c r="B285" s="18" t="s">
        <v>3143</v>
      </c>
      <c r="C285" s="16" t="str">
        <f t="shared" si="9"/>
        <v>C01636:1</v>
      </c>
      <c r="D285" s="17" t="str">
        <f t="shared" si="10"/>
        <v>C01636 : tRNA(Arg)</v>
      </c>
    </row>
    <row r="286" spans="1:4" x14ac:dyDescent="0.35">
      <c r="A286" t="s">
        <v>2586</v>
      </c>
      <c r="B286" s="18" t="s">
        <v>3144</v>
      </c>
      <c r="C286" s="16" t="str">
        <f t="shared" si="9"/>
        <v>C01638:1</v>
      </c>
      <c r="D286" s="17" t="str">
        <f t="shared" si="10"/>
        <v>C01638 : tRNA(Asp)</v>
      </c>
    </row>
    <row r="287" spans="1:4" x14ac:dyDescent="0.35">
      <c r="A287" t="s">
        <v>2816</v>
      </c>
      <c r="B287" s="18" t="s">
        <v>3145</v>
      </c>
      <c r="C287" s="16" t="str">
        <f t="shared" si="9"/>
        <v>C01639:1</v>
      </c>
      <c r="D287" s="17" t="str">
        <f t="shared" si="10"/>
        <v>C01639 : tRNA(Cys)</v>
      </c>
    </row>
    <row r="288" spans="1:4" x14ac:dyDescent="0.35">
      <c r="A288" t="s">
        <v>2587</v>
      </c>
      <c r="B288" s="18" t="s">
        <v>3146</v>
      </c>
      <c r="C288" s="16" t="str">
        <f t="shared" si="9"/>
        <v>C01641:1</v>
      </c>
      <c r="D288" s="17" t="str">
        <f t="shared" si="10"/>
        <v>C01641 : tRNA(Glu)</v>
      </c>
    </row>
    <row r="289" spans="1:4" x14ac:dyDescent="0.35">
      <c r="A289" t="s">
        <v>2817</v>
      </c>
      <c r="B289" s="18" t="s">
        <v>3147</v>
      </c>
      <c r="C289" s="16" t="str">
        <f t="shared" si="9"/>
        <v>C01642:1</v>
      </c>
      <c r="D289" s="17" t="str">
        <f t="shared" si="10"/>
        <v>C01642 : tRNA(Gly)</v>
      </c>
    </row>
    <row r="290" spans="1:4" x14ac:dyDescent="0.35">
      <c r="A290" t="s">
        <v>2818</v>
      </c>
      <c r="B290" s="18" t="s">
        <v>3148</v>
      </c>
      <c r="C290" s="16" t="str">
        <f t="shared" si="9"/>
        <v>C01644:1</v>
      </c>
      <c r="D290" s="17" t="str">
        <f t="shared" si="10"/>
        <v>C01644 : tRNA(Ile)</v>
      </c>
    </row>
    <row r="291" spans="1:4" x14ac:dyDescent="0.35">
      <c r="A291" t="s">
        <v>2819</v>
      </c>
      <c r="B291" s="18" t="s">
        <v>3149</v>
      </c>
      <c r="C291" s="16" t="str">
        <f t="shared" si="9"/>
        <v>C01645:1</v>
      </c>
      <c r="D291" s="17" t="str">
        <f t="shared" si="10"/>
        <v>C01645 : tRNA(Leu)</v>
      </c>
    </row>
    <row r="292" spans="1:4" x14ac:dyDescent="0.35">
      <c r="A292" t="s">
        <v>2820</v>
      </c>
      <c r="B292" s="18" t="s">
        <v>3150</v>
      </c>
      <c r="C292" s="16" t="str">
        <f t="shared" si="9"/>
        <v>C01646:1</v>
      </c>
      <c r="D292" s="17" t="str">
        <f t="shared" si="10"/>
        <v>C01646 : tRNA(Lys)</v>
      </c>
    </row>
    <row r="293" spans="1:4" x14ac:dyDescent="0.35">
      <c r="A293" t="s">
        <v>2821</v>
      </c>
      <c r="B293" s="18" t="s">
        <v>3151</v>
      </c>
      <c r="C293" s="16" t="str">
        <f t="shared" si="9"/>
        <v>C01647:1</v>
      </c>
      <c r="D293" s="17" t="str">
        <f t="shared" si="10"/>
        <v>C01647 : tRNA(Met)</v>
      </c>
    </row>
    <row r="294" spans="1:4" x14ac:dyDescent="0.35">
      <c r="A294" t="s">
        <v>2822</v>
      </c>
      <c r="B294" s="18" t="s">
        <v>3152</v>
      </c>
      <c r="C294" s="16" t="str">
        <f t="shared" si="9"/>
        <v>C01648:1</v>
      </c>
      <c r="D294" s="17" t="str">
        <f t="shared" si="10"/>
        <v>C01648 : tRNA(Phe)</v>
      </c>
    </row>
    <row r="295" spans="1:4" x14ac:dyDescent="0.35">
      <c r="A295" t="s">
        <v>2823</v>
      </c>
      <c r="B295" s="18" t="s">
        <v>3153</v>
      </c>
      <c r="C295" s="16" t="str">
        <f t="shared" si="9"/>
        <v>C01649:1</v>
      </c>
      <c r="D295" s="17" t="str">
        <f t="shared" si="10"/>
        <v>C01649 : tRNA(Pro)</v>
      </c>
    </row>
    <row r="296" spans="1:4" x14ac:dyDescent="0.35">
      <c r="A296" t="s">
        <v>2824</v>
      </c>
      <c r="B296" s="18" t="s">
        <v>3154</v>
      </c>
      <c r="C296" s="16" t="str">
        <f t="shared" si="9"/>
        <v>C01650:1</v>
      </c>
      <c r="D296" s="17" t="str">
        <f t="shared" si="10"/>
        <v>C01650 : tRNA(Ser)</v>
      </c>
    </row>
    <row r="297" spans="1:4" x14ac:dyDescent="0.35">
      <c r="A297" t="s">
        <v>2825</v>
      </c>
      <c r="B297" s="18" t="s">
        <v>3155</v>
      </c>
      <c r="C297" s="16" t="str">
        <f t="shared" si="9"/>
        <v>C01651:1</v>
      </c>
      <c r="D297" s="17" t="str">
        <f t="shared" si="10"/>
        <v>C01651 : tRNA(Thr)</v>
      </c>
    </row>
    <row r="298" spans="1:4" x14ac:dyDescent="0.35">
      <c r="A298" t="s">
        <v>2826</v>
      </c>
      <c r="B298" s="18" t="s">
        <v>3156</v>
      </c>
      <c r="C298" s="16" t="str">
        <f t="shared" si="9"/>
        <v>C01652:1</v>
      </c>
      <c r="D298" s="17" t="str">
        <f t="shared" si="10"/>
        <v>C01652 : tRNA(Trp)</v>
      </c>
    </row>
    <row r="299" spans="1:4" x14ac:dyDescent="0.35">
      <c r="A299" t="s">
        <v>2827</v>
      </c>
      <c r="B299" s="18" t="s">
        <v>3157</v>
      </c>
      <c r="C299" s="16" t="str">
        <f t="shared" si="9"/>
        <v>C01653:1</v>
      </c>
      <c r="D299" s="17" t="str">
        <f t="shared" si="10"/>
        <v>C01653 : tRNA(Val)</v>
      </c>
    </row>
    <row r="300" spans="1:4" x14ac:dyDescent="0.35">
      <c r="A300" t="s">
        <v>2669</v>
      </c>
      <c r="B300" s="18" t="s">
        <v>3158</v>
      </c>
      <c r="C300" s="16" t="str">
        <f t="shared" si="9"/>
        <v>C01762:1</v>
      </c>
      <c r="D300" s="17" t="str">
        <f t="shared" si="10"/>
        <v>C01762 : Xanthosine</v>
      </c>
    </row>
    <row r="301" spans="1:4" x14ac:dyDescent="0.35">
      <c r="A301" t="s">
        <v>2475</v>
      </c>
      <c r="B301" s="18" t="s">
        <v>3159</v>
      </c>
      <c r="C301" s="16" t="str">
        <f t="shared" si="9"/>
        <v>C01801:1</v>
      </c>
      <c r="D301" s="17" t="str">
        <f t="shared" si="10"/>
        <v>C01801 : Deoxyribose</v>
      </c>
    </row>
    <row r="302" spans="1:4" x14ac:dyDescent="0.35">
      <c r="A302" t="s">
        <v>2573</v>
      </c>
      <c r="B302" s="18" t="s">
        <v>3160</v>
      </c>
      <c r="C302" s="16" t="str">
        <f t="shared" si="9"/>
        <v>C01921:1</v>
      </c>
      <c r="D302" s="17" t="str">
        <f t="shared" si="10"/>
        <v>C01921 : Glycocholate</v>
      </c>
    </row>
    <row r="303" spans="1:4" x14ac:dyDescent="0.35">
      <c r="A303" t="s">
        <v>2828</v>
      </c>
      <c r="B303" s="18" t="s">
        <v>3161</v>
      </c>
      <c r="C303" s="16" t="str">
        <f t="shared" si="9"/>
        <v>C01931:1</v>
      </c>
      <c r="D303" s="17" t="str">
        <f t="shared" si="10"/>
        <v>C01931 : L-Lysyl-tRNA</v>
      </c>
    </row>
    <row r="304" spans="1:4" x14ac:dyDescent="0.35">
      <c r="A304" t="s">
        <v>2751</v>
      </c>
      <c r="B304" s="18" t="s">
        <v>3162</v>
      </c>
      <c r="C304" s="16" t="str">
        <f t="shared" si="9"/>
        <v>C01977:1</v>
      </c>
      <c r="D304" s="17" t="str">
        <f t="shared" si="10"/>
        <v>C01977 : tRNA guanine</v>
      </c>
    </row>
    <row r="305" spans="1:4" x14ac:dyDescent="0.35">
      <c r="A305" t="s">
        <v>2752</v>
      </c>
      <c r="B305" s="18" t="s">
        <v>3163</v>
      </c>
      <c r="C305" s="16" t="str">
        <f t="shared" si="9"/>
        <v>C01997:1</v>
      </c>
      <c r="D305" s="17" t="str">
        <f t="shared" si="10"/>
        <v>C01997 : Histone N6-acetyl-L-lysine</v>
      </c>
    </row>
    <row r="306" spans="1:4" x14ac:dyDescent="0.35">
      <c r="A306" t="s">
        <v>2829</v>
      </c>
      <c r="B306" s="18" t="s">
        <v>3164</v>
      </c>
      <c r="C306" s="16" t="str">
        <f t="shared" si="9"/>
        <v>C02047:1</v>
      </c>
      <c r="D306" s="17" t="str">
        <f t="shared" si="10"/>
        <v>C02047 : L-Leucyl-tRNA</v>
      </c>
    </row>
    <row r="307" spans="1:4" x14ac:dyDescent="0.35">
      <c r="A307" t="s">
        <v>2753</v>
      </c>
      <c r="B307" s="18" t="s">
        <v>3165</v>
      </c>
      <c r="C307" s="16" t="str">
        <f t="shared" si="9"/>
        <v>C02090:1</v>
      </c>
      <c r="D307" s="17" t="str">
        <f t="shared" si="10"/>
        <v>C02090 : Trypanothione</v>
      </c>
    </row>
    <row r="308" spans="1:4" x14ac:dyDescent="0.35">
      <c r="A308" t="s">
        <v>1333</v>
      </c>
      <c r="B308" s="18" t="s">
        <v>3166</v>
      </c>
      <c r="C308" s="16" t="str">
        <f t="shared" si="9"/>
        <v>C02097:1</v>
      </c>
      <c r="D308" s="17" t="str">
        <f t="shared" si="10"/>
        <v>C02097 : dTDP-galactose</v>
      </c>
    </row>
    <row r="309" spans="1:4" x14ac:dyDescent="0.35">
      <c r="A309" t="s">
        <v>2830</v>
      </c>
      <c r="B309" s="18" t="s">
        <v>3167</v>
      </c>
      <c r="C309" s="16" t="str">
        <f t="shared" si="9"/>
        <v>C02128:1</v>
      </c>
      <c r="D309" s="17" t="str">
        <f t="shared" si="10"/>
        <v>C02128 : 5'-Phospho-DNA</v>
      </c>
    </row>
    <row r="310" spans="1:4" x14ac:dyDescent="0.35">
      <c r="A310" t="s">
        <v>2532</v>
      </c>
      <c r="B310" s="18" t="s">
        <v>3168</v>
      </c>
      <c r="C310" s="16" t="str">
        <f t="shared" si="9"/>
        <v>C02133:1</v>
      </c>
      <c r="D310" s="17" t="str">
        <f t="shared" si="10"/>
        <v xml:space="preserve">C02133 : Acyl phosphate </v>
      </c>
    </row>
    <row r="311" spans="1:4" x14ac:dyDescent="0.35">
      <c r="A311" t="s">
        <v>2831</v>
      </c>
      <c r="B311" s="18" t="s">
        <v>3169</v>
      </c>
      <c r="C311" s="16" t="str">
        <f t="shared" si="9"/>
        <v>C02163:1</v>
      </c>
      <c r="D311" s="17" t="str">
        <f t="shared" si="10"/>
        <v>C02163 : L-Arginyl-tRNA(Arg)</v>
      </c>
    </row>
    <row r="312" spans="1:4" x14ac:dyDescent="0.35">
      <c r="A312" t="s">
        <v>2754</v>
      </c>
      <c r="B312" s="18" t="s">
        <v>3170</v>
      </c>
      <c r="C312" s="16" t="str">
        <f t="shared" si="9"/>
        <v>C02188:1</v>
      </c>
      <c r="D312" s="17" t="str">
        <f t="shared" si="10"/>
        <v>C02188 : Protein lysine</v>
      </c>
    </row>
    <row r="313" spans="1:4" x14ac:dyDescent="0.35">
      <c r="A313" t="s">
        <v>2559</v>
      </c>
      <c r="B313" s="18" t="s">
        <v>3171</v>
      </c>
      <c r="C313" s="16" t="str">
        <f t="shared" si="9"/>
        <v>C02211:1</v>
      </c>
      <c r="D313" s="17" t="str">
        <f t="shared" si="10"/>
        <v>C02211 : tRNA precursor</v>
      </c>
    </row>
    <row r="314" spans="1:4" x14ac:dyDescent="0.35">
      <c r="A314" t="s">
        <v>2683</v>
      </c>
      <c r="B314" s="18" t="s">
        <v>3172</v>
      </c>
      <c r="C314" s="16" t="str">
        <f t="shared" si="9"/>
        <v>C02323:1</v>
      </c>
      <c r="D314" s="17" t="str">
        <f t="shared" si="10"/>
        <v>C02323 : Salicyl alcohol</v>
      </c>
    </row>
    <row r="315" spans="1:4" x14ac:dyDescent="0.35">
      <c r="A315" t="s">
        <v>2369</v>
      </c>
      <c r="B315" s="18" t="s">
        <v>3173</v>
      </c>
      <c r="C315" s="16" t="str">
        <f t="shared" si="9"/>
        <v>C02336:1</v>
      </c>
      <c r="D315" s="17" t="str">
        <f t="shared" si="10"/>
        <v>C02336 : beta-D-Fructose</v>
      </c>
    </row>
    <row r="316" spans="1:4" x14ac:dyDescent="0.35">
      <c r="A316" t="s">
        <v>2755</v>
      </c>
      <c r="B316" s="19" t="s">
        <v>3174</v>
      </c>
      <c r="C316" s="16" t="str">
        <f t="shared" si="9"/>
        <v>C02342:1</v>
      </c>
      <c r="D316" s="17" t="str">
        <f t="shared" si="10"/>
        <v>C02342 :  'Activated'  tRNA</v>
      </c>
    </row>
    <row r="317" spans="1:4" x14ac:dyDescent="0.35">
      <c r="A317" t="s">
        <v>2422</v>
      </c>
      <c r="B317" s="19" t="s">
        <v>3198</v>
      </c>
      <c r="C317" s="16" t="str">
        <f t="shared" si="9"/>
        <v>C02356:1</v>
      </c>
      <c r="D317" s="17" t="str">
        <f t="shared" si="10"/>
        <v>C02356 : (S)-2-Aminobutanoate</v>
      </c>
    </row>
    <row r="318" spans="1:4" x14ac:dyDescent="0.35">
      <c r="A318" t="s">
        <v>2545</v>
      </c>
      <c r="B318" s="18" t="s">
        <v>3175</v>
      </c>
      <c r="C318" s="16" t="str">
        <f t="shared" si="9"/>
        <v>C02380:1</v>
      </c>
      <c r="D318" s="17" t="str">
        <f t="shared" si="10"/>
        <v>C02380 : 6-Mercaptopurine</v>
      </c>
    </row>
    <row r="319" spans="1:4" x14ac:dyDescent="0.35">
      <c r="A319" t="s">
        <v>2832</v>
      </c>
      <c r="B319" s="18" t="s">
        <v>3176</v>
      </c>
      <c r="C319" s="16" t="str">
        <f t="shared" si="9"/>
        <v>C02412:1</v>
      </c>
      <c r="D319" s="17" t="str">
        <f t="shared" si="10"/>
        <v>C02412 : Glycyl-tRNA(Gly)</v>
      </c>
    </row>
    <row r="320" spans="1:4" x14ac:dyDescent="0.35">
      <c r="A320" t="s">
        <v>2756</v>
      </c>
      <c r="B320" s="18" t="s">
        <v>3177</v>
      </c>
      <c r="C320" s="16" t="str">
        <f t="shared" si="9"/>
        <v>C02415:1</v>
      </c>
      <c r="D320" s="17" t="str">
        <f t="shared" si="10"/>
        <v>C02415 : Histone-L-lysine</v>
      </c>
    </row>
    <row r="321" spans="1:4" x14ac:dyDescent="0.35">
      <c r="A321" t="s">
        <v>2527</v>
      </c>
      <c r="B321" s="18" t="s">
        <v>3178</v>
      </c>
      <c r="C321" s="16" t="str">
        <f t="shared" si="9"/>
        <v>C02430:1</v>
      </c>
      <c r="D321" s="17" t="str">
        <f t="shared" si="10"/>
        <v>C02430 : L-Methionyl-tRNA</v>
      </c>
    </row>
    <row r="322" spans="1:4" x14ac:dyDescent="0.35">
      <c r="A322" t="s">
        <v>1346</v>
      </c>
      <c r="B322" s="18" t="s">
        <v>3179</v>
      </c>
      <c r="C322" s="16" t="str">
        <f t="shared" si="9"/>
        <v>C02501:1</v>
      </c>
      <c r="D322" s="17" t="str">
        <f t="shared" si="10"/>
        <v>C02501 : 2-Hydroxymuconate</v>
      </c>
    </row>
    <row r="323" spans="1:4" x14ac:dyDescent="0.35">
      <c r="A323" t="s">
        <v>2446</v>
      </c>
      <c r="B323" s="18" t="s">
        <v>3180</v>
      </c>
      <c r="C323" s="16" t="str">
        <f t="shared" ref="C323:C386" si="11">CONCATENATE(A323,":","1")</f>
        <v>C02520:1</v>
      </c>
      <c r="D323" s="17" t="str">
        <f t="shared" ref="D323:D386" si="12">CONCATENATE(A323," : ",B323)</f>
        <v>C02520 : 5'-Ribonucleotide</v>
      </c>
    </row>
    <row r="324" spans="1:4" x14ac:dyDescent="0.35">
      <c r="A324" t="s">
        <v>2686</v>
      </c>
      <c r="B324" s="18" t="s">
        <v>3181</v>
      </c>
      <c r="C324" s="16" t="str">
        <f t="shared" si="11"/>
        <v>C02528:1</v>
      </c>
      <c r="D324" s="17" t="str">
        <f t="shared" si="12"/>
        <v>C02528 : Chenodeoxycholate</v>
      </c>
    </row>
    <row r="325" spans="1:4" x14ac:dyDescent="0.35">
      <c r="A325" t="s">
        <v>2833</v>
      </c>
      <c r="B325" s="18" t="s">
        <v>3182</v>
      </c>
      <c r="C325" s="16" t="str">
        <f t="shared" si="11"/>
        <v>C02553:1</v>
      </c>
      <c r="D325" s="17" t="str">
        <f t="shared" si="12"/>
        <v>C02553 : L-Seryl-tRNA(Ser)</v>
      </c>
    </row>
    <row r="326" spans="1:4" x14ac:dyDescent="0.35">
      <c r="A326" t="s">
        <v>2834</v>
      </c>
      <c r="B326" s="18" t="s">
        <v>3183</v>
      </c>
      <c r="C326" s="16" t="str">
        <f t="shared" si="11"/>
        <v>C02554:1</v>
      </c>
      <c r="D326" s="17" t="str">
        <f t="shared" si="12"/>
        <v xml:space="preserve">C02554 : L-Valyl-tRNA(Val) </v>
      </c>
    </row>
    <row r="327" spans="1:4" x14ac:dyDescent="0.35">
      <c r="A327" t="s">
        <v>2521</v>
      </c>
      <c r="B327" s="18" t="s">
        <v>3184</v>
      </c>
      <c r="C327" s="16" t="str">
        <f t="shared" si="11"/>
        <v>C02583:1</v>
      </c>
      <c r="D327" s="17" t="str">
        <f t="shared" si="12"/>
        <v>C02583 : Protein glutamine</v>
      </c>
    </row>
    <row r="328" spans="1:4" x14ac:dyDescent="0.35">
      <c r="A328" t="s">
        <v>2835</v>
      </c>
      <c r="B328" s="18" t="s">
        <v>3185</v>
      </c>
      <c r="C328" s="16" t="str">
        <f t="shared" si="11"/>
        <v>C02702:1</v>
      </c>
      <c r="D328" s="17" t="str">
        <f t="shared" si="12"/>
        <v>C02702 : L-Prolyl-tRNA(Pro)</v>
      </c>
    </row>
    <row r="329" spans="1:4" x14ac:dyDescent="0.35">
      <c r="A329" t="s">
        <v>2757</v>
      </c>
      <c r="B329" s="18" t="s">
        <v>3186</v>
      </c>
      <c r="C329" s="16" t="str">
        <f t="shared" si="11"/>
        <v>C02743:1</v>
      </c>
      <c r="D329" s="17" t="str">
        <f t="shared" si="12"/>
        <v>C02743 : [Protein]-L-cysteine </v>
      </c>
    </row>
    <row r="330" spans="1:4" x14ac:dyDescent="0.35">
      <c r="A330" t="s">
        <v>1356</v>
      </c>
      <c r="B330" s="18" t="s">
        <v>3187</v>
      </c>
      <c r="C330" s="16" t="str">
        <f t="shared" si="11"/>
        <v>C02764:1</v>
      </c>
      <c r="D330" s="17" t="str">
        <f t="shared" si="12"/>
        <v>C02764 : tRNA pseudouridine</v>
      </c>
    </row>
    <row r="331" spans="1:4" x14ac:dyDescent="0.35">
      <c r="A331" t="s">
        <v>2836</v>
      </c>
      <c r="B331" s="18" t="s">
        <v>3188</v>
      </c>
      <c r="C331" s="16" t="str">
        <f t="shared" si="11"/>
        <v>C02839:1</v>
      </c>
      <c r="D331" s="17" t="str">
        <f t="shared" si="12"/>
        <v>C02839 : L-Tyrosyl-tRNA(Tyr)</v>
      </c>
    </row>
    <row r="332" spans="1:4" x14ac:dyDescent="0.35">
      <c r="A332" t="s">
        <v>2628</v>
      </c>
      <c r="B332" s="18" t="s">
        <v>3189</v>
      </c>
      <c r="C332" s="16" t="str">
        <f t="shared" si="11"/>
        <v>C02876:1</v>
      </c>
      <c r="D332" s="17" t="str">
        <f t="shared" si="12"/>
        <v>C02876 : Propanoyl phosphate</v>
      </c>
    </row>
    <row r="333" spans="1:4" x14ac:dyDescent="0.35">
      <c r="A333" t="s">
        <v>2415</v>
      </c>
      <c r="B333" s="18" t="s">
        <v>3190</v>
      </c>
      <c r="C333" s="16" t="str">
        <f t="shared" si="11"/>
        <v>C02909:1</v>
      </c>
      <c r="D333" s="17" t="str">
        <f t="shared" si="12"/>
        <v>C02909 : (2-Naphthyl)methanol</v>
      </c>
    </row>
    <row r="334" spans="1:4" x14ac:dyDescent="0.35">
      <c r="A334" t="s">
        <v>2619</v>
      </c>
      <c r="B334" s="18" t="s">
        <v>3191</v>
      </c>
      <c r="C334" s="16" t="str">
        <f t="shared" si="11"/>
        <v>C02953:1</v>
      </c>
      <c r="D334" s="17" t="str">
        <f t="shared" si="12"/>
        <v>C02953 : 7,8-Dihydrobiopterin</v>
      </c>
    </row>
    <row r="335" spans="1:4" x14ac:dyDescent="0.35">
      <c r="A335" t="s">
        <v>1339</v>
      </c>
      <c r="B335" s="18" t="s">
        <v>3192</v>
      </c>
      <c r="C335" s="16" t="str">
        <f t="shared" si="11"/>
        <v>C02962:1</v>
      </c>
      <c r="D335" s="17" t="str">
        <f t="shared" si="12"/>
        <v>C02962 : D-Allose 6-phosphate</v>
      </c>
    </row>
    <row r="336" spans="1:4" x14ac:dyDescent="0.35">
      <c r="A336" t="s">
        <v>2697</v>
      </c>
      <c r="B336" s="18" t="s">
        <v>3193</v>
      </c>
      <c r="C336" s="16" t="str">
        <f t="shared" si="11"/>
        <v>C02984:1</v>
      </c>
      <c r="D336" s="17" t="str">
        <f t="shared" si="12"/>
        <v>C02984 : L-Aspartyl-tRNA(Asp)</v>
      </c>
    </row>
    <row r="337" spans="1:4" x14ac:dyDescent="0.35">
      <c r="A337" t="s">
        <v>2698</v>
      </c>
      <c r="B337" s="18" t="s">
        <v>3194</v>
      </c>
      <c r="C337" s="16" t="str">
        <f t="shared" si="11"/>
        <v>C02987:1</v>
      </c>
      <c r="D337" s="17" t="str">
        <f t="shared" si="12"/>
        <v>C02987 : L-Glutamyl-tRNA(Glu)</v>
      </c>
    </row>
    <row r="338" spans="1:4" x14ac:dyDescent="0.35">
      <c r="A338" t="s">
        <v>2837</v>
      </c>
      <c r="B338" s="18" t="s">
        <v>3195</v>
      </c>
      <c r="C338" s="16" t="str">
        <f t="shared" si="11"/>
        <v>C02992:1</v>
      </c>
      <c r="D338" s="17" t="str">
        <f t="shared" si="12"/>
        <v>C02992 : L-Threonyl-tRNA(Thr)</v>
      </c>
    </row>
    <row r="339" spans="1:4" x14ac:dyDescent="0.35">
      <c r="A339" t="s">
        <v>2517</v>
      </c>
      <c r="B339" t="s">
        <v>3196</v>
      </c>
      <c r="C339" s="16" t="str">
        <f t="shared" si="11"/>
        <v>C03023:1</v>
      </c>
      <c r="D339" s="17" t="str">
        <f t="shared" si="12"/>
        <v xml:space="preserve">C03023 : Peptide-L-methionine </v>
      </c>
    </row>
    <row r="340" spans="1:4" x14ac:dyDescent="0.35">
      <c r="A340" t="s">
        <v>2653</v>
      </c>
      <c r="B340" t="s">
        <v>3197</v>
      </c>
      <c r="C340" s="16" t="str">
        <f t="shared" si="11"/>
        <v>C03028:1</v>
      </c>
      <c r="D340" s="17" t="str">
        <f t="shared" si="12"/>
        <v xml:space="preserve">C03028 : Thiamine Triphosphate </v>
      </c>
    </row>
    <row r="341" spans="1:4" x14ac:dyDescent="0.35">
      <c r="A341" t="s">
        <v>2392</v>
      </c>
      <c r="B341" s="18" t="s">
        <v>3199</v>
      </c>
      <c r="C341" s="16" t="str">
        <f t="shared" si="11"/>
        <v>C03082:1</v>
      </c>
      <c r="D341" s="17" t="str">
        <f t="shared" si="12"/>
        <v>C03082 : 4-Phospho-L-aspartate</v>
      </c>
    </row>
    <row r="342" spans="1:4" x14ac:dyDescent="0.35">
      <c r="A342" t="s">
        <v>2758</v>
      </c>
      <c r="B342" s="18" t="s">
        <v>3200</v>
      </c>
      <c r="C342" s="16" t="str">
        <f t="shared" si="11"/>
        <v>C03089:1</v>
      </c>
      <c r="D342" s="17" t="str">
        <f t="shared" si="12"/>
        <v>C03089 : 5-Methylthio-D-ribose</v>
      </c>
    </row>
    <row r="343" spans="1:4" x14ac:dyDescent="0.35">
      <c r="A343" t="s">
        <v>2543</v>
      </c>
      <c r="B343" s="18" t="s">
        <v>3201</v>
      </c>
      <c r="C343" s="16" t="str">
        <f t="shared" si="11"/>
        <v>C03090:1</v>
      </c>
      <c r="D343" s="17" t="str">
        <f t="shared" si="12"/>
        <v>C03090 : 5-Phosphoribosylamine</v>
      </c>
    </row>
    <row r="344" spans="1:4" x14ac:dyDescent="0.35">
      <c r="A344" t="s">
        <v>2838</v>
      </c>
      <c r="B344" t="s">
        <v>3202</v>
      </c>
      <c r="C344" s="16" t="str">
        <f t="shared" si="11"/>
        <v>C03125:1</v>
      </c>
      <c r="D344" s="17" t="str">
        <f t="shared" si="12"/>
        <v>C03125 : L-Cysteinyl-tRNA(Cys)</v>
      </c>
    </row>
    <row r="345" spans="1:4" x14ac:dyDescent="0.35">
      <c r="A345" t="s">
        <v>2839</v>
      </c>
      <c r="B345" s="18" t="s">
        <v>3203</v>
      </c>
      <c r="C345" s="16" t="str">
        <f t="shared" si="11"/>
        <v>C03127:1</v>
      </c>
      <c r="D345" s="17" t="str">
        <f t="shared" si="12"/>
        <v>C03127 : L-Isoleucyl-tRNA(Ile)</v>
      </c>
    </row>
    <row r="346" spans="1:4" x14ac:dyDescent="0.35">
      <c r="A346" t="s">
        <v>2668</v>
      </c>
      <c r="B346" s="18" t="s">
        <v>3204</v>
      </c>
      <c r="C346" s="16" t="str">
        <f t="shared" si="11"/>
        <v>C03150:1</v>
      </c>
      <c r="D346" s="17" t="str">
        <f t="shared" si="12"/>
        <v>C03150 : Nicotinamide-beta-riboside</v>
      </c>
    </row>
    <row r="347" spans="1:4" x14ac:dyDescent="0.35">
      <c r="A347" t="s">
        <v>2759</v>
      </c>
      <c r="B347" s="18" t="s">
        <v>3205</v>
      </c>
      <c r="C347" s="16" t="str">
        <f t="shared" si="11"/>
        <v>C03170:1</v>
      </c>
      <c r="D347" s="17" t="str">
        <f t="shared" si="12"/>
        <v>C03170 : Trypanothione disulfide</v>
      </c>
    </row>
    <row r="348" spans="1:4" x14ac:dyDescent="0.35">
      <c r="A348" t="s">
        <v>2518</v>
      </c>
      <c r="B348" s="18" t="s">
        <v>3206</v>
      </c>
      <c r="C348" s="16" t="str">
        <f t="shared" si="11"/>
        <v>C03172:1</v>
      </c>
      <c r="D348" s="17" t="str">
        <f t="shared" si="12"/>
        <v>C03172 : S-Methyl-L-methionine</v>
      </c>
    </row>
    <row r="349" spans="1:4" x14ac:dyDescent="0.35">
      <c r="A349" t="s">
        <v>1315</v>
      </c>
      <c r="B349" s="18" t="s">
        <v>3207</v>
      </c>
      <c r="C349" s="16" t="str">
        <f t="shared" si="11"/>
        <v>C03195:1</v>
      </c>
      <c r="D349" s="17" t="str">
        <f t="shared" si="12"/>
        <v>C03195 : (R)-10-Hydroxystearate</v>
      </c>
    </row>
    <row r="350" spans="1:4" x14ac:dyDescent="0.35">
      <c r="A350" t="s">
        <v>2760</v>
      </c>
      <c r="B350" s="18" t="s">
        <v>3208</v>
      </c>
      <c r="C350" s="16" t="str">
        <f t="shared" si="11"/>
        <v>C03294:1</v>
      </c>
      <c r="D350" s="17" t="str">
        <f t="shared" si="12"/>
        <v>C03294 : N-Formylmethionyl-tRNA</v>
      </c>
    </row>
    <row r="351" spans="1:4" x14ac:dyDescent="0.35">
      <c r="A351" t="s">
        <v>1314</v>
      </c>
      <c r="B351" s="18" t="s">
        <v>3209</v>
      </c>
      <c r="C351" s="16" t="str">
        <f t="shared" si="11"/>
        <v>C03356:1</v>
      </c>
      <c r="D351" s="17" t="str">
        <f t="shared" si="12"/>
        <v>C03356 : 3-Phospho-D-erythronate</v>
      </c>
    </row>
    <row r="352" spans="1:4" x14ac:dyDescent="0.35">
      <c r="A352" t="s">
        <v>2689</v>
      </c>
      <c r="B352" s="18" t="s">
        <v>3210</v>
      </c>
      <c r="C352" s="16" t="str">
        <f t="shared" si="11"/>
        <v>C03373:1</v>
      </c>
      <c r="D352" s="17" t="str">
        <f t="shared" si="12"/>
        <v>C03373 : Aminoimidazole Ribotide</v>
      </c>
    </row>
    <row r="353" spans="1:4" x14ac:dyDescent="0.35">
      <c r="A353" t="s">
        <v>1347</v>
      </c>
      <c r="B353" s="18" t="s">
        <v>3211</v>
      </c>
      <c r="C353" s="16" t="str">
        <f t="shared" si="11"/>
        <v>C03453:1</v>
      </c>
      <c r="D353" s="17" t="str">
        <f t="shared" si="12"/>
        <v>C03453 : gamma-Oxalocrotonate</v>
      </c>
    </row>
    <row r="354" spans="1:4" x14ac:dyDescent="0.35">
      <c r="A354" t="s">
        <v>2761</v>
      </c>
      <c r="B354" s="18" t="s">
        <v>3212</v>
      </c>
      <c r="C354" s="16" t="str">
        <f t="shared" si="11"/>
        <v>C03479:1</v>
      </c>
      <c r="D354" s="17" t="str">
        <f t="shared" si="12"/>
        <v>C03479 : Folinic Acid</v>
      </c>
    </row>
    <row r="355" spans="1:4" x14ac:dyDescent="0.35">
      <c r="A355" t="s">
        <v>2762</v>
      </c>
      <c r="B355" s="18" t="s">
        <v>3213</v>
      </c>
      <c r="C355" s="16" t="str">
        <f t="shared" si="11"/>
        <v>C03492:1</v>
      </c>
      <c r="D355" s="17" t="str">
        <f t="shared" si="12"/>
        <v>C03492 : D-4'-Phosphopantothenate</v>
      </c>
    </row>
    <row r="356" spans="1:4" x14ac:dyDescent="0.35">
      <c r="A356" t="s">
        <v>2840</v>
      </c>
      <c r="B356" s="18" t="s">
        <v>3214</v>
      </c>
      <c r="C356" s="16" t="str">
        <f t="shared" si="11"/>
        <v>C03511:1</v>
      </c>
      <c r="D356" s="17" t="str">
        <f t="shared" si="12"/>
        <v>C03511 : L-Phenylalanyl-tRNA(Phe)</v>
      </c>
    </row>
    <row r="357" spans="1:4" x14ac:dyDescent="0.35">
      <c r="A357" t="s">
        <v>2841</v>
      </c>
      <c r="B357" s="18" t="s">
        <v>3215</v>
      </c>
      <c r="C357" s="16" t="str">
        <f t="shared" si="11"/>
        <v>C03512:1</v>
      </c>
      <c r="D357" s="17" t="str">
        <f t="shared" si="12"/>
        <v>C03512 : L-Tryptophanyl-tRNA(Trp)</v>
      </c>
    </row>
    <row r="358" spans="1:4" x14ac:dyDescent="0.35">
      <c r="A358" t="s">
        <v>2660</v>
      </c>
      <c r="B358" t="s">
        <v>3216</v>
      </c>
      <c r="C358" s="16" t="str">
        <f t="shared" si="11"/>
        <v>C03523:1</v>
      </c>
      <c r="D358" s="17" t="str">
        <f t="shared" si="12"/>
        <v xml:space="preserve">C03523 : N-Substituted amino acid </v>
      </c>
    </row>
    <row r="359" spans="1:4" x14ac:dyDescent="0.35">
      <c r="A359" t="s">
        <v>1319</v>
      </c>
      <c r="B359" s="18" t="s">
        <v>3217</v>
      </c>
      <c r="C359" s="16" t="str">
        <f t="shared" si="11"/>
        <v>C03539:1</v>
      </c>
      <c r="D359" s="17" t="str">
        <f t="shared" si="12"/>
        <v>C03539 : S-Ribosyl-L-homocysteine</v>
      </c>
    </row>
    <row r="360" spans="1:4" x14ac:dyDescent="0.35">
      <c r="A360" t="s">
        <v>2763</v>
      </c>
      <c r="B360" s="18" t="s">
        <v>3218</v>
      </c>
      <c r="C360" s="16" t="str">
        <f t="shared" si="11"/>
        <v>C03617:1</v>
      </c>
      <c r="D360" s="17" t="str">
        <f t="shared" si="12"/>
        <v>C03617 : L-Methionylaminoacyl-tRNA</v>
      </c>
    </row>
    <row r="361" spans="1:4" x14ac:dyDescent="0.35">
      <c r="A361" t="s">
        <v>1335</v>
      </c>
      <c r="B361" s="18" t="s">
        <v>3219</v>
      </c>
      <c r="C361" s="16" t="str">
        <f t="shared" si="11"/>
        <v>C03633:1</v>
      </c>
      <c r="D361" s="17" t="str">
        <f t="shared" si="12"/>
        <v>C03633 : Peptidylproline (omega=0)</v>
      </c>
    </row>
    <row r="362" spans="1:4" x14ac:dyDescent="0.35">
      <c r="A362" t="s">
        <v>2764</v>
      </c>
      <c r="B362" s="18" t="s">
        <v>3220</v>
      </c>
      <c r="C362" s="16" t="str">
        <f t="shared" si="11"/>
        <v>C03688:1</v>
      </c>
      <c r="D362" s="17" t="str">
        <f t="shared" si="12"/>
        <v>C03688 : Apo-[acyl-carrier protein]</v>
      </c>
    </row>
    <row r="363" spans="1:4" x14ac:dyDescent="0.35">
      <c r="A363" t="s">
        <v>2614</v>
      </c>
      <c r="B363" s="18" t="s">
        <v>3221</v>
      </c>
      <c r="C363" s="16" t="str">
        <f t="shared" si="11"/>
        <v>C03723:1</v>
      </c>
      <c r="D363" s="17" t="str">
        <f t="shared" si="12"/>
        <v>C03723 : Ribonucleoside diphosphate</v>
      </c>
    </row>
    <row r="364" spans="1:4" x14ac:dyDescent="0.35">
      <c r="A364" t="s">
        <v>2470</v>
      </c>
      <c r="B364" s="18" t="s">
        <v>3222</v>
      </c>
      <c r="C364" s="16" t="str">
        <f t="shared" si="11"/>
        <v>C03785:1</v>
      </c>
      <c r="D364" s="17" t="str">
        <f t="shared" si="12"/>
        <v>C03785 : D-Tagatose 1,6-bisphosphate</v>
      </c>
    </row>
    <row r="365" spans="1:4" x14ac:dyDescent="0.35">
      <c r="A365" t="s">
        <v>1316</v>
      </c>
      <c r="B365" s="18" t="s">
        <v>3223</v>
      </c>
      <c r="C365" s="16" t="str">
        <f t="shared" si="11"/>
        <v>C03794:1</v>
      </c>
      <c r="D365" s="17" t="str">
        <f t="shared" si="12"/>
        <v>C03794 : N6-(1,2-Dicarboxyethyl)-AMP</v>
      </c>
    </row>
    <row r="366" spans="1:4" x14ac:dyDescent="0.35">
      <c r="A366" t="s">
        <v>1334</v>
      </c>
      <c r="B366" s="18" t="s">
        <v>3224</v>
      </c>
      <c r="C366" s="16" t="str">
        <f t="shared" si="11"/>
        <v>C03798:1</v>
      </c>
      <c r="D366" s="17" t="str">
        <f t="shared" si="12"/>
        <v>C03798 : Peptidylproline (omega=180)</v>
      </c>
    </row>
    <row r="367" spans="1:4" x14ac:dyDescent="0.35">
      <c r="A367" t="s">
        <v>2367</v>
      </c>
      <c r="B367" s="18" t="s">
        <v>3225</v>
      </c>
      <c r="C367" s="16" t="str">
        <f t="shared" si="11"/>
        <v>C03800:1</v>
      </c>
      <c r="D367" s="17" t="str">
        <f t="shared" si="12"/>
        <v>C03800 : Protein S-methyl-L-cysteine</v>
      </c>
    </row>
    <row r="368" spans="1:4" x14ac:dyDescent="0.35">
      <c r="A368" t="s">
        <v>2616</v>
      </c>
      <c r="B368" s="18" t="s">
        <v>3226</v>
      </c>
      <c r="C368" s="16" t="str">
        <f t="shared" si="11"/>
        <v>C03802:1</v>
      </c>
      <c r="D368" s="17" t="str">
        <f t="shared" si="12"/>
        <v>C03802 : Ribonucleoside triphosphate</v>
      </c>
    </row>
    <row r="369" spans="1:4" x14ac:dyDescent="0.35">
      <c r="A369" t="s">
        <v>2765</v>
      </c>
      <c r="B369" s="18" t="s">
        <v>3227</v>
      </c>
      <c r="C369" s="16" t="str">
        <f t="shared" si="11"/>
        <v>C03803:1</v>
      </c>
      <c r="D369" s="17" t="str">
        <f t="shared" si="12"/>
        <v>C03803 : Ribosomal-protein L-alanine</v>
      </c>
    </row>
    <row r="370" spans="1:4" x14ac:dyDescent="0.35">
      <c r="A370" t="s">
        <v>2526</v>
      </c>
      <c r="B370" s="18" t="s">
        <v>3228</v>
      </c>
      <c r="C370" s="16" t="str">
        <f t="shared" si="11"/>
        <v>C03838:1</v>
      </c>
      <c r="D370" s="17" t="str">
        <f t="shared" si="12"/>
        <v>C03838 : 5'-Phosphoribosylglycinamide</v>
      </c>
    </row>
    <row r="371" spans="1:4" x14ac:dyDescent="0.35">
      <c r="A371" t="s">
        <v>2474</v>
      </c>
      <c r="B371" s="18" t="s">
        <v>3229</v>
      </c>
      <c r="C371" s="16" t="str">
        <f t="shared" si="11"/>
        <v>C03880:1</v>
      </c>
      <c r="D371" s="17" t="str">
        <f t="shared" si="12"/>
        <v>C03880 : N-Substituted aminoacyl-tRNA</v>
      </c>
    </row>
    <row r="372" spans="1:4" x14ac:dyDescent="0.35">
      <c r="A372" t="s">
        <v>2766</v>
      </c>
      <c r="B372" s="18" t="s">
        <v>3230</v>
      </c>
      <c r="C372" s="16" t="str">
        <f t="shared" si="11"/>
        <v>C03892:1</v>
      </c>
      <c r="D372" s="17" t="str">
        <f t="shared" si="12"/>
        <v>C03892 : Phosphatidylglycerophosphate</v>
      </c>
    </row>
    <row r="373" spans="1:4" x14ac:dyDescent="0.35">
      <c r="A373" t="s">
        <v>2442</v>
      </c>
      <c r="B373" s="18" t="s">
        <v>3231</v>
      </c>
      <c r="C373" s="16" t="str">
        <f t="shared" si="11"/>
        <v>C03895:1</v>
      </c>
      <c r="D373" s="17" t="str">
        <f t="shared" si="12"/>
        <v>C03895 : Peptide-L-methionine (S)-S-oxide</v>
      </c>
    </row>
    <row r="374" spans="1:4" x14ac:dyDescent="0.35">
      <c r="A374" t="s">
        <v>2496</v>
      </c>
      <c r="B374" s="18" t="s">
        <v>3232</v>
      </c>
      <c r="C374" s="16" t="str">
        <f t="shared" si="11"/>
        <v>C03972:1</v>
      </c>
      <c r="D374" s="17" t="str">
        <f t="shared" si="12"/>
        <v>C03972 : 2,3,4,5-Tetrahydrodipicolinate</v>
      </c>
    </row>
    <row r="375" spans="1:4" x14ac:dyDescent="0.35">
      <c r="A375" t="s">
        <v>2634</v>
      </c>
      <c r="B375" t="s">
        <v>3233</v>
      </c>
      <c r="C375" s="16" t="str">
        <f t="shared" si="11"/>
        <v>C04051:1</v>
      </c>
      <c r="D375" s="17" t="str">
        <f t="shared" si="12"/>
        <v>C04051 : 5-Amino-4-imidazolecarboxyamide</v>
      </c>
    </row>
    <row r="376" spans="1:4" x14ac:dyDescent="0.35">
      <c r="A376" t="s">
        <v>2767</v>
      </c>
      <c r="B376" s="18" t="s">
        <v>3234</v>
      </c>
      <c r="C376" s="16" t="str">
        <f t="shared" si="11"/>
        <v>C04079:1</v>
      </c>
      <c r="D376" s="17" t="str">
        <f t="shared" si="12"/>
        <v>C04079 : N-((R)-Pantothenoyl)-L-cysteine</v>
      </c>
    </row>
    <row r="377" spans="1:4" x14ac:dyDescent="0.35">
      <c r="A377" t="s">
        <v>2622</v>
      </c>
      <c r="B377" s="18" t="s">
        <v>3235</v>
      </c>
      <c r="C377" s="16" t="str">
        <f t="shared" si="11"/>
        <v>C04144:1</v>
      </c>
      <c r="D377" s="17" t="str">
        <f t="shared" si="12"/>
        <v>C04144 : Tetrahydropteroyltri-L-glutamate</v>
      </c>
    </row>
    <row r="378" spans="1:4" x14ac:dyDescent="0.35">
      <c r="A378" t="s">
        <v>2768</v>
      </c>
      <c r="B378" t="s">
        <v>3236</v>
      </c>
      <c r="C378" s="16" t="str">
        <f t="shared" si="11"/>
        <v>C04153:1</v>
      </c>
      <c r="D378" s="17" t="str">
        <f t="shared" si="12"/>
        <v>C04153 : rRNA containing N2-methylguanine</v>
      </c>
    </row>
    <row r="379" spans="1:4" x14ac:dyDescent="0.35">
      <c r="A379" t="s">
        <v>2769</v>
      </c>
      <c r="B379" s="18" t="s">
        <v>3237</v>
      </c>
      <c r="C379" s="16" t="str">
        <f t="shared" si="11"/>
        <v>C04157:1</v>
      </c>
      <c r="D379" s="17" t="str">
        <f t="shared" si="12"/>
        <v>C04157 : tRNA containing N1-methylguanine</v>
      </c>
    </row>
    <row r="380" spans="1:4" x14ac:dyDescent="0.35">
      <c r="A380" t="s">
        <v>2770</v>
      </c>
      <c r="B380" s="18" t="s">
        <v>3238</v>
      </c>
      <c r="C380" s="16" t="str">
        <f t="shared" si="11"/>
        <v>C04160:1</v>
      </c>
      <c r="D380" s="17" t="str">
        <f t="shared" si="12"/>
        <v>C04160 : tRNA containing N7-methylguanine</v>
      </c>
    </row>
    <row r="381" spans="1:4" x14ac:dyDescent="0.35">
      <c r="A381" t="s">
        <v>2771</v>
      </c>
      <c r="B381" s="18" t="s">
        <v>3239</v>
      </c>
      <c r="C381" s="16" t="str">
        <f t="shared" si="11"/>
        <v>C04161:1</v>
      </c>
      <c r="D381" s="17" t="str">
        <f t="shared" si="12"/>
        <v>C04161 : tRNA containing a thionucleotide</v>
      </c>
    </row>
    <row r="382" spans="1:4" x14ac:dyDescent="0.35">
      <c r="A382" t="s">
        <v>2500</v>
      </c>
      <c r="B382" s="18" t="s">
        <v>3240</v>
      </c>
      <c r="C382" s="16" t="str">
        <f t="shared" si="11"/>
        <v>C04232:1</v>
      </c>
      <c r="D382" s="17" t="str">
        <f t="shared" si="12"/>
        <v>C04232 : 2'-Deoxyribonucleoside diphosphate</v>
      </c>
    </row>
    <row r="383" spans="1:4" x14ac:dyDescent="0.35">
      <c r="A383" t="s">
        <v>2477</v>
      </c>
      <c r="B383" s="18" t="s">
        <v>3241</v>
      </c>
      <c r="C383" s="16" t="str">
        <f t="shared" si="11"/>
        <v>C04242:1</v>
      </c>
      <c r="D383" s="17" t="str">
        <f t="shared" si="12"/>
        <v>C04242 : 5-Fluorodeoxyuridine monophosphate</v>
      </c>
    </row>
    <row r="384" spans="1:4" x14ac:dyDescent="0.35">
      <c r="A384" t="s">
        <v>2522</v>
      </c>
      <c r="B384" s="18" t="s">
        <v>3242</v>
      </c>
      <c r="C384" s="16" t="str">
        <f t="shared" si="11"/>
        <v>C04250:1</v>
      </c>
      <c r="D384" s="17" t="str">
        <f t="shared" si="12"/>
        <v>C04250 : DNA containing 6-O-methylguanine</v>
      </c>
    </row>
    <row r="385" spans="1:4" x14ac:dyDescent="0.35">
      <c r="A385" t="s">
        <v>2579</v>
      </c>
      <c r="B385" s="18" t="s">
        <v>3243</v>
      </c>
      <c r="C385" s="16" t="str">
        <f t="shared" si="11"/>
        <v>C04258:1</v>
      </c>
      <c r="D385" s="17" t="str">
        <f t="shared" si="12"/>
        <v>C04258 : N-Formyl-L-methionylaminoacyl-tRNA</v>
      </c>
    </row>
    <row r="386" spans="1:4" x14ac:dyDescent="0.35">
      <c r="A386" t="s">
        <v>2842</v>
      </c>
      <c r="B386" s="18" t="s">
        <v>3244</v>
      </c>
      <c r="C386" s="16" t="str">
        <f t="shared" si="11"/>
        <v>C04260:1</v>
      </c>
      <c r="D386" s="17" t="str">
        <f t="shared" si="12"/>
        <v>C04260 : O-D-Alanyl-poly(ribitol phosphate)</v>
      </c>
    </row>
    <row r="387" spans="1:4" x14ac:dyDescent="0.35">
      <c r="A387" t="s">
        <v>2772</v>
      </c>
      <c r="B387" s="18" t="s">
        <v>3245</v>
      </c>
      <c r="C387" s="16" t="str">
        <f t="shared" ref="C387:C450" si="13">CONCATENATE(A387,":","1")</f>
        <v>C04261:1</v>
      </c>
      <c r="D387" s="17" t="str">
        <f t="shared" ref="D387:D450" si="14">CONCATENATE(A387," : ",B387)</f>
        <v>C04261 : Protein N(pi)-phospho-L-histidine</v>
      </c>
    </row>
    <row r="388" spans="1:4" x14ac:dyDescent="0.35">
      <c r="A388" t="s">
        <v>2843</v>
      </c>
      <c r="B388" s="18" t="s">
        <v>3246</v>
      </c>
      <c r="C388" s="16" t="str">
        <f t="shared" si="13"/>
        <v>C04298:1</v>
      </c>
      <c r="D388" s="17" t="str">
        <f t="shared" si="14"/>
        <v>C04298 : Holo-[citrate (pro-3S)-lyase]</v>
      </c>
    </row>
    <row r="389" spans="1:4" x14ac:dyDescent="0.35">
      <c r="A389" t="s">
        <v>2691</v>
      </c>
      <c r="B389" s="18" t="s">
        <v>3247</v>
      </c>
      <c r="C389" s="16" t="str">
        <f t="shared" si="13"/>
        <v>C04309:1</v>
      </c>
      <c r="D389" s="17" t="str">
        <f t="shared" si="14"/>
        <v>C04309 : Phosphoenol-4-deoxy-3-tetrulosonate</v>
      </c>
    </row>
    <row r="390" spans="1:4" x14ac:dyDescent="0.35">
      <c r="A390" t="s">
        <v>2844</v>
      </c>
      <c r="B390" s="18" t="s">
        <v>3248</v>
      </c>
      <c r="C390" s="16" t="str">
        <f t="shared" si="13"/>
        <v>C04334:1</v>
      </c>
      <c r="D390" s="17" t="str">
        <f t="shared" si="14"/>
        <v>C04334 : Acetyl-[citrate (pro-3S)-lyase]</v>
      </c>
    </row>
    <row r="391" spans="1:4" x14ac:dyDescent="0.35">
      <c r="A391" t="s">
        <v>2773</v>
      </c>
      <c r="B391" s="18" t="s">
        <v>3249</v>
      </c>
      <c r="C391" s="16" t="str">
        <f t="shared" si="13"/>
        <v>C04341:1</v>
      </c>
      <c r="D391" s="17" t="str">
        <f t="shared" si="14"/>
        <v>C04341 : Ribosomal-protein N-acetyl-L-alanine</v>
      </c>
    </row>
    <row r="392" spans="1:4" x14ac:dyDescent="0.35">
      <c r="A392" t="s">
        <v>1309</v>
      </c>
      <c r="B392" s="18" t="s">
        <v>3250</v>
      </c>
      <c r="C392" s="16" t="str">
        <f t="shared" si="13"/>
        <v>C04352:1</v>
      </c>
      <c r="D392" s="17" t="str">
        <f t="shared" si="14"/>
        <v>C04352 : ( R )- 4' - Phosphopantothenoyl -L-cysteine</v>
      </c>
    </row>
    <row r="393" spans="1:4" x14ac:dyDescent="0.35">
      <c r="A393" t="s">
        <v>2396</v>
      </c>
      <c r="B393" s="18" t="s">
        <v>3251</v>
      </c>
      <c r="C393" s="16" t="str">
        <f t="shared" si="13"/>
        <v>C04376:1</v>
      </c>
      <c r="D393" s="17" t="str">
        <f t="shared" si="14"/>
        <v>C04376 : 5'-Phosphoribosyl-N-formylglycinamide</v>
      </c>
    </row>
    <row r="394" spans="1:4" x14ac:dyDescent="0.35">
      <c r="A394" t="s">
        <v>2444</v>
      </c>
      <c r="B394" s="18" t="s">
        <v>3252</v>
      </c>
      <c r="C394" s="16" t="str">
        <f t="shared" si="13"/>
        <v>C04377:1</v>
      </c>
      <c r="D394" s="17" t="str">
        <f t="shared" si="14"/>
        <v>C04377 : 5,10-Methylenetetrahydromenthanopterin</v>
      </c>
    </row>
    <row r="395" spans="1:4" x14ac:dyDescent="0.35">
      <c r="A395" t="s">
        <v>2774</v>
      </c>
      <c r="B395" s="18" t="s">
        <v>3253</v>
      </c>
      <c r="C395" s="16" t="str">
        <f t="shared" si="13"/>
        <v>C04432:1</v>
      </c>
      <c r="D395" s="17" t="str">
        <f t="shared" si="14"/>
        <v>C04432 : tRNA containing 6-isopentenyladenosine</v>
      </c>
    </row>
    <row r="396" spans="1:4" x14ac:dyDescent="0.35">
      <c r="A396" t="s">
        <v>2438</v>
      </c>
      <c r="B396" s="18" t="s">
        <v>3254</v>
      </c>
      <c r="C396" s="16" t="str">
        <f t="shared" si="13"/>
        <v>C04483:1</v>
      </c>
      <c r="D396" s="17" t="str">
        <f t="shared" si="14"/>
        <v>C04483 : Deoxycholic acid</v>
      </c>
    </row>
    <row r="397" spans="1:4" x14ac:dyDescent="0.35">
      <c r="A397" t="s">
        <v>2519</v>
      </c>
      <c r="B397" s="18" t="s">
        <v>3255</v>
      </c>
      <c r="C397" s="16" t="str">
        <f t="shared" si="13"/>
        <v>C04489:1</v>
      </c>
      <c r="D397" s="17" t="str">
        <f t="shared" si="14"/>
        <v>C04489 : 5-Methyltetrahydropteroyltri-L-glutamate</v>
      </c>
    </row>
    <row r="398" spans="1:4" x14ac:dyDescent="0.35">
      <c r="A398" t="s">
        <v>2775</v>
      </c>
      <c r="B398" t="s">
        <v>3256</v>
      </c>
      <c r="C398" s="16" t="str">
        <f t="shared" si="13"/>
        <v>C04501:1</v>
      </c>
      <c r="D398" s="17" t="str">
        <f t="shared" si="14"/>
        <v>C04501 : N-Acetyl-alpha-D-glucosamine 1-phosphate</v>
      </c>
    </row>
    <row r="399" spans="1:4" x14ac:dyDescent="0.35">
      <c r="A399" t="s">
        <v>2566</v>
      </c>
      <c r="B399" s="18" t="s">
        <v>3257</v>
      </c>
      <c r="C399" s="16" t="str">
        <f t="shared" si="13"/>
        <v>C04534:1</v>
      </c>
      <c r="D399" s="17" t="str">
        <f t="shared" si="14"/>
        <v>C04534 : 6-Phospho-beta-D-glucosyl-(1,4)-D-glucose</v>
      </c>
    </row>
    <row r="400" spans="1:4" x14ac:dyDescent="0.35">
      <c r="A400" t="s">
        <v>2776</v>
      </c>
      <c r="B400" s="18" t="s">
        <v>3258</v>
      </c>
      <c r="C400" s="16" t="str">
        <f t="shared" si="13"/>
        <v>C04556:1</v>
      </c>
      <c r="D400" s="17" t="str">
        <f t="shared" si="14"/>
        <v>C04556 : 4-Amino-2-methyl-5-(phosphooxymethyl)pyrimidine</v>
      </c>
    </row>
    <row r="401" spans="1:4" x14ac:dyDescent="0.35">
      <c r="A401" t="s">
        <v>2640</v>
      </c>
      <c r="B401" s="18" t="s">
        <v>3259</v>
      </c>
      <c r="C401" s="16" t="str">
        <f t="shared" si="13"/>
        <v>C04574:1</v>
      </c>
      <c r="D401" s="17" t="str">
        <f t="shared" si="14"/>
        <v>C04574 : di-trans,poly-cis-Undecaprenyl diphosphate</v>
      </c>
    </row>
    <row r="402" spans="1:4" x14ac:dyDescent="0.35">
      <c r="A402" t="s">
        <v>2393</v>
      </c>
      <c r="B402" s="18" t="s">
        <v>3260</v>
      </c>
      <c r="C402" s="16" t="str">
        <f t="shared" si="13"/>
        <v>C04631:1</v>
      </c>
      <c r="D402" s="17" t="str">
        <f t="shared" si="14"/>
        <v>C04631 : UDP-N-acetyl-3-(1-carboxyvinyl)-D-glucosamine</v>
      </c>
    </row>
    <row r="403" spans="1:4" x14ac:dyDescent="0.35">
      <c r="A403" t="s">
        <v>2777</v>
      </c>
      <c r="B403" s="18" t="s">
        <v>3261</v>
      </c>
      <c r="C403" s="16" t="str">
        <f t="shared" si="13"/>
        <v>C04640:1</v>
      </c>
      <c r="D403" s="17" t="str">
        <f t="shared" si="14"/>
        <v>C04640 : 2-(Formamido)-N1-(5'-phosphoribosyl)acetamidine</v>
      </c>
    </row>
    <row r="404" spans="1:4" x14ac:dyDescent="0.35">
      <c r="A404" t="s">
        <v>2636</v>
      </c>
      <c r="B404" s="18" t="s">
        <v>3262</v>
      </c>
      <c r="C404" s="16" t="str">
        <f t="shared" si="13"/>
        <v>C04646:1</v>
      </c>
      <c r="D404" s="17" t="str">
        <f t="shared" si="14"/>
        <v>C04646 : 6-Thioinosine-5'-monophosphate</v>
      </c>
    </row>
    <row r="405" spans="1:4" x14ac:dyDescent="0.35">
      <c r="A405" t="s">
        <v>2544</v>
      </c>
      <c r="B405" s="18" t="s">
        <v>3263</v>
      </c>
      <c r="C405" s="16" t="str">
        <f t="shared" si="13"/>
        <v>C04677:1</v>
      </c>
      <c r="D405" s="17" t="str">
        <f t="shared" si="14"/>
        <v>C04677 : 1-(5'-Phosphoribosyl)-5-amino-4-imidazolecarboxamide</v>
      </c>
    </row>
    <row r="406" spans="1:4" x14ac:dyDescent="0.35">
      <c r="A406" t="s">
        <v>2372</v>
      </c>
      <c r="B406" s="18" t="s">
        <v>3264</v>
      </c>
      <c r="C406" s="16" t="str">
        <f t="shared" si="13"/>
        <v>C04702:1</v>
      </c>
      <c r="D406" s="17" t="str">
        <f t="shared" si="14"/>
        <v>C04702 : UDPMurNAc(oyl-L-Ala-D-gamma-Glu-L-Lys-D-Ala-D-Ala)</v>
      </c>
    </row>
    <row r="407" spans="1:4" x14ac:dyDescent="0.35">
      <c r="A407" t="s">
        <v>1292</v>
      </c>
      <c r="B407" s="18" t="s">
        <v>3265</v>
      </c>
      <c r="C407" s="16" t="str">
        <f t="shared" si="13"/>
        <v>C04734:1</v>
      </c>
      <c r="D407" s="17" t="str">
        <f t="shared" si="14"/>
        <v>C04734 : 1-(5'-Phosphoribosyl)-5-formamido-4-imidazolecarboxamide</v>
      </c>
    </row>
    <row r="408" spans="1:4" ht="29" x14ac:dyDescent="0.35">
      <c r="A408" t="s">
        <v>1306</v>
      </c>
      <c r="B408" s="9" t="s">
        <v>3266</v>
      </c>
      <c r="C408" s="16" t="str">
        <f t="shared" si="13"/>
        <v>C04751:1</v>
      </c>
      <c r="D408" s="17" t="str">
        <f t="shared" si="14"/>
        <v>C04751 : 1-(5-Phospho-D-ribosyl)-5-amino-4-imidazolecarboxylate</v>
      </c>
    </row>
    <row r="409" spans="1:4" x14ac:dyDescent="0.35">
      <c r="A409" t="s">
        <v>2778</v>
      </c>
      <c r="B409" s="18" t="s">
        <v>3267</v>
      </c>
      <c r="C409" s="16" t="str">
        <f t="shared" si="13"/>
        <v>C04752:1</v>
      </c>
      <c r="D409" s="17" t="str">
        <f t="shared" si="14"/>
        <v>C04752 : 4-Amino-5-hydroxymethyl-2-methylpyrimidine diphosphate</v>
      </c>
    </row>
    <row r="410" spans="1:4" x14ac:dyDescent="0.35">
      <c r="A410" t="s">
        <v>2462</v>
      </c>
      <c r="B410" s="18" t="s">
        <v>3268</v>
      </c>
      <c r="C410" s="16" t="str">
        <f t="shared" si="13"/>
        <v>C04756:1</v>
      </c>
      <c r="D410" s="17" t="str">
        <f t="shared" si="14"/>
        <v>C04756 : O-1-Alk-1-enyl-2-acyl-sn-glycero-3-phosphoethanolamine</v>
      </c>
    </row>
    <row r="411" spans="1:4" x14ac:dyDescent="0.35">
      <c r="A411" t="s">
        <v>1317</v>
      </c>
      <c r="B411" s="18" t="s">
        <v>3269</v>
      </c>
      <c r="C411" s="16" t="str">
        <f t="shared" si="13"/>
        <v>C04823:1</v>
      </c>
      <c r="D411" s="17" t="str">
        <f t="shared" si="14"/>
        <v>C04823 : 1-(5'-Phosphoribosyl)-5-amino-4-(N-succinocarboxamide)-imidazole</v>
      </c>
    </row>
    <row r="412" spans="1:4" x14ac:dyDescent="0.35">
      <c r="A412" t="s">
        <v>2539</v>
      </c>
      <c r="B412" s="18" t="s">
        <v>3270</v>
      </c>
      <c r="C412" s="16" t="str">
        <f t="shared" si="13"/>
        <v>C04851:1</v>
      </c>
      <c r="D412" s="17" t="str">
        <f t="shared" si="14"/>
        <v>C04851 : MurAc(oyl-L-Ala-D-gamma-Glu-L-Lys-D-Ala-D-Ala)-diphospho-undecaprenol</v>
      </c>
    </row>
    <row r="413" spans="1:4" x14ac:dyDescent="0.35">
      <c r="A413" t="s">
        <v>2779</v>
      </c>
      <c r="B413" s="18" t="s">
        <v>3271</v>
      </c>
      <c r="C413" s="16" t="str">
        <f t="shared" si="13"/>
        <v>C04877:1</v>
      </c>
      <c r="D413" s="17" t="str">
        <f t="shared" si="14"/>
        <v>C04877 : UDP-N-acetylmuramoyl-L-alanyl-gamma-D-glutamyl-meso-2,6-diaminopimelate</v>
      </c>
    </row>
    <row r="414" spans="1:4" x14ac:dyDescent="0.35">
      <c r="A414" t="s">
        <v>2463</v>
      </c>
      <c r="B414" s="18" t="s">
        <v>3272</v>
      </c>
      <c r="C414" s="16" t="str">
        <f t="shared" si="13"/>
        <v>C04882:1</v>
      </c>
      <c r="D414" s="17" t="str">
        <f t="shared" si="14"/>
        <v xml:space="preserve">C04882 : UDP-N-acetylmuramoyl-L-alanyl-D-glutamyl-6-carboxyl-L-lysyl-D-alanyl-D-alanine </v>
      </c>
    </row>
    <row r="415" spans="1:4" x14ac:dyDescent="0.35">
      <c r="A415" t="s">
        <v>2574</v>
      </c>
      <c r="B415" s="18" t="s">
        <v>3273</v>
      </c>
      <c r="C415" s="16" t="str">
        <f t="shared" si="13"/>
        <v>C05122:1</v>
      </c>
      <c r="D415" s="17" t="str">
        <f t="shared" si="14"/>
        <v>C05122 : Taurocholate</v>
      </c>
    </row>
    <row r="416" spans="1:4" x14ac:dyDescent="0.35">
      <c r="A416" t="s">
        <v>2569</v>
      </c>
      <c r="B416" s="18" t="s">
        <v>3274</v>
      </c>
      <c r="C416" s="16" t="str">
        <f t="shared" si="13"/>
        <v>C05198:1</v>
      </c>
      <c r="D416" s="17" t="str">
        <f t="shared" si="14"/>
        <v>C05198 : 5'-Deoxyadenosine</v>
      </c>
    </row>
    <row r="417" spans="1:4" x14ac:dyDescent="0.35">
      <c r="A417" t="s">
        <v>2623</v>
      </c>
      <c r="B417" s="18" t="s">
        <v>3275</v>
      </c>
      <c r="C417" s="16" t="str">
        <f t="shared" si="13"/>
        <v>C05335:1</v>
      </c>
      <c r="D417" s="17" t="str">
        <f t="shared" si="14"/>
        <v>C05335 : L-Selenomethionine</v>
      </c>
    </row>
    <row r="418" spans="1:4" x14ac:dyDescent="0.35">
      <c r="A418" t="s">
        <v>2845</v>
      </c>
      <c r="B418" s="18" t="s">
        <v>3276</v>
      </c>
      <c r="C418" s="16" t="str">
        <f t="shared" si="13"/>
        <v>C05336:1</v>
      </c>
      <c r="D418" s="17" t="str">
        <f t="shared" si="14"/>
        <v>C05336 : Selenomethionyl-tRNA(Met)</v>
      </c>
    </row>
    <row r="419" spans="1:4" x14ac:dyDescent="0.35">
      <c r="A419" t="s">
        <v>1342</v>
      </c>
      <c r="B419" s="18" t="s">
        <v>3277</v>
      </c>
      <c r="C419" s="16" t="str">
        <f t="shared" si="13"/>
        <v>C05345:1</v>
      </c>
      <c r="D419" s="17" t="str">
        <f t="shared" si="14"/>
        <v>C05345 : beta-D-Fructose 6-phosphate</v>
      </c>
    </row>
    <row r="420" spans="1:4" x14ac:dyDescent="0.35">
      <c r="A420" t="s">
        <v>2780</v>
      </c>
      <c r="B420" s="18" t="s">
        <v>3278</v>
      </c>
      <c r="C420" s="16" t="str">
        <f t="shared" si="13"/>
        <v>C05378:1</v>
      </c>
      <c r="D420" s="17" t="str">
        <f t="shared" si="14"/>
        <v>C05378 : beta-D-Fructose 1,6-bisphosphate</v>
      </c>
    </row>
    <row r="421" spans="1:4" x14ac:dyDescent="0.35">
      <c r="A421" t="s">
        <v>2781</v>
      </c>
      <c r="B421" s="18" t="s">
        <v>3279</v>
      </c>
      <c r="C421" s="16" t="str">
        <f t="shared" si="13"/>
        <v>C05382:1</v>
      </c>
      <c r="D421" s="17" t="str">
        <f t="shared" si="14"/>
        <v>C05382 : Sedoheptulose 7-phosphate</v>
      </c>
    </row>
    <row r="422" spans="1:4" x14ac:dyDescent="0.35">
      <c r="A422" t="s">
        <v>2677</v>
      </c>
      <c r="B422" s="18" t="s">
        <v>3280</v>
      </c>
      <c r="C422" s="16" t="str">
        <f t="shared" si="13"/>
        <v>C05402:1</v>
      </c>
      <c r="D422" s="17" t="str">
        <f t="shared" si="14"/>
        <v>C05402 : Melibiose</v>
      </c>
    </row>
    <row r="423" spans="1:4" x14ac:dyDescent="0.35">
      <c r="A423" t="s">
        <v>2678</v>
      </c>
      <c r="B423" s="18" t="s">
        <v>3281</v>
      </c>
      <c r="C423" s="16" t="str">
        <f t="shared" si="13"/>
        <v>C05404:1</v>
      </c>
      <c r="D423" s="17" t="str">
        <f t="shared" si="14"/>
        <v>C05404 : D-Gal alpha 1-&gt;6D-Gal alpha 1-&gt;6D-Glucose</v>
      </c>
    </row>
    <row r="424" spans="1:4" x14ac:dyDescent="0.35">
      <c r="A424" t="s">
        <v>2416</v>
      </c>
      <c r="B424" s="18" t="s">
        <v>3282</v>
      </c>
      <c r="C424" s="16" t="str">
        <f t="shared" si="13"/>
        <v>C05444:1</v>
      </c>
      <c r="D424" s="17" t="str">
        <f t="shared" si="14"/>
        <v>C05444 : 3alpha,7alpha,26-Trihydroxy-5beta-cholestane</v>
      </c>
    </row>
    <row r="425" spans="1:4" x14ac:dyDescent="0.35">
      <c r="A425" t="s">
        <v>2598</v>
      </c>
      <c r="B425" s="18" t="s">
        <v>3283</v>
      </c>
      <c r="C425" s="16" t="str">
        <f t="shared" si="13"/>
        <v>C05445:1</v>
      </c>
      <c r="D425" s="17" t="str">
        <f t="shared" si="14"/>
        <v>C05445 : 3alpha,7alpha-Dihydroxy-5beta-cholestan-26-al</v>
      </c>
    </row>
    <row r="426" spans="1:4" x14ac:dyDescent="0.35">
      <c r="A426" t="s">
        <v>2575</v>
      </c>
      <c r="B426" s="18" t="s">
        <v>3284</v>
      </c>
      <c r="C426" s="16" t="str">
        <f t="shared" si="13"/>
        <v>C05463:1</v>
      </c>
      <c r="D426" s="17" t="str">
        <f t="shared" si="14"/>
        <v>C05463 : Taurodeoxycholate</v>
      </c>
    </row>
    <row r="427" spans="1:4" x14ac:dyDescent="0.35">
      <c r="A427" t="s">
        <v>2364</v>
      </c>
      <c r="B427" s="18" t="s">
        <v>3285</v>
      </c>
      <c r="C427" s="16" t="str">
        <f t="shared" si="13"/>
        <v>C05464:1</v>
      </c>
      <c r="D427" s="17" t="str">
        <f t="shared" si="14"/>
        <v>C05464 : Glycodeoxycholate</v>
      </c>
    </row>
    <row r="428" spans="1:4" x14ac:dyDescent="0.35">
      <c r="A428" t="s">
        <v>2375</v>
      </c>
      <c r="B428" s="18" t="s">
        <v>3286</v>
      </c>
      <c r="C428" s="16" t="str">
        <f t="shared" si="13"/>
        <v>C05465:1</v>
      </c>
      <c r="D428" s="17" t="str">
        <f t="shared" si="14"/>
        <v>C05465 : Taurochenodeoxycholate</v>
      </c>
    </row>
    <row r="429" spans="1:4" x14ac:dyDescent="0.35">
      <c r="A429" t="s">
        <v>2576</v>
      </c>
      <c r="B429" s="18" t="s">
        <v>3287</v>
      </c>
      <c r="C429" s="16" t="str">
        <f t="shared" si="13"/>
        <v>C05466:1</v>
      </c>
      <c r="D429" s="17" t="str">
        <f t="shared" si="14"/>
        <v>C05466 : Glycochenodeoxycholate</v>
      </c>
    </row>
    <row r="430" spans="1:4" x14ac:dyDescent="0.35">
      <c r="A430" t="s">
        <v>2672</v>
      </c>
      <c r="B430" s="18" t="s">
        <v>3288</v>
      </c>
      <c r="C430" s="16" t="str">
        <f t="shared" si="13"/>
        <v>C05512:1</v>
      </c>
      <c r="D430" s="17" t="str">
        <f t="shared" si="14"/>
        <v>C05512 : Deoxyinosine</v>
      </c>
    </row>
    <row r="431" spans="1:4" x14ac:dyDescent="0.35">
      <c r="A431" t="s">
        <v>2439</v>
      </c>
      <c r="B431" s="18" t="s">
        <v>3289</v>
      </c>
      <c r="C431" s="16" t="str">
        <f t="shared" si="13"/>
        <v>C05526:1</v>
      </c>
      <c r="D431" s="17" t="str">
        <f t="shared" si="14"/>
        <v>C05526 : S-Glutathionyl-L-cysteine</v>
      </c>
    </row>
    <row r="432" spans="1:4" x14ac:dyDescent="0.35">
      <c r="A432" t="s">
        <v>2646</v>
      </c>
      <c r="B432" s="18" t="s">
        <v>3290</v>
      </c>
      <c r="C432" s="16" t="str">
        <f t="shared" si="13"/>
        <v>C05527:1</v>
      </c>
      <c r="D432" s="17" t="str">
        <f t="shared" si="14"/>
        <v>C05527 : 3-Sulfinylpyruvate</v>
      </c>
    </row>
    <row r="433" spans="1:7" x14ac:dyDescent="0.35">
      <c r="A433" t="s">
        <v>2645</v>
      </c>
      <c r="B433" s="18" t="s">
        <v>3291</v>
      </c>
      <c r="C433" s="16" t="str">
        <f t="shared" si="13"/>
        <v>C05528:1</v>
      </c>
      <c r="D433" s="17" t="str">
        <f t="shared" si="14"/>
        <v>C05528 : 3-Sulfopyruvate</v>
      </c>
    </row>
    <row r="434" spans="1:7" x14ac:dyDescent="0.35">
      <c r="A434" t="s">
        <v>2386</v>
      </c>
      <c r="B434" s="18" t="s">
        <v>3292</v>
      </c>
      <c r="C434" s="16" t="str">
        <f t="shared" si="13"/>
        <v>C05576:1</v>
      </c>
      <c r="D434" s="17" t="str">
        <f t="shared" si="14"/>
        <v>C05576 : 3,4-Dihydroxyphenylethyleneglycol</v>
      </c>
    </row>
    <row r="435" spans="1:7" x14ac:dyDescent="0.35">
      <c r="A435" t="s">
        <v>2599</v>
      </c>
      <c r="B435" s="18" t="s">
        <v>3293</v>
      </c>
      <c r="C435" s="16" t="str">
        <f t="shared" si="13"/>
        <v>C05577:1</v>
      </c>
      <c r="D435" s="17" t="str">
        <f t="shared" si="14"/>
        <v>C05577 : 3,4-Dihydroxymandelaldehyde</v>
      </c>
    </row>
    <row r="436" spans="1:7" x14ac:dyDescent="0.35">
      <c r="A436" t="s">
        <v>2370</v>
      </c>
      <c r="B436" s="18" t="s">
        <v>3294</v>
      </c>
      <c r="C436" s="16" t="str">
        <f t="shared" si="13"/>
        <v>C05684:1</v>
      </c>
      <c r="D436" s="17" t="str">
        <f t="shared" si="14"/>
        <v>C05684 : Selenite</v>
      </c>
    </row>
    <row r="437" spans="1:7" x14ac:dyDescent="0.35">
      <c r="A437" t="s">
        <v>2641</v>
      </c>
      <c r="B437" s="18" t="s">
        <v>3295</v>
      </c>
      <c r="C437" s="16" t="str">
        <f t="shared" si="13"/>
        <v>C05688:1</v>
      </c>
      <c r="D437" s="17" t="str">
        <f t="shared" si="14"/>
        <v>C05688 : L-Selenocysteine</v>
      </c>
    </row>
    <row r="438" spans="1:7" x14ac:dyDescent="0.35">
      <c r="A438" t="s">
        <v>2846</v>
      </c>
      <c r="B438" s="18" t="s">
        <v>3296</v>
      </c>
      <c r="C438" s="16" t="str">
        <f t="shared" si="13"/>
        <v>C05691:1</v>
      </c>
      <c r="D438" s="17" t="str">
        <f t="shared" si="14"/>
        <v>C05691 : Se-Adenosylselenomethionine</v>
      </c>
      <c r="G438" s="11"/>
    </row>
    <row r="439" spans="1:7" x14ac:dyDescent="0.35">
      <c r="A439" t="s">
        <v>2520</v>
      </c>
      <c r="B439" s="18" t="s">
        <v>3297</v>
      </c>
      <c r="C439" s="16" t="str">
        <f t="shared" si="13"/>
        <v>C05698:1</v>
      </c>
      <c r="D439" s="17" t="str">
        <f t="shared" si="14"/>
        <v>C05698 : Selenohomocysteine</v>
      </c>
    </row>
    <row r="440" spans="1:7" x14ac:dyDescent="0.35">
      <c r="A440" t="s">
        <v>2847</v>
      </c>
      <c r="B440" s="18" t="s">
        <v>3298</v>
      </c>
      <c r="C440" s="16" t="str">
        <f t="shared" si="13"/>
        <v>C05703:1</v>
      </c>
      <c r="D440" s="17" t="str">
        <f t="shared" si="14"/>
        <v>C05703 : Methaneselenol</v>
      </c>
    </row>
    <row r="441" spans="1:7" x14ac:dyDescent="0.35">
      <c r="A441" t="s">
        <v>2489</v>
      </c>
      <c r="B441" s="18" t="s">
        <v>3299</v>
      </c>
      <c r="C441" s="16" t="str">
        <f t="shared" si="13"/>
        <v>C05823:1</v>
      </c>
      <c r="D441" s="17" t="str">
        <f t="shared" si="14"/>
        <v>C05823 : 3-Mercaptolactate</v>
      </c>
    </row>
    <row r="442" spans="1:7" x14ac:dyDescent="0.35">
      <c r="A442" t="s">
        <v>2670</v>
      </c>
      <c r="B442" s="18" t="s">
        <v>3300</v>
      </c>
      <c r="C442" s="16" t="str">
        <f t="shared" si="13"/>
        <v>C05841:1</v>
      </c>
      <c r="D442" s="17" t="str">
        <f t="shared" si="14"/>
        <v>C05841 : Nicotinate D-ribonucleoside</v>
      </c>
    </row>
    <row r="443" spans="1:7" x14ac:dyDescent="0.35">
      <c r="A443" t="s">
        <v>2782</v>
      </c>
      <c r="B443" s="18" t="s">
        <v>3301</v>
      </c>
      <c r="C443" s="16" t="str">
        <f t="shared" si="13"/>
        <v>C05892:1</v>
      </c>
      <c r="D443" s="17" t="str">
        <f t="shared" si="14"/>
        <v>C05892 : UDP-N-acetylmuramoyl-L-alanyl-gamma-D-glutamyl-L-lysine</v>
      </c>
    </row>
    <row r="444" spans="1:7" x14ac:dyDescent="0.35">
      <c r="A444" t="s">
        <v>2440</v>
      </c>
      <c r="B444" s="18" t="s">
        <v>3302</v>
      </c>
      <c r="C444" s="16" t="str">
        <f t="shared" si="13"/>
        <v>C05893:1</v>
      </c>
      <c r="D444" s="17" t="str">
        <f t="shared" si="14"/>
        <v>C05893 : Undecaprenyl-diphospho-N-acetylmuramoyl-(N-acetylglucosamine)-L-alanyl-gamma-D-glutamyl-L-lysyl-D-alanyl-D-alanine</v>
      </c>
    </row>
    <row r="445" spans="1:7" x14ac:dyDescent="0.35">
      <c r="A445" t="s">
        <v>2400</v>
      </c>
      <c r="B445" s="18" t="s">
        <v>3303</v>
      </c>
      <c r="C445" s="16" t="str">
        <f t="shared" si="13"/>
        <v>C05897:1</v>
      </c>
      <c r="D445" s="17" t="str">
        <f t="shared" si="14"/>
        <v>C05897 : Undecaprenyl-diphospho-N-acetylmuramoyl-L-alanyl-D-glutamyl-meso-2,6-diaminopimeloyl-D-alanyl-D-alanine</v>
      </c>
    </row>
    <row r="446" spans="1:7" x14ac:dyDescent="0.35">
      <c r="A446" t="s">
        <v>2548</v>
      </c>
      <c r="B446" s="18" t="s">
        <v>3304</v>
      </c>
      <c r="C446" s="16" t="str">
        <f t="shared" si="13"/>
        <v>C05898:1</v>
      </c>
      <c r="D446" s="17" t="str">
        <f t="shared" si="14"/>
        <v>C05898 : Undecaprenyl-diphospho-N-acetylmuramoyl-(N-acetylglucosamine)-L-alanyl-D-glutamyl-meso-2,6-diaminopimeloyl-D-alanyl-D-alanine</v>
      </c>
    </row>
    <row r="447" spans="1:7" x14ac:dyDescent="0.35">
      <c r="A447" t="s">
        <v>2647</v>
      </c>
      <c r="B447" s="18" t="s">
        <v>3305</v>
      </c>
      <c r="C447" s="16" t="str">
        <f t="shared" si="13"/>
        <v>C05946:1</v>
      </c>
      <c r="D447" s="17" t="str">
        <f t="shared" si="14"/>
        <v>C05946 : (4R)-4-Hydroxy-2-oxoglutarate</v>
      </c>
    </row>
    <row r="448" spans="1:7" x14ac:dyDescent="0.35">
      <c r="A448" t="s">
        <v>2417</v>
      </c>
      <c r="B448" s="18" t="s">
        <v>3306</v>
      </c>
      <c r="C448" s="16" t="str">
        <f t="shared" si="13"/>
        <v>C05947:1</v>
      </c>
      <c r="D448" s="17" t="str">
        <f t="shared" si="14"/>
        <v>C05947 : L-erythro-4-Hydroxyglutamate</v>
      </c>
    </row>
    <row r="449" spans="1:4" x14ac:dyDescent="0.35">
      <c r="A449" t="s">
        <v>2490</v>
      </c>
      <c r="B449" s="18" t="s">
        <v>3307</v>
      </c>
      <c r="C449" s="16" t="str">
        <f t="shared" si="13"/>
        <v>C05984:1</v>
      </c>
      <c r="D449" s="17" t="str">
        <f t="shared" si="14"/>
        <v xml:space="preserve">C05984 : 2-Hydroxybutanoic acid </v>
      </c>
    </row>
    <row r="450" spans="1:4" x14ac:dyDescent="0.35">
      <c r="A450" t="s">
        <v>2585</v>
      </c>
      <c r="B450" s="18" t="s">
        <v>3308</v>
      </c>
      <c r="C450" s="16" t="str">
        <f t="shared" si="13"/>
        <v>C06055:1</v>
      </c>
      <c r="D450" s="17" t="str">
        <f t="shared" si="14"/>
        <v>C06055 : O-Phospho-4-hydroxy-L-threonine</v>
      </c>
    </row>
    <row r="451" spans="1:4" x14ac:dyDescent="0.35">
      <c r="A451" t="s">
        <v>2695</v>
      </c>
      <c r="B451" s="18" t="s">
        <v>3309</v>
      </c>
      <c r="C451" s="16" t="str">
        <f t="shared" ref="C451:C514" si="15">CONCATENATE(A451,":","1")</f>
        <v>C06056:1</v>
      </c>
      <c r="D451" s="17" t="str">
        <f t="shared" ref="D451:D514" si="16">CONCATENATE(A451," : ",B451)</f>
        <v>C06056 : 4-Hydroxy-L-threonine</v>
      </c>
    </row>
    <row r="452" spans="1:4" x14ac:dyDescent="0.35">
      <c r="A452" t="s">
        <v>1352</v>
      </c>
      <c r="B452" s="18" t="s">
        <v>3310</v>
      </c>
      <c r="C452" s="16" t="str">
        <f t="shared" si="15"/>
        <v>C06156:1</v>
      </c>
      <c r="D452" s="17" t="str">
        <f t="shared" si="16"/>
        <v>C06156 : alpha-D-Glucosamine 1-phosphate</v>
      </c>
    </row>
    <row r="453" spans="1:4" x14ac:dyDescent="0.35">
      <c r="A453" t="s">
        <v>2567</v>
      </c>
      <c r="B453" s="18" t="s">
        <v>3311</v>
      </c>
      <c r="C453" s="16" t="str">
        <f t="shared" si="15"/>
        <v>C06187:1</v>
      </c>
      <c r="D453" s="17" t="str">
        <f t="shared" si="16"/>
        <v>C06187 : Arbutin 6-phosphate</v>
      </c>
    </row>
    <row r="454" spans="1:4" x14ac:dyDescent="0.35">
      <c r="A454" t="s">
        <v>2397</v>
      </c>
      <c r="B454" s="18" t="s">
        <v>3312</v>
      </c>
      <c r="C454" s="16" t="str">
        <f t="shared" si="15"/>
        <v>C06188:1</v>
      </c>
      <c r="D454" s="17" t="str">
        <f t="shared" si="16"/>
        <v>C06188 : Salicin 6-phosphate</v>
      </c>
    </row>
    <row r="455" spans="1:4" x14ac:dyDescent="0.35">
      <c r="A455" t="s">
        <v>2437</v>
      </c>
      <c r="B455" s="18" t="s">
        <v>3313</v>
      </c>
      <c r="C455" s="16" t="str">
        <f t="shared" si="15"/>
        <v>C06196:1</v>
      </c>
      <c r="D455" s="17" t="str">
        <f t="shared" si="16"/>
        <v>C06196 : 2'-Deoxyinosine 5'-phosphate</v>
      </c>
    </row>
    <row r="456" spans="1:4" x14ac:dyDescent="0.35">
      <c r="A456" t="s">
        <v>2578</v>
      </c>
      <c r="B456" s="18" t="s">
        <v>3314</v>
      </c>
      <c r="C456" s="16" t="str">
        <f t="shared" si="15"/>
        <v>C06376:1</v>
      </c>
      <c r="D456" s="17" t="str">
        <f t="shared" si="16"/>
        <v>C06376 : N-Acetyl-D-galactosamine 6-phosphate</v>
      </c>
    </row>
    <row r="457" spans="1:4" x14ac:dyDescent="0.35">
      <c r="A457" t="s">
        <v>2374</v>
      </c>
      <c r="B457" s="18" t="s">
        <v>3315</v>
      </c>
      <c r="C457" s="16" t="str">
        <f t="shared" si="15"/>
        <v>C06377:1</v>
      </c>
      <c r="D457" s="17" t="str">
        <f t="shared" si="16"/>
        <v xml:space="preserve">C06377 : D-Galactosamine 6-phosphate </v>
      </c>
    </row>
    <row r="458" spans="1:4" x14ac:dyDescent="0.35">
      <c r="A458" t="s">
        <v>2848</v>
      </c>
      <c r="B458" s="18" t="s">
        <v>3316</v>
      </c>
      <c r="C458" s="16" t="str">
        <f t="shared" si="15"/>
        <v>C06481:1</v>
      </c>
      <c r="D458" s="17" t="str">
        <f t="shared" si="16"/>
        <v>C06481 : L-Seryl-tRNA(Sec)</v>
      </c>
    </row>
    <row r="459" spans="1:4" x14ac:dyDescent="0.35">
      <c r="A459" t="s">
        <v>2387</v>
      </c>
      <c r="B459" s="18" t="s">
        <v>3317</v>
      </c>
      <c r="C459" s="16" t="str">
        <f t="shared" si="15"/>
        <v>C06611:1</v>
      </c>
      <c r="D459" s="17" t="str">
        <f t="shared" si="16"/>
        <v>C06611 : trans-3-Chloro-2-propene-1-ol</v>
      </c>
    </row>
    <row r="460" spans="1:4" x14ac:dyDescent="0.35">
      <c r="A460" t="s">
        <v>2481</v>
      </c>
      <c r="B460" s="18" t="s">
        <v>3318</v>
      </c>
      <c r="C460" s="16" t="str">
        <f t="shared" si="15"/>
        <v>C06612:1</v>
      </c>
      <c r="D460" s="17" t="str">
        <f t="shared" si="16"/>
        <v>C06612 : cis-3-Chloro-2-propene-1-ol</v>
      </c>
    </row>
    <row r="461" spans="1:4" x14ac:dyDescent="0.35">
      <c r="A461" t="s">
        <v>2600</v>
      </c>
      <c r="B461" s="18" t="s">
        <v>3319</v>
      </c>
      <c r="C461" s="16" t="str">
        <f t="shared" si="15"/>
        <v>C06613:1</v>
      </c>
      <c r="D461" s="17" t="str">
        <f t="shared" si="16"/>
        <v>C06613 : trans-3-Chloroallyl aldehyde</v>
      </c>
    </row>
    <row r="462" spans="1:4" x14ac:dyDescent="0.35">
      <c r="A462" t="s">
        <v>2482</v>
      </c>
      <c r="B462" s="18" t="s">
        <v>3320</v>
      </c>
      <c r="C462" s="16" t="str">
        <f t="shared" si="15"/>
        <v>C06899:1</v>
      </c>
      <c r="D462" s="17" t="str">
        <f t="shared" si="16"/>
        <v>C06899 : Chloral hydrate</v>
      </c>
    </row>
    <row r="463" spans="1:4" x14ac:dyDescent="0.35">
      <c r="A463" t="s">
        <v>1348</v>
      </c>
      <c r="B463" s="18" t="s">
        <v>3321</v>
      </c>
      <c r="C463" s="16" t="str">
        <f t="shared" si="15"/>
        <v>C07478:1</v>
      </c>
      <c r="D463" s="17" t="str">
        <f t="shared" si="16"/>
        <v>C07478 : 2-Hydroxy-5-methyl-cis,cis-muconate</v>
      </c>
    </row>
    <row r="464" spans="1:4" x14ac:dyDescent="0.35">
      <c r="A464" t="s">
        <v>1349</v>
      </c>
      <c r="B464" s="18" t="s">
        <v>3322</v>
      </c>
      <c r="C464" s="16" t="str">
        <f t="shared" si="15"/>
        <v>C07479:1</v>
      </c>
      <c r="D464" s="17" t="str">
        <f t="shared" si="16"/>
        <v>C07479 : 2-Oxo-5-methyl-cis-muconate</v>
      </c>
    </row>
    <row r="465" spans="1:4" x14ac:dyDescent="0.35">
      <c r="A465" t="s">
        <v>2602</v>
      </c>
      <c r="B465" s="18" t="s">
        <v>3323</v>
      </c>
      <c r="C465" s="16" t="str">
        <f t="shared" si="15"/>
        <v>C07490:1</v>
      </c>
      <c r="D465" s="17" t="str">
        <f t="shared" si="16"/>
        <v>C07490 : Trichloroethanol</v>
      </c>
    </row>
    <row r="466" spans="1:4" x14ac:dyDescent="0.35">
      <c r="A466" t="s">
        <v>2483</v>
      </c>
      <c r="B466" s="18" t="s">
        <v>3324</v>
      </c>
      <c r="C466" s="16" t="str">
        <f t="shared" si="15"/>
        <v>C07645:1</v>
      </c>
      <c r="D466" s="17" t="str">
        <f t="shared" si="16"/>
        <v>C07645 : Aldophosphamide</v>
      </c>
    </row>
    <row r="467" spans="1:4" x14ac:dyDescent="0.35">
      <c r="A467" t="s">
        <v>2546</v>
      </c>
      <c r="B467" t="s">
        <v>3325</v>
      </c>
      <c r="C467" s="16" t="str">
        <f t="shared" si="15"/>
        <v>C07648:1</v>
      </c>
      <c r="D467" s="17" t="str">
        <f t="shared" si="16"/>
        <v>C07648 : Thioguanine</v>
      </c>
    </row>
    <row r="468" spans="1:4" x14ac:dyDescent="0.35">
      <c r="A468" t="s">
        <v>2542</v>
      </c>
      <c r="B468" s="18" t="s">
        <v>3326</v>
      </c>
      <c r="C468" s="16" t="str">
        <f t="shared" si="15"/>
        <v>C07649:1</v>
      </c>
      <c r="D468" s="17" t="str">
        <f t="shared" si="16"/>
        <v>C07649 : 5-FU</v>
      </c>
    </row>
    <row r="469" spans="1:4" x14ac:dyDescent="0.35">
      <c r="A469" t="s">
        <v>1357</v>
      </c>
      <c r="B469" s="18" t="s">
        <v>3327</v>
      </c>
      <c r="C469" s="16" t="str">
        <f t="shared" si="15"/>
        <v>C08353:1</v>
      </c>
      <c r="D469" s="17" t="str">
        <f t="shared" si="16"/>
        <v>C08353 : beta-D-Ribopyranose</v>
      </c>
    </row>
    <row r="470" spans="1:4" x14ac:dyDescent="0.35">
      <c r="A470" t="s">
        <v>2605</v>
      </c>
      <c r="B470" s="18" t="s">
        <v>3328</v>
      </c>
      <c r="C470" s="16" t="str">
        <f t="shared" si="15"/>
        <v>C08492:1</v>
      </c>
      <c r="D470" s="17" t="str">
        <f t="shared" si="16"/>
        <v>C08492 : 3-Hexenol</v>
      </c>
    </row>
    <row r="471" spans="1:4" x14ac:dyDescent="0.35">
      <c r="A471" t="s">
        <v>2783</v>
      </c>
      <c r="B471" s="18" t="s">
        <v>3407</v>
      </c>
      <c r="C471" s="16" t="str">
        <f t="shared" si="15"/>
        <v>C09306:1</v>
      </c>
      <c r="D471" s="17" t="str">
        <f t="shared" si="16"/>
        <v xml:space="preserve">C09306 : Sulfur Dioxide </v>
      </c>
    </row>
    <row r="472" spans="1:4" x14ac:dyDescent="0.35">
      <c r="A472" t="s">
        <v>1297</v>
      </c>
      <c r="B472" s="18" t="s">
        <v>3329</v>
      </c>
      <c r="C472" s="16" t="str">
        <f t="shared" si="15"/>
        <v>C11039:1</v>
      </c>
      <c r="D472" s="17" t="str">
        <f t="shared" si="16"/>
        <v>C11039 : 2'-Deoxy-5-hydroxymethylcytidine-5'-triphosphate</v>
      </c>
    </row>
    <row r="473" spans="1:4" x14ac:dyDescent="0.35">
      <c r="A473" t="s">
        <v>2625</v>
      </c>
      <c r="B473" s="18" t="s">
        <v>3330</v>
      </c>
      <c r="C473" s="16" t="str">
        <f t="shared" si="15"/>
        <v>C11437:1</v>
      </c>
      <c r="D473" s="17" t="str">
        <f t="shared" si="16"/>
        <v>C11437 : 1-Deoxy-D-xylulose 5-phosphate</v>
      </c>
    </row>
    <row r="474" spans="1:4" x14ac:dyDescent="0.35">
      <c r="A474" t="s">
        <v>2580</v>
      </c>
      <c r="B474" s="18" t="s">
        <v>3331</v>
      </c>
      <c r="C474" s="16" t="str">
        <f t="shared" si="15"/>
        <v>C11439:1</v>
      </c>
      <c r="D474" s="17" t="str">
        <f t="shared" si="16"/>
        <v>C11439 : Formyl-L-methionyl peptide</v>
      </c>
    </row>
    <row r="475" spans="1:4" x14ac:dyDescent="0.35">
      <c r="A475" t="s">
        <v>2410</v>
      </c>
      <c r="B475" s="18" t="s">
        <v>3332</v>
      </c>
      <c r="C475" s="16" t="str">
        <f t="shared" si="15"/>
        <v>C11440:1</v>
      </c>
      <c r="D475" s="17" t="str">
        <f t="shared" si="16"/>
        <v>C11440 : Methionyl peptide</v>
      </c>
    </row>
    <row r="476" spans="1:4" x14ac:dyDescent="0.35">
      <c r="A476" t="s">
        <v>2784</v>
      </c>
      <c r="B476" s="18" t="s">
        <v>3333</v>
      </c>
      <c r="C476" s="16" t="str">
        <f t="shared" si="15"/>
        <v>C11475:1</v>
      </c>
      <c r="D476" s="17" t="str">
        <f t="shared" si="16"/>
        <v>C11475 : DNA containing guanine</v>
      </c>
    </row>
    <row r="477" spans="1:4" x14ac:dyDescent="0.35">
      <c r="A477" t="s">
        <v>2662</v>
      </c>
      <c r="B477" t="s">
        <v>3334</v>
      </c>
      <c r="C477" s="16" t="str">
        <f t="shared" si="15"/>
        <v>C11477:1</v>
      </c>
      <c r="D477" s="17" t="str">
        <f t="shared" si="16"/>
        <v>C11477 : Sugar</v>
      </c>
    </row>
    <row r="478" spans="1:4" x14ac:dyDescent="0.35">
      <c r="A478" t="s">
        <v>2427</v>
      </c>
      <c r="B478" s="18" t="s">
        <v>3335</v>
      </c>
      <c r="C478" s="16" t="str">
        <f t="shared" si="15"/>
        <v>C11736:1</v>
      </c>
      <c r="D478" s="17" t="str">
        <f t="shared" si="16"/>
        <v>C11736 : 5-Fluorodeoxyuridine</v>
      </c>
    </row>
    <row r="479" spans="1:4" x14ac:dyDescent="0.35">
      <c r="A479" t="s">
        <v>2785</v>
      </c>
      <c r="B479" s="18" t="s">
        <v>3336</v>
      </c>
      <c r="C479" s="16" t="str">
        <f t="shared" si="15"/>
        <v>C11826:1</v>
      </c>
      <c r="D479" s="17" t="str">
        <f t="shared" si="16"/>
        <v>C11826 : [GlcNAc-(1-&gt;4)-Mur2Ac(oyl-L-Ala-g-D-Glu-L-Lys-D-Ala-D-Ala)]n-diphosphoundecaprenol</v>
      </c>
    </row>
    <row r="480" spans="1:4" x14ac:dyDescent="0.35">
      <c r="A480" t="s">
        <v>2786</v>
      </c>
      <c r="B480" s="18" t="s">
        <v>3337</v>
      </c>
      <c r="C480" s="16" t="str">
        <f t="shared" si="15"/>
        <v>C11827:1</v>
      </c>
      <c r="D480" s="17" t="str">
        <f t="shared" si="16"/>
        <v>C11827 : [GlcNAc-(1-&gt;4)-Mur2Ac(oyl-L-Ala-g-D-Glu-A2pm-D-Ala-D-Ala)]n-diphosphoundecaprenol</v>
      </c>
    </row>
    <row r="481" spans="1:4" x14ac:dyDescent="0.35">
      <c r="A481" t="s">
        <v>2696</v>
      </c>
      <c r="B481" s="18" t="s">
        <v>3338</v>
      </c>
      <c r="C481" s="16" t="str">
        <f t="shared" si="15"/>
        <v>C11838:1</v>
      </c>
      <c r="D481" s="17" t="str">
        <f t="shared" si="16"/>
        <v>C11838 : (S)-4,5-Dihydroxypentane-2,3-dione</v>
      </c>
    </row>
    <row r="482" spans="1:4" x14ac:dyDescent="0.35">
      <c r="A482" t="s">
        <v>2849</v>
      </c>
      <c r="B482" s="18" t="s">
        <v>3339</v>
      </c>
      <c r="C482" s="16" t="str">
        <f t="shared" si="15"/>
        <v>C13179:1</v>
      </c>
      <c r="D482" s="17" t="str">
        <f t="shared" si="16"/>
        <v>C13179 : Fleroxacin</v>
      </c>
    </row>
    <row r="483" spans="1:4" x14ac:dyDescent="0.35">
      <c r="A483" t="s">
        <v>2484</v>
      </c>
      <c r="B483" s="18" t="s">
        <v>3340</v>
      </c>
      <c r="C483" s="16" t="str">
        <f t="shared" si="15"/>
        <v>C14089:1</v>
      </c>
      <c r="D483" s="17" t="str">
        <f t="shared" si="16"/>
        <v>C14089 : 1-Hydroxymethylnaphthalene</v>
      </c>
    </row>
    <row r="484" spans="1:4" x14ac:dyDescent="0.35">
      <c r="A484" t="s">
        <v>2604</v>
      </c>
      <c r="B484" s="18" t="s">
        <v>3341</v>
      </c>
      <c r="C484" s="16" t="str">
        <f t="shared" si="15"/>
        <v>C14090:1</v>
      </c>
      <c r="D484" s="17" t="str">
        <f t="shared" si="16"/>
        <v>C14090 : 1-Naphthaldehyde</v>
      </c>
    </row>
    <row r="485" spans="1:4" x14ac:dyDescent="0.35">
      <c r="A485" t="s">
        <v>2597</v>
      </c>
      <c r="B485" s="18" t="s">
        <v>3342</v>
      </c>
      <c r="C485" s="16" t="str">
        <f t="shared" si="15"/>
        <v>C14099:1</v>
      </c>
      <c r="D485" s="17" t="str">
        <f t="shared" si="16"/>
        <v>C14099 : 2-Naphthaldehyde</v>
      </c>
    </row>
    <row r="486" spans="1:4" x14ac:dyDescent="0.35">
      <c r="A486" t="s">
        <v>2495</v>
      </c>
      <c r="B486" s="18" t="s">
        <v>3343</v>
      </c>
      <c r="C486" s="16" t="str">
        <f t="shared" si="15"/>
        <v>C15565:1</v>
      </c>
      <c r="D486" s="17" t="str">
        <f t="shared" si="16"/>
        <v>C15565 : (S)-2-Hydroxyacid</v>
      </c>
    </row>
    <row r="487" spans="1:4" x14ac:dyDescent="0.35">
      <c r="A487" t="s">
        <v>2676</v>
      </c>
      <c r="B487" t="s">
        <v>3344</v>
      </c>
      <c r="C487" s="16" t="str">
        <f t="shared" si="15"/>
        <v>C15647:1</v>
      </c>
      <c r="D487" s="17" t="str">
        <f t="shared" si="16"/>
        <v>C15647 : 2-Acyl-1-(1-alkenyl)-sn-glycero-3-phosphate</v>
      </c>
    </row>
    <row r="488" spans="1:4" x14ac:dyDescent="0.35">
      <c r="A488" t="s">
        <v>2467</v>
      </c>
      <c r="B488" s="18" t="s">
        <v>3345</v>
      </c>
      <c r="C488" s="16" t="str">
        <f t="shared" si="15"/>
        <v>C15653:1</v>
      </c>
      <c r="D488" s="17" t="str">
        <f t="shared" si="16"/>
        <v>C15653 : Peptide-L-methionine (R)-S-oxide</v>
      </c>
    </row>
    <row r="489" spans="1:4" x14ac:dyDescent="0.35">
      <c r="A489" t="s">
        <v>1307</v>
      </c>
      <c r="B489" t="s">
        <v>3346</v>
      </c>
      <c r="C489" s="16" t="str">
        <f t="shared" si="15"/>
        <v>C15667:1</v>
      </c>
      <c r="D489" s="17" t="str">
        <f t="shared" si="16"/>
        <v>C15667 : 5-Carboxyamino-1-(5-phospho-D-ribosyl)imidazole</v>
      </c>
    </row>
    <row r="490" spans="1:4" x14ac:dyDescent="0.35">
      <c r="A490" t="s">
        <v>2787</v>
      </c>
      <c r="B490" s="18" t="s">
        <v>3347</v>
      </c>
      <c r="C490" s="16" t="str">
        <f t="shared" si="15"/>
        <v>C15811:1</v>
      </c>
      <c r="D490" s="17" t="str">
        <f t="shared" si="16"/>
        <v>C15811 : [Enzyme]-cysteine</v>
      </c>
    </row>
    <row r="491" spans="1:4" x14ac:dyDescent="0.35">
      <c r="A491" t="s">
        <v>2450</v>
      </c>
      <c r="B491" t="s">
        <v>3348</v>
      </c>
      <c r="C491" s="16" t="str">
        <f t="shared" si="15"/>
        <v>C15812:1</v>
      </c>
      <c r="D491" s="17" t="str">
        <f t="shared" si="16"/>
        <v>C15812 : [Enzyme]-S-sulfanylcysteine</v>
      </c>
    </row>
    <row r="492" spans="1:4" x14ac:dyDescent="0.35">
      <c r="A492" t="s">
        <v>2788</v>
      </c>
      <c r="B492" s="18" t="s">
        <v>3349</v>
      </c>
      <c r="C492" s="16" t="str">
        <f t="shared" si="15"/>
        <v>C15813:1</v>
      </c>
      <c r="D492" s="17" t="str">
        <f t="shared" si="16"/>
        <v>C15813 : Adenylyl-[sulfur-carrier protein]</v>
      </c>
    </row>
    <row r="493" spans="1:4" x14ac:dyDescent="0.35">
      <c r="A493" t="s">
        <v>2789</v>
      </c>
      <c r="B493" s="18" t="s">
        <v>3350</v>
      </c>
      <c r="C493" s="16" t="str">
        <f t="shared" si="15"/>
        <v>C15814:1</v>
      </c>
      <c r="D493" s="17" t="str">
        <f t="shared" si="16"/>
        <v>C15814 : Thiocarboxy-[sulfur-carrier protein]</v>
      </c>
    </row>
    <row r="494" spans="1:4" x14ac:dyDescent="0.35">
      <c r="A494" t="s">
        <v>2621</v>
      </c>
      <c r="B494" t="s">
        <v>3351</v>
      </c>
      <c r="C494" s="16" t="str">
        <f t="shared" si="15"/>
        <v>C15999:1</v>
      </c>
      <c r="D494" s="17" t="str">
        <f t="shared" si="16"/>
        <v>C15999 : L-Methionine (S)-S-oxide</v>
      </c>
    </row>
    <row r="495" spans="1:4" x14ac:dyDescent="0.35">
      <c r="A495" t="s">
        <v>2485</v>
      </c>
      <c r="B495" t="s">
        <v>3352</v>
      </c>
      <c r="C495" s="16" t="str">
        <f t="shared" si="15"/>
        <v>C16310:1</v>
      </c>
      <c r="D495" s="17" t="str">
        <f t="shared" si="16"/>
        <v>C16310 : 3-Hexenal</v>
      </c>
    </row>
    <row r="496" spans="1:4" x14ac:dyDescent="0.35">
      <c r="A496" t="s">
        <v>2601</v>
      </c>
      <c r="B496" s="18" t="s">
        <v>3353</v>
      </c>
      <c r="C496" s="16" t="str">
        <f t="shared" si="15"/>
        <v>C16348:1</v>
      </c>
      <c r="D496" s="17" t="str">
        <f t="shared" si="16"/>
        <v>C16348 : cis-3-Chloroallyl aldehyde</v>
      </c>
    </row>
    <row r="497" spans="1:4" x14ac:dyDescent="0.35">
      <c r="A497" t="s">
        <v>2656</v>
      </c>
      <c r="B497" s="18" t="s">
        <v>3354</v>
      </c>
      <c r="C497" s="16" t="str">
        <f t="shared" si="15"/>
        <v>C16463:1</v>
      </c>
      <c r="D497" s="17" t="str">
        <f t="shared" si="16"/>
        <v>C16463 : 3',5'-Cyclic diGMP</v>
      </c>
    </row>
    <row r="498" spans="1:4" x14ac:dyDescent="0.35">
      <c r="A498" t="s">
        <v>2603</v>
      </c>
      <c r="B498" s="18" t="s">
        <v>3355</v>
      </c>
      <c r="C498" s="16" t="str">
        <f t="shared" si="15"/>
        <v>C16551:1</v>
      </c>
      <c r="D498" s="17" t="str">
        <f t="shared" si="16"/>
        <v>C16551 : Alcophosphamide</v>
      </c>
    </row>
    <row r="499" spans="1:4" x14ac:dyDescent="0.35">
      <c r="A499" t="s">
        <v>2486</v>
      </c>
      <c r="B499" s="18" t="s">
        <v>3356</v>
      </c>
      <c r="C499" s="16" t="str">
        <f t="shared" si="15"/>
        <v>C16586:1</v>
      </c>
      <c r="D499" s="17" t="str">
        <f t="shared" si="16"/>
        <v>C16586 : 2-Phenyl-1,3-propanediol monocarbamate</v>
      </c>
    </row>
    <row r="500" spans="1:4" x14ac:dyDescent="0.35">
      <c r="A500" t="s">
        <v>2606</v>
      </c>
      <c r="B500" t="s">
        <v>3357</v>
      </c>
      <c r="C500" s="16" t="str">
        <f t="shared" si="15"/>
        <v>C16587:1</v>
      </c>
      <c r="D500" s="17" t="str">
        <f t="shared" si="16"/>
        <v>C16587 : 3-Carbamoyl-2-phenylpropionaldehyde</v>
      </c>
    </row>
    <row r="501" spans="1:4" x14ac:dyDescent="0.35">
      <c r="A501" t="s">
        <v>2487</v>
      </c>
      <c r="B501" s="18" t="s">
        <v>3358</v>
      </c>
      <c r="C501" s="16" t="str">
        <f t="shared" si="15"/>
        <v>C16595:1</v>
      </c>
      <c r="D501" s="17" t="str">
        <f t="shared" si="16"/>
        <v>C16595 : 4-Hydroxy-5-phenyltetrahydro-1,3-oxazin-2-one</v>
      </c>
    </row>
    <row r="502" spans="1:4" x14ac:dyDescent="0.35">
      <c r="A502" t="s">
        <v>2607</v>
      </c>
      <c r="B502" s="18" t="s">
        <v>3359</v>
      </c>
      <c r="C502" s="16" t="str">
        <f t="shared" si="15"/>
        <v>C16596:1</v>
      </c>
      <c r="D502" s="17" t="str">
        <f t="shared" si="16"/>
        <v>C16596 : 5-Phenyl-1,3-oxazinane-2,4-dione</v>
      </c>
    </row>
    <row r="503" spans="1:4" x14ac:dyDescent="0.35">
      <c r="A503" t="s">
        <v>2547</v>
      </c>
      <c r="B503" t="s">
        <v>3360</v>
      </c>
      <c r="C503" s="16" t="str">
        <f t="shared" si="15"/>
        <v>C16614:1</v>
      </c>
      <c r="D503" s="17" t="str">
        <f t="shared" si="16"/>
        <v>C16614 : 6-Methylmercaptopurine</v>
      </c>
    </row>
    <row r="504" spans="1:4" x14ac:dyDescent="0.35">
      <c r="A504" t="s">
        <v>2638</v>
      </c>
      <c r="B504" s="18" t="s">
        <v>3361</v>
      </c>
      <c r="C504" s="16" t="str">
        <f t="shared" si="15"/>
        <v>C16615:1</v>
      </c>
      <c r="D504" s="17" t="str">
        <f t="shared" si="16"/>
        <v>C16615 : 6-Methylthiopurine 5'-monophosphate ribonucleotide</v>
      </c>
    </row>
    <row r="505" spans="1:4" x14ac:dyDescent="0.35">
      <c r="A505" t="s">
        <v>2589</v>
      </c>
      <c r="B505" s="18" t="s">
        <v>3362</v>
      </c>
      <c r="C505" s="16" t="str">
        <f t="shared" si="15"/>
        <v>C16618:1</v>
      </c>
      <c r="D505" s="17" t="str">
        <f t="shared" si="16"/>
        <v>C16618 : 6-Thioxanthine 5'-monophosphate</v>
      </c>
    </row>
    <row r="506" spans="1:4" x14ac:dyDescent="0.35">
      <c r="A506" t="s">
        <v>2637</v>
      </c>
      <c r="B506" s="18" t="s">
        <v>3363</v>
      </c>
      <c r="C506" s="16" t="str">
        <f t="shared" si="15"/>
        <v>C16619:1</v>
      </c>
      <c r="D506" s="17" t="str">
        <f t="shared" si="16"/>
        <v>C16619 : 6-Thioguanosine monophosphate</v>
      </c>
    </row>
    <row r="507" spans="1:4" x14ac:dyDescent="0.35">
      <c r="A507" t="s">
        <v>2556</v>
      </c>
      <c r="B507" t="s">
        <v>3364</v>
      </c>
      <c r="C507" s="16" t="str">
        <f t="shared" si="15"/>
        <v>C16633:1</v>
      </c>
      <c r="D507" s="17" t="str">
        <f t="shared" si="16"/>
        <v>C16633 : 5-Fluorouridine</v>
      </c>
    </row>
    <row r="508" spans="1:4" x14ac:dyDescent="0.35">
      <c r="A508" t="s">
        <v>2630</v>
      </c>
      <c r="B508" t="s">
        <v>3365</v>
      </c>
      <c r="C508" s="16" t="str">
        <f t="shared" si="15"/>
        <v>C16634:1</v>
      </c>
      <c r="D508" s="17" t="str">
        <f t="shared" si="16"/>
        <v>C16634 : 5-Fluorouridine monophosphate</v>
      </c>
    </row>
    <row r="509" spans="1:4" x14ac:dyDescent="0.35">
      <c r="A509" t="s">
        <v>2850</v>
      </c>
      <c r="B509" t="s">
        <v>3366</v>
      </c>
      <c r="C509" s="16" t="str">
        <f t="shared" si="15"/>
        <v>C16636:1</v>
      </c>
      <c r="D509" s="17" t="str">
        <f t="shared" si="16"/>
        <v>C16636 : tRNA(Sec)</v>
      </c>
    </row>
    <row r="510" spans="1:4" x14ac:dyDescent="0.35">
      <c r="A510" t="s">
        <v>1358</v>
      </c>
      <c r="B510" t="s">
        <v>3367</v>
      </c>
      <c r="C510" s="16" t="str">
        <f t="shared" si="15"/>
        <v>C16639:1</v>
      </c>
      <c r="D510" s="17" t="str">
        <f t="shared" si="16"/>
        <v>C16639 : beta-D-Ribofuranose</v>
      </c>
    </row>
    <row r="511" spans="1:4" x14ac:dyDescent="0.35">
      <c r="A511" t="s">
        <v>2790</v>
      </c>
      <c r="B511" t="s">
        <v>3368</v>
      </c>
      <c r="C511" s="16" t="str">
        <f t="shared" si="15"/>
        <v>C16663:1</v>
      </c>
      <c r="D511" s="17" t="str">
        <f t="shared" si="16"/>
        <v xml:space="preserve">C16663 : Tryparedoxin </v>
      </c>
    </row>
    <row r="512" spans="1:4" x14ac:dyDescent="0.35">
      <c r="A512" t="s">
        <v>2791</v>
      </c>
      <c r="B512" s="18" t="s">
        <v>3369</v>
      </c>
      <c r="C512" s="16" t="str">
        <f t="shared" si="15"/>
        <v>C16664:1</v>
      </c>
      <c r="D512" s="17" t="str">
        <f t="shared" si="16"/>
        <v>C16664 : Tryparedoxin disulfide</v>
      </c>
    </row>
    <row r="513" spans="1:4" x14ac:dyDescent="0.35">
      <c r="A513" t="s">
        <v>2478</v>
      </c>
      <c r="B513" s="18" t="s">
        <v>3370</v>
      </c>
      <c r="C513" s="16" t="str">
        <f t="shared" si="15"/>
        <v>C16688:1</v>
      </c>
      <c r="D513" s="17" t="str">
        <f t="shared" si="16"/>
        <v>C16688 : Sucrose 6-phosphate</v>
      </c>
    </row>
    <row r="514" spans="1:4" x14ac:dyDescent="0.35">
      <c r="A514" t="s">
        <v>2692</v>
      </c>
      <c r="B514" s="18" t="s">
        <v>3371</v>
      </c>
      <c r="C514" s="16" t="str">
        <f t="shared" si="15"/>
        <v>C16698:1</v>
      </c>
      <c r="D514" s="17" t="str">
        <f t="shared" si="16"/>
        <v>C16698 : N-Acetylmuramic acid 6-phosphate</v>
      </c>
    </row>
    <row r="515" spans="1:4" x14ac:dyDescent="0.35">
      <c r="A515" t="s">
        <v>2658</v>
      </c>
      <c r="B515" s="8" t="s">
        <v>3372</v>
      </c>
      <c r="C515" s="16" t="str">
        <f t="shared" ref="C515:C578" si="17">CONCATENATE(A515,":","1")</f>
        <v>C17322:1</v>
      </c>
      <c r="D515" s="17" t="str">
        <f t="shared" ref="D515:D578" si="18">CONCATENATE(A515," : ",B515)</f>
        <v>C17322 : tRNA containing 2-thiouridine</v>
      </c>
    </row>
    <row r="516" spans="1:4" x14ac:dyDescent="0.35">
      <c r="A516" t="s">
        <v>2581</v>
      </c>
      <c r="B516" t="s">
        <v>3373</v>
      </c>
      <c r="C516" s="16" t="str">
        <f t="shared" si="17"/>
        <v>C17324:1</v>
      </c>
      <c r="D516" s="17" t="str">
        <f t="shared" si="18"/>
        <v>C17324 : tRNA adenine</v>
      </c>
    </row>
    <row r="517" spans="1:4" x14ac:dyDescent="0.35">
      <c r="A517" t="s">
        <v>2792</v>
      </c>
      <c r="B517" s="18" t="s">
        <v>3374</v>
      </c>
      <c r="C517" s="16" t="str">
        <f t="shared" si="17"/>
        <v>C17556:1</v>
      </c>
      <c r="D517" s="17" t="str">
        <f t="shared" si="18"/>
        <v>C17556 : di-trans,poly-cis-Undecaprenyl phosphate</v>
      </c>
    </row>
    <row r="518" spans="1:4" x14ac:dyDescent="0.35">
      <c r="A518" t="s">
        <v>1340</v>
      </c>
      <c r="B518" s="18" t="s">
        <v>3375</v>
      </c>
      <c r="C518" s="16" t="str">
        <f t="shared" si="17"/>
        <v>C18096:1</v>
      </c>
      <c r="D518" s="17" t="str">
        <f t="shared" si="18"/>
        <v>C18096 : D-Allulose 6-phosphate</v>
      </c>
    </row>
    <row r="519" spans="1:4" x14ac:dyDescent="0.35">
      <c r="A519" t="s">
        <v>2851</v>
      </c>
      <c r="B519" t="s">
        <v>3376</v>
      </c>
      <c r="C519" s="16" t="str">
        <f t="shared" si="17"/>
        <v>C18902:1</v>
      </c>
      <c r="D519" s="17" t="str">
        <f t="shared" si="18"/>
        <v xml:space="preserve">C18902 : Methylselenic acid </v>
      </c>
    </row>
    <row r="520" spans="1:4" x14ac:dyDescent="0.35">
      <c r="A520" t="s">
        <v>2560</v>
      </c>
      <c r="B520" s="18" t="s">
        <v>3377</v>
      </c>
      <c r="C520" s="16" t="str">
        <f t="shared" si="17"/>
        <v>C19078:1</v>
      </c>
      <c r="D520" s="17" t="str">
        <f t="shared" si="18"/>
        <v>C19078 : tRNA with a 3' cytidine</v>
      </c>
    </row>
    <row r="521" spans="1:4" x14ac:dyDescent="0.35">
      <c r="A521" t="s">
        <v>2561</v>
      </c>
      <c r="B521" s="18" t="s">
        <v>3378</v>
      </c>
      <c r="C521" s="16" t="str">
        <f t="shared" si="17"/>
        <v>C19080:1</v>
      </c>
      <c r="D521" s="17" t="str">
        <f t="shared" si="18"/>
        <v>C19080 : tRNA with a 3' CC end</v>
      </c>
    </row>
    <row r="522" spans="1:4" x14ac:dyDescent="0.35">
      <c r="A522" t="s">
        <v>2657</v>
      </c>
      <c r="B522" s="18" t="s">
        <v>3379</v>
      </c>
      <c r="C522" s="16" t="str">
        <f t="shared" si="17"/>
        <v>C19085:1</v>
      </c>
      <c r="D522" s="17" t="str">
        <f t="shared" si="18"/>
        <v>C19085 : tRNA with a 3' CCA end</v>
      </c>
    </row>
    <row r="523" spans="1:4" x14ac:dyDescent="0.35">
      <c r="A523" t="s">
        <v>2588</v>
      </c>
      <c r="B523" s="18" t="s">
        <v>3380</v>
      </c>
      <c r="C523" s="16" t="str">
        <f t="shared" si="17"/>
        <v>C19722:1</v>
      </c>
      <c r="D523" s="17" t="str">
        <f t="shared" si="18"/>
        <v>C19722 : [tRNA(Ile2)]-cytidine34</v>
      </c>
    </row>
    <row r="524" spans="1:4" x14ac:dyDescent="0.35">
      <c r="A524" t="s">
        <v>2699</v>
      </c>
      <c r="B524" s="8" t="s">
        <v>3381</v>
      </c>
      <c r="C524" s="16" t="str">
        <f t="shared" si="17"/>
        <v>C19723:1</v>
      </c>
      <c r="D524" s="17" t="str">
        <f t="shared" si="18"/>
        <v>C19723 : [tRNA(Ile2)]-lysidine34</v>
      </c>
    </row>
    <row r="525" spans="1:4" x14ac:dyDescent="0.35">
      <c r="A525" t="s">
        <v>2459</v>
      </c>
      <c r="B525" s="18" t="s">
        <v>3382</v>
      </c>
      <c r="C525" s="16" t="str">
        <f t="shared" si="17"/>
        <v>C19771:1</v>
      </c>
      <c r="D525" s="17" t="str">
        <f t="shared" si="18"/>
        <v>C19771 : 2'-(5-Triphosphoribosyl)-3'-dephospho-CoA</v>
      </c>
    </row>
    <row r="526" spans="1:4" x14ac:dyDescent="0.35">
      <c r="A526" t="s">
        <v>2613</v>
      </c>
      <c r="B526" s="18" t="s">
        <v>3383</v>
      </c>
      <c r="C526" s="16" t="str">
        <f t="shared" si="17"/>
        <v>C20258:1</v>
      </c>
      <c r="D526" s="17" t="str">
        <f t="shared" si="18"/>
        <v>C20258 : (2S,4S)-4-Hydroxy-2,3,4,5-tetrahydrodipicolinate</v>
      </c>
    </row>
    <row r="527" spans="1:4" x14ac:dyDescent="0.35">
      <c r="A527" t="s">
        <v>2687</v>
      </c>
      <c r="B527" t="s">
        <v>3384</v>
      </c>
      <c r="C527" s="16" t="str">
        <f t="shared" si="17"/>
        <v>C20451:1</v>
      </c>
      <c r="D527" s="17" t="str">
        <f t="shared" si="18"/>
        <v>C20451 : tRNA hypoxanthine</v>
      </c>
    </row>
    <row r="528" spans="1:4" x14ac:dyDescent="0.35">
      <c r="A528" t="s">
        <v>2793</v>
      </c>
      <c r="B528" s="8" t="s">
        <v>3385</v>
      </c>
      <c r="C528" s="16" t="str">
        <f t="shared" si="17"/>
        <v>C20565:1</v>
      </c>
      <c r="D528" s="17" t="str">
        <f t="shared" si="18"/>
        <v>C20565 : Cyclic di-3',5'-adenylate</v>
      </c>
    </row>
    <row r="529" spans="1:4" x14ac:dyDescent="0.35">
      <c r="A529" t="s">
        <v>2531</v>
      </c>
      <c r="B529" s="18" t="s">
        <v>3386</v>
      </c>
      <c r="C529" s="16" t="str">
        <f t="shared" si="17"/>
        <v>C20641:1</v>
      </c>
      <c r="D529" s="17" t="str">
        <f t="shared" si="18"/>
        <v>C20641 : L-Threonylcarbamoyladenylate</v>
      </c>
    </row>
    <row r="530" spans="1:4" x14ac:dyDescent="0.35">
      <c r="A530" t="s">
        <v>2794</v>
      </c>
      <c r="B530" t="s">
        <v>3387</v>
      </c>
      <c r="C530" s="16" t="str">
        <f t="shared" si="17"/>
        <v>C20648:1</v>
      </c>
      <c r="D530" s="17" t="str">
        <f t="shared" si="18"/>
        <v>C20648 : Adenine in rRNA</v>
      </c>
    </row>
    <row r="531" spans="1:4" x14ac:dyDescent="0.35">
      <c r="A531" t="s">
        <v>2472</v>
      </c>
      <c r="B531" t="s">
        <v>3388</v>
      </c>
      <c r="C531" s="16" t="str">
        <f t="shared" si="17"/>
        <v>C20658:1</v>
      </c>
      <c r="D531" s="17" t="str">
        <f t="shared" si="18"/>
        <v>C20658 : O-Acetyl-ADP-ribose</v>
      </c>
    </row>
    <row r="532" spans="1:4" x14ac:dyDescent="0.35">
      <c r="A532" t="s">
        <v>2795</v>
      </c>
      <c r="B532" t="s">
        <v>3389</v>
      </c>
      <c r="C532" s="16" t="str">
        <f t="shared" si="17"/>
        <v>C20743:1</v>
      </c>
      <c r="D532" s="17" t="str">
        <f t="shared" si="18"/>
        <v>C20743 : Protein N6-acetyl-L-lysine</v>
      </c>
    </row>
    <row r="533" spans="1:4" x14ac:dyDescent="0.35">
      <c r="A533" t="s">
        <v>2796</v>
      </c>
      <c r="B533" s="18" t="s">
        <v>3390</v>
      </c>
      <c r="C533" s="16" t="str">
        <f t="shared" si="17"/>
        <v>C20751:1</v>
      </c>
      <c r="D533" s="17" t="str">
        <f t="shared" si="18"/>
        <v>C20751 : N6-L-Threonylcarbamoyladenine in tRNA</v>
      </c>
    </row>
    <row r="534" spans="1:4" x14ac:dyDescent="0.35">
      <c r="A534" t="s">
        <v>2797</v>
      </c>
      <c r="B534" s="18" t="s">
        <v>3391</v>
      </c>
      <c r="C534" s="16" t="str">
        <f t="shared" si="17"/>
        <v>C20796:1</v>
      </c>
      <c r="D534" s="17" t="str">
        <f t="shared" si="18"/>
        <v>C20796 : N6-Dimethyladenine in rRNA</v>
      </c>
    </row>
    <row r="535" spans="1:4" x14ac:dyDescent="0.35">
      <c r="A535" t="s">
        <v>2624</v>
      </c>
      <c r="B535" s="18" t="s">
        <v>3392</v>
      </c>
      <c r="C535" s="16" t="str">
        <f t="shared" si="17"/>
        <v>C20858:1</v>
      </c>
      <c r="D535" s="17" t="str">
        <f t="shared" si="18"/>
        <v>C20858 : Protein N5-methyl-L-glutamine</v>
      </c>
    </row>
    <row r="536" spans="1:4" x14ac:dyDescent="0.35">
      <c r="A536" t="s">
        <v>2798</v>
      </c>
      <c r="B536" s="18" t="s">
        <v>3393</v>
      </c>
      <c r="C536" s="16" t="str">
        <f t="shared" si="17"/>
        <v>C20864:1</v>
      </c>
      <c r="D536" s="17" t="str">
        <f t="shared" si="18"/>
        <v>C20864 : 5'Triphospho-[mRNA]</v>
      </c>
    </row>
    <row r="537" spans="1:4" x14ac:dyDescent="0.35">
      <c r="A537" t="s">
        <v>2799</v>
      </c>
      <c r="B537" s="18" t="s">
        <v>3394</v>
      </c>
      <c r="C537" s="16" t="str">
        <f t="shared" si="17"/>
        <v>C20969:1</v>
      </c>
      <c r="D537" s="17" t="str">
        <f t="shared" si="18"/>
        <v>C20969 : Carboxyphosphate</v>
      </c>
    </row>
    <row r="538" spans="1:4" ht="29" x14ac:dyDescent="0.35">
      <c r="A538" t="s">
        <v>1298</v>
      </c>
      <c r="B538" s="8" t="s">
        <v>3395</v>
      </c>
      <c r="C538" s="16" t="str">
        <f t="shared" si="17"/>
        <v>C21031:1</v>
      </c>
      <c r="D538" s="17" t="str">
        <f t="shared" si="18"/>
        <v>C21031 : 5-Hydroxymethylcytosine in DNA</v>
      </c>
    </row>
    <row r="539" spans="1:4" x14ac:dyDescent="0.35">
      <c r="A539" t="s">
        <v>2615</v>
      </c>
      <c r="B539" s="10" t="s">
        <v>3396</v>
      </c>
      <c r="C539" s="16" t="str">
        <f t="shared" si="17"/>
        <v>C21748:1</v>
      </c>
      <c r="D539" s="17" t="str">
        <f t="shared" si="18"/>
        <v>C21748 : 5-Fluorouridine diphosphate</v>
      </c>
    </row>
    <row r="540" spans="1:4" x14ac:dyDescent="0.35">
      <c r="A540" t="s">
        <v>2501</v>
      </c>
      <c r="B540" t="s">
        <v>3397</v>
      </c>
      <c r="C540" s="16" t="str">
        <f t="shared" si="17"/>
        <v>C21750:1</v>
      </c>
      <c r="D540" s="17" t="str">
        <f t="shared" si="18"/>
        <v>C21750 : 5-Fluorodeoxyuridine diphosphate</v>
      </c>
    </row>
    <row r="541" spans="1:4" x14ac:dyDescent="0.35">
      <c r="A541" t="s">
        <v>2460</v>
      </c>
      <c r="B541" s="18" t="s">
        <v>3398</v>
      </c>
      <c r="C541" s="16" t="str">
        <f t="shared" si="17"/>
        <v>C21811:1</v>
      </c>
      <c r="D541" s="17" t="str">
        <f t="shared" si="18"/>
        <v>C21811 : [(4-D-Ala)-(2-GlcNAc)-Rib-ol-P]n-[Gro-P]m-beta-ManNAc-(1-&gt;4)-alpha-GlcNAc-P-peptidoglycan</v>
      </c>
    </row>
    <row r="542" spans="1:4" x14ac:dyDescent="0.35">
      <c r="A542" t="s">
        <v>2384</v>
      </c>
      <c r="B542" s="18" t="s">
        <v>3399</v>
      </c>
      <c r="C542" s="16" t="str">
        <f t="shared" si="17"/>
        <v>C21812:1</v>
      </c>
      <c r="D542" s="17" t="str">
        <f t="shared" si="18"/>
        <v>C21812 : [(2-GlcNAc)-Rib-ol-P]n-[Gro-P]m-beta-ManNAc-(1-&gt;4)-alpha-GlcNAc-P-peptidoglycan</v>
      </c>
    </row>
    <row r="543" spans="1:4" x14ac:dyDescent="0.35">
      <c r="A543" t="s">
        <v>2473</v>
      </c>
      <c r="B543" s="10" t="s">
        <v>3400</v>
      </c>
      <c r="C543" s="16" t="str">
        <f t="shared" si="17"/>
        <v>C22131:1</v>
      </c>
      <c r="D543" s="17" t="str">
        <f t="shared" si="18"/>
        <v>C22131 : Protodeoxyviolaceinic acid</v>
      </c>
    </row>
    <row r="544" spans="1:4" x14ac:dyDescent="0.35">
      <c r="A544" t="s">
        <v>2412</v>
      </c>
      <c r="B544" s="10" t="s">
        <v>3401</v>
      </c>
      <c r="C544" s="16" t="str">
        <f t="shared" si="17"/>
        <v>C22288:1</v>
      </c>
      <c r="D544" s="17" t="str">
        <f t="shared" si="18"/>
        <v>C22288 : 5-Deoxy-D-ribose</v>
      </c>
    </row>
    <row r="545" spans="1:4" ht="29" x14ac:dyDescent="0.35">
      <c r="A545" t="s">
        <v>1318</v>
      </c>
      <c r="B545" s="8" t="s">
        <v>3402</v>
      </c>
      <c r="C545" s="16" t="str">
        <f t="shared" si="17"/>
        <v>C22395:1</v>
      </c>
      <c r="D545" s="17" t="str">
        <f t="shared" si="18"/>
        <v>C22395 :  N6-Succino-2-amino-2'-deoxyadenylate</v>
      </c>
    </row>
    <row r="546" spans="1:4" x14ac:dyDescent="0.35">
      <c r="A546" t="s">
        <v>2558</v>
      </c>
      <c r="B546" s="18" t="s">
        <v>3403</v>
      </c>
      <c r="C546" s="16" t="str">
        <f t="shared" si="17"/>
        <v>C22441:1</v>
      </c>
      <c r="D546" s="17" t="str">
        <f t="shared" si="18"/>
        <v>C22441 : dZMP</v>
      </c>
    </row>
    <row r="547" spans="1:4" x14ac:dyDescent="0.35">
      <c r="A547" t="s">
        <v>2654</v>
      </c>
      <c r="B547" s="18" t="s">
        <v>3404</v>
      </c>
      <c r="C547" s="16" t="str">
        <f t="shared" si="17"/>
        <v>C22442:1</v>
      </c>
      <c r="D547" s="17" t="str">
        <f t="shared" si="18"/>
        <v>C22442 : dZDP</v>
      </c>
    </row>
    <row r="548" spans="1:4" x14ac:dyDescent="0.35">
      <c r="A548" t="s">
        <v>2563</v>
      </c>
      <c r="B548" s="18" t="s">
        <v>3062</v>
      </c>
      <c r="C548" s="16" t="str">
        <f t="shared" si="17"/>
        <v>G00249:1</v>
      </c>
      <c r="D548" s="17" t="str">
        <f t="shared" si="18"/>
        <v>G00249 : Raffinose</v>
      </c>
    </row>
    <row r="549" spans="1:4" x14ac:dyDescent="0.35">
      <c r="A549" t="s">
        <v>2564</v>
      </c>
      <c r="B549" t="s">
        <v>3141</v>
      </c>
      <c r="C549" s="16" t="str">
        <f t="shared" si="17"/>
        <v>G00278:1</v>
      </c>
      <c r="D549" s="17" t="str">
        <f t="shared" si="18"/>
        <v>G00278 : Stachyose</v>
      </c>
    </row>
    <row r="550" spans="1:4" x14ac:dyDescent="0.35">
      <c r="A550" t="s">
        <v>2541</v>
      </c>
      <c r="B550" s="18" t="s">
        <v>2931</v>
      </c>
      <c r="C550" s="16" t="str">
        <f t="shared" si="17"/>
        <v>G00370:1</v>
      </c>
      <c r="D550" s="17" t="str">
        <f t="shared" si="18"/>
        <v xml:space="preserve">G00370 : Sucrose </v>
      </c>
    </row>
    <row r="551" spans="1:4" x14ac:dyDescent="0.35">
      <c r="A551" t="s">
        <v>2680</v>
      </c>
      <c r="B551" s="18" t="s">
        <v>3409</v>
      </c>
      <c r="C551" s="16" t="str">
        <f t="shared" si="17"/>
        <v>G00501:1</v>
      </c>
      <c r="D551" s="17" t="str">
        <f t="shared" si="18"/>
        <v>G00501 : Manninotriose</v>
      </c>
    </row>
    <row r="552" spans="1:4" x14ac:dyDescent="0.35">
      <c r="A552" t="s">
        <v>2679</v>
      </c>
      <c r="B552" s="18" t="s">
        <v>3280</v>
      </c>
      <c r="C552" s="16" t="str">
        <f t="shared" si="17"/>
        <v>G01275:1</v>
      </c>
      <c r="D552" s="17" t="str">
        <f t="shared" si="18"/>
        <v>G01275 : Melibiose</v>
      </c>
    </row>
    <row r="553" spans="1:4" x14ac:dyDescent="0.35">
      <c r="A553" t="s">
        <v>2536</v>
      </c>
      <c r="B553" s="18" t="s">
        <v>3410</v>
      </c>
      <c r="C553" s="16" t="str">
        <f t="shared" si="17"/>
        <v>G10495:1</v>
      </c>
      <c r="D553" s="17" t="str">
        <f t="shared" si="18"/>
        <v>G10495 : 1,4-alpha-D-Glucan</v>
      </c>
    </row>
    <row r="554" spans="1:4" x14ac:dyDescent="0.35">
      <c r="A554" t="s">
        <v>2565</v>
      </c>
      <c r="B554" s="18" t="s">
        <v>3411</v>
      </c>
      <c r="C554" s="16" t="str">
        <f t="shared" si="17"/>
        <v>G10508:1</v>
      </c>
      <c r="D554" s="17" t="str">
        <f t="shared" si="18"/>
        <v>G10508 : Sucrose 6'-phosphate</v>
      </c>
    </row>
    <row r="555" spans="1:4" x14ac:dyDescent="0.35">
      <c r="A555" t="s">
        <v>2409</v>
      </c>
      <c r="B555" s="8" t="s">
        <v>3418</v>
      </c>
      <c r="C555" s="16" t="str">
        <f t="shared" si="17"/>
        <v>G10518:1</v>
      </c>
      <c r="D555" s="17" t="str">
        <f t="shared" si="18"/>
        <v>G10518 :  (Glc)2 (P)1</v>
      </c>
    </row>
    <row r="556" spans="1:4" x14ac:dyDescent="0.35">
      <c r="A556" t="s">
        <v>2537</v>
      </c>
      <c r="B556" s="18" t="s">
        <v>3039</v>
      </c>
      <c r="C556" s="16" t="str">
        <f t="shared" si="17"/>
        <v>G10545:1</v>
      </c>
      <c r="D556" s="17" t="str">
        <f t="shared" si="18"/>
        <v>G10545 : Starch</v>
      </c>
    </row>
    <row r="557" spans="1:4" x14ac:dyDescent="0.35">
      <c r="A557" t="s">
        <v>2629</v>
      </c>
      <c r="B557" s="18" t="s">
        <v>3419</v>
      </c>
      <c r="C557" s="16" t="str">
        <f t="shared" si="17"/>
        <v>G10550:1</v>
      </c>
      <c r="D557" s="17" t="str">
        <f t="shared" si="18"/>
        <v>G10550 : (GlcNAc)1 (MurNAc)1 (D-Ala-D-Ala-Lys-D-Glu-Ala)1 (PP-Und)1</v>
      </c>
    </row>
    <row r="558" spans="1:4" ht="29" x14ac:dyDescent="0.35">
      <c r="A558" t="s">
        <v>2401</v>
      </c>
      <c r="B558" s="8" t="s">
        <v>3420</v>
      </c>
      <c r="C558" s="16" t="str">
        <f t="shared" si="17"/>
        <v>G10551:1</v>
      </c>
      <c r="D558" s="17" t="str">
        <f t="shared" si="18"/>
        <v>G10551 : (MurNAc)1 (D-Ala-D-Ala-Lys-D-Glu-Ala)1 (PP-Und)1</v>
      </c>
    </row>
    <row r="559" spans="1:4" ht="29" x14ac:dyDescent="0.35">
      <c r="A559" t="s">
        <v>2434</v>
      </c>
      <c r="B559" s="8" t="s">
        <v>3424</v>
      </c>
      <c r="C559" s="16" t="str">
        <f t="shared" si="17"/>
        <v>G10552:1</v>
      </c>
      <c r="D559" s="17" t="str">
        <f t="shared" si="18"/>
        <v>G10552 : (MurNAc)1 (D-Ala-D-Ala-Lys-gamma-D-Glu-Ala)1 (PP-Und)1</v>
      </c>
    </row>
    <row r="560" spans="1:4" ht="43.5" x14ac:dyDescent="0.35">
      <c r="A560" t="s">
        <v>2549</v>
      </c>
      <c r="B560" s="8" t="s">
        <v>3421</v>
      </c>
      <c r="C560" s="16" t="str">
        <f t="shared" si="17"/>
        <v>G10553:1</v>
      </c>
      <c r="D560" s="17" t="str">
        <f t="shared" si="18"/>
        <v>G10553 : (GlcNAc)1 (MurNAc)1 (D-Ala-D-Ala-Lys-gamma-D-Glu-Ala)1 (PP-Und)1</v>
      </c>
    </row>
    <row r="561" spans="1:4" x14ac:dyDescent="0.35">
      <c r="A561" t="s">
        <v>2800</v>
      </c>
      <c r="B561" t="s">
        <v>3422</v>
      </c>
      <c r="C561" s="16" t="str">
        <f t="shared" si="17"/>
        <v>G10554:1</v>
      </c>
      <c r="D561" s="17" t="str">
        <f t="shared" si="18"/>
        <v>G10554 : (GlcNAc)1 (MurNAc)1 (*)1 (D-Ala-D-Ala-Lys-gamma-D-Glu-Ala)1 (PP-Und)1</v>
      </c>
    </row>
    <row r="562" spans="1:4" x14ac:dyDescent="0.35">
      <c r="A562" t="s">
        <v>2550</v>
      </c>
      <c r="B562" s="18" t="s">
        <v>3423</v>
      </c>
      <c r="C562" s="16" t="str">
        <f t="shared" si="17"/>
        <v>G10555:1</v>
      </c>
      <c r="D562" s="17" t="str">
        <f t="shared" si="18"/>
        <v>G10555 : (GlcNAc)1 (MurNAc)1 (D-Ala-D-Ala-A2pm-gamma-D-Glu-Ala)1 (PP-Und)1</v>
      </c>
    </row>
    <row r="563" spans="1:4" ht="29" x14ac:dyDescent="0.35">
      <c r="A563" t="s">
        <v>2540</v>
      </c>
      <c r="B563" s="8" t="s">
        <v>3425</v>
      </c>
      <c r="C563" s="16" t="str">
        <f t="shared" si="17"/>
        <v>G10556:1</v>
      </c>
      <c r="D563" s="17" t="str">
        <f t="shared" si="18"/>
        <v>G10556 : (MurNAc)1 (D-Ala-D-Ala-A2pm-gamma-D-Glu-Ala)1 (PP-Und)1</v>
      </c>
    </row>
    <row r="564" spans="1:4" x14ac:dyDescent="0.35">
      <c r="A564" t="s">
        <v>2801</v>
      </c>
      <c r="B564" s="18" t="s">
        <v>3417</v>
      </c>
      <c r="C564" s="16" t="str">
        <f t="shared" si="17"/>
        <v>G10557:1</v>
      </c>
      <c r="D564" s="17" t="str">
        <f t="shared" si="18"/>
        <v>G10557 : (GlcNAc)1 (MurNAc)1 (*)1 (D-Ala-D-Ala-A2pm-gamma-D-Glu-Ala)1 (PP-Und)1</v>
      </c>
    </row>
    <row r="565" spans="1:4" x14ac:dyDescent="0.35">
      <c r="A565" t="s">
        <v>2802</v>
      </c>
      <c r="B565" s="18" t="s">
        <v>3412</v>
      </c>
      <c r="C565" s="16" t="str">
        <f t="shared" si="17"/>
        <v>G10610:1</v>
      </c>
      <c r="D565" s="17" t="str">
        <f t="shared" si="18"/>
        <v>G10610 : UDP-N-acetyl-D-glucosamine</v>
      </c>
    </row>
    <row r="566" spans="1:4" x14ac:dyDescent="0.35">
      <c r="A566" t="s">
        <v>2803</v>
      </c>
      <c r="B566" s="18" t="s">
        <v>2880</v>
      </c>
      <c r="C566" s="16" t="str">
        <f t="shared" si="17"/>
        <v>G10619:1</v>
      </c>
      <c r="D566" s="17" t="str">
        <f t="shared" si="18"/>
        <v>G10619 : UDP</v>
      </c>
    </row>
    <row r="567" spans="1:4" x14ac:dyDescent="0.35">
      <c r="A567" t="s">
        <v>2804</v>
      </c>
      <c r="B567" s="18" t="s">
        <v>3063</v>
      </c>
      <c r="C567" s="16" t="str">
        <f t="shared" si="17"/>
        <v>G11109:1</v>
      </c>
      <c r="D567" s="17" t="str">
        <f t="shared" si="18"/>
        <v>G11109 : ADP-glucose</v>
      </c>
    </row>
    <row r="568" spans="1:4" x14ac:dyDescent="0.35">
      <c r="A568" t="s">
        <v>2805</v>
      </c>
      <c r="B568" s="18" t="s">
        <v>2873</v>
      </c>
      <c r="C568" s="16" t="str">
        <f t="shared" si="17"/>
        <v>G11113:1</v>
      </c>
      <c r="D568" s="17" t="str">
        <f t="shared" si="18"/>
        <v>G11113 : ADP</v>
      </c>
    </row>
    <row r="569" spans="1:4" x14ac:dyDescent="0.35">
      <c r="A569" t="s">
        <v>2852</v>
      </c>
      <c r="B569" s="18" t="s">
        <v>3413</v>
      </c>
      <c r="C569" s="16" t="str">
        <f t="shared" si="17"/>
        <v>G13167:1</v>
      </c>
      <c r="D569" s="17" t="str">
        <f t="shared" si="18"/>
        <v>G13167 : alpha-Glycosylated WTA</v>
      </c>
    </row>
    <row r="570" spans="1:4" x14ac:dyDescent="0.35">
      <c r="A570" t="s">
        <v>2853</v>
      </c>
      <c r="B570" s="18" t="s">
        <v>3414</v>
      </c>
      <c r="C570" s="16" t="str">
        <f t="shared" si="17"/>
        <v>G13170:1</v>
      </c>
      <c r="D570" s="17" t="str">
        <f t="shared" si="18"/>
        <v>G13170 : beta-Glycosylated WTA</v>
      </c>
    </row>
    <row r="571" spans="1:4" ht="43.5" x14ac:dyDescent="0.35">
      <c r="A571" t="s">
        <v>2854</v>
      </c>
      <c r="B571" s="8" t="s">
        <v>3426</v>
      </c>
      <c r="C571" s="16" t="str">
        <f t="shared" si="17"/>
        <v>G13171:1</v>
      </c>
      <c r="D571" s="17" t="str">
        <f t="shared" si="18"/>
        <v>G13171 : (Ala)1 (Glc)1 (GlcNAc)1 (Gro)1 (ManNAc)1 (Rib-ol)2 (*)1 (P)3 (PP-Und)1</v>
      </c>
    </row>
    <row r="572" spans="1:4" x14ac:dyDescent="0.35">
      <c r="A572" t="s">
        <v>2855</v>
      </c>
      <c r="B572" s="18" t="s">
        <v>3415</v>
      </c>
      <c r="C572" s="16" t="str">
        <f t="shared" si="17"/>
        <v>G13174:1</v>
      </c>
      <c r="D572" s="17" t="str">
        <f t="shared" si="18"/>
        <v>G13174 : alpha-O-GlcNAcylated WTA</v>
      </c>
    </row>
    <row r="573" spans="1:4" ht="43.5" x14ac:dyDescent="0.35">
      <c r="A573" t="s">
        <v>2856</v>
      </c>
      <c r="B573" s="8" t="s">
        <v>3427</v>
      </c>
      <c r="C573" s="16" t="str">
        <f t="shared" si="17"/>
        <v>G13175:1</v>
      </c>
      <c r="D573" s="17" t="str">
        <f t="shared" si="18"/>
        <v>G13175 : (Ala)1 (GlcNAc)2 (Gro)2 (ManNAc)1 (Rib-ol)1 (*)1 (P)3 (PP-Und)1</v>
      </c>
    </row>
    <row r="574" spans="1:4" x14ac:dyDescent="0.35">
      <c r="A574" t="s">
        <v>2857</v>
      </c>
      <c r="B574" s="18" t="s">
        <v>3416</v>
      </c>
      <c r="C574" s="16" t="str">
        <f t="shared" si="17"/>
        <v>G13176:1</v>
      </c>
      <c r="D574" s="17" t="str">
        <f t="shared" si="18"/>
        <v>G13176 : beta-O-GlcNAcylated WTA</v>
      </c>
    </row>
    <row r="575" spans="1:4" x14ac:dyDescent="0.35">
      <c r="A575" t="s">
        <v>2858</v>
      </c>
      <c r="B575" s="18" t="s">
        <v>3427</v>
      </c>
      <c r="C575" s="16" t="str">
        <f t="shared" si="17"/>
        <v>G13177:1</v>
      </c>
      <c r="D575" s="17" t="str">
        <f t="shared" si="18"/>
        <v>G13177 : (Ala)1 (GlcNAc)2 (Gro)2 (ManNAc)1 (Rib-ol)1 (*)1 (P)3 (PP-Und)1</v>
      </c>
    </row>
    <row r="576" spans="1:4" ht="29" x14ac:dyDescent="0.35">
      <c r="A576" t="s">
        <v>2859</v>
      </c>
      <c r="B576" s="8" t="s">
        <v>3428</v>
      </c>
      <c r="C576" s="16" t="str">
        <f t="shared" si="17"/>
        <v>G13178:1</v>
      </c>
      <c r="D576" s="17" t="str">
        <f t="shared" si="18"/>
        <v>G13178 :  (GlcNAc)2 (Gro)2 (ManNAc)1 (Rib-ol)1 (*)1 (P)3 (PP-Und)1</v>
      </c>
    </row>
    <row r="577" spans="1:4" ht="29" x14ac:dyDescent="0.35">
      <c r="A577" t="s">
        <v>2860</v>
      </c>
      <c r="B577" s="8" t="s">
        <v>3429</v>
      </c>
      <c r="C577" s="16" t="str">
        <f t="shared" si="17"/>
        <v>G13180:1</v>
      </c>
      <c r="D577" s="17" t="str">
        <f t="shared" si="18"/>
        <v>G13180 : (Ala)1 (Glc)1 (GlcNAc)1 (Gro)2 (ManNAc)1 (*)1 (P)2 (PP-Und)1</v>
      </c>
    </row>
    <row r="578" spans="1:4" ht="29" x14ac:dyDescent="0.35">
      <c r="A578" t="s">
        <v>2861</v>
      </c>
      <c r="B578" s="8" t="s">
        <v>3430</v>
      </c>
      <c r="C578" s="16" t="str">
        <f t="shared" si="17"/>
        <v>G13185:1</v>
      </c>
      <c r="D578" s="17" t="str">
        <f t="shared" si="18"/>
        <v>G13185 :  (DAG)1 (Glc)2 (GlcNAc)1 (Gro)2 (*)1 (P)2</v>
      </c>
    </row>
    <row r="579" spans="1:4" ht="29" x14ac:dyDescent="0.35">
      <c r="A579" t="s">
        <v>2862</v>
      </c>
      <c r="B579" s="8" t="s">
        <v>3431</v>
      </c>
      <c r="C579" s="16" t="str">
        <f t="shared" ref="C579:C581" si="19">CONCATENATE(A579,":","1")</f>
        <v>G13186:1</v>
      </c>
      <c r="D579" s="17" t="str">
        <f t="shared" ref="D579:D581" si="20">CONCATENATE(A579," : ",B579)</f>
        <v>G13186 : (Ala)1 (DAG)1 (Glc)2 (GlcNAc)1 (Gro)2 (*)1 (P)2</v>
      </c>
    </row>
    <row r="580" spans="1:4" ht="29" x14ac:dyDescent="0.35">
      <c r="A580" t="s">
        <v>2863</v>
      </c>
      <c r="B580" s="8" t="s">
        <v>3432</v>
      </c>
      <c r="C580" s="16" t="str">
        <f t="shared" si="19"/>
        <v>G13192:1</v>
      </c>
      <c r="D580" s="17" t="str">
        <f t="shared" si="20"/>
        <v>G13192 : (DAG)1 (Gal)2 (Glc)1 (Gro)2 (*)1 (P)2</v>
      </c>
    </row>
    <row r="581" spans="1:4" ht="29" x14ac:dyDescent="0.35">
      <c r="A581" t="s">
        <v>2864</v>
      </c>
      <c r="B581" s="8" t="s">
        <v>3433</v>
      </c>
      <c r="C581" s="16" t="str">
        <f t="shared" si="19"/>
        <v>G13193:1</v>
      </c>
      <c r="D581" s="17" t="str">
        <f t="shared" si="20"/>
        <v>G13193 : (Ala)1 (DAG)1 (Gal)2 (Glc)1 (Gro)2 (*)1 (P)2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01"/>
  <sheetViews>
    <sheetView tabSelected="1" topLeftCell="M1" workbookViewId="0">
      <pane ySplit="1" topLeftCell="A310" activePane="bottomLeft" state="frozen"/>
      <selection pane="bottomLeft" activeCell="N332" sqref="N332"/>
    </sheetView>
  </sheetViews>
  <sheetFormatPr defaultRowHeight="14.5" x14ac:dyDescent="0.35"/>
  <cols>
    <col min="1" max="1" width="4.26953125" customWidth="1"/>
    <col min="2" max="2" width="12.54296875" customWidth="1"/>
    <col min="3" max="3" width="19.1796875" customWidth="1"/>
    <col min="4" max="4" width="14.7265625" customWidth="1"/>
    <col min="5" max="5" width="21.7265625" style="36" customWidth="1"/>
    <col min="6" max="6" width="19.1796875" style="38" customWidth="1"/>
    <col min="7" max="7" width="34.54296875" style="31" customWidth="1"/>
    <col min="8" max="8" width="25.81640625" style="32" customWidth="1"/>
    <col min="9" max="9" width="24.26953125" style="33" customWidth="1"/>
    <col min="10" max="10" width="24.26953125" style="16" customWidth="1"/>
    <col min="11" max="11" width="34.54296875" style="34" customWidth="1"/>
    <col min="12" max="12" width="45.81640625" style="31" customWidth="1"/>
    <col min="13" max="13" width="59" style="35" customWidth="1"/>
    <col min="14" max="14" width="75.54296875" style="36" customWidth="1"/>
  </cols>
  <sheetData>
    <row r="1" spans="1:14" s="23" customFormat="1" ht="29" x14ac:dyDescent="0.35">
      <c r="A1" s="23" t="s">
        <v>4227</v>
      </c>
      <c r="B1" t="s">
        <v>1279</v>
      </c>
      <c r="C1" s="23" t="s">
        <v>2348</v>
      </c>
      <c r="D1" s="23" t="s">
        <v>2346</v>
      </c>
      <c r="E1" s="30" t="s">
        <v>4229</v>
      </c>
      <c r="F1" s="37" t="s">
        <v>4230</v>
      </c>
      <c r="G1" s="24" t="s">
        <v>3455</v>
      </c>
      <c r="H1" s="25" t="s">
        <v>3456</v>
      </c>
      <c r="I1" s="26" t="s">
        <v>3457</v>
      </c>
      <c r="J1" s="27" t="s">
        <v>3458</v>
      </c>
      <c r="K1" s="28" t="s">
        <v>3459</v>
      </c>
      <c r="L1" s="24" t="s">
        <v>2347</v>
      </c>
      <c r="M1" s="29" t="s">
        <v>3460</v>
      </c>
      <c r="N1" s="30" t="s">
        <v>3461</v>
      </c>
    </row>
    <row r="2" spans="1:14" x14ac:dyDescent="0.35">
      <c r="A2">
        <v>1</v>
      </c>
      <c r="B2" s="59" t="s">
        <v>2248</v>
      </c>
      <c r="C2" t="str">
        <f t="shared" ref="C2:C33" si="0">CONCATENATE(D2,"_mRNA")</f>
        <v>E1_1_1_1_mRNA</v>
      </c>
      <c r="D2" t="str">
        <f t="shared" ref="D2:D33" si="1">CONCATENATE("E",B2)</f>
        <v>E1_1_1_1</v>
      </c>
      <c r="E2" s="36" t="str">
        <f t="shared" ref="E2:E33" si="2">CONCATENATE("E",B2,"_kcat : 13.7")</f>
        <v>E1_1_1_1_kcat : 13.7</v>
      </c>
      <c r="F2" s="38" t="str">
        <f t="shared" ref="F2:F33" si="3">CONCATENATE("E",B2,"_km : 1")</f>
        <v>E1_1_1_1_km : 1</v>
      </c>
      <c r="G2" s="31" t="str">
        <f t="shared" ref="G2:G33" si="4">CONCATENATE(C2," : ",C2)</f>
        <v>E1_1_1_1_mRNA : E1_1_1_1_mRNA</v>
      </c>
      <c r="H2" s="32" t="str">
        <f t="shared" ref="H2:H33" si="5">CONCATENATE(D2," : ",D2)</f>
        <v>E1_1_1_1 : E1_1_1_1</v>
      </c>
      <c r="I2" s="33" t="str">
        <f t="shared" ref="I2:I33" si="6">CONCATENATE(C2," : ","0")</f>
        <v>E1_1_1_1_mRNA : 0</v>
      </c>
      <c r="J2" s="16" t="str">
        <f t="shared" ref="J2:J33" si="7">CONCATENATE(D2," : ","0")</f>
        <v>E1_1_1_1 : 0</v>
      </c>
      <c r="K2" s="34" t="str">
        <f t="shared" ref="K2:K33" si="8">CONCATENATE("0.00292 - (0.0093 * ",C2,")")</f>
        <v>0.00292 - (0.0093 * E1_1_1_1_mRNA)</v>
      </c>
      <c r="L2" s="31" t="str">
        <f t="shared" ref="L2:L33" si="9">CONCATENATE("(0.278 * ",C2,")"," - (0.00000278 * ",D2,")")</f>
        <v>(0.278 * E1_1_1_1_mRNA) - (0.00000278 * E1_1_1_1)</v>
      </c>
      <c r="M2" s="35" t="str">
        <f t="shared" ref="M2:M33" si="10">CONCATENATE("mRNA",A2,": -&gt; ",C2," | ","0.00292"," - ","(","0.0093"," * ",C2,")")</f>
        <v>mRNA1: -&gt; E1_1_1_1_mRNA | 0.00292 - (0.0093 * E1_1_1_1_mRNA)</v>
      </c>
      <c r="N2" s="36" t="str">
        <f t="shared" ref="N2:N33" si="11">CONCATENATE("Peptide",A2,": ",C2," -&gt; ",D2," | ","(","0.278"," * ",C2,")"," - ","(","0.000000278"," * ",D2,")")</f>
        <v>Peptide1: E1_1_1_1_mRNA -&gt; E1_1_1_1 | (0.278 * E1_1_1_1_mRNA) - (0.000000278 * E1_1_1_1)</v>
      </c>
    </row>
    <row r="3" spans="1:14" x14ac:dyDescent="0.35">
      <c r="A3">
        <v>2</v>
      </c>
      <c r="B3" s="59" t="s">
        <v>10791</v>
      </c>
      <c r="C3" t="str">
        <f t="shared" si="0"/>
        <v>E1_1_1_205_mRNA</v>
      </c>
      <c r="D3" t="str">
        <f t="shared" si="1"/>
        <v>E1_1_1_205</v>
      </c>
      <c r="E3" s="36" t="str">
        <f t="shared" si="2"/>
        <v>E1_1_1_205_kcat : 13.7</v>
      </c>
      <c r="F3" s="38" t="str">
        <f t="shared" si="3"/>
        <v>E1_1_1_205_km : 1</v>
      </c>
      <c r="G3" s="31" t="str">
        <f t="shared" si="4"/>
        <v>E1_1_1_205_mRNA : E1_1_1_205_mRNA</v>
      </c>
      <c r="H3" s="32" t="str">
        <f t="shared" si="5"/>
        <v>E1_1_1_205 : E1_1_1_205</v>
      </c>
      <c r="I3" s="33" t="str">
        <f t="shared" si="6"/>
        <v>E1_1_1_205_mRNA : 0</v>
      </c>
      <c r="J3" s="16" t="str">
        <f t="shared" si="7"/>
        <v>E1_1_1_205 : 0</v>
      </c>
      <c r="K3" s="34" t="str">
        <f t="shared" si="8"/>
        <v>0.00292 - (0.0093 * E1_1_1_205_mRNA)</v>
      </c>
      <c r="L3" s="31" t="str">
        <f t="shared" si="9"/>
        <v>(0.278 * E1_1_1_205_mRNA) - (0.00000278 * E1_1_1_205)</v>
      </c>
      <c r="M3" s="35" t="str">
        <f t="shared" si="10"/>
        <v>mRNA2: -&gt; E1_1_1_205_mRNA | 0.00292 - (0.0093 * E1_1_1_205_mRNA)</v>
      </c>
      <c r="N3" s="36" t="str">
        <f t="shared" si="11"/>
        <v>Peptide2: E1_1_1_205_mRNA -&gt; E1_1_1_205 | (0.278 * E1_1_1_205_mRNA) - (0.000000278 * E1_1_1_205)</v>
      </c>
    </row>
    <row r="4" spans="1:14" x14ac:dyDescent="0.35">
      <c r="A4">
        <v>3</v>
      </c>
      <c r="B4" s="59" t="s">
        <v>10792</v>
      </c>
      <c r="C4" t="str">
        <f t="shared" si="0"/>
        <v>E1_1_1_23_mRNA</v>
      </c>
      <c r="D4" t="str">
        <f t="shared" si="1"/>
        <v>E1_1_1_23</v>
      </c>
      <c r="E4" s="36" t="str">
        <f t="shared" si="2"/>
        <v>E1_1_1_23_kcat : 13.7</v>
      </c>
      <c r="F4" s="38" t="str">
        <f t="shared" si="3"/>
        <v>E1_1_1_23_km : 1</v>
      </c>
      <c r="G4" s="31" t="str">
        <f t="shared" si="4"/>
        <v>E1_1_1_23_mRNA : E1_1_1_23_mRNA</v>
      </c>
      <c r="H4" s="32" t="str">
        <f t="shared" si="5"/>
        <v>E1_1_1_23 : E1_1_1_23</v>
      </c>
      <c r="I4" s="33" t="str">
        <f t="shared" si="6"/>
        <v>E1_1_1_23_mRNA : 0</v>
      </c>
      <c r="J4" s="16" t="str">
        <f t="shared" si="7"/>
        <v>E1_1_1_23 : 0</v>
      </c>
      <c r="K4" s="34" t="str">
        <f t="shared" si="8"/>
        <v>0.00292 - (0.0093 * E1_1_1_23_mRNA)</v>
      </c>
      <c r="L4" s="31" t="str">
        <f t="shared" si="9"/>
        <v>(0.278 * E1_1_1_23_mRNA) - (0.00000278 * E1_1_1_23)</v>
      </c>
      <c r="M4" s="35" t="str">
        <f t="shared" si="10"/>
        <v>mRNA3: -&gt; E1_1_1_23_mRNA | 0.00292 - (0.0093 * E1_1_1_23_mRNA)</v>
      </c>
      <c r="N4" s="36" t="str">
        <f t="shared" si="11"/>
        <v>Peptide3: E1_1_1_23_mRNA -&gt; E1_1_1_23 | (0.278 * E1_1_1_23_mRNA) - (0.000000278 * E1_1_1_23)</v>
      </c>
    </row>
    <row r="5" spans="1:14" x14ac:dyDescent="0.35">
      <c r="A5">
        <v>4</v>
      </c>
      <c r="B5" s="59" t="s">
        <v>10793</v>
      </c>
      <c r="C5" t="str">
        <f t="shared" si="0"/>
        <v>E1_1_1_267_mRNA</v>
      </c>
      <c r="D5" t="str">
        <f t="shared" si="1"/>
        <v>E1_1_1_267</v>
      </c>
      <c r="E5" s="36" t="str">
        <f t="shared" si="2"/>
        <v>E1_1_1_267_kcat : 13.7</v>
      </c>
      <c r="F5" s="38" t="str">
        <f t="shared" si="3"/>
        <v>E1_1_1_267_km : 1</v>
      </c>
      <c r="G5" s="31" t="str">
        <f t="shared" si="4"/>
        <v>E1_1_1_267_mRNA : E1_1_1_267_mRNA</v>
      </c>
      <c r="H5" s="32" t="str">
        <f t="shared" si="5"/>
        <v>E1_1_1_267 : E1_1_1_267</v>
      </c>
      <c r="I5" s="33" t="str">
        <f t="shared" si="6"/>
        <v>E1_1_1_267_mRNA : 0</v>
      </c>
      <c r="J5" s="16" t="str">
        <f t="shared" si="7"/>
        <v>E1_1_1_267 : 0</v>
      </c>
      <c r="K5" s="34" t="str">
        <f t="shared" si="8"/>
        <v>0.00292 - (0.0093 * E1_1_1_267_mRNA)</v>
      </c>
      <c r="L5" s="31" t="str">
        <f t="shared" si="9"/>
        <v>(0.278 * E1_1_1_267_mRNA) - (0.00000278 * E1_1_1_267)</v>
      </c>
      <c r="M5" s="35" t="str">
        <f t="shared" si="10"/>
        <v>mRNA4: -&gt; E1_1_1_267_mRNA | 0.00292 - (0.0093 * E1_1_1_267_mRNA)</v>
      </c>
      <c r="N5" s="36" t="str">
        <f t="shared" si="11"/>
        <v>Peptide4: E1_1_1_267_mRNA -&gt; E1_1_1_267 | (0.278 * E1_1_1_267_mRNA) - (0.000000278 * E1_1_1_267)</v>
      </c>
    </row>
    <row r="6" spans="1:14" x14ac:dyDescent="0.35">
      <c r="A6">
        <v>5</v>
      </c>
      <c r="B6" s="59" t="s">
        <v>2266</v>
      </c>
      <c r="C6" t="str">
        <f t="shared" si="0"/>
        <v>E1_1_1_27_mRNA</v>
      </c>
      <c r="D6" t="str">
        <f t="shared" si="1"/>
        <v>E1_1_1_27</v>
      </c>
      <c r="E6" s="36" t="str">
        <f t="shared" si="2"/>
        <v>E1_1_1_27_kcat : 13.7</v>
      </c>
      <c r="F6" s="38" t="str">
        <f t="shared" si="3"/>
        <v>E1_1_1_27_km : 1</v>
      </c>
      <c r="G6" s="31" t="str">
        <f t="shared" si="4"/>
        <v>E1_1_1_27_mRNA : E1_1_1_27_mRNA</v>
      </c>
      <c r="H6" s="32" t="str">
        <f t="shared" si="5"/>
        <v>E1_1_1_27 : E1_1_1_27</v>
      </c>
      <c r="I6" s="33" t="str">
        <f t="shared" si="6"/>
        <v>E1_1_1_27_mRNA : 0</v>
      </c>
      <c r="J6" s="16" t="str">
        <f t="shared" si="7"/>
        <v>E1_1_1_27 : 0</v>
      </c>
      <c r="K6" s="34" t="str">
        <f t="shared" si="8"/>
        <v>0.00292 - (0.0093 * E1_1_1_27_mRNA)</v>
      </c>
      <c r="L6" s="31" t="str">
        <f t="shared" si="9"/>
        <v>(0.278 * E1_1_1_27_mRNA) - (0.00000278 * E1_1_1_27)</v>
      </c>
      <c r="M6" s="35" t="str">
        <f t="shared" si="10"/>
        <v>mRNA5: -&gt; E1_1_1_27_mRNA | 0.00292 - (0.0093 * E1_1_1_27_mRNA)</v>
      </c>
      <c r="N6" s="36" t="str">
        <f t="shared" si="11"/>
        <v>Peptide5: E1_1_1_27_mRNA -&gt; E1_1_1_27 | (0.278 * E1_1_1_27_mRNA) - (0.000000278 * E1_1_1_27)</v>
      </c>
    </row>
    <row r="7" spans="1:14" x14ac:dyDescent="0.35">
      <c r="A7">
        <v>6</v>
      </c>
      <c r="B7" s="59" t="s">
        <v>2275</v>
      </c>
      <c r="C7" t="str">
        <f t="shared" si="0"/>
        <v>E1_1_1_3_mRNA</v>
      </c>
      <c r="D7" t="str">
        <f t="shared" si="1"/>
        <v>E1_1_1_3</v>
      </c>
      <c r="E7" s="36" t="str">
        <f t="shared" si="2"/>
        <v>E1_1_1_3_kcat : 13.7</v>
      </c>
      <c r="F7" s="38" t="str">
        <f t="shared" si="3"/>
        <v>E1_1_1_3_km : 1</v>
      </c>
      <c r="G7" s="31" t="str">
        <f t="shared" si="4"/>
        <v>E1_1_1_3_mRNA : E1_1_1_3_mRNA</v>
      </c>
      <c r="H7" s="32" t="str">
        <f t="shared" si="5"/>
        <v>E1_1_1_3 : E1_1_1_3</v>
      </c>
      <c r="I7" s="33" t="str">
        <f t="shared" si="6"/>
        <v>E1_1_1_3_mRNA : 0</v>
      </c>
      <c r="J7" s="16" t="str">
        <f t="shared" si="7"/>
        <v>E1_1_1_3 : 0</v>
      </c>
      <c r="K7" s="34" t="str">
        <f t="shared" si="8"/>
        <v>0.00292 - (0.0093 * E1_1_1_3_mRNA)</v>
      </c>
      <c r="L7" s="31" t="str">
        <f t="shared" si="9"/>
        <v>(0.278 * E1_1_1_3_mRNA) - (0.00000278 * E1_1_1_3)</v>
      </c>
      <c r="M7" s="35" t="str">
        <f t="shared" si="10"/>
        <v>mRNA6: -&gt; E1_1_1_3_mRNA | 0.00292 - (0.0093 * E1_1_1_3_mRNA)</v>
      </c>
      <c r="N7" s="36" t="str">
        <f t="shared" si="11"/>
        <v>Peptide6: E1_1_1_3_mRNA -&gt; E1_1_1_3 | (0.278 * E1_1_1_3_mRNA) - (0.000000278 * E1_1_1_3)</v>
      </c>
    </row>
    <row r="8" spans="1:14" x14ac:dyDescent="0.35">
      <c r="A8">
        <v>7</v>
      </c>
      <c r="B8" s="59" t="s">
        <v>10794</v>
      </c>
      <c r="C8" t="str">
        <f t="shared" si="0"/>
        <v>E1_1_1_42_mRNA</v>
      </c>
      <c r="D8" t="str">
        <f t="shared" si="1"/>
        <v>E1_1_1_42</v>
      </c>
      <c r="E8" s="36" t="str">
        <f t="shared" si="2"/>
        <v>E1_1_1_42_kcat : 13.7</v>
      </c>
      <c r="F8" s="38" t="str">
        <f t="shared" si="3"/>
        <v>E1_1_1_42_km : 1</v>
      </c>
      <c r="G8" s="31" t="str">
        <f t="shared" si="4"/>
        <v>E1_1_1_42_mRNA : E1_1_1_42_mRNA</v>
      </c>
      <c r="H8" s="32" t="str">
        <f t="shared" si="5"/>
        <v>E1_1_1_42 : E1_1_1_42</v>
      </c>
      <c r="I8" s="33" t="str">
        <f t="shared" si="6"/>
        <v>E1_1_1_42_mRNA : 0</v>
      </c>
      <c r="J8" s="16" t="str">
        <f t="shared" si="7"/>
        <v>E1_1_1_42 : 0</v>
      </c>
      <c r="K8" s="34" t="str">
        <f t="shared" si="8"/>
        <v>0.00292 - (0.0093 * E1_1_1_42_mRNA)</v>
      </c>
      <c r="L8" s="31" t="str">
        <f t="shared" si="9"/>
        <v>(0.278 * E1_1_1_42_mRNA) - (0.00000278 * E1_1_1_42)</v>
      </c>
      <c r="M8" s="35" t="str">
        <f t="shared" si="10"/>
        <v>mRNA7: -&gt; E1_1_1_42_mRNA | 0.00292 - (0.0093 * E1_1_1_42_mRNA)</v>
      </c>
      <c r="N8" s="36" t="str">
        <f t="shared" si="11"/>
        <v>Peptide7: E1_1_1_42_mRNA -&gt; E1_1_1_42 | (0.278 * E1_1_1_42_mRNA) - (0.000000278 * E1_1_1_42)</v>
      </c>
    </row>
    <row r="9" spans="1:14" x14ac:dyDescent="0.35">
      <c r="A9">
        <v>8</v>
      </c>
      <c r="B9" s="59" t="s">
        <v>10795</v>
      </c>
      <c r="C9" t="str">
        <f t="shared" si="0"/>
        <v>E1_1_1_435_mRNA</v>
      </c>
      <c r="D9" t="str">
        <f t="shared" si="1"/>
        <v>E1_1_1_435</v>
      </c>
      <c r="E9" s="36" t="str">
        <f t="shared" si="2"/>
        <v>E1_1_1_435_kcat : 13.7</v>
      </c>
      <c r="F9" s="38" t="str">
        <f t="shared" si="3"/>
        <v>E1_1_1_435_km : 1</v>
      </c>
      <c r="G9" s="31" t="str">
        <f t="shared" si="4"/>
        <v>E1_1_1_435_mRNA : E1_1_1_435_mRNA</v>
      </c>
      <c r="H9" s="32" t="str">
        <f t="shared" si="5"/>
        <v>E1_1_1_435 : E1_1_1_435</v>
      </c>
      <c r="I9" s="33" t="str">
        <f t="shared" si="6"/>
        <v>E1_1_1_435_mRNA : 0</v>
      </c>
      <c r="J9" s="16" t="str">
        <f t="shared" si="7"/>
        <v>E1_1_1_435 : 0</v>
      </c>
      <c r="K9" s="34" t="str">
        <f t="shared" si="8"/>
        <v>0.00292 - (0.0093 * E1_1_1_435_mRNA)</v>
      </c>
      <c r="L9" s="31" t="str">
        <f t="shared" si="9"/>
        <v>(0.278 * E1_1_1_435_mRNA) - (0.00000278 * E1_1_1_435)</v>
      </c>
      <c r="M9" s="35" t="str">
        <f t="shared" si="10"/>
        <v>mRNA8: -&gt; E1_1_1_435_mRNA | 0.00292 - (0.0093 * E1_1_1_435_mRNA)</v>
      </c>
      <c r="N9" s="36" t="str">
        <f t="shared" si="11"/>
        <v>Peptide8: E1_1_1_435_mRNA -&gt; E1_1_1_435 | (0.278 * E1_1_1_435_mRNA) - (0.000000278 * E1_1_1_435)</v>
      </c>
    </row>
    <row r="10" spans="1:14" x14ac:dyDescent="0.35">
      <c r="A10">
        <v>9</v>
      </c>
      <c r="B10" s="59" t="s">
        <v>2281</v>
      </c>
      <c r="C10" t="str">
        <f t="shared" si="0"/>
        <v>E1_1_1_44_mRNA</v>
      </c>
      <c r="D10" t="str">
        <f t="shared" si="1"/>
        <v>E1_1_1_44</v>
      </c>
      <c r="E10" s="36" t="str">
        <f t="shared" si="2"/>
        <v>E1_1_1_44_kcat : 13.7</v>
      </c>
      <c r="F10" s="38" t="str">
        <f t="shared" si="3"/>
        <v>E1_1_1_44_km : 1</v>
      </c>
      <c r="G10" s="31" t="str">
        <f t="shared" si="4"/>
        <v>E1_1_1_44_mRNA : E1_1_1_44_mRNA</v>
      </c>
      <c r="H10" s="32" t="str">
        <f t="shared" si="5"/>
        <v>E1_1_1_44 : E1_1_1_44</v>
      </c>
      <c r="I10" s="33" t="str">
        <f t="shared" si="6"/>
        <v>E1_1_1_44_mRNA : 0</v>
      </c>
      <c r="J10" s="16" t="str">
        <f t="shared" si="7"/>
        <v>E1_1_1_44 : 0</v>
      </c>
      <c r="K10" s="34" t="str">
        <f t="shared" si="8"/>
        <v>0.00292 - (0.0093 * E1_1_1_44_mRNA)</v>
      </c>
      <c r="L10" s="31" t="str">
        <f t="shared" si="9"/>
        <v>(0.278 * E1_1_1_44_mRNA) - (0.00000278 * E1_1_1_44)</v>
      </c>
      <c r="M10" s="35" t="str">
        <f t="shared" si="10"/>
        <v>mRNA9: -&gt; E1_1_1_44_mRNA | 0.00292 - (0.0093 * E1_1_1_44_mRNA)</v>
      </c>
      <c r="N10" s="36" t="str">
        <f t="shared" si="11"/>
        <v>Peptide9: E1_1_1_44_mRNA -&gt; E1_1_1_44 | (0.278 * E1_1_1_44_mRNA) - (0.000000278 * E1_1_1_44)</v>
      </c>
    </row>
    <row r="11" spans="1:14" x14ac:dyDescent="0.35">
      <c r="A11">
        <v>10</v>
      </c>
      <c r="B11" s="59" t="s">
        <v>2241</v>
      </c>
      <c r="C11" t="str">
        <f t="shared" si="0"/>
        <v>E1_1_1_49_mRNA</v>
      </c>
      <c r="D11" t="str">
        <f t="shared" si="1"/>
        <v>E1_1_1_49</v>
      </c>
      <c r="E11" s="36" t="str">
        <f t="shared" si="2"/>
        <v>E1_1_1_49_kcat : 13.7</v>
      </c>
      <c r="F11" s="38" t="str">
        <f t="shared" si="3"/>
        <v>E1_1_1_49_km : 1</v>
      </c>
      <c r="G11" s="31" t="str">
        <f t="shared" si="4"/>
        <v>E1_1_1_49_mRNA : E1_1_1_49_mRNA</v>
      </c>
      <c r="H11" s="32" t="str">
        <f t="shared" si="5"/>
        <v>E1_1_1_49 : E1_1_1_49</v>
      </c>
      <c r="I11" s="33" t="str">
        <f t="shared" si="6"/>
        <v>E1_1_1_49_mRNA : 0</v>
      </c>
      <c r="J11" s="16" t="str">
        <f t="shared" si="7"/>
        <v>E1_1_1_49 : 0</v>
      </c>
      <c r="K11" s="34" t="str">
        <f t="shared" si="8"/>
        <v>0.00292 - (0.0093 * E1_1_1_49_mRNA)</v>
      </c>
      <c r="L11" s="31" t="str">
        <f t="shared" si="9"/>
        <v>(0.278 * E1_1_1_49_mRNA) - (0.00000278 * E1_1_1_49)</v>
      </c>
      <c r="M11" s="35" t="str">
        <f t="shared" si="10"/>
        <v>mRNA10: -&gt; E1_1_1_49_mRNA | 0.00292 - (0.0093 * E1_1_1_49_mRNA)</v>
      </c>
      <c r="N11" s="36" t="str">
        <f t="shared" si="11"/>
        <v>Peptide10: E1_1_1_49_mRNA -&gt; E1_1_1_49 | (0.278 * E1_1_1_49_mRNA) - (0.000000278 * E1_1_1_49)</v>
      </c>
    </row>
    <row r="12" spans="1:14" x14ac:dyDescent="0.35">
      <c r="A12">
        <v>11</v>
      </c>
      <c r="B12" s="59" t="s">
        <v>10796</v>
      </c>
      <c r="C12" t="str">
        <f t="shared" si="0"/>
        <v>E1_1_1_77_mRNA</v>
      </c>
      <c r="D12" t="str">
        <f t="shared" si="1"/>
        <v>E1_1_1_77</v>
      </c>
      <c r="E12" s="36" t="str">
        <f t="shared" si="2"/>
        <v>E1_1_1_77_kcat : 13.7</v>
      </c>
      <c r="F12" s="38" t="str">
        <f t="shared" si="3"/>
        <v>E1_1_1_77_km : 1</v>
      </c>
      <c r="G12" s="31" t="str">
        <f t="shared" si="4"/>
        <v>E1_1_1_77_mRNA : E1_1_1_77_mRNA</v>
      </c>
      <c r="H12" s="32" t="str">
        <f t="shared" si="5"/>
        <v>E1_1_1_77 : E1_1_1_77</v>
      </c>
      <c r="I12" s="33" t="str">
        <f t="shared" si="6"/>
        <v>E1_1_1_77_mRNA : 0</v>
      </c>
      <c r="J12" s="16" t="str">
        <f t="shared" si="7"/>
        <v>E1_1_1_77 : 0</v>
      </c>
      <c r="K12" s="34" t="str">
        <f t="shared" si="8"/>
        <v>0.00292 - (0.0093 * E1_1_1_77_mRNA)</v>
      </c>
      <c r="L12" s="31" t="str">
        <f t="shared" si="9"/>
        <v>(0.278 * E1_1_1_77_mRNA) - (0.00000278 * E1_1_1_77)</v>
      </c>
      <c r="M12" s="35" t="str">
        <f t="shared" si="10"/>
        <v>mRNA11: -&gt; E1_1_1_77_mRNA | 0.00292 - (0.0093 * E1_1_1_77_mRNA)</v>
      </c>
      <c r="N12" s="36" t="str">
        <f t="shared" si="11"/>
        <v>Peptide11: E1_1_1_77_mRNA -&gt; E1_1_1_77 | (0.278 * E1_1_1_77_mRNA) - (0.000000278 * E1_1_1_77)</v>
      </c>
    </row>
    <row r="13" spans="1:14" x14ac:dyDescent="0.35">
      <c r="A13">
        <v>12</v>
      </c>
      <c r="B13" s="59" t="s">
        <v>10797</v>
      </c>
      <c r="C13" t="str">
        <f t="shared" si="0"/>
        <v>E1_1_1_85_mRNA</v>
      </c>
      <c r="D13" t="str">
        <f t="shared" si="1"/>
        <v>E1_1_1_85</v>
      </c>
      <c r="E13" s="36" t="str">
        <f t="shared" si="2"/>
        <v>E1_1_1_85_kcat : 13.7</v>
      </c>
      <c r="F13" s="38" t="str">
        <f t="shared" si="3"/>
        <v>E1_1_1_85_km : 1</v>
      </c>
      <c r="G13" s="31" t="str">
        <f t="shared" si="4"/>
        <v>E1_1_1_85_mRNA : E1_1_1_85_mRNA</v>
      </c>
      <c r="H13" s="32" t="str">
        <f t="shared" si="5"/>
        <v>E1_1_1_85 : E1_1_1_85</v>
      </c>
      <c r="I13" s="33" t="str">
        <f t="shared" si="6"/>
        <v>E1_1_1_85_mRNA : 0</v>
      </c>
      <c r="J13" s="16" t="str">
        <f t="shared" si="7"/>
        <v>E1_1_1_85 : 0</v>
      </c>
      <c r="K13" s="34" t="str">
        <f t="shared" si="8"/>
        <v>0.00292 - (0.0093 * E1_1_1_85_mRNA)</v>
      </c>
      <c r="L13" s="31" t="str">
        <f t="shared" si="9"/>
        <v>(0.278 * E1_1_1_85_mRNA) - (0.00000278 * E1_1_1_85)</v>
      </c>
      <c r="M13" s="35" t="str">
        <f t="shared" si="10"/>
        <v>mRNA12: -&gt; E1_1_1_85_mRNA | 0.00292 - (0.0093 * E1_1_1_85_mRNA)</v>
      </c>
      <c r="N13" s="36" t="str">
        <f t="shared" si="11"/>
        <v>Peptide12: E1_1_1_85_mRNA -&gt; E1_1_1_85 | (0.278 * E1_1_1_85_mRNA) - (0.000000278 * E1_1_1_85)</v>
      </c>
    </row>
    <row r="14" spans="1:14" x14ac:dyDescent="0.35">
      <c r="A14">
        <v>13</v>
      </c>
      <c r="B14" s="59" t="s">
        <v>10798</v>
      </c>
      <c r="C14" t="str">
        <f t="shared" si="0"/>
        <v>E1_1_1_86_mRNA</v>
      </c>
      <c r="D14" t="str">
        <f t="shared" si="1"/>
        <v>E1_1_1_86</v>
      </c>
      <c r="E14" s="36" t="str">
        <f t="shared" si="2"/>
        <v>E1_1_1_86_kcat : 13.7</v>
      </c>
      <c r="F14" s="38" t="str">
        <f t="shared" si="3"/>
        <v>E1_1_1_86_km : 1</v>
      </c>
      <c r="G14" s="31" t="str">
        <f t="shared" si="4"/>
        <v>E1_1_1_86_mRNA : E1_1_1_86_mRNA</v>
      </c>
      <c r="H14" s="32" t="str">
        <f t="shared" si="5"/>
        <v>E1_1_1_86 : E1_1_1_86</v>
      </c>
      <c r="I14" s="33" t="str">
        <f t="shared" si="6"/>
        <v>E1_1_1_86_mRNA : 0</v>
      </c>
      <c r="J14" s="16" t="str">
        <f t="shared" si="7"/>
        <v>E1_1_1_86 : 0</v>
      </c>
      <c r="K14" s="34" t="str">
        <f t="shared" si="8"/>
        <v>0.00292 - (0.0093 * E1_1_1_86_mRNA)</v>
      </c>
      <c r="L14" s="31" t="str">
        <f t="shared" si="9"/>
        <v>(0.278 * E1_1_1_86_mRNA) - (0.00000278 * E1_1_1_86)</v>
      </c>
      <c r="M14" s="35" t="str">
        <f t="shared" si="10"/>
        <v>mRNA13: -&gt; E1_1_1_86_mRNA | 0.00292 - (0.0093 * E1_1_1_86_mRNA)</v>
      </c>
      <c r="N14" s="36" t="str">
        <f t="shared" si="11"/>
        <v>Peptide13: E1_1_1_86_mRNA -&gt; E1_1_1_86 | (0.278 * E1_1_1_86_mRNA) - (0.000000278 * E1_1_1_86)</v>
      </c>
    </row>
    <row r="15" spans="1:14" x14ac:dyDescent="0.35">
      <c r="A15">
        <v>14</v>
      </c>
      <c r="B15" s="59" t="s">
        <v>2242</v>
      </c>
      <c r="C15" t="str">
        <f t="shared" si="0"/>
        <v>E1_1_1_94_mRNA</v>
      </c>
      <c r="D15" t="str">
        <f t="shared" si="1"/>
        <v>E1_1_1_94</v>
      </c>
      <c r="E15" s="36" t="str">
        <f t="shared" si="2"/>
        <v>E1_1_1_94_kcat : 13.7</v>
      </c>
      <c r="F15" s="38" t="str">
        <f t="shared" si="3"/>
        <v>E1_1_1_94_km : 1</v>
      </c>
      <c r="G15" s="31" t="str">
        <f t="shared" si="4"/>
        <v>E1_1_1_94_mRNA : E1_1_1_94_mRNA</v>
      </c>
      <c r="H15" s="32" t="str">
        <f t="shared" si="5"/>
        <v>E1_1_1_94 : E1_1_1_94</v>
      </c>
      <c r="I15" s="33" t="str">
        <f t="shared" si="6"/>
        <v>E1_1_1_94_mRNA : 0</v>
      </c>
      <c r="J15" s="16" t="str">
        <f t="shared" si="7"/>
        <v>E1_1_1_94 : 0</v>
      </c>
      <c r="K15" s="34" t="str">
        <f t="shared" si="8"/>
        <v>0.00292 - (0.0093 * E1_1_1_94_mRNA)</v>
      </c>
      <c r="L15" s="31" t="str">
        <f t="shared" si="9"/>
        <v>(0.278 * E1_1_1_94_mRNA) - (0.00000278 * E1_1_1_94)</v>
      </c>
      <c r="M15" s="35" t="str">
        <f t="shared" si="10"/>
        <v>mRNA14: -&gt; E1_1_1_94_mRNA | 0.00292 - (0.0093 * E1_1_1_94_mRNA)</v>
      </c>
      <c r="N15" s="36" t="str">
        <f t="shared" si="11"/>
        <v>Peptide14: E1_1_1_94_mRNA -&gt; E1_1_1_94 | (0.278 * E1_1_1_94_mRNA) - (0.000000278 * E1_1_1_94)</v>
      </c>
    </row>
    <row r="16" spans="1:14" x14ac:dyDescent="0.35">
      <c r="A16">
        <v>15</v>
      </c>
      <c r="B16" s="59" t="s">
        <v>10799</v>
      </c>
      <c r="C16" t="str">
        <f t="shared" si="0"/>
        <v>E1_1_1_95_mRNA</v>
      </c>
      <c r="D16" t="str">
        <f t="shared" si="1"/>
        <v>E1_1_1_95</v>
      </c>
      <c r="E16" s="36" t="str">
        <f t="shared" si="2"/>
        <v>E1_1_1_95_kcat : 13.7</v>
      </c>
      <c r="F16" s="38" t="str">
        <f t="shared" si="3"/>
        <v>E1_1_1_95_km : 1</v>
      </c>
      <c r="G16" s="31" t="str">
        <f t="shared" si="4"/>
        <v>E1_1_1_95_mRNA : E1_1_1_95_mRNA</v>
      </c>
      <c r="H16" s="32" t="str">
        <f t="shared" si="5"/>
        <v>E1_1_1_95 : E1_1_1_95</v>
      </c>
      <c r="I16" s="33" t="str">
        <f t="shared" si="6"/>
        <v>E1_1_1_95_mRNA : 0</v>
      </c>
      <c r="J16" s="16" t="str">
        <f t="shared" si="7"/>
        <v>E1_1_1_95 : 0</v>
      </c>
      <c r="K16" s="34" t="str">
        <f t="shared" si="8"/>
        <v>0.00292 - (0.0093 * E1_1_1_95_mRNA)</v>
      </c>
      <c r="L16" s="31" t="str">
        <f t="shared" si="9"/>
        <v>(0.278 * E1_1_1_95_mRNA) - (0.00000278 * E1_1_1_95)</v>
      </c>
      <c r="M16" s="35" t="str">
        <f t="shared" si="10"/>
        <v>mRNA15: -&gt; E1_1_1_95_mRNA | 0.00292 - (0.0093 * E1_1_1_95_mRNA)</v>
      </c>
      <c r="N16" s="36" t="str">
        <f t="shared" si="11"/>
        <v>Peptide15: E1_1_1_95_mRNA -&gt; E1_1_1_95 | (0.278 * E1_1_1_95_mRNA) - (0.000000278 * E1_1_1_95)</v>
      </c>
    </row>
    <row r="17" spans="1:14" x14ac:dyDescent="0.35">
      <c r="A17">
        <v>16</v>
      </c>
      <c r="B17" s="59" t="s">
        <v>10800</v>
      </c>
      <c r="C17" t="str">
        <f t="shared" si="0"/>
        <v>E1_11_1_24_mRNA</v>
      </c>
      <c r="D17" t="str">
        <f t="shared" si="1"/>
        <v>E1_11_1_24</v>
      </c>
      <c r="E17" s="36" t="str">
        <f t="shared" si="2"/>
        <v>E1_11_1_24_kcat : 13.7</v>
      </c>
      <c r="F17" s="38" t="str">
        <f t="shared" si="3"/>
        <v>E1_11_1_24_km : 1</v>
      </c>
      <c r="G17" s="31" t="str">
        <f t="shared" si="4"/>
        <v>E1_11_1_24_mRNA : E1_11_1_24_mRNA</v>
      </c>
      <c r="H17" s="32" t="str">
        <f t="shared" si="5"/>
        <v>E1_11_1_24 : E1_11_1_24</v>
      </c>
      <c r="I17" s="33" t="str">
        <f t="shared" si="6"/>
        <v>E1_11_1_24_mRNA : 0</v>
      </c>
      <c r="J17" s="16" t="str">
        <f t="shared" si="7"/>
        <v>E1_11_1_24 : 0</v>
      </c>
      <c r="K17" s="34" t="str">
        <f t="shared" si="8"/>
        <v>0.00292 - (0.0093 * E1_11_1_24_mRNA)</v>
      </c>
      <c r="L17" s="31" t="str">
        <f t="shared" si="9"/>
        <v>(0.278 * E1_11_1_24_mRNA) - (0.00000278 * E1_11_1_24)</v>
      </c>
      <c r="M17" s="35" t="str">
        <f t="shared" si="10"/>
        <v>mRNA16: -&gt; E1_11_1_24_mRNA | 0.00292 - (0.0093 * E1_11_1_24_mRNA)</v>
      </c>
      <c r="N17" s="36" t="str">
        <f t="shared" si="11"/>
        <v>Peptide16: E1_11_1_24_mRNA -&gt; E1_11_1_24 | (0.278 * E1_11_1_24_mRNA) - (0.000000278 * E1_11_1_24)</v>
      </c>
    </row>
    <row r="18" spans="1:14" x14ac:dyDescent="0.35">
      <c r="A18">
        <v>17</v>
      </c>
      <c r="B18" s="59" t="s">
        <v>10801</v>
      </c>
      <c r="C18" t="str">
        <f t="shared" si="0"/>
        <v>E1_11_1_26_mRNA</v>
      </c>
      <c r="D18" t="str">
        <f t="shared" si="1"/>
        <v>E1_11_1_26</v>
      </c>
      <c r="E18" s="36" t="str">
        <f t="shared" si="2"/>
        <v>E1_11_1_26_kcat : 13.7</v>
      </c>
      <c r="F18" s="38" t="str">
        <f t="shared" si="3"/>
        <v>E1_11_1_26_km : 1</v>
      </c>
      <c r="G18" s="31" t="str">
        <f t="shared" si="4"/>
        <v>E1_11_1_26_mRNA : E1_11_1_26_mRNA</v>
      </c>
      <c r="H18" s="32" t="str">
        <f t="shared" si="5"/>
        <v>E1_11_1_26 : E1_11_1_26</v>
      </c>
      <c r="I18" s="33" t="str">
        <f t="shared" si="6"/>
        <v>E1_11_1_26_mRNA : 0</v>
      </c>
      <c r="J18" s="16" t="str">
        <f t="shared" si="7"/>
        <v>E1_11_1_26 : 0</v>
      </c>
      <c r="K18" s="34" t="str">
        <f t="shared" si="8"/>
        <v>0.00292 - (0.0093 * E1_11_1_26_mRNA)</v>
      </c>
      <c r="L18" s="31" t="str">
        <f t="shared" si="9"/>
        <v>(0.278 * E1_11_1_26_mRNA) - (0.00000278 * E1_11_1_26)</v>
      </c>
      <c r="M18" s="35" t="str">
        <f t="shared" si="10"/>
        <v>mRNA17: -&gt; E1_11_1_26_mRNA | 0.00292 - (0.0093 * E1_11_1_26_mRNA)</v>
      </c>
      <c r="N18" s="36" t="str">
        <f t="shared" si="11"/>
        <v>Peptide17: E1_11_1_26_mRNA -&gt; E1_11_1_26 | (0.278 * E1_11_1_26_mRNA) - (0.000000278 * E1_11_1_26)</v>
      </c>
    </row>
    <row r="19" spans="1:14" x14ac:dyDescent="0.35">
      <c r="A19">
        <v>18</v>
      </c>
      <c r="B19" s="59" t="s">
        <v>2323</v>
      </c>
      <c r="C19" t="str">
        <f t="shared" si="0"/>
        <v>E1_17_1_8_mRNA</v>
      </c>
      <c r="D19" t="str">
        <f t="shared" si="1"/>
        <v>E1_17_1_8</v>
      </c>
      <c r="E19" s="36" t="str">
        <f t="shared" si="2"/>
        <v>E1_17_1_8_kcat : 13.7</v>
      </c>
      <c r="F19" s="38" t="str">
        <f t="shared" si="3"/>
        <v>E1_17_1_8_km : 1</v>
      </c>
      <c r="G19" s="31" t="str">
        <f t="shared" si="4"/>
        <v>E1_17_1_8_mRNA : E1_17_1_8_mRNA</v>
      </c>
      <c r="H19" s="32" t="str">
        <f t="shared" si="5"/>
        <v>E1_17_1_8 : E1_17_1_8</v>
      </c>
      <c r="I19" s="33" t="str">
        <f t="shared" si="6"/>
        <v>E1_17_1_8_mRNA : 0</v>
      </c>
      <c r="J19" s="16" t="str">
        <f t="shared" si="7"/>
        <v>E1_17_1_8 : 0</v>
      </c>
      <c r="K19" s="34" t="str">
        <f t="shared" si="8"/>
        <v>0.00292 - (0.0093 * E1_17_1_8_mRNA)</v>
      </c>
      <c r="L19" s="31" t="str">
        <f t="shared" si="9"/>
        <v>(0.278 * E1_17_1_8_mRNA) - (0.00000278 * E1_17_1_8)</v>
      </c>
      <c r="M19" s="35" t="str">
        <f t="shared" si="10"/>
        <v>mRNA18: -&gt; E1_17_1_8_mRNA | 0.00292 - (0.0093 * E1_17_1_8_mRNA)</v>
      </c>
      <c r="N19" s="36" t="str">
        <f t="shared" si="11"/>
        <v>Peptide18: E1_17_1_8_mRNA -&gt; E1_17_1_8 | (0.278 * E1_17_1_8_mRNA) - (0.000000278 * E1_17_1_8)</v>
      </c>
    </row>
    <row r="20" spans="1:14" x14ac:dyDescent="0.35">
      <c r="A20">
        <v>19</v>
      </c>
      <c r="B20" s="59" t="s">
        <v>2269</v>
      </c>
      <c r="C20" t="str">
        <f t="shared" si="0"/>
        <v>E1_17_4_1_mRNA</v>
      </c>
      <c r="D20" t="str">
        <f t="shared" si="1"/>
        <v>E1_17_4_1</v>
      </c>
      <c r="E20" s="36" t="str">
        <f t="shared" si="2"/>
        <v>E1_17_4_1_kcat : 13.7</v>
      </c>
      <c r="F20" s="38" t="str">
        <f t="shared" si="3"/>
        <v>E1_17_4_1_km : 1</v>
      </c>
      <c r="G20" s="31" t="str">
        <f t="shared" si="4"/>
        <v>E1_17_4_1_mRNA : E1_17_4_1_mRNA</v>
      </c>
      <c r="H20" s="32" t="str">
        <f t="shared" si="5"/>
        <v>E1_17_4_1 : E1_17_4_1</v>
      </c>
      <c r="I20" s="33" t="str">
        <f t="shared" si="6"/>
        <v>E1_17_4_1_mRNA : 0</v>
      </c>
      <c r="J20" s="16" t="str">
        <f t="shared" si="7"/>
        <v>E1_17_4_1 : 0</v>
      </c>
      <c r="K20" s="34" t="str">
        <f t="shared" si="8"/>
        <v>0.00292 - (0.0093 * E1_17_4_1_mRNA)</v>
      </c>
      <c r="L20" s="31" t="str">
        <f t="shared" si="9"/>
        <v>(0.278 * E1_17_4_1_mRNA) - (0.00000278 * E1_17_4_1)</v>
      </c>
      <c r="M20" s="35" t="str">
        <f t="shared" si="10"/>
        <v>mRNA19: -&gt; E1_17_4_1_mRNA | 0.00292 - (0.0093 * E1_17_4_1_mRNA)</v>
      </c>
      <c r="N20" s="36" t="str">
        <f t="shared" si="11"/>
        <v>Peptide19: E1_17_4_1_mRNA -&gt; E1_17_4_1 | (0.278 * E1_17_4_1_mRNA) - (0.000000278 * E1_17_4_1)</v>
      </c>
    </row>
    <row r="21" spans="1:14" x14ac:dyDescent="0.35">
      <c r="A21">
        <v>20</v>
      </c>
      <c r="B21" s="59" t="s">
        <v>2257</v>
      </c>
      <c r="C21" t="str">
        <f t="shared" si="0"/>
        <v>E1_17_4_2_mRNA</v>
      </c>
      <c r="D21" t="str">
        <f t="shared" si="1"/>
        <v>E1_17_4_2</v>
      </c>
      <c r="E21" s="36" t="str">
        <f t="shared" si="2"/>
        <v>E1_17_4_2_kcat : 13.7</v>
      </c>
      <c r="F21" s="38" t="str">
        <f t="shared" si="3"/>
        <v>E1_17_4_2_km : 1</v>
      </c>
      <c r="G21" s="31" t="str">
        <f t="shared" si="4"/>
        <v>E1_17_4_2_mRNA : E1_17_4_2_mRNA</v>
      </c>
      <c r="H21" s="32" t="str">
        <f t="shared" si="5"/>
        <v>E1_17_4_2 : E1_17_4_2</v>
      </c>
      <c r="I21" s="33" t="str">
        <f t="shared" si="6"/>
        <v>E1_17_4_2_mRNA : 0</v>
      </c>
      <c r="J21" s="16" t="str">
        <f t="shared" si="7"/>
        <v>E1_17_4_2 : 0</v>
      </c>
      <c r="K21" s="34" t="str">
        <f t="shared" si="8"/>
        <v>0.00292 - (0.0093 * E1_17_4_2_mRNA)</v>
      </c>
      <c r="L21" s="31" t="str">
        <f t="shared" si="9"/>
        <v>(0.278 * E1_17_4_2_mRNA) - (0.00000278 * E1_17_4_2)</v>
      </c>
      <c r="M21" s="35" t="str">
        <f t="shared" si="10"/>
        <v>mRNA20: -&gt; E1_17_4_2_mRNA | 0.00292 - (0.0093 * E1_17_4_2_mRNA)</v>
      </c>
      <c r="N21" s="36" t="str">
        <f t="shared" si="11"/>
        <v>Peptide20: E1_17_4_2_mRNA -&gt; E1_17_4_2 | (0.278 * E1_17_4_2_mRNA) - (0.000000278 * E1_17_4_2)</v>
      </c>
    </row>
    <row r="22" spans="1:14" x14ac:dyDescent="0.35">
      <c r="A22">
        <v>21</v>
      </c>
      <c r="B22" s="59" t="s">
        <v>10802</v>
      </c>
      <c r="C22" t="str">
        <f t="shared" si="0"/>
        <v>E1_17_7_1_mRNA</v>
      </c>
      <c r="D22" t="str">
        <f t="shared" si="1"/>
        <v>E1_17_7_1</v>
      </c>
      <c r="E22" s="36" t="str">
        <f t="shared" si="2"/>
        <v>E1_17_7_1_kcat : 13.7</v>
      </c>
      <c r="F22" s="38" t="str">
        <f t="shared" si="3"/>
        <v>E1_17_7_1_km : 1</v>
      </c>
      <c r="G22" s="31" t="str">
        <f t="shared" si="4"/>
        <v>E1_17_7_1_mRNA : E1_17_7_1_mRNA</v>
      </c>
      <c r="H22" s="32" t="str">
        <f t="shared" si="5"/>
        <v>E1_17_7_1 : E1_17_7_1</v>
      </c>
      <c r="I22" s="33" t="str">
        <f t="shared" si="6"/>
        <v>E1_17_7_1_mRNA : 0</v>
      </c>
      <c r="J22" s="16" t="str">
        <f t="shared" si="7"/>
        <v>E1_17_7_1 : 0</v>
      </c>
      <c r="K22" s="34" t="str">
        <f t="shared" si="8"/>
        <v>0.00292 - (0.0093 * E1_17_7_1_mRNA)</v>
      </c>
      <c r="L22" s="31" t="str">
        <f t="shared" si="9"/>
        <v>(0.278 * E1_17_7_1_mRNA) - (0.00000278 * E1_17_7_1)</v>
      </c>
      <c r="M22" s="35" t="str">
        <f t="shared" si="10"/>
        <v>mRNA21: -&gt; E1_17_7_1_mRNA | 0.00292 - (0.0093 * E1_17_7_1_mRNA)</v>
      </c>
      <c r="N22" s="36" t="str">
        <f t="shared" si="11"/>
        <v>Peptide21: E1_17_7_1_mRNA -&gt; E1_17_7_1 | (0.278 * E1_17_7_1_mRNA) - (0.000000278 * E1_17_7_1)</v>
      </c>
    </row>
    <row r="23" spans="1:14" x14ac:dyDescent="0.35">
      <c r="A23">
        <v>22</v>
      </c>
      <c r="B23" s="59" t="s">
        <v>10803</v>
      </c>
      <c r="C23" t="str">
        <f t="shared" si="0"/>
        <v>E1_17_7_4_mRNA</v>
      </c>
      <c r="D23" t="str">
        <f t="shared" si="1"/>
        <v>E1_17_7_4</v>
      </c>
      <c r="E23" s="36" t="str">
        <f t="shared" si="2"/>
        <v>E1_17_7_4_kcat : 13.7</v>
      </c>
      <c r="F23" s="38" t="str">
        <f t="shared" si="3"/>
        <v>E1_17_7_4_km : 1</v>
      </c>
      <c r="G23" s="31" t="str">
        <f t="shared" si="4"/>
        <v>E1_17_7_4_mRNA : E1_17_7_4_mRNA</v>
      </c>
      <c r="H23" s="32" t="str">
        <f t="shared" si="5"/>
        <v>E1_17_7_4 : E1_17_7_4</v>
      </c>
      <c r="I23" s="33" t="str">
        <f t="shared" si="6"/>
        <v>E1_17_7_4_mRNA : 0</v>
      </c>
      <c r="J23" s="16" t="str">
        <f t="shared" si="7"/>
        <v>E1_17_7_4 : 0</v>
      </c>
      <c r="K23" s="34" t="str">
        <f t="shared" si="8"/>
        <v>0.00292 - (0.0093 * E1_17_7_4_mRNA)</v>
      </c>
      <c r="L23" s="31" t="str">
        <f t="shared" si="9"/>
        <v>(0.278 * E1_17_7_4_mRNA) - (0.00000278 * E1_17_7_4)</v>
      </c>
      <c r="M23" s="35" t="str">
        <f t="shared" si="10"/>
        <v>mRNA22: -&gt; E1_17_7_4_mRNA | 0.00292 - (0.0093 * E1_17_7_4_mRNA)</v>
      </c>
      <c r="N23" s="36" t="str">
        <f t="shared" si="11"/>
        <v>Peptide22: E1_17_7_4_mRNA -&gt; E1_17_7_4 | (0.278 * E1_17_7_4_mRNA) - (0.000000278 * E1_17_7_4)</v>
      </c>
    </row>
    <row r="24" spans="1:14" x14ac:dyDescent="0.35">
      <c r="A24">
        <v>23</v>
      </c>
      <c r="B24" s="59" t="s">
        <v>2236</v>
      </c>
      <c r="C24" t="str">
        <f t="shared" si="0"/>
        <v>E1_2_1_10_mRNA</v>
      </c>
      <c r="D24" t="str">
        <f t="shared" si="1"/>
        <v>E1_2_1_10</v>
      </c>
      <c r="E24" s="36" t="str">
        <f t="shared" si="2"/>
        <v>E1_2_1_10_kcat : 13.7</v>
      </c>
      <c r="F24" s="38" t="str">
        <f t="shared" si="3"/>
        <v>E1_2_1_10_km : 1</v>
      </c>
      <c r="G24" s="31" t="str">
        <f t="shared" si="4"/>
        <v>E1_2_1_10_mRNA : E1_2_1_10_mRNA</v>
      </c>
      <c r="H24" s="32" t="str">
        <f t="shared" si="5"/>
        <v>E1_2_1_10 : E1_2_1_10</v>
      </c>
      <c r="I24" s="33" t="str">
        <f t="shared" si="6"/>
        <v>E1_2_1_10_mRNA : 0</v>
      </c>
      <c r="J24" s="16" t="str">
        <f t="shared" si="7"/>
        <v>E1_2_1_10 : 0</v>
      </c>
      <c r="K24" s="34" t="str">
        <f t="shared" si="8"/>
        <v>0.00292 - (0.0093 * E1_2_1_10_mRNA)</v>
      </c>
      <c r="L24" s="31" t="str">
        <f t="shared" si="9"/>
        <v>(0.278 * E1_2_1_10_mRNA) - (0.00000278 * E1_2_1_10)</v>
      </c>
      <c r="M24" s="35" t="str">
        <f t="shared" si="10"/>
        <v>mRNA23: -&gt; E1_2_1_10_mRNA | 0.00292 - (0.0093 * E1_2_1_10_mRNA)</v>
      </c>
      <c r="N24" s="36" t="str">
        <f t="shared" si="11"/>
        <v>Peptide23: E1_2_1_10_mRNA -&gt; E1_2_1_10 | (0.278 * E1_2_1_10_mRNA) - (0.000000278 * E1_2_1_10)</v>
      </c>
    </row>
    <row r="25" spans="1:14" x14ac:dyDescent="0.35">
      <c r="A25">
        <v>24</v>
      </c>
      <c r="B25" s="59" t="s">
        <v>2287</v>
      </c>
      <c r="C25" t="str">
        <f t="shared" si="0"/>
        <v>E1_2_1_11_mRNA</v>
      </c>
      <c r="D25" t="str">
        <f t="shared" si="1"/>
        <v>E1_2_1_11</v>
      </c>
      <c r="E25" s="36" t="str">
        <f t="shared" si="2"/>
        <v>E1_2_1_11_kcat : 13.7</v>
      </c>
      <c r="F25" s="38" t="str">
        <f t="shared" si="3"/>
        <v>E1_2_1_11_km : 1</v>
      </c>
      <c r="G25" s="31" t="str">
        <f t="shared" si="4"/>
        <v>E1_2_1_11_mRNA : E1_2_1_11_mRNA</v>
      </c>
      <c r="H25" s="32" t="str">
        <f t="shared" si="5"/>
        <v>E1_2_1_11 : E1_2_1_11</v>
      </c>
      <c r="I25" s="33" t="str">
        <f t="shared" si="6"/>
        <v>E1_2_1_11_mRNA : 0</v>
      </c>
      <c r="J25" s="16" t="str">
        <f t="shared" si="7"/>
        <v>E1_2_1_11 : 0</v>
      </c>
      <c r="K25" s="34" t="str">
        <f t="shared" si="8"/>
        <v>0.00292 - (0.0093 * E1_2_1_11_mRNA)</v>
      </c>
      <c r="L25" s="31" t="str">
        <f t="shared" si="9"/>
        <v>(0.278 * E1_2_1_11_mRNA) - (0.00000278 * E1_2_1_11)</v>
      </c>
      <c r="M25" s="35" t="str">
        <f t="shared" si="10"/>
        <v>mRNA24: -&gt; E1_2_1_11_mRNA | 0.00292 - (0.0093 * E1_2_1_11_mRNA)</v>
      </c>
      <c r="N25" s="36" t="str">
        <f t="shared" si="11"/>
        <v>Peptide24: E1_2_1_11_mRNA -&gt; E1_2_1_11 | (0.278 * E1_2_1_11_mRNA) - (0.000000278 * E1_2_1_11)</v>
      </c>
    </row>
    <row r="26" spans="1:14" x14ac:dyDescent="0.35">
      <c r="A26">
        <v>25</v>
      </c>
      <c r="B26" s="59" t="s">
        <v>10804</v>
      </c>
      <c r="C26" t="str">
        <f t="shared" si="0"/>
        <v>E1_2_1_38_mRNA</v>
      </c>
      <c r="D26" t="str">
        <f t="shared" si="1"/>
        <v>E1_2_1_38</v>
      </c>
      <c r="E26" s="36" t="str">
        <f t="shared" si="2"/>
        <v>E1_2_1_38_kcat : 13.7</v>
      </c>
      <c r="F26" s="38" t="str">
        <f t="shared" si="3"/>
        <v>E1_2_1_38_km : 1</v>
      </c>
      <c r="G26" s="31" t="str">
        <f t="shared" si="4"/>
        <v>E1_2_1_38_mRNA : E1_2_1_38_mRNA</v>
      </c>
      <c r="H26" s="32" t="str">
        <f t="shared" si="5"/>
        <v>E1_2_1_38 : E1_2_1_38</v>
      </c>
      <c r="I26" s="33" t="str">
        <f t="shared" si="6"/>
        <v>E1_2_1_38_mRNA : 0</v>
      </c>
      <c r="J26" s="16" t="str">
        <f t="shared" si="7"/>
        <v>E1_2_1_38 : 0</v>
      </c>
      <c r="K26" s="34" t="str">
        <f t="shared" si="8"/>
        <v>0.00292 - (0.0093 * E1_2_1_38_mRNA)</v>
      </c>
      <c r="L26" s="31" t="str">
        <f t="shared" si="9"/>
        <v>(0.278 * E1_2_1_38_mRNA) - (0.00000278 * E1_2_1_38)</v>
      </c>
      <c r="M26" s="35" t="str">
        <f t="shared" si="10"/>
        <v>mRNA25: -&gt; E1_2_1_38_mRNA | 0.00292 - (0.0093 * E1_2_1_38_mRNA)</v>
      </c>
      <c r="N26" s="36" t="str">
        <f t="shared" si="11"/>
        <v>Peptide25: E1_2_1_38_mRNA -&gt; E1_2_1_38 | (0.278 * E1_2_1_38_mRNA) - (0.000000278 * E1_2_1_38)</v>
      </c>
    </row>
    <row r="27" spans="1:14" x14ac:dyDescent="0.35">
      <c r="A27">
        <v>26</v>
      </c>
      <c r="B27" s="59" t="s">
        <v>10805</v>
      </c>
      <c r="C27" t="str">
        <f t="shared" si="0"/>
        <v>E1_2_1_41_mRNA</v>
      </c>
      <c r="D27" t="str">
        <f t="shared" si="1"/>
        <v>E1_2_1_41</v>
      </c>
      <c r="E27" s="36" t="str">
        <f t="shared" si="2"/>
        <v>E1_2_1_41_kcat : 13.7</v>
      </c>
      <c r="F27" s="38" t="str">
        <f t="shared" si="3"/>
        <v>E1_2_1_41_km : 1</v>
      </c>
      <c r="G27" s="31" t="str">
        <f t="shared" si="4"/>
        <v>E1_2_1_41_mRNA : E1_2_1_41_mRNA</v>
      </c>
      <c r="H27" s="32" t="str">
        <f t="shared" si="5"/>
        <v>E1_2_1_41 : E1_2_1_41</v>
      </c>
      <c r="I27" s="33" t="str">
        <f t="shared" si="6"/>
        <v>E1_2_1_41_mRNA : 0</v>
      </c>
      <c r="J27" s="16" t="str">
        <f t="shared" si="7"/>
        <v>E1_2_1_41 : 0</v>
      </c>
      <c r="K27" s="34" t="str">
        <f t="shared" si="8"/>
        <v>0.00292 - (0.0093 * E1_2_1_41_mRNA)</v>
      </c>
      <c r="L27" s="31" t="str">
        <f t="shared" si="9"/>
        <v>(0.278 * E1_2_1_41_mRNA) - (0.00000278 * E1_2_1_41)</v>
      </c>
      <c r="M27" s="35" t="str">
        <f t="shared" si="10"/>
        <v>mRNA26: -&gt; E1_2_1_41_mRNA | 0.00292 - (0.0093 * E1_2_1_41_mRNA)</v>
      </c>
      <c r="N27" s="36" t="str">
        <f t="shared" si="11"/>
        <v>Peptide26: E1_2_1_41_mRNA -&gt; E1_2_1_41 | (0.278 * E1_2_1_41_mRNA) - (0.000000278 * E1_2_1_41)</v>
      </c>
    </row>
    <row r="28" spans="1:14" x14ac:dyDescent="0.35">
      <c r="A28">
        <v>27</v>
      </c>
      <c r="B28" s="59" t="s">
        <v>2280</v>
      </c>
      <c r="C28" t="str">
        <f t="shared" si="0"/>
        <v>E1_3_1_14_mRNA</v>
      </c>
      <c r="D28" t="str">
        <f t="shared" si="1"/>
        <v>E1_3_1_14</v>
      </c>
      <c r="E28" s="36" t="str">
        <f t="shared" si="2"/>
        <v>E1_3_1_14_kcat : 13.7</v>
      </c>
      <c r="F28" s="38" t="str">
        <f t="shared" si="3"/>
        <v>E1_3_1_14_km : 1</v>
      </c>
      <c r="G28" s="31" t="str">
        <f t="shared" si="4"/>
        <v>E1_3_1_14_mRNA : E1_3_1_14_mRNA</v>
      </c>
      <c r="H28" s="32" t="str">
        <f t="shared" si="5"/>
        <v>E1_3_1_14 : E1_3_1_14</v>
      </c>
      <c r="I28" s="33" t="str">
        <f t="shared" si="6"/>
        <v>E1_3_1_14_mRNA : 0</v>
      </c>
      <c r="J28" s="16" t="str">
        <f t="shared" si="7"/>
        <v>E1_3_1_14 : 0</v>
      </c>
      <c r="K28" s="34" t="str">
        <f t="shared" si="8"/>
        <v>0.00292 - (0.0093 * E1_3_1_14_mRNA)</v>
      </c>
      <c r="L28" s="31" t="str">
        <f t="shared" si="9"/>
        <v>(0.278 * E1_3_1_14_mRNA) - (0.00000278 * E1_3_1_14)</v>
      </c>
      <c r="M28" s="35" t="str">
        <f t="shared" si="10"/>
        <v>mRNA27: -&gt; E1_3_1_14_mRNA | 0.00292 - (0.0093 * E1_3_1_14_mRNA)</v>
      </c>
      <c r="N28" s="36" t="str">
        <f t="shared" si="11"/>
        <v>Peptide27: E1_3_1_14_mRNA -&gt; E1_3_1_14 | (0.278 * E1_3_1_14_mRNA) - (0.000000278 * E1_3_1_14)</v>
      </c>
    </row>
    <row r="29" spans="1:14" x14ac:dyDescent="0.35">
      <c r="A29">
        <v>28</v>
      </c>
      <c r="B29" s="59" t="s">
        <v>2301</v>
      </c>
      <c r="C29" t="str">
        <f t="shared" si="0"/>
        <v>E1_3_1_98_mRNA</v>
      </c>
      <c r="D29" t="str">
        <f t="shared" si="1"/>
        <v>E1_3_1_98</v>
      </c>
      <c r="E29" s="36" t="str">
        <f t="shared" si="2"/>
        <v>E1_3_1_98_kcat : 13.7</v>
      </c>
      <c r="F29" s="38" t="str">
        <f t="shared" si="3"/>
        <v>E1_3_1_98_km : 1</v>
      </c>
      <c r="G29" s="31" t="str">
        <f t="shared" si="4"/>
        <v>E1_3_1_98_mRNA : E1_3_1_98_mRNA</v>
      </c>
      <c r="H29" s="32" t="str">
        <f t="shared" si="5"/>
        <v>E1_3_1_98 : E1_3_1_98</v>
      </c>
      <c r="I29" s="33" t="str">
        <f t="shared" si="6"/>
        <v>E1_3_1_98_mRNA : 0</v>
      </c>
      <c r="J29" s="16" t="str">
        <f t="shared" si="7"/>
        <v>E1_3_1_98 : 0</v>
      </c>
      <c r="K29" s="34" t="str">
        <f t="shared" si="8"/>
        <v>0.00292 - (0.0093 * E1_3_1_98_mRNA)</v>
      </c>
      <c r="L29" s="31" t="str">
        <f t="shared" si="9"/>
        <v>(0.278 * E1_3_1_98_mRNA) - (0.00000278 * E1_3_1_98)</v>
      </c>
      <c r="M29" s="35" t="str">
        <f t="shared" si="10"/>
        <v>mRNA28: -&gt; E1_3_1_98_mRNA | 0.00292 - (0.0093 * E1_3_1_98_mRNA)</v>
      </c>
      <c r="N29" s="36" t="str">
        <f t="shared" si="11"/>
        <v>Peptide28: E1_3_1_98_mRNA -&gt; E1_3_1_98 | (0.278 * E1_3_1_98_mRNA) - (0.000000278 * E1_3_1_98)</v>
      </c>
    </row>
    <row r="30" spans="1:14" x14ac:dyDescent="0.35">
      <c r="A30">
        <v>29</v>
      </c>
      <c r="B30" s="59" t="s">
        <v>10806</v>
      </c>
      <c r="C30" t="str">
        <f t="shared" si="0"/>
        <v>E1_3_5_2_mRNA</v>
      </c>
      <c r="D30" t="str">
        <f t="shared" si="1"/>
        <v>E1_3_5_2</v>
      </c>
      <c r="E30" s="36" t="str">
        <f t="shared" si="2"/>
        <v>E1_3_5_2_kcat : 13.7</v>
      </c>
      <c r="F30" s="38" t="str">
        <f t="shared" si="3"/>
        <v>E1_3_5_2_km : 1</v>
      </c>
      <c r="G30" s="31" t="str">
        <f t="shared" si="4"/>
        <v>E1_3_5_2_mRNA : E1_3_5_2_mRNA</v>
      </c>
      <c r="H30" s="32" t="str">
        <f t="shared" si="5"/>
        <v>E1_3_5_2 : E1_3_5_2</v>
      </c>
      <c r="I30" s="33" t="str">
        <f t="shared" si="6"/>
        <v>E1_3_5_2_mRNA : 0</v>
      </c>
      <c r="J30" s="16" t="str">
        <f t="shared" si="7"/>
        <v>E1_3_5_2 : 0</v>
      </c>
      <c r="K30" s="34" t="str">
        <f t="shared" si="8"/>
        <v>0.00292 - (0.0093 * E1_3_5_2_mRNA)</v>
      </c>
      <c r="L30" s="31" t="str">
        <f t="shared" si="9"/>
        <v>(0.278 * E1_3_5_2_mRNA) - (0.00000278 * E1_3_5_2)</v>
      </c>
      <c r="M30" s="35" t="str">
        <f t="shared" si="10"/>
        <v>mRNA29: -&gt; E1_3_5_2_mRNA | 0.00292 - (0.0093 * E1_3_5_2_mRNA)</v>
      </c>
      <c r="N30" s="36" t="str">
        <f t="shared" si="11"/>
        <v>Peptide29: E1_3_5_2_mRNA -&gt; E1_3_5_2 | (0.278 * E1_3_5_2_mRNA) - (0.000000278 * E1_3_5_2)</v>
      </c>
    </row>
    <row r="31" spans="1:14" x14ac:dyDescent="0.35">
      <c r="A31">
        <v>30</v>
      </c>
      <c r="B31" s="59" t="s">
        <v>10807</v>
      </c>
      <c r="C31" t="str">
        <f t="shared" si="0"/>
        <v>E1_4_1_13_mRNA</v>
      </c>
      <c r="D31" t="str">
        <f t="shared" si="1"/>
        <v>E1_4_1_13</v>
      </c>
      <c r="E31" s="36" t="str">
        <f t="shared" si="2"/>
        <v>E1_4_1_13_kcat : 13.7</v>
      </c>
      <c r="F31" s="38" t="str">
        <f t="shared" si="3"/>
        <v>E1_4_1_13_km : 1</v>
      </c>
      <c r="G31" s="31" t="str">
        <f t="shared" si="4"/>
        <v>E1_4_1_13_mRNA : E1_4_1_13_mRNA</v>
      </c>
      <c r="H31" s="32" t="str">
        <f t="shared" si="5"/>
        <v>E1_4_1_13 : E1_4_1_13</v>
      </c>
      <c r="I31" s="33" t="str">
        <f t="shared" si="6"/>
        <v>E1_4_1_13_mRNA : 0</v>
      </c>
      <c r="J31" s="16" t="str">
        <f t="shared" si="7"/>
        <v>E1_4_1_13 : 0</v>
      </c>
      <c r="K31" s="34" t="str">
        <f t="shared" si="8"/>
        <v>0.00292 - (0.0093 * E1_4_1_13_mRNA)</v>
      </c>
      <c r="L31" s="31" t="str">
        <f t="shared" si="9"/>
        <v>(0.278 * E1_4_1_13_mRNA) - (0.00000278 * E1_4_1_13)</v>
      </c>
      <c r="M31" s="35" t="str">
        <f t="shared" si="10"/>
        <v>mRNA30: -&gt; E1_4_1_13_mRNA | 0.00292 - (0.0093 * E1_4_1_13_mRNA)</v>
      </c>
      <c r="N31" s="36" t="str">
        <f t="shared" si="11"/>
        <v>Peptide30: E1_4_1_13_mRNA -&gt; E1_4_1_13 | (0.278 * E1_4_1_13_mRNA) - (0.000000278 * E1_4_1_13)</v>
      </c>
    </row>
    <row r="32" spans="1:14" x14ac:dyDescent="0.35">
      <c r="A32">
        <v>31</v>
      </c>
      <c r="B32" s="59" t="s">
        <v>10808</v>
      </c>
      <c r="C32" t="str">
        <f t="shared" si="0"/>
        <v>E1_4_1_4_mRNA</v>
      </c>
      <c r="D32" t="str">
        <f t="shared" si="1"/>
        <v>E1_4_1_4</v>
      </c>
      <c r="E32" s="36" t="str">
        <f t="shared" si="2"/>
        <v>E1_4_1_4_kcat : 13.7</v>
      </c>
      <c r="F32" s="38" t="str">
        <f t="shared" si="3"/>
        <v>E1_4_1_4_km : 1</v>
      </c>
      <c r="G32" s="31" t="str">
        <f t="shared" si="4"/>
        <v>E1_4_1_4_mRNA : E1_4_1_4_mRNA</v>
      </c>
      <c r="H32" s="32" t="str">
        <f t="shared" si="5"/>
        <v>E1_4_1_4 : E1_4_1_4</v>
      </c>
      <c r="I32" s="33" t="str">
        <f t="shared" si="6"/>
        <v>E1_4_1_4_mRNA : 0</v>
      </c>
      <c r="J32" s="16" t="str">
        <f t="shared" si="7"/>
        <v>E1_4_1_4 : 0</v>
      </c>
      <c r="K32" s="34" t="str">
        <f t="shared" si="8"/>
        <v>0.00292 - (0.0093 * E1_4_1_4_mRNA)</v>
      </c>
      <c r="L32" s="31" t="str">
        <f t="shared" si="9"/>
        <v>(0.278 * E1_4_1_4_mRNA) - (0.00000278 * E1_4_1_4)</v>
      </c>
      <c r="M32" s="35" t="str">
        <f t="shared" si="10"/>
        <v>mRNA31: -&gt; E1_4_1_4_mRNA | 0.00292 - (0.0093 * E1_4_1_4_mRNA)</v>
      </c>
      <c r="N32" s="36" t="str">
        <f t="shared" si="11"/>
        <v>Peptide31: E1_4_1_4_mRNA -&gt; E1_4_1_4 | (0.278 * E1_4_1_4_mRNA) - (0.000000278 * E1_4_1_4)</v>
      </c>
    </row>
    <row r="33" spans="1:14" x14ac:dyDescent="0.35">
      <c r="A33">
        <v>32</v>
      </c>
      <c r="B33" s="59" t="s">
        <v>10809</v>
      </c>
      <c r="C33" t="str">
        <f t="shared" si="0"/>
        <v>E1_4_3_16_mRNA</v>
      </c>
      <c r="D33" t="str">
        <f t="shared" si="1"/>
        <v>E1_4_3_16</v>
      </c>
      <c r="E33" s="36" t="str">
        <f t="shared" si="2"/>
        <v>E1_4_3_16_kcat : 13.7</v>
      </c>
      <c r="F33" s="38" t="str">
        <f t="shared" si="3"/>
        <v>E1_4_3_16_km : 1</v>
      </c>
      <c r="G33" s="31" t="str">
        <f t="shared" si="4"/>
        <v>E1_4_3_16_mRNA : E1_4_3_16_mRNA</v>
      </c>
      <c r="H33" s="32" t="str">
        <f t="shared" si="5"/>
        <v>E1_4_3_16 : E1_4_3_16</v>
      </c>
      <c r="I33" s="33" t="str">
        <f t="shared" si="6"/>
        <v>E1_4_3_16_mRNA : 0</v>
      </c>
      <c r="J33" s="16" t="str">
        <f t="shared" si="7"/>
        <v>E1_4_3_16 : 0</v>
      </c>
      <c r="K33" s="34" t="str">
        <f t="shared" si="8"/>
        <v>0.00292 - (0.0093 * E1_4_3_16_mRNA)</v>
      </c>
      <c r="L33" s="31" t="str">
        <f t="shared" si="9"/>
        <v>(0.278 * E1_4_3_16_mRNA) - (0.00000278 * E1_4_3_16)</v>
      </c>
      <c r="M33" s="35" t="str">
        <f t="shared" si="10"/>
        <v>mRNA32: -&gt; E1_4_3_16_mRNA | 0.00292 - (0.0093 * E1_4_3_16_mRNA)</v>
      </c>
      <c r="N33" s="36" t="str">
        <f t="shared" si="11"/>
        <v>Peptide32: E1_4_3_16_mRNA -&gt; E1_4_3_16 | (0.278 * E1_4_3_16_mRNA) - (0.000000278 * E1_4_3_16)</v>
      </c>
    </row>
    <row r="34" spans="1:14" x14ac:dyDescent="0.35">
      <c r="A34">
        <v>33</v>
      </c>
      <c r="B34" s="59" t="s">
        <v>10810</v>
      </c>
      <c r="C34" t="str">
        <f t="shared" ref="C34:C65" si="12">CONCATENATE(D34,"_mRNA")</f>
        <v>E1_5_1_2_mRNA</v>
      </c>
      <c r="D34" t="str">
        <f t="shared" ref="D34:D65" si="13">CONCATENATE("E",B34)</f>
        <v>E1_5_1_2</v>
      </c>
      <c r="E34" s="36" t="str">
        <f t="shared" ref="E34:E65" si="14">CONCATENATE("E",B34,"_kcat : 13.7")</f>
        <v>E1_5_1_2_kcat : 13.7</v>
      </c>
      <c r="F34" s="38" t="str">
        <f t="shared" ref="F34:F65" si="15">CONCATENATE("E",B34,"_km : 1")</f>
        <v>E1_5_1_2_km : 1</v>
      </c>
      <c r="G34" s="31" t="str">
        <f t="shared" ref="G34:G65" si="16">CONCATENATE(C34," : ",C34)</f>
        <v>E1_5_1_2_mRNA : E1_5_1_2_mRNA</v>
      </c>
      <c r="H34" s="32" t="str">
        <f t="shared" ref="H34:H65" si="17">CONCATENATE(D34," : ",D34)</f>
        <v>E1_5_1_2 : E1_5_1_2</v>
      </c>
      <c r="I34" s="33" t="str">
        <f t="shared" ref="I34:I65" si="18">CONCATENATE(C34," : ","0")</f>
        <v>E1_5_1_2_mRNA : 0</v>
      </c>
      <c r="J34" s="16" t="str">
        <f t="shared" ref="J34:J65" si="19">CONCATENATE(D34," : ","0")</f>
        <v>E1_5_1_2 : 0</v>
      </c>
      <c r="K34" s="34" t="str">
        <f t="shared" ref="K34:K65" si="20">CONCATENATE("0.00292 - (0.0093 * ",C34,")")</f>
        <v>0.00292 - (0.0093 * E1_5_1_2_mRNA)</v>
      </c>
      <c r="L34" s="31" t="str">
        <f t="shared" ref="L34:L65" si="21">CONCATENATE("(0.278 * ",C34,")"," - (0.00000278 * ",D34,")")</f>
        <v>(0.278 * E1_5_1_2_mRNA) - (0.00000278 * E1_5_1_2)</v>
      </c>
      <c r="M34" s="35" t="str">
        <f t="shared" ref="M34:M65" si="22">CONCATENATE("mRNA",A34,": -&gt; ",C34," | ","0.00292"," - ","(","0.0093"," * ",C34,")")</f>
        <v>mRNA33: -&gt; E1_5_1_2_mRNA | 0.00292 - (0.0093 * E1_5_1_2_mRNA)</v>
      </c>
      <c r="N34" s="36" t="str">
        <f t="shared" ref="N34:N65" si="23">CONCATENATE("Peptide",A34,": ",C34," -&gt; ",D34," | ","(","0.278"," * ",C34,")"," - ","(","0.000000278"," * ",D34,")")</f>
        <v>Peptide33: E1_5_1_2_mRNA -&gt; E1_5_1_2 | (0.278 * E1_5_1_2_mRNA) - (0.000000278 * E1_5_1_2)</v>
      </c>
    </row>
    <row r="35" spans="1:14" x14ac:dyDescent="0.35">
      <c r="A35">
        <v>34</v>
      </c>
      <c r="B35" s="59" t="s">
        <v>10811</v>
      </c>
      <c r="C35" t="str">
        <f t="shared" si="12"/>
        <v>E1_5_1_20_mRNA</v>
      </c>
      <c r="D35" t="str">
        <f t="shared" si="13"/>
        <v>E1_5_1_20</v>
      </c>
      <c r="E35" s="36" t="str">
        <f t="shared" si="14"/>
        <v>E1_5_1_20_kcat : 13.7</v>
      </c>
      <c r="F35" s="38" t="str">
        <f t="shared" si="15"/>
        <v>E1_5_1_20_km : 1</v>
      </c>
      <c r="G35" s="31" t="str">
        <f t="shared" si="16"/>
        <v>E1_5_1_20_mRNA : E1_5_1_20_mRNA</v>
      </c>
      <c r="H35" s="32" t="str">
        <f t="shared" si="17"/>
        <v>E1_5_1_20 : E1_5_1_20</v>
      </c>
      <c r="I35" s="33" t="str">
        <f t="shared" si="18"/>
        <v>E1_5_1_20_mRNA : 0</v>
      </c>
      <c r="J35" s="16" t="str">
        <f t="shared" si="19"/>
        <v>E1_5_1_20 : 0</v>
      </c>
      <c r="K35" s="34" t="str">
        <f t="shared" si="20"/>
        <v>0.00292 - (0.0093 * E1_5_1_20_mRNA)</v>
      </c>
      <c r="L35" s="31" t="str">
        <f t="shared" si="21"/>
        <v>(0.278 * E1_5_1_20_mRNA) - (0.00000278 * E1_5_1_20)</v>
      </c>
      <c r="M35" s="35" t="str">
        <f t="shared" si="22"/>
        <v>mRNA34: -&gt; E1_5_1_20_mRNA | 0.00292 - (0.0093 * E1_5_1_20_mRNA)</v>
      </c>
      <c r="N35" s="36" t="str">
        <f t="shared" si="23"/>
        <v>Peptide34: E1_5_1_20_mRNA -&gt; E1_5_1_20 | (0.278 * E1_5_1_20_mRNA) - (0.000000278 * E1_5_1_20)</v>
      </c>
    </row>
    <row r="36" spans="1:14" x14ac:dyDescent="0.35">
      <c r="A36">
        <v>35</v>
      </c>
      <c r="B36" s="59" t="s">
        <v>2245</v>
      </c>
      <c r="C36" t="str">
        <f t="shared" si="12"/>
        <v>E1_5_1_3_mRNA</v>
      </c>
      <c r="D36" t="str">
        <f t="shared" si="13"/>
        <v>E1_5_1_3</v>
      </c>
      <c r="E36" s="36" t="str">
        <f t="shared" si="14"/>
        <v>E1_5_1_3_kcat : 13.7</v>
      </c>
      <c r="F36" s="38" t="str">
        <f t="shared" si="15"/>
        <v>E1_5_1_3_km : 1</v>
      </c>
      <c r="G36" s="31" t="str">
        <f t="shared" si="16"/>
        <v>E1_5_1_3_mRNA : E1_5_1_3_mRNA</v>
      </c>
      <c r="H36" s="32" t="str">
        <f t="shared" si="17"/>
        <v>E1_5_1_3 : E1_5_1_3</v>
      </c>
      <c r="I36" s="33" t="str">
        <f t="shared" si="18"/>
        <v>E1_5_1_3_mRNA : 0</v>
      </c>
      <c r="J36" s="16" t="str">
        <f t="shared" si="19"/>
        <v>E1_5_1_3 : 0</v>
      </c>
      <c r="K36" s="34" t="str">
        <f t="shared" si="20"/>
        <v>0.00292 - (0.0093 * E1_5_1_3_mRNA)</v>
      </c>
      <c r="L36" s="31" t="str">
        <f t="shared" si="21"/>
        <v>(0.278 * E1_5_1_3_mRNA) - (0.00000278 * E1_5_1_3)</v>
      </c>
      <c r="M36" s="35" t="str">
        <f t="shared" si="22"/>
        <v>mRNA35: -&gt; E1_5_1_3_mRNA | 0.00292 - (0.0093 * E1_5_1_3_mRNA)</v>
      </c>
      <c r="N36" s="36" t="str">
        <f t="shared" si="23"/>
        <v>Peptide35: E1_5_1_3_mRNA -&gt; E1_5_1_3 | (0.278 * E1_5_1_3_mRNA) - (0.000000278 * E1_5_1_3)</v>
      </c>
    </row>
    <row r="37" spans="1:14" x14ac:dyDescent="0.35">
      <c r="A37">
        <v>36</v>
      </c>
      <c r="B37" s="59" t="s">
        <v>2230</v>
      </c>
      <c r="C37" t="str">
        <f t="shared" si="12"/>
        <v>E1_8_4_11_mRNA</v>
      </c>
      <c r="D37" t="str">
        <f t="shared" si="13"/>
        <v>E1_8_4_11</v>
      </c>
      <c r="E37" s="36" t="str">
        <f t="shared" si="14"/>
        <v>E1_8_4_11_kcat : 13.7</v>
      </c>
      <c r="F37" s="38" t="str">
        <f t="shared" si="15"/>
        <v>E1_8_4_11_km : 1</v>
      </c>
      <c r="G37" s="31" t="str">
        <f t="shared" si="16"/>
        <v>E1_8_4_11_mRNA : E1_8_4_11_mRNA</v>
      </c>
      <c r="H37" s="32" t="str">
        <f t="shared" si="17"/>
        <v>E1_8_4_11 : E1_8_4_11</v>
      </c>
      <c r="I37" s="33" t="str">
        <f t="shared" si="18"/>
        <v>E1_8_4_11_mRNA : 0</v>
      </c>
      <c r="J37" s="16" t="str">
        <f t="shared" si="19"/>
        <v>E1_8_4_11 : 0</v>
      </c>
      <c r="K37" s="34" t="str">
        <f t="shared" si="20"/>
        <v>0.00292 - (0.0093 * E1_8_4_11_mRNA)</v>
      </c>
      <c r="L37" s="31" t="str">
        <f t="shared" si="21"/>
        <v>(0.278 * E1_8_4_11_mRNA) - (0.00000278 * E1_8_4_11)</v>
      </c>
      <c r="M37" s="35" t="str">
        <f t="shared" si="22"/>
        <v>mRNA36: -&gt; E1_8_4_11_mRNA | 0.00292 - (0.0093 * E1_8_4_11_mRNA)</v>
      </c>
      <c r="N37" s="36" t="str">
        <f t="shared" si="23"/>
        <v>Peptide36: E1_8_4_11_mRNA -&gt; E1_8_4_11 | (0.278 * E1_8_4_11_mRNA) - (0.000000278 * E1_8_4_11)</v>
      </c>
    </row>
    <row r="38" spans="1:14" x14ac:dyDescent="0.35">
      <c r="A38">
        <v>37</v>
      </c>
      <c r="B38" s="59" t="s">
        <v>2316</v>
      </c>
      <c r="C38" t="str">
        <f t="shared" si="12"/>
        <v>E1_8_4_12_mRNA</v>
      </c>
      <c r="D38" t="str">
        <f t="shared" si="13"/>
        <v>E1_8_4_12</v>
      </c>
      <c r="E38" s="36" t="str">
        <f t="shared" si="14"/>
        <v>E1_8_4_12_kcat : 13.7</v>
      </c>
      <c r="F38" s="38" t="str">
        <f t="shared" si="15"/>
        <v>E1_8_4_12_km : 1</v>
      </c>
      <c r="G38" s="31" t="str">
        <f t="shared" si="16"/>
        <v>E1_8_4_12_mRNA : E1_8_4_12_mRNA</v>
      </c>
      <c r="H38" s="32" t="str">
        <f t="shared" si="17"/>
        <v>E1_8_4_12 : E1_8_4_12</v>
      </c>
      <c r="I38" s="33" t="str">
        <f t="shared" si="18"/>
        <v>E1_8_4_12_mRNA : 0</v>
      </c>
      <c r="J38" s="16" t="str">
        <f t="shared" si="19"/>
        <v>E1_8_4_12 : 0</v>
      </c>
      <c r="K38" s="34" t="str">
        <f t="shared" si="20"/>
        <v>0.00292 - (0.0093 * E1_8_4_12_mRNA)</v>
      </c>
      <c r="L38" s="31" t="str">
        <f t="shared" si="21"/>
        <v>(0.278 * E1_8_4_12_mRNA) - (0.00000278 * E1_8_4_12)</v>
      </c>
      <c r="M38" s="35" t="str">
        <f t="shared" si="22"/>
        <v>mRNA37: -&gt; E1_8_4_12_mRNA | 0.00292 - (0.0093 * E1_8_4_12_mRNA)</v>
      </c>
      <c r="N38" s="36" t="str">
        <f t="shared" si="23"/>
        <v>Peptide37: E1_8_4_12_mRNA -&gt; E1_8_4_12 | (0.278 * E1_8_4_12_mRNA) - (0.000000278 * E1_8_4_12)</v>
      </c>
    </row>
    <row r="39" spans="1:14" x14ac:dyDescent="0.35">
      <c r="A39">
        <v>38</v>
      </c>
      <c r="B39" s="59" t="s">
        <v>10812</v>
      </c>
      <c r="C39" t="str">
        <f t="shared" si="12"/>
        <v>E1_97_1_4_mRNA</v>
      </c>
      <c r="D39" t="str">
        <f t="shared" si="13"/>
        <v>E1_97_1_4</v>
      </c>
      <c r="E39" s="36" t="str">
        <f t="shared" si="14"/>
        <v>E1_97_1_4_kcat : 13.7</v>
      </c>
      <c r="F39" s="38" t="str">
        <f t="shared" si="15"/>
        <v>E1_97_1_4_km : 1</v>
      </c>
      <c r="G39" s="31" t="str">
        <f t="shared" si="16"/>
        <v>E1_97_1_4_mRNA : E1_97_1_4_mRNA</v>
      </c>
      <c r="H39" s="32" t="str">
        <f t="shared" si="17"/>
        <v>E1_97_1_4 : E1_97_1_4</v>
      </c>
      <c r="I39" s="33" t="str">
        <f t="shared" si="18"/>
        <v>E1_97_1_4_mRNA : 0</v>
      </c>
      <c r="J39" s="16" t="str">
        <f t="shared" si="19"/>
        <v>E1_97_1_4 : 0</v>
      </c>
      <c r="K39" s="34" t="str">
        <f t="shared" si="20"/>
        <v>0.00292 - (0.0093 * E1_97_1_4_mRNA)</v>
      </c>
      <c r="L39" s="31" t="str">
        <f t="shared" si="21"/>
        <v>(0.278 * E1_97_1_4_mRNA) - (0.00000278 * E1_97_1_4)</v>
      </c>
      <c r="M39" s="35" t="str">
        <f t="shared" si="22"/>
        <v>mRNA38: -&gt; E1_97_1_4_mRNA | 0.00292 - (0.0093 * E1_97_1_4_mRNA)</v>
      </c>
      <c r="N39" s="36" t="str">
        <f t="shared" si="23"/>
        <v>Peptide38: E1_97_1_4_mRNA -&gt; E1_97_1_4 | (0.278 * E1_97_1_4_mRNA) - (0.000000278 * E1_97_1_4)</v>
      </c>
    </row>
    <row r="40" spans="1:14" x14ac:dyDescent="0.35">
      <c r="A40">
        <v>39</v>
      </c>
      <c r="B40" s="59" t="s">
        <v>2327</v>
      </c>
      <c r="C40" t="str">
        <f t="shared" si="12"/>
        <v>E2_1_1_14_mRNA</v>
      </c>
      <c r="D40" t="str">
        <f t="shared" si="13"/>
        <v>E2_1_1_14</v>
      </c>
      <c r="E40" s="36" t="str">
        <f t="shared" si="14"/>
        <v>E2_1_1_14_kcat : 13.7</v>
      </c>
      <c r="F40" s="38" t="str">
        <f t="shared" si="15"/>
        <v>E2_1_1_14_km : 1</v>
      </c>
      <c r="G40" s="31" t="str">
        <f t="shared" si="16"/>
        <v>E2_1_1_14_mRNA : E2_1_1_14_mRNA</v>
      </c>
      <c r="H40" s="32" t="str">
        <f t="shared" si="17"/>
        <v>E2_1_1_14 : E2_1_1_14</v>
      </c>
      <c r="I40" s="33" t="str">
        <f t="shared" si="18"/>
        <v>E2_1_1_14_mRNA : 0</v>
      </c>
      <c r="J40" s="16" t="str">
        <f t="shared" si="19"/>
        <v>E2_1_1_14 : 0</v>
      </c>
      <c r="K40" s="34" t="str">
        <f t="shared" si="20"/>
        <v>0.00292 - (0.0093 * E2_1_1_14_mRNA)</v>
      </c>
      <c r="L40" s="31" t="str">
        <f t="shared" si="21"/>
        <v>(0.278 * E2_1_1_14_mRNA) - (0.00000278 * E2_1_1_14)</v>
      </c>
      <c r="M40" s="35" t="str">
        <f t="shared" si="22"/>
        <v>mRNA39: -&gt; E2_1_1_14_mRNA | 0.00292 - (0.0093 * E2_1_1_14_mRNA)</v>
      </c>
      <c r="N40" s="36" t="str">
        <f t="shared" si="23"/>
        <v>Peptide39: E2_1_1_14_mRNA -&gt; E2_1_1_14 | (0.278 * E2_1_1_14_mRNA) - (0.000000278 * E2_1_1_14)</v>
      </c>
    </row>
    <row r="41" spans="1:14" x14ac:dyDescent="0.35">
      <c r="A41">
        <v>40</v>
      </c>
      <c r="B41" s="59" t="s">
        <v>2194</v>
      </c>
      <c r="C41" t="str">
        <f t="shared" si="12"/>
        <v>E2_1_1_170_mRNA</v>
      </c>
      <c r="D41" t="str">
        <f t="shared" si="13"/>
        <v>E2_1_1_170</v>
      </c>
      <c r="E41" s="36" t="str">
        <f t="shared" si="14"/>
        <v>E2_1_1_170_kcat : 13.7</v>
      </c>
      <c r="F41" s="38" t="str">
        <f t="shared" si="15"/>
        <v>E2_1_1_170_km : 1</v>
      </c>
      <c r="G41" s="31" t="str">
        <f t="shared" si="16"/>
        <v>E2_1_1_170_mRNA : E2_1_1_170_mRNA</v>
      </c>
      <c r="H41" s="32" t="str">
        <f t="shared" si="17"/>
        <v>E2_1_1_170 : E2_1_1_170</v>
      </c>
      <c r="I41" s="33" t="str">
        <f t="shared" si="18"/>
        <v>E2_1_1_170_mRNA : 0</v>
      </c>
      <c r="J41" s="16" t="str">
        <f t="shared" si="19"/>
        <v>E2_1_1_170 : 0</v>
      </c>
      <c r="K41" s="34" t="str">
        <f t="shared" si="20"/>
        <v>0.00292 - (0.0093 * E2_1_1_170_mRNA)</v>
      </c>
      <c r="L41" s="31" t="str">
        <f t="shared" si="21"/>
        <v>(0.278 * E2_1_1_170_mRNA) - (0.00000278 * E2_1_1_170)</v>
      </c>
      <c r="M41" s="35" t="str">
        <f t="shared" si="22"/>
        <v>mRNA40: -&gt; E2_1_1_170_mRNA | 0.00292 - (0.0093 * E2_1_1_170_mRNA)</v>
      </c>
      <c r="N41" s="36" t="str">
        <f t="shared" si="23"/>
        <v>Peptide40: E2_1_1_170_mRNA -&gt; E2_1_1_170 | (0.278 * E2_1_1_170_mRNA) - (0.000000278 * E2_1_1_170)</v>
      </c>
    </row>
    <row r="42" spans="1:14" x14ac:dyDescent="0.35">
      <c r="A42">
        <v>41</v>
      </c>
      <c r="B42" s="59" t="s">
        <v>2202</v>
      </c>
      <c r="C42" t="str">
        <f t="shared" si="12"/>
        <v>E2_1_1_171_mRNA</v>
      </c>
      <c r="D42" t="str">
        <f t="shared" si="13"/>
        <v>E2_1_1_171</v>
      </c>
      <c r="E42" s="36" t="str">
        <f t="shared" si="14"/>
        <v>E2_1_1_171_kcat : 13.7</v>
      </c>
      <c r="F42" s="38" t="str">
        <f t="shared" si="15"/>
        <v>E2_1_1_171_km : 1</v>
      </c>
      <c r="G42" s="31" t="str">
        <f t="shared" si="16"/>
        <v>E2_1_1_171_mRNA : E2_1_1_171_mRNA</v>
      </c>
      <c r="H42" s="32" t="str">
        <f t="shared" si="17"/>
        <v>E2_1_1_171 : E2_1_1_171</v>
      </c>
      <c r="I42" s="33" t="str">
        <f t="shared" si="18"/>
        <v>E2_1_1_171_mRNA : 0</v>
      </c>
      <c r="J42" s="16" t="str">
        <f t="shared" si="19"/>
        <v>E2_1_1_171 : 0</v>
      </c>
      <c r="K42" s="34" t="str">
        <f t="shared" si="20"/>
        <v>0.00292 - (0.0093 * E2_1_1_171_mRNA)</v>
      </c>
      <c r="L42" s="31" t="str">
        <f t="shared" si="21"/>
        <v>(0.278 * E2_1_1_171_mRNA) - (0.00000278 * E2_1_1_171)</v>
      </c>
      <c r="M42" s="35" t="str">
        <f t="shared" si="22"/>
        <v>mRNA41: -&gt; E2_1_1_171_mRNA | 0.00292 - (0.0093 * E2_1_1_171_mRNA)</v>
      </c>
      <c r="N42" s="36" t="str">
        <f t="shared" si="23"/>
        <v>Peptide41: E2_1_1_171_mRNA -&gt; E2_1_1_171 | (0.278 * E2_1_1_171_mRNA) - (0.000000278 * E2_1_1_171)</v>
      </c>
    </row>
    <row r="43" spans="1:14" x14ac:dyDescent="0.35">
      <c r="A43">
        <v>42</v>
      </c>
      <c r="B43" s="59" t="s">
        <v>2196</v>
      </c>
      <c r="C43" t="str">
        <f t="shared" si="12"/>
        <v>E2_1_1_177_mRNA</v>
      </c>
      <c r="D43" t="str">
        <f t="shared" si="13"/>
        <v>E2_1_1_177</v>
      </c>
      <c r="E43" s="36" t="str">
        <f t="shared" si="14"/>
        <v>E2_1_1_177_kcat : 13.7</v>
      </c>
      <c r="F43" s="38" t="str">
        <f t="shared" si="15"/>
        <v>E2_1_1_177_km : 1</v>
      </c>
      <c r="G43" s="31" t="str">
        <f t="shared" si="16"/>
        <v>E2_1_1_177_mRNA : E2_1_1_177_mRNA</v>
      </c>
      <c r="H43" s="32" t="str">
        <f t="shared" si="17"/>
        <v>E2_1_1_177 : E2_1_1_177</v>
      </c>
      <c r="I43" s="33" t="str">
        <f t="shared" si="18"/>
        <v>E2_1_1_177_mRNA : 0</v>
      </c>
      <c r="J43" s="16" t="str">
        <f t="shared" si="19"/>
        <v>E2_1_1_177 : 0</v>
      </c>
      <c r="K43" s="34" t="str">
        <f t="shared" si="20"/>
        <v>0.00292 - (0.0093 * E2_1_1_177_mRNA)</v>
      </c>
      <c r="L43" s="31" t="str">
        <f t="shared" si="21"/>
        <v>(0.278 * E2_1_1_177_mRNA) - (0.00000278 * E2_1_1_177)</v>
      </c>
      <c r="M43" s="35" t="str">
        <f t="shared" si="22"/>
        <v>mRNA42: -&gt; E2_1_1_177_mRNA | 0.00292 - (0.0093 * E2_1_1_177_mRNA)</v>
      </c>
      <c r="N43" s="36" t="str">
        <f t="shared" si="23"/>
        <v>Peptide42: E2_1_1_177_mRNA -&gt; E2_1_1_177 | (0.278 * E2_1_1_177_mRNA) - (0.000000278 * E2_1_1_177)</v>
      </c>
    </row>
    <row r="44" spans="1:14" x14ac:dyDescent="0.35">
      <c r="A44">
        <v>43</v>
      </c>
      <c r="B44" s="59" t="s">
        <v>2112</v>
      </c>
      <c r="C44" t="str">
        <f t="shared" si="12"/>
        <v>E2_1_1_182_mRNA</v>
      </c>
      <c r="D44" t="str">
        <f t="shared" si="13"/>
        <v>E2_1_1_182</v>
      </c>
      <c r="E44" s="36" t="str">
        <f t="shared" si="14"/>
        <v>E2_1_1_182_kcat : 13.7</v>
      </c>
      <c r="F44" s="38" t="str">
        <f t="shared" si="15"/>
        <v>E2_1_1_182_km : 1</v>
      </c>
      <c r="G44" s="31" t="str">
        <f t="shared" si="16"/>
        <v>E2_1_1_182_mRNA : E2_1_1_182_mRNA</v>
      </c>
      <c r="H44" s="32" t="str">
        <f t="shared" si="17"/>
        <v>E2_1_1_182 : E2_1_1_182</v>
      </c>
      <c r="I44" s="33" t="str">
        <f t="shared" si="18"/>
        <v>E2_1_1_182_mRNA : 0</v>
      </c>
      <c r="J44" s="16" t="str">
        <f t="shared" si="19"/>
        <v>E2_1_1_182 : 0</v>
      </c>
      <c r="K44" s="34" t="str">
        <f t="shared" si="20"/>
        <v>0.00292 - (0.0093 * E2_1_1_182_mRNA)</v>
      </c>
      <c r="L44" s="31" t="str">
        <f t="shared" si="21"/>
        <v>(0.278 * E2_1_1_182_mRNA) - (0.00000278 * E2_1_1_182)</v>
      </c>
      <c r="M44" s="35" t="str">
        <f t="shared" si="22"/>
        <v>mRNA43: -&gt; E2_1_1_182_mRNA | 0.00292 - (0.0093 * E2_1_1_182_mRNA)</v>
      </c>
      <c r="N44" s="36" t="str">
        <f t="shared" si="23"/>
        <v>Peptide43: E2_1_1_182_mRNA -&gt; E2_1_1_182 | (0.278 * E2_1_1_182_mRNA) - (0.000000278 * E2_1_1_182)</v>
      </c>
    </row>
    <row r="45" spans="1:14" x14ac:dyDescent="0.35">
      <c r="A45">
        <v>44</v>
      </c>
      <c r="B45" s="59" t="s">
        <v>10813</v>
      </c>
      <c r="C45" t="str">
        <f t="shared" si="12"/>
        <v>E2_1_1_192_mRNA</v>
      </c>
      <c r="D45" t="str">
        <f t="shared" si="13"/>
        <v>E2_1_1_192</v>
      </c>
      <c r="E45" s="36" t="str">
        <f t="shared" si="14"/>
        <v>E2_1_1_192_kcat : 13.7</v>
      </c>
      <c r="F45" s="38" t="str">
        <f t="shared" si="15"/>
        <v>E2_1_1_192_km : 1</v>
      </c>
      <c r="G45" s="31" t="str">
        <f t="shared" si="16"/>
        <v>E2_1_1_192_mRNA : E2_1_1_192_mRNA</v>
      </c>
      <c r="H45" s="32" t="str">
        <f t="shared" si="17"/>
        <v>E2_1_1_192 : E2_1_1_192</v>
      </c>
      <c r="I45" s="33" t="str">
        <f t="shared" si="18"/>
        <v>E2_1_1_192_mRNA : 0</v>
      </c>
      <c r="J45" s="16" t="str">
        <f t="shared" si="19"/>
        <v>E2_1_1_192 : 0</v>
      </c>
      <c r="K45" s="34" t="str">
        <f t="shared" si="20"/>
        <v>0.00292 - (0.0093 * E2_1_1_192_mRNA)</v>
      </c>
      <c r="L45" s="31" t="str">
        <f t="shared" si="21"/>
        <v>(0.278 * E2_1_1_192_mRNA) - (0.00000278 * E2_1_1_192)</v>
      </c>
      <c r="M45" s="35" t="str">
        <f t="shared" si="22"/>
        <v>mRNA44: -&gt; E2_1_1_192_mRNA | 0.00292 - (0.0093 * E2_1_1_192_mRNA)</v>
      </c>
      <c r="N45" s="36" t="str">
        <f t="shared" si="23"/>
        <v>Peptide44: E2_1_1_192_mRNA -&gt; E2_1_1_192 | (0.278 * E2_1_1_192_mRNA) - (0.000000278 * E2_1_1_192)</v>
      </c>
    </row>
    <row r="46" spans="1:14" x14ac:dyDescent="0.35">
      <c r="A46">
        <v>45</v>
      </c>
      <c r="B46" s="59" t="s">
        <v>10814</v>
      </c>
      <c r="C46" t="str">
        <f t="shared" si="12"/>
        <v>E2_1_1_193_mRNA</v>
      </c>
      <c r="D46" t="str">
        <f t="shared" si="13"/>
        <v>E2_1_1_193</v>
      </c>
      <c r="E46" s="36" t="str">
        <f t="shared" si="14"/>
        <v>E2_1_1_193_kcat : 13.7</v>
      </c>
      <c r="F46" s="38" t="str">
        <f t="shared" si="15"/>
        <v>E2_1_1_193_km : 1</v>
      </c>
      <c r="G46" s="31" t="str">
        <f t="shared" si="16"/>
        <v>E2_1_1_193_mRNA : E2_1_1_193_mRNA</v>
      </c>
      <c r="H46" s="32" t="str">
        <f t="shared" si="17"/>
        <v>E2_1_1_193 : E2_1_1_193</v>
      </c>
      <c r="I46" s="33" t="str">
        <f t="shared" si="18"/>
        <v>E2_1_1_193_mRNA : 0</v>
      </c>
      <c r="J46" s="16" t="str">
        <f t="shared" si="19"/>
        <v>E2_1_1_193 : 0</v>
      </c>
      <c r="K46" s="34" t="str">
        <f t="shared" si="20"/>
        <v>0.00292 - (0.0093 * E2_1_1_193_mRNA)</v>
      </c>
      <c r="L46" s="31" t="str">
        <f t="shared" si="21"/>
        <v>(0.278 * E2_1_1_193_mRNA) - (0.00000278 * E2_1_1_193)</v>
      </c>
      <c r="M46" s="35" t="str">
        <f t="shared" si="22"/>
        <v>mRNA45: -&gt; E2_1_1_193_mRNA | 0.00292 - (0.0093 * E2_1_1_193_mRNA)</v>
      </c>
      <c r="N46" s="36" t="str">
        <f t="shared" si="23"/>
        <v>Peptide45: E2_1_1_193_mRNA -&gt; E2_1_1_193 | (0.278 * E2_1_1_193_mRNA) - (0.000000278 * E2_1_1_193)</v>
      </c>
    </row>
    <row r="47" spans="1:14" x14ac:dyDescent="0.35">
      <c r="A47">
        <v>46</v>
      </c>
      <c r="B47" s="59" t="s">
        <v>2198</v>
      </c>
      <c r="C47" t="str">
        <f t="shared" si="12"/>
        <v>E2_1_1_198_mRNA</v>
      </c>
      <c r="D47" t="str">
        <f t="shared" si="13"/>
        <v>E2_1_1_198</v>
      </c>
      <c r="E47" s="36" t="str">
        <f t="shared" si="14"/>
        <v>E2_1_1_198_kcat : 13.7</v>
      </c>
      <c r="F47" s="38" t="str">
        <f t="shared" si="15"/>
        <v>E2_1_1_198_km : 1</v>
      </c>
      <c r="G47" s="31" t="str">
        <f t="shared" si="16"/>
        <v>E2_1_1_198_mRNA : E2_1_1_198_mRNA</v>
      </c>
      <c r="H47" s="32" t="str">
        <f t="shared" si="17"/>
        <v>E2_1_1_198 : E2_1_1_198</v>
      </c>
      <c r="I47" s="33" t="str">
        <f t="shared" si="18"/>
        <v>E2_1_1_198_mRNA : 0</v>
      </c>
      <c r="J47" s="16" t="str">
        <f t="shared" si="19"/>
        <v>E2_1_1_198 : 0</v>
      </c>
      <c r="K47" s="34" t="str">
        <f t="shared" si="20"/>
        <v>0.00292 - (0.0093 * E2_1_1_198_mRNA)</v>
      </c>
      <c r="L47" s="31" t="str">
        <f t="shared" si="21"/>
        <v>(0.278 * E2_1_1_198_mRNA) - (0.00000278 * E2_1_1_198)</v>
      </c>
      <c r="M47" s="35" t="str">
        <f t="shared" si="22"/>
        <v>mRNA46: -&gt; E2_1_1_198_mRNA | 0.00292 - (0.0093 * E2_1_1_198_mRNA)</v>
      </c>
      <c r="N47" s="36" t="str">
        <f t="shared" si="23"/>
        <v>Peptide46: E2_1_1_198_mRNA -&gt; E2_1_1_198 | (0.278 * E2_1_1_198_mRNA) - (0.000000278 * E2_1_1_198)</v>
      </c>
    </row>
    <row r="48" spans="1:14" x14ac:dyDescent="0.35">
      <c r="A48">
        <v>47</v>
      </c>
      <c r="B48" s="59" t="s">
        <v>2199</v>
      </c>
      <c r="C48" t="str">
        <f t="shared" si="12"/>
        <v>E2_1_1_199_mRNA</v>
      </c>
      <c r="D48" t="str">
        <f t="shared" si="13"/>
        <v>E2_1_1_199</v>
      </c>
      <c r="E48" s="36" t="str">
        <f t="shared" si="14"/>
        <v>E2_1_1_199_kcat : 13.7</v>
      </c>
      <c r="F48" s="38" t="str">
        <f t="shared" si="15"/>
        <v>E2_1_1_199_km : 1</v>
      </c>
      <c r="G48" s="31" t="str">
        <f t="shared" si="16"/>
        <v>E2_1_1_199_mRNA : E2_1_1_199_mRNA</v>
      </c>
      <c r="H48" s="32" t="str">
        <f t="shared" si="17"/>
        <v>E2_1_1_199 : E2_1_1_199</v>
      </c>
      <c r="I48" s="33" t="str">
        <f t="shared" si="18"/>
        <v>E2_1_1_199_mRNA : 0</v>
      </c>
      <c r="J48" s="16" t="str">
        <f t="shared" si="19"/>
        <v>E2_1_1_199 : 0</v>
      </c>
      <c r="K48" s="34" t="str">
        <f t="shared" si="20"/>
        <v>0.00292 - (0.0093 * E2_1_1_199_mRNA)</v>
      </c>
      <c r="L48" s="31" t="str">
        <f t="shared" si="21"/>
        <v>(0.278 * E2_1_1_199_mRNA) - (0.00000278 * E2_1_1_199)</v>
      </c>
      <c r="M48" s="35" t="str">
        <f t="shared" si="22"/>
        <v>mRNA47: -&gt; E2_1_1_199_mRNA | 0.00292 - (0.0093 * E2_1_1_199_mRNA)</v>
      </c>
      <c r="N48" s="36" t="str">
        <f t="shared" si="23"/>
        <v>Peptide47: E2_1_1_199_mRNA -&gt; E2_1_1_199 | (0.278 * E2_1_1_199_mRNA) - (0.000000278 * E2_1_1_199)</v>
      </c>
    </row>
    <row r="49" spans="1:14" x14ac:dyDescent="0.35">
      <c r="A49">
        <v>48</v>
      </c>
      <c r="B49" s="59" t="s">
        <v>2200</v>
      </c>
      <c r="C49" t="str">
        <f t="shared" si="12"/>
        <v>E2_1_1_207_mRNA</v>
      </c>
      <c r="D49" t="str">
        <f t="shared" si="13"/>
        <v>E2_1_1_207</v>
      </c>
      <c r="E49" s="36" t="str">
        <f t="shared" si="14"/>
        <v>E2_1_1_207_kcat : 13.7</v>
      </c>
      <c r="F49" s="38" t="str">
        <f t="shared" si="15"/>
        <v>E2_1_1_207_km : 1</v>
      </c>
      <c r="G49" s="31" t="str">
        <f t="shared" si="16"/>
        <v>E2_1_1_207_mRNA : E2_1_1_207_mRNA</v>
      </c>
      <c r="H49" s="32" t="str">
        <f t="shared" si="17"/>
        <v>E2_1_1_207 : E2_1_1_207</v>
      </c>
      <c r="I49" s="33" t="str">
        <f t="shared" si="18"/>
        <v>E2_1_1_207_mRNA : 0</v>
      </c>
      <c r="J49" s="16" t="str">
        <f t="shared" si="19"/>
        <v>E2_1_1_207 : 0</v>
      </c>
      <c r="K49" s="34" t="str">
        <f t="shared" si="20"/>
        <v>0.00292 - (0.0093 * E2_1_1_207_mRNA)</v>
      </c>
      <c r="L49" s="31" t="str">
        <f t="shared" si="21"/>
        <v>(0.278 * E2_1_1_207_mRNA) - (0.00000278 * E2_1_1_207)</v>
      </c>
      <c r="M49" s="35" t="str">
        <f t="shared" si="22"/>
        <v>mRNA48: -&gt; E2_1_1_207_mRNA | 0.00292 - (0.0093 * E2_1_1_207_mRNA)</v>
      </c>
      <c r="N49" s="36" t="str">
        <f t="shared" si="23"/>
        <v>Peptide48: E2_1_1_207_mRNA -&gt; E2_1_1_207 | (0.278 * E2_1_1_207_mRNA) - (0.000000278 * E2_1_1_207)</v>
      </c>
    </row>
    <row r="50" spans="1:14" x14ac:dyDescent="0.35">
      <c r="A50">
        <v>49</v>
      </c>
      <c r="B50" s="59" t="s">
        <v>2203</v>
      </c>
      <c r="C50" t="str">
        <f t="shared" si="12"/>
        <v>E2_1_1_228_mRNA</v>
      </c>
      <c r="D50" t="str">
        <f t="shared" si="13"/>
        <v>E2_1_1_228</v>
      </c>
      <c r="E50" s="36" t="str">
        <f t="shared" si="14"/>
        <v>E2_1_1_228_kcat : 13.7</v>
      </c>
      <c r="F50" s="38" t="str">
        <f t="shared" si="15"/>
        <v>E2_1_1_228_km : 1</v>
      </c>
      <c r="G50" s="31" t="str">
        <f t="shared" si="16"/>
        <v>E2_1_1_228_mRNA : E2_1_1_228_mRNA</v>
      </c>
      <c r="H50" s="32" t="str">
        <f t="shared" si="17"/>
        <v>E2_1_1_228 : E2_1_1_228</v>
      </c>
      <c r="I50" s="33" t="str">
        <f t="shared" si="18"/>
        <v>E2_1_1_228_mRNA : 0</v>
      </c>
      <c r="J50" s="16" t="str">
        <f t="shared" si="19"/>
        <v>E2_1_1_228 : 0</v>
      </c>
      <c r="K50" s="34" t="str">
        <f t="shared" si="20"/>
        <v>0.00292 - (0.0093 * E2_1_1_228_mRNA)</v>
      </c>
      <c r="L50" s="31" t="str">
        <f t="shared" si="21"/>
        <v>(0.278 * E2_1_1_228_mRNA) - (0.00000278 * E2_1_1_228)</v>
      </c>
      <c r="M50" s="35" t="str">
        <f t="shared" si="22"/>
        <v>mRNA49: -&gt; E2_1_1_228_mRNA | 0.00292 - (0.0093 * E2_1_1_228_mRNA)</v>
      </c>
      <c r="N50" s="36" t="str">
        <f t="shared" si="23"/>
        <v>Peptide49: E2_1_1_228_mRNA -&gt; E2_1_1_228 | (0.278 * E2_1_1_228_mRNA) - (0.000000278 * E2_1_1_228)</v>
      </c>
    </row>
    <row r="51" spans="1:14" x14ac:dyDescent="0.35">
      <c r="A51">
        <v>50</v>
      </c>
      <c r="B51" s="59" t="s">
        <v>2315</v>
      </c>
      <c r="C51" t="str">
        <f t="shared" si="12"/>
        <v>E2_1_1_297_mRNA</v>
      </c>
      <c r="D51" t="str">
        <f t="shared" si="13"/>
        <v>E2_1_1_297</v>
      </c>
      <c r="E51" s="36" t="str">
        <f t="shared" si="14"/>
        <v>E2_1_1_297_kcat : 13.7</v>
      </c>
      <c r="F51" s="38" t="str">
        <f t="shared" si="15"/>
        <v>E2_1_1_297_km : 1</v>
      </c>
      <c r="G51" s="31" t="str">
        <f t="shared" si="16"/>
        <v>E2_1_1_297_mRNA : E2_1_1_297_mRNA</v>
      </c>
      <c r="H51" s="32" t="str">
        <f t="shared" si="17"/>
        <v>E2_1_1_297 : E2_1_1_297</v>
      </c>
      <c r="I51" s="33" t="str">
        <f t="shared" si="18"/>
        <v>E2_1_1_297_mRNA : 0</v>
      </c>
      <c r="J51" s="16" t="str">
        <f t="shared" si="19"/>
        <v>E2_1_1_297 : 0</v>
      </c>
      <c r="K51" s="34" t="str">
        <f t="shared" si="20"/>
        <v>0.00292 - (0.0093 * E2_1_1_297_mRNA)</v>
      </c>
      <c r="L51" s="31" t="str">
        <f t="shared" si="21"/>
        <v>(0.278 * E2_1_1_297_mRNA) - (0.00000278 * E2_1_1_297)</v>
      </c>
      <c r="M51" s="35" t="str">
        <f t="shared" si="22"/>
        <v>mRNA50: -&gt; E2_1_1_297_mRNA | 0.00292 - (0.0093 * E2_1_1_297_mRNA)</v>
      </c>
      <c r="N51" s="36" t="str">
        <f t="shared" si="23"/>
        <v>Peptide50: E2_1_1_297_mRNA -&gt; E2_1_1_297 | (0.278 * E2_1_1_297_mRNA) - (0.000000278 * E2_1_1_297)</v>
      </c>
    </row>
    <row r="52" spans="1:14" x14ac:dyDescent="0.35">
      <c r="A52">
        <v>51</v>
      </c>
      <c r="B52" s="59" t="s">
        <v>2204</v>
      </c>
      <c r="C52" t="str">
        <f t="shared" si="12"/>
        <v>E2_1_1_33_mRNA</v>
      </c>
      <c r="D52" t="str">
        <f t="shared" si="13"/>
        <v>E2_1_1_33</v>
      </c>
      <c r="E52" s="36" t="str">
        <f t="shared" si="14"/>
        <v>E2_1_1_33_kcat : 13.7</v>
      </c>
      <c r="F52" s="38" t="str">
        <f t="shared" si="15"/>
        <v>E2_1_1_33_km : 1</v>
      </c>
      <c r="G52" s="31" t="str">
        <f t="shared" si="16"/>
        <v>E2_1_1_33_mRNA : E2_1_1_33_mRNA</v>
      </c>
      <c r="H52" s="32" t="str">
        <f t="shared" si="17"/>
        <v>E2_1_1_33 : E2_1_1_33</v>
      </c>
      <c r="I52" s="33" t="str">
        <f t="shared" si="18"/>
        <v>E2_1_1_33_mRNA : 0</v>
      </c>
      <c r="J52" s="16" t="str">
        <f t="shared" si="19"/>
        <v>E2_1_1_33 : 0</v>
      </c>
      <c r="K52" s="34" t="str">
        <f t="shared" si="20"/>
        <v>0.00292 - (0.0093 * E2_1_1_33_mRNA)</v>
      </c>
      <c r="L52" s="31" t="str">
        <f t="shared" si="21"/>
        <v>(0.278 * E2_1_1_33_mRNA) - (0.00000278 * E2_1_1_33)</v>
      </c>
      <c r="M52" s="35" t="str">
        <f t="shared" si="22"/>
        <v>mRNA51: -&gt; E2_1_1_33_mRNA | 0.00292 - (0.0093 * E2_1_1_33_mRNA)</v>
      </c>
      <c r="N52" s="36" t="str">
        <f t="shared" si="23"/>
        <v>Peptide51: E2_1_1_33_mRNA -&gt; E2_1_1_33 | (0.278 * E2_1_1_33_mRNA) - (0.000000278 * E2_1_1_33)</v>
      </c>
    </row>
    <row r="53" spans="1:14" x14ac:dyDescent="0.35">
      <c r="A53">
        <v>52</v>
      </c>
      <c r="B53" s="59" t="s">
        <v>10815</v>
      </c>
      <c r="C53" t="str">
        <f t="shared" si="12"/>
        <v>E2_1_1_37_mRNA</v>
      </c>
      <c r="D53" t="str">
        <f t="shared" si="13"/>
        <v>E2_1_1_37</v>
      </c>
      <c r="E53" s="36" t="str">
        <f t="shared" si="14"/>
        <v>E2_1_1_37_kcat : 13.7</v>
      </c>
      <c r="F53" s="38" t="str">
        <f t="shared" si="15"/>
        <v>E2_1_1_37_km : 1</v>
      </c>
      <c r="G53" s="31" t="str">
        <f t="shared" si="16"/>
        <v>E2_1_1_37_mRNA : E2_1_1_37_mRNA</v>
      </c>
      <c r="H53" s="32" t="str">
        <f t="shared" si="17"/>
        <v>E2_1_1_37 : E2_1_1_37</v>
      </c>
      <c r="I53" s="33" t="str">
        <f t="shared" si="18"/>
        <v>E2_1_1_37_mRNA : 0</v>
      </c>
      <c r="J53" s="16" t="str">
        <f t="shared" si="19"/>
        <v>E2_1_1_37 : 0</v>
      </c>
      <c r="K53" s="34" t="str">
        <f t="shared" si="20"/>
        <v>0.00292 - (0.0093 * E2_1_1_37_mRNA)</v>
      </c>
      <c r="L53" s="31" t="str">
        <f t="shared" si="21"/>
        <v>(0.278 * E2_1_1_37_mRNA) - (0.00000278 * E2_1_1_37)</v>
      </c>
      <c r="M53" s="35" t="str">
        <f t="shared" si="22"/>
        <v>mRNA52: -&gt; E2_1_1_37_mRNA | 0.00292 - (0.0093 * E2_1_1_37_mRNA)</v>
      </c>
      <c r="N53" s="36" t="str">
        <f t="shared" si="23"/>
        <v>Peptide52: E2_1_1_37_mRNA -&gt; E2_1_1_37 | (0.278 * E2_1_1_37_mRNA) - (0.000000278 * E2_1_1_37)</v>
      </c>
    </row>
    <row r="54" spans="1:14" x14ac:dyDescent="0.35">
      <c r="A54">
        <v>53</v>
      </c>
      <c r="B54" s="59" t="s">
        <v>2285</v>
      </c>
      <c r="C54" t="str">
        <f t="shared" si="12"/>
        <v>E2_1_1_45_mRNA</v>
      </c>
      <c r="D54" t="str">
        <f t="shared" si="13"/>
        <v>E2_1_1_45</v>
      </c>
      <c r="E54" s="36" t="str">
        <f t="shared" si="14"/>
        <v>E2_1_1_45_kcat : 13.7</v>
      </c>
      <c r="F54" s="38" t="str">
        <f t="shared" si="15"/>
        <v>E2_1_1_45_km : 1</v>
      </c>
      <c r="G54" s="31" t="str">
        <f t="shared" si="16"/>
        <v>E2_1_1_45_mRNA : E2_1_1_45_mRNA</v>
      </c>
      <c r="H54" s="32" t="str">
        <f t="shared" si="17"/>
        <v>E2_1_1_45 : E2_1_1_45</v>
      </c>
      <c r="I54" s="33" t="str">
        <f t="shared" si="18"/>
        <v>E2_1_1_45_mRNA : 0</v>
      </c>
      <c r="J54" s="16" t="str">
        <f t="shared" si="19"/>
        <v>E2_1_1_45 : 0</v>
      </c>
      <c r="K54" s="34" t="str">
        <f t="shared" si="20"/>
        <v>0.00292 - (0.0093 * E2_1_1_45_mRNA)</v>
      </c>
      <c r="L54" s="31" t="str">
        <f t="shared" si="21"/>
        <v>(0.278 * E2_1_1_45_mRNA) - (0.00000278 * E2_1_1_45)</v>
      </c>
      <c r="M54" s="35" t="str">
        <f t="shared" si="22"/>
        <v>mRNA53: -&gt; E2_1_1_45_mRNA | 0.00292 - (0.0093 * E2_1_1_45_mRNA)</v>
      </c>
      <c r="N54" s="36" t="str">
        <f t="shared" si="23"/>
        <v>Peptide53: E2_1_1_45_mRNA -&gt; E2_1_1_45 | (0.278 * E2_1_1_45_mRNA) - (0.000000278 * E2_1_1_45)</v>
      </c>
    </row>
    <row r="55" spans="1:14" x14ac:dyDescent="0.35">
      <c r="A55">
        <v>54</v>
      </c>
      <c r="B55" s="59" t="s">
        <v>2324</v>
      </c>
      <c r="C55" t="str">
        <f t="shared" si="12"/>
        <v>E2_1_1_63_mRNA</v>
      </c>
      <c r="D55" t="str">
        <f t="shared" si="13"/>
        <v>E2_1_1_63</v>
      </c>
      <c r="E55" s="36" t="str">
        <f t="shared" si="14"/>
        <v>E2_1_1_63_kcat : 13.7</v>
      </c>
      <c r="F55" s="38" t="str">
        <f t="shared" si="15"/>
        <v>E2_1_1_63_km : 1</v>
      </c>
      <c r="G55" s="31" t="str">
        <f t="shared" si="16"/>
        <v>E2_1_1_63_mRNA : E2_1_1_63_mRNA</v>
      </c>
      <c r="H55" s="32" t="str">
        <f t="shared" si="17"/>
        <v>E2_1_1_63 : E2_1_1_63</v>
      </c>
      <c r="I55" s="33" t="str">
        <f t="shared" si="18"/>
        <v>E2_1_1_63_mRNA : 0</v>
      </c>
      <c r="J55" s="16" t="str">
        <f t="shared" si="19"/>
        <v>E2_1_1_63 : 0</v>
      </c>
      <c r="K55" s="34" t="str">
        <f t="shared" si="20"/>
        <v>0.00292 - (0.0093 * E2_1_1_63_mRNA)</v>
      </c>
      <c r="L55" s="31" t="str">
        <f t="shared" si="21"/>
        <v>(0.278 * E2_1_1_63_mRNA) - (0.00000278 * E2_1_1_63)</v>
      </c>
      <c r="M55" s="35" t="str">
        <f t="shared" si="22"/>
        <v>mRNA54: -&gt; E2_1_1_63_mRNA | 0.00292 - (0.0093 * E2_1_1_63_mRNA)</v>
      </c>
      <c r="N55" s="36" t="str">
        <f t="shared" si="23"/>
        <v>Peptide54: E2_1_1_63_mRNA -&gt; E2_1_1_63 | (0.278 * E2_1_1_63_mRNA) - (0.000000278 * E2_1_1_63)</v>
      </c>
    </row>
    <row r="56" spans="1:14" x14ac:dyDescent="0.35">
      <c r="A56">
        <v>55</v>
      </c>
      <c r="B56" s="59" t="s">
        <v>10816</v>
      </c>
      <c r="C56" t="str">
        <f t="shared" si="12"/>
        <v>E2_1_1_72_mRNA</v>
      </c>
      <c r="D56" t="str">
        <f t="shared" si="13"/>
        <v>E2_1_1_72</v>
      </c>
      <c r="E56" s="36" t="str">
        <f t="shared" si="14"/>
        <v>E2_1_1_72_kcat : 13.7</v>
      </c>
      <c r="F56" s="38" t="str">
        <f t="shared" si="15"/>
        <v>E2_1_1_72_km : 1</v>
      </c>
      <c r="G56" s="31" t="str">
        <f t="shared" si="16"/>
        <v>E2_1_1_72_mRNA : E2_1_1_72_mRNA</v>
      </c>
      <c r="H56" s="32" t="str">
        <f t="shared" si="17"/>
        <v>E2_1_1_72 : E2_1_1_72</v>
      </c>
      <c r="I56" s="33" t="str">
        <f t="shared" si="18"/>
        <v>E2_1_1_72_mRNA : 0</v>
      </c>
      <c r="J56" s="16" t="str">
        <f t="shared" si="19"/>
        <v>E2_1_1_72 : 0</v>
      </c>
      <c r="K56" s="34" t="str">
        <f t="shared" si="20"/>
        <v>0.00292 - (0.0093 * E2_1_1_72_mRNA)</v>
      </c>
      <c r="L56" s="31" t="str">
        <f t="shared" si="21"/>
        <v>(0.278 * E2_1_1_72_mRNA) - (0.00000278 * E2_1_1_72)</v>
      </c>
      <c r="M56" s="35" t="str">
        <f t="shared" si="22"/>
        <v>mRNA55: -&gt; E2_1_1_72_mRNA | 0.00292 - (0.0093 * E2_1_1_72_mRNA)</v>
      </c>
      <c r="N56" s="36" t="str">
        <f t="shared" si="23"/>
        <v>Peptide55: E2_1_1_72_mRNA -&gt; E2_1_1_72 | (0.278 * E2_1_1_72_mRNA) - (0.000000278 * E2_1_1_72)</v>
      </c>
    </row>
    <row r="57" spans="1:14" x14ac:dyDescent="0.35">
      <c r="A57">
        <v>56</v>
      </c>
      <c r="B57" s="59" t="s">
        <v>2272</v>
      </c>
      <c r="C57" t="str">
        <f t="shared" si="12"/>
        <v>E2_1_2_3_mRNA</v>
      </c>
      <c r="D57" t="str">
        <f t="shared" si="13"/>
        <v>E2_1_2_3</v>
      </c>
      <c r="E57" s="36" t="str">
        <f t="shared" si="14"/>
        <v>E2_1_2_3_kcat : 13.7</v>
      </c>
      <c r="F57" s="38" t="str">
        <f t="shared" si="15"/>
        <v>E2_1_2_3_km : 1</v>
      </c>
      <c r="G57" s="31" t="str">
        <f t="shared" si="16"/>
        <v>E2_1_2_3_mRNA : E2_1_2_3_mRNA</v>
      </c>
      <c r="H57" s="32" t="str">
        <f t="shared" si="17"/>
        <v>E2_1_2_3 : E2_1_2_3</v>
      </c>
      <c r="I57" s="33" t="str">
        <f t="shared" si="18"/>
        <v>E2_1_2_3_mRNA : 0</v>
      </c>
      <c r="J57" s="16" t="str">
        <f t="shared" si="19"/>
        <v>E2_1_2_3 : 0</v>
      </c>
      <c r="K57" s="34" t="str">
        <f t="shared" si="20"/>
        <v>0.00292 - (0.0093 * E2_1_2_3_mRNA)</v>
      </c>
      <c r="L57" s="31" t="str">
        <f t="shared" si="21"/>
        <v>(0.278 * E2_1_2_3_mRNA) - (0.00000278 * E2_1_2_3)</v>
      </c>
      <c r="M57" s="35" t="str">
        <f t="shared" si="22"/>
        <v>mRNA56: -&gt; E2_1_2_3_mRNA | 0.00292 - (0.0093 * E2_1_2_3_mRNA)</v>
      </c>
      <c r="N57" s="36" t="str">
        <f t="shared" si="23"/>
        <v>Peptide56: E2_1_2_3_mRNA -&gt; E2_1_2_3 | (0.278 * E2_1_2_3_mRNA) - (0.000000278 * E2_1_2_3)</v>
      </c>
    </row>
    <row r="58" spans="1:14" x14ac:dyDescent="0.35">
      <c r="A58">
        <v>57</v>
      </c>
      <c r="B58" s="59" t="s">
        <v>2313</v>
      </c>
      <c r="C58" t="str">
        <f t="shared" si="12"/>
        <v>E2_1_2_9_mRNA</v>
      </c>
      <c r="D58" t="str">
        <f t="shared" si="13"/>
        <v>E2_1_2_9</v>
      </c>
      <c r="E58" s="36" t="str">
        <f t="shared" si="14"/>
        <v>E2_1_2_9_kcat : 13.7</v>
      </c>
      <c r="F58" s="38" t="str">
        <f t="shared" si="15"/>
        <v>E2_1_2_9_km : 1</v>
      </c>
      <c r="G58" s="31" t="str">
        <f t="shared" si="16"/>
        <v>E2_1_2_9_mRNA : E2_1_2_9_mRNA</v>
      </c>
      <c r="H58" s="32" t="str">
        <f t="shared" si="17"/>
        <v>E2_1_2_9 : E2_1_2_9</v>
      </c>
      <c r="I58" s="33" t="str">
        <f t="shared" si="18"/>
        <v>E2_1_2_9_mRNA : 0</v>
      </c>
      <c r="J58" s="16" t="str">
        <f t="shared" si="19"/>
        <v>E2_1_2_9 : 0</v>
      </c>
      <c r="K58" s="34" t="str">
        <f t="shared" si="20"/>
        <v>0.00292 - (0.0093 * E2_1_2_9_mRNA)</v>
      </c>
      <c r="L58" s="31" t="str">
        <f t="shared" si="21"/>
        <v>(0.278 * E2_1_2_9_mRNA) - (0.00000278 * E2_1_2_9)</v>
      </c>
      <c r="M58" s="35" t="str">
        <f t="shared" si="22"/>
        <v>mRNA57: -&gt; E2_1_2_9_mRNA | 0.00292 - (0.0093 * E2_1_2_9_mRNA)</v>
      </c>
      <c r="N58" s="36" t="str">
        <f t="shared" si="23"/>
        <v>Peptide57: E2_1_2_9_mRNA -&gt; E2_1_2_9 | (0.278 * E2_1_2_9_mRNA) - (0.000000278 * E2_1_2_9)</v>
      </c>
    </row>
    <row r="59" spans="1:14" x14ac:dyDescent="0.35">
      <c r="A59">
        <v>58</v>
      </c>
      <c r="B59" s="59" t="s">
        <v>2264</v>
      </c>
      <c r="C59" t="str">
        <f t="shared" si="12"/>
        <v>E2_1_3_2_mRNA</v>
      </c>
      <c r="D59" t="str">
        <f t="shared" si="13"/>
        <v>E2_1_3_2</v>
      </c>
      <c r="E59" s="36" t="str">
        <f t="shared" si="14"/>
        <v>E2_1_3_2_kcat : 13.7</v>
      </c>
      <c r="F59" s="38" t="str">
        <f t="shared" si="15"/>
        <v>E2_1_3_2_km : 1</v>
      </c>
      <c r="G59" s="31" t="str">
        <f t="shared" si="16"/>
        <v>E2_1_3_2_mRNA : E2_1_3_2_mRNA</v>
      </c>
      <c r="H59" s="32" t="str">
        <f t="shared" si="17"/>
        <v>E2_1_3_2 : E2_1_3_2</v>
      </c>
      <c r="I59" s="33" t="str">
        <f t="shared" si="18"/>
        <v>E2_1_3_2_mRNA : 0</v>
      </c>
      <c r="J59" s="16" t="str">
        <f t="shared" si="19"/>
        <v>E2_1_3_2 : 0</v>
      </c>
      <c r="K59" s="34" t="str">
        <f t="shared" si="20"/>
        <v>0.00292 - (0.0093 * E2_1_3_2_mRNA)</v>
      </c>
      <c r="L59" s="31" t="str">
        <f t="shared" si="21"/>
        <v>(0.278 * E2_1_3_2_mRNA) - (0.00000278 * E2_1_3_2)</v>
      </c>
      <c r="M59" s="35" t="str">
        <f t="shared" si="22"/>
        <v>mRNA58: -&gt; E2_1_3_2_mRNA | 0.00292 - (0.0093 * E2_1_3_2_mRNA)</v>
      </c>
      <c r="N59" s="36" t="str">
        <f t="shared" si="23"/>
        <v>Peptide58: E2_1_3_2_mRNA -&gt; E2_1_3_2 | (0.278 * E2_1_3_2_mRNA) - (0.000000278 * E2_1_3_2)</v>
      </c>
    </row>
    <row r="60" spans="1:14" x14ac:dyDescent="0.35">
      <c r="A60">
        <v>59</v>
      </c>
      <c r="B60" s="59" t="s">
        <v>10817</v>
      </c>
      <c r="C60" t="str">
        <f t="shared" si="12"/>
        <v>E2_1_3_3_mRNA</v>
      </c>
      <c r="D60" t="str">
        <f t="shared" si="13"/>
        <v>E2_1_3_3</v>
      </c>
      <c r="E60" s="36" t="str">
        <f t="shared" si="14"/>
        <v>E2_1_3_3_kcat : 13.7</v>
      </c>
      <c r="F60" s="38" t="str">
        <f t="shared" si="15"/>
        <v>E2_1_3_3_km : 1</v>
      </c>
      <c r="G60" s="31" t="str">
        <f t="shared" si="16"/>
        <v>E2_1_3_3_mRNA : E2_1_3_3_mRNA</v>
      </c>
      <c r="H60" s="32" t="str">
        <f t="shared" si="17"/>
        <v>E2_1_3_3 : E2_1_3_3</v>
      </c>
      <c r="I60" s="33" t="str">
        <f t="shared" si="18"/>
        <v>E2_1_3_3_mRNA : 0</v>
      </c>
      <c r="J60" s="16" t="str">
        <f t="shared" si="19"/>
        <v>E2_1_3_3 : 0</v>
      </c>
      <c r="K60" s="34" t="str">
        <f t="shared" si="20"/>
        <v>0.00292 - (0.0093 * E2_1_3_3_mRNA)</v>
      </c>
      <c r="L60" s="31" t="str">
        <f t="shared" si="21"/>
        <v>(0.278 * E2_1_3_3_mRNA) - (0.00000278 * E2_1_3_3)</v>
      </c>
      <c r="M60" s="35" t="str">
        <f t="shared" si="22"/>
        <v>mRNA59: -&gt; E2_1_3_3_mRNA | 0.00292 - (0.0093 * E2_1_3_3_mRNA)</v>
      </c>
      <c r="N60" s="36" t="str">
        <f t="shared" si="23"/>
        <v>Peptide59: E2_1_3_3_mRNA -&gt; E2_1_3_3 | (0.278 * E2_1_3_3_mRNA) - (0.000000278 * E2_1_3_3)</v>
      </c>
    </row>
    <row r="61" spans="1:14" x14ac:dyDescent="0.35">
      <c r="A61">
        <v>60</v>
      </c>
      <c r="B61" s="59" t="s">
        <v>10818</v>
      </c>
      <c r="C61" t="str">
        <f t="shared" si="12"/>
        <v>E2_2_1_1_mRNA</v>
      </c>
      <c r="D61" t="str">
        <f t="shared" si="13"/>
        <v>E2_2_1_1</v>
      </c>
      <c r="E61" s="36" t="str">
        <f t="shared" si="14"/>
        <v>E2_2_1_1_kcat : 13.7</v>
      </c>
      <c r="F61" s="38" t="str">
        <f t="shared" si="15"/>
        <v>E2_2_1_1_km : 1</v>
      </c>
      <c r="G61" s="31" t="str">
        <f t="shared" si="16"/>
        <v>E2_2_1_1_mRNA : E2_2_1_1_mRNA</v>
      </c>
      <c r="H61" s="32" t="str">
        <f t="shared" si="17"/>
        <v>E2_2_1_1 : E2_2_1_1</v>
      </c>
      <c r="I61" s="33" t="str">
        <f t="shared" si="18"/>
        <v>E2_2_1_1_mRNA : 0</v>
      </c>
      <c r="J61" s="16" t="str">
        <f t="shared" si="19"/>
        <v>E2_2_1_1 : 0</v>
      </c>
      <c r="K61" s="34" t="str">
        <f t="shared" si="20"/>
        <v>0.00292 - (0.0093 * E2_2_1_1_mRNA)</v>
      </c>
      <c r="L61" s="31" t="str">
        <f t="shared" si="21"/>
        <v>(0.278 * E2_2_1_1_mRNA) - (0.00000278 * E2_2_1_1)</v>
      </c>
      <c r="M61" s="35" t="str">
        <f t="shared" si="22"/>
        <v>mRNA60: -&gt; E2_2_1_1_mRNA | 0.00292 - (0.0093 * E2_2_1_1_mRNA)</v>
      </c>
      <c r="N61" s="36" t="str">
        <f t="shared" si="23"/>
        <v>Peptide60: E2_2_1_1_mRNA -&gt; E2_2_1_1 | (0.278 * E2_2_1_1_mRNA) - (0.000000278 * E2_2_1_1)</v>
      </c>
    </row>
    <row r="62" spans="1:14" x14ac:dyDescent="0.35">
      <c r="A62">
        <v>61</v>
      </c>
      <c r="B62" s="59" t="s">
        <v>10819</v>
      </c>
      <c r="C62" t="str">
        <f t="shared" si="12"/>
        <v>E2_2_1_2_mRNA</v>
      </c>
      <c r="D62" t="str">
        <f t="shared" si="13"/>
        <v>E2_2_1_2</v>
      </c>
      <c r="E62" s="36" t="str">
        <f t="shared" si="14"/>
        <v>E2_2_1_2_kcat : 13.7</v>
      </c>
      <c r="F62" s="38" t="str">
        <f t="shared" si="15"/>
        <v>E2_2_1_2_km : 1</v>
      </c>
      <c r="G62" s="31" t="str">
        <f t="shared" si="16"/>
        <v>E2_2_1_2_mRNA : E2_2_1_2_mRNA</v>
      </c>
      <c r="H62" s="32" t="str">
        <f t="shared" si="17"/>
        <v>E2_2_1_2 : E2_2_1_2</v>
      </c>
      <c r="I62" s="33" t="str">
        <f t="shared" si="18"/>
        <v>E2_2_1_2_mRNA : 0</v>
      </c>
      <c r="J62" s="16" t="str">
        <f t="shared" si="19"/>
        <v>E2_2_1_2 : 0</v>
      </c>
      <c r="K62" s="34" t="str">
        <f t="shared" si="20"/>
        <v>0.00292 - (0.0093 * E2_2_1_2_mRNA)</v>
      </c>
      <c r="L62" s="31" t="str">
        <f t="shared" si="21"/>
        <v>(0.278 * E2_2_1_2_mRNA) - (0.00000278 * E2_2_1_2)</v>
      </c>
      <c r="M62" s="35" t="str">
        <f t="shared" si="22"/>
        <v>mRNA61: -&gt; E2_2_1_2_mRNA | 0.00292 - (0.0093 * E2_2_1_2_mRNA)</v>
      </c>
      <c r="N62" s="36" t="str">
        <f t="shared" si="23"/>
        <v>Peptide61: E2_2_1_2_mRNA -&gt; E2_2_1_2 | (0.278 * E2_2_1_2_mRNA) - (0.000000278 * E2_2_1_2)</v>
      </c>
    </row>
    <row r="63" spans="1:14" x14ac:dyDescent="0.35">
      <c r="A63">
        <v>62</v>
      </c>
      <c r="B63" s="59" t="s">
        <v>10820</v>
      </c>
      <c r="C63" t="str">
        <f t="shared" si="12"/>
        <v>E2_2_1_6_mRNA</v>
      </c>
      <c r="D63" t="str">
        <f t="shared" si="13"/>
        <v>E2_2_1_6</v>
      </c>
      <c r="E63" s="36" t="str">
        <f t="shared" si="14"/>
        <v>E2_2_1_6_kcat : 13.7</v>
      </c>
      <c r="F63" s="38" t="str">
        <f t="shared" si="15"/>
        <v>E2_2_1_6_km : 1</v>
      </c>
      <c r="G63" s="31" t="str">
        <f t="shared" si="16"/>
        <v>E2_2_1_6_mRNA : E2_2_1_6_mRNA</v>
      </c>
      <c r="H63" s="32" t="str">
        <f t="shared" si="17"/>
        <v>E2_2_1_6 : E2_2_1_6</v>
      </c>
      <c r="I63" s="33" t="str">
        <f t="shared" si="18"/>
        <v>E2_2_1_6_mRNA : 0</v>
      </c>
      <c r="J63" s="16" t="str">
        <f t="shared" si="19"/>
        <v>E2_2_1_6 : 0</v>
      </c>
      <c r="K63" s="34" t="str">
        <f t="shared" si="20"/>
        <v>0.00292 - (0.0093 * E2_2_1_6_mRNA)</v>
      </c>
      <c r="L63" s="31" t="str">
        <f t="shared" si="21"/>
        <v>(0.278 * E2_2_1_6_mRNA) - (0.00000278 * E2_2_1_6)</v>
      </c>
      <c r="M63" s="35" t="str">
        <f t="shared" si="22"/>
        <v>mRNA62: -&gt; E2_2_1_6_mRNA | 0.00292 - (0.0093 * E2_2_1_6_mRNA)</v>
      </c>
      <c r="N63" s="36" t="str">
        <f t="shared" si="23"/>
        <v>Peptide62: E2_2_1_6_mRNA -&gt; E2_2_1_6 | (0.278 * E2_2_1_6_mRNA) - (0.000000278 * E2_2_1_6)</v>
      </c>
    </row>
    <row r="64" spans="1:14" x14ac:dyDescent="0.35">
      <c r="A64">
        <v>63</v>
      </c>
      <c r="B64" s="59" t="s">
        <v>2209</v>
      </c>
      <c r="C64" t="str">
        <f t="shared" si="12"/>
        <v>E2_2_1_7_mRNA</v>
      </c>
      <c r="D64" t="str">
        <f t="shared" si="13"/>
        <v>E2_2_1_7</v>
      </c>
      <c r="E64" s="36" t="str">
        <f t="shared" si="14"/>
        <v>E2_2_1_7_kcat : 13.7</v>
      </c>
      <c r="F64" s="38" t="str">
        <f t="shared" si="15"/>
        <v>E2_2_1_7_km : 1</v>
      </c>
      <c r="G64" s="31" t="str">
        <f t="shared" si="16"/>
        <v>E2_2_1_7_mRNA : E2_2_1_7_mRNA</v>
      </c>
      <c r="H64" s="32" t="str">
        <f t="shared" si="17"/>
        <v>E2_2_1_7 : E2_2_1_7</v>
      </c>
      <c r="I64" s="33" t="str">
        <f t="shared" si="18"/>
        <v>E2_2_1_7_mRNA : 0</v>
      </c>
      <c r="J64" s="16" t="str">
        <f t="shared" si="19"/>
        <v>E2_2_1_7 : 0</v>
      </c>
      <c r="K64" s="34" t="str">
        <f t="shared" si="20"/>
        <v>0.00292 - (0.0093 * E2_2_1_7_mRNA)</v>
      </c>
      <c r="L64" s="31" t="str">
        <f t="shared" si="21"/>
        <v>(0.278 * E2_2_1_7_mRNA) - (0.00000278 * E2_2_1_7)</v>
      </c>
      <c r="M64" s="35" t="str">
        <f t="shared" si="22"/>
        <v>mRNA63: -&gt; E2_2_1_7_mRNA | 0.00292 - (0.0093 * E2_2_1_7_mRNA)</v>
      </c>
      <c r="N64" s="36" t="str">
        <f t="shared" si="23"/>
        <v>Peptide63: E2_2_1_7_mRNA -&gt; E2_2_1_7 | (0.278 * E2_2_1_7_mRNA) - (0.000000278 * E2_2_1_7)</v>
      </c>
    </row>
    <row r="65" spans="1:14" x14ac:dyDescent="0.35">
      <c r="A65">
        <v>64</v>
      </c>
      <c r="B65" s="59" t="s">
        <v>10821</v>
      </c>
      <c r="C65" t="str">
        <f t="shared" si="12"/>
        <v>E2_3_1_1_mRNA</v>
      </c>
      <c r="D65" t="str">
        <f t="shared" si="13"/>
        <v>E2_3_1_1</v>
      </c>
      <c r="E65" s="36" t="str">
        <f t="shared" si="14"/>
        <v>E2_3_1_1_kcat : 13.7</v>
      </c>
      <c r="F65" s="38" t="str">
        <f t="shared" si="15"/>
        <v>E2_3_1_1_km : 1</v>
      </c>
      <c r="G65" s="31" t="str">
        <f t="shared" si="16"/>
        <v>E2_3_1_1_mRNA : E2_3_1_1_mRNA</v>
      </c>
      <c r="H65" s="32" t="str">
        <f t="shared" si="17"/>
        <v>E2_3_1_1 : E2_3_1_1</v>
      </c>
      <c r="I65" s="33" t="str">
        <f t="shared" si="18"/>
        <v>E2_3_1_1_mRNA : 0</v>
      </c>
      <c r="J65" s="16" t="str">
        <f t="shared" si="19"/>
        <v>E2_3_1_1 : 0</v>
      </c>
      <c r="K65" s="34" t="str">
        <f t="shared" si="20"/>
        <v>0.00292 - (0.0093 * E2_3_1_1_mRNA)</v>
      </c>
      <c r="L65" s="31" t="str">
        <f t="shared" si="21"/>
        <v>(0.278 * E2_3_1_1_mRNA) - (0.00000278 * E2_3_1_1)</v>
      </c>
      <c r="M65" s="35" t="str">
        <f t="shared" si="22"/>
        <v>mRNA64: -&gt; E2_3_1_1_mRNA | 0.00292 - (0.0093 * E2_3_1_1_mRNA)</v>
      </c>
      <c r="N65" s="36" t="str">
        <f t="shared" si="23"/>
        <v>Peptide64: E2_3_1_1_mRNA -&gt; E2_3_1_1 | (0.278 * E2_3_1_1_mRNA) - (0.000000278 * E2_3_1_1)</v>
      </c>
    </row>
    <row r="66" spans="1:14" x14ac:dyDescent="0.35">
      <c r="A66">
        <v>65</v>
      </c>
      <c r="B66" s="59" t="s">
        <v>10822</v>
      </c>
      <c r="C66" t="str">
        <f t="shared" ref="C66:C97" si="24">CONCATENATE(D66,"_mRNA")</f>
        <v>E2_3_1_117_mRNA</v>
      </c>
      <c r="D66" t="str">
        <f t="shared" ref="D66:D97" si="25">CONCATENATE("E",B66)</f>
        <v>E2_3_1_117</v>
      </c>
      <c r="E66" s="36" t="str">
        <f t="shared" ref="E66:E97" si="26">CONCATENATE("E",B66,"_kcat : 13.7")</f>
        <v>E2_3_1_117_kcat : 13.7</v>
      </c>
      <c r="F66" s="38" t="str">
        <f t="shared" ref="F66:F97" si="27">CONCATENATE("E",B66,"_km : 1")</f>
        <v>E2_3_1_117_km : 1</v>
      </c>
      <c r="G66" s="31" t="str">
        <f t="shared" ref="G66:G97" si="28">CONCATENATE(C66," : ",C66)</f>
        <v>E2_3_1_117_mRNA : E2_3_1_117_mRNA</v>
      </c>
      <c r="H66" s="32" t="str">
        <f t="shared" ref="H66:H97" si="29">CONCATENATE(D66," : ",D66)</f>
        <v>E2_3_1_117 : E2_3_1_117</v>
      </c>
      <c r="I66" s="33" t="str">
        <f t="shared" ref="I66:I97" si="30">CONCATENATE(C66," : ","0")</f>
        <v>E2_3_1_117_mRNA : 0</v>
      </c>
      <c r="J66" s="16" t="str">
        <f t="shared" ref="J66:J97" si="31">CONCATENATE(D66," : ","0")</f>
        <v>E2_3_1_117 : 0</v>
      </c>
      <c r="K66" s="34" t="str">
        <f t="shared" ref="K66:K97" si="32">CONCATENATE("0.00292 - (0.0093 * ",C66,")")</f>
        <v>0.00292 - (0.0093 * E2_3_1_117_mRNA)</v>
      </c>
      <c r="L66" s="31" t="str">
        <f t="shared" ref="L66:L97" si="33">CONCATENATE("(0.278 * ",C66,")"," - (0.00000278 * ",D66,")")</f>
        <v>(0.278 * E2_3_1_117_mRNA) - (0.00000278 * E2_3_1_117)</v>
      </c>
      <c r="M66" s="35" t="str">
        <f t="shared" ref="M66:M97" si="34">CONCATENATE("mRNA",A66,": -&gt; ",C66," | ","0.00292"," - ","(","0.0093"," * ",C66,")")</f>
        <v>mRNA65: -&gt; E2_3_1_117_mRNA | 0.00292 - (0.0093 * E2_3_1_117_mRNA)</v>
      </c>
      <c r="N66" s="36" t="str">
        <f t="shared" ref="N66:N97" si="35">CONCATENATE("Peptide",A66,": ",C66," -&gt; ",D66," | ","(","0.278"," * ",C66,")"," - ","(","0.000000278"," * ",D66,")")</f>
        <v>Peptide65: E2_3_1_117_mRNA -&gt; E2_3_1_117 | (0.278 * E2_3_1_117_mRNA) - (0.000000278 * E2_3_1_117)</v>
      </c>
    </row>
    <row r="67" spans="1:14" x14ac:dyDescent="0.35">
      <c r="A67">
        <v>66</v>
      </c>
      <c r="B67" s="59" t="s">
        <v>2339</v>
      </c>
      <c r="C67" t="str">
        <f t="shared" si="24"/>
        <v>E2_3_1_234_mRNA</v>
      </c>
      <c r="D67" t="str">
        <f t="shared" si="25"/>
        <v>E2_3_1_234</v>
      </c>
      <c r="E67" s="36" t="str">
        <f t="shared" si="26"/>
        <v>E2_3_1_234_kcat : 13.7</v>
      </c>
      <c r="F67" s="38" t="str">
        <f t="shared" si="27"/>
        <v>E2_3_1_234_km : 1</v>
      </c>
      <c r="G67" s="31" t="str">
        <f t="shared" si="28"/>
        <v>E2_3_1_234_mRNA : E2_3_1_234_mRNA</v>
      </c>
      <c r="H67" s="32" t="str">
        <f t="shared" si="29"/>
        <v>E2_3_1_234 : E2_3_1_234</v>
      </c>
      <c r="I67" s="33" t="str">
        <f t="shared" si="30"/>
        <v>E2_3_1_234_mRNA : 0</v>
      </c>
      <c r="J67" s="16" t="str">
        <f t="shared" si="31"/>
        <v>E2_3_1_234 : 0</v>
      </c>
      <c r="K67" s="34" t="str">
        <f t="shared" si="32"/>
        <v>0.00292 - (0.0093 * E2_3_1_234_mRNA)</v>
      </c>
      <c r="L67" s="31" t="str">
        <f t="shared" si="33"/>
        <v>(0.278 * E2_3_1_234_mRNA) - (0.00000278 * E2_3_1_234)</v>
      </c>
      <c r="M67" s="35" t="str">
        <f t="shared" si="34"/>
        <v>mRNA66: -&gt; E2_3_1_234_mRNA | 0.00292 - (0.0093 * E2_3_1_234_mRNA)</v>
      </c>
      <c r="N67" s="36" t="str">
        <f t="shared" si="35"/>
        <v>Peptide66: E2_3_1_234_mRNA -&gt; E2_3_1_234 | (0.278 * E2_3_1_234_mRNA) - (0.000000278 * E2_3_1_234)</v>
      </c>
    </row>
    <row r="68" spans="1:14" x14ac:dyDescent="0.35">
      <c r="A68">
        <v>67</v>
      </c>
      <c r="B68" s="59" t="s">
        <v>2212</v>
      </c>
      <c r="C68" t="str">
        <f t="shared" si="24"/>
        <v>E2_3_1_266_mRNA</v>
      </c>
      <c r="D68" t="str">
        <f t="shared" si="25"/>
        <v>E2_3_1_266</v>
      </c>
      <c r="E68" s="36" t="str">
        <f t="shared" si="26"/>
        <v>E2_3_1_266_kcat : 13.7</v>
      </c>
      <c r="F68" s="38" t="str">
        <f t="shared" si="27"/>
        <v>E2_3_1_266_km : 1</v>
      </c>
      <c r="G68" s="31" t="str">
        <f t="shared" si="28"/>
        <v>E2_3_1_266_mRNA : E2_3_1_266_mRNA</v>
      </c>
      <c r="H68" s="32" t="str">
        <f t="shared" si="29"/>
        <v>E2_3_1_266 : E2_3_1_266</v>
      </c>
      <c r="I68" s="33" t="str">
        <f t="shared" si="30"/>
        <v>E2_3_1_266_mRNA : 0</v>
      </c>
      <c r="J68" s="16" t="str">
        <f t="shared" si="31"/>
        <v>E2_3_1_266 : 0</v>
      </c>
      <c r="K68" s="34" t="str">
        <f t="shared" si="32"/>
        <v>0.00292 - (0.0093 * E2_3_1_266_mRNA)</v>
      </c>
      <c r="L68" s="31" t="str">
        <f t="shared" si="33"/>
        <v>(0.278 * E2_3_1_266_mRNA) - (0.00000278 * E2_3_1_266)</v>
      </c>
      <c r="M68" s="35" t="str">
        <f t="shared" si="34"/>
        <v>mRNA67: -&gt; E2_3_1_266_mRNA | 0.00292 - (0.0093 * E2_3_1_266_mRNA)</v>
      </c>
      <c r="N68" s="36" t="str">
        <f t="shared" si="35"/>
        <v>Peptide67: E2_3_1_266_mRNA -&gt; E2_3_1_266 | (0.278 * E2_3_1_266_mRNA) - (0.000000278 * E2_3_1_266)</v>
      </c>
    </row>
    <row r="69" spans="1:14" x14ac:dyDescent="0.35">
      <c r="A69">
        <v>68</v>
      </c>
      <c r="B69" s="59" t="s">
        <v>2189</v>
      </c>
      <c r="C69" t="str">
        <f t="shared" si="24"/>
        <v>E2_3_1_286_mRNA</v>
      </c>
      <c r="D69" t="str">
        <f t="shared" si="25"/>
        <v>E2_3_1_286</v>
      </c>
      <c r="E69" s="36" t="str">
        <f t="shared" si="26"/>
        <v>E2_3_1_286_kcat : 13.7</v>
      </c>
      <c r="F69" s="38" t="str">
        <f t="shared" si="27"/>
        <v>E2_3_1_286_km : 1</v>
      </c>
      <c r="G69" s="31" t="str">
        <f t="shared" si="28"/>
        <v>E2_3_1_286_mRNA : E2_3_1_286_mRNA</v>
      </c>
      <c r="H69" s="32" t="str">
        <f t="shared" si="29"/>
        <v>E2_3_1_286 : E2_3_1_286</v>
      </c>
      <c r="I69" s="33" t="str">
        <f t="shared" si="30"/>
        <v>E2_3_1_286_mRNA : 0</v>
      </c>
      <c r="J69" s="16" t="str">
        <f t="shared" si="31"/>
        <v>E2_3_1_286 : 0</v>
      </c>
      <c r="K69" s="34" t="str">
        <f t="shared" si="32"/>
        <v>0.00292 - (0.0093 * E2_3_1_286_mRNA)</v>
      </c>
      <c r="L69" s="31" t="str">
        <f t="shared" si="33"/>
        <v>(0.278 * E2_3_1_286_mRNA) - (0.00000278 * E2_3_1_286)</v>
      </c>
      <c r="M69" s="35" t="str">
        <f t="shared" si="34"/>
        <v>mRNA68: -&gt; E2_3_1_286_mRNA | 0.00292 - (0.0093 * E2_3_1_286_mRNA)</v>
      </c>
      <c r="N69" s="36" t="str">
        <f t="shared" si="35"/>
        <v>Peptide68: E2_3_1_286_mRNA -&gt; E2_3_1_286 | (0.278 * E2_3_1_286_mRNA) - (0.000000278 * E2_3_1_286)</v>
      </c>
    </row>
    <row r="70" spans="1:14" x14ac:dyDescent="0.35">
      <c r="A70">
        <v>69</v>
      </c>
      <c r="B70" s="59" t="s">
        <v>10823</v>
      </c>
      <c r="C70" t="str">
        <f t="shared" si="24"/>
        <v>E2_3_1_35_mRNA</v>
      </c>
      <c r="D70" t="str">
        <f t="shared" si="25"/>
        <v>E2_3_1_35</v>
      </c>
      <c r="E70" s="36" t="str">
        <f t="shared" si="26"/>
        <v>E2_3_1_35_kcat : 13.7</v>
      </c>
      <c r="F70" s="38" t="str">
        <f t="shared" si="27"/>
        <v>E2_3_1_35_km : 1</v>
      </c>
      <c r="G70" s="31" t="str">
        <f t="shared" si="28"/>
        <v>E2_3_1_35_mRNA : E2_3_1_35_mRNA</v>
      </c>
      <c r="H70" s="32" t="str">
        <f t="shared" si="29"/>
        <v>E2_3_1_35 : E2_3_1_35</v>
      </c>
      <c r="I70" s="33" t="str">
        <f t="shared" si="30"/>
        <v>E2_3_1_35_mRNA : 0</v>
      </c>
      <c r="J70" s="16" t="str">
        <f t="shared" si="31"/>
        <v>E2_3_1_35 : 0</v>
      </c>
      <c r="K70" s="34" t="str">
        <f t="shared" si="32"/>
        <v>0.00292 - (0.0093 * E2_3_1_35_mRNA)</v>
      </c>
      <c r="L70" s="31" t="str">
        <f t="shared" si="33"/>
        <v>(0.278 * E2_3_1_35_mRNA) - (0.00000278 * E2_3_1_35)</v>
      </c>
      <c r="M70" s="35" t="str">
        <f t="shared" si="34"/>
        <v>mRNA69: -&gt; E2_3_1_35_mRNA | 0.00292 - (0.0093 * E2_3_1_35_mRNA)</v>
      </c>
      <c r="N70" s="36" t="str">
        <f t="shared" si="35"/>
        <v>Peptide69: E2_3_1_35_mRNA -&gt; E2_3_1_35 | (0.278 * E2_3_1_35_mRNA) - (0.000000278 * E2_3_1_35)</v>
      </c>
    </row>
    <row r="71" spans="1:14" x14ac:dyDescent="0.35">
      <c r="A71">
        <v>70</v>
      </c>
      <c r="B71" s="59" t="s">
        <v>10824</v>
      </c>
      <c r="C71" t="str">
        <f t="shared" si="24"/>
        <v>E2_3_1_46_mRNA</v>
      </c>
      <c r="D71" t="str">
        <f t="shared" si="25"/>
        <v>E2_3_1_46</v>
      </c>
      <c r="E71" s="36" t="str">
        <f t="shared" si="26"/>
        <v>E2_3_1_46_kcat : 13.7</v>
      </c>
      <c r="F71" s="38" t="str">
        <f t="shared" si="27"/>
        <v>E2_3_1_46_km : 1</v>
      </c>
      <c r="G71" s="31" t="str">
        <f t="shared" si="28"/>
        <v>E2_3_1_46_mRNA : E2_3_1_46_mRNA</v>
      </c>
      <c r="H71" s="32" t="str">
        <f t="shared" si="29"/>
        <v>E2_3_1_46 : E2_3_1_46</v>
      </c>
      <c r="I71" s="33" t="str">
        <f t="shared" si="30"/>
        <v>E2_3_1_46_mRNA : 0</v>
      </c>
      <c r="J71" s="16" t="str">
        <f t="shared" si="31"/>
        <v>E2_3_1_46 : 0</v>
      </c>
      <c r="K71" s="34" t="str">
        <f t="shared" si="32"/>
        <v>0.00292 - (0.0093 * E2_3_1_46_mRNA)</v>
      </c>
      <c r="L71" s="31" t="str">
        <f t="shared" si="33"/>
        <v>(0.278 * E2_3_1_46_mRNA) - (0.00000278 * E2_3_1_46)</v>
      </c>
      <c r="M71" s="35" t="str">
        <f t="shared" si="34"/>
        <v>mRNA70: -&gt; E2_3_1_46_mRNA | 0.00292 - (0.0093 * E2_3_1_46_mRNA)</v>
      </c>
      <c r="N71" s="36" t="str">
        <f t="shared" si="35"/>
        <v>Peptide70: E2_3_1_46_mRNA -&gt; E2_3_1_46 | (0.278 * E2_3_1_46_mRNA) - (0.000000278 * E2_3_1_46)</v>
      </c>
    </row>
    <row r="72" spans="1:14" x14ac:dyDescent="0.35">
      <c r="A72">
        <v>71</v>
      </c>
      <c r="B72" s="59" t="s">
        <v>10825</v>
      </c>
      <c r="C72" t="str">
        <f t="shared" si="24"/>
        <v>E2_3_1_54_mRNA</v>
      </c>
      <c r="D72" t="str">
        <f t="shared" si="25"/>
        <v>E2_3_1_54</v>
      </c>
      <c r="E72" s="36" t="str">
        <f t="shared" si="26"/>
        <v>E2_3_1_54_kcat : 13.7</v>
      </c>
      <c r="F72" s="38" t="str">
        <f t="shared" si="27"/>
        <v>E2_3_1_54_km : 1</v>
      </c>
      <c r="G72" s="31" t="str">
        <f t="shared" si="28"/>
        <v>E2_3_1_54_mRNA : E2_3_1_54_mRNA</v>
      </c>
      <c r="H72" s="32" t="str">
        <f t="shared" si="29"/>
        <v>E2_3_1_54 : E2_3_1_54</v>
      </c>
      <c r="I72" s="33" t="str">
        <f t="shared" si="30"/>
        <v>E2_3_1_54_mRNA : 0</v>
      </c>
      <c r="J72" s="16" t="str">
        <f t="shared" si="31"/>
        <v>E2_3_1_54 : 0</v>
      </c>
      <c r="K72" s="34" t="str">
        <f t="shared" si="32"/>
        <v>0.00292 - (0.0093 * E2_3_1_54_mRNA)</v>
      </c>
      <c r="L72" s="31" t="str">
        <f t="shared" si="33"/>
        <v>(0.278 * E2_3_1_54_mRNA) - (0.00000278 * E2_3_1_54)</v>
      </c>
      <c r="M72" s="35" t="str">
        <f t="shared" si="34"/>
        <v>mRNA71: -&gt; E2_3_1_54_mRNA | 0.00292 - (0.0093 * E2_3_1_54_mRNA)</v>
      </c>
      <c r="N72" s="36" t="str">
        <f t="shared" si="35"/>
        <v>Peptide71: E2_3_1_54_mRNA -&gt; E2_3_1_54 | (0.278 * E2_3_1_54_mRNA) - (0.000000278 * E2_3_1_54)</v>
      </c>
    </row>
    <row r="73" spans="1:14" x14ac:dyDescent="0.35">
      <c r="A73">
        <v>72</v>
      </c>
      <c r="B73" s="59" t="s">
        <v>2210</v>
      </c>
      <c r="C73" t="str">
        <f t="shared" si="24"/>
        <v>E2_3_1_8_mRNA</v>
      </c>
      <c r="D73" t="str">
        <f t="shared" si="25"/>
        <v>E2_3_1_8</v>
      </c>
      <c r="E73" s="36" t="str">
        <f t="shared" si="26"/>
        <v>E2_3_1_8_kcat : 13.7</v>
      </c>
      <c r="F73" s="38" t="str">
        <f t="shared" si="27"/>
        <v>E2_3_1_8_km : 1</v>
      </c>
      <c r="G73" s="31" t="str">
        <f t="shared" si="28"/>
        <v>E2_3_1_8_mRNA : E2_3_1_8_mRNA</v>
      </c>
      <c r="H73" s="32" t="str">
        <f t="shared" si="29"/>
        <v>E2_3_1_8 : E2_3_1_8</v>
      </c>
      <c r="I73" s="33" t="str">
        <f t="shared" si="30"/>
        <v>E2_3_1_8_mRNA : 0</v>
      </c>
      <c r="J73" s="16" t="str">
        <f t="shared" si="31"/>
        <v>E2_3_1_8 : 0</v>
      </c>
      <c r="K73" s="34" t="str">
        <f t="shared" si="32"/>
        <v>0.00292 - (0.0093 * E2_3_1_8_mRNA)</v>
      </c>
      <c r="L73" s="31" t="str">
        <f t="shared" si="33"/>
        <v>(0.278 * E2_3_1_8_mRNA) - (0.00000278 * E2_3_1_8)</v>
      </c>
      <c r="M73" s="35" t="str">
        <f t="shared" si="34"/>
        <v>mRNA72: -&gt; E2_3_1_8_mRNA | 0.00292 - (0.0093 * E2_3_1_8_mRNA)</v>
      </c>
      <c r="N73" s="36" t="str">
        <f t="shared" si="35"/>
        <v>Peptide72: E2_3_1_8_mRNA -&gt; E2_3_1_8 | (0.278 * E2_3_1_8_mRNA) - (0.000000278 * E2_3_1_8)</v>
      </c>
    </row>
    <row r="74" spans="1:14" x14ac:dyDescent="0.35">
      <c r="A74">
        <v>73</v>
      </c>
      <c r="B74" s="59" t="s">
        <v>10826</v>
      </c>
      <c r="C74" t="str">
        <f t="shared" si="24"/>
        <v>E2_3_3_13_mRNA</v>
      </c>
      <c r="D74" t="str">
        <f t="shared" si="25"/>
        <v>E2_3_3_13</v>
      </c>
      <c r="E74" s="36" t="str">
        <f t="shared" si="26"/>
        <v>E2_3_3_13_kcat : 13.7</v>
      </c>
      <c r="F74" s="38" t="str">
        <f t="shared" si="27"/>
        <v>E2_3_3_13_km : 1</v>
      </c>
      <c r="G74" s="31" t="str">
        <f t="shared" si="28"/>
        <v>E2_3_3_13_mRNA : E2_3_3_13_mRNA</v>
      </c>
      <c r="H74" s="32" t="str">
        <f t="shared" si="29"/>
        <v>E2_3_3_13 : E2_3_3_13</v>
      </c>
      <c r="I74" s="33" t="str">
        <f t="shared" si="30"/>
        <v>E2_3_3_13_mRNA : 0</v>
      </c>
      <c r="J74" s="16" t="str">
        <f t="shared" si="31"/>
        <v>E2_3_3_13 : 0</v>
      </c>
      <c r="K74" s="34" t="str">
        <f t="shared" si="32"/>
        <v>0.00292 - (0.0093 * E2_3_3_13_mRNA)</v>
      </c>
      <c r="L74" s="31" t="str">
        <f t="shared" si="33"/>
        <v>(0.278 * E2_3_3_13_mRNA) - (0.00000278 * E2_3_3_13)</v>
      </c>
      <c r="M74" s="35" t="str">
        <f t="shared" si="34"/>
        <v>mRNA73: -&gt; E2_3_3_13_mRNA | 0.00292 - (0.0093 * E2_3_3_13_mRNA)</v>
      </c>
      <c r="N74" s="36" t="str">
        <f t="shared" si="35"/>
        <v>Peptide73: E2_3_3_13_mRNA -&gt; E2_3_3_13 | (0.278 * E2_3_3_13_mRNA) - (0.000000278 * E2_3_3_13)</v>
      </c>
    </row>
    <row r="75" spans="1:14" x14ac:dyDescent="0.35">
      <c r="A75">
        <v>74</v>
      </c>
      <c r="B75" s="59" t="s">
        <v>10827</v>
      </c>
      <c r="C75" t="str">
        <f t="shared" si="24"/>
        <v>E2_3_3_16_mRNA</v>
      </c>
      <c r="D75" t="str">
        <f t="shared" si="25"/>
        <v>E2_3_3_16</v>
      </c>
      <c r="E75" s="36" t="str">
        <f t="shared" si="26"/>
        <v>E2_3_3_16_kcat : 13.7</v>
      </c>
      <c r="F75" s="38" t="str">
        <f t="shared" si="27"/>
        <v>E2_3_3_16_km : 1</v>
      </c>
      <c r="G75" s="31" t="str">
        <f t="shared" si="28"/>
        <v>E2_3_3_16_mRNA : E2_3_3_16_mRNA</v>
      </c>
      <c r="H75" s="32" t="str">
        <f t="shared" si="29"/>
        <v>E2_3_3_16 : E2_3_3_16</v>
      </c>
      <c r="I75" s="33" t="str">
        <f t="shared" si="30"/>
        <v>E2_3_3_16_mRNA : 0</v>
      </c>
      <c r="J75" s="16" t="str">
        <f t="shared" si="31"/>
        <v>E2_3_3_16 : 0</v>
      </c>
      <c r="K75" s="34" t="str">
        <f t="shared" si="32"/>
        <v>0.00292 - (0.0093 * E2_3_3_16_mRNA)</v>
      </c>
      <c r="L75" s="31" t="str">
        <f t="shared" si="33"/>
        <v>(0.278 * E2_3_3_16_mRNA) - (0.00000278 * E2_3_3_16)</v>
      </c>
      <c r="M75" s="35" t="str">
        <f t="shared" si="34"/>
        <v>mRNA74: -&gt; E2_3_3_16_mRNA | 0.00292 - (0.0093 * E2_3_3_16_mRNA)</v>
      </c>
      <c r="N75" s="36" t="str">
        <f t="shared" si="35"/>
        <v>Peptide74: E2_3_3_16_mRNA -&gt; E2_3_3_16 | (0.278 * E2_3_3_16_mRNA) - (0.000000278 * E2_3_3_16)</v>
      </c>
    </row>
    <row r="76" spans="1:14" x14ac:dyDescent="0.35">
      <c r="A76">
        <v>75</v>
      </c>
      <c r="B76" s="59" t="s">
        <v>2286</v>
      </c>
      <c r="C76" t="str">
        <f t="shared" si="24"/>
        <v>E2_4_1_1_mRNA</v>
      </c>
      <c r="D76" t="str">
        <f t="shared" si="25"/>
        <v>E2_4_1_1</v>
      </c>
      <c r="E76" s="36" t="str">
        <f t="shared" si="26"/>
        <v>E2_4_1_1_kcat : 13.7</v>
      </c>
      <c r="F76" s="38" t="str">
        <f t="shared" si="27"/>
        <v>E2_4_1_1_km : 1</v>
      </c>
      <c r="G76" s="31" t="str">
        <f t="shared" si="28"/>
        <v>E2_4_1_1_mRNA : E2_4_1_1_mRNA</v>
      </c>
      <c r="H76" s="32" t="str">
        <f t="shared" si="29"/>
        <v>E2_4_1_1 : E2_4_1_1</v>
      </c>
      <c r="I76" s="33" t="str">
        <f t="shared" si="30"/>
        <v>E2_4_1_1_mRNA : 0</v>
      </c>
      <c r="J76" s="16" t="str">
        <f t="shared" si="31"/>
        <v>E2_4_1_1 : 0</v>
      </c>
      <c r="K76" s="34" t="str">
        <f t="shared" si="32"/>
        <v>0.00292 - (0.0093 * E2_4_1_1_mRNA)</v>
      </c>
      <c r="L76" s="31" t="str">
        <f t="shared" si="33"/>
        <v>(0.278 * E2_4_1_1_mRNA) - (0.00000278 * E2_4_1_1)</v>
      </c>
      <c r="M76" s="35" t="str">
        <f t="shared" si="34"/>
        <v>mRNA75: -&gt; E2_4_1_1_mRNA | 0.00292 - (0.0093 * E2_4_1_1_mRNA)</v>
      </c>
      <c r="N76" s="36" t="str">
        <f t="shared" si="35"/>
        <v>Peptide75: E2_4_1_1_mRNA -&gt; E2_4_1_1 | (0.278 * E2_4_1_1_mRNA) - (0.000000278 * E2_4_1_1)</v>
      </c>
    </row>
    <row r="77" spans="1:14" x14ac:dyDescent="0.35">
      <c r="A77">
        <v>76</v>
      </c>
      <c r="B77" s="59" t="s">
        <v>10828</v>
      </c>
      <c r="C77" t="str">
        <f t="shared" si="24"/>
        <v>E2_4_1_18_mRNA</v>
      </c>
      <c r="D77" t="str">
        <f t="shared" si="25"/>
        <v>E2_4_1_18</v>
      </c>
      <c r="E77" s="36" t="str">
        <f t="shared" si="26"/>
        <v>E2_4_1_18_kcat : 13.7</v>
      </c>
      <c r="F77" s="38" t="str">
        <f t="shared" si="27"/>
        <v>E2_4_1_18_km : 1</v>
      </c>
      <c r="G77" s="31" t="str">
        <f t="shared" si="28"/>
        <v>E2_4_1_18_mRNA : E2_4_1_18_mRNA</v>
      </c>
      <c r="H77" s="32" t="str">
        <f t="shared" si="29"/>
        <v>E2_4_1_18 : E2_4_1_18</v>
      </c>
      <c r="I77" s="33" t="str">
        <f t="shared" si="30"/>
        <v>E2_4_1_18_mRNA : 0</v>
      </c>
      <c r="J77" s="16" t="str">
        <f t="shared" si="31"/>
        <v>E2_4_1_18 : 0</v>
      </c>
      <c r="K77" s="34" t="str">
        <f t="shared" si="32"/>
        <v>0.00292 - (0.0093 * E2_4_1_18_mRNA)</v>
      </c>
      <c r="L77" s="31" t="str">
        <f t="shared" si="33"/>
        <v>(0.278 * E2_4_1_18_mRNA) - (0.00000278 * E2_4_1_18)</v>
      </c>
      <c r="M77" s="35" t="str">
        <f t="shared" si="34"/>
        <v>mRNA76: -&gt; E2_4_1_18_mRNA | 0.00292 - (0.0093 * E2_4_1_18_mRNA)</v>
      </c>
      <c r="N77" s="36" t="str">
        <f t="shared" si="35"/>
        <v>Peptide76: E2_4_1_18_mRNA -&gt; E2_4_1_18 | (0.278 * E2_4_1_18_mRNA) - (0.000000278 * E2_4_1_18)</v>
      </c>
    </row>
    <row r="78" spans="1:14" x14ac:dyDescent="0.35">
      <c r="A78">
        <v>77</v>
      </c>
      <c r="B78" s="59" t="s">
        <v>2289</v>
      </c>
      <c r="C78" t="str">
        <f t="shared" si="24"/>
        <v>E2_4_1_21_mRNA</v>
      </c>
      <c r="D78" t="str">
        <f t="shared" si="25"/>
        <v>E2_4_1_21</v>
      </c>
      <c r="E78" s="36" t="str">
        <f t="shared" si="26"/>
        <v>E2_4_1_21_kcat : 13.7</v>
      </c>
      <c r="F78" s="38" t="str">
        <f t="shared" si="27"/>
        <v>E2_4_1_21_km : 1</v>
      </c>
      <c r="G78" s="31" t="str">
        <f t="shared" si="28"/>
        <v>E2_4_1_21_mRNA : E2_4_1_21_mRNA</v>
      </c>
      <c r="H78" s="32" t="str">
        <f t="shared" si="29"/>
        <v>E2_4_1_21 : E2_4_1_21</v>
      </c>
      <c r="I78" s="33" t="str">
        <f t="shared" si="30"/>
        <v>E2_4_1_21_mRNA : 0</v>
      </c>
      <c r="J78" s="16" t="str">
        <f t="shared" si="31"/>
        <v>E2_4_1_21 : 0</v>
      </c>
      <c r="K78" s="34" t="str">
        <f t="shared" si="32"/>
        <v>0.00292 - (0.0093 * E2_4_1_21_mRNA)</v>
      </c>
      <c r="L78" s="31" t="str">
        <f t="shared" si="33"/>
        <v>(0.278 * E2_4_1_21_mRNA) - (0.00000278 * E2_4_1_21)</v>
      </c>
      <c r="M78" s="35" t="str">
        <f t="shared" si="34"/>
        <v>mRNA77: -&gt; E2_4_1_21_mRNA | 0.00292 - (0.0093 * E2_4_1_21_mRNA)</v>
      </c>
      <c r="N78" s="36" t="str">
        <f t="shared" si="35"/>
        <v>Peptide77: E2_4_1_21_mRNA -&gt; E2_4_1_21 | (0.278 * E2_4_1_21_mRNA) - (0.000000278 * E2_4_1_21)</v>
      </c>
    </row>
    <row r="79" spans="1:14" x14ac:dyDescent="0.35">
      <c r="A79">
        <v>78</v>
      </c>
      <c r="B79" s="59" t="s">
        <v>10829</v>
      </c>
      <c r="C79" t="str">
        <f t="shared" si="24"/>
        <v>E2_4_1_211_mRNA</v>
      </c>
      <c r="D79" t="str">
        <f t="shared" si="25"/>
        <v>E2_4_1_211</v>
      </c>
      <c r="E79" s="36" t="str">
        <f t="shared" si="26"/>
        <v>E2_4_1_211_kcat : 13.7</v>
      </c>
      <c r="F79" s="38" t="str">
        <f t="shared" si="27"/>
        <v>E2_4_1_211_km : 1</v>
      </c>
      <c r="G79" s="31" t="str">
        <f t="shared" si="28"/>
        <v>E2_4_1_211_mRNA : E2_4_1_211_mRNA</v>
      </c>
      <c r="H79" s="32" t="str">
        <f t="shared" si="29"/>
        <v>E2_4_1_211 : E2_4_1_211</v>
      </c>
      <c r="I79" s="33" t="str">
        <f t="shared" si="30"/>
        <v>E2_4_1_211_mRNA : 0</v>
      </c>
      <c r="J79" s="16" t="str">
        <f t="shared" si="31"/>
        <v>E2_4_1_211 : 0</v>
      </c>
      <c r="K79" s="34" t="str">
        <f t="shared" si="32"/>
        <v>0.00292 - (0.0093 * E2_4_1_211_mRNA)</v>
      </c>
      <c r="L79" s="31" t="str">
        <f t="shared" si="33"/>
        <v>(0.278 * E2_4_1_211_mRNA) - (0.00000278 * E2_4_1_211)</v>
      </c>
      <c r="M79" s="35" t="str">
        <f t="shared" si="34"/>
        <v>mRNA78: -&gt; E2_4_1_211_mRNA | 0.00292 - (0.0093 * E2_4_1_211_mRNA)</v>
      </c>
      <c r="N79" s="36" t="str">
        <f t="shared" si="35"/>
        <v>Peptide78: E2_4_1_211_mRNA -&gt; E2_4_1_211 | (0.278 * E2_4_1_211_mRNA) - (0.000000278 * E2_4_1_211)</v>
      </c>
    </row>
    <row r="80" spans="1:14" x14ac:dyDescent="0.35">
      <c r="A80">
        <v>79</v>
      </c>
      <c r="B80" s="59" t="s">
        <v>2331</v>
      </c>
      <c r="C80" t="str">
        <f t="shared" si="24"/>
        <v>E2_4_1_227_mRNA</v>
      </c>
      <c r="D80" t="str">
        <f t="shared" si="25"/>
        <v>E2_4_1_227</v>
      </c>
      <c r="E80" s="36" t="str">
        <f t="shared" si="26"/>
        <v>E2_4_1_227_kcat : 13.7</v>
      </c>
      <c r="F80" s="38" t="str">
        <f t="shared" si="27"/>
        <v>E2_4_1_227_km : 1</v>
      </c>
      <c r="G80" s="31" t="str">
        <f t="shared" si="28"/>
        <v>E2_4_1_227_mRNA : E2_4_1_227_mRNA</v>
      </c>
      <c r="H80" s="32" t="str">
        <f t="shared" si="29"/>
        <v>E2_4_1_227 : E2_4_1_227</v>
      </c>
      <c r="I80" s="33" t="str">
        <f t="shared" si="30"/>
        <v>E2_4_1_227_mRNA : 0</v>
      </c>
      <c r="J80" s="16" t="str">
        <f t="shared" si="31"/>
        <v>E2_4_1_227 : 0</v>
      </c>
      <c r="K80" s="34" t="str">
        <f t="shared" si="32"/>
        <v>0.00292 - (0.0093 * E2_4_1_227_mRNA)</v>
      </c>
      <c r="L80" s="31" t="str">
        <f t="shared" si="33"/>
        <v>(0.278 * E2_4_1_227_mRNA) - (0.00000278 * E2_4_1_227)</v>
      </c>
      <c r="M80" s="35" t="str">
        <f t="shared" si="34"/>
        <v>mRNA79: -&gt; E2_4_1_227_mRNA | 0.00292 - (0.0093 * E2_4_1_227_mRNA)</v>
      </c>
      <c r="N80" s="36" t="str">
        <f t="shared" si="35"/>
        <v>Peptide79: E2_4_1_227_mRNA -&gt; E2_4_1_227 | (0.278 * E2_4_1_227_mRNA) - (0.000000278 * E2_4_1_227)</v>
      </c>
    </row>
    <row r="81" spans="1:14" x14ac:dyDescent="0.35">
      <c r="A81">
        <v>80</v>
      </c>
      <c r="B81" s="59" t="s">
        <v>10830</v>
      </c>
      <c r="C81" t="str">
        <f t="shared" si="24"/>
        <v>E2_4_1_25_mRNA</v>
      </c>
      <c r="D81" t="str">
        <f t="shared" si="25"/>
        <v>E2_4_1_25</v>
      </c>
      <c r="E81" s="36" t="str">
        <f t="shared" si="26"/>
        <v>E2_4_1_25_kcat : 13.7</v>
      </c>
      <c r="F81" s="38" t="str">
        <f t="shared" si="27"/>
        <v>E2_4_1_25_km : 1</v>
      </c>
      <c r="G81" s="31" t="str">
        <f t="shared" si="28"/>
        <v>E2_4_1_25_mRNA : E2_4_1_25_mRNA</v>
      </c>
      <c r="H81" s="32" t="str">
        <f t="shared" si="29"/>
        <v>E2_4_1_25 : E2_4_1_25</v>
      </c>
      <c r="I81" s="33" t="str">
        <f t="shared" si="30"/>
        <v>E2_4_1_25_mRNA : 0</v>
      </c>
      <c r="J81" s="16" t="str">
        <f t="shared" si="31"/>
        <v>E2_4_1_25 : 0</v>
      </c>
      <c r="K81" s="34" t="str">
        <f t="shared" si="32"/>
        <v>0.00292 - (0.0093 * E2_4_1_25_mRNA)</v>
      </c>
      <c r="L81" s="31" t="str">
        <f t="shared" si="33"/>
        <v>(0.278 * E2_4_1_25_mRNA) - (0.00000278 * E2_4_1_25)</v>
      </c>
      <c r="M81" s="35" t="str">
        <f t="shared" si="34"/>
        <v>mRNA80: -&gt; E2_4_1_25_mRNA | 0.00292 - (0.0093 * E2_4_1_25_mRNA)</v>
      </c>
      <c r="N81" s="36" t="str">
        <f t="shared" si="35"/>
        <v>Peptide80: E2_4_1_25_mRNA -&gt; E2_4_1_25 | (0.278 * E2_4_1_25_mRNA) - (0.000000278 * E2_4_1_25)</v>
      </c>
    </row>
    <row r="82" spans="1:14" x14ac:dyDescent="0.35">
      <c r="A82">
        <v>81</v>
      </c>
      <c r="B82" s="59" t="s">
        <v>2238</v>
      </c>
      <c r="C82" t="str">
        <f t="shared" si="24"/>
        <v>E2_4_1_7_mRNA</v>
      </c>
      <c r="D82" t="str">
        <f t="shared" si="25"/>
        <v>E2_4_1_7</v>
      </c>
      <c r="E82" s="36" t="str">
        <f t="shared" si="26"/>
        <v>E2_4_1_7_kcat : 13.7</v>
      </c>
      <c r="F82" s="38" t="str">
        <f t="shared" si="27"/>
        <v>E2_4_1_7_km : 1</v>
      </c>
      <c r="G82" s="31" t="str">
        <f t="shared" si="28"/>
        <v>E2_4_1_7_mRNA : E2_4_1_7_mRNA</v>
      </c>
      <c r="H82" s="32" t="str">
        <f t="shared" si="29"/>
        <v>E2_4_1_7 : E2_4_1_7</v>
      </c>
      <c r="I82" s="33" t="str">
        <f t="shared" si="30"/>
        <v>E2_4_1_7_mRNA : 0</v>
      </c>
      <c r="J82" s="16" t="str">
        <f t="shared" si="31"/>
        <v>E2_4_1_7 : 0</v>
      </c>
      <c r="K82" s="34" t="str">
        <f t="shared" si="32"/>
        <v>0.00292 - (0.0093 * E2_4_1_7_mRNA)</v>
      </c>
      <c r="L82" s="31" t="str">
        <f t="shared" si="33"/>
        <v>(0.278 * E2_4_1_7_mRNA) - (0.00000278 * E2_4_1_7)</v>
      </c>
      <c r="M82" s="35" t="str">
        <f t="shared" si="34"/>
        <v>mRNA81: -&gt; E2_4_1_7_mRNA | 0.00292 - (0.0093 * E2_4_1_7_mRNA)</v>
      </c>
      <c r="N82" s="36" t="str">
        <f t="shared" si="35"/>
        <v>Peptide81: E2_4_1_7_mRNA -&gt; E2_4_1_7 | (0.278 * E2_4_1_7_mRNA) - (0.000000278 * E2_4_1_7)</v>
      </c>
    </row>
    <row r="83" spans="1:14" x14ac:dyDescent="0.35">
      <c r="A83">
        <v>82</v>
      </c>
      <c r="B83" s="59" t="s">
        <v>2304</v>
      </c>
      <c r="C83" t="str">
        <f t="shared" si="24"/>
        <v>E2_4_2_10_mRNA</v>
      </c>
      <c r="D83" t="str">
        <f t="shared" si="25"/>
        <v>E2_4_2_10</v>
      </c>
      <c r="E83" s="36" t="str">
        <f t="shared" si="26"/>
        <v>E2_4_2_10_kcat : 13.7</v>
      </c>
      <c r="F83" s="38" t="str">
        <f t="shared" si="27"/>
        <v>E2_4_2_10_km : 1</v>
      </c>
      <c r="G83" s="31" t="str">
        <f t="shared" si="28"/>
        <v>E2_4_2_10_mRNA : E2_4_2_10_mRNA</v>
      </c>
      <c r="H83" s="32" t="str">
        <f t="shared" si="29"/>
        <v>E2_4_2_10 : E2_4_2_10</v>
      </c>
      <c r="I83" s="33" t="str">
        <f t="shared" si="30"/>
        <v>E2_4_2_10_mRNA : 0</v>
      </c>
      <c r="J83" s="16" t="str">
        <f t="shared" si="31"/>
        <v>E2_4_2_10 : 0</v>
      </c>
      <c r="K83" s="34" t="str">
        <f t="shared" si="32"/>
        <v>0.00292 - (0.0093 * E2_4_2_10_mRNA)</v>
      </c>
      <c r="L83" s="31" t="str">
        <f t="shared" si="33"/>
        <v>(0.278 * E2_4_2_10_mRNA) - (0.00000278 * E2_4_2_10)</v>
      </c>
      <c r="M83" s="35" t="str">
        <f t="shared" si="34"/>
        <v>mRNA82: -&gt; E2_4_2_10_mRNA | 0.00292 - (0.0093 * E2_4_2_10_mRNA)</v>
      </c>
      <c r="N83" s="36" t="str">
        <f t="shared" si="35"/>
        <v>Peptide82: E2_4_2_10_mRNA -&gt; E2_4_2_10 | (0.278 * E2_4_2_10_mRNA) - (0.000000278 * E2_4_2_10)</v>
      </c>
    </row>
    <row r="84" spans="1:14" x14ac:dyDescent="0.35">
      <c r="A84">
        <v>83</v>
      </c>
      <c r="B84" s="59" t="s">
        <v>2317</v>
      </c>
      <c r="C84" t="str">
        <f t="shared" si="24"/>
        <v>E2_4_2_14_mRNA</v>
      </c>
      <c r="D84" t="str">
        <f t="shared" si="25"/>
        <v>E2_4_2_14</v>
      </c>
      <c r="E84" s="36" t="str">
        <f t="shared" si="26"/>
        <v>E2_4_2_14_kcat : 13.7</v>
      </c>
      <c r="F84" s="38" t="str">
        <f t="shared" si="27"/>
        <v>E2_4_2_14_km : 1</v>
      </c>
      <c r="G84" s="31" t="str">
        <f t="shared" si="28"/>
        <v>E2_4_2_14_mRNA : E2_4_2_14_mRNA</v>
      </c>
      <c r="H84" s="32" t="str">
        <f t="shared" si="29"/>
        <v>E2_4_2_14 : E2_4_2_14</v>
      </c>
      <c r="I84" s="33" t="str">
        <f t="shared" si="30"/>
        <v>E2_4_2_14_mRNA : 0</v>
      </c>
      <c r="J84" s="16" t="str">
        <f t="shared" si="31"/>
        <v>E2_4_2_14 : 0</v>
      </c>
      <c r="K84" s="34" t="str">
        <f t="shared" si="32"/>
        <v>0.00292 - (0.0093 * E2_4_2_14_mRNA)</v>
      </c>
      <c r="L84" s="31" t="str">
        <f t="shared" si="33"/>
        <v>(0.278 * E2_4_2_14_mRNA) - (0.00000278 * E2_4_2_14)</v>
      </c>
      <c r="M84" s="35" t="str">
        <f t="shared" si="34"/>
        <v>mRNA83: -&gt; E2_4_2_14_mRNA | 0.00292 - (0.0093 * E2_4_2_14_mRNA)</v>
      </c>
      <c r="N84" s="36" t="str">
        <f t="shared" si="35"/>
        <v>Peptide83: E2_4_2_14_mRNA -&gt; E2_4_2_14 | (0.278 * E2_4_2_14_mRNA) - (0.000000278 * E2_4_2_14)</v>
      </c>
    </row>
    <row r="85" spans="1:14" x14ac:dyDescent="0.35">
      <c r="A85">
        <v>84</v>
      </c>
      <c r="B85" s="59" t="s">
        <v>10831</v>
      </c>
      <c r="C85" t="str">
        <f t="shared" si="24"/>
        <v>E2_4_2_17_mRNA</v>
      </c>
      <c r="D85" t="str">
        <f t="shared" si="25"/>
        <v>E2_4_2_17</v>
      </c>
      <c r="E85" s="36" t="str">
        <f t="shared" si="26"/>
        <v>E2_4_2_17_kcat : 13.7</v>
      </c>
      <c r="F85" s="38" t="str">
        <f t="shared" si="27"/>
        <v>E2_4_2_17_km : 1</v>
      </c>
      <c r="G85" s="31" t="str">
        <f t="shared" si="28"/>
        <v>E2_4_2_17_mRNA : E2_4_2_17_mRNA</v>
      </c>
      <c r="H85" s="32" t="str">
        <f t="shared" si="29"/>
        <v>E2_4_2_17 : E2_4_2_17</v>
      </c>
      <c r="I85" s="33" t="str">
        <f t="shared" si="30"/>
        <v>E2_4_2_17_mRNA : 0</v>
      </c>
      <c r="J85" s="16" t="str">
        <f t="shared" si="31"/>
        <v>E2_4_2_17 : 0</v>
      </c>
      <c r="K85" s="34" t="str">
        <f t="shared" si="32"/>
        <v>0.00292 - (0.0093 * E2_4_2_17_mRNA)</v>
      </c>
      <c r="L85" s="31" t="str">
        <f t="shared" si="33"/>
        <v>(0.278 * E2_4_2_17_mRNA) - (0.00000278 * E2_4_2_17)</v>
      </c>
      <c r="M85" s="35" t="str">
        <f t="shared" si="34"/>
        <v>mRNA84: -&gt; E2_4_2_17_mRNA | 0.00292 - (0.0093 * E2_4_2_17_mRNA)</v>
      </c>
      <c r="N85" s="36" t="str">
        <f t="shared" si="35"/>
        <v>Peptide84: E2_4_2_17_mRNA -&gt; E2_4_2_17 | (0.278 * E2_4_2_17_mRNA) - (0.000000278 * E2_4_2_17)</v>
      </c>
    </row>
    <row r="86" spans="1:14" x14ac:dyDescent="0.35">
      <c r="A86">
        <v>85</v>
      </c>
      <c r="B86" s="59" t="s">
        <v>10832</v>
      </c>
      <c r="C86" t="str">
        <f t="shared" si="24"/>
        <v>E2_4_2_18_mRNA</v>
      </c>
      <c r="D86" t="str">
        <f t="shared" si="25"/>
        <v>E2_4_2_18</v>
      </c>
      <c r="E86" s="36" t="str">
        <f t="shared" si="26"/>
        <v>E2_4_2_18_kcat : 13.7</v>
      </c>
      <c r="F86" s="38" t="str">
        <f t="shared" si="27"/>
        <v>E2_4_2_18_km : 1</v>
      </c>
      <c r="G86" s="31" t="str">
        <f t="shared" si="28"/>
        <v>E2_4_2_18_mRNA : E2_4_2_18_mRNA</v>
      </c>
      <c r="H86" s="32" t="str">
        <f t="shared" si="29"/>
        <v>E2_4_2_18 : E2_4_2_18</v>
      </c>
      <c r="I86" s="33" t="str">
        <f t="shared" si="30"/>
        <v>E2_4_2_18_mRNA : 0</v>
      </c>
      <c r="J86" s="16" t="str">
        <f t="shared" si="31"/>
        <v>E2_4_2_18 : 0</v>
      </c>
      <c r="K86" s="34" t="str">
        <f t="shared" si="32"/>
        <v>0.00292 - (0.0093 * E2_4_2_18_mRNA)</v>
      </c>
      <c r="L86" s="31" t="str">
        <f t="shared" si="33"/>
        <v>(0.278 * E2_4_2_18_mRNA) - (0.00000278 * E2_4_2_18)</v>
      </c>
      <c r="M86" s="35" t="str">
        <f t="shared" si="34"/>
        <v>mRNA85: -&gt; E2_4_2_18_mRNA | 0.00292 - (0.0093 * E2_4_2_18_mRNA)</v>
      </c>
      <c r="N86" s="36" t="str">
        <f t="shared" si="35"/>
        <v>Peptide85: E2_4_2_18_mRNA -&gt; E2_4_2_18 | (0.278 * E2_4_2_18_mRNA) - (0.000000278 * E2_4_2_18)</v>
      </c>
    </row>
    <row r="87" spans="1:14" x14ac:dyDescent="0.35">
      <c r="A87">
        <v>86</v>
      </c>
      <c r="B87" s="59" t="s">
        <v>10833</v>
      </c>
      <c r="C87" t="str">
        <f t="shared" si="24"/>
        <v>E2_4_2_19_mRNA</v>
      </c>
      <c r="D87" t="str">
        <f t="shared" si="25"/>
        <v>E2_4_2_19</v>
      </c>
      <c r="E87" s="36" t="str">
        <f t="shared" si="26"/>
        <v>E2_4_2_19_kcat : 13.7</v>
      </c>
      <c r="F87" s="38" t="str">
        <f t="shared" si="27"/>
        <v>E2_4_2_19_km : 1</v>
      </c>
      <c r="G87" s="31" t="str">
        <f t="shared" si="28"/>
        <v>E2_4_2_19_mRNA : E2_4_2_19_mRNA</v>
      </c>
      <c r="H87" s="32" t="str">
        <f t="shared" si="29"/>
        <v>E2_4_2_19 : E2_4_2_19</v>
      </c>
      <c r="I87" s="33" t="str">
        <f t="shared" si="30"/>
        <v>E2_4_2_19_mRNA : 0</v>
      </c>
      <c r="J87" s="16" t="str">
        <f t="shared" si="31"/>
        <v>E2_4_2_19 : 0</v>
      </c>
      <c r="K87" s="34" t="str">
        <f t="shared" si="32"/>
        <v>0.00292 - (0.0093 * E2_4_2_19_mRNA)</v>
      </c>
      <c r="L87" s="31" t="str">
        <f t="shared" si="33"/>
        <v>(0.278 * E2_4_2_19_mRNA) - (0.00000278 * E2_4_2_19)</v>
      </c>
      <c r="M87" s="35" t="str">
        <f t="shared" si="34"/>
        <v>mRNA86: -&gt; E2_4_2_19_mRNA | 0.00292 - (0.0093 * E2_4_2_19_mRNA)</v>
      </c>
      <c r="N87" s="36" t="str">
        <f t="shared" si="35"/>
        <v>Peptide86: E2_4_2_19_mRNA -&gt; E2_4_2_19 | (0.278 * E2_4_2_19_mRNA) - (0.000000278 * E2_4_2_19)</v>
      </c>
    </row>
    <row r="88" spans="1:14" x14ac:dyDescent="0.35">
      <c r="A88">
        <v>87</v>
      </c>
      <c r="B88" s="59" t="s">
        <v>2258</v>
      </c>
      <c r="C88" t="str">
        <f t="shared" si="24"/>
        <v>E2_4_2_22_mRNA</v>
      </c>
      <c r="D88" t="str">
        <f t="shared" si="25"/>
        <v>E2_4_2_22</v>
      </c>
      <c r="E88" s="36" t="str">
        <f t="shared" si="26"/>
        <v>E2_4_2_22_kcat : 13.7</v>
      </c>
      <c r="F88" s="38" t="str">
        <f t="shared" si="27"/>
        <v>E2_4_2_22_km : 1</v>
      </c>
      <c r="G88" s="31" t="str">
        <f t="shared" si="28"/>
        <v>E2_4_2_22_mRNA : E2_4_2_22_mRNA</v>
      </c>
      <c r="H88" s="32" t="str">
        <f t="shared" si="29"/>
        <v>E2_4_2_22 : E2_4_2_22</v>
      </c>
      <c r="I88" s="33" t="str">
        <f t="shared" si="30"/>
        <v>E2_4_2_22_mRNA : 0</v>
      </c>
      <c r="J88" s="16" t="str">
        <f t="shared" si="31"/>
        <v>E2_4_2_22 : 0</v>
      </c>
      <c r="K88" s="34" t="str">
        <f t="shared" si="32"/>
        <v>0.00292 - (0.0093 * E2_4_2_22_mRNA)</v>
      </c>
      <c r="L88" s="31" t="str">
        <f t="shared" si="33"/>
        <v>(0.278 * E2_4_2_22_mRNA) - (0.00000278 * E2_4_2_22)</v>
      </c>
      <c r="M88" s="35" t="str">
        <f t="shared" si="34"/>
        <v>mRNA87: -&gt; E2_4_2_22_mRNA | 0.00292 - (0.0093 * E2_4_2_22_mRNA)</v>
      </c>
      <c r="N88" s="36" t="str">
        <f t="shared" si="35"/>
        <v>Peptide87: E2_4_2_22_mRNA -&gt; E2_4_2_22 | (0.278 * E2_4_2_22_mRNA) - (0.000000278 * E2_4_2_22)</v>
      </c>
    </row>
    <row r="89" spans="1:14" x14ac:dyDescent="0.35">
      <c r="A89">
        <v>88</v>
      </c>
      <c r="B89" s="59" t="s">
        <v>10834</v>
      </c>
      <c r="C89" t="str">
        <f t="shared" si="24"/>
        <v>E2_4_2_29_mRNA</v>
      </c>
      <c r="D89" t="str">
        <f t="shared" si="25"/>
        <v>E2_4_2_29</v>
      </c>
      <c r="E89" s="36" t="str">
        <f t="shared" si="26"/>
        <v>E2_4_2_29_kcat : 13.7</v>
      </c>
      <c r="F89" s="38" t="str">
        <f t="shared" si="27"/>
        <v>E2_4_2_29_km : 1</v>
      </c>
      <c r="G89" s="31" t="str">
        <f t="shared" si="28"/>
        <v>E2_4_2_29_mRNA : E2_4_2_29_mRNA</v>
      </c>
      <c r="H89" s="32" t="str">
        <f t="shared" si="29"/>
        <v>E2_4_2_29 : E2_4_2_29</v>
      </c>
      <c r="I89" s="33" t="str">
        <f t="shared" si="30"/>
        <v>E2_4_2_29_mRNA : 0</v>
      </c>
      <c r="J89" s="16" t="str">
        <f t="shared" si="31"/>
        <v>E2_4_2_29 : 0</v>
      </c>
      <c r="K89" s="34" t="str">
        <f t="shared" si="32"/>
        <v>0.00292 - (0.0093 * E2_4_2_29_mRNA)</v>
      </c>
      <c r="L89" s="31" t="str">
        <f t="shared" si="33"/>
        <v>(0.278 * E2_4_2_29_mRNA) - (0.00000278 * E2_4_2_29)</v>
      </c>
      <c r="M89" s="35" t="str">
        <f t="shared" si="34"/>
        <v>mRNA88: -&gt; E2_4_2_29_mRNA | 0.00292 - (0.0093 * E2_4_2_29_mRNA)</v>
      </c>
      <c r="N89" s="36" t="str">
        <f t="shared" si="35"/>
        <v>Peptide88: E2_4_2_29_mRNA -&gt; E2_4_2_29 | (0.278 * E2_4_2_29_mRNA) - (0.000000278 * E2_4_2_29)</v>
      </c>
    </row>
    <row r="90" spans="1:14" x14ac:dyDescent="0.35">
      <c r="A90">
        <v>89</v>
      </c>
      <c r="B90" s="59" t="s">
        <v>2206</v>
      </c>
      <c r="C90" t="str">
        <f t="shared" si="24"/>
        <v>E2_4_2_7_mRNA</v>
      </c>
      <c r="D90" t="str">
        <f t="shared" si="25"/>
        <v>E2_4_2_7</v>
      </c>
      <c r="E90" s="36" t="str">
        <f t="shared" si="26"/>
        <v>E2_4_2_7_kcat : 13.7</v>
      </c>
      <c r="F90" s="38" t="str">
        <f t="shared" si="27"/>
        <v>E2_4_2_7_km : 1</v>
      </c>
      <c r="G90" s="31" t="str">
        <f t="shared" si="28"/>
        <v>E2_4_2_7_mRNA : E2_4_2_7_mRNA</v>
      </c>
      <c r="H90" s="32" t="str">
        <f t="shared" si="29"/>
        <v>E2_4_2_7 : E2_4_2_7</v>
      </c>
      <c r="I90" s="33" t="str">
        <f t="shared" si="30"/>
        <v>E2_4_2_7_mRNA : 0</v>
      </c>
      <c r="J90" s="16" t="str">
        <f t="shared" si="31"/>
        <v>E2_4_2_7 : 0</v>
      </c>
      <c r="K90" s="34" t="str">
        <f t="shared" si="32"/>
        <v>0.00292 - (0.0093 * E2_4_2_7_mRNA)</v>
      </c>
      <c r="L90" s="31" t="str">
        <f t="shared" si="33"/>
        <v>(0.278 * E2_4_2_7_mRNA) - (0.00000278 * E2_4_2_7)</v>
      </c>
      <c r="M90" s="35" t="str">
        <f t="shared" si="34"/>
        <v>mRNA89: -&gt; E2_4_2_7_mRNA | 0.00292 - (0.0093 * E2_4_2_7_mRNA)</v>
      </c>
      <c r="N90" s="36" t="str">
        <f t="shared" si="35"/>
        <v>Peptide89: E2_4_2_7_mRNA -&gt; E2_4_2_7 | (0.278 * E2_4_2_7_mRNA) - (0.000000278 * E2_4_2_7)</v>
      </c>
    </row>
    <row r="91" spans="1:14" x14ac:dyDescent="0.35">
      <c r="A91">
        <v>90</v>
      </c>
      <c r="B91" s="59" t="s">
        <v>2254</v>
      </c>
      <c r="C91" t="str">
        <f t="shared" si="24"/>
        <v>E2_4_2_8_mRNA</v>
      </c>
      <c r="D91" t="str">
        <f t="shared" si="25"/>
        <v>E2_4_2_8</v>
      </c>
      <c r="E91" s="36" t="str">
        <f t="shared" si="26"/>
        <v>E2_4_2_8_kcat : 13.7</v>
      </c>
      <c r="F91" s="38" t="str">
        <f t="shared" si="27"/>
        <v>E2_4_2_8_km : 1</v>
      </c>
      <c r="G91" s="31" t="str">
        <f t="shared" si="28"/>
        <v>E2_4_2_8_mRNA : E2_4_2_8_mRNA</v>
      </c>
      <c r="H91" s="32" t="str">
        <f t="shared" si="29"/>
        <v>E2_4_2_8 : E2_4_2_8</v>
      </c>
      <c r="I91" s="33" t="str">
        <f t="shared" si="30"/>
        <v>E2_4_2_8_mRNA : 0</v>
      </c>
      <c r="J91" s="16" t="str">
        <f t="shared" si="31"/>
        <v>E2_4_2_8 : 0</v>
      </c>
      <c r="K91" s="34" t="str">
        <f t="shared" si="32"/>
        <v>0.00292 - (0.0093 * E2_4_2_8_mRNA)</v>
      </c>
      <c r="L91" s="31" t="str">
        <f t="shared" si="33"/>
        <v>(0.278 * E2_4_2_8_mRNA) - (0.00000278 * E2_4_2_8)</v>
      </c>
      <c r="M91" s="35" t="str">
        <f t="shared" si="34"/>
        <v>mRNA90: -&gt; E2_4_2_8_mRNA | 0.00292 - (0.0093 * E2_4_2_8_mRNA)</v>
      </c>
      <c r="N91" s="36" t="str">
        <f t="shared" si="35"/>
        <v>Peptide90: E2_4_2_8_mRNA -&gt; E2_4_2_8 | (0.278 * E2_4_2_8_mRNA) - (0.000000278 * E2_4_2_8)</v>
      </c>
    </row>
    <row r="92" spans="1:14" x14ac:dyDescent="0.35">
      <c r="A92">
        <v>91</v>
      </c>
      <c r="B92" s="59" t="s">
        <v>2247</v>
      </c>
      <c r="C92" t="str">
        <f t="shared" si="24"/>
        <v>E2_4_2_9_mRNA</v>
      </c>
      <c r="D92" t="str">
        <f t="shared" si="25"/>
        <v>E2_4_2_9</v>
      </c>
      <c r="E92" s="36" t="str">
        <f t="shared" si="26"/>
        <v>E2_4_2_9_kcat : 13.7</v>
      </c>
      <c r="F92" s="38" t="str">
        <f t="shared" si="27"/>
        <v>E2_4_2_9_km : 1</v>
      </c>
      <c r="G92" s="31" t="str">
        <f t="shared" si="28"/>
        <v>E2_4_2_9_mRNA : E2_4_2_9_mRNA</v>
      </c>
      <c r="H92" s="32" t="str">
        <f t="shared" si="29"/>
        <v>E2_4_2_9 : E2_4_2_9</v>
      </c>
      <c r="I92" s="33" t="str">
        <f t="shared" si="30"/>
        <v>E2_4_2_9_mRNA : 0</v>
      </c>
      <c r="J92" s="16" t="str">
        <f t="shared" si="31"/>
        <v>E2_4_2_9 : 0</v>
      </c>
      <c r="K92" s="34" t="str">
        <f t="shared" si="32"/>
        <v>0.00292 - (0.0093 * E2_4_2_9_mRNA)</v>
      </c>
      <c r="L92" s="31" t="str">
        <f t="shared" si="33"/>
        <v>(0.278 * E2_4_2_9_mRNA) - (0.00000278 * E2_4_2_9)</v>
      </c>
      <c r="M92" s="35" t="str">
        <f t="shared" si="34"/>
        <v>mRNA91: -&gt; E2_4_2_9_mRNA | 0.00292 - (0.0093 * E2_4_2_9_mRNA)</v>
      </c>
      <c r="N92" s="36" t="str">
        <f t="shared" si="35"/>
        <v>Peptide91: E2_4_2_9_mRNA -&gt; E2_4_2_9 | (0.278 * E2_4_2_9_mRNA) - (0.000000278 * E2_4_2_9)</v>
      </c>
    </row>
    <row r="93" spans="1:14" x14ac:dyDescent="0.35">
      <c r="A93">
        <v>92</v>
      </c>
      <c r="B93" s="59" t="s">
        <v>2332</v>
      </c>
      <c r="C93" t="str">
        <f t="shared" si="24"/>
        <v>E2_4_99_28_mRNA</v>
      </c>
      <c r="D93" t="str">
        <f t="shared" si="25"/>
        <v>E2_4_99_28</v>
      </c>
      <c r="E93" s="36" t="str">
        <f t="shared" si="26"/>
        <v>E2_4_99_28_kcat : 13.7</v>
      </c>
      <c r="F93" s="38" t="str">
        <f t="shared" si="27"/>
        <v>E2_4_99_28_km : 1</v>
      </c>
      <c r="G93" s="31" t="str">
        <f t="shared" si="28"/>
        <v>E2_4_99_28_mRNA : E2_4_99_28_mRNA</v>
      </c>
      <c r="H93" s="32" t="str">
        <f t="shared" si="29"/>
        <v>E2_4_99_28 : E2_4_99_28</v>
      </c>
      <c r="I93" s="33" t="str">
        <f t="shared" si="30"/>
        <v>E2_4_99_28_mRNA : 0</v>
      </c>
      <c r="J93" s="16" t="str">
        <f t="shared" si="31"/>
        <v>E2_4_99_28 : 0</v>
      </c>
      <c r="K93" s="34" t="str">
        <f t="shared" si="32"/>
        <v>0.00292 - (0.0093 * E2_4_99_28_mRNA)</v>
      </c>
      <c r="L93" s="31" t="str">
        <f t="shared" si="33"/>
        <v>(0.278 * E2_4_99_28_mRNA) - (0.00000278 * E2_4_99_28)</v>
      </c>
      <c r="M93" s="35" t="str">
        <f t="shared" si="34"/>
        <v>mRNA92: -&gt; E2_4_99_28_mRNA | 0.00292 - (0.0093 * E2_4_99_28_mRNA)</v>
      </c>
      <c r="N93" s="36" t="str">
        <f t="shared" si="35"/>
        <v>Peptide92: E2_4_99_28_mRNA -&gt; E2_4_99_28 | (0.278 * E2_4_99_28_mRNA) - (0.000000278 * E2_4_99_28)</v>
      </c>
    </row>
    <row r="94" spans="1:14" x14ac:dyDescent="0.35">
      <c r="A94">
        <v>93</v>
      </c>
      <c r="B94" s="59" t="s">
        <v>10835</v>
      </c>
      <c r="C94" t="str">
        <f t="shared" si="24"/>
        <v>E2_5_1_145_mRNA</v>
      </c>
      <c r="D94" t="str">
        <f t="shared" si="25"/>
        <v>E2_5_1_145</v>
      </c>
      <c r="E94" s="36" t="str">
        <f t="shared" si="26"/>
        <v>E2_5_1_145_kcat : 13.7</v>
      </c>
      <c r="F94" s="38" t="str">
        <f t="shared" si="27"/>
        <v>E2_5_1_145_km : 1</v>
      </c>
      <c r="G94" s="31" t="str">
        <f t="shared" si="28"/>
        <v>E2_5_1_145_mRNA : E2_5_1_145_mRNA</v>
      </c>
      <c r="H94" s="32" t="str">
        <f t="shared" si="29"/>
        <v>E2_5_1_145 : E2_5_1_145</v>
      </c>
      <c r="I94" s="33" t="str">
        <f t="shared" si="30"/>
        <v>E2_5_1_145_mRNA : 0</v>
      </c>
      <c r="J94" s="16" t="str">
        <f t="shared" si="31"/>
        <v>E2_5_1_145 : 0</v>
      </c>
      <c r="K94" s="34" t="str">
        <f t="shared" si="32"/>
        <v>0.00292 - (0.0093 * E2_5_1_145_mRNA)</v>
      </c>
      <c r="L94" s="31" t="str">
        <f t="shared" si="33"/>
        <v>(0.278 * E2_5_1_145_mRNA) - (0.00000278 * E2_5_1_145)</v>
      </c>
      <c r="M94" s="35" t="str">
        <f t="shared" si="34"/>
        <v>mRNA93: -&gt; E2_5_1_145_mRNA | 0.00292 - (0.0093 * E2_5_1_145_mRNA)</v>
      </c>
      <c r="N94" s="36" t="str">
        <f t="shared" si="35"/>
        <v>Peptide93: E2_5_1_145_mRNA -&gt; E2_5_1_145 | (0.278 * E2_5_1_145_mRNA) - (0.000000278 * E2_5_1_145)</v>
      </c>
    </row>
    <row r="95" spans="1:14" x14ac:dyDescent="0.35">
      <c r="A95">
        <v>94</v>
      </c>
      <c r="B95" s="59" t="s">
        <v>10836</v>
      </c>
      <c r="C95" t="str">
        <f t="shared" si="24"/>
        <v>E2_5_1_15_mRNA</v>
      </c>
      <c r="D95" t="str">
        <f t="shared" si="25"/>
        <v>E2_5_1_15</v>
      </c>
      <c r="E95" s="36" t="str">
        <f t="shared" si="26"/>
        <v>E2_5_1_15_kcat : 13.7</v>
      </c>
      <c r="F95" s="38" t="str">
        <f t="shared" si="27"/>
        <v>E2_5_1_15_km : 1</v>
      </c>
      <c r="G95" s="31" t="str">
        <f t="shared" si="28"/>
        <v>E2_5_1_15_mRNA : E2_5_1_15_mRNA</v>
      </c>
      <c r="H95" s="32" t="str">
        <f t="shared" si="29"/>
        <v>E2_5_1_15 : E2_5_1_15</v>
      </c>
      <c r="I95" s="33" t="str">
        <f t="shared" si="30"/>
        <v>E2_5_1_15_mRNA : 0</v>
      </c>
      <c r="J95" s="16" t="str">
        <f t="shared" si="31"/>
        <v>E2_5_1_15 : 0</v>
      </c>
      <c r="K95" s="34" t="str">
        <f t="shared" si="32"/>
        <v>0.00292 - (0.0093 * E2_5_1_15_mRNA)</v>
      </c>
      <c r="L95" s="31" t="str">
        <f t="shared" si="33"/>
        <v>(0.278 * E2_5_1_15_mRNA) - (0.00000278 * E2_5_1_15)</v>
      </c>
      <c r="M95" s="35" t="str">
        <f t="shared" si="34"/>
        <v>mRNA94: -&gt; E2_5_1_15_mRNA | 0.00292 - (0.0093 * E2_5_1_15_mRNA)</v>
      </c>
      <c r="N95" s="36" t="str">
        <f t="shared" si="35"/>
        <v>Peptide94: E2_5_1_15_mRNA -&gt; E2_5_1_15 | (0.278 * E2_5_1_15_mRNA) - (0.000000278 * E2_5_1_15)</v>
      </c>
    </row>
    <row r="96" spans="1:14" x14ac:dyDescent="0.35">
      <c r="A96">
        <v>95</v>
      </c>
      <c r="B96" s="59" t="s">
        <v>10837</v>
      </c>
      <c r="C96" t="str">
        <f t="shared" si="24"/>
        <v>E2_5_1_19_mRNA</v>
      </c>
      <c r="D96" t="str">
        <f t="shared" si="25"/>
        <v>E2_5_1_19</v>
      </c>
      <c r="E96" s="36" t="str">
        <f t="shared" si="26"/>
        <v>E2_5_1_19_kcat : 13.7</v>
      </c>
      <c r="F96" s="38" t="str">
        <f t="shared" si="27"/>
        <v>E2_5_1_19_km : 1</v>
      </c>
      <c r="G96" s="31" t="str">
        <f t="shared" si="28"/>
        <v>E2_5_1_19_mRNA : E2_5_1_19_mRNA</v>
      </c>
      <c r="H96" s="32" t="str">
        <f t="shared" si="29"/>
        <v>E2_5_1_19 : E2_5_1_19</v>
      </c>
      <c r="I96" s="33" t="str">
        <f t="shared" si="30"/>
        <v>E2_5_1_19_mRNA : 0</v>
      </c>
      <c r="J96" s="16" t="str">
        <f t="shared" si="31"/>
        <v>E2_5_1_19 : 0</v>
      </c>
      <c r="K96" s="34" t="str">
        <f t="shared" si="32"/>
        <v>0.00292 - (0.0093 * E2_5_1_19_mRNA)</v>
      </c>
      <c r="L96" s="31" t="str">
        <f t="shared" si="33"/>
        <v>(0.278 * E2_5_1_19_mRNA) - (0.00000278 * E2_5_1_19)</v>
      </c>
      <c r="M96" s="35" t="str">
        <f t="shared" si="34"/>
        <v>mRNA95: -&gt; E2_5_1_19_mRNA | 0.00292 - (0.0093 * E2_5_1_19_mRNA)</v>
      </c>
      <c r="N96" s="36" t="str">
        <f t="shared" si="35"/>
        <v>Peptide95: E2_5_1_19_mRNA -&gt; E2_5_1_19 | (0.278 * E2_5_1_19_mRNA) - (0.000000278 * E2_5_1_19)</v>
      </c>
    </row>
    <row r="97" spans="1:14" x14ac:dyDescent="0.35">
      <c r="A97">
        <v>96</v>
      </c>
      <c r="B97" s="59" t="s">
        <v>10838</v>
      </c>
      <c r="C97" t="str">
        <f t="shared" si="24"/>
        <v>E2_5_1_48_mRNA</v>
      </c>
      <c r="D97" t="str">
        <f t="shared" si="25"/>
        <v>E2_5_1_48</v>
      </c>
      <c r="E97" s="36" t="str">
        <f t="shared" si="26"/>
        <v>E2_5_1_48_kcat : 13.7</v>
      </c>
      <c r="F97" s="38" t="str">
        <f t="shared" si="27"/>
        <v>E2_5_1_48_km : 1</v>
      </c>
      <c r="G97" s="31" t="str">
        <f t="shared" si="28"/>
        <v>E2_5_1_48_mRNA : E2_5_1_48_mRNA</v>
      </c>
      <c r="H97" s="32" t="str">
        <f t="shared" si="29"/>
        <v>E2_5_1_48 : E2_5_1_48</v>
      </c>
      <c r="I97" s="33" t="str">
        <f t="shared" si="30"/>
        <v>E2_5_1_48_mRNA : 0</v>
      </c>
      <c r="J97" s="16" t="str">
        <f t="shared" si="31"/>
        <v>E2_5_1_48 : 0</v>
      </c>
      <c r="K97" s="34" t="str">
        <f t="shared" si="32"/>
        <v>0.00292 - (0.0093 * E2_5_1_48_mRNA)</v>
      </c>
      <c r="L97" s="31" t="str">
        <f t="shared" si="33"/>
        <v>(0.278 * E2_5_1_48_mRNA) - (0.00000278 * E2_5_1_48)</v>
      </c>
      <c r="M97" s="35" t="str">
        <f t="shared" si="34"/>
        <v>mRNA96: -&gt; E2_5_1_48_mRNA | 0.00292 - (0.0093 * E2_5_1_48_mRNA)</v>
      </c>
      <c r="N97" s="36" t="str">
        <f t="shared" si="35"/>
        <v>Peptide96: E2_5_1_48_mRNA -&gt; E2_5_1_48 | (0.278 * E2_5_1_48_mRNA) - (0.000000278 * E2_5_1_48)</v>
      </c>
    </row>
    <row r="98" spans="1:14" x14ac:dyDescent="0.35">
      <c r="A98">
        <v>97</v>
      </c>
      <c r="B98" s="59" t="s">
        <v>10839</v>
      </c>
      <c r="C98" t="str">
        <f t="shared" ref="C98:C129" si="36">CONCATENATE(D98,"_mRNA")</f>
        <v>E2_5_1_54_mRNA</v>
      </c>
      <c r="D98" t="str">
        <f t="shared" ref="D98:D129" si="37">CONCATENATE("E",B98)</f>
        <v>E2_5_1_54</v>
      </c>
      <c r="E98" s="36" t="str">
        <f t="shared" ref="E98:E129" si="38">CONCATENATE("E",B98,"_kcat : 13.7")</f>
        <v>E2_5_1_54_kcat : 13.7</v>
      </c>
      <c r="F98" s="38" t="str">
        <f t="shared" ref="F98:F129" si="39">CONCATENATE("E",B98,"_km : 1")</f>
        <v>E2_5_1_54_km : 1</v>
      </c>
      <c r="G98" s="31" t="str">
        <f t="shared" ref="G98:G129" si="40">CONCATENATE(C98," : ",C98)</f>
        <v>E2_5_1_54_mRNA : E2_5_1_54_mRNA</v>
      </c>
      <c r="H98" s="32" t="str">
        <f t="shared" ref="H98:H129" si="41">CONCATENATE(D98," : ",D98)</f>
        <v>E2_5_1_54 : E2_5_1_54</v>
      </c>
      <c r="I98" s="33" t="str">
        <f t="shared" ref="I98:I129" si="42">CONCATENATE(C98," : ","0")</f>
        <v>E2_5_1_54_mRNA : 0</v>
      </c>
      <c r="J98" s="16" t="str">
        <f t="shared" ref="J98:J129" si="43">CONCATENATE(D98," : ","0")</f>
        <v>E2_5_1_54 : 0</v>
      </c>
      <c r="K98" s="34" t="str">
        <f t="shared" ref="K98:K129" si="44">CONCATENATE("0.00292 - (0.0093 * ",C98,")")</f>
        <v>0.00292 - (0.0093 * E2_5_1_54_mRNA)</v>
      </c>
      <c r="L98" s="31" t="str">
        <f t="shared" ref="L98:L129" si="45">CONCATENATE("(0.278 * ",C98,")"," - (0.00000278 * ",D98,")")</f>
        <v>(0.278 * E2_5_1_54_mRNA) - (0.00000278 * E2_5_1_54)</v>
      </c>
      <c r="M98" s="35" t="str">
        <f t="shared" ref="M98:M129" si="46">CONCATENATE("mRNA",A98,": -&gt; ",C98," | ","0.00292"," - ","(","0.0093"," * ",C98,")")</f>
        <v>mRNA97: -&gt; E2_5_1_54_mRNA | 0.00292 - (0.0093 * E2_5_1_54_mRNA)</v>
      </c>
      <c r="N98" s="36" t="str">
        <f t="shared" ref="N98:N129" si="47">CONCATENATE("Peptide",A98,": ",C98," -&gt; ",D98," | ","(","0.278"," * ",C98,")"," - ","(","0.000000278"," * ",D98,")")</f>
        <v>Peptide97: E2_5_1_54_mRNA -&gt; E2_5_1_54 | (0.278 * E2_5_1_54_mRNA) - (0.000000278 * E2_5_1_54)</v>
      </c>
    </row>
    <row r="99" spans="1:14" x14ac:dyDescent="0.35">
      <c r="A99">
        <v>98</v>
      </c>
      <c r="B99" s="59" t="s">
        <v>2187</v>
      </c>
      <c r="C99" t="str">
        <f t="shared" si="36"/>
        <v>E2_5_1_6_mRNA</v>
      </c>
      <c r="D99" t="str">
        <f t="shared" si="37"/>
        <v>E2_5_1_6</v>
      </c>
      <c r="E99" s="36" t="str">
        <f t="shared" si="38"/>
        <v>E2_5_1_6_kcat : 13.7</v>
      </c>
      <c r="F99" s="38" t="str">
        <f t="shared" si="39"/>
        <v>E2_5_1_6_km : 1</v>
      </c>
      <c r="G99" s="31" t="str">
        <f t="shared" si="40"/>
        <v>E2_5_1_6_mRNA : E2_5_1_6_mRNA</v>
      </c>
      <c r="H99" s="32" t="str">
        <f t="shared" si="41"/>
        <v>E2_5_1_6 : E2_5_1_6</v>
      </c>
      <c r="I99" s="33" t="str">
        <f t="shared" si="42"/>
        <v>E2_5_1_6_mRNA : 0</v>
      </c>
      <c r="J99" s="16" t="str">
        <f t="shared" si="43"/>
        <v>E2_5_1_6 : 0</v>
      </c>
      <c r="K99" s="34" t="str">
        <f t="shared" si="44"/>
        <v>0.00292 - (0.0093 * E2_5_1_6_mRNA)</v>
      </c>
      <c r="L99" s="31" t="str">
        <f t="shared" si="45"/>
        <v>(0.278 * E2_5_1_6_mRNA) - (0.00000278 * E2_5_1_6)</v>
      </c>
      <c r="M99" s="35" t="str">
        <f t="shared" si="46"/>
        <v>mRNA98: -&gt; E2_5_1_6_mRNA | 0.00292 - (0.0093 * E2_5_1_6_mRNA)</v>
      </c>
      <c r="N99" s="36" t="str">
        <f t="shared" si="47"/>
        <v>Peptide98: E2_5_1_6_mRNA -&gt; E2_5_1_6 | (0.278 * E2_5_1_6_mRNA) - (0.000000278 * E2_5_1_6)</v>
      </c>
    </row>
    <row r="100" spans="1:14" x14ac:dyDescent="0.35">
      <c r="A100">
        <v>99</v>
      </c>
      <c r="B100" s="59" t="s">
        <v>2231</v>
      </c>
      <c r="C100" t="str">
        <f t="shared" si="36"/>
        <v>E2_5_1_7_mRNA</v>
      </c>
      <c r="D100" t="str">
        <f t="shared" si="37"/>
        <v>E2_5_1_7</v>
      </c>
      <c r="E100" s="36" t="str">
        <f t="shared" si="38"/>
        <v>E2_5_1_7_kcat : 13.7</v>
      </c>
      <c r="F100" s="38" t="str">
        <f t="shared" si="39"/>
        <v>E2_5_1_7_km : 1</v>
      </c>
      <c r="G100" s="31" t="str">
        <f t="shared" si="40"/>
        <v>E2_5_1_7_mRNA : E2_5_1_7_mRNA</v>
      </c>
      <c r="H100" s="32" t="str">
        <f t="shared" si="41"/>
        <v>E2_5_1_7 : E2_5_1_7</v>
      </c>
      <c r="I100" s="33" t="str">
        <f t="shared" si="42"/>
        <v>E2_5_1_7_mRNA : 0</v>
      </c>
      <c r="J100" s="16" t="str">
        <f t="shared" si="43"/>
        <v>E2_5_1_7 : 0</v>
      </c>
      <c r="K100" s="34" t="str">
        <f t="shared" si="44"/>
        <v>0.00292 - (0.0093 * E2_5_1_7_mRNA)</v>
      </c>
      <c r="L100" s="31" t="str">
        <f t="shared" si="45"/>
        <v>(0.278 * E2_5_1_7_mRNA) - (0.00000278 * E2_5_1_7)</v>
      </c>
      <c r="M100" s="35" t="str">
        <f t="shared" si="46"/>
        <v>mRNA99: -&gt; E2_5_1_7_mRNA | 0.00292 - (0.0093 * E2_5_1_7_mRNA)</v>
      </c>
      <c r="N100" s="36" t="str">
        <f t="shared" si="47"/>
        <v>Peptide99: E2_5_1_7_mRNA -&gt; E2_5_1_7 | (0.278 * E2_5_1_7_mRNA) - (0.000000278 * E2_5_1_7)</v>
      </c>
    </row>
    <row r="101" spans="1:14" x14ac:dyDescent="0.35">
      <c r="A101">
        <v>100</v>
      </c>
      <c r="B101" s="59" t="s">
        <v>10840</v>
      </c>
      <c r="C101" t="str">
        <f t="shared" si="36"/>
        <v>E2_5_1_72_mRNA</v>
      </c>
      <c r="D101" t="str">
        <f t="shared" si="37"/>
        <v>E2_5_1_72</v>
      </c>
      <c r="E101" s="36" t="str">
        <f t="shared" si="38"/>
        <v>E2_5_1_72_kcat : 13.7</v>
      </c>
      <c r="F101" s="38" t="str">
        <f t="shared" si="39"/>
        <v>E2_5_1_72_km : 1</v>
      </c>
      <c r="G101" s="31" t="str">
        <f t="shared" si="40"/>
        <v>E2_5_1_72_mRNA : E2_5_1_72_mRNA</v>
      </c>
      <c r="H101" s="32" t="str">
        <f t="shared" si="41"/>
        <v>E2_5_1_72 : E2_5_1_72</v>
      </c>
      <c r="I101" s="33" t="str">
        <f t="shared" si="42"/>
        <v>E2_5_1_72_mRNA : 0</v>
      </c>
      <c r="J101" s="16" t="str">
        <f t="shared" si="43"/>
        <v>E2_5_1_72 : 0</v>
      </c>
      <c r="K101" s="34" t="str">
        <f t="shared" si="44"/>
        <v>0.00292 - (0.0093 * E2_5_1_72_mRNA)</v>
      </c>
      <c r="L101" s="31" t="str">
        <f t="shared" si="45"/>
        <v>(0.278 * E2_5_1_72_mRNA) - (0.00000278 * E2_5_1_72)</v>
      </c>
      <c r="M101" s="35" t="str">
        <f t="shared" si="46"/>
        <v>mRNA100: -&gt; E2_5_1_72_mRNA | 0.00292 - (0.0093 * E2_5_1_72_mRNA)</v>
      </c>
      <c r="N101" s="36" t="str">
        <f t="shared" si="47"/>
        <v>Peptide100: E2_5_1_72_mRNA -&gt; E2_5_1_72 | (0.278 * E2_5_1_72_mRNA) - (0.000000278 * E2_5_1_72)</v>
      </c>
    </row>
    <row r="102" spans="1:14" x14ac:dyDescent="0.35">
      <c r="A102">
        <v>101</v>
      </c>
      <c r="B102" s="59" t="s">
        <v>10841</v>
      </c>
      <c r="C102" t="str">
        <f t="shared" si="36"/>
        <v>E2_5_1_74_mRNA</v>
      </c>
      <c r="D102" t="str">
        <f t="shared" si="37"/>
        <v>E2_5_1_74</v>
      </c>
      <c r="E102" s="36" t="str">
        <f t="shared" si="38"/>
        <v>E2_5_1_74_kcat : 13.7</v>
      </c>
      <c r="F102" s="38" t="str">
        <f t="shared" si="39"/>
        <v>E2_5_1_74_km : 1</v>
      </c>
      <c r="G102" s="31" t="str">
        <f t="shared" si="40"/>
        <v>E2_5_1_74_mRNA : E2_5_1_74_mRNA</v>
      </c>
      <c r="H102" s="32" t="str">
        <f t="shared" si="41"/>
        <v>E2_5_1_74 : E2_5_1_74</v>
      </c>
      <c r="I102" s="33" t="str">
        <f t="shared" si="42"/>
        <v>E2_5_1_74_mRNA : 0</v>
      </c>
      <c r="J102" s="16" t="str">
        <f t="shared" si="43"/>
        <v>E2_5_1_74 : 0</v>
      </c>
      <c r="K102" s="34" t="str">
        <f t="shared" si="44"/>
        <v>0.00292 - (0.0093 * E2_5_1_74_mRNA)</v>
      </c>
      <c r="L102" s="31" t="str">
        <f t="shared" si="45"/>
        <v>(0.278 * E2_5_1_74_mRNA) - (0.00000278 * E2_5_1_74)</v>
      </c>
      <c r="M102" s="35" t="str">
        <f t="shared" si="46"/>
        <v>mRNA101: -&gt; E2_5_1_74_mRNA | 0.00292 - (0.0093 * E2_5_1_74_mRNA)</v>
      </c>
      <c r="N102" s="36" t="str">
        <f t="shared" si="47"/>
        <v>Peptide101: E2_5_1_74_mRNA -&gt; E2_5_1_74 | (0.278 * E2_5_1_74_mRNA) - (0.000000278 * E2_5_1_74)</v>
      </c>
    </row>
    <row r="103" spans="1:14" x14ac:dyDescent="0.35">
      <c r="A103">
        <v>102</v>
      </c>
      <c r="B103" s="59" t="s">
        <v>2273</v>
      </c>
      <c r="C103" t="str">
        <f t="shared" si="36"/>
        <v>E2_5_1_75_mRNA</v>
      </c>
      <c r="D103" t="str">
        <f t="shared" si="37"/>
        <v>E2_5_1_75</v>
      </c>
      <c r="E103" s="36" t="str">
        <f t="shared" si="38"/>
        <v>E2_5_1_75_kcat : 13.7</v>
      </c>
      <c r="F103" s="38" t="str">
        <f t="shared" si="39"/>
        <v>E2_5_1_75_km : 1</v>
      </c>
      <c r="G103" s="31" t="str">
        <f t="shared" si="40"/>
        <v>E2_5_1_75_mRNA : E2_5_1_75_mRNA</v>
      </c>
      <c r="H103" s="32" t="str">
        <f t="shared" si="41"/>
        <v>E2_5_1_75 : E2_5_1_75</v>
      </c>
      <c r="I103" s="33" t="str">
        <f t="shared" si="42"/>
        <v>E2_5_1_75_mRNA : 0</v>
      </c>
      <c r="J103" s="16" t="str">
        <f t="shared" si="43"/>
        <v>E2_5_1_75 : 0</v>
      </c>
      <c r="K103" s="34" t="str">
        <f t="shared" si="44"/>
        <v>0.00292 - (0.0093 * E2_5_1_75_mRNA)</v>
      </c>
      <c r="L103" s="31" t="str">
        <f t="shared" si="45"/>
        <v>(0.278 * E2_5_1_75_mRNA) - (0.00000278 * E2_5_1_75)</v>
      </c>
      <c r="M103" s="35" t="str">
        <f t="shared" si="46"/>
        <v>mRNA102: -&gt; E2_5_1_75_mRNA | 0.00292 - (0.0093 * E2_5_1_75_mRNA)</v>
      </c>
      <c r="N103" s="36" t="str">
        <f t="shared" si="47"/>
        <v>Peptide102: E2_5_1_75_mRNA -&gt; E2_5_1_75 | (0.278 * E2_5_1_75_mRNA) - (0.000000278 * E2_5_1_75)</v>
      </c>
    </row>
    <row r="104" spans="1:14" x14ac:dyDescent="0.35">
      <c r="A104">
        <v>103</v>
      </c>
      <c r="B104" s="59" t="s">
        <v>10842</v>
      </c>
      <c r="C104" t="str">
        <f t="shared" si="36"/>
        <v>E2_6_1_11_mRNA</v>
      </c>
      <c r="D104" t="str">
        <f t="shared" si="37"/>
        <v>E2_6_1_11</v>
      </c>
      <c r="E104" s="36" t="str">
        <f t="shared" si="38"/>
        <v>E2_6_1_11_kcat : 13.7</v>
      </c>
      <c r="F104" s="38" t="str">
        <f t="shared" si="39"/>
        <v>E2_6_1_11_km : 1</v>
      </c>
      <c r="G104" s="31" t="str">
        <f t="shared" si="40"/>
        <v>E2_6_1_11_mRNA : E2_6_1_11_mRNA</v>
      </c>
      <c r="H104" s="32" t="str">
        <f t="shared" si="41"/>
        <v>E2_6_1_11 : E2_6_1_11</v>
      </c>
      <c r="I104" s="33" t="str">
        <f t="shared" si="42"/>
        <v>E2_6_1_11_mRNA : 0</v>
      </c>
      <c r="J104" s="16" t="str">
        <f t="shared" si="43"/>
        <v>E2_6_1_11 : 0</v>
      </c>
      <c r="K104" s="34" t="str">
        <f t="shared" si="44"/>
        <v>0.00292 - (0.0093 * E2_6_1_11_mRNA)</v>
      </c>
      <c r="L104" s="31" t="str">
        <f t="shared" si="45"/>
        <v>(0.278 * E2_6_1_11_mRNA) - (0.00000278 * E2_6_1_11)</v>
      </c>
      <c r="M104" s="35" t="str">
        <f t="shared" si="46"/>
        <v>mRNA103: -&gt; E2_6_1_11_mRNA | 0.00292 - (0.0093 * E2_6_1_11_mRNA)</v>
      </c>
      <c r="N104" s="36" t="str">
        <f t="shared" si="47"/>
        <v>Peptide103: E2_6_1_11_mRNA -&gt; E2_6_1_11 | (0.278 * E2_6_1_11_mRNA) - (0.000000278 * E2_6_1_11)</v>
      </c>
    </row>
    <row r="105" spans="1:14" x14ac:dyDescent="0.35">
      <c r="A105">
        <v>104</v>
      </c>
      <c r="B105" s="59" t="s">
        <v>2228</v>
      </c>
      <c r="C105" t="str">
        <f t="shared" si="36"/>
        <v>E2_6_1_16_mRNA</v>
      </c>
      <c r="D105" t="str">
        <f t="shared" si="37"/>
        <v>E2_6_1_16</v>
      </c>
      <c r="E105" s="36" t="str">
        <f t="shared" si="38"/>
        <v>E2_6_1_16_kcat : 13.7</v>
      </c>
      <c r="F105" s="38" t="str">
        <f t="shared" si="39"/>
        <v>E2_6_1_16_km : 1</v>
      </c>
      <c r="G105" s="31" t="str">
        <f t="shared" si="40"/>
        <v>E2_6_1_16_mRNA : E2_6_1_16_mRNA</v>
      </c>
      <c r="H105" s="32" t="str">
        <f t="shared" si="41"/>
        <v>E2_6_1_16 : E2_6_1_16</v>
      </c>
      <c r="I105" s="33" t="str">
        <f t="shared" si="42"/>
        <v>E2_6_1_16_mRNA : 0</v>
      </c>
      <c r="J105" s="16" t="str">
        <f t="shared" si="43"/>
        <v>E2_6_1_16 : 0</v>
      </c>
      <c r="K105" s="34" t="str">
        <f t="shared" si="44"/>
        <v>0.00292 - (0.0093 * E2_6_1_16_mRNA)</v>
      </c>
      <c r="L105" s="31" t="str">
        <f t="shared" si="45"/>
        <v>(0.278 * E2_6_1_16_mRNA) - (0.00000278 * E2_6_1_16)</v>
      </c>
      <c r="M105" s="35" t="str">
        <f t="shared" si="46"/>
        <v>mRNA104: -&gt; E2_6_1_16_mRNA | 0.00292 - (0.0093 * E2_6_1_16_mRNA)</v>
      </c>
      <c r="N105" s="36" t="str">
        <f t="shared" si="47"/>
        <v>Peptide104: E2_6_1_16_mRNA -&gt; E2_6_1_16 | (0.278 * E2_6_1_16_mRNA) - (0.000000278 * E2_6_1_16)</v>
      </c>
    </row>
    <row r="106" spans="1:14" x14ac:dyDescent="0.35">
      <c r="A106">
        <v>105</v>
      </c>
      <c r="B106" s="59" t="s">
        <v>10843</v>
      </c>
      <c r="C106" t="str">
        <f t="shared" si="36"/>
        <v>E2_6_1_17_mRNA</v>
      </c>
      <c r="D106" t="str">
        <f t="shared" si="37"/>
        <v>E2_6_1_17</v>
      </c>
      <c r="E106" s="36" t="str">
        <f t="shared" si="38"/>
        <v>E2_6_1_17_kcat : 13.7</v>
      </c>
      <c r="F106" s="38" t="str">
        <f t="shared" si="39"/>
        <v>E2_6_1_17_km : 1</v>
      </c>
      <c r="G106" s="31" t="str">
        <f t="shared" si="40"/>
        <v>E2_6_1_17_mRNA : E2_6_1_17_mRNA</v>
      </c>
      <c r="H106" s="32" t="str">
        <f t="shared" si="41"/>
        <v>E2_6_1_17 : E2_6_1_17</v>
      </c>
      <c r="I106" s="33" t="str">
        <f t="shared" si="42"/>
        <v>E2_6_1_17_mRNA : 0</v>
      </c>
      <c r="J106" s="16" t="str">
        <f t="shared" si="43"/>
        <v>E2_6_1_17 : 0</v>
      </c>
      <c r="K106" s="34" t="str">
        <f t="shared" si="44"/>
        <v>0.00292 - (0.0093 * E2_6_1_17_mRNA)</v>
      </c>
      <c r="L106" s="31" t="str">
        <f t="shared" si="45"/>
        <v>(0.278 * E2_6_1_17_mRNA) - (0.00000278 * E2_6_1_17)</v>
      </c>
      <c r="M106" s="35" t="str">
        <f t="shared" si="46"/>
        <v>mRNA105: -&gt; E2_6_1_17_mRNA | 0.00292 - (0.0093 * E2_6_1_17_mRNA)</v>
      </c>
      <c r="N106" s="36" t="str">
        <f t="shared" si="47"/>
        <v>Peptide105: E2_6_1_17_mRNA -&gt; E2_6_1_17 | (0.278 * E2_6_1_17_mRNA) - (0.000000278 * E2_6_1_17)</v>
      </c>
    </row>
    <row r="107" spans="1:14" x14ac:dyDescent="0.35">
      <c r="A107">
        <v>106</v>
      </c>
      <c r="B107" s="59" t="s">
        <v>2251</v>
      </c>
      <c r="C107" t="str">
        <f t="shared" si="36"/>
        <v>E2_6_1_42_mRNA</v>
      </c>
      <c r="D107" t="str">
        <f t="shared" si="37"/>
        <v>E2_6_1_42</v>
      </c>
      <c r="E107" s="36" t="str">
        <f t="shared" si="38"/>
        <v>E2_6_1_42_kcat : 13.7</v>
      </c>
      <c r="F107" s="38" t="str">
        <f t="shared" si="39"/>
        <v>E2_6_1_42_km : 1</v>
      </c>
      <c r="G107" s="31" t="str">
        <f t="shared" si="40"/>
        <v>E2_6_1_42_mRNA : E2_6_1_42_mRNA</v>
      </c>
      <c r="H107" s="32" t="str">
        <f t="shared" si="41"/>
        <v>E2_6_1_42 : E2_6_1_42</v>
      </c>
      <c r="I107" s="33" t="str">
        <f t="shared" si="42"/>
        <v>E2_6_1_42_mRNA : 0</v>
      </c>
      <c r="J107" s="16" t="str">
        <f t="shared" si="43"/>
        <v>E2_6_1_42 : 0</v>
      </c>
      <c r="K107" s="34" t="str">
        <f t="shared" si="44"/>
        <v>0.00292 - (0.0093 * E2_6_1_42_mRNA)</v>
      </c>
      <c r="L107" s="31" t="str">
        <f t="shared" si="45"/>
        <v>(0.278 * E2_6_1_42_mRNA) - (0.00000278 * E2_6_1_42)</v>
      </c>
      <c r="M107" s="35" t="str">
        <f t="shared" si="46"/>
        <v>mRNA106: -&gt; E2_6_1_42_mRNA | 0.00292 - (0.0093 * E2_6_1_42_mRNA)</v>
      </c>
      <c r="N107" s="36" t="str">
        <f t="shared" si="47"/>
        <v>Peptide106: E2_6_1_42_mRNA -&gt; E2_6_1_42 | (0.278 * E2_6_1_42_mRNA) - (0.000000278 * E2_6_1_42)</v>
      </c>
    </row>
    <row r="108" spans="1:14" x14ac:dyDescent="0.35">
      <c r="A108">
        <v>107</v>
      </c>
      <c r="B108" s="59" t="s">
        <v>10844</v>
      </c>
      <c r="C108" t="str">
        <f t="shared" si="36"/>
        <v>E2_6_1_52_mRNA</v>
      </c>
      <c r="D108" t="str">
        <f t="shared" si="37"/>
        <v>E2_6_1_52</v>
      </c>
      <c r="E108" s="36" t="str">
        <f t="shared" si="38"/>
        <v>E2_6_1_52_kcat : 13.7</v>
      </c>
      <c r="F108" s="38" t="str">
        <f t="shared" si="39"/>
        <v>E2_6_1_52_km : 1</v>
      </c>
      <c r="G108" s="31" t="str">
        <f t="shared" si="40"/>
        <v>E2_6_1_52_mRNA : E2_6_1_52_mRNA</v>
      </c>
      <c r="H108" s="32" t="str">
        <f t="shared" si="41"/>
        <v>E2_6_1_52 : E2_6_1_52</v>
      </c>
      <c r="I108" s="33" t="str">
        <f t="shared" si="42"/>
        <v>E2_6_1_52_mRNA : 0</v>
      </c>
      <c r="J108" s="16" t="str">
        <f t="shared" si="43"/>
        <v>E2_6_1_52 : 0</v>
      </c>
      <c r="K108" s="34" t="str">
        <f t="shared" si="44"/>
        <v>0.00292 - (0.0093 * E2_6_1_52_mRNA)</v>
      </c>
      <c r="L108" s="31" t="str">
        <f t="shared" si="45"/>
        <v>(0.278 * E2_6_1_52_mRNA) - (0.00000278 * E2_6_1_52)</v>
      </c>
      <c r="M108" s="35" t="str">
        <f t="shared" si="46"/>
        <v>mRNA107: -&gt; E2_6_1_52_mRNA | 0.00292 - (0.0093 * E2_6_1_52_mRNA)</v>
      </c>
      <c r="N108" s="36" t="str">
        <f t="shared" si="47"/>
        <v>Peptide107: E2_6_1_52_mRNA -&gt; E2_6_1_52 | (0.278 * E2_6_1_52_mRNA) - (0.000000278 * E2_6_1_52)</v>
      </c>
    </row>
    <row r="109" spans="1:14" x14ac:dyDescent="0.35">
      <c r="A109">
        <v>108</v>
      </c>
      <c r="B109" s="59" t="s">
        <v>10845</v>
      </c>
      <c r="C109" t="str">
        <f t="shared" si="36"/>
        <v>E2_6_1_9_mRNA</v>
      </c>
      <c r="D109" t="str">
        <f t="shared" si="37"/>
        <v>E2_6_1_9</v>
      </c>
      <c r="E109" s="36" t="str">
        <f t="shared" si="38"/>
        <v>E2_6_1_9_kcat : 13.7</v>
      </c>
      <c r="F109" s="38" t="str">
        <f t="shared" si="39"/>
        <v>E2_6_1_9_km : 1</v>
      </c>
      <c r="G109" s="31" t="str">
        <f t="shared" si="40"/>
        <v>E2_6_1_9_mRNA : E2_6_1_9_mRNA</v>
      </c>
      <c r="H109" s="32" t="str">
        <f t="shared" si="41"/>
        <v>E2_6_1_9 : E2_6_1_9</v>
      </c>
      <c r="I109" s="33" t="str">
        <f t="shared" si="42"/>
        <v>E2_6_1_9_mRNA : 0</v>
      </c>
      <c r="J109" s="16" t="str">
        <f t="shared" si="43"/>
        <v>E2_6_1_9 : 0</v>
      </c>
      <c r="K109" s="34" t="str">
        <f t="shared" si="44"/>
        <v>0.00292 - (0.0093 * E2_6_1_9_mRNA)</v>
      </c>
      <c r="L109" s="31" t="str">
        <f t="shared" si="45"/>
        <v>(0.278 * E2_6_1_9_mRNA) - (0.00000278 * E2_6_1_9)</v>
      </c>
      <c r="M109" s="35" t="str">
        <f t="shared" si="46"/>
        <v>mRNA108: -&gt; E2_6_1_9_mRNA | 0.00292 - (0.0093 * E2_6_1_9_mRNA)</v>
      </c>
      <c r="N109" s="36" t="str">
        <f t="shared" si="47"/>
        <v>Peptide108: E2_6_1_9_mRNA -&gt; E2_6_1_9 | (0.278 * E2_6_1_9_mRNA) - (0.000000278 * E2_6_1_9)</v>
      </c>
    </row>
    <row r="110" spans="1:14" x14ac:dyDescent="0.35">
      <c r="A110">
        <v>109</v>
      </c>
      <c r="B110" s="59" t="s">
        <v>10846</v>
      </c>
      <c r="C110" t="str">
        <f t="shared" si="36"/>
        <v>E2_7_1_148_mRNA</v>
      </c>
      <c r="D110" t="str">
        <f t="shared" si="37"/>
        <v>E2_7_1_148</v>
      </c>
      <c r="E110" s="36" t="str">
        <f t="shared" si="38"/>
        <v>E2_7_1_148_kcat : 13.7</v>
      </c>
      <c r="F110" s="38" t="str">
        <f t="shared" si="39"/>
        <v>E2_7_1_148_km : 1</v>
      </c>
      <c r="G110" s="31" t="str">
        <f t="shared" si="40"/>
        <v>E2_7_1_148_mRNA : E2_7_1_148_mRNA</v>
      </c>
      <c r="H110" s="32" t="str">
        <f t="shared" si="41"/>
        <v>E2_7_1_148 : E2_7_1_148</v>
      </c>
      <c r="I110" s="33" t="str">
        <f t="shared" si="42"/>
        <v>E2_7_1_148_mRNA : 0</v>
      </c>
      <c r="J110" s="16" t="str">
        <f t="shared" si="43"/>
        <v>E2_7_1_148 : 0</v>
      </c>
      <c r="K110" s="34" t="str">
        <f t="shared" si="44"/>
        <v>0.00292 - (0.0093 * E2_7_1_148_mRNA)</v>
      </c>
      <c r="L110" s="31" t="str">
        <f t="shared" si="45"/>
        <v>(0.278 * E2_7_1_148_mRNA) - (0.00000278 * E2_7_1_148)</v>
      </c>
      <c r="M110" s="35" t="str">
        <f t="shared" si="46"/>
        <v>mRNA109: -&gt; E2_7_1_148_mRNA | 0.00292 - (0.0093 * E2_7_1_148_mRNA)</v>
      </c>
      <c r="N110" s="36" t="str">
        <f t="shared" si="47"/>
        <v>Peptide109: E2_7_1_148_mRNA -&gt; E2_7_1_148 | (0.278 * E2_7_1_148_mRNA) - (0.000000278 * E2_7_1_148)</v>
      </c>
    </row>
    <row r="111" spans="1:14" x14ac:dyDescent="0.35">
      <c r="A111">
        <v>110</v>
      </c>
      <c r="B111" s="59" t="s">
        <v>2146</v>
      </c>
      <c r="C111" t="str">
        <f t="shared" si="36"/>
        <v>E2_7_1_15_mRNA</v>
      </c>
      <c r="D111" t="str">
        <f t="shared" si="37"/>
        <v>E2_7_1_15</v>
      </c>
      <c r="E111" s="36" t="str">
        <f t="shared" si="38"/>
        <v>E2_7_1_15_kcat : 13.7</v>
      </c>
      <c r="F111" s="38" t="str">
        <f t="shared" si="39"/>
        <v>E2_7_1_15_km : 1</v>
      </c>
      <c r="G111" s="31" t="str">
        <f t="shared" si="40"/>
        <v>E2_7_1_15_mRNA : E2_7_1_15_mRNA</v>
      </c>
      <c r="H111" s="32" t="str">
        <f t="shared" si="41"/>
        <v>E2_7_1_15 : E2_7_1_15</v>
      </c>
      <c r="I111" s="33" t="str">
        <f t="shared" si="42"/>
        <v>E2_7_1_15_mRNA : 0</v>
      </c>
      <c r="J111" s="16" t="str">
        <f t="shared" si="43"/>
        <v>E2_7_1_15 : 0</v>
      </c>
      <c r="K111" s="34" t="str">
        <f t="shared" si="44"/>
        <v>0.00292 - (0.0093 * E2_7_1_15_mRNA)</v>
      </c>
      <c r="L111" s="31" t="str">
        <f t="shared" si="45"/>
        <v>(0.278 * E2_7_1_15_mRNA) - (0.00000278 * E2_7_1_15)</v>
      </c>
      <c r="M111" s="35" t="str">
        <f t="shared" si="46"/>
        <v>mRNA110: -&gt; E2_7_1_15_mRNA | 0.00292 - (0.0093 * E2_7_1_15_mRNA)</v>
      </c>
      <c r="N111" s="36" t="str">
        <f t="shared" si="47"/>
        <v>Peptide110: E2_7_1_15_mRNA -&gt; E2_7_1_15 | (0.278 * E2_7_1_15_mRNA) - (0.000000278 * E2_7_1_15)</v>
      </c>
    </row>
    <row r="112" spans="1:14" x14ac:dyDescent="0.35">
      <c r="A112">
        <v>111</v>
      </c>
      <c r="B112" s="59" t="s">
        <v>10847</v>
      </c>
      <c r="C112" t="str">
        <f t="shared" si="36"/>
        <v>E2_7_1_162_mRNA</v>
      </c>
      <c r="D112" t="str">
        <f t="shared" si="37"/>
        <v>E2_7_1_162</v>
      </c>
      <c r="E112" s="36" t="str">
        <f t="shared" si="38"/>
        <v>E2_7_1_162_kcat : 13.7</v>
      </c>
      <c r="F112" s="38" t="str">
        <f t="shared" si="39"/>
        <v>E2_7_1_162_km : 1</v>
      </c>
      <c r="G112" s="31" t="str">
        <f t="shared" si="40"/>
        <v>E2_7_1_162_mRNA : E2_7_1_162_mRNA</v>
      </c>
      <c r="H112" s="32" t="str">
        <f t="shared" si="41"/>
        <v>E2_7_1_162 : E2_7_1_162</v>
      </c>
      <c r="I112" s="33" t="str">
        <f t="shared" si="42"/>
        <v>E2_7_1_162_mRNA : 0</v>
      </c>
      <c r="J112" s="16" t="str">
        <f t="shared" si="43"/>
        <v>E2_7_1_162 : 0</v>
      </c>
      <c r="K112" s="34" t="str">
        <f t="shared" si="44"/>
        <v>0.00292 - (0.0093 * E2_7_1_162_mRNA)</v>
      </c>
      <c r="L112" s="31" t="str">
        <f t="shared" si="45"/>
        <v>(0.278 * E2_7_1_162_mRNA) - (0.00000278 * E2_7_1_162)</v>
      </c>
      <c r="M112" s="35" t="str">
        <f t="shared" si="46"/>
        <v>mRNA111: -&gt; E2_7_1_162_mRNA | 0.00292 - (0.0093 * E2_7_1_162_mRNA)</v>
      </c>
      <c r="N112" s="36" t="str">
        <f t="shared" si="47"/>
        <v>Peptide111: E2_7_1_162_mRNA -&gt; E2_7_1_162 | (0.278 * E2_7_1_162_mRNA) - (0.000000278 * E2_7_1_162)</v>
      </c>
    </row>
    <row r="113" spans="1:14" x14ac:dyDescent="0.35">
      <c r="A113">
        <v>112</v>
      </c>
      <c r="B113" s="59" t="s">
        <v>10848</v>
      </c>
      <c r="C113" t="str">
        <f t="shared" si="36"/>
        <v>E2_7_1_17_mRNA</v>
      </c>
      <c r="D113" t="str">
        <f t="shared" si="37"/>
        <v>E2_7_1_17</v>
      </c>
      <c r="E113" s="36" t="str">
        <f t="shared" si="38"/>
        <v>E2_7_1_17_kcat : 13.7</v>
      </c>
      <c r="F113" s="38" t="str">
        <f t="shared" si="39"/>
        <v>E2_7_1_17_km : 1</v>
      </c>
      <c r="G113" s="31" t="str">
        <f t="shared" si="40"/>
        <v>E2_7_1_17_mRNA : E2_7_1_17_mRNA</v>
      </c>
      <c r="H113" s="32" t="str">
        <f t="shared" si="41"/>
        <v>E2_7_1_17 : E2_7_1_17</v>
      </c>
      <c r="I113" s="33" t="str">
        <f t="shared" si="42"/>
        <v>E2_7_1_17_mRNA : 0</v>
      </c>
      <c r="J113" s="16" t="str">
        <f t="shared" si="43"/>
        <v>E2_7_1_17 : 0</v>
      </c>
      <c r="K113" s="34" t="str">
        <f t="shared" si="44"/>
        <v>0.00292 - (0.0093 * E2_7_1_17_mRNA)</v>
      </c>
      <c r="L113" s="31" t="str">
        <f t="shared" si="45"/>
        <v>(0.278 * E2_7_1_17_mRNA) - (0.00000278 * E2_7_1_17)</v>
      </c>
      <c r="M113" s="35" t="str">
        <f t="shared" si="46"/>
        <v>mRNA112: -&gt; E2_7_1_17_mRNA | 0.00292 - (0.0093 * E2_7_1_17_mRNA)</v>
      </c>
      <c r="N113" s="36" t="str">
        <f t="shared" si="47"/>
        <v>Peptide112: E2_7_1_17_mRNA -&gt; E2_7_1_17 | (0.278 * E2_7_1_17_mRNA) - (0.000000278 * E2_7_1_17)</v>
      </c>
    </row>
    <row r="114" spans="1:14" x14ac:dyDescent="0.35">
      <c r="A114">
        <v>113</v>
      </c>
      <c r="B114" s="59" t="s">
        <v>10849</v>
      </c>
      <c r="C114" t="str">
        <f t="shared" si="36"/>
        <v>E2_7_1_180_mRNA</v>
      </c>
      <c r="D114" t="str">
        <f t="shared" si="37"/>
        <v>E2_7_1_180</v>
      </c>
      <c r="E114" s="36" t="str">
        <f t="shared" si="38"/>
        <v>E2_7_1_180_kcat : 13.7</v>
      </c>
      <c r="F114" s="38" t="str">
        <f t="shared" si="39"/>
        <v>E2_7_1_180_km : 1</v>
      </c>
      <c r="G114" s="31" t="str">
        <f t="shared" si="40"/>
        <v>E2_7_1_180_mRNA : E2_7_1_180_mRNA</v>
      </c>
      <c r="H114" s="32" t="str">
        <f t="shared" si="41"/>
        <v>E2_7_1_180 : E2_7_1_180</v>
      </c>
      <c r="I114" s="33" t="str">
        <f t="shared" si="42"/>
        <v>E2_7_1_180_mRNA : 0</v>
      </c>
      <c r="J114" s="16" t="str">
        <f t="shared" si="43"/>
        <v>E2_7_1_180 : 0</v>
      </c>
      <c r="K114" s="34" t="str">
        <f t="shared" si="44"/>
        <v>0.00292 - (0.0093 * E2_7_1_180_mRNA)</v>
      </c>
      <c r="L114" s="31" t="str">
        <f t="shared" si="45"/>
        <v>(0.278 * E2_7_1_180_mRNA) - (0.00000278 * E2_7_1_180)</v>
      </c>
      <c r="M114" s="35" t="str">
        <f t="shared" si="46"/>
        <v>mRNA113: -&gt; E2_7_1_180_mRNA | 0.00292 - (0.0093 * E2_7_1_180_mRNA)</v>
      </c>
      <c r="N114" s="36" t="str">
        <f t="shared" si="47"/>
        <v>Peptide113: E2_7_1_180_mRNA -&gt; E2_7_1_180 | (0.278 * E2_7_1_180_mRNA) - (0.000000278 * E2_7_1_180)</v>
      </c>
    </row>
    <row r="115" spans="1:14" x14ac:dyDescent="0.35">
      <c r="A115">
        <v>114</v>
      </c>
      <c r="B115" s="59" t="s">
        <v>10850</v>
      </c>
      <c r="C115" t="str">
        <f t="shared" si="36"/>
        <v>E2_7_1_193_mRNA</v>
      </c>
      <c r="D115" t="str">
        <f t="shared" si="37"/>
        <v>E2_7_1_193</v>
      </c>
      <c r="E115" s="36" t="str">
        <f t="shared" si="38"/>
        <v>E2_7_1_193_kcat : 13.7</v>
      </c>
      <c r="F115" s="38" t="str">
        <f t="shared" si="39"/>
        <v>E2_7_1_193_km : 1</v>
      </c>
      <c r="G115" s="31" t="str">
        <f t="shared" si="40"/>
        <v>E2_7_1_193_mRNA : E2_7_1_193_mRNA</v>
      </c>
      <c r="H115" s="32" t="str">
        <f t="shared" si="41"/>
        <v>E2_7_1_193 : E2_7_1_193</v>
      </c>
      <c r="I115" s="33" t="str">
        <f t="shared" si="42"/>
        <v>E2_7_1_193_mRNA : 0</v>
      </c>
      <c r="J115" s="16" t="str">
        <f t="shared" si="43"/>
        <v>E2_7_1_193 : 0</v>
      </c>
      <c r="K115" s="34" t="str">
        <f t="shared" si="44"/>
        <v>0.00292 - (0.0093 * E2_7_1_193_mRNA)</v>
      </c>
      <c r="L115" s="31" t="str">
        <f t="shared" si="45"/>
        <v>(0.278 * E2_7_1_193_mRNA) - (0.00000278 * E2_7_1_193)</v>
      </c>
      <c r="M115" s="35" t="str">
        <f t="shared" si="46"/>
        <v>mRNA114: -&gt; E2_7_1_193_mRNA | 0.00292 - (0.0093 * E2_7_1_193_mRNA)</v>
      </c>
      <c r="N115" s="36" t="str">
        <f t="shared" si="47"/>
        <v>Peptide114: E2_7_1_193_mRNA -&gt; E2_7_1_193 | (0.278 * E2_7_1_193_mRNA) - (0.000000278 * E2_7_1_193)</v>
      </c>
    </row>
    <row r="116" spans="1:14" x14ac:dyDescent="0.35">
      <c r="A116">
        <v>115</v>
      </c>
      <c r="B116" s="59" t="s">
        <v>10851</v>
      </c>
      <c r="C116" t="str">
        <f t="shared" si="36"/>
        <v>E2_7_1_2_mRNA</v>
      </c>
      <c r="D116" t="str">
        <f t="shared" si="37"/>
        <v>E2_7_1_2</v>
      </c>
      <c r="E116" s="36" t="str">
        <f t="shared" si="38"/>
        <v>E2_7_1_2_kcat : 13.7</v>
      </c>
      <c r="F116" s="38" t="str">
        <f t="shared" si="39"/>
        <v>E2_7_1_2_km : 1</v>
      </c>
      <c r="G116" s="31" t="str">
        <f t="shared" si="40"/>
        <v>E2_7_1_2_mRNA : E2_7_1_2_mRNA</v>
      </c>
      <c r="H116" s="32" t="str">
        <f t="shared" si="41"/>
        <v>E2_7_1_2 : E2_7_1_2</v>
      </c>
      <c r="I116" s="33" t="str">
        <f t="shared" si="42"/>
        <v>E2_7_1_2_mRNA : 0</v>
      </c>
      <c r="J116" s="16" t="str">
        <f t="shared" si="43"/>
        <v>E2_7_1_2 : 0</v>
      </c>
      <c r="K116" s="34" t="str">
        <f t="shared" si="44"/>
        <v>0.00292 - (0.0093 * E2_7_1_2_mRNA)</v>
      </c>
      <c r="L116" s="31" t="str">
        <f t="shared" si="45"/>
        <v>(0.278 * E2_7_1_2_mRNA) - (0.00000278 * E2_7_1_2)</v>
      </c>
      <c r="M116" s="35" t="str">
        <f t="shared" si="46"/>
        <v>mRNA115: -&gt; E2_7_1_2_mRNA | 0.00292 - (0.0093 * E2_7_1_2_mRNA)</v>
      </c>
      <c r="N116" s="36" t="str">
        <f t="shared" si="47"/>
        <v>Peptide115: E2_7_1_2_mRNA -&gt; E2_7_1_2 | (0.278 * E2_7_1_2_mRNA) - (0.000000278 * E2_7_1_2)</v>
      </c>
    </row>
    <row r="117" spans="1:14" x14ac:dyDescent="0.35">
      <c r="A117">
        <v>116</v>
      </c>
      <c r="B117" s="59" t="s">
        <v>10852</v>
      </c>
      <c r="C117" t="str">
        <f t="shared" si="36"/>
        <v>E2_7_1_202_mRNA</v>
      </c>
      <c r="D117" t="str">
        <f t="shared" si="37"/>
        <v>E2_7_1_202</v>
      </c>
      <c r="E117" s="36" t="str">
        <f t="shared" si="38"/>
        <v>E2_7_1_202_kcat : 13.7</v>
      </c>
      <c r="F117" s="38" t="str">
        <f t="shared" si="39"/>
        <v>E2_7_1_202_km : 1</v>
      </c>
      <c r="G117" s="31" t="str">
        <f t="shared" si="40"/>
        <v>E2_7_1_202_mRNA : E2_7_1_202_mRNA</v>
      </c>
      <c r="H117" s="32" t="str">
        <f t="shared" si="41"/>
        <v>E2_7_1_202 : E2_7_1_202</v>
      </c>
      <c r="I117" s="33" t="str">
        <f t="shared" si="42"/>
        <v>E2_7_1_202_mRNA : 0</v>
      </c>
      <c r="J117" s="16" t="str">
        <f t="shared" si="43"/>
        <v>E2_7_1_202 : 0</v>
      </c>
      <c r="K117" s="34" t="str">
        <f t="shared" si="44"/>
        <v>0.00292 - (0.0093 * E2_7_1_202_mRNA)</v>
      </c>
      <c r="L117" s="31" t="str">
        <f t="shared" si="45"/>
        <v>(0.278 * E2_7_1_202_mRNA) - (0.00000278 * E2_7_1_202)</v>
      </c>
      <c r="M117" s="35" t="str">
        <f t="shared" si="46"/>
        <v>mRNA116: -&gt; E2_7_1_202_mRNA | 0.00292 - (0.0093 * E2_7_1_202_mRNA)</v>
      </c>
      <c r="N117" s="36" t="str">
        <f t="shared" si="47"/>
        <v>Peptide116: E2_7_1_202_mRNA -&gt; E2_7_1_202 | (0.278 * E2_7_1_202_mRNA) - (0.000000278 * E2_7_1_202)</v>
      </c>
    </row>
    <row r="118" spans="1:14" x14ac:dyDescent="0.35">
      <c r="A118">
        <v>117</v>
      </c>
      <c r="B118" s="59" t="s">
        <v>2116</v>
      </c>
      <c r="C118" t="str">
        <f t="shared" si="36"/>
        <v>E2_7_1_23_mRNA</v>
      </c>
      <c r="D118" t="str">
        <f t="shared" si="37"/>
        <v>E2_7_1_23</v>
      </c>
      <c r="E118" s="36" t="str">
        <f t="shared" si="38"/>
        <v>E2_7_1_23_kcat : 13.7</v>
      </c>
      <c r="F118" s="38" t="str">
        <f t="shared" si="39"/>
        <v>E2_7_1_23_km : 1</v>
      </c>
      <c r="G118" s="31" t="str">
        <f t="shared" si="40"/>
        <v>E2_7_1_23_mRNA : E2_7_1_23_mRNA</v>
      </c>
      <c r="H118" s="32" t="str">
        <f t="shared" si="41"/>
        <v>E2_7_1_23 : E2_7_1_23</v>
      </c>
      <c r="I118" s="33" t="str">
        <f t="shared" si="42"/>
        <v>E2_7_1_23_mRNA : 0</v>
      </c>
      <c r="J118" s="16" t="str">
        <f t="shared" si="43"/>
        <v>E2_7_1_23 : 0</v>
      </c>
      <c r="K118" s="34" t="str">
        <f t="shared" si="44"/>
        <v>0.00292 - (0.0093 * E2_7_1_23_mRNA)</v>
      </c>
      <c r="L118" s="31" t="str">
        <f t="shared" si="45"/>
        <v>(0.278 * E2_7_1_23_mRNA) - (0.00000278 * E2_7_1_23)</v>
      </c>
      <c r="M118" s="35" t="str">
        <f t="shared" si="46"/>
        <v>mRNA117: -&gt; E2_7_1_23_mRNA | 0.00292 - (0.0093 * E2_7_1_23_mRNA)</v>
      </c>
      <c r="N118" s="36" t="str">
        <f t="shared" si="47"/>
        <v>Peptide117: E2_7_1_23_mRNA -&gt; E2_7_1_23 | (0.278 * E2_7_1_23_mRNA) - (0.000000278 * E2_7_1_23)</v>
      </c>
    </row>
    <row r="119" spans="1:14" x14ac:dyDescent="0.35">
      <c r="A119">
        <v>118</v>
      </c>
      <c r="B119" s="59" t="s">
        <v>2170</v>
      </c>
      <c r="C119" t="str">
        <f t="shared" si="36"/>
        <v>E2_7_1_24_mRNA</v>
      </c>
      <c r="D119" t="str">
        <f t="shared" si="37"/>
        <v>E2_7_1_24</v>
      </c>
      <c r="E119" s="36" t="str">
        <f t="shared" si="38"/>
        <v>E2_7_1_24_kcat : 13.7</v>
      </c>
      <c r="F119" s="38" t="str">
        <f t="shared" si="39"/>
        <v>E2_7_1_24_km : 1</v>
      </c>
      <c r="G119" s="31" t="str">
        <f t="shared" si="40"/>
        <v>E2_7_1_24_mRNA : E2_7_1_24_mRNA</v>
      </c>
      <c r="H119" s="32" t="str">
        <f t="shared" si="41"/>
        <v>E2_7_1_24 : E2_7_1_24</v>
      </c>
      <c r="I119" s="33" t="str">
        <f t="shared" si="42"/>
        <v>E2_7_1_24_mRNA : 0</v>
      </c>
      <c r="J119" s="16" t="str">
        <f t="shared" si="43"/>
        <v>E2_7_1_24 : 0</v>
      </c>
      <c r="K119" s="34" t="str">
        <f t="shared" si="44"/>
        <v>0.00292 - (0.0093 * E2_7_1_24_mRNA)</v>
      </c>
      <c r="L119" s="31" t="str">
        <f t="shared" si="45"/>
        <v>(0.278 * E2_7_1_24_mRNA) - (0.00000278 * E2_7_1_24)</v>
      </c>
      <c r="M119" s="35" t="str">
        <f t="shared" si="46"/>
        <v>mRNA118: -&gt; E2_7_1_24_mRNA | 0.00292 - (0.0093 * E2_7_1_24_mRNA)</v>
      </c>
      <c r="N119" s="36" t="str">
        <f t="shared" si="47"/>
        <v>Peptide118: E2_7_1_24_mRNA -&gt; E2_7_1_24 | (0.278 * E2_7_1_24_mRNA) - (0.000000278 * E2_7_1_24)</v>
      </c>
    </row>
    <row r="120" spans="1:14" x14ac:dyDescent="0.35">
      <c r="A120">
        <v>119</v>
      </c>
      <c r="B120" s="59" t="s">
        <v>2155</v>
      </c>
      <c r="C120" t="str">
        <f t="shared" si="36"/>
        <v>E2_7_1_26_mRNA</v>
      </c>
      <c r="D120" t="str">
        <f t="shared" si="37"/>
        <v>E2_7_1_26</v>
      </c>
      <c r="E120" s="36" t="str">
        <f t="shared" si="38"/>
        <v>E2_7_1_26_kcat : 13.7</v>
      </c>
      <c r="F120" s="38" t="str">
        <f t="shared" si="39"/>
        <v>E2_7_1_26_km : 1</v>
      </c>
      <c r="G120" s="31" t="str">
        <f t="shared" si="40"/>
        <v>E2_7_1_26_mRNA : E2_7_1_26_mRNA</v>
      </c>
      <c r="H120" s="32" t="str">
        <f t="shared" si="41"/>
        <v>E2_7_1_26 : E2_7_1_26</v>
      </c>
      <c r="I120" s="33" t="str">
        <f t="shared" si="42"/>
        <v>E2_7_1_26_mRNA : 0</v>
      </c>
      <c r="J120" s="16" t="str">
        <f t="shared" si="43"/>
        <v>E2_7_1_26 : 0</v>
      </c>
      <c r="K120" s="34" t="str">
        <f t="shared" si="44"/>
        <v>0.00292 - (0.0093 * E2_7_1_26_mRNA)</v>
      </c>
      <c r="L120" s="31" t="str">
        <f t="shared" si="45"/>
        <v>(0.278 * E2_7_1_26_mRNA) - (0.00000278 * E2_7_1_26)</v>
      </c>
      <c r="M120" s="35" t="str">
        <f t="shared" si="46"/>
        <v>mRNA119: -&gt; E2_7_1_26_mRNA | 0.00292 - (0.0093 * E2_7_1_26_mRNA)</v>
      </c>
      <c r="N120" s="36" t="str">
        <f t="shared" si="47"/>
        <v>Peptide119: E2_7_1_26_mRNA -&gt; E2_7_1_26 | (0.278 * E2_7_1_26_mRNA) - (0.000000278 * E2_7_1_26)</v>
      </c>
    </row>
    <row r="121" spans="1:14" x14ac:dyDescent="0.35">
      <c r="A121">
        <v>120</v>
      </c>
      <c r="B121" s="59" t="s">
        <v>2157</v>
      </c>
      <c r="C121" t="str">
        <f t="shared" si="36"/>
        <v>E2_7_1_31_mRNA</v>
      </c>
      <c r="D121" t="str">
        <f t="shared" si="37"/>
        <v>E2_7_1_31</v>
      </c>
      <c r="E121" s="36" t="str">
        <f t="shared" si="38"/>
        <v>E2_7_1_31_kcat : 13.7</v>
      </c>
      <c r="F121" s="38" t="str">
        <f t="shared" si="39"/>
        <v>E2_7_1_31_km : 1</v>
      </c>
      <c r="G121" s="31" t="str">
        <f t="shared" si="40"/>
        <v>E2_7_1_31_mRNA : E2_7_1_31_mRNA</v>
      </c>
      <c r="H121" s="32" t="str">
        <f t="shared" si="41"/>
        <v>E2_7_1_31 : E2_7_1_31</v>
      </c>
      <c r="I121" s="33" t="str">
        <f t="shared" si="42"/>
        <v>E2_7_1_31_mRNA : 0</v>
      </c>
      <c r="J121" s="16" t="str">
        <f t="shared" si="43"/>
        <v>E2_7_1_31 : 0</v>
      </c>
      <c r="K121" s="34" t="str">
        <f t="shared" si="44"/>
        <v>0.00292 - (0.0093 * E2_7_1_31_mRNA)</v>
      </c>
      <c r="L121" s="31" t="str">
        <f t="shared" si="45"/>
        <v>(0.278 * E2_7_1_31_mRNA) - (0.00000278 * E2_7_1_31)</v>
      </c>
      <c r="M121" s="35" t="str">
        <f t="shared" si="46"/>
        <v>mRNA120: -&gt; E2_7_1_31_mRNA | 0.00292 - (0.0093 * E2_7_1_31_mRNA)</v>
      </c>
      <c r="N121" s="36" t="str">
        <f t="shared" si="47"/>
        <v>Peptide120: E2_7_1_31_mRNA -&gt; E2_7_1_31 | (0.278 * E2_7_1_31_mRNA) - (0.000000278 * E2_7_1_31)</v>
      </c>
    </row>
    <row r="122" spans="1:14" x14ac:dyDescent="0.35">
      <c r="A122">
        <v>121</v>
      </c>
      <c r="B122" s="59" t="s">
        <v>2167</v>
      </c>
      <c r="C122" t="str">
        <f t="shared" si="36"/>
        <v>E2_7_1_33_mRNA</v>
      </c>
      <c r="D122" t="str">
        <f t="shared" si="37"/>
        <v>E2_7_1_33</v>
      </c>
      <c r="E122" s="36" t="str">
        <f t="shared" si="38"/>
        <v>E2_7_1_33_kcat : 13.7</v>
      </c>
      <c r="F122" s="38" t="str">
        <f t="shared" si="39"/>
        <v>E2_7_1_33_km : 1</v>
      </c>
      <c r="G122" s="31" t="str">
        <f t="shared" si="40"/>
        <v>E2_7_1_33_mRNA : E2_7_1_33_mRNA</v>
      </c>
      <c r="H122" s="32" t="str">
        <f t="shared" si="41"/>
        <v>E2_7_1_33 : E2_7_1_33</v>
      </c>
      <c r="I122" s="33" t="str">
        <f t="shared" si="42"/>
        <v>E2_7_1_33_mRNA : 0</v>
      </c>
      <c r="J122" s="16" t="str">
        <f t="shared" si="43"/>
        <v>E2_7_1_33 : 0</v>
      </c>
      <c r="K122" s="34" t="str">
        <f t="shared" si="44"/>
        <v>0.00292 - (0.0093 * E2_7_1_33_mRNA)</v>
      </c>
      <c r="L122" s="31" t="str">
        <f t="shared" si="45"/>
        <v>(0.278 * E2_7_1_33_mRNA) - (0.00000278 * E2_7_1_33)</v>
      </c>
      <c r="M122" s="35" t="str">
        <f t="shared" si="46"/>
        <v>mRNA121: -&gt; E2_7_1_33_mRNA | 0.00292 - (0.0093 * E2_7_1_33_mRNA)</v>
      </c>
      <c r="N122" s="36" t="str">
        <f t="shared" si="47"/>
        <v>Peptide121: E2_7_1_33_mRNA -&gt; E2_7_1_33 | (0.278 * E2_7_1_33_mRNA) - (0.000000278 * E2_7_1_33)</v>
      </c>
    </row>
    <row r="123" spans="1:14" x14ac:dyDescent="0.35">
      <c r="A123">
        <v>122</v>
      </c>
      <c r="B123" s="59" t="s">
        <v>10853</v>
      </c>
      <c r="C123" t="str">
        <f t="shared" si="36"/>
        <v>E2_7_1_35_mRNA</v>
      </c>
      <c r="D123" t="str">
        <f t="shared" si="37"/>
        <v>E2_7_1_35</v>
      </c>
      <c r="E123" s="36" t="str">
        <f t="shared" si="38"/>
        <v>E2_7_1_35_kcat : 13.7</v>
      </c>
      <c r="F123" s="38" t="str">
        <f t="shared" si="39"/>
        <v>E2_7_1_35_km : 1</v>
      </c>
      <c r="G123" s="31" t="str">
        <f t="shared" si="40"/>
        <v>E2_7_1_35_mRNA : E2_7_1_35_mRNA</v>
      </c>
      <c r="H123" s="32" t="str">
        <f t="shared" si="41"/>
        <v>E2_7_1_35 : E2_7_1_35</v>
      </c>
      <c r="I123" s="33" t="str">
        <f t="shared" si="42"/>
        <v>E2_7_1_35_mRNA : 0</v>
      </c>
      <c r="J123" s="16" t="str">
        <f t="shared" si="43"/>
        <v>E2_7_1_35 : 0</v>
      </c>
      <c r="K123" s="34" t="str">
        <f t="shared" si="44"/>
        <v>0.00292 - (0.0093 * E2_7_1_35_mRNA)</v>
      </c>
      <c r="L123" s="31" t="str">
        <f t="shared" si="45"/>
        <v>(0.278 * E2_7_1_35_mRNA) - (0.00000278 * E2_7_1_35)</v>
      </c>
      <c r="M123" s="35" t="str">
        <f t="shared" si="46"/>
        <v>mRNA122: -&gt; E2_7_1_35_mRNA | 0.00292 - (0.0093 * E2_7_1_35_mRNA)</v>
      </c>
      <c r="N123" s="36" t="str">
        <f t="shared" si="47"/>
        <v>Peptide122: E2_7_1_35_mRNA -&gt; E2_7_1_35 | (0.278 * E2_7_1_35_mRNA) - (0.000000278 * E2_7_1_35)</v>
      </c>
    </row>
    <row r="124" spans="1:14" x14ac:dyDescent="0.35">
      <c r="A124">
        <v>123</v>
      </c>
      <c r="B124" s="59" t="s">
        <v>2158</v>
      </c>
      <c r="C124" t="str">
        <f t="shared" si="36"/>
        <v>E2_7_1_39_mRNA</v>
      </c>
      <c r="D124" t="str">
        <f t="shared" si="37"/>
        <v>E2_7_1_39</v>
      </c>
      <c r="E124" s="36" t="str">
        <f t="shared" si="38"/>
        <v>E2_7_1_39_kcat : 13.7</v>
      </c>
      <c r="F124" s="38" t="str">
        <f t="shared" si="39"/>
        <v>E2_7_1_39_km : 1</v>
      </c>
      <c r="G124" s="31" t="str">
        <f t="shared" si="40"/>
        <v>E2_7_1_39_mRNA : E2_7_1_39_mRNA</v>
      </c>
      <c r="H124" s="32" t="str">
        <f t="shared" si="41"/>
        <v>E2_7_1_39 : E2_7_1_39</v>
      </c>
      <c r="I124" s="33" t="str">
        <f t="shared" si="42"/>
        <v>E2_7_1_39_mRNA : 0</v>
      </c>
      <c r="J124" s="16" t="str">
        <f t="shared" si="43"/>
        <v>E2_7_1_39 : 0</v>
      </c>
      <c r="K124" s="34" t="str">
        <f t="shared" si="44"/>
        <v>0.00292 - (0.0093 * E2_7_1_39_mRNA)</v>
      </c>
      <c r="L124" s="31" t="str">
        <f t="shared" si="45"/>
        <v>(0.278 * E2_7_1_39_mRNA) - (0.00000278 * E2_7_1_39)</v>
      </c>
      <c r="M124" s="35" t="str">
        <f t="shared" si="46"/>
        <v>mRNA123: -&gt; E2_7_1_39_mRNA | 0.00292 - (0.0093 * E2_7_1_39_mRNA)</v>
      </c>
      <c r="N124" s="36" t="str">
        <f t="shared" si="47"/>
        <v>Peptide123: E2_7_1_39_mRNA -&gt; E2_7_1_39 | (0.278 * E2_7_1_39_mRNA) - (0.000000278 * E2_7_1_39)</v>
      </c>
    </row>
    <row r="125" spans="1:14" x14ac:dyDescent="0.35">
      <c r="A125">
        <v>124</v>
      </c>
      <c r="B125" s="59" t="s">
        <v>2118</v>
      </c>
      <c r="C125" t="str">
        <f t="shared" si="36"/>
        <v>E2_7_1_40_mRNA</v>
      </c>
      <c r="D125" t="str">
        <f t="shared" si="37"/>
        <v>E2_7_1_40</v>
      </c>
      <c r="E125" s="36" t="str">
        <f t="shared" si="38"/>
        <v>E2_7_1_40_kcat : 13.7</v>
      </c>
      <c r="F125" s="38" t="str">
        <f t="shared" si="39"/>
        <v>E2_7_1_40_km : 1</v>
      </c>
      <c r="G125" s="31" t="str">
        <f t="shared" si="40"/>
        <v>E2_7_1_40_mRNA : E2_7_1_40_mRNA</v>
      </c>
      <c r="H125" s="32" t="str">
        <f t="shared" si="41"/>
        <v>E2_7_1_40 : E2_7_1_40</v>
      </c>
      <c r="I125" s="33" t="str">
        <f t="shared" si="42"/>
        <v>E2_7_1_40_mRNA : 0</v>
      </c>
      <c r="J125" s="16" t="str">
        <f t="shared" si="43"/>
        <v>E2_7_1_40 : 0</v>
      </c>
      <c r="K125" s="34" t="str">
        <f t="shared" si="44"/>
        <v>0.00292 - (0.0093 * E2_7_1_40_mRNA)</v>
      </c>
      <c r="L125" s="31" t="str">
        <f t="shared" si="45"/>
        <v>(0.278 * E2_7_1_40_mRNA) - (0.00000278 * E2_7_1_40)</v>
      </c>
      <c r="M125" s="35" t="str">
        <f t="shared" si="46"/>
        <v>mRNA124: -&gt; E2_7_1_40_mRNA | 0.00292 - (0.0093 * E2_7_1_40_mRNA)</v>
      </c>
      <c r="N125" s="36" t="str">
        <f t="shared" si="47"/>
        <v>Peptide124: E2_7_1_40_mRNA -&gt; E2_7_1_40 | (0.278 * E2_7_1_40_mRNA) - (0.000000278 * E2_7_1_40)</v>
      </c>
    </row>
    <row r="126" spans="1:14" x14ac:dyDescent="0.35">
      <c r="A126">
        <v>125</v>
      </c>
      <c r="B126" s="59" t="s">
        <v>2178</v>
      </c>
      <c r="C126" t="str">
        <f t="shared" si="36"/>
        <v>E2_7_1_49_mRNA</v>
      </c>
      <c r="D126" t="str">
        <f t="shared" si="37"/>
        <v>E2_7_1_49</v>
      </c>
      <c r="E126" s="36" t="str">
        <f t="shared" si="38"/>
        <v>E2_7_1_49_kcat : 13.7</v>
      </c>
      <c r="F126" s="38" t="str">
        <f t="shared" si="39"/>
        <v>E2_7_1_49_km : 1</v>
      </c>
      <c r="G126" s="31" t="str">
        <f t="shared" si="40"/>
        <v>E2_7_1_49_mRNA : E2_7_1_49_mRNA</v>
      </c>
      <c r="H126" s="32" t="str">
        <f t="shared" si="41"/>
        <v>E2_7_1_49 : E2_7_1_49</v>
      </c>
      <c r="I126" s="33" t="str">
        <f t="shared" si="42"/>
        <v>E2_7_1_49_mRNA : 0</v>
      </c>
      <c r="J126" s="16" t="str">
        <f t="shared" si="43"/>
        <v>E2_7_1_49 : 0</v>
      </c>
      <c r="K126" s="34" t="str">
        <f t="shared" si="44"/>
        <v>0.00292 - (0.0093 * E2_7_1_49_mRNA)</v>
      </c>
      <c r="L126" s="31" t="str">
        <f t="shared" si="45"/>
        <v>(0.278 * E2_7_1_49_mRNA) - (0.00000278 * E2_7_1_49)</v>
      </c>
      <c r="M126" s="35" t="str">
        <f t="shared" si="46"/>
        <v>mRNA125: -&gt; E2_7_1_49_mRNA | 0.00292 - (0.0093 * E2_7_1_49_mRNA)</v>
      </c>
      <c r="N126" s="36" t="str">
        <f t="shared" si="47"/>
        <v>Peptide125: E2_7_1_49_mRNA -&gt; E2_7_1_49 | (0.278 * E2_7_1_49_mRNA) - (0.000000278 * E2_7_1_49)</v>
      </c>
    </row>
    <row r="127" spans="1:14" x14ac:dyDescent="0.35">
      <c r="A127">
        <v>126</v>
      </c>
      <c r="B127" s="59" t="s">
        <v>10854</v>
      </c>
      <c r="C127" t="str">
        <f t="shared" si="36"/>
        <v>E2_7_1_50_mRNA</v>
      </c>
      <c r="D127" t="str">
        <f t="shared" si="37"/>
        <v>E2_7_1_50</v>
      </c>
      <c r="E127" s="36" t="str">
        <f t="shared" si="38"/>
        <v>E2_7_1_50_kcat : 13.7</v>
      </c>
      <c r="F127" s="38" t="str">
        <f t="shared" si="39"/>
        <v>E2_7_1_50_km : 1</v>
      </c>
      <c r="G127" s="31" t="str">
        <f t="shared" si="40"/>
        <v>E2_7_1_50_mRNA : E2_7_1_50_mRNA</v>
      </c>
      <c r="H127" s="32" t="str">
        <f t="shared" si="41"/>
        <v>E2_7_1_50 : E2_7_1_50</v>
      </c>
      <c r="I127" s="33" t="str">
        <f t="shared" si="42"/>
        <v>E2_7_1_50_mRNA : 0</v>
      </c>
      <c r="J127" s="16" t="str">
        <f t="shared" si="43"/>
        <v>E2_7_1_50 : 0</v>
      </c>
      <c r="K127" s="34" t="str">
        <f t="shared" si="44"/>
        <v>0.00292 - (0.0093 * E2_7_1_50_mRNA)</v>
      </c>
      <c r="L127" s="31" t="str">
        <f t="shared" si="45"/>
        <v>(0.278 * E2_7_1_50_mRNA) - (0.00000278 * E2_7_1_50)</v>
      </c>
      <c r="M127" s="35" t="str">
        <f t="shared" si="46"/>
        <v>mRNA126: -&gt; E2_7_1_50_mRNA | 0.00292 - (0.0093 * E2_7_1_50_mRNA)</v>
      </c>
      <c r="N127" s="36" t="str">
        <f t="shared" si="47"/>
        <v>Peptide126: E2_7_1_50_mRNA -&gt; E2_7_1_50 | (0.278 * E2_7_1_50_mRNA) - (0.000000278 * E2_7_1_50)</v>
      </c>
    </row>
    <row r="128" spans="1:14" x14ac:dyDescent="0.35">
      <c r="A128">
        <v>127</v>
      </c>
      <c r="B128" s="59" t="s">
        <v>2171</v>
      </c>
      <c r="C128" t="str">
        <f t="shared" si="36"/>
        <v>E2_7_1_6_mRNA</v>
      </c>
      <c r="D128" t="str">
        <f t="shared" si="37"/>
        <v>E2_7_1_6</v>
      </c>
      <c r="E128" s="36" t="str">
        <f t="shared" si="38"/>
        <v>E2_7_1_6_kcat : 13.7</v>
      </c>
      <c r="F128" s="38" t="str">
        <f t="shared" si="39"/>
        <v>E2_7_1_6_km : 1</v>
      </c>
      <c r="G128" s="31" t="str">
        <f t="shared" si="40"/>
        <v>E2_7_1_6_mRNA : E2_7_1_6_mRNA</v>
      </c>
      <c r="H128" s="32" t="str">
        <f t="shared" si="41"/>
        <v>E2_7_1_6 : E2_7_1_6</v>
      </c>
      <c r="I128" s="33" t="str">
        <f t="shared" si="42"/>
        <v>E2_7_1_6_mRNA : 0</v>
      </c>
      <c r="J128" s="16" t="str">
        <f t="shared" si="43"/>
        <v>E2_7_1_6 : 0</v>
      </c>
      <c r="K128" s="34" t="str">
        <f t="shared" si="44"/>
        <v>0.00292 - (0.0093 * E2_7_1_6_mRNA)</v>
      </c>
      <c r="L128" s="31" t="str">
        <f t="shared" si="45"/>
        <v>(0.278 * E2_7_1_6_mRNA) - (0.00000278 * E2_7_1_6)</v>
      </c>
      <c r="M128" s="35" t="str">
        <f t="shared" si="46"/>
        <v>mRNA127: -&gt; E2_7_1_6_mRNA | 0.00292 - (0.0093 * E2_7_1_6_mRNA)</v>
      </c>
      <c r="N128" s="36" t="str">
        <f t="shared" si="47"/>
        <v>Peptide127: E2_7_1_6_mRNA -&gt; E2_7_1_6 | (0.278 * E2_7_1_6_mRNA) - (0.000000278 * E2_7_1_6)</v>
      </c>
    </row>
    <row r="129" spans="1:14" x14ac:dyDescent="0.35">
      <c r="A129">
        <v>128</v>
      </c>
      <c r="B129" s="59" t="s">
        <v>10855</v>
      </c>
      <c r="C129" t="str">
        <f t="shared" si="36"/>
        <v>E2_7_1_63_mRNA</v>
      </c>
      <c r="D129" t="str">
        <f t="shared" si="37"/>
        <v>E2_7_1_63</v>
      </c>
      <c r="E129" s="36" t="str">
        <f t="shared" si="38"/>
        <v>E2_7_1_63_kcat : 13.7</v>
      </c>
      <c r="F129" s="38" t="str">
        <f t="shared" si="39"/>
        <v>E2_7_1_63_km : 1</v>
      </c>
      <c r="G129" s="31" t="str">
        <f t="shared" si="40"/>
        <v>E2_7_1_63_mRNA : E2_7_1_63_mRNA</v>
      </c>
      <c r="H129" s="32" t="str">
        <f t="shared" si="41"/>
        <v>E2_7_1_63 : E2_7_1_63</v>
      </c>
      <c r="I129" s="33" t="str">
        <f t="shared" si="42"/>
        <v>E2_7_1_63_mRNA : 0</v>
      </c>
      <c r="J129" s="16" t="str">
        <f t="shared" si="43"/>
        <v>E2_7_1_63 : 0</v>
      </c>
      <c r="K129" s="34" t="str">
        <f t="shared" si="44"/>
        <v>0.00292 - (0.0093 * E2_7_1_63_mRNA)</v>
      </c>
      <c r="L129" s="31" t="str">
        <f t="shared" si="45"/>
        <v>(0.278 * E2_7_1_63_mRNA) - (0.00000278 * E2_7_1_63)</v>
      </c>
      <c r="M129" s="35" t="str">
        <f t="shared" si="46"/>
        <v>mRNA128: -&gt; E2_7_1_63_mRNA | 0.00292 - (0.0093 * E2_7_1_63_mRNA)</v>
      </c>
      <c r="N129" s="36" t="str">
        <f t="shared" si="47"/>
        <v>Peptide128: E2_7_1_63_mRNA -&gt; E2_7_1_63 | (0.278 * E2_7_1_63_mRNA) - (0.000000278 * E2_7_1_63)</v>
      </c>
    </row>
    <row r="130" spans="1:14" x14ac:dyDescent="0.35">
      <c r="A130">
        <v>129</v>
      </c>
      <c r="B130" s="59" t="s">
        <v>2165</v>
      </c>
      <c r="C130" t="str">
        <f t="shared" ref="C130:C161" si="48">CONCATENATE(D130,"_mRNA")</f>
        <v>E2_7_13_3_mRNA</v>
      </c>
      <c r="D130" t="str">
        <f t="shared" ref="D130:D161" si="49">CONCATENATE("E",B130)</f>
        <v>E2_7_13_3</v>
      </c>
      <c r="E130" s="36" t="str">
        <f t="shared" ref="E130:E161" si="50">CONCATENATE("E",B130,"_kcat : 13.7")</f>
        <v>E2_7_13_3_kcat : 13.7</v>
      </c>
      <c r="F130" s="38" t="str">
        <f t="shared" ref="F130:F161" si="51">CONCATENATE("E",B130,"_km : 1")</f>
        <v>E2_7_13_3_km : 1</v>
      </c>
      <c r="G130" s="31" t="str">
        <f t="shared" ref="G130:G161" si="52">CONCATENATE(C130," : ",C130)</f>
        <v>E2_7_13_3_mRNA : E2_7_13_3_mRNA</v>
      </c>
      <c r="H130" s="32" t="str">
        <f t="shared" ref="H130:H161" si="53">CONCATENATE(D130," : ",D130)</f>
        <v>E2_7_13_3 : E2_7_13_3</v>
      </c>
      <c r="I130" s="33" t="str">
        <f t="shared" ref="I130:I161" si="54">CONCATENATE(C130," : ","0")</f>
        <v>E2_7_13_3_mRNA : 0</v>
      </c>
      <c r="J130" s="16" t="str">
        <f t="shared" ref="J130:J161" si="55">CONCATENATE(D130," : ","0")</f>
        <v>E2_7_13_3 : 0</v>
      </c>
      <c r="K130" s="34" t="str">
        <f t="shared" ref="K130:K161" si="56">CONCATENATE("0.00292 - (0.0093 * ",C130,")")</f>
        <v>0.00292 - (0.0093 * E2_7_13_3_mRNA)</v>
      </c>
      <c r="L130" s="31" t="str">
        <f t="shared" ref="L130:L161" si="57">CONCATENATE("(0.278 * ",C130,")"," - (0.00000278 * ",D130,")")</f>
        <v>(0.278 * E2_7_13_3_mRNA) - (0.00000278 * E2_7_13_3)</v>
      </c>
      <c r="M130" s="35" t="str">
        <f t="shared" ref="M130:M161" si="58">CONCATENATE("mRNA",A130,": -&gt; ",C130," | ","0.00292"," - ","(","0.0093"," * ",C130,")")</f>
        <v>mRNA129: -&gt; E2_7_13_3_mRNA | 0.00292 - (0.0093 * E2_7_13_3_mRNA)</v>
      </c>
      <c r="N130" s="36" t="str">
        <f t="shared" ref="N130:N161" si="59">CONCATENATE("Peptide",A130,": ",C130," -&gt; ",D130," | ","(","0.278"," * ",C130,")"," - ","(","0.000000278"," * ",D130,")")</f>
        <v>Peptide129: E2_7_13_3_mRNA -&gt; E2_7_13_3 | (0.278 * E2_7_13_3_mRNA) - (0.000000278 * E2_7_13_3)</v>
      </c>
    </row>
    <row r="131" spans="1:14" x14ac:dyDescent="0.35">
      <c r="A131">
        <v>130</v>
      </c>
      <c r="B131" s="59" t="s">
        <v>10856</v>
      </c>
      <c r="C131" t="str">
        <f t="shared" si="48"/>
        <v>E2_7_2_11_mRNA</v>
      </c>
      <c r="D131" t="str">
        <f t="shared" si="49"/>
        <v>E2_7_2_11</v>
      </c>
      <c r="E131" s="36" t="str">
        <f t="shared" si="50"/>
        <v>E2_7_2_11_kcat : 13.7</v>
      </c>
      <c r="F131" s="38" t="str">
        <f t="shared" si="51"/>
        <v>E2_7_2_11_km : 1</v>
      </c>
      <c r="G131" s="31" t="str">
        <f t="shared" si="52"/>
        <v>E2_7_2_11_mRNA : E2_7_2_11_mRNA</v>
      </c>
      <c r="H131" s="32" t="str">
        <f t="shared" si="53"/>
        <v>E2_7_2_11 : E2_7_2_11</v>
      </c>
      <c r="I131" s="33" t="str">
        <f t="shared" si="54"/>
        <v>E2_7_2_11_mRNA : 0</v>
      </c>
      <c r="J131" s="16" t="str">
        <f t="shared" si="55"/>
        <v>E2_7_2_11 : 0</v>
      </c>
      <c r="K131" s="34" t="str">
        <f t="shared" si="56"/>
        <v>0.00292 - (0.0093 * E2_7_2_11_mRNA)</v>
      </c>
      <c r="L131" s="31" t="str">
        <f t="shared" si="57"/>
        <v>(0.278 * E2_7_2_11_mRNA) - (0.00000278 * E2_7_2_11)</v>
      </c>
      <c r="M131" s="35" t="str">
        <f t="shared" si="58"/>
        <v>mRNA130: -&gt; E2_7_2_11_mRNA | 0.00292 - (0.0093 * E2_7_2_11_mRNA)</v>
      </c>
      <c r="N131" s="36" t="str">
        <f t="shared" si="59"/>
        <v>Peptide130: E2_7_2_11_mRNA -&gt; E2_7_2_11 | (0.278 * E2_7_2_11_mRNA) - (0.000000278 * E2_7_2_11)</v>
      </c>
    </row>
    <row r="132" spans="1:14" x14ac:dyDescent="0.35">
      <c r="A132">
        <v>131</v>
      </c>
      <c r="B132" s="59" t="s">
        <v>2153</v>
      </c>
      <c r="C132" t="str">
        <f t="shared" si="48"/>
        <v>E2_7_2_3_mRNA</v>
      </c>
      <c r="D132" t="str">
        <f t="shared" si="49"/>
        <v>E2_7_2_3</v>
      </c>
      <c r="E132" s="36" t="str">
        <f t="shared" si="50"/>
        <v>E2_7_2_3_kcat : 13.7</v>
      </c>
      <c r="F132" s="38" t="str">
        <f t="shared" si="51"/>
        <v>E2_7_2_3_km : 1</v>
      </c>
      <c r="G132" s="31" t="str">
        <f t="shared" si="52"/>
        <v>E2_7_2_3_mRNA : E2_7_2_3_mRNA</v>
      </c>
      <c r="H132" s="32" t="str">
        <f t="shared" si="53"/>
        <v>E2_7_2_3 : E2_7_2_3</v>
      </c>
      <c r="I132" s="33" t="str">
        <f t="shared" si="54"/>
        <v>E2_7_2_3_mRNA : 0</v>
      </c>
      <c r="J132" s="16" t="str">
        <f t="shared" si="55"/>
        <v>E2_7_2_3 : 0</v>
      </c>
      <c r="K132" s="34" t="str">
        <f t="shared" si="56"/>
        <v>0.00292 - (0.0093 * E2_7_2_3_mRNA)</v>
      </c>
      <c r="L132" s="31" t="str">
        <f t="shared" si="57"/>
        <v>(0.278 * E2_7_2_3_mRNA) - (0.00000278 * E2_7_2_3)</v>
      </c>
      <c r="M132" s="35" t="str">
        <f t="shared" si="58"/>
        <v>mRNA131: -&gt; E2_7_2_3_mRNA | 0.00292 - (0.0093 * E2_7_2_3_mRNA)</v>
      </c>
      <c r="N132" s="36" t="str">
        <f t="shared" si="59"/>
        <v>Peptide131: E2_7_2_3_mRNA -&gt; E2_7_2_3 | (0.278 * E2_7_2_3_mRNA) - (0.000000278 * E2_7_2_3)</v>
      </c>
    </row>
    <row r="133" spans="1:14" x14ac:dyDescent="0.35">
      <c r="A133">
        <v>132</v>
      </c>
      <c r="B133" s="59" t="s">
        <v>2127</v>
      </c>
      <c r="C133" t="str">
        <f t="shared" si="48"/>
        <v>E2_7_2_4_mRNA</v>
      </c>
      <c r="D133" t="str">
        <f t="shared" si="49"/>
        <v>E2_7_2_4</v>
      </c>
      <c r="E133" s="36" t="str">
        <f t="shared" si="50"/>
        <v>E2_7_2_4_kcat : 13.7</v>
      </c>
      <c r="F133" s="38" t="str">
        <f t="shared" si="51"/>
        <v>E2_7_2_4_km : 1</v>
      </c>
      <c r="G133" s="31" t="str">
        <f t="shared" si="52"/>
        <v>E2_7_2_4_mRNA : E2_7_2_4_mRNA</v>
      </c>
      <c r="H133" s="32" t="str">
        <f t="shared" si="53"/>
        <v>E2_7_2_4 : E2_7_2_4</v>
      </c>
      <c r="I133" s="33" t="str">
        <f t="shared" si="54"/>
        <v>E2_7_2_4_mRNA : 0</v>
      </c>
      <c r="J133" s="16" t="str">
        <f t="shared" si="55"/>
        <v>E2_7_2_4 : 0</v>
      </c>
      <c r="K133" s="34" t="str">
        <f t="shared" si="56"/>
        <v>0.00292 - (0.0093 * E2_7_2_4_mRNA)</v>
      </c>
      <c r="L133" s="31" t="str">
        <f t="shared" si="57"/>
        <v>(0.278 * E2_7_2_4_mRNA) - (0.00000278 * E2_7_2_4)</v>
      </c>
      <c r="M133" s="35" t="str">
        <f t="shared" si="58"/>
        <v>mRNA132: -&gt; E2_7_2_4_mRNA | 0.00292 - (0.0093 * E2_7_2_4_mRNA)</v>
      </c>
      <c r="N133" s="36" t="str">
        <f t="shared" si="59"/>
        <v>Peptide132: E2_7_2_4_mRNA -&gt; E2_7_2_4 | (0.278 * E2_7_2_4_mRNA) - (0.000000278 * E2_7_2_4)</v>
      </c>
    </row>
    <row r="134" spans="1:14" x14ac:dyDescent="0.35">
      <c r="A134">
        <v>133</v>
      </c>
      <c r="B134" s="59" t="s">
        <v>10857</v>
      </c>
      <c r="C134" t="str">
        <f t="shared" si="48"/>
        <v>E2_7_2_8_mRNA</v>
      </c>
      <c r="D134" t="str">
        <f t="shared" si="49"/>
        <v>E2_7_2_8</v>
      </c>
      <c r="E134" s="36" t="str">
        <f t="shared" si="50"/>
        <v>E2_7_2_8_kcat : 13.7</v>
      </c>
      <c r="F134" s="38" t="str">
        <f t="shared" si="51"/>
        <v>E2_7_2_8_km : 1</v>
      </c>
      <c r="G134" s="31" t="str">
        <f t="shared" si="52"/>
        <v>E2_7_2_8_mRNA : E2_7_2_8_mRNA</v>
      </c>
      <c r="H134" s="32" t="str">
        <f t="shared" si="53"/>
        <v>E2_7_2_8 : E2_7_2_8</v>
      </c>
      <c r="I134" s="33" t="str">
        <f t="shared" si="54"/>
        <v>E2_7_2_8_mRNA : 0</v>
      </c>
      <c r="J134" s="16" t="str">
        <f t="shared" si="55"/>
        <v>E2_7_2_8 : 0</v>
      </c>
      <c r="K134" s="34" t="str">
        <f t="shared" si="56"/>
        <v>0.00292 - (0.0093 * E2_7_2_8_mRNA)</v>
      </c>
      <c r="L134" s="31" t="str">
        <f t="shared" si="57"/>
        <v>(0.278 * E2_7_2_8_mRNA) - (0.00000278 * E2_7_2_8)</v>
      </c>
      <c r="M134" s="35" t="str">
        <f t="shared" si="58"/>
        <v>mRNA133: -&gt; E2_7_2_8_mRNA | 0.00292 - (0.0093 * E2_7_2_8_mRNA)</v>
      </c>
      <c r="N134" s="36" t="str">
        <f t="shared" si="59"/>
        <v>Peptide133: E2_7_2_8_mRNA -&gt; E2_7_2_8 | (0.278 * E2_7_2_8_mRNA) - (0.000000278 * E2_7_2_8)</v>
      </c>
    </row>
    <row r="135" spans="1:14" x14ac:dyDescent="0.35">
      <c r="A135">
        <v>134</v>
      </c>
      <c r="B135" s="59" t="s">
        <v>2233</v>
      </c>
      <c r="C135" t="str">
        <f t="shared" si="48"/>
        <v>E2_7_3_9_mRNA</v>
      </c>
      <c r="D135" t="str">
        <f t="shared" si="49"/>
        <v>E2_7_3_9</v>
      </c>
      <c r="E135" s="36" t="str">
        <f t="shared" si="50"/>
        <v>E2_7_3_9_kcat : 13.7</v>
      </c>
      <c r="F135" s="38" t="str">
        <f t="shared" si="51"/>
        <v>E2_7_3_9_km : 1</v>
      </c>
      <c r="G135" s="31" t="str">
        <f t="shared" si="52"/>
        <v>E2_7_3_9_mRNA : E2_7_3_9_mRNA</v>
      </c>
      <c r="H135" s="32" t="str">
        <f t="shared" si="53"/>
        <v>E2_7_3_9 : E2_7_3_9</v>
      </c>
      <c r="I135" s="33" t="str">
        <f t="shared" si="54"/>
        <v>E2_7_3_9_mRNA : 0</v>
      </c>
      <c r="J135" s="16" t="str">
        <f t="shared" si="55"/>
        <v>E2_7_3_9 : 0</v>
      </c>
      <c r="K135" s="34" t="str">
        <f t="shared" si="56"/>
        <v>0.00292 - (0.0093 * E2_7_3_9_mRNA)</v>
      </c>
      <c r="L135" s="31" t="str">
        <f t="shared" si="57"/>
        <v>(0.278 * E2_7_3_9_mRNA) - (0.00000278 * E2_7_3_9)</v>
      </c>
      <c r="M135" s="35" t="str">
        <f t="shared" si="58"/>
        <v>mRNA134: -&gt; E2_7_3_9_mRNA | 0.00292 - (0.0093 * E2_7_3_9_mRNA)</v>
      </c>
      <c r="N135" s="36" t="str">
        <f t="shared" si="59"/>
        <v>Peptide134: E2_7_3_9_mRNA -&gt; E2_7_3_9 | (0.278 * E2_7_3_9_mRNA) - (0.000000278 * E2_7_3_9)</v>
      </c>
    </row>
    <row r="136" spans="1:14" x14ac:dyDescent="0.35">
      <c r="A136">
        <v>135</v>
      </c>
      <c r="B136" s="59" t="s">
        <v>10858</v>
      </c>
      <c r="C136" t="str">
        <f t="shared" si="48"/>
        <v>E2_7_4_1_mRNA</v>
      </c>
      <c r="D136" t="str">
        <f t="shared" si="49"/>
        <v>E2_7_4_1</v>
      </c>
      <c r="E136" s="36" t="str">
        <f t="shared" si="50"/>
        <v>E2_7_4_1_kcat : 13.7</v>
      </c>
      <c r="F136" s="38" t="str">
        <f t="shared" si="51"/>
        <v>E2_7_4_1_km : 1</v>
      </c>
      <c r="G136" s="31" t="str">
        <f t="shared" si="52"/>
        <v>E2_7_4_1_mRNA : E2_7_4_1_mRNA</v>
      </c>
      <c r="H136" s="32" t="str">
        <f t="shared" si="53"/>
        <v>E2_7_4_1 : E2_7_4_1</v>
      </c>
      <c r="I136" s="33" t="str">
        <f t="shared" si="54"/>
        <v>E2_7_4_1_mRNA : 0</v>
      </c>
      <c r="J136" s="16" t="str">
        <f t="shared" si="55"/>
        <v>E2_7_4_1 : 0</v>
      </c>
      <c r="K136" s="34" t="str">
        <f t="shared" si="56"/>
        <v>0.00292 - (0.0093 * E2_7_4_1_mRNA)</v>
      </c>
      <c r="L136" s="31" t="str">
        <f t="shared" si="57"/>
        <v>(0.278 * E2_7_4_1_mRNA) - (0.00000278 * E2_7_4_1)</v>
      </c>
      <c r="M136" s="35" t="str">
        <f t="shared" si="58"/>
        <v>mRNA135: -&gt; E2_7_4_1_mRNA | 0.00292 - (0.0093 * E2_7_4_1_mRNA)</v>
      </c>
      <c r="N136" s="36" t="str">
        <f t="shared" si="59"/>
        <v>Peptide135: E2_7_4_1_mRNA -&gt; E2_7_4_1 | (0.278 * E2_7_4_1_mRNA) - (0.000000278 * E2_7_4_1)</v>
      </c>
    </row>
    <row r="137" spans="1:14" x14ac:dyDescent="0.35">
      <c r="A137">
        <v>136</v>
      </c>
      <c r="B137" s="59" t="s">
        <v>2143</v>
      </c>
      <c r="C137" t="str">
        <f t="shared" si="48"/>
        <v>E2_7_4_22_mRNA</v>
      </c>
      <c r="D137" t="str">
        <f t="shared" si="49"/>
        <v>E2_7_4_22</v>
      </c>
      <c r="E137" s="36" t="str">
        <f t="shared" si="50"/>
        <v>E2_7_4_22_kcat : 13.7</v>
      </c>
      <c r="F137" s="38" t="str">
        <f t="shared" si="51"/>
        <v>E2_7_4_22_km : 1</v>
      </c>
      <c r="G137" s="31" t="str">
        <f t="shared" si="52"/>
        <v>E2_7_4_22_mRNA : E2_7_4_22_mRNA</v>
      </c>
      <c r="H137" s="32" t="str">
        <f t="shared" si="53"/>
        <v>E2_7_4_22 : E2_7_4_22</v>
      </c>
      <c r="I137" s="33" t="str">
        <f t="shared" si="54"/>
        <v>E2_7_4_22_mRNA : 0</v>
      </c>
      <c r="J137" s="16" t="str">
        <f t="shared" si="55"/>
        <v>E2_7_4_22 : 0</v>
      </c>
      <c r="K137" s="34" t="str">
        <f t="shared" si="56"/>
        <v>0.00292 - (0.0093 * E2_7_4_22_mRNA)</v>
      </c>
      <c r="L137" s="31" t="str">
        <f t="shared" si="57"/>
        <v>(0.278 * E2_7_4_22_mRNA) - (0.00000278 * E2_7_4_22)</v>
      </c>
      <c r="M137" s="35" t="str">
        <f t="shared" si="58"/>
        <v>mRNA136: -&gt; E2_7_4_22_mRNA | 0.00292 - (0.0093 * E2_7_4_22_mRNA)</v>
      </c>
      <c r="N137" s="36" t="str">
        <f t="shared" si="59"/>
        <v>Peptide136: E2_7_4_22_mRNA -&gt; E2_7_4_22 | (0.278 * E2_7_4_22_mRNA) - (0.000000278 * E2_7_4_22)</v>
      </c>
    </row>
    <row r="138" spans="1:14" x14ac:dyDescent="0.35">
      <c r="A138">
        <v>137</v>
      </c>
      <c r="B138" s="59" t="s">
        <v>2117</v>
      </c>
      <c r="C138" t="str">
        <f t="shared" si="48"/>
        <v>E2_7_4_3_mRNA</v>
      </c>
      <c r="D138" t="str">
        <f t="shared" si="49"/>
        <v>E2_7_4_3</v>
      </c>
      <c r="E138" s="36" t="str">
        <f t="shared" si="50"/>
        <v>E2_7_4_3_kcat : 13.7</v>
      </c>
      <c r="F138" s="38" t="str">
        <f t="shared" si="51"/>
        <v>E2_7_4_3_km : 1</v>
      </c>
      <c r="G138" s="31" t="str">
        <f t="shared" si="52"/>
        <v>E2_7_4_3_mRNA : E2_7_4_3_mRNA</v>
      </c>
      <c r="H138" s="32" t="str">
        <f t="shared" si="53"/>
        <v>E2_7_4_3 : E2_7_4_3</v>
      </c>
      <c r="I138" s="33" t="str">
        <f t="shared" si="54"/>
        <v>E2_7_4_3_mRNA : 0</v>
      </c>
      <c r="J138" s="16" t="str">
        <f t="shared" si="55"/>
        <v>E2_7_4_3 : 0</v>
      </c>
      <c r="K138" s="34" t="str">
        <f t="shared" si="56"/>
        <v>0.00292 - (0.0093 * E2_7_4_3_mRNA)</v>
      </c>
      <c r="L138" s="31" t="str">
        <f t="shared" si="57"/>
        <v>(0.278 * E2_7_4_3_mRNA) - (0.00000278 * E2_7_4_3)</v>
      </c>
      <c r="M138" s="35" t="str">
        <f t="shared" si="58"/>
        <v>mRNA137: -&gt; E2_7_4_3_mRNA | 0.00292 - (0.0093 * E2_7_4_3_mRNA)</v>
      </c>
      <c r="N138" s="36" t="str">
        <f t="shared" si="59"/>
        <v>Peptide137: E2_7_4_3_mRNA -&gt; E2_7_4_3 | (0.278 * E2_7_4_3_mRNA) - (0.000000278 * E2_7_4_3)</v>
      </c>
    </row>
    <row r="139" spans="1:14" x14ac:dyDescent="0.35">
      <c r="A139">
        <v>138</v>
      </c>
      <c r="B139" s="59" t="s">
        <v>2183</v>
      </c>
      <c r="C139" t="str">
        <f t="shared" si="48"/>
        <v>E2_7_4_7_mRNA</v>
      </c>
      <c r="D139" t="str">
        <f t="shared" si="49"/>
        <v>E2_7_4_7</v>
      </c>
      <c r="E139" s="36" t="str">
        <f t="shared" si="50"/>
        <v>E2_7_4_7_kcat : 13.7</v>
      </c>
      <c r="F139" s="38" t="str">
        <f t="shared" si="51"/>
        <v>E2_7_4_7_km : 1</v>
      </c>
      <c r="G139" s="31" t="str">
        <f t="shared" si="52"/>
        <v>E2_7_4_7_mRNA : E2_7_4_7_mRNA</v>
      </c>
      <c r="H139" s="32" t="str">
        <f t="shared" si="53"/>
        <v>E2_7_4_7 : E2_7_4_7</v>
      </c>
      <c r="I139" s="33" t="str">
        <f t="shared" si="54"/>
        <v>E2_7_4_7_mRNA : 0</v>
      </c>
      <c r="J139" s="16" t="str">
        <f t="shared" si="55"/>
        <v>E2_7_4_7 : 0</v>
      </c>
      <c r="K139" s="34" t="str">
        <f t="shared" si="56"/>
        <v>0.00292 - (0.0093 * E2_7_4_7_mRNA)</v>
      </c>
      <c r="L139" s="31" t="str">
        <f t="shared" si="57"/>
        <v>(0.278 * E2_7_4_7_mRNA) - (0.00000278 * E2_7_4_7)</v>
      </c>
      <c r="M139" s="35" t="str">
        <f t="shared" si="58"/>
        <v>mRNA138: -&gt; E2_7_4_7_mRNA | 0.00292 - (0.0093 * E2_7_4_7_mRNA)</v>
      </c>
      <c r="N139" s="36" t="str">
        <f t="shared" si="59"/>
        <v>Peptide138: E2_7_4_7_mRNA -&gt; E2_7_4_7 | (0.278 * E2_7_4_7_mRNA) - (0.000000278 * E2_7_4_7)</v>
      </c>
    </row>
    <row r="140" spans="1:14" x14ac:dyDescent="0.35">
      <c r="A140">
        <v>139</v>
      </c>
      <c r="B140" s="59" t="s">
        <v>2149</v>
      </c>
      <c r="C140" t="str">
        <f t="shared" si="48"/>
        <v>E2_7_4_8_mRNA</v>
      </c>
      <c r="D140" t="str">
        <f t="shared" si="49"/>
        <v>E2_7_4_8</v>
      </c>
      <c r="E140" s="36" t="str">
        <f t="shared" si="50"/>
        <v>E2_7_4_8_kcat : 13.7</v>
      </c>
      <c r="F140" s="38" t="str">
        <f t="shared" si="51"/>
        <v>E2_7_4_8_km : 1</v>
      </c>
      <c r="G140" s="31" t="str">
        <f t="shared" si="52"/>
        <v>E2_7_4_8_mRNA : E2_7_4_8_mRNA</v>
      </c>
      <c r="H140" s="32" t="str">
        <f t="shared" si="53"/>
        <v>E2_7_4_8 : E2_7_4_8</v>
      </c>
      <c r="I140" s="33" t="str">
        <f t="shared" si="54"/>
        <v>E2_7_4_8_mRNA : 0</v>
      </c>
      <c r="J140" s="16" t="str">
        <f t="shared" si="55"/>
        <v>E2_7_4_8 : 0</v>
      </c>
      <c r="K140" s="34" t="str">
        <f t="shared" si="56"/>
        <v>0.00292 - (0.0093 * E2_7_4_8_mRNA)</v>
      </c>
      <c r="L140" s="31" t="str">
        <f t="shared" si="57"/>
        <v>(0.278 * E2_7_4_8_mRNA) - (0.00000278 * E2_7_4_8)</v>
      </c>
      <c r="M140" s="35" t="str">
        <f t="shared" si="58"/>
        <v>mRNA139: -&gt; E2_7_4_8_mRNA | 0.00292 - (0.0093 * E2_7_4_8_mRNA)</v>
      </c>
      <c r="N140" s="36" t="str">
        <f t="shared" si="59"/>
        <v>Peptide139: E2_7_4_8_mRNA -&gt; E2_7_4_8 | (0.278 * E2_7_4_8_mRNA) - (0.000000278 * E2_7_4_8)</v>
      </c>
    </row>
    <row r="141" spans="1:14" x14ac:dyDescent="0.35">
      <c r="A141">
        <v>140</v>
      </c>
      <c r="B141" s="59" t="s">
        <v>10859</v>
      </c>
      <c r="C141" t="str">
        <f t="shared" si="48"/>
        <v>E2_7_4_9_mRNA</v>
      </c>
      <c r="D141" t="str">
        <f t="shared" si="49"/>
        <v>E2_7_4_9</v>
      </c>
      <c r="E141" s="36" t="str">
        <f t="shared" si="50"/>
        <v>E2_7_4_9_kcat : 13.7</v>
      </c>
      <c r="F141" s="38" t="str">
        <f t="shared" si="51"/>
        <v>E2_7_4_9_km : 1</v>
      </c>
      <c r="G141" s="31" t="str">
        <f t="shared" si="52"/>
        <v>E2_7_4_9_mRNA : E2_7_4_9_mRNA</v>
      </c>
      <c r="H141" s="32" t="str">
        <f t="shared" si="53"/>
        <v>E2_7_4_9 : E2_7_4_9</v>
      </c>
      <c r="I141" s="33" t="str">
        <f t="shared" si="54"/>
        <v>E2_7_4_9_mRNA : 0</v>
      </c>
      <c r="J141" s="16" t="str">
        <f t="shared" si="55"/>
        <v>E2_7_4_9 : 0</v>
      </c>
      <c r="K141" s="34" t="str">
        <f t="shared" si="56"/>
        <v>0.00292 - (0.0093 * E2_7_4_9_mRNA)</v>
      </c>
      <c r="L141" s="31" t="str">
        <f t="shared" si="57"/>
        <v>(0.278 * E2_7_4_9_mRNA) - (0.00000278 * E2_7_4_9)</v>
      </c>
      <c r="M141" s="35" t="str">
        <f t="shared" si="58"/>
        <v>mRNA140: -&gt; E2_7_4_9_mRNA | 0.00292 - (0.0093 * E2_7_4_9_mRNA)</v>
      </c>
      <c r="N141" s="36" t="str">
        <f t="shared" si="59"/>
        <v>Peptide140: E2_7_4_9_mRNA -&gt; E2_7_4_9 | (0.278 * E2_7_4_9_mRNA) - (0.000000278 * E2_7_4_9)</v>
      </c>
    </row>
    <row r="142" spans="1:14" x14ac:dyDescent="0.35">
      <c r="A142">
        <v>141</v>
      </c>
      <c r="B142" s="59" t="s">
        <v>2145</v>
      </c>
      <c r="C142" t="str">
        <f t="shared" si="48"/>
        <v>E2_7_6_1_mRNA</v>
      </c>
      <c r="D142" t="str">
        <f t="shared" si="49"/>
        <v>E2_7_6_1</v>
      </c>
      <c r="E142" s="36" t="str">
        <f t="shared" si="50"/>
        <v>E2_7_6_1_kcat : 13.7</v>
      </c>
      <c r="F142" s="38" t="str">
        <f t="shared" si="51"/>
        <v>E2_7_6_1_km : 1</v>
      </c>
      <c r="G142" s="31" t="str">
        <f t="shared" si="52"/>
        <v>E2_7_6_1_mRNA : E2_7_6_1_mRNA</v>
      </c>
      <c r="H142" s="32" t="str">
        <f t="shared" si="53"/>
        <v>E2_7_6_1 : E2_7_6_1</v>
      </c>
      <c r="I142" s="33" t="str">
        <f t="shared" si="54"/>
        <v>E2_7_6_1_mRNA : 0</v>
      </c>
      <c r="J142" s="16" t="str">
        <f t="shared" si="55"/>
        <v>E2_7_6_1 : 0</v>
      </c>
      <c r="K142" s="34" t="str">
        <f t="shared" si="56"/>
        <v>0.00292 - (0.0093 * E2_7_6_1_mRNA)</v>
      </c>
      <c r="L142" s="31" t="str">
        <f t="shared" si="57"/>
        <v>(0.278 * E2_7_6_1_mRNA) - (0.00000278 * E2_7_6_1)</v>
      </c>
      <c r="M142" s="35" t="str">
        <f t="shared" si="58"/>
        <v>mRNA141: -&gt; E2_7_6_1_mRNA | 0.00292 - (0.0093 * E2_7_6_1_mRNA)</v>
      </c>
      <c r="N142" s="36" t="str">
        <f t="shared" si="59"/>
        <v>Peptide141: E2_7_6_1_mRNA -&gt; E2_7_6_1 | (0.278 * E2_7_6_1_mRNA) - (0.000000278 * E2_7_6_1)</v>
      </c>
    </row>
    <row r="143" spans="1:14" x14ac:dyDescent="0.35">
      <c r="A143">
        <v>142</v>
      </c>
      <c r="B143" s="59" t="s">
        <v>2160</v>
      </c>
      <c r="C143" t="str">
        <f t="shared" si="48"/>
        <v>E2_7_6_2_mRNA</v>
      </c>
      <c r="D143" t="str">
        <f t="shared" si="49"/>
        <v>E2_7_6_2</v>
      </c>
      <c r="E143" s="36" t="str">
        <f t="shared" si="50"/>
        <v>E2_7_6_2_kcat : 13.7</v>
      </c>
      <c r="F143" s="38" t="str">
        <f t="shared" si="51"/>
        <v>E2_7_6_2_km : 1</v>
      </c>
      <c r="G143" s="31" t="str">
        <f t="shared" si="52"/>
        <v>E2_7_6_2_mRNA : E2_7_6_2_mRNA</v>
      </c>
      <c r="H143" s="32" t="str">
        <f t="shared" si="53"/>
        <v>E2_7_6_2 : E2_7_6_2</v>
      </c>
      <c r="I143" s="33" t="str">
        <f t="shared" si="54"/>
        <v>E2_7_6_2_mRNA : 0</v>
      </c>
      <c r="J143" s="16" t="str">
        <f t="shared" si="55"/>
        <v>E2_7_6_2 : 0</v>
      </c>
      <c r="K143" s="34" t="str">
        <f t="shared" si="56"/>
        <v>0.00292 - (0.0093 * E2_7_6_2_mRNA)</v>
      </c>
      <c r="L143" s="31" t="str">
        <f t="shared" si="57"/>
        <v>(0.278 * E2_7_6_2_mRNA) - (0.00000278 * E2_7_6_2)</v>
      </c>
      <c r="M143" s="35" t="str">
        <f t="shared" si="58"/>
        <v>mRNA142: -&gt; E2_7_6_2_mRNA | 0.00292 - (0.0093 * E2_7_6_2_mRNA)</v>
      </c>
      <c r="N143" s="36" t="str">
        <f t="shared" si="59"/>
        <v>Peptide142: E2_7_6_2_mRNA -&gt; E2_7_6_2 | (0.278 * E2_7_6_2_mRNA) - (0.000000278 * E2_7_6_2)</v>
      </c>
    </row>
    <row r="144" spans="1:14" x14ac:dyDescent="0.35">
      <c r="A144">
        <v>143</v>
      </c>
      <c r="B144" s="59" t="s">
        <v>10860</v>
      </c>
      <c r="C144" t="str">
        <f t="shared" si="48"/>
        <v>E2_7_6_3_mRNA</v>
      </c>
      <c r="D144" t="str">
        <f t="shared" si="49"/>
        <v>E2_7_6_3</v>
      </c>
      <c r="E144" s="36" t="str">
        <f t="shared" si="50"/>
        <v>E2_7_6_3_kcat : 13.7</v>
      </c>
      <c r="F144" s="38" t="str">
        <f t="shared" si="51"/>
        <v>E2_7_6_3_km : 1</v>
      </c>
      <c r="G144" s="31" t="str">
        <f t="shared" si="52"/>
        <v>E2_7_6_3_mRNA : E2_7_6_3_mRNA</v>
      </c>
      <c r="H144" s="32" t="str">
        <f t="shared" si="53"/>
        <v>E2_7_6_3 : E2_7_6_3</v>
      </c>
      <c r="I144" s="33" t="str">
        <f t="shared" si="54"/>
        <v>E2_7_6_3_mRNA : 0</v>
      </c>
      <c r="J144" s="16" t="str">
        <f t="shared" si="55"/>
        <v>E2_7_6_3 : 0</v>
      </c>
      <c r="K144" s="34" t="str">
        <f t="shared" si="56"/>
        <v>0.00292 - (0.0093 * E2_7_6_3_mRNA)</v>
      </c>
      <c r="L144" s="31" t="str">
        <f t="shared" si="57"/>
        <v>(0.278 * E2_7_6_3_mRNA) - (0.00000278 * E2_7_6_3)</v>
      </c>
      <c r="M144" s="35" t="str">
        <f t="shared" si="58"/>
        <v>mRNA143: -&gt; E2_7_6_3_mRNA | 0.00292 - (0.0093 * E2_7_6_3_mRNA)</v>
      </c>
      <c r="N144" s="36" t="str">
        <f t="shared" si="59"/>
        <v>Peptide143: E2_7_6_3_mRNA -&gt; E2_7_6_3 | (0.278 * E2_7_6_3_mRNA) - (0.000000278 * E2_7_6_3)</v>
      </c>
    </row>
    <row r="145" spans="1:14" x14ac:dyDescent="0.35">
      <c r="A145">
        <v>144</v>
      </c>
      <c r="B145" s="59" t="s">
        <v>10861</v>
      </c>
      <c r="C145" t="str">
        <f t="shared" si="48"/>
        <v>E2_7_6_5_mRNA</v>
      </c>
      <c r="D145" t="str">
        <f t="shared" si="49"/>
        <v>E2_7_6_5</v>
      </c>
      <c r="E145" s="36" t="str">
        <f t="shared" si="50"/>
        <v>E2_7_6_5_kcat : 13.7</v>
      </c>
      <c r="F145" s="38" t="str">
        <f t="shared" si="51"/>
        <v>E2_7_6_5_km : 1</v>
      </c>
      <c r="G145" s="31" t="str">
        <f t="shared" si="52"/>
        <v>E2_7_6_5_mRNA : E2_7_6_5_mRNA</v>
      </c>
      <c r="H145" s="32" t="str">
        <f t="shared" si="53"/>
        <v>E2_7_6_5 : E2_7_6_5</v>
      </c>
      <c r="I145" s="33" t="str">
        <f t="shared" si="54"/>
        <v>E2_7_6_5_mRNA : 0</v>
      </c>
      <c r="J145" s="16" t="str">
        <f t="shared" si="55"/>
        <v>E2_7_6_5 : 0</v>
      </c>
      <c r="K145" s="34" t="str">
        <f t="shared" si="56"/>
        <v>0.00292 - (0.0093 * E2_7_6_5_mRNA)</v>
      </c>
      <c r="L145" s="31" t="str">
        <f t="shared" si="57"/>
        <v>(0.278 * E2_7_6_5_mRNA) - (0.00000278 * E2_7_6_5)</v>
      </c>
      <c r="M145" s="35" t="str">
        <f t="shared" si="58"/>
        <v>mRNA144: -&gt; E2_7_6_5_mRNA | 0.00292 - (0.0093 * E2_7_6_5_mRNA)</v>
      </c>
      <c r="N145" s="36" t="str">
        <f t="shared" si="59"/>
        <v>Peptide144: E2_7_6_5_mRNA -&gt; E2_7_6_5 | (0.278 * E2_7_6_5_mRNA) - (0.000000278 * E2_7_6_5)</v>
      </c>
    </row>
    <row r="146" spans="1:14" x14ac:dyDescent="0.35">
      <c r="A146">
        <v>145</v>
      </c>
      <c r="B146" s="59" t="s">
        <v>2216</v>
      </c>
      <c r="C146" t="str">
        <f t="shared" si="48"/>
        <v>E2_7_7_12_mRNA</v>
      </c>
      <c r="D146" t="str">
        <f t="shared" si="49"/>
        <v>E2_7_7_12</v>
      </c>
      <c r="E146" s="36" t="str">
        <f t="shared" si="50"/>
        <v>E2_7_7_12_kcat : 13.7</v>
      </c>
      <c r="F146" s="38" t="str">
        <f t="shared" si="51"/>
        <v>E2_7_7_12_km : 1</v>
      </c>
      <c r="G146" s="31" t="str">
        <f t="shared" si="52"/>
        <v>E2_7_7_12_mRNA : E2_7_7_12_mRNA</v>
      </c>
      <c r="H146" s="32" t="str">
        <f t="shared" si="53"/>
        <v>E2_7_7_12 : E2_7_7_12</v>
      </c>
      <c r="I146" s="33" t="str">
        <f t="shared" si="54"/>
        <v>E2_7_7_12_mRNA : 0</v>
      </c>
      <c r="J146" s="16" t="str">
        <f t="shared" si="55"/>
        <v>E2_7_7_12 : 0</v>
      </c>
      <c r="K146" s="34" t="str">
        <f t="shared" si="56"/>
        <v>0.00292 - (0.0093 * E2_7_7_12_mRNA)</v>
      </c>
      <c r="L146" s="31" t="str">
        <f t="shared" si="57"/>
        <v>(0.278 * E2_7_7_12_mRNA) - (0.00000278 * E2_7_7_12)</v>
      </c>
      <c r="M146" s="35" t="str">
        <f t="shared" si="58"/>
        <v>mRNA145: -&gt; E2_7_7_12_mRNA | 0.00292 - (0.0093 * E2_7_7_12_mRNA)</v>
      </c>
      <c r="N146" s="36" t="str">
        <f t="shared" si="59"/>
        <v>Peptide145: E2_7_7_12_mRNA -&gt; E2_7_7_12 | (0.278 * E2_7_7_12_mRNA) - (0.000000278 * E2_7_7_12)</v>
      </c>
    </row>
    <row r="147" spans="1:14" x14ac:dyDescent="0.35">
      <c r="A147">
        <v>146</v>
      </c>
      <c r="B147" s="59" t="s">
        <v>2163</v>
      </c>
      <c r="C147" t="str">
        <f t="shared" si="48"/>
        <v>E2_7_7_18_mRNA</v>
      </c>
      <c r="D147" t="str">
        <f t="shared" si="49"/>
        <v>E2_7_7_18</v>
      </c>
      <c r="E147" s="36" t="str">
        <f t="shared" si="50"/>
        <v>E2_7_7_18_kcat : 13.7</v>
      </c>
      <c r="F147" s="38" t="str">
        <f t="shared" si="51"/>
        <v>E2_7_7_18_km : 1</v>
      </c>
      <c r="G147" s="31" t="str">
        <f t="shared" si="52"/>
        <v>E2_7_7_18_mRNA : E2_7_7_18_mRNA</v>
      </c>
      <c r="H147" s="32" t="str">
        <f t="shared" si="53"/>
        <v>E2_7_7_18 : E2_7_7_18</v>
      </c>
      <c r="I147" s="33" t="str">
        <f t="shared" si="54"/>
        <v>E2_7_7_18_mRNA : 0</v>
      </c>
      <c r="J147" s="16" t="str">
        <f t="shared" si="55"/>
        <v>E2_7_7_18 : 0</v>
      </c>
      <c r="K147" s="34" t="str">
        <f t="shared" si="56"/>
        <v>0.00292 - (0.0093 * E2_7_7_18_mRNA)</v>
      </c>
      <c r="L147" s="31" t="str">
        <f t="shared" si="57"/>
        <v>(0.278 * E2_7_7_18_mRNA) - (0.00000278 * E2_7_7_18)</v>
      </c>
      <c r="M147" s="35" t="str">
        <f t="shared" si="58"/>
        <v>mRNA146: -&gt; E2_7_7_18_mRNA | 0.00292 - (0.0093 * E2_7_7_18_mRNA)</v>
      </c>
      <c r="N147" s="36" t="str">
        <f t="shared" si="59"/>
        <v>Peptide146: E2_7_7_18_mRNA -&gt; E2_7_7_18 | (0.278 * E2_7_7_18_mRNA) - (0.000000278 * E2_7_7_18)</v>
      </c>
    </row>
    <row r="148" spans="1:14" x14ac:dyDescent="0.35">
      <c r="A148">
        <v>147</v>
      </c>
      <c r="B148" s="59" t="s">
        <v>2131</v>
      </c>
      <c r="C148" t="str">
        <f t="shared" si="48"/>
        <v>E2_7_7_2_mRNA</v>
      </c>
      <c r="D148" t="str">
        <f t="shared" si="49"/>
        <v>E2_7_7_2</v>
      </c>
      <c r="E148" s="36" t="str">
        <f t="shared" si="50"/>
        <v>E2_7_7_2_kcat : 13.7</v>
      </c>
      <c r="F148" s="38" t="str">
        <f t="shared" si="51"/>
        <v>E2_7_7_2_km : 1</v>
      </c>
      <c r="G148" s="31" t="str">
        <f t="shared" si="52"/>
        <v>E2_7_7_2_mRNA : E2_7_7_2_mRNA</v>
      </c>
      <c r="H148" s="32" t="str">
        <f t="shared" si="53"/>
        <v>E2_7_7_2 : E2_7_7_2</v>
      </c>
      <c r="I148" s="33" t="str">
        <f t="shared" si="54"/>
        <v>E2_7_7_2_mRNA : 0</v>
      </c>
      <c r="J148" s="16" t="str">
        <f t="shared" si="55"/>
        <v>E2_7_7_2 : 0</v>
      </c>
      <c r="K148" s="34" t="str">
        <f t="shared" si="56"/>
        <v>0.00292 - (0.0093 * E2_7_7_2_mRNA)</v>
      </c>
      <c r="L148" s="31" t="str">
        <f t="shared" si="57"/>
        <v>(0.278 * E2_7_7_2_mRNA) - (0.00000278 * E2_7_7_2)</v>
      </c>
      <c r="M148" s="35" t="str">
        <f t="shared" si="58"/>
        <v>mRNA147: -&gt; E2_7_7_2_mRNA | 0.00292 - (0.0093 * E2_7_7_2_mRNA)</v>
      </c>
      <c r="N148" s="36" t="str">
        <f t="shared" si="59"/>
        <v>Peptide147: E2_7_7_2_mRNA -&gt; E2_7_7_2 | (0.278 * E2_7_7_2_mRNA) - (0.000000278 * E2_7_7_2)</v>
      </c>
    </row>
    <row r="149" spans="1:14" x14ac:dyDescent="0.35">
      <c r="A149">
        <v>148</v>
      </c>
      <c r="B149" s="59" t="s">
        <v>2235</v>
      </c>
      <c r="C149" t="str">
        <f t="shared" si="48"/>
        <v>E2_7_7_23_mRNA</v>
      </c>
      <c r="D149" t="str">
        <f t="shared" si="49"/>
        <v>E2_7_7_23</v>
      </c>
      <c r="E149" s="36" t="str">
        <f t="shared" si="50"/>
        <v>E2_7_7_23_kcat : 13.7</v>
      </c>
      <c r="F149" s="38" t="str">
        <f t="shared" si="51"/>
        <v>E2_7_7_23_km : 1</v>
      </c>
      <c r="G149" s="31" t="str">
        <f t="shared" si="52"/>
        <v>E2_7_7_23_mRNA : E2_7_7_23_mRNA</v>
      </c>
      <c r="H149" s="32" t="str">
        <f t="shared" si="53"/>
        <v>E2_7_7_23 : E2_7_7_23</v>
      </c>
      <c r="I149" s="33" t="str">
        <f t="shared" si="54"/>
        <v>E2_7_7_23_mRNA : 0</v>
      </c>
      <c r="J149" s="16" t="str">
        <f t="shared" si="55"/>
        <v>E2_7_7_23 : 0</v>
      </c>
      <c r="K149" s="34" t="str">
        <f t="shared" si="56"/>
        <v>0.00292 - (0.0093 * E2_7_7_23_mRNA)</v>
      </c>
      <c r="L149" s="31" t="str">
        <f t="shared" si="57"/>
        <v>(0.278 * E2_7_7_23_mRNA) - (0.00000278 * E2_7_7_23)</v>
      </c>
      <c r="M149" s="35" t="str">
        <f t="shared" si="58"/>
        <v>mRNA148: -&gt; E2_7_7_23_mRNA | 0.00292 - (0.0093 * E2_7_7_23_mRNA)</v>
      </c>
      <c r="N149" s="36" t="str">
        <f t="shared" si="59"/>
        <v>Peptide148: E2_7_7_23_mRNA -&gt; E2_7_7_23 | (0.278 * E2_7_7_23_mRNA) - (0.000000278 * E2_7_7_23)</v>
      </c>
    </row>
    <row r="150" spans="1:14" x14ac:dyDescent="0.35">
      <c r="A150">
        <v>149</v>
      </c>
      <c r="B150" s="59" t="s">
        <v>10862</v>
      </c>
      <c r="C150" t="str">
        <f t="shared" si="48"/>
        <v>E2_7_7_24_mRNA</v>
      </c>
      <c r="D150" t="str">
        <f t="shared" si="49"/>
        <v>E2_7_7_24</v>
      </c>
      <c r="E150" s="36" t="str">
        <f t="shared" si="50"/>
        <v>E2_7_7_24_kcat : 13.7</v>
      </c>
      <c r="F150" s="38" t="str">
        <f t="shared" si="51"/>
        <v>E2_7_7_24_km : 1</v>
      </c>
      <c r="G150" s="31" t="str">
        <f t="shared" si="52"/>
        <v>E2_7_7_24_mRNA : E2_7_7_24_mRNA</v>
      </c>
      <c r="H150" s="32" t="str">
        <f t="shared" si="53"/>
        <v>E2_7_7_24 : E2_7_7_24</v>
      </c>
      <c r="I150" s="33" t="str">
        <f t="shared" si="54"/>
        <v>E2_7_7_24_mRNA : 0</v>
      </c>
      <c r="J150" s="16" t="str">
        <f t="shared" si="55"/>
        <v>E2_7_7_24 : 0</v>
      </c>
      <c r="K150" s="34" t="str">
        <f t="shared" si="56"/>
        <v>0.00292 - (0.0093 * E2_7_7_24_mRNA)</v>
      </c>
      <c r="L150" s="31" t="str">
        <f t="shared" si="57"/>
        <v>(0.278 * E2_7_7_24_mRNA) - (0.00000278 * E2_7_7_24)</v>
      </c>
      <c r="M150" s="35" t="str">
        <f t="shared" si="58"/>
        <v>mRNA149: -&gt; E2_7_7_24_mRNA | 0.00292 - (0.0093 * E2_7_7_24_mRNA)</v>
      </c>
      <c r="N150" s="36" t="str">
        <f t="shared" si="59"/>
        <v>Peptide149: E2_7_7_24_mRNA -&gt; E2_7_7_24 | (0.278 * E2_7_7_24_mRNA) - (0.000000278 * E2_7_7_24)</v>
      </c>
    </row>
    <row r="151" spans="1:14" x14ac:dyDescent="0.35">
      <c r="A151">
        <v>150</v>
      </c>
      <c r="B151" s="59" t="s">
        <v>2142</v>
      </c>
      <c r="C151" t="str">
        <f t="shared" si="48"/>
        <v>E2_7_7_27_mRNA</v>
      </c>
      <c r="D151" t="str">
        <f t="shared" si="49"/>
        <v>E2_7_7_27</v>
      </c>
      <c r="E151" s="36" t="str">
        <f t="shared" si="50"/>
        <v>E2_7_7_27_kcat : 13.7</v>
      </c>
      <c r="F151" s="38" t="str">
        <f t="shared" si="51"/>
        <v>E2_7_7_27_km : 1</v>
      </c>
      <c r="G151" s="31" t="str">
        <f t="shared" si="52"/>
        <v>E2_7_7_27_mRNA : E2_7_7_27_mRNA</v>
      </c>
      <c r="H151" s="32" t="str">
        <f t="shared" si="53"/>
        <v>E2_7_7_27 : E2_7_7_27</v>
      </c>
      <c r="I151" s="33" t="str">
        <f t="shared" si="54"/>
        <v>E2_7_7_27_mRNA : 0</v>
      </c>
      <c r="J151" s="16" t="str">
        <f t="shared" si="55"/>
        <v>E2_7_7_27 : 0</v>
      </c>
      <c r="K151" s="34" t="str">
        <f t="shared" si="56"/>
        <v>0.00292 - (0.0093 * E2_7_7_27_mRNA)</v>
      </c>
      <c r="L151" s="31" t="str">
        <f t="shared" si="57"/>
        <v>(0.278 * E2_7_7_27_mRNA) - (0.00000278 * E2_7_7_27)</v>
      </c>
      <c r="M151" s="35" t="str">
        <f t="shared" si="58"/>
        <v>mRNA150: -&gt; E2_7_7_27_mRNA | 0.00292 - (0.0093 * E2_7_7_27_mRNA)</v>
      </c>
      <c r="N151" s="36" t="str">
        <f t="shared" si="59"/>
        <v>Peptide150: E2_7_7_27_mRNA -&gt; E2_7_7_27 | (0.278 * E2_7_7_27_mRNA) - (0.000000278 * E2_7_7_27)</v>
      </c>
    </row>
    <row r="152" spans="1:14" x14ac:dyDescent="0.35">
      <c r="A152">
        <v>151</v>
      </c>
      <c r="B152" s="59" t="s">
        <v>2175</v>
      </c>
      <c r="C152" t="str">
        <f t="shared" si="48"/>
        <v>E2_7_7_3_mRNA</v>
      </c>
      <c r="D152" t="str">
        <f t="shared" si="49"/>
        <v>E2_7_7_3</v>
      </c>
      <c r="E152" s="36" t="str">
        <f t="shared" si="50"/>
        <v>E2_7_7_3_kcat : 13.7</v>
      </c>
      <c r="F152" s="38" t="str">
        <f t="shared" si="51"/>
        <v>E2_7_7_3_km : 1</v>
      </c>
      <c r="G152" s="31" t="str">
        <f t="shared" si="52"/>
        <v>E2_7_7_3_mRNA : E2_7_7_3_mRNA</v>
      </c>
      <c r="H152" s="32" t="str">
        <f t="shared" si="53"/>
        <v>E2_7_7_3 : E2_7_7_3</v>
      </c>
      <c r="I152" s="33" t="str">
        <f t="shared" si="54"/>
        <v>E2_7_7_3_mRNA : 0</v>
      </c>
      <c r="J152" s="16" t="str">
        <f t="shared" si="55"/>
        <v>E2_7_7_3 : 0</v>
      </c>
      <c r="K152" s="34" t="str">
        <f t="shared" si="56"/>
        <v>0.00292 - (0.0093 * E2_7_7_3_mRNA)</v>
      </c>
      <c r="L152" s="31" t="str">
        <f t="shared" si="57"/>
        <v>(0.278 * E2_7_7_3_mRNA) - (0.00000278 * E2_7_7_3)</v>
      </c>
      <c r="M152" s="35" t="str">
        <f t="shared" si="58"/>
        <v>mRNA151: -&gt; E2_7_7_3_mRNA | 0.00292 - (0.0093 * E2_7_7_3_mRNA)</v>
      </c>
      <c r="N152" s="36" t="str">
        <f t="shared" si="59"/>
        <v>Peptide151: E2_7_7_3_mRNA -&gt; E2_7_7_3 | (0.278 * E2_7_7_3_mRNA) - (0.000000278 * E2_7_7_3)</v>
      </c>
    </row>
    <row r="153" spans="1:14" x14ac:dyDescent="0.35">
      <c r="A153">
        <v>152</v>
      </c>
      <c r="B153" s="59" t="s">
        <v>2225</v>
      </c>
      <c r="C153" t="str">
        <f t="shared" si="48"/>
        <v>E2_7_7_41_mRNA</v>
      </c>
      <c r="D153" t="str">
        <f t="shared" si="49"/>
        <v>E2_7_7_41</v>
      </c>
      <c r="E153" s="36" t="str">
        <f t="shared" si="50"/>
        <v>E2_7_7_41_kcat : 13.7</v>
      </c>
      <c r="F153" s="38" t="str">
        <f t="shared" si="51"/>
        <v>E2_7_7_41_km : 1</v>
      </c>
      <c r="G153" s="31" t="str">
        <f t="shared" si="52"/>
        <v>E2_7_7_41_mRNA : E2_7_7_41_mRNA</v>
      </c>
      <c r="H153" s="32" t="str">
        <f t="shared" si="53"/>
        <v>E2_7_7_41 : E2_7_7_41</v>
      </c>
      <c r="I153" s="33" t="str">
        <f t="shared" si="54"/>
        <v>E2_7_7_41_mRNA : 0</v>
      </c>
      <c r="J153" s="16" t="str">
        <f t="shared" si="55"/>
        <v>E2_7_7_41 : 0</v>
      </c>
      <c r="K153" s="34" t="str">
        <f t="shared" si="56"/>
        <v>0.00292 - (0.0093 * E2_7_7_41_mRNA)</v>
      </c>
      <c r="L153" s="31" t="str">
        <f t="shared" si="57"/>
        <v>(0.278 * E2_7_7_41_mRNA) - (0.00000278 * E2_7_7_41)</v>
      </c>
      <c r="M153" s="35" t="str">
        <f t="shared" si="58"/>
        <v>mRNA152: -&gt; E2_7_7_41_mRNA | 0.00292 - (0.0093 * E2_7_7_41_mRNA)</v>
      </c>
      <c r="N153" s="36" t="str">
        <f t="shared" si="59"/>
        <v>Peptide152: E2_7_7_41_mRNA -&gt; E2_7_7_41 | (0.278 * E2_7_7_41_mRNA) - (0.000000278 * E2_7_7_41)</v>
      </c>
    </row>
    <row r="154" spans="1:14" x14ac:dyDescent="0.35">
      <c r="A154">
        <v>153</v>
      </c>
      <c r="B154" s="59" t="s">
        <v>10863</v>
      </c>
      <c r="C154" t="str">
        <f t="shared" si="48"/>
        <v>E2_7_7_42_mRNA</v>
      </c>
      <c r="D154" t="str">
        <f t="shared" si="49"/>
        <v>E2_7_7_42</v>
      </c>
      <c r="E154" s="36" t="str">
        <f t="shared" si="50"/>
        <v>E2_7_7_42_kcat : 13.7</v>
      </c>
      <c r="F154" s="38" t="str">
        <f t="shared" si="51"/>
        <v>E2_7_7_42_km : 1</v>
      </c>
      <c r="G154" s="31" t="str">
        <f t="shared" si="52"/>
        <v>E2_7_7_42_mRNA : E2_7_7_42_mRNA</v>
      </c>
      <c r="H154" s="32" t="str">
        <f t="shared" si="53"/>
        <v>E2_7_7_42 : E2_7_7_42</v>
      </c>
      <c r="I154" s="33" t="str">
        <f t="shared" si="54"/>
        <v>E2_7_7_42_mRNA : 0</v>
      </c>
      <c r="J154" s="16" t="str">
        <f t="shared" si="55"/>
        <v>E2_7_7_42 : 0</v>
      </c>
      <c r="K154" s="34" t="str">
        <f t="shared" si="56"/>
        <v>0.00292 - (0.0093 * E2_7_7_42_mRNA)</v>
      </c>
      <c r="L154" s="31" t="str">
        <f t="shared" si="57"/>
        <v>(0.278 * E2_7_7_42_mRNA) - (0.00000278 * E2_7_7_42)</v>
      </c>
      <c r="M154" s="35" t="str">
        <f t="shared" si="58"/>
        <v>mRNA153: -&gt; E2_7_7_42_mRNA | 0.00292 - (0.0093 * E2_7_7_42_mRNA)</v>
      </c>
      <c r="N154" s="36" t="str">
        <f t="shared" si="59"/>
        <v>Peptide153: E2_7_7_42_mRNA -&gt; E2_7_7_42 | (0.278 * E2_7_7_42_mRNA) - (0.000000278 * E2_7_7_42)</v>
      </c>
    </row>
    <row r="155" spans="1:14" x14ac:dyDescent="0.35">
      <c r="A155">
        <v>154</v>
      </c>
      <c r="B155" s="59" t="s">
        <v>10864</v>
      </c>
      <c r="C155" t="str">
        <f t="shared" si="48"/>
        <v>E2_7_7_56_mRNA</v>
      </c>
      <c r="D155" t="str">
        <f t="shared" si="49"/>
        <v>E2_7_7_56</v>
      </c>
      <c r="E155" s="36" t="str">
        <f t="shared" si="50"/>
        <v>E2_7_7_56_kcat : 13.7</v>
      </c>
      <c r="F155" s="38" t="str">
        <f t="shared" si="51"/>
        <v>E2_7_7_56_km : 1</v>
      </c>
      <c r="G155" s="31" t="str">
        <f t="shared" si="52"/>
        <v>E2_7_7_56_mRNA : E2_7_7_56_mRNA</v>
      </c>
      <c r="H155" s="32" t="str">
        <f t="shared" si="53"/>
        <v>E2_7_7_56 : E2_7_7_56</v>
      </c>
      <c r="I155" s="33" t="str">
        <f t="shared" si="54"/>
        <v>E2_7_7_56_mRNA : 0</v>
      </c>
      <c r="J155" s="16" t="str">
        <f t="shared" si="55"/>
        <v>E2_7_7_56 : 0</v>
      </c>
      <c r="K155" s="34" t="str">
        <f t="shared" si="56"/>
        <v>0.00292 - (0.0093 * E2_7_7_56_mRNA)</v>
      </c>
      <c r="L155" s="31" t="str">
        <f t="shared" si="57"/>
        <v>(0.278 * E2_7_7_56_mRNA) - (0.00000278 * E2_7_7_56)</v>
      </c>
      <c r="M155" s="35" t="str">
        <f t="shared" si="58"/>
        <v>mRNA154: -&gt; E2_7_7_56_mRNA | 0.00292 - (0.0093 * E2_7_7_56_mRNA)</v>
      </c>
      <c r="N155" s="36" t="str">
        <f t="shared" si="59"/>
        <v>Peptide154: E2_7_7_56_mRNA -&gt; E2_7_7_56 | (0.278 * E2_7_7_56_mRNA) - (0.000000278 * E2_7_7_56)</v>
      </c>
    </row>
    <row r="156" spans="1:14" x14ac:dyDescent="0.35">
      <c r="A156">
        <v>155</v>
      </c>
      <c r="B156" s="59" t="s">
        <v>2125</v>
      </c>
      <c r="C156" t="str">
        <f t="shared" si="48"/>
        <v>E2_7_7_6_mRNA</v>
      </c>
      <c r="D156" t="str">
        <f t="shared" si="49"/>
        <v>E2_7_7_6</v>
      </c>
      <c r="E156" s="36" t="str">
        <f t="shared" si="50"/>
        <v>E2_7_7_6_kcat : 13.7</v>
      </c>
      <c r="F156" s="38" t="str">
        <f t="shared" si="51"/>
        <v>E2_7_7_6_km : 1</v>
      </c>
      <c r="G156" s="31" t="str">
        <f t="shared" si="52"/>
        <v>E2_7_7_6_mRNA : E2_7_7_6_mRNA</v>
      </c>
      <c r="H156" s="32" t="str">
        <f t="shared" si="53"/>
        <v>E2_7_7_6 : E2_7_7_6</v>
      </c>
      <c r="I156" s="33" t="str">
        <f t="shared" si="54"/>
        <v>E2_7_7_6_mRNA : 0</v>
      </c>
      <c r="J156" s="16" t="str">
        <f t="shared" si="55"/>
        <v>E2_7_7_6 : 0</v>
      </c>
      <c r="K156" s="34" t="str">
        <f t="shared" si="56"/>
        <v>0.00292 - (0.0093 * E2_7_7_6_mRNA)</v>
      </c>
      <c r="L156" s="31" t="str">
        <f t="shared" si="57"/>
        <v>(0.278 * E2_7_7_6_mRNA) - (0.00000278 * E2_7_7_6)</v>
      </c>
      <c r="M156" s="35" t="str">
        <f t="shared" si="58"/>
        <v>mRNA155: -&gt; E2_7_7_6_mRNA | 0.00292 - (0.0093 * E2_7_7_6_mRNA)</v>
      </c>
      <c r="N156" s="36" t="str">
        <f t="shared" si="59"/>
        <v>Peptide155: E2_7_7_6_mRNA -&gt; E2_7_7_6 | (0.278 * E2_7_7_6_mRNA) - (0.000000278 * E2_7_7_6)</v>
      </c>
    </row>
    <row r="157" spans="1:14" x14ac:dyDescent="0.35">
      <c r="A157">
        <v>156</v>
      </c>
      <c r="B157" s="59" t="s">
        <v>2219</v>
      </c>
      <c r="C157" t="str">
        <f t="shared" si="48"/>
        <v>E2_7_7_65_mRNA</v>
      </c>
      <c r="D157" t="str">
        <f t="shared" si="49"/>
        <v>E2_7_7_65</v>
      </c>
      <c r="E157" s="36" t="str">
        <f t="shared" si="50"/>
        <v>E2_7_7_65_kcat : 13.7</v>
      </c>
      <c r="F157" s="38" t="str">
        <f t="shared" si="51"/>
        <v>E2_7_7_65_km : 1</v>
      </c>
      <c r="G157" s="31" t="str">
        <f t="shared" si="52"/>
        <v>E2_7_7_65_mRNA : E2_7_7_65_mRNA</v>
      </c>
      <c r="H157" s="32" t="str">
        <f t="shared" si="53"/>
        <v>E2_7_7_65 : E2_7_7_65</v>
      </c>
      <c r="I157" s="33" t="str">
        <f t="shared" si="54"/>
        <v>E2_7_7_65_mRNA : 0</v>
      </c>
      <c r="J157" s="16" t="str">
        <f t="shared" si="55"/>
        <v>E2_7_7_65 : 0</v>
      </c>
      <c r="K157" s="34" t="str">
        <f t="shared" si="56"/>
        <v>0.00292 - (0.0093 * E2_7_7_65_mRNA)</v>
      </c>
      <c r="L157" s="31" t="str">
        <f t="shared" si="57"/>
        <v>(0.278 * E2_7_7_65_mRNA) - (0.00000278 * E2_7_7_65)</v>
      </c>
      <c r="M157" s="35" t="str">
        <f t="shared" si="58"/>
        <v>mRNA156: -&gt; E2_7_7_65_mRNA | 0.00292 - (0.0093 * E2_7_7_65_mRNA)</v>
      </c>
      <c r="N157" s="36" t="str">
        <f t="shared" si="59"/>
        <v>Peptide156: E2_7_7_65_mRNA -&gt; E2_7_7_65 | (0.278 * E2_7_7_65_mRNA) - (0.000000278 * E2_7_7_65)</v>
      </c>
    </row>
    <row r="158" spans="1:14" x14ac:dyDescent="0.35">
      <c r="A158">
        <v>157</v>
      </c>
      <c r="B158" s="59" t="s">
        <v>2256</v>
      </c>
      <c r="C158" t="str">
        <f t="shared" si="48"/>
        <v>E2_7_7_7_mRNA</v>
      </c>
      <c r="D158" t="str">
        <f t="shared" si="49"/>
        <v>E2_7_7_7</v>
      </c>
      <c r="E158" s="36" t="str">
        <f t="shared" si="50"/>
        <v>E2_7_7_7_kcat : 13.7</v>
      </c>
      <c r="F158" s="38" t="str">
        <f t="shared" si="51"/>
        <v>E2_7_7_7_km : 1</v>
      </c>
      <c r="G158" s="31" t="str">
        <f t="shared" si="52"/>
        <v>E2_7_7_7_mRNA : E2_7_7_7_mRNA</v>
      </c>
      <c r="H158" s="32" t="str">
        <f t="shared" si="53"/>
        <v>E2_7_7_7 : E2_7_7_7</v>
      </c>
      <c r="I158" s="33" t="str">
        <f t="shared" si="54"/>
        <v>E2_7_7_7_mRNA : 0</v>
      </c>
      <c r="J158" s="16" t="str">
        <f t="shared" si="55"/>
        <v>E2_7_7_7 : 0</v>
      </c>
      <c r="K158" s="34" t="str">
        <f t="shared" si="56"/>
        <v>0.00292 - (0.0093 * E2_7_7_7_mRNA)</v>
      </c>
      <c r="L158" s="31" t="str">
        <f t="shared" si="57"/>
        <v>(0.278 * E2_7_7_7_mRNA) - (0.00000278 * E2_7_7_7)</v>
      </c>
      <c r="M158" s="35" t="str">
        <f t="shared" si="58"/>
        <v>mRNA157: -&gt; E2_7_7_7_mRNA | 0.00292 - (0.0093 * E2_7_7_7_mRNA)</v>
      </c>
      <c r="N158" s="36" t="str">
        <f t="shared" si="59"/>
        <v>Peptide157: E2_7_7_7_mRNA -&gt; E2_7_7_7 | (0.278 * E2_7_7_7_mRNA) - (0.000000278 * E2_7_7_7)</v>
      </c>
    </row>
    <row r="159" spans="1:14" x14ac:dyDescent="0.35">
      <c r="A159">
        <v>158</v>
      </c>
      <c r="B159" s="59" t="s">
        <v>2312</v>
      </c>
      <c r="C159" t="str">
        <f t="shared" si="48"/>
        <v>E2_7_7_72_mRNA</v>
      </c>
      <c r="D159" t="str">
        <f t="shared" si="49"/>
        <v>E2_7_7_72</v>
      </c>
      <c r="E159" s="36" t="str">
        <f t="shared" si="50"/>
        <v>E2_7_7_72_kcat : 13.7</v>
      </c>
      <c r="F159" s="38" t="str">
        <f t="shared" si="51"/>
        <v>E2_7_7_72_km : 1</v>
      </c>
      <c r="G159" s="31" t="str">
        <f t="shared" si="52"/>
        <v>E2_7_7_72_mRNA : E2_7_7_72_mRNA</v>
      </c>
      <c r="H159" s="32" t="str">
        <f t="shared" si="53"/>
        <v>E2_7_7_72 : E2_7_7_72</v>
      </c>
      <c r="I159" s="33" t="str">
        <f t="shared" si="54"/>
        <v>E2_7_7_72_mRNA : 0</v>
      </c>
      <c r="J159" s="16" t="str">
        <f t="shared" si="55"/>
        <v>E2_7_7_72 : 0</v>
      </c>
      <c r="K159" s="34" t="str">
        <f t="shared" si="56"/>
        <v>0.00292 - (0.0093 * E2_7_7_72_mRNA)</v>
      </c>
      <c r="L159" s="31" t="str">
        <f t="shared" si="57"/>
        <v>(0.278 * E2_7_7_72_mRNA) - (0.00000278 * E2_7_7_72)</v>
      </c>
      <c r="M159" s="35" t="str">
        <f t="shared" si="58"/>
        <v>mRNA158: -&gt; E2_7_7_72_mRNA | 0.00292 - (0.0093 * E2_7_7_72_mRNA)</v>
      </c>
      <c r="N159" s="36" t="str">
        <f t="shared" si="59"/>
        <v>Peptide158: E2_7_7_72_mRNA -&gt; E2_7_7_72 | (0.278 * E2_7_7_72_mRNA) - (0.000000278 * E2_7_7_72)</v>
      </c>
    </row>
    <row r="160" spans="1:14" x14ac:dyDescent="0.35">
      <c r="A160">
        <v>159</v>
      </c>
      <c r="B160" s="59" t="s">
        <v>10865</v>
      </c>
      <c r="C160" t="str">
        <f t="shared" si="48"/>
        <v>E2_7_7_73_mRNA</v>
      </c>
      <c r="D160" t="str">
        <f t="shared" si="49"/>
        <v>E2_7_7_73</v>
      </c>
      <c r="E160" s="36" t="str">
        <f t="shared" si="50"/>
        <v>E2_7_7_73_kcat : 13.7</v>
      </c>
      <c r="F160" s="38" t="str">
        <f t="shared" si="51"/>
        <v>E2_7_7_73_km : 1</v>
      </c>
      <c r="G160" s="31" t="str">
        <f t="shared" si="52"/>
        <v>E2_7_7_73_mRNA : E2_7_7_73_mRNA</v>
      </c>
      <c r="H160" s="32" t="str">
        <f t="shared" si="53"/>
        <v>E2_7_7_73 : E2_7_7_73</v>
      </c>
      <c r="I160" s="33" t="str">
        <f t="shared" si="54"/>
        <v>E2_7_7_73_mRNA : 0</v>
      </c>
      <c r="J160" s="16" t="str">
        <f t="shared" si="55"/>
        <v>E2_7_7_73 : 0</v>
      </c>
      <c r="K160" s="34" t="str">
        <f t="shared" si="56"/>
        <v>0.00292 - (0.0093 * E2_7_7_73_mRNA)</v>
      </c>
      <c r="L160" s="31" t="str">
        <f t="shared" si="57"/>
        <v>(0.278 * E2_7_7_73_mRNA) - (0.00000278 * E2_7_7_73)</v>
      </c>
      <c r="M160" s="35" t="str">
        <f t="shared" si="58"/>
        <v>mRNA159: -&gt; E2_7_7_73_mRNA | 0.00292 - (0.0093 * E2_7_7_73_mRNA)</v>
      </c>
      <c r="N160" s="36" t="str">
        <f t="shared" si="59"/>
        <v>Peptide159: E2_7_7_73_mRNA -&gt; E2_7_7_73 | (0.278 * E2_7_7_73_mRNA) - (0.000000278 * E2_7_7_73)</v>
      </c>
    </row>
    <row r="161" spans="1:14" x14ac:dyDescent="0.35">
      <c r="A161">
        <v>160</v>
      </c>
      <c r="B161" s="59" t="s">
        <v>10866</v>
      </c>
      <c r="C161" t="str">
        <f t="shared" si="48"/>
        <v>E2_7_7_8_mRNA</v>
      </c>
      <c r="D161" t="str">
        <f t="shared" si="49"/>
        <v>E2_7_7_8</v>
      </c>
      <c r="E161" s="36" t="str">
        <f t="shared" si="50"/>
        <v>E2_7_7_8_kcat : 13.7</v>
      </c>
      <c r="F161" s="38" t="str">
        <f t="shared" si="51"/>
        <v>E2_7_7_8_km : 1</v>
      </c>
      <c r="G161" s="31" t="str">
        <f t="shared" si="52"/>
        <v>E2_7_7_8_mRNA : E2_7_7_8_mRNA</v>
      </c>
      <c r="H161" s="32" t="str">
        <f t="shared" si="53"/>
        <v>E2_7_7_8 : E2_7_7_8</v>
      </c>
      <c r="I161" s="33" t="str">
        <f t="shared" si="54"/>
        <v>E2_7_7_8_mRNA : 0</v>
      </c>
      <c r="J161" s="16" t="str">
        <f t="shared" si="55"/>
        <v>E2_7_7_8 : 0</v>
      </c>
      <c r="K161" s="34" t="str">
        <f t="shared" si="56"/>
        <v>0.00292 - (0.0093 * E2_7_7_8_mRNA)</v>
      </c>
      <c r="L161" s="31" t="str">
        <f t="shared" si="57"/>
        <v>(0.278 * E2_7_7_8_mRNA) - (0.00000278 * E2_7_7_8)</v>
      </c>
      <c r="M161" s="35" t="str">
        <f t="shared" si="58"/>
        <v>mRNA160: -&gt; E2_7_7_8_mRNA | 0.00292 - (0.0093 * E2_7_7_8_mRNA)</v>
      </c>
      <c r="N161" s="36" t="str">
        <f t="shared" si="59"/>
        <v>Peptide160: E2_7_7_8_mRNA -&gt; E2_7_7_8 | (0.278 * E2_7_7_8_mRNA) - (0.000000278 * E2_7_7_8)</v>
      </c>
    </row>
    <row r="162" spans="1:14" x14ac:dyDescent="0.35">
      <c r="A162">
        <v>161</v>
      </c>
      <c r="B162" s="59" t="s">
        <v>2267</v>
      </c>
      <c r="C162" t="str">
        <f t="shared" ref="C162:C193" si="60">CONCATENATE(D162,"_mRNA")</f>
        <v>E2_7_7_87_mRNA</v>
      </c>
      <c r="D162" t="str">
        <f t="shared" ref="D162:D198" si="61">CONCATENATE("E",B162)</f>
        <v>E2_7_7_87</v>
      </c>
      <c r="E162" s="36" t="str">
        <f t="shared" ref="E162:E198" si="62">CONCATENATE("E",B162,"_kcat : 13.7")</f>
        <v>E2_7_7_87_kcat : 13.7</v>
      </c>
      <c r="F162" s="38" t="str">
        <f t="shared" ref="F162:F198" si="63">CONCATENATE("E",B162,"_km : 1")</f>
        <v>E2_7_7_87_km : 1</v>
      </c>
      <c r="G162" s="31" t="str">
        <f t="shared" ref="G162:G198" si="64">CONCATENATE(C162," : ",C162)</f>
        <v>E2_7_7_87_mRNA : E2_7_7_87_mRNA</v>
      </c>
      <c r="H162" s="32" t="str">
        <f t="shared" ref="H162:H198" si="65">CONCATENATE(D162," : ",D162)</f>
        <v>E2_7_7_87 : E2_7_7_87</v>
      </c>
      <c r="I162" s="33" t="str">
        <f t="shared" ref="I162:I198" si="66">CONCATENATE(C162," : ","0")</f>
        <v>E2_7_7_87_mRNA : 0</v>
      </c>
      <c r="J162" s="16" t="str">
        <f t="shared" ref="J162:J198" si="67">CONCATENATE(D162," : ","0")</f>
        <v>E2_7_7_87 : 0</v>
      </c>
      <c r="K162" s="34" t="str">
        <f t="shared" ref="K162:K198" si="68">CONCATENATE("0.00292 - (0.0093 * ",C162,")")</f>
        <v>0.00292 - (0.0093 * E2_7_7_87_mRNA)</v>
      </c>
      <c r="L162" s="31" t="str">
        <f t="shared" ref="L162:L198" si="69">CONCATENATE("(0.278 * ",C162,")"," - (0.00000278 * ",D162,")")</f>
        <v>(0.278 * E2_7_7_87_mRNA) - (0.00000278 * E2_7_7_87)</v>
      </c>
      <c r="M162" s="35" t="str">
        <f t="shared" ref="M162:M198" si="70">CONCATENATE("mRNA",A162,": -&gt; ",C162," | ","0.00292"," - ","(","0.0093"," * ",C162,")")</f>
        <v>mRNA161: -&gt; E2_7_7_87_mRNA | 0.00292 - (0.0093 * E2_7_7_87_mRNA)</v>
      </c>
      <c r="N162" s="36" t="str">
        <f t="shared" ref="N162:N198" si="71">CONCATENATE("Peptide",A162,": ",C162," -&gt; ",D162," | ","(","0.278"," * ",C162,")"," - ","(","0.000000278"," * ",D162,")")</f>
        <v>Peptide161: E2_7_7_87_mRNA -&gt; E2_7_7_87 | (0.278 * E2_7_7_87_mRNA) - (0.000000278 * E2_7_7_87)</v>
      </c>
    </row>
    <row r="163" spans="1:14" x14ac:dyDescent="0.35">
      <c r="A163">
        <v>162</v>
      </c>
      <c r="B163" s="59" t="s">
        <v>10867</v>
      </c>
      <c r="C163" t="str">
        <f t="shared" si="60"/>
        <v>E2_7_7_89_mRNA</v>
      </c>
      <c r="D163" t="str">
        <f t="shared" si="61"/>
        <v>E2_7_7_89</v>
      </c>
      <c r="E163" s="36" t="str">
        <f t="shared" si="62"/>
        <v>E2_7_7_89_kcat : 13.7</v>
      </c>
      <c r="F163" s="38" t="str">
        <f t="shared" si="63"/>
        <v>E2_7_7_89_km : 1</v>
      </c>
      <c r="G163" s="31" t="str">
        <f t="shared" si="64"/>
        <v>E2_7_7_89_mRNA : E2_7_7_89_mRNA</v>
      </c>
      <c r="H163" s="32" t="str">
        <f t="shared" si="65"/>
        <v>E2_7_7_89 : E2_7_7_89</v>
      </c>
      <c r="I163" s="33" t="str">
        <f t="shared" si="66"/>
        <v>E2_7_7_89_mRNA : 0</v>
      </c>
      <c r="J163" s="16" t="str">
        <f t="shared" si="67"/>
        <v>E2_7_7_89 : 0</v>
      </c>
      <c r="K163" s="34" t="str">
        <f t="shared" si="68"/>
        <v>0.00292 - (0.0093 * E2_7_7_89_mRNA)</v>
      </c>
      <c r="L163" s="31" t="str">
        <f t="shared" si="69"/>
        <v>(0.278 * E2_7_7_89_mRNA) - (0.00000278 * E2_7_7_89)</v>
      </c>
      <c r="M163" s="35" t="str">
        <f t="shared" si="70"/>
        <v>mRNA162: -&gt; E2_7_7_89_mRNA | 0.00292 - (0.0093 * E2_7_7_89_mRNA)</v>
      </c>
      <c r="N163" s="36" t="str">
        <f t="shared" si="71"/>
        <v>Peptide162: E2_7_7_89_mRNA -&gt; E2_7_7_89 | (0.278 * E2_7_7_89_mRNA) - (0.000000278 * E2_7_7_89)</v>
      </c>
    </row>
    <row r="164" spans="1:14" x14ac:dyDescent="0.35">
      <c r="A164">
        <v>163</v>
      </c>
      <c r="B164" s="59" t="s">
        <v>2234</v>
      </c>
      <c r="C164" t="str">
        <f t="shared" si="60"/>
        <v>E2_7_7_9_mRNA</v>
      </c>
      <c r="D164" t="str">
        <f t="shared" si="61"/>
        <v>E2_7_7_9</v>
      </c>
      <c r="E164" s="36" t="str">
        <f t="shared" si="62"/>
        <v>E2_7_7_9_kcat : 13.7</v>
      </c>
      <c r="F164" s="38" t="str">
        <f t="shared" si="63"/>
        <v>E2_7_7_9_km : 1</v>
      </c>
      <c r="G164" s="31" t="str">
        <f t="shared" si="64"/>
        <v>E2_7_7_9_mRNA : E2_7_7_9_mRNA</v>
      </c>
      <c r="H164" s="32" t="str">
        <f t="shared" si="65"/>
        <v>E2_7_7_9 : E2_7_7_9</v>
      </c>
      <c r="I164" s="33" t="str">
        <f t="shared" si="66"/>
        <v>E2_7_7_9_mRNA : 0</v>
      </c>
      <c r="J164" s="16" t="str">
        <f t="shared" si="67"/>
        <v>E2_7_7_9 : 0</v>
      </c>
      <c r="K164" s="34" t="str">
        <f t="shared" si="68"/>
        <v>0.00292 - (0.0093 * E2_7_7_9_mRNA)</v>
      </c>
      <c r="L164" s="31" t="str">
        <f t="shared" si="69"/>
        <v>(0.278 * E2_7_7_9_mRNA) - (0.00000278 * E2_7_7_9)</v>
      </c>
      <c r="M164" s="35" t="str">
        <f t="shared" si="70"/>
        <v>mRNA163: -&gt; E2_7_7_9_mRNA | 0.00292 - (0.0093 * E2_7_7_9_mRNA)</v>
      </c>
      <c r="N164" s="36" t="str">
        <f t="shared" si="71"/>
        <v>Peptide163: E2_7_7_9_mRNA -&gt; E2_7_7_9 | (0.278 * E2_7_7_9_mRNA) - (0.000000278 * E2_7_7_9)</v>
      </c>
    </row>
    <row r="165" spans="1:14" x14ac:dyDescent="0.35">
      <c r="A165">
        <v>164</v>
      </c>
      <c r="B165" s="59" t="s">
        <v>2329</v>
      </c>
      <c r="C165" t="str">
        <f t="shared" si="60"/>
        <v>E2_7_8_13_mRNA</v>
      </c>
      <c r="D165" t="str">
        <f t="shared" si="61"/>
        <v>E2_7_8_13</v>
      </c>
      <c r="E165" s="36" t="str">
        <f t="shared" si="62"/>
        <v>E2_7_8_13_kcat : 13.7</v>
      </c>
      <c r="F165" s="38" t="str">
        <f t="shared" si="63"/>
        <v>E2_7_8_13_km : 1</v>
      </c>
      <c r="G165" s="31" t="str">
        <f t="shared" si="64"/>
        <v>E2_7_8_13_mRNA : E2_7_8_13_mRNA</v>
      </c>
      <c r="H165" s="32" t="str">
        <f t="shared" si="65"/>
        <v>E2_7_8_13 : E2_7_8_13</v>
      </c>
      <c r="I165" s="33" t="str">
        <f t="shared" si="66"/>
        <v>E2_7_8_13_mRNA : 0</v>
      </c>
      <c r="J165" s="16" t="str">
        <f t="shared" si="67"/>
        <v>E2_7_8_13 : 0</v>
      </c>
      <c r="K165" s="34" t="str">
        <f t="shared" si="68"/>
        <v>0.00292 - (0.0093 * E2_7_8_13_mRNA)</v>
      </c>
      <c r="L165" s="31" t="str">
        <f t="shared" si="69"/>
        <v>(0.278 * E2_7_8_13_mRNA) - (0.00000278 * E2_7_8_13)</v>
      </c>
      <c r="M165" s="35" t="str">
        <f t="shared" si="70"/>
        <v>mRNA164: -&gt; E2_7_8_13_mRNA | 0.00292 - (0.0093 * E2_7_8_13_mRNA)</v>
      </c>
      <c r="N165" s="36" t="str">
        <f t="shared" si="71"/>
        <v>Peptide164: E2_7_8_13_mRNA -&gt; E2_7_8_13 | (0.278 * E2_7_8_13_mRNA) - (0.000000278 * E2_7_8_13)</v>
      </c>
    </row>
    <row r="166" spans="1:14" x14ac:dyDescent="0.35">
      <c r="A166">
        <v>165</v>
      </c>
      <c r="B166" s="59" t="s">
        <v>2276</v>
      </c>
      <c r="C166" t="str">
        <f t="shared" si="60"/>
        <v>E2_7_8_5_mRNA</v>
      </c>
      <c r="D166" t="str">
        <f t="shared" si="61"/>
        <v>E2_7_8_5</v>
      </c>
      <c r="E166" s="36" t="str">
        <f t="shared" si="62"/>
        <v>E2_7_8_5_kcat : 13.7</v>
      </c>
      <c r="F166" s="38" t="str">
        <f t="shared" si="63"/>
        <v>E2_7_8_5_km : 1</v>
      </c>
      <c r="G166" s="31" t="str">
        <f t="shared" si="64"/>
        <v>E2_7_8_5_mRNA : E2_7_8_5_mRNA</v>
      </c>
      <c r="H166" s="32" t="str">
        <f t="shared" si="65"/>
        <v>E2_7_8_5 : E2_7_8_5</v>
      </c>
      <c r="I166" s="33" t="str">
        <f t="shared" si="66"/>
        <v>E2_7_8_5_mRNA : 0</v>
      </c>
      <c r="J166" s="16" t="str">
        <f t="shared" si="67"/>
        <v>E2_7_8_5 : 0</v>
      </c>
      <c r="K166" s="34" t="str">
        <f t="shared" si="68"/>
        <v>0.00292 - (0.0093 * E2_7_8_5_mRNA)</v>
      </c>
      <c r="L166" s="31" t="str">
        <f t="shared" si="69"/>
        <v>(0.278 * E2_7_8_5_mRNA) - (0.00000278 * E2_7_8_5)</v>
      </c>
      <c r="M166" s="35" t="str">
        <f t="shared" si="70"/>
        <v>mRNA165: -&gt; E2_7_8_5_mRNA | 0.00292 - (0.0093 * E2_7_8_5_mRNA)</v>
      </c>
      <c r="N166" s="36" t="str">
        <f t="shared" si="71"/>
        <v>Peptide165: E2_7_8_5_mRNA -&gt; E2_7_8_5 | (0.278 * E2_7_8_5_mRNA) - (0.000000278 * E2_7_8_5)</v>
      </c>
    </row>
    <row r="167" spans="1:14" x14ac:dyDescent="0.35">
      <c r="A167">
        <v>166</v>
      </c>
      <c r="B167" s="59" t="s">
        <v>2191</v>
      </c>
      <c r="C167" t="str">
        <f t="shared" si="60"/>
        <v>E2_7_8_7_mRNA</v>
      </c>
      <c r="D167" t="str">
        <f t="shared" si="61"/>
        <v>E2_7_8_7</v>
      </c>
      <c r="E167" s="36" t="str">
        <f t="shared" si="62"/>
        <v>E2_7_8_7_kcat : 13.7</v>
      </c>
      <c r="F167" s="38" t="str">
        <f t="shared" si="63"/>
        <v>E2_7_8_7_km : 1</v>
      </c>
      <c r="G167" s="31" t="str">
        <f t="shared" si="64"/>
        <v>E2_7_8_7_mRNA : E2_7_8_7_mRNA</v>
      </c>
      <c r="H167" s="32" t="str">
        <f t="shared" si="65"/>
        <v>E2_7_8_7 : E2_7_8_7</v>
      </c>
      <c r="I167" s="33" t="str">
        <f t="shared" si="66"/>
        <v>E2_7_8_7_mRNA : 0</v>
      </c>
      <c r="J167" s="16" t="str">
        <f t="shared" si="67"/>
        <v>E2_7_8_7 : 0</v>
      </c>
      <c r="K167" s="34" t="str">
        <f t="shared" si="68"/>
        <v>0.00292 - (0.0093 * E2_7_8_7_mRNA)</v>
      </c>
      <c r="L167" s="31" t="str">
        <f t="shared" si="69"/>
        <v>(0.278 * E2_7_8_7_mRNA) - (0.00000278 * E2_7_8_7)</v>
      </c>
      <c r="M167" s="35" t="str">
        <f t="shared" si="70"/>
        <v>mRNA166: -&gt; E2_7_8_7_mRNA | 0.00292 - (0.0093 * E2_7_8_7_mRNA)</v>
      </c>
      <c r="N167" s="36" t="str">
        <f t="shared" si="71"/>
        <v>Peptide166: E2_7_8_7_mRNA -&gt; E2_7_8_7 | (0.278 * E2_7_8_7_mRNA) - (0.000000278 * E2_7_8_7)</v>
      </c>
    </row>
    <row r="168" spans="1:14" x14ac:dyDescent="0.35">
      <c r="A168">
        <v>167</v>
      </c>
      <c r="B168" s="59" t="s">
        <v>10868</v>
      </c>
      <c r="C168" t="str">
        <f t="shared" si="60"/>
        <v>E2_8_1_10_mRNA</v>
      </c>
      <c r="D168" t="str">
        <f t="shared" si="61"/>
        <v>E2_8_1_10</v>
      </c>
      <c r="E168" s="36" t="str">
        <f t="shared" si="62"/>
        <v>E2_8_1_10_kcat : 13.7</v>
      </c>
      <c r="F168" s="38" t="str">
        <f t="shared" si="63"/>
        <v>E2_8_1_10_km : 1</v>
      </c>
      <c r="G168" s="31" t="str">
        <f t="shared" si="64"/>
        <v>E2_8_1_10_mRNA : E2_8_1_10_mRNA</v>
      </c>
      <c r="H168" s="32" t="str">
        <f t="shared" si="65"/>
        <v>E2_8_1_10 : E2_8_1_10</v>
      </c>
      <c r="I168" s="33" t="str">
        <f t="shared" si="66"/>
        <v>E2_8_1_10_mRNA : 0</v>
      </c>
      <c r="J168" s="16" t="str">
        <f t="shared" si="67"/>
        <v>E2_8_1_10 : 0</v>
      </c>
      <c r="K168" s="34" t="str">
        <f t="shared" si="68"/>
        <v>0.00292 - (0.0093 * E2_8_1_10_mRNA)</v>
      </c>
      <c r="L168" s="31" t="str">
        <f t="shared" si="69"/>
        <v>(0.278 * E2_8_1_10_mRNA) - (0.00000278 * E2_8_1_10)</v>
      </c>
      <c r="M168" s="35" t="str">
        <f t="shared" si="70"/>
        <v>mRNA167: -&gt; E2_8_1_10_mRNA | 0.00292 - (0.0093 * E2_8_1_10_mRNA)</v>
      </c>
      <c r="N168" s="36" t="str">
        <f t="shared" si="71"/>
        <v>Peptide167: E2_8_1_10_mRNA -&gt; E2_8_1_10 | (0.278 * E2_8_1_10_mRNA) - (0.000000278 * E2_8_1_10)</v>
      </c>
    </row>
    <row r="169" spans="1:14" x14ac:dyDescent="0.35">
      <c r="A169">
        <v>168</v>
      </c>
      <c r="B169" s="59" t="s">
        <v>10869</v>
      </c>
      <c r="C169" t="str">
        <f t="shared" si="60"/>
        <v>E2_8_1_7_mRNA</v>
      </c>
      <c r="D169" t="str">
        <f t="shared" si="61"/>
        <v>E2_8_1_7</v>
      </c>
      <c r="E169" s="36" t="str">
        <f t="shared" si="62"/>
        <v>E2_8_1_7_kcat : 13.7</v>
      </c>
      <c r="F169" s="38" t="str">
        <f t="shared" si="63"/>
        <v>E2_8_1_7_km : 1</v>
      </c>
      <c r="G169" s="31" t="str">
        <f t="shared" si="64"/>
        <v>E2_8_1_7_mRNA : E2_8_1_7_mRNA</v>
      </c>
      <c r="H169" s="32" t="str">
        <f t="shared" si="65"/>
        <v>E2_8_1_7 : E2_8_1_7</v>
      </c>
      <c r="I169" s="33" t="str">
        <f t="shared" si="66"/>
        <v>E2_8_1_7_mRNA : 0</v>
      </c>
      <c r="J169" s="16" t="str">
        <f t="shared" si="67"/>
        <v>E2_8_1_7 : 0</v>
      </c>
      <c r="K169" s="34" t="str">
        <f t="shared" si="68"/>
        <v>0.00292 - (0.0093 * E2_8_1_7_mRNA)</v>
      </c>
      <c r="L169" s="31" t="str">
        <f t="shared" si="69"/>
        <v>(0.278 * E2_8_1_7_mRNA) - (0.00000278 * E2_8_1_7)</v>
      </c>
      <c r="M169" s="35" t="str">
        <f t="shared" si="70"/>
        <v>mRNA168: -&gt; E2_8_1_7_mRNA | 0.00292 - (0.0093 * E2_8_1_7_mRNA)</v>
      </c>
      <c r="N169" s="36" t="str">
        <f t="shared" si="71"/>
        <v>Peptide168: E2_8_1_7_mRNA -&gt; E2_8_1_7 | (0.278 * E2_8_1_7_mRNA) - (0.000000278 * E2_8_1_7)</v>
      </c>
    </row>
    <row r="170" spans="1:14" x14ac:dyDescent="0.35">
      <c r="A170">
        <v>169</v>
      </c>
      <c r="B170" s="59" t="s">
        <v>10870</v>
      </c>
      <c r="C170" t="str">
        <f t="shared" si="60"/>
        <v>E2_8_4_2_mRNA</v>
      </c>
      <c r="D170" t="str">
        <f t="shared" si="61"/>
        <v>E2_8_4_2</v>
      </c>
      <c r="E170" s="36" t="str">
        <f t="shared" si="62"/>
        <v>E2_8_4_2_kcat : 13.7</v>
      </c>
      <c r="F170" s="38" t="str">
        <f t="shared" si="63"/>
        <v>E2_8_4_2_km : 1</v>
      </c>
      <c r="G170" s="31" t="str">
        <f t="shared" si="64"/>
        <v>E2_8_4_2_mRNA : E2_8_4_2_mRNA</v>
      </c>
      <c r="H170" s="32" t="str">
        <f t="shared" si="65"/>
        <v>E2_8_4_2 : E2_8_4_2</v>
      </c>
      <c r="I170" s="33" t="str">
        <f t="shared" si="66"/>
        <v>E2_8_4_2_mRNA : 0</v>
      </c>
      <c r="J170" s="16" t="str">
        <f t="shared" si="67"/>
        <v>E2_8_4_2 : 0</v>
      </c>
      <c r="K170" s="34" t="str">
        <f t="shared" si="68"/>
        <v>0.00292 - (0.0093 * E2_8_4_2_mRNA)</v>
      </c>
      <c r="L170" s="31" t="str">
        <f t="shared" si="69"/>
        <v>(0.278 * E2_8_4_2_mRNA) - (0.00000278 * E2_8_4_2)</v>
      </c>
      <c r="M170" s="35" t="str">
        <f t="shared" si="70"/>
        <v>mRNA169: -&gt; E2_8_4_2_mRNA | 0.00292 - (0.0093 * E2_8_4_2_mRNA)</v>
      </c>
      <c r="N170" s="36" t="str">
        <f t="shared" si="71"/>
        <v>Peptide169: E2_8_4_2_mRNA -&gt; E2_8_4_2 | (0.278 * E2_8_4_2_mRNA) - (0.000000278 * E2_8_4_2)</v>
      </c>
    </row>
    <row r="171" spans="1:14" x14ac:dyDescent="0.35">
      <c r="A171">
        <v>170</v>
      </c>
      <c r="B171" s="59" t="s">
        <v>10871</v>
      </c>
      <c r="C171" t="str">
        <f t="shared" si="60"/>
        <v>E2_8_4_3_mRNA</v>
      </c>
      <c r="D171" t="str">
        <f t="shared" si="61"/>
        <v>E2_8_4_3</v>
      </c>
      <c r="E171" s="36" t="str">
        <f t="shared" si="62"/>
        <v>E2_8_4_3_kcat : 13.7</v>
      </c>
      <c r="F171" s="38" t="str">
        <f t="shared" si="63"/>
        <v>E2_8_4_3_km : 1</v>
      </c>
      <c r="G171" s="31" t="str">
        <f t="shared" si="64"/>
        <v>E2_8_4_3_mRNA : E2_8_4_3_mRNA</v>
      </c>
      <c r="H171" s="32" t="str">
        <f t="shared" si="65"/>
        <v>E2_8_4_3 : E2_8_4_3</v>
      </c>
      <c r="I171" s="33" t="str">
        <f t="shared" si="66"/>
        <v>E2_8_4_3_mRNA : 0</v>
      </c>
      <c r="J171" s="16" t="str">
        <f t="shared" si="67"/>
        <v>E2_8_4_3 : 0</v>
      </c>
      <c r="K171" s="34" t="str">
        <f t="shared" si="68"/>
        <v>0.00292 - (0.0093 * E2_8_4_3_mRNA)</v>
      </c>
      <c r="L171" s="31" t="str">
        <f t="shared" si="69"/>
        <v>(0.278 * E2_8_4_3_mRNA) - (0.00000278 * E2_8_4_3)</v>
      </c>
      <c r="M171" s="35" t="str">
        <f t="shared" si="70"/>
        <v>mRNA170: -&gt; E2_8_4_3_mRNA | 0.00292 - (0.0093 * E2_8_4_3_mRNA)</v>
      </c>
      <c r="N171" s="36" t="str">
        <f t="shared" si="71"/>
        <v>Peptide170: E2_8_4_3_mRNA -&gt; E2_8_4_3 | (0.278 * E2_8_4_3_mRNA) - (0.000000278 * E2_8_4_3)</v>
      </c>
    </row>
    <row r="172" spans="1:14" x14ac:dyDescent="0.35">
      <c r="A172">
        <v>171</v>
      </c>
      <c r="B172" s="59" t="s">
        <v>2322</v>
      </c>
      <c r="C172" t="str">
        <f t="shared" si="60"/>
        <v>E3_1_1_29_mRNA</v>
      </c>
      <c r="D172" t="str">
        <f t="shared" si="61"/>
        <v>E3_1_1_29</v>
      </c>
      <c r="E172" s="36" t="str">
        <f t="shared" si="62"/>
        <v>E3_1_1_29_kcat : 13.7</v>
      </c>
      <c r="F172" s="38" t="str">
        <f t="shared" si="63"/>
        <v>E3_1_1_29_km : 1</v>
      </c>
      <c r="G172" s="31" t="str">
        <f t="shared" si="64"/>
        <v>E3_1_1_29_mRNA : E3_1_1_29_mRNA</v>
      </c>
      <c r="H172" s="32" t="str">
        <f t="shared" si="65"/>
        <v>E3_1_1_29 : E3_1_1_29</v>
      </c>
      <c r="I172" s="33" t="str">
        <f t="shared" si="66"/>
        <v>E3_1_1_29_mRNA : 0</v>
      </c>
      <c r="J172" s="16" t="str">
        <f t="shared" si="67"/>
        <v>E3_1_1_29 : 0</v>
      </c>
      <c r="K172" s="34" t="str">
        <f t="shared" si="68"/>
        <v>0.00292 - (0.0093 * E3_1_1_29_mRNA)</v>
      </c>
      <c r="L172" s="31" t="str">
        <f t="shared" si="69"/>
        <v>(0.278 * E3_1_1_29_mRNA) - (0.00000278 * E3_1_1_29)</v>
      </c>
      <c r="M172" s="35" t="str">
        <f t="shared" si="70"/>
        <v>mRNA171: -&gt; E3_1_1_29_mRNA | 0.00292 - (0.0093 * E3_1_1_29_mRNA)</v>
      </c>
      <c r="N172" s="36" t="str">
        <f t="shared" si="71"/>
        <v>Peptide171: E3_1_1_29_mRNA -&gt; E3_1_1_29 | (0.278 * E3_1_1_29_mRNA) - (0.000000278 * E3_1_1_29)</v>
      </c>
    </row>
    <row r="173" spans="1:14" x14ac:dyDescent="0.35">
      <c r="A173">
        <v>172</v>
      </c>
      <c r="B173" s="59" t="s">
        <v>10872</v>
      </c>
      <c r="C173" t="str">
        <f t="shared" si="60"/>
        <v>E3_1_1_31_mRNA</v>
      </c>
      <c r="D173" t="str">
        <f t="shared" si="61"/>
        <v>E3_1_1_31</v>
      </c>
      <c r="E173" s="36" t="str">
        <f t="shared" si="62"/>
        <v>E3_1_1_31_kcat : 13.7</v>
      </c>
      <c r="F173" s="38" t="str">
        <f t="shared" si="63"/>
        <v>E3_1_1_31_km : 1</v>
      </c>
      <c r="G173" s="31" t="str">
        <f t="shared" si="64"/>
        <v>E3_1_1_31_mRNA : E3_1_1_31_mRNA</v>
      </c>
      <c r="H173" s="32" t="str">
        <f t="shared" si="65"/>
        <v>E3_1_1_31 : E3_1_1_31</v>
      </c>
      <c r="I173" s="33" t="str">
        <f t="shared" si="66"/>
        <v>E3_1_1_31_mRNA : 0</v>
      </c>
      <c r="J173" s="16" t="str">
        <f t="shared" si="67"/>
        <v>E3_1_1_31 : 0</v>
      </c>
      <c r="K173" s="34" t="str">
        <f t="shared" si="68"/>
        <v>0.00292 - (0.0093 * E3_1_1_31_mRNA)</v>
      </c>
      <c r="L173" s="31" t="str">
        <f t="shared" si="69"/>
        <v>(0.278 * E3_1_1_31_mRNA) - (0.00000278 * E3_1_1_31)</v>
      </c>
      <c r="M173" s="35" t="str">
        <f t="shared" si="70"/>
        <v>mRNA172: -&gt; E3_1_1_31_mRNA | 0.00292 - (0.0093 * E3_1_1_31_mRNA)</v>
      </c>
      <c r="N173" s="36" t="str">
        <f t="shared" si="71"/>
        <v>Peptide172: E3_1_1_31_mRNA -&gt; E3_1_1_31 | (0.278 * E3_1_1_31_mRNA) - (0.000000278 * E3_1_1_31)</v>
      </c>
    </row>
    <row r="174" spans="1:14" x14ac:dyDescent="0.35">
      <c r="A174">
        <v>173</v>
      </c>
      <c r="B174" s="59" t="s">
        <v>2113</v>
      </c>
      <c r="C174" t="str">
        <f t="shared" si="60"/>
        <v>E3_1_1_96_mRNA</v>
      </c>
      <c r="D174" t="str">
        <f t="shared" si="61"/>
        <v>E3_1_1_96</v>
      </c>
      <c r="E174" s="36" t="str">
        <f t="shared" si="62"/>
        <v>E3_1_1_96_kcat : 13.7</v>
      </c>
      <c r="F174" s="38" t="str">
        <f t="shared" si="63"/>
        <v>E3_1_1_96_km : 1</v>
      </c>
      <c r="G174" s="31" t="str">
        <f t="shared" si="64"/>
        <v>E3_1_1_96_mRNA : E3_1_1_96_mRNA</v>
      </c>
      <c r="H174" s="32" t="str">
        <f t="shared" si="65"/>
        <v>E3_1_1_96 : E3_1_1_96</v>
      </c>
      <c r="I174" s="33" t="str">
        <f t="shared" si="66"/>
        <v>E3_1_1_96_mRNA : 0</v>
      </c>
      <c r="J174" s="16" t="str">
        <f t="shared" si="67"/>
        <v>E3_1_1_96 : 0</v>
      </c>
      <c r="K174" s="34" t="str">
        <f t="shared" si="68"/>
        <v>0.00292 - (0.0093 * E3_1_1_96_mRNA)</v>
      </c>
      <c r="L174" s="31" t="str">
        <f t="shared" si="69"/>
        <v>(0.278 * E3_1_1_96_mRNA) - (0.00000278 * E3_1_1_96)</v>
      </c>
      <c r="M174" s="35" t="str">
        <f t="shared" si="70"/>
        <v>mRNA173: -&gt; E3_1_1_96_mRNA | 0.00292 - (0.0093 * E3_1_1_96_mRNA)</v>
      </c>
      <c r="N174" s="36" t="str">
        <f t="shared" si="71"/>
        <v>Peptide173: E3_1_1_96_mRNA -&gt; E3_1_1_96 | (0.278 * E3_1_1_96_mRNA) - (0.000000278 * E3_1_1_96)</v>
      </c>
    </row>
    <row r="175" spans="1:14" x14ac:dyDescent="0.35">
      <c r="A175">
        <v>174</v>
      </c>
      <c r="B175" s="59" t="s">
        <v>10873</v>
      </c>
      <c r="C175" t="str">
        <f t="shared" si="60"/>
        <v>E3_1_11_2_mRNA</v>
      </c>
      <c r="D175" t="str">
        <f t="shared" si="61"/>
        <v>E3_1_11_2</v>
      </c>
      <c r="E175" s="36" t="str">
        <f t="shared" si="62"/>
        <v>E3_1_11_2_kcat : 13.7</v>
      </c>
      <c r="F175" s="38" t="str">
        <f t="shared" si="63"/>
        <v>E3_1_11_2_km : 1</v>
      </c>
      <c r="G175" s="31" t="str">
        <f t="shared" si="64"/>
        <v>E3_1_11_2_mRNA : E3_1_11_2_mRNA</v>
      </c>
      <c r="H175" s="32" t="str">
        <f t="shared" si="65"/>
        <v>E3_1_11_2 : E3_1_11_2</v>
      </c>
      <c r="I175" s="33" t="str">
        <f t="shared" si="66"/>
        <v>E3_1_11_2_mRNA : 0</v>
      </c>
      <c r="J175" s="16" t="str">
        <f t="shared" si="67"/>
        <v>E3_1_11_2 : 0</v>
      </c>
      <c r="K175" s="34" t="str">
        <f t="shared" si="68"/>
        <v>0.00292 - (0.0093 * E3_1_11_2_mRNA)</v>
      </c>
      <c r="L175" s="31" t="str">
        <f t="shared" si="69"/>
        <v>(0.278 * E3_1_11_2_mRNA) - (0.00000278 * E3_1_11_2)</v>
      </c>
      <c r="M175" s="35" t="str">
        <f t="shared" si="70"/>
        <v>mRNA174: -&gt; E3_1_11_2_mRNA | 0.00292 - (0.0093 * E3_1_11_2_mRNA)</v>
      </c>
      <c r="N175" s="36" t="str">
        <f t="shared" si="71"/>
        <v>Peptide174: E3_1_11_2_mRNA -&gt; E3_1_11_2 | (0.278 * E3_1_11_2_mRNA) - (0.000000278 * E3_1_11_2)</v>
      </c>
    </row>
    <row r="176" spans="1:14" x14ac:dyDescent="0.35">
      <c r="A176">
        <v>175</v>
      </c>
      <c r="B176" s="59" t="s">
        <v>10874</v>
      </c>
      <c r="C176" t="str">
        <f t="shared" si="60"/>
        <v>E3_1_11_6_mRNA</v>
      </c>
      <c r="D176" t="str">
        <f t="shared" si="61"/>
        <v>E3_1_11_6</v>
      </c>
      <c r="E176" s="36" t="str">
        <f t="shared" si="62"/>
        <v>E3_1_11_6_kcat : 13.7</v>
      </c>
      <c r="F176" s="38" t="str">
        <f t="shared" si="63"/>
        <v>E3_1_11_6_km : 1</v>
      </c>
      <c r="G176" s="31" t="str">
        <f t="shared" si="64"/>
        <v>E3_1_11_6_mRNA : E3_1_11_6_mRNA</v>
      </c>
      <c r="H176" s="32" t="str">
        <f t="shared" si="65"/>
        <v>E3_1_11_6 : E3_1_11_6</v>
      </c>
      <c r="I176" s="33" t="str">
        <f t="shared" si="66"/>
        <v>E3_1_11_6_mRNA : 0</v>
      </c>
      <c r="J176" s="16" t="str">
        <f t="shared" si="67"/>
        <v>E3_1_11_6 : 0</v>
      </c>
      <c r="K176" s="34" t="str">
        <f t="shared" si="68"/>
        <v>0.00292 - (0.0093 * E3_1_11_6_mRNA)</v>
      </c>
      <c r="L176" s="31" t="str">
        <f t="shared" si="69"/>
        <v>(0.278 * E3_1_11_6_mRNA) - (0.00000278 * E3_1_11_6)</v>
      </c>
      <c r="M176" s="35" t="str">
        <f t="shared" si="70"/>
        <v>mRNA175: -&gt; E3_1_11_6_mRNA | 0.00292 - (0.0093 * E3_1_11_6_mRNA)</v>
      </c>
      <c r="N176" s="36" t="str">
        <f t="shared" si="71"/>
        <v>Peptide175: E3_1_11_6_mRNA -&gt; E3_1_11_6 | (0.278 * E3_1_11_6_mRNA) - (0.000000278 * E3_1_11_6)</v>
      </c>
    </row>
    <row r="177" spans="1:14" x14ac:dyDescent="0.35">
      <c r="A177">
        <v>176</v>
      </c>
      <c r="B177" s="59" t="s">
        <v>10875</v>
      </c>
      <c r="C177" t="str">
        <f t="shared" si="60"/>
        <v>E3_1_21_10_mRNA</v>
      </c>
      <c r="D177" t="str">
        <f t="shared" si="61"/>
        <v>E3_1_21_10</v>
      </c>
      <c r="E177" s="36" t="str">
        <f t="shared" si="62"/>
        <v>E3_1_21_10_kcat : 13.7</v>
      </c>
      <c r="F177" s="38" t="str">
        <f t="shared" si="63"/>
        <v>E3_1_21_10_km : 1</v>
      </c>
      <c r="G177" s="31" t="str">
        <f t="shared" si="64"/>
        <v>E3_1_21_10_mRNA : E3_1_21_10_mRNA</v>
      </c>
      <c r="H177" s="32" t="str">
        <f t="shared" si="65"/>
        <v>E3_1_21_10 : E3_1_21_10</v>
      </c>
      <c r="I177" s="33" t="str">
        <f t="shared" si="66"/>
        <v>E3_1_21_10_mRNA : 0</v>
      </c>
      <c r="J177" s="16" t="str">
        <f t="shared" si="67"/>
        <v>E3_1_21_10 : 0</v>
      </c>
      <c r="K177" s="34" t="str">
        <f t="shared" si="68"/>
        <v>0.00292 - (0.0093 * E3_1_21_10_mRNA)</v>
      </c>
      <c r="L177" s="31" t="str">
        <f t="shared" si="69"/>
        <v>(0.278 * E3_1_21_10_mRNA) - (0.00000278 * E3_1_21_10)</v>
      </c>
      <c r="M177" s="35" t="str">
        <f t="shared" si="70"/>
        <v>mRNA176: -&gt; E3_1_21_10_mRNA | 0.00292 - (0.0093 * E3_1_21_10_mRNA)</v>
      </c>
      <c r="N177" s="36" t="str">
        <f t="shared" si="71"/>
        <v>Peptide176: E3_1_21_10_mRNA -&gt; E3_1_21_10 | (0.278 * E3_1_21_10_mRNA) - (0.000000278 * E3_1_21_10)</v>
      </c>
    </row>
    <row r="178" spans="1:14" x14ac:dyDescent="0.35">
      <c r="A178">
        <v>177</v>
      </c>
      <c r="B178" s="59" t="s">
        <v>10876</v>
      </c>
      <c r="C178" t="str">
        <f t="shared" si="60"/>
        <v>E3_1_21_2_mRNA</v>
      </c>
      <c r="D178" t="str">
        <f t="shared" si="61"/>
        <v>E3_1_21_2</v>
      </c>
      <c r="E178" s="36" t="str">
        <f t="shared" si="62"/>
        <v>E3_1_21_2_kcat : 13.7</v>
      </c>
      <c r="F178" s="38" t="str">
        <f t="shared" si="63"/>
        <v>E3_1_21_2_km : 1</v>
      </c>
      <c r="G178" s="31" t="str">
        <f t="shared" si="64"/>
        <v>E3_1_21_2_mRNA : E3_1_21_2_mRNA</v>
      </c>
      <c r="H178" s="32" t="str">
        <f t="shared" si="65"/>
        <v>E3_1_21_2 : E3_1_21_2</v>
      </c>
      <c r="I178" s="33" t="str">
        <f t="shared" si="66"/>
        <v>E3_1_21_2_mRNA : 0</v>
      </c>
      <c r="J178" s="16" t="str">
        <f t="shared" si="67"/>
        <v>E3_1_21_2 : 0</v>
      </c>
      <c r="K178" s="34" t="str">
        <f t="shared" si="68"/>
        <v>0.00292 - (0.0093 * E3_1_21_2_mRNA)</v>
      </c>
      <c r="L178" s="31" t="str">
        <f t="shared" si="69"/>
        <v>(0.278 * E3_1_21_2_mRNA) - (0.00000278 * E3_1_21_2)</v>
      </c>
      <c r="M178" s="35" t="str">
        <f t="shared" si="70"/>
        <v>mRNA177: -&gt; E3_1_21_2_mRNA | 0.00292 - (0.0093 * E3_1_21_2_mRNA)</v>
      </c>
      <c r="N178" s="36" t="str">
        <f t="shared" si="71"/>
        <v>Peptide177: E3_1_21_2_mRNA -&gt; E3_1_21_2 | (0.278 * E3_1_21_2_mRNA) - (0.000000278 * E3_1_21_2)</v>
      </c>
    </row>
    <row r="179" spans="1:14" x14ac:dyDescent="0.35">
      <c r="A179">
        <v>178</v>
      </c>
      <c r="B179" s="59" t="s">
        <v>10877</v>
      </c>
      <c r="C179" t="str">
        <f t="shared" si="60"/>
        <v>E3_1_21_3_mRNA</v>
      </c>
      <c r="D179" t="str">
        <f t="shared" si="61"/>
        <v>E3_1_21_3</v>
      </c>
      <c r="E179" s="36" t="str">
        <f t="shared" si="62"/>
        <v>E3_1_21_3_kcat : 13.7</v>
      </c>
      <c r="F179" s="38" t="str">
        <f t="shared" si="63"/>
        <v>E3_1_21_3_km : 1</v>
      </c>
      <c r="G179" s="31" t="str">
        <f t="shared" si="64"/>
        <v>E3_1_21_3_mRNA : E3_1_21_3_mRNA</v>
      </c>
      <c r="H179" s="32" t="str">
        <f t="shared" si="65"/>
        <v>E3_1_21_3 : E3_1_21_3</v>
      </c>
      <c r="I179" s="33" t="str">
        <f t="shared" si="66"/>
        <v>E3_1_21_3_mRNA : 0</v>
      </c>
      <c r="J179" s="16" t="str">
        <f t="shared" si="67"/>
        <v>E3_1_21_3 : 0</v>
      </c>
      <c r="K179" s="34" t="str">
        <f t="shared" si="68"/>
        <v>0.00292 - (0.0093 * E3_1_21_3_mRNA)</v>
      </c>
      <c r="L179" s="31" t="str">
        <f t="shared" si="69"/>
        <v>(0.278 * E3_1_21_3_mRNA) - (0.00000278 * E3_1_21_3)</v>
      </c>
      <c r="M179" s="35" t="str">
        <f t="shared" si="70"/>
        <v>mRNA178: -&gt; E3_1_21_3_mRNA | 0.00292 - (0.0093 * E3_1_21_3_mRNA)</v>
      </c>
      <c r="N179" s="36" t="str">
        <f t="shared" si="71"/>
        <v>Peptide178: E3_1_21_3_mRNA -&gt; E3_1_21_3 | (0.278 * E3_1_21_3_mRNA) - (0.000000278 * E3_1_21_3)</v>
      </c>
    </row>
    <row r="180" spans="1:14" x14ac:dyDescent="0.35">
      <c r="A180">
        <v>179</v>
      </c>
      <c r="B180" s="59" t="s">
        <v>10878</v>
      </c>
      <c r="C180" t="str">
        <f t="shared" si="60"/>
        <v>E3_1_26_3_mRNA</v>
      </c>
      <c r="D180" t="str">
        <f t="shared" si="61"/>
        <v>E3_1_26_3</v>
      </c>
      <c r="E180" s="36" t="str">
        <f t="shared" si="62"/>
        <v>E3_1_26_3_kcat : 13.7</v>
      </c>
      <c r="F180" s="38" t="str">
        <f t="shared" si="63"/>
        <v>E3_1_26_3_km : 1</v>
      </c>
      <c r="G180" s="31" t="str">
        <f t="shared" si="64"/>
        <v>E3_1_26_3_mRNA : E3_1_26_3_mRNA</v>
      </c>
      <c r="H180" s="32" t="str">
        <f t="shared" si="65"/>
        <v>E3_1_26_3 : E3_1_26_3</v>
      </c>
      <c r="I180" s="33" t="str">
        <f t="shared" si="66"/>
        <v>E3_1_26_3_mRNA : 0</v>
      </c>
      <c r="J180" s="16" t="str">
        <f t="shared" si="67"/>
        <v>E3_1_26_3 : 0</v>
      </c>
      <c r="K180" s="34" t="str">
        <f t="shared" si="68"/>
        <v>0.00292 - (0.0093 * E3_1_26_3_mRNA)</v>
      </c>
      <c r="L180" s="31" t="str">
        <f t="shared" si="69"/>
        <v>(0.278 * E3_1_26_3_mRNA) - (0.00000278 * E3_1_26_3)</v>
      </c>
      <c r="M180" s="35" t="str">
        <f t="shared" si="70"/>
        <v>mRNA179: -&gt; E3_1_26_3_mRNA | 0.00292 - (0.0093 * E3_1_26_3_mRNA)</v>
      </c>
      <c r="N180" s="36" t="str">
        <f t="shared" si="71"/>
        <v>Peptide179: E3_1_26_3_mRNA -&gt; E3_1_26_3 | (0.278 * E3_1_26_3_mRNA) - (0.000000278 * E3_1_26_3)</v>
      </c>
    </row>
    <row r="181" spans="1:14" x14ac:dyDescent="0.35">
      <c r="A181">
        <v>180</v>
      </c>
      <c r="B181" s="59" t="s">
        <v>10879</v>
      </c>
      <c r="C181" t="str">
        <f t="shared" si="60"/>
        <v>E3_1_26_4_mRNA</v>
      </c>
      <c r="D181" t="str">
        <f t="shared" si="61"/>
        <v>E3_1_26_4</v>
      </c>
      <c r="E181" s="36" t="str">
        <f t="shared" si="62"/>
        <v>E3_1_26_4_kcat : 13.7</v>
      </c>
      <c r="F181" s="38" t="str">
        <f t="shared" si="63"/>
        <v>E3_1_26_4_km : 1</v>
      </c>
      <c r="G181" s="31" t="str">
        <f t="shared" si="64"/>
        <v>E3_1_26_4_mRNA : E3_1_26_4_mRNA</v>
      </c>
      <c r="H181" s="32" t="str">
        <f t="shared" si="65"/>
        <v>E3_1_26_4 : E3_1_26_4</v>
      </c>
      <c r="I181" s="33" t="str">
        <f t="shared" si="66"/>
        <v>E3_1_26_4_mRNA : 0</v>
      </c>
      <c r="J181" s="16" t="str">
        <f t="shared" si="67"/>
        <v>E3_1_26_4 : 0</v>
      </c>
      <c r="K181" s="34" t="str">
        <f t="shared" si="68"/>
        <v>0.00292 - (0.0093 * E3_1_26_4_mRNA)</v>
      </c>
      <c r="L181" s="31" t="str">
        <f t="shared" si="69"/>
        <v>(0.278 * E3_1_26_4_mRNA) - (0.00000278 * E3_1_26_4)</v>
      </c>
      <c r="M181" s="35" t="str">
        <f t="shared" si="70"/>
        <v>mRNA180: -&gt; E3_1_26_4_mRNA | 0.00292 - (0.0093 * E3_1_26_4_mRNA)</v>
      </c>
      <c r="N181" s="36" t="str">
        <f t="shared" si="71"/>
        <v>Peptide180: E3_1_26_4_mRNA -&gt; E3_1_26_4 | (0.278 * E3_1_26_4_mRNA) - (0.000000278 * E3_1_26_4)</v>
      </c>
    </row>
    <row r="182" spans="1:14" x14ac:dyDescent="0.35">
      <c r="A182">
        <v>181</v>
      </c>
      <c r="B182" s="59" t="s">
        <v>10880</v>
      </c>
      <c r="C182" t="str">
        <f t="shared" si="60"/>
        <v>E3_1_26_5_mRNA</v>
      </c>
      <c r="D182" t="str">
        <f t="shared" si="61"/>
        <v>E3_1_26_5</v>
      </c>
      <c r="E182" s="36" t="str">
        <f t="shared" si="62"/>
        <v>E3_1_26_5_kcat : 13.7</v>
      </c>
      <c r="F182" s="38" t="str">
        <f t="shared" si="63"/>
        <v>E3_1_26_5_km : 1</v>
      </c>
      <c r="G182" s="31" t="str">
        <f t="shared" si="64"/>
        <v>E3_1_26_5_mRNA : E3_1_26_5_mRNA</v>
      </c>
      <c r="H182" s="32" t="str">
        <f t="shared" si="65"/>
        <v>E3_1_26_5 : E3_1_26_5</v>
      </c>
      <c r="I182" s="33" t="str">
        <f t="shared" si="66"/>
        <v>E3_1_26_5_mRNA : 0</v>
      </c>
      <c r="J182" s="16" t="str">
        <f t="shared" si="67"/>
        <v>E3_1_26_5 : 0</v>
      </c>
      <c r="K182" s="34" t="str">
        <f t="shared" si="68"/>
        <v>0.00292 - (0.0093 * E3_1_26_5_mRNA)</v>
      </c>
      <c r="L182" s="31" t="str">
        <f t="shared" si="69"/>
        <v>(0.278 * E3_1_26_5_mRNA) - (0.00000278 * E3_1_26_5)</v>
      </c>
      <c r="M182" s="35" t="str">
        <f t="shared" si="70"/>
        <v>mRNA181: -&gt; E3_1_26_5_mRNA | 0.00292 - (0.0093 * E3_1_26_5_mRNA)</v>
      </c>
      <c r="N182" s="36" t="str">
        <f t="shared" si="71"/>
        <v>Peptide181: E3_1_26_5_mRNA -&gt; E3_1_26_5 | (0.278 * E3_1_26_5_mRNA) - (0.000000278 * E3_1_26_5)</v>
      </c>
    </row>
    <row r="183" spans="1:14" x14ac:dyDescent="0.35">
      <c r="A183">
        <v>182</v>
      </c>
      <c r="B183" s="59" t="s">
        <v>10881</v>
      </c>
      <c r="C183" t="str">
        <f t="shared" si="60"/>
        <v>E3_1_3_16_mRNA</v>
      </c>
      <c r="D183" t="str">
        <f t="shared" si="61"/>
        <v>E3_1_3_16</v>
      </c>
      <c r="E183" s="36" t="str">
        <f t="shared" si="62"/>
        <v>E3_1_3_16_kcat : 13.7</v>
      </c>
      <c r="F183" s="38" t="str">
        <f t="shared" si="63"/>
        <v>E3_1_3_16_km : 1</v>
      </c>
      <c r="G183" s="31" t="str">
        <f t="shared" si="64"/>
        <v>E3_1_3_16_mRNA : E3_1_3_16_mRNA</v>
      </c>
      <c r="H183" s="32" t="str">
        <f t="shared" si="65"/>
        <v>E3_1_3_16 : E3_1_3_16</v>
      </c>
      <c r="I183" s="33" t="str">
        <f t="shared" si="66"/>
        <v>E3_1_3_16_mRNA : 0</v>
      </c>
      <c r="J183" s="16" t="str">
        <f t="shared" si="67"/>
        <v>E3_1_3_16 : 0</v>
      </c>
      <c r="K183" s="34" t="str">
        <f t="shared" si="68"/>
        <v>0.00292 - (0.0093 * E3_1_3_16_mRNA)</v>
      </c>
      <c r="L183" s="31" t="str">
        <f t="shared" si="69"/>
        <v>(0.278 * E3_1_3_16_mRNA) - (0.00000278 * E3_1_3_16)</v>
      </c>
      <c r="M183" s="35" t="str">
        <f t="shared" si="70"/>
        <v>mRNA182: -&gt; E3_1_3_16_mRNA | 0.00292 - (0.0093 * E3_1_3_16_mRNA)</v>
      </c>
      <c r="N183" s="36" t="str">
        <f t="shared" si="71"/>
        <v>Peptide182: E3_1_3_16_mRNA -&gt; E3_1_3_16 | (0.278 * E3_1_3_16_mRNA) - (0.000000278 * E3_1_3_16)</v>
      </c>
    </row>
    <row r="184" spans="1:14" x14ac:dyDescent="0.35">
      <c r="A184">
        <v>183</v>
      </c>
      <c r="B184" s="59" t="s">
        <v>10882</v>
      </c>
      <c r="C184" t="str">
        <f t="shared" si="60"/>
        <v>E3_1_3_2_mRNA</v>
      </c>
      <c r="D184" t="str">
        <f t="shared" si="61"/>
        <v>E3_1_3_2</v>
      </c>
      <c r="E184" s="36" t="str">
        <f t="shared" si="62"/>
        <v>E3_1_3_2_kcat : 13.7</v>
      </c>
      <c r="F184" s="38" t="str">
        <f t="shared" si="63"/>
        <v>E3_1_3_2_km : 1</v>
      </c>
      <c r="G184" s="31" t="str">
        <f t="shared" si="64"/>
        <v>E3_1_3_2_mRNA : E3_1_3_2_mRNA</v>
      </c>
      <c r="H184" s="32" t="str">
        <f t="shared" si="65"/>
        <v>E3_1_3_2 : E3_1_3_2</v>
      </c>
      <c r="I184" s="33" t="str">
        <f t="shared" si="66"/>
        <v>E3_1_3_2_mRNA : 0</v>
      </c>
      <c r="J184" s="16" t="str">
        <f t="shared" si="67"/>
        <v>E3_1_3_2 : 0</v>
      </c>
      <c r="K184" s="34" t="str">
        <f t="shared" si="68"/>
        <v>0.00292 - (0.0093 * E3_1_3_2_mRNA)</v>
      </c>
      <c r="L184" s="31" t="str">
        <f t="shared" si="69"/>
        <v>(0.278 * E3_1_3_2_mRNA) - (0.00000278 * E3_1_3_2)</v>
      </c>
      <c r="M184" s="35" t="str">
        <f t="shared" si="70"/>
        <v>mRNA183: -&gt; E3_1_3_2_mRNA | 0.00292 - (0.0093 * E3_1_3_2_mRNA)</v>
      </c>
      <c r="N184" s="36" t="str">
        <f t="shared" si="71"/>
        <v>Peptide183: E3_1_3_2_mRNA -&gt; E3_1_3_2 | (0.278 * E3_1_3_2_mRNA) - (0.000000278 * E3_1_3_2)</v>
      </c>
    </row>
    <row r="185" spans="1:14" x14ac:dyDescent="0.35">
      <c r="A185">
        <v>184</v>
      </c>
      <c r="B185" s="59" t="s">
        <v>10883</v>
      </c>
      <c r="C185" t="str">
        <f t="shared" si="60"/>
        <v>E3_1_3_3_mRNA</v>
      </c>
      <c r="D185" t="str">
        <f t="shared" si="61"/>
        <v>E3_1_3_3</v>
      </c>
      <c r="E185" s="36" t="str">
        <f t="shared" si="62"/>
        <v>E3_1_3_3_kcat : 13.7</v>
      </c>
      <c r="F185" s="38" t="str">
        <f t="shared" si="63"/>
        <v>E3_1_3_3_km : 1</v>
      </c>
      <c r="G185" s="31" t="str">
        <f t="shared" si="64"/>
        <v>E3_1_3_3_mRNA : E3_1_3_3_mRNA</v>
      </c>
      <c r="H185" s="32" t="str">
        <f t="shared" si="65"/>
        <v>E3_1_3_3 : E3_1_3_3</v>
      </c>
      <c r="I185" s="33" t="str">
        <f t="shared" si="66"/>
        <v>E3_1_3_3_mRNA : 0</v>
      </c>
      <c r="J185" s="16" t="str">
        <f t="shared" si="67"/>
        <v>E3_1_3_3 : 0</v>
      </c>
      <c r="K185" s="34" t="str">
        <f t="shared" si="68"/>
        <v>0.00292 - (0.0093 * E3_1_3_3_mRNA)</v>
      </c>
      <c r="L185" s="31" t="str">
        <f t="shared" si="69"/>
        <v>(0.278 * E3_1_3_3_mRNA) - (0.00000278 * E3_1_3_3)</v>
      </c>
      <c r="M185" s="35" t="str">
        <f t="shared" si="70"/>
        <v>mRNA184: -&gt; E3_1_3_3_mRNA | 0.00292 - (0.0093 * E3_1_3_3_mRNA)</v>
      </c>
      <c r="N185" s="36" t="str">
        <f t="shared" si="71"/>
        <v>Peptide184: E3_1_3_3_mRNA -&gt; E3_1_3_3 | (0.278 * E3_1_3_3_mRNA) - (0.000000278 * E3_1_3_3)</v>
      </c>
    </row>
    <row r="186" spans="1:14" x14ac:dyDescent="0.35">
      <c r="A186">
        <v>185</v>
      </c>
      <c r="B186" s="59" t="s">
        <v>2305</v>
      </c>
      <c r="C186" t="str">
        <f t="shared" si="60"/>
        <v>E3_1_3_48_mRNA</v>
      </c>
      <c r="D186" t="str">
        <f t="shared" si="61"/>
        <v>E3_1_3_48</v>
      </c>
      <c r="E186" s="36" t="str">
        <f t="shared" si="62"/>
        <v>E3_1_3_48_kcat : 13.7</v>
      </c>
      <c r="F186" s="38" t="str">
        <f t="shared" si="63"/>
        <v>E3_1_3_48_km : 1</v>
      </c>
      <c r="G186" s="31" t="str">
        <f t="shared" si="64"/>
        <v>E3_1_3_48_mRNA : E3_1_3_48_mRNA</v>
      </c>
      <c r="H186" s="32" t="str">
        <f t="shared" si="65"/>
        <v>E3_1_3_48 : E3_1_3_48</v>
      </c>
      <c r="I186" s="33" t="str">
        <f t="shared" si="66"/>
        <v>E3_1_3_48_mRNA : 0</v>
      </c>
      <c r="J186" s="16" t="str">
        <f t="shared" si="67"/>
        <v>E3_1_3_48 : 0</v>
      </c>
      <c r="K186" s="34" t="str">
        <f t="shared" si="68"/>
        <v>0.00292 - (0.0093 * E3_1_3_48_mRNA)</v>
      </c>
      <c r="L186" s="31" t="str">
        <f t="shared" si="69"/>
        <v>(0.278 * E3_1_3_48_mRNA) - (0.00000278 * E3_1_3_48)</v>
      </c>
      <c r="M186" s="35" t="str">
        <f t="shared" si="70"/>
        <v>mRNA185: -&gt; E3_1_3_48_mRNA | 0.00292 - (0.0093 * E3_1_3_48_mRNA)</v>
      </c>
      <c r="N186" s="36" t="str">
        <f t="shared" si="71"/>
        <v>Peptide185: E3_1_3_48_mRNA -&gt; E3_1_3_48 | (0.278 * E3_1_3_48_mRNA) - (0.000000278 * E3_1_3_48)</v>
      </c>
    </row>
    <row r="187" spans="1:14" x14ac:dyDescent="0.35">
      <c r="A187">
        <v>186</v>
      </c>
      <c r="B187" s="59" t="s">
        <v>2205</v>
      </c>
      <c r="C187" t="str">
        <f t="shared" si="60"/>
        <v>E3_1_3_5_mRNA</v>
      </c>
      <c r="D187" t="str">
        <f t="shared" si="61"/>
        <v>E3_1_3_5</v>
      </c>
      <c r="E187" s="36" t="str">
        <f t="shared" si="62"/>
        <v>E3_1_3_5_kcat : 13.7</v>
      </c>
      <c r="F187" s="38" t="str">
        <f t="shared" si="63"/>
        <v>E3_1_3_5_km : 1</v>
      </c>
      <c r="G187" s="31" t="str">
        <f t="shared" si="64"/>
        <v>E3_1_3_5_mRNA : E3_1_3_5_mRNA</v>
      </c>
      <c r="H187" s="32" t="str">
        <f t="shared" si="65"/>
        <v>E3_1_3_5 : E3_1_3_5</v>
      </c>
      <c r="I187" s="33" t="str">
        <f t="shared" si="66"/>
        <v>E3_1_3_5_mRNA : 0</v>
      </c>
      <c r="J187" s="16" t="str">
        <f t="shared" si="67"/>
        <v>E3_1_3_5 : 0</v>
      </c>
      <c r="K187" s="34" t="str">
        <f t="shared" si="68"/>
        <v>0.00292 - (0.0093 * E3_1_3_5_mRNA)</v>
      </c>
      <c r="L187" s="31" t="str">
        <f t="shared" si="69"/>
        <v>(0.278 * E3_1_3_5_mRNA) - (0.00000278 * E3_1_3_5)</v>
      </c>
      <c r="M187" s="35" t="str">
        <f t="shared" si="70"/>
        <v>mRNA186: -&gt; E3_1_3_5_mRNA | 0.00292 - (0.0093 * E3_1_3_5_mRNA)</v>
      </c>
      <c r="N187" s="36" t="str">
        <f t="shared" si="71"/>
        <v>Peptide186: E3_1_3_5_mRNA -&gt; E3_1_3_5 | (0.278 * E3_1_3_5_mRNA) - (0.000000278 * E3_1_3_5)</v>
      </c>
    </row>
    <row r="188" spans="1:14" x14ac:dyDescent="0.35">
      <c r="A188">
        <v>187</v>
      </c>
      <c r="B188" s="59" t="s">
        <v>2261</v>
      </c>
      <c r="C188" t="str">
        <f t="shared" si="60"/>
        <v>E3_1_4_4_mRNA</v>
      </c>
      <c r="D188" t="str">
        <f t="shared" si="61"/>
        <v>E3_1_4_4</v>
      </c>
      <c r="E188" s="36" t="str">
        <f t="shared" si="62"/>
        <v>E3_1_4_4_kcat : 13.7</v>
      </c>
      <c r="F188" s="38" t="str">
        <f t="shared" si="63"/>
        <v>E3_1_4_4_km : 1</v>
      </c>
      <c r="G188" s="31" t="str">
        <f t="shared" si="64"/>
        <v>E3_1_4_4_mRNA : E3_1_4_4_mRNA</v>
      </c>
      <c r="H188" s="32" t="str">
        <f t="shared" si="65"/>
        <v>E3_1_4_4 : E3_1_4_4</v>
      </c>
      <c r="I188" s="33" t="str">
        <f t="shared" si="66"/>
        <v>E3_1_4_4_mRNA : 0</v>
      </c>
      <c r="J188" s="16" t="str">
        <f t="shared" si="67"/>
        <v>E3_1_4_4 : 0</v>
      </c>
      <c r="K188" s="34" t="str">
        <f t="shared" si="68"/>
        <v>0.00292 - (0.0093 * E3_1_4_4_mRNA)</v>
      </c>
      <c r="L188" s="31" t="str">
        <f t="shared" si="69"/>
        <v>(0.278 * E3_1_4_4_mRNA) - (0.00000278 * E3_1_4_4)</v>
      </c>
      <c r="M188" s="35" t="str">
        <f t="shared" si="70"/>
        <v>mRNA187: -&gt; E3_1_4_4_mRNA | 0.00292 - (0.0093 * E3_1_4_4_mRNA)</v>
      </c>
      <c r="N188" s="36" t="str">
        <f t="shared" si="71"/>
        <v>Peptide187: E3_1_4_4_mRNA -&gt; E3_1_4_4 | (0.278 * E3_1_4_4_mRNA) - (0.000000278 * E3_1_4_4)</v>
      </c>
    </row>
    <row r="189" spans="1:14" x14ac:dyDescent="0.35">
      <c r="A189">
        <v>188</v>
      </c>
      <c r="B189" s="59" t="s">
        <v>10884</v>
      </c>
      <c r="C189" t="str">
        <f t="shared" si="60"/>
        <v>E3_2_1_163_mRNA</v>
      </c>
      <c r="D189" t="str">
        <f t="shared" si="61"/>
        <v>E3_2_1_163</v>
      </c>
      <c r="E189" s="36" t="str">
        <f t="shared" si="62"/>
        <v>E3_2_1_163_kcat : 13.7</v>
      </c>
      <c r="F189" s="38" t="str">
        <f t="shared" si="63"/>
        <v>E3_2_1_163_km : 1</v>
      </c>
      <c r="G189" s="31" t="str">
        <f t="shared" si="64"/>
        <v>E3_2_1_163_mRNA : E3_2_1_163_mRNA</v>
      </c>
      <c r="H189" s="32" t="str">
        <f t="shared" si="65"/>
        <v>E3_2_1_163 : E3_2_1_163</v>
      </c>
      <c r="I189" s="33" t="str">
        <f t="shared" si="66"/>
        <v>E3_2_1_163_mRNA : 0</v>
      </c>
      <c r="J189" s="16" t="str">
        <f t="shared" si="67"/>
        <v>E3_2_1_163 : 0</v>
      </c>
      <c r="K189" s="34" t="str">
        <f t="shared" si="68"/>
        <v>0.00292 - (0.0093 * E3_2_1_163_mRNA)</v>
      </c>
      <c r="L189" s="31" t="str">
        <f t="shared" si="69"/>
        <v>(0.278 * E3_2_1_163_mRNA) - (0.00000278 * E3_2_1_163)</v>
      </c>
      <c r="M189" s="35" t="str">
        <f t="shared" si="70"/>
        <v>mRNA188: -&gt; E3_2_1_163_mRNA | 0.00292 - (0.0093 * E3_2_1_163_mRNA)</v>
      </c>
      <c r="N189" s="36" t="str">
        <f t="shared" si="71"/>
        <v>Peptide188: E3_2_1_163_mRNA -&gt; E3_2_1_163 | (0.278 * E3_2_1_163_mRNA) - (0.000000278 * E3_2_1_163)</v>
      </c>
    </row>
    <row r="190" spans="1:14" x14ac:dyDescent="0.35">
      <c r="A190">
        <v>189</v>
      </c>
      <c r="B190" s="59" t="s">
        <v>10885</v>
      </c>
      <c r="C190" t="str">
        <f t="shared" si="60"/>
        <v>E3_2_1_196_mRNA</v>
      </c>
      <c r="D190" t="str">
        <f t="shared" si="61"/>
        <v>E3_2_1_196</v>
      </c>
      <c r="E190" s="36" t="str">
        <f t="shared" si="62"/>
        <v>E3_2_1_196_kcat : 13.7</v>
      </c>
      <c r="F190" s="38" t="str">
        <f t="shared" si="63"/>
        <v>E3_2_1_196_km : 1</v>
      </c>
      <c r="G190" s="31" t="str">
        <f t="shared" si="64"/>
        <v>E3_2_1_196_mRNA : E3_2_1_196_mRNA</v>
      </c>
      <c r="H190" s="32" t="str">
        <f t="shared" si="65"/>
        <v>E3_2_1_196 : E3_2_1_196</v>
      </c>
      <c r="I190" s="33" t="str">
        <f t="shared" si="66"/>
        <v>E3_2_1_196_mRNA : 0</v>
      </c>
      <c r="J190" s="16" t="str">
        <f t="shared" si="67"/>
        <v>E3_2_1_196 : 0</v>
      </c>
      <c r="K190" s="34" t="str">
        <f t="shared" si="68"/>
        <v>0.00292 - (0.0093 * E3_2_1_196_mRNA)</v>
      </c>
      <c r="L190" s="31" t="str">
        <f t="shared" si="69"/>
        <v>(0.278 * E3_2_1_196_mRNA) - (0.00000278 * E3_2_1_196)</v>
      </c>
      <c r="M190" s="35" t="str">
        <f t="shared" si="70"/>
        <v>mRNA189: -&gt; E3_2_1_196_mRNA | 0.00292 - (0.0093 * E3_2_1_196_mRNA)</v>
      </c>
      <c r="N190" s="36" t="str">
        <f t="shared" si="71"/>
        <v>Peptide189: E3_2_1_196_mRNA -&gt; E3_2_1_196 | (0.278 * E3_2_1_196_mRNA) - (0.000000278 * E3_2_1_196)</v>
      </c>
    </row>
    <row r="191" spans="1:14" x14ac:dyDescent="0.35">
      <c r="A191">
        <v>190</v>
      </c>
      <c r="B191" s="59" t="s">
        <v>10886</v>
      </c>
      <c r="C191" t="str">
        <f t="shared" si="60"/>
        <v>E3_2_1_22_mRNA</v>
      </c>
      <c r="D191" t="str">
        <f t="shared" si="61"/>
        <v>E3_2_1_22</v>
      </c>
      <c r="E191" s="36" t="str">
        <f t="shared" si="62"/>
        <v>E3_2_1_22_kcat : 13.7</v>
      </c>
      <c r="F191" s="38" t="str">
        <f t="shared" si="63"/>
        <v>E3_2_1_22_km : 1</v>
      </c>
      <c r="G191" s="31" t="str">
        <f t="shared" si="64"/>
        <v>E3_2_1_22_mRNA : E3_2_1_22_mRNA</v>
      </c>
      <c r="H191" s="32" t="str">
        <f t="shared" si="65"/>
        <v>E3_2_1_22 : E3_2_1_22</v>
      </c>
      <c r="I191" s="33" t="str">
        <f t="shared" si="66"/>
        <v>E3_2_1_22_mRNA : 0</v>
      </c>
      <c r="J191" s="16" t="str">
        <f t="shared" si="67"/>
        <v>E3_2_1_22 : 0</v>
      </c>
      <c r="K191" s="34" t="str">
        <f t="shared" si="68"/>
        <v>0.00292 - (0.0093 * E3_2_1_22_mRNA)</v>
      </c>
      <c r="L191" s="31" t="str">
        <f t="shared" si="69"/>
        <v>(0.278 * E3_2_1_22_mRNA) - (0.00000278 * E3_2_1_22)</v>
      </c>
      <c r="M191" s="35" t="str">
        <f t="shared" si="70"/>
        <v>mRNA190: -&gt; E3_2_1_22_mRNA | 0.00292 - (0.0093 * E3_2_1_22_mRNA)</v>
      </c>
      <c r="N191" s="36" t="str">
        <f t="shared" si="71"/>
        <v>Peptide190: E3_2_1_22_mRNA -&gt; E3_2_1_22 | (0.278 * E3_2_1_22_mRNA) - (0.000000278 * E3_2_1_22)</v>
      </c>
    </row>
    <row r="192" spans="1:14" x14ac:dyDescent="0.35">
      <c r="A192">
        <v>191</v>
      </c>
      <c r="B192" s="59" t="s">
        <v>10887</v>
      </c>
      <c r="C192" t="str">
        <f t="shared" si="60"/>
        <v>E3_2_1_23_mRNA</v>
      </c>
      <c r="D192" t="str">
        <f t="shared" si="61"/>
        <v>E3_2_1_23</v>
      </c>
      <c r="E192" s="36" t="str">
        <f t="shared" si="62"/>
        <v>E3_2_1_23_kcat : 13.7</v>
      </c>
      <c r="F192" s="38" t="str">
        <f t="shared" si="63"/>
        <v>E3_2_1_23_km : 1</v>
      </c>
      <c r="G192" s="31" t="str">
        <f t="shared" si="64"/>
        <v>E3_2_1_23_mRNA : E3_2_1_23_mRNA</v>
      </c>
      <c r="H192" s="32" t="str">
        <f t="shared" si="65"/>
        <v>E3_2_1_23 : E3_2_1_23</v>
      </c>
      <c r="I192" s="33" t="str">
        <f t="shared" si="66"/>
        <v>E3_2_1_23_mRNA : 0</v>
      </c>
      <c r="J192" s="16" t="str">
        <f t="shared" si="67"/>
        <v>E3_2_1_23 : 0</v>
      </c>
      <c r="K192" s="34" t="str">
        <f t="shared" si="68"/>
        <v>0.00292 - (0.0093 * E3_2_1_23_mRNA)</v>
      </c>
      <c r="L192" s="31" t="str">
        <f t="shared" si="69"/>
        <v>(0.278 * E3_2_1_23_mRNA) - (0.00000278 * E3_2_1_23)</v>
      </c>
      <c r="M192" s="35" t="str">
        <f t="shared" si="70"/>
        <v>mRNA191: -&gt; E3_2_1_23_mRNA | 0.00292 - (0.0093 * E3_2_1_23_mRNA)</v>
      </c>
      <c r="N192" s="36" t="str">
        <f t="shared" si="71"/>
        <v>Peptide191: E3_2_1_23_mRNA -&gt; E3_2_1_23 | (0.278 * E3_2_1_23_mRNA) - (0.000000278 * E3_2_1_23)</v>
      </c>
    </row>
    <row r="193" spans="1:14" x14ac:dyDescent="0.35">
      <c r="A193">
        <v>192</v>
      </c>
      <c r="B193" s="59" t="s">
        <v>10888</v>
      </c>
      <c r="C193" t="str">
        <f t="shared" si="60"/>
        <v>E3_2_1_41_mRNA</v>
      </c>
      <c r="D193" t="str">
        <f t="shared" si="61"/>
        <v>E3_2_1_41</v>
      </c>
      <c r="E193" s="36" t="str">
        <f t="shared" si="62"/>
        <v>E3_2_1_41_kcat : 13.7</v>
      </c>
      <c r="F193" s="38" t="str">
        <f t="shared" si="63"/>
        <v>E3_2_1_41_km : 1</v>
      </c>
      <c r="G193" s="31" t="str">
        <f t="shared" si="64"/>
        <v>E3_2_1_41_mRNA : E3_2_1_41_mRNA</v>
      </c>
      <c r="H193" s="32" t="str">
        <f t="shared" si="65"/>
        <v>E3_2_1_41 : E3_2_1_41</v>
      </c>
      <c r="I193" s="33" t="str">
        <f t="shared" si="66"/>
        <v>E3_2_1_41_mRNA : 0</v>
      </c>
      <c r="J193" s="16" t="str">
        <f t="shared" si="67"/>
        <v>E3_2_1_41 : 0</v>
      </c>
      <c r="K193" s="34" t="str">
        <f t="shared" si="68"/>
        <v>0.00292 - (0.0093 * E3_2_1_41_mRNA)</v>
      </c>
      <c r="L193" s="31" t="str">
        <f t="shared" si="69"/>
        <v>(0.278 * E3_2_1_41_mRNA) - (0.00000278 * E3_2_1_41)</v>
      </c>
      <c r="M193" s="35" t="str">
        <f t="shared" si="70"/>
        <v>mRNA192: -&gt; E3_2_1_41_mRNA | 0.00292 - (0.0093 * E3_2_1_41_mRNA)</v>
      </c>
      <c r="N193" s="36" t="str">
        <f t="shared" si="71"/>
        <v>Peptide192: E3_2_1_41_mRNA -&gt; E3_2_1_41 | (0.278 * E3_2_1_41_mRNA) - (0.000000278 * E3_2_1_41)</v>
      </c>
    </row>
    <row r="194" spans="1:14" x14ac:dyDescent="0.35">
      <c r="A194">
        <v>193</v>
      </c>
      <c r="B194" s="59" t="s">
        <v>10889</v>
      </c>
      <c r="C194" t="str">
        <f t="shared" ref="C194:C198" si="72">CONCATENATE(D194,"_mRNA")</f>
        <v>E3_2_1_52_mRNA</v>
      </c>
      <c r="D194" t="str">
        <f t="shared" si="61"/>
        <v>E3_2_1_52</v>
      </c>
      <c r="E194" s="36" t="str">
        <f t="shared" si="62"/>
        <v>E3_2_1_52_kcat : 13.7</v>
      </c>
      <c r="F194" s="38" t="str">
        <f t="shared" si="63"/>
        <v>E3_2_1_52_km : 1</v>
      </c>
      <c r="G194" s="31" t="str">
        <f t="shared" si="64"/>
        <v>E3_2_1_52_mRNA : E3_2_1_52_mRNA</v>
      </c>
      <c r="H194" s="32" t="str">
        <f t="shared" si="65"/>
        <v>E3_2_1_52 : E3_2_1_52</v>
      </c>
      <c r="I194" s="33" t="str">
        <f t="shared" si="66"/>
        <v>E3_2_1_52_mRNA : 0</v>
      </c>
      <c r="J194" s="16" t="str">
        <f t="shared" si="67"/>
        <v>E3_2_1_52 : 0</v>
      </c>
      <c r="K194" s="34" t="str">
        <f t="shared" si="68"/>
        <v>0.00292 - (0.0093 * E3_2_1_52_mRNA)</v>
      </c>
      <c r="L194" s="31" t="str">
        <f t="shared" si="69"/>
        <v>(0.278 * E3_2_1_52_mRNA) - (0.00000278 * E3_2_1_52)</v>
      </c>
      <c r="M194" s="35" t="str">
        <f t="shared" si="70"/>
        <v>mRNA193: -&gt; E3_2_1_52_mRNA | 0.00292 - (0.0093 * E3_2_1_52_mRNA)</v>
      </c>
      <c r="N194" s="36" t="str">
        <f t="shared" si="71"/>
        <v>Peptide193: E3_2_1_52_mRNA -&gt; E3_2_1_52 | (0.278 * E3_2_1_52_mRNA) - (0.000000278 * E3_2_1_52)</v>
      </c>
    </row>
    <row r="195" spans="1:14" x14ac:dyDescent="0.35">
      <c r="A195">
        <v>194</v>
      </c>
      <c r="B195" s="59" t="s">
        <v>10890</v>
      </c>
      <c r="C195" t="str">
        <f t="shared" si="72"/>
        <v>E3_2_2_15_mRNA</v>
      </c>
      <c r="D195" t="str">
        <f t="shared" si="61"/>
        <v>E3_2_2_15</v>
      </c>
      <c r="E195" s="36" t="str">
        <f t="shared" si="62"/>
        <v>E3_2_2_15_kcat : 13.7</v>
      </c>
      <c r="F195" s="38" t="str">
        <f t="shared" si="63"/>
        <v>E3_2_2_15_km : 1</v>
      </c>
      <c r="G195" s="31" t="str">
        <f t="shared" si="64"/>
        <v>E3_2_2_15_mRNA : E3_2_2_15_mRNA</v>
      </c>
      <c r="H195" s="32" t="str">
        <f t="shared" si="65"/>
        <v>E3_2_2_15 : E3_2_2_15</v>
      </c>
      <c r="I195" s="33" t="str">
        <f t="shared" si="66"/>
        <v>E3_2_2_15_mRNA : 0</v>
      </c>
      <c r="J195" s="16" t="str">
        <f t="shared" si="67"/>
        <v>E3_2_2_15 : 0</v>
      </c>
      <c r="K195" s="34" t="str">
        <f t="shared" si="68"/>
        <v>0.00292 - (0.0093 * E3_2_2_15_mRNA)</v>
      </c>
      <c r="L195" s="31" t="str">
        <f t="shared" si="69"/>
        <v>(0.278 * E3_2_2_15_mRNA) - (0.00000278 * E3_2_2_15)</v>
      </c>
      <c r="M195" s="35" t="str">
        <f t="shared" si="70"/>
        <v>mRNA194: -&gt; E3_2_2_15_mRNA | 0.00292 - (0.0093 * E3_2_2_15_mRNA)</v>
      </c>
      <c r="N195" s="36" t="str">
        <f t="shared" si="71"/>
        <v>Peptide194: E3_2_2_15_mRNA -&gt; E3_2_2_15 | (0.278 * E3_2_2_15_mRNA) - (0.000000278 * E3_2_2_15)</v>
      </c>
    </row>
    <row r="196" spans="1:14" x14ac:dyDescent="0.35">
      <c r="A196">
        <v>195</v>
      </c>
      <c r="B196" s="59" t="s">
        <v>10891</v>
      </c>
      <c r="C196" t="str">
        <f t="shared" si="72"/>
        <v>E3_2_2_16_mRNA</v>
      </c>
      <c r="D196" t="str">
        <f t="shared" si="61"/>
        <v>E3_2_2_16</v>
      </c>
      <c r="E196" s="36" t="str">
        <f t="shared" si="62"/>
        <v>E3_2_2_16_kcat : 13.7</v>
      </c>
      <c r="F196" s="38" t="str">
        <f t="shared" si="63"/>
        <v>E3_2_2_16_km : 1</v>
      </c>
      <c r="G196" s="31" t="str">
        <f t="shared" si="64"/>
        <v>E3_2_2_16_mRNA : E3_2_2_16_mRNA</v>
      </c>
      <c r="H196" s="32" t="str">
        <f t="shared" si="65"/>
        <v>E3_2_2_16 : E3_2_2_16</v>
      </c>
      <c r="I196" s="33" t="str">
        <f t="shared" si="66"/>
        <v>E3_2_2_16_mRNA : 0</v>
      </c>
      <c r="J196" s="16" t="str">
        <f t="shared" si="67"/>
        <v>E3_2_2_16 : 0</v>
      </c>
      <c r="K196" s="34" t="str">
        <f t="shared" si="68"/>
        <v>0.00292 - (0.0093 * E3_2_2_16_mRNA)</v>
      </c>
      <c r="L196" s="31" t="str">
        <f t="shared" si="69"/>
        <v>(0.278 * E3_2_2_16_mRNA) - (0.00000278 * E3_2_2_16)</v>
      </c>
      <c r="M196" s="35" t="str">
        <f t="shared" si="70"/>
        <v>mRNA195: -&gt; E3_2_2_16_mRNA | 0.00292 - (0.0093 * E3_2_2_16_mRNA)</v>
      </c>
      <c r="N196" s="36" t="str">
        <f t="shared" si="71"/>
        <v>Peptide195: E3_2_2_16_mRNA -&gt; E3_2_2_16 | (0.278 * E3_2_2_16_mRNA) - (0.000000278 * E3_2_2_16)</v>
      </c>
    </row>
    <row r="197" spans="1:14" x14ac:dyDescent="0.35">
      <c r="A197">
        <v>196</v>
      </c>
      <c r="B197" s="59" t="s">
        <v>10892</v>
      </c>
      <c r="C197" t="str">
        <f t="shared" si="72"/>
        <v>E3_2_2_20_mRNA</v>
      </c>
      <c r="D197" t="str">
        <f t="shared" si="61"/>
        <v>E3_2_2_20</v>
      </c>
      <c r="E197" s="36" t="str">
        <f t="shared" si="62"/>
        <v>E3_2_2_20_kcat : 13.7</v>
      </c>
      <c r="F197" s="38" t="str">
        <f t="shared" si="63"/>
        <v>E3_2_2_20_km : 1</v>
      </c>
      <c r="G197" s="31" t="str">
        <f t="shared" si="64"/>
        <v>E3_2_2_20_mRNA : E3_2_2_20_mRNA</v>
      </c>
      <c r="H197" s="32" t="str">
        <f t="shared" si="65"/>
        <v>E3_2_2_20 : E3_2_2_20</v>
      </c>
      <c r="I197" s="33" t="str">
        <f t="shared" si="66"/>
        <v>E3_2_2_20_mRNA : 0</v>
      </c>
      <c r="J197" s="16" t="str">
        <f t="shared" si="67"/>
        <v>E3_2_2_20 : 0</v>
      </c>
      <c r="K197" s="34" t="str">
        <f t="shared" si="68"/>
        <v>0.00292 - (0.0093 * E3_2_2_20_mRNA)</v>
      </c>
      <c r="L197" s="31" t="str">
        <f t="shared" si="69"/>
        <v>(0.278 * E3_2_2_20_mRNA) - (0.00000278 * E3_2_2_20)</v>
      </c>
      <c r="M197" s="35" t="str">
        <f t="shared" si="70"/>
        <v>mRNA196: -&gt; E3_2_2_20_mRNA | 0.00292 - (0.0093 * E3_2_2_20_mRNA)</v>
      </c>
      <c r="N197" s="36" t="str">
        <f t="shared" si="71"/>
        <v>Peptide196: E3_2_2_20_mRNA -&gt; E3_2_2_20 | (0.278 * E3_2_2_20_mRNA) - (0.000000278 * E3_2_2_20)</v>
      </c>
    </row>
    <row r="198" spans="1:14" x14ac:dyDescent="0.35">
      <c r="A198">
        <v>197</v>
      </c>
      <c r="B198" s="59" t="s">
        <v>10893</v>
      </c>
      <c r="C198" t="str">
        <f t="shared" si="72"/>
        <v>E3_2_2_27_mRNA</v>
      </c>
      <c r="D198" t="str">
        <f t="shared" si="61"/>
        <v>E3_2_2_27</v>
      </c>
      <c r="E198" s="36" t="str">
        <f t="shared" si="62"/>
        <v>E3_2_2_27_kcat : 13.7</v>
      </c>
      <c r="F198" s="38" t="str">
        <f t="shared" si="63"/>
        <v>E3_2_2_27_km : 1</v>
      </c>
      <c r="G198" s="31" t="str">
        <f t="shared" si="64"/>
        <v>E3_2_2_27_mRNA : E3_2_2_27_mRNA</v>
      </c>
      <c r="H198" s="32" t="str">
        <f t="shared" si="65"/>
        <v>E3_2_2_27 : E3_2_2_27</v>
      </c>
      <c r="I198" s="33" t="str">
        <f t="shared" si="66"/>
        <v>E3_2_2_27_mRNA : 0</v>
      </c>
      <c r="J198" s="16" t="str">
        <f t="shared" si="67"/>
        <v>E3_2_2_27 : 0</v>
      </c>
      <c r="K198" s="34" t="str">
        <f t="shared" si="68"/>
        <v>0.00292 - (0.0093 * E3_2_2_27_mRNA)</v>
      </c>
      <c r="L198" s="31" t="str">
        <f t="shared" si="69"/>
        <v>(0.278 * E3_2_2_27_mRNA) - (0.00000278 * E3_2_2_27)</v>
      </c>
      <c r="M198" s="35" t="str">
        <f t="shared" si="70"/>
        <v>mRNA197: -&gt; E3_2_2_27_mRNA | 0.00292 - (0.0093 * E3_2_2_27_mRNA)</v>
      </c>
      <c r="N198" s="36" t="str">
        <f t="shared" si="71"/>
        <v>Peptide197: E3_2_2_27_mRNA -&gt; E3_2_2_27 | (0.278 * E3_2_2_27_mRNA) - (0.000000278 * E3_2_2_27)</v>
      </c>
    </row>
    <row r="199" spans="1:14" x14ac:dyDescent="0.35">
      <c r="A199">
        <v>198</v>
      </c>
      <c r="B199" s="59" t="s">
        <v>2207</v>
      </c>
      <c r="C199" t="str">
        <f t="shared" ref="C199:C262" si="73">CONCATENATE(D199,"_mRNA")</f>
        <v>E3_2_2_9_mRNA</v>
      </c>
      <c r="D199" t="str">
        <f t="shared" ref="D199:D262" si="74">CONCATENATE("E",B199)</f>
        <v>E3_2_2_9</v>
      </c>
      <c r="E199" s="36" t="str">
        <f t="shared" ref="E199:E262" si="75">CONCATENATE("E",B199,"_kcat : 13.7")</f>
        <v>E3_2_2_9_kcat : 13.7</v>
      </c>
      <c r="F199" s="38" t="str">
        <f t="shared" ref="F199:F262" si="76">CONCATENATE("E",B199,"_km : 1")</f>
        <v>E3_2_2_9_km : 1</v>
      </c>
      <c r="G199" s="31" t="str">
        <f t="shared" ref="G199:G262" si="77">CONCATENATE(C199," : ",C199)</f>
        <v>E3_2_2_9_mRNA : E3_2_2_9_mRNA</v>
      </c>
      <c r="H199" s="32" t="str">
        <f t="shared" ref="H199:H262" si="78">CONCATENATE(D199," : ",D199)</f>
        <v>E3_2_2_9 : E3_2_2_9</v>
      </c>
      <c r="I199" s="33" t="str">
        <f t="shared" ref="I199:I262" si="79">CONCATENATE(C199," : ","0")</f>
        <v>E3_2_2_9_mRNA : 0</v>
      </c>
      <c r="J199" s="16" t="str">
        <f t="shared" ref="J199:J262" si="80">CONCATENATE(D199," : ","0")</f>
        <v>E3_2_2_9 : 0</v>
      </c>
      <c r="K199" s="34" t="str">
        <f t="shared" ref="K199:K262" si="81">CONCATENATE("0.00292 - (0.0093 * ",C199,")")</f>
        <v>0.00292 - (0.0093 * E3_2_2_9_mRNA)</v>
      </c>
      <c r="L199" s="31" t="str">
        <f t="shared" ref="L199:L262" si="82">CONCATENATE("(0.278 * ",C199,")"," - (0.00000278 * ",D199,")")</f>
        <v>(0.278 * E3_2_2_9_mRNA) - (0.00000278 * E3_2_2_9)</v>
      </c>
      <c r="M199" s="35" t="str">
        <f t="shared" ref="M199:M262" si="83">CONCATENATE("mRNA",A199,": -&gt; ",C199," | ","0.00292"," - ","(","0.0093"," * ",C199,")")</f>
        <v>mRNA198: -&gt; E3_2_2_9_mRNA | 0.00292 - (0.0093 * E3_2_2_9_mRNA)</v>
      </c>
      <c r="N199" s="36" t="str">
        <f t="shared" ref="N199:N262" si="84">CONCATENATE("Peptide",A199,": ",C199," -&gt; ",D199," | ","(","0.278"," * ",C199,")"," - ","(","0.000000278"," * ",D199,")")</f>
        <v>Peptide198: E3_2_2_9_mRNA -&gt; E3_2_2_9 | (0.278 * E3_2_2_9_mRNA) - (0.000000278 * E3_2_2_9)</v>
      </c>
    </row>
    <row r="200" spans="1:14" x14ac:dyDescent="0.35">
      <c r="A200">
        <v>199</v>
      </c>
      <c r="B200" s="59" t="s">
        <v>10894</v>
      </c>
      <c r="C200" t="str">
        <f t="shared" si="73"/>
        <v>E3_4_11_18_mRNA</v>
      </c>
      <c r="D200" t="str">
        <f t="shared" si="74"/>
        <v>E3_4_11_18</v>
      </c>
      <c r="E200" s="36" t="str">
        <f t="shared" si="75"/>
        <v>E3_4_11_18_kcat : 13.7</v>
      </c>
      <c r="F200" s="38" t="str">
        <f t="shared" si="76"/>
        <v>E3_4_11_18_km : 1</v>
      </c>
      <c r="G200" s="31" t="str">
        <f t="shared" si="77"/>
        <v>E3_4_11_18_mRNA : E3_4_11_18_mRNA</v>
      </c>
      <c r="H200" s="32" t="str">
        <f t="shared" si="78"/>
        <v>E3_4_11_18 : E3_4_11_18</v>
      </c>
      <c r="I200" s="33" t="str">
        <f t="shared" si="79"/>
        <v>E3_4_11_18_mRNA : 0</v>
      </c>
      <c r="J200" s="16" t="str">
        <f t="shared" si="80"/>
        <v>E3_4_11_18 : 0</v>
      </c>
      <c r="K200" s="34" t="str">
        <f t="shared" si="81"/>
        <v>0.00292 - (0.0093 * E3_4_11_18_mRNA)</v>
      </c>
      <c r="L200" s="31" t="str">
        <f t="shared" si="82"/>
        <v>(0.278 * E3_4_11_18_mRNA) - (0.00000278 * E3_4_11_18)</v>
      </c>
      <c r="M200" s="35" t="str">
        <f t="shared" si="83"/>
        <v>mRNA199: -&gt; E3_4_11_18_mRNA | 0.00292 - (0.0093 * E3_4_11_18_mRNA)</v>
      </c>
      <c r="N200" s="36" t="str">
        <f t="shared" si="84"/>
        <v>Peptide199: E3_4_11_18_mRNA -&gt; E3_4_11_18 | (0.278 * E3_4_11_18_mRNA) - (0.000000278 * E3_4_11_18)</v>
      </c>
    </row>
    <row r="201" spans="1:14" x14ac:dyDescent="0.35">
      <c r="A201">
        <v>200</v>
      </c>
      <c r="B201" s="59" t="s">
        <v>10895</v>
      </c>
      <c r="C201" t="str">
        <f t="shared" si="73"/>
        <v>E3_4_11_2_mRNA</v>
      </c>
      <c r="D201" t="str">
        <f t="shared" si="74"/>
        <v>E3_4_11_2</v>
      </c>
      <c r="E201" s="36" t="str">
        <f t="shared" si="75"/>
        <v>E3_4_11_2_kcat : 13.7</v>
      </c>
      <c r="F201" s="38" t="str">
        <f t="shared" si="76"/>
        <v>E3_4_11_2_km : 1</v>
      </c>
      <c r="G201" s="31" t="str">
        <f t="shared" si="77"/>
        <v>E3_4_11_2_mRNA : E3_4_11_2_mRNA</v>
      </c>
      <c r="H201" s="32" t="str">
        <f t="shared" si="78"/>
        <v>E3_4_11_2 : E3_4_11_2</v>
      </c>
      <c r="I201" s="33" t="str">
        <f t="shared" si="79"/>
        <v>E3_4_11_2_mRNA : 0</v>
      </c>
      <c r="J201" s="16" t="str">
        <f t="shared" si="80"/>
        <v>E3_4_11_2 : 0</v>
      </c>
      <c r="K201" s="34" t="str">
        <f t="shared" si="81"/>
        <v>0.00292 - (0.0093 * E3_4_11_2_mRNA)</v>
      </c>
      <c r="L201" s="31" t="str">
        <f t="shared" si="82"/>
        <v>(0.278 * E3_4_11_2_mRNA) - (0.00000278 * E3_4_11_2)</v>
      </c>
      <c r="M201" s="35" t="str">
        <f t="shared" si="83"/>
        <v>mRNA200: -&gt; E3_4_11_2_mRNA | 0.00292 - (0.0093 * E3_4_11_2_mRNA)</v>
      </c>
      <c r="N201" s="36" t="str">
        <f t="shared" si="84"/>
        <v>Peptide200: E3_4_11_2_mRNA -&gt; E3_4_11_2 | (0.278 * E3_4_11_2_mRNA) - (0.000000278 * E3_4_11_2)</v>
      </c>
    </row>
    <row r="202" spans="1:14" x14ac:dyDescent="0.35">
      <c r="A202">
        <v>201</v>
      </c>
      <c r="B202" s="59" t="s">
        <v>10896</v>
      </c>
      <c r="C202" t="str">
        <f t="shared" si="73"/>
        <v>E3_4_16_4_mRNA</v>
      </c>
      <c r="D202" t="str">
        <f t="shared" si="74"/>
        <v>E3_4_16_4</v>
      </c>
      <c r="E202" s="36" t="str">
        <f t="shared" si="75"/>
        <v>E3_4_16_4_kcat : 13.7</v>
      </c>
      <c r="F202" s="38" t="str">
        <f t="shared" si="76"/>
        <v>E3_4_16_4_km : 1</v>
      </c>
      <c r="G202" s="31" t="str">
        <f t="shared" si="77"/>
        <v>E3_4_16_4_mRNA : E3_4_16_4_mRNA</v>
      </c>
      <c r="H202" s="32" t="str">
        <f t="shared" si="78"/>
        <v>E3_4_16_4 : E3_4_16_4</v>
      </c>
      <c r="I202" s="33" t="str">
        <f t="shared" si="79"/>
        <v>E3_4_16_4_mRNA : 0</v>
      </c>
      <c r="J202" s="16" t="str">
        <f t="shared" si="80"/>
        <v>E3_4_16_4 : 0</v>
      </c>
      <c r="K202" s="34" t="str">
        <f t="shared" si="81"/>
        <v>0.00292 - (0.0093 * E3_4_16_4_mRNA)</v>
      </c>
      <c r="L202" s="31" t="str">
        <f t="shared" si="82"/>
        <v>(0.278 * E3_4_16_4_mRNA) - (0.00000278 * E3_4_16_4)</v>
      </c>
      <c r="M202" s="35" t="str">
        <f t="shared" si="83"/>
        <v>mRNA201: -&gt; E3_4_16_4_mRNA | 0.00292 - (0.0093 * E3_4_16_4_mRNA)</v>
      </c>
      <c r="N202" s="36" t="str">
        <f t="shared" si="84"/>
        <v>Peptide201: E3_4_16_4_mRNA -&gt; E3_4_16_4 | (0.278 * E3_4_16_4_mRNA) - (0.000000278 * E3_4_16_4)</v>
      </c>
    </row>
    <row r="203" spans="1:14" x14ac:dyDescent="0.35">
      <c r="A203">
        <v>202</v>
      </c>
      <c r="B203" s="59" t="s">
        <v>10897</v>
      </c>
      <c r="C203" t="str">
        <f t="shared" si="73"/>
        <v>E3_4_19_3_mRNA</v>
      </c>
      <c r="D203" t="str">
        <f t="shared" si="74"/>
        <v>E3_4_19_3</v>
      </c>
      <c r="E203" s="36" t="str">
        <f t="shared" si="75"/>
        <v>E3_4_19_3_kcat : 13.7</v>
      </c>
      <c r="F203" s="38" t="str">
        <f t="shared" si="76"/>
        <v>E3_4_19_3_km : 1</v>
      </c>
      <c r="G203" s="31" t="str">
        <f t="shared" si="77"/>
        <v>E3_4_19_3_mRNA : E3_4_19_3_mRNA</v>
      </c>
      <c r="H203" s="32" t="str">
        <f t="shared" si="78"/>
        <v>E3_4_19_3 : E3_4_19_3</v>
      </c>
      <c r="I203" s="33" t="str">
        <f t="shared" si="79"/>
        <v>E3_4_19_3_mRNA : 0</v>
      </c>
      <c r="J203" s="16" t="str">
        <f t="shared" si="80"/>
        <v>E3_4_19_3 : 0</v>
      </c>
      <c r="K203" s="34" t="str">
        <f t="shared" si="81"/>
        <v>0.00292 - (0.0093 * E3_4_19_3_mRNA)</v>
      </c>
      <c r="L203" s="31" t="str">
        <f t="shared" si="82"/>
        <v>(0.278 * E3_4_19_3_mRNA) - (0.00000278 * E3_4_19_3)</v>
      </c>
      <c r="M203" s="35" t="str">
        <f t="shared" si="83"/>
        <v>mRNA202: -&gt; E3_4_19_3_mRNA | 0.00292 - (0.0093 * E3_4_19_3_mRNA)</v>
      </c>
      <c r="N203" s="36" t="str">
        <f t="shared" si="84"/>
        <v>Peptide202: E3_4_19_3_mRNA -&gt; E3_4_19_3 | (0.278 * E3_4_19_3_mRNA) - (0.000000278 * E3_4_19_3)</v>
      </c>
    </row>
    <row r="204" spans="1:14" x14ac:dyDescent="0.35">
      <c r="A204">
        <v>203</v>
      </c>
      <c r="B204" s="59" t="s">
        <v>10898</v>
      </c>
      <c r="C204" t="str">
        <f t="shared" si="73"/>
        <v>E3_4_21_105_mRNA</v>
      </c>
      <c r="D204" t="str">
        <f t="shared" si="74"/>
        <v>E3_4_21_105</v>
      </c>
      <c r="E204" s="36" t="str">
        <f t="shared" si="75"/>
        <v>E3_4_21_105_kcat : 13.7</v>
      </c>
      <c r="F204" s="38" t="str">
        <f t="shared" si="76"/>
        <v>E3_4_21_105_km : 1</v>
      </c>
      <c r="G204" s="31" t="str">
        <f t="shared" si="77"/>
        <v>E3_4_21_105_mRNA : E3_4_21_105_mRNA</v>
      </c>
      <c r="H204" s="32" t="str">
        <f t="shared" si="78"/>
        <v>E3_4_21_105 : E3_4_21_105</v>
      </c>
      <c r="I204" s="33" t="str">
        <f t="shared" si="79"/>
        <v>E3_4_21_105_mRNA : 0</v>
      </c>
      <c r="J204" s="16" t="str">
        <f t="shared" si="80"/>
        <v>E3_4_21_105 : 0</v>
      </c>
      <c r="K204" s="34" t="str">
        <f t="shared" si="81"/>
        <v>0.00292 - (0.0093 * E3_4_21_105_mRNA)</v>
      </c>
      <c r="L204" s="31" t="str">
        <f t="shared" si="82"/>
        <v>(0.278 * E3_4_21_105_mRNA) - (0.00000278 * E3_4_21_105)</v>
      </c>
      <c r="M204" s="35" t="str">
        <f t="shared" si="83"/>
        <v>mRNA203: -&gt; E3_4_21_105_mRNA | 0.00292 - (0.0093 * E3_4_21_105_mRNA)</v>
      </c>
      <c r="N204" s="36" t="str">
        <f t="shared" si="84"/>
        <v>Peptide203: E3_4_21_105_mRNA -&gt; E3_4_21_105 | (0.278 * E3_4_21_105_mRNA) - (0.000000278 * E3_4_21_105)</v>
      </c>
    </row>
    <row r="205" spans="1:14" x14ac:dyDescent="0.35">
      <c r="A205">
        <v>204</v>
      </c>
      <c r="B205" s="59" t="s">
        <v>10899</v>
      </c>
      <c r="C205" t="str">
        <f t="shared" si="73"/>
        <v>E3_4_21_88_mRNA</v>
      </c>
      <c r="D205" t="str">
        <f t="shared" si="74"/>
        <v>E3_4_21_88</v>
      </c>
      <c r="E205" s="36" t="str">
        <f t="shared" si="75"/>
        <v>E3_4_21_88_kcat : 13.7</v>
      </c>
      <c r="F205" s="38" t="str">
        <f t="shared" si="76"/>
        <v>E3_4_21_88_km : 1</v>
      </c>
      <c r="G205" s="31" t="str">
        <f t="shared" si="77"/>
        <v>E3_4_21_88_mRNA : E3_4_21_88_mRNA</v>
      </c>
      <c r="H205" s="32" t="str">
        <f t="shared" si="78"/>
        <v>E3_4_21_88 : E3_4_21_88</v>
      </c>
      <c r="I205" s="33" t="str">
        <f t="shared" si="79"/>
        <v>E3_4_21_88_mRNA : 0</v>
      </c>
      <c r="J205" s="16" t="str">
        <f t="shared" si="80"/>
        <v>E3_4_21_88 : 0</v>
      </c>
      <c r="K205" s="34" t="str">
        <f t="shared" si="81"/>
        <v>0.00292 - (0.0093 * E3_4_21_88_mRNA)</v>
      </c>
      <c r="L205" s="31" t="str">
        <f t="shared" si="82"/>
        <v>(0.278 * E3_4_21_88_mRNA) - (0.00000278 * E3_4_21_88)</v>
      </c>
      <c r="M205" s="35" t="str">
        <f t="shared" si="83"/>
        <v>mRNA204: -&gt; E3_4_21_88_mRNA | 0.00292 - (0.0093 * E3_4_21_88_mRNA)</v>
      </c>
      <c r="N205" s="36" t="str">
        <f t="shared" si="84"/>
        <v>Peptide204: E3_4_21_88_mRNA -&gt; E3_4_21_88 | (0.278 * E3_4_21_88_mRNA) - (0.000000278 * E3_4_21_88)</v>
      </c>
    </row>
    <row r="206" spans="1:14" x14ac:dyDescent="0.35">
      <c r="A206">
        <v>205</v>
      </c>
      <c r="B206" s="59" t="s">
        <v>10900</v>
      </c>
      <c r="C206" t="str">
        <f t="shared" si="73"/>
        <v>E3_4_21_89_mRNA</v>
      </c>
      <c r="D206" t="str">
        <f t="shared" si="74"/>
        <v>E3_4_21_89</v>
      </c>
      <c r="E206" s="36" t="str">
        <f t="shared" si="75"/>
        <v>E3_4_21_89_kcat : 13.7</v>
      </c>
      <c r="F206" s="38" t="str">
        <f t="shared" si="76"/>
        <v>E3_4_21_89_km : 1</v>
      </c>
      <c r="G206" s="31" t="str">
        <f t="shared" si="77"/>
        <v>E3_4_21_89_mRNA : E3_4_21_89_mRNA</v>
      </c>
      <c r="H206" s="32" t="str">
        <f t="shared" si="78"/>
        <v>E3_4_21_89 : E3_4_21_89</v>
      </c>
      <c r="I206" s="33" t="str">
        <f t="shared" si="79"/>
        <v>E3_4_21_89_mRNA : 0</v>
      </c>
      <c r="J206" s="16" t="str">
        <f t="shared" si="80"/>
        <v>E3_4_21_89 : 0</v>
      </c>
      <c r="K206" s="34" t="str">
        <f t="shared" si="81"/>
        <v>0.00292 - (0.0093 * E3_4_21_89_mRNA)</v>
      </c>
      <c r="L206" s="31" t="str">
        <f t="shared" si="82"/>
        <v>(0.278 * E3_4_21_89_mRNA) - (0.00000278 * E3_4_21_89)</v>
      </c>
      <c r="M206" s="35" t="str">
        <f t="shared" si="83"/>
        <v>mRNA205: -&gt; E3_4_21_89_mRNA | 0.00292 - (0.0093 * E3_4_21_89_mRNA)</v>
      </c>
      <c r="N206" s="36" t="str">
        <f t="shared" si="84"/>
        <v>Peptide205: E3_4_21_89_mRNA -&gt; E3_4_21_89 | (0.278 * E3_4_21_89_mRNA) - (0.000000278 * E3_4_21_89)</v>
      </c>
    </row>
    <row r="207" spans="1:14" x14ac:dyDescent="0.35">
      <c r="A207">
        <v>206</v>
      </c>
      <c r="B207" s="59" t="s">
        <v>10901</v>
      </c>
      <c r="C207" t="str">
        <f t="shared" si="73"/>
        <v>E3_4_23_36_mRNA</v>
      </c>
      <c r="D207" t="str">
        <f t="shared" si="74"/>
        <v>E3_4_23_36</v>
      </c>
      <c r="E207" s="36" t="str">
        <f t="shared" si="75"/>
        <v>E3_4_23_36_kcat : 13.7</v>
      </c>
      <c r="F207" s="38" t="str">
        <f t="shared" si="76"/>
        <v>E3_4_23_36_km : 1</v>
      </c>
      <c r="G207" s="31" t="str">
        <f t="shared" si="77"/>
        <v>E3_4_23_36_mRNA : E3_4_23_36_mRNA</v>
      </c>
      <c r="H207" s="32" t="str">
        <f t="shared" si="78"/>
        <v>E3_4_23_36 : E3_4_23_36</v>
      </c>
      <c r="I207" s="33" t="str">
        <f t="shared" si="79"/>
        <v>E3_4_23_36_mRNA : 0</v>
      </c>
      <c r="J207" s="16" t="str">
        <f t="shared" si="80"/>
        <v>E3_4_23_36 : 0</v>
      </c>
      <c r="K207" s="34" t="str">
        <f t="shared" si="81"/>
        <v>0.00292 - (0.0093 * E3_4_23_36_mRNA)</v>
      </c>
      <c r="L207" s="31" t="str">
        <f t="shared" si="82"/>
        <v>(0.278 * E3_4_23_36_mRNA) - (0.00000278 * E3_4_23_36)</v>
      </c>
      <c r="M207" s="35" t="str">
        <f t="shared" si="83"/>
        <v>mRNA206: -&gt; E3_4_23_36_mRNA | 0.00292 - (0.0093 * E3_4_23_36_mRNA)</v>
      </c>
      <c r="N207" s="36" t="str">
        <f t="shared" si="84"/>
        <v>Peptide206: E3_4_23_36_mRNA -&gt; E3_4_23_36 | (0.278 * E3_4_23_36_mRNA) - (0.000000278 * E3_4_23_36)</v>
      </c>
    </row>
    <row r="208" spans="1:14" x14ac:dyDescent="0.35">
      <c r="A208">
        <v>207</v>
      </c>
      <c r="B208" s="59" t="s">
        <v>10902</v>
      </c>
      <c r="C208" t="str">
        <f t="shared" si="73"/>
        <v>E3_5_1_119_mRNA</v>
      </c>
      <c r="D208" t="str">
        <f t="shared" si="74"/>
        <v>E3_5_1_119</v>
      </c>
      <c r="E208" s="36" t="str">
        <f t="shared" si="75"/>
        <v>E3_5_1_119_kcat : 13.7</v>
      </c>
      <c r="F208" s="38" t="str">
        <f t="shared" si="76"/>
        <v>E3_5_1_119_km : 1</v>
      </c>
      <c r="G208" s="31" t="str">
        <f t="shared" si="77"/>
        <v>E3_5_1_119_mRNA : E3_5_1_119_mRNA</v>
      </c>
      <c r="H208" s="32" t="str">
        <f t="shared" si="78"/>
        <v>E3_5_1_119 : E3_5_1_119</v>
      </c>
      <c r="I208" s="33" t="str">
        <f t="shared" si="79"/>
        <v>E3_5_1_119_mRNA : 0</v>
      </c>
      <c r="J208" s="16" t="str">
        <f t="shared" si="80"/>
        <v>E3_5_1_119 : 0</v>
      </c>
      <c r="K208" s="34" t="str">
        <f t="shared" si="81"/>
        <v>0.00292 - (0.0093 * E3_5_1_119_mRNA)</v>
      </c>
      <c r="L208" s="31" t="str">
        <f t="shared" si="82"/>
        <v>(0.278 * E3_5_1_119_mRNA) - (0.00000278 * E3_5_1_119)</v>
      </c>
      <c r="M208" s="35" t="str">
        <f t="shared" si="83"/>
        <v>mRNA207: -&gt; E3_5_1_119_mRNA | 0.00292 - (0.0093 * E3_5_1_119_mRNA)</v>
      </c>
      <c r="N208" s="36" t="str">
        <f t="shared" si="84"/>
        <v>Peptide207: E3_5_1_119_mRNA -&gt; E3_5_1_119 | (0.278 * E3_5_1_119_mRNA) - (0.000000278 * E3_5_1_119)</v>
      </c>
    </row>
    <row r="209" spans="1:14" x14ac:dyDescent="0.35">
      <c r="A209">
        <v>208</v>
      </c>
      <c r="B209" s="59" t="s">
        <v>10903</v>
      </c>
      <c r="C209" t="str">
        <f t="shared" si="73"/>
        <v>E3_5_1_18_mRNA</v>
      </c>
      <c r="D209" t="str">
        <f t="shared" si="74"/>
        <v>E3_5_1_18</v>
      </c>
      <c r="E209" s="36" t="str">
        <f t="shared" si="75"/>
        <v>E3_5_1_18_kcat : 13.7</v>
      </c>
      <c r="F209" s="38" t="str">
        <f t="shared" si="76"/>
        <v>E3_5_1_18_km : 1</v>
      </c>
      <c r="G209" s="31" t="str">
        <f t="shared" si="77"/>
        <v>E3_5_1_18_mRNA : E3_5_1_18_mRNA</v>
      </c>
      <c r="H209" s="32" t="str">
        <f t="shared" si="78"/>
        <v>E3_5_1_18 : E3_5_1_18</v>
      </c>
      <c r="I209" s="33" t="str">
        <f t="shared" si="79"/>
        <v>E3_5_1_18_mRNA : 0</v>
      </c>
      <c r="J209" s="16" t="str">
        <f t="shared" si="80"/>
        <v>E3_5_1_18 : 0</v>
      </c>
      <c r="K209" s="34" t="str">
        <f t="shared" si="81"/>
        <v>0.00292 - (0.0093 * E3_5_1_18_mRNA)</v>
      </c>
      <c r="L209" s="31" t="str">
        <f t="shared" si="82"/>
        <v>(0.278 * E3_5_1_18_mRNA) - (0.00000278 * E3_5_1_18)</v>
      </c>
      <c r="M209" s="35" t="str">
        <f t="shared" si="83"/>
        <v>mRNA208: -&gt; E3_5_1_18_mRNA | 0.00292 - (0.0093 * E3_5_1_18_mRNA)</v>
      </c>
      <c r="N209" s="36" t="str">
        <f t="shared" si="84"/>
        <v>Peptide208: E3_5_1_18_mRNA -&gt; E3_5_1_18 | (0.278 * E3_5_1_18_mRNA) - (0.000000278 * E3_5_1_18)</v>
      </c>
    </row>
    <row r="210" spans="1:14" x14ac:dyDescent="0.35">
      <c r="A210">
        <v>209</v>
      </c>
      <c r="B210" s="59" t="s">
        <v>2227</v>
      </c>
      <c r="C210" t="str">
        <f t="shared" si="73"/>
        <v>E3_5_1_2_mRNA</v>
      </c>
      <c r="D210" t="str">
        <f t="shared" si="74"/>
        <v>E3_5_1_2</v>
      </c>
      <c r="E210" s="36" t="str">
        <f t="shared" si="75"/>
        <v>E3_5_1_2_kcat : 13.7</v>
      </c>
      <c r="F210" s="38" t="str">
        <f t="shared" si="76"/>
        <v>E3_5_1_2_km : 1</v>
      </c>
      <c r="G210" s="31" t="str">
        <f t="shared" si="77"/>
        <v>E3_5_1_2_mRNA : E3_5_1_2_mRNA</v>
      </c>
      <c r="H210" s="32" t="str">
        <f t="shared" si="78"/>
        <v>E3_5_1_2 : E3_5_1_2</v>
      </c>
      <c r="I210" s="33" t="str">
        <f t="shared" si="79"/>
        <v>E3_5_1_2_mRNA : 0</v>
      </c>
      <c r="J210" s="16" t="str">
        <f t="shared" si="80"/>
        <v>E3_5_1_2 : 0</v>
      </c>
      <c r="K210" s="34" t="str">
        <f t="shared" si="81"/>
        <v>0.00292 - (0.0093 * E3_5_1_2_mRNA)</v>
      </c>
      <c r="L210" s="31" t="str">
        <f t="shared" si="82"/>
        <v>(0.278 * E3_5_1_2_mRNA) - (0.00000278 * E3_5_1_2)</v>
      </c>
      <c r="M210" s="35" t="str">
        <f t="shared" si="83"/>
        <v>mRNA209: -&gt; E3_5_1_2_mRNA | 0.00292 - (0.0093 * E3_5_1_2_mRNA)</v>
      </c>
      <c r="N210" s="36" t="str">
        <f t="shared" si="84"/>
        <v>Peptide209: E3_5_1_2_mRNA -&gt; E3_5_1_2 | (0.278 * E3_5_1_2_mRNA) - (0.000000278 * E3_5_1_2)</v>
      </c>
    </row>
    <row r="211" spans="1:14" x14ac:dyDescent="0.35">
      <c r="A211">
        <v>210</v>
      </c>
      <c r="B211" s="59" t="s">
        <v>2310</v>
      </c>
      <c r="C211" t="str">
        <f t="shared" si="73"/>
        <v>E3_5_1_24_mRNA</v>
      </c>
      <c r="D211" t="str">
        <f t="shared" si="74"/>
        <v>E3_5_1_24</v>
      </c>
      <c r="E211" s="36" t="str">
        <f t="shared" si="75"/>
        <v>E3_5_1_24_kcat : 13.7</v>
      </c>
      <c r="F211" s="38" t="str">
        <f t="shared" si="76"/>
        <v>E3_5_1_24_km : 1</v>
      </c>
      <c r="G211" s="31" t="str">
        <f t="shared" si="77"/>
        <v>E3_5_1_24_mRNA : E3_5_1_24_mRNA</v>
      </c>
      <c r="H211" s="32" t="str">
        <f t="shared" si="78"/>
        <v>E3_5_1_24 : E3_5_1_24</v>
      </c>
      <c r="I211" s="33" t="str">
        <f t="shared" si="79"/>
        <v>E3_5_1_24_mRNA : 0</v>
      </c>
      <c r="J211" s="16" t="str">
        <f t="shared" si="80"/>
        <v>E3_5_1_24 : 0</v>
      </c>
      <c r="K211" s="34" t="str">
        <f t="shared" si="81"/>
        <v>0.00292 - (0.0093 * E3_5_1_24_mRNA)</v>
      </c>
      <c r="L211" s="31" t="str">
        <f t="shared" si="82"/>
        <v>(0.278 * E3_5_1_24_mRNA) - (0.00000278 * E3_5_1_24)</v>
      </c>
      <c r="M211" s="35" t="str">
        <f t="shared" si="83"/>
        <v>mRNA210: -&gt; E3_5_1_24_mRNA | 0.00292 - (0.0093 * E3_5_1_24_mRNA)</v>
      </c>
      <c r="N211" s="36" t="str">
        <f t="shared" si="84"/>
        <v>Peptide210: E3_5_1_24_mRNA -&gt; E3_5_1_24 | (0.278 * E3_5_1_24_mRNA) - (0.000000278 * E3_5_1_24)</v>
      </c>
    </row>
    <row r="212" spans="1:14" x14ac:dyDescent="0.35">
      <c r="A212">
        <v>211</v>
      </c>
      <c r="B212" s="59" t="s">
        <v>2284</v>
      </c>
      <c r="C212" t="str">
        <f t="shared" si="73"/>
        <v>E3_5_1_25_mRNA</v>
      </c>
      <c r="D212" t="str">
        <f t="shared" si="74"/>
        <v>E3_5_1_25</v>
      </c>
      <c r="E212" s="36" t="str">
        <f t="shared" si="75"/>
        <v>E3_5_1_25_kcat : 13.7</v>
      </c>
      <c r="F212" s="38" t="str">
        <f t="shared" si="76"/>
        <v>E3_5_1_25_km : 1</v>
      </c>
      <c r="G212" s="31" t="str">
        <f t="shared" si="77"/>
        <v>E3_5_1_25_mRNA : E3_5_1_25_mRNA</v>
      </c>
      <c r="H212" s="32" t="str">
        <f t="shared" si="78"/>
        <v>E3_5_1_25 : E3_5_1_25</v>
      </c>
      <c r="I212" s="33" t="str">
        <f t="shared" si="79"/>
        <v>E3_5_1_25_mRNA : 0</v>
      </c>
      <c r="J212" s="16" t="str">
        <f t="shared" si="80"/>
        <v>E3_5_1_25 : 0</v>
      </c>
      <c r="K212" s="34" t="str">
        <f t="shared" si="81"/>
        <v>0.00292 - (0.0093 * E3_5_1_25_mRNA)</v>
      </c>
      <c r="L212" s="31" t="str">
        <f t="shared" si="82"/>
        <v>(0.278 * E3_5_1_25_mRNA) - (0.00000278 * E3_5_1_25)</v>
      </c>
      <c r="M212" s="35" t="str">
        <f t="shared" si="83"/>
        <v>mRNA211: -&gt; E3_5_1_25_mRNA | 0.00292 - (0.0093 * E3_5_1_25_mRNA)</v>
      </c>
      <c r="N212" s="36" t="str">
        <f t="shared" si="84"/>
        <v>Peptide211: E3_5_1_25_mRNA -&gt; E3_5_1_25 | (0.278 * E3_5_1_25_mRNA) - (0.000000278 * E3_5_1_25)</v>
      </c>
    </row>
    <row r="213" spans="1:14" x14ac:dyDescent="0.35">
      <c r="A213">
        <v>212</v>
      </c>
      <c r="B213" s="59" t="s">
        <v>10904</v>
      </c>
      <c r="C213" t="str">
        <f t="shared" si="73"/>
        <v>E3_5_1_28_mRNA</v>
      </c>
      <c r="D213" t="str">
        <f t="shared" si="74"/>
        <v>E3_5_1_28</v>
      </c>
      <c r="E213" s="36" t="str">
        <f t="shared" si="75"/>
        <v>E3_5_1_28_kcat : 13.7</v>
      </c>
      <c r="F213" s="38" t="str">
        <f t="shared" si="76"/>
        <v>E3_5_1_28_km : 1</v>
      </c>
      <c r="G213" s="31" t="str">
        <f t="shared" si="77"/>
        <v>E3_5_1_28_mRNA : E3_5_1_28_mRNA</v>
      </c>
      <c r="H213" s="32" t="str">
        <f t="shared" si="78"/>
        <v>E3_5_1_28 : E3_5_1_28</v>
      </c>
      <c r="I213" s="33" t="str">
        <f t="shared" si="79"/>
        <v>E3_5_1_28_mRNA : 0</v>
      </c>
      <c r="J213" s="16" t="str">
        <f t="shared" si="80"/>
        <v>E3_5_1_28 : 0</v>
      </c>
      <c r="K213" s="34" t="str">
        <f t="shared" si="81"/>
        <v>0.00292 - (0.0093 * E3_5_1_28_mRNA)</v>
      </c>
      <c r="L213" s="31" t="str">
        <f t="shared" si="82"/>
        <v>(0.278 * E3_5_1_28_mRNA) - (0.00000278 * E3_5_1_28)</v>
      </c>
      <c r="M213" s="35" t="str">
        <f t="shared" si="83"/>
        <v>mRNA212: -&gt; E3_5_1_28_mRNA | 0.00292 - (0.0093 * E3_5_1_28_mRNA)</v>
      </c>
      <c r="N213" s="36" t="str">
        <f t="shared" si="84"/>
        <v>Peptide212: E3_5_1_28_mRNA -&gt; E3_5_1_28 | (0.278 * E3_5_1_28_mRNA) - (0.000000278 * E3_5_1_28)</v>
      </c>
    </row>
    <row r="214" spans="1:14" x14ac:dyDescent="0.35">
      <c r="A214">
        <v>213</v>
      </c>
      <c r="B214" s="59" t="s">
        <v>2325</v>
      </c>
      <c r="C214" t="str">
        <f t="shared" si="73"/>
        <v>E3_5_1_88_mRNA</v>
      </c>
      <c r="D214" t="str">
        <f t="shared" si="74"/>
        <v>E3_5_1_88</v>
      </c>
      <c r="E214" s="36" t="str">
        <f t="shared" si="75"/>
        <v>E3_5_1_88_kcat : 13.7</v>
      </c>
      <c r="F214" s="38" t="str">
        <f t="shared" si="76"/>
        <v>E3_5_1_88_km : 1</v>
      </c>
      <c r="G214" s="31" t="str">
        <f t="shared" si="77"/>
        <v>E3_5_1_88_mRNA : E3_5_1_88_mRNA</v>
      </c>
      <c r="H214" s="32" t="str">
        <f t="shared" si="78"/>
        <v>E3_5_1_88 : E3_5_1_88</v>
      </c>
      <c r="I214" s="33" t="str">
        <f t="shared" si="79"/>
        <v>E3_5_1_88_mRNA : 0</v>
      </c>
      <c r="J214" s="16" t="str">
        <f t="shared" si="80"/>
        <v>E3_5_1_88 : 0</v>
      </c>
      <c r="K214" s="34" t="str">
        <f t="shared" si="81"/>
        <v>0.00292 - (0.0093 * E3_5_1_88_mRNA)</v>
      </c>
      <c r="L214" s="31" t="str">
        <f t="shared" si="82"/>
        <v>(0.278 * E3_5_1_88_mRNA) - (0.00000278 * E3_5_1_88)</v>
      </c>
      <c r="M214" s="35" t="str">
        <f t="shared" si="83"/>
        <v>mRNA213: -&gt; E3_5_1_88_mRNA | 0.00292 - (0.0093 * E3_5_1_88_mRNA)</v>
      </c>
      <c r="N214" s="36" t="str">
        <f t="shared" si="84"/>
        <v>Peptide213: E3_5_1_88_mRNA -&gt; E3_5_1_88 | (0.278 * E3_5_1_88_mRNA) - (0.000000278 * E3_5_1_88)</v>
      </c>
    </row>
    <row r="215" spans="1:14" x14ac:dyDescent="0.35">
      <c r="A215">
        <v>214</v>
      </c>
      <c r="B215" s="59" t="s">
        <v>10905</v>
      </c>
      <c r="C215" t="str">
        <f t="shared" si="73"/>
        <v>E3_5_2_10_mRNA</v>
      </c>
      <c r="D215" t="str">
        <f t="shared" si="74"/>
        <v>E3_5_2_10</v>
      </c>
      <c r="E215" s="36" t="str">
        <f t="shared" si="75"/>
        <v>E3_5_2_10_kcat : 13.7</v>
      </c>
      <c r="F215" s="38" t="str">
        <f t="shared" si="76"/>
        <v>E3_5_2_10_km : 1</v>
      </c>
      <c r="G215" s="31" t="str">
        <f t="shared" si="77"/>
        <v>E3_5_2_10_mRNA : E3_5_2_10_mRNA</v>
      </c>
      <c r="H215" s="32" t="str">
        <f t="shared" si="78"/>
        <v>E3_5_2_10 : E3_5_2_10</v>
      </c>
      <c r="I215" s="33" t="str">
        <f t="shared" si="79"/>
        <v>E3_5_2_10_mRNA : 0</v>
      </c>
      <c r="J215" s="16" t="str">
        <f t="shared" si="80"/>
        <v>E3_5_2_10 : 0</v>
      </c>
      <c r="K215" s="34" t="str">
        <f t="shared" si="81"/>
        <v>0.00292 - (0.0093 * E3_5_2_10_mRNA)</v>
      </c>
      <c r="L215" s="31" t="str">
        <f t="shared" si="82"/>
        <v>(0.278 * E3_5_2_10_mRNA) - (0.00000278 * E3_5_2_10)</v>
      </c>
      <c r="M215" s="35" t="str">
        <f t="shared" si="83"/>
        <v>mRNA214: -&gt; E3_5_2_10_mRNA | 0.00292 - (0.0093 * E3_5_2_10_mRNA)</v>
      </c>
      <c r="N215" s="36" t="str">
        <f t="shared" si="84"/>
        <v>Peptide214: E3_5_2_10_mRNA -&gt; E3_5_2_10 | (0.278 * E3_5_2_10_mRNA) - (0.000000278 * E3_5_2_10)</v>
      </c>
    </row>
    <row r="216" spans="1:14" x14ac:dyDescent="0.35">
      <c r="A216">
        <v>215</v>
      </c>
      <c r="B216" s="59" t="s">
        <v>2279</v>
      </c>
      <c r="C216" t="str">
        <f t="shared" si="73"/>
        <v>E3_5_2_3_mRNA</v>
      </c>
      <c r="D216" t="str">
        <f t="shared" si="74"/>
        <v>E3_5_2_3</v>
      </c>
      <c r="E216" s="36" t="str">
        <f t="shared" si="75"/>
        <v>E3_5_2_3_kcat : 13.7</v>
      </c>
      <c r="F216" s="38" t="str">
        <f t="shared" si="76"/>
        <v>E3_5_2_3_km : 1</v>
      </c>
      <c r="G216" s="31" t="str">
        <f t="shared" si="77"/>
        <v>E3_5_2_3_mRNA : E3_5_2_3_mRNA</v>
      </c>
      <c r="H216" s="32" t="str">
        <f t="shared" si="78"/>
        <v>E3_5_2_3 : E3_5_2_3</v>
      </c>
      <c r="I216" s="33" t="str">
        <f t="shared" si="79"/>
        <v>E3_5_2_3_mRNA : 0</v>
      </c>
      <c r="J216" s="16" t="str">
        <f t="shared" si="80"/>
        <v>E3_5_2_3 : 0</v>
      </c>
      <c r="K216" s="34" t="str">
        <f t="shared" si="81"/>
        <v>0.00292 - (0.0093 * E3_5_2_3_mRNA)</v>
      </c>
      <c r="L216" s="31" t="str">
        <f t="shared" si="82"/>
        <v>(0.278 * E3_5_2_3_mRNA) - (0.00000278 * E3_5_2_3)</v>
      </c>
      <c r="M216" s="35" t="str">
        <f t="shared" si="83"/>
        <v>mRNA215: -&gt; E3_5_2_3_mRNA | 0.00292 - (0.0093 * E3_5_2_3_mRNA)</v>
      </c>
      <c r="N216" s="36" t="str">
        <f t="shared" si="84"/>
        <v>Peptide215: E3_5_2_3_mRNA -&gt; E3_5_2_3 | (0.278 * E3_5_2_3_mRNA) - (0.000000278 * E3_5_2_3)</v>
      </c>
    </row>
    <row r="217" spans="1:14" x14ac:dyDescent="0.35">
      <c r="A217">
        <v>216</v>
      </c>
      <c r="B217" s="59" t="s">
        <v>2253</v>
      </c>
      <c r="C217" t="str">
        <f t="shared" si="73"/>
        <v>E3_5_4_10_mRNA</v>
      </c>
      <c r="D217" t="str">
        <f t="shared" si="74"/>
        <v>E3_5_4_10</v>
      </c>
      <c r="E217" s="36" t="str">
        <f t="shared" si="75"/>
        <v>E3_5_4_10_kcat : 13.7</v>
      </c>
      <c r="F217" s="38" t="str">
        <f t="shared" si="76"/>
        <v>E3_5_4_10_km : 1</v>
      </c>
      <c r="G217" s="31" t="str">
        <f t="shared" si="77"/>
        <v>E3_5_4_10_mRNA : E3_5_4_10_mRNA</v>
      </c>
      <c r="H217" s="32" t="str">
        <f t="shared" si="78"/>
        <v>E3_5_4_10 : E3_5_4_10</v>
      </c>
      <c r="I217" s="33" t="str">
        <f t="shared" si="79"/>
        <v>E3_5_4_10_mRNA : 0</v>
      </c>
      <c r="J217" s="16" t="str">
        <f t="shared" si="80"/>
        <v>E3_5_4_10 : 0</v>
      </c>
      <c r="K217" s="34" t="str">
        <f t="shared" si="81"/>
        <v>0.00292 - (0.0093 * E3_5_4_10_mRNA)</v>
      </c>
      <c r="L217" s="31" t="str">
        <f t="shared" si="82"/>
        <v>(0.278 * E3_5_4_10_mRNA) - (0.00000278 * E3_5_4_10)</v>
      </c>
      <c r="M217" s="35" t="str">
        <f t="shared" si="83"/>
        <v>mRNA216: -&gt; E3_5_4_10_mRNA | 0.00292 - (0.0093 * E3_5_4_10_mRNA)</v>
      </c>
      <c r="N217" s="36" t="str">
        <f t="shared" si="84"/>
        <v>Peptide216: E3_5_4_10_mRNA -&gt; E3_5_4_10 | (0.278 * E3_5_4_10_mRNA) - (0.000000278 * E3_5_4_10)</v>
      </c>
    </row>
    <row r="218" spans="1:14" x14ac:dyDescent="0.35">
      <c r="A218">
        <v>217</v>
      </c>
      <c r="B218" s="59" t="s">
        <v>10906</v>
      </c>
      <c r="C218" t="str">
        <f t="shared" si="73"/>
        <v>E3_5_4_13_mRNA</v>
      </c>
      <c r="D218" t="str">
        <f t="shared" si="74"/>
        <v>E3_5_4_13</v>
      </c>
      <c r="E218" s="36" t="str">
        <f t="shared" si="75"/>
        <v>E3_5_4_13_kcat : 13.7</v>
      </c>
      <c r="F218" s="38" t="str">
        <f t="shared" si="76"/>
        <v>E3_5_4_13_km : 1</v>
      </c>
      <c r="G218" s="31" t="str">
        <f t="shared" si="77"/>
        <v>E3_5_4_13_mRNA : E3_5_4_13_mRNA</v>
      </c>
      <c r="H218" s="32" t="str">
        <f t="shared" si="78"/>
        <v>E3_5_4_13 : E3_5_4_13</v>
      </c>
      <c r="I218" s="33" t="str">
        <f t="shared" si="79"/>
        <v>E3_5_4_13_mRNA : 0</v>
      </c>
      <c r="J218" s="16" t="str">
        <f t="shared" si="80"/>
        <v>E3_5_4_13 : 0</v>
      </c>
      <c r="K218" s="34" t="str">
        <f t="shared" si="81"/>
        <v>0.00292 - (0.0093 * E3_5_4_13_mRNA)</v>
      </c>
      <c r="L218" s="31" t="str">
        <f t="shared" si="82"/>
        <v>(0.278 * E3_5_4_13_mRNA) - (0.00000278 * E3_5_4_13)</v>
      </c>
      <c r="M218" s="35" t="str">
        <f t="shared" si="83"/>
        <v>mRNA217: -&gt; E3_5_4_13_mRNA | 0.00292 - (0.0093 * E3_5_4_13_mRNA)</v>
      </c>
      <c r="N218" s="36" t="str">
        <f t="shared" si="84"/>
        <v>Peptide217: E3_5_4_13_mRNA -&gt; E3_5_4_13 | (0.278 * E3_5_4_13_mRNA) - (0.000000278 * E3_5_4_13)</v>
      </c>
    </row>
    <row r="219" spans="1:14" x14ac:dyDescent="0.35">
      <c r="A219">
        <v>218</v>
      </c>
      <c r="B219" s="59" t="s">
        <v>10907</v>
      </c>
      <c r="C219" t="str">
        <f t="shared" si="73"/>
        <v>E3_5_4_16_mRNA</v>
      </c>
      <c r="D219" t="str">
        <f t="shared" si="74"/>
        <v>E3_5_4_16</v>
      </c>
      <c r="E219" s="36" t="str">
        <f t="shared" si="75"/>
        <v>E3_5_4_16_kcat : 13.7</v>
      </c>
      <c r="F219" s="38" t="str">
        <f t="shared" si="76"/>
        <v>E3_5_4_16_km : 1</v>
      </c>
      <c r="G219" s="31" t="str">
        <f t="shared" si="77"/>
        <v>E3_5_4_16_mRNA : E3_5_4_16_mRNA</v>
      </c>
      <c r="H219" s="32" t="str">
        <f t="shared" si="78"/>
        <v>E3_5_4_16 : E3_5_4_16</v>
      </c>
      <c r="I219" s="33" t="str">
        <f t="shared" si="79"/>
        <v>E3_5_4_16_mRNA : 0</v>
      </c>
      <c r="J219" s="16" t="str">
        <f t="shared" si="80"/>
        <v>E3_5_4_16 : 0</v>
      </c>
      <c r="K219" s="34" t="str">
        <f t="shared" si="81"/>
        <v>0.00292 - (0.0093 * E3_5_4_16_mRNA)</v>
      </c>
      <c r="L219" s="31" t="str">
        <f t="shared" si="82"/>
        <v>(0.278 * E3_5_4_16_mRNA) - (0.00000278 * E3_5_4_16)</v>
      </c>
      <c r="M219" s="35" t="str">
        <f t="shared" si="83"/>
        <v>mRNA218: -&gt; E3_5_4_16_mRNA | 0.00292 - (0.0093 * E3_5_4_16_mRNA)</v>
      </c>
      <c r="N219" s="36" t="str">
        <f t="shared" si="84"/>
        <v>Peptide218: E3_5_4_16_mRNA -&gt; E3_5_4_16 | (0.278 * E3_5_4_16_mRNA) - (0.000000278 * E3_5_4_16)</v>
      </c>
    </row>
    <row r="220" spans="1:14" x14ac:dyDescent="0.35">
      <c r="A220">
        <v>219</v>
      </c>
      <c r="B220" s="59" t="s">
        <v>10908</v>
      </c>
      <c r="C220" t="str">
        <f t="shared" si="73"/>
        <v>E3_5_4_19_mRNA</v>
      </c>
      <c r="D220" t="str">
        <f t="shared" si="74"/>
        <v>E3_5_4_19</v>
      </c>
      <c r="E220" s="36" t="str">
        <f t="shared" si="75"/>
        <v>E3_5_4_19_kcat : 13.7</v>
      </c>
      <c r="F220" s="38" t="str">
        <f t="shared" si="76"/>
        <v>E3_5_4_19_km : 1</v>
      </c>
      <c r="G220" s="31" t="str">
        <f t="shared" si="77"/>
        <v>E3_5_4_19_mRNA : E3_5_4_19_mRNA</v>
      </c>
      <c r="H220" s="32" t="str">
        <f t="shared" si="78"/>
        <v>E3_5_4_19 : E3_5_4_19</v>
      </c>
      <c r="I220" s="33" t="str">
        <f t="shared" si="79"/>
        <v>E3_5_4_19_mRNA : 0</v>
      </c>
      <c r="J220" s="16" t="str">
        <f t="shared" si="80"/>
        <v>E3_5_4_19 : 0</v>
      </c>
      <c r="K220" s="34" t="str">
        <f t="shared" si="81"/>
        <v>0.00292 - (0.0093 * E3_5_4_19_mRNA)</v>
      </c>
      <c r="L220" s="31" t="str">
        <f t="shared" si="82"/>
        <v>(0.278 * E3_5_4_19_mRNA) - (0.00000278 * E3_5_4_19)</v>
      </c>
      <c r="M220" s="35" t="str">
        <f t="shared" si="83"/>
        <v>mRNA219: -&gt; E3_5_4_19_mRNA | 0.00292 - (0.0093 * E3_5_4_19_mRNA)</v>
      </c>
      <c r="N220" s="36" t="str">
        <f t="shared" si="84"/>
        <v>Peptide219: E3_5_4_19_mRNA -&gt; E3_5_4_19 | (0.278 * E3_5_4_19_mRNA) - (0.000000278 * E3_5_4_19)</v>
      </c>
    </row>
    <row r="221" spans="1:14" x14ac:dyDescent="0.35">
      <c r="A221">
        <v>220</v>
      </c>
      <c r="B221" s="59" t="s">
        <v>2336</v>
      </c>
      <c r="C221" t="str">
        <f t="shared" si="73"/>
        <v>E3_5_4_33_mRNA</v>
      </c>
      <c r="D221" t="str">
        <f t="shared" si="74"/>
        <v>E3_5_4_33</v>
      </c>
      <c r="E221" s="36" t="str">
        <f t="shared" si="75"/>
        <v>E3_5_4_33_kcat : 13.7</v>
      </c>
      <c r="F221" s="38" t="str">
        <f t="shared" si="76"/>
        <v>E3_5_4_33_km : 1</v>
      </c>
      <c r="G221" s="31" t="str">
        <f t="shared" si="77"/>
        <v>E3_5_4_33_mRNA : E3_5_4_33_mRNA</v>
      </c>
      <c r="H221" s="32" t="str">
        <f t="shared" si="78"/>
        <v>E3_5_4_33 : E3_5_4_33</v>
      </c>
      <c r="I221" s="33" t="str">
        <f t="shared" si="79"/>
        <v>E3_5_4_33_mRNA : 0</v>
      </c>
      <c r="J221" s="16" t="str">
        <f t="shared" si="80"/>
        <v>E3_5_4_33 : 0</v>
      </c>
      <c r="K221" s="34" t="str">
        <f t="shared" si="81"/>
        <v>0.00292 - (0.0093 * E3_5_4_33_mRNA)</v>
      </c>
      <c r="L221" s="31" t="str">
        <f t="shared" si="82"/>
        <v>(0.278 * E3_5_4_33_mRNA) - (0.00000278 * E3_5_4_33)</v>
      </c>
      <c r="M221" s="35" t="str">
        <f t="shared" si="83"/>
        <v>mRNA220: -&gt; E3_5_4_33_mRNA | 0.00292 - (0.0093 * E3_5_4_33_mRNA)</v>
      </c>
      <c r="N221" s="36" t="str">
        <f t="shared" si="84"/>
        <v>Peptide220: E3_5_4_33_mRNA -&gt; E3_5_4_33 | (0.278 * E3_5_4_33_mRNA) - (0.000000278 * E3_5_4_33)</v>
      </c>
    </row>
    <row r="222" spans="1:14" x14ac:dyDescent="0.35">
      <c r="A222">
        <v>221</v>
      </c>
      <c r="B222" s="59" t="s">
        <v>10909</v>
      </c>
      <c r="C222" t="str">
        <f t="shared" si="73"/>
        <v>E3_5_4_5_mRNA</v>
      </c>
      <c r="D222" t="str">
        <f t="shared" si="74"/>
        <v>E3_5_4_5</v>
      </c>
      <c r="E222" s="36" t="str">
        <f t="shared" si="75"/>
        <v>E3_5_4_5_kcat : 13.7</v>
      </c>
      <c r="F222" s="38" t="str">
        <f t="shared" si="76"/>
        <v>E3_5_4_5_km : 1</v>
      </c>
      <c r="G222" s="31" t="str">
        <f t="shared" si="77"/>
        <v>E3_5_4_5_mRNA : E3_5_4_5_mRNA</v>
      </c>
      <c r="H222" s="32" t="str">
        <f t="shared" si="78"/>
        <v>E3_5_4_5 : E3_5_4_5</v>
      </c>
      <c r="I222" s="33" t="str">
        <f t="shared" si="79"/>
        <v>E3_5_4_5_mRNA : 0</v>
      </c>
      <c r="J222" s="16" t="str">
        <f t="shared" si="80"/>
        <v>E3_5_4_5 : 0</v>
      </c>
      <c r="K222" s="34" t="str">
        <f t="shared" si="81"/>
        <v>0.00292 - (0.0093 * E3_5_4_5_mRNA)</v>
      </c>
      <c r="L222" s="31" t="str">
        <f t="shared" si="82"/>
        <v>(0.278 * E3_5_4_5_mRNA) - (0.00000278 * E3_5_4_5)</v>
      </c>
      <c r="M222" s="35" t="str">
        <f t="shared" si="83"/>
        <v>mRNA221: -&gt; E3_5_4_5_mRNA | 0.00292 - (0.0093 * E3_5_4_5_mRNA)</v>
      </c>
      <c r="N222" s="36" t="str">
        <f t="shared" si="84"/>
        <v>Peptide221: E3_5_4_5_mRNA -&gt; E3_5_4_5 | (0.278 * E3_5_4_5_mRNA) - (0.000000278 * E3_5_4_5)</v>
      </c>
    </row>
    <row r="223" spans="1:14" x14ac:dyDescent="0.35">
      <c r="A223">
        <v>222</v>
      </c>
      <c r="B223" s="59" t="s">
        <v>10910</v>
      </c>
      <c r="C223" t="str">
        <f t="shared" si="73"/>
        <v>E3_5_99_2_mRNA</v>
      </c>
      <c r="D223" t="str">
        <f t="shared" si="74"/>
        <v>E3_5_99_2</v>
      </c>
      <c r="E223" s="36" t="str">
        <f t="shared" si="75"/>
        <v>E3_5_99_2_kcat : 13.7</v>
      </c>
      <c r="F223" s="38" t="str">
        <f t="shared" si="76"/>
        <v>E3_5_99_2_km : 1</v>
      </c>
      <c r="G223" s="31" t="str">
        <f t="shared" si="77"/>
        <v>E3_5_99_2_mRNA : E3_5_99_2_mRNA</v>
      </c>
      <c r="H223" s="32" t="str">
        <f t="shared" si="78"/>
        <v>E3_5_99_2 : E3_5_99_2</v>
      </c>
      <c r="I223" s="33" t="str">
        <f t="shared" si="79"/>
        <v>E3_5_99_2_mRNA : 0</v>
      </c>
      <c r="J223" s="16" t="str">
        <f t="shared" si="80"/>
        <v>E3_5_99_2 : 0</v>
      </c>
      <c r="K223" s="34" t="str">
        <f t="shared" si="81"/>
        <v>0.00292 - (0.0093 * E3_5_99_2_mRNA)</v>
      </c>
      <c r="L223" s="31" t="str">
        <f t="shared" si="82"/>
        <v>(0.278 * E3_5_99_2_mRNA) - (0.00000278 * E3_5_99_2)</v>
      </c>
      <c r="M223" s="35" t="str">
        <f t="shared" si="83"/>
        <v>mRNA222: -&gt; E3_5_99_2_mRNA | 0.00292 - (0.0093 * E3_5_99_2_mRNA)</v>
      </c>
      <c r="N223" s="36" t="str">
        <f t="shared" si="84"/>
        <v>Peptide222: E3_5_99_2_mRNA -&gt; E3_5_99_2 | (0.278 * E3_5_99_2_mRNA) - (0.000000278 * E3_5_99_2)</v>
      </c>
    </row>
    <row r="224" spans="1:14" x14ac:dyDescent="0.35">
      <c r="A224">
        <v>223</v>
      </c>
      <c r="B224" s="59" t="s">
        <v>2282</v>
      </c>
      <c r="C224" t="str">
        <f t="shared" si="73"/>
        <v>E3_5_99_6_mRNA</v>
      </c>
      <c r="D224" t="str">
        <f t="shared" si="74"/>
        <v>E3_5_99_6</v>
      </c>
      <c r="E224" s="36" t="str">
        <f t="shared" si="75"/>
        <v>E3_5_99_6_kcat : 13.7</v>
      </c>
      <c r="F224" s="38" t="str">
        <f t="shared" si="76"/>
        <v>E3_5_99_6_km : 1</v>
      </c>
      <c r="G224" s="31" t="str">
        <f t="shared" si="77"/>
        <v>E3_5_99_6_mRNA : E3_5_99_6_mRNA</v>
      </c>
      <c r="H224" s="32" t="str">
        <f t="shared" si="78"/>
        <v>E3_5_99_6 : E3_5_99_6</v>
      </c>
      <c r="I224" s="33" t="str">
        <f t="shared" si="79"/>
        <v>E3_5_99_6_mRNA : 0</v>
      </c>
      <c r="J224" s="16" t="str">
        <f t="shared" si="80"/>
        <v>E3_5_99_6 : 0</v>
      </c>
      <c r="K224" s="34" t="str">
        <f t="shared" si="81"/>
        <v>0.00292 - (0.0093 * E3_5_99_6_mRNA)</v>
      </c>
      <c r="L224" s="31" t="str">
        <f t="shared" si="82"/>
        <v>(0.278 * E3_5_99_6_mRNA) - (0.00000278 * E3_5_99_6)</v>
      </c>
      <c r="M224" s="35" t="str">
        <f t="shared" si="83"/>
        <v>mRNA223: -&gt; E3_5_99_6_mRNA | 0.00292 - (0.0093 * E3_5_99_6_mRNA)</v>
      </c>
      <c r="N224" s="36" t="str">
        <f t="shared" si="84"/>
        <v>Peptide223: E3_5_99_6_mRNA -&gt; E3_5_99_6 | (0.278 * E3_5_99_6_mRNA) - (0.000000278 * E3_5_99_6)</v>
      </c>
    </row>
    <row r="225" spans="1:14" x14ac:dyDescent="0.35">
      <c r="A225">
        <v>224</v>
      </c>
      <c r="B225" s="59" t="s">
        <v>2193</v>
      </c>
      <c r="C225" t="str">
        <f t="shared" si="73"/>
        <v>E3_6_1_1_mRNA</v>
      </c>
      <c r="D225" t="str">
        <f t="shared" si="74"/>
        <v>E3_6_1_1</v>
      </c>
      <c r="E225" s="36" t="str">
        <f t="shared" si="75"/>
        <v>E3_6_1_1_kcat : 13.7</v>
      </c>
      <c r="F225" s="38" t="str">
        <f t="shared" si="76"/>
        <v>E3_6_1_1_km : 1</v>
      </c>
      <c r="G225" s="31" t="str">
        <f t="shared" si="77"/>
        <v>E3_6_1_1_mRNA : E3_6_1_1_mRNA</v>
      </c>
      <c r="H225" s="32" t="str">
        <f t="shared" si="78"/>
        <v>E3_6_1_1 : E3_6_1_1</v>
      </c>
      <c r="I225" s="33" t="str">
        <f t="shared" si="79"/>
        <v>E3_6_1_1_mRNA : 0</v>
      </c>
      <c r="J225" s="16" t="str">
        <f t="shared" si="80"/>
        <v>E3_6_1_1 : 0</v>
      </c>
      <c r="K225" s="34" t="str">
        <f t="shared" si="81"/>
        <v>0.00292 - (0.0093 * E3_6_1_1_mRNA)</v>
      </c>
      <c r="L225" s="31" t="str">
        <f t="shared" si="82"/>
        <v>(0.278 * E3_6_1_1_mRNA) - (0.00000278 * E3_6_1_1)</v>
      </c>
      <c r="M225" s="35" t="str">
        <f t="shared" si="83"/>
        <v>mRNA224: -&gt; E3_6_1_1_mRNA | 0.00292 - (0.0093 * E3_6_1_1_mRNA)</v>
      </c>
      <c r="N225" s="36" t="str">
        <f t="shared" si="84"/>
        <v>Peptide224: E3_6_1_1_mRNA -&gt; E3_6_1_1 | (0.278 * E3_6_1_1_mRNA) - (0.000000278 * E3_6_1_1)</v>
      </c>
    </row>
    <row r="226" spans="1:14" x14ac:dyDescent="0.35">
      <c r="A226">
        <v>225</v>
      </c>
      <c r="B226" s="59" t="s">
        <v>10911</v>
      </c>
      <c r="C226" t="str">
        <f t="shared" si="73"/>
        <v>E3_6_1_22_mRNA</v>
      </c>
      <c r="D226" t="str">
        <f t="shared" si="74"/>
        <v>E3_6_1_22</v>
      </c>
      <c r="E226" s="36" t="str">
        <f t="shared" si="75"/>
        <v>E3_6_1_22_kcat : 13.7</v>
      </c>
      <c r="F226" s="38" t="str">
        <f t="shared" si="76"/>
        <v>E3_6_1_22_km : 1</v>
      </c>
      <c r="G226" s="31" t="str">
        <f t="shared" si="77"/>
        <v>E3_6_1_22_mRNA : E3_6_1_22_mRNA</v>
      </c>
      <c r="H226" s="32" t="str">
        <f t="shared" si="78"/>
        <v>E3_6_1_22 : E3_6_1_22</v>
      </c>
      <c r="I226" s="33" t="str">
        <f t="shared" si="79"/>
        <v>E3_6_1_22_mRNA : 0</v>
      </c>
      <c r="J226" s="16" t="str">
        <f t="shared" si="80"/>
        <v>E3_6_1_22 : 0</v>
      </c>
      <c r="K226" s="34" t="str">
        <f t="shared" si="81"/>
        <v>0.00292 - (0.0093 * E3_6_1_22_mRNA)</v>
      </c>
      <c r="L226" s="31" t="str">
        <f t="shared" si="82"/>
        <v>(0.278 * E3_6_1_22_mRNA) - (0.00000278 * E3_6_1_22)</v>
      </c>
      <c r="M226" s="35" t="str">
        <f t="shared" si="83"/>
        <v>mRNA225: -&gt; E3_6_1_22_mRNA | 0.00292 - (0.0093 * E3_6_1_22_mRNA)</v>
      </c>
      <c r="N226" s="36" t="str">
        <f t="shared" si="84"/>
        <v>Peptide225: E3_6_1_22_mRNA -&gt; E3_6_1_22 | (0.278 * E3_6_1_22_mRNA) - (0.000000278 * E3_6_1_22)</v>
      </c>
    </row>
    <row r="227" spans="1:14" x14ac:dyDescent="0.35">
      <c r="A227">
        <v>226</v>
      </c>
      <c r="B227" s="59" t="s">
        <v>10912</v>
      </c>
      <c r="C227" t="str">
        <f t="shared" si="73"/>
        <v>E3_6_1_23_mRNA</v>
      </c>
      <c r="D227" t="str">
        <f t="shared" si="74"/>
        <v>E3_6_1_23</v>
      </c>
      <c r="E227" s="36" t="str">
        <f t="shared" si="75"/>
        <v>E3_6_1_23_kcat : 13.7</v>
      </c>
      <c r="F227" s="38" t="str">
        <f t="shared" si="76"/>
        <v>E3_6_1_23_km : 1</v>
      </c>
      <c r="G227" s="31" t="str">
        <f t="shared" si="77"/>
        <v>E3_6_1_23_mRNA : E3_6_1_23_mRNA</v>
      </c>
      <c r="H227" s="32" t="str">
        <f t="shared" si="78"/>
        <v>E3_6_1_23 : E3_6_1_23</v>
      </c>
      <c r="I227" s="33" t="str">
        <f t="shared" si="79"/>
        <v>E3_6_1_23_mRNA : 0</v>
      </c>
      <c r="J227" s="16" t="str">
        <f t="shared" si="80"/>
        <v>E3_6_1_23 : 0</v>
      </c>
      <c r="K227" s="34" t="str">
        <f t="shared" si="81"/>
        <v>0.00292 - (0.0093 * E3_6_1_23_mRNA)</v>
      </c>
      <c r="L227" s="31" t="str">
        <f t="shared" si="82"/>
        <v>(0.278 * E3_6_1_23_mRNA) - (0.00000278 * E3_6_1_23)</v>
      </c>
      <c r="M227" s="35" t="str">
        <f t="shared" si="83"/>
        <v>mRNA226: -&gt; E3_6_1_23_mRNA | 0.00292 - (0.0093 * E3_6_1_23_mRNA)</v>
      </c>
      <c r="N227" s="36" t="str">
        <f t="shared" si="84"/>
        <v>Peptide226: E3_6_1_23_mRNA -&gt; E3_6_1_23 | (0.278 * E3_6_1_23_mRNA) - (0.000000278 * E3_6_1_23)</v>
      </c>
    </row>
    <row r="228" spans="1:14" x14ac:dyDescent="0.35">
      <c r="A228">
        <v>227</v>
      </c>
      <c r="B228" s="59" t="s">
        <v>10913</v>
      </c>
      <c r="C228" t="str">
        <f t="shared" si="73"/>
        <v>E3_6_1_27_mRNA</v>
      </c>
      <c r="D228" t="str">
        <f t="shared" si="74"/>
        <v>E3_6_1_27</v>
      </c>
      <c r="E228" s="36" t="str">
        <f t="shared" si="75"/>
        <v>E3_6_1_27_kcat : 13.7</v>
      </c>
      <c r="F228" s="38" t="str">
        <f t="shared" si="76"/>
        <v>E3_6_1_27_km : 1</v>
      </c>
      <c r="G228" s="31" t="str">
        <f t="shared" si="77"/>
        <v>E3_6_1_27_mRNA : E3_6_1_27_mRNA</v>
      </c>
      <c r="H228" s="32" t="str">
        <f t="shared" si="78"/>
        <v>E3_6_1_27 : E3_6_1_27</v>
      </c>
      <c r="I228" s="33" t="str">
        <f t="shared" si="79"/>
        <v>E3_6_1_27_mRNA : 0</v>
      </c>
      <c r="J228" s="16" t="str">
        <f t="shared" si="80"/>
        <v>E3_6_1_27 : 0</v>
      </c>
      <c r="K228" s="34" t="str">
        <f t="shared" si="81"/>
        <v>0.00292 - (0.0093 * E3_6_1_27_mRNA)</v>
      </c>
      <c r="L228" s="31" t="str">
        <f t="shared" si="82"/>
        <v>(0.278 * E3_6_1_27_mRNA) - (0.00000278 * E3_6_1_27)</v>
      </c>
      <c r="M228" s="35" t="str">
        <f t="shared" si="83"/>
        <v>mRNA227: -&gt; E3_6_1_27_mRNA | 0.00292 - (0.0093 * E3_6_1_27_mRNA)</v>
      </c>
      <c r="N228" s="36" t="str">
        <f t="shared" si="84"/>
        <v>Peptide227: E3_6_1_27_mRNA -&gt; E3_6_1_27 | (0.278 * E3_6_1_27_mRNA) - (0.000000278 * E3_6_1_27)</v>
      </c>
    </row>
    <row r="229" spans="1:14" x14ac:dyDescent="0.35">
      <c r="A229">
        <v>228</v>
      </c>
      <c r="B229" s="59" t="s">
        <v>10914</v>
      </c>
      <c r="C229" t="str">
        <f t="shared" si="73"/>
        <v>E3_6_1_31_mRNA</v>
      </c>
      <c r="D229" t="str">
        <f t="shared" si="74"/>
        <v>E3_6_1_31</v>
      </c>
      <c r="E229" s="36" t="str">
        <f t="shared" si="75"/>
        <v>E3_6_1_31_kcat : 13.7</v>
      </c>
      <c r="F229" s="38" t="str">
        <f t="shared" si="76"/>
        <v>E3_6_1_31_km : 1</v>
      </c>
      <c r="G229" s="31" t="str">
        <f t="shared" si="77"/>
        <v>E3_6_1_31_mRNA : E3_6_1_31_mRNA</v>
      </c>
      <c r="H229" s="32" t="str">
        <f t="shared" si="78"/>
        <v>E3_6_1_31 : E3_6_1_31</v>
      </c>
      <c r="I229" s="33" t="str">
        <f t="shared" si="79"/>
        <v>E3_6_1_31_mRNA : 0</v>
      </c>
      <c r="J229" s="16" t="str">
        <f t="shared" si="80"/>
        <v>E3_6_1_31 : 0</v>
      </c>
      <c r="K229" s="34" t="str">
        <f t="shared" si="81"/>
        <v>0.00292 - (0.0093 * E3_6_1_31_mRNA)</v>
      </c>
      <c r="L229" s="31" t="str">
        <f t="shared" si="82"/>
        <v>(0.278 * E3_6_1_31_mRNA) - (0.00000278 * E3_6_1_31)</v>
      </c>
      <c r="M229" s="35" t="str">
        <f t="shared" si="83"/>
        <v>mRNA228: -&gt; E3_6_1_31_mRNA | 0.00292 - (0.0093 * E3_6_1_31_mRNA)</v>
      </c>
      <c r="N229" s="36" t="str">
        <f t="shared" si="84"/>
        <v>Peptide228: E3_6_1_31_mRNA -&gt; E3_6_1_31 | (0.278 * E3_6_1_31_mRNA) - (0.000000278 * E3_6_1_31)</v>
      </c>
    </row>
    <row r="230" spans="1:14" x14ac:dyDescent="0.35">
      <c r="A230">
        <v>229</v>
      </c>
      <c r="B230" s="59" t="s">
        <v>10915</v>
      </c>
      <c r="C230" t="str">
        <f t="shared" si="73"/>
        <v>E3_6_4_12_mRNA</v>
      </c>
      <c r="D230" t="str">
        <f t="shared" si="74"/>
        <v>E3_6_4_12</v>
      </c>
      <c r="E230" s="36" t="str">
        <f t="shared" si="75"/>
        <v>E3_6_4_12_kcat : 13.7</v>
      </c>
      <c r="F230" s="38" t="str">
        <f t="shared" si="76"/>
        <v>E3_6_4_12_km : 1</v>
      </c>
      <c r="G230" s="31" t="str">
        <f t="shared" si="77"/>
        <v>E3_6_4_12_mRNA : E3_6_4_12_mRNA</v>
      </c>
      <c r="H230" s="32" t="str">
        <f t="shared" si="78"/>
        <v>E3_6_4_12 : E3_6_4_12</v>
      </c>
      <c r="I230" s="33" t="str">
        <f t="shared" si="79"/>
        <v>E3_6_4_12_mRNA : 0</v>
      </c>
      <c r="J230" s="16" t="str">
        <f t="shared" si="80"/>
        <v>E3_6_4_12 : 0</v>
      </c>
      <c r="K230" s="34" t="str">
        <f t="shared" si="81"/>
        <v>0.00292 - (0.0093 * E3_6_4_12_mRNA)</v>
      </c>
      <c r="L230" s="31" t="str">
        <f t="shared" si="82"/>
        <v>(0.278 * E3_6_4_12_mRNA) - (0.00000278 * E3_6_4_12)</v>
      </c>
      <c r="M230" s="35" t="str">
        <f t="shared" si="83"/>
        <v>mRNA229: -&gt; E3_6_4_12_mRNA | 0.00292 - (0.0093 * E3_6_4_12_mRNA)</v>
      </c>
      <c r="N230" s="36" t="str">
        <f t="shared" si="84"/>
        <v>Peptide229: E3_6_4_12_mRNA -&gt; E3_6_4_12 | (0.278 * E3_6_4_12_mRNA) - (0.000000278 * E3_6_4_12)</v>
      </c>
    </row>
    <row r="231" spans="1:14" x14ac:dyDescent="0.35">
      <c r="A231">
        <v>230</v>
      </c>
      <c r="B231" s="59" t="s">
        <v>10916</v>
      </c>
      <c r="C231" t="str">
        <f t="shared" si="73"/>
        <v>E3_6_5_n1_mRNA</v>
      </c>
      <c r="D231" t="str">
        <f t="shared" si="74"/>
        <v>E3_6_5_n1</v>
      </c>
      <c r="E231" s="36" t="str">
        <f t="shared" si="75"/>
        <v>E3_6_5_n1_kcat : 13.7</v>
      </c>
      <c r="F231" s="38" t="str">
        <f t="shared" si="76"/>
        <v>E3_6_5_n1_km : 1</v>
      </c>
      <c r="G231" s="31" t="str">
        <f t="shared" si="77"/>
        <v>E3_6_5_n1_mRNA : E3_6_5_n1_mRNA</v>
      </c>
      <c r="H231" s="32" t="str">
        <f t="shared" si="78"/>
        <v>E3_6_5_n1 : E3_6_5_n1</v>
      </c>
      <c r="I231" s="33" t="str">
        <f t="shared" si="79"/>
        <v>E3_6_5_n1_mRNA : 0</v>
      </c>
      <c r="J231" s="16" t="str">
        <f t="shared" si="80"/>
        <v>E3_6_5_n1 : 0</v>
      </c>
      <c r="K231" s="34" t="str">
        <f t="shared" si="81"/>
        <v>0.00292 - (0.0093 * E3_6_5_n1_mRNA)</v>
      </c>
      <c r="L231" s="31" t="str">
        <f t="shared" si="82"/>
        <v>(0.278 * E3_6_5_n1_mRNA) - (0.00000278 * E3_6_5_n1)</v>
      </c>
      <c r="M231" s="35" t="str">
        <f t="shared" si="83"/>
        <v>mRNA230: -&gt; E3_6_5_n1_mRNA | 0.00292 - (0.0093 * E3_6_5_n1_mRNA)</v>
      </c>
      <c r="N231" s="36" t="str">
        <f t="shared" si="84"/>
        <v>Peptide230: E3_6_5_n1_mRNA -&gt; E3_6_5_n1 | (0.278 * E3_6_5_n1_mRNA) - (0.000000278 * E3_6_5_n1)</v>
      </c>
    </row>
    <row r="232" spans="1:14" x14ac:dyDescent="0.35">
      <c r="A232">
        <v>231</v>
      </c>
      <c r="B232" s="59" t="s">
        <v>2330</v>
      </c>
      <c r="C232" t="str">
        <f t="shared" si="73"/>
        <v>E4_1_1_21_mRNA</v>
      </c>
      <c r="D232" t="str">
        <f t="shared" si="74"/>
        <v>E4_1_1_21</v>
      </c>
      <c r="E232" s="36" t="str">
        <f t="shared" si="75"/>
        <v>E4_1_1_21_kcat : 13.7</v>
      </c>
      <c r="F232" s="38" t="str">
        <f t="shared" si="76"/>
        <v>E4_1_1_21_km : 1</v>
      </c>
      <c r="G232" s="31" t="str">
        <f t="shared" si="77"/>
        <v>E4_1_1_21_mRNA : E4_1_1_21_mRNA</v>
      </c>
      <c r="H232" s="32" t="str">
        <f t="shared" si="78"/>
        <v>E4_1_1_21 : E4_1_1_21</v>
      </c>
      <c r="I232" s="33" t="str">
        <f t="shared" si="79"/>
        <v>E4_1_1_21_mRNA : 0</v>
      </c>
      <c r="J232" s="16" t="str">
        <f t="shared" si="80"/>
        <v>E4_1_1_21 : 0</v>
      </c>
      <c r="K232" s="34" t="str">
        <f t="shared" si="81"/>
        <v>0.00292 - (0.0093 * E4_1_1_21_mRNA)</v>
      </c>
      <c r="L232" s="31" t="str">
        <f t="shared" si="82"/>
        <v>(0.278 * E4_1_1_21_mRNA) - (0.00000278 * E4_1_1_21)</v>
      </c>
      <c r="M232" s="35" t="str">
        <f t="shared" si="83"/>
        <v>mRNA231: -&gt; E4_1_1_21_mRNA | 0.00292 - (0.0093 * E4_1_1_21_mRNA)</v>
      </c>
      <c r="N232" s="36" t="str">
        <f t="shared" si="84"/>
        <v>Peptide231: E4_1_1_21_mRNA -&gt; E4_1_1_21 | (0.278 * E4_1_1_21_mRNA) - (0.000000278 * E4_1_1_21)</v>
      </c>
    </row>
    <row r="233" spans="1:14" x14ac:dyDescent="0.35">
      <c r="A233">
        <v>232</v>
      </c>
      <c r="B233" s="59" t="s">
        <v>2303</v>
      </c>
      <c r="C233" t="str">
        <f t="shared" si="73"/>
        <v>E4_1_1_23_mRNA</v>
      </c>
      <c r="D233" t="str">
        <f t="shared" si="74"/>
        <v>E4_1_1_23</v>
      </c>
      <c r="E233" s="36" t="str">
        <f t="shared" si="75"/>
        <v>E4_1_1_23_kcat : 13.7</v>
      </c>
      <c r="F233" s="38" t="str">
        <f t="shared" si="76"/>
        <v>E4_1_1_23_km : 1</v>
      </c>
      <c r="G233" s="31" t="str">
        <f t="shared" si="77"/>
        <v>E4_1_1_23_mRNA : E4_1_1_23_mRNA</v>
      </c>
      <c r="H233" s="32" t="str">
        <f t="shared" si="78"/>
        <v>E4_1_1_23 : E4_1_1_23</v>
      </c>
      <c r="I233" s="33" t="str">
        <f t="shared" si="79"/>
        <v>E4_1_1_23_mRNA : 0</v>
      </c>
      <c r="J233" s="16" t="str">
        <f t="shared" si="80"/>
        <v>E4_1_1_23 : 0</v>
      </c>
      <c r="K233" s="34" t="str">
        <f t="shared" si="81"/>
        <v>0.00292 - (0.0093 * E4_1_1_23_mRNA)</v>
      </c>
      <c r="L233" s="31" t="str">
        <f t="shared" si="82"/>
        <v>(0.278 * E4_1_1_23_mRNA) - (0.00000278 * E4_1_1_23)</v>
      </c>
      <c r="M233" s="35" t="str">
        <f t="shared" si="83"/>
        <v>mRNA232: -&gt; E4_1_1_23_mRNA | 0.00292 - (0.0093 * E4_1_1_23_mRNA)</v>
      </c>
      <c r="N233" s="36" t="str">
        <f t="shared" si="84"/>
        <v>Peptide232: E4_1_1_23_mRNA -&gt; E4_1_1_23 | (0.278 * E4_1_1_23_mRNA) - (0.000000278 * E4_1_1_23)</v>
      </c>
    </row>
    <row r="234" spans="1:14" x14ac:dyDescent="0.35">
      <c r="A234">
        <v>233</v>
      </c>
      <c r="B234" s="59" t="s">
        <v>2190</v>
      </c>
      <c r="C234" t="str">
        <f t="shared" si="73"/>
        <v>E4_1_1_31_mRNA</v>
      </c>
      <c r="D234" t="str">
        <f t="shared" si="74"/>
        <v>E4_1_1_31</v>
      </c>
      <c r="E234" s="36" t="str">
        <f t="shared" si="75"/>
        <v>E4_1_1_31_kcat : 13.7</v>
      </c>
      <c r="F234" s="38" t="str">
        <f t="shared" si="76"/>
        <v>E4_1_1_31_km : 1</v>
      </c>
      <c r="G234" s="31" t="str">
        <f t="shared" si="77"/>
        <v>E4_1_1_31_mRNA : E4_1_1_31_mRNA</v>
      </c>
      <c r="H234" s="32" t="str">
        <f t="shared" si="78"/>
        <v>E4_1_1_31 : E4_1_1_31</v>
      </c>
      <c r="I234" s="33" t="str">
        <f t="shared" si="79"/>
        <v>E4_1_1_31_mRNA : 0</v>
      </c>
      <c r="J234" s="16" t="str">
        <f t="shared" si="80"/>
        <v>E4_1_1_31 : 0</v>
      </c>
      <c r="K234" s="34" t="str">
        <f t="shared" si="81"/>
        <v>0.00292 - (0.0093 * E4_1_1_31_mRNA)</v>
      </c>
      <c r="L234" s="31" t="str">
        <f t="shared" si="82"/>
        <v>(0.278 * E4_1_1_31_mRNA) - (0.00000278 * E4_1_1_31)</v>
      </c>
      <c r="M234" s="35" t="str">
        <f t="shared" si="83"/>
        <v>mRNA233: -&gt; E4_1_1_31_mRNA | 0.00292 - (0.0093 * E4_1_1_31_mRNA)</v>
      </c>
      <c r="N234" s="36" t="str">
        <f t="shared" si="84"/>
        <v>Peptide233: E4_1_1_31_mRNA -&gt; E4_1_1_31 | (0.278 * E4_1_1_31_mRNA) - (0.000000278 * E4_1_1_31)</v>
      </c>
    </row>
    <row r="235" spans="1:14" x14ac:dyDescent="0.35">
      <c r="A235">
        <v>234</v>
      </c>
      <c r="B235" s="59" t="s">
        <v>10917</v>
      </c>
      <c r="C235" t="str">
        <f t="shared" si="73"/>
        <v>E4_1_1_5_mRNA</v>
      </c>
      <c r="D235" t="str">
        <f t="shared" si="74"/>
        <v>E4_1_1_5</v>
      </c>
      <c r="E235" s="36" t="str">
        <f t="shared" si="75"/>
        <v>E4_1_1_5_kcat : 13.7</v>
      </c>
      <c r="F235" s="38" t="str">
        <f t="shared" si="76"/>
        <v>E4_1_1_5_km : 1</v>
      </c>
      <c r="G235" s="31" t="str">
        <f t="shared" si="77"/>
        <v>E4_1_1_5_mRNA : E4_1_1_5_mRNA</v>
      </c>
      <c r="H235" s="32" t="str">
        <f t="shared" si="78"/>
        <v>E4_1_1_5 : E4_1_1_5</v>
      </c>
      <c r="I235" s="33" t="str">
        <f t="shared" si="79"/>
        <v>E4_1_1_5_mRNA : 0</v>
      </c>
      <c r="J235" s="16" t="str">
        <f t="shared" si="80"/>
        <v>E4_1_1_5 : 0</v>
      </c>
      <c r="K235" s="34" t="str">
        <f t="shared" si="81"/>
        <v>0.00292 - (0.0093 * E4_1_1_5_mRNA)</v>
      </c>
      <c r="L235" s="31" t="str">
        <f t="shared" si="82"/>
        <v>(0.278 * E4_1_1_5_mRNA) - (0.00000278 * E4_1_1_5)</v>
      </c>
      <c r="M235" s="35" t="str">
        <f t="shared" si="83"/>
        <v>mRNA234: -&gt; E4_1_1_5_mRNA | 0.00292 - (0.0093 * E4_1_1_5_mRNA)</v>
      </c>
      <c r="N235" s="36" t="str">
        <f t="shared" si="84"/>
        <v>Peptide234: E4_1_1_5_mRNA -&gt; E4_1_1_5 | (0.278 * E4_1_1_5_mRNA) - (0.000000278 * E4_1_1_5)</v>
      </c>
    </row>
    <row r="236" spans="1:14" x14ac:dyDescent="0.35">
      <c r="A236">
        <v>235</v>
      </c>
      <c r="B236" s="59" t="s">
        <v>10918</v>
      </c>
      <c r="C236" t="str">
        <f t="shared" si="73"/>
        <v>E4_1_2_13_mRNA</v>
      </c>
      <c r="D236" t="str">
        <f t="shared" si="74"/>
        <v>E4_1_2_13</v>
      </c>
      <c r="E236" s="36" t="str">
        <f t="shared" si="75"/>
        <v>E4_1_2_13_kcat : 13.7</v>
      </c>
      <c r="F236" s="38" t="str">
        <f t="shared" si="76"/>
        <v>E4_1_2_13_km : 1</v>
      </c>
      <c r="G236" s="31" t="str">
        <f t="shared" si="77"/>
        <v>E4_1_2_13_mRNA : E4_1_2_13_mRNA</v>
      </c>
      <c r="H236" s="32" t="str">
        <f t="shared" si="78"/>
        <v>E4_1_2_13 : E4_1_2_13</v>
      </c>
      <c r="I236" s="33" t="str">
        <f t="shared" si="79"/>
        <v>E4_1_2_13_mRNA : 0</v>
      </c>
      <c r="J236" s="16" t="str">
        <f t="shared" si="80"/>
        <v>E4_1_2_13 : 0</v>
      </c>
      <c r="K236" s="34" t="str">
        <f t="shared" si="81"/>
        <v>0.00292 - (0.0093 * E4_1_2_13_mRNA)</v>
      </c>
      <c r="L236" s="31" t="str">
        <f t="shared" si="82"/>
        <v>(0.278 * E4_1_2_13_mRNA) - (0.00000278 * E4_1_2_13)</v>
      </c>
      <c r="M236" s="35" t="str">
        <f t="shared" si="83"/>
        <v>mRNA235: -&gt; E4_1_2_13_mRNA | 0.00292 - (0.0093 * E4_1_2_13_mRNA)</v>
      </c>
      <c r="N236" s="36" t="str">
        <f t="shared" si="84"/>
        <v>Peptide235: E4_1_2_13_mRNA -&gt; E4_1_2_13 | (0.278 * E4_1_2_13_mRNA) - (0.000000278 * E4_1_2_13)</v>
      </c>
    </row>
    <row r="237" spans="1:14" x14ac:dyDescent="0.35">
      <c r="A237">
        <v>236</v>
      </c>
      <c r="B237" s="59" t="s">
        <v>10919</v>
      </c>
      <c r="C237" t="str">
        <f t="shared" si="73"/>
        <v>E4_1_3_27_mRNA</v>
      </c>
      <c r="D237" t="str">
        <f t="shared" si="74"/>
        <v>E4_1_3_27</v>
      </c>
      <c r="E237" s="36" t="str">
        <f t="shared" si="75"/>
        <v>E4_1_3_27_kcat : 13.7</v>
      </c>
      <c r="F237" s="38" t="str">
        <f t="shared" si="76"/>
        <v>E4_1_3_27_km : 1</v>
      </c>
      <c r="G237" s="31" t="str">
        <f t="shared" si="77"/>
        <v>E4_1_3_27_mRNA : E4_1_3_27_mRNA</v>
      </c>
      <c r="H237" s="32" t="str">
        <f t="shared" si="78"/>
        <v>E4_1_3_27 : E4_1_3_27</v>
      </c>
      <c r="I237" s="33" t="str">
        <f t="shared" si="79"/>
        <v>E4_1_3_27_mRNA : 0</v>
      </c>
      <c r="J237" s="16" t="str">
        <f t="shared" si="80"/>
        <v>E4_1_3_27 : 0</v>
      </c>
      <c r="K237" s="34" t="str">
        <f t="shared" si="81"/>
        <v>0.00292 - (0.0093 * E4_1_3_27_mRNA)</v>
      </c>
      <c r="L237" s="31" t="str">
        <f t="shared" si="82"/>
        <v>(0.278 * E4_1_3_27_mRNA) - (0.00000278 * E4_1_3_27)</v>
      </c>
      <c r="M237" s="35" t="str">
        <f t="shared" si="83"/>
        <v>mRNA236: -&gt; E4_1_3_27_mRNA | 0.00292 - (0.0093 * E4_1_3_27_mRNA)</v>
      </c>
      <c r="N237" s="36" t="str">
        <f t="shared" si="84"/>
        <v>Peptide236: E4_1_3_27_mRNA -&gt; E4_1_3_27 | (0.278 * E4_1_3_27_mRNA) - (0.000000278 * E4_1_3_27)</v>
      </c>
    </row>
    <row r="238" spans="1:14" x14ac:dyDescent="0.35">
      <c r="A238">
        <v>237</v>
      </c>
      <c r="B238" s="59" t="s">
        <v>10920</v>
      </c>
      <c r="C238" t="str">
        <f t="shared" si="73"/>
        <v>E4_1_99_17_mRNA</v>
      </c>
      <c r="D238" t="str">
        <f t="shared" si="74"/>
        <v>E4_1_99_17</v>
      </c>
      <c r="E238" s="36" t="str">
        <f t="shared" si="75"/>
        <v>E4_1_99_17_kcat : 13.7</v>
      </c>
      <c r="F238" s="38" t="str">
        <f t="shared" si="76"/>
        <v>E4_1_99_17_km : 1</v>
      </c>
      <c r="G238" s="31" t="str">
        <f t="shared" si="77"/>
        <v>E4_1_99_17_mRNA : E4_1_99_17_mRNA</v>
      </c>
      <c r="H238" s="32" t="str">
        <f t="shared" si="78"/>
        <v>E4_1_99_17 : E4_1_99_17</v>
      </c>
      <c r="I238" s="33" t="str">
        <f t="shared" si="79"/>
        <v>E4_1_99_17_mRNA : 0</v>
      </c>
      <c r="J238" s="16" t="str">
        <f t="shared" si="80"/>
        <v>E4_1_99_17 : 0</v>
      </c>
      <c r="K238" s="34" t="str">
        <f t="shared" si="81"/>
        <v>0.00292 - (0.0093 * E4_1_99_17_mRNA)</v>
      </c>
      <c r="L238" s="31" t="str">
        <f t="shared" si="82"/>
        <v>(0.278 * E4_1_99_17_mRNA) - (0.00000278 * E4_1_99_17)</v>
      </c>
      <c r="M238" s="35" t="str">
        <f t="shared" si="83"/>
        <v>mRNA237: -&gt; E4_1_99_17_mRNA | 0.00292 - (0.0093 * E4_1_99_17_mRNA)</v>
      </c>
      <c r="N238" s="36" t="str">
        <f t="shared" si="84"/>
        <v>Peptide237: E4_1_99_17_mRNA -&gt; E4_1_99_17 | (0.278 * E4_1_99_17_mRNA) - (0.000000278 * E4_1_99_17)</v>
      </c>
    </row>
    <row r="239" spans="1:14" x14ac:dyDescent="0.35">
      <c r="A239">
        <v>238</v>
      </c>
      <c r="B239" s="59" t="s">
        <v>10921</v>
      </c>
      <c r="C239" t="str">
        <f t="shared" si="73"/>
        <v>E4_2_1_10_mRNA</v>
      </c>
      <c r="D239" t="str">
        <f t="shared" si="74"/>
        <v>E4_2_1_10</v>
      </c>
      <c r="E239" s="36" t="str">
        <f t="shared" si="75"/>
        <v>E4_2_1_10_kcat : 13.7</v>
      </c>
      <c r="F239" s="38" t="str">
        <f t="shared" si="76"/>
        <v>E4_2_1_10_km : 1</v>
      </c>
      <c r="G239" s="31" t="str">
        <f t="shared" si="77"/>
        <v>E4_2_1_10_mRNA : E4_2_1_10_mRNA</v>
      </c>
      <c r="H239" s="32" t="str">
        <f t="shared" si="78"/>
        <v>E4_2_1_10 : E4_2_1_10</v>
      </c>
      <c r="I239" s="33" t="str">
        <f t="shared" si="79"/>
        <v>E4_2_1_10_mRNA : 0</v>
      </c>
      <c r="J239" s="16" t="str">
        <f t="shared" si="80"/>
        <v>E4_2_1_10 : 0</v>
      </c>
      <c r="K239" s="34" t="str">
        <f t="shared" si="81"/>
        <v>0.00292 - (0.0093 * E4_2_1_10_mRNA)</v>
      </c>
      <c r="L239" s="31" t="str">
        <f t="shared" si="82"/>
        <v>(0.278 * E4_2_1_10_mRNA) - (0.00000278 * E4_2_1_10)</v>
      </c>
      <c r="M239" s="35" t="str">
        <f t="shared" si="83"/>
        <v>mRNA238: -&gt; E4_2_1_10_mRNA | 0.00292 - (0.0093 * E4_2_1_10_mRNA)</v>
      </c>
      <c r="N239" s="36" t="str">
        <f t="shared" si="84"/>
        <v>Peptide238: E4_2_1_10_mRNA -&gt; E4_2_1_10 | (0.278 * E4_2_1_10_mRNA) - (0.000000278 * E4_2_1_10)</v>
      </c>
    </row>
    <row r="240" spans="1:14" x14ac:dyDescent="0.35">
      <c r="A240">
        <v>239</v>
      </c>
      <c r="B240" s="59" t="s">
        <v>2291</v>
      </c>
      <c r="C240" t="str">
        <f t="shared" si="73"/>
        <v>E4_2_1_11_mRNA</v>
      </c>
      <c r="D240" t="str">
        <f t="shared" si="74"/>
        <v>E4_2_1_11</v>
      </c>
      <c r="E240" s="36" t="str">
        <f t="shared" si="75"/>
        <v>E4_2_1_11_kcat : 13.7</v>
      </c>
      <c r="F240" s="38" t="str">
        <f t="shared" si="76"/>
        <v>E4_2_1_11_km : 1</v>
      </c>
      <c r="G240" s="31" t="str">
        <f t="shared" si="77"/>
        <v>E4_2_1_11_mRNA : E4_2_1_11_mRNA</v>
      </c>
      <c r="H240" s="32" t="str">
        <f t="shared" si="78"/>
        <v>E4_2_1_11 : E4_2_1_11</v>
      </c>
      <c r="I240" s="33" t="str">
        <f t="shared" si="79"/>
        <v>E4_2_1_11_mRNA : 0</v>
      </c>
      <c r="J240" s="16" t="str">
        <f t="shared" si="80"/>
        <v>E4_2_1_11 : 0</v>
      </c>
      <c r="K240" s="34" t="str">
        <f t="shared" si="81"/>
        <v>0.00292 - (0.0093 * E4_2_1_11_mRNA)</v>
      </c>
      <c r="L240" s="31" t="str">
        <f t="shared" si="82"/>
        <v>(0.278 * E4_2_1_11_mRNA) - (0.00000278 * E4_2_1_11)</v>
      </c>
      <c r="M240" s="35" t="str">
        <f t="shared" si="83"/>
        <v>mRNA239: -&gt; E4_2_1_11_mRNA | 0.00292 - (0.0093 * E4_2_1_11_mRNA)</v>
      </c>
      <c r="N240" s="36" t="str">
        <f t="shared" si="84"/>
        <v>Peptide239: E4_2_1_11_mRNA -&gt; E4_2_1_11 | (0.278 * E4_2_1_11_mRNA) - (0.000000278 * E4_2_1_11)</v>
      </c>
    </row>
    <row r="241" spans="1:14" x14ac:dyDescent="0.35">
      <c r="A241">
        <v>240</v>
      </c>
      <c r="B241" s="59" t="s">
        <v>10922</v>
      </c>
      <c r="C241" t="str">
        <f t="shared" si="73"/>
        <v>E4_2_1_19_mRNA</v>
      </c>
      <c r="D241" t="str">
        <f t="shared" si="74"/>
        <v>E4_2_1_19</v>
      </c>
      <c r="E241" s="36" t="str">
        <f t="shared" si="75"/>
        <v>E4_2_1_19_kcat : 13.7</v>
      </c>
      <c r="F241" s="38" t="str">
        <f t="shared" si="76"/>
        <v>E4_2_1_19_km : 1</v>
      </c>
      <c r="G241" s="31" t="str">
        <f t="shared" si="77"/>
        <v>E4_2_1_19_mRNA : E4_2_1_19_mRNA</v>
      </c>
      <c r="H241" s="32" t="str">
        <f t="shared" si="78"/>
        <v>E4_2_1_19 : E4_2_1_19</v>
      </c>
      <c r="I241" s="33" t="str">
        <f t="shared" si="79"/>
        <v>E4_2_1_19_mRNA : 0</v>
      </c>
      <c r="J241" s="16" t="str">
        <f t="shared" si="80"/>
        <v>E4_2_1_19 : 0</v>
      </c>
      <c r="K241" s="34" t="str">
        <f t="shared" si="81"/>
        <v>0.00292 - (0.0093 * E4_2_1_19_mRNA)</v>
      </c>
      <c r="L241" s="31" t="str">
        <f t="shared" si="82"/>
        <v>(0.278 * E4_2_1_19_mRNA) - (0.00000278 * E4_2_1_19)</v>
      </c>
      <c r="M241" s="35" t="str">
        <f t="shared" si="83"/>
        <v>mRNA240: -&gt; E4_2_1_19_mRNA | 0.00292 - (0.0093 * E4_2_1_19_mRNA)</v>
      </c>
      <c r="N241" s="36" t="str">
        <f t="shared" si="84"/>
        <v>Peptide240: E4_2_1_19_mRNA -&gt; E4_2_1_19 | (0.278 * E4_2_1_19_mRNA) - (0.000000278 * E4_2_1_19)</v>
      </c>
    </row>
    <row r="242" spans="1:14" x14ac:dyDescent="0.35">
      <c r="A242">
        <v>241</v>
      </c>
      <c r="B242" s="59" t="s">
        <v>10923</v>
      </c>
      <c r="C242" t="str">
        <f t="shared" si="73"/>
        <v>E4_2_1_20_mRNA</v>
      </c>
      <c r="D242" t="str">
        <f t="shared" si="74"/>
        <v>E4_2_1_20</v>
      </c>
      <c r="E242" s="36" t="str">
        <f t="shared" si="75"/>
        <v>E4_2_1_20_kcat : 13.7</v>
      </c>
      <c r="F242" s="38" t="str">
        <f t="shared" si="76"/>
        <v>E4_2_1_20_km : 1</v>
      </c>
      <c r="G242" s="31" t="str">
        <f t="shared" si="77"/>
        <v>E4_2_1_20_mRNA : E4_2_1_20_mRNA</v>
      </c>
      <c r="H242" s="32" t="str">
        <f t="shared" si="78"/>
        <v>E4_2_1_20 : E4_2_1_20</v>
      </c>
      <c r="I242" s="33" t="str">
        <f t="shared" si="79"/>
        <v>E4_2_1_20_mRNA : 0</v>
      </c>
      <c r="J242" s="16" t="str">
        <f t="shared" si="80"/>
        <v>E4_2_1_20 : 0</v>
      </c>
      <c r="K242" s="34" t="str">
        <f t="shared" si="81"/>
        <v>0.00292 - (0.0093 * E4_2_1_20_mRNA)</v>
      </c>
      <c r="L242" s="31" t="str">
        <f t="shared" si="82"/>
        <v>(0.278 * E4_2_1_20_mRNA) - (0.00000278 * E4_2_1_20)</v>
      </c>
      <c r="M242" s="35" t="str">
        <f t="shared" si="83"/>
        <v>mRNA241: -&gt; E4_2_1_20_mRNA | 0.00292 - (0.0093 * E4_2_1_20_mRNA)</v>
      </c>
      <c r="N242" s="36" t="str">
        <f t="shared" si="84"/>
        <v>Peptide241: E4_2_1_20_mRNA -&gt; E4_2_1_20 | (0.278 * E4_2_1_20_mRNA) - (0.000000278 * E4_2_1_20)</v>
      </c>
    </row>
    <row r="243" spans="1:14" x14ac:dyDescent="0.35">
      <c r="A243">
        <v>242</v>
      </c>
      <c r="B243" s="59" t="s">
        <v>10924</v>
      </c>
      <c r="C243" t="str">
        <f t="shared" si="73"/>
        <v>E4_2_1_3_mRNA</v>
      </c>
      <c r="D243" t="str">
        <f t="shared" si="74"/>
        <v>E4_2_1_3</v>
      </c>
      <c r="E243" s="36" t="str">
        <f t="shared" si="75"/>
        <v>E4_2_1_3_kcat : 13.7</v>
      </c>
      <c r="F243" s="38" t="str">
        <f t="shared" si="76"/>
        <v>E4_2_1_3_km : 1</v>
      </c>
      <c r="G243" s="31" t="str">
        <f t="shared" si="77"/>
        <v>E4_2_1_3_mRNA : E4_2_1_3_mRNA</v>
      </c>
      <c r="H243" s="32" t="str">
        <f t="shared" si="78"/>
        <v>E4_2_1_3 : E4_2_1_3</v>
      </c>
      <c r="I243" s="33" t="str">
        <f t="shared" si="79"/>
        <v>E4_2_1_3_mRNA : 0</v>
      </c>
      <c r="J243" s="16" t="str">
        <f t="shared" si="80"/>
        <v>E4_2_1_3 : 0</v>
      </c>
      <c r="K243" s="34" t="str">
        <f t="shared" si="81"/>
        <v>0.00292 - (0.0093 * E4_2_1_3_mRNA)</v>
      </c>
      <c r="L243" s="31" t="str">
        <f t="shared" si="82"/>
        <v>(0.278 * E4_2_1_3_mRNA) - (0.00000278 * E4_2_1_3)</v>
      </c>
      <c r="M243" s="35" t="str">
        <f t="shared" si="83"/>
        <v>mRNA242: -&gt; E4_2_1_3_mRNA | 0.00292 - (0.0093 * E4_2_1_3_mRNA)</v>
      </c>
      <c r="N243" s="36" t="str">
        <f t="shared" si="84"/>
        <v>Peptide242: E4_2_1_3_mRNA -&gt; E4_2_1_3 | (0.278 * E4_2_1_3_mRNA) - (0.000000278 * E4_2_1_3)</v>
      </c>
    </row>
    <row r="244" spans="1:14" x14ac:dyDescent="0.35">
      <c r="A244">
        <v>243</v>
      </c>
      <c r="B244" s="59" t="s">
        <v>10925</v>
      </c>
      <c r="C244" t="str">
        <f t="shared" si="73"/>
        <v>E4_2_1_33_mRNA</v>
      </c>
      <c r="D244" t="str">
        <f t="shared" si="74"/>
        <v>E4_2_1_33</v>
      </c>
      <c r="E244" s="36" t="str">
        <f t="shared" si="75"/>
        <v>E4_2_1_33_kcat : 13.7</v>
      </c>
      <c r="F244" s="38" t="str">
        <f t="shared" si="76"/>
        <v>E4_2_1_33_km : 1</v>
      </c>
      <c r="G244" s="31" t="str">
        <f t="shared" si="77"/>
        <v>E4_2_1_33_mRNA : E4_2_1_33_mRNA</v>
      </c>
      <c r="H244" s="32" t="str">
        <f t="shared" si="78"/>
        <v>E4_2_1_33 : E4_2_1_33</v>
      </c>
      <c r="I244" s="33" t="str">
        <f t="shared" si="79"/>
        <v>E4_2_1_33_mRNA : 0</v>
      </c>
      <c r="J244" s="16" t="str">
        <f t="shared" si="80"/>
        <v>E4_2_1_33 : 0</v>
      </c>
      <c r="K244" s="34" t="str">
        <f t="shared" si="81"/>
        <v>0.00292 - (0.0093 * E4_2_1_33_mRNA)</v>
      </c>
      <c r="L244" s="31" t="str">
        <f t="shared" si="82"/>
        <v>(0.278 * E4_2_1_33_mRNA) - (0.00000278 * E4_2_1_33)</v>
      </c>
      <c r="M244" s="35" t="str">
        <f t="shared" si="83"/>
        <v>mRNA243: -&gt; E4_2_1_33_mRNA | 0.00292 - (0.0093 * E4_2_1_33_mRNA)</v>
      </c>
      <c r="N244" s="36" t="str">
        <f t="shared" si="84"/>
        <v>Peptide243: E4_2_1_33_mRNA -&gt; E4_2_1_33 | (0.278 * E4_2_1_33_mRNA) - (0.000000278 * E4_2_1_33)</v>
      </c>
    </row>
    <row r="245" spans="1:14" x14ac:dyDescent="0.35">
      <c r="A245">
        <v>244</v>
      </c>
      <c r="B245" s="59" t="s">
        <v>10926</v>
      </c>
      <c r="C245" t="str">
        <f t="shared" si="73"/>
        <v>E4_2_1_46_mRNA</v>
      </c>
      <c r="D245" t="str">
        <f t="shared" si="74"/>
        <v>E4_2_1_46</v>
      </c>
      <c r="E245" s="36" t="str">
        <f t="shared" si="75"/>
        <v>E4_2_1_46_kcat : 13.7</v>
      </c>
      <c r="F245" s="38" t="str">
        <f t="shared" si="76"/>
        <v>E4_2_1_46_km : 1</v>
      </c>
      <c r="G245" s="31" t="str">
        <f t="shared" si="77"/>
        <v>E4_2_1_46_mRNA : E4_2_1_46_mRNA</v>
      </c>
      <c r="H245" s="32" t="str">
        <f t="shared" si="78"/>
        <v>E4_2_1_46 : E4_2_1_46</v>
      </c>
      <c r="I245" s="33" t="str">
        <f t="shared" si="79"/>
        <v>E4_2_1_46_mRNA : 0</v>
      </c>
      <c r="J245" s="16" t="str">
        <f t="shared" si="80"/>
        <v>E4_2_1_46 : 0</v>
      </c>
      <c r="K245" s="34" t="str">
        <f t="shared" si="81"/>
        <v>0.00292 - (0.0093 * E4_2_1_46_mRNA)</v>
      </c>
      <c r="L245" s="31" t="str">
        <f t="shared" si="82"/>
        <v>(0.278 * E4_2_1_46_mRNA) - (0.00000278 * E4_2_1_46)</v>
      </c>
      <c r="M245" s="35" t="str">
        <f t="shared" si="83"/>
        <v>mRNA244: -&gt; E4_2_1_46_mRNA | 0.00292 - (0.0093 * E4_2_1_46_mRNA)</v>
      </c>
      <c r="N245" s="36" t="str">
        <f t="shared" si="84"/>
        <v>Peptide244: E4_2_1_46_mRNA -&gt; E4_2_1_46 | (0.278 * E4_2_1_46_mRNA) - (0.000000278 * E4_2_1_46)</v>
      </c>
    </row>
    <row r="246" spans="1:14" x14ac:dyDescent="0.35">
      <c r="A246">
        <v>245</v>
      </c>
      <c r="B246" s="59" t="s">
        <v>10927</v>
      </c>
      <c r="C246" t="str">
        <f t="shared" si="73"/>
        <v>E4_2_1_51_mRNA</v>
      </c>
      <c r="D246" t="str">
        <f t="shared" si="74"/>
        <v>E4_2_1_51</v>
      </c>
      <c r="E246" s="36" t="str">
        <f t="shared" si="75"/>
        <v>E4_2_1_51_kcat : 13.7</v>
      </c>
      <c r="F246" s="38" t="str">
        <f t="shared" si="76"/>
        <v>E4_2_1_51_km : 1</v>
      </c>
      <c r="G246" s="31" t="str">
        <f t="shared" si="77"/>
        <v>E4_2_1_51_mRNA : E4_2_1_51_mRNA</v>
      </c>
      <c r="H246" s="32" t="str">
        <f t="shared" si="78"/>
        <v>E4_2_1_51 : E4_2_1_51</v>
      </c>
      <c r="I246" s="33" t="str">
        <f t="shared" si="79"/>
        <v>E4_2_1_51_mRNA : 0</v>
      </c>
      <c r="J246" s="16" t="str">
        <f t="shared" si="80"/>
        <v>E4_2_1_51 : 0</v>
      </c>
      <c r="K246" s="34" t="str">
        <f t="shared" si="81"/>
        <v>0.00292 - (0.0093 * E4_2_1_51_mRNA)</v>
      </c>
      <c r="L246" s="31" t="str">
        <f t="shared" si="82"/>
        <v>(0.278 * E4_2_1_51_mRNA) - (0.00000278 * E4_2_1_51)</v>
      </c>
      <c r="M246" s="35" t="str">
        <f t="shared" si="83"/>
        <v>mRNA245: -&gt; E4_2_1_51_mRNA | 0.00292 - (0.0093 * E4_2_1_51_mRNA)</v>
      </c>
      <c r="N246" s="36" t="str">
        <f t="shared" si="84"/>
        <v>Peptide245: E4_2_1_51_mRNA -&gt; E4_2_1_51 | (0.278 * E4_2_1_51_mRNA) - (0.000000278 * E4_2_1_51)</v>
      </c>
    </row>
    <row r="247" spans="1:14" x14ac:dyDescent="0.35">
      <c r="A247">
        <v>246</v>
      </c>
      <c r="B247" s="59" t="s">
        <v>2318</v>
      </c>
      <c r="C247" t="str">
        <f t="shared" si="73"/>
        <v>E4_2_1_53_mRNA</v>
      </c>
      <c r="D247" t="str">
        <f t="shared" si="74"/>
        <v>E4_2_1_53</v>
      </c>
      <c r="E247" s="36" t="str">
        <f t="shared" si="75"/>
        <v>E4_2_1_53_kcat : 13.7</v>
      </c>
      <c r="F247" s="38" t="str">
        <f t="shared" si="76"/>
        <v>E4_2_1_53_km : 1</v>
      </c>
      <c r="G247" s="31" t="str">
        <f t="shared" si="77"/>
        <v>E4_2_1_53_mRNA : E4_2_1_53_mRNA</v>
      </c>
      <c r="H247" s="32" t="str">
        <f t="shared" si="78"/>
        <v>E4_2_1_53 : E4_2_1_53</v>
      </c>
      <c r="I247" s="33" t="str">
        <f t="shared" si="79"/>
        <v>E4_2_1_53_mRNA : 0</v>
      </c>
      <c r="J247" s="16" t="str">
        <f t="shared" si="80"/>
        <v>E4_2_1_53 : 0</v>
      </c>
      <c r="K247" s="34" t="str">
        <f t="shared" si="81"/>
        <v>0.00292 - (0.0093 * E4_2_1_53_mRNA)</v>
      </c>
      <c r="L247" s="31" t="str">
        <f t="shared" si="82"/>
        <v>(0.278 * E4_2_1_53_mRNA) - (0.00000278 * E4_2_1_53)</v>
      </c>
      <c r="M247" s="35" t="str">
        <f t="shared" si="83"/>
        <v>mRNA246: -&gt; E4_2_1_53_mRNA | 0.00292 - (0.0093 * E4_2_1_53_mRNA)</v>
      </c>
      <c r="N247" s="36" t="str">
        <f t="shared" si="84"/>
        <v>Peptide246: E4_2_1_53_mRNA -&gt; E4_2_1_53 | (0.278 * E4_2_1_53_mRNA) - (0.000000278 * E4_2_1_53)</v>
      </c>
    </row>
    <row r="248" spans="1:14" x14ac:dyDescent="0.35">
      <c r="A248">
        <v>247</v>
      </c>
      <c r="B248" s="59" t="s">
        <v>10928</v>
      </c>
      <c r="C248" t="str">
        <f t="shared" si="73"/>
        <v>E4_2_1_9_mRNA</v>
      </c>
      <c r="D248" t="str">
        <f t="shared" si="74"/>
        <v>E4_2_1_9</v>
      </c>
      <c r="E248" s="36" t="str">
        <f t="shared" si="75"/>
        <v>E4_2_1_9_kcat : 13.7</v>
      </c>
      <c r="F248" s="38" t="str">
        <f t="shared" si="76"/>
        <v>E4_2_1_9_km : 1</v>
      </c>
      <c r="G248" s="31" t="str">
        <f t="shared" si="77"/>
        <v>E4_2_1_9_mRNA : E4_2_1_9_mRNA</v>
      </c>
      <c r="H248" s="32" t="str">
        <f t="shared" si="78"/>
        <v>E4_2_1_9 : E4_2_1_9</v>
      </c>
      <c r="I248" s="33" t="str">
        <f t="shared" si="79"/>
        <v>E4_2_1_9_mRNA : 0</v>
      </c>
      <c r="J248" s="16" t="str">
        <f t="shared" si="80"/>
        <v>E4_2_1_9 : 0</v>
      </c>
      <c r="K248" s="34" t="str">
        <f t="shared" si="81"/>
        <v>0.00292 - (0.0093 * E4_2_1_9_mRNA)</v>
      </c>
      <c r="L248" s="31" t="str">
        <f t="shared" si="82"/>
        <v>(0.278 * E4_2_1_9_mRNA) - (0.00000278 * E4_2_1_9)</v>
      </c>
      <c r="M248" s="35" t="str">
        <f t="shared" si="83"/>
        <v>mRNA247: -&gt; E4_2_1_9_mRNA | 0.00292 - (0.0093 * E4_2_1_9_mRNA)</v>
      </c>
      <c r="N248" s="36" t="str">
        <f t="shared" si="84"/>
        <v>Peptide247: E4_2_1_9_mRNA -&gt; E4_2_1_9 | (0.278 * E4_2_1_9_mRNA) - (0.000000278 * E4_2_1_9)</v>
      </c>
    </row>
    <row r="249" spans="1:14" x14ac:dyDescent="0.35">
      <c r="A249">
        <v>248</v>
      </c>
      <c r="B249" s="59" t="s">
        <v>2302</v>
      </c>
      <c r="C249" t="str">
        <f t="shared" si="73"/>
        <v>E4_2_3_1_mRNA</v>
      </c>
      <c r="D249" t="str">
        <f t="shared" si="74"/>
        <v>E4_2_3_1</v>
      </c>
      <c r="E249" s="36" t="str">
        <f t="shared" si="75"/>
        <v>E4_2_3_1_kcat : 13.7</v>
      </c>
      <c r="F249" s="38" t="str">
        <f t="shared" si="76"/>
        <v>E4_2_3_1_km : 1</v>
      </c>
      <c r="G249" s="31" t="str">
        <f t="shared" si="77"/>
        <v>E4_2_3_1_mRNA : E4_2_3_1_mRNA</v>
      </c>
      <c r="H249" s="32" t="str">
        <f t="shared" si="78"/>
        <v>E4_2_3_1 : E4_2_3_1</v>
      </c>
      <c r="I249" s="33" t="str">
        <f t="shared" si="79"/>
        <v>E4_2_3_1_mRNA : 0</v>
      </c>
      <c r="J249" s="16" t="str">
        <f t="shared" si="80"/>
        <v>E4_2_3_1 : 0</v>
      </c>
      <c r="K249" s="34" t="str">
        <f t="shared" si="81"/>
        <v>0.00292 - (0.0093 * E4_2_3_1_mRNA)</v>
      </c>
      <c r="L249" s="31" t="str">
        <f t="shared" si="82"/>
        <v>(0.278 * E4_2_3_1_mRNA) - (0.00000278 * E4_2_3_1)</v>
      </c>
      <c r="M249" s="35" t="str">
        <f t="shared" si="83"/>
        <v>mRNA248: -&gt; E4_2_3_1_mRNA | 0.00292 - (0.0093 * E4_2_3_1_mRNA)</v>
      </c>
      <c r="N249" s="36" t="str">
        <f t="shared" si="84"/>
        <v>Peptide248: E4_2_3_1_mRNA -&gt; E4_2_3_1 | (0.278 * E4_2_3_1_mRNA) - (0.000000278 * E4_2_3_1)</v>
      </c>
    </row>
    <row r="250" spans="1:14" x14ac:dyDescent="0.35">
      <c r="A250">
        <v>249</v>
      </c>
      <c r="B250" s="59" t="s">
        <v>10929</v>
      </c>
      <c r="C250" t="str">
        <f t="shared" si="73"/>
        <v>E4_2_3_5_mRNA</v>
      </c>
      <c r="D250" t="str">
        <f t="shared" si="74"/>
        <v>E4_2_3_5</v>
      </c>
      <c r="E250" s="36" t="str">
        <f t="shared" si="75"/>
        <v>E4_2_3_5_kcat : 13.7</v>
      </c>
      <c r="F250" s="38" t="str">
        <f t="shared" si="76"/>
        <v>E4_2_3_5_km : 1</v>
      </c>
      <c r="G250" s="31" t="str">
        <f t="shared" si="77"/>
        <v>E4_2_3_5_mRNA : E4_2_3_5_mRNA</v>
      </c>
      <c r="H250" s="32" t="str">
        <f t="shared" si="78"/>
        <v>E4_2_3_5 : E4_2_3_5</v>
      </c>
      <c r="I250" s="33" t="str">
        <f t="shared" si="79"/>
        <v>E4_2_3_5_mRNA : 0</v>
      </c>
      <c r="J250" s="16" t="str">
        <f t="shared" si="80"/>
        <v>E4_2_3_5 : 0</v>
      </c>
      <c r="K250" s="34" t="str">
        <f t="shared" si="81"/>
        <v>0.00292 - (0.0093 * E4_2_3_5_mRNA)</v>
      </c>
      <c r="L250" s="31" t="str">
        <f t="shared" si="82"/>
        <v>(0.278 * E4_2_3_5_mRNA) - (0.00000278 * E4_2_3_5)</v>
      </c>
      <c r="M250" s="35" t="str">
        <f t="shared" si="83"/>
        <v>mRNA249: -&gt; E4_2_3_5_mRNA | 0.00292 - (0.0093 * E4_2_3_5_mRNA)</v>
      </c>
      <c r="N250" s="36" t="str">
        <f t="shared" si="84"/>
        <v>Peptide249: E4_2_3_5_mRNA -&gt; E4_2_3_5 | (0.278 * E4_2_3_5_mRNA) - (0.000000278 * E4_2_3_5)</v>
      </c>
    </row>
    <row r="251" spans="1:14" x14ac:dyDescent="0.35">
      <c r="A251">
        <v>250</v>
      </c>
      <c r="B251" s="59" t="s">
        <v>10930</v>
      </c>
      <c r="C251" t="str">
        <f t="shared" si="73"/>
        <v>E4_2_99_18_mRNA</v>
      </c>
      <c r="D251" t="str">
        <f t="shared" si="74"/>
        <v>E4_2_99_18</v>
      </c>
      <c r="E251" s="36" t="str">
        <f t="shared" si="75"/>
        <v>E4_2_99_18_kcat : 13.7</v>
      </c>
      <c r="F251" s="38" t="str">
        <f t="shared" si="76"/>
        <v>E4_2_99_18_km : 1</v>
      </c>
      <c r="G251" s="31" t="str">
        <f t="shared" si="77"/>
        <v>E4_2_99_18_mRNA : E4_2_99_18_mRNA</v>
      </c>
      <c r="H251" s="32" t="str">
        <f t="shared" si="78"/>
        <v>E4_2_99_18 : E4_2_99_18</v>
      </c>
      <c r="I251" s="33" t="str">
        <f t="shared" si="79"/>
        <v>E4_2_99_18_mRNA : 0</v>
      </c>
      <c r="J251" s="16" t="str">
        <f t="shared" si="80"/>
        <v>E4_2_99_18 : 0</v>
      </c>
      <c r="K251" s="34" t="str">
        <f t="shared" si="81"/>
        <v>0.00292 - (0.0093 * E4_2_99_18_mRNA)</v>
      </c>
      <c r="L251" s="31" t="str">
        <f t="shared" si="82"/>
        <v>(0.278 * E4_2_99_18_mRNA) - (0.00000278 * E4_2_99_18)</v>
      </c>
      <c r="M251" s="35" t="str">
        <f t="shared" si="83"/>
        <v>mRNA250: -&gt; E4_2_99_18_mRNA | 0.00292 - (0.0093 * E4_2_99_18_mRNA)</v>
      </c>
      <c r="N251" s="36" t="str">
        <f t="shared" si="84"/>
        <v>Peptide250: E4_2_99_18_mRNA -&gt; E4_2_99_18 | (0.278 * E4_2_99_18_mRNA) - (0.000000278 * E4_2_99_18)</v>
      </c>
    </row>
    <row r="252" spans="1:14" x14ac:dyDescent="0.35">
      <c r="A252">
        <v>251</v>
      </c>
      <c r="B252" s="59" t="s">
        <v>10931</v>
      </c>
      <c r="C252" t="str">
        <f t="shared" si="73"/>
        <v>E4_3_1_1_mRNA</v>
      </c>
      <c r="D252" t="str">
        <f t="shared" si="74"/>
        <v>E4_3_1_1</v>
      </c>
      <c r="E252" s="36" t="str">
        <f t="shared" si="75"/>
        <v>E4_3_1_1_kcat : 13.7</v>
      </c>
      <c r="F252" s="38" t="str">
        <f t="shared" si="76"/>
        <v>E4_3_1_1_km : 1</v>
      </c>
      <c r="G252" s="31" t="str">
        <f t="shared" si="77"/>
        <v>E4_3_1_1_mRNA : E4_3_1_1_mRNA</v>
      </c>
      <c r="H252" s="32" t="str">
        <f t="shared" si="78"/>
        <v>E4_3_1_1 : E4_3_1_1</v>
      </c>
      <c r="I252" s="33" t="str">
        <f t="shared" si="79"/>
        <v>E4_3_1_1_mRNA : 0</v>
      </c>
      <c r="J252" s="16" t="str">
        <f t="shared" si="80"/>
        <v>E4_3_1_1 : 0</v>
      </c>
      <c r="K252" s="34" t="str">
        <f t="shared" si="81"/>
        <v>0.00292 - (0.0093 * E4_3_1_1_mRNA)</v>
      </c>
      <c r="L252" s="31" t="str">
        <f t="shared" si="82"/>
        <v>(0.278 * E4_3_1_1_mRNA) - (0.00000278 * E4_3_1_1)</v>
      </c>
      <c r="M252" s="35" t="str">
        <f t="shared" si="83"/>
        <v>mRNA251: -&gt; E4_3_1_1_mRNA | 0.00292 - (0.0093 * E4_3_1_1_mRNA)</v>
      </c>
      <c r="N252" s="36" t="str">
        <f t="shared" si="84"/>
        <v>Peptide251: E4_3_1_1_mRNA -&gt; E4_3_1_1 | (0.278 * E4_3_1_1_mRNA) - (0.000000278 * E4_3_1_1)</v>
      </c>
    </row>
    <row r="253" spans="1:14" x14ac:dyDescent="0.35">
      <c r="A253">
        <v>252</v>
      </c>
      <c r="B253" s="59" t="s">
        <v>10932</v>
      </c>
      <c r="C253" t="str">
        <f t="shared" si="73"/>
        <v>E4_3_1_17_mRNA</v>
      </c>
      <c r="D253" t="str">
        <f t="shared" si="74"/>
        <v>E4_3_1_17</v>
      </c>
      <c r="E253" s="36" t="str">
        <f t="shared" si="75"/>
        <v>E4_3_1_17_kcat : 13.7</v>
      </c>
      <c r="F253" s="38" t="str">
        <f t="shared" si="76"/>
        <v>E4_3_1_17_km : 1</v>
      </c>
      <c r="G253" s="31" t="str">
        <f t="shared" si="77"/>
        <v>E4_3_1_17_mRNA : E4_3_1_17_mRNA</v>
      </c>
      <c r="H253" s="32" t="str">
        <f t="shared" si="78"/>
        <v>E4_3_1_17 : E4_3_1_17</v>
      </c>
      <c r="I253" s="33" t="str">
        <f t="shared" si="79"/>
        <v>E4_3_1_17_mRNA : 0</v>
      </c>
      <c r="J253" s="16" t="str">
        <f t="shared" si="80"/>
        <v>E4_3_1_17 : 0</v>
      </c>
      <c r="K253" s="34" t="str">
        <f t="shared" si="81"/>
        <v>0.00292 - (0.0093 * E4_3_1_17_mRNA)</v>
      </c>
      <c r="L253" s="31" t="str">
        <f t="shared" si="82"/>
        <v>(0.278 * E4_3_1_17_mRNA) - (0.00000278 * E4_3_1_17)</v>
      </c>
      <c r="M253" s="35" t="str">
        <f t="shared" si="83"/>
        <v>mRNA252: -&gt; E4_3_1_17_mRNA | 0.00292 - (0.0093 * E4_3_1_17_mRNA)</v>
      </c>
      <c r="N253" s="36" t="str">
        <f t="shared" si="84"/>
        <v>Peptide252: E4_3_1_17_mRNA -&gt; E4_3_1_17 | (0.278 * E4_3_1_17_mRNA) - (0.000000278 * E4_3_1_17)</v>
      </c>
    </row>
    <row r="254" spans="1:14" x14ac:dyDescent="0.35">
      <c r="A254">
        <v>253</v>
      </c>
      <c r="B254" s="59" t="s">
        <v>10933</v>
      </c>
      <c r="C254" t="str">
        <f t="shared" si="73"/>
        <v>E4_3_1_19_mRNA</v>
      </c>
      <c r="D254" t="str">
        <f t="shared" si="74"/>
        <v>E4_3_1_19</v>
      </c>
      <c r="E254" s="36" t="str">
        <f t="shared" si="75"/>
        <v>E4_3_1_19_kcat : 13.7</v>
      </c>
      <c r="F254" s="38" t="str">
        <f t="shared" si="76"/>
        <v>E4_3_1_19_km : 1</v>
      </c>
      <c r="G254" s="31" t="str">
        <f t="shared" si="77"/>
        <v>E4_3_1_19_mRNA : E4_3_1_19_mRNA</v>
      </c>
      <c r="H254" s="32" t="str">
        <f t="shared" si="78"/>
        <v>E4_3_1_19 : E4_3_1_19</v>
      </c>
      <c r="I254" s="33" t="str">
        <f t="shared" si="79"/>
        <v>E4_3_1_19_mRNA : 0</v>
      </c>
      <c r="J254" s="16" t="str">
        <f t="shared" si="80"/>
        <v>E4_3_1_19 : 0</v>
      </c>
      <c r="K254" s="34" t="str">
        <f t="shared" si="81"/>
        <v>0.00292 - (0.0093 * E4_3_1_19_mRNA)</v>
      </c>
      <c r="L254" s="31" t="str">
        <f t="shared" si="82"/>
        <v>(0.278 * E4_3_1_19_mRNA) - (0.00000278 * E4_3_1_19)</v>
      </c>
      <c r="M254" s="35" t="str">
        <f t="shared" si="83"/>
        <v>mRNA253: -&gt; E4_3_1_19_mRNA | 0.00292 - (0.0093 * E4_3_1_19_mRNA)</v>
      </c>
      <c r="N254" s="36" t="str">
        <f t="shared" si="84"/>
        <v>Peptide253: E4_3_1_19_mRNA -&gt; E4_3_1_19 | (0.278 * E4_3_1_19_mRNA) - (0.000000278 * E4_3_1_19)</v>
      </c>
    </row>
    <row r="255" spans="1:14" x14ac:dyDescent="0.35">
      <c r="A255">
        <v>254</v>
      </c>
      <c r="B255" s="59" t="s">
        <v>10934</v>
      </c>
      <c r="C255" t="str">
        <f t="shared" si="73"/>
        <v>E4_3_2_1_mRNA</v>
      </c>
      <c r="D255" t="str">
        <f t="shared" si="74"/>
        <v>E4_3_2_1</v>
      </c>
      <c r="E255" s="36" t="str">
        <f t="shared" si="75"/>
        <v>E4_3_2_1_kcat : 13.7</v>
      </c>
      <c r="F255" s="38" t="str">
        <f t="shared" si="76"/>
        <v>E4_3_2_1_km : 1</v>
      </c>
      <c r="G255" s="31" t="str">
        <f t="shared" si="77"/>
        <v>E4_3_2_1_mRNA : E4_3_2_1_mRNA</v>
      </c>
      <c r="H255" s="32" t="str">
        <f t="shared" si="78"/>
        <v>E4_3_2_1 : E4_3_2_1</v>
      </c>
      <c r="I255" s="33" t="str">
        <f t="shared" si="79"/>
        <v>E4_3_2_1_mRNA : 0</v>
      </c>
      <c r="J255" s="16" t="str">
        <f t="shared" si="80"/>
        <v>E4_3_2_1 : 0</v>
      </c>
      <c r="K255" s="34" t="str">
        <f t="shared" si="81"/>
        <v>0.00292 - (0.0093 * E4_3_2_1_mRNA)</v>
      </c>
      <c r="L255" s="31" t="str">
        <f t="shared" si="82"/>
        <v>(0.278 * E4_3_2_1_mRNA) - (0.00000278 * E4_3_2_1)</v>
      </c>
      <c r="M255" s="35" t="str">
        <f t="shared" si="83"/>
        <v>mRNA254: -&gt; E4_3_2_1_mRNA | 0.00292 - (0.0093 * E4_3_2_1_mRNA)</v>
      </c>
      <c r="N255" s="36" t="str">
        <f t="shared" si="84"/>
        <v>Peptide254: E4_3_2_1_mRNA -&gt; E4_3_2_1 | (0.278 * E4_3_2_1_mRNA) - (0.000000278 * E4_3_2_1)</v>
      </c>
    </row>
    <row r="256" spans="1:14" x14ac:dyDescent="0.35">
      <c r="A256">
        <v>255</v>
      </c>
      <c r="B256" s="59" t="s">
        <v>10935</v>
      </c>
      <c r="C256" t="str">
        <f t="shared" si="73"/>
        <v>E4_3_2_10_mRNA</v>
      </c>
      <c r="D256" t="str">
        <f t="shared" si="74"/>
        <v>E4_3_2_10</v>
      </c>
      <c r="E256" s="36" t="str">
        <f t="shared" si="75"/>
        <v>E4_3_2_10_kcat : 13.7</v>
      </c>
      <c r="F256" s="38" t="str">
        <f t="shared" si="76"/>
        <v>E4_3_2_10_km : 1</v>
      </c>
      <c r="G256" s="31" t="str">
        <f t="shared" si="77"/>
        <v>E4_3_2_10_mRNA : E4_3_2_10_mRNA</v>
      </c>
      <c r="H256" s="32" t="str">
        <f t="shared" si="78"/>
        <v>E4_3_2_10 : E4_3_2_10</v>
      </c>
      <c r="I256" s="33" t="str">
        <f t="shared" si="79"/>
        <v>E4_3_2_10_mRNA : 0</v>
      </c>
      <c r="J256" s="16" t="str">
        <f t="shared" si="80"/>
        <v>E4_3_2_10 : 0</v>
      </c>
      <c r="K256" s="34" t="str">
        <f t="shared" si="81"/>
        <v>0.00292 - (0.0093 * E4_3_2_10_mRNA)</v>
      </c>
      <c r="L256" s="31" t="str">
        <f t="shared" si="82"/>
        <v>(0.278 * E4_3_2_10_mRNA) - (0.00000278 * E4_3_2_10)</v>
      </c>
      <c r="M256" s="35" t="str">
        <f t="shared" si="83"/>
        <v>mRNA255: -&gt; E4_3_2_10_mRNA | 0.00292 - (0.0093 * E4_3_2_10_mRNA)</v>
      </c>
      <c r="N256" s="36" t="str">
        <f t="shared" si="84"/>
        <v>Peptide255: E4_3_2_10_mRNA -&gt; E4_3_2_10 | (0.278 * E4_3_2_10_mRNA) - (0.000000278 * E4_3_2_10)</v>
      </c>
    </row>
    <row r="257" spans="1:14" x14ac:dyDescent="0.35">
      <c r="A257">
        <v>256</v>
      </c>
      <c r="B257" s="59" t="s">
        <v>2320</v>
      </c>
      <c r="C257" t="str">
        <f t="shared" si="73"/>
        <v>E4_3_2_2_mRNA</v>
      </c>
      <c r="D257" t="str">
        <f t="shared" si="74"/>
        <v>E4_3_2_2</v>
      </c>
      <c r="E257" s="36" t="str">
        <f t="shared" si="75"/>
        <v>E4_3_2_2_kcat : 13.7</v>
      </c>
      <c r="F257" s="38" t="str">
        <f t="shared" si="76"/>
        <v>E4_3_2_2_km : 1</v>
      </c>
      <c r="G257" s="31" t="str">
        <f t="shared" si="77"/>
        <v>E4_3_2_2_mRNA : E4_3_2_2_mRNA</v>
      </c>
      <c r="H257" s="32" t="str">
        <f t="shared" si="78"/>
        <v>E4_3_2_2 : E4_3_2_2</v>
      </c>
      <c r="I257" s="33" t="str">
        <f t="shared" si="79"/>
        <v>E4_3_2_2_mRNA : 0</v>
      </c>
      <c r="J257" s="16" t="str">
        <f t="shared" si="80"/>
        <v>E4_3_2_2 : 0</v>
      </c>
      <c r="K257" s="34" t="str">
        <f t="shared" si="81"/>
        <v>0.00292 - (0.0093 * E4_3_2_2_mRNA)</v>
      </c>
      <c r="L257" s="31" t="str">
        <f t="shared" si="82"/>
        <v>(0.278 * E4_3_2_2_mRNA) - (0.00000278 * E4_3_2_2)</v>
      </c>
      <c r="M257" s="35" t="str">
        <f t="shared" si="83"/>
        <v>mRNA256: -&gt; E4_3_2_2_mRNA | 0.00292 - (0.0093 * E4_3_2_2_mRNA)</v>
      </c>
      <c r="N257" s="36" t="str">
        <f t="shared" si="84"/>
        <v>Peptide256: E4_3_2_2_mRNA -&gt; E4_3_2_2 | (0.278 * E4_3_2_2_mRNA) - (0.000000278 * E4_3_2_2)</v>
      </c>
    </row>
    <row r="258" spans="1:14" x14ac:dyDescent="0.35">
      <c r="A258">
        <v>257</v>
      </c>
      <c r="B258" s="59" t="s">
        <v>10936</v>
      </c>
      <c r="C258" t="str">
        <f t="shared" si="73"/>
        <v>E4_3_3_6_mRNA</v>
      </c>
      <c r="D258" t="str">
        <f t="shared" si="74"/>
        <v>E4_3_3_6</v>
      </c>
      <c r="E258" s="36" t="str">
        <f t="shared" si="75"/>
        <v>E4_3_3_6_kcat : 13.7</v>
      </c>
      <c r="F258" s="38" t="str">
        <f t="shared" si="76"/>
        <v>E4_3_3_6_km : 1</v>
      </c>
      <c r="G258" s="31" t="str">
        <f t="shared" si="77"/>
        <v>E4_3_3_6_mRNA : E4_3_3_6_mRNA</v>
      </c>
      <c r="H258" s="32" t="str">
        <f t="shared" si="78"/>
        <v>E4_3_3_6 : E4_3_3_6</v>
      </c>
      <c r="I258" s="33" t="str">
        <f t="shared" si="79"/>
        <v>E4_3_3_6_mRNA : 0</v>
      </c>
      <c r="J258" s="16" t="str">
        <f t="shared" si="80"/>
        <v>E4_3_3_6 : 0</v>
      </c>
      <c r="K258" s="34" t="str">
        <f t="shared" si="81"/>
        <v>0.00292 - (0.0093 * E4_3_3_6_mRNA)</v>
      </c>
      <c r="L258" s="31" t="str">
        <f t="shared" si="82"/>
        <v>(0.278 * E4_3_3_6_mRNA) - (0.00000278 * E4_3_3_6)</v>
      </c>
      <c r="M258" s="35" t="str">
        <f t="shared" si="83"/>
        <v>mRNA257: -&gt; E4_3_3_6_mRNA | 0.00292 - (0.0093 * E4_3_3_6_mRNA)</v>
      </c>
      <c r="N258" s="36" t="str">
        <f t="shared" si="84"/>
        <v>Peptide257: E4_3_3_6_mRNA -&gt; E4_3_3_6 | (0.278 * E4_3_3_6_mRNA) - (0.000000278 * E4_3_3_6)</v>
      </c>
    </row>
    <row r="259" spans="1:14" x14ac:dyDescent="0.35">
      <c r="A259">
        <v>258</v>
      </c>
      <c r="B259" s="59" t="s">
        <v>2288</v>
      </c>
      <c r="C259" t="str">
        <f t="shared" si="73"/>
        <v>E4_3_3_7_mRNA</v>
      </c>
      <c r="D259" t="str">
        <f t="shared" si="74"/>
        <v>E4_3_3_7</v>
      </c>
      <c r="E259" s="36" t="str">
        <f t="shared" si="75"/>
        <v>E4_3_3_7_kcat : 13.7</v>
      </c>
      <c r="F259" s="38" t="str">
        <f t="shared" si="76"/>
        <v>E4_3_3_7_km : 1</v>
      </c>
      <c r="G259" s="31" t="str">
        <f t="shared" si="77"/>
        <v>E4_3_3_7_mRNA : E4_3_3_7_mRNA</v>
      </c>
      <c r="H259" s="32" t="str">
        <f t="shared" si="78"/>
        <v>E4_3_3_7 : E4_3_3_7</v>
      </c>
      <c r="I259" s="33" t="str">
        <f t="shared" si="79"/>
        <v>E4_3_3_7_mRNA : 0</v>
      </c>
      <c r="J259" s="16" t="str">
        <f t="shared" si="80"/>
        <v>E4_3_3_7 : 0</v>
      </c>
      <c r="K259" s="34" t="str">
        <f t="shared" si="81"/>
        <v>0.00292 - (0.0093 * E4_3_3_7_mRNA)</v>
      </c>
      <c r="L259" s="31" t="str">
        <f t="shared" si="82"/>
        <v>(0.278 * E4_3_3_7_mRNA) - (0.00000278 * E4_3_3_7)</v>
      </c>
      <c r="M259" s="35" t="str">
        <f t="shared" si="83"/>
        <v>mRNA258: -&gt; E4_3_3_7_mRNA | 0.00292 - (0.0093 * E4_3_3_7_mRNA)</v>
      </c>
      <c r="N259" s="36" t="str">
        <f t="shared" si="84"/>
        <v>Peptide258: E4_3_3_7_mRNA -&gt; E4_3_3_7 | (0.278 * E4_3_3_7_mRNA) - (0.000000278 * E4_3_3_7)</v>
      </c>
    </row>
    <row r="260" spans="1:14" x14ac:dyDescent="0.35">
      <c r="A260">
        <v>259</v>
      </c>
      <c r="B260" s="59" t="s">
        <v>10937</v>
      </c>
      <c r="C260" t="str">
        <f t="shared" si="73"/>
        <v>E4_4_1_13_mRNA</v>
      </c>
      <c r="D260" t="str">
        <f t="shared" si="74"/>
        <v>E4_4_1_13</v>
      </c>
      <c r="E260" s="36" t="str">
        <f t="shared" si="75"/>
        <v>E4_4_1_13_kcat : 13.7</v>
      </c>
      <c r="F260" s="38" t="str">
        <f t="shared" si="76"/>
        <v>E4_4_1_13_km : 1</v>
      </c>
      <c r="G260" s="31" t="str">
        <f t="shared" si="77"/>
        <v>E4_4_1_13_mRNA : E4_4_1_13_mRNA</v>
      </c>
      <c r="H260" s="32" t="str">
        <f t="shared" si="78"/>
        <v>E4_4_1_13 : E4_4_1_13</v>
      </c>
      <c r="I260" s="33" t="str">
        <f t="shared" si="79"/>
        <v>E4_4_1_13_mRNA : 0</v>
      </c>
      <c r="J260" s="16" t="str">
        <f t="shared" si="80"/>
        <v>E4_4_1_13 : 0</v>
      </c>
      <c r="K260" s="34" t="str">
        <f t="shared" si="81"/>
        <v>0.00292 - (0.0093 * E4_4_1_13_mRNA)</v>
      </c>
      <c r="L260" s="31" t="str">
        <f t="shared" si="82"/>
        <v>(0.278 * E4_4_1_13_mRNA) - (0.00000278 * E4_4_1_13)</v>
      </c>
      <c r="M260" s="35" t="str">
        <f t="shared" si="83"/>
        <v>mRNA259: -&gt; E4_4_1_13_mRNA | 0.00292 - (0.0093 * E4_4_1_13_mRNA)</v>
      </c>
      <c r="N260" s="36" t="str">
        <f t="shared" si="84"/>
        <v>Peptide259: E4_4_1_13_mRNA -&gt; E4_4_1_13 | (0.278 * E4_4_1_13_mRNA) - (0.000000278 * E4_4_1_13)</v>
      </c>
    </row>
    <row r="261" spans="1:14" x14ac:dyDescent="0.35">
      <c r="A261">
        <v>260</v>
      </c>
      <c r="B261" s="59" t="s">
        <v>2319</v>
      </c>
      <c r="C261" t="str">
        <f t="shared" si="73"/>
        <v>E4_4_1_21_mRNA</v>
      </c>
      <c r="D261" t="str">
        <f t="shared" si="74"/>
        <v>E4_4_1_21</v>
      </c>
      <c r="E261" s="36" t="str">
        <f t="shared" si="75"/>
        <v>E4_4_1_21_kcat : 13.7</v>
      </c>
      <c r="F261" s="38" t="str">
        <f t="shared" si="76"/>
        <v>E4_4_1_21_km : 1</v>
      </c>
      <c r="G261" s="31" t="str">
        <f t="shared" si="77"/>
        <v>E4_4_1_21_mRNA : E4_4_1_21_mRNA</v>
      </c>
      <c r="H261" s="32" t="str">
        <f t="shared" si="78"/>
        <v>E4_4_1_21 : E4_4_1_21</v>
      </c>
      <c r="I261" s="33" t="str">
        <f t="shared" si="79"/>
        <v>E4_4_1_21_mRNA : 0</v>
      </c>
      <c r="J261" s="16" t="str">
        <f t="shared" si="80"/>
        <v>E4_4_1_21 : 0</v>
      </c>
      <c r="K261" s="34" t="str">
        <f t="shared" si="81"/>
        <v>0.00292 - (0.0093 * E4_4_1_21_mRNA)</v>
      </c>
      <c r="L261" s="31" t="str">
        <f t="shared" si="82"/>
        <v>(0.278 * E4_4_1_21_mRNA) - (0.00000278 * E4_4_1_21)</v>
      </c>
      <c r="M261" s="35" t="str">
        <f t="shared" si="83"/>
        <v>mRNA260: -&gt; E4_4_1_21_mRNA | 0.00292 - (0.0093 * E4_4_1_21_mRNA)</v>
      </c>
      <c r="N261" s="36" t="str">
        <f t="shared" si="84"/>
        <v>Peptide260: E4_4_1_21_mRNA -&gt; E4_4_1_21 | (0.278 * E4_4_1_21_mRNA) - (0.000000278 * E4_4_1_21)</v>
      </c>
    </row>
    <row r="262" spans="1:14" x14ac:dyDescent="0.35">
      <c r="A262">
        <v>261</v>
      </c>
      <c r="B262" s="59" t="s">
        <v>10938</v>
      </c>
      <c r="C262" t="str">
        <f t="shared" si="73"/>
        <v>E4_6_1_12_mRNA</v>
      </c>
      <c r="D262" t="str">
        <f t="shared" si="74"/>
        <v>E4_6_1_12</v>
      </c>
      <c r="E262" s="36" t="str">
        <f t="shared" si="75"/>
        <v>E4_6_1_12_kcat : 13.7</v>
      </c>
      <c r="F262" s="38" t="str">
        <f t="shared" si="76"/>
        <v>E4_6_1_12_km : 1</v>
      </c>
      <c r="G262" s="31" t="str">
        <f t="shared" si="77"/>
        <v>E4_6_1_12_mRNA : E4_6_1_12_mRNA</v>
      </c>
      <c r="H262" s="32" t="str">
        <f t="shared" si="78"/>
        <v>E4_6_1_12 : E4_6_1_12</v>
      </c>
      <c r="I262" s="33" t="str">
        <f t="shared" si="79"/>
        <v>E4_6_1_12_mRNA : 0</v>
      </c>
      <c r="J262" s="16" t="str">
        <f t="shared" si="80"/>
        <v>E4_6_1_12 : 0</v>
      </c>
      <c r="K262" s="34" t="str">
        <f t="shared" si="81"/>
        <v>0.00292 - (0.0093 * E4_6_1_12_mRNA)</v>
      </c>
      <c r="L262" s="31" t="str">
        <f t="shared" si="82"/>
        <v>(0.278 * E4_6_1_12_mRNA) - (0.00000278 * E4_6_1_12)</v>
      </c>
      <c r="M262" s="35" t="str">
        <f t="shared" si="83"/>
        <v>mRNA261: -&gt; E4_6_1_12_mRNA | 0.00292 - (0.0093 * E4_6_1_12_mRNA)</v>
      </c>
      <c r="N262" s="36" t="str">
        <f t="shared" si="84"/>
        <v>Peptide261: E4_6_1_12_mRNA -&gt; E4_6_1_12 | (0.278 * E4_6_1_12_mRNA) - (0.000000278 * E4_6_1_12)</v>
      </c>
    </row>
    <row r="263" spans="1:14" x14ac:dyDescent="0.35">
      <c r="A263">
        <v>262</v>
      </c>
      <c r="B263" s="59" t="s">
        <v>2217</v>
      </c>
      <c r="C263" t="str">
        <f t="shared" ref="C263:C326" si="85">CONCATENATE(D263,"_mRNA")</f>
        <v>E5_1_1_1_mRNA</v>
      </c>
      <c r="D263" t="str">
        <f t="shared" ref="D263:D326" si="86">CONCATENATE("E",B263)</f>
        <v>E5_1_1_1</v>
      </c>
      <c r="E263" s="36" t="str">
        <f t="shared" ref="E263:E326" si="87">CONCATENATE("E",B263,"_kcat : 13.7")</f>
        <v>E5_1_1_1_kcat : 13.7</v>
      </c>
      <c r="F263" s="38" t="str">
        <f t="shared" ref="F263:F326" si="88">CONCATENATE("E",B263,"_km : 1")</f>
        <v>E5_1_1_1_km : 1</v>
      </c>
      <c r="G263" s="31" t="str">
        <f t="shared" ref="G263:G326" si="89">CONCATENATE(C263," : ",C263)</f>
        <v>E5_1_1_1_mRNA : E5_1_1_1_mRNA</v>
      </c>
      <c r="H263" s="32" t="str">
        <f t="shared" ref="H263:H326" si="90">CONCATENATE(D263," : ",D263)</f>
        <v>E5_1_1_1 : E5_1_1_1</v>
      </c>
      <c r="I263" s="33" t="str">
        <f t="shared" ref="I263:I326" si="91">CONCATENATE(C263," : ","0")</f>
        <v>E5_1_1_1_mRNA : 0</v>
      </c>
      <c r="J263" s="16" t="str">
        <f t="shared" ref="J263:J326" si="92">CONCATENATE(D263," : ","0")</f>
        <v>E5_1_1_1 : 0</v>
      </c>
      <c r="K263" s="34" t="str">
        <f t="shared" ref="K263:K326" si="93">CONCATENATE("0.00292 - (0.0093 * ",C263,")")</f>
        <v>0.00292 - (0.0093 * E5_1_1_1_mRNA)</v>
      </c>
      <c r="L263" s="31" t="str">
        <f t="shared" ref="L263:L326" si="94">CONCATENATE("(0.278 * ",C263,")"," - (0.00000278 * ",D263,")")</f>
        <v>(0.278 * E5_1_1_1_mRNA) - (0.00000278 * E5_1_1_1)</v>
      </c>
      <c r="M263" s="35" t="str">
        <f t="shared" ref="M263:M326" si="95">CONCATENATE("mRNA",A263,": -&gt; ",C263," | ","0.00292"," - ","(","0.0093"," * ",C263,")")</f>
        <v>mRNA262: -&gt; E5_1_1_1_mRNA | 0.00292 - (0.0093 * E5_1_1_1_mRNA)</v>
      </c>
      <c r="N263" s="36" t="str">
        <f t="shared" ref="N263:N326" si="96">CONCATENATE("Peptide",A263,": ",C263," -&gt; ",D263," | ","(","0.278"," * ",C263,")"," - ","(","0.000000278"," * ",D263,")")</f>
        <v>Peptide262: E5_1_1_1_mRNA -&gt; E5_1_1_1 | (0.278 * E5_1_1_1_mRNA) - (0.000000278 * E5_1_1_1)</v>
      </c>
    </row>
    <row r="264" spans="1:14" x14ac:dyDescent="0.35">
      <c r="A264">
        <v>263</v>
      </c>
      <c r="B264" s="59" t="s">
        <v>2214</v>
      </c>
      <c r="C264" t="str">
        <f t="shared" si="85"/>
        <v>E5_1_1_3_mRNA</v>
      </c>
      <c r="D264" t="str">
        <f t="shared" si="86"/>
        <v>E5_1_1_3</v>
      </c>
      <c r="E264" s="36" t="str">
        <f t="shared" si="87"/>
        <v>E5_1_1_3_kcat : 13.7</v>
      </c>
      <c r="F264" s="38" t="str">
        <f t="shared" si="88"/>
        <v>E5_1_1_3_km : 1</v>
      </c>
      <c r="G264" s="31" t="str">
        <f t="shared" si="89"/>
        <v>E5_1_1_3_mRNA : E5_1_1_3_mRNA</v>
      </c>
      <c r="H264" s="32" t="str">
        <f t="shared" si="90"/>
        <v>E5_1_1_3 : E5_1_1_3</v>
      </c>
      <c r="I264" s="33" t="str">
        <f t="shared" si="91"/>
        <v>E5_1_1_3_mRNA : 0</v>
      </c>
      <c r="J264" s="16" t="str">
        <f t="shared" si="92"/>
        <v>E5_1_1_3 : 0</v>
      </c>
      <c r="K264" s="34" t="str">
        <f t="shared" si="93"/>
        <v>0.00292 - (0.0093 * E5_1_1_3_mRNA)</v>
      </c>
      <c r="L264" s="31" t="str">
        <f t="shared" si="94"/>
        <v>(0.278 * E5_1_1_3_mRNA) - (0.00000278 * E5_1_1_3)</v>
      </c>
      <c r="M264" s="35" t="str">
        <f t="shared" si="95"/>
        <v>mRNA263: -&gt; E5_1_1_3_mRNA | 0.00292 - (0.0093 * E5_1_1_3_mRNA)</v>
      </c>
      <c r="N264" s="36" t="str">
        <f t="shared" si="96"/>
        <v>Peptide263: E5_1_1_3_mRNA -&gt; E5_1_1_3 | (0.278 * E5_1_1_3_mRNA) - (0.000000278 * E5_1_1_3)</v>
      </c>
    </row>
    <row r="265" spans="1:14" x14ac:dyDescent="0.35">
      <c r="A265">
        <v>264</v>
      </c>
      <c r="B265" s="59" t="s">
        <v>2293</v>
      </c>
      <c r="C265" t="str">
        <f t="shared" si="85"/>
        <v>E5_1_1_7_mRNA</v>
      </c>
      <c r="D265" t="str">
        <f t="shared" si="86"/>
        <v>E5_1_1_7</v>
      </c>
      <c r="E265" s="36" t="str">
        <f t="shared" si="87"/>
        <v>E5_1_1_7_kcat : 13.7</v>
      </c>
      <c r="F265" s="38" t="str">
        <f t="shared" si="88"/>
        <v>E5_1_1_7_km : 1</v>
      </c>
      <c r="G265" s="31" t="str">
        <f t="shared" si="89"/>
        <v>E5_1_1_7_mRNA : E5_1_1_7_mRNA</v>
      </c>
      <c r="H265" s="32" t="str">
        <f t="shared" si="90"/>
        <v>E5_1_1_7 : E5_1_1_7</v>
      </c>
      <c r="I265" s="33" t="str">
        <f t="shared" si="91"/>
        <v>E5_1_1_7_mRNA : 0</v>
      </c>
      <c r="J265" s="16" t="str">
        <f t="shared" si="92"/>
        <v>E5_1_1_7 : 0</v>
      </c>
      <c r="K265" s="34" t="str">
        <f t="shared" si="93"/>
        <v>0.00292 - (0.0093 * E5_1_1_7_mRNA)</v>
      </c>
      <c r="L265" s="31" t="str">
        <f t="shared" si="94"/>
        <v>(0.278 * E5_1_1_7_mRNA) - (0.00000278 * E5_1_1_7)</v>
      </c>
      <c r="M265" s="35" t="str">
        <f t="shared" si="95"/>
        <v>mRNA264: -&gt; E5_1_1_7_mRNA | 0.00292 - (0.0093 * E5_1_1_7_mRNA)</v>
      </c>
      <c r="N265" s="36" t="str">
        <f t="shared" si="96"/>
        <v>Peptide264: E5_1_1_7_mRNA -&gt; E5_1_1_7 | (0.278 * E5_1_1_7_mRNA) - (0.000000278 * E5_1_1_7)</v>
      </c>
    </row>
    <row r="266" spans="1:14" x14ac:dyDescent="0.35">
      <c r="A266">
        <v>265</v>
      </c>
      <c r="B266" s="59" t="s">
        <v>2268</v>
      </c>
      <c r="C266" t="str">
        <f t="shared" si="85"/>
        <v>E5_1_3_1_mRNA</v>
      </c>
      <c r="D266" t="str">
        <f t="shared" si="86"/>
        <v>E5_1_3_1</v>
      </c>
      <c r="E266" s="36" t="str">
        <f t="shared" si="87"/>
        <v>E5_1_3_1_kcat : 13.7</v>
      </c>
      <c r="F266" s="38" t="str">
        <f t="shared" si="88"/>
        <v>E5_1_3_1_km : 1</v>
      </c>
      <c r="G266" s="31" t="str">
        <f t="shared" si="89"/>
        <v>E5_1_3_1_mRNA : E5_1_3_1_mRNA</v>
      </c>
      <c r="H266" s="32" t="str">
        <f t="shared" si="90"/>
        <v>E5_1_3_1 : E5_1_3_1</v>
      </c>
      <c r="I266" s="33" t="str">
        <f t="shared" si="91"/>
        <v>E5_1_3_1_mRNA : 0</v>
      </c>
      <c r="J266" s="16" t="str">
        <f t="shared" si="92"/>
        <v>E5_1_3_1 : 0</v>
      </c>
      <c r="K266" s="34" t="str">
        <f t="shared" si="93"/>
        <v>0.00292 - (0.0093 * E5_1_3_1_mRNA)</v>
      </c>
      <c r="L266" s="31" t="str">
        <f t="shared" si="94"/>
        <v>(0.278 * E5_1_3_1_mRNA) - (0.00000278 * E5_1_3_1)</v>
      </c>
      <c r="M266" s="35" t="str">
        <f t="shared" si="95"/>
        <v>mRNA265: -&gt; E5_1_3_1_mRNA | 0.00292 - (0.0093 * E5_1_3_1_mRNA)</v>
      </c>
      <c r="N266" s="36" t="str">
        <f t="shared" si="96"/>
        <v>Peptide265: E5_1_3_1_mRNA -&gt; E5_1_3_1 | (0.278 * E5_1_3_1_mRNA) - (0.000000278 * E5_1_3_1)</v>
      </c>
    </row>
    <row r="267" spans="1:14" x14ac:dyDescent="0.35">
      <c r="A267">
        <v>266</v>
      </c>
      <c r="B267" s="59" t="s">
        <v>2215</v>
      </c>
      <c r="C267" t="str">
        <f t="shared" si="85"/>
        <v>E5_1_3_2_mRNA</v>
      </c>
      <c r="D267" t="str">
        <f t="shared" si="86"/>
        <v>E5_1_3_2</v>
      </c>
      <c r="E267" s="36" t="str">
        <f t="shared" si="87"/>
        <v>E5_1_3_2_kcat : 13.7</v>
      </c>
      <c r="F267" s="38" t="str">
        <f t="shared" si="88"/>
        <v>E5_1_3_2_km : 1</v>
      </c>
      <c r="G267" s="31" t="str">
        <f t="shared" si="89"/>
        <v>E5_1_3_2_mRNA : E5_1_3_2_mRNA</v>
      </c>
      <c r="H267" s="32" t="str">
        <f t="shared" si="90"/>
        <v>E5_1_3_2 : E5_1_3_2</v>
      </c>
      <c r="I267" s="33" t="str">
        <f t="shared" si="91"/>
        <v>E5_1_3_2_mRNA : 0</v>
      </c>
      <c r="J267" s="16" t="str">
        <f t="shared" si="92"/>
        <v>E5_1_3_2 : 0</v>
      </c>
      <c r="K267" s="34" t="str">
        <f t="shared" si="93"/>
        <v>0.00292 - (0.0093 * E5_1_3_2_mRNA)</v>
      </c>
      <c r="L267" s="31" t="str">
        <f t="shared" si="94"/>
        <v>(0.278 * E5_1_3_2_mRNA) - (0.00000278 * E5_1_3_2)</v>
      </c>
      <c r="M267" s="35" t="str">
        <f t="shared" si="95"/>
        <v>mRNA266: -&gt; E5_1_3_2_mRNA | 0.00292 - (0.0093 * E5_1_3_2_mRNA)</v>
      </c>
      <c r="N267" s="36" t="str">
        <f t="shared" si="96"/>
        <v>Peptide266: E5_1_3_2_mRNA -&gt; E5_1_3_2 | (0.278 * E5_1_3_2_mRNA) - (0.000000278 * E5_1_3_2)</v>
      </c>
    </row>
    <row r="268" spans="1:14" x14ac:dyDescent="0.35">
      <c r="A268">
        <v>267</v>
      </c>
      <c r="B268" s="59" t="s">
        <v>10939</v>
      </c>
      <c r="C268" t="str">
        <f t="shared" si="85"/>
        <v>E5_1_3_9_mRNA</v>
      </c>
      <c r="D268" t="str">
        <f t="shared" si="86"/>
        <v>E5_1_3_9</v>
      </c>
      <c r="E268" s="36" t="str">
        <f t="shared" si="87"/>
        <v>E5_1_3_9_kcat : 13.7</v>
      </c>
      <c r="F268" s="38" t="str">
        <f t="shared" si="88"/>
        <v>E5_1_3_9_km : 1</v>
      </c>
      <c r="G268" s="31" t="str">
        <f t="shared" si="89"/>
        <v>E5_1_3_9_mRNA : E5_1_3_9_mRNA</v>
      </c>
      <c r="H268" s="32" t="str">
        <f t="shared" si="90"/>
        <v>E5_1_3_9 : E5_1_3_9</v>
      </c>
      <c r="I268" s="33" t="str">
        <f t="shared" si="91"/>
        <v>E5_1_3_9_mRNA : 0</v>
      </c>
      <c r="J268" s="16" t="str">
        <f t="shared" si="92"/>
        <v>E5_1_3_9 : 0</v>
      </c>
      <c r="K268" s="34" t="str">
        <f t="shared" si="93"/>
        <v>0.00292 - (0.0093 * E5_1_3_9_mRNA)</v>
      </c>
      <c r="L268" s="31" t="str">
        <f t="shared" si="94"/>
        <v>(0.278 * E5_1_3_9_mRNA) - (0.00000278 * E5_1_3_9)</v>
      </c>
      <c r="M268" s="35" t="str">
        <f t="shared" si="95"/>
        <v>mRNA267: -&gt; E5_1_3_9_mRNA | 0.00292 - (0.0093 * E5_1_3_9_mRNA)</v>
      </c>
      <c r="N268" s="36" t="str">
        <f t="shared" si="96"/>
        <v>Peptide267: E5_1_3_9_mRNA -&gt; E5_1_3_9 | (0.278 * E5_1_3_9_mRNA) - (0.000000278 * E5_1_3_9)</v>
      </c>
    </row>
    <row r="269" spans="1:14" x14ac:dyDescent="0.35">
      <c r="A269">
        <v>268</v>
      </c>
      <c r="B269" s="59" t="s">
        <v>2321</v>
      </c>
      <c r="C269" t="str">
        <f t="shared" si="85"/>
        <v>E5_2_1_8_mRNA</v>
      </c>
      <c r="D269" t="str">
        <f t="shared" si="86"/>
        <v>E5_2_1_8</v>
      </c>
      <c r="E269" s="36" t="str">
        <f t="shared" si="87"/>
        <v>E5_2_1_8_kcat : 13.7</v>
      </c>
      <c r="F269" s="38" t="str">
        <f t="shared" si="88"/>
        <v>E5_2_1_8_km : 1</v>
      </c>
      <c r="G269" s="31" t="str">
        <f t="shared" si="89"/>
        <v>E5_2_1_8_mRNA : E5_2_1_8_mRNA</v>
      </c>
      <c r="H269" s="32" t="str">
        <f t="shared" si="90"/>
        <v>E5_2_1_8 : E5_2_1_8</v>
      </c>
      <c r="I269" s="33" t="str">
        <f t="shared" si="91"/>
        <v>E5_2_1_8_mRNA : 0</v>
      </c>
      <c r="J269" s="16" t="str">
        <f t="shared" si="92"/>
        <v>E5_2_1_8 : 0</v>
      </c>
      <c r="K269" s="34" t="str">
        <f t="shared" si="93"/>
        <v>0.00292 - (0.0093 * E5_2_1_8_mRNA)</v>
      </c>
      <c r="L269" s="31" t="str">
        <f t="shared" si="94"/>
        <v>(0.278 * E5_2_1_8_mRNA) - (0.00000278 * E5_2_1_8)</v>
      </c>
      <c r="M269" s="35" t="str">
        <f t="shared" si="95"/>
        <v>mRNA268: -&gt; E5_2_1_8_mRNA | 0.00292 - (0.0093 * E5_2_1_8_mRNA)</v>
      </c>
      <c r="N269" s="36" t="str">
        <f t="shared" si="96"/>
        <v>Peptide268: E5_2_1_8_mRNA -&gt; E5_2_1_8 | (0.278 * E5_2_1_8_mRNA) - (0.000000278 * E5_2_1_8)</v>
      </c>
    </row>
    <row r="270" spans="1:14" x14ac:dyDescent="0.35">
      <c r="A270">
        <v>269</v>
      </c>
      <c r="B270" s="59" t="s">
        <v>2250</v>
      </c>
      <c r="C270" t="str">
        <f t="shared" si="85"/>
        <v>E5_3_1_1_mRNA</v>
      </c>
      <c r="D270" t="str">
        <f t="shared" si="86"/>
        <v>E5_3_1_1</v>
      </c>
      <c r="E270" s="36" t="str">
        <f t="shared" si="87"/>
        <v>E5_3_1_1_kcat : 13.7</v>
      </c>
      <c r="F270" s="38" t="str">
        <f t="shared" si="88"/>
        <v>E5_3_1_1_km : 1</v>
      </c>
      <c r="G270" s="31" t="str">
        <f t="shared" si="89"/>
        <v>E5_3_1_1_mRNA : E5_3_1_1_mRNA</v>
      </c>
      <c r="H270" s="32" t="str">
        <f t="shared" si="90"/>
        <v>E5_3_1_1 : E5_3_1_1</v>
      </c>
      <c r="I270" s="33" t="str">
        <f t="shared" si="91"/>
        <v>E5_3_1_1_mRNA : 0</v>
      </c>
      <c r="J270" s="16" t="str">
        <f t="shared" si="92"/>
        <v>E5_3_1_1 : 0</v>
      </c>
      <c r="K270" s="34" t="str">
        <f t="shared" si="93"/>
        <v>0.00292 - (0.0093 * E5_3_1_1_mRNA)</v>
      </c>
      <c r="L270" s="31" t="str">
        <f t="shared" si="94"/>
        <v>(0.278 * E5_3_1_1_mRNA) - (0.00000278 * E5_3_1_1)</v>
      </c>
      <c r="M270" s="35" t="str">
        <f t="shared" si="95"/>
        <v>mRNA269: -&gt; E5_3_1_1_mRNA | 0.00292 - (0.0093 * E5_3_1_1_mRNA)</v>
      </c>
      <c r="N270" s="36" t="str">
        <f t="shared" si="96"/>
        <v>Peptide269: E5_3_1_1_mRNA -&gt; E5_3_1_1 | (0.278 * E5_3_1_1_mRNA) - (0.000000278 * E5_3_1_1)</v>
      </c>
    </row>
    <row r="271" spans="1:14" x14ac:dyDescent="0.35">
      <c r="A271">
        <v>270</v>
      </c>
      <c r="B271" s="59" t="s">
        <v>10940</v>
      </c>
      <c r="C271" t="str">
        <f t="shared" si="85"/>
        <v>E5_3_1_16_mRNA</v>
      </c>
      <c r="D271" t="str">
        <f t="shared" si="86"/>
        <v>E5_3_1_16</v>
      </c>
      <c r="E271" s="36" t="str">
        <f t="shared" si="87"/>
        <v>E5_3_1_16_kcat : 13.7</v>
      </c>
      <c r="F271" s="38" t="str">
        <f t="shared" si="88"/>
        <v>E5_3_1_16_km : 1</v>
      </c>
      <c r="G271" s="31" t="str">
        <f t="shared" si="89"/>
        <v>E5_3_1_16_mRNA : E5_3_1_16_mRNA</v>
      </c>
      <c r="H271" s="32" t="str">
        <f t="shared" si="90"/>
        <v>E5_3_1_16 : E5_3_1_16</v>
      </c>
      <c r="I271" s="33" t="str">
        <f t="shared" si="91"/>
        <v>E5_3_1_16_mRNA : 0</v>
      </c>
      <c r="J271" s="16" t="str">
        <f t="shared" si="92"/>
        <v>E5_3_1_16 : 0</v>
      </c>
      <c r="K271" s="34" t="str">
        <f t="shared" si="93"/>
        <v>0.00292 - (0.0093 * E5_3_1_16_mRNA)</v>
      </c>
      <c r="L271" s="31" t="str">
        <f t="shared" si="94"/>
        <v>(0.278 * E5_3_1_16_mRNA) - (0.00000278 * E5_3_1_16)</v>
      </c>
      <c r="M271" s="35" t="str">
        <f t="shared" si="95"/>
        <v>mRNA270: -&gt; E5_3_1_16_mRNA | 0.00292 - (0.0093 * E5_3_1_16_mRNA)</v>
      </c>
      <c r="N271" s="36" t="str">
        <f t="shared" si="96"/>
        <v>Peptide270: E5_3_1_16_mRNA -&gt; E5_3_1_16 | (0.278 * E5_3_1_16_mRNA) - (0.000000278 * E5_3_1_16)</v>
      </c>
    </row>
    <row r="272" spans="1:14" x14ac:dyDescent="0.35">
      <c r="A272">
        <v>271</v>
      </c>
      <c r="B272" s="59" t="s">
        <v>10941</v>
      </c>
      <c r="C272" t="str">
        <f t="shared" si="85"/>
        <v>E5_3_1_24_mRNA</v>
      </c>
      <c r="D272" t="str">
        <f t="shared" si="86"/>
        <v>E5_3_1_24</v>
      </c>
      <c r="E272" s="36" t="str">
        <f t="shared" si="87"/>
        <v>E5_3_1_24_kcat : 13.7</v>
      </c>
      <c r="F272" s="38" t="str">
        <f t="shared" si="88"/>
        <v>E5_3_1_24_km : 1</v>
      </c>
      <c r="G272" s="31" t="str">
        <f t="shared" si="89"/>
        <v>E5_3_1_24_mRNA : E5_3_1_24_mRNA</v>
      </c>
      <c r="H272" s="32" t="str">
        <f t="shared" si="90"/>
        <v>E5_3_1_24 : E5_3_1_24</v>
      </c>
      <c r="I272" s="33" t="str">
        <f t="shared" si="91"/>
        <v>E5_3_1_24_mRNA : 0</v>
      </c>
      <c r="J272" s="16" t="str">
        <f t="shared" si="92"/>
        <v>E5_3_1_24 : 0</v>
      </c>
      <c r="K272" s="34" t="str">
        <f t="shared" si="93"/>
        <v>0.00292 - (0.0093 * E5_3_1_24_mRNA)</v>
      </c>
      <c r="L272" s="31" t="str">
        <f t="shared" si="94"/>
        <v>(0.278 * E5_3_1_24_mRNA) - (0.00000278 * E5_3_1_24)</v>
      </c>
      <c r="M272" s="35" t="str">
        <f t="shared" si="95"/>
        <v>mRNA271: -&gt; E5_3_1_24_mRNA | 0.00292 - (0.0093 * E5_3_1_24_mRNA)</v>
      </c>
      <c r="N272" s="36" t="str">
        <f t="shared" si="96"/>
        <v>Peptide271: E5_3_1_24_mRNA -&gt; E5_3_1_24 | (0.278 * E5_3_1_24_mRNA) - (0.000000278 * E5_3_1_24)</v>
      </c>
    </row>
    <row r="273" spans="1:14" x14ac:dyDescent="0.35">
      <c r="A273">
        <v>272</v>
      </c>
      <c r="B273" s="59" t="s">
        <v>2249</v>
      </c>
      <c r="C273" t="str">
        <f t="shared" si="85"/>
        <v>E5_3_1_6_mRNA</v>
      </c>
      <c r="D273" t="str">
        <f t="shared" si="86"/>
        <v>E5_3_1_6</v>
      </c>
      <c r="E273" s="36" t="str">
        <f t="shared" si="87"/>
        <v>E5_3_1_6_kcat : 13.7</v>
      </c>
      <c r="F273" s="38" t="str">
        <f t="shared" si="88"/>
        <v>E5_3_1_6_km : 1</v>
      </c>
      <c r="G273" s="31" t="str">
        <f t="shared" si="89"/>
        <v>E5_3_1_6_mRNA : E5_3_1_6_mRNA</v>
      </c>
      <c r="H273" s="32" t="str">
        <f t="shared" si="90"/>
        <v>E5_3_1_6 : E5_3_1_6</v>
      </c>
      <c r="I273" s="33" t="str">
        <f t="shared" si="91"/>
        <v>E5_3_1_6_mRNA : 0</v>
      </c>
      <c r="J273" s="16" t="str">
        <f t="shared" si="92"/>
        <v>E5_3_1_6 : 0</v>
      </c>
      <c r="K273" s="34" t="str">
        <f t="shared" si="93"/>
        <v>0.00292 - (0.0093 * E5_3_1_6_mRNA)</v>
      </c>
      <c r="L273" s="31" t="str">
        <f t="shared" si="94"/>
        <v>(0.278 * E5_3_1_6_mRNA) - (0.00000278 * E5_3_1_6)</v>
      </c>
      <c r="M273" s="35" t="str">
        <f t="shared" si="95"/>
        <v>mRNA272: -&gt; E5_3_1_6_mRNA | 0.00292 - (0.0093 * E5_3_1_6_mRNA)</v>
      </c>
      <c r="N273" s="36" t="str">
        <f t="shared" si="96"/>
        <v>Peptide272: E5_3_1_6_mRNA -&gt; E5_3_1_6 | (0.278 * E5_3_1_6_mRNA) - (0.000000278 * E5_3_1_6)</v>
      </c>
    </row>
    <row r="274" spans="1:14" x14ac:dyDescent="0.35">
      <c r="A274">
        <v>273</v>
      </c>
      <c r="B274" s="59" t="s">
        <v>2240</v>
      </c>
      <c r="C274" t="str">
        <f t="shared" si="85"/>
        <v>E5_3_1_9_mRNA</v>
      </c>
      <c r="D274" t="str">
        <f t="shared" si="86"/>
        <v>E5_3_1_9</v>
      </c>
      <c r="E274" s="36" t="str">
        <f t="shared" si="87"/>
        <v>E5_3_1_9_kcat : 13.7</v>
      </c>
      <c r="F274" s="38" t="str">
        <f t="shared" si="88"/>
        <v>E5_3_1_9_km : 1</v>
      </c>
      <c r="G274" s="31" t="str">
        <f t="shared" si="89"/>
        <v>E5_3_1_9_mRNA : E5_3_1_9_mRNA</v>
      </c>
      <c r="H274" s="32" t="str">
        <f t="shared" si="90"/>
        <v>E5_3_1_9 : E5_3_1_9</v>
      </c>
      <c r="I274" s="33" t="str">
        <f t="shared" si="91"/>
        <v>E5_3_1_9_mRNA : 0</v>
      </c>
      <c r="J274" s="16" t="str">
        <f t="shared" si="92"/>
        <v>E5_3_1_9 : 0</v>
      </c>
      <c r="K274" s="34" t="str">
        <f t="shared" si="93"/>
        <v>0.00292 - (0.0093 * E5_3_1_9_mRNA)</v>
      </c>
      <c r="L274" s="31" t="str">
        <f t="shared" si="94"/>
        <v>(0.278 * E5_3_1_9_mRNA) - (0.00000278 * E5_3_1_9)</v>
      </c>
      <c r="M274" s="35" t="str">
        <f t="shared" si="95"/>
        <v>mRNA273: -&gt; E5_3_1_9_mRNA | 0.00292 - (0.0093 * E5_3_1_9_mRNA)</v>
      </c>
      <c r="N274" s="36" t="str">
        <f t="shared" si="96"/>
        <v>Peptide273: E5_3_1_9_mRNA -&gt; E5_3_1_9 | (0.278 * E5_3_1_9_mRNA) - (0.000000278 * E5_3_1_9)</v>
      </c>
    </row>
    <row r="275" spans="1:14" x14ac:dyDescent="0.35">
      <c r="A275">
        <v>274</v>
      </c>
      <c r="B275" s="59" t="s">
        <v>2333</v>
      </c>
      <c r="C275" t="str">
        <f t="shared" si="85"/>
        <v>E5_4_2_10_mRNA</v>
      </c>
      <c r="D275" t="str">
        <f t="shared" si="86"/>
        <v>E5_4_2_10</v>
      </c>
      <c r="E275" s="36" t="str">
        <f t="shared" si="87"/>
        <v>E5_4_2_10_kcat : 13.7</v>
      </c>
      <c r="F275" s="38" t="str">
        <f t="shared" si="88"/>
        <v>E5_4_2_10_km : 1</v>
      </c>
      <c r="G275" s="31" t="str">
        <f t="shared" si="89"/>
        <v>E5_4_2_10_mRNA : E5_4_2_10_mRNA</v>
      </c>
      <c r="H275" s="32" t="str">
        <f t="shared" si="90"/>
        <v>E5_4_2_10 : E5_4_2_10</v>
      </c>
      <c r="I275" s="33" t="str">
        <f t="shared" si="91"/>
        <v>E5_4_2_10_mRNA : 0</v>
      </c>
      <c r="J275" s="16" t="str">
        <f t="shared" si="92"/>
        <v>E5_4_2_10 : 0</v>
      </c>
      <c r="K275" s="34" t="str">
        <f t="shared" si="93"/>
        <v>0.00292 - (0.0093 * E5_4_2_10_mRNA)</v>
      </c>
      <c r="L275" s="31" t="str">
        <f t="shared" si="94"/>
        <v>(0.278 * E5_4_2_10_mRNA) - (0.00000278 * E5_4_2_10)</v>
      </c>
      <c r="M275" s="35" t="str">
        <f t="shared" si="95"/>
        <v>mRNA274: -&gt; E5_4_2_10_mRNA | 0.00292 - (0.0093 * E5_4_2_10_mRNA)</v>
      </c>
      <c r="N275" s="36" t="str">
        <f t="shared" si="96"/>
        <v>Peptide274: E5_4_2_10_mRNA -&gt; E5_4_2_10 | (0.278 * E5_4_2_10_mRNA) - (0.000000278 * E5_4_2_10)</v>
      </c>
    </row>
    <row r="276" spans="1:14" x14ac:dyDescent="0.35">
      <c r="A276">
        <v>275</v>
      </c>
      <c r="B276" s="59" t="s">
        <v>10942</v>
      </c>
      <c r="C276" t="str">
        <f t="shared" si="85"/>
        <v>E5_4_2_11_mRNA</v>
      </c>
      <c r="D276" t="str">
        <f t="shared" si="86"/>
        <v>E5_4_2_11</v>
      </c>
      <c r="E276" s="36" t="str">
        <f t="shared" si="87"/>
        <v>E5_4_2_11_kcat : 13.7</v>
      </c>
      <c r="F276" s="38" t="str">
        <f t="shared" si="88"/>
        <v>E5_4_2_11_km : 1</v>
      </c>
      <c r="G276" s="31" t="str">
        <f t="shared" si="89"/>
        <v>E5_4_2_11_mRNA : E5_4_2_11_mRNA</v>
      </c>
      <c r="H276" s="32" t="str">
        <f t="shared" si="90"/>
        <v>E5_4_2_11 : E5_4_2_11</v>
      </c>
      <c r="I276" s="33" t="str">
        <f t="shared" si="91"/>
        <v>E5_4_2_11_mRNA : 0</v>
      </c>
      <c r="J276" s="16" t="str">
        <f t="shared" si="92"/>
        <v>E5_4_2_11 : 0</v>
      </c>
      <c r="K276" s="34" t="str">
        <f t="shared" si="93"/>
        <v>0.00292 - (0.0093 * E5_4_2_11_mRNA)</v>
      </c>
      <c r="L276" s="31" t="str">
        <f t="shared" si="94"/>
        <v>(0.278 * E5_4_2_11_mRNA) - (0.00000278 * E5_4_2_11)</v>
      </c>
      <c r="M276" s="35" t="str">
        <f t="shared" si="95"/>
        <v>mRNA275: -&gt; E5_4_2_11_mRNA | 0.00292 - (0.0093 * E5_4_2_11_mRNA)</v>
      </c>
      <c r="N276" s="36" t="str">
        <f t="shared" si="96"/>
        <v>Peptide275: E5_4_2_11_mRNA -&gt; E5_4_2_11 | (0.278 * E5_4_2_11_mRNA) - (0.000000278 * E5_4_2_11)</v>
      </c>
    </row>
    <row r="277" spans="1:14" x14ac:dyDescent="0.35">
      <c r="A277">
        <v>276</v>
      </c>
      <c r="B277" s="59" t="s">
        <v>10943</v>
      </c>
      <c r="C277" t="str">
        <f t="shared" si="85"/>
        <v>E5_4_2_2_mRNA</v>
      </c>
      <c r="D277" t="str">
        <f t="shared" si="86"/>
        <v>E5_4_2_2</v>
      </c>
      <c r="E277" s="36" t="str">
        <f t="shared" si="87"/>
        <v>E5_4_2_2_kcat : 13.7</v>
      </c>
      <c r="F277" s="38" t="str">
        <f t="shared" si="88"/>
        <v>E5_4_2_2_km : 1</v>
      </c>
      <c r="G277" s="31" t="str">
        <f t="shared" si="89"/>
        <v>E5_4_2_2_mRNA : E5_4_2_2_mRNA</v>
      </c>
      <c r="H277" s="32" t="str">
        <f t="shared" si="90"/>
        <v>E5_4_2_2 : E5_4_2_2</v>
      </c>
      <c r="I277" s="33" t="str">
        <f t="shared" si="91"/>
        <v>E5_4_2_2_mRNA : 0</v>
      </c>
      <c r="J277" s="16" t="str">
        <f t="shared" si="92"/>
        <v>E5_4_2_2 : 0</v>
      </c>
      <c r="K277" s="34" t="str">
        <f t="shared" si="93"/>
        <v>0.00292 - (0.0093 * E5_4_2_2_mRNA)</v>
      </c>
      <c r="L277" s="31" t="str">
        <f t="shared" si="94"/>
        <v>(0.278 * E5_4_2_2_mRNA) - (0.00000278 * E5_4_2_2)</v>
      </c>
      <c r="M277" s="35" t="str">
        <f t="shared" si="95"/>
        <v>mRNA276: -&gt; E5_4_2_2_mRNA | 0.00292 - (0.0093 * E5_4_2_2_mRNA)</v>
      </c>
      <c r="N277" s="36" t="str">
        <f t="shared" si="96"/>
        <v>Peptide276: E5_4_2_2_mRNA -&gt; E5_4_2_2 | (0.278 * E5_4_2_2_mRNA) - (0.000000278 * E5_4_2_2)</v>
      </c>
    </row>
    <row r="278" spans="1:14" x14ac:dyDescent="0.35">
      <c r="A278">
        <v>277</v>
      </c>
      <c r="B278" s="59" t="s">
        <v>2297</v>
      </c>
      <c r="C278" t="str">
        <f t="shared" si="85"/>
        <v>E5_4_99_12_mRNA</v>
      </c>
      <c r="D278" t="str">
        <f t="shared" si="86"/>
        <v>E5_4_99_12</v>
      </c>
      <c r="E278" s="36" t="str">
        <f t="shared" si="87"/>
        <v>E5_4_99_12_kcat : 13.7</v>
      </c>
      <c r="F278" s="38" t="str">
        <f t="shared" si="88"/>
        <v>E5_4_99_12_km : 1</v>
      </c>
      <c r="G278" s="31" t="str">
        <f t="shared" si="89"/>
        <v>E5_4_99_12_mRNA : E5_4_99_12_mRNA</v>
      </c>
      <c r="H278" s="32" t="str">
        <f t="shared" si="90"/>
        <v>E5_4_99_12 : E5_4_99_12</v>
      </c>
      <c r="I278" s="33" t="str">
        <f t="shared" si="91"/>
        <v>E5_4_99_12_mRNA : 0</v>
      </c>
      <c r="J278" s="16" t="str">
        <f t="shared" si="92"/>
        <v>E5_4_99_12 : 0</v>
      </c>
      <c r="K278" s="34" t="str">
        <f t="shared" si="93"/>
        <v>0.00292 - (0.0093 * E5_4_99_12_mRNA)</v>
      </c>
      <c r="L278" s="31" t="str">
        <f t="shared" si="94"/>
        <v>(0.278 * E5_4_99_12_mRNA) - (0.00000278 * E5_4_99_12)</v>
      </c>
      <c r="M278" s="35" t="str">
        <f t="shared" si="95"/>
        <v>mRNA277: -&gt; E5_4_99_12_mRNA | 0.00292 - (0.0093 * E5_4_99_12_mRNA)</v>
      </c>
      <c r="N278" s="36" t="str">
        <f t="shared" si="96"/>
        <v>Peptide277: E5_4_99_12_mRNA -&gt; E5_4_99_12 | (0.278 * E5_4_99_12_mRNA) - (0.000000278 * E5_4_99_12)</v>
      </c>
    </row>
    <row r="279" spans="1:14" x14ac:dyDescent="0.35">
      <c r="A279">
        <v>278</v>
      </c>
      <c r="B279" s="59" t="s">
        <v>2335</v>
      </c>
      <c r="C279" t="str">
        <f t="shared" si="85"/>
        <v>E5_4_99_18_mRNA</v>
      </c>
      <c r="D279" t="str">
        <f t="shared" si="86"/>
        <v>E5_4_99_18</v>
      </c>
      <c r="E279" s="36" t="str">
        <f t="shared" si="87"/>
        <v>E5_4_99_18_kcat : 13.7</v>
      </c>
      <c r="F279" s="38" t="str">
        <f t="shared" si="88"/>
        <v>E5_4_99_18_km : 1</v>
      </c>
      <c r="G279" s="31" t="str">
        <f t="shared" si="89"/>
        <v>E5_4_99_18_mRNA : E5_4_99_18_mRNA</v>
      </c>
      <c r="H279" s="32" t="str">
        <f t="shared" si="90"/>
        <v>E5_4_99_18 : E5_4_99_18</v>
      </c>
      <c r="I279" s="33" t="str">
        <f t="shared" si="91"/>
        <v>E5_4_99_18_mRNA : 0</v>
      </c>
      <c r="J279" s="16" t="str">
        <f t="shared" si="92"/>
        <v>E5_4_99_18 : 0</v>
      </c>
      <c r="K279" s="34" t="str">
        <f t="shared" si="93"/>
        <v>0.00292 - (0.0093 * E5_4_99_18_mRNA)</v>
      </c>
      <c r="L279" s="31" t="str">
        <f t="shared" si="94"/>
        <v>(0.278 * E5_4_99_18_mRNA) - (0.00000278 * E5_4_99_18)</v>
      </c>
      <c r="M279" s="35" t="str">
        <f t="shared" si="95"/>
        <v>mRNA278: -&gt; E5_4_99_18_mRNA | 0.00292 - (0.0093 * E5_4_99_18_mRNA)</v>
      </c>
      <c r="N279" s="36" t="str">
        <f t="shared" si="96"/>
        <v>Peptide278: E5_4_99_18_mRNA -&gt; E5_4_99_18 | (0.278 * E5_4_99_18_mRNA) - (0.000000278 * E5_4_99_18)</v>
      </c>
    </row>
    <row r="280" spans="1:14" x14ac:dyDescent="0.35">
      <c r="A280">
        <v>279</v>
      </c>
      <c r="B280" s="59" t="s">
        <v>10944</v>
      </c>
      <c r="C280" t="str">
        <f t="shared" si="85"/>
        <v>E5_4_99_25_mRNA</v>
      </c>
      <c r="D280" t="str">
        <f t="shared" si="86"/>
        <v>E5_4_99_25</v>
      </c>
      <c r="E280" s="36" t="str">
        <f t="shared" si="87"/>
        <v>E5_4_99_25_kcat : 13.7</v>
      </c>
      <c r="F280" s="38" t="str">
        <f t="shared" si="88"/>
        <v>E5_4_99_25_km : 1</v>
      </c>
      <c r="G280" s="31" t="str">
        <f t="shared" si="89"/>
        <v>E5_4_99_25_mRNA : E5_4_99_25_mRNA</v>
      </c>
      <c r="H280" s="32" t="str">
        <f t="shared" si="90"/>
        <v>E5_4_99_25 : E5_4_99_25</v>
      </c>
      <c r="I280" s="33" t="str">
        <f t="shared" si="91"/>
        <v>E5_4_99_25_mRNA : 0</v>
      </c>
      <c r="J280" s="16" t="str">
        <f t="shared" si="92"/>
        <v>E5_4_99_25 : 0</v>
      </c>
      <c r="K280" s="34" t="str">
        <f t="shared" si="93"/>
        <v>0.00292 - (0.0093 * E5_4_99_25_mRNA)</v>
      </c>
      <c r="L280" s="31" t="str">
        <f t="shared" si="94"/>
        <v>(0.278 * E5_4_99_25_mRNA) - (0.00000278 * E5_4_99_25)</v>
      </c>
      <c r="M280" s="35" t="str">
        <f t="shared" si="95"/>
        <v>mRNA279: -&gt; E5_4_99_25_mRNA | 0.00292 - (0.0093 * E5_4_99_25_mRNA)</v>
      </c>
      <c r="N280" s="36" t="str">
        <f t="shared" si="96"/>
        <v>Peptide279: E5_4_99_25_mRNA -&gt; E5_4_99_25 | (0.278 * E5_4_99_25_mRNA) - (0.000000278 * E5_4_99_25)</v>
      </c>
    </row>
    <row r="281" spans="1:14" x14ac:dyDescent="0.35">
      <c r="A281">
        <v>280</v>
      </c>
      <c r="B281" s="59" t="s">
        <v>10945</v>
      </c>
      <c r="C281" t="str">
        <f t="shared" si="85"/>
        <v>E5_4_99_5_mRNA</v>
      </c>
      <c r="D281" t="str">
        <f t="shared" si="86"/>
        <v>E5_4_99_5</v>
      </c>
      <c r="E281" s="36" t="str">
        <f t="shared" si="87"/>
        <v>E5_4_99_5_kcat : 13.7</v>
      </c>
      <c r="F281" s="38" t="str">
        <f t="shared" si="88"/>
        <v>E5_4_99_5_km : 1</v>
      </c>
      <c r="G281" s="31" t="str">
        <f t="shared" si="89"/>
        <v>E5_4_99_5_mRNA : E5_4_99_5_mRNA</v>
      </c>
      <c r="H281" s="32" t="str">
        <f t="shared" si="90"/>
        <v>E5_4_99_5 : E5_4_99_5</v>
      </c>
      <c r="I281" s="33" t="str">
        <f t="shared" si="91"/>
        <v>E5_4_99_5_mRNA : 0</v>
      </c>
      <c r="J281" s="16" t="str">
        <f t="shared" si="92"/>
        <v>E5_4_99_5 : 0</v>
      </c>
      <c r="K281" s="34" t="str">
        <f t="shared" si="93"/>
        <v>0.00292 - (0.0093 * E5_4_99_5_mRNA)</v>
      </c>
      <c r="L281" s="31" t="str">
        <f t="shared" si="94"/>
        <v>(0.278 * E5_4_99_5_mRNA) - (0.00000278 * E5_4_99_5)</v>
      </c>
      <c r="M281" s="35" t="str">
        <f t="shared" si="95"/>
        <v>mRNA280: -&gt; E5_4_99_5_mRNA | 0.00292 - (0.0093 * E5_4_99_5_mRNA)</v>
      </c>
      <c r="N281" s="36" t="str">
        <f t="shared" si="96"/>
        <v>Peptide280: E5_4_99_5_mRNA -&gt; E5_4_99_5 | (0.278 * E5_4_99_5_mRNA) - (0.000000278 * E5_4_99_5)</v>
      </c>
    </row>
    <row r="282" spans="1:14" x14ac:dyDescent="0.35">
      <c r="A282">
        <v>281</v>
      </c>
      <c r="B282" s="59" t="s">
        <v>10946</v>
      </c>
      <c r="C282" t="str">
        <f t="shared" si="85"/>
        <v>E5_4_99_9_mRNA</v>
      </c>
      <c r="D282" t="str">
        <f t="shared" si="86"/>
        <v>E5_4_99_9</v>
      </c>
      <c r="E282" s="36" t="str">
        <f t="shared" si="87"/>
        <v>E5_4_99_9_kcat : 13.7</v>
      </c>
      <c r="F282" s="38" t="str">
        <f t="shared" si="88"/>
        <v>E5_4_99_9_km : 1</v>
      </c>
      <c r="G282" s="31" t="str">
        <f t="shared" si="89"/>
        <v>E5_4_99_9_mRNA : E5_4_99_9_mRNA</v>
      </c>
      <c r="H282" s="32" t="str">
        <f t="shared" si="90"/>
        <v>E5_4_99_9 : E5_4_99_9</v>
      </c>
      <c r="I282" s="33" t="str">
        <f t="shared" si="91"/>
        <v>E5_4_99_9_mRNA : 0</v>
      </c>
      <c r="J282" s="16" t="str">
        <f t="shared" si="92"/>
        <v>E5_4_99_9 : 0</v>
      </c>
      <c r="K282" s="34" t="str">
        <f t="shared" si="93"/>
        <v>0.00292 - (0.0093 * E5_4_99_9_mRNA)</v>
      </c>
      <c r="L282" s="31" t="str">
        <f t="shared" si="94"/>
        <v>(0.278 * E5_4_99_9_mRNA) - (0.00000278 * E5_4_99_9)</v>
      </c>
      <c r="M282" s="35" t="str">
        <f t="shared" si="95"/>
        <v>mRNA281: -&gt; E5_4_99_9_mRNA | 0.00292 - (0.0093 * E5_4_99_9_mRNA)</v>
      </c>
      <c r="N282" s="36" t="str">
        <f t="shared" si="96"/>
        <v>Peptide281: E5_4_99_9_mRNA -&gt; E5_4_99_9 | (0.278 * E5_4_99_9_mRNA) - (0.000000278 * E5_4_99_9)</v>
      </c>
    </row>
    <row r="283" spans="1:14" x14ac:dyDescent="0.35">
      <c r="A283">
        <v>282</v>
      </c>
      <c r="B283" s="59" t="s">
        <v>10947</v>
      </c>
      <c r="C283" t="str">
        <f t="shared" si="85"/>
        <v>E5_6_2_1_mRNA</v>
      </c>
      <c r="D283" t="str">
        <f t="shared" si="86"/>
        <v>E5_6_2_1</v>
      </c>
      <c r="E283" s="36" t="str">
        <f t="shared" si="87"/>
        <v>E5_6_2_1_kcat : 13.7</v>
      </c>
      <c r="F283" s="38" t="str">
        <f t="shared" si="88"/>
        <v>E5_6_2_1_km : 1</v>
      </c>
      <c r="G283" s="31" t="str">
        <f t="shared" si="89"/>
        <v>E5_6_2_1_mRNA : E5_6_2_1_mRNA</v>
      </c>
      <c r="H283" s="32" t="str">
        <f t="shared" si="90"/>
        <v>E5_6_2_1 : E5_6_2_1</v>
      </c>
      <c r="I283" s="33" t="str">
        <f t="shared" si="91"/>
        <v>E5_6_2_1_mRNA : 0</v>
      </c>
      <c r="J283" s="16" t="str">
        <f t="shared" si="92"/>
        <v>E5_6_2_1 : 0</v>
      </c>
      <c r="K283" s="34" t="str">
        <f t="shared" si="93"/>
        <v>0.00292 - (0.0093 * E5_6_2_1_mRNA)</v>
      </c>
      <c r="L283" s="31" t="str">
        <f t="shared" si="94"/>
        <v>(0.278 * E5_6_2_1_mRNA) - (0.00000278 * E5_6_2_1)</v>
      </c>
      <c r="M283" s="35" t="str">
        <f t="shared" si="95"/>
        <v>mRNA282: -&gt; E5_6_2_1_mRNA | 0.00292 - (0.0093 * E5_6_2_1_mRNA)</v>
      </c>
      <c r="N283" s="36" t="str">
        <f t="shared" si="96"/>
        <v>Peptide282: E5_6_2_1_mRNA -&gt; E5_6_2_1 | (0.278 * E5_6_2_1_mRNA) - (0.000000278 * E5_6_2_1)</v>
      </c>
    </row>
    <row r="284" spans="1:14" x14ac:dyDescent="0.35">
      <c r="A284">
        <v>283</v>
      </c>
      <c r="B284" s="59" t="s">
        <v>10948</v>
      </c>
      <c r="C284" t="str">
        <f t="shared" si="85"/>
        <v>E5_6_2_2_mRNA</v>
      </c>
      <c r="D284" t="str">
        <f t="shared" si="86"/>
        <v>E5_6_2_2</v>
      </c>
      <c r="E284" s="36" t="str">
        <f t="shared" si="87"/>
        <v>E5_6_2_2_kcat : 13.7</v>
      </c>
      <c r="F284" s="38" t="str">
        <f t="shared" si="88"/>
        <v>E5_6_2_2_km : 1</v>
      </c>
      <c r="G284" s="31" t="str">
        <f t="shared" si="89"/>
        <v>E5_6_2_2_mRNA : E5_6_2_2_mRNA</v>
      </c>
      <c r="H284" s="32" t="str">
        <f t="shared" si="90"/>
        <v>E5_6_2_2 : E5_6_2_2</v>
      </c>
      <c r="I284" s="33" t="str">
        <f t="shared" si="91"/>
        <v>E5_6_2_2_mRNA : 0</v>
      </c>
      <c r="J284" s="16" t="str">
        <f t="shared" si="92"/>
        <v>E5_6_2_2 : 0</v>
      </c>
      <c r="K284" s="34" t="str">
        <f t="shared" si="93"/>
        <v>0.00292 - (0.0093 * E5_6_2_2_mRNA)</v>
      </c>
      <c r="L284" s="31" t="str">
        <f t="shared" si="94"/>
        <v>(0.278 * E5_6_2_2_mRNA) - (0.00000278 * E5_6_2_2)</v>
      </c>
      <c r="M284" s="35" t="str">
        <f t="shared" si="95"/>
        <v>mRNA283: -&gt; E5_6_2_2_mRNA | 0.00292 - (0.0093 * E5_6_2_2_mRNA)</v>
      </c>
      <c r="N284" s="36" t="str">
        <f t="shared" si="96"/>
        <v>Peptide283: E5_6_2_2_mRNA -&gt; E5_6_2_2 | (0.278 * E5_6_2_2_mRNA) - (0.000000278 * E5_6_2_2)</v>
      </c>
    </row>
    <row r="285" spans="1:14" x14ac:dyDescent="0.35">
      <c r="A285">
        <v>284</v>
      </c>
      <c r="B285" s="59" t="s">
        <v>10949</v>
      </c>
      <c r="C285" t="str">
        <f t="shared" si="85"/>
        <v>E5_6_2_3_mRNA</v>
      </c>
      <c r="D285" t="str">
        <f t="shared" si="86"/>
        <v>E5_6_2_3</v>
      </c>
      <c r="E285" s="36" t="str">
        <f t="shared" si="87"/>
        <v>E5_6_2_3_kcat : 13.7</v>
      </c>
      <c r="F285" s="38" t="str">
        <f t="shared" si="88"/>
        <v>E5_6_2_3_km : 1</v>
      </c>
      <c r="G285" s="31" t="str">
        <f t="shared" si="89"/>
        <v>E5_6_2_3_mRNA : E5_6_2_3_mRNA</v>
      </c>
      <c r="H285" s="32" t="str">
        <f t="shared" si="90"/>
        <v>E5_6_2_3 : E5_6_2_3</v>
      </c>
      <c r="I285" s="33" t="str">
        <f t="shared" si="91"/>
        <v>E5_6_2_3_mRNA : 0</v>
      </c>
      <c r="J285" s="16" t="str">
        <f t="shared" si="92"/>
        <v>E5_6_2_3 : 0</v>
      </c>
      <c r="K285" s="34" t="str">
        <f t="shared" si="93"/>
        <v>0.00292 - (0.0093 * E5_6_2_3_mRNA)</v>
      </c>
      <c r="L285" s="31" t="str">
        <f t="shared" si="94"/>
        <v>(0.278 * E5_6_2_3_mRNA) - (0.00000278 * E5_6_2_3)</v>
      </c>
      <c r="M285" s="35" t="str">
        <f t="shared" si="95"/>
        <v>mRNA284: -&gt; E5_6_2_3_mRNA | 0.00292 - (0.0093 * E5_6_2_3_mRNA)</v>
      </c>
      <c r="N285" s="36" t="str">
        <f t="shared" si="96"/>
        <v>Peptide284: E5_6_2_3_mRNA -&gt; E5_6_2_3 | (0.278 * E5_6_2_3_mRNA) - (0.000000278 * E5_6_2_3)</v>
      </c>
    </row>
    <row r="286" spans="1:14" x14ac:dyDescent="0.35">
      <c r="A286">
        <v>285</v>
      </c>
      <c r="B286" s="59" t="s">
        <v>10950</v>
      </c>
      <c r="C286" t="str">
        <f t="shared" si="85"/>
        <v>E5_6_2_4_mRNA</v>
      </c>
      <c r="D286" t="str">
        <f t="shared" si="86"/>
        <v>E5_6_2_4</v>
      </c>
      <c r="E286" s="36" t="str">
        <f t="shared" si="87"/>
        <v>E5_6_2_4_kcat : 13.7</v>
      </c>
      <c r="F286" s="38" t="str">
        <f t="shared" si="88"/>
        <v>E5_6_2_4_km : 1</v>
      </c>
      <c r="G286" s="31" t="str">
        <f t="shared" si="89"/>
        <v>E5_6_2_4_mRNA : E5_6_2_4_mRNA</v>
      </c>
      <c r="H286" s="32" t="str">
        <f t="shared" si="90"/>
        <v>E5_6_2_4 : E5_6_2_4</v>
      </c>
      <c r="I286" s="33" t="str">
        <f t="shared" si="91"/>
        <v>E5_6_2_4_mRNA : 0</v>
      </c>
      <c r="J286" s="16" t="str">
        <f t="shared" si="92"/>
        <v>E5_6_2_4 : 0</v>
      </c>
      <c r="K286" s="34" t="str">
        <f t="shared" si="93"/>
        <v>0.00292 - (0.0093 * E5_6_2_4_mRNA)</v>
      </c>
      <c r="L286" s="31" t="str">
        <f t="shared" si="94"/>
        <v>(0.278 * E5_6_2_4_mRNA) - (0.00000278 * E5_6_2_4)</v>
      </c>
      <c r="M286" s="35" t="str">
        <f t="shared" si="95"/>
        <v>mRNA285: -&gt; E5_6_2_4_mRNA | 0.00292 - (0.0093 * E5_6_2_4_mRNA)</v>
      </c>
      <c r="N286" s="36" t="str">
        <f t="shared" si="96"/>
        <v>Peptide285: E5_6_2_4_mRNA -&gt; E5_6_2_4 | (0.278 * E5_6_2_4_mRNA) - (0.000000278 * E5_6_2_4)</v>
      </c>
    </row>
    <row r="287" spans="1:14" x14ac:dyDescent="0.35">
      <c r="A287">
        <v>286</v>
      </c>
      <c r="B287" s="59" t="s">
        <v>2139</v>
      </c>
      <c r="C287" t="str">
        <f t="shared" si="85"/>
        <v>E6_1_1_1_mRNA</v>
      </c>
      <c r="D287" t="str">
        <f t="shared" si="86"/>
        <v>E6_1_1_1</v>
      </c>
      <c r="E287" s="36" t="str">
        <f t="shared" si="87"/>
        <v>E6_1_1_1_kcat : 13.7</v>
      </c>
      <c r="F287" s="38" t="str">
        <f t="shared" si="88"/>
        <v>E6_1_1_1_km : 1</v>
      </c>
      <c r="G287" s="31" t="str">
        <f t="shared" si="89"/>
        <v>E6_1_1_1_mRNA : E6_1_1_1_mRNA</v>
      </c>
      <c r="H287" s="32" t="str">
        <f t="shared" si="90"/>
        <v>E6_1_1_1 : E6_1_1_1</v>
      </c>
      <c r="I287" s="33" t="str">
        <f t="shared" si="91"/>
        <v>E6_1_1_1_mRNA : 0</v>
      </c>
      <c r="J287" s="16" t="str">
        <f t="shared" si="92"/>
        <v>E6_1_1_1 : 0</v>
      </c>
      <c r="K287" s="34" t="str">
        <f t="shared" si="93"/>
        <v>0.00292 - (0.0093 * E6_1_1_1_mRNA)</v>
      </c>
      <c r="L287" s="31" t="str">
        <f t="shared" si="94"/>
        <v>(0.278 * E6_1_1_1_mRNA) - (0.00000278 * E6_1_1_1)</v>
      </c>
      <c r="M287" s="35" t="str">
        <f t="shared" si="95"/>
        <v>mRNA286: -&gt; E6_1_1_1_mRNA | 0.00292 - (0.0093 * E6_1_1_1_mRNA)</v>
      </c>
      <c r="N287" s="36" t="str">
        <f t="shared" si="96"/>
        <v>Peptide286: E6_1_1_1_mRNA -&gt; E6_1_1_1 | (0.278 * E6_1_1_1_mRNA) - (0.000000278 * E6_1_1_1)</v>
      </c>
    </row>
    <row r="288" spans="1:14" x14ac:dyDescent="0.35">
      <c r="A288">
        <v>287</v>
      </c>
      <c r="B288" s="59" t="s">
        <v>2135</v>
      </c>
      <c r="C288" t="str">
        <f t="shared" si="85"/>
        <v>E6_1_1_10_mRNA</v>
      </c>
      <c r="D288" t="str">
        <f t="shared" si="86"/>
        <v>E6_1_1_10</v>
      </c>
      <c r="E288" s="36" t="str">
        <f t="shared" si="87"/>
        <v>E6_1_1_10_kcat : 13.7</v>
      </c>
      <c r="F288" s="38" t="str">
        <f t="shared" si="88"/>
        <v>E6_1_1_10_km : 1</v>
      </c>
      <c r="G288" s="31" t="str">
        <f t="shared" si="89"/>
        <v>E6_1_1_10_mRNA : E6_1_1_10_mRNA</v>
      </c>
      <c r="H288" s="32" t="str">
        <f t="shared" si="90"/>
        <v>E6_1_1_10 : E6_1_1_10</v>
      </c>
      <c r="I288" s="33" t="str">
        <f t="shared" si="91"/>
        <v>E6_1_1_10_mRNA : 0</v>
      </c>
      <c r="J288" s="16" t="str">
        <f t="shared" si="92"/>
        <v>E6_1_1_10 : 0</v>
      </c>
      <c r="K288" s="34" t="str">
        <f t="shared" si="93"/>
        <v>0.00292 - (0.0093 * E6_1_1_10_mRNA)</v>
      </c>
      <c r="L288" s="31" t="str">
        <f t="shared" si="94"/>
        <v>(0.278 * E6_1_1_10_mRNA) - (0.00000278 * E6_1_1_10)</v>
      </c>
      <c r="M288" s="35" t="str">
        <f t="shared" si="95"/>
        <v>mRNA287: -&gt; E6_1_1_10_mRNA | 0.00292 - (0.0093 * E6_1_1_10_mRNA)</v>
      </c>
      <c r="N288" s="36" t="str">
        <f t="shared" si="96"/>
        <v>Peptide287: E6_1_1_10_mRNA -&gt; E6_1_1_10 | (0.278 * E6_1_1_10_mRNA) - (0.000000278 * E6_1_1_10)</v>
      </c>
    </row>
    <row r="289" spans="1:14" x14ac:dyDescent="0.35">
      <c r="A289">
        <v>288</v>
      </c>
      <c r="B289" s="59" t="s">
        <v>2134</v>
      </c>
      <c r="C289" t="str">
        <f t="shared" si="85"/>
        <v>E6_1_1_11_mRNA</v>
      </c>
      <c r="D289" t="str">
        <f t="shared" si="86"/>
        <v>E6_1_1_11</v>
      </c>
      <c r="E289" s="36" t="str">
        <f t="shared" si="87"/>
        <v>E6_1_1_11_kcat : 13.7</v>
      </c>
      <c r="F289" s="38" t="str">
        <f t="shared" si="88"/>
        <v>E6_1_1_11_km : 1</v>
      </c>
      <c r="G289" s="31" t="str">
        <f t="shared" si="89"/>
        <v>E6_1_1_11_mRNA : E6_1_1_11_mRNA</v>
      </c>
      <c r="H289" s="32" t="str">
        <f t="shared" si="90"/>
        <v>E6_1_1_11 : E6_1_1_11</v>
      </c>
      <c r="I289" s="33" t="str">
        <f t="shared" si="91"/>
        <v>E6_1_1_11_mRNA : 0</v>
      </c>
      <c r="J289" s="16" t="str">
        <f t="shared" si="92"/>
        <v>E6_1_1_11 : 0</v>
      </c>
      <c r="K289" s="34" t="str">
        <f t="shared" si="93"/>
        <v>0.00292 - (0.0093 * E6_1_1_11_mRNA)</v>
      </c>
      <c r="L289" s="31" t="str">
        <f t="shared" si="94"/>
        <v>(0.278 * E6_1_1_11_mRNA) - (0.00000278 * E6_1_1_11)</v>
      </c>
      <c r="M289" s="35" t="str">
        <f t="shared" si="95"/>
        <v>mRNA288: -&gt; E6_1_1_11_mRNA | 0.00292 - (0.0093 * E6_1_1_11_mRNA)</v>
      </c>
      <c r="N289" s="36" t="str">
        <f t="shared" si="96"/>
        <v>Peptide288: E6_1_1_11_mRNA -&gt; E6_1_1_11 | (0.278 * E6_1_1_11_mRNA) - (0.000000278 * E6_1_1_11)</v>
      </c>
    </row>
    <row r="290" spans="1:14" x14ac:dyDescent="0.35">
      <c r="A290">
        <v>289</v>
      </c>
      <c r="B290" s="59" t="s">
        <v>2308</v>
      </c>
      <c r="C290" t="str">
        <f t="shared" si="85"/>
        <v>E6_1_1_12_mRNA</v>
      </c>
      <c r="D290" t="str">
        <f t="shared" si="86"/>
        <v>E6_1_1_12</v>
      </c>
      <c r="E290" s="36" t="str">
        <f t="shared" si="87"/>
        <v>E6_1_1_12_kcat : 13.7</v>
      </c>
      <c r="F290" s="38" t="str">
        <f t="shared" si="88"/>
        <v>E6_1_1_12_km : 1</v>
      </c>
      <c r="G290" s="31" t="str">
        <f t="shared" si="89"/>
        <v>E6_1_1_12_mRNA : E6_1_1_12_mRNA</v>
      </c>
      <c r="H290" s="32" t="str">
        <f t="shared" si="90"/>
        <v>E6_1_1_12 : E6_1_1_12</v>
      </c>
      <c r="I290" s="33" t="str">
        <f t="shared" si="91"/>
        <v>E6_1_1_12_mRNA : 0</v>
      </c>
      <c r="J290" s="16" t="str">
        <f t="shared" si="92"/>
        <v>E6_1_1_12 : 0</v>
      </c>
      <c r="K290" s="34" t="str">
        <f t="shared" si="93"/>
        <v>0.00292 - (0.0093 * E6_1_1_12_mRNA)</v>
      </c>
      <c r="L290" s="31" t="str">
        <f t="shared" si="94"/>
        <v>(0.278 * E6_1_1_12_mRNA) - (0.00000278 * E6_1_1_12)</v>
      </c>
      <c r="M290" s="35" t="str">
        <f t="shared" si="95"/>
        <v>mRNA289: -&gt; E6_1_1_12_mRNA | 0.00292 - (0.0093 * E6_1_1_12_mRNA)</v>
      </c>
      <c r="N290" s="36" t="str">
        <f t="shared" si="96"/>
        <v>Peptide289: E6_1_1_12_mRNA -&gt; E6_1_1_12 | (0.278 * E6_1_1_12_mRNA) - (0.000000278 * E6_1_1_12)</v>
      </c>
    </row>
    <row r="291" spans="1:14" x14ac:dyDescent="0.35">
      <c r="A291">
        <v>290</v>
      </c>
      <c r="B291" s="59" t="s">
        <v>2123</v>
      </c>
      <c r="C291" t="str">
        <f t="shared" si="85"/>
        <v>E6_1_1_14_mRNA</v>
      </c>
      <c r="D291" t="str">
        <f t="shared" si="86"/>
        <v>E6_1_1_14</v>
      </c>
      <c r="E291" s="36" t="str">
        <f t="shared" si="87"/>
        <v>E6_1_1_14_kcat : 13.7</v>
      </c>
      <c r="F291" s="38" t="str">
        <f t="shared" si="88"/>
        <v>E6_1_1_14_km : 1</v>
      </c>
      <c r="G291" s="31" t="str">
        <f t="shared" si="89"/>
        <v>E6_1_1_14_mRNA : E6_1_1_14_mRNA</v>
      </c>
      <c r="H291" s="32" t="str">
        <f t="shared" si="90"/>
        <v>E6_1_1_14 : E6_1_1_14</v>
      </c>
      <c r="I291" s="33" t="str">
        <f t="shared" si="91"/>
        <v>E6_1_1_14_mRNA : 0</v>
      </c>
      <c r="J291" s="16" t="str">
        <f t="shared" si="92"/>
        <v>E6_1_1_14 : 0</v>
      </c>
      <c r="K291" s="34" t="str">
        <f t="shared" si="93"/>
        <v>0.00292 - (0.0093 * E6_1_1_14_mRNA)</v>
      </c>
      <c r="L291" s="31" t="str">
        <f t="shared" si="94"/>
        <v>(0.278 * E6_1_1_14_mRNA) - (0.00000278 * E6_1_1_14)</v>
      </c>
      <c r="M291" s="35" t="str">
        <f t="shared" si="95"/>
        <v>mRNA290: -&gt; E6_1_1_14_mRNA | 0.00292 - (0.0093 * E6_1_1_14_mRNA)</v>
      </c>
      <c r="N291" s="36" t="str">
        <f t="shared" si="96"/>
        <v>Peptide290: E6_1_1_14_mRNA -&gt; E6_1_1_14 | (0.278 * E6_1_1_14_mRNA) - (0.000000278 * E6_1_1_14)</v>
      </c>
    </row>
    <row r="292" spans="1:14" x14ac:dyDescent="0.35">
      <c r="A292">
        <v>291</v>
      </c>
      <c r="B292" s="59" t="s">
        <v>2150</v>
      </c>
      <c r="C292" t="str">
        <f t="shared" si="85"/>
        <v>E6_1_1_15_mRNA</v>
      </c>
      <c r="D292" t="str">
        <f t="shared" si="86"/>
        <v>E6_1_1_15</v>
      </c>
      <c r="E292" s="36" t="str">
        <f t="shared" si="87"/>
        <v>E6_1_1_15_kcat : 13.7</v>
      </c>
      <c r="F292" s="38" t="str">
        <f t="shared" si="88"/>
        <v>E6_1_1_15_km : 1</v>
      </c>
      <c r="G292" s="31" t="str">
        <f t="shared" si="89"/>
        <v>E6_1_1_15_mRNA : E6_1_1_15_mRNA</v>
      </c>
      <c r="H292" s="32" t="str">
        <f t="shared" si="90"/>
        <v>E6_1_1_15 : E6_1_1_15</v>
      </c>
      <c r="I292" s="33" t="str">
        <f t="shared" si="91"/>
        <v>E6_1_1_15_mRNA : 0</v>
      </c>
      <c r="J292" s="16" t="str">
        <f t="shared" si="92"/>
        <v>E6_1_1_15 : 0</v>
      </c>
      <c r="K292" s="34" t="str">
        <f t="shared" si="93"/>
        <v>0.00292 - (0.0093 * E6_1_1_15_mRNA)</v>
      </c>
      <c r="L292" s="31" t="str">
        <f t="shared" si="94"/>
        <v>(0.278 * E6_1_1_15_mRNA) - (0.00000278 * E6_1_1_15)</v>
      </c>
      <c r="M292" s="35" t="str">
        <f t="shared" si="95"/>
        <v>mRNA291: -&gt; E6_1_1_15_mRNA | 0.00292 - (0.0093 * E6_1_1_15_mRNA)</v>
      </c>
      <c r="N292" s="36" t="str">
        <f t="shared" si="96"/>
        <v>Peptide291: E6_1_1_15_mRNA -&gt; E6_1_1_15 | (0.278 * E6_1_1_15_mRNA) - (0.000000278 * E6_1_1_15)</v>
      </c>
    </row>
    <row r="293" spans="1:14" x14ac:dyDescent="0.35">
      <c r="A293">
        <v>292</v>
      </c>
      <c r="B293" s="59" t="s">
        <v>2141</v>
      </c>
      <c r="C293" t="str">
        <f t="shared" si="85"/>
        <v>E6_1_1_16_mRNA</v>
      </c>
      <c r="D293" t="str">
        <f t="shared" si="86"/>
        <v>E6_1_1_16</v>
      </c>
      <c r="E293" s="36" t="str">
        <f t="shared" si="87"/>
        <v>E6_1_1_16_kcat : 13.7</v>
      </c>
      <c r="F293" s="38" t="str">
        <f t="shared" si="88"/>
        <v>E6_1_1_16_km : 1</v>
      </c>
      <c r="G293" s="31" t="str">
        <f t="shared" si="89"/>
        <v>E6_1_1_16_mRNA : E6_1_1_16_mRNA</v>
      </c>
      <c r="H293" s="32" t="str">
        <f t="shared" si="90"/>
        <v>E6_1_1_16 : E6_1_1_16</v>
      </c>
      <c r="I293" s="33" t="str">
        <f t="shared" si="91"/>
        <v>E6_1_1_16_mRNA : 0</v>
      </c>
      <c r="J293" s="16" t="str">
        <f t="shared" si="92"/>
        <v>E6_1_1_16 : 0</v>
      </c>
      <c r="K293" s="34" t="str">
        <f t="shared" si="93"/>
        <v>0.00292 - (0.0093 * E6_1_1_16_mRNA)</v>
      </c>
      <c r="L293" s="31" t="str">
        <f t="shared" si="94"/>
        <v>(0.278 * E6_1_1_16_mRNA) - (0.00000278 * E6_1_1_16)</v>
      </c>
      <c r="M293" s="35" t="str">
        <f t="shared" si="95"/>
        <v>mRNA292: -&gt; E6_1_1_16_mRNA | 0.00292 - (0.0093 * E6_1_1_16_mRNA)</v>
      </c>
      <c r="N293" s="36" t="str">
        <f t="shared" si="96"/>
        <v>Peptide292: E6_1_1_16_mRNA -&gt; E6_1_1_16 | (0.278 * E6_1_1_16_mRNA) - (0.000000278 * E6_1_1_16)</v>
      </c>
    </row>
    <row r="294" spans="1:14" x14ac:dyDescent="0.35">
      <c r="A294">
        <v>293</v>
      </c>
      <c r="B294" s="59" t="s">
        <v>2309</v>
      </c>
      <c r="C294" t="str">
        <f t="shared" si="85"/>
        <v>E6_1_1_17_mRNA</v>
      </c>
      <c r="D294" t="str">
        <f t="shared" si="86"/>
        <v>E6_1_1_17</v>
      </c>
      <c r="E294" s="36" t="str">
        <f t="shared" si="87"/>
        <v>E6_1_1_17_kcat : 13.7</v>
      </c>
      <c r="F294" s="38" t="str">
        <f t="shared" si="88"/>
        <v>E6_1_1_17_km : 1</v>
      </c>
      <c r="G294" s="31" t="str">
        <f t="shared" si="89"/>
        <v>E6_1_1_17_mRNA : E6_1_1_17_mRNA</v>
      </c>
      <c r="H294" s="32" t="str">
        <f t="shared" si="90"/>
        <v>E6_1_1_17 : E6_1_1_17</v>
      </c>
      <c r="I294" s="33" t="str">
        <f t="shared" si="91"/>
        <v>E6_1_1_17_mRNA : 0</v>
      </c>
      <c r="J294" s="16" t="str">
        <f t="shared" si="92"/>
        <v>E6_1_1_17 : 0</v>
      </c>
      <c r="K294" s="34" t="str">
        <f t="shared" si="93"/>
        <v>0.00292 - (0.0093 * E6_1_1_17_mRNA)</v>
      </c>
      <c r="L294" s="31" t="str">
        <f t="shared" si="94"/>
        <v>(0.278 * E6_1_1_17_mRNA) - (0.00000278 * E6_1_1_17)</v>
      </c>
      <c r="M294" s="35" t="str">
        <f t="shared" si="95"/>
        <v>mRNA293: -&gt; E6_1_1_17_mRNA | 0.00292 - (0.0093 * E6_1_1_17_mRNA)</v>
      </c>
      <c r="N294" s="36" t="str">
        <f t="shared" si="96"/>
        <v>Peptide293: E6_1_1_17_mRNA -&gt; E6_1_1_17 | (0.278 * E6_1_1_17_mRNA) - (0.000000278 * E6_1_1_17)</v>
      </c>
    </row>
    <row r="295" spans="1:14" x14ac:dyDescent="0.35">
      <c r="A295">
        <v>294</v>
      </c>
      <c r="B295" s="59" t="s">
        <v>2132</v>
      </c>
      <c r="C295" t="str">
        <f t="shared" si="85"/>
        <v>E6_1_1_19_mRNA</v>
      </c>
      <c r="D295" t="str">
        <f t="shared" si="86"/>
        <v>E6_1_1_19</v>
      </c>
      <c r="E295" s="36" t="str">
        <f t="shared" si="87"/>
        <v>E6_1_1_19_kcat : 13.7</v>
      </c>
      <c r="F295" s="38" t="str">
        <f t="shared" si="88"/>
        <v>E6_1_1_19_km : 1</v>
      </c>
      <c r="G295" s="31" t="str">
        <f t="shared" si="89"/>
        <v>E6_1_1_19_mRNA : E6_1_1_19_mRNA</v>
      </c>
      <c r="H295" s="32" t="str">
        <f t="shared" si="90"/>
        <v>E6_1_1_19 : E6_1_1_19</v>
      </c>
      <c r="I295" s="33" t="str">
        <f t="shared" si="91"/>
        <v>E6_1_1_19_mRNA : 0</v>
      </c>
      <c r="J295" s="16" t="str">
        <f t="shared" si="92"/>
        <v>E6_1_1_19 : 0</v>
      </c>
      <c r="K295" s="34" t="str">
        <f t="shared" si="93"/>
        <v>0.00292 - (0.0093 * E6_1_1_19_mRNA)</v>
      </c>
      <c r="L295" s="31" t="str">
        <f t="shared" si="94"/>
        <v>(0.278 * E6_1_1_19_mRNA) - (0.00000278 * E6_1_1_19)</v>
      </c>
      <c r="M295" s="35" t="str">
        <f t="shared" si="95"/>
        <v>mRNA294: -&gt; E6_1_1_19_mRNA | 0.00292 - (0.0093 * E6_1_1_19_mRNA)</v>
      </c>
      <c r="N295" s="36" t="str">
        <f t="shared" si="96"/>
        <v>Peptide294: E6_1_1_19_mRNA -&gt; E6_1_1_19 | (0.278 * E6_1_1_19_mRNA) - (0.000000278 * E6_1_1_19)</v>
      </c>
    </row>
    <row r="296" spans="1:14" x14ac:dyDescent="0.35">
      <c r="A296">
        <v>295</v>
      </c>
      <c r="B296" s="59" t="s">
        <v>2137</v>
      </c>
      <c r="C296" t="str">
        <f t="shared" si="85"/>
        <v>E6_1_1_2_mRNA</v>
      </c>
      <c r="D296" t="str">
        <f t="shared" si="86"/>
        <v>E6_1_1_2</v>
      </c>
      <c r="E296" s="36" t="str">
        <f t="shared" si="87"/>
        <v>E6_1_1_2_kcat : 13.7</v>
      </c>
      <c r="F296" s="38" t="str">
        <f t="shared" si="88"/>
        <v>E6_1_1_2_km : 1</v>
      </c>
      <c r="G296" s="31" t="str">
        <f t="shared" si="89"/>
        <v>E6_1_1_2_mRNA : E6_1_1_2_mRNA</v>
      </c>
      <c r="H296" s="32" t="str">
        <f t="shared" si="90"/>
        <v>E6_1_1_2 : E6_1_1_2</v>
      </c>
      <c r="I296" s="33" t="str">
        <f t="shared" si="91"/>
        <v>E6_1_1_2_mRNA : 0</v>
      </c>
      <c r="J296" s="16" t="str">
        <f t="shared" si="92"/>
        <v>E6_1_1_2 : 0</v>
      </c>
      <c r="K296" s="34" t="str">
        <f t="shared" si="93"/>
        <v>0.00292 - (0.0093 * E6_1_1_2_mRNA)</v>
      </c>
      <c r="L296" s="31" t="str">
        <f t="shared" si="94"/>
        <v>(0.278 * E6_1_1_2_mRNA) - (0.00000278 * E6_1_1_2)</v>
      </c>
      <c r="M296" s="35" t="str">
        <f t="shared" si="95"/>
        <v>mRNA295: -&gt; E6_1_1_2_mRNA | 0.00292 - (0.0093 * E6_1_1_2_mRNA)</v>
      </c>
      <c r="N296" s="36" t="str">
        <f t="shared" si="96"/>
        <v>Peptide295: E6_1_1_2_mRNA -&gt; E6_1_1_2 | (0.278 * E6_1_1_2_mRNA) - (0.000000278 * E6_1_1_2)</v>
      </c>
    </row>
    <row r="297" spans="1:14" x14ac:dyDescent="0.35">
      <c r="A297">
        <v>296</v>
      </c>
      <c r="B297" s="59" t="s">
        <v>2138</v>
      </c>
      <c r="C297" t="str">
        <f t="shared" si="85"/>
        <v>E6_1_1_20_mRNA</v>
      </c>
      <c r="D297" t="str">
        <f t="shared" si="86"/>
        <v>E6_1_1_20</v>
      </c>
      <c r="E297" s="36" t="str">
        <f t="shared" si="87"/>
        <v>E6_1_1_20_kcat : 13.7</v>
      </c>
      <c r="F297" s="38" t="str">
        <f t="shared" si="88"/>
        <v>E6_1_1_20_km : 1</v>
      </c>
      <c r="G297" s="31" t="str">
        <f t="shared" si="89"/>
        <v>E6_1_1_20_mRNA : E6_1_1_20_mRNA</v>
      </c>
      <c r="H297" s="32" t="str">
        <f t="shared" si="90"/>
        <v>E6_1_1_20 : E6_1_1_20</v>
      </c>
      <c r="I297" s="33" t="str">
        <f t="shared" si="91"/>
        <v>E6_1_1_20_mRNA : 0</v>
      </c>
      <c r="J297" s="16" t="str">
        <f t="shared" si="92"/>
        <v>E6_1_1_20 : 0</v>
      </c>
      <c r="K297" s="34" t="str">
        <f t="shared" si="93"/>
        <v>0.00292 - (0.0093 * E6_1_1_20_mRNA)</v>
      </c>
      <c r="L297" s="31" t="str">
        <f t="shared" si="94"/>
        <v>(0.278 * E6_1_1_20_mRNA) - (0.00000278 * E6_1_1_20)</v>
      </c>
      <c r="M297" s="35" t="str">
        <f t="shared" si="95"/>
        <v>mRNA296: -&gt; E6_1_1_20_mRNA | 0.00292 - (0.0093 * E6_1_1_20_mRNA)</v>
      </c>
      <c r="N297" s="36" t="str">
        <f t="shared" si="96"/>
        <v>Peptide296: E6_1_1_20_mRNA -&gt; E6_1_1_20 | (0.278 * E6_1_1_20_mRNA) - (0.000000278 * E6_1_1_20)</v>
      </c>
    </row>
    <row r="298" spans="1:14" x14ac:dyDescent="0.35">
      <c r="A298">
        <v>297</v>
      </c>
      <c r="B298" s="59" t="s">
        <v>10951</v>
      </c>
      <c r="C298" t="str">
        <f t="shared" si="85"/>
        <v>E6_1_1_21_mRNA</v>
      </c>
      <c r="D298" t="str">
        <f t="shared" si="86"/>
        <v>E6_1_1_21</v>
      </c>
      <c r="E298" s="36" t="str">
        <f t="shared" si="87"/>
        <v>E6_1_1_21_kcat : 13.7</v>
      </c>
      <c r="F298" s="38" t="str">
        <f t="shared" si="88"/>
        <v>E6_1_1_21_km : 1</v>
      </c>
      <c r="G298" s="31" t="str">
        <f t="shared" si="89"/>
        <v>E6_1_1_21_mRNA : E6_1_1_21_mRNA</v>
      </c>
      <c r="H298" s="32" t="str">
        <f t="shared" si="90"/>
        <v>E6_1_1_21 : E6_1_1_21</v>
      </c>
      <c r="I298" s="33" t="str">
        <f t="shared" si="91"/>
        <v>E6_1_1_21_mRNA : 0</v>
      </c>
      <c r="J298" s="16" t="str">
        <f t="shared" si="92"/>
        <v>E6_1_1_21 : 0</v>
      </c>
      <c r="K298" s="34" t="str">
        <f t="shared" si="93"/>
        <v>0.00292 - (0.0093 * E6_1_1_21_mRNA)</v>
      </c>
      <c r="L298" s="31" t="str">
        <f t="shared" si="94"/>
        <v>(0.278 * E6_1_1_21_mRNA) - (0.00000278 * E6_1_1_21)</v>
      </c>
      <c r="M298" s="35" t="str">
        <f t="shared" si="95"/>
        <v>mRNA297: -&gt; E6_1_1_21_mRNA | 0.00292 - (0.0093 * E6_1_1_21_mRNA)</v>
      </c>
      <c r="N298" s="36" t="str">
        <f t="shared" si="96"/>
        <v>Peptide297: E6_1_1_21_mRNA -&gt; E6_1_1_21 | (0.278 * E6_1_1_21_mRNA) - (0.000000278 * E6_1_1_21)</v>
      </c>
    </row>
    <row r="299" spans="1:14" x14ac:dyDescent="0.35">
      <c r="A299">
        <v>298</v>
      </c>
      <c r="B299" s="59" t="s">
        <v>2152</v>
      </c>
      <c r="C299" t="str">
        <f t="shared" si="85"/>
        <v>E6_1_1_3_mRNA</v>
      </c>
      <c r="D299" t="str">
        <f t="shared" si="86"/>
        <v>E6_1_1_3</v>
      </c>
      <c r="E299" s="36" t="str">
        <f t="shared" si="87"/>
        <v>E6_1_1_3_kcat : 13.7</v>
      </c>
      <c r="F299" s="38" t="str">
        <f t="shared" si="88"/>
        <v>E6_1_1_3_km : 1</v>
      </c>
      <c r="G299" s="31" t="str">
        <f t="shared" si="89"/>
        <v>E6_1_1_3_mRNA : E6_1_1_3_mRNA</v>
      </c>
      <c r="H299" s="32" t="str">
        <f t="shared" si="90"/>
        <v>E6_1_1_3 : E6_1_1_3</v>
      </c>
      <c r="I299" s="33" t="str">
        <f t="shared" si="91"/>
        <v>E6_1_1_3_mRNA : 0</v>
      </c>
      <c r="J299" s="16" t="str">
        <f t="shared" si="92"/>
        <v>E6_1_1_3 : 0</v>
      </c>
      <c r="K299" s="34" t="str">
        <f t="shared" si="93"/>
        <v>0.00292 - (0.0093 * E6_1_1_3_mRNA)</v>
      </c>
      <c r="L299" s="31" t="str">
        <f t="shared" si="94"/>
        <v>(0.278 * E6_1_1_3_mRNA) - (0.00000278 * E6_1_1_3)</v>
      </c>
      <c r="M299" s="35" t="str">
        <f t="shared" si="95"/>
        <v>mRNA298: -&gt; E6_1_1_3_mRNA | 0.00292 - (0.0093 * E6_1_1_3_mRNA)</v>
      </c>
      <c r="N299" s="36" t="str">
        <f t="shared" si="96"/>
        <v>Peptide298: E6_1_1_3_mRNA -&gt; E6_1_1_3 | (0.278 * E6_1_1_3_mRNA) - (0.000000278 * E6_1_1_3)</v>
      </c>
    </row>
    <row r="300" spans="1:14" x14ac:dyDescent="0.35">
      <c r="A300">
        <v>299</v>
      </c>
      <c r="B300" s="59" t="s">
        <v>2147</v>
      </c>
      <c r="C300" t="str">
        <f t="shared" si="85"/>
        <v>E6_1_1_4_mRNA</v>
      </c>
      <c r="D300" t="str">
        <f t="shared" si="86"/>
        <v>E6_1_1_4</v>
      </c>
      <c r="E300" s="36" t="str">
        <f t="shared" si="87"/>
        <v>E6_1_1_4_kcat : 13.7</v>
      </c>
      <c r="F300" s="38" t="str">
        <f t="shared" si="88"/>
        <v>E6_1_1_4_km : 1</v>
      </c>
      <c r="G300" s="31" t="str">
        <f t="shared" si="89"/>
        <v>E6_1_1_4_mRNA : E6_1_1_4_mRNA</v>
      </c>
      <c r="H300" s="32" t="str">
        <f t="shared" si="90"/>
        <v>E6_1_1_4 : E6_1_1_4</v>
      </c>
      <c r="I300" s="33" t="str">
        <f t="shared" si="91"/>
        <v>E6_1_1_4_mRNA : 0</v>
      </c>
      <c r="J300" s="16" t="str">
        <f t="shared" si="92"/>
        <v>E6_1_1_4 : 0</v>
      </c>
      <c r="K300" s="34" t="str">
        <f t="shared" si="93"/>
        <v>0.00292 - (0.0093 * E6_1_1_4_mRNA)</v>
      </c>
      <c r="L300" s="31" t="str">
        <f t="shared" si="94"/>
        <v>(0.278 * E6_1_1_4_mRNA) - (0.00000278 * E6_1_1_4)</v>
      </c>
      <c r="M300" s="35" t="str">
        <f t="shared" si="95"/>
        <v>mRNA299: -&gt; E6_1_1_4_mRNA | 0.00292 - (0.0093 * E6_1_1_4_mRNA)</v>
      </c>
      <c r="N300" s="36" t="str">
        <f t="shared" si="96"/>
        <v>Peptide299: E6_1_1_4_mRNA -&gt; E6_1_1_4 | (0.278 * E6_1_1_4_mRNA) - (0.000000278 * E6_1_1_4)</v>
      </c>
    </row>
    <row r="301" spans="1:14" x14ac:dyDescent="0.35">
      <c r="A301">
        <v>300</v>
      </c>
      <c r="B301" s="59" t="s">
        <v>2126</v>
      </c>
      <c r="C301" t="str">
        <f t="shared" si="85"/>
        <v>E6_1_1_6_mRNA</v>
      </c>
      <c r="D301" t="str">
        <f t="shared" si="86"/>
        <v>E6_1_1_6</v>
      </c>
      <c r="E301" s="36" t="str">
        <f t="shared" si="87"/>
        <v>E6_1_1_6_kcat : 13.7</v>
      </c>
      <c r="F301" s="38" t="str">
        <f t="shared" si="88"/>
        <v>E6_1_1_6_km : 1</v>
      </c>
      <c r="G301" s="31" t="str">
        <f t="shared" si="89"/>
        <v>E6_1_1_6_mRNA : E6_1_1_6_mRNA</v>
      </c>
      <c r="H301" s="32" t="str">
        <f t="shared" si="90"/>
        <v>E6_1_1_6 : E6_1_1_6</v>
      </c>
      <c r="I301" s="33" t="str">
        <f t="shared" si="91"/>
        <v>E6_1_1_6_mRNA : 0</v>
      </c>
      <c r="J301" s="16" t="str">
        <f t="shared" si="92"/>
        <v>E6_1_1_6 : 0</v>
      </c>
      <c r="K301" s="34" t="str">
        <f t="shared" si="93"/>
        <v>0.00292 - (0.0093 * E6_1_1_6_mRNA)</v>
      </c>
      <c r="L301" s="31" t="str">
        <f t="shared" si="94"/>
        <v>(0.278 * E6_1_1_6_mRNA) - (0.00000278 * E6_1_1_6)</v>
      </c>
      <c r="M301" s="35" t="str">
        <f t="shared" si="95"/>
        <v>mRNA300: -&gt; E6_1_1_6_mRNA | 0.00292 - (0.0093 * E6_1_1_6_mRNA)</v>
      </c>
      <c r="N301" s="36" t="str">
        <f t="shared" si="96"/>
        <v>Peptide300: E6_1_1_6_mRNA -&gt; E6_1_1_6 | (0.278 * E6_1_1_6_mRNA) - (0.000000278 * E6_1_1_6)</v>
      </c>
    </row>
    <row r="302" spans="1:14" x14ac:dyDescent="0.35">
      <c r="A302">
        <v>301</v>
      </c>
      <c r="B302" s="59" t="s">
        <v>2124</v>
      </c>
      <c r="C302" t="str">
        <f t="shared" si="85"/>
        <v>E6_1_1_7_mRNA</v>
      </c>
      <c r="D302" t="str">
        <f t="shared" si="86"/>
        <v>E6_1_1_7</v>
      </c>
      <c r="E302" s="36" t="str">
        <f t="shared" si="87"/>
        <v>E6_1_1_7_kcat : 13.7</v>
      </c>
      <c r="F302" s="38" t="str">
        <f t="shared" si="88"/>
        <v>E6_1_1_7_km : 1</v>
      </c>
      <c r="G302" s="31" t="str">
        <f t="shared" si="89"/>
        <v>E6_1_1_7_mRNA : E6_1_1_7_mRNA</v>
      </c>
      <c r="H302" s="32" t="str">
        <f t="shared" si="90"/>
        <v>E6_1_1_7 : E6_1_1_7</v>
      </c>
      <c r="I302" s="33" t="str">
        <f t="shared" si="91"/>
        <v>E6_1_1_7_mRNA : 0</v>
      </c>
      <c r="J302" s="16" t="str">
        <f t="shared" si="92"/>
        <v>E6_1_1_7 : 0</v>
      </c>
      <c r="K302" s="34" t="str">
        <f t="shared" si="93"/>
        <v>0.00292 - (0.0093 * E6_1_1_7_mRNA)</v>
      </c>
      <c r="L302" s="31" t="str">
        <f t="shared" si="94"/>
        <v>(0.278 * E6_1_1_7_mRNA) - (0.00000278 * E6_1_1_7)</v>
      </c>
      <c r="M302" s="35" t="str">
        <f t="shared" si="95"/>
        <v>mRNA301: -&gt; E6_1_1_7_mRNA | 0.00292 - (0.0093 * E6_1_1_7_mRNA)</v>
      </c>
      <c r="N302" s="36" t="str">
        <f t="shared" si="96"/>
        <v>Peptide301: E6_1_1_7_mRNA -&gt; E6_1_1_7 | (0.278 * E6_1_1_7_mRNA) - (0.000000278 * E6_1_1_7)</v>
      </c>
    </row>
    <row r="303" spans="1:14" x14ac:dyDescent="0.35">
      <c r="A303">
        <v>302</v>
      </c>
      <c r="B303" s="59" t="s">
        <v>2151</v>
      </c>
      <c r="C303" t="str">
        <f t="shared" si="85"/>
        <v>E6_1_1_9_mRNA</v>
      </c>
      <c r="D303" t="str">
        <f t="shared" si="86"/>
        <v>E6_1_1_9</v>
      </c>
      <c r="E303" s="36" t="str">
        <f t="shared" si="87"/>
        <v>E6_1_1_9_kcat : 13.7</v>
      </c>
      <c r="F303" s="38" t="str">
        <f t="shared" si="88"/>
        <v>E6_1_1_9_km : 1</v>
      </c>
      <c r="G303" s="31" t="str">
        <f t="shared" si="89"/>
        <v>E6_1_1_9_mRNA : E6_1_1_9_mRNA</v>
      </c>
      <c r="H303" s="32" t="str">
        <f t="shared" si="90"/>
        <v>E6_1_1_9 : E6_1_1_9</v>
      </c>
      <c r="I303" s="33" t="str">
        <f t="shared" si="91"/>
        <v>E6_1_1_9_mRNA : 0</v>
      </c>
      <c r="J303" s="16" t="str">
        <f t="shared" si="92"/>
        <v>E6_1_1_9 : 0</v>
      </c>
      <c r="K303" s="34" t="str">
        <f t="shared" si="93"/>
        <v>0.00292 - (0.0093 * E6_1_1_9_mRNA)</v>
      </c>
      <c r="L303" s="31" t="str">
        <f t="shared" si="94"/>
        <v>(0.278 * E6_1_1_9_mRNA) - (0.00000278 * E6_1_1_9)</v>
      </c>
      <c r="M303" s="35" t="str">
        <f t="shared" si="95"/>
        <v>mRNA302: -&gt; E6_1_1_9_mRNA | 0.00292 - (0.0093 * E6_1_1_9_mRNA)</v>
      </c>
      <c r="N303" s="36" t="str">
        <f t="shared" si="96"/>
        <v>Peptide302: E6_1_1_9_mRNA -&gt; E6_1_1_9 | (0.278 * E6_1_1_9_mRNA) - (0.000000278 * E6_1_1_9)</v>
      </c>
    </row>
    <row r="304" spans="1:14" x14ac:dyDescent="0.35">
      <c r="A304">
        <v>303</v>
      </c>
      <c r="B304" s="59" t="s">
        <v>10952</v>
      </c>
      <c r="C304" t="str">
        <f t="shared" si="85"/>
        <v>E6_2_1_5_mRNA</v>
      </c>
      <c r="D304" t="str">
        <f t="shared" si="86"/>
        <v>E6_2_1_5</v>
      </c>
      <c r="E304" s="36" t="str">
        <f t="shared" si="87"/>
        <v>E6_2_1_5_kcat : 13.7</v>
      </c>
      <c r="F304" s="38" t="str">
        <f t="shared" si="88"/>
        <v>E6_2_1_5_km : 1</v>
      </c>
      <c r="G304" s="31" t="str">
        <f t="shared" si="89"/>
        <v>E6_2_1_5_mRNA : E6_2_1_5_mRNA</v>
      </c>
      <c r="H304" s="32" t="str">
        <f t="shared" si="90"/>
        <v>E6_2_1_5 : E6_2_1_5</v>
      </c>
      <c r="I304" s="33" t="str">
        <f t="shared" si="91"/>
        <v>E6_2_1_5_mRNA : 0</v>
      </c>
      <c r="J304" s="16" t="str">
        <f t="shared" si="92"/>
        <v>E6_2_1_5 : 0</v>
      </c>
      <c r="K304" s="34" t="str">
        <f t="shared" si="93"/>
        <v>0.00292 - (0.0093 * E6_2_1_5_mRNA)</v>
      </c>
      <c r="L304" s="31" t="str">
        <f t="shared" si="94"/>
        <v>(0.278 * E6_2_1_5_mRNA) - (0.00000278 * E6_2_1_5)</v>
      </c>
      <c r="M304" s="35" t="str">
        <f t="shared" si="95"/>
        <v>mRNA303: -&gt; E6_2_1_5_mRNA | 0.00292 - (0.0093 * E6_2_1_5_mRNA)</v>
      </c>
      <c r="N304" s="36" t="str">
        <f t="shared" si="96"/>
        <v>Peptide303: E6_2_1_5_mRNA -&gt; E6_2_1_5 | (0.278 * E6_2_1_5_mRNA) - (0.000000278 * E6_2_1_5)</v>
      </c>
    </row>
    <row r="305" spans="1:14" x14ac:dyDescent="0.35">
      <c r="A305">
        <v>304</v>
      </c>
      <c r="B305" s="59" t="s">
        <v>10953</v>
      </c>
      <c r="C305" t="str">
        <f t="shared" si="85"/>
        <v>E6_3_1_19_mRNA</v>
      </c>
      <c r="D305" t="str">
        <f t="shared" si="86"/>
        <v>E6_3_1_19</v>
      </c>
      <c r="E305" s="36" t="str">
        <f t="shared" si="87"/>
        <v>E6_3_1_19_kcat : 13.7</v>
      </c>
      <c r="F305" s="38" t="str">
        <f t="shared" si="88"/>
        <v>E6_3_1_19_km : 1</v>
      </c>
      <c r="G305" s="31" t="str">
        <f t="shared" si="89"/>
        <v>E6_3_1_19_mRNA : E6_3_1_19_mRNA</v>
      </c>
      <c r="H305" s="32" t="str">
        <f t="shared" si="90"/>
        <v>E6_3_1_19 : E6_3_1_19</v>
      </c>
      <c r="I305" s="33" t="str">
        <f t="shared" si="91"/>
        <v>E6_3_1_19_mRNA : 0</v>
      </c>
      <c r="J305" s="16" t="str">
        <f t="shared" si="92"/>
        <v>E6_3_1_19 : 0</v>
      </c>
      <c r="K305" s="34" t="str">
        <f t="shared" si="93"/>
        <v>0.00292 - (0.0093 * E6_3_1_19_mRNA)</v>
      </c>
      <c r="L305" s="31" t="str">
        <f t="shared" si="94"/>
        <v>(0.278 * E6_3_1_19_mRNA) - (0.00000278 * E6_3_1_19)</v>
      </c>
      <c r="M305" s="35" t="str">
        <f t="shared" si="95"/>
        <v>mRNA304: -&gt; E6_3_1_19_mRNA | 0.00292 - (0.0093 * E6_3_1_19_mRNA)</v>
      </c>
      <c r="N305" s="36" t="str">
        <f t="shared" si="96"/>
        <v>Peptide304: E6_3_1_19_mRNA -&gt; E6_3_1_19 | (0.278 * E6_3_1_19_mRNA) - (0.000000278 * E6_3_1_19)</v>
      </c>
    </row>
    <row r="306" spans="1:14" x14ac:dyDescent="0.35">
      <c r="A306">
        <v>305</v>
      </c>
      <c r="B306" s="59" t="s">
        <v>2119</v>
      </c>
      <c r="C306" t="str">
        <f t="shared" si="85"/>
        <v>E6_3_1_2_mRNA</v>
      </c>
      <c r="D306" t="str">
        <f t="shared" si="86"/>
        <v>E6_3_1_2</v>
      </c>
      <c r="E306" s="36" t="str">
        <f t="shared" si="87"/>
        <v>E6_3_1_2_kcat : 13.7</v>
      </c>
      <c r="F306" s="38" t="str">
        <f t="shared" si="88"/>
        <v>E6_3_1_2_km : 1</v>
      </c>
      <c r="G306" s="31" t="str">
        <f t="shared" si="89"/>
        <v>E6_3_1_2_mRNA : E6_3_1_2_mRNA</v>
      </c>
      <c r="H306" s="32" t="str">
        <f t="shared" si="90"/>
        <v>E6_3_1_2 : E6_3_1_2</v>
      </c>
      <c r="I306" s="33" t="str">
        <f t="shared" si="91"/>
        <v>E6_3_1_2_mRNA : 0</v>
      </c>
      <c r="J306" s="16" t="str">
        <f t="shared" si="92"/>
        <v>E6_3_1_2 : 0</v>
      </c>
      <c r="K306" s="34" t="str">
        <f t="shared" si="93"/>
        <v>0.00292 - (0.0093 * E6_3_1_2_mRNA)</v>
      </c>
      <c r="L306" s="31" t="str">
        <f t="shared" si="94"/>
        <v>(0.278 * E6_3_1_2_mRNA) - (0.00000278 * E6_3_1_2)</v>
      </c>
      <c r="M306" s="35" t="str">
        <f t="shared" si="95"/>
        <v>mRNA305: -&gt; E6_3_1_2_mRNA | 0.00292 - (0.0093 * E6_3_1_2_mRNA)</v>
      </c>
      <c r="N306" s="36" t="str">
        <f t="shared" si="96"/>
        <v>Peptide305: E6_3_1_2_mRNA -&gt; E6_3_1_2 | (0.278 * E6_3_1_2_mRNA) - (0.000000278 * E6_3_1_2)</v>
      </c>
    </row>
    <row r="307" spans="1:14" x14ac:dyDescent="0.35">
      <c r="A307">
        <v>306</v>
      </c>
      <c r="B307" s="59" t="s">
        <v>2186</v>
      </c>
      <c r="C307" t="str">
        <f t="shared" si="85"/>
        <v>E6_3_2_10_mRNA</v>
      </c>
      <c r="D307" t="str">
        <f t="shared" si="86"/>
        <v>E6_3_2_10</v>
      </c>
      <c r="E307" s="36" t="str">
        <f t="shared" si="87"/>
        <v>E6_3_2_10_kcat : 13.7</v>
      </c>
      <c r="F307" s="38" t="str">
        <f t="shared" si="88"/>
        <v>E6_3_2_10_km : 1</v>
      </c>
      <c r="G307" s="31" t="str">
        <f t="shared" si="89"/>
        <v>E6_3_2_10_mRNA : E6_3_2_10_mRNA</v>
      </c>
      <c r="H307" s="32" t="str">
        <f t="shared" si="90"/>
        <v>E6_3_2_10 : E6_3_2_10</v>
      </c>
      <c r="I307" s="33" t="str">
        <f t="shared" si="91"/>
        <v>E6_3_2_10_mRNA : 0</v>
      </c>
      <c r="J307" s="16" t="str">
        <f t="shared" si="92"/>
        <v>E6_3_2_10 : 0</v>
      </c>
      <c r="K307" s="34" t="str">
        <f t="shared" si="93"/>
        <v>0.00292 - (0.0093 * E6_3_2_10_mRNA)</v>
      </c>
      <c r="L307" s="31" t="str">
        <f t="shared" si="94"/>
        <v>(0.278 * E6_3_2_10_mRNA) - (0.00000278 * E6_3_2_10)</v>
      </c>
      <c r="M307" s="35" t="str">
        <f t="shared" si="95"/>
        <v>mRNA306: -&gt; E6_3_2_10_mRNA | 0.00292 - (0.0093 * E6_3_2_10_mRNA)</v>
      </c>
      <c r="N307" s="36" t="str">
        <f t="shared" si="96"/>
        <v>Peptide306: E6_3_2_10_mRNA -&gt; E6_3_2_10 | (0.278 * E6_3_2_10_mRNA) - (0.000000278 * E6_3_2_10)</v>
      </c>
    </row>
    <row r="308" spans="1:14" x14ac:dyDescent="0.35">
      <c r="A308">
        <v>307</v>
      </c>
      <c r="B308" s="59" t="s">
        <v>10954</v>
      </c>
      <c r="C308" t="str">
        <f t="shared" si="85"/>
        <v>E6_3_2_13_mRNA</v>
      </c>
      <c r="D308" t="str">
        <f t="shared" si="86"/>
        <v>E6_3_2_13</v>
      </c>
      <c r="E308" s="36" t="str">
        <f t="shared" si="87"/>
        <v>E6_3_2_13_kcat : 13.7</v>
      </c>
      <c r="F308" s="38" t="str">
        <f t="shared" si="88"/>
        <v>E6_3_2_13_km : 1</v>
      </c>
      <c r="G308" s="31" t="str">
        <f t="shared" si="89"/>
        <v>E6_3_2_13_mRNA : E6_3_2_13_mRNA</v>
      </c>
      <c r="H308" s="32" t="str">
        <f t="shared" si="90"/>
        <v>E6_3_2_13 : E6_3_2_13</v>
      </c>
      <c r="I308" s="33" t="str">
        <f t="shared" si="91"/>
        <v>E6_3_2_13_mRNA : 0</v>
      </c>
      <c r="J308" s="16" t="str">
        <f t="shared" si="92"/>
        <v>E6_3_2_13 : 0</v>
      </c>
      <c r="K308" s="34" t="str">
        <f t="shared" si="93"/>
        <v>0.00292 - (0.0093 * E6_3_2_13_mRNA)</v>
      </c>
      <c r="L308" s="31" t="str">
        <f t="shared" si="94"/>
        <v>(0.278 * E6_3_2_13_mRNA) - (0.00000278 * E6_3_2_13)</v>
      </c>
      <c r="M308" s="35" t="str">
        <f t="shared" si="95"/>
        <v>mRNA307: -&gt; E6_3_2_13_mRNA | 0.00292 - (0.0093 * E6_3_2_13_mRNA)</v>
      </c>
      <c r="N308" s="36" t="str">
        <f t="shared" si="96"/>
        <v>Peptide307: E6_3_2_13_mRNA -&gt; E6_3_2_13 | (0.278 * E6_3_2_13_mRNA) - (0.000000278 * E6_3_2_13)</v>
      </c>
    </row>
    <row r="309" spans="1:14" x14ac:dyDescent="0.35">
      <c r="A309">
        <v>308</v>
      </c>
      <c r="B309" s="59" t="s">
        <v>2185</v>
      </c>
      <c r="C309" t="str">
        <f t="shared" si="85"/>
        <v>E6_3_2_6_mRNA</v>
      </c>
      <c r="D309" t="str">
        <f t="shared" si="86"/>
        <v>E6_3_2_6</v>
      </c>
      <c r="E309" s="36" t="str">
        <f t="shared" si="87"/>
        <v>E6_3_2_6_kcat : 13.7</v>
      </c>
      <c r="F309" s="38" t="str">
        <f t="shared" si="88"/>
        <v>E6_3_2_6_km : 1</v>
      </c>
      <c r="G309" s="31" t="str">
        <f t="shared" si="89"/>
        <v>E6_3_2_6_mRNA : E6_3_2_6_mRNA</v>
      </c>
      <c r="H309" s="32" t="str">
        <f t="shared" si="90"/>
        <v>E6_3_2_6 : E6_3_2_6</v>
      </c>
      <c r="I309" s="33" t="str">
        <f t="shared" si="91"/>
        <v>E6_3_2_6_mRNA : 0</v>
      </c>
      <c r="J309" s="16" t="str">
        <f t="shared" si="92"/>
        <v>E6_3_2_6 : 0</v>
      </c>
      <c r="K309" s="34" t="str">
        <f t="shared" si="93"/>
        <v>0.00292 - (0.0093 * E6_3_2_6_mRNA)</v>
      </c>
      <c r="L309" s="31" t="str">
        <f t="shared" si="94"/>
        <v>(0.278 * E6_3_2_6_mRNA) - (0.00000278 * E6_3_2_6)</v>
      </c>
      <c r="M309" s="35" t="str">
        <f t="shared" si="95"/>
        <v>mRNA308: -&gt; E6_3_2_6_mRNA | 0.00292 - (0.0093 * E6_3_2_6_mRNA)</v>
      </c>
      <c r="N309" s="36" t="str">
        <f t="shared" si="96"/>
        <v>Peptide308: E6_3_2_6_mRNA -&gt; E6_3_2_6 | (0.278 * E6_3_2_6_mRNA) - (0.000000278 * E6_3_2_6)</v>
      </c>
    </row>
    <row r="310" spans="1:14" x14ac:dyDescent="0.35">
      <c r="A310">
        <v>309</v>
      </c>
      <c r="B310" s="59" t="s">
        <v>2172</v>
      </c>
      <c r="C310" t="str">
        <f t="shared" si="85"/>
        <v>E6_3_2_8_mRNA</v>
      </c>
      <c r="D310" t="str">
        <f t="shared" si="86"/>
        <v>E6_3_2_8</v>
      </c>
      <c r="E310" s="36" t="str">
        <f t="shared" si="87"/>
        <v>E6_3_2_8_kcat : 13.7</v>
      </c>
      <c r="F310" s="38" t="str">
        <f t="shared" si="88"/>
        <v>E6_3_2_8_km : 1</v>
      </c>
      <c r="G310" s="31" t="str">
        <f t="shared" si="89"/>
        <v>E6_3_2_8_mRNA : E6_3_2_8_mRNA</v>
      </c>
      <c r="H310" s="32" t="str">
        <f t="shared" si="90"/>
        <v>E6_3_2_8 : E6_3_2_8</v>
      </c>
      <c r="I310" s="33" t="str">
        <f t="shared" si="91"/>
        <v>E6_3_2_8_mRNA : 0</v>
      </c>
      <c r="J310" s="16" t="str">
        <f t="shared" si="92"/>
        <v>E6_3_2_8 : 0</v>
      </c>
      <c r="K310" s="34" t="str">
        <f t="shared" si="93"/>
        <v>0.00292 - (0.0093 * E6_3_2_8_mRNA)</v>
      </c>
      <c r="L310" s="31" t="str">
        <f t="shared" si="94"/>
        <v>(0.278 * E6_3_2_8_mRNA) - (0.00000278 * E6_3_2_8)</v>
      </c>
      <c r="M310" s="35" t="str">
        <f t="shared" si="95"/>
        <v>mRNA309: -&gt; E6_3_2_8_mRNA | 0.00292 - (0.0093 * E6_3_2_8_mRNA)</v>
      </c>
      <c r="N310" s="36" t="str">
        <f t="shared" si="96"/>
        <v>Peptide309: E6_3_2_8_mRNA -&gt; E6_3_2_8 | (0.278 * E6_3_2_8_mRNA) - (0.000000278 * E6_3_2_8)</v>
      </c>
    </row>
    <row r="311" spans="1:14" x14ac:dyDescent="0.35">
      <c r="A311">
        <v>310</v>
      </c>
      <c r="B311" s="59" t="s">
        <v>2177</v>
      </c>
      <c r="C311" t="str">
        <f t="shared" si="85"/>
        <v>E6_3_2_9_mRNA</v>
      </c>
      <c r="D311" t="str">
        <f t="shared" si="86"/>
        <v>E6_3_2_9</v>
      </c>
      <c r="E311" s="36" t="str">
        <f t="shared" si="87"/>
        <v>E6_3_2_9_kcat : 13.7</v>
      </c>
      <c r="F311" s="38" t="str">
        <f t="shared" si="88"/>
        <v>E6_3_2_9_km : 1</v>
      </c>
      <c r="G311" s="31" t="str">
        <f t="shared" si="89"/>
        <v>E6_3_2_9_mRNA : E6_3_2_9_mRNA</v>
      </c>
      <c r="H311" s="32" t="str">
        <f t="shared" si="90"/>
        <v>E6_3_2_9 : E6_3_2_9</v>
      </c>
      <c r="I311" s="33" t="str">
        <f t="shared" si="91"/>
        <v>E6_3_2_9_mRNA : 0</v>
      </c>
      <c r="J311" s="16" t="str">
        <f t="shared" si="92"/>
        <v>E6_3_2_9 : 0</v>
      </c>
      <c r="K311" s="34" t="str">
        <f t="shared" si="93"/>
        <v>0.00292 - (0.0093 * E6_3_2_9_mRNA)</v>
      </c>
      <c r="L311" s="31" t="str">
        <f t="shared" si="94"/>
        <v>(0.278 * E6_3_2_9_mRNA) - (0.00000278 * E6_3_2_9)</v>
      </c>
      <c r="M311" s="35" t="str">
        <f t="shared" si="95"/>
        <v>mRNA310: -&gt; E6_3_2_9_mRNA | 0.00292 - (0.0093 * E6_3_2_9_mRNA)</v>
      </c>
      <c r="N311" s="36" t="str">
        <f t="shared" si="96"/>
        <v>Peptide310: E6_3_2_9_mRNA -&gt; E6_3_2_9 | (0.278 * E6_3_2_9_mRNA) - (0.000000278 * E6_3_2_9)</v>
      </c>
    </row>
    <row r="312" spans="1:14" x14ac:dyDescent="0.35">
      <c r="A312">
        <v>311</v>
      </c>
      <c r="B312" s="59" t="s">
        <v>2184</v>
      </c>
      <c r="C312" t="str">
        <f t="shared" si="85"/>
        <v>E6_3_3_1_mRNA</v>
      </c>
      <c r="D312" t="str">
        <f t="shared" si="86"/>
        <v>E6_3_3_1</v>
      </c>
      <c r="E312" s="36" t="str">
        <f t="shared" si="87"/>
        <v>E6_3_3_1_kcat : 13.7</v>
      </c>
      <c r="F312" s="38" t="str">
        <f t="shared" si="88"/>
        <v>E6_3_3_1_km : 1</v>
      </c>
      <c r="G312" s="31" t="str">
        <f t="shared" si="89"/>
        <v>E6_3_3_1_mRNA : E6_3_3_1_mRNA</v>
      </c>
      <c r="H312" s="32" t="str">
        <f t="shared" si="90"/>
        <v>E6_3_3_1 : E6_3_3_1</v>
      </c>
      <c r="I312" s="33" t="str">
        <f t="shared" si="91"/>
        <v>E6_3_3_1_mRNA : 0</v>
      </c>
      <c r="J312" s="16" t="str">
        <f t="shared" si="92"/>
        <v>E6_3_3_1 : 0</v>
      </c>
      <c r="K312" s="34" t="str">
        <f t="shared" si="93"/>
        <v>0.00292 - (0.0093 * E6_3_3_1_mRNA)</v>
      </c>
      <c r="L312" s="31" t="str">
        <f t="shared" si="94"/>
        <v>(0.278 * E6_3_3_1_mRNA) - (0.00000278 * E6_3_3_1)</v>
      </c>
      <c r="M312" s="35" t="str">
        <f t="shared" si="95"/>
        <v>mRNA311: -&gt; E6_3_3_1_mRNA | 0.00292 - (0.0093 * E6_3_3_1_mRNA)</v>
      </c>
      <c r="N312" s="36" t="str">
        <f t="shared" si="96"/>
        <v>Peptide311: E6_3_3_1_mRNA -&gt; E6_3_3_1 | (0.278 * E6_3_3_1_mRNA) - (0.000000278 * E6_3_3_1)</v>
      </c>
    </row>
    <row r="313" spans="1:14" x14ac:dyDescent="0.35">
      <c r="A313">
        <v>312</v>
      </c>
      <c r="B313" s="59" t="s">
        <v>2181</v>
      </c>
      <c r="C313" t="str">
        <f t="shared" si="85"/>
        <v>E6_3_3_2_mRNA</v>
      </c>
      <c r="D313" t="str">
        <f t="shared" si="86"/>
        <v>E6_3_3_2</v>
      </c>
      <c r="E313" s="36" t="str">
        <f t="shared" si="87"/>
        <v>E6_3_3_2_kcat : 13.7</v>
      </c>
      <c r="F313" s="38" t="str">
        <f t="shared" si="88"/>
        <v>E6_3_3_2_km : 1</v>
      </c>
      <c r="G313" s="31" t="str">
        <f t="shared" si="89"/>
        <v>E6_3_3_2_mRNA : E6_3_3_2_mRNA</v>
      </c>
      <c r="H313" s="32" t="str">
        <f t="shared" si="90"/>
        <v>E6_3_3_2 : E6_3_3_2</v>
      </c>
      <c r="I313" s="33" t="str">
        <f t="shared" si="91"/>
        <v>E6_3_3_2_mRNA : 0</v>
      </c>
      <c r="J313" s="16" t="str">
        <f t="shared" si="92"/>
        <v>E6_3_3_2 : 0</v>
      </c>
      <c r="K313" s="34" t="str">
        <f t="shared" si="93"/>
        <v>0.00292 - (0.0093 * E6_3_3_2_mRNA)</v>
      </c>
      <c r="L313" s="31" t="str">
        <f t="shared" si="94"/>
        <v>(0.278 * E6_3_3_2_mRNA) - (0.00000278 * E6_3_3_2)</v>
      </c>
      <c r="M313" s="35" t="str">
        <f t="shared" si="95"/>
        <v>mRNA312: -&gt; E6_3_3_2_mRNA | 0.00292 - (0.0093 * E6_3_3_2_mRNA)</v>
      </c>
      <c r="N313" s="36" t="str">
        <f t="shared" si="96"/>
        <v>Peptide312: E6_3_3_2_mRNA -&gt; E6_3_3_2 | (0.278 * E6_3_3_2_mRNA) - (0.000000278 * E6_3_3_2)</v>
      </c>
    </row>
    <row r="314" spans="1:14" x14ac:dyDescent="0.35">
      <c r="A314">
        <v>313</v>
      </c>
      <c r="B314" s="59" t="s">
        <v>2179</v>
      </c>
      <c r="C314" t="str">
        <f t="shared" si="85"/>
        <v>E6_3_4_13_mRNA</v>
      </c>
      <c r="D314" t="str">
        <f t="shared" si="86"/>
        <v>E6_3_4_13</v>
      </c>
      <c r="E314" s="36" t="str">
        <f t="shared" si="87"/>
        <v>E6_3_4_13_kcat : 13.7</v>
      </c>
      <c r="F314" s="38" t="str">
        <f t="shared" si="88"/>
        <v>E6_3_4_13_km : 1</v>
      </c>
      <c r="G314" s="31" t="str">
        <f t="shared" si="89"/>
        <v>E6_3_4_13_mRNA : E6_3_4_13_mRNA</v>
      </c>
      <c r="H314" s="32" t="str">
        <f t="shared" si="90"/>
        <v>E6_3_4_13 : E6_3_4_13</v>
      </c>
      <c r="I314" s="33" t="str">
        <f t="shared" si="91"/>
        <v>E6_3_4_13_mRNA : 0</v>
      </c>
      <c r="J314" s="16" t="str">
        <f t="shared" si="92"/>
        <v>E6_3_4_13 : 0</v>
      </c>
      <c r="K314" s="34" t="str">
        <f t="shared" si="93"/>
        <v>0.00292 - (0.0093 * E6_3_4_13_mRNA)</v>
      </c>
      <c r="L314" s="31" t="str">
        <f t="shared" si="94"/>
        <v>(0.278 * E6_3_4_13_mRNA) - (0.00000278 * E6_3_4_13)</v>
      </c>
      <c r="M314" s="35" t="str">
        <f t="shared" si="95"/>
        <v>mRNA313: -&gt; E6_3_4_13_mRNA | 0.00292 - (0.0093 * E6_3_4_13_mRNA)</v>
      </c>
      <c r="N314" s="36" t="str">
        <f t="shared" si="96"/>
        <v>Peptide313: E6_3_4_13_mRNA -&gt; E6_3_4_13 | (0.278 * E6_3_4_13_mRNA) - (0.000000278 * E6_3_4_13)</v>
      </c>
    </row>
    <row r="315" spans="1:14" x14ac:dyDescent="0.35">
      <c r="A315">
        <v>314</v>
      </c>
      <c r="B315" s="59" t="s">
        <v>2180</v>
      </c>
      <c r="C315" t="str">
        <f t="shared" si="85"/>
        <v>E6_3_4_18_mRNA</v>
      </c>
      <c r="D315" t="str">
        <f t="shared" si="86"/>
        <v>E6_3_4_18</v>
      </c>
      <c r="E315" s="36" t="str">
        <f t="shared" si="87"/>
        <v>E6_3_4_18_kcat : 13.7</v>
      </c>
      <c r="F315" s="38" t="str">
        <f t="shared" si="88"/>
        <v>E6_3_4_18_km : 1</v>
      </c>
      <c r="G315" s="31" t="str">
        <f t="shared" si="89"/>
        <v>E6_3_4_18_mRNA : E6_3_4_18_mRNA</v>
      </c>
      <c r="H315" s="32" t="str">
        <f t="shared" si="90"/>
        <v>E6_3_4_18 : E6_3_4_18</v>
      </c>
      <c r="I315" s="33" t="str">
        <f t="shared" si="91"/>
        <v>E6_3_4_18_mRNA : 0</v>
      </c>
      <c r="J315" s="16" t="str">
        <f t="shared" si="92"/>
        <v>E6_3_4_18 : 0</v>
      </c>
      <c r="K315" s="34" t="str">
        <f t="shared" si="93"/>
        <v>0.00292 - (0.0093 * E6_3_4_18_mRNA)</v>
      </c>
      <c r="L315" s="31" t="str">
        <f t="shared" si="94"/>
        <v>(0.278 * E6_3_4_18_mRNA) - (0.00000278 * E6_3_4_18)</v>
      </c>
      <c r="M315" s="35" t="str">
        <f t="shared" si="95"/>
        <v>mRNA314: -&gt; E6_3_4_18_mRNA | 0.00292 - (0.0093 * E6_3_4_18_mRNA)</v>
      </c>
      <c r="N315" s="36" t="str">
        <f t="shared" si="96"/>
        <v>Peptide314: E6_3_4_18_mRNA -&gt; E6_3_4_18 | (0.278 * E6_3_4_18_mRNA) - (0.000000278 * E6_3_4_18)</v>
      </c>
    </row>
    <row r="316" spans="1:14" x14ac:dyDescent="0.35">
      <c r="A316">
        <v>315</v>
      </c>
      <c r="B316" s="59" t="s">
        <v>2337</v>
      </c>
      <c r="C316" t="str">
        <f t="shared" si="85"/>
        <v>E6_3_4_19_mRNA</v>
      </c>
      <c r="D316" t="str">
        <f t="shared" si="86"/>
        <v>E6_3_4_19</v>
      </c>
      <c r="E316" s="36" t="str">
        <f t="shared" si="87"/>
        <v>E6_3_4_19_kcat : 13.7</v>
      </c>
      <c r="F316" s="38" t="str">
        <f t="shared" si="88"/>
        <v>E6_3_4_19_km : 1</v>
      </c>
      <c r="G316" s="31" t="str">
        <f t="shared" si="89"/>
        <v>E6_3_4_19_mRNA : E6_3_4_19_mRNA</v>
      </c>
      <c r="H316" s="32" t="str">
        <f t="shared" si="90"/>
        <v>E6_3_4_19 : E6_3_4_19</v>
      </c>
      <c r="I316" s="33" t="str">
        <f t="shared" si="91"/>
        <v>E6_3_4_19_mRNA : 0</v>
      </c>
      <c r="J316" s="16" t="str">
        <f t="shared" si="92"/>
        <v>E6_3_4_19 : 0</v>
      </c>
      <c r="K316" s="34" t="str">
        <f t="shared" si="93"/>
        <v>0.00292 - (0.0093 * E6_3_4_19_mRNA)</v>
      </c>
      <c r="L316" s="31" t="str">
        <f t="shared" si="94"/>
        <v>(0.278 * E6_3_4_19_mRNA) - (0.00000278 * E6_3_4_19)</v>
      </c>
      <c r="M316" s="35" t="str">
        <f t="shared" si="95"/>
        <v>mRNA315: -&gt; E6_3_4_19_mRNA | 0.00292 - (0.0093 * E6_3_4_19_mRNA)</v>
      </c>
      <c r="N316" s="36" t="str">
        <f t="shared" si="96"/>
        <v>Peptide315: E6_3_4_19_mRNA -&gt; E6_3_4_19 | (0.278 * E6_3_4_19_mRNA) - (0.000000278 * E6_3_4_19)</v>
      </c>
    </row>
    <row r="317" spans="1:14" x14ac:dyDescent="0.35">
      <c r="A317">
        <v>316</v>
      </c>
      <c r="B317" s="59" t="s">
        <v>2136</v>
      </c>
      <c r="C317" t="str">
        <f t="shared" si="85"/>
        <v>E6_3_4_2_mRNA</v>
      </c>
      <c r="D317" t="str">
        <f t="shared" si="86"/>
        <v>E6_3_4_2</v>
      </c>
      <c r="E317" s="36" t="str">
        <f t="shared" si="87"/>
        <v>E6_3_4_2_kcat : 13.7</v>
      </c>
      <c r="F317" s="38" t="str">
        <f t="shared" si="88"/>
        <v>E6_3_4_2_km : 1</v>
      </c>
      <c r="G317" s="31" t="str">
        <f t="shared" si="89"/>
        <v>E6_3_4_2_mRNA : E6_3_4_2_mRNA</v>
      </c>
      <c r="H317" s="32" t="str">
        <f t="shared" si="90"/>
        <v>E6_3_4_2 : E6_3_4_2</v>
      </c>
      <c r="I317" s="33" t="str">
        <f t="shared" si="91"/>
        <v>E6_3_4_2_mRNA : 0</v>
      </c>
      <c r="J317" s="16" t="str">
        <f t="shared" si="92"/>
        <v>E6_3_4_2 : 0</v>
      </c>
      <c r="K317" s="34" t="str">
        <f t="shared" si="93"/>
        <v>0.00292 - (0.0093 * E6_3_4_2_mRNA)</v>
      </c>
      <c r="L317" s="31" t="str">
        <f t="shared" si="94"/>
        <v>(0.278 * E6_3_4_2_mRNA) - (0.00000278 * E6_3_4_2)</v>
      </c>
      <c r="M317" s="35" t="str">
        <f t="shared" si="95"/>
        <v>mRNA316: -&gt; E6_3_4_2_mRNA | 0.00292 - (0.0093 * E6_3_4_2_mRNA)</v>
      </c>
      <c r="N317" s="36" t="str">
        <f t="shared" si="96"/>
        <v>Peptide316: E6_3_4_2_mRNA -&gt; E6_3_4_2 | (0.278 * E6_3_4_2_mRNA) - (0.000000278 * E6_3_4_2)</v>
      </c>
    </row>
    <row r="318" spans="1:14" x14ac:dyDescent="0.35">
      <c r="A318">
        <v>317</v>
      </c>
      <c r="B318" s="59" t="s">
        <v>2306</v>
      </c>
      <c r="C318" t="str">
        <f t="shared" si="85"/>
        <v>E6_3_4_21_mRNA</v>
      </c>
      <c r="D318" t="str">
        <f t="shared" si="86"/>
        <v>E6_3_4_21</v>
      </c>
      <c r="E318" s="36" t="str">
        <f t="shared" si="87"/>
        <v>E6_3_4_21_kcat : 13.7</v>
      </c>
      <c r="F318" s="38" t="str">
        <f t="shared" si="88"/>
        <v>E6_3_4_21_km : 1</v>
      </c>
      <c r="G318" s="31" t="str">
        <f t="shared" si="89"/>
        <v>E6_3_4_21_mRNA : E6_3_4_21_mRNA</v>
      </c>
      <c r="H318" s="32" t="str">
        <f t="shared" si="90"/>
        <v>E6_3_4_21 : E6_3_4_21</v>
      </c>
      <c r="I318" s="33" t="str">
        <f t="shared" si="91"/>
        <v>E6_3_4_21_mRNA : 0</v>
      </c>
      <c r="J318" s="16" t="str">
        <f t="shared" si="92"/>
        <v>E6_3_4_21 : 0</v>
      </c>
      <c r="K318" s="34" t="str">
        <f t="shared" si="93"/>
        <v>0.00292 - (0.0093 * E6_3_4_21_mRNA)</v>
      </c>
      <c r="L318" s="31" t="str">
        <f t="shared" si="94"/>
        <v>(0.278 * E6_3_4_21_mRNA) - (0.00000278 * E6_3_4_21)</v>
      </c>
      <c r="M318" s="35" t="str">
        <f t="shared" si="95"/>
        <v>mRNA317: -&gt; E6_3_4_21_mRNA | 0.00292 - (0.0093 * E6_3_4_21_mRNA)</v>
      </c>
      <c r="N318" s="36" t="str">
        <f t="shared" si="96"/>
        <v>Peptide317: E6_3_4_21_mRNA -&gt; E6_3_4_21 | (0.278 * E6_3_4_21_mRNA) - (0.000000278 * E6_3_4_21)</v>
      </c>
    </row>
    <row r="319" spans="1:14" x14ac:dyDescent="0.35">
      <c r="A319">
        <v>318</v>
      </c>
      <c r="B319" s="59" t="s">
        <v>2246</v>
      </c>
      <c r="C319" t="str">
        <f t="shared" si="85"/>
        <v>E6_3_4_3_mRNA</v>
      </c>
      <c r="D319" t="str">
        <f t="shared" si="86"/>
        <v>E6_3_4_3</v>
      </c>
      <c r="E319" s="36" t="str">
        <f t="shared" si="87"/>
        <v>E6_3_4_3_kcat : 13.7</v>
      </c>
      <c r="F319" s="38" t="str">
        <f t="shared" si="88"/>
        <v>E6_3_4_3_km : 1</v>
      </c>
      <c r="G319" s="31" t="str">
        <f t="shared" si="89"/>
        <v>E6_3_4_3_mRNA : E6_3_4_3_mRNA</v>
      </c>
      <c r="H319" s="32" t="str">
        <f t="shared" si="90"/>
        <v>E6_3_4_3 : E6_3_4_3</v>
      </c>
      <c r="I319" s="33" t="str">
        <f t="shared" si="91"/>
        <v>E6_3_4_3_mRNA : 0</v>
      </c>
      <c r="J319" s="16" t="str">
        <f t="shared" si="92"/>
        <v>E6_3_4_3 : 0</v>
      </c>
      <c r="K319" s="34" t="str">
        <f t="shared" si="93"/>
        <v>0.00292 - (0.0093 * E6_3_4_3_mRNA)</v>
      </c>
      <c r="L319" s="31" t="str">
        <f t="shared" si="94"/>
        <v>(0.278 * E6_3_4_3_mRNA) - (0.00000278 * E6_3_4_3)</v>
      </c>
      <c r="M319" s="35" t="str">
        <f t="shared" si="95"/>
        <v>mRNA318: -&gt; E6_3_4_3_mRNA | 0.00292 - (0.0093 * E6_3_4_3_mRNA)</v>
      </c>
      <c r="N319" s="36" t="str">
        <f t="shared" si="96"/>
        <v>Peptide318: E6_3_4_3_mRNA -&gt; E6_3_4_3 | (0.278 * E6_3_4_3_mRNA) - (0.000000278 * E6_3_4_3)</v>
      </c>
    </row>
    <row r="320" spans="1:14" x14ac:dyDescent="0.35">
      <c r="A320">
        <v>319</v>
      </c>
      <c r="B320" s="59" t="s">
        <v>2220</v>
      </c>
      <c r="C320" t="str">
        <f t="shared" si="85"/>
        <v>E6_3_4_4_mRNA</v>
      </c>
      <c r="D320" t="str">
        <f t="shared" si="86"/>
        <v>E6_3_4_4</v>
      </c>
      <c r="E320" s="36" t="str">
        <f t="shared" si="87"/>
        <v>E6_3_4_4_kcat : 13.7</v>
      </c>
      <c r="F320" s="38" t="str">
        <f t="shared" si="88"/>
        <v>E6_3_4_4_km : 1</v>
      </c>
      <c r="G320" s="31" t="str">
        <f t="shared" si="89"/>
        <v>E6_3_4_4_mRNA : E6_3_4_4_mRNA</v>
      </c>
      <c r="H320" s="32" t="str">
        <f t="shared" si="90"/>
        <v>E6_3_4_4 : E6_3_4_4</v>
      </c>
      <c r="I320" s="33" t="str">
        <f t="shared" si="91"/>
        <v>E6_3_4_4_mRNA : 0</v>
      </c>
      <c r="J320" s="16" t="str">
        <f t="shared" si="92"/>
        <v>E6_3_4_4 : 0</v>
      </c>
      <c r="K320" s="34" t="str">
        <f t="shared" si="93"/>
        <v>0.00292 - (0.0093 * E6_3_4_4_mRNA)</v>
      </c>
      <c r="L320" s="31" t="str">
        <f t="shared" si="94"/>
        <v>(0.278 * E6_3_4_4_mRNA) - (0.00000278 * E6_3_4_4)</v>
      </c>
      <c r="M320" s="35" t="str">
        <f t="shared" si="95"/>
        <v>mRNA319: -&gt; E6_3_4_4_mRNA | 0.00292 - (0.0093 * E6_3_4_4_mRNA)</v>
      </c>
      <c r="N320" s="36" t="str">
        <f t="shared" si="96"/>
        <v>Peptide319: E6_3_4_4_mRNA -&gt; E6_3_4_4 | (0.278 * E6_3_4_4_mRNA) - (0.000000278 * E6_3_4_4)</v>
      </c>
    </row>
    <row r="321" spans="1:14" x14ac:dyDescent="0.35">
      <c r="A321">
        <v>320</v>
      </c>
      <c r="B321" s="59" t="s">
        <v>10955</v>
      </c>
      <c r="C321" t="str">
        <f t="shared" si="85"/>
        <v>E6_3_4_5_mRNA</v>
      </c>
      <c r="D321" t="str">
        <f t="shared" si="86"/>
        <v>E6_3_4_5</v>
      </c>
      <c r="E321" s="36" t="str">
        <f t="shared" si="87"/>
        <v>E6_3_4_5_kcat : 13.7</v>
      </c>
      <c r="F321" s="38" t="str">
        <f t="shared" si="88"/>
        <v>E6_3_4_5_km : 1</v>
      </c>
      <c r="G321" s="31" t="str">
        <f t="shared" si="89"/>
        <v>E6_3_4_5_mRNA : E6_3_4_5_mRNA</v>
      </c>
      <c r="H321" s="32" t="str">
        <f t="shared" si="90"/>
        <v>E6_3_4_5 : E6_3_4_5</v>
      </c>
      <c r="I321" s="33" t="str">
        <f t="shared" si="91"/>
        <v>E6_3_4_5_mRNA : 0</v>
      </c>
      <c r="J321" s="16" t="str">
        <f t="shared" si="92"/>
        <v>E6_3_4_5 : 0</v>
      </c>
      <c r="K321" s="34" t="str">
        <f t="shared" si="93"/>
        <v>0.00292 - (0.0093 * E6_3_4_5_mRNA)</v>
      </c>
      <c r="L321" s="31" t="str">
        <f t="shared" si="94"/>
        <v>(0.278 * E6_3_4_5_mRNA) - (0.00000278 * E6_3_4_5)</v>
      </c>
      <c r="M321" s="35" t="str">
        <f t="shared" si="95"/>
        <v>mRNA320: -&gt; E6_3_4_5_mRNA | 0.00292 - (0.0093 * E6_3_4_5_mRNA)</v>
      </c>
      <c r="N321" s="36" t="str">
        <f t="shared" si="96"/>
        <v>Peptide320: E6_3_4_5_mRNA -&gt; E6_3_4_5 | (0.278 * E6_3_4_5_mRNA) - (0.000000278 * E6_3_4_5)</v>
      </c>
    </row>
    <row r="322" spans="1:14" x14ac:dyDescent="0.35">
      <c r="A322">
        <v>321</v>
      </c>
      <c r="B322" s="59" t="s">
        <v>10956</v>
      </c>
      <c r="C322" t="str">
        <f t="shared" si="85"/>
        <v>E6_3_5_1_mRNA</v>
      </c>
      <c r="D322" t="str">
        <f t="shared" si="86"/>
        <v>E6_3_5_1</v>
      </c>
      <c r="E322" s="36" t="str">
        <f t="shared" si="87"/>
        <v>E6_3_5_1_kcat : 13.7</v>
      </c>
      <c r="F322" s="38" t="str">
        <f t="shared" si="88"/>
        <v>E6_3_5_1_km : 1</v>
      </c>
      <c r="G322" s="31" t="str">
        <f t="shared" si="89"/>
        <v>E6_3_5_1_mRNA : E6_3_5_1_mRNA</v>
      </c>
      <c r="H322" s="32" t="str">
        <f t="shared" si="90"/>
        <v>E6_3_5_1 : E6_3_5_1</v>
      </c>
      <c r="I322" s="33" t="str">
        <f t="shared" si="91"/>
        <v>E6_3_5_1_mRNA : 0</v>
      </c>
      <c r="J322" s="16" t="str">
        <f t="shared" si="92"/>
        <v>E6_3_5_1 : 0</v>
      </c>
      <c r="K322" s="34" t="str">
        <f t="shared" si="93"/>
        <v>0.00292 - (0.0093 * E6_3_5_1_mRNA)</v>
      </c>
      <c r="L322" s="31" t="str">
        <f t="shared" si="94"/>
        <v>(0.278 * E6_3_5_1_mRNA) - (0.00000278 * E6_3_5_1)</v>
      </c>
      <c r="M322" s="35" t="str">
        <f t="shared" si="95"/>
        <v>mRNA321: -&gt; E6_3_5_1_mRNA | 0.00292 - (0.0093 * E6_3_5_1_mRNA)</v>
      </c>
      <c r="N322" s="36" t="str">
        <f t="shared" si="96"/>
        <v>Peptide321: E6_3_5_1_mRNA -&gt; E6_3_5_1 | (0.278 * E6_3_5_1_mRNA) - (0.000000278 * E6_3_5_1)</v>
      </c>
    </row>
    <row r="323" spans="1:14" x14ac:dyDescent="0.35">
      <c r="A323">
        <v>322</v>
      </c>
      <c r="B323" s="59" t="s">
        <v>2166</v>
      </c>
      <c r="C323" t="str">
        <f t="shared" si="85"/>
        <v>E6_3_5_2_mRNA</v>
      </c>
      <c r="D323" t="str">
        <f t="shared" si="86"/>
        <v>E6_3_5_2</v>
      </c>
      <c r="E323" s="36" t="str">
        <f t="shared" si="87"/>
        <v>E6_3_5_2_kcat : 13.7</v>
      </c>
      <c r="F323" s="38" t="str">
        <f t="shared" si="88"/>
        <v>E6_3_5_2_km : 1</v>
      </c>
      <c r="G323" s="31" t="str">
        <f t="shared" si="89"/>
        <v>E6_3_5_2_mRNA : E6_3_5_2_mRNA</v>
      </c>
      <c r="H323" s="32" t="str">
        <f t="shared" si="90"/>
        <v>E6_3_5_2 : E6_3_5_2</v>
      </c>
      <c r="I323" s="33" t="str">
        <f t="shared" si="91"/>
        <v>E6_3_5_2_mRNA : 0</v>
      </c>
      <c r="J323" s="16" t="str">
        <f t="shared" si="92"/>
        <v>E6_3_5_2 : 0</v>
      </c>
      <c r="K323" s="34" t="str">
        <f t="shared" si="93"/>
        <v>0.00292 - (0.0093 * E6_3_5_2_mRNA)</v>
      </c>
      <c r="L323" s="31" t="str">
        <f t="shared" si="94"/>
        <v>(0.278 * E6_3_5_2_mRNA) - (0.00000278 * E6_3_5_2)</v>
      </c>
      <c r="M323" s="35" t="str">
        <f t="shared" si="95"/>
        <v>mRNA322: -&gt; E6_3_5_2_mRNA | 0.00292 - (0.0093 * E6_3_5_2_mRNA)</v>
      </c>
      <c r="N323" s="36" t="str">
        <f t="shared" si="96"/>
        <v>Peptide322: E6_3_5_2_mRNA -&gt; E6_3_5_2 | (0.278 * E6_3_5_2_mRNA) - (0.000000278 * E6_3_5_2)</v>
      </c>
    </row>
    <row r="324" spans="1:14" x14ac:dyDescent="0.35">
      <c r="A324">
        <v>323</v>
      </c>
      <c r="B324" s="59" t="s">
        <v>2182</v>
      </c>
      <c r="C324" t="str">
        <f t="shared" si="85"/>
        <v>E6_3_5_3_mRNA</v>
      </c>
      <c r="D324" t="str">
        <f t="shared" si="86"/>
        <v>E6_3_5_3</v>
      </c>
      <c r="E324" s="36" t="str">
        <f t="shared" si="87"/>
        <v>E6_3_5_3_kcat : 13.7</v>
      </c>
      <c r="F324" s="38" t="str">
        <f t="shared" si="88"/>
        <v>E6_3_5_3_km : 1</v>
      </c>
      <c r="G324" s="31" t="str">
        <f t="shared" si="89"/>
        <v>E6_3_5_3_mRNA : E6_3_5_3_mRNA</v>
      </c>
      <c r="H324" s="32" t="str">
        <f t="shared" si="90"/>
        <v>E6_3_5_3 : E6_3_5_3</v>
      </c>
      <c r="I324" s="33" t="str">
        <f t="shared" si="91"/>
        <v>E6_3_5_3_mRNA : 0</v>
      </c>
      <c r="J324" s="16" t="str">
        <f t="shared" si="92"/>
        <v>E6_3_5_3 : 0</v>
      </c>
      <c r="K324" s="34" t="str">
        <f t="shared" si="93"/>
        <v>0.00292 - (0.0093 * E6_3_5_3_mRNA)</v>
      </c>
      <c r="L324" s="31" t="str">
        <f t="shared" si="94"/>
        <v>(0.278 * E6_3_5_3_mRNA) - (0.00000278 * E6_3_5_3)</v>
      </c>
      <c r="M324" s="35" t="str">
        <f t="shared" si="95"/>
        <v>mRNA323: -&gt; E6_3_5_3_mRNA | 0.00292 - (0.0093 * E6_3_5_3_mRNA)</v>
      </c>
      <c r="N324" s="36" t="str">
        <f t="shared" si="96"/>
        <v>Peptide323: E6_3_5_3_mRNA -&gt; E6_3_5_3 | (0.278 * E6_3_5_3_mRNA) - (0.000000278 * E6_3_5_3)</v>
      </c>
    </row>
    <row r="325" spans="1:14" x14ac:dyDescent="0.35">
      <c r="A325">
        <v>324</v>
      </c>
      <c r="B325" s="59" t="s">
        <v>2133</v>
      </c>
      <c r="C325" t="str">
        <f t="shared" si="85"/>
        <v>E6_3_5_5_mRNA</v>
      </c>
      <c r="D325" t="str">
        <f t="shared" si="86"/>
        <v>E6_3_5_5</v>
      </c>
      <c r="E325" s="36" t="str">
        <f t="shared" si="87"/>
        <v>E6_3_5_5_kcat : 13.7</v>
      </c>
      <c r="F325" s="38" t="str">
        <f t="shared" si="88"/>
        <v>E6_3_5_5_km : 1</v>
      </c>
      <c r="G325" s="31" t="str">
        <f t="shared" si="89"/>
        <v>E6_3_5_5_mRNA : E6_3_5_5_mRNA</v>
      </c>
      <c r="H325" s="32" t="str">
        <f t="shared" si="90"/>
        <v>E6_3_5_5 : E6_3_5_5</v>
      </c>
      <c r="I325" s="33" t="str">
        <f t="shared" si="91"/>
        <v>E6_3_5_5_mRNA : 0</v>
      </c>
      <c r="J325" s="16" t="str">
        <f t="shared" si="92"/>
        <v>E6_3_5_5 : 0</v>
      </c>
      <c r="K325" s="34" t="str">
        <f t="shared" si="93"/>
        <v>0.00292 - (0.0093 * E6_3_5_5_mRNA)</v>
      </c>
      <c r="L325" s="31" t="str">
        <f t="shared" si="94"/>
        <v>(0.278 * E6_3_5_5_mRNA) - (0.00000278 * E6_3_5_5)</v>
      </c>
      <c r="M325" s="35" t="str">
        <f t="shared" si="95"/>
        <v>mRNA324: -&gt; E6_3_5_5_mRNA | 0.00292 - (0.0093 * E6_3_5_5_mRNA)</v>
      </c>
      <c r="N325" s="36" t="str">
        <f t="shared" si="96"/>
        <v>Peptide324: E6_3_5_5_mRNA -&gt; E6_3_5_5 | (0.278 * E6_3_5_5_mRNA) - (0.000000278 * E6_3_5_5)</v>
      </c>
    </row>
    <row r="326" spans="1:14" x14ac:dyDescent="0.35">
      <c r="A326">
        <v>325</v>
      </c>
      <c r="B326" s="59" t="s">
        <v>2188</v>
      </c>
      <c r="C326" t="str">
        <f t="shared" si="85"/>
        <v>E6_5_1_2_mRNA</v>
      </c>
      <c r="D326" t="str">
        <f t="shared" si="86"/>
        <v>E6_5_1_2</v>
      </c>
      <c r="E326" s="36" t="str">
        <f t="shared" si="87"/>
        <v>E6_5_1_2_kcat : 13.7</v>
      </c>
      <c r="F326" s="38" t="str">
        <f t="shared" si="88"/>
        <v>E6_5_1_2_km : 1</v>
      </c>
      <c r="G326" s="31" t="str">
        <f t="shared" si="89"/>
        <v>E6_5_1_2_mRNA : E6_5_1_2_mRNA</v>
      </c>
      <c r="H326" s="32" t="str">
        <f t="shared" si="90"/>
        <v>E6_5_1_2 : E6_5_1_2</v>
      </c>
      <c r="I326" s="33" t="str">
        <f t="shared" si="91"/>
        <v>E6_5_1_2_mRNA : 0</v>
      </c>
      <c r="J326" s="16" t="str">
        <f t="shared" si="92"/>
        <v>E6_5_1_2 : 0</v>
      </c>
      <c r="K326" s="34" t="str">
        <f t="shared" si="93"/>
        <v>0.00292 - (0.0093 * E6_5_1_2_mRNA)</v>
      </c>
      <c r="L326" s="31" t="str">
        <f t="shared" si="94"/>
        <v>(0.278 * E6_5_1_2_mRNA) - (0.00000278 * E6_5_1_2)</v>
      </c>
      <c r="M326" s="35" t="str">
        <f t="shared" si="95"/>
        <v>mRNA325: -&gt; E6_5_1_2_mRNA | 0.00292 - (0.0093 * E6_5_1_2_mRNA)</v>
      </c>
      <c r="N326" s="36" t="str">
        <f t="shared" si="96"/>
        <v>Peptide325: E6_5_1_2_mRNA -&gt; E6_5_1_2 | (0.278 * E6_5_1_2_mRNA) - (0.000000278 * E6_5_1_2)</v>
      </c>
    </row>
    <row r="327" spans="1:14" x14ac:dyDescent="0.35">
      <c r="A327">
        <v>326</v>
      </c>
      <c r="B327" s="59" t="s">
        <v>10957</v>
      </c>
      <c r="C327" t="str">
        <f t="shared" ref="C327:C330" si="97">CONCATENATE(D327,"_mRNA")</f>
        <v>E7_1_1_1_mRNA</v>
      </c>
      <c r="D327" t="str">
        <f t="shared" ref="D327:D330" si="98">CONCATENATE("E",B327)</f>
        <v>E7_1_1_1</v>
      </c>
      <c r="E327" s="36" t="str">
        <f t="shared" ref="E327:E330" si="99">CONCATENATE("E",B327,"_kcat : 13.7")</f>
        <v>E7_1_1_1_kcat : 13.7</v>
      </c>
      <c r="F327" s="38" t="str">
        <f t="shared" ref="F327:F330" si="100">CONCATENATE("E",B327,"_km : 1")</f>
        <v>E7_1_1_1_km : 1</v>
      </c>
      <c r="G327" s="31" t="str">
        <f t="shared" ref="G327:G330" si="101">CONCATENATE(C327," : ",C327)</f>
        <v>E7_1_1_1_mRNA : E7_1_1_1_mRNA</v>
      </c>
      <c r="H327" s="32" t="str">
        <f t="shared" ref="H327:H330" si="102">CONCATENATE(D327," : ",D327)</f>
        <v>E7_1_1_1 : E7_1_1_1</v>
      </c>
      <c r="I327" s="33" t="str">
        <f t="shared" ref="I327:I330" si="103">CONCATENATE(C327," : ","0")</f>
        <v>E7_1_1_1_mRNA : 0</v>
      </c>
      <c r="J327" s="16" t="str">
        <f t="shared" ref="J327:J330" si="104">CONCATENATE(D327," : ","0")</f>
        <v>E7_1_1_1 : 0</v>
      </c>
      <c r="K327" s="34" t="str">
        <f t="shared" ref="K327:K330" si="105">CONCATENATE("0.00292 - (0.0093 * ",C327,")")</f>
        <v>0.00292 - (0.0093 * E7_1_1_1_mRNA)</v>
      </c>
      <c r="L327" s="31" t="str">
        <f t="shared" ref="L327:L330" si="106">CONCATENATE("(0.278 * ",C327,")"," - (0.00000278 * ",D327,")")</f>
        <v>(0.278 * E7_1_1_1_mRNA) - (0.00000278 * E7_1_1_1)</v>
      </c>
      <c r="M327" s="35" t="str">
        <f t="shared" ref="M327:M330" si="107">CONCATENATE("mRNA",A327,": -&gt; ",C327," | ","0.00292"," - ","(","0.0093"," * ",C327,")")</f>
        <v>mRNA326: -&gt; E7_1_1_1_mRNA | 0.00292 - (0.0093 * E7_1_1_1_mRNA)</v>
      </c>
      <c r="N327" s="36" t="str">
        <f t="shared" ref="N327:N330" si="108">CONCATENATE("Peptide",A327,": ",C327," -&gt; ",D327," | ","(","0.278"," * ",C327,")"," - ","(","0.000000278"," * ",D327,")")</f>
        <v>Peptide326: E7_1_1_1_mRNA -&gt; E7_1_1_1 | (0.278 * E7_1_1_1_mRNA) - (0.000000278 * E7_1_1_1)</v>
      </c>
    </row>
    <row r="328" spans="1:14" x14ac:dyDescent="0.35">
      <c r="A328">
        <v>327</v>
      </c>
      <c r="B328" s="59" t="s">
        <v>2115</v>
      </c>
      <c r="C328" t="str">
        <f t="shared" si="97"/>
        <v>E7_1_2_2_mRNA</v>
      </c>
      <c r="D328" t="str">
        <f t="shared" si="98"/>
        <v>E7_1_2_2</v>
      </c>
      <c r="E328" s="36" t="str">
        <f t="shared" si="99"/>
        <v>E7_1_2_2_kcat : 13.7</v>
      </c>
      <c r="F328" s="38" t="str">
        <f t="shared" si="100"/>
        <v>E7_1_2_2_km : 1</v>
      </c>
      <c r="G328" s="31" t="str">
        <f t="shared" si="101"/>
        <v>E7_1_2_2_mRNA : E7_1_2_2_mRNA</v>
      </c>
      <c r="H328" s="32" t="str">
        <f t="shared" si="102"/>
        <v>E7_1_2_2 : E7_1_2_2</v>
      </c>
      <c r="I328" s="33" t="str">
        <f t="shared" si="103"/>
        <v>E7_1_2_2_mRNA : 0</v>
      </c>
      <c r="J328" s="16" t="str">
        <f t="shared" si="104"/>
        <v>E7_1_2_2 : 0</v>
      </c>
      <c r="K328" s="34" t="str">
        <f t="shared" si="105"/>
        <v>0.00292 - (0.0093 * E7_1_2_2_mRNA)</v>
      </c>
      <c r="L328" s="31" t="str">
        <f t="shared" si="106"/>
        <v>(0.278 * E7_1_2_2_mRNA) - (0.00000278 * E7_1_2_2)</v>
      </c>
      <c r="M328" s="35" t="str">
        <f t="shared" si="107"/>
        <v>mRNA327: -&gt; E7_1_2_2_mRNA | 0.00292 - (0.0093 * E7_1_2_2_mRNA)</v>
      </c>
      <c r="N328" s="36" t="str">
        <f t="shared" si="108"/>
        <v>Peptide327: E7_1_2_2_mRNA -&gt; E7_1_2_2 | (0.278 * E7_1_2_2_mRNA) - (0.000000278 * E7_1_2_2)</v>
      </c>
    </row>
    <row r="329" spans="1:14" x14ac:dyDescent="0.35">
      <c r="A329">
        <v>328</v>
      </c>
      <c r="B329" s="59" t="s">
        <v>10958</v>
      </c>
      <c r="C329" t="str">
        <f t="shared" si="97"/>
        <v>E7_3_2_1_mRNA</v>
      </c>
      <c r="D329" t="str">
        <f t="shared" si="98"/>
        <v>E7_3_2_1</v>
      </c>
      <c r="E329" s="36" t="str">
        <f t="shared" si="99"/>
        <v>E7_3_2_1_kcat : 13.7</v>
      </c>
      <c r="F329" s="38" t="str">
        <f t="shared" si="100"/>
        <v>E7_3_2_1_km : 1</v>
      </c>
      <c r="G329" s="31" t="str">
        <f t="shared" si="101"/>
        <v>E7_3_2_1_mRNA : E7_3_2_1_mRNA</v>
      </c>
      <c r="H329" s="32" t="str">
        <f t="shared" si="102"/>
        <v>E7_3_2_1 : E7_3_2_1</v>
      </c>
      <c r="I329" s="33" t="str">
        <f t="shared" si="103"/>
        <v>E7_3_2_1_mRNA : 0</v>
      </c>
      <c r="J329" s="16" t="str">
        <f t="shared" si="104"/>
        <v>E7_3_2_1 : 0</v>
      </c>
      <c r="K329" s="34" t="str">
        <f t="shared" si="105"/>
        <v>0.00292 - (0.0093 * E7_3_2_1_mRNA)</v>
      </c>
      <c r="L329" s="31" t="str">
        <f t="shared" si="106"/>
        <v>(0.278 * E7_3_2_1_mRNA) - (0.00000278 * E7_3_2_1)</v>
      </c>
      <c r="M329" s="35" t="str">
        <f t="shared" si="107"/>
        <v>mRNA328: -&gt; E7_3_2_1_mRNA | 0.00292 - (0.0093 * E7_3_2_1_mRNA)</v>
      </c>
      <c r="N329" s="36" t="str">
        <f t="shared" si="108"/>
        <v>Peptide328: E7_3_2_1_mRNA -&gt; E7_3_2_1 | (0.278 * E7_3_2_1_mRNA) - (0.000000278 * E7_3_2_1)</v>
      </c>
    </row>
    <row r="330" spans="1:14" x14ac:dyDescent="0.35">
      <c r="A330">
        <v>329</v>
      </c>
      <c r="B330" s="59" t="s">
        <v>10959</v>
      </c>
      <c r="C330" t="str">
        <f t="shared" si="97"/>
        <v>E7_4_2_11_mRNA</v>
      </c>
      <c r="D330" t="str">
        <f t="shared" si="98"/>
        <v>E7_4_2_11</v>
      </c>
      <c r="E330" s="36" t="str">
        <f t="shared" si="99"/>
        <v>E7_4_2_11_kcat : 13.7</v>
      </c>
      <c r="F330" s="38" t="str">
        <f t="shared" si="100"/>
        <v>E7_4_2_11_km : 1</v>
      </c>
      <c r="G330" s="31" t="str">
        <f t="shared" si="101"/>
        <v>E7_4_2_11_mRNA : E7_4_2_11_mRNA</v>
      </c>
      <c r="H330" s="32" t="str">
        <f t="shared" si="102"/>
        <v>E7_4_2_11 : E7_4_2_11</v>
      </c>
      <c r="I330" s="33" t="str">
        <f t="shared" si="103"/>
        <v>E7_4_2_11_mRNA : 0</v>
      </c>
      <c r="J330" s="16" t="str">
        <f t="shared" si="104"/>
        <v>E7_4_2_11 : 0</v>
      </c>
      <c r="K330" s="34" t="str">
        <f t="shared" si="105"/>
        <v>0.00292 - (0.0093 * E7_4_2_11_mRNA)</v>
      </c>
      <c r="L330" s="31" t="str">
        <f t="shared" si="106"/>
        <v>(0.278 * E7_4_2_11_mRNA) - (0.00000278 * E7_4_2_11)</v>
      </c>
      <c r="M330" s="35" t="str">
        <f t="shared" si="107"/>
        <v>mRNA329: -&gt; E7_4_2_11_mRNA | 0.00292 - (0.0093 * E7_4_2_11_mRNA)</v>
      </c>
      <c r="N330" s="36" t="str">
        <f t="shared" si="108"/>
        <v>Peptide329: E7_4_2_11_mRNA -&gt; E7_4_2_11 | (0.278 * E7_4_2_11_mRNA) - (0.000000278 * E7_4_2_11)</v>
      </c>
    </row>
    <row r="331" spans="1:14" x14ac:dyDescent="0.35">
      <c r="B331" s="59"/>
    </row>
    <row r="332" spans="1:14" x14ac:dyDescent="0.35">
      <c r="B332" s="59"/>
    </row>
    <row r="333" spans="1:14" x14ac:dyDescent="0.35">
      <c r="B333" s="59"/>
    </row>
    <row r="334" spans="1:14" x14ac:dyDescent="0.35">
      <c r="B334" s="59"/>
    </row>
    <row r="335" spans="1:14" x14ac:dyDescent="0.35">
      <c r="B335" s="59"/>
    </row>
    <row r="336" spans="1:14" x14ac:dyDescent="0.35">
      <c r="B336" s="59"/>
    </row>
    <row r="337" spans="2:2" x14ac:dyDescent="0.35">
      <c r="B337" s="59"/>
    </row>
    <row r="338" spans="2:2" x14ac:dyDescent="0.35">
      <c r="B338" s="59"/>
    </row>
    <row r="339" spans="2:2" x14ac:dyDescent="0.35">
      <c r="B339" s="59"/>
    </row>
    <row r="340" spans="2:2" x14ac:dyDescent="0.35">
      <c r="B340" s="59"/>
    </row>
    <row r="341" spans="2:2" x14ac:dyDescent="0.35">
      <c r="B341" s="59"/>
    </row>
    <row r="342" spans="2:2" x14ac:dyDescent="0.35">
      <c r="B342" s="59"/>
    </row>
    <row r="343" spans="2:2" x14ac:dyDescent="0.35">
      <c r="B343" s="59"/>
    </row>
    <row r="344" spans="2:2" x14ac:dyDescent="0.35">
      <c r="B344" s="59"/>
    </row>
    <row r="345" spans="2:2" x14ac:dyDescent="0.35">
      <c r="B345" s="59"/>
    </row>
    <row r="346" spans="2:2" x14ac:dyDescent="0.35">
      <c r="B346" s="59"/>
    </row>
    <row r="347" spans="2:2" x14ac:dyDescent="0.35">
      <c r="B347" s="59"/>
    </row>
    <row r="348" spans="2:2" x14ac:dyDescent="0.35">
      <c r="B348" s="59"/>
    </row>
    <row r="349" spans="2:2" x14ac:dyDescent="0.35">
      <c r="B349" s="59"/>
    </row>
    <row r="350" spans="2:2" x14ac:dyDescent="0.35">
      <c r="B350" s="59"/>
    </row>
    <row r="351" spans="2:2" x14ac:dyDescent="0.35">
      <c r="B351" s="59"/>
    </row>
    <row r="352" spans="2:2" x14ac:dyDescent="0.35">
      <c r="B352" s="59"/>
    </row>
    <row r="353" spans="2:14" x14ac:dyDescent="0.35">
      <c r="B353" s="59"/>
    </row>
    <row r="354" spans="2:14" x14ac:dyDescent="0.35">
      <c r="B354" s="59"/>
    </row>
    <row r="355" spans="2:14" x14ac:dyDescent="0.35">
      <c r="B355" s="59"/>
    </row>
    <row r="356" spans="2:14" x14ac:dyDescent="0.35">
      <c r="B356" s="59"/>
    </row>
    <row r="357" spans="2:14" x14ac:dyDescent="0.35">
      <c r="B357" s="59"/>
    </row>
    <row r="358" spans="2:14" x14ac:dyDescent="0.35">
      <c r="B358" s="59"/>
    </row>
    <row r="359" spans="2:14" x14ac:dyDescent="0.35">
      <c r="B359" s="59"/>
    </row>
    <row r="360" spans="2:14" x14ac:dyDescent="0.35">
      <c r="B360" s="59"/>
    </row>
    <row r="361" spans="2:14" x14ac:dyDescent="0.35">
      <c r="B361" s="59"/>
    </row>
    <row r="362" spans="2:14" x14ac:dyDescent="0.35">
      <c r="B362" s="59"/>
    </row>
    <row r="363" spans="2:14" x14ac:dyDescent="0.35">
      <c r="B363" s="59"/>
    </row>
    <row r="364" spans="2:14" x14ac:dyDescent="0.35">
      <c r="B364" s="59"/>
    </row>
    <row r="365" spans="2:14" x14ac:dyDescent="0.35">
      <c r="B365" s="59"/>
      <c r="G365"/>
      <c r="H365"/>
      <c r="I365"/>
      <c r="J365"/>
      <c r="K365"/>
      <c r="L365"/>
      <c r="M365"/>
      <c r="N365"/>
    </row>
    <row r="366" spans="2:14" x14ac:dyDescent="0.35">
      <c r="B366" s="59"/>
      <c r="G366"/>
      <c r="H366"/>
      <c r="I366"/>
      <c r="J366"/>
      <c r="K366"/>
      <c r="L366"/>
      <c r="M366"/>
      <c r="N366"/>
    </row>
    <row r="367" spans="2:14" x14ac:dyDescent="0.35">
      <c r="B367" s="59"/>
      <c r="G367"/>
      <c r="H367"/>
      <c r="I367"/>
      <c r="J367"/>
      <c r="K367"/>
      <c r="L367"/>
      <c r="M367"/>
      <c r="N367"/>
    </row>
    <row r="368" spans="2:14" x14ac:dyDescent="0.35">
      <c r="B368" s="59"/>
      <c r="G368"/>
      <c r="H368"/>
      <c r="I368"/>
      <c r="J368"/>
      <c r="K368"/>
      <c r="L368"/>
      <c r="M368"/>
      <c r="N368"/>
    </row>
    <row r="369" spans="2:14" x14ac:dyDescent="0.35">
      <c r="B369" s="59"/>
      <c r="G369"/>
      <c r="H369"/>
      <c r="I369"/>
      <c r="J369"/>
      <c r="K369"/>
      <c r="L369"/>
      <c r="M369"/>
      <c r="N369"/>
    </row>
    <row r="370" spans="2:14" x14ac:dyDescent="0.35">
      <c r="B370" s="59"/>
      <c r="G370"/>
      <c r="H370"/>
      <c r="I370"/>
      <c r="J370"/>
      <c r="K370"/>
      <c r="L370"/>
      <c r="M370"/>
      <c r="N370"/>
    </row>
    <row r="371" spans="2:14" x14ac:dyDescent="0.35">
      <c r="B371" s="59"/>
      <c r="G371"/>
      <c r="H371"/>
      <c r="I371"/>
      <c r="J371"/>
      <c r="K371"/>
      <c r="L371"/>
      <c r="M371"/>
      <c r="N371"/>
    </row>
    <row r="372" spans="2:14" x14ac:dyDescent="0.35">
      <c r="B372" s="59"/>
      <c r="G372"/>
      <c r="H372"/>
      <c r="I372"/>
      <c r="J372"/>
      <c r="K372"/>
      <c r="L372"/>
      <c r="M372"/>
      <c r="N372"/>
    </row>
    <row r="373" spans="2:14" x14ac:dyDescent="0.35">
      <c r="B373" s="59"/>
      <c r="G373"/>
      <c r="H373"/>
      <c r="I373"/>
      <c r="J373"/>
      <c r="K373"/>
      <c r="L373"/>
      <c r="M373"/>
      <c r="N373"/>
    </row>
    <row r="374" spans="2:14" x14ac:dyDescent="0.35">
      <c r="B374" s="59"/>
      <c r="G374"/>
      <c r="H374"/>
      <c r="I374"/>
      <c r="J374"/>
      <c r="K374"/>
      <c r="L374"/>
      <c r="M374"/>
      <c r="N374"/>
    </row>
    <row r="375" spans="2:14" x14ac:dyDescent="0.35">
      <c r="B375" s="59"/>
      <c r="G375"/>
      <c r="H375"/>
      <c r="I375"/>
      <c r="J375"/>
      <c r="K375"/>
      <c r="L375"/>
      <c r="M375"/>
      <c r="N375"/>
    </row>
    <row r="376" spans="2:14" x14ac:dyDescent="0.35">
      <c r="B376" s="59"/>
      <c r="G376"/>
      <c r="H376"/>
      <c r="I376"/>
      <c r="J376"/>
      <c r="K376"/>
      <c r="L376"/>
      <c r="M376"/>
      <c r="N376"/>
    </row>
    <row r="377" spans="2:14" x14ac:dyDescent="0.35">
      <c r="B377" s="59"/>
      <c r="G377"/>
      <c r="H377"/>
      <c r="I377"/>
      <c r="J377"/>
      <c r="K377"/>
      <c r="L377"/>
      <c r="M377"/>
      <c r="N377"/>
    </row>
    <row r="378" spans="2:14" x14ac:dyDescent="0.35">
      <c r="B378" s="59"/>
      <c r="G378"/>
      <c r="H378"/>
      <c r="I378"/>
      <c r="J378"/>
      <c r="K378"/>
      <c r="L378"/>
      <c r="M378"/>
      <c r="N378"/>
    </row>
    <row r="379" spans="2:14" x14ac:dyDescent="0.35">
      <c r="B379" s="59"/>
      <c r="G379"/>
      <c r="H379"/>
      <c r="I379"/>
      <c r="J379"/>
      <c r="K379"/>
      <c r="L379"/>
      <c r="M379"/>
      <c r="N379"/>
    </row>
    <row r="380" spans="2:14" x14ac:dyDescent="0.35">
      <c r="B380" s="59"/>
      <c r="G380"/>
      <c r="H380"/>
      <c r="I380"/>
      <c r="J380"/>
      <c r="K380"/>
      <c r="L380"/>
      <c r="M380"/>
      <c r="N380"/>
    </row>
    <row r="381" spans="2:14" x14ac:dyDescent="0.35">
      <c r="B381" s="59"/>
      <c r="G381"/>
      <c r="H381"/>
      <c r="I381"/>
      <c r="J381"/>
      <c r="K381"/>
      <c r="L381"/>
      <c r="M381"/>
      <c r="N381"/>
    </row>
    <row r="382" spans="2:14" x14ac:dyDescent="0.35">
      <c r="B382" s="59"/>
      <c r="G382"/>
      <c r="H382"/>
      <c r="I382"/>
      <c r="J382"/>
      <c r="K382"/>
      <c r="L382"/>
      <c r="M382"/>
      <c r="N382"/>
    </row>
    <row r="383" spans="2:14" x14ac:dyDescent="0.35">
      <c r="B383" s="59"/>
      <c r="G383"/>
      <c r="H383"/>
      <c r="I383"/>
      <c r="J383"/>
      <c r="K383"/>
      <c r="L383"/>
      <c r="M383"/>
      <c r="N383"/>
    </row>
    <row r="384" spans="2:14" x14ac:dyDescent="0.35">
      <c r="B384" s="59"/>
      <c r="G384"/>
      <c r="H384"/>
      <c r="I384"/>
      <c r="J384"/>
      <c r="K384"/>
      <c r="L384"/>
      <c r="M384"/>
      <c r="N384"/>
    </row>
    <row r="385" spans="2:14" x14ac:dyDescent="0.35">
      <c r="B385" s="59"/>
      <c r="G385"/>
      <c r="H385"/>
      <c r="I385"/>
      <c r="J385"/>
      <c r="K385"/>
      <c r="L385"/>
      <c r="M385"/>
      <c r="N385"/>
    </row>
    <row r="386" spans="2:14" x14ac:dyDescent="0.35">
      <c r="B386" s="59"/>
      <c r="G386"/>
      <c r="H386"/>
      <c r="I386"/>
      <c r="J386"/>
      <c r="K386"/>
      <c r="L386"/>
      <c r="M386"/>
      <c r="N386"/>
    </row>
    <row r="387" spans="2:14" x14ac:dyDescent="0.35">
      <c r="B387" s="59"/>
      <c r="G387"/>
      <c r="H387"/>
      <c r="I387"/>
      <c r="J387"/>
      <c r="K387"/>
      <c r="L387"/>
      <c r="M387"/>
      <c r="N387"/>
    </row>
    <row r="388" spans="2:14" x14ac:dyDescent="0.35">
      <c r="G388"/>
      <c r="H388"/>
      <c r="I388"/>
      <c r="J388"/>
      <c r="K388"/>
      <c r="L388"/>
      <c r="M388"/>
      <c r="N388"/>
    </row>
    <row r="389" spans="2:14" x14ac:dyDescent="0.35">
      <c r="G389"/>
      <c r="H389"/>
      <c r="I389"/>
      <c r="J389"/>
      <c r="K389"/>
      <c r="L389"/>
      <c r="M389"/>
      <c r="N389"/>
    </row>
    <row r="390" spans="2:14" x14ac:dyDescent="0.35">
      <c r="G390"/>
      <c r="H390"/>
      <c r="I390"/>
      <c r="J390"/>
      <c r="K390"/>
      <c r="L390"/>
      <c r="M390"/>
      <c r="N390"/>
    </row>
    <row r="391" spans="2:14" x14ac:dyDescent="0.35">
      <c r="G391"/>
      <c r="H391"/>
      <c r="I391"/>
      <c r="J391"/>
      <c r="K391"/>
      <c r="L391"/>
      <c r="M391"/>
      <c r="N391"/>
    </row>
    <row r="392" spans="2:14" x14ac:dyDescent="0.35">
      <c r="G392"/>
      <c r="H392"/>
      <c r="I392"/>
      <c r="J392"/>
      <c r="K392"/>
      <c r="L392"/>
      <c r="M392"/>
      <c r="N392"/>
    </row>
    <row r="393" spans="2:14" x14ac:dyDescent="0.35">
      <c r="G393"/>
      <c r="H393"/>
      <c r="I393"/>
      <c r="J393"/>
      <c r="K393"/>
      <c r="L393"/>
      <c r="M393"/>
      <c r="N393"/>
    </row>
    <row r="394" spans="2:14" x14ac:dyDescent="0.35">
      <c r="G394"/>
      <c r="H394"/>
      <c r="I394"/>
      <c r="J394"/>
      <c r="K394"/>
      <c r="L394"/>
      <c r="M394"/>
      <c r="N394"/>
    </row>
    <row r="395" spans="2:14" x14ac:dyDescent="0.35">
      <c r="G395"/>
      <c r="H395"/>
      <c r="I395"/>
      <c r="J395"/>
      <c r="K395"/>
      <c r="L395"/>
      <c r="M395"/>
      <c r="N395"/>
    </row>
    <row r="396" spans="2:14" x14ac:dyDescent="0.35">
      <c r="G396"/>
      <c r="H396"/>
      <c r="I396"/>
      <c r="J396"/>
      <c r="K396"/>
      <c r="L396"/>
      <c r="M396"/>
      <c r="N396"/>
    </row>
    <row r="397" spans="2:14" x14ac:dyDescent="0.35">
      <c r="G397"/>
      <c r="H397"/>
      <c r="I397"/>
      <c r="J397"/>
      <c r="K397"/>
      <c r="L397"/>
      <c r="M397"/>
      <c r="N397"/>
    </row>
    <row r="398" spans="2:14" x14ac:dyDescent="0.35">
      <c r="G398"/>
      <c r="H398"/>
      <c r="I398"/>
      <c r="J398"/>
      <c r="K398"/>
      <c r="L398"/>
      <c r="M398"/>
      <c r="N398"/>
    </row>
    <row r="399" spans="2:14" x14ac:dyDescent="0.35">
      <c r="G399"/>
      <c r="H399"/>
      <c r="I399"/>
      <c r="J399"/>
      <c r="K399"/>
      <c r="L399"/>
      <c r="M399"/>
      <c r="N399"/>
    </row>
    <row r="400" spans="2:14" x14ac:dyDescent="0.35">
      <c r="G400"/>
      <c r="H400"/>
      <c r="I400"/>
      <c r="J400"/>
      <c r="K400"/>
      <c r="L400"/>
      <c r="M400"/>
      <c r="N400"/>
    </row>
    <row r="401" spans="7:14" x14ac:dyDescent="0.35">
      <c r="G401"/>
      <c r="H401"/>
      <c r="I401"/>
      <c r="J401"/>
      <c r="K401"/>
      <c r="L401"/>
      <c r="M401"/>
      <c r="N401"/>
    </row>
    <row r="402" spans="7:14" x14ac:dyDescent="0.35">
      <c r="G402"/>
      <c r="H402"/>
      <c r="I402"/>
      <c r="J402"/>
      <c r="K402"/>
      <c r="L402"/>
      <c r="M402"/>
      <c r="N402"/>
    </row>
    <row r="403" spans="7:14" x14ac:dyDescent="0.35">
      <c r="G403"/>
      <c r="H403"/>
      <c r="I403"/>
      <c r="J403"/>
      <c r="K403"/>
      <c r="L403"/>
      <c r="M403"/>
      <c r="N403"/>
    </row>
    <row r="404" spans="7:14" x14ac:dyDescent="0.35">
      <c r="G404"/>
      <c r="H404"/>
      <c r="I404"/>
      <c r="J404"/>
      <c r="K404"/>
      <c r="L404"/>
      <c r="M404"/>
      <c r="N404"/>
    </row>
    <row r="405" spans="7:14" x14ac:dyDescent="0.35">
      <c r="G405"/>
      <c r="H405"/>
      <c r="I405"/>
      <c r="J405"/>
      <c r="K405"/>
      <c r="L405"/>
      <c r="M405"/>
      <c r="N405"/>
    </row>
    <row r="406" spans="7:14" x14ac:dyDescent="0.35">
      <c r="G406"/>
      <c r="H406"/>
      <c r="I406"/>
      <c r="J406"/>
      <c r="K406"/>
      <c r="L406"/>
      <c r="M406"/>
      <c r="N406"/>
    </row>
    <row r="407" spans="7:14" x14ac:dyDescent="0.35">
      <c r="G407"/>
      <c r="H407"/>
      <c r="I407"/>
      <c r="J407"/>
      <c r="K407"/>
      <c r="L407"/>
      <c r="M407"/>
      <c r="N407"/>
    </row>
    <row r="408" spans="7:14" x14ac:dyDescent="0.35">
      <c r="G408"/>
      <c r="H408"/>
      <c r="I408"/>
      <c r="J408"/>
      <c r="K408"/>
      <c r="L408"/>
      <c r="M408"/>
      <c r="N408"/>
    </row>
    <row r="409" spans="7:14" x14ac:dyDescent="0.35">
      <c r="G409"/>
      <c r="H409"/>
      <c r="I409"/>
      <c r="J409"/>
      <c r="K409"/>
      <c r="L409"/>
      <c r="M409"/>
      <c r="N409"/>
    </row>
    <row r="410" spans="7:14" x14ac:dyDescent="0.35">
      <c r="G410"/>
      <c r="H410"/>
      <c r="I410"/>
      <c r="J410"/>
      <c r="K410"/>
      <c r="L410"/>
      <c r="M410"/>
      <c r="N410"/>
    </row>
    <row r="411" spans="7:14" x14ac:dyDescent="0.35">
      <c r="G411"/>
      <c r="H411"/>
      <c r="I411"/>
      <c r="J411"/>
      <c r="K411"/>
      <c r="L411"/>
      <c r="M411"/>
      <c r="N411"/>
    </row>
    <row r="412" spans="7:14" x14ac:dyDescent="0.35">
      <c r="G412"/>
      <c r="H412"/>
      <c r="I412"/>
      <c r="J412"/>
      <c r="K412"/>
      <c r="L412"/>
      <c r="M412"/>
      <c r="N412"/>
    </row>
    <row r="413" spans="7:14" x14ac:dyDescent="0.35">
      <c r="G413"/>
      <c r="H413"/>
      <c r="I413"/>
      <c r="J413"/>
      <c r="K413"/>
      <c r="L413"/>
      <c r="M413"/>
      <c r="N413"/>
    </row>
    <row r="414" spans="7:14" x14ac:dyDescent="0.35">
      <c r="G414"/>
      <c r="H414"/>
      <c r="I414"/>
      <c r="J414"/>
      <c r="K414"/>
      <c r="L414"/>
      <c r="M414"/>
      <c r="N414"/>
    </row>
    <row r="415" spans="7:14" x14ac:dyDescent="0.35">
      <c r="G415"/>
      <c r="H415"/>
      <c r="I415"/>
      <c r="J415"/>
      <c r="K415"/>
      <c r="L415"/>
      <c r="M415"/>
      <c r="N415"/>
    </row>
    <row r="416" spans="7:14" x14ac:dyDescent="0.35">
      <c r="G416"/>
      <c r="H416"/>
      <c r="I416"/>
      <c r="J416"/>
      <c r="K416"/>
      <c r="L416"/>
      <c r="M416"/>
      <c r="N416"/>
    </row>
    <row r="417" spans="7:14" x14ac:dyDescent="0.35">
      <c r="G417"/>
      <c r="H417"/>
      <c r="I417"/>
      <c r="J417"/>
      <c r="K417"/>
      <c r="L417"/>
      <c r="M417"/>
      <c r="N417"/>
    </row>
    <row r="418" spans="7:14" x14ac:dyDescent="0.35">
      <c r="G418"/>
      <c r="H418"/>
      <c r="I418"/>
      <c r="J418"/>
      <c r="K418"/>
      <c r="L418"/>
      <c r="M418"/>
      <c r="N418"/>
    </row>
    <row r="419" spans="7:14" x14ac:dyDescent="0.35">
      <c r="G419"/>
      <c r="H419"/>
      <c r="I419"/>
      <c r="J419"/>
      <c r="K419"/>
      <c r="L419"/>
      <c r="M419"/>
      <c r="N419"/>
    </row>
    <row r="420" spans="7:14" x14ac:dyDescent="0.35">
      <c r="G420"/>
      <c r="H420"/>
      <c r="I420"/>
      <c r="J420"/>
      <c r="K420"/>
      <c r="L420"/>
      <c r="M420"/>
      <c r="N420"/>
    </row>
    <row r="421" spans="7:14" x14ac:dyDescent="0.35">
      <c r="G421"/>
      <c r="H421"/>
      <c r="I421"/>
      <c r="J421"/>
      <c r="K421"/>
      <c r="L421"/>
      <c r="M421"/>
      <c r="N421"/>
    </row>
    <row r="422" spans="7:14" x14ac:dyDescent="0.35">
      <c r="G422"/>
      <c r="H422"/>
      <c r="I422"/>
      <c r="J422"/>
      <c r="K422"/>
      <c r="L422"/>
      <c r="M422"/>
      <c r="N422"/>
    </row>
    <row r="423" spans="7:14" x14ac:dyDescent="0.35">
      <c r="G423"/>
      <c r="H423"/>
      <c r="I423"/>
      <c r="J423"/>
      <c r="K423"/>
      <c r="L423"/>
      <c r="M423"/>
      <c r="N423"/>
    </row>
    <row r="424" spans="7:14" x14ac:dyDescent="0.35">
      <c r="G424"/>
      <c r="H424"/>
      <c r="I424"/>
      <c r="J424"/>
      <c r="K424"/>
      <c r="L424"/>
      <c r="M424"/>
      <c r="N424"/>
    </row>
    <row r="425" spans="7:14" x14ac:dyDescent="0.35">
      <c r="G425"/>
      <c r="H425"/>
      <c r="I425"/>
      <c r="J425"/>
      <c r="K425"/>
      <c r="L425"/>
      <c r="M425"/>
      <c r="N425"/>
    </row>
    <row r="426" spans="7:14" x14ac:dyDescent="0.35">
      <c r="G426"/>
      <c r="H426"/>
      <c r="I426"/>
      <c r="J426"/>
      <c r="K426"/>
      <c r="L426"/>
      <c r="M426"/>
      <c r="N426"/>
    </row>
    <row r="427" spans="7:14" x14ac:dyDescent="0.35">
      <c r="G427"/>
      <c r="H427"/>
      <c r="I427"/>
      <c r="J427"/>
      <c r="K427"/>
      <c r="L427"/>
      <c r="M427"/>
      <c r="N427"/>
    </row>
    <row r="428" spans="7:14" x14ac:dyDescent="0.35">
      <c r="G428"/>
      <c r="H428"/>
      <c r="I428"/>
      <c r="J428"/>
      <c r="K428"/>
      <c r="L428"/>
      <c r="M428"/>
      <c r="N428"/>
    </row>
    <row r="429" spans="7:14" x14ac:dyDescent="0.35">
      <c r="G429"/>
      <c r="H429"/>
      <c r="I429"/>
      <c r="J429"/>
      <c r="K429"/>
      <c r="L429"/>
      <c r="M429"/>
      <c r="N429"/>
    </row>
    <row r="430" spans="7:14" x14ac:dyDescent="0.35">
      <c r="G430"/>
      <c r="H430"/>
      <c r="I430"/>
      <c r="J430"/>
      <c r="K430"/>
      <c r="L430"/>
      <c r="M430"/>
      <c r="N430"/>
    </row>
    <row r="431" spans="7:14" x14ac:dyDescent="0.35">
      <c r="G431"/>
      <c r="H431"/>
      <c r="I431"/>
      <c r="J431"/>
      <c r="K431"/>
      <c r="L431"/>
      <c r="M431"/>
      <c r="N431"/>
    </row>
    <row r="432" spans="7:14" x14ac:dyDescent="0.35">
      <c r="G432"/>
      <c r="H432"/>
      <c r="I432"/>
      <c r="J432"/>
      <c r="K432"/>
      <c r="L432"/>
      <c r="M432"/>
      <c r="N432"/>
    </row>
    <row r="433" spans="7:14" x14ac:dyDescent="0.35">
      <c r="G433"/>
      <c r="H433"/>
      <c r="I433"/>
      <c r="J433"/>
      <c r="K433"/>
      <c r="L433"/>
      <c r="M433"/>
      <c r="N433"/>
    </row>
    <row r="434" spans="7:14" x14ac:dyDescent="0.35">
      <c r="G434"/>
      <c r="H434"/>
      <c r="I434"/>
      <c r="J434"/>
      <c r="K434"/>
      <c r="L434"/>
      <c r="M434"/>
      <c r="N434"/>
    </row>
    <row r="435" spans="7:14" x14ac:dyDescent="0.35">
      <c r="G435"/>
      <c r="H435"/>
      <c r="I435"/>
      <c r="J435"/>
      <c r="K435"/>
      <c r="L435"/>
      <c r="M435"/>
      <c r="N435"/>
    </row>
    <row r="436" spans="7:14" x14ac:dyDescent="0.35">
      <c r="G436"/>
      <c r="H436"/>
      <c r="I436"/>
      <c r="J436"/>
      <c r="K436"/>
      <c r="L436"/>
      <c r="M436"/>
      <c r="N436"/>
    </row>
    <row r="437" spans="7:14" x14ac:dyDescent="0.35">
      <c r="G437"/>
      <c r="H437"/>
      <c r="I437"/>
      <c r="J437"/>
      <c r="K437"/>
      <c r="L437"/>
      <c r="M437"/>
      <c r="N437"/>
    </row>
    <row r="438" spans="7:14" x14ac:dyDescent="0.35">
      <c r="G438"/>
      <c r="H438"/>
      <c r="I438"/>
      <c r="J438"/>
      <c r="K438"/>
      <c r="L438"/>
      <c r="M438"/>
      <c r="N438"/>
    </row>
    <row r="439" spans="7:14" x14ac:dyDescent="0.35">
      <c r="G439"/>
      <c r="H439"/>
      <c r="I439"/>
      <c r="J439"/>
      <c r="K439"/>
      <c r="L439"/>
      <c r="M439"/>
      <c r="N439"/>
    </row>
    <row r="440" spans="7:14" x14ac:dyDescent="0.35">
      <c r="G440"/>
      <c r="H440"/>
      <c r="I440"/>
      <c r="J440"/>
      <c r="K440"/>
      <c r="L440"/>
      <c r="M440"/>
      <c r="N440"/>
    </row>
    <row r="441" spans="7:14" x14ac:dyDescent="0.35">
      <c r="G441"/>
      <c r="H441"/>
      <c r="I441"/>
      <c r="J441"/>
      <c r="K441"/>
      <c r="L441"/>
      <c r="M441"/>
      <c r="N441"/>
    </row>
    <row r="442" spans="7:14" x14ac:dyDescent="0.35">
      <c r="G442"/>
      <c r="H442"/>
      <c r="I442"/>
      <c r="J442"/>
      <c r="K442"/>
      <c r="L442"/>
      <c r="M442"/>
      <c r="N442"/>
    </row>
    <row r="443" spans="7:14" x14ac:dyDescent="0.35">
      <c r="G443"/>
      <c r="H443"/>
      <c r="I443"/>
      <c r="J443"/>
      <c r="K443"/>
      <c r="L443"/>
      <c r="M443"/>
      <c r="N443"/>
    </row>
    <row r="444" spans="7:14" x14ac:dyDescent="0.35">
      <c r="G444"/>
      <c r="H444"/>
      <c r="I444"/>
      <c r="J444"/>
      <c r="K444"/>
      <c r="L444"/>
      <c r="M444"/>
      <c r="N444"/>
    </row>
    <row r="445" spans="7:14" x14ac:dyDescent="0.35">
      <c r="G445"/>
      <c r="H445"/>
      <c r="I445"/>
      <c r="J445"/>
      <c r="K445"/>
      <c r="L445"/>
      <c r="M445"/>
      <c r="N445"/>
    </row>
    <row r="446" spans="7:14" x14ac:dyDescent="0.35">
      <c r="G446"/>
      <c r="H446"/>
      <c r="I446"/>
      <c r="J446"/>
      <c r="K446"/>
      <c r="L446"/>
      <c r="M446"/>
      <c r="N446"/>
    </row>
    <row r="447" spans="7:14" x14ac:dyDescent="0.35">
      <c r="G447"/>
      <c r="H447"/>
      <c r="I447"/>
      <c r="J447"/>
      <c r="K447"/>
      <c r="L447"/>
      <c r="M447"/>
      <c r="N447"/>
    </row>
    <row r="448" spans="7:14" x14ac:dyDescent="0.35">
      <c r="G448"/>
      <c r="H448"/>
      <c r="I448"/>
      <c r="J448"/>
      <c r="K448"/>
      <c r="L448"/>
      <c r="M448"/>
      <c r="N448"/>
    </row>
    <row r="449" spans="7:14" x14ac:dyDescent="0.35">
      <c r="G449"/>
      <c r="H449"/>
      <c r="I449"/>
      <c r="J449"/>
      <c r="K449"/>
      <c r="L449"/>
      <c r="M449"/>
      <c r="N449"/>
    </row>
    <row r="450" spans="7:14" x14ac:dyDescent="0.35">
      <c r="G450"/>
      <c r="H450"/>
      <c r="I450"/>
      <c r="J450"/>
      <c r="K450"/>
      <c r="L450"/>
      <c r="M450"/>
      <c r="N450"/>
    </row>
    <row r="451" spans="7:14" x14ac:dyDescent="0.35">
      <c r="G451"/>
      <c r="H451"/>
      <c r="I451"/>
      <c r="J451"/>
      <c r="K451"/>
      <c r="L451"/>
      <c r="M451"/>
      <c r="N451"/>
    </row>
    <row r="452" spans="7:14" x14ac:dyDescent="0.35">
      <c r="G452"/>
      <c r="H452"/>
      <c r="I452"/>
      <c r="J452"/>
      <c r="K452"/>
      <c r="L452"/>
      <c r="M452"/>
      <c r="N452"/>
    </row>
    <row r="453" spans="7:14" x14ac:dyDescent="0.35">
      <c r="G453"/>
      <c r="H453"/>
      <c r="I453"/>
      <c r="J453"/>
      <c r="K453"/>
      <c r="L453"/>
      <c r="M453"/>
      <c r="N453"/>
    </row>
    <row r="454" spans="7:14" x14ac:dyDescent="0.35">
      <c r="G454"/>
      <c r="H454"/>
      <c r="I454"/>
      <c r="J454"/>
      <c r="K454"/>
      <c r="L454"/>
      <c r="M454"/>
      <c r="N454"/>
    </row>
    <row r="455" spans="7:14" x14ac:dyDescent="0.35">
      <c r="G455"/>
      <c r="H455"/>
      <c r="I455"/>
      <c r="J455"/>
      <c r="K455"/>
      <c r="L455"/>
      <c r="M455"/>
      <c r="N455"/>
    </row>
    <row r="456" spans="7:14" x14ac:dyDescent="0.35">
      <c r="G456"/>
      <c r="H456"/>
      <c r="I456"/>
      <c r="J456"/>
      <c r="K456"/>
      <c r="L456"/>
      <c r="M456"/>
      <c r="N456"/>
    </row>
    <row r="457" spans="7:14" x14ac:dyDescent="0.35">
      <c r="G457"/>
      <c r="H457"/>
      <c r="I457"/>
      <c r="J457"/>
      <c r="K457"/>
      <c r="L457"/>
      <c r="M457"/>
      <c r="N457"/>
    </row>
    <row r="458" spans="7:14" x14ac:dyDescent="0.35">
      <c r="G458"/>
      <c r="H458"/>
      <c r="I458"/>
      <c r="J458"/>
      <c r="K458"/>
      <c r="L458"/>
      <c r="M458"/>
      <c r="N458"/>
    </row>
    <row r="459" spans="7:14" x14ac:dyDescent="0.35">
      <c r="G459"/>
      <c r="H459"/>
      <c r="I459"/>
      <c r="J459"/>
      <c r="K459"/>
      <c r="L459"/>
      <c r="M459"/>
      <c r="N459"/>
    </row>
    <row r="460" spans="7:14" x14ac:dyDescent="0.35">
      <c r="G460"/>
      <c r="H460"/>
      <c r="I460"/>
      <c r="J460"/>
      <c r="K460"/>
      <c r="L460"/>
      <c r="M460"/>
      <c r="N460"/>
    </row>
    <row r="461" spans="7:14" x14ac:dyDescent="0.35">
      <c r="G461"/>
      <c r="H461"/>
      <c r="I461"/>
      <c r="J461"/>
      <c r="K461"/>
      <c r="L461"/>
      <c r="M461"/>
      <c r="N461"/>
    </row>
    <row r="462" spans="7:14" x14ac:dyDescent="0.35">
      <c r="G462"/>
      <c r="H462"/>
      <c r="I462"/>
      <c r="J462"/>
      <c r="K462"/>
      <c r="L462"/>
      <c r="M462"/>
      <c r="N462"/>
    </row>
    <row r="463" spans="7:14" x14ac:dyDescent="0.35">
      <c r="G463"/>
      <c r="H463"/>
      <c r="I463"/>
      <c r="J463"/>
      <c r="K463"/>
      <c r="L463"/>
      <c r="M463"/>
      <c r="N463"/>
    </row>
    <row r="464" spans="7:14" x14ac:dyDescent="0.35">
      <c r="G464"/>
      <c r="H464"/>
      <c r="I464"/>
      <c r="J464"/>
      <c r="K464"/>
      <c r="L464"/>
      <c r="M464"/>
      <c r="N464"/>
    </row>
    <row r="465" spans="7:14" x14ac:dyDescent="0.35">
      <c r="G465"/>
      <c r="H465"/>
      <c r="I465"/>
      <c r="J465"/>
      <c r="K465"/>
      <c r="L465"/>
      <c r="M465"/>
      <c r="N465"/>
    </row>
    <row r="466" spans="7:14" x14ac:dyDescent="0.35">
      <c r="G466"/>
      <c r="H466"/>
      <c r="I466"/>
      <c r="J466"/>
      <c r="K466"/>
      <c r="L466"/>
      <c r="M466"/>
      <c r="N466"/>
    </row>
    <row r="467" spans="7:14" x14ac:dyDescent="0.35">
      <c r="G467"/>
      <c r="H467"/>
      <c r="I467"/>
      <c r="J467"/>
      <c r="K467"/>
      <c r="L467"/>
      <c r="M467"/>
      <c r="N467"/>
    </row>
    <row r="468" spans="7:14" x14ac:dyDescent="0.35">
      <c r="G468"/>
      <c r="H468"/>
      <c r="I468"/>
      <c r="J468"/>
      <c r="K468"/>
      <c r="L468"/>
      <c r="M468"/>
      <c r="N468"/>
    </row>
    <row r="469" spans="7:14" x14ac:dyDescent="0.35">
      <c r="G469"/>
      <c r="H469"/>
      <c r="I469"/>
      <c r="J469"/>
      <c r="K469"/>
      <c r="L469"/>
      <c r="M469"/>
      <c r="N469"/>
    </row>
    <row r="470" spans="7:14" x14ac:dyDescent="0.35">
      <c r="G470"/>
      <c r="H470"/>
      <c r="I470"/>
      <c r="J470"/>
      <c r="K470"/>
      <c r="L470"/>
      <c r="M470"/>
      <c r="N470"/>
    </row>
    <row r="471" spans="7:14" x14ac:dyDescent="0.35">
      <c r="G471"/>
      <c r="H471"/>
      <c r="I471"/>
      <c r="J471"/>
      <c r="K471"/>
      <c r="L471"/>
      <c r="M471"/>
      <c r="N471"/>
    </row>
    <row r="472" spans="7:14" x14ac:dyDescent="0.35">
      <c r="G472"/>
      <c r="H472"/>
      <c r="I472"/>
      <c r="J472"/>
      <c r="K472"/>
      <c r="L472"/>
      <c r="M472"/>
      <c r="N472"/>
    </row>
    <row r="473" spans="7:14" x14ac:dyDescent="0.35">
      <c r="G473"/>
      <c r="H473"/>
      <c r="I473"/>
      <c r="J473"/>
      <c r="K473"/>
      <c r="L473"/>
      <c r="M473"/>
      <c r="N473"/>
    </row>
    <row r="474" spans="7:14" x14ac:dyDescent="0.35">
      <c r="G474"/>
      <c r="H474"/>
      <c r="I474"/>
      <c r="J474"/>
      <c r="K474"/>
      <c r="L474"/>
      <c r="M474"/>
      <c r="N474"/>
    </row>
    <row r="475" spans="7:14" x14ac:dyDescent="0.35">
      <c r="G475"/>
      <c r="H475"/>
      <c r="I475"/>
      <c r="J475"/>
      <c r="K475"/>
      <c r="L475"/>
      <c r="M475"/>
      <c r="N475"/>
    </row>
    <row r="476" spans="7:14" x14ac:dyDescent="0.35">
      <c r="G476"/>
      <c r="H476"/>
      <c r="I476"/>
      <c r="J476"/>
      <c r="K476"/>
      <c r="L476"/>
      <c r="M476"/>
      <c r="N476"/>
    </row>
    <row r="477" spans="7:14" x14ac:dyDescent="0.35">
      <c r="G477"/>
      <c r="H477"/>
      <c r="I477"/>
      <c r="J477"/>
      <c r="K477"/>
      <c r="L477"/>
      <c r="M477"/>
      <c r="N477"/>
    </row>
    <row r="478" spans="7:14" x14ac:dyDescent="0.35">
      <c r="G478"/>
      <c r="H478"/>
      <c r="I478"/>
      <c r="J478"/>
      <c r="K478"/>
      <c r="L478"/>
      <c r="M478"/>
      <c r="N478"/>
    </row>
    <row r="479" spans="7:14" x14ac:dyDescent="0.35">
      <c r="G479"/>
      <c r="H479"/>
      <c r="I479"/>
      <c r="J479"/>
      <c r="K479"/>
      <c r="L479"/>
      <c r="M479"/>
      <c r="N479"/>
    </row>
    <row r="480" spans="7:14" x14ac:dyDescent="0.35">
      <c r="G480"/>
      <c r="H480"/>
      <c r="I480"/>
      <c r="J480"/>
      <c r="K480"/>
      <c r="L480"/>
      <c r="M480"/>
      <c r="N480"/>
    </row>
    <row r="481" spans="7:14" x14ac:dyDescent="0.35">
      <c r="G481"/>
      <c r="H481"/>
      <c r="I481"/>
      <c r="J481"/>
      <c r="K481"/>
      <c r="L481"/>
      <c r="M481"/>
      <c r="N481"/>
    </row>
    <row r="482" spans="7:14" x14ac:dyDescent="0.35">
      <c r="G482"/>
      <c r="H482"/>
      <c r="I482"/>
      <c r="J482"/>
      <c r="K482"/>
      <c r="L482"/>
      <c r="M482"/>
      <c r="N482"/>
    </row>
    <row r="483" spans="7:14" x14ac:dyDescent="0.35">
      <c r="G483"/>
      <c r="H483"/>
      <c r="I483"/>
      <c r="J483"/>
      <c r="K483"/>
      <c r="L483"/>
      <c r="M483"/>
      <c r="N483"/>
    </row>
    <row r="484" spans="7:14" x14ac:dyDescent="0.35">
      <c r="G484"/>
      <c r="H484"/>
      <c r="I484"/>
      <c r="J484"/>
      <c r="K484"/>
      <c r="L484"/>
      <c r="M484"/>
      <c r="N484"/>
    </row>
    <row r="485" spans="7:14" x14ac:dyDescent="0.35">
      <c r="G485"/>
      <c r="H485"/>
      <c r="I485"/>
      <c r="J485"/>
      <c r="K485"/>
      <c r="L485"/>
      <c r="M485"/>
      <c r="N485"/>
    </row>
    <row r="486" spans="7:14" x14ac:dyDescent="0.35">
      <c r="G486"/>
      <c r="H486"/>
      <c r="I486"/>
      <c r="J486"/>
      <c r="K486"/>
      <c r="L486"/>
      <c r="M486"/>
      <c r="N486"/>
    </row>
    <row r="487" spans="7:14" x14ac:dyDescent="0.35">
      <c r="G487"/>
      <c r="H487"/>
      <c r="I487"/>
      <c r="J487"/>
      <c r="K487"/>
      <c r="L487"/>
      <c r="M487"/>
      <c r="N487"/>
    </row>
    <row r="488" spans="7:14" x14ac:dyDescent="0.35">
      <c r="G488"/>
      <c r="H488"/>
      <c r="I488"/>
      <c r="J488"/>
      <c r="K488"/>
      <c r="L488"/>
      <c r="M488"/>
      <c r="N488"/>
    </row>
    <row r="489" spans="7:14" x14ac:dyDescent="0.35">
      <c r="G489"/>
      <c r="H489"/>
      <c r="I489"/>
      <c r="J489"/>
      <c r="K489"/>
      <c r="L489"/>
      <c r="M489"/>
      <c r="N489"/>
    </row>
    <row r="490" spans="7:14" x14ac:dyDescent="0.35">
      <c r="G490"/>
      <c r="H490"/>
      <c r="I490"/>
      <c r="J490"/>
      <c r="K490"/>
      <c r="L490"/>
      <c r="M490"/>
      <c r="N490"/>
    </row>
    <row r="491" spans="7:14" x14ac:dyDescent="0.35">
      <c r="G491"/>
      <c r="H491"/>
      <c r="I491"/>
      <c r="J491"/>
      <c r="K491"/>
      <c r="L491"/>
      <c r="M491"/>
      <c r="N491"/>
    </row>
    <row r="492" spans="7:14" x14ac:dyDescent="0.35">
      <c r="G492"/>
      <c r="H492"/>
      <c r="I492"/>
      <c r="J492"/>
      <c r="K492"/>
      <c r="L492"/>
      <c r="M492"/>
      <c r="N492"/>
    </row>
    <row r="493" spans="7:14" x14ac:dyDescent="0.35">
      <c r="G493"/>
      <c r="H493"/>
      <c r="I493"/>
      <c r="J493"/>
      <c r="K493"/>
      <c r="L493"/>
      <c r="M493"/>
      <c r="N493"/>
    </row>
    <row r="494" spans="7:14" x14ac:dyDescent="0.35">
      <c r="G494"/>
      <c r="H494"/>
      <c r="I494"/>
      <c r="J494"/>
      <c r="K494"/>
      <c r="L494"/>
      <c r="M494"/>
      <c r="N494"/>
    </row>
    <row r="495" spans="7:14" x14ac:dyDescent="0.35">
      <c r="G495"/>
      <c r="H495"/>
      <c r="I495"/>
      <c r="J495"/>
      <c r="K495"/>
      <c r="L495"/>
      <c r="M495"/>
      <c r="N495"/>
    </row>
    <row r="496" spans="7:14" x14ac:dyDescent="0.35">
      <c r="G496"/>
      <c r="H496"/>
      <c r="I496"/>
      <c r="J496"/>
      <c r="K496"/>
      <c r="L496"/>
      <c r="M496"/>
      <c r="N496"/>
    </row>
    <row r="497" spans="7:14" x14ac:dyDescent="0.35">
      <c r="G497"/>
      <c r="H497"/>
      <c r="I497"/>
      <c r="J497"/>
      <c r="K497"/>
      <c r="L497"/>
      <c r="M497"/>
      <c r="N497"/>
    </row>
    <row r="498" spans="7:14" x14ac:dyDescent="0.35">
      <c r="G498"/>
      <c r="H498"/>
      <c r="I498"/>
      <c r="J498"/>
      <c r="K498"/>
      <c r="L498"/>
      <c r="M498"/>
      <c r="N498"/>
    </row>
    <row r="499" spans="7:14" x14ac:dyDescent="0.35">
      <c r="G499"/>
      <c r="H499"/>
      <c r="I499"/>
      <c r="J499"/>
      <c r="K499"/>
      <c r="L499"/>
      <c r="M499"/>
      <c r="N499"/>
    </row>
    <row r="500" spans="7:14" x14ac:dyDescent="0.35">
      <c r="G500"/>
      <c r="H500"/>
      <c r="I500"/>
      <c r="J500"/>
      <c r="K500"/>
      <c r="L500"/>
      <c r="M500"/>
      <c r="N500"/>
    </row>
    <row r="501" spans="7:14" x14ac:dyDescent="0.35">
      <c r="G501"/>
      <c r="H501"/>
      <c r="I501"/>
      <c r="J501"/>
      <c r="K501"/>
      <c r="L501"/>
      <c r="M501"/>
      <c r="N501"/>
    </row>
    <row r="502" spans="7:14" x14ac:dyDescent="0.35">
      <c r="G502"/>
      <c r="H502"/>
      <c r="I502"/>
      <c r="J502"/>
      <c r="K502"/>
      <c r="L502"/>
      <c r="M502"/>
      <c r="N502"/>
    </row>
    <row r="503" spans="7:14" x14ac:dyDescent="0.35">
      <c r="G503"/>
      <c r="H503"/>
      <c r="I503"/>
      <c r="J503"/>
      <c r="K503"/>
      <c r="L503"/>
      <c r="M503"/>
      <c r="N503"/>
    </row>
    <row r="504" spans="7:14" x14ac:dyDescent="0.35">
      <c r="G504"/>
      <c r="H504"/>
      <c r="I504"/>
      <c r="J504"/>
      <c r="K504"/>
      <c r="L504"/>
      <c r="M504"/>
      <c r="N504"/>
    </row>
    <row r="505" spans="7:14" x14ac:dyDescent="0.35">
      <c r="G505"/>
      <c r="H505"/>
      <c r="I505"/>
      <c r="J505"/>
      <c r="K505"/>
      <c r="L505"/>
      <c r="M505"/>
      <c r="N505"/>
    </row>
    <row r="506" spans="7:14" x14ac:dyDescent="0.35">
      <c r="G506"/>
      <c r="H506"/>
      <c r="I506"/>
      <c r="J506"/>
      <c r="K506"/>
      <c r="L506"/>
      <c r="M506"/>
      <c r="N506"/>
    </row>
    <row r="507" spans="7:14" x14ac:dyDescent="0.35">
      <c r="G507"/>
      <c r="H507"/>
      <c r="I507"/>
      <c r="J507"/>
      <c r="K507"/>
      <c r="L507"/>
      <c r="M507"/>
      <c r="N507"/>
    </row>
    <row r="508" spans="7:14" x14ac:dyDescent="0.35">
      <c r="G508"/>
      <c r="H508"/>
      <c r="I508"/>
      <c r="J508"/>
      <c r="K508"/>
      <c r="L508"/>
      <c r="M508"/>
      <c r="N508"/>
    </row>
    <row r="509" spans="7:14" x14ac:dyDescent="0.35">
      <c r="G509"/>
      <c r="H509"/>
      <c r="I509"/>
      <c r="J509"/>
      <c r="K509"/>
      <c r="L509"/>
      <c r="M509"/>
      <c r="N509"/>
    </row>
    <row r="510" spans="7:14" x14ac:dyDescent="0.35">
      <c r="G510"/>
      <c r="H510"/>
      <c r="I510"/>
      <c r="J510"/>
      <c r="K510"/>
      <c r="L510"/>
      <c r="M510"/>
      <c r="N510"/>
    </row>
    <row r="511" spans="7:14" x14ac:dyDescent="0.35">
      <c r="G511"/>
      <c r="H511"/>
      <c r="I511"/>
      <c r="J511"/>
      <c r="K511"/>
      <c r="L511"/>
      <c r="M511"/>
      <c r="N511"/>
    </row>
    <row r="512" spans="7:14" x14ac:dyDescent="0.35">
      <c r="G512"/>
      <c r="H512"/>
      <c r="I512"/>
      <c r="J512"/>
      <c r="K512"/>
      <c r="L512"/>
      <c r="M512"/>
      <c r="N512"/>
    </row>
    <row r="513" spans="7:14" x14ac:dyDescent="0.35">
      <c r="G513"/>
      <c r="H513"/>
      <c r="I513"/>
      <c r="J513"/>
      <c r="K513"/>
      <c r="L513"/>
      <c r="M513"/>
      <c r="N513"/>
    </row>
    <row r="514" spans="7:14" x14ac:dyDescent="0.35">
      <c r="G514"/>
      <c r="H514"/>
      <c r="I514"/>
      <c r="J514"/>
      <c r="K514"/>
      <c r="L514"/>
      <c r="M514"/>
      <c r="N514"/>
    </row>
    <row r="515" spans="7:14" x14ac:dyDescent="0.35">
      <c r="G515"/>
      <c r="H515"/>
      <c r="I515"/>
      <c r="J515"/>
      <c r="K515"/>
      <c r="L515"/>
      <c r="M515"/>
      <c r="N515"/>
    </row>
    <row r="516" spans="7:14" x14ac:dyDescent="0.35">
      <c r="G516"/>
      <c r="H516"/>
      <c r="I516"/>
      <c r="J516"/>
      <c r="K516"/>
      <c r="L516"/>
      <c r="M516"/>
      <c r="N516"/>
    </row>
    <row r="517" spans="7:14" x14ac:dyDescent="0.35">
      <c r="G517"/>
      <c r="H517"/>
      <c r="I517"/>
      <c r="J517"/>
      <c r="K517"/>
      <c r="L517"/>
      <c r="M517"/>
      <c r="N517"/>
    </row>
    <row r="518" spans="7:14" x14ac:dyDescent="0.35">
      <c r="G518"/>
      <c r="H518"/>
      <c r="I518"/>
      <c r="J518"/>
      <c r="K518"/>
      <c r="L518"/>
      <c r="M518"/>
      <c r="N518"/>
    </row>
    <row r="519" spans="7:14" x14ac:dyDescent="0.35">
      <c r="G519"/>
      <c r="H519"/>
      <c r="I519"/>
      <c r="J519"/>
      <c r="K519"/>
      <c r="L519"/>
      <c r="M519"/>
      <c r="N519"/>
    </row>
    <row r="520" spans="7:14" x14ac:dyDescent="0.35">
      <c r="G520"/>
      <c r="H520"/>
      <c r="I520"/>
      <c r="J520"/>
      <c r="K520"/>
      <c r="L520"/>
      <c r="M520"/>
      <c r="N520"/>
    </row>
    <row r="521" spans="7:14" x14ac:dyDescent="0.35">
      <c r="G521"/>
      <c r="H521"/>
      <c r="I521"/>
      <c r="J521"/>
      <c r="K521"/>
      <c r="L521"/>
      <c r="M521"/>
      <c r="N521"/>
    </row>
    <row r="522" spans="7:14" x14ac:dyDescent="0.35">
      <c r="G522"/>
      <c r="H522"/>
      <c r="I522"/>
      <c r="J522"/>
      <c r="K522"/>
      <c r="L522"/>
      <c r="M522"/>
      <c r="N522"/>
    </row>
    <row r="523" spans="7:14" x14ac:dyDescent="0.35">
      <c r="G523"/>
      <c r="H523"/>
      <c r="I523"/>
      <c r="J523"/>
      <c r="K523"/>
      <c r="L523"/>
      <c r="M523"/>
      <c r="N523"/>
    </row>
    <row r="524" spans="7:14" x14ac:dyDescent="0.35">
      <c r="G524"/>
      <c r="H524"/>
      <c r="I524"/>
      <c r="J524"/>
      <c r="K524"/>
      <c r="L524"/>
      <c r="M524"/>
      <c r="N524"/>
    </row>
    <row r="525" spans="7:14" x14ac:dyDescent="0.35">
      <c r="G525"/>
      <c r="H525"/>
      <c r="I525"/>
      <c r="J525"/>
      <c r="K525"/>
      <c r="L525"/>
      <c r="M525"/>
      <c r="N525"/>
    </row>
    <row r="526" spans="7:14" x14ac:dyDescent="0.35">
      <c r="G526"/>
      <c r="H526"/>
      <c r="I526"/>
      <c r="J526"/>
      <c r="K526"/>
      <c r="L526"/>
      <c r="M526"/>
      <c r="N526"/>
    </row>
    <row r="527" spans="7:14" x14ac:dyDescent="0.35">
      <c r="G527"/>
      <c r="H527"/>
      <c r="I527"/>
      <c r="J527"/>
      <c r="K527"/>
      <c r="L527"/>
      <c r="M527"/>
      <c r="N527"/>
    </row>
    <row r="528" spans="7:14" x14ac:dyDescent="0.35">
      <c r="G528"/>
      <c r="H528"/>
      <c r="I528"/>
      <c r="J528"/>
      <c r="K528"/>
      <c r="L528"/>
      <c r="M528"/>
      <c r="N528"/>
    </row>
    <row r="529" spans="7:14" x14ac:dyDescent="0.35">
      <c r="G529"/>
      <c r="H529"/>
      <c r="I529"/>
      <c r="J529"/>
      <c r="K529"/>
      <c r="L529"/>
      <c r="M529"/>
      <c r="N529"/>
    </row>
    <row r="530" spans="7:14" x14ac:dyDescent="0.35">
      <c r="G530"/>
      <c r="H530"/>
      <c r="I530"/>
      <c r="J530"/>
      <c r="K530"/>
      <c r="L530"/>
      <c r="M530"/>
      <c r="N530"/>
    </row>
    <row r="531" spans="7:14" x14ac:dyDescent="0.35">
      <c r="G531"/>
      <c r="H531"/>
      <c r="I531"/>
      <c r="J531"/>
      <c r="K531"/>
      <c r="L531"/>
      <c r="M531"/>
      <c r="N531"/>
    </row>
    <row r="532" spans="7:14" x14ac:dyDescent="0.35">
      <c r="G532"/>
      <c r="H532"/>
      <c r="I532"/>
      <c r="J532"/>
      <c r="K532"/>
      <c r="L532"/>
      <c r="M532"/>
      <c r="N532"/>
    </row>
    <row r="533" spans="7:14" x14ac:dyDescent="0.35">
      <c r="G533"/>
      <c r="H533"/>
      <c r="I533"/>
      <c r="J533"/>
      <c r="K533"/>
      <c r="L533"/>
      <c r="M533"/>
      <c r="N533"/>
    </row>
    <row r="534" spans="7:14" x14ac:dyDescent="0.35">
      <c r="G534"/>
      <c r="H534"/>
      <c r="I534"/>
      <c r="J534"/>
      <c r="K534"/>
      <c r="L534"/>
      <c r="M534"/>
      <c r="N534"/>
    </row>
    <row r="535" spans="7:14" x14ac:dyDescent="0.35">
      <c r="G535"/>
      <c r="H535"/>
      <c r="I535"/>
      <c r="J535"/>
      <c r="K535"/>
      <c r="L535"/>
      <c r="M535"/>
      <c r="N535"/>
    </row>
    <row r="536" spans="7:14" x14ac:dyDescent="0.35">
      <c r="G536"/>
      <c r="H536"/>
      <c r="I536"/>
      <c r="J536"/>
      <c r="K536"/>
      <c r="L536"/>
      <c r="M536"/>
      <c r="N536"/>
    </row>
    <row r="537" spans="7:14" x14ac:dyDescent="0.35">
      <c r="G537"/>
      <c r="H537"/>
      <c r="I537"/>
      <c r="J537"/>
      <c r="K537"/>
      <c r="L537"/>
      <c r="M537"/>
      <c r="N537"/>
    </row>
    <row r="538" spans="7:14" x14ac:dyDescent="0.35">
      <c r="G538"/>
      <c r="H538"/>
      <c r="I538"/>
      <c r="J538"/>
      <c r="K538"/>
      <c r="L538"/>
      <c r="M538"/>
      <c r="N538"/>
    </row>
    <row r="539" spans="7:14" x14ac:dyDescent="0.35">
      <c r="G539"/>
      <c r="H539"/>
      <c r="I539"/>
      <c r="J539"/>
      <c r="K539"/>
      <c r="L539"/>
      <c r="M539"/>
      <c r="N539"/>
    </row>
    <row r="540" spans="7:14" x14ac:dyDescent="0.35">
      <c r="G540"/>
      <c r="H540"/>
      <c r="I540"/>
      <c r="J540"/>
      <c r="K540"/>
      <c r="L540"/>
      <c r="M540"/>
      <c r="N540"/>
    </row>
    <row r="541" spans="7:14" x14ac:dyDescent="0.35">
      <c r="G541"/>
      <c r="H541"/>
      <c r="I541"/>
      <c r="J541"/>
      <c r="K541"/>
      <c r="L541"/>
      <c r="M541"/>
      <c r="N541"/>
    </row>
    <row r="542" spans="7:14" x14ac:dyDescent="0.35">
      <c r="G542"/>
      <c r="H542"/>
      <c r="I542"/>
      <c r="J542"/>
      <c r="K542"/>
      <c r="L542"/>
      <c r="M542"/>
      <c r="N542"/>
    </row>
    <row r="543" spans="7:14" x14ac:dyDescent="0.35">
      <c r="G543"/>
      <c r="H543"/>
      <c r="I543"/>
      <c r="J543"/>
      <c r="K543"/>
      <c r="L543"/>
      <c r="M543"/>
      <c r="N543"/>
    </row>
    <row r="544" spans="7:14" x14ac:dyDescent="0.35">
      <c r="G544"/>
      <c r="H544"/>
      <c r="I544"/>
      <c r="J544"/>
      <c r="K544"/>
      <c r="L544"/>
      <c r="M544"/>
      <c r="N544"/>
    </row>
    <row r="545" spans="7:14" x14ac:dyDescent="0.35">
      <c r="G545"/>
      <c r="H545"/>
      <c r="I545"/>
      <c r="J545"/>
      <c r="K545"/>
      <c r="L545"/>
      <c r="M545"/>
      <c r="N545"/>
    </row>
    <row r="546" spans="7:14" x14ac:dyDescent="0.35">
      <c r="G546"/>
      <c r="H546"/>
      <c r="I546"/>
      <c r="J546"/>
      <c r="K546"/>
      <c r="L546"/>
      <c r="M546"/>
      <c r="N546"/>
    </row>
    <row r="547" spans="7:14" x14ac:dyDescent="0.35">
      <c r="G547"/>
      <c r="H547"/>
      <c r="I547"/>
      <c r="J547"/>
      <c r="K547"/>
      <c r="L547"/>
      <c r="M547"/>
      <c r="N547"/>
    </row>
    <row r="548" spans="7:14" x14ac:dyDescent="0.35">
      <c r="G548"/>
      <c r="H548"/>
      <c r="I548"/>
      <c r="J548"/>
      <c r="K548"/>
      <c r="L548"/>
      <c r="M548"/>
      <c r="N548"/>
    </row>
    <row r="549" spans="7:14" x14ac:dyDescent="0.35">
      <c r="G549"/>
      <c r="H549"/>
      <c r="I549"/>
      <c r="J549"/>
      <c r="K549"/>
      <c r="L549"/>
      <c r="M549"/>
      <c r="N549"/>
    </row>
    <row r="550" spans="7:14" x14ac:dyDescent="0.35">
      <c r="G550"/>
      <c r="H550"/>
      <c r="I550"/>
      <c r="J550"/>
      <c r="K550"/>
      <c r="L550"/>
      <c r="M550"/>
      <c r="N550"/>
    </row>
    <row r="551" spans="7:14" x14ac:dyDescent="0.35">
      <c r="G551"/>
      <c r="H551"/>
      <c r="I551"/>
      <c r="J551"/>
      <c r="K551"/>
      <c r="L551"/>
      <c r="M551"/>
      <c r="N551"/>
    </row>
    <row r="552" spans="7:14" x14ac:dyDescent="0.35">
      <c r="G552"/>
      <c r="H552"/>
      <c r="I552"/>
      <c r="J552"/>
      <c r="K552"/>
      <c r="L552"/>
      <c r="M552"/>
      <c r="N552"/>
    </row>
    <row r="553" spans="7:14" x14ac:dyDescent="0.35">
      <c r="G553"/>
      <c r="H553"/>
      <c r="I553"/>
      <c r="J553"/>
      <c r="K553"/>
      <c r="L553"/>
      <c r="M553"/>
      <c r="N553"/>
    </row>
    <row r="554" spans="7:14" x14ac:dyDescent="0.35">
      <c r="G554"/>
      <c r="H554"/>
      <c r="I554"/>
      <c r="J554"/>
      <c r="K554"/>
      <c r="L554"/>
      <c r="M554"/>
      <c r="N554"/>
    </row>
    <row r="555" spans="7:14" x14ac:dyDescent="0.35">
      <c r="G555"/>
      <c r="H555"/>
      <c r="I555"/>
      <c r="J555"/>
      <c r="K555"/>
      <c r="L555"/>
      <c r="M555"/>
      <c r="N555"/>
    </row>
    <row r="556" spans="7:14" x14ac:dyDescent="0.35">
      <c r="G556"/>
      <c r="H556"/>
      <c r="I556"/>
      <c r="J556"/>
      <c r="K556"/>
      <c r="L556"/>
      <c r="M556"/>
      <c r="N556"/>
    </row>
    <row r="557" spans="7:14" x14ac:dyDescent="0.35">
      <c r="G557"/>
      <c r="H557"/>
      <c r="I557"/>
      <c r="J557"/>
      <c r="K557"/>
      <c r="L557"/>
      <c r="M557"/>
      <c r="N557"/>
    </row>
    <row r="558" spans="7:14" x14ac:dyDescent="0.35">
      <c r="G558"/>
      <c r="H558"/>
      <c r="I558"/>
      <c r="J558"/>
      <c r="K558"/>
      <c r="L558"/>
      <c r="M558"/>
      <c r="N558"/>
    </row>
    <row r="559" spans="7:14" x14ac:dyDescent="0.35">
      <c r="G559"/>
      <c r="H559"/>
      <c r="I559"/>
      <c r="J559"/>
      <c r="K559"/>
      <c r="L559"/>
      <c r="M559"/>
      <c r="N559"/>
    </row>
    <row r="560" spans="7:14" x14ac:dyDescent="0.35">
      <c r="G560"/>
      <c r="H560"/>
      <c r="I560"/>
      <c r="J560"/>
      <c r="K560"/>
      <c r="L560"/>
      <c r="M560"/>
      <c r="N560"/>
    </row>
    <row r="561" spans="7:14" x14ac:dyDescent="0.35">
      <c r="G561"/>
      <c r="H561"/>
      <c r="I561"/>
      <c r="J561"/>
      <c r="K561"/>
      <c r="L561"/>
      <c r="M561"/>
      <c r="N561"/>
    </row>
    <row r="562" spans="7:14" x14ac:dyDescent="0.35">
      <c r="G562"/>
      <c r="H562"/>
      <c r="I562"/>
      <c r="J562"/>
      <c r="K562"/>
      <c r="L562"/>
      <c r="M562"/>
      <c r="N562"/>
    </row>
    <row r="563" spans="7:14" x14ac:dyDescent="0.35">
      <c r="G563"/>
      <c r="H563"/>
      <c r="I563"/>
      <c r="J563"/>
      <c r="K563"/>
      <c r="L563"/>
      <c r="M563"/>
      <c r="N563"/>
    </row>
    <row r="564" spans="7:14" x14ac:dyDescent="0.35">
      <c r="G564"/>
      <c r="H564"/>
      <c r="I564"/>
      <c r="J564"/>
      <c r="K564"/>
      <c r="L564"/>
      <c r="M564"/>
      <c r="N564"/>
    </row>
    <row r="565" spans="7:14" x14ac:dyDescent="0.35">
      <c r="G565"/>
      <c r="H565"/>
      <c r="I565"/>
      <c r="J565"/>
      <c r="K565"/>
      <c r="L565"/>
      <c r="M565"/>
      <c r="N565"/>
    </row>
    <row r="566" spans="7:14" x14ac:dyDescent="0.35">
      <c r="G566"/>
      <c r="H566"/>
      <c r="I566"/>
      <c r="J566"/>
      <c r="K566"/>
      <c r="L566"/>
      <c r="M566"/>
      <c r="N566"/>
    </row>
    <row r="567" spans="7:14" x14ac:dyDescent="0.35">
      <c r="G567"/>
      <c r="H567"/>
      <c r="I567"/>
      <c r="J567"/>
      <c r="K567"/>
      <c r="L567"/>
      <c r="M567"/>
      <c r="N567"/>
    </row>
    <row r="568" spans="7:14" x14ac:dyDescent="0.35">
      <c r="G568"/>
      <c r="H568"/>
      <c r="I568"/>
      <c r="J568"/>
      <c r="K568"/>
      <c r="L568"/>
      <c r="M568"/>
      <c r="N568"/>
    </row>
    <row r="569" spans="7:14" x14ac:dyDescent="0.35">
      <c r="G569"/>
      <c r="H569"/>
      <c r="I569"/>
      <c r="J569"/>
      <c r="K569"/>
      <c r="L569"/>
      <c r="M569"/>
      <c r="N569"/>
    </row>
    <row r="570" spans="7:14" x14ac:dyDescent="0.35">
      <c r="G570"/>
      <c r="H570"/>
      <c r="I570"/>
      <c r="J570"/>
      <c r="K570"/>
      <c r="L570"/>
      <c r="M570"/>
      <c r="N570"/>
    </row>
    <row r="571" spans="7:14" x14ac:dyDescent="0.35">
      <c r="G571"/>
      <c r="H571"/>
      <c r="I571"/>
      <c r="J571"/>
      <c r="K571"/>
      <c r="L571"/>
      <c r="M571"/>
      <c r="N571"/>
    </row>
    <row r="572" spans="7:14" x14ac:dyDescent="0.35">
      <c r="G572"/>
      <c r="H572"/>
      <c r="I572"/>
      <c r="J572"/>
      <c r="K572"/>
      <c r="L572"/>
      <c r="M572"/>
      <c r="N572"/>
    </row>
    <row r="573" spans="7:14" x14ac:dyDescent="0.35">
      <c r="G573"/>
      <c r="H573"/>
      <c r="I573"/>
      <c r="J573"/>
      <c r="K573"/>
      <c r="L573"/>
      <c r="M573"/>
      <c r="N573"/>
    </row>
    <row r="574" spans="7:14" x14ac:dyDescent="0.35">
      <c r="G574"/>
      <c r="H574"/>
      <c r="I574"/>
      <c r="J574"/>
      <c r="K574"/>
      <c r="L574"/>
      <c r="M574"/>
      <c r="N574"/>
    </row>
    <row r="575" spans="7:14" x14ac:dyDescent="0.35">
      <c r="G575"/>
      <c r="H575"/>
      <c r="I575"/>
      <c r="J575"/>
      <c r="K575"/>
      <c r="L575"/>
      <c r="M575"/>
      <c r="N575"/>
    </row>
    <row r="576" spans="7:14" x14ac:dyDescent="0.35">
      <c r="G576"/>
      <c r="H576"/>
      <c r="I576"/>
      <c r="J576"/>
      <c r="K576"/>
      <c r="L576"/>
      <c r="M576"/>
      <c r="N576"/>
    </row>
    <row r="577" spans="7:14" x14ac:dyDescent="0.35">
      <c r="G577"/>
      <c r="H577"/>
      <c r="I577"/>
      <c r="J577"/>
      <c r="K577"/>
      <c r="L577"/>
      <c r="M577"/>
      <c r="N577"/>
    </row>
    <row r="578" spans="7:14" x14ac:dyDescent="0.35">
      <c r="G578"/>
      <c r="H578"/>
      <c r="I578"/>
      <c r="J578"/>
      <c r="K578"/>
      <c r="L578"/>
      <c r="M578"/>
      <c r="N578"/>
    </row>
    <row r="579" spans="7:14" x14ac:dyDescent="0.35">
      <c r="G579"/>
      <c r="H579"/>
      <c r="I579"/>
      <c r="J579"/>
      <c r="K579"/>
      <c r="L579"/>
      <c r="M579"/>
      <c r="N579"/>
    </row>
    <row r="580" spans="7:14" x14ac:dyDescent="0.35">
      <c r="G580"/>
      <c r="H580"/>
      <c r="I580"/>
      <c r="J580"/>
      <c r="K580"/>
      <c r="L580"/>
      <c r="M580"/>
      <c r="N580"/>
    </row>
    <row r="581" spans="7:14" x14ac:dyDescent="0.35">
      <c r="G581"/>
      <c r="H581"/>
      <c r="I581"/>
      <c r="J581"/>
      <c r="K581"/>
      <c r="L581"/>
      <c r="M581"/>
      <c r="N581"/>
    </row>
    <row r="582" spans="7:14" x14ac:dyDescent="0.35">
      <c r="G582"/>
      <c r="H582"/>
      <c r="I582"/>
      <c r="J582"/>
      <c r="K582"/>
      <c r="L582"/>
      <c r="M582"/>
      <c r="N582"/>
    </row>
    <row r="583" spans="7:14" x14ac:dyDescent="0.35">
      <c r="G583"/>
      <c r="H583"/>
      <c r="I583"/>
      <c r="J583"/>
      <c r="K583"/>
      <c r="L583"/>
      <c r="M583"/>
      <c r="N583"/>
    </row>
    <row r="584" spans="7:14" x14ac:dyDescent="0.35">
      <c r="G584"/>
      <c r="H584"/>
      <c r="I584"/>
      <c r="J584"/>
      <c r="K584"/>
      <c r="L584"/>
      <c r="M584"/>
      <c r="N584"/>
    </row>
    <row r="585" spans="7:14" x14ac:dyDescent="0.35">
      <c r="G585"/>
      <c r="H585"/>
      <c r="I585"/>
      <c r="J585"/>
      <c r="K585"/>
      <c r="L585"/>
      <c r="M585"/>
      <c r="N585"/>
    </row>
    <row r="586" spans="7:14" x14ac:dyDescent="0.35">
      <c r="G586"/>
      <c r="H586"/>
      <c r="I586"/>
      <c r="J586"/>
      <c r="K586"/>
      <c r="L586"/>
      <c r="M586"/>
      <c r="N586"/>
    </row>
    <row r="587" spans="7:14" x14ac:dyDescent="0.35">
      <c r="G587"/>
      <c r="H587"/>
      <c r="I587"/>
      <c r="J587"/>
      <c r="K587"/>
      <c r="L587"/>
      <c r="M587"/>
      <c r="N587"/>
    </row>
    <row r="588" spans="7:14" x14ac:dyDescent="0.35">
      <c r="G588"/>
      <c r="H588"/>
      <c r="I588"/>
      <c r="J588"/>
      <c r="K588"/>
      <c r="L588"/>
      <c r="M588"/>
      <c r="N588"/>
    </row>
    <row r="589" spans="7:14" x14ac:dyDescent="0.35">
      <c r="G589"/>
      <c r="H589"/>
      <c r="I589"/>
      <c r="J589"/>
      <c r="K589"/>
      <c r="L589"/>
      <c r="M589"/>
      <c r="N589"/>
    </row>
    <row r="590" spans="7:14" x14ac:dyDescent="0.35">
      <c r="G590"/>
      <c r="H590"/>
      <c r="I590"/>
      <c r="J590"/>
      <c r="K590"/>
      <c r="L590"/>
      <c r="M590"/>
      <c r="N590"/>
    </row>
    <row r="591" spans="7:14" x14ac:dyDescent="0.35">
      <c r="G591"/>
      <c r="H591"/>
      <c r="I591"/>
      <c r="J591"/>
      <c r="K591"/>
      <c r="L591"/>
      <c r="M591"/>
      <c r="N591"/>
    </row>
    <row r="592" spans="7:14" x14ac:dyDescent="0.35">
      <c r="G592"/>
      <c r="H592"/>
      <c r="I592"/>
      <c r="J592"/>
      <c r="K592"/>
      <c r="L592"/>
      <c r="M592"/>
      <c r="N592"/>
    </row>
    <row r="593" spans="7:14" x14ac:dyDescent="0.35">
      <c r="G593"/>
      <c r="H593"/>
      <c r="I593"/>
      <c r="J593"/>
      <c r="K593"/>
      <c r="L593"/>
      <c r="M593"/>
      <c r="N593"/>
    </row>
    <row r="594" spans="7:14" x14ac:dyDescent="0.35">
      <c r="G594"/>
      <c r="H594"/>
      <c r="I594"/>
      <c r="J594"/>
      <c r="K594"/>
      <c r="L594"/>
      <c r="M594"/>
      <c r="N594"/>
    </row>
    <row r="595" spans="7:14" x14ac:dyDescent="0.35">
      <c r="G595"/>
      <c r="H595"/>
      <c r="I595"/>
      <c r="J595"/>
      <c r="K595"/>
      <c r="L595"/>
      <c r="M595"/>
      <c r="N595"/>
    </row>
    <row r="596" spans="7:14" x14ac:dyDescent="0.35">
      <c r="G596"/>
      <c r="H596"/>
      <c r="I596"/>
      <c r="J596"/>
      <c r="K596"/>
      <c r="L596"/>
      <c r="M596"/>
      <c r="N596"/>
    </row>
    <row r="597" spans="7:14" x14ac:dyDescent="0.35">
      <c r="G597"/>
      <c r="H597"/>
      <c r="I597"/>
      <c r="J597"/>
      <c r="K597"/>
      <c r="L597"/>
      <c r="M597"/>
      <c r="N597"/>
    </row>
    <row r="598" spans="7:14" x14ac:dyDescent="0.35">
      <c r="G598"/>
      <c r="H598"/>
      <c r="I598"/>
      <c r="J598"/>
      <c r="K598"/>
      <c r="L598"/>
      <c r="M598"/>
      <c r="N598"/>
    </row>
    <row r="599" spans="7:14" x14ac:dyDescent="0.35">
      <c r="G599"/>
      <c r="H599"/>
      <c r="I599"/>
      <c r="J599"/>
      <c r="K599"/>
      <c r="L599"/>
      <c r="M599"/>
      <c r="N599"/>
    </row>
    <row r="600" spans="7:14" x14ac:dyDescent="0.35">
      <c r="G600"/>
      <c r="H600"/>
      <c r="I600"/>
      <c r="J600"/>
      <c r="K600"/>
      <c r="L600"/>
      <c r="M600"/>
      <c r="N600"/>
    </row>
    <row r="601" spans="7:14" x14ac:dyDescent="0.35">
      <c r="G601"/>
      <c r="H601"/>
      <c r="I601"/>
      <c r="J601"/>
      <c r="K601"/>
      <c r="L601"/>
      <c r="M601"/>
      <c r="N601"/>
    </row>
  </sheetData>
  <sortState xmlns:xlrd2="http://schemas.microsoft.com/office/spreadsheetml/2017/richdata2" ref="A2:N601">
    <sortCondition ref="B2:B601"/>
  </sortState>
  <hyperlinks>
    <hyperlink ref="B32" r:id="rId1" display="https://enzyme.expasy.org/EC/1.4.1.4" xr:uid="{E1D752E7-BF6B-4502-8523-E07AB2AD6FD1}"/>
    <hyperlink ref="B18" r:id="rId2" display="https://enzyme.expasy.org/EC/1.11.1.26" xr:uid="{E3075241-6D5D-4917-BF18-80C0C86DF9AE}"/>
    <hyperlink ref="B157" r:id="rId3" display="https://enzyme.expasy.org/EC/2.7.7.65" xr:uid="{20268838-5593-4683-A920-2447B4B9CD2E}"/>
    <hyperlink ref="B234" r:id="rId4" display="https://enzyme.expasy.org/EC/4.1.1.31" xr:uid="{B2E35035-7EFC-4873-8231-21F5A0F61458}"/>
    <hyperlink ref="B296" r:id="rId5" display="https://enzyme.expasy.org/EC/6.1.1.2" xr:uid="{DE13FE7E-5A31-431C-BDC4-97F1D2AF26CA}"/>
    <hyperlink ref="B76" r:id="rId6" display="https://enzyme.expasy.org/EC/2.4.1.1" xr:uid="{FD564944-E0C8-4E81-8439-C28E50BFE815}"/>
    <hyperlink ref="B204" r:id="rId7" display="https://enzyme.expasy.org/EC/3.4.21.105" xr:uid="{C5107837-B0AF-40D6-AEB0-6432EE118DE2}"/>
    <hyperlink ref="B237" r:id="rId8" display="https://enzyme.expasy.org/EC/4.1.3.27" xr:uid="{DDE3C19E-2A83-4C81-A521-053682E0E313}"/>
    <hyperlink ref="B202" r:id="rId9" display="https://enzyme.expasy.org/EC/3.4.16.4" xr:uid="{F837721D-8CDF-493A-BB6A-100F326F1E86}"/>
    <hyperlink ref="B93" r:id="rId10" display="https://enzyme.expasy.org/EC/2.4.99.28" xr:uid="{945BD01E-E38C-49C7-A7C5-02FBE60A4DF7}"/>
    <hyperlink ref="B183" r:id="rId11" display="https://enzyme.expasy.org/EC/3.1.3.16" xr:uid="{93F931A1-D947-4AD5-B89F-5C0715F18BC5}"/>
    <hyperlink ref="B38" r:id="rId12" display="https://enzyme.expasy.org/EC/1.8.4.12" xr:uid="{FA8FE122-E4B8-4FA5-BCA6-D2B83EC37BB9}"/>
    <hyperlink ref="B188" r:id="rId13" display="https://enzyme.expasy.org/EC/3.1.4.4" xr:uid="{84A3CDE2-C2DB-4FDD-89D7-8939DE4FCA4A}"/>
    <hyperlink ref="B89" r:id="rId14" display="https://enzyme.expasy.org/EC/2.4.2.29" xr:uid="{2C253CF3-12F4-459C-8B7E-5463CF9353DF}"/>
    <hyperlink ref="B236" r:id="rId15" display="https://enzyme.expasy.org/EC/4.1.2.13" xr:uid="{930D794F-93F2-4D87-8AAD-5D870BC8F95C}"/>
    <hyperlink ref="B320" r:id="rId16" display="https://enzyme.expasy.org/EC/6.3.4.4" xr:uid="{337EE083-633A-4673-9051-3E4B77D314B9}"/>
    <hyperlink ref="B82" r:id="rId17" display="https://enzyme.expasy.org/EC/2.4.1.7" xr:uid="{C37B0413-DD36-47BE-8512-BBEB051E701F}"/>
    <hyperlink ref="B14" r:id="rId18" display="https://enzyme.expasy.org/EC/1.1.1.86" xr:uid="{B30B1925-152C-4A09-86D0-9CAF0C6C4FC1}"/>
    <hyperlink ref="B81" r:id="rId19" display="https://enzyme.expasy.org/EC/2.4.1.25" xr:uid="{275514B3-26D0-49A8-A06D-67B9F1BE5BFB}"/>
    <hyperlink ref="B193" r:id="rId20" display="https://enzyme.expasy.org/EC/3.2.1.41" xr:uid="{5A921348-675D-476A-9ADD-6C48731D10A4}"/>
    <hyperlink ref="B158" r:id="rId21" display="https://enzyme.expasy.org/EC/2.7.7.7" xr:uid="{F50C20D7-4D40-4B0D-B8E5-0C521096E481}"/>
    <hyperlink ref="B133" r:id="rId22" display="https://enzyme.expasy.org/EC/2.7.2.4" xr:uid="{955ED2B2-CAD7-483D-8B0A-951CE888EDB2}"/>
    <hyperlink ref="B25" r:id="rId23" display="https://enzyme.expasy.org/EC/1.2.1.11" xr:uid="{FF3124EE-C692-484D-B19D-87FCCD52CC20}"/>
    <hyperlink ref="B268" r:id="rId24" display="https://enzyme.expasy.org/EC/5.1.3.9" xr:uid="{293D4362-451F-4647-957D-DEE043920F9D}"/>
    <hyperlink ref="B224" r:id="rId25" display="https://enzyme.expasy.org/EC/3.5.99.6" xr:uid="{ED984B7F-062A-4A16-9E39-B882DDBB7DDE}"/>
    <hyperlink ref="B74" r:id="rId26" display="https://enzyme.expasy.org/EC/2.3.3.13" xr:uid="{895EC4B1-A278-48F5-BE31-10B245FC17DB}"/>
    <hyperlink ref="B283" r:id="rId27" display="https://enzyme.expasy.org/EC/5.6.2.1" xr:uid="{D1E2973D-9CED-4FD8-92E3-2EFE7C8F8850}"/>
    <hyperlink ref="B141" r:id="rId28" display="https://enzyme.expasy.org/EC/2.7.4.9" xr:uid="{33AB4A4A-BD2A-411B-B88D-6AC7A670E96E}"/>
    <hyperlink ref="B135" r:id="rId29" display="https://enzyme.expasy.org/EC/2.7.3.9" xr:uid="{55230173-2357-45B8-8A90-7B22A10FB73C}"/>
    <hyperlink ref="B319" r:id="rId30" display="https://enzyme.expasy.org/EC/6.3.4.3" xr:uid="{A334768C-A2A7-4AA2-B398-79B59E58F9D9}"/>
    <hyperlink ref="B294" r:id="rId31" display="https://enzyme.expasy.org/EC/6.1.1.17" xr:uid="{0DC1463F-51EE-4A16-8BB3-5B958D330290}"/>
    <hyperlink ref="B10" r:id="rId32" display="https://enzyme.expasy.org/EC/1.1.1.44" xr:uid="{AFE72E54-CF40-4299-9595-1C378A930F58}"/>
    <hyperlink ref="B173" r:id="rId33" display="https://enzyme.expasy.org/EC/3.1.1.31" xr:uid="{9AAF7BB2-9AC5-4C65-961B-A21C6D60D358}"/>
    <hyperlink ref="B11" r:id="rId34" display="https://enzyme.expasy.org/EC/1.1.1.49" xr:uid="{58D5DD02-0C22-45AB-B6DE-92E6BF5DA0BA}"/>
    <hyperlink ref="B285" r:id="rId35" display="https://enzyme.expasy.org/EC/5.6.2.3" xr:uid="{D750CC89-14CB-4D2F-BC7E-6394CD44AAB5}"/>
    <hyperlink ref="B142" r:id="rId36" display="https://enzyme.expasy.org/EC/2.7.6.1" xr:uid="{553070ED-4D99-45AF-9E97-270D4BA35417}"/>
    <hyperlink ref="B281" r:id="rId37" display="https://enzyme.expasy.org/EC/5.4.99.5" xr:uid="{30568967-196C-416B-8451-453C284E5555}"/>
    <hyperlink ref="B303" r:id="rId38" display="https://enzyme.expasy.org/EC/6.1.1.9" xr:uid="{D32EE8A3-4CEF-4508-BBD9-1255129743BB}"/>
    <hyperlink ref="B251" r:id="rId39" display="https://enzyme.expasy.org/EC/4.2.99.18" xr:uid="{2D87E085-CC63-4E84-B9B8-8E8A768A4152}"/>
    <hyperlink ref="B225" r:id="rId40" display="https://enzyme.expasy.org/EC/3.6.1.1" xr:uid="{960D5F62-F545-4594-A588-1CF23C7741E2}"/>
    <hyperlink ref="B71" r:id="rId41" display="https://enzyme.expasy.org/EC/2.3.1.46" xr:uid="{DF250E81-FB2B-4E8C-89DB-425805D3D981}"/>
    <hyperlink ref="B328" r:id="rId42" display="https://enzyme.expasy.org/EC/7.1.2.2" xr:uid="{CFCAC827-5A0F-4717-9D99-E9BFFB2FC3A8}"/>
    <hyperlink ref="B269" r:id="rId43" display="https://enzyme.expasy.org/EC/5.2.1.8" xr:uid="{8A6BFE01-9D78-4AB4-BA6D-A5A41A14CE71}"/>
    <hyperlink ref="B15" r:id="rId44" display="https://enzyme.expasy.org/EC/1.1.1.94" xr:uid="{B42C134A-CC90-48FF-AC71-40C609B5B6AC}"/>
    <hyperlink ref="B252" r:id="rId45" display="https://enzyme.expasy.org/EC/4.3.1.1" xr:uid="{D17C5416-E3F3-4A68-8C0D-AAB23B9DABC0}"/>
    <hyperlink ref="B55" r:id="rId46" display="https://enzyme.expasy.org/EC/2.1.1.63" xr:uid="{6663C9DC-C007-4261-9CE2-F358D70FDB58}"/>
    <hyperlink ref="B167" r:id="rId47" display="https://enzyme.expasy.org/EC/2.7.8.7" xr:uid="{FB0196CE-012C-4562-92EF-AD0B843C5994}"/>
    <hyperlink ref="B161" r:id="rId48" display="https://enzyme.expasy.org/EC/2.7.7.8" xr:uid="{302BD648-ED26-4253-887B-7512BD3CA000}"/>
    <hyperlink ref="B293" r:id="rId49" display="https://enzyme.expasy.org/EC/6.1.1.16" xr:uid="{11C1B9BD-868C-4607-8671-5C73D99C0C5B}"/>
    <hyperlink ref="B56" r:id="rId50" display="https://enzyme.expasy.org/EC/2.1.1.72" xr:uid="{77AAEE09-359E-4D12-87FB-ED30E5788F5A}"/>
    <hyperlink ref="B63" r:id="rId51" display="https://enzyme.expasy.org/EC/2.2.1.6" xr:uid="{AB892952-9CF8-4512-8968-16121544DB03}"/>
    <hyperlink ref="B180" r:id="rId52" display="https://enzyme.expasy.org/EC/3.1.26.3" xr:uid="{A790F4BD-01B3-4F99-A7D5-2AF7E6226782}"/>
    <hyperlink ref="B152" r:id="rId53" display="https://enzyme.expasy.org/EC/2.7.7.3" xr:uid="{07A86864-6DAB-43D5-BF0A-D34EC72013FE}"/>
    <hyperlink ref="B318" r:id="rId54" display="https://enzyme.expasy.org/EC/6.3.4.21" xr:uid="{8E13811B-1192-4159-BEF1-01B3372C9048}"/>
    <hyperlink ref="B155" r:id="rId55" display="https://enzyme.expasy.org/EC/2.7.7.56" xr:uid="{247BF4FA-583A-4AC2-97AB-527BFABA76C5}"/>
    <hyperlink ref="B274" r:id="rId56" display="https://enzyme.expasy.org/EC/5.3.1.9" xr:uid="{1BA0A3AD-CCEF-45E3-8071-644A7F4438D9}"/>
    <hyperlink ref="B206" r:id="rId57" display="https://enzyme.expasy.org/EC/3.4.21.89" xr:uid="{9D46F3A5-6102-4DCB-AFAA-3BD79CB378B9}"/>
    <hyperlink ref="B181" r:id="rId58" display="https://enzyme.expasy.org/EC/3.1.26.4" xr:uid="{2CB866F0-12FC-4EA3-85E2-C04D9EA5AB6A}"/>
    <hyperlink ref="B192" r:id="rId59" display="https://enzyme.expasy.org/EC/3.2.1.23" xr:uid="{786B34D6-7B77-4086-A6DA-449E28371264}"/>
    <hyperlink ref="B170" r:id="rId60" display="https://enzyme.expasy.org/EC/2.8.4.2" xr:uid="{8C273408-313F-469A-A6DE-908692E5178D}"/>
    <hyperlink ref="B226" r:id="rId61" display="https://enzyme.expasy.org/EC/3.6.1.22" xr:uid="{2861DF07-3E34-4269-B5CC-D2864BC9926D}"/>
    <hyperlink ref="B13" r:id="rId62" display="https://enzyme.expasy.org/EC/1.1.1.85" xr:uid="{095DE073-4BA1-45E7-9997-A467B4AD4561}"/>
    <hyperlink ref="B30" r:id="rId63" display="https://enzyme.expasy.org/EC/1.3.5.2" xr:uid="{194BB825-A450-4965-8772-6FB71B10F2D8}"/>
    <hyperlink ref="B146" r:id="rId64" display="https://enzyme.expasy.org/EC/2.7.7.12" xr:uid="{CA7226A2-3DE0-4684-8229-06CBBF38FDEB}"/>
    <hyperlink ref="B128" r:id="rId65" display="https://enzyme.expasy.org/EC/2.7.1.6" xr:uid="{3C296C56-39EF-40C0-ABC9-FC58B4BD6ADF}"/>
    <hyperlink ref="B49" r:id="rId66" display="https://enzyme.expasy.org/EC/2.1.1.207" xr:uid="{B2FFAF93-1E6A-4F9F-9055-2E0AFFAB1C6D}"/>
    <hyperlink ref="B156" r:id="rId67" display="https://enzyme.expasy.org/EC/2.7.7.6" xr:uid="{E1B78DA8-71A5-417D-865D-D7B45AE3213C}"/>
    <hyperlink ref="B19" r:id="rId68" display="https://enzyme.expasy.org/EC/1.17.1.8" xr:uid="{AC78A6EC-9E25-4D9B-BA0F-81DD6CE67F07}"/>
    <hyperlink ref="B259" r:id="rId69" display="https://enzyme.expasy.org/EC/4.3.3.7" xr:uid="{D50854CC-E45B-4347-8A99-C9DAEAC87A16}"/>
    <hyperlink ref="B201" r:id="rId70" display="https://enzyme.expasy.org/EC/3.4.11.2" xr:uid="{B27D3E25-DA13-431C-91C8-4E3E95CDE1FC}"/>
    <hyperlink ref="B275" r:id="rId71" display="https://enzyme.expasy.org/EC/5.4.2.10" xr:uid="{28AB44ED-0941-40FF-BBF4-D8F4362769BE}"/>
    <hyperlink ref="B214" r:id="rId72" display="https://enzyme.expasy.org/EC/3.5.1.88" xr:uid="{77214330-07B7-43E0-B819-27BECF1A3984}"/>
    <hyperlink ref="B105" r:id="rId73" display="https://enzyme.expasy.org/EC/2.6.1.16" xr:uid="{DB8ADB3B-51B9-41D0-BDCA-2B4D080DC525}"/>
    <hyperlink ref="B122" r:id="rId74" display="https://enzyme.expasy.org/EC/2.7.1.33" xr:uid="{A6032FC0-CB9A-4C07-B01C-9F9ACB87ADC0}"/>
    <hyperlink ref="B97" r:id="rId75" display="https://enzyme.expasy.org/EC/2.5.1.48" xr:uid="{E0F8D393-4AB5-4407-9775-25DEB2E1C792}"/>
    <hyperlink ref="B286" r:id="rId76" display="https://enzyme.expasy.org/EC/5.6.2.4" xr:uid="{96719CE1-62CA-459E-A11A-BF57517B7E60}"/>
    <hyperlink ref="B261" r:id="rId77" display="https://enzyme.expasy.org/EC/4.4.1.21" xr:uid="{4FA0242B-8C1F-48A0-9DBE-643A91DC7B8A}"/>
    <hyperlink ref="B263" r:id="rId78" display="https://enzyme.expasy.org/EC/5.1.1.1" xr:uid="{B4E36FFA-8CB1-4C1E-A3C5-5B573FAF8CD5}"/>
    <hyperlink ref="B210" r:id="rId79" display="https://enzyme.expasy.org/EC/3.5.1.2" xr:uid="{3C5752AE-E12F-419E-B172-AE12CBDB06CD}"/>
    <hyperlink ref="B258" r:id="rId80" display="https://enzyme.expasy.org/EC/4.3.3.6" xr:uid="{6BACB2D4-57CD-417B-A5CF-FDC3FDB9905F}"/>
    <hyperlink ref="B37" r:id="rId81" display="https://enzyme.expasy.org/EC/1.8.4.11" xr:uid="{5E41CC72-9114-4EBE-A87E-C277D0CADDFD}"/>
    <hyperlink ref="B64" r:id="rId82" display="https://enzyme.expasy.org/EC/2.2.1.7" xr:uid="{683C39C0-9912-47C8-AA70-821383D0E4F5}"/>
    <hyperlink ref="B232" r:id="rId83" display="https://enzyme.expasy.org/EC/4.1.1.21" xr:uid="{8FF57AC3-E45A-4D47-917B-158480D1FDAA}"/>
    <hyperlink ref="B279" r:id="rId84" display="https://enzyme.expasy.org/EC/5.4.99.18" xr:uid="{819F258B-01FF-4C1D-A2CB-3B7290730714}"/>
    <hyperlink ref="B315" r:id="rId85" display="https://enzyme.expasy.org/EC/6.3.4.18" xr:uid="{2980BC4B-335D-4BDC-8120-BF94EA47E3EB}"/>
    <hyperlink ref="B314" r:id="rId86" display="https://enzyme.expasy.org/EC/6.3.4.13" xr:uid="{5F35A9C5-E633-4E2D-8547-34C7940EDC57}"/>
    <hyperlink ref="B312" r:id="rId87" display="https://enzyme.expasy.org/EC/6.3.3.1" xr:uid="{F64A0331-0E2B-43F6-8E57-8E2BEE81CB7B}"/>
    <hyperlink ref="B84" r:id="rId88" display="https://enzyme.expasy.org/EC/2.4.2.14" xr:uid="{FBA6478D-AFD9-4BB5-9009-3E90877E9292}"/>
    <hyperlink ref="B195" r:id="rId89" display="https://enzyme.expasy.org/EC/3.2.2.15" xr:uid="{9BE2C7ED-3EEC-4607-A5FE-96C3D652F6AC}"/>
    <hyperlink ref="B324" r:id="rId90" display="https://enzyme.expasy.org/EC/6.3.5.3" xr:uid="{A10A0715-78DE-4618-982D-5D89C0D2727D}"/>
    <hyperlink ref="B309" r:id="rId91" display="https://enzyme.expasy.org/EC/6.3.2.6" xr:uid="{0056CE24-87A4-4179-B2ED-6D3E17E58C02}"/>
    <hyperlink ref="B325" r:id="rId92" display="https://enzyme.expasy.org/EC/6.3.5.5" xr:uid="{D855C1B1-FD63-402E-9C65-A997C652D1A2}"/>
    <hyperlink ref="B233" r:id="rId93" display="https://enzyme.expasy.org/EC/4.1.1.23" xr:uid="{EB1A6F5E-A7D6-4520-B7CD-8B0F65FB39C5}"/>
    <hyperlink ref="B140" r:id="rId94" display="https://enzyme.expasy.org/EC/2.7.4.8" xr:uid="{062B65F5-9793-4A30-8981-47FC19BAE2BF}"/>
    <hyperlink ref="B264" r:id="rId95" display="https://enzyme.expasy.org/EC/5.1.1.3" xr:uid="{5A975DA4-25CB-4646-9BE0-084EA7D9356C}"/>
    <hyperlink ref="B265" r:id="rId96" display="https://enzyme.expasy.org/EC/5.1.1.7" xr:uid="{E500EA68-A0EA-4A1E-BE06-862D616771B6}"/>
    <hyperlink ref="B5" r:id="rId97" display="https://enzyme.expasy.org/EC/1.1.1.267" xr:uid="{8F4EBB38-95A3-4A38-9EF2-C018C5CC10C1}"/>
    <hyperlink ref="B22" r:id="rId98" display="https://enzyme.expasy.org/EC/1.17.7.1" xr:uid="{A9451DC1-3B96-42E8-9A9C-6EC6A1BCB4EE}"/>
    <hyperlink ref="B326" r:id="rId99" display="https://enzyme.expasy.org/EC/6.5.1.2" xr:uid="{994D12CE-1702-4F4A-A198-969AB67C92D0}"/>
    <hyperlink ref="B306" r:id="rId100" display="https://enzyme.expasy.org/EC/6.3.1.2" xr:uid="{525CEC48-1F0C-48FD-AAA4-4C5DE961FA07}"/>
    <hyperlink ref="B297" r:id="rId101" display="https://enzyme.expasy.org/EC/6.1.1.20" xr:uid="{46A7C8F0-10F8-4FE6-8644-92933F9A7AC0}"/>
    <hyperlink ref="B26" r:id="rId102" display="https://enzyme.expasy.org/EC/1.2.1.38" xr:uid="{FB1908EA-D44B-42C7-B42C-0588619B92C8}"/>
    <hyperlink ref="B65" r:id="rId103" display="https://enzyme.expasy.org/EC/2.3.1.1" xr:uid="{0A3C580E-26BD-46C1-9D19-559B357A04AC}"/>
    <hyperlink ref="B70" r:id="rId104" display="https://enzyme.expasy.org/EC/2.3.1.35" xr:uid="{C4BCAD36-2DB2-4B4F-8D26-3DDBA2A46A11}"/>
    <hyperlink ref="B134" r:id="rId105" display="https://enzyme.expasy.org/EC/2.7.2.8" xr:uid="{BC9E70D1-1812-43A3-BC04-F9C30B4B42D6}"/>
    <hyperlink ref="B104" r:id="rId106" display="https://enzyme.expasy.org/EC/2.6.1.11" xr:uid="{D4AAB58C-6E1D-4ED9-9EC4-4A16CA2B761F}"/>
    <hyperlink ref="B60" r:id="rId107" display="https://enzyme.expasy.org/EC/2.1.3.3" xr:uid="{463CF675-5F00-4C0B-B723-E096ECB0261F}"/>
    <hyperlink ref="B321" r:id="rId108" display="https://enzyme.expasy.org/EC/6.3.4.5" xr:uid="{8B076D74-AFDC-44CA-9A06-2C479C5306A7}"/>
    <hyperlink ref="B255" r:id="rId109" display="https://enzyme.expasy.org/EC/4.3.2.1" xr:uid="{FD349C58-3565-47ED-972F-47D2FC4663B7}"/>
    <hyperlink ref="B168" r:id="rId110" display="https://enzyme.expasy.org/EC/2.8.1.10" xr:uid="{4B8E3CA8-915D-4A02-A387-E5EF277EE353}"/>
    <hyperlink ref="B160" r:id="rId111" display="https://enzyme.expasy.org/EC/2.7.7.73" xr:uid="{D79E5CD2-2FBB-4826-9F40-2DFAED13104B}"/>
    <hyperlink ref="B287" r:id="rId112" display="https://enzyme.expasy.org/EC/6.1.1.1" xr:uid="{25C69F92-8C10-4538-87C6-7FE8ED71F175}"/>
    <hyperlink ref="B118" r:id="rId113" display="https://enzyme.expasy.org/EC/2.7.1.23" xr:uid="{1FC24FBF-0262-45FF-A442-DD357FEB3D99}"/>
    <hyperlink ref="B249" r:id="rId114" display="https://enzyme.expasy.org/EC/4.2.3.1" xr:uid="{0E646EE2-2C65-4B58-805F-7093D1B11507}"/>
    <hyperlink ref="B27" r:id="rId115" display="https://enzyme.expasy.org/EC/1.2.1.41" xr:uid="{838905F1-BAEA-4A9F-8B35-F69A9522648A}"/>
    <hyperlink ref="B147" r:id="rId116" display="https://enzyme.expasy.org/EC/2.7.7.18" xr:uid="{A7D8B7B6-CB28-4A10-859A-5AE43D6A0CE2}"/>
    <hyperlink ref="B172" r:id="rId117" display="https://enzyme.expasy.org/EC/3.1.1.29" xr:uid="{8CD4F0E2-1822-4377-90ED-BC76B48CEA21}"/>
    <hyperlink ref="B240" r:id="rId118" display="https://enzyme.expasy.org/EC/4.2.1.11" xr:uid="{A9C5A96F-F70D-41BF-8300-8111A3840FDF}"/>
    <hyperlink ref="B253" r:id="rId119" display="https://enzyme.expasy.org/EC/4.3.1.17" xr:uid="{22B81AA4-858C-465E-8AD7-997A4A02160E}"/>
    <hyperlink ref="B130" r:id="rId120" display="https://enzyme.expasy.org/EC/2.7.13.3" xr:uid="{D2710A40-5B20-4B14-B0C1-562330F7105B}"/>
    <hyperlink ref="B77" r:id="rId121" display="https://enzyme.expasy.org/EC/2.4.1.18" xr:uid="{3073E471-98CF-4BD9-BAFA-ED58E09411A3}"/>
    <hyperlink ref="B262" r:id="rId122" display="https://enzyme.expasy.org/EC/4.6.1.12" xr:uid="{57B1775B-4E63-45E3-80FC-3A56528515EA}"/>
    <hyperlink ref="B119" r:id="rId123" display="https://enzyme.expasy.org/EC/2.7.1.24" xr:uid="{C287F0CF-7004-49E8-880B-2E42BC782FB8}"/>
    <hyperlink ref="B125" r:id="rId124" display="https://enzyme.expasy.org/EC/2.7.1.40" xr:uid="{75F76789-E8AD-4BB3-9A7A-0F57C876556F}"/>
    <hyperlink ref="B190" r:id="rId125" display="https://enzyme.expasy.org/EC/3.2.1.196" xr:uid="{1ED352B7-6F25-4AB2-8D36-7AF700CE2982}"/>
    <hyperlink ref="B197" r:id="rId126" display="https://enzyme.expasy.org/EC/3.2.2.20" xr:uid="{6D9AD796-C2BC-4041-93C0-CD2FF0BFAB87}"/>
    <hyperlink ref="B96" r:id="rId127" display="https://enzyme.expasy.org/EC/2.5.1.19" xr:uid="{265E29F4-0328-4B8B-B0CF-457C0607F18D}"/>
    <hyperlink ref="B73" r:id="rId128" display="https://enzyme.expasy.org/EC/2.3.1.8" xr:uid="{EEBB0C4B-DD40-413A-B203-6D4711D3FDC9}"/>
    <hyperlink ref="B323" r:id="rId129" display="https://enzyme.expasy.org/EC/6.3.5.2" xr:uid="{9818F388-A783-484F-AA0F-5526DB85B43F}"/>
    <hyperlink ref="B149" r:id="rId130" display="https://enzyme.expasy.org/EC/2.7.7.23" xr:uid="{40DCABBD-D61E-4735-950A-3F66929BB526}"/>
    <hyperlink ref="B330" r:id="rId131" display="https://enzyme.expasy.org/EC/7.4.2.11" xr:uid="{92FC3DE1-B448-46DA-A80C-845FA2D8352E}"/>
    <hyperlink ref="B322" r:id="rId132" display="https://enzyme.expasy.org/EC/6.3.5.1" xr:uid="{8865C315-4770-451C-876D-D7B030C4C089}"/>
    <hyperlink ref="B72" r:id="rId133" display="https://enzyme.expasy.org/EC/2.3.1.54" xr:uid="{88453FC1-6966-4333-973C-BC947F823626}"/>
    <hyperlink ref="B39" r:id="rId134" display="https://enzyme.expasy.org/EC/1.97.1.4" xr:uid="{FFC6CCC3-0E85-457C-BD1A-8840F8985534}"/>
    <hyperlink ref="B260" r:id="rId135" display="https://enzyme.expasy.org/EC/4.4.1.13" xr:uid="{32F80A3F-21E9-45DB-AAAB-FD91723CEE85}"/>
    <hyperlink ref="B123" r:id="rId136" display="https://enzyme.expasy.org/EC/2.7.1.35" xr:uid="{92A7F68B-88AF-4BDB-8C33-ED664C2DBDAF}"/>
    <hyperlink ref="B34" r:id="rId137" display="https://enzyme.expasy.org/EC/1.5.1.2" xr:uid="{91512965-6361-49C7-ADA5-FB47DF617AB3}"/>
    <hyperlink ref="B212" r:id="rId138" display="https://enzyme.expasy.org/EC/3.5.1.25" xr:uid="{90608237-A6D6-4E02-9C20-37455CB8D2B8}"/>
    <hyperlink ref="B88" r:id="rId139" display="https://enzyme.expasy.org/EC/2.4.2.22" xr:uid="{9F361200-2C4C-4A51-95A7-FC160A48A340}"/>
    <hyperlink ref="B222" r:id="rId140" display="https://enzyme.expasy.org/EC/3.5.4.5" xr:uid="{98D55728-9A3E-40F9-AE8C-C77531D915FE}"/>
    <hyperlink ref="B302" r:id="rId141" display="https://enzyme.expasy.org/EC/6.1.1.7" xr:uid="{E61AD822-856C-49FD-85E9-6B4DD70A9F9B}"/>
    <hyperlink ref="B177" r:id="rId142" display="https://enzyme.expasy.org/EC/3.1.21.10" xr:uid="{1E425F7C-877B-4DAF-889E-FC084FF690DE}"/>
    <hyperlink ref="B250" r:id="rId143" display="https://enzyme.expasy.org/EC/4.2.3.5" xr:uid="{B9CC5D00-D9EA-4E67-9F8A-E59294EF671C}"/>
    <hyperlink ref="B239" r:id="rId144" display="https://enzyme.expasy.org/EC/4.2.1.10" xr:uid="{9B0CB369-8398-4677-AEB1-022C2BFF9388}"/>
    <hyperlink ref="B317" r:id="rId145" display="https://enzyme.expasy.org/EC/6.3.4.2" xr:uid="{F591DFDE-974B-4FCA-A374-294230488078}"/>
    <hyperlink ref="B169" r:id="rId146" display="https://enzyme.expasy.org/EC/2.8.1.7" xr:uid="{8D3062FD-2537-4648-8B5F-2AED00E5B1A0}"/>
    <hyperlink ref="B151" r:id="rId147" display="https://enzyme.expasy.org/EC/2.7.7.27" xr:uid="{1058C02B-27F2-46C6-9ACD-1B557AE5C0CA}"/>
    <hyperlink ref="B46" r:id="rId148" display="https://enzyme.expasy.org/EC/2.1.1.193" xr:uid="{4431D0F9-748B-4C4A-87BD-E43082A68443}"/>
    <hyperlink ref="B327" r:id="rId149" display="https://enzyme.expasy.org/EC/7.1.1.1" xr:uid="{A811660C-3E87-40EC-8EFA-EAE1A26AD2D6}"/>
    <hyperlink ref="B107" r:id="rId150" display="https://enzyme.expasy.org/EC/2.6.1.42" xr:uid="{FD81ACB9-B323-429B-9B20-67A33033B990}"/>
    <hyperlink ref="B231" r:id="rId151" display="https://enzyme.expasy.org/EC/3.6.5.n1" xr:uid="{88FC0884-DB68-4399-859A-5D4D93DEB4F3}"/>
    <hyperlink ref="B31" r:id="rId152" display="https://enzyme.expasy.org/EC/1.4.1.13" xr:uid="{53CF5EC9-3695-4FAB-AD93-41A25B9E644A}"/>
    <hyperlink ref="B78" r:id="rId153" display="https://enzyme.expasy.org/EC/2.4.1.21" xr:uid="{2B3C6BBD-B860-40C8-875D-80C28C65D50F}"/>
    <hyperlink ref="B17" r:id="rId154" display="https://enzyme.expasy.org/EC/1.11.1.24" xr:uid="{7BD349E9-A52F-45D1-BEB6-AA28626C2CA5}"/>
    <hyperlink ref="B223" r:id="rId155" display="https://enzyme.expasy.org/EC/3.5.99.2" xr:uid="{840C9859-A067-4C0F-B161-F8E503D108F7}"/>
    <hyperlink ref="B40" r:id="rId156" display="https://enzyme.expasy.org/EC/2.1.1.14" xr:uid="{DD5F80C8-9B28-4D1F-940A-E5BBF4D1D006}"/>
    <hyperlink ref="B35" r:id="rId157" display="https://enzyme.expasy.org/EC/1.5.1.20" xr:uid="{5C817C2F-BBFE-4E7E-8A40-806752CAC15B}"/>
    <hyperlink ref="B211" r:id="rId158" display="https://enzyme.expasy.org/EC/3.5.1.24" xr:uid="{55E8D9FE-47DB-4132-B7F2-476950EFAD0B}"/>
    <hyperlink ref="B154" r:id="rId159" display="https://enzyme.expasy.org/EC/2.7.7.42" xr:uid="{C4B78904-8999-4221-891E-74286D01B023}"/>
    <hyperlink ref="B163" r:id="rId160" display="https://enzyme.expasy.org/EC/2.7.7.89" xr:uid="{AEA4E944-3D1B-4044-AC03-E6417F73B8E8}"/>
    <hyperlink ref="B59" r:id="rId161" display="https://enzyme.expasy.org/EC/2.1.3.2" xr:uid="{026F8851-56B4-43D7-8D8C-30C1046D491B}"/>
    <hyperlink ref="B216" r:id="rId162" display="https://enzyme.expasy.org/EC/3.5.2.3" xr:uid="{4758280E-F418-4EE4-9A3C-B99BEFF688A2}"/>
    <hyperlink ref="B28" r:id="rId163" display="https://enzyme.expasy.org/EC/1.3.1.14" xr:uid="{D6FB341C-1A9A-4CE9-ADCD-1CDEF86823CF}"/>
    <hyperlink ref="B83" r:id="rId164" display="https://enzyme.expasy.org/EC/2.4.2.10" xr:uid="{D7CDCBCE-EDE1-40B9-ACB3-153AE2080459}"/>
    <hyperlink ref="B132" r:id="rId165" display="https://enzyme.expasy.org/EC/2.7.2.3" xr:uid="{2F356E4E-F941-472A-AA73-FEABCD746A4A}"/>
    <hyperlink ref="B270" r:id="rId166" display="https://enzyme.expasy.org/EC/5.3.1.1" xr:uid="{339275D5-8B31-48C5-B985-446DAB7A2CA7}"/>
    <hyperlink ref="B6" r:id="rId167" display="https://enzyme.expasy.org/EC/1.1.1.27" xr:uid="{7E633E30-B6FB-4E8E-8046-80E5C569D367}"/>
    <hyperlink ref="B62" r:id="rId168" display="https://enzyme.expasy.org/EC/2.2.1.2" xr:uid="{8F57BFA2-FFB3-4BEC-8304-1CAF453BB0C8}"/>
    <hyperlink ref="B61" r:id="rId169" display="https://enzyme.expasy.org/EC/2.2.1.1" xr:uid="{1D32F660-8870-4CA6-A555-AEFB770084BD}"/>
    <hyperlink ref="B228" r:id="rId170" display="https://enzyme.expasy.org/EC/3.6.1.27" xr:uid="{91C17F4C-9CD0-4F73-BA3D-499AD85D266A}"/>
    <hyperlink ref="B299" r:id="rId171" display="https://enzyme.expasy.org/EC/6.1.1.3" xr:uid="{9044FCF2-2971-49EC-ADA5-E4CD369B8172}"/>
    <hyperlink ref="B230" r:id="rId172" display="https://enzyme.expasy.org/EC/3.6.4.12" xr:uid="{88A5DB9A-424E-48F4-B81A-E5A361AD01A3}"/>
    <hyperlink ref="B90" r:id="rId173" display="https://enzyme.expasy.org/EC/2.4.2.7" xr:uid="{581FF7B2-9408-4592-BFED-DCF352722423}"/>
    <hyperlink ref="B304" r:id="rId174" display="https://enzyme.expasy.org/EC/6.2.1.5" xr:uid="{CDFE0D9D-2152-4DCC-A983-D23C0E231FDE}"/>
    <hyperlink ref="B57" r:id="rId175" display="https://enzyme.expasy.org/EC/2.1.2.3" xr:uid="{407B09C8-83BC-48C2-AD69-3771D3DF70CF}"/>
    <hyperlink ref="B217" r:id="rId176" display="https://enzyme.expasy.org/EC/3.5.4.10" xr:uid="{12C4CC4A-E162-4599-9A99-9E23060F93D1}"/>
    <hyperlink ref="B164" r:id="rId177" display="https://enzyme.expasy.org/EC/2.7.7.9" xr:uid="{4D4D0B29-1F87-4222-A09C-23EAA0C76A56}"/>
    <hyperlink ref="B85" r:id="rId178" display="https://enzyme.expasy.org/EC/2.4.2.17" xr:uid="{726B8349-0C71-477D-8BF1-B5AE78AE4610}"/>
    <hyperlink ref="B229" r:id="rId179" display="https://enzyme.expasy.org/EC/3.6.1.31" xr:uid="{312AEDCB-EC26-4076-AAD9-DA719124B556}"/>
    <hyperlink ref="B266" r:id="rId180" display="https://enzyme.expasy.org/EC/5.1.3.1" xr:uid="{0F89912C-76FB-4DE2-B40E-D283A707FDC1}"/>
    <hyperlink ref="B94" r:id="rId181" display="https://enzyme.expasy.org/EC/2.5.1.145" xr:uid="{E52B6F34-7348-45DF-AB7E-9E1E85CF9CB8}"/>
    <hyperlink ref="B242" r:id="rId182" display="https://enzyme.expasy.org/EC/4.2.1.20" xr:uid="{1F2F2FAE-68CD-447E-AE25-321422BE7498}"/>
    <hyperlink ref="B178" r:id="rId183" display="https://enzyme.expasy.org/EC/3.1.21.2" xr:uid="{860B70A6-91A9-43D2-B8D7-E76407CD82BF}"/>
    <hyperlink ref="B220" r:id="rId184" display="https://enzyme.expasy.org/EC/3.5.4.19" xr:uid="{F1E1E445-0B6E-47D4-A3F0-578B3D88AE45}"/>
    <hyperlink ref="B256" r:id="rId185" display="https://enzyme.expasy.org/EC/4.3.2.10" xr:uid="{48641CD6-DA8F-4B89-8E80-A88BFEE2F268}"/>
    <hyperlink ref="B45" r:id="rId186" display="https://enzyme.expasy.org/EC/2.1.1.192" xr:uid="{E0FAE4E6-2212-4B2B-BCFD-114E59FE294C}"/>
    <hyperlink ref="B153" r:id="rId187" display="https://enzyme.expasy.org/EC/2.7.7.41" xr:uid="{72823792-4F99-403D-9EE8-81C1FEC6D990}"/>
    <hyperlink ref="B137" r:id="rId188" display="https://enzyme.expasy.org/EC/2.7.4.22" xr:uid="{D0AC1280-7EB1-411D-88BA-514B8535913C}"/>
    <hyperlink ref="B8" r:id="rId189" display="https://enzyme.expasy.org/EC/1.1.1.42" xr:uid="{51E0658B-F87B-499B-A450-5C73F1801B64}"/>
    <hyperlink ref="B67" r:id="rId190" display="https://enzyme.expasy.org/EC/2.3.1.234" xr:uid="{577E01C3-144C-4D4D-8ABE-B53DC831AA06}"/>
    <hyperlink ref="B68" r:id="rId191" display="https://enzyme.expasy.org/EC/2.3.1.266" xr:uid="{60E3667F-5680-49BE-9D53-33560EC89B3E}"/>
    <hyperlink ref="B300" r:id="rId192" display="https://enzyme.expasy.org/EC/6.1.1.4" xr:uid="{D150D4C1-6846-42F6-B295-58A9C4E86B53}"/>
    <hyperlink ref="B189" r:id="rId193" display="https://enzyme.expasy.org/EC/3.2.1.163" xr:uid="{7A1DEE0E-5DE3-4C1A-BC95-29135AA8F4AE}"/>
    <hyperlink ref="B174" r:id="rId194" display="https://enzyme.expasy.org/EC/3.1.1.96" xr:uid="{115703E9-4DD2-455E-8083-00E0D6530A0B}"/>
    <hyperlink ref="B145" r:id="rId195" display="https://enzyme.expasy.org/EC/2.7.6.5" xr:uid="{19EF22AB-45E2-43AF-9C38-DFFCADE029F8}"/>
    <hyperlink ref="B227" r:id="rId196" display="https://enzyme.expasy.org/EC/3.6.1.23" xr:uid="{36936E2E-5409-4D4D-80ED-206EBD1CB0B0}"/>
    <hyperlink ref="B111" r:id="rId197" display="https://enzyme.expasy.org/EC/2.7.1.15" xr:uid="{956DB972-89C8-476F-A033-68CDD42B9B6D}"/>
    <hyperlink ref="B86" r:id="rId198" display="https://enzyme.expasy.org/EC/2.4.2.18" xr:uid="{8BF1B4FF-F5FE-4192-99C9-59EFB5AB70C9}"/>
    <hyperlink ref="B166" r:id="rId199" display="https://enzyme.expasy.org/EC/2.7.8.5" xr:uid="{C7E028C9-8EE0-4431-A652-3215835AF7A1}"/>
    <hyperlink ref="B103" r:id="rId200" display="https://enzyme.expasy.org/EC/2.5.1.75" xr:uid="{721DED70-FF1B-4F1A-829B-0E4DBBAFB596}"/>
    <hyperlink ref="B171" r:id="rId201" display="https://enzyme.expasy.org/EC/2.8.4.3" xr:uid="{913F268C-7772-4E52-86A6-E9E84B8DCA03}"/>
    <hyperlink ref="B243" r:id="rId202" display="https://enzyme.expasy.org/EC/4.2.1.3" xr:uid="{BB6B82C4-3F99-42D3-9F2B-F8AE8C32643E}"/>
    <hyperlink ref="B175" r:id="rId203" display="https://enzyme.expasy.org/EC/3.1.11.2" xr:uid="{5AF2AB89-D631-45F0-9788-0E37151672A5}"/>
    <hyperlink ref="B246" r:id="rId204" display="https://enzyme.expasy.org/EC/4.2.1.51" xr:uid="{C400E654-6C1C-442D-AA6A-3A0101941D45}"/>
    <hyperlink ref="B87" r:id="rId205" display="https://enzyme.expasy.org/EC/2.4.2.19" xr:uid="{F0F5A4FF-A1ED-4A9F-8BE7-7393420E76D0}"/>
    <hyperlink ref="B33" r:id="rId206" display="https://enzyme.expasy.org/EC/1.4.3.16" xr:uid="{5C70EF19-94C6-4B03-B695-51D3C4266AB3}"/>
    <hyperlink ref="B101" r:id="rId207" display="https://enzyme.expasy.org/EC/2.5.1.72" xr:uid="{D9E75AAF-2E1B-4664-8447-EE6D6E560C2F}"/>
    <hyperlink ref="B121" r:id="rId208" display="https://enzyme.expasy.org/EC/2.7.1.31" xr:uid="{63BE65D0-DC39-4B13-9916-4DE93B60CBB5}"/>
    <hyperlink ref="B143" r:id="rId209" display="https://enzyme.expasy.org/EC/2.7.6.2" xr:uid="{B0E7C22A-6B63-4764-96C0-35763B7D5A87}"/>
    <hyperlink ref="B23" r:id="rId210" display="https://enzyme.expasy.org/EC/1.17.7.4" xr:uid="{B40D6C3C-D405-4603-B7BC-D80DF741638E}"/>
    <hyperlink ref="B308" r:id="rId211" display="https://enzyme.expasy.org/EC/6.3.2.13" xr:uid="{0A3C95F4-93F1-47D0-852C-E82689DD3689}"/>
    <hyperlink ref="B213" r:id="rId212" display="https://enzyme.expasy.org/EC/3.5.1.28" xr:uid="{5A38B3D9-E906-4E7D-8113-D4FEF6BCC23C}"/>
    <hyperlink ref="B53" r:id="rId213" display="https://enzyme.expasy.org/EC/2.1.1.37" xr:uid="{16532B09-44A9-4B41-A5F9-460DCCD67F59}"/>
    <hyperlink ref="B310" r:id="rId214" display="https://enzyme.expasy.org/EC/6.3.2.8" xr:uid="{BC4F66A5-58B4-473C-B695-99872AD74548}"/>
    <hyperlink ref="B80" r:id="rId215" display="https://enzyme.expasy.org/EC/2.4.1.227" xr:uid="{10198D0E-432F-467B-A79A-1C6121E1E2CF}"/>
    <hyperlink ref="B311" r:id="rId216" display="https://enzyme.expasy.org/EC/6.3.2.9" xr:uid="{C3F3F812-50C2-4BCF-8B07-F07DDD40A837}"/>
    <hyperlink ref="B165" r:id="rId217" display="https://enzyme.expasy.org/EC/2.7.8.13" xr:uid="{0A2E8725-D9B9-4028-AB1A-C28BF27462BE}"/>
    <hyperlink ref="B307" r:id="rId218" display="https://enzyme.expasy.org/EC/6.3.2.10" xr:uid="{23E687B8-0719-4C59-9B77-C5787E9C7F9D}"/>
    <hyperlink ref="B48" r:id="rId219" display="https://enzyme.expasy.org/EC/2.1.1.199" xr:uid="{9BD2593B-AAC5-4A2B-A5AF-95F1B3577837}"/>
    <hyperlink ref="B16" r:id="rId220" display="https://enzyme.expasy.org/EC/1.1.1.95" xr:uid="{A3C1410F-08C7-4602-A9E9-5EFD083A2692}"/>
    <hyperlink ref="B205" r:id="rId221" display="https://enzyme.expasy.org/EC/3.4.21.88" xr:uid="{2DF2E883-700A-4F8C-8137-3BA1680E2DA1}"/>
    <hyperlink ref="B271" r:id="rId222" display="https://enzyme.expasy.org/EC/5.3.1.16" xr:uid="{8043746D-15C1-40F7-87F5-E43192FC154B}"/>
    <hyperlink ref="B272" r:id="rId223" display="https://enzyme.expasy.org/EC/5.3.1.24" xr:uid="{96237E9B-E53F-4E01-B73E-C30D88D2D749}"/>
    <hyperlink ref="B241" r:id="rId224" display="https://enzyme.expasy.org/EC/4.2.1.19" xr:uid="{7C12FFA3-291A-4419-94C2-EC3D3DA34D02}"/>
    <hyperlink ref="B109" r:id="rId225" display="https://enzyme.expasy.org/EC/2.6.1.9" xr:uid="{165C07C1-A1AF-41C2-B7A8-5932285F2552}"/>
    <hyperlink ref="B4" r:id="rId226" display="https://enzyme.expasy.org/EC/1.1.1.23" xr:uid="{2D37257D-FD06-48D3-A844-CE71E7D9C338}"/>
    <hyperlink ref="B9" r:id="rId227" display="https://enzyme.expasy.org/EC/1.1.1.435" xr:uid="{7A162D85-3863-4B88-BB35-BE30B108327D}"/>
    <hyperlink ref="B247" r:id="rId228" display="https://enzyme.expasy.org/EC/4.2.1.53" xr:uid="{FD040FE5-6385-4043-B5DF-8AE186B8FE1B}"/>
    <hyperlink ref="B207" r:id="rId229" display="https://enzyme.expasy.org/EC/3.4.23.36" xr:uid="{55A30B4A-CBB0-490C-8261-3CF85382CDD9}"/>
    <hyperlink ref="B291" r:id="rId230" display="https://enzyme.expasy.org/EC/6.1.1.14" xr:uid="{68AE1FA1-F084-4BEE-B3B0-AAEE9CCA4606}"/>
    <hyperlink ref="B127" r:id="rId231" display="https://enzyme.expasy.org/EC/2.7.1.50" xr:uid="{B21DCD9E-19FC-40FD-9730-587215B1AB5D}"/>
    <hyperlink ref="B238" r:id="rId232" display="https://enzyme.expasy.org/EC/4.1.99.17" xr:uid="{E54B6B1F-B0F5-4933-AE2B-75056EE90F6C}"/>
    <hyperlink ref="B126" r:id="rId233" display="https://enzyme.expasy.org/EC/2.7.1.49" xr:uid="{00F126AF-5B91-48AB-9853-7B22340676A9}"/>
    <hyperlink ref="B139" r:id="rId234" display="https://enzyme.expasy.org/EC/2.7.4.7" xr:uid="{378CE4FC-4501-4B67-B5E6-F4FAADB1731A}"/>
    <hyperlink ref="B129" r:id="rId235" display="https://enzyme.expasy.org/EC/2.7.1.63" xr:uid="{B495EA1F-F78B-4BA9-A1EF-0EBAA26E15C3}"/>
    <hyperlink ref="B184" r:id="rId236" display="https://enzyme.expasy.org/EC/3.1.3.2" xr:uid="{429A13E5-AE37-49F3-AE35-053F8AAAC241}"/>
    <hyperlink ref="B290" r:id="rId237" display="https://enzyme.expasy.org/EC/6.1.1.12" xr:uid="{8A80433F-830F-4741-B944-4CD04EE9558B}"/>
    <hyperlink ref="B298" r:id="rId238" display="https://enzyme.expasy.org/EC/6.1.1.21" xr:uid="{5B3E6AAA-CF07-4B09-8565-1531332B5353}"/>
    <hyperlink ref="B187" r:id="rId239" display="https://enzyme.expasy.org/EC/3.1.3.5" xr:uid="{B7827E85-BBED-42F8-A374-997EF6B73448}"/>
    <hyperlink ref="B215" r:id="rId240" display="https://enzyme.expasy.org/EC/3.5.2.10" xr:uid="{8A461121-C1B8-423D-9B22-1612892E0694}"/>
    <hyperlink ref="B198" r:id="rId241" display="https://enzyme.expasy.org/EC/3.2.2.27" xr:uid="{7CA57668-3620-4F57-A720-14FD5708AFA6}"/>
    <hyperlink ref="B257" r:id="rId242" display="https://enzyme.expasy.org/EC/4.3.2.2" xr:uid="{FB3CFEA2-A4DD-4B5A-9BD9-744DE089BB1D}"/>
    <hyperlink ref="B305" r:id="rId243" display="https://enzyme.expasy.org/EC/6.3.1.19" xr:uid="{7A127AB3-17E9-4F8A-B170-AB83B931A34A}"/>
    <hyperlink ref="B208" r:id="rId244" display="https://enzyme.expasy.org/EC/3.5.1.119" xr:uid="{77B76880-6BF3-4178-9E92-EC248B2E3A9D}"/>
    <hyperlink ref="B117" r:id="rId245" display="https://enzyme.expasy.org/EC/2.7.1.202" xr:uid="{8E40785B-C538-4758-B028-5D8C266C9B21}"/>
    <hyperlink ref="B185" r:id="rId246" display="https://enzyme.expasy.org/EC/3.1.3.3" xr:uid="{D8B36737-1CCC-422E-AAE9-52BBE67AFCBA}"/>
    <hyperlink ref="B58" r:id="rId247" display="https://enzyme.expasy.org/EC/2.1.2.9" xr:uid="{8BFE9361-CDBE-4C67-99CC-5F11035C245C}"/>
    <hyperlink ref="B248" r:id="rId248" display="https://enzyme.expasy.org/EC/4.2.1.9" xr:uid="{D792B365-7A74-4FA4-90E6-E0D3FA46737F}"/>
    <hyperlink ref="B99" r:id="rId249" display="https://enzyme.expasy.org/EC/2.5.1.6" xr:uid="{17A13600-D8D2-496C-9AEC-DE0277545D45}"/>
    <hyperlink ref="B179" r:id="rId250" display="https://enzyme.expasy.org/EC/3.1.21.3" xr:uid="{95F6EE3B-65A8-4D37-9368-F593DC880772}"/>
    <hyperlink ref="B21" r:id="rId251" display="https://enzyme.expasy.org/EC/1.17.4.2" xr:uid="{72862571-C96C-408E-A260-7E7B0F4E3B30}"/>
    <hyperlink ref="B176" r:id="rId252" display="https://enzyme.expasy.org/EC/3.1.11.6" xr:uid="{35E4F0B2-E460-4297-A59D-C5F79EC5A68F}"/>
    <hyperlink ref="B66" r:id="rId253" display="https://enzyme.expasy.org/EC/2.3.1.117" xr:uid="{69671BE4-F760-48A6-8127-0953BC0B800E}"/>
    <hyperlink ref="B75" r:id="rId254" display="https://enzyme.expasy.org/EC/2.3.3.16" xr:uid="{3DA46E00-DD8C-4149-8B4E-D133E0757554}"/>
    <hyperlink ref="B200" r:id="rId255" display="https://enzyme.expasy.org/EC/3.4.11.18" xr:uid="{2BDD9EB4-E927-423E-90AA-B4BDA90B8AA7}"/>
    <hyperlink ref="B292" r:id="rId256" display="https://enzyme.expasy.org/EC/6.1.1.15" xr:uid="{C664DD28-15D8-42D8-B6E1-7E057FF6AF47}"/>
    <hyperlink ref="B3" r:id="rId257" display="https://enzyme.expasy.org/EC/1.1.1.205" xr:uid="{999EA629-A08C-47A7-AF84-1CE28D2684A4}"/>
    <hyperlink ref="B162" r:id="rId258" display="https://enzyme.expasy.org/EC/2.7.7.87" xr:uid="{FDE3715E-06FF-4489-B1AE-6352C1117EB0}"/>
    <hyperlink ref="B51" r:id="rId259" display="https://enzyme.expasy.org/EC/2.1.1.297" xr:uid="{2577A451-12A5-472F-9CBF-19B73EE36B91}"/>
    <hyperlink ref="B116" r:id="rId260" display="https://enzyme.expasy.org/EC/2.7.1.2" xr:uid="{647E9FC1-C9AD-4A75-89E2-457F80F7B5E9}"/>
    <hyperlink ref="B144" r:id="rId261" display="https://enzyme.expasy.org/EC/2.7.6.3" xr:uid="{B739A2AC-B581-4056-8E47-B71305FDEA6C}"/>
    <hyperlink ref="B95" r:id="rId262" display="https://enzyme.expasy.org/EC/2.5.1.15" xr:uid="{9DF40FE7-8F93-420E-9144-54703AE86A59}"/>
    <hyperlink ref="B219" r:id="rId263" display="https://enzyme.expasy.org/EC/3.5.4.16" xr:uid="{95DCC6B6-B2A4-4AF7-A3FD-47F406E1CADC}"/>
    <hyperlink ref="B91" r:id="rId264" display="https://enzyme.expasy.org/EC/2.4.2.8" xr:uid="{A2CBC91E-54D5-471B-8B01-35D3B210AD07}"/>
    <hyperlink ref="B316" r:id="rId265" display="https://enzyme.expasy.org/EC/6.3.4.19" xr:uid="{155C1CBB-402A-4801-B29A-4649CA7F3183}"/>
    <hyperlink ref="B12" r:id="rId266" display="https://enzyme.expasy.org/EC/1.1.1.77" xr:uid="{11FA0F88-4A95-4787-A03E-C7CA1C96C2C0}"/>
    <hyperlink ref="B52" r:id="rId267" display="https://enzyme.expasy.org/EC/2.1.1.33" xr:uid="{6C8A27E5-63D6-4CD4-A4CF-840184B4FB22}"/>
    <hyperlink ref="B194" r:id="rId268" display="https://enzyme.expasy.org/EC/3.2.1.52" xr:uid="{D602B490-DB3E-4142-8674-F4040D124F0A}"/>
    <hyperlink ref="B186" r:id="rId269" display="https://enzyme.expasy.org/EC/3.1.3.48" xr:uid="{19FDEE1E-2913-48B8-AF23-50667FF7C833}"/>
    <hyperlink ref="B36" r:id="rId270" display="https://enzyme.expasy.org/EC/1.5.1.3" xr:uid="{DD6B6C4B-58AF-42BC-9E4F-C4AC024175D8}"/>
    <hyperlink ref="B54" r:id="rId271" display="https://enzyme.expasy.org/EC/2.1.1.45" xr:uid="{009285A6-E815-48BE-9F15-19B7453AAD1C}"/>
    <hyperlink ref="B108" r:id="rId272" display="https://enzyme.expasy.org/EC/2.6.1.52" xr:uid="{18F4AEF7-F55C-46E6-B3D5-C9D265D40C48}"/>
    <hyperlink ref="B276" r:id="rId273" display="https://enzyme.expasy.org/EC/5.4.2.11" xr:uid="{0EF714B4-802B-4450-ACC5-3311B8CD9887}"/>
    <hyperlink ref="B102" r:id="rId274" display="https://enzyme.expasy.org/EC/2.5.1.74" xr:uid="{05ED00B8-F2C9-4748-AEFD-2D7D1F2AE911}"/>
    <hyperlink ref="B301" r:id="rId275" display="https://enzyme.expasy.org/EC/6.1.1.6" xr:uid="{153CDF0A-E35A-4CFA-8C54-55CC25D30DA8}"/>
    <hyperlink ref="B267" r:id="rId276" display="https://enzyme.expasy.org/EC/5.1.3.2" xr:uid="{8B0E7C21-964C-4A93-97D3-25631AE20665}"/>
    <hyperlink ref="B112" r:id="rId277" display="https://enzyme.expasy.org/EC/2.7.1.162" xr:uid="{099350FB-5BF8-4F0C-9323-46CA62FD5F31}"/>
    <hyperlink ref="B79" r:id="rId278" display="https://enzyme.expasy.org/EC/2.4.1.211" xr:uid="{4A907452-63D6-438F-89C1-EDBE0517527B}"/>
    <hyperlink ref="B289" r:id="rId279" display="https://enzyme.expasy.org/EC/6.1.1.11" xr:uid="{DBAE370D-6A44-467C-BF9F-7BC9E63CA206}"/>
    <hyperlink ref="B277" r:id="rId280" display="https://enzyme.expasy.org/EC/5.4.2.2" xr:uid="{21D2A113-1C9A-450D-8181-464C5CF75E05}"/>
    <hyperlink ref="B273" r:id="rId281" display="https://enzyme.expasy.org/EC/5.3.1.6" xr:uid="{C74E6353-1E7A-459D-85D2-FA05B8FBBCE5}"/>
    <hyperlink ref="B120" r:id="rId282" display="https://enzyme.expasy.org/EC/2.7.1.26" xr:uid="{A5A296B4-CF10-4412-98BF-B0F53C1728A4}"/>
    <hyperlink ref="B280" r:id="rId283" display="https://enzyme.expasy.org/EC/5.4.99.25" xr:uid="{9DDEB7FB-44E3-48BB-9877-676B43D75911}"/>
    <hyperlink ref="B278" r:id="rId284" display="https://enzyme.expasy.org/EC/5.4.99.12" xr:uid="{F6207EA3-E152-4DD1-B470-0402D232CBD9}"/>
    <hyperlink ref="B138" r:id="rId285" display="https://enzyme.expasy.org/EC/2.7.4.3" xr:uid="{1117C619-B164-4FDF-8578-EEB24596BAA6}"/>
    <hyperlink ref="B235" r:id="rId286" display="https://enzyme.expasy.org/EC/4.1.1.5" xr:uid="{B474134A-F0B6-4118-A3CD-7CBAD727F248}"/>
    <hyperlink ref="B2" r:id="rId287" display="https://enzyme.expasy.org/EC/1.1.1.1" xr:uid="{934B12E4-B309-46CC-9F98-10A3022366AB}"/>
    <hyperlink ref="B24" r:id="rId288" display="https://enzyme.expasy.org/EC/1.2.1.10" xr:uid="{1AE6D35A-C222-40D1-99CB-6254AD3162DA}"/>
    <hyperlink ref="B106" r:id="rId289" display="https://enzyme.expasy.org/EC/2.6.1.17" xr:uid="{6346B329-3DC7-4435-86F0-FDF05E90098D}"/>
    <hyperlink ref="B29" r:id="rId290" display="https://enzyme.expasy.org/EC/1.3.1.98" xr:uid="{79C01B2E-D159-4C2A-A31A-2A8606606D9C}"/>
    <hyperlink ref="B313" r:id="rId291" display="https://enzyme.expasy.org/EC/6.3.3.2" xr:uid="{F80A11CA-602B-4A8F-AC73-5DCD53BA0EC8}"/>
    <hyperlink ref="B329" r:id="rId292" display="https://enzyme.expasy.org/EC/7.3.2.1" xr:uid="{5640C796-D045-41CA-8F34-176283589A31}"/>
    <hyperlink ref="B196" r:id="rId293" display="https://enzyme.expasy.org/EC/3.2.2.16" xr:uid="{2BEADD2C-2167-41E9-B1A4-C9390A7A373E}"/>
    <hyperlink ref="B98" r:id="rId294" display="https://enzyme.expasy.org/EC/2.5.1.54" xr:uid="{24108023-7999-43D2-B30B-13F52414A8D0}"/>
    <hyperlink ref="B203" r:id="rId295" display="https://enzyme.expasy.org/EC/3.4.19.3" xr:uid="{6F889E3B-2146-4246-A8B1-3EF11F6A4EE6}"/>
    <hyperlink ref="B50" r:id="rId296" display="https://enzyme.expasy.org/EC/2.1.1.228" xr:uid="{050FB05E-89D7-4986-A38A-4D9E34FBEAC7}"/>
    <hyperlink ref="B42" r:id="rId297" display="https://enzyme.expasy.org/EC/2.1.1.171" xr:uid="{F4C29D71-02EF-43AA-9CCE-45555CA26E54}"/>
    <hyperlink ref="B131" r:id="rId298" display="https://enzyme.expasy.org/EC/2.7.2.11" xr:uid="{F02E4FFB-CD21-4F73-9712-216C766053AD}"/>
    <hyperlink ref="B209" r:id="rId299" display="https://enzyme.expasy.org/EC/3.5.1.18" xr:uid="{B3AC39DF-8105-42A3-B14A-CD6290E9A5FE}"/>
    <hyperlink ref="B124" r:id="rId300" display="https://enzyme.expasy.org/EC/2.7.1.39" xr:uid="{BFA21287-E6CC-4E37-906C-34970E85DA03}"/>
    <hyperlink ref="B7" r:id="rId301" display="https://enzyme.expasy.org/EC/1.1.1.3" xr:uid="{6BD858F5-BF9E-4325-9DA4-EEE350587713}"/>
    <hyperlink ref="B295" r:id="rId302" display="https://enzyme.expasy.org/EC/6.1.1.19" xr:uid="{76FE2F3D-4B5C-49FB-8F5A-88FE495457A6}"/>
    <hyperlink ref="B100" r:id="rId303" display="https://enzyme.expasy.org/EC/2.5.1.7" xr:uid="{5CB3E54F-4C8E-4FEB-A081-73C2559C3EAC}"/>
    <hyperlink ref="B244" r:id="rId304" display="https://enzyme.expasy.org/EC/4.2.1.33" xr:uid="{77F5F1FD-8F28-4612-A70A-2DFD139B86F7}"/>
    <hyperlink ref="B136" r:id="rId305" display="https://enzyme.expasy.org/EC/2.7.4.1" xr:uid="{4818BD39-261A-48BC-95CC-BA112E1DC12E}"/>
    <hyperlink ref="B92" r:id="rId306" display="https://enzyme.expasy.org/EC/2.4.2.9" xr:uid="{E91CFCFD-D1A9-4F49-A43E-099EAE70469C}"/>
    <hyperlink ref="B43" r:id="rId307" display="https://enzyme.expasy.org/EC/2.1.1.177" xr:uid="{B2DE4524-C6E6-487E-9E35-6596EDBCD111}"/>
    <hyperlink ref="B282" r:id="rId308" display="https://enzyme.expasy.org/EC/5.4.99.9" xr:uid="{1041733C-832D-49EB-B3F2-432BE957F3DF}"/>
    <hyperlink ref="B113" r:id="rId309" display="https://enzyme.expasy.org/EC/2.7.1.17" xr:uid="{974DA504-3566-4836-9478-4E6CE102ACFF}"/>
    <hyperlink ref="B150" r:id="rId310" display="https://enzyme.expasy.org/EC/2.7.7.24" xr:uid="{DDC4A7BC-055A-491A-9F39-5F3FC6BAE30D}"/>
    <hyperlink ref="B245" r:id="rId311" display="https://enzyme.expasy.org/EC/4.2.1.46" xr:uid="{9698D79F-1DE2-4AFE-874A-92D98418B31F}"/>
    <hyperlink ref="B288" r:id="rId312" display="https://enzyme.expasy.org/EC/6.1.1.10" xr:uid="{1FEAAFA8-00AD-4C97-A0F1-C1A514D7CF6F}"/>
    <hyperlink ref="B47" r:id="rId313" display="https://enzyme.expasy.org/EC/2.1.1.198" xr:uid="{BE3F71C2-AA63-4927-A6B8-CC4FEBBA29F5}"/>
    <hyperlink ref="B114" r:id="rId314" display="https://enzyme.expasy.org/EC/2.7.1.180" xr:uid="{9D6E7DB6-5FD9-488E-AD5D-2BBF7E336E02}"/>
    <hyperlink ref="B69" r:id="rId315" display="https://enzyme.expasy.org/EC/2.3.1.286" xr:uid="{FF093361-69AA-403D-B81B-34231472DBBA}"/>
    <hyperlink ref="B254" r:id="rId316" display="https://enzyme.expasy.org/EC/4.3.1.19" xr:uid="{0FF87374-FA1F-4FBB-B1C4-CAAD67A8A086}"/>
    <hyperlink ref="B191" r:id="rId317" display="https://enzyme.expasy.org/EC/3.2.1.22" xr:uid="{09D10E37-B96D-4E7D-8436-06DBF7E37797}"/>
    <hyperlink ref="B221" r:id="rId318" display="https://enzyme.expasy.org/EC/3.5.4.33" xr:uid="{B6AEFDCE-EF92-447E-BA78-B0F943FD87DA}"/>
    <hyperlink ref="B218" r:id="rId319" display="https://enzyme.expasy.org/EC/3.5.4.13" xr:uid="{316302EC-0B0A-46E6-88AB-C843B5AD87AD}"/>
    <hyperlink ref="B115" r:id="rId320" display="https://enzyme.expasy.org/EC/2.7.1.193" xr:uid="{8ECF1DA9-4130-4080-81FE-14E2E290E47B}"/>
    <hyperlink ref="B20" r:id="rId321" display="https://enzyme.expasy.org/EC/1.17.4.1" xr:uid="{5F00254D-A329-402E-8E74-B4FB95184F1E}"/>
    <hyperlink ref="B44" r:id="rId322" display="https://enzyme.expasy.org/EC/2.1.1.182" xr:uid="{0ACB5A18-740E-44C2-8CEA-A02779B5333F}"/>
    <hyperlink ref="B110" r:id="rId323" display="https://enzyme.expasy.org/EC/2.7.1.148" xr:uid="{C2660627-1DA1-4AE1-AE50-6579ACE8F363}"/>
    <hyperlink ref="B159" r:id="rId324" display="https://enzyme.expasy.org/EC/2.7.7.72" xr:uid="{9CA6EE76-0258-410A-8E1D-9B996E3D8ADE}"/>
    <hyperlink ref="B41" r:id="rId325" display="https://enzyme.expasy.org/EC/2.1.1.170" xr:uid="{951E2335-4AA1-4223-A2AB-AB3E65456EF1}"/>
    <hyperlink ref="B182" r:id="rId326" display="https://enzyme.expasy.org/EC/3.1.26.5" xr:uid="{30BB2558-090F-457D-85CC-54771E2524D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92"/>
  <sheetViews>
    <sheetView topLeftCell="C1" zoomScaleNormal="100" workbookViewId="0">
      <pane ySplit="1" topLeftCell="A2" activePane="bottomLeft" state="frozen"/>
      <selection pane="bottomLeft" activeCell="O7" sqref="O7"/>
    </sheetView>
  </sheetViews>
  <sheetFormatPr defaultRowHeight="14.5" x14ac:dyDescent="0.35"/>
  <cols>
    <col min="1" max="1" width="17.6328125" style="8" customWidth="1"/>
    <col min="2" max="2" width="15.36328125" style="8" customWidth="1"/>
    <col min="3" max="3" width="10.7265625" style="8" customWidth="1"/>
    <col min="4" max="4" width="5.08984375" style="8" customWidth="1"/>
    <col min="5" max="5" width="10.08984375" style="8" customWidth="1"/>
    <col min="6" max="9" width="17.36328125" style="8" customWidth="1"/>
    <col min="10" max="10" width="52.453125" style="8" customWidth="1"/>
    <col min="11" max="11" width="67.81640625" style="40" customWidth="1"/>
    <col min="12" max="16384" width="8.7265625" style="8"/>
  </cols>
  <sheetData>
    <row r="1" spans="1:11" s="23" customFormat="1" ht="29" x14ac:dyDescent="0.35">
      <c r="A1" s="23" t="s">
        <v>10</v>
      </c>
      <c r="B1" s="23" t="s">
        <v>12</v>
      </c>
      <c r="C1" s="23" t="s">
        <v>1279</v>
      </c>
      <c r="D1" s="23" t="s">
        <v>2343</v>
      </c>
      <c r="E1" s="23" t="s">
        <v>2342</v>
      </c>
      <c r="F1" s="23" t="s">
        <v>3818</v>
      </c>
      <c r="G1" s="23" t="s">
        <v>4183</v>
      </c>
      <c r="H1" s="23" t="s">
        <v>4181</v>
      </c>
      <c r="I1" s="23" t="s">
        <v>4182</v>
      </c>
      <c r="J1" s="23" t="s">
        <v>2344</v>
      </c>
      <c r="K1" s="39" t="s">
        <v>2345</v>
      </c>
    </row>
    <row r="2" spans="1:11" ht="43.5" x14ac:dyDescent="0.35">
      <c r="A2" s="8" t="s">
        <v>436</v>
      </c>
      <c r="B2" s="8" t="s">
        <v>437</v>
      </c>
      <c r="C2" s="8" t="s">
        <v>2248</v>
      </c>
      <c r="D2" s="8">
        <v>1</v>
      </c>
      <c r="E2" s="8" t="str">
        <f t="shared" ref="E2:E65" si="0">CONCATENATE("E",C2)</f>
        <v>E1_1_1_1</v>
      </c>
      <c r="F2" s="8" t="s">
        <v>3462</v>
      </c>
      <c r="G2" s="8" t="s">
        <v>1705</v>
      </c>
      <c r="H2" s="8" t="s">
        <v>3819</v>
      </c>
      <c r="I2" s="8" t="s">
        <v>1706</v>
      </c>
      <c r="J2" s="8" t="str">
        <f t="shared" ref="J2:J65" si="1">CONCATENATE("(${Variables:",E2,"_kcat","} * ",E2," * ",G2,")","/(${Variables:",E2,"_km","} + (",E2," * ",G2,"))")</f>
        <v>(${Variables:E1_1_1_1_kcat} * E1_1_1_1 * C00114 * C00003)/(${Variables:E1_1_1_1_km} + (E1_1_1_1 * C00114 * C00003))</v>
      </c>
      <c r="K2" s="40" t="str">
        <f t="shared" ref="K2:K65" si="2">CONCATENATE("r",D2,": ",F2," -&gt; ",H2," | ",J2)</f>
        <v>r1: C00114 + C00003 -&gt; C00576 + C00004 + C00080 | (${Variables:E1_1_1_1_kcat} * E1_1_1_1 * C00114 * C00003)/(${Variables:E1_1_1_1_km} + (E1_1_1_1 * C00114 * C00003))</v>
      </c>
    </row>
    <row r="3" spans="1:11" ht="43.5" x14ac:dyDescent="0.35">
      <c r="A3" s="8" t="s">
        <v>436</v>
      </c>
      <c r="B3" s="8" t="s">
        <v>437</v>
      </c>
      <c r="C3" s="8" t="s">
        <v>2248</v>
      </c>
      <c r="D3" s="8">
        <v>2</v>
      </c>
      <c r="E3" s="8" t="str">
        <f t="shared" si="0"/>
        <v>E1_1_1_1</v>
      </c>
      <c r="F3" s="8" t="s">
        <v>3463</v>
      </c>
      <c r="G3" s="8" t="s">
        <v>1707</v>
      </c>
      <c r="H3" s="8" t="s">
        <v>3820</v>
      </c>
      <c r="I3" s="8" t="s">
        <v>1708</v>
      </c>
      <c r="J3" s="8" t="str">
        <f t="shared" si="1"/>
        <v>(${Variables:E1_1_1_1_kcat} * E1_1_1_1 * C00114 * C00006)/(${Variables:E1_1_1_1_km} + (E1_1_1_1 * C00114 * C00006))</v>
      </c>
      <c r="K3" s="40" t="str">
        <f t="shared" si="2"/>
        <v>r2: C00114 + C00006 -&gt; C00576 + C00005 + C00080 | (${Variables:E1_1_1_1_kcat} * E1_1_1_1 * C00114 * C00006)/(${Variables:E1_1_1_1_km} + (E1_1_1_1 * C00114 * C00006))</v>
      </c>
    </row>
    <row r="4" spans="1:11" ht="43.5" x14ac:dyDescent="0.35">
      <c r="A4" s="8" t="s">
        <v>436</v>
      </c>
      <c r="B4" s="8" t="s">
        <v>437</v>
      </c>
      <c r="C4" s="8" t="s">
        <v>2248</v>
      </c>
      <c r="D4" s="8">
        <v>3</v>
      </c>
      <c r="E4" s="8" t="str">
        <f t="shared" si="0"/>
        <v>E1_1_1_1</v>
      </c>
      <c r="F4" s="8" t="s">
        <v>3464</v>
      </c>
      <c r="G4" s="8" t="s">
        <v>1758</v>
      </c>
      <c r="H4" s="8" t="s">
        <v>3821</v>
      </c>
      <c r="I4" s="8" t="s">
        <v>1759</v>
      </c>
      <c r="J4" s="8" t="str">
        <f t="shared" si="1"/>
        <v>(${Variables:E1_1_1_1_kcat} * E1_1_1_1 * C00226 * C00003)/(${Variables:E1_1_1_1_km} + (E1_1_1_1 * C00226 * C00003))</v>
      </c>
      <c r="K4" s="40" t="str">
        <f t="shared" si="2"/>
        <v>r3: C00226 + C00003 -&gt; C00071 + C00004 + C00080 | (${Variables:E1_1_1_1_kcat} * E1_1_1_1 * C00226 * C00003)/(${Variables:E1_1_1_1_km} + (E1_1_1_1 * C00226 * C00003))</v>
      </c>
    </row>
    <row r="5" spans="1:11" ht="43.5" x14ac:dyDescent="0.35">
      <c r="A5" s="8" t="s">
        <v>436</v>
      </c>
      <c r="B5" s="8" t="s">
        <v>437</v>
      </c>
      <c r="C5" s="8" t="s">
        <v>2248</v>
      </c>
      <c r="D5" s="8">
        <v>4</v>
      </c>
      <c r="E5" s="8" t="str">
        <f t="shared" si="0"/>
        <v>E1_1_1_1</v>
      </c>
      <c r="F5" s="8" t="s">
        <v>3465</v>
      </c>
      <c r="G5" s="8" t="s">
        <v>1823</v>
      </c>
      <c r="H5" s="8" t="s">
        <v>3822</v>
      </c>
      <c r="I5" s="8" t="s">
        <v>1824</v>
      </c>
      <c r="J5" s="8" t="str">
        <f t="shared" si="1"/>
        <v>(${Variables:E1_1_1_1_kcat} * E1_1_1_1 * C00418 * C00003)/(${Variables:E1_1_1_1_km} + (E1_1_1_1 * C00418 * C00003))</v>
      </c>
      <c r="K5" s="40" t="str">
        <f t="shared" si="2"/>
        <v>r4: C00418 + C00003 -&gt; C00772 + C00004 + C00080 | (${Variables:E1_1_1_1_kcat} * E1_1_1_1 * C00418 * C00003)/(${Variables:E1_1_1_1_km} + (E1_1_1_1 * C00418 * C00003))</v>
      </c>
    </row>
    <row r="6" spans="1:11" ht="43.5" x14ac:dyDescent="0.35">
      <c r="A6" s="8" t="s">
        <v>436</v>
      </c>
      <c r="B6" s="8" t="s">
        <v>437</v>
      </c>
      <c r="C6" s="8" t="s">
        <v>2248</v>
      </c>
      <c r="D6" s="8">
        <v>5</v>
      </c>
      <c r="E6" s="8" t="str">
        <f t="shared" si="0"/>
        <v>E1_1_1_1</v>
      </c>
      <c r="F6" s="8" t="s">
        <v>3466</v>
      </c>
      <c r="G6" s="8" t="s">
        <v>1837</v>
      </c>
      <c r="H6" s="8" t="s">
        <v>3823</v>
      </c>
      <c r="I6" s="8" t="s">
        <v>1838</v>
      </c>
      <c r="J6" s="8" t="str">
        <f t="shared" si="1"/>
        <v>(${Variables:E1_1_1_1_kcat} * E1_1_1_1 * C00469 * C00003)/(${Variables:E1_1_1_1_km} + (E1_1_1_1 * C00469 * C00003))</v>
      </c>
      <c r="K6" s="40" t="str">
        <f t="shared" si="2"/>
        <v>r5: C00469 + C00003 -&gt; C00084 + C00004 + C00080 | (${Variables:E1_1_1_1_kcat} * E1_1_1_1 * C00469 * C00003)/(${Variables:E1_1_1_1_km} + (E1_1_1_1 * C00469 * C00003))</v>
      </c>
    </row>
    <row r="7" spans="1:11" ht="43.5" x14ac:dyDescent="0.35">
      <c r="A7" s="8" t="s">
        <v>436</v>
      </c>
      <c r="B7" s="8" t="s">
        <v>437</v>
      </c>
      <c r="C7" s="8" t="s">
        <v>2248</v>
      </c>
      <c r="D7" s="8">
        <v>6</v>
      </c>
      <c r="E7" s="8" t="str">
        <f t="shared" si="0"/>
        <v>E1_1_1_1</v>
      </c>
      <c r="F7" s="8" t="s">
        <v>3467</v>
      </c>
      <c r="G7" s="8" t="s">
        <v>1839</v>
      </c>
      <c r="H7" s="8" t="s">
        <v>3824</v>
      </c>
      <c r="I7" s="8" t="s">
        <v>1840</v>
      </c>
      <c r="J7" s="8" t="str">
        <f t="shared" si="1"/>
        <v>(${Variables:E1_1_1_1_kcat} * E1_1_1_1 * C00473 * C00003)/(${Variables:E1_1_1_1_km} + (E1_1_1_1 * C00473 * C00003))</v>
      </c>
      <c r="K7" s="40" t="str">
        <f t="shared" si="2"/>
        <v>r6: C00473 + C00003 -&gt; C00376 + C00004 + C00080 | (${Variables:E1_1_1_1_kcat} * E1_1_1_1 * C00473 * C00003)/(${Variables:E1_1_1_1_km} + (E1_1_1_1 * C00473 * C00003))</v>
      </c>
    </row>
    <row r="8" spans="1:11" ht="43.5" x14ac:dyDescent="0.35">
      <c r="A8" s="8" t="s">
        <v>436</v>
      </c>
      <c r="B8" s="8" t="s">
        <v>437</v>
      </c>
      <c r="C8" s="8" t="s">
        <v>2248</v>
      </c>
      <c r="D8" s="8">
        <v>7</v>
      </c>
      <c r="E8" s="8" t="str">
        <f t="shared" si="0"/>
        <v>E1_1_1_1</v>
      </c>
      <c r="F8" s="8" t="s">
        <v>3468</v>
      </c>
      <c r="G8" s="8" t="s">
        <v>1877</v>
      </c>
      <c r="H8" s="8" t="s">
        <v>3825</v>
      </c>
      <c r="I8" s="8" t="s">
        <v>1878</v>
      </c>
      <c r="J8" s="8" t="str">
        <f t="shared" si="1"/>
        <v>(${Variables:E1_1_1_1_kcat} * E1_1_1_1 * C00756 * C00003)/(${Variables:E1_1_1_1_km} + (E1_1_1_1 * C00756 * C00003))</v>
      </c>
      <c r="K8" s="40" t="str">
        <f t="shared" si="2"/>
        <v>r7: C00756 + C00003 -&gt; C01545 + C00004 + C00080 | (${Variables:E1_1_1_1_kcat} * E1_1_1_1 * C00756 * C00003)/(${Variables:E1_1_1_1_km} + (E1_1_1_1 * C00756 * C00003))</v>
      </c>
    </row>
    <row r="9" spans="1:11" ht="43.5" x14ac:dyDescent="0.35">
      <c r="A9" s="8" t="s">
        <v>436</v>
      </c>
      <c r="B9" s="8" t="s">
        <v>437</v>
      </c>
      <c r="C9" s="8" t="s">
        <v>2248</v>
      </c>
      <c r="D9" s="8">
        <v>8</v>
      </c>
      <c r="E9" s="8" t="str">
        <f t="shared" si="0"/>
        <v>E1_1_1_1</v>
      </c>
      <c r="F9" s="8" t="s">
        <v>3469</v>
      </c>
      <c r="G9" s="8" t="s">
        <v>1918</v>
      </c>
      <c r="H9" s="8" t="s">
        <v>3826</v>
      </c>
      <c r="I9" s="8" t="s">
        <v>1919</v>
      </c>
      <c r="J9" s="8" t="str">
        <f t="shared" si="1"/>
        <v>(${Variables:E1_1_1_1_kcat} * E1_1_1_1 * C01612 * C00003)/(${Variables:E1_1_1_1_km} + (E1_1_1_1 * C01612 * C00003))</v>
      </c>
      <c r="K9" s="40" t="str">
        <f t="shared" si="2"/>
        <v>r8: C01612 + C00003 -&gt; C01450 + C00004 + C00080 | (${Variables:E1_1_1_1_kcat} * E1_1_1_1 * C01612 * C00003)/(${Variables:E1_1_1_1_km} + (E1_1_1_1 * C01612 * C00003))</v>
      </c>
    </row>
    <row r="10" spans="1:11" ht="43.5" x14ac:dyDescent="0.35">
      <c r="A10" s="8" t="s">
        <v>436</v>
      </c>
      <c r="B10" s="8" t="s">
        <v>437</v>
      </c>
      <c r="C10" s="8" t="s">
        <v>2248</v>
      </c>
      <c r="D10" s="8">
        <v>9</v>
      </c>
      <c r="E10" s="8" t="str">
        <f t="shared" si="0"/>
        <v>E1_1_1_1</v>
      </c>
      <c r="F10" s="8" t="s">
        <v>3470</v>
      </c>
      <c r="G10" s="8" t="s">
        <v>1944</v>
      </c>
      <c r="H10" s="8" t="s">
        <v>3827</v>
      </c>
      <c r="I10" s="8" t="s">
        <v>1945</v>
      </c>
      <c r="J10" s="8" t="str">
        <f t="shared" si="1"/>
        <v>(${Variables:E1_1_1_1_kcat} * E1_1_1_1 * C02909 * C00003)/(${Variables:E1_1_1_1_km} + (E1_1_1_1 * C02909 * C00003))</v>
      </c>
      <c r="K10" s="40" t="str">
        <f t="shared" si="2"/>
        <v>r9: C02909 + C00003 -&gt; C14099 + C00004 + C00080 | (${Variables:E1_1_1_1_kcat} * E1_1_1_1 * C02909 * C00003)/(${Variables:E1_1_1_1_km} + (E1_1_1_1 * C02909 * C00003))</v>
      </c>
    </row>
    <row r="11" spans="1:11" ht="43.5" x14ac:dyDescent="0.35">
      <c r="A11" s="8" t="s">
        <v>436</v>
      </c>
      <c r="B11" s="8" t="s">
        <v>437</v>
      </c>
      <c r="C11" s="8" t="s">
        <v>2248</v>
      </c>
      <c r="D11" s="8">
        <v>10</v>
      </c>
      <c r="E11" s="8" t="str">
        <f t="shared" si="0"/>
        <v>E1_1_1_1</v>
      </c>
      <c r="F11" s="8" t="s">
        <v>3471</v>
      </c>
      <c r="G11" s="8" t="s">
        <v>1995</v>
      </c>
      <c r="H11" s="8" t="s">
        <v>3828</v>
      </c>
      <c r="I11" s="8" t="s">
        <v>1996</v>
      </c>
      <c r="J11" s="8" t="str">
        <f t="shared" si="1"/>
        <v>(${Variables:E1_1_1_1_kcat} * E1_1_1_1 * C05444 * C00003)/(${Variables:E1_1_1_1_km} + (E1_1_1_1 * C05444 * C00003))</v>
      </c>
      <c r="K11" s="40" t="str">
        <f t="shared" si="2"/>
        <v>r10: C05444 + C00003 -&gt; C05445 + C00004 + C00080 | (${Variables:E1_1_1_1_kcat} * E1_1_1_1 * C05444 * C00003)/(${Variables:E1_1_1_1_km} + (E1_1_1_1 * C05444 * C00003))</v>
      </c>
    </row>
    <row r="12" spans="1:11" ht="43.5" x14ac:dyDescent="0.35">
      <c r="A12" s="8" t="s">
        <v>436</v>
      </c>
      <c r="B12" s="8" t="s">
        <v>437</v>
      </c>
      <c r="C12" s="8" t="s">
        <v>2248</v>
      </c>
      <c r="D12" s="8">
        <v>11</v>
      </c>
      <c r="E12" s="8" t="str">
        <f t="shared" si="0"/>
        <v>E1_1_1_1</v>
      </c>
      <c r="F12" s="8" t="s">
        <v>3472</v>
      </c>
      <c r="G12" s="8" t="s">
        <v>2005</v>
      </c>
      <c r="H12" s="8" t="s">
        <v>3829</v>
      </c>
      <c r="I12" s="8" t="s">
        <v>2006</v>
      </c>
      <c r="J12" s="8" t="str">
        <f t="shared" si="1"/>
        <v>(${Variables:E1_1_1_1_kcat} * E1_1_1_1 * C05576 * C00003)/(${Variables:E1_1_1_1_km} + (E1_1_1_1 * C05576 * C00003))</v>
      </c>
      <c r="K12" s="40" t="str">
        <f t="shared" si="2"/>
        <v>r11: C05576 + C00003 -&gt; C05577 + C00004 + C00080 | (${Variables:E1_1_1_1_kcat} * E1_1_1_1 * C05576 * C00003)/(${Variables:E1_1_1_1_km} + (E1_1_1_1 * C05576 * C00003))</v>
      </c>
    </row>
    <row r="13" spans="1:11" ht="43.5" x14ac:dyDescent="0.35">
      <c r="A13" s="8" t="s">
        <v>436</v>
      </c>
      <c r="B13" s="8" t="s">
        <v>437</v>
      </c>
      <c r="C13" s="8" t="s">
        <v>2248</v>
      </c>
      <c r="D13" s="8">
        <v>12</v>
      </c>
      <c r="E13" s="8" t="str">
        <f t="shared" si="0"/>
        <v>E1_1_1_1</v>
      </c>
      <c r="F13" s="8" t="s">
        <v>3473</v>
      </c>
      <c r="G13" s="8" t="s">
        <v>2031</v>
      </c>
      <c r="H13" s="8" t="s">
        <v>3830</v>
      </c>
      <c r="I13" s="8" t="s">
        <v>2032</v>
      </c>
      <c r="J13" s="8" t="str">
        <f t="shared" si="1"/>
        <v>(${Variables:E1_1_1_1_kcat} * E1_1_1_1 * C06611 * C00003)/(${Variables:E1_1_1_1_km} + (E1_1_1_1 * C06611 * C00003))</v>
      </c>
      <c r="K13" s="40" t="str">
        <f t="shared" si="2"/>
        <v>r12: C06611 + C00003 -&gt; C06613 + C00004 + C00080 | (${Variables:E1_1_1_1_kcat} * E1_1_1_1 * C06611 * C00003)/(${Variables:E1_1_1_1_km} + (E1_1_1_1 * C06611 * C00003))</v>
      </c>
    </row>
    <row r="14" spans="1:11" ht="43.5" x14ac:dyDescent="0.35">
      <c r="A14" s="8" t="s">
        <v>436</v>
      </c>
      <c r="B14" s="8" t="s">
        <v>437</v>
      </c>
      <c r="C14" s="8" t="s">
        <v>2248</v>
      </c>
      <c r="D14" s="8">
        <v>13</v>
      </c>
      <c r="E14" s="8" t="str">
        <f t="shared" si="0"/>
        <v>E1_1_1_1</v>
      </c>
      <c r="F14" s="8" t="s">
        <v>3474</v>
      </c>
      <c r="G14" s="8" t="s">
        <v>2033</v>
      </c>
      <c r="H14" s="8" t="s">
        <v>3831</v>
      </c>
      <c r="I14" s="8" t="s">
        <v>2034</v>
      </c>
      <c r="J14" s="8" t="str">
        <f t="shared" si="1"/>
        <v>(${Variables:E1_1_1_1_kcat} * E1_1_1_1 * C06612 * C00003)/(${Variables:E1_1_1_1_km} + (E1_1_1_1 * C06612 * C00003))</v>
      </c>
      <c r="K14" s="40" t="str">
        <f t="shared" si="2"/>
        <v>r13: C06612 + C00003 -&gt; C16348 + C00004 + C00080 | (${Variables:E1_1_1_1_kcat} * E1_1_1_1 * C06612 * C00003)/(${Variables:E1_1_1_1_km} + (E1_1_1_1 * C06612 * C00003))</v>
      </c>
    </row>
    <row r="15" spans="1:11" ht="58" x14ac:dyDescent="0.35">
      <c r="A15" s="8" t="s">
        <v>436</v>
      </c>
      <c r="B15" s="8" t="s">
        <v>437</v>
      </c>
      <c r="C15" s="8" t="s">
        <v>2248</v>
      </c>
      <c r="D15" s="8">
        <v>14</v>
      </c>
      <c r="E15" s="8" t="str">
        <f t="shared" si="0"/>
        <v>E1_1_1_1</v>
      </c>
      <c r="F15" s="8" t="s">
        <v>3475</v>
      </c>
      <c r="G15" s="8" t="s">
        <v>2035</v>
      </c>
      <c r="H15" s="8" t="s">
        <v>3832</v>
      </c>
      <c r="I15" s="8" t="s">
        <v>2036</v>
      </c>
      <c r="J15" s="8" t="str">
        <f t="shared" si="1"/>
        <v>(${Variables:E1_1_1_1_kcat} * E1_1_1_1 * C06899 * C00004 * C00080)/(${Variables:E1_1_1_1_km} + (E1_1_1_1 * C06899 * C00004 * C00080))</v>
      </c>
      <c r="K15" s="40" t="str">
        <f t="shared" si="2"/>
        <v>r14: C06899 + C00004 + C00080 -&gt; C07490 + C00003 + C00001 | (${Variables:E1_1_1_1_kcat} * E1_1_1_1 * C06899 * C00004 * C00080)/(${Variables:E1_1_1_1_km} + (E1_1_1_1 * C06899 * C00004 * C00080))</v>
      </c>
    </row>
    <row r="16" spans="1:11" ht="58" x14ac:dyDescent="0.35">
      <c r="A16" s="8" t="s">
        <v>436</v>
      </c>
      <c r="B16" s="8" t="s">
        <v>437</v>
      </c>
      <c r="C16" s="8" t="s">
        <v>2248</v>
      </c>
      <c r="D16" s="8">
        <v>15</v>
      </c>
      <c r="E16" s="8" t="str">
        <f t="shared" si="0"/>
        <v>E1_1_1_1</v>
      </c>
      <c r="F16" s="8" t="s">
        <v>3476</v>
      </c>
      <c r="G16" s="8" t="s">
        <v>2037</v>
      </c>
      <c r="H16" s="8" t="s">
        <v>3833</v>
      </c>
      <c r="I16" s="8" t="s">
        <v>2038</v>
      </c>
      <c r="J16" s="8" t="str">
        <f t="shared" si="1"/>
        <v>(${Variables:E1_1_1_1_kcat} * E1_1_1_1 * C07645 * C00004 * C00080)/(${Variables:E1_1_1_1_km} + (E1_1_1_1 * C07645 * C00004 * C00080))</v>
      </c>
      <c r="K16" s="40" t="str">
        <f t="shared" si="2"/>
        <v>r15: C07645 + C00004 + C00080 -&gt; C16551 + C00003 | (${Variables:E1_1_1_1_kcat} * E1_1_1_1 * C07645 * C00004 * C00080)/(${Variables:E1_1_1_1_km} + (E1_1_1_1 * C07645 * C00004 * C00080))</v>
      </c>
    </row>
    <row r="17" spans="1:11" ht="43.5" x14ac:dyDescent="0.35">
      <c r="A17" s="8" t="s">
        <v>436</v>
      </c>
      <c r="B17" s="8" t="s">
        <v>437</v>
      </c>
      <c r="C17" s="8" t="s">
        <v>2248</v>
      </c>
      <c r="D17" s="8">
        <v>16</v>
      </c>
      <c r="E17" s="8" t="str">
        <f t="shared" si="0"/>
        <v>E1_1_1_1</v>
      </c>
      <c r="F17" s="8" t="s">
        <v>3477</v>
      </c>
      <c r="G17" s="8" t="s">
        <v>2047</v>
      </c>
      <c r="H17" s="8" t="s">
        <v>3834</v>
      </c>
      <c r="I17" s="8" t="s">
        <v>2048</v>
      </c>
      <c r="J17" s="8" t="str">
        <f t="shared" si="1"/>
        <v>(${Variables:E1_1_1_1_kcat} * E1_1_1_1 * C14089 * C00003)/(${Variables:E1_1_1_1_km} + (E1_1_1_1 * C14089 * C00003))</v>
      </c>
      <c r="K17" s="40" t="str">
        <f t="shared" si="2"/>
        <v>r16: C14089 + C00003 -&gt; C14090 + C00004 + C00080 | (${Variables:E1_1_1_1_kcat} * E1_1_1_1 * C14089 * C00003)/(${Variables:E1_1_1_1_km} + (E1_1_1_1 * C14089 * C00003))</v>
      </c>
    </row>
    <row r="18" spans="1:11" ht="58" x14ac:dyDescent="0.35">
      <c r="A18" s="8" t="s">
        <v>436</v>
      </c>
      <c r="B18" s="8" t="s">
        <v>437</v>
      </c>
      <c r="C18" s="8" t="s">
        <v>2248</v>
      </c>
      <c r="D18" s="8">
        <v>17</v>
      </c>
      <c r="E18" s="8" t="str">
        <f t="shared" si="0"/>
        <v>E1_1_1_1</v>
      </c>
      <c r="F18" s="8" t="s">
        <v>3478</v>
      </c>
      <c r="G18" s="8" t="s">
        <v>2053</v>
      </c>
      <c r="H18" s="8" t="s">
        <v>3835</v>
      </c>
      <c r="I18" s="8" t="s">
        <v>2054</v>
      </c>
      <c r="J18" s="8" t="str">
        <f t="shared" si="1"/>
        <v>(${Variables:E1_1_1_1_kcat} * E1_1_1_1 * C16310 * C00004 * C00080)/(${Variables:E1_1_1_1_km} + (E1_1_1_1 * C16310 * C00004 * C00080))</v>
      </c>
      <c r="K18" s="40" t="str">
        <f t="shared" si="2"/>
        <v>r17: C16310 + C00004 + C00080 -&gt; C08492 + C00003 | (${Variables:E1_1_1_1_kcat} * E1_1_1_1 * C16310 * C00004 * C00080)/(${Variables:E1_1_1_1_km} + (E1_1_1_1 * C16310 * C00004 * C00080))</v>
      </c>
    </row>
    <row r="19" spans="1:11" ht="43.5" x14ac:dyDescent="0.35">
      <c r="A19" s="8" t="s">
        <v>436</v>
      </c>
      <c r="B19" s="8" t="s">
        <v>437</v>
      </c>
      <c r="C19" s="8" t="s">
        <v>2248</v>
      </c>
      <c r="D19" s="8">
        <v>18</v>
      </c>
      <c r="E19" s="8" t="str">
        <f t="shared" si="0"/>
        <v>E1_1_1_1</v>
      </c>
      <c r="F19" s="8" t="s">
        <v>3479</v>
      </c>
      <c r="G19" s="8" t="s">
        <v>2055</v>
      </c>
      <c r="H19" s="8" t="s">
        <v>3836</v>
      </c>
      <c r="I19" s="8" t="s">
        <v>2056</v>
      </c>
      <c r="J19" s="8" t="str">
        <f t="shared" si="1"/>
        <v>(${Variables:E1_1_1_1_kcat} * E1_1_1_1 * C16586 * C00003)/(${Variables:E1_1_1_1_km} + (E1_1_1_1 * C16586 * C00003))</v>
      </c>
      <c r="K19" s="40" t="str">
        <f t="shared" si="2"/>
        <v>r18: C16586 + C00003 -&gt; C16587 + C00004 + C00080 | (${Variables:E1_1_1_1_kcat} * E1_1_1_1 * C16586 * C00003)/(${Variables:E1_1_1_1_km} + (E1_1_1_1 * C16586 * C00003))</v>
      </c>
    </row>
    <row r="20" spans="1:11" ht="43.5" x14ac:dyDescent="0.35">
      <c r="A20" s="8" t="s">
        <v>436</v>
      </c>
      <c r="B20" s="8" t="s">
        <v>437</v>
      </c>
      <c r="C20" s="8" t="s">
        <v>2248</v>
      </c>
      <c r="D20" s="8">
        <v>19</v>
      </c>
      <c r="E20" s="8" t="str">
        <f t="shared" si="0"/>
        <v>E1_1_1_1</v>
      </c>
      <c r="F20" s="8" t="s">
        <v>3480</v>
      </c>
      <c r="G20" s="8" t="s">
        <v>2057</v>
      </c>
      <c r="H20" s="8" t="s">
        <v>3837</v>
      </c>
      <c r="I20" s="8" t="s">
        <v>2058</v>
      </c>
      <c r="J20" s="8" t="str">
        <f t="shared" si="1"/>
        <v>(${Variables:E1_1_1_1_kcat} * E1_1_1_1 * C16595 * C00003)/(${Variables:E1_1_1_1_km} + (E1_1_1_1 * C16595 * C00003))</v>
      </c>
      <c r="K20" s="40" t="str">
        <f t="shared" si="2"/>
        <v>r19: C16595 + C00003 -&gt; C16596 + C00004 + C00080 | (${Variables:E1_1_1_1_kcat} * E1_1_1_1 * C16595 * C00003)/(${Variables:E1_1_1_1_km} + (E1_1_1_1 * C16595 * C00003))</v>
      </c>
    </row>
    <row r="21" spans="1:11" ht="43.5" x14ac:dyDescent="0.35">
      <c r="A21" s="8" t="s">
        <v>196</v>
      </c>
      <c r="B21" s="8" t="s">
        <v>197</v>
      </c>
      <c r="C21" s="8" t="s">
        <v>2266</v>
      </c>
      <c r="D21" s="8">
        <v>20</v>
      </c>
      <c r="E21" s="8" t="str">
        <f t="shared" si="0"/>
        <v>E1_1_1_27</v>
      </c>
      <c r="F21" s="8" t="s">
        <v>3481</v>
      </c>
      <c r="G21" s="8" t="s">
        <v>1746</v>
      </c>
      <c r="H21" s="8" t="s">
        <v>3838</v>
      </c>
      <c r="I21" s="8" t="s">
        <v>1747</v>
      </c>
      <c r="J21" s="8" t="str">
        <f t="shared" si="1"/>
        <v>(${Variables:E1_1_1_27_kcat} * E1_1_1_27 * C00186  * C00003)/(${Variables:E1_1_1_27_km} + (E1_1_1_27 * C00186  * C00003))</v>
      </c>
      <c r="K21" s="40" t="str">
        <f t="shared" si="2"/>
        <v>r20: C00186  + C00003 -&gt; C00022 + C00004 + C00080 | (${Variables:E1_1_1_27_kcat} * E1_1_1_27 * C00186  * C00003)/(${Variables:E1_1_1_27_km} + (E1_1_1_27 * C00186  * C00003))</v>
      </c>
    </row>
    <row r="22" spans="1:11" ht="43.5" x14ac:dyDescent="0.35">
      <c r="A22" s="8" t="s">
        <v>196</v>
      </c>
      <c r="B22" s="8" t="s">
        <v>197</v>
      </c>
      <c r="C22" s="8" t="s">
        <v>2266</v>
      </c>
      <c r="D22" s="8">
        <v>21</v>
      </c>
      <c r="E22" s="8" t="str">
        <f t="shared" si="0"/>
        <v>E1_1_1_27</v>
      </c>
      <c r="F22" s="8" t="s">
        <v>3482</v>
      </c>
      <c r="G22" s="8" t="s">
        <v>2009</v>
      </c>
      <c r="H22" s="8" t="s">
        <v>3839</v>
      </c>
      <c r="I22" s="8" t="s">
        <v>2010</v>
      </c>
      <c r="J22" s="8" t="str">
        <f t="shared" si="1"/>
        <v>(${Variables:E1_1_1_27_kcat} * E1_1_1_27 * C05823 * C00003)/(${Variables:E1_1_1_27_km} + (E1_1_1_27 * C05823 * C00003))</v>
      </c>
      <c r="K22" s="40" t="str">
        <f t="shared" si="2"/>
        <v>r21: C05823 + C00003 -&gt; C00957 + C00004 + C00080 | (${Variables:E1_1_1_27_kcat} * E1_1_1_27 * C05823 * C00003)/(${Variables:E1_1_1_27_km} + (E1_1_1_27 * C05823 * C00003))</v>
      </c>
    </row>
    <row r="23" spans="1:11" ht="43.5" x14ac:dyDescent="0.35">
      <c r="A23" s="8" t="s">
        <v>196</v>
      </c>
      <c r="B23" s="8" t="s">
        <v>197</v>
      </c>
      <c r="C23" s="8" t="s">
        <v>2266</v>
      </c>
      <c r="D23" s="8">
        <v>22</v>
      </c>
      <c r="E23" s="8" t="str">
        <f t="shared" si="0"/>
        <v>E1_1_1_27</v>
      </c>
      <c r="F23" s="8" t="s">
        <v>3483</v>
      </c>
      <c r="G23" s="8" t="s">
        <v>2019</v>
      </c>
      <c r="H23" s="8" t="s">
        <v>3840</v>
      </c>
      <c r="I23" s="8" t="s">
        <v>2020</v>
      </c>
      <c r="J23" s="8" t="str">
        <f t="shared" si="1"/>
        <v>(${Variables:E1_1_1_27_kcat} * E1_1_1_27 * C05984 * C00003)/(${Variables:E1_1_1_27_km} + (E1_1_1_27 * C05984 * C00003))</v>
      </c>
      <c r="K23" s="40" t="str">
        <f t="shared" si="2"/>
        <v>r22: C05984 + C00003 -&gt; C00109 + C00004 + C00080 | (${Variables:E1_1_1_27_kcat} * E1_1_1_27 * C05984 * C00003)/(${Variables:E1_1_1_27_km} + (E1_1_1_27 * C05984 * C00003))</v>
      </c>
    </row>
    <row r="24" spans="1:11" ht="43.5" x14ac:dyDescent="0.35">
      <c r="A24" s="8" t="s">
        <v>890</v>
      </c>
      <c r="B24" s="8" t="s">
        <v>891</v>
      </c>
      <c r="C24" s="8" t="s">
        <v>2275</v>
      </c>
      <c r="D24" s="8">
        <v>23</v>
      </c>
      <c r="E24" s="8" t="str">
        <f t="shared" si="0"/>
        <v>E1_1_1_3</v>
      </c>
      <c r="F24" s="8" t="s">
        <v>3484</v>
      </c>
      <c r="G24" s="8" t="s">
        <v>1772</v>
      </c>
      <c r="H24" s="8" t="s">
        <v>3841</v>
      </c>
      <c r="I24" s="8" t="s">
        <v>1773</v>
      </c>
      <c r="J24" s="8" t="str">
        <f t="shared" si="1"/>
        <v>(${Variables:E1_1_1_3_kcat} * E1_1_1_3 * C00263 * C00003)/(${Variables:E1_1_1_3_km} + (E1_1_1_3 * C00263 * C00003))</v>
      </c>
      <c r="K24" s="40" t="str">
        <f t="shared" si="2"/>
        <v>r23: C00263 + C00003 -&gt; C00441 + C00004 + C00080 | (${Variables:E1_1_1_3_kcat} * E1_1_1_3 * C00263 * C00003)/(${Variables:E1_1_1_3_km} + (E1_1_1_3 * C00263 * C00003))</v>
      </c>
    </row>
    <row r="25" spans="1:11" ht="43.5" x14ac:dyDescent="0.35">
      <c r="A25" s="8" t="s">
        <v>890</v>
      </c>
      <c r="B25" s="8" t="s">
        <v>891</v>
      </c>
      <c r="C25" s="8" t="s">
        <v>2275</v>
      </c>
      <c r="D25" s="8">
        <v>24</v>
      </c>
      <c r="E25" s="8" t="str">
        <f t="shared" si="0"/>
        <v>E1_1_1_3</v>
      </c>
      <c r="F25" s="8" t="s">
        <v>3485</v>
      </c>
      <c r="G25" s="8" t="s">
        <v>1774</v>
      </c>
      <c r="H25" s="8" t="s">
        <v>3842</v>
      </c>
      <c r="I25" s="8" t="s">
        <v>1775</v>
      </c>
      <c r="J25" s="8" t="str">
        <f t="shared" si="1"/>
        <v>(${Variables:E1_1_1_3_kcat} * E1_1_1_3 * C00263 * C00006)/(${Variables:E1_1_1_3_km} + (E1_1_1_3 * C00263 * C00006))</v>
      </c>
      <c r="K25" s="40" t="str">
        <f t="shared" si="2"/>
        <v>r24: C00263 + C00006 -&gt; C00441 + C00005 + C00080 | (${Variables:E1_1_1_3_kcat} * E1_1_1_3 * C00263 * C00006)/(${Variables:E1_1_1_3_km} + (E1_1_1_3 * C00263 * C00006))</v>
      </c>
    </row>
    <row r="26" spans="1:11" ht="43.5" x14ac:dyDescent="0.35">
      <c r="A26" s="8" t="s">
        <v>1265</v>
      </c>
      <c r="B26" s="8" t="s">
        <v>1266</v>
      </c>
      <c r="C26" s="8" t="s">
        <v>2281</v>
      </c>
      <c r="D26" s="8">
        <v>25</v>
      </c>
      <c r="E26" s="8" t="str">
        <f t="shared" si="0"/>
        <v>E1_1_1_44</v>
      </c>
      <c r="F26" s="8" t="s">
        <v>3486</v>
      </c>
      <c r="G26" s="8" t="s">
        <v>1793</v>
      </c>
      <c r="H26" s="8" t="s">
        <v>3843</v>
      </c>
      <c r="I26" s="8" t="s">
        <v>1794</v>
      </c>
      <c r="J26" s="8" t="str">
        <f t="shared" si="1"/>
        <v>(${Variables:E1_1_1_44_kcat} * E1_1_1_44 * C00345 * C00006)/(${Variables:E1_1_1_44_km} + (E1_1_1_44 * C00345 * C00006))</v>
      </c>
      <c r="K26" s="40" t="str">
        <f t="shared" si="2"/>
        <v>r25: C00345 + C00006 -&gt; C00199 + C00011 + C00005 + C00080 | (${Variables:E1_1_1_44_kcat} * E1_1_1_44 * C00345 * C00006)/(${Variables:E1_1_1_44_km} + (E1_1_1_44 * C00345 * C00006))</v>
      </c>
    </row>
    <row r="27" spans="1:11" ht="43.5" x14ac:dyDescent="0.35">
      <c r="A27" s="8" t="s">
        <v>390</v>
      </c>
      <c r="B27" s="8" t="s">
        <v>391</v>
      </c>
      <c r="C27" s="8" t="s">
        <v>2241</v>
      </c>
      <c r="D27" s="8">
        <v>26</v>
      </c>
      <c r="E27" s="8" t="str">
        <f t="shared" si="0"/>
        <v>E1_1_1_49</v>
      </c>
      <c r="F27" s="8" t="s">
        <v>3487</v>
      </c>
      <c r="G27" s="8" t="s">
        <v>1678</v>
      </c>
      <c r="H27" s="8" t="s">
        <v>3844</v>
      </c>
      <c r="I27" s="8" t="s">
        <v>1679</v>
      </c>
      <c r="J27" s="8" t="str">
        <f t="shared" si="1"/>
        <v>(${Variables:E1_1_1_49_kcat} * E1_1_1_49 * C00092 * C00006)/(${Variables:E1_1_1_49_km} + (E1_1_1_49 * C00092 * C00006))</v>
      </c>
      <c r="K27" s="40" t="str">
        <f t="shared" si="2"/>
        <v>r26: C00092 + C00006 -&gt; C01236 + C00005 + C00080 | (${Variables:E1_1_1_49_kcat} * E1_1_1_49 * C00092 * C00006)/(${Variables:E1_1_1_49_km} + (E1_1_1_49 * C00092 * C00006))</v>
      </c>
    </row>
    <row r="28" spans="1:11" ht="43.5" x14ac:dyDescent="0.35">
      <c r="A28" s="8" t="s">
        <v>390</v>
      </c>
      <c r="B28" s="8" t="s">
        <v>391</v>
      </c>
      <c r="C28" s="8" t="s">
        <v>2241</v>
      </c>
      <c r="D28" s="8">
        <v>27</v>
      </c>
      <c r="E28" s="8" t="str">
        <f t="shared" si="0"/>
        <v>E1_1_1_49</v>
      </c>
      <c r="F28" s="8" t="s">
        <v>3488</v>
      </c>
      <c r="G28" s="8" t="s">
        <v>1908</v>
      </c>
      <c r="H28" s="8" t="s">
        <v>3844</v>
      </c>
      <c r="I28" s="8" t="s">
        <v>1679</v>
      </c>
      <c r="J28" s="8" t="str">
        <f t="shared" si="1"/>
        <v>(${Variables:E1_1_1_49_kcat} * E1_1_1_49 * C01172 * C00006)/(${Variables:E1_1_1_49_km} + (E1_1_1_49 * C01172 * C00006))</v>
      </c>
      <c r="K28" s="40" t="str">
        <f t="shared" si="2"/>
        <v>r27: C01172 + C00006 -&gt; C01236 + C00005 + C00080 | (${Variables:E1_1_1_49_kcat} * E1_1_1_49 * C01172 * C00006)/(${Variables:E1_1_1_49_km} + (E1_1_1_49 * C01172 * C00006))</v>
      </c>
    </row>
    <row r="29" spans="1:11" ht="43.5" x14ac:dyDescent="0.35">
      <c r="A29" s="8" t="s">
        <v>550</v>
      </c>
      <c r="B29" s="8" t="s">
        <v>551</v>
      </c>
      <c r="C29" s="8" t="s">
        <v>2242</v>
      </c>
      <c r="D29" s="8">
        <v>28</v>
      </c>
      <c r="E29" s="8" t="str">
        <f t="shared" si="0"/>
        <v>E1_1_1_94</v>
      </c>
      <c r="F29" s="8" t="s">
        <v>3489</v>
      </c>
      <c r="G29" s="8" t="s">
        <v>1680</v>
      </c>
      <c r="H29" s="8" t="s">
        <v>3845</v>
      </c>
      <c r="I29" s="8" t="s">
        <v>1681</v>
      </c>
      <c r="J29" s="8" t="str">
        <f t="shared" si="1"/>
        <v>(${Variables:E1_1_1_94_kcat} * E1_1_1_94 * C00093 * C00003)/(${Variables:E1_1_1_94_km} + (E1_1_1_94 * C00093 * C00003))</v>
      </c>
      <c r="K29" s="40" t="str">
        <f t="shared" si="2"/>
        <v>r28: C00093 + C00003 -&gt; C00111 + C00004 + C00080 | (${Variables:E1_1_1_94_kcat} * E1_1_1_94 * C00093 * C00003)/(${Variables:E1_1_1_94_km} + (E1_1_1_94 * C00093 * C00003))</v>
      </c>
    </row>
    <row r="30" spans="1:11" ht="43.5" x14ac:dyDescent="0.35">
      <c r="A30" s="8" t="s">
        <v>550</v>
      </c>
      <c r="B30" s="8" t="s">
        <v>551</v>
      </c>
      <c r="C30" s="8" t="s">
        <v>2242</v>
      </c>
      <c r="D30" s="8">
        <v>29</v>
      </c>
      <c r="E30" s="8" t="str">
        <f t="shared" si="0"/>
        <v>E1_1_1_94</v>
      </c>
      <c r="F30" s="8" t="s">
        <v>3490</v>
      </c>
      <c r="G30" s="8" t="s">
        <v>1682</v>
      </c>
      <c r="H30" s="8" t="s">
        <v>3846</v>
      </c>
      <c r="I30" s="8" t="s">
        <v>1683</v>
      </c>
      <c r="J30" s="8" t="str">
        <f t="shared" si="1"/>
        <v>(${Variables:E1_1_1_94_kcat} * E1_1_1_94 * C00093 * C00006)/(${Variables:E1_1_1_94_km} + (E1_1_1_94 * C00093 * C00006))</v>
      </c>
      <c r="K30" s="40" t="str">
        <f t="shared" si="2"/>
        <v>r29: C00093 + C00006 -&gt; C00111 + C00005 + C00080 | (${Variables:E1_1_1_94_kcat} * E1_1_1_94 * C00093 * C00006)/(${Variables:E1_1_1_94_km} + (E1_1_1_94 * C00093 * C00006))</v>
      </c>
    </row>
    <row r="31" spans="1:11" ht="43.5" x14ac:dyDescent="0.35">
      <c r="A31" s="8" t="s">
        <v>1168</v>
      </c>
      <c r="B31" s="41" t="s">
        <v>1169</v>
      </c>
      <c r="C31" s="8" t="s">
        <v>2263</v>
      </c>
      <c r="D31" s="8">
        <v>30</v>
      </c>
      <c r="E31" s="8" t="str">
        <f t="shared" si="0"/>
        <v>E1_1_3_15</v>
      </c>
      <c r="F31" s="8" t="s">
        <v>3491</v>
      </c>
      <c r="G31" s="8" t="s">
        <v>1734</v>
      </c>
      <c r="H31" s="8" t="s">
        <v>3847</v>
      </c>
      <c r="I31" s="8" t="s">
        <v>1735</v>
      </c>
      <c r="J31" s="8" t="str">
        <f t="shared" si="1"/>
        <v>(${Variables:E1_1_3_15_kcat} * E1_1_3_15 * C00160 * C00007)/(${Variables:E1_1_3_15_km} + (E1_1_3_15 * C00160 * C00007))</v>
      </c>
      <c r="K31" s="40" t="str">
        <f t="shared" si="2"/>
        <v>r30: C00160 + C00007 -&gt; C00048 + C00027 | (${Variables:E1_1_3_15_kcat} * E1_1_3_15 * C00160 * C00007)/(${Variables:E1_1_3_15_km} + (E1_1_3_15 * C00160 * C00007))</v>
      </c>
    </row>
    <row r="32" spans="1:11" ht="43.5" x14ac:dyDescent="0.35">
      <c r="A32" s="8" t="s">
        <v>1168</v>
      </c>
      <c r="B32" s="41" t="s">
        <v>1169</v>
      </c>
      <c r="C32" s="8" t="s">
        <v>2263</v>
      </c>
      <c r="D32" s="8">
        <v>31</v>
      </c>
      <c r="E32" s="8" t="str">
        <f t="shared" si="0"/>
        <v>E1_1_3_15</v>
      </c>
      <c r="F32" s="8" t="s">
        <v>3492</v>
      </c>
      <c r="G32" s="8" t="s">
        <v>2049</v>
      </c>
      <c r="H32" s="8" t="s">
        <v>3848</v>
      </c>
      <c r="I32" s="8" t="s">
        <v>2050</v>
      </c>
      <c r="J32" s="8" t="str">
        <f t="shared" si="1"/>
        <v>(${Variables:E1_1_3_15_kcat} * E1_1_3_15 * C15565 * C00007)/(${Variables:E1_1_3_15_km} + (E1_1_3_15 * C15565 * C00007))</v>
      </c>
      <c r="K32" s="40" t="str">
        <f t="shared" si="2"/>
        <v>r31: C15565 + C00007 -&gt; C00161 + C00027 | (${Variables:E1_1_3_15_kcat} * E1_1_3_15 * C15565 * C00007)/(${Variables:E1_1_3_15_km} + (E1_1_3_15 * C15565 * C00007))</v>
      </c>
    </row>
    <row r="33" spans="1:11" ht="58" x14ac:dyDescent="0.35">
      <c r="A33" s="8" t="s">
        <v>726</v>
      </c>
      <c r="B33" s="8" t="s">
        <v>727</v>
      </c>
      <c r="C33" s="8" t="s">
        <v>2323</v>
      </c>
      <c r="D33" s="8">
        <v>32</v>
      </c>
      <c r="E33" s="8" t="str">
        <f t="shared" si="0"/>
        <v>E1_17_1_8</v>
      </c>
      <c r="F33" s="8" t="s">
        <v>3493</v>
      </c>
      <c r="G33" s="8" t="s">
        <v>1960</v>
      </c>
      <c r="H33" s="8" t="s">
        <v>3849</v>
      </c>
      <c r="I33" s="8" t="s">
        <v>1961</v>
      </c>
      <c r="J33" s="8" t="str">
        <f t="shared" si="1"/>
        <v>(${Variables:E1_17_1_8_kcat} * E1_17_1_8 * C03972 * C00003 * C00001)/(${Variables:E1_17_1_8_km} + (E1_17_1_8 * C03972 * C00003 * C00001))</v>
      </c>
      <c r="K33" s="40" t="str">
        <f t="shared" si="2"/>
        <v>r32: C03972 + C00003 + C00001 -&gt; C20258 + C00004 + C00080 | (${Variables:E1_17_1_8_kcat} * E1_17_1_8 * C03972 * C00003 * C00001)/(${Variables:E1_17_1_8_km} + (E1_17_1_8 * C03972 * C00003 * C00001))</v>
      </c>
    </row>
    <row r="34" spans="1:11" ht="58" x14ac:dyDescent="0.35">
      <c r="A34" s="8" t="s">
        <v>726</v>
      </c>
      <c r="B34" s="8" t="s">
        <v>727</v>
      </c>
      <c r="C34" s="8" t="s">
        <v>2323</v>
      </c>
      <c r="D34" s="8">
        <v>33</v>
      </c>
      <c r="E34" s="8" t="str">
        <f t="shared" si="0"/>
        <v>E1_17_1_8</v>
      </c>
      <c r="F34" s="8" t="s">
        <v>3494</v>
      </c>
      <c r="G34" s="8" t="s">
        <v>1962</v>
      </c>
      <c r="H34" s="8" t="s">
        <v>3850</v>
      </c>
      <c r="I34" s="8" t="s">
        <v>1963</v>
      </c>
      <c r="J34" s="8" t="str">
        <f t="shared" si="1"/>
        <v>(${Variables:E1_17_1_8_kcat} * E1_17_1_8 * C03972 * C00006 * C00001)/(${Variables:E1_17_1_8_km} + (E1_17_1_8 * C03972 * C00006 * C00001))</v>
      </c>
      <c r="K34" s="40" t="str">
        <f t="shared" si="2"/>
        <v>r33: C03972 + C00006 + C00001 -&gt; C20258 + C00005 + C00080 | (${Variables:E1_17_1_8_kcat} * E1_17_1_8 * C03972 * C00006 * C00001)/(${Variables:E1_17_1_8_km} + (E1_17_1_8 * C03972 * C00006 * C00001))</v>
      </c>
    </row>
    <row r="35" spans="1:11" ht="58" x14ac:dyDescent="0.35">
      <c r="A35" s="8" t="s">
        <v>1210</v>
      </c>
      <c r="B35" s="8" t="s">
        <v>1211</v>
      </c>
      <c r="C35" s="8" t="s">
        <v>2269</v>
      </c>
      <c r="D35" s="8">
        <v>34</v>
      </c>
      <c r="E35" s="8" t="str">
        <f t="shared" si="0"/>
        <v>E1_17_4_1</v>
      </c>
      <c r="F35" s="8" t="s">
        <v>3495</v>
      </c>
      <c r="G35" s="8" t="s">
        <v>1754</v>
      </c>
      <c r="H35" s="8" t="s">
        <v>3851</v>
      </c>
      <c r="I35" s="8" t="s">
        <v>1755</v>
      </c>
      <c r="J35" s="8" t="str">
        <f t="shared" si="1"/>
        <v>(${Variables:E1_17_4_1_kcat} * E1_17_4_1 * C00206 * C00343 * C00001)/(${Variables:E1_17_4_1_km} + (E1_17_4_1 * C00206 * C00343 * C00001))</v>
      </c>
      <c r="K35" s="40" t="str">
        <f t="shared" si="2"/>
        <v>r34: C00206 + C00343 + C00001 -&gt; C00342 + C00008 | (${Variables:E1_17_4_1_kcat} * E1_17_4_1 * C00206 * C00343 * C00001)/(${Variables:E1_17_4_1_km} + (E1_17_4_1 * C00206 * C00343 * C00001))</v>
      </c>
    </row>
    <row r="36" spans="1:11" ht="58" x14ac:dyDescent="0.35">
      <c r="A36" s="8" t="s">
        <v>1210</v>
      </c>
      <c r="B36" s="8" t="s">
        <v>1211</v>
      </c>
      <c r="C36" s="8" t="s">
        <v>2269</v>
      </c>
      <c r="D36" s="8">
        <v>35</v>
      </c>
      <c r="E36" s="8" t="str">
        <f t="shared" si="0"/>
        <v>E1_17_4_1</v>
      </c>
      <c r="F36" s="8" t="s">
        <v>3496</v>
      </c>
      <c r="G36" s="8" t="s">
        <v>1805</v>
      </c>
      <c r="H36" s="8" t="s">
        <v>3852</v>
      </c>
      <c r="I36" s="8" t="s">
        <v>1806</v>
      </c>
      <c r="J36" s="8" t="str">
        <f t="shared" si="1"/>
        <v>(${Variables:E1_17_4_1_kcat} * E1_17_4_1 * C00361 * C00343 * C00001)/(${Variables:E1_17_4_1_km} + (E1_17_4_1 * C00361 * C00343 * C00001))</v>
      </c>
      <c r="K36" s="40" t="str">
        <f t="shared" si="2"/>
        <v>r35: C00361 + C00343 + C00001 -&gt; C00035 + C00342 | (${Variables:E1_17_4_1_kcat} * E1_17_4_1 * C00361 * C00343 * C00001)/(${Variables:E1_17_4_1_km} + (E1_17_4_1 * C00361 * C00343 * C00001))</v>
      </c>
    </row>
    <row r="37" spans="1:11" ht="58" x14ac:dyDescent="0.35">
      <c r="A37" s="8" t="s">
        <v>1210</v>
      </c>
      <c r="B37" s="8" t="s">
        <v>1211</v>
      </c>
      <c r="C37" s="8" t="s">
        <v>2269</v>
      </c>
      <c r="D37" s="8">
        <v>36</v>
      </c>
      <c r="E37" s="8" t="str">
        <f t="shared" si="0"/>
        <v>E1_17_4_1</v>
      </c>
      <c r="F37" s="8" t="s">
        <v>3497</v>
      </c>
      <c r="G37" s="8" t="s">
        <v>1874</v>
      </c>
      <c r="H37" s="8" t="s">
        <v>3853</v>
      </c>
      <c r="I37" s="8" t="s">
        <v>1875</v>
      </c>
      <c r="J37" s="8" t="str">
        <f t="shared" si="1"/>
        <v>(${Variables:E1_17_4_1_kcat} * E1_17_4_1 * C00705 * C00343 * C00001)/(${Variables:E1_17_4_1_km} + (E1_17_4_1 * C00705 * C00343 * C00001))</v>
      </c>
      <c r="K37" s="40" t="str">
        <f t="shared" si="2"/>
        <v>r36: C00705 + C00343 + C00001 -&gt; C00342 + C00112 | (${Variables:E1_17_4_1_kcat} * E1_17_4_1 * C00705 * C00343 * C00001)/(${Variables:E1_17_4_1_km} + (E1_17_4_1 * C00705 * C00343 * C00001))</v>
      </c>
    </row>
    <row r="38" spans="1:11" ht="58" x14ac:dyDescent="0.35">
      <c r="A38" s="8" t="s">
        <v>1210</v>
      </c>
      <c r="B38" s="8" t="s">
        <v>1211</v>
      </c>
      <c r="C38" s="8" t="s">
        <v>2269</v>
      </c>
      <c r="D38" s="8">
        <v>37</v>
      </c>
      <c r="E38" s="8" t="str">
        <f t="shared" si="0"/>
        <v>E1_17_4_1</v>
      </c>
      <c r="F38" s="8" t="s">
        <v>3498</v>
      </c>
      <c r="G38" s="8" t="s">
        <v>1914</v>
      </c>
      <c r="H38" s="8" t="s">
        <v>3854</v>
      </c>
      <c r="I38" s="8" t="s">
        <v>1915</v>
      </c>
      <c r="J38" s="8" t="str">
        <f t="shared" si="1"/>
        <v>(${Variables:E1_17_4_1_kcat} * E1_17_4_1 * C01346 * C00343 * C00001)/(${Variables:E1_17_4_1_km} + (E1_17_4_1 * C01346 * C00343 * C00001))</v>
      </c>
      <c r="K38" s="40" t="str">
        <f t="shared" si="2"/>
        <v>r37: C01346 + C00343 + C00001 -&gt; C00342 + C00015 | (${Variables:E1_17_4_1_kcat} * E1_17_4_1 * C01346 * C00343 * C00001)/(${Variables:E1_17_4_1_km} + (E1_17_4_1 * C01346 * C00343 * C00001))</v>
      </c>
    </row>
    <row r="39" spans="1:11" ht="58" x14ac:dyDescent="0.35">
      <c r="A39" s="8" t="s">
        <v>1210</v>
      </c>
      <c r="B39" s="8" t="s">
        <v>1211</v>
      </c>
      <c r="C39" s="8" t="s">
        <v>2269</v>
      </c>
      <c r="D39" s="8">
        <v>38</v>
      </c>
      <c r="E39" s="8" t="str">
        <f t="shared" si="0"/>
        <v>E1_17_4_1</v>
      </c>
      <c r="F39" s="8" t="s">
        <v>3499</v>
      </c>
      <c r="G39" s="8" t="s">
        <v>1964</v>
      </c>
      <c r="H39" s="8" t="s">
        <v>3855</v>
      </c>
      <c r="I39" s="8" t="s">
        <v>1965</v>
      </c>
      <c r="J39" s="8" t="str">
        <f t="shared" si="1"/>
        <v>(${Variables:E1_17_4_1_kcat} * E1_17_4_1 * C04232 * C00343 * C00001)/(${Variables:E1_17_4_1_km} + (E1_17_4_1 * C04232 * C00343 * C00001))</v>
      </c>
      <c r="K39" s="40" t="str">
        <f t="shared" si="2"/>
        <v>r38: C04232 + C00343 + C00001 -&gt; C03723 + C00342 | (${Variables:E1_17_4_1_kcat} * E1_17_4_1 * C04232 * C00343 * C00001)/(${Variables:E1_17_4_1_km} + (E1_17_4_1 * C04232 * C00343 * C00001))</v>
      </c>
    </row>
    <row r="40" spans="1:11" ht="58" x14ac:dyDescent="0.35">
      <c r="A40" s="8" t="s">
        <v>1210</v>
      </c>
      <c r="B40" s="8" t="s">
        <v>1211</v>
      </c>
      <c r="C40" s="8" t="s">
        <v>2269</v>
      </c>
      <c r="D40" s="8">
        <v>39</v>
      </c>
      <c r="E40" s="8" t="str">
        <f t="shared" si="0"/>
        <v>E1_17_4_1</v>
      </c>
      <c r="F40" s="8" t="s">
        <v>3500</v>
      </c>
      <c r="G40" s="8" t="s">
        <v>1966</v>
      </c>
      <c r="H40" s="8" t="s">
        <v>3856</v>
      </c>
      <c r="I40" s="8" t="s">
        <v>1967</v>
      </c>
      <c r="J40" s="8" t="str">
        <f t="shared" si="1"/>
        <v>(${Variables:E1_17_4_1_kcat} * E1_17_4_1 * C04232 * C03170 * C00001)/(${Variables:E1_17_4_1_km} + (E1_17_4_1 * C04232 * C03170 * C00001))</v>
      </c>
      <c r="K40" s="40" t="str">
        <f t="shared" si="2"/>
        <v>r39: C04232 + C03170 + C00001 -&gt; C03723 + C02090 | (${Variables:E1_17_4_1_kcat} * E1_17_4_1 * C04232 * C03170 * C00001)/(${Variables:E1_17_4_1_km} + (E1_17_4_1 * C04232 * C03170 * C00001))</v>
      </c>
    </row>
    <row r="41" spans="1:11" ht="58" x14ac:dyDescent="0.35">
      <c r="A41" s="8" t="s">
        <v>1210</v>
      </c>
      <c r="B41" s="8" t="s">
        <v>1211</v>
      </c>
      <c r="C41" s="8" t="s">
        <v>2269</v>
      </c>
      <c r="D41" s="8">
        <v>40</v>
      </c>
      <c r="E41" s="8" t="str">
        <f t="shared" si="0"/>
        <v>E1_17_4_1</v>
      </c>
      <c r="F41" s="8" t="s">
        <v>3501</v>
      </c>
      <c r="G41" s="8" t="s">
        <v>1968</v>
      </c>
      <c r="H41" s="8" t="s">
        <v>3857</v>
      </c>
      <c r="I41" s="8" t="s">
        <v>1969</v>
      </c>
      <c r="J41" s="8" t="str">
        <f t="shared" si="1"/>
        <v>(${Variables:E1_17_4_1_kcat} * E1_17_4_1 * C04232 * C16664 * C00001)/(${Variables:E1_17_4_1_km} + (E1_17_4_1 * C04232 * C16664 * C00001))</v>
      </c>
      <c r="K41" s="40" t="str">
        <f t="shared" si="2"/>
        <v>r40: C04232 + C16664 + C00001 -&gt; C03723 + C16663 | (${Variables:E1_17_4_1_kcat} * E1_17_4_1 * C04232 * C16664 * C00001)/(${Variables:E1_17_4_1_km} + (E1_17_4_1 * C04232 * C16664 * C00001))</v>
      </c>
    </row>
    <row r="42" spans="1:11" ht="58" x14ac:dyDescent="0.35">
      <c r="A42" s="8" t="s">
        <v>1210</v>
      </c>
      <c r="B42" s="8" t="s">
        <v>1211</v>
      </c>
      <c r="C42" s="8" t="s">
        <v>2269</v>
      </c>
      <c r="D42" s="8">
        <v>41</v>
      </c>
      <c r="E42" s="8" t="str">
        <f t="shared" si="0"/>
        <v>E1_17_4_1</v>
      </c>
      <c r="F42" s="8" t="s">
        <v>3502</v>
      </c>
      <c r="G42" s="8" t="s">
        <v>2080</v>
      </c>
      <c r="H42" s="8" t="s">
        <v>3858</v>
      </c>
      <c r="I42" s="8" t="s">
        <v>2081</v>
      </c>
      <c r="J42" s="8" t="str">
        <f t="shared" si="1"/>
        <v>(${Variables:E1_17_4_1_kcat} * E1_17_4_1 * C21750 * C00343 * C00001)/(${Variables:E1_17_4_1_km} + (E1_17_4_1 * C21750 * C00343 * C00001))</v>
      </c>
      <c r="K42" s="40" t="str">
        <f t="shared" si="2"/>
        <v>r41: C21750 + C00343 + C00001 -&gt; C21748 + C00342 | (${Variables:E1_17_4_1_kcat} * E1_17_4_1 * C21750 * C00343 * C00001)/(${Variables:E1_17_4_1_km} + (E1_17_4_1 * C21750 * C00343 * C00001))</v>
      </c>
    </row>
    <row r="43" spans="1:11" ht="58" x14ac:dyDescent="0.35">
      <c r="A43" s="8" t="s">
        <v>117</v>
      </c>
      <c r="B43" s="8" t="s">
        <v>118</v>
      </c>
      <c r="C43" s="8" t="s">
        <v>2257</v>
      </c>
      <c r="D43" s="8">
        <v>42</v>
      </c>
      <c r="E43" s="8" t="str">
        <f t="shared" si="0"/>
        <v>E1_17_4_2</v>
      </c>
      <c r="F43" s="8" t="s">
        <v>3503</v>
      </c>
      <c r="G43" s="8" t="s">
        <v>1721</v>
      </c>
      <c r="H43" s="8" t="s">
        <v>3859</v>
      </c>
      <c r="I43" s="8" t="s">
        <v>1722</v>
      </c>
      <c r="J43" s="8" t="str">
        <f t="shared" si="1"/>
        <v>(${Variables:E1_17_4_2_kcat} * E1_17_4_2 * C00131 * C00343 * C00001)/(${Variables:E1_17_4_2_km} + (E1_17_4_2 * C00131 * C00343 * C00001))</v>
      </c>
      <c r="K43" s="40" t="str">
        <f t="shared" si="2"/>
        <v>r42: C00131 + C00343 + C00001 -&gt; C00002 + C00342 | (${Variables:E1_17_4_2_kcat} * E1_17_4_2 * C00131 * C00343 * C00001)/(${Variables:E1_17_4_2_km} + (E1_17_4_2 * C00131 * C00343 * C00001))</v>
      </c>
    </row>
    <row r="44" spans="1:11" ht="58" x14ac:dyDescent="0.35">
      <c r="A44" s="8" t="s">
        <v>117</v>
      </c>
      <c r="B44" s="8" t="s">
        <v>118</v>
      </c>
      <c r="C44" s="8" t="s">
        <v>2257</v>
      </c>
      <c r="D44" s="8">
        <v>43</v>
      </c>
      <c r="E44" s="8" t="str">
        <f t="shared" si="0"/>
        <v>E1_17_4_2</v>
      </c>
      <c r="F44" s="8" t="s">
        <v>3504</v>
      </c>
      <c r="G44" s="8" t="s">
        <v>1783</v>
      </c>
      <c r="H44" s="8" t="s">
        <v>3860</v>
      </c>
      <c r="I44" s="8" t="s">
        <v>1784</v>
      </c>
      <c r="J44" s="8" t="str">
        <f t="shared" si="1"/>
        <v>(${Variables:E1_17_4_2_kcat} * E1_17_4_2 * C00286 * C00343 * C00001)/(${Variables:E1_17_4_2_km} + (E1_17_4_2 * C00286 * C00343 * C00001))</v>
      </c>
      <c r="K44" s="40" t="str">
        <f t="shared" si="2"/>
        <v>r43: C00286 + C00343 + C00001 -&gt; C00044 + C00342 | (${Variables:E1_17_4_2_kcat} * E1_17_4_2 * C00286 * C00343 * C00001)/(${Variables:E1_17_4_2_km} + (E1_17_4_2 * C00286 * C00343 * C00001))</v>
      </c>
    </row>
    <row r="45" spans="1:11" ht="58" x14ac:dyDescent="0.35">
      <c r="A45" s="8" t="s">
        <v>117</v>
      </c>
      <c r="B45" s="8" t="s">
        <v>118</v>
      </c>
      <c r="C45" s="8" t="s">
        <v>2257</v>
      </c>
      <c r="D45" s="8">
        <v>44</v>
      </c>
      <c r="E45" s="8" t="str">
        <f t="shared" si="0"/>
        <v>E1_17_4_2</v>
      </c>
      <c r="F45" s="8" t="s">
        <v>3505</v>
      </c>
      <c r="G45" s="8" t="s">
        <v>1832</v>
      </c>
      <c r="H45" s="8" t="s">
        <v>3861</v>
      </c>
      <c r="I45" s="8" t="s">
        <v>1833</v>
      </c>
      <c r="J45" s="8" t="str">
        <f t="shared" si="1"/>
        <v>(${Variables:E1_17_4_2_kcat} * E1_17_4_2 * C00458 * C00343 * C00001)/(${Variables:E1_17_4_2_km} + (E1_17_4_2 * C00458 * C00343 * C00001))</v>
      </c>
      <c r="K45" s="40" t="str">
        <f t="shared" si="2"/>
        <v>r44: C00458 + C00343 + C00001 -&gt; C00063 + C00342 | (${Variables:E1_17_4_2_kcat} * E1_17_4_2 * C00458 * C00343 * C00001)/(${Variables:E1_17_4_2_km} + (E1_17_4_2 * C00458 * C00343 * C00001))</v>
      </c>
    </row>
    <row r="46" spans="1:11" ht="58" x14ac:dyDescent="0.35">
      <c r="A46" s="8" t="s">
        <v>117</v>
      </c>
      <c r="B46" s="8" t="s">
        <v>118</v>
      </c>
      <c r="C46" s="8" t="s">
        <v>2257</v>
      </c>
      <c r="D46" s="8">
        <v>45</v>
      </c>
      <c r="E46" s="8" t="str">
        <f t="shared" si="0"/>
        <v>E1_17_4_2</v>
      </c>
      <c r="F46" s="8" t="s">
        <v>3506</v>
      </c>
      <c r="G46" s="8" t="s">
        <v>1835</v>
      </c>
      <c r="H46" s="8" t="s">
        <v>3862</v>
      </c>
      <c r="I46" s="8" t="s">
        <v>1836</v>
      </c>
      <c r="J46" s="8" t="str">
        <f t="shared" si="1"/>
        <v>(${Variables:E1_17_4_2_kcat} * E1_17_4_2 * C00460 * C00343 * C00001)/(${Variables:E1_17_4_2_km} + (E1_17_4_2 * C00460 * C00343 * C00001))</v>
      </c>
      <c r="K46" s="40" t="str">
        <f t="shared" si="2"/>
        <v>r45: C00460 + C00343 + C00001 -&gt; C00075 + C00342 | (${Variables:E1_17_4_2_kcat} * E1_17_4_2 * C00460 * C00343 * C00001)/(${Variables:E1_17_4_2_km} + (E1_17_4_2 * C00460 * C00343 * C00001))</v>
      </c>
    </row>
    <row r="47" spans="1:11" ht="58" x14ac:dyDescent="0.35">
      <c r="A47" s="8" t="s">
        <v>117</v>
      </c>
      <c r="B47" s="8" t="s">
        <v>118</v>
      </c>
      <c r="C47" s="8" t="s">
        <v>2257</v>
      </c>
      <c r="D47" s="8">
        <v>46</v>
      </c>
      <c r="E47" s="8" t="str">
        <f t="shared" si="0"/>
        <v>E1_17_4_2</v>
      </c>
      <c r="F47" s="8" t="s">
        <v>3507</v>
      </c>
      <c r="G47" s="8" t="s">
        <v>1871</v>
      </c>
      <c r="H47" s="8" t="s">
        <v>3863</v>
      </c>
      <c r="I47" s="8" t="s">
        <v>1872</v>
      </c>
      <c r="J47" s="8" t="str">
        <f t="shared" si="1"/>
        <v>(${Variables:E1_17_4_2_kcat} * E1_17_4_2 * C00677 * C00343 * C00001)/(${Variables:E1_17_4_2_km} + (E1_17_4_2 * C00677 * C00343 * C00001))</v>
      </c>
      <c r="K47" s="40" t="str">
        <f t="shared" si="2"/>
        <v>r46: C00677 + C00343 + C00001 -&gt; C03802 + C00342 | (${Variables:E1_17_4_2_kcat} * E1_17_4_2 * C00677 * C00343 * C00001)/(${Variables:E1_17_4_2_km} + (E1_17_4_2 * C00677 * C00343 * C00001))</v>
      </c>
    </row>
    <row r="48" spans="1:11" ht="58" x14ac:dyDescent="0.35">
      <c r="A48" s="8" t="s">
        <v>436</v>
      </c>
      <c r="B48" s="8" t="s">
        <v>437</v>
      </c>
      <c r="C48" s="8" t="s">
        <v>2236</v>
      </c>
      <c r="D48" s="8">
        <v>47</v>
      </c>
      <c r="E48" s="8" t="str">
        <f t="shared" si="0"/>
        <v>E1_2_1_10</v>
      </c>
      <c r="F48" s="8" t="s">
        <v>3508</v>
      </c>
      <c r="G48" s="8" t="s">
        <v>1669</v>
      </c>
      <c r="H48" s="8" t="s">
        <v>3864</v>
      </c>
      <c r="I48" s="8" t="s">
        <v>1670</v>
      </c>
      <c r="J48" s="8" t="str">
        <f t="shared" si="1"/>
        <v>(${Variables:E1_2_1_10_kcat} * E1_2_1_10 * C00084 * C00010 * C00003)/(${Variables:E1_2_1_10_km} + (E1_2_1_10 * C00084 * C00010 * C00003))</v>
      </c>
      <c r="K48" s="40" t="str">
        <f t="shared" si="2"/>
        <v>r47: C00084 + C00010 + C00003 -&gt; C00024 + C00004 + C00080 | (${Variables:E1_2_1_10_kcat} * E1_2_1_10 * C00084 * C00010 * C00003)/(${Variables:E1_2_1_10_km} + (E1_2_1_10 * C00084 * C00010 * C00003))</v>
      </c>
    </row>
    <row r="49" spans="1:11" ht="58" x14ac:dyDescent="0.35">
      <c r="A49" s="8" t="s">
        <v>436</v>
      </c>
      <c r="B49" s="8" t="s">
        <v>437</v>
      </c>
      <c r="C49" s="8" t="s">
        <v>2236</v>
      </c>
      <c r="D49" s="8">
        <v>48</v>
      </c>
      <c r="E49" s="8" t="str">
        <f t="shared" si="0"/>
        <v>E1_2_1_10</v>
      </c>
      <c r="F49" s="8" t="s">
        <v>3509</v>
      </c>
      <c r="G49" s="8" t="s">
        <v>1916</v>
      </c>
      <c r="H49" s="8" t="s">
        <v>3865</v>
      </c>
      <c r="I49" s="8" t="s">
        <v>1917</v>
      </c>
      <c r="J49" s="8" t="str">
        <f t="shared" si="1"/>
        <v>(${Variables:E1_2_1_10_kcat} * E1_2_1_10 * C01412 * C00010 * C00003)/(${Variables:E1_2_1_10_km} + (E1_2_1_10 * C01412 * C00010 * C00003))</v>
      </c>
      <c r="K49" s="40" t="str">
        <f t="shared" si="2"/>
        <v>r48: C01412 + C00010 + C00003 -&gt; C00136 + C00004 + C00080 | (${Variables:E1_2_1_10_kcat} * E1_2_1_10 * C01412 * C00010 * C00003)/(${Variables:E1_2_1_10_km} + (E1_2_1_10 * C01412 * C00010 * C00003))</v>
      </c>
    </row>
    <row r="50" spans="1:11" ht="58" x14ac:dyDescent="0.35">
      <c r="A50" s="8" t="s">
        <v>730</v>
      </c>
      <c r="B50" s="8" t="s">
        <v>731</v>
      </c>
      <c r="C50" s="8" t="s">
        <v>2287</v>
      </c>
      <c r="D50" s="8">
        <v>49</v>
      </c>
      <c r="E50" s="8" t="str">
        <f t="shared" si="0"/>
        <v>E1_2_1_11</v>
      </c>
      <c r="F50" s="8" t="s">
        <v>3510</v>
      </c>
      <c r="G50" s="8" t="s">
        <v>1825</v>
      </c>
      <c r="H50" s="8" t="s">
        <v>3866</v>
      </c>
      <c r="I50" s="8" t="s">
        <v>1826</v>
      </c>
      <c r="J50" s="8" t="str">
        <f t="shared" si="1"/>
        <v>(${Variables:E1_2_1_11_kcat} * E1_2_1_11 * C00441 * C00009 * C00006)/(${Variables:E1_2_1_11_km} + (E1_2_1_11 * C00441 * C00009 * C00006))</v>
      </c>
      <c r="K50" s="40" t="str">
        <f t="shared" si="2"/>
        <v>r49: C00441 + C00009 + C00006 -&gt; C03082 + C00005 + C00080 | (${Variables:E1_2_1_11_kcat} * E1_2_1_11 * C00441 * C00009 * C00006)/(${Variables:E1_2_1_11_km} + (E1_2_1_11 * C00441 * C00009 * C00006))</v>
      </c>
    </row>
    <row r="51" spans="1:11" ht="58" x14ac:dyDescent="0.35">
      <c r="A51" s="8" t="s">
        <v>1267</v>
      </c>
      <c r="B51" s="8" t="s">
        <v>1268</v>
      </c>
      <c r="C51" s="8" t="s">
        <v>2208</v>
      </c>
      <c r="D51" s="8">
        <v>50</v>
      </c>
      <c r="E51" s="8" t="str">
        <f t="shared" si="0"/>
        <v>E1_2_3_3</v>
      </c>
      <c r="F51" s="8" t="s">
        <v>3511</v>
      </c>
      <c r="G51" s="8" t="s">
        <v>1584</v>
      </c>
      <c r="H51" s="8" t="s">
        <v>3867</v>
      </c>
      <c r="I51" s="8" t="s">
        <v>1585</v>
      </c>
      <c r="J51" s="8" t="str">
        <f t="shared" si="1"/>
        <v>(${Variables:E1_2_3_3_kcat} * E1_2_3_3 * C00022 * C00009 * C00007)/(${Variables:E1_2_3_3_km} + (E1_2_3_3 * C00022 * C00009 * C00007))</v>
      </c>
      <c r="K51" s="40" t="str">
        <f t="shared" si="2"/>
        <v>r50: C00022 + C00009 + C00007 -&gt; C00227 + C00027 + C00011 | (${Variables:E1_2_3_3_kcat} * E1_2_3_3 * C00022 * C00009 * C00007)/(${Variables:E1_2_3_3_km} + (E1_2_3_3 * C00022 * C00009 * C00007))</v>
      </c>
    </row>
    <row r="52" spans="1:11" ht="43.5" x14ac:dyDescent="0.35">
      <c r="A52" s="8" t="s">
        <v>1032</v>
      </c>
      <c r="B52" s="8" t="s">
        <v>1033</v>
      </c>
      <c r="C52" s="8" t="s">
        <v>2280</v>
      </c>
      <c r="D52" s="8">
        <v>51</v>
      </c>
      <c r="E52" s="8" t="str">
        <f t="shared" si="0"/>
        <v>E1_3_1_14</v>
      </c>
      <c r="F52" s="8" t="s">
        <v>3512</v>
      </c>
      <c r="G52" s="8" t="s">
        <v>1789</v>
      </c>
      <c r="H52" s="8" t="s">
        <v>3868</v>
      </c>
      <c r="I52" s="8" t="s">
        <v>1790</v>
      </c>
      <c r="J52" s="8" t="str">
        <f t="shared" si="1"/>
        <v>(${Variables:E1_3_1_14_kcat} * E1_3_1_14 * C00337 * C00003)/(${Variables:E1_3_1_14_km} + (E1_3_1_14 * C00337 * C00003))</v>
      </c>
      <c r="K52" s="40" t="str">
        <f t="shared" si="2"/>
        <v>r51: C00337 + C00003 -&gt; C00295 + C00080 + C00004 | (${Variables:E1_3_1_14_kcat} * E1_3_1_14 * C00337 * C00003)/(${Variables:E1_3_1_14_km} + (E1_3_1_14 * C00337 * C00003))</v>
      </c>
    </row>
    <row r="53" spans="1:11" ht="43.5" x14ac:dyDescent="0.35">
      <c r="A53" s="8" t="s">
        <v>588</v>
      </c>
      <c r="B53" s="8" t="s">
        <v>589</v>
      </c>
      <c r="C53" s="8" t="s">
        <v>2301</v>
      </c>
      <c r="D53" s="8">
        <v>52</v>
      </c>
      <c r="E53" s="8" t="str">
        <f t="shared" si="0"/>
        <v>E1_3_1_98</v>
      </c>
      <c r="F53" s="8" t="s">
        <v>3513</v>
      </c>
      <c r="G53" s="8" t="s">
        <v>1895</v>
      </c>
      <c r="H53" s="8" t="s">
        <v>3869</v>
      </c>
      <c r="I53" s="8" t="s">
        <v>1896</v>
      </c>
      <c r="J53" s="8" t="str">
        <f t="shared" si="1"/>
        <v>(${Variables:E1_3_1_98_kcat} * E1_3_1_98 * C01050 * C00003)/(${Variables:E1_3_1_98_km} + (E1_3_1_98 * C01050 * C00003))</v>
      </c>
      <c r="K53" s="40" t="str">
        <f t="shared" si="2"/>
        <v>r52: C01050 + C00003 -&gt; C04631 + C00004 + C00080 | (${Variables:E1_3_1_98_kcat} * E1_3_1_98 * C01050 * C00003)/(${Variables:E1_3_1_98_km} + (E1_3_1_98 * C01050 * C00003))</v>
      </c>
    </row>
    <row r="54" spans="1:11" ht="43.5" x14ac:dyDescent="0.35">
      <c r="A54" s="8" t="s">
        <v>588</v>
      </c>
      <c r="B54" s="8" t="s">
        <v>589</v>
      </c>
      <c r="C54" s="8" t="s">
        <v>2301</v>
      </c>
      <c r="D54" s="8">
        <v>53</v>
      </c>
      <c r="E54" s="8" t="str">
        <f t="shared" si="0"/>
        <v>E1_3_1_98</v>
      </c>
      <c r="F54" s="8" t="s">
        <v>3514</v>
      </c>
      <c r="G54" s="8" t="s">
        <v>1897</v>
      </c>
      <c r="H54" s="8" t="s">
        <v>3870</v>
      </c>
      <c r="I54" s="8" t="s">
        <v>1898</v>
      </c>
      <c r="J54" s="8" t="str">
        <f t="shared" si="1"/>
        <v>(${Variables:E1_3_1_98_kcat} * E1_3_1_98 * C01050 * C00006)/(${Variables:E1_3_1_98_km} + (E1_3_1_98 * C01050 * C00006))</v>
      </c>
      <c r="K54" s="40" t="str">
        <f t="shared" si="2"/>
        <v>r53: C01050 + C00006 -&gt; C04631 + C00005 + C00080 | (${Variables:E1_3_1_98_kcat} * E1_3_1_98 * C01050 * C00006)/(${Variables:E1_3_1_98_km} + (E1_3_1_98 * C01050 * C00006))</v>
      </c>
    </row>
    <row r="55" spans="1:11" ht="43.5" x14ac:dyDescent="0.35">
      <c r="A55" s="8" t="s">
        <v>1213</v>
      </c>
      <c r="B55" s="8" t="s">
        <v>1214</v>
      </c>
      <c r="C55" s="8" t="s">
        <v>2278</v>
      </c>
      <c r="D55" s="8">
        <v>54</v>
      </c>
      <c r="E55" s="8" t="str">
        <f t="shared" si="0"/>
        <v>E1_4_3_5</v>
      </c>
      <c r="F55" s="8" t="s">
        <v>3515</v>
      </c>
      <c r="G55" s="8" t="s">
        <v>1786</v>
      </c>
      <c r="H55" s="8" t="s">
        <v>3871</v>
      </c>
      <c r="I55" s="8" t="s">
        <v>1787</v>
      </c>
      <c r="J55" s="8" t="str">
        <f t="shared" si="1"/>
        <v>(${Variables:E1_4_3_5_kcat} * E1_4_3_5 * C00314 * C00007)/(${Variables:E1_4_3_5_km} + (E1_4_3_5 * C00314 * C00007))</v>
      </c>
      <c r="K55" s="40" t="str">
        <f t="shared" si="2"/>
        <v>r54: C00314 + C00007 -&gt; C00250 + C00027 | (${Variables:E1_4_3_5_kcat} * E1_4_3_5 * C00314 * C00007)/(${Variables:E1_4_3_5_km} + (E1_4_3_5 * C00314 * C00007))</v>
      </c>
    </row>
    <row r="56" spans="1:11" ht="58" x14ac:dyDescent="0.35">
      <c r="A56" s="8" t="s">
        <v>1213</v>
      </c>
      <c r="B56" s="8" t="s">
        <v>1214</v>
      </c>
      <c r="C56" s="8" t="s">
        <v>2278</v>
      </c>
      <c r="D56" s="8">
        <v>55</v>
      </c>
      <c r="E56" s="8" t="str">
        <f t="shared" si="0"/>
        <v>E1_4_3_5</v>
      </c>
      <c r="F56" s="8" t="s">
        <v>3516</v>
      </c>
      <c r="G56" s="8" t="s">
        <v>1847</v>
      </c>
      <c r="H56" s="8" t="s">
        <v>3872</v>
      </c>
      <c r="I56" s="8" t="s">
        <v>1848</v>
      </c>
      <c r="J56" s="8" t="str">
        <f t="shared" si="1"/>
        <v>(${Variables:E1_4_3_5_kcat} * E1_4_3_5 * C00534 * C00001 * C00007)/(${Variables:E1_4_3_5_km} + (E1_4_3_5 * C00534 * C00001 * C00007))</v>
      </c>
      <c r="K56" s="40" t="str">
        <f t="shared" si="2"/>
        <v>r55: C00534 + C00001 + C00007 -&gt; C00250 + C00014 + C00027 | (${Variables:E1_4_3_5_kcat} * E1_4_3_5 * C00534 * C00001 * C00007)/(${Variables:E1_4_3_5_km} + (E1_4_3_5 * C00534 * C00001 * C00007))</v>
      </c>
    </row>
    <row r="57" spans="1:11" ht="43.5" x14ac:dyDescent="0.35">
      <c r="A57" s="8" t="s">
        <v>1213</v>
      </c>
      <c r="B57" s="8" t="s">
        <v>1214</v>
      </c>
      <c r="C57" s="8" t="s">
        <v>2278</v>
      </c>
      <c r="D57" s="8">
        <v>56</v>
      </c>
      <c r="E57" s="8" t="str">
        <f t="shared" si="0"/>
        <v>E1_4_3_5</v>
      </c>
      <c r="F57" s="8" t="s">
        <v>3517</v>
      </c>
      <c r="G57" s="8" t="s">
        <v>1857</v>
      </c>
      <c r="H57" s="8" t="s">
        <v>3873</v>
      </c>
      <c r="I57" s="8" t="s">
        <v>1858</v>
      </c>
      <c r="J57" s="8" t="str">
        <f t="shared" si="1"/>
        <v>(${Variables:E1_4_3_5_kcat} * E1_4_3_5 * C00627 * C00007)/(${Variables:E1_4_3_5_km} + (E1_4_3_5 * C00627 * C00007))</v>
      </c>
      <c r="K57" s="40" t="str">
        <f t="shared" si="2"/>
        <v>r56: C00627 + C00007 -&gt; C00027 + C00018 | (${Variables:E1_4_3_5_kcat} * E1_4_3_5 * C00627 * C00007)/(${Variables:E1_4_3_5_km} + (E1_4_3_5 * C00627 * C00007))</v>
      </c>
    </row>
    <row r="58" spans="1:11" ht="58" x14ac:dyDescent="0.35">
      <c r="A58" s="8" t="s">
        <v>1213</v>
      </c>
      <c r="B58" s="8" t="s">
        <v>1214</v>
      </c>
      <c r="C58" s="8" t="s">
        <v>2278</v>
      </c>
      <c r="D58" s="8">
        <v>57</v>
      </c>
      <c r="E58" s="8" t="str">
        <f t="shared" si="0"/>
        <v>E1_4_3_5</v>
      </c>
      <c r="F58" s="8" t="s">
        <v>3518</v>
      </c>
      <c r="G58" s="8" t="s">
        <v>1861</v>
      </c>
      <c r="H58" s="8" t="s">
        <v>3874</v>
      </c>
      <c r="I58" s="8" t="s">
        <v>1862</v>
      </c>
      <c r="J58" s="8" t="str">
        <f t="shared" si="1"/>
        <v>(${Variables:E1_4_3_5_kcat} * E1_4_3_5 * C00647 * C00001 * C00007)/(${Variables:E1_4_3_5_km} + (E1_4_3_5 * C00647 * C00001 * C00007))</v>
      </c>
      <c r="K58" s="40" t="str">
        <f t="shared" si="2"/>
        <v>r57: C00647 + C00001 + C00007 -&gt; C00018 + C00014 + C00027 | (${Variables:E1_4_3_5_kcat} * E1_4_3_5 * C00647 * C00001 * C00007)/(${Variables:E1_4_3_5_km} + (E1_4_3_5 * C00647 * C00001 * C00007))</v>
      </c>
    </row>
    <row r="59" spans="1:11" ht="43.5" x14ac:dyDescent="0.35">
      <c r="A59" s="8" t="s">
        <v>751</v>
      </c>
      <c r="B59" s="8" t="s">
        <v>752</v>
      </c>
      <c r="C59" s="8" t="s">
        <v>2245</v>
      </c>
      <c r="D59" s="8">
        <v>58</v>
      </c>
      <c r="E59" s="8" t="str">
        <f t="shared" si="0"/>
        <v>E1_5_1_3</v>
      </c>
      <c r="F59" s="8" t="s">
        <v>3519</v>
      </c>
      <c r="G59" s="8" t="s">
        <v>1695</v>
      </c>
      <c r="H59" s="8" t="s">
        <v>3875</v>
      </c>
      <c r="I59" s="8" t="s">
        <v>1820</v>
      </c>
      <c r="J59" s="8" t="str">
        <f t="shared" si="1"/>
        <v>(${Variables:E1_5_1_3_kcat} * E1_5_1_3 * C00101 * C00003)/(${Variables:E1_5_1_3_km} + (E1_5_1_3 * C00101 * C00003))</v>
      </c>
      <c r="K59" s="40" t="str">
        <f t="shared" si="2"/>
        <v>r58: C00101 + C00003 -&gt; C00504 + C00004 + C00080 | (${Variables:E1_5_1_3_kcat} * E1_5_1_3 * C00101 * C00003)/(${Variables:E1_5_1_3_km} + (E1_5_1_3 * C00101 * C00003))</v>
      </c>
    </row>
    <row r="60" spans="1:11" ht="43.5" x14ac:dyDescent="0.35">
      <c r="A60" s="8" t="s">
        <v>751</v>
      </c>
      <c r="B60" s="8" t="s">
        <v>752</v>
      </c>
      <c r="C60" s="8" t="s">
        <v>2245</v>
      </c>
      <c r="D60" s="8">
        <v>59</v>
      </c>
      <c r="E60" s="8" t="str">
        <f t="shared" si="0"/>
        <v>E1_5_1_3</v>
      </c>
      <c r="F60" s="8" t="s">
        <v>3520</v>
      </c>
      <c r="G60" s="8" t="s">
        <v>1697</v>
      </c>
      <c r="H60" s="8" t="s">
        <v>3876</v>
      </c>
      <c r="I60" s="8" t="s">
        <v>1822</v>
      </c>
      <c r="J60" s="8" t="str">
        <f t="shared" si="1"/>
        <v>(${Variables:E1_5_1_3_kcat} * E1_5_1_3 * C00101 * C00006)/(${Variables:E1_5_1_3_km} + (E1_5_1_3 * C00101 * C00006))</v>
      </c>
      <c r="K60" s="40" t="str">
        <f t="shared" si="2"/>
        <v>r59: C00101 + C00006 -&gt; C00504 + C00005 + C00080 | (${Variables:E1_5_1_3_kcat} * E1_5_1_3 * C00101 * C00006)/(${Variables:E1_5_1_3_km} + (E1_5_1_3 * C00101 * C00006))</v>
      </c>
    </row>
    <row r="61" spans="1:11" ht="43.5" x14ac:dyDescent="0.35">
      <c r="A61" s="8" t="s">
        <v>751</v>
      </c>
      <c r="B61" s="8" t="s">
        <v>752</v>
      </c>
      <c r="C61" s="8" t="s">
        <v>2245</v>
      </c>
      <c r="D61" s="8">
        <v>60</v>
      </c>
      <c r="E61" s="8" t="str">
        <f t="shared" si="0"/>
        <v>E1_5_1_3</v>
      </c>
      <c r="F61" s="8" t="s">
        <v>3519</v>
      </c>
      <c r="G61" s="8" t="s">
        <v>1695</v>
      </c>
      <c r="H61" s="8" t="s">
        <v>3877</v>
      </c>
      <c r="I61" s="8" t="s">
        <v>1696</v>
      </c>
      <c r="J61" s="8" t="str">
        <f t="shared" si="1"/>
        <v>(${Variables:E1_5_1_3_kcat} * E1_5_1_3 * C00101 * C00003)/(${Variables:E1_5_1_3_km} + (E1_5_1_3 * C00101 * C00003))</v>
      </c>
      <c r="K61" s="40" t="str">
        <f t="shared" si="2"/>
        <v>r60: C00101 + C00003 -&gt; C00415 + C00004 + C00080 | (${Variables:E1_5_1_3_kcat} * E1_5_1_3 * C00101 * C00003)/(${Variables:E1_5_1_3_km} + (E1_5_1_3 * C00101 * C00003))</v>
      </c>
    </row>
    <row r="62" spans="1:11" ht="43.5" x14ac:dyDescent="0.35">
      <c r="A62" s="8" t="s">
        <v>751</v>
      </c>
      <c r="B62" s="8" t="s">
        <v>752</v>
      </c>
      <c r="C62" s="8" t="s">
        <v>2245</v>
      </c>
      <c r="D62" s="8">
        <v>61</v>
      </c>
      <c r="E62" s="8" t="str">
        <f t="shared" si="0"/>
        <v>E1_5_1_3</v>
      </c>
      <c r="F62" s="8" t="s">
        <v>3520</v>
      </c>
      <c r="G62" s="8" t="s">
        <v>1697</v>
      </c>
      <c r="H62" s="8" t="s">
        <v>3878</v>
      </c>
      <c r="I62" s="8" t="s">
        <v>1698</v>
      </c>
      <c r="J62" s="8" t="str">
        <f t="shared" si="1"/>
        <v>(${Variables:E1_5_1_3_kcat} * E1_5_1_3 * C00101 * C00006)/(${Variables:E1_5_1_3_km} + (E1_5_1_3 * C00101 * C00006))</v>
      </c>
      <c r="K62" s="40" t="str">
        <f t="shared" si="2"/>
        <v>r61: C00101 + C00006 -&gt; C00415 + C00005 + C00080 | (${Variables:E1_5_1_3_kcat} * E1_5_1_3 * C00101 * C00006)/(${Variables:E1_5_1_3_km} + (E1_5_1_3 * C00101 * C00006))</v>
      </c>
    </row>
    <row r="63" spans="1:11" ht="43.5" x14ac:dyDescent="0.35">
      <c r="A63" s="8" t="s">
        <v>751</v>
      </c>
      <c r="B63" s="8" t="s">
        <v>752</v>
      </c>
      <c r="C63" s="8" t="s">
        <v>2245</v>
      </c>
      <c r="D63" s="8">
        <v>62</v>
      </c>
      <c r="E63" s="8" t="str">
        <f t="shared" si="0"/>
        <v>E1_5_1_3</v>
      </c>
      <c r="F63" s="8" t="s">
        <v>3521</v>
      </c>
      <c r="G63" s="8" t="s">
        <v>1778</v>
      </c>
      <c r="H63" s="8" t="s">
        <v>3879</v>
      </c>
      <c r="I63" s="8" t="s">
        <v>1779</v>
      </c>
      <c r="J63" s="8" t="str">
        <f t="shared" si="1"/>
        <v>(${Variables:E1_5_1_3_kcat} * E1_5_1_3 * C00272 * C00006)/(${Variables:E1_5_1_3_km} + (E1_5_1_3 * C00272 * C00006))</v>
      </c>
      <c r="K63" s="40" t="str">
        <f t="shared" si="2"/>
        <v>r62: C00272 + C00006 -&gt; C02953 + C00005 + C00080 | (${Variables:E1_5_1_3_kcat} * E1_5_1_3 * C00272 * C00006)/(${Variables:E1_5_1_3_km} + (E1_5_1_3 * C00272 * C00006))</v>
      </c>
    </row>
    <row r="64" spans="1:11" ht="43.5" x14ac:dyDescent="0.35">
      <c r="A64" s="8" t="s">
        <v>751</v>
      </c>
      <c r="B64" s="8" t="s">
        <v>752</v>
      </c>
      <c r="C64" s="8" t="s">
        <v>2245</v>
      </c>
      <c r="D64" s="8">
        <v>63</v>
      </c>
      <c r="E64" s="8" t="str">
        <f t="shared" si="0"/>
        <v>E1_5_1_3</v>
      </c>
      <c r="F64" s="8" t="s">
        <v>3522</v>
      </c>
      <c r="G64" s="8" t="s">
        <v>1819</v>
      </c>
      <c r="H64" s="8" t="s">
        <v>3875</v>
      </c>
      <c r="I64" s="8" t="s">
        <v>1820</v>
      </c>
      <c r="J64" s="8" t="str">
        <f t="shared" si="1"/>
        <v>(${Variables:E1_5_1_3_kcat} * E1_5_1_3 * C00415 * C00003)/(${Variables:E1_5_1_3_km} + (E1_5_1_3 * C00415 * C00003))</v>
      </c>
      <c r="K64" s="40" t="str">
        <f t="shared" si="2"/>
        <v>r63: C00415 + C00003 -&gt; C00504 + C00004 + C00080 | (${Variables:E1_5_1_3_kcat} * E1_5_1_3 * C00415 * C00003)/(${Variables:E1_5_1_3_km} + (E1_5_1_3 * C00415 * C00003))</v>
      </c>
    </row>
    <row r="65" spans="1:11" ht="43.5" x14ac:dyDescent="0.35">
      <c r="A65" s="8" t="s">
        <v>751</v>
      </c>
      <c r="B65" s="8" t="s">
        <v>752</v>
      </c>
      <c r="C65" s="8" t="s">
        <v>2245</v>
      </c>
      <c r="D65" s="8">
        <v>64</v>
      </c>
      <c r="E65" s="8" t="str">
        <f t="shared" si="0"/>
        <v>E1_5_1_3</v>
      </c>
      <c r="F65" s="8" t="s">
        <v>3523</v>
      </c>
      <c r="G65" s="8" t="s">
        <v>1821</v>
      </c>
      <c r="H65" s="8" t="s">
        <v>3876</v>
      </c>
      <c r="I65" s="8" t="s">
        <v>1822</v>
      </c>
      <c r="J65" s="8" t="str">
        <f t="shared" si="1"/>
        <v>(${Variables:E1_5_1_3_kcat} * E1_5_1_3 * C00415 * C00006)/(${Variables:E1_5_1_3_km} + (E1_5_1_3 * C00415 * C00006))</v>
      </c>
      <c r="K65" s="40" t="str">
        <f t="shared" si="2"/>
        <v>r64: C00415 + C00006 -&gt; C00504 + C00005 + C00080 | (${Variables:E1_5_1_3_kcat} * E1_5_1_3 * C00415 * C00006)/(${Variables:E1_5_1_3_km} + (E1_5_1_3 * C00415 * C00006))</v>
      </c>
    </row>
    <row r="66" spans="1:11" ht="58" x14ac:dyDescent="0.35">
      <c r="A66" s="8" t="s">
        <v>1247</v>
      </c>
      <c r="B66" s="8" t="s">
        <v>1248</v>
      </c>
      <c r="C66" s="8" t="s">
        <v>2255</v>
      </c>
      <c r="D66" s="8">
        <v>65</v>
      </c>
      <c r="E66" s="8" t="str">
        <f t="shared" ref="E66:E129" si="3">CONCATENATE("E",C66)</f>
        <v>E1_7_1_7</v>
      </c>
      <c r="F66" s="8" t="s">
        <v>3524</v>
      </c>
      <c r="G66" s="8" t="s">
        <v>1715</v>
      </c>
      <c r="H66" s="8" t="s">
        <v>3880</v>
      </c>
      <c r="I66" s="8" t="s">
        <v>1716</v>
      </c>
      <c r="J66" s="8" t="str">
        <f t="shared" ref="J66:J129" si="4">CONCATENATE("(${Variables:",E66,"_kcat","} * ",E66," * ",G66,")","/(${Variables:",E66,"_km","} + (",E66," * ",G66,"))")</f>
        <v>(${Variables:E1_7_1_7_kcat} * E1_7_1_7 * C00130 * C00014 * C00006)/(${Variables:E1_7_1_7_km} + (E1_7_1_7 * C00130 * C00014 * C00006))</v>
      </c>
      <c r="K66" s="40" t="str">
        <f t="shared" ref="K66:K129" si="5">CONCATENATE("r",D66,": ",F66," -&gt; ",H66," | ",J66)</f>
        <v>r65: C00130 + C00014 + C00006 -&gt; C00144 + C00005 + C00080 | (${Variables:E1_7_1_7_kcat} * E1_7_1_7 * C00130 * C00014 * C00006)/(${Variables:E1_7_1_7_km} + (E1_7_1_7 * C00130 * C00014 * C00006))</v>
      </c>
    </row>
    <row r="67" spans="1:11" ht="58" x14ac:dyDescent="0.35">
      <c r="A67" s="8" t="s">
        <v>552</v>
      </c>
      <c r="B67" s="8" t="s">
        <v>553</v>
      </c>
      <c r="C67" s="8" t="s">
        <v>2111</v>
      </c>
      <c r="D67" s="8">
        <v>66</v>
      </c>
      <c r="E67" s="8" t="str">
        <f t="shared" si="3"/>
        <v>E1_8_1_9</v>
      </c>
      <c r="F67" s="8" t="s">
        <v>3525</v>
      </c>
      <c r="G67" s="8" t="s">
        <v>2357</v>
      </c>
      <c r="H67" s="8" t="s">
        <v>3881</v>
      </c>
      <c r="I67" s="8" t="s">
        <v>2358</v>
      </c>
      <c r="J67" s="8" t="str">
        <f t="shared" si="4"/>
        <v>(${Variables:E1_8_1_9_kcat} * E1_8_1_9 * C00005 * C00080 * C18902)/(${Variables:E1_8_1_9_km} + (E1_8_1_9 * C00005 * C00080 * C18902))</v>
      </c>
      <c r="K67" s="40" t="str">
        <f t="shared" si="5"/>
        <v>r66: C00005 + C00080 + C18902 -&gt; C00006 + C00001 + C05703 | (${Variables:E1_8_1_9_kcat} * E1_8_1_9 * C00005 * C00080 * C18902)/(${Variables:E1_8_1_9_km} + (E1_8_1_9 * C00005 * C00080 * C18902))</v>
      </c>
    </row>
    <row r="68" spans="1:11" ht="58" x14ac:dyDescent="0.35">
      <c r="A68" s="8" t="s">
        <v>552</v>
      </c>
      <c r="B68" s="8" t="s">
        <v>553</v>
      </c>
      <c r="C68" s="8" t="s">
        <v>2111</v>
      </c>
      <c r="D68" s="8">
        <v>67</v>
      </c>
      <c r="E68" s="8" t="str">
        <f t="shared" si="3"/>
        <v>E1_8_1_9</v>
      </c>
      <c r="F68" s="8" t="s">
        <v>3526</v>
      </c>
      <c r="G68" s="8" t="s">
        <v>1689</v>
      </c>
      <c r="H68" s="8" t="s">
        <v>3882</v>
      </c>
      <c r="I68" s="8" t="s">
        <v>1690</v>
      </c>
      <c r="J68" s="8" t="str">
        <f t="shared" si="4"/>
        <v>(${Variables:E1_8_1_9_kcat} * E1_8_1_9 * C00097 * C00051 * C00006)/(${Variables:E1_8_1_9_km} + (E1_8_1_9 * C00097 * C00051 * C00006))</v>
      </c>
      <c r="K68" s="40" t="str">
        <f t="shared" si="5"/>
        <v>r67: C00097 + C00051 + C00006 -&gt; C05526 + C00005 | (${Variables:E1_8_1_9_kcat} * E1_8_1_9 * C00097 * C00051 * C00006)/(${Variables:E1_8_1_9_km} + (E1_8_1_9 * C00097 * C00051 * C00006))</v>
      </c>
    </row>
    <row r="69" spans="1:11" ht="43.5" x14ac:dyDescent="0.35">
      <c r="A69" s="8" t="s">
        <v>552</v>
      </c>
      <c r="B69" s="8" t="s">
        <v>553</v>
      </c>
      <c r="C69" s="8" t="s">
        <v>2111</v>
      </c>
      <c r="D69" s="8">
        <v>68</v>
      </c>
      <c r="E69" s="8" t="str">
        <f t="shared" si="3"/>
        <v>E1_8_1_9</v>
      </c>
      <c r="F69" s="8" t="s">
        <v>3527</v>
      </c>
      <c r="G69" s="8" t="s">
        <v>1791</v>
      </c>
      <c r="H69" s="8" t="s">
        <v>3883</v>
      </c>
      <c r="I69" s="8" t="s">
        <v>1792</v>
      </c>
      <c r="J69" s="8" t="str">
        <f t="shared" si="4"/>
        <v>(${Variables:E1_8_1_9_kcat} * E1_8_1_9 * C00342 * C00006)/(${Variables:E1_8_1_9_km} + (E1_8_1_9 * C00342 * C00006))</v>
      </c>
      <c r="K69" s="40" t="str">
        <f t="shared" si="5"/>
        <v>r68: C00342 + C00006 -&gt; C00343 + C00005 + C00080 | (${Variables:E1_8_1_9_kcat} * E1_8_1_9 * C00342 * C00006)/(${Variables:E1_8_1_9_km} + (E1_8_1_9 * C00342 * C00006))</v>
      </c>
    </row>
    <row r="70" spans="1:11" ht="58" x14ac:dyDescent="0.35">
      <c r="A70" s="8" t="s">
        <v>552</v>
      </c>
      <c r="B70" s="8" t="s">
        <v>553</v>
      </c>
      <c r="C70" s="8" t="s">
        <v>2111</v>
      </c>
      <c r="D70" s="8">
        <v>69</v>
      </c>
      <c r="E70" s="8" t="str">
        <f t="shared" si="3"/>
        <v>E1_8_1_9</v>
      </c>
      <c r="F70" s="8" t="s">
        <v>3528</v>
      </c>
      <c r="G70" s="8" t="s">
        <v>2362</v>
      </c>
      <c r="H70" s="8" t="s">
        <v>3884</v>
      </c>
      <c r="I70" s="8" t="s">
        <v>2363</v>
      </c>
      <c r="J70" s="8" t="str">
        <f t="shared" si="4"/>
        <v>(${Variables:E1_8_1_9_kcat} * E1_8_1_9 * C01528 * C00006 * C00001)/(${Variables:E1_8_1_9_km} + (E1_8_1_9 * C01528 * C00006 * C00001))</v>
      </c>
      <c r="K70" s="40" t="str">
        <f t="shared" si="5"/>
        <v>r69: C01528 + C00006 + C00001 -&gt; C05684 + C00005 + C00080 | (${Variables:E1_8_1_9_kcat} * E1_8_1_9 * C01528 * C00006 * C00001)/(${Variables:E1_8_1_9_km} + (E1_8_1_9 * C01528 * C00006 * C00001))</v>
      </c>
    </row>
    <row r="71" spans="1:11" ht="58" x14ac:dyDescent="0.35">
      <c r="A71" s="8" t="s">
        <v>884</v>
      </c>
      <c r="B71" s="8" t="s">
        <v>885</v>
      </c>
      <c r="C71" s="8" t="s">
        <v>2230</v>
      </c>
      <c r="D71" s="8">
        <v>70</v>
      </c>
      <c r="E71" s="8" t="str">
        <f t="shared" si="3"/>
        <v>E1_8_4_11</v>
      </c>
      <c r="F71" s="8" t="s">
        <v>3529</v>
      </c>
      <c r="G71" s="8" t="s">
        <v>1640</v>
      </c>
      <c r="H71" s="8" t="s">
        <v>3885</v>
      </c>
      <c r="I71" s="8" t="s">
        <v>1641</v>
      </c>
      <c r="J71" s="8" t="str">
        <f t="shared" si="4"/>
        <v>(${Variables:E1_8_4_11_kcat} * E1_8_4_11 * C00073 * C00343 * C00001)/(${Variables:E1_8_4_11_km} + (E1_8_4_11 * C00073 * C00343 * C00001))</v>
      </c>
      <c r="K71" s="40" t="str">
        <f t="shared" si="5"/>
        <v>r70: C00073 + C00343 + C00001 -&gt; C15999 + C00342 | (${Variables:E1_8_4_11_kcat} * E1_8_4_11 * C00073 * C00343 * C00001)/(${Variables:E1_8_4_11_km} + (E1_8_4_11 * C00073 * C00343 * C00001))</v>
      </c>
    </row>
    <row r="72" spans="1:11" ht="58" x14ac:dyDescent="0.35">
      <c r="A72" s="8" t="s">
        <v>884</v>
      </c>
      <c r="B72" s="8" t="s">
        <v>885</v>
      </c>
      <c r="C72" s="8" t="s">
        <v>2230</v>
      </c>
      <c r="D72" s="8">
        <v>71</v>
      </c>
      <c r="E72" s="8" t="str">
        <f t="shared" si="3"/>
        <v>E1_8_4_11</v>
      </c>
      <c r="F72" s="8" t="s">
        <v>3530</v>
      </c>
      <c r="G72" s="8" t="s">
        <v>1946</v>
      </c>
      <c r="H72" s="8" t="s">
        <v>3886</v>
      </c>
      <c r="I72" s="8" t="s">
        <v>1947</v>
      </c>
      <c r="J72" s="8" t="str">
        <f t="shared" si="4"/>
        <v>(${Variables:E1_8_4_11_kcat} * E1_8_4_11 * C03023 * C00343 * C00001)/(${Variables:E1_8_4_11_km} + (E1_8_4_11 * C03023 * C00343 * C00001))</v>
      </c>
      <c r="K72" s="40" t="str">
        <f t="shared" si="5"/>
        <v>r71: C03023 + C00343 + C00001 -&gt; C03895 + C00342 | (${Variables:E1_8_4_11_kcat} * E1_8_4_11 * C03023 * C00343 * C00001)/(${Variables:E1_8_4_11_km} + (E1_8_4_11 * C03023 * C00343 * C00001))</v>
      </c>
    </row>
    <row r="73" spans="1:11" ht="58" x14ac:dyDescent="0.35">
      <c r="A73" s="8" t="s">
        <v>1018</v>
      </c>
      <c r="B73" s="8" t="s">
        <v>1019</v>
      </c>
      <c r="C73" s="8" t="s">
        <v>2316</v>
      </c>
      <c r="D73" s="8">
        <v>72</v>
      </c>
      <c r="E73" s="8" t="str">
        <f t="shared" si="3"/>
        <v>E1_8_4_12</v>
      </c>
      <c r="F73" s="8" t="s">
        <v>3530</v>
      </c>
      <c r="G73" s="8" t="s">
        <v>1946</v>
      </c>
      <c r="H73" s="8" t="s">
        <v>3887</v>
      </c>
      <c r="I73" s="8" t="s">
        <v>1948</v>
      </c>
      <c r="J73" s="8" t="str">
        <f t="shared" si="4"/>
        <v>(${Variables:E1_8_4_12_kcat} * E1_8_4_12 * C03023 * C00343 * C00001)/(${Variables:E1_8_4_12_km} + (E1_8_4_12 * C03023 * C00343 * C00001))</v>
      </c>
      <c r="K73" s="40" t="str">
        <f t="shared" si="5"/>
        <v>r72: C03023 + C00343 + C00001 -&gt; C15653 + C00342 | (${Variables:E1_8_4_12_kcat} * E1_8_4_12 * C03023 * C00343 * C00001)/(${Variables:E1_8_4_12_km} + (E1_8_4_12 * C03023 * C00343 * C00001))</v>
      </c>
    </row>
    <row r="74" spans="1:11" ht="43.5" x14ac:dyDescent="0.35">
      <c r="A74" s="8" t="s">
        <v>822</v>
      </c>
      <c r="B74" s="8" t="s">
        <v>823</v>
      </c>
      <c r="C74" s="8" t="s">
        <v>2201</v>
      </c>
      <c r="D74" s="8">
        <v>73</v>
      </c>
      <c r="E74" s="8" t="str">
        <f t="shared" si="3"/>
        <v>E2_1_1_10</v>
      </c>
      <c r="F74" s="8" t="s">
        <v>3531</v>
      </c>
      <c r="G74" s="8" t="s">
        <v>1571</v>
      </c>
      <c r="H74" s="8" t="s">
        <v>3888</v>
      </c>
      <c r="I74" s="8" t="s">
        <v>1572</v>
      </c>
      <c r="J74" s="8" t="str">
        <f t="shared" si="4"/>
        <v>(${Variables:E2_1_1_10_kcat} * E2_1_1_10 * C00019 * C00155)/(${Variables:E2_1_1_10_km} + (E2_1_1_10 * C00019 * C00155))</v>
      </c>
      <c r="K74" s="40" t="str">
        <f t="shared" si="5"/>
        <v>r73: C00019 + C00155 -&gt; C00021 + C00073 | (${Variables:E2_1_1_10_kcat} * E2_1_1_10 * C00019 * C00155)/(${Variables:E2_1_1_10_km} + (E2_1_1_10 * C00019 * C00155))</v>
      </c>
    </row>
    <row r="75" spans="1:11" ht="43.5" x14ac:dyDescent="0.35">
      <c r="A75" s="8" t="s">
        <v>822</v>
      </c>
      <c r="B75" s="8" t="s">
        <v>823</v>
      </c>
      <c r="C75" s="8" t="s">
        <v>2201</v>
      </c>
      <c r="D75" s="8">
        <v>74</v>
      </c>
      <c r="E75" s="8" t="str">
        <f t="shared" si="3"/>
        <v>E2_1_1_10</v>
      </c>
      <c r="F75" s="8" t="s">
        <v>3532</v>
      </c>
      <c r="G75" s="8" t="s">
        <v>1951</v>
      </c>
      <c r="H75" s="8" t="s">
        <v>2359</v>
      </c>
      <c r="I75" s="8" t="s">
        <v>2359</v>
      </c>
      <c r="J75" s="8" t="str">
        <f t="shared" si="4"/>
        <v>(${Variables:E2_1_1_10_kcat} * E2_1_1_10 * C03172 * C00155)/(${Variables:E2_1_1_10_km} + (E2_1_1_10 * C03172 * C00155))</v>
      </c>
      <c r="K75" s="40" t="str">
        <f t="shared" si="5"/>
        <v>r74: C03172 + C00155 -&gt; C00073 | (${Variables:E2_1_1_10_kcat} * E2_1_1_10 * C03172 * C00155)/(${Variables:E2_1_1_10_km} + (E2_1_1_10 * C03172 * C00155))</v>
      </c>
    </row>
    <row r="76" spans="1:11" ht="43.5" x14ac:dyDescent="0.35">
      <c r="A76" s="8" t="s">
        <v>835</v>
      </c>
      <c r="B76" s="8" t="s">
        <v>836</v>
      </c>
      <c r="C76" s="8" t="s">
        <v>2327</v>
      </c>
      <c r="D76" s="8">
        <v>75</v>
      </c>
      <c r="E76" s="8" t="str">
        <f t="shared" si="3"/>
        <v>E2_1_1_14</v>
      </c>
      <c r="F76" s="8" t="s">
        <v>3533</v>
      </c>
      <c r="G76" s="8" t="s">
        <v>1975</v>
      </c>
      <c r="H76" s="8" t="s">
        <v>3889</v>
      </c>
      <c r="I76" s="8" t="s">
        <v>1976</v>
      </c>
      <c r="J76" s="8" t="str">
        <f t="shared" si="4"/>
        <v>(${Variables:E2_1_1_14_kcat} * E2_1_1_14 * C04489 * C00155)/(${Variables:E2_1_1_14_km} + (E2_1_1_14 * C04489 * C00155))</v>
      </c>
      <c r="K76" s="40" t="str">
        <f t="shared" si="5"/>
        <v>r75: C04489 + C00155 -&gt; C04144 + C00073 | (${Variables:E2_1_1_14_kcat} * E2_1_1_14 * C04489 * C00155)/(${Variables:E2_1_1_14_km} + (E2_1_1_14 * C04489 * C00155))</v>
      </c>
    </row>
    <row r="77" spans="1:11" ht="43.5" x14ac:dyDescent="0.35">
      <c r="A77" s="8" t="s">
        <v>835</v>
      </c>
      <c r="B77" s="8" t="s">
        <v>836</v>
      </c>
      <c r="C77" s="8" t="s">
        <v>2327</v>
      </c>
      <c r="D77" s="8">
        <v>76</v>
      </c>
      <c r="E77" s="8" t="str">
        <f t="shared" si="3"/>
        <v>E2_1_1_14</v>
      </c>
      <c r="F77" s="8" t="s">
        <v>3534</v>
      </c>
      <c r="G77" s="8" t="s">
        <v>2007</v>
      </c>
      <c r="H77" s="8" t="s">
        <v>3890</v>
      </c>
      <c r="I77" s="8" t="s">
        <v>2008</v>
      </c>
      <c r="J77" s="8" t="str">
        <f t="shared" si="4"/>
        <v>(${Variables:E2_1_1_14_kcat} * E2_1_1_14 * C05698 * C04489)/(${Variables:E2_1_1_14_km} + (E2_1_1_14 * C05698 * C04489))</v>
      </c>
      <c r="K77" s="40" t="str">
        <f t="shared" si="5"/>
        <v>r76: C05698 + C04489 -&gt; C05335 + C04144 | (${Variables:E2_1_1_14_kcat} * E2_1_1_14 * C05698 * C04489)/(${Variables:E2_1_1_14_km} + (E2_1_1_14 * C05698 * C04489))</v>
      </c>
    </row>
    <row r="78" spans="1:11" ht="43.5" x14ac:dyDescent="0.35">
      <c r="A78" s="8" t="s">
        <v>1223</v>
      </c>
      <c r="B78" s="8" t="s">
        <v>1224</v>
      </c>
      <c r="C78" s="8" t="s">
        <v>2194</v>
      </c>
      <c r="D78" s="8">
        <v>77</v>
      </c>
      <c r="E78" s="8" t="str">
        <f t="shared" si="3"/>
        <v>E2_1_1_170</v>
      </c>
      <c r="F78" s="8" t="s">
        <v>1291</v>
      </c>
      <c r="G78" s="8" t="s">
        <v>1291</v>
      </c>
      <c r="H78" s="8" t="s">
        <v>1290</v>
      </c>
      <c r="I78" s="8" t="s">
        <v>1290</v>
      </c>
      <c r="J78" s="8" t="str">
        <f t="shared" si="4"/>
        <v>(${Variables:E2_1_1_170_kcat} * E2_1_1_170 * C00019)/(${Variables:E2_1_1_170_km} + (E2_1_1_170 * C00019))</v>
      </c>
      <c r="K78" s="40" t="str">
        <f t="shared" si="5"/>
        <v>r77: C00019 -&gt; C00021 | (${Variables:E2_1_1_170_kcat} * E2_1_1_170 * C00019)/(${Variables:E2_1_1_170_km} + (E2_1_1_170 * C00019))</v>
      </c>
    </row>
    <row r="79" spans="1:11" ht="43.5" x14ac:dyDescent="0.35">
      <c r="A79" s="8" t="s">
        <v>691</v>
      </c>
      <c r="B79" s="8" t="s">
        <v>692</v>
      </c>
      <c r="C79" s="8" t="s">
        <v>2202</v>
      </c>
      <c r="D79" s="8">
        <v>78</v>
      </c>
      <c r="E79" s="8" t="str">
        <f t="shared" si="3"/>
        <v>E2_1_1_171</v>
      </c>
      <c r="F79" s="8" t="s">
        <v>3535</v>
      </c>
      <c r="G79" s="8" t="s">
        <v>1573</v>
      </c>
      <c r="H79" s="8" t="s">
        <v>3891</v>
      </c>
      <c r="I79" s="8" t="s">
        <v>1574</v>
      </c>
      <c r="J79" s="8" t="str">
        <f t="shared" si="4"/>
        <v>(${Variables:E2_1_1_171_kcat} * E2_1_1_171 * C00019 * C00240)/(${Variables:E2_1_1_171_km} + (E2_1_1_171 * C00019 * C00240))</v>
      </c>
      <c r="K79" s="40" t="str">
        <f t="shared" si="5"/>
        <v>r78: C00019 + C00240 -&gt; C00021 + C04153 | (${Variables:E2_1_1_171_kcat} * E2_1_1_171 * C00019 * C00240)/(${Variables:E2_1_1_171_km} + (E2_1_1_171 * C00019 * C00240))</v>
      </c>
    </row>
    <row r="80" spans="1:11" ht="43.5" x14ac:dyDescent="0.35">
      <c r="A80" s="8" t="s">
        <v>978</v>
      </c>
      <c r="B80" s="8" t="s">
        <v>979</v>
      </c>
      <c r="C80" s="8" t="s">
        <v>2195</v>
      </c>
      <c r="D80" s="8">
        <v>79</v>
      </c>
      <c r="E80" s="8" t="str">
        <f t="shared" si="3"/>
        <v>E2_1_1_176</v>
      </c>
      <c r="F80" s="8" t="s">
        <v>1291</v>
      </c>
      <c r="G80" s="8" t="s">
        <v>1291</v>
      </c>
      <c r="H80" s="8" t="s">
        <v>1290</v>
      </c>
      <c r="I80" s="8" t="s">
        <v>1290</v>
      </c>
      <c r="J80" s="8" t="str">
        <f t="shared" si="4"/>
        <v>(${Variables:E2_1_1_176_kcat} * E2_1_1_176 * C00019)/(${Variables:E2_1_1_176_km} + (E2_1_1_176 * C00019))</v>
      </c>
      <c r="K80" s="40" t="str">
        <f t="shared" si="5"/>
        <v>r79: C00019 -&gt; C00021 | (${Variables:E2_1_1_176_kcat} * E2_1_1_176 * C00019)/(${Variables:E2_1_1_176_km} + (E2_1_1_176 * C00019))</v>
      </c>
    </row>
    <row r="81" spans="1:11" ht="43.5" x14ac:dyDescent="0.35">
      <c r="A81" s="8" t="s">
        <v>80</v>
      </c>
      <c r="B81" s="8" t="s">
        <v>81</v>
      </c>
      <c r="C81" s="8" t="s">
        <v>2196</v>
      </c>
      <c r="D81" s="8">
        <v>80</v>
      </c>
      <c r="E81" s="8" t="str">
        <f t="shared" si="3"/>
        <v>E2_1_1_177</v>
      </c>
      <c r="F81" s="8" t="s">
        <v>1291</v>
      </c>
      <c r="G81" s="8" t="s">
        <v>1291</v>
      </c>
      <c r="H81" s="8" t="s">
        <v>1290</v>
      </c>
      <c r="I81" s="8" t="s">
        <v>1290</v>
      </c>
      <c r="J81" s="8" t="str">
        <f t="shared" si="4"/>
        <v>(${Variables:E2_1_1_177_kcat} * E2_1_1_177 * C00019)/(${Variables:E2_1_1_177_km} + (E2_1_1_177 * C00019))</v>
      </c>
      <c r="K81" s="40" t="str">
        <f t="shared" si="5"/>
        <v>r80: C00019 -&gt; C00021 | (${Variables:E2_1_1_177_kcat} * E2_1_1_177 * C00019)/(${Variables:E2_1_1_177_km} + (E2_1_1_177 * C00019))</v>
      </c>
    </row>
    <row r="82" spans="1:11" ht="43.5" x14ac:dyDescent="0.35">
      <c r="A82" s="8" t="s">
        <v>149</v>
      </c>
      <c r="B82" s="8" t="s">
        <v>150</v>
      </c>
      <c r="C82" s="8" t="s">
        <v>2112</v>
      </c>
      <c r="D82" s="8">
        <v>81</v>
      </c>
      <c r="E82" s="8" t="str">
        <f t="shared" si="3"/>
        <v>E2_1_1_182</v>
      </c>
      <c r="F82" s="8" t="s">
        <v>3536</v>
      </c>
      <c r="G82" s="8" t="s">
        <v>2360</v>
      </c>
      <c r="H82" s="8" t="s">
        <v>3892</v>
      </c>
      <c r="I82" s="8" t="s">
        <v>2361</v>
      </c>
      <c r="J82" s="8" t="str">
        <f t="shared" si="4"/>
        <v>(${Variables:E2_1_1_182_kcat} * E2_1_1_182 * C00019 * C20648)/(${Variables:E2_1_1_182_km} + (E2_1_1_182 * C00019 * C20648))</v>
      </c>
      <c r="K82" s="40" t="str">
        <f t="shared" si="5"/>
        <v>r81: C00019 + C20648 -&gt; C00021 + C20796 | (${Variables:E2_1_1_182_kcat} * E2_1_1_182 * C00019 * C20648)/(${Variables:E2_1_1_182_km} + (E2_1_1_182 * C00019 * C20648))</v>
      </c>
    </row>
    <row r="83" spans="1:11" ht="43.5" x14ac:dyDescent="0.35">
      <c r="A83" s="8" t="s">
        <v>475</v>
      </c>
      <c r="B83" s="8" t="s">
        <v>476</v>
      </c>
      <c r="C83" s="8" t="s">
        <v>2197</v>
      </c>
      <c r="D83" s="8">
        <v>82</v>
      </c>
      <c r="E83" s="8" t="str">
        <f t="shared" si="3"/>
        <v>E2_1_1_190</v>
      </c>
      <c r="F83" s="8" t="s">
        <v>1291</v>
      </c>
      <c r="G83" s="8" t="s">
        <v>1291</v>
      </c>
      <c r="H83" s="8" t="s">
        <v>1290</v>
      </c>
      <c r="I83" s="8" t="s">
        <v>1290</v>
      </c>
      <c r="J83" s="8" t="str">
        <f t="shared" si="4"/>
        <v>(${Variables:E2_1_1_190_kcat} * E2_1_1_190 * C00019)/(${Variables:E2_1_1_190_km} + (E2_1_1_190 * C00019))</v>
      </c>
      <c r="K83" s="40" t="str">
        <f t="shared" si="5"/>
        <v>r82: C00019 -&gt; C00021 | (${Variables:E2_1_1_190_kcat} * E2_1_1_190 * C00019)/(${Variables:E2_1_1_190_km} + (E2_1_1_190 * C00019))</v>
      </c>
    </row>
    <row r="84" spans="1:11" ht="43.5" x14ac:dyDescent="0.35">
      <c r="A84" s="8" t="s">
        <v>353</v>
      </c>
      <c r="B84" s="8" t="s">
        <v>354</v>
      </c>
      <c r="C84" s="8" t="s">
        <v>2198</v>
      </c>
      <c r="D84" s="8">
        <v>83</v>
      </c>
      <c r="E84" s="8" t="str">
        <f t="shared" si="3"/>
        <v>E2_1_1_198</v>
      </c>
      <c r="F84" s="8" t="s">
        <v>1291</v>
      </c>
      <c r="G84" s="8" t="s">
        <v>1291</v>
      </c>
      <c r="H84" s="8" t="s">
        <v>1290</v>
      </c>
      <c r="I84" s="8" t="s">
        <v>1290</v>
      </c>
      <c r="J84" s="8" t="str">
        <f t="shared" si="4"/>
        <v>(${Variables:E2_1_1_198_kcat} * E2_1_1_198 * C00019)/(${Variables:E2_1_1_198_km} + (E2_1_1_198 * C00019))</v>
      </c>
      <c r="K84" s="40" t="str">
        <f t="shared" si="5"/>
        <v>r83: C00019 -&gt; C00021 | (${Variables:E2_1_1_198_kcat} * E2_1_1_198 * C00019)/(${Variables:E2_1_1_198_km} + (E2_1_1_198 * C00019))</v>
      </c>
    </row>
    <row r="85" spans="1:11" ht="43.5" x14ac:dyDescent="0.35">
      <c r="A85" s="8" t="s">
        <v>660</v>
      </c>
      <c r="B85" s="8" t="s">
        <v>661</v>
      </c>
      <c r="C85" s="8" t="s">
        <v>2199</v>
      </c>
      <c r="D85" s="8">
        <v>84</v>
      </c>
      <c r="E85" s="8" t="str">
        <f t="shared" si="3"/>
        <v>E2_1_1_199</v>
      </c>
      <c r="F85" s="8" t="s">
        <v>1291</v>
      </c>
      <c r="G85" s="8" t="s">
        <v>1291</v>
      </c>
      <c r="H85" s="8" t="s">
        <v>1290</v>
      </c>
      <c r="I85" s="8" t="s">
        <v>1290</v>
      </c>
      <c r="J85" s="8" t="str">
        <f t="shared" si="4"/>
        <v>(${Variables:E2_1_1_199_kcat} * E2_1_1_199 * C00019)/(${Variables:E2_1_1_199_km} + (E2_1_1_199 * C00019))</v>
      </c>
      <c r="K85" s="40" t="str">
        <f t="shared" si="5"/>
        <v>r84: C00019 -&gt; C00021 | (${Variables:E2_1_1_199_kcat} * E2_1_1_199 * C00019)/(${Variables:E2_1_1_199_km} + (E2_1_1_199 * C00019))</v>
      </c>
    </row>
    <row r="86" spans="1:11" ht="43.5" x14ac:dyDescent="0.35">
      <c r="A86" s="8" t="s">
        <v>530</v>
      </c>
      <c r="B86" s="8" t="s">
        <v>531</v>
      </c>
      <c r="C86" s="8" t="s">
        <v>2200</v>
      </c>
      <c r="D86" s="8">
        <v>85</v>
      </c>
      <c r="E86" s="8" t="str">
        <f t="shared" si="3"/>
        <v>E2_1_1_207</v>
      </c>
      <c r="F86" s="8" t="s">
        <v>1291</v>
      </c>
      <c r="G86" s="8" t="s">
        <v>1291</v>
      </c>
      <c r="H86" s="8" t="s">
        <v>1290</v>
      </c>
      <c r="I86" s="8" t="s">
        <v>1290</v>
      </c>
      <c r="J86" s="8" t="str">
        <f t="shared" si="4"/>
        <v>(${Variables:E2_1_1_207_kcat} * E2_1_1_207 * C00019)/(${Variables:E2_1_1_207_km} + (E2_1_1_207 * C00019))</v>
      </c>
      <c r="K86" s="40" t="str">
        <f t="shared" si="5"/>
        <v>r85: C00019 -&gt; C00021 | (${Variables:E2_1_1_207_kcat} * E2_1_1_207 * C00019)/(${Variables:E2_1_1_207_km} + (E2_1_1_207 * C00019))</v>
      </c>
    </row>
    <row r="87" spans="1:11" ht="43.5" x14ac:dyDescent="0.35">
      <c r="A87" s="8" t="s">
        <v>950</v>
      </c>
      <c r="B87" s="8" t="s">
        <v>951</v>
      </c>
      <c r="C87" s="8" t="s">
        <v>2203</v>
      </c>
      <c r="D87" s="8">
        <v>86</v>
      </c>
      <c r="E87" s="8" t="str">
        <f t="shared" si="3"/>
        <v>E2_1_1_228</v>
      </c>
      <c r="F87" s="8" t="s">
        <v>3537</v>
      </c>
      <c r="G87" s="8" t="s">
        <v>1575</v>
      </c>
      <c r="H87" s="8" t="s">
        <v>3893</v>
      </c>
      <c r="I87" s="8" t="s">
        <v>1576</v>
      </c>
      <c r="J87" s="8" t="str">
        <f t="shared" si="4"/>
        <v>(${Variables:E2_1_1_228_kcat} * E2_1_1_228 * C00019 * C01977)/(${Variables:E2_1_1_228_km} + (E2_1_1_228 * C00019 * C01977))</v>
      </c>
      <c r="K87" s="40" t="str">
        <f t="shared" si="5"/>
        <v>r86: C00019 + C01977 -&gt; C00021 + C04157 | (${Variables:E2_1_1_228_kcat} * E2_1_1_228 * C00019 * C01977)/(${Variables:E2_1_1_228_km} + (E2_1_1_228 * C00019 * C01977))</v>
      </c>
    </row>
    <row r="88" spans="1:11" ht="43.5" x14ac:dyDescent="0.35">
      <c r="A88" s="8" t="s">
        <v>619</v>
      </c>
      <c r="B88" s="8" t="s">
        <v>620</v>
      </c>
      <c r="C88" s="8" t="s">
        <v>2315</v>
      </c>
      <c r="D88" s="8">
        <v>87</v>
      </c>
      <c r="E88" s="8" t="str">
        <f t="shared" si="3"/>
        <v>E2_1_1_297</v>
      </c>
      <c r="F88" s="8" t="s">
        <v>3538</v>
      </c>
      <c r="G88" s="8" t="s">
        <v>1942</v>
      </c>
      <c r="H88" s="8" t="s">
        <v>3894</v>
      </c>
      <c r="I88" s="8" t="s">
        <v>1943</v>
      </c>
      <c r="J88" s="8" t="str">
        <f t="shared" si="4"/>
        <v>(${Variables:E2_1_1_297_kcat} * E2_1_1_297 * C02583 * C00019)/(${Variables:E2_1_1_297_km} + (E2_1_1_297 * C02583 * C00019))</v>
      </c>
      <c r="K88" s="40" t="str">
        <f t="shared" si="5"/>
        <v>r87: C02583 + C00019 -&gt; C20858 + C00021 | (${Variables:E2_1_1_297_kcat} * E2_1_1_297 * C02583 * C00019)/(${Variables:E2_1_1_297_km} + (E2_1_1_297 * C02583 * C00019))</v>
      </c>
    </row>
    <row r="89" spans="1:11" ht="43.5" x14ac:dyDescent="0.35">
      <c r="A89" s="8" t="s">
        <v>1166</v>
      </c>
      <c r="B89" s="8" t="s">
        <v>1167</v>
      </c>
      <c r="C89" s="8" t="s">
        <v>2204</v>
      </c>
      <c r="D89" s="8">
        <v>88</v>
      </c>
      <c r="E89" s="8" t="str">
        <f t="shared" si="3"/>
        <v>E2_1_1_33</v>
      </c>
      <c r="F89" s="8" t="s">
        <v>3537</v>
      </c>
      <c r="G89" s="8" t="s">
        <v>1575</v>
      </c>
      <c r="H89" s="8" t="s">
        <v>3895</v>
      </c>
      <c r="I89" s="8" t="s">
        <v>1577</v>
      </c>
      <c r="J89" s="8" t="str">
        <f t="shared" si="4"/>
        <v>(${Variables:E2_1_1_33_kcat} * E2_1_1_33 * C00019 * C01977)/(${Variables:E2_1_1_33_km} + (E2_1_1_33 * C00019 * C01977))</v>
      </c>
      <c r="K89" s="40" t="str">
        <f t="shared" si="5"/>
        <v>r88: C00019 + C01977 -&gt; C00021 + C04160 | (${Variables:E2_1_1_33_kcat} * E2_1_1_33 * C00019 * C01977)/(${Variables:E2_1_1_33_km} + (E2_1_1_33 * C00019 * C01977))</v>
      </c>
    </row>
    <row r="90" spans="1:11" ht="43.5" x14ac:dyDescent="0.35">
      <c r="A90" s="8" t="s">
        <v>748</v>
      </c>
      <c r="B90" s="8" t="s">
        <v>749</v>
      </c>
      <c r="C90" s="8" t="s">
        <v>2285</v>
      </c>
      <c r="D90" s="8">
        <v>89</v>
      </c>
      <c r="E90" s="8" t="str">
        <f t="shared" si="3"/>
        <v>E2_1_1_45</v>
      </c>
      <c r="F90" s="8" t="s">
        <v>3539</v>
      </c>
      <c r="G90" s="8" t="s">
        <v>1813</v>
      </c>
      <c r="H90" s="8" t="s">
        <v>3896</v>
      </c>
      <c r="I90" s="8" t="s">
        <v>1814</v>
      </c>
      <c r="J90" s="8" t="str">
        <f t="shared" si="4"/>
        <v>(${Variables:E2_1_1_45_kcat} * E2_1_1_45 * C00365 * C00143)/(${Variables:E2_1_1_45_km} + (E2_1_1_45 * C00365 * C00143))</v>
      </c>
      <c r="K90" s="40" t="str">
        <f t="shared" si="5"/>
        <v>r89: C00365 + C00143 -&gt; C00415 + C00364 | (${Variables:E2_1_1_45_kcat} * E2_1_1_45 * C00365 * C00143)/(${Variables:E2_1_1_45_km} + (E2_1_1_45 * C00365 * C00143))</v>
      </c>
    </row>
    <row r="91" spans="1:11" ht="43.5" x14ac:dyDescent="0.35">
      <c r="A91" s="8" t="s">
        <v>179</v>
      </c>
      <c r="B91" s="8" t="s">
        <v>180</v>
      </c>
      <c r="C91" s="8" t="s">
        <v>2324</v>
      </c>
      <c r="D91" s="8">
        <v>90</v>
      </c>
      <c r="E91" s="8" t="str">
        <f t="shared" si="3"/>
        <v>E2_1_1_63</v>
      </c>
      <c r="F91" s="8" t="s">
        <v>3540</v>
      </c>
      <c r="G91" s="8" t="s">
        <v>1970</v>
      </c>
      <c r="H91" s="8" t="s">
        <v>3897</v>
      </c>
      <c r="I91" s="8" t="s">
        <v>1971</v>
      </c>
      <c r="J91" s="8" t="str">
        <f t="shared" si="4"/>
        <v>(${Variables:E2_1_1_63_kcat} * E2_1_1_63 * C04250 * C02743)/(${Variables:E2_1_1_63_km} + (E2_1_1_63 * C04250 * C02743))</v>
      </c>
      <c r="K91" s="40" t="str">
        <f t="shared" si="5"/>
        <v>r90: C04250 + C02743 -&gt; C03800 + C11475 | (${Variables:E2_1_1_63_kcat} * E2_1_1_63 * C04250 * C02743)/(${Variables:E2_1_1_63_km} + (E2_1_1_63 * C04250 * C02743))</v>
      </c>
    </row>
    <row r="92" spans="1:11" ht="43.5" x14ac:dyDescent="0.35">
      <c r="A92" s="8" t="s">
        <v>181</v>
      </c>
      <c r="B92" s="8" t="s">
        <v>182</v>
      </c>
      <c r="C92" s="8" t="s">
        <v>2229</v>
      </c>
      <c r="D92" s="8">
        <v>91</v>
      </c>
      <c r="E92" s="8" t="str">
        <f t="shared" si="3"/>
        <v>E2_1_2_1</v>
      </c>
      <c r="F92" s="8" t="s">
        <v>3541</v>
      </c>
      <c r="G92" s="8" t="s">
        <v>1636</v>
      </c>
      <c r="H92" s="8" t="s">
        <v>3898</v>
      </c>
      <c r="I92" s="8" t="s">
        <v>1637</v>
      </c>
      <c r="J92" s="8" t="str">
        <f t="shared" si="4"/>
        <v>(${Variables:E2_1_2_1_kcat} * E2_1_2_1 * C00065 * C01217)/(${Variables:E2_1_2_1_km} + (E2_1_2_1 * C00065 * C01217))</v>
      </c>
      <c r="K92" s="40" t="str">
        <f t="shared" si="5"/>
        <v>r91: C00065 + C01217 -&gt; C04377 + C00037 + C00001 | (${Variables:E2_1_2_1_kcat} * E2_1_2_1 * C00065 * C01217)/(${Variables:E2_1_2_1_km} + (E2_1_2_1 * C00065 * C01217))</v>
      </c>
    </row>
    <row r="93" spans="1:11" ht="58" x14ac:dyDescent="0.35">
      <c r="A93" s="8" t="s">
        <v>181</v>
      </c>
      <c r="B93" s="8" t="s">
        <v>182</v>
      </c>
      <c r="C93" s="8" t="s">
        <v>2229</v>
      </c>
      <c r="D93" s="8">
        <v>92</v>
      </c>
      <c r="E93" s="8" t="str">
        <f t="shared" si="3"/>
        <v>E2_1_2_1</v>
      </c>
      <c r="F93" s="8" t="s">
        <v>3542</v>
      </c>
      <c r="G93" s="8" t="s">
        <v>1723</v>
      </c>
      <c r="H93" s="8" t="s">
        <v>3899</v>
      </c>
      <c r="I93" s="8" t="s">
        <v>1724</v>
      </c>
      <c r="J93" s="8" t="str">
        <f t="shared" si="4"/>
        <v>(${Variables:E2_1_2_1_kcat} * E2_1_2_1 * C00143 * C00037 * C00001)/(${Variables:E2_1_2_1_km} + (E2_1_2_1 * C00143 * C00037 * C00001))</v>
      </c>
      <c r="K93" s="40" t="str">
        <f t="shared" si="5"/>
        <v>r92: C00143 + C00037 + C00001 -&gt; C00101 + C00065 | (${Variables:E2_1_2_1_kcat} * E2_1_2_1 * C00143 * C00037 * C00001)/(${Variables:E2_1_2_1_km} + (E2_1_2_1 * C00143 * C00037 * C00001))</v>
      </c>
    </row>
    <row r="94" spans="1:11" ht="43.5" x14ac:dyDescent="0.35">
      <c r="A94" s="8" t="s">
        <v>1132</v>
      </c>
      <c r="B94" s="8" t="s">
        <v>1133</v>
      </c>
      <c r="C94" s="8" t="s">
        <v>2271</v>
      </c>
      <c r="D94" s="8">
        <v>93</v>
      </c>
      <c r="E94" s="8" t="str">
        <f t="shared" si="3"/>
        <v>E2_1_2_2</v>
      </c>
      <c r="F94" s="8" t="s">
        <v>3543</v>
      </c>
      <c r="G94" s="8" t="s">
        <v>1760</v>
      </c>
      <c r="H94" s="8" t="s">
        <v>3900</v>
      </c>
      <c r="I94" s="8" t="s">
        <v>1761</v>
      </c>
      <c r="J94" s="8" t="str">
        <f t="shared" si="4"/>
        <v>(${Variables:E2_1_2_2_kcat} * E2_1_2_2 * C00234 * C03838)/(${Variables:E2_1_2_2_km} + (E2_1_2_2 * C00234 * C03838))</v>
      </c>
      <c r="K94" s="40" t="str">
        <f t="shared" si="5"/>
        <v>r93: C00234 + C03838 -&gt; C00101 + C04376 | (${Variables:E2_1_2_2_kcat} * E2_1_2_2 * C00234 * C03838)/(${Variables:E2_1_2_2_km} + (E2_1_2_2 * C00234 * C03838))</v>
      </c>
    </row>
    <row r="95" spans="1:11" ht="58" x14ac:dyDescent="0.35">
      <c r="A95" s="8" t="s">
        <v>1132</v>
      </c>
      <c r="B95" s="8" t="s">
        <v>1133</v>
      </c>
      <c r="C95" s="8" t="s">
        <v>2271</v>
      </c>
      <c r="D95" s="8">
        <v>94</v>
      </c>
      <c r="E95" s="8" t="str">
        <f t="shared" si="3"/>
        <v>E2_1_2_2</v>
      </c>
      <c r="F95" s="8" t="s">
        <v>3544</v>
      </c>
      <c r="G95" s="8" t="s">
        <v>1956</v>
      </c>
      <c r="H95" s="8" t="s">
        <v>3901</v>
      </c>
      <c r="I95" s="8" t="s">
        <v>1957</v>
      </c>
      <c r="J95" s="8" t="str">
        <f t="shared" si="4"/>
        <v>(${Variables:E2_1_2_2_kcat} * E2_1_2_2 * C03838 * C00445 * C00001)/(${Variables:E2_1_2_2_km} + (E2_1_2_2 * C03838 * C00445 * C00001))</v>
      </c>
      <c r="K95" s="40" t="str">
        <f t="shared" si="5"/>
        <v>r94: C03838 + C00445 + C00001 -&gt; C04376 + C00101 | (${Variables:E2_1_2_2_kcat} * E2_1_2_2 * C03838 * C00445 * C00001)/(${Variables:E2_1_2_2_km} + (E2_1_2_2 * C03838 * C00445 * C00001))</v>
      </c>
    </row>
    <row r="96" spans="1:11" ht="43.5" x14ac:dyDescent="0.35">
      <c r="A96" s="8" t="s">
        <v>1130</v>
      </c>
      <c r="B96" s="8" t="s">
        <v>1131</v>
      </c>
      <c r="C96" s="8" t="s">
        <v>2272</v>
      </c>
      <c r="D96" s="8">
        <v>95</v>
      </c>
      <c r="E96" s="8" t="str">
        <f t="shared" si="3"/>
        <v>E2_1_2_3</v>
      </c>
      <c r="F96" s="8" t="s">
        <v>3545</v>
      </c>
      <c r="G96" s="8" t="s">
        <v>1762</v>
      </c>
      <c r="H96" s="8" t="s">
        <v>3902</v>
      </c>
      <c r="I96" s="8" t="s">
        <v>1763</v>
      </c>
      <c r="J96" s="8" t="str">
        <f t="shared" si="4"/>
        <v>(${Variables:E2_1_2_3_kcat} * E2_1_2_3 * C00234 * C04677)/(${Variables:E2_1_2_3_km} + (E2_1_2_3 * C00234 * C04677))</v>
      </c>
      <c r="K96" s="40" t="str">
        <f t="shared" si="5"/>
        <v>r95: C00234 + C04677 -&gt; C00101 + C04734 | (${Variables:E2_1_2_3_kcat} * E2_1_2_3 * C00234 * C04677)/(${Variables:E2_1_2_3_km} + (E2_1_2_3 * C00234 * C04677))</v>
      </c>
    </row>
    <row r="97" spans="1:11" ht="43.5" x14ac:dyDescent="0.35">
      <c r="A97" s="8" t="s">
        <v>982</v>
      </c>
      <c r="B97" s="8" t="s">
        <v>983</v>
      </c>
      <c r="C97" s="8" t="s">
        <v>2313</v>
      </c>
      <c r="D97" s="8">
        <v>96</v>
      </c>
      <c r="E97" s="8" t="str">
        <f t="shared" si="3"/>
        <v>E2_1_2_9</v>
      </c>
      <c r="F97" s="8" t="s">
        <v>3546</v>
      </c>
      <c r="G97" s="8" t="s">
        <v>1938</v>
      </c>
      <c r="H97" s="8" t="s">
        <v>3903</v>
      </c>
      <c r="I97" s="8" t="s">
        <v>1939</v>
      </c>
      <c r="J97" s="8" t="str">
        <f t="shared" si="4"/>
        <v>(${Variables:E2_1_2_9_kcat} * E2_1_2_9 * C02430 * C00234)/(${Variables:E2_1_2_9_km} + (E2_1_2_9 * C02430 * C00234))</v>
      </c>
      <c r="K97" s="40" t="str">
        <f t="shared" si="5"/>
        <v>r96: C02430 + C00234 -&gt; C00101 + C03294 | (${Variables:E2_1_2_9_kcat} * E2_1_2_9 * C02430 * C00234)/(${Variables:E2_1_2_9_km} + (E2_1_2_9 * C02430 * C00234))</v>
      </c>
    </row>
    <row r="98" spans="1:11" ht="43.5" x14ac:dyDescent="0.35">
      <c r="A98" s="8" t="s">
        <v>1029</v>
      </c>
      <c r="B98" s="8" t="s">
        <v>1030</v>
      </c>
      <c r="C98" s="8" t="s">
        <v>2264</v>
      </c>
      <c r="D98" s="8">
        <v>97</v>
      </c>
      <c r="E98" s="8" t="str">
        <f t="shared" si="3"/>
        <v>E2_1_3_2</v>
      </c>
      <c r="F98" s="8" t="s">
        <v>3547</v>
      </c>
      <c r="G98" s="8" t="s">
        <v>1736</v>
      </c>
      <c r="H98" s="8" t="s">
        <v>3904</v>
      </c>
      <c r="I98" s="8" t="s">
        <v>1737</v>
      </c>
      <c r="J98" s="8" t="str">
        <f t="shared" si="4"/>
        <v>(${Variables:E2_1_3_2_kcat} * E2_1_3_2 * C00169 * C00049)/(${Variables:E2_1_3_2_km} + (E2_1_3_2 * C00169 * C00049))</v>
      </c>
      <c r="K98" s="40" t="str">
        <f t="shared" si="5"/>
        <v>r97: C00169 + C00049 -&gt; C00009 + C00438 | (${Variables:E2_1_3_2_kcat} * E2_1_3_2 * C00169 * C00049)/(${Variables:E2_1_3_2_km} + (E2_1_3_2 * C00169 * C00049))</v>
      </c>
    </row>
    <row r="99" spans="1:11" ht="43.5" x14ac:dyDescent="0.35">
      <c r="A99" s="8" t="s">
        <v>312</v>
      </c>
      <c r="B99" s="8" t="s">
        <v>313</v>
      </c>
      <c r="C99" s="8" t="s">
        <v>2209</v>
      </c>
      <c r="D99" s="8">
        <v>98</v>
      </c>
      <c r="E99" s="8" t="str">
        <f t="shared" si="3"/>
        <v>E2_2_1_7</v>
      </c>
      <c r="F99" s="8" t="s">
        <v>3548</v>
      </c>
      <c r="G99" s="8" t="s">
        <v>1586</v>
      </c>
      <c r="H99" s="8" t="s">
        <v>3905</v>
      </c>
      <c r="I99" s="8" t="s">
        <v>1587</v>
      </c>
      <c r="J99" s="8" t="str">
        <f t="shared" si="4"/>
        <v>(${Variables:E2_2_1_7_kcat} * E2_2_1_7 * C00022 * C00118)/(${Variables:E2_2_1_7_km} + (E2_2_1_7 * C00022 * C00118))</v>
      </c>
      <c r="K99" s="40" t="str">
        <f t="shared" si="5"/>
        <v>r98: C00022 + C00118 -&gt; C11437 + C00011 | (${Variables:E2_2_1_7_kcat} * E2_2_1_7 * C00022 * C00118)/(${Variables:E2_2_1_7_km} + (E2_2_1_7 * C00022 * C00118))</v>
      </c>
    </row>
    <row r="100" spans="1:11" ht="43.5" x14ac:dyDescent="0.35">
      <c r="A100" s="8" t="s">
        <v>844</v>
      </c>
      <c r="B100" s="8" t="s">
        <v>845</v>
      </c>
      <c r="C100" s="8" t="s">
        <v>2243</v>
      </c>
      <c r="D100" s="8">
        <v>99</v>
      </c>
      <c r="E100" s="8" t="str">
        <f t="shared" si="3"/>
        <v>E2_3_1_15</v>
      </c>
      <c r="F100" s="8" t="s">
        <v>3549</v>
      </c>
      <c r="G100" s="8" t="s">
        <v>1684</v>
      </c>
      <c r="H100" s="8" t="s">
        <v>3906</v>
      </c>
      <c r="I100" s="8" t="s">
        <v>1685</v>
      </c>
      <c r="J100" s="8" t="str">
        <f t="shared" si="4"/>
        <v>(${Variables:E2_3_1_15_kcat} * E2_3_1_15 * C00093 * C00040)/(${Variables:E2_3_1_15_km} + (E2_3_1_15 * C00093 * C00040))</v>
      </c>
      <c r="K100" s="40" t="str">
        <f t="shared" si="5"/>
        <v>r99: C00093 + C00040 -&gt; C00681 + C00010 | (${Variables:E2_3_1_15_kcat} * E2_3_1_15 * C00093 * C00040)/(${Variables:E2_3_1_15_km} + (E2_3_1_15 * C00093 * C00040))</v>
      </c>
    </row>
    <row r="101" spans="1:11" ht="43.5" x14ac:dyDescent="0.35">
      <c r="A101" s="8" t="s">
        <v>844</v>
      </c>
      <c r="B101" s="8" t="s">
        <v>845</v>
      </c>
      <c r="C101" s="8" t="s">
        <v>2243</v>
      </c>
      <c r="D101" s="8">
        <v>100</v>
      </c>
      <c r="E101" s="8" t="str">
        <f t="shared" si="3"/>
        <v>E2_3_1_15</v>
      </c>
      <c r="F101" s="8" t="s">
        <v>3550</v>
      </c>
      <c r="G101" s="8" t="s">
        <v>1742</v>
      </c>
      <c r="H101" s="8" t="s">
        <v>3907</v>
      </c>
      <c r="I101" s="8" t="s">
        <v>1743</v>
      </c>
      <c r="J101" s="8" t="str">
        <f t="shared" si="4"/>
        <v>(${Variables:E2_3_1_15_kcat} * E2_3_1_15 * C00173 * C00093)/(${Variables:E2_3_1_15_km} + (E2_3_1_15 * C00173 * C00093))</v>
      </c>
      <c r="K101" s="40" t="str">
        <f t="shared" si="5"/>
        <v>r100: C00173 + C00093 -&gt; C00681 + C00229 | (${Variables:E2_3_1_15_kcat} * E2_3_1_15 * C00173 * C00093)/(${Variables:E2_3_1_15_km} + (E2_3_1_15 * C00173 * C00093))</v>
      </c>
    </row>
    <row r="102" spans="1:11" ht="43.5" x14ac:dyDescent="0.35">
      <c r="A102" s="8" t="s">
        <v>844</v>
      </c>
      <c r="B102" s="8" t="s">
        <v>845</v>
      </c>
      <c r="C102" s="8" t="s">
        <v>2243</v>
      </c>
      <c r="D102" s="8">
        <v>101</v>
      </c>
      <c r="E102" s="8" t="str">
        <f t="shared" si="3"/>
        <v>E2_3_1_15</v>
      </c>
      <c r="F102" s="8" t="s">
        <v>3551</v>
      </c>
      <c r="G102" s="8" t="s">
        <v>1852</v>
      </c>
      <c r="H102" s="8" t="s">
        <v>3908</v>
      </c>
      <c r="I102" s="8" t="s">
        <v>1853</v>
      </c>
      <c r="J102" s="8" t="str">
        <f t="shared" si="4"/>
        <v>(${Variables:E2_3_1_15_kcat} * E2_3_1_15 * C00605 * C00093)/(${Variables:E2_3_1_15_km} + (E2_3_1_15 * C00605 * C00093))</v>
      </c>
      <c r="K102" s="40" t="str">
        <f t="shared" si="5"/>
        <v>r101: C00605 + C00093 -&gt; C00010 + C00681 | (${Variables:E2_3_1_15_kcat} * E2_3_1_15 * C00605 * C00093)/(${Variables:E2_3_1_15_km} + (E2_3_1_15 * C00605 * C00093))</v>
      </c>
    </row>
    <row r="103" spans="1:11" ht="43.5" x14ac:dyDescent="0.35">
      <c r="A103" s="8" t="s">
        <v>153</v>
      </c>
      <c r="B103" s="8" t="s">
        <v>154</v>
      </c>
      <c r="C103" s="8" t="s">
        <v>2213</v>
      </c>
      <c r="D103" s="8">
        <v>102</v>
      </c>
      <c r="E103" s="8" t="str">
        <f t="shared" si="3"/>
        <v>E2_3_1_157</v>
      </c>
      <c r="F103" s="8" t="s">
        <v>3552</v>
      </c>
      <c r="G103" s="8" t="s">
        <v>1594</v>
      </c>
      <c r="H103" s="8" t="s">
        <v>3909</v>
      </c>
      <c r="I103" s="8" t="s">
        <v>1595</v>
      </c>
      <c r="J103" s="8" t="str">
        <f t="shared" si="4"/>
        <v>(${Variables:E2_3_1_157_kcat} * E2_3_1_157 * C00024 * C06156)/(${Variables:E2_3_1_157_km} + (E2_3_1_157 * C00024 * C06156))</v>
      </c>
      <c r="K103" s="40" t="str">
        <f t="shared" si="5"/>
        <v>r102: C00024 + C06156 -&gt; C00010 + C04501 | (${Variables:E2_3_1_157_kcat} * E2_3_1_157 * C00024 * C06156)/(${Variables:E2_3_1_157_km} + (E2_3_1_157 * C00024 * C06156))</v>
      </c>
    </row>
    <row r="104" spans="1:11" ht="43.5" x14ac:dyDescent="0.35">
      <c r="A104" s="8" t="s">
        <v>363</v>
      </c>
      <c r="B104" s="8" t="s">
        <v>364</v>
      </c>
      <c r="C104" s="8" t="s">
        <v>2339</v>
      </c>
      <c r="D104" s="8">
        <v>103</v>
      </c>
      <c r="E104" s="8" t="str">
        <f t="shared" si="3"/>
        <v>E2_3_1_234</v>
      </c>
      <c r="F104" s="8" t="s">
        <v>3553</v>
      </c>
      <c r="G104" s="8" t="s">
        <v>2076</v>
      </c>
      <c r="H104" s="8" t="s">
        <v>3910</v>
      </c>
      <c r="I104" s="8" t="s">
        <v>2077</v>
      </c>
      <c r="J104" s="8" t="str">
        <f t="shared" si="4"/>
        <v>(${Variables:E2_3_1_234_kcat} * E2_3_1_234 * C20641 * C17324)/(${Variables:E2_3_1_234_km} + (E2_3_1_234 * C20641 * C17324))</v>
      </c>
      <c r="K104" s="40" t="str">
        <f t="shared" si="5"/>
        <v>r103: C20641 + C17324 -&gt; C00020 + C20751 | (${Variables:E2_3_1_234_kcat} * E2_3_1_234 * C20641 * C17324)/(${Variables:E2_3_1_234_km} + (E2_3_1_234 * C20641 * C17324))</v>
      </c>
    </row>
    <row r="105" spans="1:11" ht="43.5" x14ac:dyDescent="0.35">
      <c r="A105" s="8" t="s">
        <v>359</v>
      </c>
      <c r="B105" s="8" t="s">
        <v>360</v>
      </c>
      <c r="C105" s="8" t="s">
        <v>2212</v>
      </c>
      <c r="D105" s="8">
        <v>104</v>
      </c>
      <c r="E105" s="8" t="str">
        <f t="shared" si="3"/>
        <v>E2_3_1_266</v>
      </c>
      <c r="F105" s="8" t="s">
        <v>3554</v>
      </c>
      <c r="G105" s="8" t="s">
        <v>1592</v>
      </c>
      <c r="H105" s="8" t="s">
        <v>3911</v>
      </c>
      <c r="I105" s="8" t="s">
        <v>1593</v>
      </c>
      <c r="J105" s="8" t="str">
        <f t="shared" si="4"/>
        <v>(${Variables:E2_3_1_266_kcat} * E2_3_1_266 * C00024 * C03803)/(${Variables:E2_3_1_266_km} + (E2_3_1_266 * C00024 * C03803))</v>
      </c>
      <c r="K105" s="40" t="str">
        <f t="shared" si="5"/>
        <v>r104: C00024 + C03803 -&gt; C00010 + C04341 | (${Variables:E2_3_1_266_kcat} * E2_3_1_266 * C00024 * C03803)/(${Variables:E2_3_1_266_km} + (E2_3_1_266 * C00024 * C03803))</v>
      </c>
    </row>
    <row r="106" spans="1:11" ht="43.5" x14ac:dyDescent="0.35">
      <c r="A106" s="8" t="s">
        <v>964</v>
      </c>
      <c r="B106" s="8" t="s">
        <v>965</v>
      </c>
      <c r="C106" s="8" t="s">
        <v>2265</v>
      </c>
      <c r="D106" s="8">
        <v>105</v>
      </c>
      <c r="E106" s="8" t="str">
        <f t="shared" si="3"/>
        <v>E2_3_1_274</v>
      </c>
      <c r="F106" s="8" t="s">
        <v>3555</v>
      </c>
      <c r="G106" s="8" t="s">
        <v>1740</v>
      </c>
      <c r="H106" s="8" t="s">
        <v>3912</v>
      </c>
      <c r="I106" s="8" t="s">
        <v>1741</v>
      </c>
      <c r="J106" s="8" t="str">
        <f t="shared" si="4"/>
        <v>(${Variables:E2_3_1_274_kcat} * E2_3_1_274 * C00173 * C00009)/(${Variables:E2_3_1_274_km} + (E2_3_1_274 * C00173 * C00009))</v>
      </c>
      <c r="K106" s="40" t="str">
        <f t="shared" si="5"/>
        <v>r105: C00173 + C00009 -&gt; C02133 + C00229 | (${Variables:E2_3_1_274_kcat} * E2_3_1_274 * C00173 * C00009)/(${Variables:E2_3_1_274_km} + (E2_3_1_274 * C00173 * C00009))</v>
      </c>
    </row>
    <row r="107" spans="1:11" ht="43.5" x14ac:dyDescent="0.35">
      <c r="A107" s="8" t="s">
        <v>124</v>
      </c>
      <c r="B107" s="8" t="s">
        <v>125</v>
      </c>
      <c r="C107" s="8" t="s">
        <v>2311</v>
      </c>
      <c r="D107" s="8">
        <v>106</v>
      </c>
      <c r="E107" s="8" t="str">
        <f t="shared" si="3"/>
        <v>E2_3_1_275</v>
      </c>
      <c r="F107" s="8" t="s">
        <v>3556</v>
      </c>
      <c r="G107" s="8" t="s">
        <v>1928</v>
      </c>
      <c r="H107" s="8" t="s">
        <v>3913</v>
      </c>
      <c r="I107" s="8" t="s">
        <v>1929</v>
      </c>
      <c r="J107" s="8" t="str">
        <f t="shared" si="4"/>
        <v>(${Variables:E2_3_1_275_kcat} * E2_3_1_275 * C02133 * C00093)/(${Variables:E2_3_1_275_km} + (E2_3_1_275 * C02133 * C00093))</v>
      </c>
      <c r="K107" s="40" t="str">
        <f t="shared" si="5"/>
        <v>r106: C02133 + C00093 -&gt; C00681 + C00009 | (${Variables:E2_3_1_275_kcat} * E2_3_1_275 * C02133 * C00093)/(${Variables:E2_3_1_275_km} + (E2_3_1_275 * C02133 * C00093))</v>
      </c>
    </row>
    <row r="108" spans="1:11" ht="58" x14ac:dyDescent="0.35">
      <c r="A108" s="8" t="s">
        <v>93</v>
      </c>
      <c r="B108" s="8" t="s">
        <v>94</v>
      </c>
      <c r="C108" s="8" t="s">
        <v>2189</v>
      </c>
      <c r="D108" s="8">
        <v>107</v>
      </c>
      <c r="E108" s="8" t="str">
        <f t="shared" si="3"/>
        <v>E2_3_1_286</v>
      </c>
      <c r="F108" s="8" t="s">
        <v>3557</v>
      </c>
      <c r="G108" s="8" t="s">
        <v>1555</v>
      </c>
      <c r="H108" s="8" t="s">
        <v>3914</v>
      </c>
      <c r="I108" s="8" t="s">
        <v>1556</v>
      </c>
      <c r="J108" s="8" t="str">
        <f t="shared" si="4"/>
        <v>(${Variables:E2_3_1_286_kcat} * E2_3_1_286 * C00003 * C01997 * C00001)/(${Variables:E2_3_1_286_km} + (E2_3_1_286 * C00003 * C01997 * C00001))</v>
      </c>
      <c r="K108" s="40" t="str">
        <f t="shared" si="5"/>
        <v>r107: C00003 + C01997 + C00001 -&gt; C00153 + C02415 + C20658 + C00080 | (${Variables:E2_3_1_286_kcat} * E2_3_1_286 * C00003 * C01997 * C00001)/(${Variables:E2_3_1_286_km} + (E2_3_1_286 * C00003 * C01997 * C00001))</v>
      </c>
    </row>
    <row r="109" spans="1:11" ht="58" x14ac:dyDescent="0.35">
      <c r="A109" s="8" t="s">
        <v>93</v>
      </c>
      <c r="B109" s="8" t="s">
        <v>94</v>
      </c>
      <c r="C109" s="8" t="s">
        <v>2189</v>
      </c>
      <c r="D109" s="8">
        <v>108</v>
      </c>
      <c r="E109" s="8" t="str">
        <f t="shared" si="3"/>
        <v>E2_3_1_286</v>
      </c>
      <c r="F109" s="8" t="s">
        <v>3558</v>
      </c>
      <c r="G109" s="8" t="s">
        <v>1557</v>
      </c>
      <c r="H109" s="8" t="s">
        <v>3915</v>
      </c>
      <c r="I109" s="8" t="s">
        <v>1558</v>
      </c>
      <c r="J109" s="8" t="str">
        <f t="shared" si="4"/>
        <v>(${Variables:E2_3_1_286_kcat} * E2_3_1_286 * C00003 * C20743 * C00001)/(${Variables:E2_3_1_286_km} + (E2_3_1_286 * C00003 * C20743 * C00001))</v>
      </c>
      <c r="K109" s="40" t="str">
        <f t="shared" si="5"/>
        <v>r108: C00003 + C20743 + C00001 -&gt; C00153 + C02188 + C20658 + C00080 | (${Variables:E2_3_1_286_kcat} * E2_3_1_286 * C00003 * C20743 * C00001)/(${Variables:E2_3_1_286_km} + (E2_3_1_286 * C00003 * C20743 * C00001))</v>
      </c>
    </row>
    <row r="110" spans="1:11" ht="43.5" x14ac:dyDescent="0.35">
      <c r="A110" s="8" t="s">
        <v>583</v>
      </c>
      <c r="B110" s="8" t="s">
        <v>584</v>
      </c>
      <c r="C110" s="8" t="s">
        <v>2210</v>
      </c>
      <c r="D110" s="8">
        <v>109</v>
      </c>
      <c r="E110" s="8" t="str">
        <f t="shared" si="3"/>
        <v>E2_3_1_8</v>
      </c>
      <c r="F110" s="8" t="s">
        <v>3559</v>
      </c>
      <c r="G110" s="8" t="s">
        <v>1588</v>
      </c>
      <c r="H110" s="8" t="s">
        <v>3916</v>
      </c>
      <c r="I110" s="8" t="s">
        <v>1589</v>
      </c>
      <c r="J110" s="8" t="str">
        <f t="shared" si="4"/>
        <v>(${Variables:E2_3_1_8_kcat} * E2_3_1_8 * C00024 * C00009)/(${Variables:E2_3_1_8_km} + (E2_3_1_8 * C00024 * C00009))</v>
      </c>
      <c r="K110" s="40" t="str">
        <f t="shared" si="5"/>
        <v>r109: C00024 + C00009 -&gt; C00010 + C00227 | (${Variables:E2_3_1_8_kcat} * E2_3_1_8 * C00024 * C00009)/(${Variables:E2_3_1_8_km} + (E2_3_1_8 * C00024 * C00009))</v>
      </c>
    </row>
    <row r="111" spans="1:11" ht="43.5" x14ac:dyDescent="0.35">
      <c r="A111" s="8" t="s">
        <v>583</v>
      </c>
      <c r="B111" s="8" t="s">
        <v>584</v>
      </c>
      <c r="C111" s="8" t="s">
        <v>2210</v>
      </c>
      <c r="D111" s="8">
        <v>110</v>
      </c>
      <c r="E111" s="8" t="str">
        <f t="shared" si="3"/>
        <v>E2_3_1_8</v>
      </c>
      <c r="F111" s="8" t="s">
        <v>3560</v>
      </c>
      <c r="G111" s="8" t="s">
        <v>1693</v>
      </c>
      <c r="H111" s="8" t="s">
        <v>3917</v>
      </c>
      <c r="I111" s="8" t="s">
        <v>1694</v>
      </c>
      <c r="J111" s="8" t="str">
        <f t="shared" si="4"/>
        <v>(${Variables:E2_3_1_8_kcat} * E2_3_1_8 * C00100 * C00009)/(${Variables:E2_3_1_8_km} + (E2_3_1_8 * C00100 * C00009))</v>
      </c>
      <c r="K111" s="40" t="str">
        <f t="shared" si="5"/>
        <v>r110: C00100 + C00009 -&gt; C02876 + C00010 | (${Variables:E2_3_1_8_kcat} * E2_3_1_8 * C00100 * C00009)/(${Variables:E2_3_1_8_km} + (E2_3_1_8 * C00100 * C00009))</v>
      </c>
    </row>
    <row r="112" spans="1:11" ht="43.5" x14ac:dyDescent="0.35">
      <c r="A112" s="8" t="s">
        <v>518</v>
      </c>
      <c r="B112" s="8" t="s">
        <v>519</v>
      </c>
      <c r="C112" s="8" t="s">
        <v>2283</v>
      </c>
      <c r="D112" s="8">
        <v>111</v>
      </c>
      <c r="E112" s="8" t="str">
        <f t="shared" si="3"/>
        <v>E2_3_3_10</v>
      </c>
      <c r="F112" s="8" t="s">
        <v>3561</v>
      </c>
      <c r="G112" s="8" t="s">
        <v>1799</v>
      </c>
      <c r="H112" s="8" t="s">
        <v>3918</v>
      </c>
      <c r="I112" s="8" t="s">
        <v>1800</v>
      </c>
      <c r="J112" s="8" t="str">
        <f t="shared" si="4"/>
        <v>(${Variables:E2_3_3_10_kcat} * E2_3_3_10 * C00356 * C00010)/(${Variables:E2_3_3_10_km} + (E2_3_3_10 * C00356 * C00010))</v>
      </c>
      <c r="K112" s="40" t="str">
        <f t="shared" si="5"/>
        <v>r111: C00356 + C00010 -&gt; C00024 + C00001 + C00332 | (${Variables:E2_3_3_10_kcat} * E2_3_3_10 * C00356 * C00010)/(${Variables:E2_3_3_10_km} + (E2_3_3_10 * C00356 * C00010))</v>
      </c>
    </row>
    <row r="113" spans="1:11" ht="43.5" x14ac:dyDescent="0.35">
      <c r="A113" s="8" t="s">
        <v>561</v>
      </c>
      <c r="B113" s="8" t="s">
        <v>562</v>
      </c>
      <c r="C113" s="8" t="s">
        <v>2286</v>
      </c>
      <c r="D113" s="8">
        <v>112</v>
      </c>
      <c r="E113" s="8" t="str">
        <f t="shared" si="3"/>
        <v>E2_4_1_1</v>
      </c>
      <c r="F113" s="8" t="s">
        <v>3562</v>
      </c>
      <c r="G113" s="8" t="s">
        <v>1815</v>
      </c>
      <c r="H113" s="8" t="s">
        <v>3919</v>
      </c>
      <c r="I113" s="8" t="s">
        <v>1816</v>
      </c>
      <c r="J113" s="8" t="str">
        <f t="shared" si="4"/>
        <v>(${Variables:E2_4_1_1_kcat} * E2_4_1_1 * C00369 * C00009)/(${Variables:E2_4_1_1_km} + (E2_4_1_1 * C00369 * C00009))</v>
      </c>
      <c r="K113" s="40" t="str">
        <f t="shared" si="5"/>
        <v>r112: C00369 + C00009 -&gt; C00718 + C00103 | (${Variables:E2_4_1_1_kcat} * E2_4_1_1 * C00369 * C00009)/(${Variables:E2_4_1_1_km} + (E2_4_1_1 * C00369 * C00009))</v>
      </c>
    </row>
    <row r="114" spans="1:11" ht="43.5" x14ac:dyDescent="0.35">
      <c r="A114" s="8" t="s">
        <v>561</v>
      </c>
      <c r="B114" s="8" t="s">
        <v>562</v>
      </c>
      <c r="C114" s="8" t="s">
        <v>2286</v>
      </c>
      <c r="D114" s="8">
        <v>113</v>
      </c>
      <c r="E114" s="8" t="str">
        <f t="shared" si="3"/>
        <v>E2_4_1_1</v>
      </c>
      <c r="F114" s="8" t="s">
        <v>3563</v>
      </c>
      <c r="G114" s="8" t="s">
        <v>1876</v>
      </c>
      <c r="H114" s="8" t="s">
        <v>3919</v>
      </c>
      <c r="I114" s="8" t="s">
        <v>1816</v>
      </c>
      <c r="J114" s="8" t="str">
        <f t="shared" si="4"/>
        <v>(${Variables:E2_4_1_1_kcat} * E2_4_1_1 * C00718 * C00009)/(${Variables:E2_4_1_1_km} + (E2_4_1_1 * C00718 * C00009))</v>
      </c>
      <c r="K114" s="40" t="str">
        <f t="shared" si="5"/>
        <v>r113: C00718 + C00009 -&gt; C00718 + C00103 | (${Variables:E2_4_1_1_kcat} * E2_4_1_1 * C00718 * C00009)/(${Variables:E2_4_1_1_km} + (E2_4_1_1 * C00718 * C00009))</v>
      </c>
    </row>
    <row r="115" spans="1:11" ht="43.5" x14ac:dyDescent="0.35">
      <c r="A115" s="8" t="s">
        <v>558</v>
      </c>
      <c r="B115" s="8" t="s">
        <v>559</v>
      </c>
      <c r="C115" s="8" t="s">
        <v>2289</v>
      </c>
      <c r="D115" s="8">
        <v>114</v>
      </c>
      <c r="E115" s="8" t="str">
        <f t="shared" si="3"/>
        <v>E2_4_1_21</v>
      </c>
      <c r="F115" s="8" t="s">
        <v>3564</v>
      </c>
      <c r="G115" s="8" t="s">
        <v>1843</v>
      </c>
      <c r="H115" s="8" t="s">
        <v>3920</v>
      </c>
      <c r="I115" s="8" t="s">
        <v>1844</v>
      </c>
      <c r="J115" s="8" t="str">
        <f t="shared" si="4"/>
        <v>(${Variables:E2_4_1_21_kcat} * E2_4_1_21 * C00498 * C00718)/(${Variables:E2_4_1_21_km} + (E2_4_1_21 * C00498 * C00718))</v>
      </c>
      <c r="K115" s="40" t="str">
        <f t="shared" si="5"/>
        <v>r114: C00498 + C00718 -&gt; C00008 + C00718 | (${Variables:E2_4_1_21_kcat} * E2_4_1_21 * C00498 * C00718)/(${Variables:E2_4_1_21_km} + (E2_4_1_21 * C00498 * C00718))</v>
      </c>
    </row>
    <row r="116" spans="1:11" ht="43.5" x14ac:dyDescent="0.35">
      <c r="A116" s="8" t="s">
        <v>670</v>
      </c>
      <c r="B116" s="8" t="s">
        <v>671</v>
      </c>
      <c r="C116" s="8" t="s">
        <v>2331</v>
      </c>
      <c r="D116" s="8">
        <v>115</v>
      </c>
      <c r="E116" s="8" t="str">
        <f t="shared" si="3"/>
        <v>E2_4_1_227</v>
      </c>
      <c r="F116" s="8" t="s">
        <v>3565</v>
      </c>
      <c r="G116" s="8" t="s">
        <v>1987</v>
      </c>
      <c r="H116" s="8" t="s">
        <v>3921</v>
      </c>
      <c r="I116" s="8" t="s">
        <v>1988</v>
      </c>
      <c r="J116" s="8" t="str">
        <f t="shared" si="4"/>
        <v>(${Variables:E2_4_1_227_kcat} * E2_4_1_227 * C04851 * C00043)/(${Variables:E2_4_1_227_km} + (E2_4_1_227 * C04851 * C00043))</v>
      </c>
      <c r="K116" s="40" t="str">
        <f t="shared" si="5"/>
        <v>r115: C04851 + C00043 -&gt; C05893 + C00015 | (${Variables:E2_4_1_227_kcat} * E2_4_1_227 * C04851 * C00043)/(${Variables:E2_4_1_227_km} + (E2_4_1_227 * C04851 * C00043))</v>
      </c>
    </row>
    <row r="117" spans="1:11" ht="43.5" x14ac:dyDescent="0.35">
      <c r="A117" s="8" t="s">
        <v>670</v>
      </c>
      <c r="B117" s="8" t="s">
        <v>671</v>
      </c>
      <c r="C117" s="8" t="s">
        <v>2331</v>
      </c>
      <c r="D117" s="8">
        <v>116</v>
      </c>
      <c r="E117" s="8" t="str">
        <f t="shared" si="3"/>
        <v>E2_4_1_227</v>
      </c>
      <c r="F117" s="8" t="s">
        <v>3566</v>
      </c>
      <c r="G117" s="8" t="s">
        <v>2013</v>
      </c>
      <c r="H117" s="8" t="s">
        <v>3922</v>
      </c>
      <c r="I117" s="8" t="s">
        <v>2014</v>
      </c>
      <c r="J117" s="8" t="str">
        <f t="shared" si="4"/>
        <v>(${Variables:E2_4_1_227_kcat} * E2_4_1_227 * C05897 * C00043)/(${Variables:E2_4_1_227_km} + (E2_4_1_227 * C05897 * C00043))</v>
      </c>
      <c r="K117" s="40" t="str">
        <f t="shared" si="5"/>
        <v>r116: C05897 + C00043 -&gt; C05898 + C00015 | (${Variables:E2_4_1_227_kcat} * E2_4_1_227 * C05897 * C00043)/(${Variables:E2_4_1_227_km} + (E2_4_1_227 * C05897 * C00043))</v>
      </c>
    </row>
    <row r="118" spans="1:11" ht="43.5" x14ac:dyDescent="0.35">
      <c r="A118" s="8" t="s">
        <v>456</v>
      </c>
      <c r="B118" s="8" t="s">
        <v>457</v>
      </c>
      <c r="C118" s="8" t="s">
        <v>2238</v>
      </c>
      <c r="D118" s="8">
        <v>117</v>
      </c>
      <c r="E118" s="8" t="str">
        <f t="shared" si="3"/>
        <v>E2_4_1_7</v>
      </c>
      <c r="F118" s="8" t="s">
        <v>3567</v>
      </c>
      <c r="G118" s="8" t="s">
        <v>1674</v>
      </c>
      <c r="H118" s="8" t="s">
        <v>3923</v>
      </c>
      <c r="I118" s="8" t="s">
        <v>1675</v>
      </c>
      <c r="J118" s="8" t="str">
        <f t="shared" si="4"/>
        <v>(${Variables:E2_4_1_7_kcat} * E2_4_1_7 * C00089 * C00009)/(${Variables:E2_4_1_7_km} + (E2_4_1_7 * C00089 * C00009))</v>
      </c>
      <c r="K118" s="40" t="str">
        <f t="shared" si="5"/>
        <v>r117: C00089 + C00009 -&gt; C00095 + C00103 | (${Variables:E2_4_1_7_kcat} * E2_4_1_7 * C00089 * C00009)/(${Variables:E2_4_1_7_km} + (E2_4_1_7 * C00089 * C00009))</v>
      </c>
    </row>
    <row r="119" spans="1:11" ht="43.5" x14ac:dyDescent="0.35">
      <c r="A119" s="8" t="s">
        <v>1040</v>
      </c>
      <c r="B119" s="8" t="s">
        <v>1041</v>
      </c>
      <c r="C119" s="8" t="s">
        <v>2304</v>
      </c>
      <c r="D119" s="8">
        <v>118</v>
      </c>
      <c r="E119" s="8" t="str">
        <f t="shared" si="3"/>
        <v>E2_4_2_10</v>
      </c>
      <c r="F119" s="8" t="s">
        <v>3568</v>
      </c>
      <c r="G119" s="8" t="s">
        <v>1904</v>
      </c>
      <c r="H119" s="8" t="s">
        <v>3924</v>
      </c>
      <c r="I119" s="8" t="s">
        <v>1905</v>
      </c>
      <c r="J119" s="8" t="str">
        <f t="shared" si="4"/>
        <v>(${Variables:E2_4_2_10_kcat} * E2_4_2_10 * C01103 * C00013)/(${Variables:E2_4_2_10_km} + (E2_4_2_10 * C01103 * C00013))</v>
      </c>
      <c r="K119" s="40" t="str">
        <f t="shared" si="5"/>
        <v>r118: C01103 + C00013 -&gt; C00295 + C00119 | (${Variables:E2_4_2_10_kcat} * E2_4_2_10 * C01103 * C00013)/(${Variables:E2_4_2_10_km} + (E2_4_2_10 * C01103 * C00013))</v>
      </c>
    </row>
    <row r="120" spans="1:11" ht="43.5" x14ac:dyDescent="0.35">
      <c r="A120" s="8" t="s">
        <v>1040</v>
      </c>
      <c r="B120" s="8" t="s">
        <v>1041</v>
      </c>
      <c r="C120" s="8" t="s">
        <v>2304</v>
      </c>
      <c r="D120" s="8">
        <v>119</v>
      </c>
      <c r="E120" s="8" t="str">
        <f t="shared" si="3"/>
        <v>E2_4_2_10</v>
      </c>
      <c r="F120" s="8" t="s">
        <v>3569</v>
      </c>
      <c r="G120" s="8" t="s">
        <v>2041</v>
      </c>
      <c r="H120" s="8" t="s">
        <v>3925</v>
      </c>
      <c r="I120" s="8" t="s">
        <v>2042</v>
      </c>
      <c r="J120" s="8" t="str">
        <f t="shared" si="4"/>
        <v>(${Variables:E2_4_2_10_kcat} * E2_4_2_10 * C07649 * C00119)/(${Variables:E2_4_2_10_km} + (E2_4_2_10 * C07649 * C00119))</v>
      </c>
      <c r="K120" s="40" t="str">
        <f t="shared" si="5"/>
        <v>r119: C07649 + C00119 -&gt; C16634 + C00013 | (${Variables:E2_4_2_10_kcat} * E2_4_2_10 * C07649 * C00119)/(${Variables:E2_4_2_10_km} + (E2_4_2_10 * C07649 * C00119))</v>
      </c>
    </row>
    <row r="121" spans="1:11" ht="58" x14ac:dyDescent="0.35">
      <c r="A121" s="8" t="s">
        <v>1140</v>
      </c>
      <c r="B121" s="8" t="s">
        <v>1141</v>
      </c>
      <c r="C121" s="8" t="s">
        <v>2317</v>
      </c>
      <c r="D121" s="8">
        <v>120</v>
      </c>
      <c r="E121" s="8" t="str">
        <f t="shared" si="3"/>
        <v>E2_4_2_14</v>
      </c>
      <c r="F121" s="8" t="s">
        <v>3570</v>
      </c>
      <c r="G121" s="8" t="s">
        <v>1949</v>
      </c>
      <c r="H121" s="8" t="s">
        <v>3926</v>
      </c>
      <c r="I121" s="8" t="s">
        <v>1950</v>
      </c>
      <c r="J121" s="8" t="str">
        <f t="shared" si="4"/>
        <v>(${Variables:E2_4_2_14_kcat} * E2_4_2_14 * C03090 * C00013 * C00025)/(${Variables:E2_4_2_14_km} + (E2_4_2_14 * C03090 * C00013 * C00025))</v>
      </c>
      <c r="K121" s="40" t="str">
        <f t="shared" si="5"/>
        <v>r120: C03090 + C00013 + C00025 -&gt; C00064 + C00119 + C00001 | (${Variables:E2_4_2_14_kcat} * E2_4_2_14 * C03090 * C00013 * C00025)/(${Variables:E2_4_2_14_km} + (E2_4_2_14 * C03090 * C00013 * C00025))</v>
      </c>
    </row>
    <row r="122" spans="1:11" ht="43.5" x14ac:dyDescent="0.35">
      <c r="A122" s="8" t="s">
        <v>170</v>
      </c>
      <c r="B122" s="8" t="s">
        <v>171</v>
      </c>
      <c r="C122" s="8" t="s">
        <v>2258</v>
      </c>
      <c r="D122" s="8">
        <v>121</v>
      </c>
      <c r="E122" s="8" t="str">
        <f t="shared" si="3"/>
        <v>E2_4_2_22</v>
      </c>
      <c r="F122" s="8" t="s">
        <v>3571</v>
      </c>
      <c r="G122" s="8" t="s">
        <v>1727</v>
      </c>
      <c r="H122" s="8" t="s">
        <v>3927</v>
      </c>
      <c r="I122" s="8" t="s">
        <v>1728</v>
      </c>
      <c r="J122" s="8" t="str">
        <f t="shared" si="4"/>
        <v>(${Variables:E2_4_2_22_kcat} * E2_4_2_22 * C00144 * C00013)/(${Variables:E2_4_2_22_km} + (E2_4_2_22 * C00144 * C00013))</v>
      </c>
      <c r="K122" s="40" t="str">
        <f t="shared" si="5"/>
        <v>r121: C00144 + C00013 -&gt; C00242 + C00119 | (${Variables:E2_4_2_22_kcat} * E2_4_2_22 * C00144 * C00013)/(${Variables:E2_4_2_22_km} + (E2_4_2_22 * C00144 * C00013))</v>
      </c>
    </row>
    <row r="123" spans="1:11" ht="43.5" x14ac:dyDescent="0.35">
      <c r="A123" s="8" t="s">
        <v>170</v>
      </c>
      <c r="B123" s="8" t="s">
        <v>171</v>
      </c>
      <c r="C123" s="8" t="s">
        <v>2258</v>
      </c>
      <c r="D123" s="8">
        <v>122</v>
      </c>
      <c r="E123" s="8" t="str">
        <f t="shared" si="3"/>
        <v>E2_4_2_22</v>
      </c>
      <c r="F123" s="8" t="s">
        <v>3572</v>
      </c>
      <c r="G123" s="8" t="s">
        <v>1865</v>
      </c>
      <c r="H123" s="8" t="s">
        <v>3928</v>
      </c>
      <c r="I123" s="8" t="s">
        <v>1866</v>
      </c>
      <c r="J123" s="8" t="str">
        <f t="shared" si="4"/>
        <v>(${Variables:E2_4_2_22_kcat} * E2_4_2_22 * C00655 * C00013)/(${Variables:E2_4_2_22_km} + (E2_4_2_22 * C00655 * C00013))</v>
      </c>
      <c r="K123" s="40" t="str">
        <f t="shared" si="5"/>
        <v>r122: C00655 + C00013 -&gt; C00385 + C00119 | (${Variables:E2_4_2_22_kcat} * E2_4_2_22 * C00655 * C00013)/(${Variables:E2_4_2_22_km} + (E2_4_2_22 * C00655 * C00013))</v>
      </c>
    </row>
    <row r="124" spans="1:11" ht="43.5" x14ac:dyDescent="0.35">
      <c r="A124" s="8" t="s">
        <v>903</v>
      </c>
      <c r="B124" s="8" t="s">
        <v>904</v>
      </c>
      <c r="C124" s="8" t="s">
        <v>2169</v>
      </c>
      <c r="D124" s="8">
        <v>123</v>
      </c>
      <c r="E124" s="8" t="str">
        <f t="shared" si="3"/>
        <v>E2_4_2_52</v>
      </c>
      <c r="F124" s="8" t="s">
        <v>3573</v>
      </c>
      <c r="G124" s="8" t="s">
        <v>1504</v>
      </c>
      <c r="H124" s="8" t="s">
        <v>3929</v>
      </c>
      <c r="I124" s="8" t="s">
        <v>1505</v>
      </c>
      <c r="J124" s="8" t="str">
        <f t="shared" si="4"/>
        <v>(${Variables:E2_4_2_52_kcat} * E2_4_2_52 * C00002 * C00882)/(${Variables:E2_4_2_52_km} + (E2_4_2_52 * C00002 * C00882))</v>
      </c>
      <c r="K124" s="40" t="str">
        <f t="shared" si="5"/>
        <v>r123: C00002 + C00882 -&gt; C19771 + C00147 | (${Variables:E2_4_2_52_kcat} * E2_4_2_52 * C00002 * C00882)/(${Variables:E2_4_2_52_km} + (E2_4_2_52 * C00002 * C00882))</v>
      </c>
    </row>
    <row r="125" spans="1:11" ht="43.5" x14ac:dyDescent="0.35">
      <c r="A125" s="8" t="s">
        <v>906</v>
      </c>
      <c r="B125" s="8" t="s">
        <v>907</v>
      </c>
      <c r="C125" s="8" t="s">
        <v>2206</v>
      </c>
      <c r="D125" s="8">
        <v>124</v>
      </c>
      <c r="E125" s="8" t="str">
        <f t="shared" si="3"/>
        <v>E2_4_2_7</v>
      </c>
      <c r="F125" s="8" t="s">
        <v>3574</v>
      </c>
      <c r="G125" s="8" t="s">
        <v>1580</v>
      </c>
      <c r="H125" s="8" t="s">
        <v>3930</v>
      </c>
      <c r="I125" s="8" t="s">
        <v>1581</v>
      </c>
      <c r="J125" s="8" t="str">
        <f t="shared" si="4"/>
        <v>(${Variables:E2_4_2_7_kcat} * E2_4_2_7 * C00020 * C00013)/(${Variables:E2_4_2_7_km} + (E2_4_2_7 * C00020 * C00013))</v>
      </c>
      <c r="K125" s="40" t="str">
        <f t="shared" si="5"/>
        <v>r124: C00020 + C00013 -&gt; C00147 + C00119 | (${Variables:E2_4_2_7_kcat} * E2_4_2_7 * C00020 * C00013)/(${Variables:E2_4_2_7_km} + (E2_4_2_7 * C00020 * C00013))</v>
      </c>
    </row>
    <row r="126" spans="1:11" ht="43.5" x14ac:dyDescent="0.35">
      <c r="A126" s="8" t="s">
        <v>906</v>
      </c>
      <c r="B126" s="8" t="s">
        <v>907</v>
      </c>
      <c r="C126" s="8" t="s">
        <v>2206</v>
      </c>
      <c r="D126" s="8">
        <v>125</v>
      </c>
      <c r="E126" s="8" t="str">
        <f t="shared" si="3"/>
        <v>E2_4_2_7</v>
      </c>
      <c r="F126" s="8" t="s">
        <v>3575</v>
      </c>
      <c r="G126" s="8" t="s">
        <v>1979</v>
      </c>
      <c r="H126" s="8" t="s">
        <v>3931</v>
      </c>
      <c r="I126" s="8" t="s">
        <v>1980</v>
      </c>
      <c r="J126" s="8" t="str">
        <f t="shared" si="4"/>
        <v>(${Variables:E2_4_2_7_kcat} * E2_4_2_7 * C04677 * C00013)/(${Variables:E2_4_2_7_km} + (E2_4_2_7 * C04677 * C00013))</v>
      </c>
      <c r="K126" s="40" t="str">
        <f t="shared" si="5"/>
        <v>r125: C04677 + C00013 -&gt; C04051 + C00119 | (${Variables:E2_4_2_7_kcat} * E2_4_2_7 * C04677 * C00013)/(${Variables:E2_4_2_7_km} + (E2_4_2_7 * C04677 * C00013))</v>
      </c>
    </row>
    <row r="127" spans="1:11" ht="43.5" x14ac:dyDescent="0.35">
      <c r="A127" s="8" t="s">
        <v>508</v>
      </c>
      <c r="B127" s="8" t="s">
        <v>509</v>
      </c>
      <c r="C127" s="8" t="s">
        <v>2254</v>
      </c>
      <c r="D127" s="8">
        <v>126</v>
      </c>
      <c r="E127" s="8" t="str">
        <f t="shared" si="3"/>
        <v>E2_4_2_8</v>
      </c>
      <c r="F127" s="8" t="s">
        <v>3576</v>
      </c>
      <c r="G127" s="8" t="s">
        <v>1713</v>
      </c>
      <c r="H127" s="8" t="s">
        <v>3932</v>
      </c>
      <c r="I127" s="8" t="s">
        <v>1714</v>
      </c>
      <c r="J127" s="8" t="str">
        <f t="shared" si="4"/>
        <v>(${Variables:E2_4_2_8_kcat} * E2_4_2_8 * C00130 * C00013)/(${Variables:E2_4_2_8_km} + (E2_4_2_8 * C00130 * C00013))</v>
      </c>
      <c r="K127" s="40" t="str">
        <f t="shared" si="5"/>
        <v>r126: C00130 + C00013 -&gt; C00262 + C00119 | (${Variables:E2_4_2_8_kcat} * E2_4_2_8 * C00130 * C00013)/(${Variables:E2_4_2_8_km} + (E2_4_2_8 * C00130 * C00013))</v>
      </c>
    </row>
    <row r="128" spans="1:11" ht="43.5" x14ac:dyDescent="0.35">
      <c r="A128" s="8" t="s">
        <v>508</v>
      </c>
      <c r="B128" s="8" t="s">
        <v>509</v>
      </c>
      <c r="C128" s="8" t="s">
        <v>2254</v>
      </c>
      <c r="D128" s="8">
        <v>127</v>
      </c>
      <c r="E128" s="8" t="str">
        <f t="shared" si="3"/>
        <v>E2_4_2_8</v>
      </c>
      <c r="F128" s="8" t="s">
        <v>3571</v>
      </c>
      <c r="G128" s="8" t="s">
        <v>1727</v>
      </c>
      <c r="H128" s="8" t="s">
        <v>3927</v>
      </c>
      <c r="I128" s="8" t="s">
        <v>1728</v>
      </c>
      <c r="J128" s="8" t="str">
        <f t="shared" si="4"/>
        <v>(${Variables:E2_4_2_8_kcat} * E2_4_2_8 * C00144 * C00013)/(${Variables:E2_4_2_8_km} + (E2_4_2_8 * C00144 * C00013))</v>
      </c>
      <c r="K128" s="40" t="str">
        <f t="shared" si="5"/>
        <v>r127: C00144 + C00013 -&gt; C00242 + C00119 | (${Variables:E2_4_2_8_kcat} * E2_4_2_8 * C00144 * C00013)/(${Variables:E2_4_2_8_km} + (E2_4_2_8 * C00144 * C00013))</v>
      </c>
    </row>
    <row r="129" spans="1:11" ht="43.5" x14ac:dyDescent="0.35">
      <c r="A129" s="8" t="s">
        <v>508</v>
      </c>
      <c r="B129" s="8" t="s">
        <v>509</v>
      </c>
      <c r="C129" s="8" t="s">
        <v>2254</v>
      </c>
      <c r="D129" s="8">
        <v>128</v>
      </c>
      <c r="E129" s="8" t="str">
        <f t="shared" si="3"/>
        <v>E2_4_2_8</v>
      </c>
      <c r="F129" s="8" t="s">
        <v>3572</v>
      </c>
      <c r="G129" s="8" t="s">
        <v>1865</v>
      </c>
      <c r="H129" s="8" t="s">
        <v>3928</v>
      </c>
      <c r="I129" s="8" t="s">
        <v>1866</v>
      </c>
      <c r="J129" s="8" t="str">
        <f t="shared" si="4"/>
        <v>(${Variables:E2_4_2_8_kcat} * E2_4_2_8 * C00655 * C00013)/(${Variables:E2_4_2_8_km} + (E2_4_2_8 * C00655 * C00013))</v>
      </c>
      <c r="K129" s="40" t="str">
        <f t="shared" si="5"/>
        <v>r128: C00655 + C00013 -&gt; C00385 + C00119 | (${Variables:E2_4_2_8_kcat} * E2_4_2_8 * C00655 * C00013)/(${Variables:E2_4_2_8_km} + (E2_4_2_8 * C00655 * C00013))</v>
      </c>
    </row>
    <row r="130" spans="1:11" ht="43.5" x14ac:dyDescent="0.35">
      <c r="A130" s="8" t="s">
        <v>508</v>
      </c>
      <c r="B130" s="8" t="s">
        <v>509</v>
      </c>
      <c r="C130" s="8" t="s">
        <v>2254</v>
      </c>
      <c r="D130" s="8">
        <v>129</v>
      </c>
      <c r="E130" s="8" t="str">
        <f t="shared" ref="E130:E193" si="6">CONCATENATE("E",C130)</f>
        <v>E2_4_2_8</v>
      </c>
      <c r="F130" s="8" t="s">
        <v>3577</v>
      </c>
      <c r="G130" s="8" t="s">
        <v>1936</v>
      </c>
      <c r="H130" s="8" t="s">
        <v>3933</v>
      </c>
      <c r="I130" s="8" t="s">
        <v>1937</v>
      </c>
      <c r="J130" s="8" t="str">
        <f t="shared" ref="J130:J193" si="7">CONCATENATE("(${Variables:",E130,"_kcat","} * ",E130," * ",G130,")","/(${Variables:",E130,"_km","} + (",E130," * ",G130,"))")</f>
        <v>(${Variables:E2_4_2_8_kcat} * E2_4_2_8 * C02380 * C00119)/(${Variables:E2_4_2_8_km} + (E2_4_2_8 * C02380 * C00119))</v>
      </c>
      <c r="K130" s="40" t="str">
        <f t="shared" ref="K130:K193" si="8">CONCATENATE("r",D130,": ",F130," -&gt; ",H130," | ",J130)</f>
        <v>r129: C02380 + C00119 -&gt; C04646 + C00013 | (${Variables:E2_4_2_8_kcat} * E2_4_2_8 * C02380 * C00119)/(${Variables:E2_4_2_8_km} + (E2_4_2_8 * C02380 * C00119))</v>
      </c>
    </row>
    <row r="131" spans="1:11" ht="43.5" x14ac:dyDescent="0.35">
      <c r="A131" s="8" t="s">
        <v>508</v>
      </c>
      <c r="B131" s="8" t="s">
        <v>509</v>
      </c>
      <c r="C131" s="8" t="s">
        <v>2254</v>
      </c>
      <c r="D131" s="8">
        <v>130</v>
      </c>
      <c r="E131" s="8" t="str">
        <f t="shared" si="6"/>
        <v>E2_4_2_8</v>
      </c>
      <c r="F131" s="8" t="s">
        <v>3578</v>
      </c>
      <c r="G131" s="8" t="s">
        <v>2039</v>
      </c>
      <c r="H131" s="8" t="s">
        <v>3934</v>
      </c>
      <c r="I131" s="8" t="s">
        <v>2040</v>
      </c>
      <c r="J131" s="8" t="str">
        <f t="shared" si="7"/>
        <v>(${Variables:E2_4_2_8_kcat} * E2_4_2_8 * C07648 * C00119)/(${Variables:E2_4_2_8_km} + (E2_4_2_8 * C07648 * C00119))</v>
      </c>
      <c r="K131" s="40" t="str">
        <f t="shared" si="8"/>
        <v>r130: C07648 + C00119 -&gt; C16619 + C00013 | (${Variables:E2_4_2_8_kcat} * E2_4_2_8 * C07648 * C00119)/(${Variables:E2_4_2_8_km} + (E2_4_2_8 * C07648 * C00119))</v>
      </c>
    </row>
    <row r="132" spans="1:11" ht="43.5" x14ac:dyDescent="0.35">
      <c r="A132" s="8" t="s">
        <v>508</v>
      </c>
      <c r="B132" s="8" t="s">
        <v>509</v>
      </c>
      <c r="C132" s="8" t="s">
        <v>2254</v>
      </c>
      <c r="D132" s="8">
        <v>131</v>
      </c>
      <c r="E132" s="8" t="str">
        <f t="shared" si="6"/>
        <v>E2_4_2_8</v>
      </c>
      <c r="F132" s="8" t="s">
        <v>3579</v>
      </c>
      <c r="G132" s="8" t="s">
        <v>2059</v>
      </c>
      <c r="H132" s="8" t="s">
        <v>3935</v>
      </c>
      <c r="I132" s="8" t="s">
        <v>2060</v>
      </c>
      <c r="J132" s="8" t="str">
        <f t="shared" si="7"/>
        <v>(${Variables:E2_4_2_8_kcat} * E2_4_2_8 * C16614 * C00119)/(${Variables:E2_4_2_8_km} + (E2_4_2_8 * C16614 * C00119))</v>
      </c>
      <c r="K132" s="40" t="str">
        <f t="shared" si="8"/>
        <v>r131: C16614 + C00119 -&gt; C16615 + C00013 | (${Variables:E2_4_2_8_kcat} * E2_4_2_8 * C16614 * C00119)/(${Variables:E2_4_2_8_km} + (E2_4_2_8 * C16614 * C00119))</v>
      </c>
    </row>
    <row r="133" spans="1:11" ht="43.5" x14ac:dyDescent="0.35">
      <c r="A133" s="8" t="s">
        <v>484</v>
      </c>
      <c r="B133" s="8" t="s">
        <v>485</v>
      </c>
      <c r="C133" s="8" t="s">
        <v>2247</v>
      </c>
      <c r="D133" s="8">
        <v>132</v>
      </c>
      <c r="E133" s="8" t="str">
        <f t="shared" si="6"/>
        <v>E2_4_2_9</v>
      </c>
      <c r="F133" s="8" t="s">
        <v>3580</v>
      </c>
      <c r="G133" s="8" t="s">
        <v>1703</v>
      </c>
      <c r="H133" s="8" t="s">
        <v>3936</v>
      </c>
      <c r="I133" s="8" t="s">
        <v>1704</v>
      </c>
      <c r="J133" s="8" t="str">
        <f t="shared" si="7"/>
        <v>(${Variables:E2_4_2_9_kcat} * E2_4_2_9 * C00105 * C00013)/(${Variables:E2_4_2_9_km} + (E2_4_2_9 * C00105 * C00013))</v>
      </c>
      <c r="K133" s="40" t="str">
        <f t="shared" si="8"/>
        <v>r132: C00105 + C00013 -&gt; C00106 + C00119 | (${Variables:E2_4_2_9_kcat} * E2_4_2_9 * C00105 * C00013)/(${Variables:E2_4_2_9_km} + (E2_4_2_9 * C00105 * C00013))</v>
      </c>
    </row>
    <row r="134" spans="1:11" ht="43.5" x14ac:dyDescent="0.35">
      <c r="A134" s="8" t="s">
        <v>642</v>
      </c>
      <c r="B134" s="8" t="s">
        <v>643</v>
      </c>
      <c r="C134" s="8" t="s">
        <v>2332</v>
      </c>
      <c r="D134" s="8">
        <v>133</v>
      </c>
      <c r="E134" s="8" t="str">
        <f t="shared" si="6"/>
        <v>E2_4_99_28</v>
      </c>
      <c r="F134" s="8" t="s">
        <v>3581</v>
      </c>
      <c r="G134" s="8" t="s">
        <v>2011</v>
      </c>
      <c r="H134" s="8" t="s">
        <v>3937</v>
      </c>
      <c r="I134" s="8" t="s">
        <v>2012</v>
      </c>
      <c r="J134" s="8" t="str">
        <f t="shared" si="7"/>
        <v>(${Variables:E2_4_99_28_kcat} * E2_4_99_28 * C05893 * C11826)/(${Variables:E2_4_99_28_km} + (E2_4_99_28 * C05893 * C11826))</v>
      </c>
      <c r="K134" s="40" t="str">
        <f t="shared" si="8"/>
        <v>r133: C05893 + C11826 -&gt; C04574 + C11826 | (${Variables:E2_4_99_28_kcat} * E2_4_99_28 * C05893 * C11826)/(${Variables:E2_4_99_28_km} + (E2_4_99_28 * C05893 * C11826))</v>
      </c>
    </row>
    <row r="135" spans="1:11" ht="43.5" x14ac:dyDescent="0.35">
      <c r="A135" s="8" t="s">
        <v>642</v>
      </c>
      <c r="B135" s="8" t="s">
        <v>643</v>
      </c>
      <c r="C135" s="8" t="s">
        <v>2332</v>
      </c>
      <c r="D135" s="8">
        <v>134</v>
      </c>
      <c r="E135" s="8" t="str">
        <f t="shared" si="6"/>
        <v>E2_4_99_28</v>
      </c>
      <c r="F135" s="8" t="s">
        <v>3582</v>
      </c>
      <c r="G135" s="8" t="s">
        <v>2015</v>
      </c>
      <c r="H135" s="8" t="s">
        <v>3938</v>
      </c>
      <c r="I135" s="8" t="s">
        <v>2016</v>
      </c>
      <c r="J135" s="8" t="str">
        <f t="shared" si="7"/>
        <v>(${Variables:E2_4_99_28_kcat} * E2_4_99_28 * C05898 * C11827)/(${Variables:E2_4_99_28_km} + (E2_4_99_28 * C05898 * C11827))</v>
      </c>
      <c r="K135" s="40" t="str">
        <f t="shared" si="8"/>
        <v>r134: C05898 + C11827 -&gt; C04574 + C11827 | (${Variables:E2_4_99_28_kcat} * E2_4_99_28 * C05898 * C11827)/(${Variables:E2_4_99_28_km} + (E2_4_99_28 * C05898 * C11827))</v>
      </c>
    </row>
    <row r="136" spans="1:11" ht="43.5" x14ac:dyDescent="0.35">
      <c r="A136" s="8" t="s">
        <v>901</v>
      </c>
      <c r="B136" s="8" t="s">
        <v>902</v>
      </c>
      <c r="C136" s="8" t="s">
        <v>2300</v>
      </c>
      <c r="D136" s="8">
        <v>135</v>
      </c>
      <c r="E136" s="8" t="str">
        <f t="shared" si="6"/>
        <v>E2_5_1_47</v>
      </c>
      <c r="F136" s="8" t="s">
        <v>3583</v>
      </c>
      <c r="G136" s="8" t="s">
        <v>1887</v>
      </c>
      <c r="H136" s="8" t="s">
        <v>3939</v>
      </c>
      <c r="I136" s="8" t="s">
        <v>1888</v>
      </c>
      <c r="J136" s="8" t="str">
        <f t="shared" si="7"/>
        <v>(${Variables:E2_5_1_47_kcat} * E2_5_1_47 * C00979 * C00283)/(${Variables:E2_5_1_47_km} + (E2_5_1_47 * C00979 * C00283))</v>
      </c>
      <c r="K136" s="40" t="str">
        <f t="shared" si="8"/>
        <v>r135: C00979 + C00283 -&gt; C00097 + C00033 | (${Variables:E2_5_1_47_kcat} * E2_5_1_47 * C00979 * C00283)/(${Variables:E2_5_1_47_km} + (E2_5_1_47 * C00979 * C00283))</v>
      </c>
    </row>
    <row r="137" spans="1:11" ht="58" x14ac:dyDescent="0.35">
      <c r="A137" s="8" t="s">
        <v>901</v>
      </c>
      <c r="B137" s="8" t="s">
        <v>902</v>
      </c>
      <c r="C137" s="8" t="s">
        <v>2300</v>
      </c>
      <c r="D137" s="8">
        <v>136</v>
      </c>
      <c r="E137" s="8" t="str">
        <f t="shared" si="6"/>
        <v>E2_5_1_47</v>
      </c>
      <c r="F137" s="8" t="s">
        <v>3584</v>
      </c>
      <c r="G137" s="8" t="s">
        <v>1889</v>
      </c>
      <c r="H137" s="8" t="s">
        <v>3940</v>
      </c>
      <c r="I137" s="8" t="s">
        <v>1890</v>
      </c>
      <c r="J137" s="8" t="str">
        <f t="shared" si="7"/>
        <v>(${Variables:E2_5_1_47_kcat} * E2_5_1_47 * C00979 * C00320 * C00342 * C00080)/(${Variables:E2_5_1_47_km} + (E2_5_1_47 * C00979 * C00320 * C00342 * C00080))</v>
      </c>
      <c r="K137" s="40" t="str">
        <f t="shared" si="8"/>
        <v>r136: C00979 + C00320 + C00342 + C00080 -&gt; C00097 + C00094 + C00343 + C00033 | (${Variables:E2_5_1_47_kcat} * E2_5_1_47 * C00979 * C00320 * C00342 * C00080)/(${Variables:E2_5_1_47_km} + (E2_5_1_47 * C00979 * C00320 * C00342 * C00080))</v>
      </c>
    </row>
    <row r="138" spans="1:11" ht="43.5" x14ac:dyDescent="0.35">
      <c r="A138" s="8" t="s">
        <v>901</v>
      </c>
      <c r="B138" s="8" t="s">
        <v>902</v>
      </c>
      <c r="C138" s="8" t="s">
        <v>2300</v>
      </c>
      <c r="D138" s="8">
        <v>137</v>
      </c>
      <c r="E138" s="8" t="str">
        <f t="shared" si="6"/>
        <v>E2_5_1_47</v>
      </c>
      <c r="F138" s="8" t="s">
        <v>3585</v>
      </c>
      <c r="G138" s="8" t="s">
        <v>1891</v>
      </c>
      <c r="H138" s="8" t="s">
        <v>3941</v>
      </c>
      <c r="I138" s="8" t="s">
        <v>1892</v>
      </c>
      <c r="J138" s="8" t="str">
        <f t="shared" si="7"/>
        <v>(${Variables:E2_5_1_47_kcat} * E2_5_1_47 * C00979 * C01528)/(${Variables:E2_5_1_47_km} + (E2_5_1_47 * C00979 * C01528))</v>
      </c>
      <c r="K138" s="40" t="str">
        <f t="shared" si="8"/>
        <v>r137: C00979 + C01528 -&gt; C05688 + C00033 | (${Variables:E2_5_1_47_kcat} * E2_5_1_47 * C00979 * C01528)/(${Variables:E2_5_1_47_km} + (E2_5_1_47 * C00979 * C01528))</v>
      </c>
    </row>
    <row r="139" spans="1:11" ht="43.5" x14ac:dyDescent="0.35">
      <c r="A139" s="8" t="s">
        <v>901</v>
      </c>
      <c r="B139" s="8" t="s">
        <v>902</v>
      </c>
      <c r="C139" s="8" t="s">
        <v>2300</v>
      </c>
      <c r="D139" s="8">
        <v>138</v>
      </c>
      <c r="E139" s="8" t="str">
        <f t="shared" si="6"/>
        <v>E2_5_1_47</v>
      </c>
      <c r="F139" s="8" t="s">
        <v>3586</v>
      </c>
      <c r="G139" s="8" t="s">
        <v>1893</v>
      </c>
      <c r="H139" s="8" t="s">
        <v>3942</v>
      </c>
      <c r="I139" s="8" t="s">
        <v>1894</v>
      </c>
      <c r="J139" s="8" t="str">
        <f t="shared" si="7"/>
        <v>(${Variables:E2_5_1_47_kcat} * E2_5_1_47 * C01005 * C00283)/(${Variables:E2_5_1_47_km} + (E2_5_1_47 * C01005 * C00283))</v>
      </c>
      <c r="K139" s="40" t="str">
        <f t="shared" si="8"/>
        <v>r138: C01005 + C00283 -&gt; C00097 + C00009 | (${Variables:E2_5_1_47_kcat} * E2_5_1_47 * C01005 * C00283)/(${Variables:E2_5_1_47_km} + (E2_5_1_47 * C01005 * C00283))</v>
      </c>
    </row>
    <row r="140" spans="1:11" ht="58" x14ac:dyDescent="0.35">
      <c r="A140" s="8" t="s">
        <v>1182</v>
      </c>
      <c r="B140" s="8" t="s">
        <v>1183</v>
      </c>
      <c r="C140" s="8" t="s">
        <v>2187</v>
      </c>
      <c r="D140" s="8">
        <v>139</v>
      </c>
      <c r="E140" s="8" t="str">
        <f t="shared" si="6"/>
        <v>E2_5_1_6</v>
      </c>
      <c r="F140" s="8" t="s">
        <v>3587</v>
      </c>
      <c r="G140" s="8" t="s">
        <v>1545</v>
      </c>
      <c r="H140" s="8" t="s">
        <v>3943</v>
      </c>
      <c r="I140" s="8" t="s">
        <v>1546</v>
      </c>
      <c r="J140" s="8" t="str">
        <f t="shared" si="7"/>
        <v>(${Variables:E2_5_1_6_kcat} * E2_5_1_6 * C00002 * C05335 * C00001)/(${Variables:E2_5_1_6_km} + (E2_5_1_6 * C00002 * C05335 * C00001))</v>
      </c>
      <c r="K140" s="40" t="str">
        <f t="shared" si="8"/>
        <v>r139: C00002 + C05335 + C00001 -&gt; C00009 + C00013 + C05691 | (${Variables:E2_5_1_6_kcat} * E2_5_1_6 * C00002 * C05335 * C00001)/(${Variables:E2_5_1_6_km} + (E2_5_1_6 * C00002 * C05335 * C00001))</v>
      </c>
    </row>
    <row r="141" spans="1:11" ht="58" x14ac:dyDescent="0.35">
      <c r="A141" s="8" t="s">
        <v>1182</v>
      </c>
      <c r="B141" s="8" t="s">
        <v>1183</v>
      </c>
      <c r="C141" s="8" t="s">
        <v>2187</v>
      </c>
      <c r="D141" s="8">
        <v>140</v>
      </c>
      <c r="E141" s="8" t="str">
        <f t="shared" si="6"/>
        <v>E2_5_1_6</v>
      </c>
      <c r="F141" s="8" t="s">
        <v>3588</v>
      </c>
      <c r="G141" s="8" t="s">
        <v>1560</v>
      </c>
      <c r="H141" s="8" t="s">
        <v>3944</v>
      </c>
      <c r="I141" s="8" t="s">
        <v>1561</v>
      </c>
      <c r="J141" s="8" t="str">
        <f t="shared" si="7"/>
        <v>(${Variables:E2_5_1_6_kcat} * E2_5_1_6 * C00009 * C00013 * C00019)/(${Variables:E2_5_1_6_km} + (E2_5_1_6 * C00009 * C00013 * C00019))</v>
      </c>
      <c r="K141" s="40" t="str">
        <f t="shared" si="8"/>
        <v>r140: C00009 + C00013 + C00019 -&gt; C00002 + C00073 + C00001 | (${Variables:E2_5_1_6_kcat} * E2_5_1_6 * C00009 * C00013 * C00019)/(${Variables:E2_5_1_6_km} + (E2_5_1_6 * C00009 * C00013 * C00019))</v>
      </c>
    </row>
    <row r="142" spans="1:11" ht="43.5" x14ac:dyDescent="0.35">
      <c r="A142" s="8" t="s">
        <v>165</v>
      </c>
      <c r="B142" s="8" t="s">
        <v>166</v>
      </c>
      <c r="C142" s="8" t="s">
        <v>2231</v>
      </c>
      <c r="D142" s="8">
        <v>141</v>
      </c>
      <c r="E142" s="8" t="str">
        <f t="shared" si="6"/>
        <v>E2_5_1_7</v>
      </c>
      <c r="F142" s="8" t="s">
        <v>3589</v>
      </c>
      <c r="G142" s="8" t="s">
        <v>1642</v>
      </c>
      <c r="H142" s="8" t="s">
        <v>3945</v>
      </c>
      <c r="I142" s="8" t="s">
        <v>1643</v>
      </c>
      <c r="J142" s="8" t="str">
        <f t="shared" si="7"/>
        <v>(${Variables:E2_5_1_7_kcat} * E2_5_1_7 * C00074 * C00043)/(${Variables:E2_5_1_7_km} + (E2_5_1_7 * C00074 * C00043))</v>
      </c>
      <c r="K142" s="40" t="str">
        <f t="shared" si="8"/>
        <v>r141: C00074 + C00043 -&gt; C04631 + C00009 | (${Variables:E2_5_1_7_kcat} * E2_5_1_7 * C00074 * C00043)/(${Variables:E2_5_1_7_km} + (E2_5_1_7 * C00074 * C00043))</v>
      </c>
    </row>
    <row r="143" spans="1:11" ht="43.5" x14ac:dyDescent="0.35">
      <c r="A143" s="8" t="s">
        <v>1079</v>
      </c>
      <c r="B143" s="8" t="s">
        <v>1080</v>
      </c>
      <c r="C143" s="8" t="s">
        <v>2273</v>
      </c>
      <c r="D143" s="8">
        <v>142</v>
      </c>
      <c r="E143" s="8" t="str">
        <f t="shared" si="6"/>
        <v>E2_5_1_75</v>
      </c>
      <c r="F143" s="8" t="s">
        <v>3590</v>
      </c>
      <c r="G143" s="8" t="s">
        <v>1764</v>
      </c>
      <c r="H143" s="8" t="s">
        <v>3946</v>
      </c>
      <c r="I143" s="8" t="s">
        <v>1765</v>
      </c>
      <c r="J143" s="8" t="str">
        <f t="shared" si="7"/>
        <v>(${Variables:E2_5_1_75_kcat} * E2_5_1_75 * C00235 * C17324)/(${Variables:E2_5_1_75_km} + (E2_5_1_75 * C00235 * C17324))</v>
      </c>
      <c r="K143" s="40" t="str">
        <f t="shared" si="8"/>
        <v>r142: C00235 + C17324 -&gt; C00013 + C04432 | (${Variables:E2_5_1_75_kcat} * E2_5_1_75 * C00235 * C17324)/(${Variables:E2_5_1_75_km} + (E2_5_1_75 * C00235 * C17324))</v>
      </c>
    </row>
    <row r="144" spans="1:11" ht="43.5" x14ac:dyDescent="0.35">
      <c r="A144" s="8" t="s">
        <v>1193</v>
      </c>
      <c r="B144" s="8" t="s">
        <v>1194</v>
      </c>
      <c r="C144" s="8" t="s">
        <v>2221</v>
      </c>
      <c r="D144" s="8">
        <v>143</v>
      </c>
      <c r="E144" s="8" t="str">
        <f t="shared" si="6"/>
        <v>E2_6_1_1</v>
      </c>
      <c r="F144" s="8" t="s">
        <v>3591</v>
      </c>
      <c r="G144" s="8" t="s">
        <v>1610</v>
      </c>
      <c r="H144" s="8" t="s">
        <v>3947</v>
      </c>
      <c r="I144" s="8" t="s">
        <v>1611</v>
      </c>
      <c r="J144" s="8" t="str">
        <f t="shared" si="7"/>
        <v>(${Variables:E2_6_1_1_kcat} * E2_6_1_1 * C00049 * C00026)/(${Variables:E2_6_1_1_km} + (E2_6_1_1 * C00049 * C00026))</v>
      </c>
      <c r="K144" s="40" t="str">
        <f t="shared" si="8"/>
        <v>r143: C00049 + C00026 -&gt; C00036 + C00025 | (${Variables:E2_6_1_1_kcat} * E2_6_1_1 * C00049 * C00026)/(${Variables:E2_6_1_1_km} + (E2_6_1_1 * C00049 * C00026))</v>
      </c>
    </row>
    <row r="145" spans="1:11" ht="43.5" x14ac:dyDescent="0.35">
      <c r="A145" s="8" t="s">
        <v>1193</v>
      </c>
      <c r="B145" s="8" t="s">
        <v>1194</v>
      </c>
      <c r="C145" s="8" t="s">
        <v>2221</v>
      </c>
      <c r="D145" s="8">
        <v>144</v>
      </c>
      <c r="E145" s="8" t="str">
        <f t="shared" si="6"/>
        <v>E2_6_1_1</v>
      </c>
      <c r="F145" s="8" t="s">
        <v>3592</v>
      </c>
      <c r="G145" s="8" t="s">
        <v>1659</v>
      </c>
      <c r="H145" s="8" t="s">
        <v>3948</v>
      </c>
      <c r="I145" s="8" t="s">
        <v>1660</v>
      </c>
      <c r="J145" s="8" t="str">
        <f t="shared" si="7"/>
        <v>(${Variables:E2_6_1_1_kcat} * E2_6_1_1 * C00079 * C00026)/(${Variables:E2_6_1_1_km} + (E2_6_1_1 * C00079 * C00026))</v>
      </c>
      <c r="K145" s="40" t="str">
        <f t="shared" si="8"/>
        <v>r144: C00079 + C00026 -&gt; C00166 + C00025 | (${Variables:E2_6_1_1_kcat} * E2_6_1_1 * C00079 * C00026)/(${Variables:E2_6_1_1_km} + (E2_6_1_1 * C00079 * C00026))</v>
      </c>
    </row>
    <row r="146" spans="1:11" ht="43.5" x14ac:dyDescent="0.35">
      <c r="A146" s="8" t="s">
        <v>1193</v>
      </c>
      <c r="B146" s="8" t="s">
        <v>1194</v>
      </c>
      <c r="C146" s="8" t="s">
        <v>2221</v>
      </c>
      <c r="D146" s="8">
        <v>145</v>
      </c>
      <c r="E146" s="8" t="str">
        <f t="shared" si="6"/>
        <v>E2_6_1_1</v>
      </c>
      <c r="F146" s="8" t="s">
        <v>3593</v>
      </c>
      <c r="G146" s="8" t="s">
        <v>1667</v>
      </c>
      <c r="H146" s="8" t="s">
        <v>3949</v>
      </c>
      <c r="I146" s="8" t="s">
        <v>1668</v>
      </c>
      <c r="J146" s="8" t="str">
        <f t="shared" si="7"/>
        <v>(${Variables:E2_6_1_1_kcat} * E2_6_1_1 * C00082 * C00026)/(${Variables:E2_6_1_1_km} + (E2_6_1_1 * C00082 * C00026))</v>
      </c>
      <c r="K146" s="40" t="str">
        <f t="shared" si="8"/>
        <v>r145: C00082 + C00026 -&gt; C01179 + C00025 | (${Variables:E2_6_1_1_kcat} * E2_6_1_1 * C00082 * C00026)/(${Variables:E2_6_1_1_km} + (E2_6_1_1 * C00082 * C00026))</v>
      </c>
    </row>
    <row r="147" spans="1:11" ht="43.5" x14ac:dyDescent="0.35">
      <c r="A147" s="8" t="s">
        <v>1193</v>
      </c>
      <c r="B147" s="8" t="s">
        <v>1194</v>
      </c>
      <c r="C147" s="8" t="s">
        <v>2221</v>
      </c>
      <c r="D147" s="8">
        <v>146</v>
      </c>
      <c r="E147" s="8" t="str">
        <f t="shared" si="6"/>
        <v>E2_6_1_1</v>
      </c>
      <c r="F147" s="8" t="s">
        <v>3594</v>
      </c>
      <c r="G147" s="8" t="s">
        <v>1686</v>
      </c>
      <c r="H147" s="8" t="s">
        <v>3950</v>
      </c>
      <c r="I147" s="8" t="s">
        <v>1687</v>
      </c>
      <c r="J147" s="8" t="str">
        <f t="shared" si="7"/>
        <v>(${Variables:E2_6_1_1_kcat} * E2_6_1_1 * C00097 * C00026)/(${Variables:E2_6_1_1_km} + (E2_6_1_1 * C00097 * C00026))</v>
      </c>
      <c r="K147" s="40" t="str">
        <f t="shared" si="8"/>
        <v>r146: C00097 + C00026 -&gt; C00957 + C00025 | (${Variables:E2_6_1_1_kcat} * E2_6_1_1 * C00097 * C00026)/(${Variables:E2_6_1_1_km} + (E2_6_1_1 * C00097 * C00026))</v>
      </c>
    </row>
    <row r="148" spans="1:11" ht="43.5" x14ac:dyDescent="0.35">
      <c r="A148" s="8" t="s">
        <v>1193</v>
      </c>
      <c r="B148" s="8" t="s">
        <v>1194</v>
      </c>
      <c r="C148" s="8" t="s">
        <v>2221</v>
      </c>
      <c r="D148" s="8">
        <v>147</v>
      </c>
      <c r="E148" s="8" t="str">
        <f t="shared" si="6"/>
        <v>E2_6_1_1</v>
      </c>
      <c r="F148" s="8" t="s">
        <v>3594</v>
      </c>
      <c r="G148" s="8" t="s">
        <v>1686</v>
      </c>
      <c r="H148" s="8" t="s">
        <v>3951</v>
      </c>
      <c r="I148" s="8" t="s">
        <v>1688</v>
      </c>
      <c r="J148" s="8" t="str">
        <f t="shared" si="7"/>
        <v>(${Variables:E2_6_1_1_kcat} * E2_6_1_1 * C00097 * C00026)/(${Variables:E2_6_1_1_km} + (E2_6_1_1 * C00097 * C00026))</v>
      </c>
      <c r="K148" s="40" t="str">
        <f t="shared" si="8"/>
        <v>r147: C00097 + C00026 -&gt; C00957 + C00302 | (${Variables:E2_6_1_1_kcat} * E2_6_1_1 * C00097 * C00026)/(${Variables:E2_6_1_1_km} + (E2_6_1_1 * C00097 * C00026))</v>
      </c>
    </row>
    <row r="149" spans="1:11" ht="43.5" x14ac:dyDescent="0.35">
      <c r="A149" s="8" t="s">
        <v>1193</v>
      </c>
      <c r="B149" s="8" t="s">
        <v>1194</v>
      </c>
      <c r="C149" s="8" t="s">
        <v>2221</v>
      </c>
      <c r="D149" s="8">
        <v>148</v>
      </c>
      <c r="E149" s="8" t="str">
        <f t="shared" si="6"/>
        <v>E2_6_1_1</v>
      </c>
      <c r="F149" s="8" t="s">
        <v>3595</v>
      </c>
      <c r="G149" s="8" t="s">
        <v>1845</v>
      </c>
      <c r="H149" s="8" t="s">
        <v>3952</v>
      </c>
      <c r="I149" s="8" t="s">
        <v>1846</v>
      </c>
      <c r="J149" s="8" t="str">
        <f t="shared" si="7"/>
        <v>(${Variables:E2_6_1_1_kcat} * E2_6_1_1 * C00506 * C00026)/(${Variables:E2_6_1_1_km} + (E2_6_1_1 * C00506 * C00026))</v>
      </c>
      <c r="K149" s="40" t="str">
        <f t="shared" si="8"/>
        <v>r148: C00506 + C00026 -&gt; C05528 + C00025 | (${Variables:E2_6_1_1_kcat} * E2_6_1_1 * C00506 * C00026)/(${Variables:E2_6_1_1_km} + (E2_6_1_1 * C00506 * C00026))</v>
      </c>
    </row>
    <row r="150" spans="1:11" ht="43.5" x14ac:dyDescent="0.35">
      <c r="A150" s="8" t="s">
        <v>1193</v>
      </c>
      <c r="B150" s="8" t="s">
        <v>1194</v>
      </c>
      <c r="C150" s="8" t="s">
        <v>2221</v>
      </c>
      <c r="D150" s="8">
        <v>149</v>
      </c>
      <c r="E150" s="8" t="str">
        <f t="shared" si="6"/>
        <v>E2_6_1_1</v>
      </c>
      <c r="F150" s="8" t="s">
        <v>3596</v>
      </c>
      <c r="G150" s="8" t="s">
        <v>1855</v>
      </c>
      <c r="H150" s="8" t="s">
        <v>3953</v>
      </c>
      <c r="I150" s="8" t="s">
        <v>1856</v>
      </c>
      <c r="J150" s="8" t="str">
        <f t="shared" si="7"/>
        <v>(${Variables:E2_6_1_1_kcat} * E2_6_1_1 * C00606 * C00026)/(${Variables:E2_6_1_1_km} + (E2_6_1_1 * C00606 * C00026))</v>
      </c>
      <c r="K150" s="40" t="str">
        <f t="shared" si="8"/>
        <v>r149: C00606 + C00026 -&gt; C05527 + C00025 | (${Variables:E2_6_1_1_kcat} * E2_6_1_1 * C00606 * C00026)/(${Variables:E2_6_1_1_km} + (E2_6_1_1 * C00606 * C00026))</v>
      </c>
    </row>
    <row r="151" spans="1:11" ht="43.5" x14ac:dyDescent="0.35">
      <c r="A151" s="8" t="s">
        <v>1193</v>
      </c>
      <c r="B151" s="8" t="s">
        <v>1194</v>
      </c>
      <c r="C151" s="8" t="s">
        <v>2221</v>
      </c>
      <c r="D151" s="8">
        <v>150</v>
      </c>
      <c r="E151" s="8" t="str">
        <f t="shared" si="6"/>
        <v>E2_6_1_1</v>
      </c>
      <c r="F151" s="8" t="s">
        <v>3597</v>
      </c>
      <c r="G151" s="8" t="s">
        <v>2017</v>
      </c>
      <c r="H151" s="8" t="s">
        <v>3954</v>
      </c>
      <c r="I151" s="8" t="s">
        <v>2018</v>
      </c>
      <c r="J151" s="8" t="str">
        <f t="shared" si="7"/>
        <v>(${Variables:E2_6_1_1_kcat} * E2_6_1_1 * C05947 * C00026)/(${Variables:E2_6_1_1_km} + (E2_6_1_1 * C05947 * C00026))</v>
      </c>
      <c r="K151" s="40" t="str">
        <f t="shared" si="8"/>
        <v>r150: C05947 + C00026 -&gt; C05946 + C00025 | (${Variables:E2_6_1_1_kcat} * E2_6_1_1 * C05947 * C00026)/(${Variables:E2_6_1_1_km} + (E2_6_1_1 * C05947 * C00026))</v>
      </c>
    </row>
    <row r="152" spans="1:11" ht="43.5" x14ac:dyDescent="0.35">
      <c r="A152" s="8" t="s">
        <v>440</v>
      </c>
      <c r="B152" s="8" t="s">
        <v>441</v>
      </c>
      <c r="C152" s="8" t="s">
        <v>2228</v>
      </c>
      <c r="D152" s="8">
        <v>151</v>
      </c>
      <c r="E152" s="8" t="str">
        <f t="shared" si="6"/>
        <v>E2_6_1_16</v>
      </c>
      <c r="F152" s="8" t="s">
        <v>3598</v>
      </c>
      <c r="G152" s="8" t="s">
        <v>1634</v>
      </c>
      <c r="H152" s="8" t="s">
        <v>3955</v>
      </c>
      <c r="I152" s="8" t="s">
        <v>1635</v>
      </c>
      <c r="J152" s="8" t="str">
        <f t="shared" si="7"/>
        <v>(${Variables:E2_6_1_16_kcat} * E2_6_1_16 * C00064 * C00085)/(${Variables:E2_6_1_16_km} + (E2_6_1_16 * C00064 * C00085))</v>
      </c>
      <c r="K152" s="40" t="str">
        <f t="shared" si="8"/>
        <v>r151: C00064 + C00085 -&gt; C00025 + C00352 | (${Variables:E2_6_1_16_kcat} * E2_6_1_16 * C00064 * C00085)/(${Variables:E2_6_1_16_km} + (E2_6_1_16 * C00064 * C00085))</v>
      </c>
    </row>
    <row r="153" spans="1:11" ht="43.5" x14ac:dyDescent="0.35">
      <c r="A153" s="8" t="s">
        <v>1009</v>
      </c>
      <c r="B153" s="8" t="s">
        <v>1010</v>
      </c>
      <c r="C153" s="8" t="s">
        <v>2251</v>
      </c>
      <c r="D153" s="8">
        <v>152</v>
      </c>
      <c r="E153" s="8" t="str">
        <f t="shared" si="6"/>
        <v>E2_6_1_42</v>
      </c>
      <c r="F153" s="8" t="s">
        <v>3599</v>
      </c>
      <c r="G153" s="8" t="s">
        <v>1709</v>
      </c>
      <c r="H153" s="8" t="s">
        <v>3956</v>
      </c>
      <c r="I153" s="8" t="s">
        <v>1710</v>
      </c>
      <c r="J153" s="8" t="str">
        <f t="shared" si="7"/>
        <v>(${Variables:E2_6_1_42_kcat} * E2_6_1_42 * C00123 * C00026)/(${Variables:E2_6_1_42_km} + (E2_6_1_42 * C00123 * C00026))</v>
      </c>
      <c r="K153" s="40" t="str">
        <f t="shared" si="8"/>
        <v>r152: C00123 + C00026 -&gt; C00233 + C00025 | (${Variables:E2_6_1_42_kcat} * E2_6_1_42 * C00123 * C00026)/(${Variables:E2_6_1_42_km} + (E2_6_1_42 * C00123 * C00026))</v>
      </c>
    </row>
    <row r="154" spans="1:11" ht="43.5" x14ac:dyDescent="0.35">
      <c r="A154" s="8" t="s">
        <v>1009</v>
      </c>
      <c r="B154" s="8" t="s">
        <v>1010</v>
      </c>
      <c r="C154" s="8" t="s">
        <v>2251</v>
      </c>
      <c r="D154" s="8">
        <v>153</v>
      </c>
      <c r="E154" s="8" t="str">
        <f t="shared" si="6"/>
        <v>E2_6_1_42</v>
      </c>
      <c r="F154" s="8" t="s">
        <v>3600</v>
      </c>
      <c r="G154" s="8" t="s">
        <v>1744</v>
      </c>
      <c r="H154" s="8" t="s">
        <v>3957</v>
      </c>
      <c r="I154" s="8" t="s">
        <v>1745</v>
      </c>
      <c r="J154" s="8" t="str">
        <f t="shared" si="7"/>
        <v>(${Variables:E2_6_1_42_kcat} * E2_6_1_42 * C00183 * C00026)/(${Variables:E2_6_1_42_km} + (E2_6_1_42 * C00183 * C00026))</v>
      </c>
      <c r="K154" s="40" t="str">
        <f t="shared" si="8"/>
        <v>r153: C00183 + C00026 -&gt; C00141 + C00025 | (${Variables:E2_6_1_42_kcat} * E2_6_1_42 * C00183 * C00026)/(${Variables:E2_6_1_42_km} + (E2_6_1_42 * C00183 * C00026))</v>
      </c>
    </row>
    <row r="155" spans="1:11" ht="43.5" x14ac:dyDescent="0.35">
      <c r="A155" s="8" t="s">
        <v>1009</v>
      </c>
      <c r="B155" s="8" t="s">
        <v>1010</v>
      </c>
      <c r="C155" s="8" t="s">
        <v>2251</v>
      </c>
      <c r="D155" s="8">
        <v>154</v>
      </c>
      <c r="E155" s="8" t="str">
        <f t="shared" si="6"/>
        <v>E2_6_1_42</v>
      </c>
      <c r="F155" s="8" t="s">
        <v>3601</v>
      </c>
      <c r="G155" s="8" t="s">
        <v>1817</v>
      </c>
      <c r="H155" s="8" t="s">
        <v>3958</v>
      </c>
      <c r="I155" s="8" t="s">
        <v>1818</v>
      </c>
      <c r="J155" s="8" t="str">
        <f t="shared" si="7"/>
        <v>(${Variables:E2_6_1_42_kcat} * E2_6_1_42 * C00407 * C00026)/(${Variables:E2_6_1_42_km} + (E2_6_1_42 * C00407 * C00026))</v>
      </c>
      <c r="K155" s="40" t="str">
        <f t="shared" si="8"/>
        <v>r154: C00407 + C00026 -&gt; C00671 + C00025 | (${Variables:E2_6_1_42_kcat} * E2_6_1_42 * C00407 * C00026)/(${Variables:E2_6_1_42_km} + (E2_6_1_42 * C00407 * C00026))</v>
      </c>
    </row>
    <row r="156" spans="1:11" ht="43.5" x14ac:dyDescent="0.35">
      <c r="A156" s="8" t="s">
        <v>1009</v>
      </c>
      <c r="B156" s="8" t="s">
        <v>1010</v>
      </c>
      <c r="C156" s="8" t="s">
        <v>2251</v>
      </c>
      <c r="D156" s="8">
        <v>155</v>
      </c>
      <c r="E156" s="8" t="str">
        <f t="shared" si="6"/>
        <v>E2_6_1_42</v>
      </c>
      <c r="F156" s="8" t="s">
        <v>3602</v>
      </c>
      <c r="G156" s="8" t="s">
        <v>1934</v>
      </c>
      <c r="H156" s="8" t="s">
        <v>3959</v>
      </c>
      <c r="I156" s="8" t="s">
        <v>1935</v>
      </c>
      <c r="J156" s="8" t="str">
        <f t="shared" si="7"/>
        <v>(${Variables:E2_6_1_42_kcat} * E2_6_1_42 * C02356 * C00026)/(${Variables:E2_6_1_42_km} + (E2_6_1_42 * C02356 * C00026))</v>
      </c>
      <c r="K156" s="40" t="str">
        <f t="shared" si="8"/>
        <v>r155: C02356 + C00026 -&gt; C00109 + C00025 | (${Variables:E2_6_1_42_kcat} * E2_6_1_42 * C02356 * C00026)/(${Variables:E2_6_1_42_km} + (E2_6_1_42 * C02356 * C00026))</v>
      </c>
    </row>
    <row r="157" spans="1:11" ht="43.5" x14ac:dyDescent="0.35">
      <c r="A157" s="8" t="s">
        <v>791</v>
      </c>
      <c r="B157" s="8" t="s">
        <v>792</v>
      </c>
      <c r="C157" s="8" t="s">
        <v>2140</v>
      </c>
      <c r="D157" s="8">
        <v>156</v>
      </c>
      <c r="E157" s="8" t="str">
        <f t="shared" si="6"/>
        <v>E2_7_1_11</v>
      </c>
      <c r="F157" s="8" t="s">
        <v>3603</v>
      </c>
      <c r="G157" s="8" t="s">
        <v>1415</v>
      </c>
      <c r="H157" s="8" t="s">
        <v>3960</v>
      </c>
      <c r="I157" s="8" t="s">
        <v>1416</v>
      </c>
      <c r="J157" s="8" t="str">
        <f t="shared" si="7"/>
        <v>(${Variables:E2_7_1_11_kcat} * E2_7_1_11 * C00002 * C00085)/(${Variables:E2_7_1_11_km} + (E2_7_1_11 * C00002 * C00085))</v>
      </c>
      <c r="K157" s="40" t="str">
        <f t="shared" si="8"/>
        <v>r156: C00002 + C00085 -&gt; C00008 + C00354 | (${Variables:E2_7_1_11_kcat} * E2_7_1_11 * C00002 * C00085)/(${Variables:E2_7_1_11_km} + (E2_7_1_11 * C00002 * C00085))</v>
      </c>
    </row>
    <row r="158" spans="1:11" ht="43.5" x14ac:dyDescent="0.35">
      <c r="A158" s="8" t="s">
        <v>791</v>
      </c>
      <c r="B158" s="8" t="s">
        <v>792</v>
      </c>
      <c r="C158" s="8" t="s">
        <v>2140</v>
      </c>
      <c r="D158" s="8">
        <v>157</v>
      </c>
      <c r="E158" s="8" t="str">
        <f t="shared" si="6"/>
        <v>E2_7_1_11</v>
      </c>
      <c r="F158" s="8" t="s">
        <v>3604</v>
      </c>
      <c r="G158" s="8" t="s">
        <v>1549</v>
      </c>
      <c r="H158" s="8" t="s">
        <v>3961</v>
      </c>
      <c r="I158" s="8" t="s">
        <v>1550</v>
      </c>
      <c r="J158" s="8" t="str">
        <f t="shared" si="7"/>
        <v>(${Variables:E2_7_1_11_kcat} * E2_7_1_11 * C00002 * C05382)/(${Variables:E2_7_1_11_km} + (E2_7_1_11 * C00002 * C05382))</v>
      </c>
      <c r="K158" s="40" t="str">
        <f t="shared" si="8"/>
        <v>r157: C00002 + C05382 -&gt; C00008 + C00447 | (${Variables:E2_7_1_11_kcat} * E2_7_1_11 * C00002 * C05382)/(${Variables:E2_7_1_11_km} + (E2_7_1_11 * C00002 * C05382))</v>
      </c>
    </row>
    <row r="159" spans="1:11" ht="43.5" x14ac:dyDescent="0.35">
      <c r="A159" s="8" t="s">
        <v>791</v>
      </c>
      <c r="B159" s="8" t="s">
        <v>792</v>
      </c>
      <c r="C159" s="8" t="s">
        <v>2140</v>
      </c>
      <c r="D159" s="8">
        <v>158</v>
      </c>
      <c r="E159" s="8" t="str">
        <f t="shared" si="6"/>
        <v>E2_7_1_11</v>
      </c>
      <c r="F159" s="8" t="s">
        <v>3605</v>
      </c>
      <c r="G159" s="8" t="s">
        <v>1559</v>
      </c>
      <c r="H159" s="8" t="s">
        <v>3962</v>
      </c>
      <c r="I159" s="8" t="s">
        <v>1512</v>
      </c>
      <c r="J159" s="8" t="str">
        <f t="shared" si="7"/>
        <v>(${Variables:E2_7_1_11_kcat} * E2_7_1_11 * C00004 * C05345)/(${Variables:E2_7_1_11_km} + (E2_7_1_11 * C00004 * C05345))</v>
      </c>
      <c r="K159" s="40" t="str">
        <f t="shared" si="8"/>
        <v>r158: C00004 + C05345 -&gt; C00008 + C05378 | (${Variables:E2_7_1_11_kcat} * E2_7_1_11 * C00004 * C05345)/(${Variables:E2_7_1_11_km} + (E2_7_1_11 * C00004 * C05345))</v>
      </c>
    </row>
    <row r="160" spans="1:11" ht="43.5" x14ac:dyDescent="0.35">
      <c r="A160" s="8" t="s">
        <v>791</v>
      </c>
      <c r="B160" s="8" t="s">
        <v>792</v>
      </c>
      <c r="C160" s="8" t="s">
        <v>2140</v>
      </c>
      <c r="D160" s="8">
        <v>159</v>
      </c>
      <c r="E160" s="8" t="str">
        <f t="shared" si="6"/>
        <v>E2_7_1_11</v>
      </c>
      <c r="F160" s="8" t="s">
        <v>3606</v>
      </c>
      <c r="G160" s="8" t="s">
        <v>1622</v>
      </c>
      <c r="H160" s="8" t="s">
        <v>3963</v>
      </c>
      <c r="I160" s="8" t="s">
        <v>1623</v>
      </c>
      <c r="J160" s="8" t="str">
        <f t="shared" si="7"/>
        <v>(${Variables:E2_7_1_11_kcat} * E2_7_1_11 * C00063 * C00085)/(${Variables:E2_7_1_11_km} + (E2_7_1_11 * C00063 * C00085))</v>
      </c>
      <c r="K160" s="40" t="str">
        <f t="shared" si="8"/>
        <v>r159: C00063 + C00085 -&gt; C00112 + C00354 | (${Variables:E2_7_1_11_kcat} * E2_7_1_11 * C00063 * C00085)/(${Variables:E2_7_1_11_km} + (E2_7_1_11 * C00063 * C00085))</v>
      </c>
    </row>
    <row r="161" spans="1:11" ht="43.5" x14ac:dyDescent="0.35">
      <c r="A161" s="8" t="s">
        <v>791</v>
      </c>
      <c r="B161" s="8" t="s">
        <v>792</v>
      </c>
      <c r="C161" s="8" t="s">
        <v>2140</v>
      </c>
      <c r="D161" s="8">
        <v>160</v>
      </c>
      <c r="E161" s="8" t="str">
        <f t="shared" si="6"/>
        <v>E2_7_1_11</v>
      </c>
      <c r="F161" s="8" t="s">
        <v>3607</v>
      </c>
      <c r="G161" s="8" t="s">
        <v>1628</v>
      </c>
      <c r="H161" s="8" t="s">
        <v>3964</v>
      </c>
      <c r="I161" s="8" t="s">
        <v>1629</v>
      </c>
      <c r="J161" s="8" t="str">
        <f t="shared" si="7"/>
        <v>(${Variables:E2_7_1_11_kcat} * E2_7_1_11 * C00063 * C01097)/(${Variables:E2_7_1_11_km} + (E2_7_1_11 * C00063 * C01097))</v>
      </c>
      <c r="K161" s="40" t="str">
        <f t="shared" si="8"/>
        <v>r160: C00063 + C01097 -&gt; C00112 + C03785 | (${Variables:E2_7_1_11_kcat} * E2_7_1_11 * C00063 * C01097)/(${Variables:E2_7_1_11_km} + (E2_7_1_11 * C00063 * C01097))</v>
      </c>
    </row>
    <row r="162" spans="1:11" ht="43.5" x14ac:dyDescent="0.35">
      <c r="A162" s="8" t="s">
        <v>791</v>
      </c>
      <c r="B162" s="8" t="s">
        <v>792</v>
      </c>
      <c r="C162" s="8" t="s">
        <v>2140</v>
      </c>
      <c r="D162" s="8">
        <v>161</v>
      </c>
      <c r="E162" s="8" t="str">
        <f t="shared" si="6"/>
        <v>E2_7_1_11</v>
      </c>
      <c r="F162" s="8" t="s">
        <v>3608</v>
      </c>
      <c r="G162" s="8" t="s">
        <v>1651</v>
      </c>
      <c r="H162" s="8" t="s">
        <v>3965</v>
      </c>
      <c r="I162" s="8" t="s">
        <v>1652</v>
      </c>
      <c r="J162" s="8" t="str">
        <f t="shared" si="7"/>
        <v>(${Variables:E2_7_1_11_kcat} * E2_7_1_11 * C00075 * C00085)/(${Variables:E2_7_1_11_km} + (E2_7_1_11 * C00075 * C00085))</v>
      </c>
      <c r="K162" s="40" t="str">
        <f t="shared" si="8"/>
        <v>r161: C00075 + C00085 -&gt; C00015 + C00354 | (${Variables:E2_7_1_11_kcat} * E2_7_1_11 * C00075 * C00085)/(${Variables:E2_7_1_11_km} + (E2_7_1_11 * C00075 * C00085))</v>
      </c>
    </row>
    <row r="163" spans="1:11" ht="43.5" x14ac:dyDescent="0.35">
      <c r="A163" s="8" t="s">
        <v>791</v>
      </c>
      <c r="B163" s="8" t="s">
        <v>792</v>
      </c>
      <c r="C163" s="8" t="s">
        <v>2140</v>
      </c>
      <c r="D163" s="8">
        <v>162</v>
      </c>
      <c r="E163" s="8" t="str">
        <f t="shared" si="6"/>
        <v>E2_7_1_11</v>
      </c>
      <c r="F163" s="8" t="s">
        <v>3609</v>
      </c>
      <c r="G163" s="8" t="s">
        <v>1655</v>
      </c>
      <c r="H163" s="8" t="s">
        <v>3966</v>
      </c>
      <c r="I163" s="8" t="s">
        <v>1656</v>
      </c>
      <c r="J163" s="8" t="str">
        <f t="shared" si="7"/>
        <v>(${Variables:E2_7_1_11_kcat} * E2_7_1_11 * C00075 * C01097)/(${Variables:E2_7_1_11_km} + (E2_7_1_11 * C00075 * C01097))</v>
      </c>
      <c r="K163" s="40" t="str">
        <f t="shared" si="8"/>
        <v>r162: C00075 + C01097 -&gt; C00015 + C03785 | (${Variables:E2_7_1_11_kcat} * E2_7_1_11 * C00075 * C01097)/(${Variables:E2_7_1_11_km} + (E2_7_1_11 * C00075 * C01097))</v>
      </c>
    </row>
    <row r="164" spans="1:11" ht="43.5" x14ac:dyDescent="0.35">
      <c r="A164" s="8" t="s">
        <v>791</v>
      </c>
      <c r="B164" s="8" t="s">
        <v>792</v>
      </c>
      <c r="C164" s="8" t="s">
        <v>2140</v>
      </c>
      <c r="D164" s="8">
        <v>163</v>
      </c>
      <c r="E164" s="8" t="str">
        <f t="shared" si="6"/>
        <v>E2_7_1_11</v>
      </c>
      <c r="F164" s="8" t="s">
        <v>3610</v>
      </c>
      <c r="G164" s="8" t="s">
        <v>1663</v>
      </c>
      <c r="H164" s="8" t="s">
        <v>3967</v>
      </c>
      <c r="I164" s="8" t="s">
        <v>1664</v>
      </c>
      <c r="J164" s="8" t="str">
        <f t="shared" si="7"/>
        <v>(${Variables:E2_7_1_11_kcat} * E2_7_1_11 * C00081 * C00085)/(${Variables:E2_7_1_11_km} + (E2_7_1_11 * C00081 * C00085))</v>
      </c>
      <c r="K164" s="40" t="str">
        <f t="shared" si="8"/>
        <v>r163: C00081 + C00085 -&gt; C00104 + C00354 | (${Variables:E2_7_1_11_kcat} * E2_7_1_11 * C00081 * C00085)/(${Variables:E2_7_1_11_km} + (E2_7_1_11 * C00081 * C00085))</v>
      </c>
    </row>
    <row r="165" spans="1:11" ht="43.5" x14ac:dyDescent="0.35">
      <c r="A165" s="8" t="s">
        <v>791</v>
      </c>
      <c r="B165" s="8" t="s">
        <v>792</v>
      </c>
      <c r="C165" s="8" t="s">
        <v>2140</v>
      </c>
      <c r="D165" s="8">
        <v>164</v>
      </c>
      <c r="E165" s="8" t="str">
        <f t="shared" si="6"/>
        <v>E2_7_1_11</v>
      </c>
      <c r="F165" s="8" t="s">
        <v>3611</v>
      </c>
      <c r="G165" s="8" t="s">
        <v>1665</v>
      </c>
      <c r="H165" s="8" t="s">
        <v>3968</v>
      </c>
      <c r="I165" s="8" t="s">
        <v>1666</v>
      </c>
      <c r="J165" s="8" t="str">
        <f t="shared" si="7"/>
        <v>(${Variables:E2_7_1_11_kcat} * E2_7_1_11 * C00081 * C01097)/(${Variables:E2_7_1_11_km} + (E2_7_1_11 * C00081 * C01097))</v>
      </c>
      <c r="K165" s="40" t="str">
        <f t="shared" si="8"/>
        <v>r164: C00081 + C01097 -&gt; C00104 + C03785 | (${Variables:E2_7_1_11_kcat} * E2_7_1_11 * C00081 * C01097)/(${Variables:E2_7_1_11_km} + (E2_7_1_11 * C00081 * C01097))</v>
      </c>
    </row>
    <row r="166" spans="1:11" ht="43.5" x14ac:dyDescent="0.35">
      <c r="A166" s="8" t="s">
        <v>791</v>
      </c>
      <c r="B166" s="8" t="s">
        <v>792</v>
      </c>
      <c r="C166" s="8" t="s">
        <v>2140</v>
      </c>
      <c r="D166" s="8">
        <v>165</v>
      </c>
      <c r="E166" s="8" t="str">
        <f t="shared" si="6"/>
        <v>E2_7_1_11</v>
      </c>
      <c r="F166" s="8" t="s">
        <v>3612</v>
      </c>
      <c r="G166" s="8" t="s">
        <v>1899</v>
      </c>
      <c r="H166" s="8" t="s">
        <v>3969</v>
      </c>
      <c r="I166" s="8" t="s">
        <v>1900</v>
      </c>
      <c r="J166" s="8" t="str">
        <f t="shared" si="7"/>
        <v>(${Variables:E2_7_1_11_kcat} * E2_7_1_11 * C01097 * C00002)/(${Variables:E2_7_1_11_km} + (E2_7_1_11 * C01097 * C00002))</v>
      </c>
      <c r="K166" s="40" t="str">
        <f t="shared" si="8"/>
        <v>r165: C01097 + C00002 -&gt; C03785 + C00008 | (${Variables:E2_7_1_11_kcat} * E2_7_1_11 * C01097 * C00002)/(${Variables:E2_7_1_11_km} + (E2_7_1_11 * C01097 * C00002))</v>
      </c>
    </row>
    <row r="167" spans="1:11" ht="43.5" x14ac:dyDescent="0.35">
      <c r="A167" s="8" t="s">
        <v>309</v>
      </c>
      <c r="B167" s="8" t="s">
        <v>310</v>
      </c>
      <c r="C167" s="8" t="s">
        <v>2156</v>
      </c>
      <c r="D167" s="8">
        <v>166</v>
      </c>
      <c r="E167" s="8" t="str">
        <f t="shared" si="6"/>
        <v>E2_7_1_12</v>
      </c>
      <c r="F167" s="8" t="s">
        <v>3613</v>
      </c>
      <c r="G167" s="8" t="s">
        <v>1465</v>
      </c>
      <c r="H167" s="8" t="s">
        <v>3970</v>
      </c>
      <c r="I167" s="8" t="s">
        <v>1466</v>
      </c>
      <c r="J167" s="8" t="str">
        <f t="shared" si="7"/>
        <v>(${Variables:E2_7_1_12_kcat} * E2_7_1_12 * C00002 * C00257)/(${Variables:E2_7_1_12_km} + (E2_7_1_12 * C00002 * C00257))</v>
      </c>
      <c r="K167" s="40" t="str">
        <f t="shared" si="8"/>
        <v>r166: C00002 + C00257 -&gt; C00008 + C00345 | (${Variables:E2_7_1_12_kcat} * E2_7_1_12 * C00002 * C00257)/(${Variables:E2_7_1_12_km} + (E2_7_1_12 * C00002 * C00257))</v>
      </c>
    </row>
    <row r="168" spans="1:11" ht="43.5" x14ac:dyDescent="0.35">
      <c r="A168" s="8" t="s">
        <v>1052</v>
      </c>
      <c r="B168" s="8" t="s">
        <v>1053</v>
      </c>
      <c r="C168" s="8" t="s">
        <v>2232</v>
      </c>
      <c r="D168" s="8">
        <v>167</v>
      </c>
      <c r="E168" s="8" t="str">
        <f t="shared" si="6"/>
        <v>E2_7_1_121</v>
      </c>
      <c r="F168" s="8" t="s">
        <v>3614</v>
      </c>
      <c r="G168" s="8" t="s">
        <v>1644</v>
      </c>
      <c r="H168" s="8" t="s">
        <v>3971</v>
      </c>
      <c r="I168" s="8" t="s">
        <v>1645</v>
      </c>
      <c r="J168" s="8" t="str">
        <f t="shared" si="7"/>
        <v>(${Variables:E2_7_1_121_kcat} * E2_7_1_121 * C00074 * C00184)/(${Variables:E2_7_1_121_km} + (E2_7_1_121 * C00074 * C00184))</v>
      </c>
      <c r="K168" s="40" t="str">
        <f t="shared" si="8"/>
        <v>r167: C00074 + C00184 -&gt; C00022 + C00111 | (${Variables:E2_7_1_121_kcat} * E2_7_1_121 * C00074 * C00184)/(${Variables:E2_7_1_121_km} + (E2_7_1_121 * C00074 * C00184))</v>
      </c>
    </row>
    <row r="169" spans="1:11" ht="43.5" x14ac:dyDescent="0.35">
      <c r="A169" s="8" t="s">
        <v>492</v>
      </c>
      <c r="B169" s="8" t="s">
        <v>493</v>
      </c>
      <c r="C169" s="8" t="s">
        <v>2146</v>
      </c>
      <c r="D169" s="8">
        <v>168</v>
      </c>
      <c r="E169" s="8" t="str">
        <f t="shared" si="6"/>
        <v>E2_7_1_15</v>
      </c>
      <c r="F169" s="8" t="s">
        <v>3615</v>
      </c>
      <c r="G169" s="8" t="s">
        <v>1427</v>
      </c>
      <c r="H169" s="8" t="s">
        <v>3972</v>
      </c>
      <c r="I169" s="8" t="s">
        <v>1428</v>
      </c>
      <c r="J169" s="8" t="str">
        <f t="shared" si="7"/>
        <v>(${Variables:E2_7_1_15_kcat} * E2_7_1_15 * C00002 * C00121)/(${Variables:E2_7_1_15_km} + (E2_7_1_15 * C00002 * C00121))</v>
      </c>
      <c r="K169" s="40" t="str">
        <f t="shared" si="8"/>
        <v>r168: C00002 + C00121 -&gt; C00008 + C00117 | (${Variables:E2_7_1_15_kcat} * E2_7_1_15 * C00002 * C00121)/(${Variables:E2_7_1_15_km} + (E2_7_1_15 * C00002 * C00121))</v>
      </c>
    </row>
    <row r="170" spans="1:11" ht="43.5" x14ac:dyDescent="0.35">
      <c r="A170" s="8" t="s">
        <v>492</v>
      </c>
      <c r="B170" s="8" t="s">
        <v>493</v>
      </c>
      <c r="C170" s="8" t="s">
        <v>2146</v>
      </c>
      <c r="D170" s="8">
        <v>169</v>
      </c>
      <c r="E170" s="8" t="str">
        <f t="shared" si="6"/>
        <v>E2_7_1_15</v>
      </c>
      <c r="F170" s="8" t="s">
        <v>3616</v>
      </c>
      <c r="G170" s="8" t="s">
        <v>1868</v>
      </c>
      <c r="H170" s="8" t="s">
        <v>3973</v>
      </c>
      <c r="I170" s="8" t="s">
        <v>1869</v>
      </c>
      <c r="J170" s="8" t="str">
        <f t="shared" si="7"/>
        <v>(${Variables:E2_7_1_15_kcat} * E2_7_1_15 * C00673 * C00008)/(${Variables:E2_7_1_15_km} + (E2_7_1_15 * C00673 * C00008))</v>
      </c>
      <c r="K170" s="40" t="str">
        <f t="shared" si="8"/>
        <v>r169: C00673 + C00008 -&gt; C01801 + C00002 | (${Variables:E2_7_1_15_kcat} * E2_7_1_15 * C00673 * C00008)/(${Variables:E2_7_1_15_km} + (E2_7_1_15 * C00673 * C00008))</v>
      </c>
    </row>
    <row r="171" spans="1:11" ht="43.5" x14ac:dyDescent="0.35">
      <c r="A171" s="8" t="s">
        <v>613</v>
      </c>
      <c r="B171" s="8" t="s">
        <v>614</v>
      </c>
      <c r="C171" s="8" t="s">
        <v>2154</v>
      </c>
      <c r="D171" s="8">
        <v>170</v>
      </c>
      <c r="E171" s="8" t="str">
        <f t="shared" si="6"/>
        <v>E2_7_1_21</v>
      </c>
      <c r="F171" s="8" t="s">
        <v>3617</v>
      </c>
      <c r="G171" s="8" t="s">
        <v>1459</v>
      </c>
      <c r="H171" s="8" t="s">
        <v>3974</v>
      </c>
      <c r="I171" s="8" t="s">
        <v>1460</v>
      </c>
      <c r="J171" s="8" t="str">
        <f t="shared" si="7"/>
        <v>(${Variables:E2_7_1_21_kcat} * E2_7_1_21 * C00002 * C00214)/(${Variables:E2_7_1_21_km} + (E2_7_1_21 * C00002 * C00214))</v>
      </c>
      <c r="K171" s="40" t="str">
        <f t="shared" si="8"/>
        <v>r170: C00002 + C00214 -&gt; C00008 + C00364 | (${Variables:E2_7_1_21_kcat} * E2_7_1_21 * C00002 * C00214)/(${Variables:E2_7_1_21_km} + (E2_7_1_21 * C00002 * C00214))</v>
      </c>
    </row>
    <row r="172" spans="1:11" ht="43.5" x14ac:dyDescent="0.35">
      <c r="A172" s="8" t="s">
        <v>613</v>
      </c>
      <c r="B172" s="8" t="s">
        <v>614</v>
      </c>
      <c r="C172" s="8" t="s">
        <v>2154</v>
      </c>
      <c r="D172" s="8">
        <v>171</v>
      </c>
      <c r="E172" s="8" t="str">
        <f t="shared" si="6"/>
        <v>E2_7_1_21</v>
      </c>
      <c r="F172" s="8" t="s">
        <v>3618</v>
      </c>
      <c r="G172" s="8" t="s">
        <v>1489</v>
      </c>
      <c r="H172" s="8" t="s">
        <v>3975</v>
      </c>
      <c r="I172" s="8" t="s">
        <v>1490</v>
      </c>
      <c r="J172" s="8" t="str">
        <f t="shared" si="7"/>
        <v>(${Variables:E2_7_1_21_kcat} * E2_7_1_21 * C00002 * C00526)/(${Variables:E2_7_1_21_km} + (E2_7_1_21 * C00002 * C00526))</v>
      </c>
      <c r="K172" s="40" t="str">
        <f t="shared" si="8"/>
        <v>r171: C00002 + C00526 -&gt; C00008 + C00365 | (${Variables:E2_7_1_21_kcat} * E2_7_1_21 * C00002 * C00526)/(${Variables:E2_7_1_21_km} + (E2_7_1_21 * C00002 * C00526))</v>
      </c>
    </row>
    <row r="173" spans="1:11" ht="43.5" x14ac:dyDescent="0.35">
      <c r="A173" s="8" t="s">
        <v>613</v>
      </c>
      <c r="B173" s="8" t="s">
        <v>614</v>
      </c>
      <c r="C173" s="8" t="s">
        <v>2154</v>
      </c>
      <c r="D173" s="8">
        <v>172</v>
      </c>
      <c r="E173" s="8" t="str">
        <f t="shared" si="6"/>
        <v>E2_7_1_21</v>
      </c>
      <c r="F173" s="8" t="s">
        <v>3619</v>
      </c>
      <c r="G173" s="8" t="s">
        <v>2045</v>
      </c>
      <c r="H173" s="8" t="s">
        <v>3976</v>
      </c>
      <c r="I173" s="8" t="s">
        <v>2046</v>
      </c>
      <c r="J173" s="8" t="str">
        <f t="shared" si="7"/>
        <v>(${Variables:E2_7_1_21_kcat} * E2_7_1_21 * C11736 * C00002)/(${Variables:E2_7_1_21_km} + (E2_7_1_21 * C11736 * C00002))</v>
      </c>
      <c r="K173" s="40" t="str">
        <f t="shared" si="8"/>
        <v>r172: C11736 + C00002 -&gt; C04242 + C00008 | (${Variables:E2_7_1_21_kcat} * E2_7_1_21 * C11736 * C00002)/(${Variables:E2_7_1_21_km} + (E2_7_1_21 * C11736 * C00002))</v>
      </c>
    </row>
    <row r="174" spans="1:11" ht="43.5" x14ac:dyDescent="0.35">
      <c r="A174" s="8" t="s">
        <v>376</v>
      </c>
      <c r="B174" s="8" t="s">
        <v>377</v>
      </c>
      <c r="C174" s="8" t="s">
        <v>2239</v>
      </c>
      <c r="D174" s="8">
        <v>173</v>
      </c>
      <c r="E174" s="8" t="str">
        <f t="shared" si="6"/>
        <v>E2_7_1_211</v>
      </c>
      <c r="F174" s="8" t="s">
        <v>3620</v>
      </c>
      <c r="G174" s="8" t="s">
        <v>1676</v>
      </c>
      <c r="H174" s="8" t="s">
        <v>3977</v>
      </c>
      <c r="I174" s="8" t="s">
        <v>1677</v>
      </c>
      <c r="J174" s="8" t="str">
        <f t="shared" si="7"/>
        <v>(${Variables:E2_7_1_211_kcat} * E2_7_1_211 * C00089 * C04261)/(${Variables:E2_7_1_211_km} + (E2_7_1_211 * C00089 * C04261))</v>
      </c>
      <c r="K174" s="40" t="str">
        <f t="shared" si="8"/>
        <v>r173: C00089 + C04261 -&gt; C16688 + C00615 | (${Variables:E2_7_1_211_kcat} * E2_7_1_211 * C00089 * C04261)/(${Variables:E2_7_1_211_km} + (E2_7_1_211 * C00089 * C04261))</v>
      </c>
    </row>
    <row r="175" spans="1:11" ht="43.5" x14ac:dyDescent="0.35">
      <c r="A175" s="8" t="s">
        <v>526</v>
      </c>
      <c r="B175" s="8" t="s">
        <v>527</v>
      </c>
      <c r="C175" s="8" t="s">
        <v>2116</v>
      </c>
      <c r="D175" s="8">
        <v>174</v>
      </c>
      <c r="E175" s="8" t="str">
        <f t="shared" si="6"/>
        <v>E2_7_1_23</v>
      </c>
      <c r="F175" s="8" t="s">
        <v>3621</v>
      </c>
      <c r="G175" s="8" t="s">
        <v>1364</v>
      </c>
      <c r="H175" s="8" t="s">
        <v>3978</v>
      </c>
      <c r="I175" s="8" t="s">
        <v>1365</v>
      </c>
      <c r="J175" s="8" t="str">
        <f t="shared" si="7"/>
        <v>(${Variables:E2_7_1_23_kcat} * E2_7_1_23 * C00002 * C00003)/(${Variables:E2_7_1_23_km} + (E2_7_1_23 * C00002 * C00003))</v>
      </c>
      <c r="K175" s="40" t="str">
        <f t="shared" si="8"/>
        <v>r174: C00002 + C00003 -&gt; C00008 + C00006 | (${Variables:E2_7_1_23_kcat} * E2_7_1_23 * C00002 * C00003)/(${Variables:E2_7_1_23_km} + (E2_7_1_23 * C00002 * C00003))</v>
      </c>
    </row>
    <row r="176" spans="1:11" ht="43.5" x14ac:dyDescent="0.35">
      <c r="A176" s="8" t="s">
        <v>1120</v>
      </c>
      <c r="B176" s="8" t="s">
        <v>1121</v>
      </c>
      <c r="C176" s="8" t="s">
        <v>2170</v>
      </c>
      <c r="D176" s="8">
        <v>175</v>
      </c>
      <c r="E176" s="8" t="str">
        <f t="shared" si="6"/>
        <v>E2_7_1_24</v>
      </c>
      <c r="F176" s="8" t="s">
        <v>3573</v>
      </c>
      <c r="G176" s="8" t="s">
        <v>1504</v>
      </c>
      <c r="H176" s="8" t="s">
        <v>3979</v>
      </c>
      <c r="I176" s="8" t="s">
        <v>1506</v>
      </c>
      <c r="J176" s="8" t="str">
        <f t="shared" si="7"/>
        <v>(${Variables:E2_7_1_24_kcat} * E2_7_1_24 * C00002 * C00882)/(${Variables:E2_7_1_24_km} + (E2_7_1_24 * C00002 * C00882))</v>
      </c>
      <c r="K176" s="40" t="str">
        <f t="shared" si="8"/>
        <v>r175: C00002 + C00882 -&gt; C00008 + C00010 | (${Variables:E2_7_1_24_kcat} * E2_7_1_24 * C00002 * C00882)/(${Variables:E2_7_1_24_km} + (E2_7_1_24 * C00002 * C00882))</v>
      </c>
    </row>
    <row r="177" spans="1:11" ht="43.5" x14ac:dyDescent="0.35">
      <c r="A177" s="8" t="s">
        <v>918</v>
      </c>
      <c r="B177" s="8" t="s">
        <v>919</v>
      </c>
      <c r="C177" s="8" t="s">
        <v>2155</v>
      </c>
      <c r="D177" s="8">
        <v>176</v>
      </c>
      <c r="E177" s="8" t="str">
        <f t="shared" si="6"/>
        <v>E2_7_1_26</v>
      </c>
      <c r="F177" s="8" t="s">
        <v>3622</v>
      </c>
      <c r="G177" s="8" t="s">
        <v>1463</v>
      </c>
      <c r="H177" s="8" t="s">
        <v>3980</v>
      </c>
      <c r="I177" s="8" t="s">
        <v>1464</v>
      </c>
      <c r="J177" s="8" t="str">
        <f t="shared" si="7"/>
        <v>(${Variables:E2_7_1_26_kcat} * E2_7_1_26 * C00002 * C00255)/(${Variables:E2_7_1_26_km} + (E2_7_1_26 * C00002 * C00255))</v>
      </c>
      <c r="K177" s="40" t="str">
        <f t="shared" si="8"/>
        <v>r176: C00002 + C00255 -&gt; C00008 + C00061 | (${Variables:E2_7_1_26_kcat} * E2_7_1_26 * C00002 * C00255)/(${Variables:E2_7_1_26_km} + (E2_7_1_26 * C00002 * C00255))</v>
      </c>
    </row>
    <row r="178" spans="1:11" ht="43.5" x14ac:dyDescent="0.35">
      <c r="A178" s="8" t="s">
        <v>1232</v>
      </c>
      <c r="B178" s="8" t="s">
        <v>1233</v>
      </c>
      <c r="C178" s="8" t="s">
        <v>2144</v>
      </c>
      <c r="D178" s="8">
        <v>177</v>
      </c>
      <c r="E178" s="8" t="str">
        <f t="shared" si="6"/>
        <v>E2_7_1_30</v>
      </c>
      <c r="F178" s="8" t="s">
        <v>3623</v>
      </c>
      <c r="G178" s="8" t="s">
        <v>1423</v>
      </c>
      <c r="H178" s="8" t="s">
        <v>3981</v>
      </c>
      <c r="I178" s="8" t="s">
        <v>1424</v>
      </c>
      <c r="J178" s="8" t="str">
        <f t="shared" si="7"/>
        <v>(${Variables:E2_7_1_30_kcat} * E2_7_1_30 * C00002 * C00116)/(${Variables:E2_7_1_30_km} + (E2_7_1_30 * C00002 * C00116))</v>
      </c>
      <c r="K178" s="40" t="str">
        <f t="shared" si="8"/>
        <v>r177: C00002 + C00116 -&gt; C00008 + C00093 | (${Variables:E2_7_1_30_kcat} * E2_7_1_30 * C00002 * C00116)/(${Variables:E2_7_1_30_km} + (E2_7_1_30 * C00002 * C00116))</v>
      </c>
    </row>
    <row r="179" spans="1:11" ht="43.5" x14ac:dyDescent="0.35">
      <c r="A179" s="8" t="s">
        <v>599</v>
      </c>
      <c r="B179" s="8" t="s">
        <v>600</v>
      </c>
      <c r="C179" s="8" t="s">
        <v>2157</v>
      </c>
      <c r="D179" s="8">
        <v>178</v>
      </c>
      <c r="E179" s="8" t="str">
        <f t="shared" si="6"/>
        <v>E2_7_1_31</v>
      </c>
      <c r="F179" s="8" t="s">
        <v>3624</v>
      </c>
      <c r="G179" s="8" t="s">
        <v>1467</v>
      </c>
      <c r="H179" s="8" t="s">
        <v>3982</v>
      </c>
      <c r="I179" s="8" t="s">
        <v>1468</v>
      </c>
      <c r="J179" s="8" t="str">
        <f t="shared" si="7"/>
        <v>(${Variables:E2_7_1_31_kcat} * E2_7_1_31 * C00002 * C00258)/(${Variables:E2_7_1_31_km} + (E2_7_1_31 * C00002 * C00258))</v>
      </c>
      <c r="K179" s="40" t="str">
        <f t="shared" si="8"/>
        <v>r178: C00002 + C00258 -&gt; C00008 + C00197 | (${Variables:E2_7_1_31_kcat} * E2_7_1_31 * C00002 * C00258)/(${Variables:E2_7_1_31_km} + (E2_7_1_31 * C00002 * C00258))</v>
      </c>
    </row>
    <row r="180" spans="1:11" ht="43.5" x14ac:dyDescent="0.35">
      <c r="A180" s="8" t="s">
        <v>1190</v>
      </c>
      <c r="B180" s="8" t="s">
        <v>1191</v>
      </c>
      <c r="C180" s="8" t="s">
        <v>2167</v>
      </c>
      <c r="D180" s="8">
        <v>179</v>
      </c>
      <c r="E180" s="8" t="str">
        <f t="shared" si="6"/>
        <v>E2_7_1_33</v>
      </c>
      <c r="F180" s="8" t="s">
        <v>3625</v>
      </c>
      <c r="G180" s="8" t="s">
        <v>1498</v>
      </c>
      <c r="H180" s="8" t="s">
        <v>3983</v>
      </c>
      <c r="I180" s="8" t="s">
        <v>1499</v>
      </c>
      <c r="J180" s="8" t="str">
        <f t="shared" si="7"/>
        <v>(${Variables:E2_7_1_33_kcat} * E2_7_1_33 * C00002 * C00831)/(${Variables:E2_7_1_33_km} + (E2_7_1_33 * C00002 * C00831))</v>
      </c>
      <c r="K180" s="40" t="str">
        <f t="shared" si="8"/>
        <v>r179: C00002 + C00831 -&gt; C00008 + C01134 | (${Variables:E2_7_1_33_kcat} * E2_7_1_33 * C00002 * C00831)/(${Variables:E2_7_1_33_km} + (E2_7_1_33 * C00002 * C00831))</v>
      </c>
    </row>
    <row r="181" spans="1:11" ht="43.5" x14ac:dyDescent="0.35">
      <c r="A181" s="8" t="s">
        <v>1190</v>
      </c>
      <c r="B181" s="8" t="s">
        <v>1191</v>
      </c>
      <c r="C181" s="8" t="s">
        <v>2167</v>
      </c>
      <c r="D181" s="8">
        <v>180</v>
      </c>
      <c r="E181" s="8" t="str">
        <f t="shared" si="6"/>
        <v>E2_7_1_33</v>
      </c>
      <c r="F181" s="8" t="s">
        <v>3626</v>
      </c>
      <c r="G181" s="8" t="s">
        <v>1502</v>
      </c>
      <c r="H181" s="8" t="s">
        <v>3984</v>
      </c>
      <c r="I181" s="8" t="s">
        <v>1503</v>
      </c>
      <c r="J181" s="8" t="str">
        <f t="shared" si="7"/>
        <v>(${Variables:E2_7_1_33_kcat} * E2_7_1_33 * C00002 * C00864)/(${Variables:E2_7_1_33_km} + (E2_7_1_33 * C00002 * C00864))</v>
      </c>
      <c r="K181" s="40" t="str">
        <f t="shared" si="8"/>
        <v>r180: C00002 + C00864 -&gt; C00008 + C03492 | (${Variables:E2_7_1_33_kcat} * E2_7_1_33 * C00002 * C00864)/(${Variables:E2_7_1_33_km} + (E2_7_1_33 * C00002 * C00864))</v>
      </c>
    </row>
    <row r="182" spans="1:11" ht="43.5" x14ac:dyDescent="0.35">
      <c r="A182" s="8" t="s">
        <v>1190</v>
      </c>
      <c r="B182" s="8" t="s">
        <v>1191</v>
      </c>
      <c r="C182" s="8" t="s">
        <v>2167</v>
      </c>
      <c r="D182" s="8">
        <v>181</v>
      </c>
      <c r="E182" s="8" t="str">
        <f t="shared" si="6"/>
        <v>E2_7_1_33</v>
      </c>
      <c r="F182" s="8" t="s">
        <v>3627</v>
      </c>
      <c r="G182" s="8" t="s">
        <v>1533</v>
      </c>
      <c r="H182" s="8" t="s">
        <v>3985</v>
      </c>
      <c r="I182" s="8" t="s">
        <v>1534</v>
      </c>
      <c r="J182" s="8" t="str">
        <f t="shared" si="7"/>
        <v>(${Variables:E2_7_1_33_kcat} * E2_7_1_33 * C00002 * C04079)/(${Variables:E2_7_1_33_km} + (E2_7_1_33 * C00002 * C04079))</v>
      </c>
      <c r="K182" s="40" t="str">
        <f t="shared" si="8"/>
        <v>r181: C00002 + C04079 -&gt; C00008 + C04352 | (${Variables:E2_7_1_33_kcat} * E2_7_1_33 * C00002 * C04079)/(${Variables:E2_7_1_33_km} + (E2_7_1_33 * C00002 * C04079))</v>
      </c>
    </row>
    <row r="183" spans="1:11" ht="43.5" x14ac:dyDescent="0.35">
      <c r="A183" s="8" t="s">
        <v>862</v>
      </c>
      <c r="B183" s="8" t="s">
        <v>863</v>
      </c>
      <c r="C183" s="8" t="s">
        <v>2162</v>
      </c>
      <c r="D183" s="8">
        <v>182</v>
      </c>
      <c r="E183" s="8" t="str">
        <f t="shared" si="6"/>
        <v>E2_7_1_36</v>
      </c>
      <c r="F183" s="8" t="s">
        <v>3628</v>
      </c>
      <c r="G183" s="8" t="s">
        <v>1483</v>
      </c>
      <c r="H183" s="8" t="s">
        <v>3986</v>
      </c>
      <c r="I183" s="8" t="s">
        <v>1484</v>
      </c>
      <c r="J183" s="8" t="str">
        <f t="shared" si="7"/>
        <v>(${Variables:E2_7_1_36_kcat} * E2_7_1_36 * C00002 * C00418)/(${Variables:E2_7_1_36_km} + (E2_7_1_36 * C00002 * C00418))</v>
      </c>
      <c r="K183" s="40" t="str">
        <f t="shared" si="8"/>
        <v>r182: C00002 + C00418 -&gt; C00008 + C01107 | (${Variables:E2_7_1_36_kcat} * E2_7_1_36 * C00002 * C00418)/(${Variables:E2_7_1_36_km} + (E2_7_1_36 * C00002 * C00418))</v>
      </c>
    </row>
    <row r="184" spans="1:11" ht="43.5" x14ac:dyDescent="0.35">
      <c r="A184" s="8" t="s">
        <v>887</v>
      </c>
      <c r="B184" s="8" t="s">
        <v>888</v>
      </c>
      <c r="C184" s="8" t="s">
        <v>2158</v>
      </c>
      <c r="D184" s="8">
        <v>183</v>
      </c>
      <c r="E184" s="8" t="str">
        <f t="shared" si="6"/>
        <v>E2_7_1_39</v>
      </c>
      <c r="F184" s="8" t="s">
        <v>3629</v>
      </c>
      <c r="G184" s="8" t="s">
        <v>1469</v>
      </c>
      <c r="H184" s="8" t="s">
        <v>3987</v>
      </c>
      <c r="I184" s="8" t="s">
        <v>1470</v>
      </c>
      <c r="J184" s="8" t="str">
        <f t="shared" si="7"/>
        <v>(${Variables:E2_7_1_39_kcat} * E2_7_1_39 * C00002 * C00263)/(${Variables:E2_7_1_39_km} + (E2_7_1_39 * C00002 * C00263))</v>
      </c>
      <c r="K184" s="40" t="str">
        <f t="shared" si="8"/>
        <v>r183: C00002 + C00263 -&gt; C00008 + C01102 | (${Variables:E2_7_1_39_kcat} * E2_7_1_39 * C00002 * C00263)/(${Variables:E2_7_1_39_km} + (E2_7_1_39 * C00002 * C00263))</v>
      </c>
    </row>
    <row r="185" spans="1:11" ht="43.5" x14ac:dyDescent="0.35">
      <c r="A185" s="8" t="s">
        <v>795</v>
      </c>
      <c r="B185" s="8" t="s">
        <v>796</v>
      </c>
      <c r="C185" s="8" t="s">
        <v>2118</v>
      </c>
      <c r="D185" s="8">
        <v>184</v>
      </c>
      <c r="E185" s="8" t="str">
        <f t="shared" si="6"/>
        <v>E2_7_1_40</v>
      </c>
      <c r="F185" s="8" t="s">
        <v>3630</v>
      </c>
      <c r="G185" s="8" t="s">
        <v>1368</v>
      </c>
      <c r="H185" s="8" t="s">
        <v>3988</v>
      </c>
      <c r="I185" s="8" t="s">
        <v>1369</v>
      </c>
      <c r="J185" s="8" t="str">
        <f t="shared" si="7"/>
        <v>(${Variables:E2_7_1_40_kcat} * E2_7_1_40 * C00002 * C00022)/(${Variables:E2_7_1_40_km} + (E2_7_1_40 * C00002 * C00022))</v>
      </c>
      <c r="K185" s="40" t="str">
        <f t="shared" si="8"/>
        <v>r184: C00002 + C00022 -&gt; C00008 + C00074 | (${Variables:E2_7_1_40_kcat} * E2_7_1_40 * C00002 * C00022)/(${Variables:E2_7_1_40_km} + (E2_7_1_40 * C00002 * C00022))</v>
      </c>
    </row>
    <row r="186" spans="1:11" ht="43.5" x14ac:dyDescent="0.35">
      <c r="A186" s="8" t="s">
        <v>795</v>
      </c>
      <c r="B186" s="8" t="s">
        <v>796</v>
      </c>
      <c r="C186" s="8" t="s">
        <v>2118</v>
      </c>
      <c r="D186" s="8">
        <v>185</v>
      </c>
      <c r="E186" s="8" t="str">
        <f t="shared" si="6"/>
        <v>E2_7_1_40</v>
      </c>
      <c r="F186" s="8" t="s">
        <v>3631</v>
      </c>
      <c r="G186" s="8" t="s">
        <v>1601</v>
      </c>
      <c r="H186" s="8" t="s">
        <v>3989</v>
      </c>
      <c r="I186" s="8" t="s">
        <v>1602</v>
      </c>
      <c r="J186" s="8" t="str">
        <f t="shared" si="7"/>
        <v>(${Variables:E2_7_1_40_kcat} * E2_7_1_40 * C00044 * C00022)/(${Variables:E2_7_1_40_km} + (E2_7_1_40 * C00044 * C00022))</v>
      </c>
      <c r="K186" s="40" t="str">
        <f t="shared" si="8"/>
        <v>r185: C00044 + C00022 -&gt; C00035 + C00074 | (${Variables:E2_7_1_40_kcat} * E2_7_1_40 * C00044 * C00022)/(${Variables:E2_7_1_40_km} + (E2_7_1_40 * C00044 * C00022))</v>
      </c>
    </row>
    <row r="187" spans="1:11" ht="43.5" x14ac:dyDescent="0.35">
      <c r="A187" s="8" t="s">
        <v>795</v>
      </c>
      <c r="B187" s="8" t="s">
        <v>796</v>
      </c>
      <c r="C187" s="8" t="s">
        <v>2118</v>
      </c>
      <c r="D187" s="8">
        <v>186</v>
      </c>
      <c r="E187" s="8" t="str">
        <f t="shared" si="6"/>
        <v>E2_7_1_40</v>
      </c>
      <c r="F187" s="8" t="s">
        <v>3632</v>
      </c>
      <c r="G187" s="8" t="s">
        <v>1619</v>
      </c>
      <c r="H187" s="8" t="s">
        <v>3990</v>
      </c>
      <c r="I187" s="8" t="s">
        <v>1620</v>
      </c>
      <c r="J187" s="8" t="str">
        <f t="shared" si="7"/>
        <v>(${Variables:E2_7_1_40_kcat} * E2_7_1_40 * C00063 * C00022)/(${Variables:E2_7_1_40_km} + (E2_7_1_40 * C00063 * C00022))</v>
      </c>
      <c r="K187" s="40" t="str">
        <f t="shared" si="8"/>
        <v>r186: C00063 + C00022 -&gt; C00112 + C00074 | (${Variables:E2_7_1_40_kcat} * E2_7_1_40 * C00063 * C00022)/(${Variables:E2_7_1_40_km} + (E2_7_1_40 * C00063 * C00022))</v>
      </c>
    </row>
    <row r="188" spans="1:11" ht="43.5" x14ac:dyDescent="0.35">
      <c r="A188" s="8" t="s">
        <v>795</v>
      </c>
      <c r="B188" s="8" t="s">
        <v>796</v>
      </c>
      <c r="C188" s="8" t="s">
        <v>2118</v>
      </c>
      <c r="D188" s="8">
        <v>187</v>
      </c>
      <c r="E188" s="8" t="str">
        <f t="shared" si="6"/>
        <v>E2_7_1_40</v>
      </c>
      <c r="F188" s="8" t="s">
        <v>3633</v>
      </c>
      <c r="G188" s="8" t="s">
        <v>1648</v>
      </c>
      <c r="H188" s="8" t="s">
        <v>3991</v>
      </c>
      <c r="I188" s="8" t="s">
        <v>1649</v>
      </c>
      <c r="J188" s="8" t="str">
        <f t="shared" si="7"/>
        <v>(${Variables:E2_7_1_40_kcat} * E2_7_1_40 * C00075 * C00022)/(${Variables:E2_7_1_40_km} + (E2_7_1_40 * C00075 * C00022))</v>
      </c>
      <c r="K188" s="40" t="str">
        <f t="shared" si="8"/>
        <v>r187: C00075 + C00022 -&gt; C00015 + C00074 | (${Variables:E2_7_1_40_kcat} * E2_7_1_40 * C00075 * C00022)/(${Variables:E2_7_1_40_km} + (E2_7_1_40 * C00075 * C00022))</v>
      </c>
    </row>
    <row r="189" spans="1:11" ht="43.5" x14ac:dyDescent="0.35">
      <c r="A189" s="8" t="s">
        <v>795</v>
      </c>
      <c r="B189" s="8" t="s">
        <v>796</v>
      </c>
      <c r="C189" s="8" t="s">
        <v>2118</v>
      </c>
      <c r="D189" s="8">
        <v>188</v>
      </c>
      <c r="E189" s="8" t="str">
        <f t="shared" si="6"/>
        <v>E2_7_1_40</v>
      </c>
      <c r="F189" s="8" t="s">
        <v>3634</v>
      </c>
      <c r="G189" s="8" t="s">
        <v>1661</v>
      </c>
      <c r="H189" s="8" t="s">
        <v>3992</v>
      </c>
      <c r="I189" s="8" t="s">
        <v>1662</v>
      </c>
      <c r="J189" s="8" t="str">
        <f t="shared" si="7"/>
        <v>(${Variables:E2_7_1_40_kcat} * E2_7_1_40 * C00081 * C00022)/(${Variables:E2_7_1_40_km} + (E2_7_1_40 * C00081 * C00022))</v>
      </c>
      <c r="K189" s="40" t="str">
        <f t="shared" si="8"/>
        <v>r188: C00081 + C00022 -&gt; C00104 + C00074 | (${Variables:E2_7_1_40_kcat} * E2_7_1_40 * C00081 * C00022)/(${Variables:E2_7_1_40_km} + (E2_7_1_40 * C00081 * C00022))</v>
      </c>
    </row>
    <row r="190" spans="1:11" ht="43.5" x14ac:dyDescent="0.35">
      <c r="A190" s="8" t="s">
        <v>795</v>
      </c>
      <c r="B190" s="8" t="s">
        <v>796</v>
      </c>
      <c r="C190" s="8" t="s">
        <v>2118</v>
      </c>
      <c r="D190" s="8">
        <v>189</v>
      </c>
      <c r="E190" s="8" t="str">
        <f t="shared" si="6"/>
        <v>E2_7_1_40</v>
      </c>
      <c r="F190" s="8" t="s">
        <v>3635</v>
      </c>
      <c r="G190" s="8" t="s">
        <v>1717</v>
      </c>
      <c r="H190" s="8" t="s">
        <v>3993</v>
      </c>
      <c r="I190" s="8" t="s">
        <v>1718</v>
      </c>
      <c r="J190" s="8" t="str">
        <f t="shared" si="7"/>
        <v>(${Variables:E2_7_1_40_kcat} * E2_7_1_40 * C00131 * C00022)/(${Variables:E2_7_1_40_km} + (E2_7_1_40 * C00131 * C00022))</v>
      </c>
      <c r="K190" s="40" t="str">
        <f t="shared" si="8"/>
        <v>r189: C00131 + C00022 -&gt; C00206 + C00074 | (${Variables:E2_7_1_40_kcat} * E2_7_1_40 * C00131 * C00022)/(${Variables:E2_7_1_40_km} + (E2_7_1_40 * C00131 * C00022))</v>
      </c>
    </row>
    <row r="191" spans="1:11" ht="43.5" x14ac:dyDescent="0.35">
      <c r="A191" s="8" t="s">
        <v>795</v>
      </c>
      <c r="B191" s="8" t="s">
        <v>796</v>
      </c>
      <c r="C191" s="8" t="s">
        <v>2118</v>
      </c>
      <c r="D191" s="8">
        <v>190</v>
      </c>
      <c r="E191" s="8" t="str">
        <f t="shared" si="6"/>
        <v>E2_7_1_40</v>
      </c>
      <c r="F191" s="8" t="s">
        <v>3636</v>
      </c>
      <c r="G191" s="8" t="s">
        <v>1750</v>
      </c>
      <c r="H191" s="8" t="s">
        <v>3994</v>
      </c>
      <c r="I191" s="8" t="s">
        <v>1751</v>
      </c>
      <c r="J191" s="8" t="str">
        <f t="shared" si="7"/>
        <v>(${Variables:E2_7_1_40_kcat} * E2_7_1_40 * C00201 * C00022)/(${Variables:E2_7_1_40_km} + (E2_7_1_40 * C00201 * C00022))</v>
      </c>
      <c r="K191" s="40" t="str">
        <f t="shared" si="8"/>
        <v>r190: C00201 + C00022 -&gt; C00454 + C00074 | (${Variables:E2_7_1_40_kcat} * E2_7_1_40 * C00201 * C00022)/(${Variables:E2_7_1_40_km} + (E2_7_1_40 * C00201 * C00022))</v>
      </c>
    </row>
    <row r="192" spans="1:11" ht="43.5" x14ac:dyDescent="0.35">
      <c r="A192" s="8" t="s">
        <v>795</v>
      </c>
      <c r="B192" s="8" t="s">
        <v>796</v>
      </c>
      <c r="C192" s="8" t="s">
        <v>2118</v>
      </c>
      <c r="D192" s="8">
        <v>191</v>
      </c>
      <c r="E192" s="8" t="str">
        <f t="shared" si="6"/>
        <v>E2_7_1_40</v>
      </c>
      <c r="F192" s="8" t="s">
        <v>3637</v>
      </c>
      <c r="G192" s="8" t="s">
        <v>1780</v>
      </c>
      <c r="H192" s="8" t="s">
        <v>3995</v>
      </c>
      <c r="I192" s="8" t="s">
        <v>1781</v>
      </c>
      <c r="J192" s="8" t="str">
        <f t="shared" si="7"/>
        <v>(${Variables:E2_7_1_40_kcat} * E2_7_1_40 * C00286 * C00022)/(${Variables:E2_7_1_40_km} + (E2_7_1_40 * C00286 * C00022))</v>
      </c>
      <c r="K192" s="40" t="str">
        <f t="shared" si="8"/>
        <v>r191: C00286 + C00022 -&gt; C00361 + C00074 | (${Variables:E2_7_1_40_kcat} * E2_7_1_40 * C00286 * C00022)/(${Variables:E2_7_1_40_km} + (E2_7_1_40 * C00286 * C00022))</v>
      </c>
    </row>
    <row r="193" spans="1:11" ht="43.5" x14ac:dyDescent="0.35">
      <c r="A193" s="8" t="s">
        <v>487</v>
      </c>
      <c r="B193" s="8" t="s">
        <v>488</v>
      </c>
      <c r="C193" s="8" t="s">
        <v>2159</v>
      </c>
      <c r="D193" s="8">
        <v>192</v>
      </c>
      <c r="E193" s="8" t="str">
        <f t="shared" si="6"/>
        <v>E2_7_1_48</v>
      </c>
      <c r="F193" s="8" t="s">
        <v>3638</v>
      </c>
      <c r="G193" s="8" t="s">
        <v>1475</v>
      </c>
      <c r="H193" s="8" t="s">
        <v>3996</v>
      </c>
      <c r="I193" s="8" t="s">
        <v>1476</v>
      </c>
      <c r="J193" s="8" t="str">
        <f t="shared" si="7"/>
        <v>(${Variables:E2_7_1_48_kcat} * E2_7_1_48 * C00002 * C00299)/(${Variables:E2_7_1_48_km} + (E2_7_1_48 * C00002 * C00299))</v>
      </c>
      <c r="K193" s="40" t="str">
        <f t="shared" si="8"/>
        <v>r192: C00002 + C00299 -&gt; C00008 + C00105 | (${Variables:E2_7_1_48_kcat} * E2_7_1_48 * C00002 * C00299)/(${Variables:E2_7_1_48_km} + (E2_7_1_48 * C00002 * C00299))</v>
      </c>
    </row>
    <row r="194" spans="1:11" ht="43.5" x14ac:dyDescent="0.35">
      <c r="A194" s="8" t="s">
        <v>487</v>
      </c>
      <c r="B194" s="8" t="s">
        <v>488</v>
      </c>
      <c r="C194" s="8" t="s">
        <v>2159</v>
      </c>
      <c r="D194" s="8">
        <v>193</v>
      </c>
      <c r="E194" s="8" t="str">
        <f t="shared" ref="E194:E257" si="9">CONCATENATE("E",C194)</f>
        <v>E2_7_1_48</v>
      </c>
      <c r="F194" s="8" t="s">
        <v>3639</v>
      </c>
      <c r="G194" s="8" t="s">
        <v>1487</v>
      </c>
      <c r="H194" s="8" t="s">
        <v>3997</v>
      </c>
      <c r="I194" s="8" t="s">
        <v>1488</v>
      </c>
      <c r="J194" s="8" t="str">
        <f t="shared" ref="J194:J257" si="10">CONCATENATE("(${Variables:",E194,"_kcat","} * ",E194," * ",G194,")","/(${Variables:",E194,"_km","} + (",E194," * ",G194,"))")</f>
        <v>(${Variables:E2_7_1_48_kcat} * E2_7_1_48 * C00002 * C00475)/(${Variables:E2_7_1_48_km} + (E2_7_1_48 * C00002 * C00475))</v>
      </c>
      <c r="K194" s="40" t="str">
        <f t="shared" ref="K194:K257" si="11">CONCATENATE("r",D194,": ",F194," -&gt; ",H194," | ",J194)</f>
        <v>r193: C00002 + C00475 -&gt; C00008 + C00055 | (${Variables:E2_7_1_48_kcat} * E2_7_1_48 * C00002 * C00475)/(${Variables:E2_7_1_48_km} + (E2_7_1_48 * C00002 * C00475))</v>
      </c>
    </row>
    <row r="195" spans="1:11" ht="43.5" x14ac:dyDescent="0.35">
      <c r="A195" s="8" t="s">
        <v>487</v>
      </c>
      <c r="B195" s="8" t="s">
        <v>488</v>
      </c>
      <c r="C195" s="8" t="s">
        <v>2159</v>
      </c>
      <c r="D195" s="8">
        <v>194</v>
      </c>
      <c r="E195" s="8" t="str">
        <f t="shared" si="9"/>
        <v>E2_7_1_48</v>
      </c>
      <c r="F195" s="8" t="s">
        <v>3640</v>
      </c>
      <c r="G195" s="8" t="s">
        <v>1606</v>
      </c>
      <c r="H195" s="8" t="s">
        <v>3998</v>
      </c>
      <c r="I195" s="8" t="s">
        <v>1607</v>
      </c>
      <c r="J195" s="8" t="str">
        <f t="shared" si="10"/>
        <v>(${Variables:E2_7_1_48_kcat} * E2_7_1_48 * C00044 * C00299)/(${Variables:E2_7_1_48_km} + (E2_7_1_48 * C00044 * C00299))</v>
      </c>
      <c r="K195" s="40" t="str">
        <f t="shared" si="11"/>
        <v>r194: C00044 + C00299 -&gt; C00035 + C00105 | (${Variables:E2_7_1_48_kcat} * E2_7_1_48 * C00044 * C00299)/(${Variables:E2_7_1_48_km} + (E2_7_1_48 * C00044 * C00299))</v>
      </c>
    </row>
    <row r="196" spans="1:11" ht="43.5" x14ac:dyDescent="0.35">
      <c r="A196" s="8" t="s">
        <v>487</v>
      </c>
      <c r="B196" s="8" t="s">
        <v>488</v>
      </c>
      <c r="C196" s="8" t="s">
        <v>2159</v>
      </c>
      <c r="D196" s="8">
        <v>195</v>
      </c>
      <c r="E196" s="8" t="str">
        <f t="shared" si="9"/>
        <v>E2_7_1_48</v>
      </c>
      <c r="F196" s="8" t="s">
        <v>3641</v>
      </c>
      <c r="G196" s="8" t="s">
        <v>1608</v>
      </c>
      <c r="H196" s="8" t="s">
        <v>3999</v>
      </c>
      <c r="I196" s="8" t="s">
        <v>1609</v>
      </c>
      <c r="J196" s="8" t="str">
        <f t="shared" si="10"/>
        <v>(${Variables:E2_7_1_48_kcat} * E2_7_1_48 * C00044 * C00475)/(${Variables:E2_7_1_48_km} + (E2_7_1_48 * C00044 * C00475))</v>
      </c>
      <c r="K196" s="40" t="str">
        <f t="shared" si="11"/>
        <v>r195: C00044 + C00475 -&gt; C00035 + C00055 | (${Variables:E2_7_1_48_kcat} * E2_7_1_48 * C00044 * C00475)/(${Variables:E2_7_1_48_km} + (E2_7_1_48 * C00044 * C00475))</v>
      </c>
    </row>
    <row r="197" spans="1:11" ht="43.5" x14ac:dyDescent="0.35">
      <c r="A197" s="8" t="s">
        <v>487</v>
      </c>
      <c r="B197" s="8" t="s">
        <v>488</v>
      </c>
      <c r="C197" s="8" t="s">
        <v>2159</v>
      </c>
      <c r="D197" s="8">
        <v>196</v>
      </c>
      <c r="E197" s="8" t="str">
        <f t="shared" si="9"/>
        <v>E2_7_1_48</v>
      </c>
      <c r="F197" s="8" t="s">
        <v>3642</v>
      </c>
      <c r="G197" s="8" t="s">
        <v>2063</v>
      </c>
      <c r="H197" s="8" t="s">
        <v>4000</v>
      </c>
      <c r="I197" s="8" t="s">
        <v>2064</v>
      </c>
      <c r="J197" s="8" t="str">
        <f t="shared" si="10"/>
        <v>(${Variables:E2_7_1_48_kcat} * E2_7_1_48 * C16633 * C00002)/(${Variables:E2_7_1_48_km} + (E2_7_1_48 * C16633 * C00002))</v>
      </c>
      <c r="K197" s="40" t="str">
        <f t="shared" si="11"/>
        <v>r196: C16633 + C00002 -&gt; C16634 + C00008 | (${Variables:E2_7_1_48_kcat} * E2_7_1_48 * C16633 * C00002)/(${Variables:E2_7_1_48_km} + (E2_7_1_48 * C16633 * C00002))</v>
      </c>
    </row>
    <row r="198" spans="1:11" ht="43.5" x14ac:dyDescent="0.35">
      <c r="A198" s="8" t="s">
        <v>1236</v>
      </c>
      <c r="B198" s="8" t="s">
        <v>1237</v>
      </c>
      <c r="C198" s="8" t="s">
        <v>2178</v>
      </c>
      <c r="D198" s="8">
        <v>197</v>
      </c>
      <c r="E198" s="8" t="str">
        <f t="shared" si="9"/>
        <v>E2_7_1_49</v>
      </c>
      <c r="F198" s="8" t="s">
        <v>3643</v>
      </c>
      <c r="G198" s="8" t="s">
        <v>1523</v>
      </c>
      <c r="H198" s="8" t="s">
        <v>4001</v>
      </c>
      <c r="I198" s="8" t="s">
        <v>1524</v>
      </c>
      <c r="J198" s="8" t="str">
        <f t="shared" si="10"/>
        <v>(${Variables:E2_7_1_49_kcat} * E2_7_1_49 * C00002 * C01279)/(${Variables:E2_7_1_49_km} + (E2_7_1_49 * C00002 * C01279))</v>
      </c>
      <c r="K198" s="40" t="str">
        <f t="shared" si="11"/>
        <v>r197: C00002 + C01279 -&gt; C00008 + C04556 | (${Variables:E2_7_1_49_kcat} * E2_7_1_49 * C00002 * C01279)/(${Variables:E2_7_1_49_km} + (E2_7_1_49 * C00002 * C01279))</v>
      </c>
    </row>
    <row r="199" spans="1:11" ht="43.5" x14ac:dyDescent="0.35">
      <c r="A199" s="8" t="s">
        <v>1216</v>
      </c>
      <c r="B199" s="8" t="s">
        <v>1217</v>
      </c>
      <c r="C199" s="8" t="s">
        <v>2173</v>
      </c>
      <c r="D199" s="8">
        <v>198</v>
      </c>
      <c r="E199" s="8" t="str">
        <f t="shared" si="9"/>
        <v>E2_7_1_56</v>
      </c>
      <c r="F199" s="8" t="s">
        <v>3644</v>
      </c>
      <c r="G199" s="8" t="s">
        <v>1511</v>
      </c>
      <c r="H199" s="8" t="s">
        <v>3960</v>
      </c>
      <c r="I199" s="8" t="s">
        <v>1416</v>
      </c>
      <c r="J199" s="8" t="str">
        <f t="shared" si="10"/>
        <v>(${Variables:E2_7_1_56_kcat} * E2_7_1_56 * C00002 * C01094)/(${Variables:E2_7_1_56_km} + (E2_7_1_56 * C00002 * C01094))</v>
      </c>
      <c r="K199" s="40" t="str">
        <f t="shared" si="11"/>
        <v>r198: C00002 + C01094 -&gt; C00008 + C00354 | (${Variables:E2_7_1_56_kcat} * E2_7_1_56 * C00002 * C01094)/(${Variables:E2_7_1_56_km} + (E2_7_1_56 * C00002 * C01094))</v>
      </c>
    </row>
    <row r="200" spans="1:11" ht="43.5" x14ac:dyDescent="0.35">
      <c r="A200" s="8" t="s">
        <v>1216</v>
      </c>
      <c r="B200" s="8" t="s">
        <v>1217</v>
      </c>
      <c r="C200" s="8" t="s">
        <v>2173</v>
      </c>
      <c r="D200" s="8">
        <v>199</v>
      </c>
      <c r="E200" s="8" t="str">
        <f t="shared" si="9"/>
        <v>E2_7_1_56</v>
      </c>
      <c r="F200" s="8" t="s">
        <v>3644</v>
      </c>
      <c r="G200" s="8" t="s">
        <v>1511</v>
      </c>
      <c r="H200" s="8" t="s">
        <v>3962</v>
      </c>
      <c r="I200" s="8" t="s">
        <v>1512</v>
      </c>
      <c r="J200" s="8" t="str">
        <f t="shared" si="10"/>
        <v>(${Variables:E2_7_1_56_kcat} * E2_7_1_56 * C00002 * C01094)/(${Variables:E2_7_1_56_km} + (E2_7_1_56 * C00002 * C01094))</v>
      </c>
      <c r="K200" s="40" t="str">
        <f t="shared" si="11"/>
        <v>r199: C00002 + C01094 -&gt; C00008 + C05378 | (${Variables:E2_7_1_56_kcat} * E2_7_1_56 * C00002 * C01094)/(${Variables:E2_7_1_56_km} + (E2_7_1_56 * C00002 * C01094))</v>
      </c>
    </row>
    <row r="201" spans="1:11" ht="43.5" x14ac:dyDescent="0.35">
      <c r="A201" s="8" t="s">
        <v>1216</v>
      </c>
      <c r="B201" s="8" t="s">
        <v>1217</v>
      </c>
      <c r="C201" s="8" t="s">
        <v>2173</v>
      </c>
      <c r="D201" s="8">
        <v>200</v>
      </c>
      <c r="E201" s="8" t="str">
        <f t="shared" si="9"/>
        <v>E2_7_1_56</v>
      </c>
      <c r="F201" s="8" t="s">
        <v>3612</v>
      </c>
      <c r="G201" s="8" t="s">
        <v>1899</v>
      </c>
      <c r="H201" s="8" t="s">
        <v>3969</v>
      </c>
      <c r="I201" s="8" t="s">
        <v>1900</v>
      </c>
      <c r="J201" s="8" t="str">
        <f t="shared" si="10"/>
        <v>(${Variables:E2_7_1_56_kcat} * E2_7_1_56 * C01097 * C00002)/(${Variables:E2_7_1_56_km} + (E2_7_1_56 * C01097 * C00002))</v>
      </c>
      <c r="K201" s="40" t="str">
        <f t="shared" si="11"/>
        <v>r200: C01097 + C00002 -&gt; C03785 + C00008 | (${Variables:E2_7_1_56_kcat} * E2_7_1_56 * C01097 * C00002)/(${Variables:E2_7_1_56_km} + (E2_7_1_56 * C01097 * C00002))</v>
      </c>
    </row>
    <row r="202" spans="1:11" ht="43.5" x14ac:dyDescent="0.35">
      <c r="A202" s="8" t="s">
        <v>1062</v>
      </c>
      <c r="B202" s="8" t="s">
        <v>1063</v>
      </c>
      <c r="C202" s="8" t="s">
        <v>2171</v>
      </c>
      <c r="D202" s="8">
        <v>201</v>
      </c>
      <c r="E202" s="8" t="str">
        <f t="shared" si="9"/>
        <v>E2_7_1_6</v>
      </c>
      <c r="F202" s="8" t="s">
        <v>3645</v>
      </c>
      <c r="G202" s="8" t="s">
        <v>1507</v>
      </c>
      <c r="H202" s="8" t="s">
        <v>4002</v>
      </c>
      <c r="I202" s="8" t="s">
        <v>1508</v>
      </c>
      <c r="J202" s="8" t="str">
        <f t="shared" si="10"/>
        <v>(${Variables:E2_7_1_6_kcat} * E2_7_1_6 * C00002 * C00984)/(${Variables:E2_7_1_6_km} + (E2_7_1_6 * C00002 * C00984))</v>
      </c>
      <c r="K202" s="40" t="str">
        <f t="shared" si="11"/>
        <v>r201: C00002 + C00984 -&gt; C00008 + C00446 | (${Variables:E2_7_1_6_kcat} * E2_7_1_6 * C00002 * C00984)/(${Variables:E2_7_1_6_km} + (E2_7_1_6 * C00002 * C00984))</v>
      </c>
    </row>
    <row r="203" spans="1:11" ht="43.5" x14ac:dyDescent="0.35">
      <c r="A203" s="8" t="s">
        <v>1203</v>
      </c>
      <c r="B203" s="8" t="s">
        <v>1204</v>
      </c>
      <c r="C203" s="8" t="s">
        <v>2164</v>
      </c>
      <c r="D203" s="8">
        <v>202</v>
      </c>
      <c r="E203" s="8" t="str">
        <f t="shared" si="9"/>
        <v>E2_7_10_2</v>
      </c>
      <c r="F203" s="8" t="s">
        <v>3646</v>
      </c>
      <c r="G203" s="8" t="s">
        <v>1491</v>
      </c>
      <c r="H203" s="8" t="s">
        <v>4003</v>
      </c>
      <c r="I203" s="8" t="s">
        <v>1492</v>
      </c>
      <c r="J203" s="8" t="str">
        <f t="shared" si="10"/>
        <v>(${Variables:E2_7_10_2_kcat} * E2_7_10_2 * C00002 * C00585)/(${Variables:E2_7_10_2_km} + (E2_7_10_2 * C00002 * C00585))</v>
      </c>
      <c r="K203" s="40" t="str">
        <f t="shared" si="11"/>
        <v>r202: C00002 + C00585 -&gt; C00008 + C01167 | (${Variables:E2_7_10_2_kcat} * E2_7_10_2 * C00002 * C00585)/(${Variables:E2_7_10_2_km} + (E2_7_10_2 * C00002 * C00585))</v>
      </c>
    </row>
    <row r="204" spans="1:11" ht="43.5" x14ac:dyDescent="0.35">
      <c r="A204" s="8" t="s">
        <v>76</v>
      </c>
      <c r="B204" s="8" t="s">
        <v>77</v>
      </c>
      <c r="C204" s="8" t="s">
        <v>2165</v>
      </c>
      <c r="D204" s="8">
        <v>203</v>
      </c>
      <c r="E204" s="8" t="str">
        <f t="shared" si="9"/>
        <v>E2_7_13_3</v>
      </c>
      <c r="F204" s="8" t="s">
        <v>3647</v>
      </c>
      <c r="G204" s="8" t="s">
        <v>1493</v>
      </c>
      <c r="H204" s="8" t="s">
        <v>1294</v>
      </c>
      <c r="I204" s="8" t="s">
        <v>1294</v>
      </c>
      <c r="J204" s="8" t="str">
        <f t="shared" si="10"/>
        <v>(${Variables:E2_7_13_3_kcat} * E2_7_13_3 * C00002 * C00615)/(${Variables:E2_7_13_3_km} + (E2_7_13_3 * C00002 * C00615))</v>
      </c>
      <c r="K204" s="40" t="str">
        <f t="shared" si="11"/>
        <v>r203: C00002 + C00615 -&gt; C00008 | (${Variables:E2_7_13_3_kcat} * E2_7_13_3 * C00002 * C00615)/(${Variables:E2_7_13_3_km} + (E2_7_13_3 * C00002 * C00615))</v>
      </c>
    </row>
    <row r="205" spans="1:11" ht="43.5" x14ac:dyDescent="0.35">
      <c r="A205" s="8" t="s">
        <v>442</v>
      </c>
      <c r="B205" s="8" t="s">
        <v>443</v>
      </c>
      <c r="C205" s="8" t="s">
        <v>2120</v>
      </c>
      <c r="D205" s="8">
        <v>204</v>
      </c>
      <c r="E205" s="8" t="str">
        <f t="shared" si="9"/>
        <v>E2_7_2_1</v>
      </c>
      <c r="F205" s="8" t="s">
        <v>3648</v>
      </c>
      <c r="G205" s="8" t="s">
        <v>1372</v>
      </c>
      <c r="H205" s="8" t="s">
        <v>4004</v>
      </c>
      <c r="I205" s="8" t="s">
        <v>1373</v>
      </c>
      <c r="J205" s="8" t="str">
        <f t="shared" si="10"/>
        <v>(${Variables:E2_7_2_1_kcat} * E2_7_2_1 * C00002 * C00033)/(${Variables:E2_7_2_1_km} + (E2_7_2_1 * C00002 * C00033))</v>
      </c>
      <c r="K205" s="40" t="str">
        <f t="shared" si="11"/>
        <v>r204: C00002 + C00033 -&gt; C00008 + C00227 | (${Variables:E2_7_2_1_kcat} * E2_7_2_1 * C00002 * C00033)/(${Variables:E2_7_2_1_km} + (E2_7_2_1 * C00002 * C00033))</v>
      </c>
    </row>
    <row r="206" spans="1:11" ht="43.5" x14ac:dyDescent="0.35">
      <c r="A206" s="8" t="s">
        <v>442</v>
      </c>
      <c r="B206" s="8" t="s">
        <v>443</v>
      </c>
      <c r="C206" s="8" t="s">
        <v>2120</v>
      </c>
      <c r="D206" s="8">
        <v>205</v>
      </c>
      <c r="E206" s="8" t="str">
        <f t="shared" si="9"/>
        <v>E2_7_2_1</v>
      </c>
      <c r="F206" s="8" t="s">
        <v>3649</v>
      </c>
      <c r="G206" s="8" t="s">
        <v>1451</v>
      </c>
      <c r="H206" s="8" t="s">
        <v>4005</v>
      </c>
      <c r="I206" s="8" t="s">
        <v>1452</v>
      </c>
      <c r="J206" s="8" t="str">
        <f t="shared" si="10"/>
        <v>(${Variables:E2_7_2_1_kcat} * E2_7_2_1 * C00002 * C00163)/(${Variables:E2_7_2_1_km} + (E2_7_2_1 * C00002 * C00163))</v>
      </c>
      <c r="K206" s="40" t="str">
        <f t="shared" si="11"/>
        <v>r205: C00002 + C00163 -&gt; C00008 + C02876 | (${Variables:E2_7_2_1_kcat} * E2_7_2_1 * C00002 * C00163)/(${Variables:E2_7_2_1_km} + (E2_7_2_1 * C00002 * C00163))</v>
      </c>
    </row>
    <row r="207" spans="1:11" ht="43.5" x14ac:dyDescent="0.35">
      <c r="A207" s="8" t="s">
        <v>574</v>
      </c>
      <c r="B207" s="8" t="s">
        <v>575</v>
      </c>
      <c r="C207" s="8" t="s">
        <v>2153</v>
      </c>
      <c r="D207" s="8">
        <v>206</v>
      </c>
      <c r="E207" s="8" t="str">
        <f t="shared" si="9"/>
        <v>E2_7_2_3</v>
      </c>
      <c r="F207" s="8" t="s">
        <v>3650</v>
      </c>
      <c r="G207" s="8" t="s">
        <v>1457</v>
      </c>
      <c r="H207" s="8" t="s">
        <v>4006</v>
      </c>
      <c r="I207" s="8" t="s">
        <v>1458</v>
      </c>
      <c r="J207" s="8" t="str">
        <f t="shared" si="10"/>
        <v>(${Variables:E2_7_2_3_kcat} * E2_7_2_3 * C00002 * C00197)/(${Variables:E2_7_2_3_km} + (E2_7_2_3 * C00002 * C00197))</v>
      </c>
      <c r="K207" s="40" t="str">
        <f t="shared" si="11"/>
        <v>r206: C00002 + C00197 -&gt; C00008 + C00236 | (${Variables:E2_7_2_3_kcat} * E2_7_2_3 * C00002 * C00197)/(${Variables:E2_7_2_3_km} + (E2_7_2_3 * C00002 * C00197))</v>
      </c>
    </row>
    <row r="208" spans="1:11" ht="43.5" x14ac:dyDescent="0.35">
      <c r="A208" s="8" t="s">
        <v>715</v>
      </c>
      <c r="B208" s="8" t="s">
        <v>716</v>
      </c>
      <c r="C208" s="8" t="s">
        <v>2127</v>
      </c>
      <c r="D208" s="8">
        <v>207</v>
      </c>
      <c r="E208" s="8" t="str">
        <f t="shared" si="9"/>
        <v>E2_7_2_4</v>
      </c>
      <c r="F208" s="8" t="s">
        <v>3651</v>
      </c>
      <c r="G208" s="8" t="s">
        <v>1386</v>
      </c>
      <c r="H208" s="8" t="s">
        <v>4007</v>
      </c>
      <c r="I208" s="8" t="s">
        <v>1387</v>
      </c>
      <c r="J208" s="8" t="str">
        <f t="shared" si="10"/>
        <v>(${Variables:E2_7_2_4_kcat} * E2_7_2_4 * C00002 * C00049)/(${Variables:E2_7_2_4_km} + (E2_7_2_4 * C00002 * C00049))</v>
      </c>
      <c r="K208" s="40" t="str">
        <f t="shared" si="11"/>
        <v>r207: C00002 + C00049 -&gt; C00008 + C03082 | (${Variables:E2_7_2_4_kcat} * E2_7_2_4 * C00002 * C00049)/(${Variables:E2_7_2_4_km} + (E2_7_2_4 * C00002 * C00049))</v>
      </c>
    </row>
    <row r="209" spans="1:11" ht="43.5" x14ac:dyDescent="0.35">
      <c r="A209" s="8" t="s">
        <v>522</v>
      </c>
      <c r="B209" s="8" t="s">
        <v>523</v>
      </c>
      <c r="C209" s="8" t="s">
        <v>2233</v>
      </c>
      <c r="D209" s="8">
        <v>208</v>
      </c>
      <c r="E209" s="8" t="str">
        <f t="shared" si="9"/>
        <v>E2_7_3_9</v>
      </c>
      <c r="F209" s="8" t="s">
        <v>3652</v>
      </c>
      <c r="G209" s="8" t="s">
        <v>1646</v>
      </c>
      <c r="H209" s="8" t="s">
        <v>4008</v>
      </c>
      <c r="I209" s="8" t="s">
        <v>1647</v>
      </c>
      <c r="J209" s="8" t="str">
        <f t="shared" si="10"/>
        <v>(${Variables:E2_7_3_9_kcat} * E2_7_3_9 * C00074 * C00615)/(${Variables:E2_7_3_9_km} + (E2_7_3_9 * C00074 * C00615))</v>
      </c>
      <c r="K209" s="40" t="str">
        <f t="shared" si="11"/>
        <v>r208: C00074 + C00615 -&gt; C00022 + C04261 | (${Variables:E2_7_3_9_kcat} * E2_7_3_9 * C00074 * C00615)/(${Variables:E2_7_3_9_km} + (E2_7_3_9 * C00074 * C00615))</v>
      </c>
    </row>
    <row r="210" spans="1:11" ht="43.5" x14ac:dyDescent="0.35">
      <c r="A210" s="8" t="s">
        <v>866</v>
      </c>
      <c r="B210" s="8" t="s">
        <v>867</v>
      </c>
      <c r="C210" s="8" t="s">
        <v>2174</v>
      </c>
      <c r="D210" s="8">
        <v>209</v>
      </c>
      <c r="E210" s="8" t="str">
        <f t="shared" si="9"/>
        <v>E2_7_4_2</v>
      </c>
      <c r="F210" s="8" t="s">
        <v>3653</v>
      </c>
      <c r="G210" s="8" t="s">
        <v>1513</v>
      </c>
      <c r="H210" s="8" t="s">
        <v>4009</v>
      </c>
      <c r="I210" s="8" t="s">
        <v>1514</v>
      </c>
      <c r="J210" s="8" t="str">
        <f t="shared" si="10"/>
        <v>(${Variables:E2_7_4_2_kcat} * E2_7_4_2 * C00002 * C01107)/(${Variables:E2_7_4_2_km} + (E2_7_4_2 * C00002 * C01107))</v>
      </c>
      <c r="K210" s="40" t="str">
        <f t="shared" si="11"/>
        <v>r209: C00002 + C01107 -&gt; C00008 + C01143 | (${Variables:E2_7_4_2_kcat} * E2_7_4_2 * C00002 * C01107)/(${Variables:E2_7_4_2_km} + (E2_7_4_2 * C00002 * C01107))</v>
      </c>
    </row>
    <row r="211" spans="1:11" ht="43.5" x14ac:dyDescent="0.35">
      <c r="A211" s="8" t="s">
        <v>935</v>
      </c>
      <c r="B211" s="8" t="s">
        <v>936</v>
      </c>
      <c r="C211" s="8" t="s">
        <v>2143</v>
      </c>
      <c r="D211" s="8">
        <v>210</v>
      </c>
      <c r="E211" s="8" t="str">
        <f t="shared" si="9"/>
        <v>E2_7_4_22</v>
      </c>
      <c r="F211" s="8" t="s">
        <v>3654</v>
      </c>
      <c r="G211" s="8" t="s">
        <v>1421</v>
      </c>
      <c r="H211" s="8" t="s">
        <v>4010</v>
      </c>
      <c r="I211" s="8" t="s">
        <v>1422</v>
      </c>
      <c r="J211" s="8" t="str">
        <f t="shared" si="10"/>
        <v>(${Variables:E2_7_4_22_kcat} * E2_7_4_22 * C00002 * C00105)/(${Variables:E2_7_4_22_km} + (E2_7_4_22 * C00002 * C00105))</v>
      </c>
      <c r="K211" s="40" t="str">
        <f t="shared" si="11"/>
        <v>r210: C00002 + C00105 -&gt; C00008 + C00015 | (${Variables:E2_7_4_22_kcat} * E2_7_4_22 * C00002 * C00105)/(${Variables:E2_7_4_22_km} + (E2_7_4_22 * C00002 * C00105))</v>
      </c>
    </row>
    <row r="212" spans="1:11" ht="43.5" x14ac:dyDescent="0.35">
      <c r="A212" s="8" t="s">
        <v>801</v>
      </c>
      <c r="B212" s="8" t="s">
        <v>802</v>
      </c>
      <c r="C212" s="8" t="s">
        <v>2130</v>
      </c>
      <c r="D212" s="8">
        <v>211</v>
      </c>
      <c r="E212" s="8" t="str">
        <f t="shared" si="9"/>
        <v>E2_7_4_25</v>
      </c>
      <c r="F212" s="8" t="s">
        <v>3655</v>
      </c>
      <c r="G212" s="8" t="s">
        <v>1392</v>
      </c>
      <c r="H212" s="8" t="s">
        <v>4011</v>
      </c>
      <c r="I212" s="8" t="s">
        <v>1393</v>
      </c>
      <c r="J212" s="8" t="str">
        <f t="shared" si="10"/>
        <v>(${Variables:E2_7_4_25_kcat} * E2_7_4_25 * C00002 * C00055)/(${Variables:E2_7_4_25_km} + (E2_7_4_25 * C00002 * C00055))</v>
      </c>
      <c r="K212" s="40" t="str">
        <f t="shared" si="11"/>
        <v>r211: C00002 + C00055 -&gt; C00008 + C00112 | (${Variables:E2_7_4_25_kcat} * E2_7_4_25 * C00002 * C00055)/(${Variables:E2_7_4_25_km} + (E2_7_4_25 * C00002 * C00055))</v>
      </c>
    </row>
    <row r="213" spans="1:11" ht="43.5" x14ac:dyDescent="0.35">
      <c r="A213" s="8" t="s">
        <v>801</v>
      </c>
      <c r="B213" s="8" t="s">
        <v>802</v>
      </c>
      <c r="C213" s="8" t="s">
        <v>2130</v>
      </c>
      <c r="D213" s="8">
        <v>212</v>
      </c>
      <c r="E213" s="8" t="str">
        <f t="shared" si="9"/>
        <v>E2_7_4_25</v>
      </c>
      <c r="F213" s="8" t="s">
        <v>3656</v>
      </c>
      <c r="G213" s="8" t="s">
        <v>1461</v>
      </c>
      <c r="H213" s="8" t="s">
        <v>4012</v>
      </c>
      <c r="I213" s="8" t="s">
        <v>1462</v>
      </c>
      <c r="J213" s="8" t="str">
        <f t="shared" si="10"/>
        <v>(${Variables:E2_7_4_25_kcat} * E2_7_4_25 * C00002 * C00239)/(${Variables:E2_7_4_25_km} + (E2_7_4_25 * C00002 * C00239))</v>
      </c>
      <c r="K213" s="40" t="str">
        <f t="shared" si="11"/>
        <v>r212: C00002 + C00239 -&gt; C00008 + C00705 | (${Variables:E2_7_4_25_kcat} * E2_7_4_25 * C00002 * C00239)/(${Variables:E2_7_4_25_km} + (E2_7_4_25 * C00002 * C00239))</v>
      </c>
    </row>
    <row r="214" spans="1:11" ht="43.5" x14ac:dyDescent="0.35">
      <c r="A214" s="8" t="s">
        <v>270</v>
      </c>
      <c r="B214" s="8" t="s">
        <v>271</v>
      </c>
      <c r="C214" s="8" t="s">
        <v>2117</v>
      </c>
      <c r="D214" s="8">
        <v>213</v>
      </c>
      <c r="E214" s="8" t="str">
        <f t="shared" si="9"/>
        <v>E2_7_4_3</v>
      </c>
      <c r="F214" s="8" t="s">
        <v>3657</v>
      </c>
      <c r="G214" s="8" t="s">
        <v>1366</v>
      </c>
      <c r="H214" s="8" t="s">
        <v>1294</v>
      </c>
      <c r="I214" s="8" t="s">
        <v>1294</v>
      </c>
      <c r="J214" s="8" t="str">
        <f t="shared" si="10"/>
        <v>(${Variables:E2_7_4_3_kcat} * E2_7_4_3 * C00002 * C00020)/(${Variables:E2_7_4_3_km} + (E2_7_4_3 * C00002 * C00020))</v>
      </c>
      <c r="K214" s="40" t="str">
        <f t="shared" si="11"/>
        <v>r213: C00002 + C00020 -&gt; C00008 | (${Variables:E2_7_4_3_kcat} * E2_7_4_3 * C00002 * C00020)/(${Variables:E2_7_4_3_km} + (E2_7_4_3 * C00002 * C00020))</v>
      </c>
    </row>
    <row r="215" spans="1:11" ht="43.5" x14ac:dyDescent="0.35">
      <c r="A215" s="8" t="s">
        <v>270</v>
      </c>
      <c r="B215" s="8" t="s">
        <v>271</v>
      </c>
      <c r="C215" s="8" t="s">
        <v>2117</v>
      </c>
      <c r="D215" s="8">
        <v>214</v>
      </c>
      <c r="E215" s="8" t="str">
        <f t="shared" si="9"/>
        <v>E2_7_4_3</v>
      </c>
      <c r="F215" s="8" t="s">
        <v>3657</v>
      </c>
      <c r="G215" s="8" t="s">
        <v>1366</v>
      </c>
      <c r="H215" s="8" t="s">
        <v>4013</v>
      </c>
      <c r="I215" s="8" t="s">
        <v>1367</v>
      </c>
      <c r="J215" s="8" t="str">
        <f t="shared" si="10"/>
        <v>(${Variables:E2_7_4_3_kcat} * E2_7_4_3 * C00002 * C00020)/(${Variables:E2_7_4_3_km} + (E2_7_4_3 * C00002 * C00020))</v>
      </c>
      <c r="K215" s="40" t="str">
        <f t="shared" si="11"/>
        <v>r214: C00002 + C00020 -&gt; C00008 + C00206 | (${Variables:E2_7_4_3_kcat} * E2_7_4_3 * C00002 * C00020)/(${Variables:E2_7_4_3_km} + (E2_7_4_3 * C00002 * C00020))</v>
      </c>
    </row>
    <row r="216" spans="1:11" ht="43.5" x14ac:dyDescent="0.35">
      <c r="A216" s="8" t="s">
        <v>270</v>
      </c>
      <c r="B216" s="8" t="s">
        <v>271</v>
      </c>
      <c r="C216" s="8" t="s">
        <v>2117</v>
      </c>
      <c r="D216" s="8">
        <v>215</v>
      </c>
      <c r="E216" s="8" t="str">
        <f t="shared" si="9"/>
        <v>E2_7_4_3</v>
      </c>
      <c r="F216" s="8" t="s">
        <v>3658</v>
      </c>
      <c r="G216" s="8" t="s">
        <v>1638</v>
      </c>
      <c r="H216" s="8" t="s">
        <v>4014</v>
      </c>
      <c r="I216" s="8" t="s">
        <v>1639</v>
      </c>
      <c r="J216" s="8" t="str">
        <f t="shared" si="10"/>
        <v>(${Variables:E2_7_4_3_kcat} * E2_7_4_3 * C00068 * C00008)/(${Variables:E2_7_4_3_km} + (E2_7_4_3 * C00068 * C00008))</v>
      </c>
      <c r="K216" s="40" t="str">
        <f t="shared" si="11"/>
        <v>r215: C00068 + C00008 -&gt; C03028 + C00020 | (${Variables:E2_7_4_3_kcat} * E2_7_4_3 * C00068 * C00008)/(${Variables:E2_7_4_3_km} + (E2_7_4_3 * C00068 * C00008))</v>
      </c>
    </row>
    <row r="217" spans="1:11" ht="43.5" x14ac:dyDescent="0.35">
      <c r="A217" s="8" t="s">
        <v>1236</v>
      </c>
      <c r="B217" s="8" t="s">
        <v>1237</v>
      </c>
      <c r="C217" s="8" t="s">
        <v>2183</v>
      </c>
      <c r="D217" s="8">
        <v>216</v>
      </c>
      <c r="E217" s="8" t="str">
        <f t="shared" si="9"/>
        <v>E2_7_4_7</v>
      </c>
      <c r="F217" s="8" t="s">
        <v>3659</v>
      </c>
      <c r="G217" s="8" t="s">
        <v>1537</v>
      </c>
      <c r="H217" s="8" t="s">
        <v>4015</v>
      </c>
      <c r="I217" s="8" t="s">
        <v>1538</v>
      </c>
      <c r="J217" s="8" t="str">
        <f t="shared" si="10"/>
        <v>(${Variables:E2_7_4_7_kcat} * E2_7_4_7 * C00002 * C04556)/(${Variables:E2_7_4_7_km} + (E2_7_4_7 * C00002 * C04556))</v>
      </c>
      <c r="K217" s="40" t="str">
        <f t="shared" si="11"/>
        <v>r216: C00002 + C04556 -&gt; C00008 + C04752 | (${Variables:E2_7_4_7_kcat} * E2_7_4_7 * C00002 * C04556)/(${Variables:E2_7_4_7_km} + (E2_7_4_7 * C00002 * C04556))</v>
      </c>
    </row>
    <row r="218" spans="1:11" ht="43.5" x14ac:dyDescent="0.35">
      <c r="A218" s="8" t="s">
        <v>990</v>
      </c>
      <c r="B218" s="8" t="s">
        <v>991</v>
      </c>
      <c r="C218" s="8" t="s">
        <v>2149</v>
      </c>
      <c r="D218" s="8">
        <v>217</v>
      </c>
      <c r="E218" s="8" t="str">
        <f t="shared" si="9"/>
        <v>E2_7_4_8</v>
      </c>
      <c r="F218" s="8" t="s">
        <v>3660</v>
      </c>
      <c r="G218" s="8" t="s">
        <v>1447</v>
      </c>
      <c r="H218" s="8" t="s">
        <v>4016</v>
      </c>
      <c r="I218" s="8" t="s">
        <v>1448</v>
      </c>
      <c r="J218" s="8" t="str">
        <f t="shared" si="10"/>
        <v>(${Variables:E2_7_4_8_kcat} * E2_7_4_8 * C00002 * C00144)/(${Variables:E2_7_4_8_km} + (E2_7_4_8 * C00002 * C00144))</v>
      </c>
      <c r="K218" s="40" t="str">
        <f t="shared" si="11"/>
        <v>r217: C00002 + C00144 -&gt; C00008 + C00035 | (${Variables:E2_7_4_8_kcat} * E2_7_4_8 * C00002 * C00144)/(${Variables:E2_7_4_8_km} + (E2_7_4_8 * C00002 * C00144))</v>
      </c>
    </row>
    <row r="219" spans="1:11" ht="43.5" x14ac:dyDescent="0.35">
      <c r="A219" s="8" t="s">
        <v>990</v>
      </c>
      <c r="B219" s="8" t="s">
        <v>991</v>
      </c>
      <c r="C219" s="8" t="s">
        <v>2149</v>
      </c>
      <c r="D219" s="8">
        <v>218</v>
      </c>
      <c r="E219" s="8" t="str">
        <f t="shared" si="9"/>
        <v>E2_7_4_8</v>
      </c>
      <c r="F219" s="8" t="s">
        <v>3661</v>
      </c>
      <c r="G219" s="8" t="s">
        <v>1477</v>
      </c>
      <c r="H219" s="8" t="s">
        <v>4017</v>
      </c>
      <c r="I219" s="8" t="s">
        <v>1478</v>
      </c>
      <c r="J219" s="8" t="str">
        <f t="shared" si="10"/>
        <v>(${Variables:E2_7_4_8_kcat} * E2_7_4_8 * C00002 * C00362)/(${Variables:E2_7_4_8_km} + (E2_7_4_8 * C00002 * C00362))</v>
      </c>
      <c r="K219" s="40" t="str">
        <f t="shared" si="11"/>
        <v>r218: C00002 + C00362 -&gt; C00008 + C00361 | (${Variables:E2_7_4_8_kcat} * E2_7_4_8 * C00002 * C00362)/(${Variables:E2_7_4_8_km} + (E2_7_4_8 * C00002 * C00362))</v>
      </c>
    </row>
    <row r="220" spans="1:11" ht="43.5" x14ac:dyDescent="0.35">
      <c r="A220" s="8" t="s">
        <v>990</v>
      </c>
      <c r="B220" s="8" t="s">
        <v>991</v>
      </c>
      <c r="C220" s="8" t="s">
        <v>2149</v>
      </c>
      <c r="D220" s="8">
        <v>219</v>
      </c>
      <c r="E220" s="8" t="str">
        <f t="shared" si="9"/>
        <v>E2_7_4_8</v>
      </c>
      <c r="F220" s="8" t="s">
        <v>3662</v>
      </c>
      <c r="G220" s="8" t="s">
        <v>2086</v>
      </c>
      <c r="H220" s="8" t="s">
        <v>4018</v>
      </c>
      <c r="I220" s="8" t="s">
        <v>2087</v>
      </c>
      <c r="J220" s="8" t="str">
        <f t="shared" si="10"/>
        <v>(${Variables:E2_7_4_8_kcat} * E2_7_4_8 * C22441 * C00002)/(${Variables:E2_7_4_8_km} + (E2_7_4_8 * C22441 * C00002))</v>
      </c>
      <c r="K220" s="40" t="str">
        <f t="shared" si="11"/>
        <v>r219: C22441 + C00002 -&gt; C22442 + C00008 | (${Variables:E2_7_4_8_kcat} * E2_7_4_8 * C22441 * C00002)/(${Variables:E2_7_4_8_km} + (E2_7_4_8 * C22441 * C00002))</v>
      </c>
    </row>
    <row r="221" spans="1:11" ht="43.5" x14ac:dyDescent="0.35">
      <c r="A221" s="8" t="s">
        <v>98</v>
      </c>
      <c r="B221" s="8" t="s">
        <v>99</v>
      </c>
      <c r="C221" s="8" t="s">
        <v>2145</v>
      </c>
      <c r="D221" s="8">
        <v>220</v>
      </c>
      <c r="E221" s="8" t="str">
        <f t="shared" si="9"/>
        <v>E2_7_6_1</v>
      </c>
      <c r="F221" s="8" t="s">
        <v>3663</v>
      </c>
      <c r="G221" s="8" t="s">
        <v>1425</v>
      </c>
      <c r="H221" s="8" t="s">
        <v>4019</v>
      </c>
      <c r="I221" s="8" t="s">
        <v>1426</v>
      </c>
      <c r="J221" s="8" t="str">
        <f t="shared" si="10"/>
        <v>(${Variables:E2_7_6_1_kcat} * E2_7_6_1 * C00002 * C00117)/(${Variables:E2_7_6_1_km} + (E2_7_6_1 * C00002 * C00117))</v>
      </c>
      <c r="K221" s="40" t="str">
        <f t="shared" si="11"/>
        <v>r220: C00002 + C00117 -&gt; C00020 + C00119 | (${Variables:E2_7_6_1_kcat} * E2_7_6_1 * C00002 * C00117)/(${Variables:E2_7_6_1_km} + (E2_7_6_1 * C00002 * C00117))</v>
      </c>
    </row>
    <row r="222" spans="1:11" ht="43.5" x14ac:dyDescent="0.35">
      <c r="A222" s="8" t="s">
        <v>970</v>
      </c>
      <c r="B222" s="8" t="s">
        <v>971</v>
      </c>
      <c r="C222" s="8" t="s">
        <v>2160</v>
      </c>
      <c r="D222" s="8">
        <v>221</v>
      </c>
      <c r="E222" s="8" t="str">
        <f t="shared" si="9"/>
        <v>E2_7_6_2</v>
      </c>
      <c r="F222" s="8" t="s">
        <v>3664</v>
      </c>
      <c r="G222" s="8" t="s">
        <v>1479</v>
      </c>
      <c r="H222" s="8" t="s">
        <v>4020</v>
      </c>
      <c r="I222" s="8" t="s">
        <v>1480</v>
      </c>
      <c r="J222" s="8" t="str">
        <f t="shared" si="10"/>
        <v>(${Variables:E2_7_6_2_kcat} * E2_7_6_2 * C00002 * C00378)/(${Variables:E2_7_6_2_km} + (E2_7_6_2 * C00002 * C00378))</v>
      </c>
      <c r="K222" s="40" t="str">
        <f t="shared" si="11"/>
        <v>r221: C00002 + C00378 -&gt; C00020 + C00068 | (${Variables:E2_7_6_2_kcat} * E2_7_6_2 * C00002 * C00378)/(${Variables:E2_7_6_2_km} + (E2_7_6_2 * C00002 * C00378))</v>
      </c>
    </row>
    <row r="223" spans="1:11" ht="43.5" x14ac:dyDescent="0.35">
      <c r="A223" s="8" t="s">
        <v>1059</v>
      </c>
      <c r="B223" s="8" t="s">
        <v>1060</v>
      </c>
      <c r="C223" s="8" t="s">
        <v>2216</v>
      </c>
      <c r="D223" s="8">
        <v>222</v>
      </c>
      <c r="E223" s="8" t="str">
        <f t="shared" si="9"/>
        <v>E2_7_7_12</v>
      </c>
      <c r="F223" s="8" t="s">
        <v>3665</v>
      </c>
      <c r="G223" s="8" t="s">
        <v>1596</v>
      </c>
      <c r="H223" s="8" t="s">
        <v>4021</v>
      </c>
      <c r="I223" s="8" t="s">
        <v>1597</v>
      </c>
      <c r="J223" s="8" t="str">
        <f t="shared" si="10"/>
        <v>(${Variables:E2_7_7_12_kcat} * E2_7_7_12 * C00029 * C00446)/(${Variables:E2_7_7_12_km} + (E2_7_7_12 * C00029 * C00446))</v>
      </c>
      <c r="K223" s="40" t="str">
        <f t="shared" si="11"/>
        <v>r222: C00029 + C00446 -&gt; C00103 + C00052 | (${Variables:E2_7_7_12_kcat} * E2_7_7_12 * C00029 * C00446)/(${Variables:E2_7_7_12_km} + (E2_7_7_12 * C00029 * C00446))</v>
      </c>
    </row>
    <row r="224" spans="1:11" ht="43.5" x14ac:dyDescent="0.35">
      <c r="A224" s="8" t="s">
        <v>1102</v>
      </c>
      <c r="B224" s="8" t="s">
        <v>1103</v>
      </c>
      <c r="C224" s="8" t="s">
        <v>2163</v>
      </c>
      <c r="D224" s="8">
        <v>223</v>
      </c>
      <c r="E224" s="8" t="str">
        <f t="shared" si="9"/>
        <v>E2_7_7_18</v>
      </c>
      <c r="F224" s="8" t="s">
        <v>3666</v>
      </c>
      <c r="G224" s="8" t="s">
        <v>1485</v>
      </c>
      <c r="H224" s="8" t="s">
        <v>4022</v>
      </c>
      <c r="I224" s="8" t="s">
        <v>1486</v>
      </c>
      <c r="J224" s="8" t="str">
        <f t="shared" si="10"/>
        <v>(${Variables:E2_7_7_18_kcat} * E2_7_7_18 * C00002 * C00455)/(${Variables:E2_7_7_18_km} + (E2_7_7_18 * C00002 * C00455))</v>
      </c>
      <c r="K224" s="40" t="str">
        <f t="shared" si="11"/>
        <v>r223: C00002 + C00455 -&gt; C00013 + C00003 | (${Variables:E2_7_7_18_kcat} * E2_7_7_18 * C00002 * C00455)/(${Variables:E2_7_7_18_km} + (E2_7_7_18 * C00002 * C00455))</v>
      </c>
    </row>
    <row r="225" spans="1:11" ht="43.5" x14ac:dyDescent="0.35">
      <c r="A225" s="8" t="s">
        <v>1102</v>
      </c>
      <c r="B225" s="8" t="s">
        <v>1103</v>
      </c>
      <c r="C225" s="8" t="s">
        <v>2163</v>
      </c>
      <c r="D225" s="8">
        <v>224</v>
      </c>
      <c r="E225" s="8" t="str">
        <f t="shared" si="9"/>
        <v>E2_7_7_18</v>
      </c>
      <c r="F225" s="8" t="s">
        <v>3667</v>
      </c>
      <c r="G225" s="8" t="s">
        <v>1519</v>
      </c>
      <c r="H225" s="8" t="s">
        <v>4023</v>
      </c>
      <c r="I225" s="8" t="s">
        <v>1520</v>
      </c>
      <c r="J225" s="8" t="str">
        <f t="shared" si="10"/>
        <v>(${Variables:E2_7_7_18_kcat} * E2_7_7_18 * C00002 * C01185)/(${Variables:E2_7_7_18_km} + (E2_7_7_18 * C00002 * C01185))</v>
      </c>
      <c r="K225" s="40" t="str">
        <f t="shared" si="11"/>
        <v>r224: C00002 + C01185 -&gt; C00013 + C00857 | (${Variables:E2_7_7_18_kcat} * E2_7_7_18 * C00002 * C01185)/(${Variables:E2_7_7_18_km} + (E2_7_7_18 * C00002 * C01185))</v>
      </c>
    </row>
    <row r="226" spans="1:11" ht="43.5" x14ac:dyDescent="0.35">
      <c r="A226" s="8" t="s">
        <v>918</v>
      </c>
      <c r="B226" s="8" t="s">
        <v>919</v>
      </c>
      <c r="C226" s="8" t="s">
        <v>2131</v>
      </c>
      <c r="D226" s="8">
        <v>225</v>
      </c>
      <c r="E226" s="8" t="str">
        <f t="shared" si="9"/>
        <v>E2_7_7_2</v>
      </c>
      <c r="F226" s="8" t="s">
        <v>3668</v>
      </c>
      <c r="G226" s="8" t="s">
        <v>1394</v>
      </c>
      <c r="H226" s="8" t="s">
        <v>4024</v>
      </c>
      <c r="I226" s="8" t="s">
        <v>1395</v>
      </c>
      <c r="J226" s="8" t="str">
        <f t="shared" si="10"/>
        <v>(${Variables:E2_7_7_2_kcat} * E2_7_7_2 * C00002 * C00061)/(${Variables:E2_7_7_2_km} + (E2_7_7_2 * C00002 * C00061))</v>
      </c>
      <c r="K226" s="40" t="str">
        <f t="shared" si="11"/>
        <v>r225: C00002 + C00061 -&gt; C00013 + C00016 | (${Variables:E2_7_7_2_kcat} * E2_7_7_2 * C00002 * C00061)/(${Variables:E2_7_7_2_km} + (E2_7_7_2 * C00002 * C00061))</v>
      </c>
    </row>
    <row r="227" spans="1:11" ht="43.5" x14ac:dyDescent="0.35">
      <c r="A227" s="8" t="s">
        <v>153</v>
      </c>
      <c r="B227" s="8" t="s">
        <v>154</v>
      </c>
      <c r="C227" s="8" t="s">
        <v>2235</v>
      </c>
      <c r="D227" s="8">
        <v>226</v>
      </c>
      <c r="E227" s="8" t="str">
        <f t="shared" si="9"/>
        <v>E2_7_7_23</v>
      </c>
      <c r="F227" s="8" t="s">
        <v>3669</v>
      </c>
      <c r="G227" s="8" t="s">
        <v>1657</v>
      </c>
      <c r="H227" s="8" t="s">
        <v>4025</v>
      </c>
      <c r="I227" s="8" t="s">
        <v>1658</v>
      </c>
      <c r="J227" s="8" t="str">
        <f t="shared" si="10"/>
        <v>(${Variables:E2_7_7_23_kcat} * E2_7_7_23 * C00075 * C04501)/(${Variables:E2_7_7_23_km} + (E2_7_7_23 * C00075 * C04501))</v>
      </c>
      <c r="K227" s="40" t="str">
        <f t="shared" si="11"/>
        <v>r226: C00075 + C04501 -&gt; C00013 + C00043 | (${Variables:E2_7_7_23_kcat} * E2_7_7_23 * C00075 * C04501)/(${Variables:E2_7_7_23_km} + (E2_7_7_23 * C00075 * C04501))</v>
      </c>
    </row>
    <row r="228" spans="1:11" ht="43.5" x14ac:dyDescent="0.35">
      <c r="A228" s="8" t="s">
        <v>555</v>
      </c>
      <c r="B228" s="8" t="s">
        <v>556</v>
      </c>
      <c r="C228" s="8" t="s">
        <v>2142</v>
      </c>
      <c r="D228" s="8">
        <v>227</v>
      </c>
      <c r="E228" s="8" t="str">
        <f t="shared" si="9"/>
        <v>E2_7_7_27</v>
      </c>
      <c r="F228" s="8" t="s">
        <v>3670</v>
      </c>
      <c r="G228" s="8" t="s">
        <v>1419</v>
      </c>
      <c r="H228" s="8" t="s">
        <v>4026</v>
      </c>
      <c r="I228" s="8" t="s">
        <v>1420</v>
      </c>
      <c r="J228" s="8" t="str">
        <f t="shared" si="10"/>
        <v>(${Variables:E2_7_7_27_kcat} * E2_7_7_27 * C00002 * C00103)/(${Variables:E2_7_7_27_km} + (E2_7_7_27 * C00002 * C00103))</v>
      </c>
      <c r="K228" s="40" t="str">
        <f t="shared" si="11"/>
        <v>r227: C00002 + C00103 -&gt; C00013 + C00498 | (${Variables:E2_7_7_27_kcat} * E2_7_7_27 * C00002 * C00103)/(${Variables:E2_7_7_27_km} + (E2_7_7_27 * C00002 * C00103))</v>
      </c>
    </row>
    <row r="229" spans="1:11" ht="43.5" x14ac:dyDescent="0.35">
      <c r="A229" s="8" t="s">
        <v>695</v>
      </c>
      <c r="B229" s="8" t="s">
        <v>696</v>
      </c>
      <c r="C229" s="8" t="s">
        <v>2175</v>
      </c>
      <c r="D229" s="8">
        <v>228</v>
      </c>
      <c r="E229" s="8" t="str">
        <f t="shared" si="9"/>
        <v>E2_7_7_3</v>
      </c>
      <c r="F229" s="8" t="s">
        <v>3671</v>
      </c>
      <c r="G229" s="8" t="s">
        <v>1515</v>
      </c>
      <c r="H229" s="8" t="s">
        <v>4027</v>
      </c>
      <c r="I229" s="8" t="s">
        <v>1516</v>
      </c>
      <c r="J229" s="8" t="str">
        <f t="shared" si="10"/>
        <v>(${Variables:E2_7_7_3_kcat} * E2_7_7_3 * C00002 * C01134)/(${Variables:E2_7_7_3_km} + (E2_7_7_3 * C00002 * C01134))</v>
      </c>
      <c r="K229" s="40" t="str">
        <f t="shared" si="11"/>
        <v>r228: C00002 + C01134 -&gt; C00013 + C00882 | (${Variables:E2_7_7_3_kcat} * E2_7_7_3 * C00002 * C01134)/(${Variables:E2_7_7_3_km} + (E2_7_7_3 * C00002 * C01134))</v>
      </c>
    </row>
    <row r="230" spans="1:11" ht="43.5" x14ac:dyDescent="0.35">
      <c r="A230" s="8" t="s">
        <v>458</v>
      </c>
      <c r="B230" s="8" t="s">
        <v>459</v>
      </c>
      <c r="C230" s="8" t="s">
        <v>2224</v>
      </c>
      <c r="D230" s="8">
        <v>229</v>
      </c>
      <c r="E230" s="8" t="str">
        <f t="shared" si="9"/>
        <v>E2_7_7_39</v>
      </c>
      <c r="F230" s="8" t="s">
        <v>3672</v>
      </c>
      <c r="G230" s="8" t="s">
        <v>1624</v>
      </c>
      <c r="H230" s="8" t="s">
        <v>4028</v>
      </c>
      <c r="I230" s="8" t="s">
        <v>1625</v>
      </c>
      <c r="J230" s="8" t="str">
        <f t="shared" si="10"/>
        <v>(${Variables:E2_7_7_39_kcat} * E2_7_7_39 * C00063 * C00093)/(${Variables:E2_7_7_39_km} + (E2_7_7_39 * C00063 * C00093))</v>
      </c>
      <c r="K230" s="40" t="str">
        <f t="shared" si="11"/>
        <v>r229: C00063 + C00093 -&gt; C00013 + C00513 | (${Variables:E2_7_7_39_kcat} * E2_7_7_39 * C00063 * C00093)/(${Variables:E2_7_7_39_km} + (E2_7_7_39 * C00063 * C00093))</v>
      </c>
    </row>
    <row r="231" spans="1:11" ht="43.5" x14ac:dyDescent="0.35">
      <c r="A231" s="8" t="s">
        <v>929</v>
      </c>
      <c r="B231" s="8" t="s">
        <v>930</v>
      </c>
      <c r="C231" s="8" t="s">
        <v>2225</v>
      </c>
      <c r="D231" s="8">
        <v>230</v>
      </c>
      <c r="E231" s="8" t="str">
        <f t="shared" si="9"/>
        <v>E2_7_7_41</v>
      </c>
      <c r="F231" s="8" t="s">
        <v>3673</v>
      </c>
      <c r="G231" s="8" t="s">
        <v>1626</v>
      </c>
      <c r="H231" s="8" t="s">
        <v>4029</v>
      </c>
      <c r="I231" s="8" t="s">
        <v>1627</v>
      </c>
      <c r="J231" s="8" t="str">
        <f t="shared" si="10"/>
        <v>(${Variables:E2_7_7_41_kcat} * E2_7_7_41 * C00063 * C00416)/(${Variables:E2_7_7_41_km} + (E2_7_7_41 * C00063 * C00416))</v>
      </c>
      <c r="K231" s="40" t="str">
        <f t="shared" si="11"/>
        <v>r230: C00063 + C00416 -&gt; C00013 + C00269 | (${Variables:E2_7_7_41_kcat} * E2_7_7_41 * C00063 * C00416)/(${Variables:E2_7_7_41_km} + (E2_7_7_41 * C00063 * C00416))</v>
      </c>
    </row>
    <row r="232" spans="1:11" ht="43.5" x14ac:dyDescent="0.35">
      <c r="A232" s="8" t="s">
        <v>159</v>
      </c>
      <c r="B232" s="8" t="s">
        <v>160</v>
      </c>
      <c r="C232" s="8" t="s">
        <v>2125</v>
      </c>
      <c r="D232" s="8">
        <v>231</v>
      </c>
      <c r="E232" s="8" t="str">
        <f t="shared" si="9"/>
        <v>E2_7_7_6</v>
      </c>
      <c r="F232" s="8" t="s">
        <v>3674</v>
      </c>
      <c r="G232" s="8" t="s">
        <v>1382</v>
      </c>
      <c r="H232" s="8" t="s">
        <v>4030</v>
      </c>
      <c r="I232" s="8" t="s">
        <v>1383</v>
      </c>
      <c r="J232" s="8" t="str">
        <f t="shared" si="10"/>
        <v>(${Variables:E2_7_7_6_kcat} * E2_7_7_6 * C00002 * C00046)/(${Variables:E2_7_7_6_km} + (E2_7_7_6 * C00002 * C00046))</v>
      </c>
      <c r="K232" s="40" t="str">
        <f t="shared" si="11"/>
        <v>r231: C00002 + C00046 -&gt; C00013 + C00046 | (${Variables:E2_7_7_6_kcat} * E2_7_7_6 * C00002 * C00046)/(${Variables:E2_7_7_6_km} + (E2_7_7_6 * C00002 * C00046))</v>
      </c>
    </row>
    <row r="233" spans="1:11" ht="43.5" x14ac:dyDescent="0.35">
      <c r="A233" s="8" t="s">
        <v>159</v>
      </c>
      <c r="B233" s="8" t="s">
        <v>160</v>
      </c>
      <c r="C233" s="8" t="s">
        <v>2125</v>
      </c>
      <c r="D233" s="8">
        <v>232</v>
      </c>
      <c r="E233" s="8" t="str">
        <f t="shared" si="9"/>
        <v>E2_7_7_6</v>
      </c>
      <c r="F233" s="8" t="s">
        <v>3675</v>
      </c>
      <c r="G233" s="8" t="s">
        <v>1603</v>
      </c>
      <c r="H233" s="8" t="s">
        <v>4030</v>
      </c>
      <c r="I233" s="8" t="s">
        <v>1383</v>
      </c>
      <c r="J233" s="8" t="str">
        <f t="shared" si="10"/>
        <v>(${Variables:E2_7_7_6_kcat} * E2_7_7_6 * C00044 * C00046)/(${Variables:E2_7_7_6_km} + (E2_7_7_6 * C00044 * C00046))</v>
      </c>
      <c r="K233" s="40" t="str">
        <f t="shared" si="11"/>
        <v>r232: C00044 + C00046 -&gt; C00013 + C00046 | (${Variables:E2_7_7_6_kcat} * E2_7_7_6 * C00044 * C00046)/(${Variables:E2_7_7_6_km} + (E2_7_7_6 * C00044 * C00046))</v>
      </c>
    </row>
    <row r="234" spans="1:11" ht="43.5" x14ac:dyDescent="0.35">
      <c r="A234" s="8" t="s">
        <v>159</v>
      </c>
      <c r="B234" s="8" t="s">
        <v>160</v>
      </c>
      <c r="C234" s="8" t="s">
        <v>2125</v>
      </c>
      <c r="D234" s="8">
        <v>233</v>
      </c>
      <c r="E234" s="8" t="str">
        <f t="shared" si="9"/>
        <v>E2_7_7_6</v>
      </c>
      <c r="F234" s="8" t="s">
        <v>3676</v>
      </c>
      <c r="G234" s="8" t="s">
        <v>1621</v>
      </c>
      <c r="H234" s="8" t="s">
        <v>4030</v>
      </c>
      <c r="I234" s="8" t="s">
        <v>1383</v>
      </c>
      <c r="J234" s="8" t="str">
        <f t="shared" si="10"/>
        <v>(${Variables:E2_7_7_6_kcat} * E2_7_7_6 * C00063 * C00046)/(${Variables:E2_7_7_6_km} + (E2_7_7_6 * C00063 * C00046))</v>
      </c>
      <c r="K234" s="40" t="str">
        <f t="shared" si="11"/>
        <v>r233: C00063 + C00046 -&gt; C00013 + C00046 | (${Variables:E2_7_7_6_kcat} * E2_7_7_6 * C00063 * C00046)/(${Variables:E2_7_7_6_km} + (E2_7_7_6 * C00063 * C00046))</v>
      </c>
    </row>
    <row r="235" spans="1:11" ht="43.5" x14ac:dyDescent="0.35">
      <c r="A235" s="8" t="s">
        <v>159</v>
      </c>
      <c r="B235" s="8" t="s">
        <v>160</v>
      </c>
      <c r="C235" s="8" t="s">
        <v>2125</v>
      </c>
      <c r="D235" s="8">
        <v>234</v>
      </c>
      <c r="E235" s="8" t="str">
        <f t="shared" si="9"/>
        <v>E2_7_7_6</v>
      </c>
      <c r="F235" s="8" t="s">
        <v>3677</v>
      </c>
      <c r="G235" s="8" t="s">
        <v>1650</v>
      </c>
      <c r="H235" s="8" t="s">
        <v>4030</v>
      </c>
      <c r="I235" s="8" t="s">
        <v>1383</v>
      </c>
      <c r="J235" s="8" t="str">
        <f t="shared" si="10"/>
        <v>(${Variables:E2_7_7_6_kcat} * E2_7_7_6 * C00075 * C00046)/(${Variables:E2_7_7_6_km} + (E2_7_7_6 * C00075 * C00046))</v>
      </c>
      <c r="K235" s="40" t="str">
        <f t="shared" si="11"/>
        <v>r234: C00075 + C00046 -&gt; C00013 + C00046 | (${Variables:E2_7_7_6_kcat} * E2_7_7_6 * C00075 * C00046)/(${Variables:E2_7_7_6_km} + (E2_7_7_6 * C00075 * C00046))</v>
      </c>
    </row>
    <row r="236" spans="1:11" ht="43.5" x14ac:dyDescent="0.35">
      <c r="A236" s="8" t="s">
        <v>159</v>
      </c>
      <c r="B236" s="8" t="s">
        <v>160</v>
      </c>
      <c r="C236" s="8" t="s">
        <v>2125</v>
      </c>
      <c r="D236" s="8">
        <v>235</v>
      </c>
      <c r="E236" s="8" t="str">
        <f t="shared" si="9"/>
        <v>E2_7_7_6</v>
      </c>
      <c r="F236" s="8" t="s">
        <v>3678</v>
      </c>
      <c r="G236" s="8" t="s">
        <v>1752</v>
      </c>
      <c r="H236" s="8" t="s">
        <v>4030</v>
      </c>
      <c r="I236" s="8" t="s">
        <v>1383</v>
      </c>
      <c r="J236" s="8" t="str">
        <f t="shared" si="10"/>
        <v>(${Variables:E2_7_7_6_kcat} * E2_7_7_6 * C00201 * C00046)/(${Variables:E2_7_7_6_km} + (E2_7_7_6 * C00201 * C00046))</v>
      </c>
      <c r="K236" s="40" t="str">
        <f t="shared" si="11"/>
        <v>r235: C00201 + C00046 -&gt; C00013 + C00046 | (${Variables:E2_7_7_6_kcat} * E2_7_7_6 * C00201 * C00046)/(${Variables:E2_7_7_6_km} + (E2_7_7_6 * C00201 * C00046))</v>
      </c>
    </row>
    <row r="237" spans="1:11" ht="43.5" x14ac:dyDescent="0.35">
      <c r="A237" s="8" t="s">
        <v>159</v>
      </c>
      <c r="B237" s="8" t="s">
        <v>160</v>
      </c>
      <c r="C237" s="8" t="s">
        <v>2125</v>
      </c>
      <c r="D237" s="8">
        <v>236</v>
      </c>
      <c r="E237" s="8" t="str">
        <f t="shared" si="9"/>
        <v>E2_7_7_6</v>
      </c>
      <c r="F237" s="8" t="s">
        <v>3679</v>
      </c>
      <c r="G237" s="8" t="s">
        <v>1753</v>
      </c>
      <c r="H237" s="8" t="s">
        <v>1295</v>
      </c>
      <c r="I237" s="8" t="s">
        <v>1295</v>
      </c>
      <c r="J237" s="8" t="str">
        <f t="shared" si="10"/>
        <v>(${Variables:E2_7_7_6_kcat} * E2_7_7_6 * C00201 * C20864)/(${Variables:E2_7_7_6_km} + (E2_7_7_6 * C00201 * C20864))</v>
      </c>
      <c r="K237" s="40" t="str">
        <f t="shared" si="11"/>
        <v>r236: C00201 + C20864 -&gt; C00013 | (${Variables:E2_7_7_6_kcat} * E2_7_7_6 * C00201 * C20864)/(${Variables:E2_7_7_6_km} + (E2_7_7_6 * C00201 * C20864))</v>
      </c>
    </row>
    <row r="238" spans="1:11" ht="43.5" x14ac:dyDescent="0.35">
      <c r="A238" s="8" t="s">
        <v>898</v>
      </c>
      <c r="B238" s="8" t="s">
        <v>899</v>
      </c>
      <c r="C238" s="8" t="s">
        <v>2338</v>
      </c>
      <c r="D238" s="8">
        <v>237</v>
      </c>
      <c r="E238" s="8" t="str">
        <f t="shared" si="9"/>
        <v>E2_7_7_61</v>
      </c>
      <c r="F238" s="8" t="s">
        <v>3680</v>
      </c>
      <c r="G238" s="8" t="s">
        <v>2074</v>
      </c>
      <c r="H238" s="8" t="s">
        <v>4031</v>
      </c>
      <c r="I238" s="8" t="s">
        <v>2075</v>
      </c>
      <c r="J238" s="8" t="str">
        <f t="shared" si="10"/>
        <v>(${Variables:E2_7_7_61_kcat} * E2_7_7_61 * C19771 * C03688)/(${Variables:E2_7_7_61_km} + (E2_7_7_61 * C19771 * C03688))</v>
      </c>
      <c r="K238" s="40" t="str">
        <f t="shared" si="11"/>
        <v>r237: C19771 + C03688 -&gt; C00229 + C00013 | (${Variables:E2_7_7_61_kcat} * E2_7_7_61 * C19771 * C03688)/(${Variables:E2_7_7_61_km} + (E2_7_7_61 * C19771 * C03688))</v>
      </c>
    </row>
    <row r="239" spans="1:11" ht="43.5" x14ac:dyDescent="0.35">
      <c r="A239" s="8" t="s">
        <v>1049</v>
      </c>
      <c r="B239" s="8" t="s">
        <v>1050</v>
      </c>
      <c r="C239" s="8" t="s">
        <v>2219</v>
      </c>
      <c r="D239" s="8">
        <v>238</v>
      </c>
      <c r="E239" s="8" t="str">
        <f t="shared" si="9"/>
        <v>E2_7_7_65</v>
      </c>
      <c r="F239" s="8" t="s">
        <v>1296</v>
      </c>
      <c r="G239" s="8" t="s">
        <v>1296</v>
      </c>
      <c r="H239" s="8" t="s">
        <v>4032</v>
      </c>
      <c r="I239" s="8" t="s">
        <v>1600</v>
      </c>
      <c r="J239" s="8" t="str">
        <f t="shared" si="10"/>
        <v>(${Variables:E2_7_7_65_kcat} * E2_7_7_65 * C00044)/(${Variables:E2_7_7_65_km} + (E2_7_7_65 * C00044))</v>
      </c>
      <c r="K239" s="40" t="str">
        <f t="shared" si="11"/>
        <v>r238: C00044 -&gt; C16463 + C00013 | (${Variables:E2_7_7_65_kcat} * E2_7_7_65 * C00044)/(${Variables:E2_7_7_65_km} + (E2_7_7_65 * C00044))</v>
      </c>
    </row>
    <row r="240" spans="1:11" ht="43.5" x14ac:dyDescent="0.35">
      <c r="A240" s="8" t="s">
        <v>18</v>
      </c>
      <c r="B240" s="8" t="s">
        <v>19</v>
      </c>
      <c r="C240" s="8" t="s">
        <v>2256</v>
      </c>
      <c r="D240" s="8">
        <v>239</v>
      </c>
      <c r="E240" s="8" t="str">
        <f t="shared" si="9"/>
        <v>E2_7_7_7</v>
      </c>
      <c r="F240" s="8" t="s">
        <v>3681</v>
      </c>
      <c r="G240" s="8" t="s">
        <v>1719</v>
      </c>
      <c r="H240" s="8" t="s">
        <v>4033</v>
      </c>
      <c r="I240" s="8" t="s">
        <v>1720</v>
      </c>
      <c r="J240" s="8" t="str">
        <f t="shared" si="10"/>
        <v>(${Variables:E2_7_7_7_kcat} * E2_7_7_7 * C00131 * C00039)/(${Variables:E2_7_7_7_km} + (E2_7_7_7 * C00131 * C00039))</v>
      </c>
      <c r="K240" s="40" t="str">
        <f t="shared" si="11"/>
        <v>r239: C00131 + C00039 -&gt; C00013 + C00039 | (${Variables:E2_7_7_7_kcat} * E2_7_7_7 * C00131 * C00039)/(${Variables:E2_7_7_7_km} + (E2_7_7_7 * C00131 * C00039))</v>
      </c>
    </row>
    <row r="241" spans="1:11" ht="43.5" x14ac:dyDescent="0.35">
      <c r="A241" s="8" t="s">
        <v>18</v>
      </c>
      <c r="B241" s="8" t="s">
        <v>19</v>
      </c>
      <c r="C241" s="8" t="s">
        <v>2256</v>
      </c>
      <c r="D241" s="8">
        <v>240</v>
      </c>
      <c r="E241" s="8" t="str">
        <f t="shared" si="9"/>
        <v>E2_7_7_7</v>
      </c>
      <c r="F241" s="8" t="s">
        <v>3682</v>
      </c>
      <c r="G241" s="8" t="s">
        <v>1782</v>
      </c>
      <c r="H241" s="8" t="s">
        <v>4033</v>
      </c>
      <c r="I241" s="8" t="s">
        <v>1720</v>
      </c>
      <c r="J241" s="8" t="str">
        <f t="shared" si="10"/>
        <v>(${Variables:E2_7_7_7_kcat} * E2_7_7_7 * C00286 * C00039)/(${Variables:E2_7_7_7_km} + (E2_7_7_7 * C00286 * C00039))</v>
      </c>
      <c r="K241" s="40" t="str">
        <f t="shared" si="11"/>
        <v>r240: C00286 + C00039 -&gt; C00013 + C00039 | (${Variables:E2_7_7_7_kcat} * E2_7_7_7 * C00286 * C00039)/(${Variables:E2_7_7_7_km} + (E2_7_7_7 * C00286 * C00039))</v>
      </c>
    </row>
    <row r="242" spans="1:11" ht="43.5" x14ac:dyDescent="0.35">
      <c r="A242" s="8" t="s">
        <v>18</v>
      </c>
      <c r="B242" s="8" t="s">
        <v>19</v>
      </c>
      <c r="C242" s="8" t="s">
        <v>2256</v>
      </c>
      <c r="D242" s="8">
        <v>241</v>
      </c>
      <c r="E242" s="8" t="str">
        <f t="shared" si="9"/>
        <v>E2_7_7_7</v>
      </c>
      <c r="F242" s="8" t="s">
        <v>3683</v>
      </c>
      <c r="G242" s="8" t="s">
        <v>1831</v>
      </c>
      <c r="H242" s="8" t="s">
        <v>4033</v>
      </c>
      <c r="I242" s="8" t="s">
        <v>1720</v>
      </c>
      <c r="J242" s="8" t="str">
        <f t="shared" si="10"/>
        <v>(${Variables:E2_7_7_7_kcat} * E2_7_7_7 * C00458 * C00039)/(${Variables:E2_7_7_7_km} + (E2_7_7_7 * C00458 * C00039))</v>
      </c>
      <c r="K242" s="40" t="str">
        <f t="shared" si="11"/>
        <v>r241: C00458 + C00039 -&gt; C00013 + C00039 | (${Variables:E2_7_7_7_kcat} * E2_7_7_7 * C00458 * C00039)/(${Variables:E2_7_7_7_km} + (E2_7_7_7 * C00458 * C00039))</v>
      </c>
    </row>
    <row r="243" spans="1:11" ht="43.5" x14ac:dyDescent="0.35">
      <c r="A243" s="8" t="s">
        <v>18</v>
      </c>
      <c r="B243" s="8" t="s">
        <v>19</v>
      </c>
      <c r="C243" s="8" t="s">
        <v>2256</v>
      </c>
      <c r="D243" s="8">
        <v>242</v>
      </c>
      <c r="E243" s="8" t="str">
        <f t="shared" si="9"/>
        <v>E2_7_7_7</v>
      </c>
      <c r="F243" s="8" t="s">
        <v>3684</v>
      </c>
      <c r="G243" s="8" t="s">
        <v>1834</v>
      </c>
      <c r="H243" s="8" t="s">
        <v>4033</v>
      </c>
      <c r="I243" s="8" t="s">
        <v>1720</v>
      </c>
      <c r="J243" s="8" t="str">
        <f t="shared" si="10"/>
        <v>(${Variables:E2_7_7_7_kcat} * E2_7_7_7 * C00459 * C00039)/(${Variables:E2_7_7_7_km} + (E2_7_7_7 * C00459 * C00039))</v>
      </c>
      <c r="K243" s="40" t="str">
        <f t="shared" si="11"/>
        <v>r242: C00459 + C00039 -&gt; C00013 + C00039 | (${Variables:E2_7_7_7_kcat} * E2_7_7_7 * C00459 * C00039)/(${Variables:E2_7_7_7_km} + (E2_7_7_7 * C00459 * C00039))</v>
      </c>
    </row>
    <row r="244" spans="1:11" ht="43.5" x14ac:dyDescent="0.35">
      <c r="A244" s="8" t="s">
        <v>18</v>
      </c>
      <c r="B244" s="8" t="s">
        <v>19</v>
      </c>
      <c r="C244" s="8" t="s">
        <v>2256</v>
      </c>
      <c r="D244" s="8">
        <v>243</v>
      </c>
      <c r="E244" s="8" t="str">
        <f t="shared" si="9"/>
        <v>E2_7_7_7</v>
      </c>
      <c r="F244" s="8" t="s">
        <v>3685</v>
      </c>
      <c r="G244" s="8" t="s">
        <v>1870</v>
      </c>
      <c r="H244" s="8" t="s">
        <v>4033</v>
      </c>
      <c r="I244" s="8" t="s">
        <v>1720</v>
      </c>
      <c r="J244" s="8" t="str">
        <f t="shared" si="10"/>
        <v>(${Variables:E2_7_7_7_kcat} * E2_7_7_7 * C00677 * C00039)/(${Variables:E2_7_7_7_km} + (E2_7_7_7 * C00677 * C00039))</v>
      </c>
      <c r="K244" s="40" t="str">
        <f t="shared" si="11"/>
        <v>r243: C00677 + C00039 -&gt; C00013 + C00039 | (${Variables:E2_7_7_7_kcat} * E2_7_7_7 * C00677 * C00039)/(${Variables:E2_7_7_7_km} + (E2_7_7_7 * C00677 * C00039))</v>
      </c>
    </row>
    <row r="245" spans="1:11" ht="29" x14ac:dyDescent="0.35">
      <c r="A245" s="8" t="s">
        <v>18</v>
      </c>
      <c r="B245" s="8" t="s">
        <v>19</v>
      </c>
      <c r="C245" s="8" t="s">
        <v>2256</v>
      </c>
      <c r="D245" s="8">
        <v>244</v>
      </c>
      <c r="E245" s="8" t="str">
        <f t="shared" si="9"/>
        <v>E2_7_7_7</v>
      </c>
      <c r="F245" s="8" t="s">
        <v>1297</v>
      </c>
      <c r="G245" s="8" t="s">
        <v>1297</v>
      </c>
      <c r="H245" s="8" t="s">
        <v>1298</v>
      </c>
      <c r="I245" s="8" t="s">
        <v>1298</v>
      </c>
      <c r="J245" s="8" t="str">
        <f t="shared" si="10"/>
        <v>(${Variables:E2_7_7_7_kcat} * E2_7_7_7 * C11039)/(${Variables:E2_7_7_7_km} + (E2_7_7_7 * C11039))</v>
      </c>
      <c r="K245" s="40" t="str">
        <f t="shared" si="11"/>
        <v>r244: C11039 -&gt; C21031 | (${Variables:E2_7_7_7_kcat} * E2_7_7_7 * C11039)/(${Variables:E2_7_7_7_km} + (E2_7_7_7 * C11039))</v>
      </c>
    </row>
    <row r="246" spans="1:11" ht="43.5" x14ac:dyDescent="0.35">
      <c r="A246" s="8" t="s">
        <v>808</v>
      </c>
      <c r="B246" s="8" t="s">
        <v>809</v>
      </c>
      <c r="C246" s="8" t="s">
        <v>2312</v>
      </c>
      <c r="D246" s="8">
        <v>245</v>
      </c>
      <c r="E246" s="8" t="str">
        <f t="shared" si="9"/>
        <v>E2_7_7_72</v>
      </c>
      <c r="F246" s="8" t="s">
        <v>3686</v>
      </c>
      <c r="G246" s="8" t="s">
        <v>1930</v>
      </c>
      <c r="H246" s="8" t="s">
        <v>4034</v>
      </c>
      <c r="I246" s="8" t="s">
        <v>1931</v>
      </c>
      <c r="J246" s="8" t="str">
        <f t="shared" si="10"/>
        <v>(${Variables:E2_7_7_72_kcat} * E2_7_7_72 * C02211 * C00063)/(${Variables:E2_7_7_72_km} + (E2_7_7_72 * C02211 * C00063))</v>
      </c>
      <c r="K246" s="40" t="str">
        <f t="shared" si="11"/>
        <v>r245: C02211 + C00063 -&gt; C19078 + C00013 | (${Variables:E2_7_7_72_kcat} * E2_7_7_72 * C02211 * C00063)/(${Variables:E2_7_7_72_km} + (E2_7_7_72 * C02211 * C00063))</v>
      </c>
    </row>
    <row r="247" spans="1:11" ht="58" x14ac:dyDescent="0.35">
      <c r="A247" s="8" t="s">
        <v>808</v>
      </c>
      <c r="B247" s="8" t="s">
        <v>809</v>
      </c>
      <c r="C247" s="8" t="s">
        <v>2312</v>
      </c>
      <c r="D247" s="8">
        <v>246</v>
      </c>
      <c r="E247" s="8" t="str">
        <f t="shared" si="9"/>
        <v>E2_7_7_72</v>
      </c>
      <c r="F247" s="8" t="s">
        <v>3687</v>
      </c>
      <c r="G247" s="8" t="s">
        <v>1932</v>
      </c>
      <c r="H247" s="8" t="s">
        <v>4035</v>
      </c>
      <c r="I247" s="8" t="s">
        <v>1933</v>
      </c>
      <c r="J247" s="8" t="str">
        <f t="shared" si="10"/>
        <v>(${Variables:E2_7_7_72_kcat} * E2_7_7_72 * C02211 * C00063 * C00002)/(${Variables:E2_7_7_72_km} + (E2_7_7_72 * C02211 * C00063 * C00002))</v>
      </c>
      <c r="K247" s="40" t="str">
        <f t="shared" si="11"/>
        <v>r246: C02211 + C00063 + C00002 -&gt; C19085 + C00013 | (${Variables:E2_7_7_72_kcat} * E2_7_7_72 * C02211 * C00063 * C00002)/(${Variables:E2_7_7_72_km} + (E2_7_7_72 * C02211 * C00063 * C00002))</v>
      </c>
    </row>
    <row r="248" spans="1:11" ht="43.5" x14ac:dyDescent="0.35">
      <c r="A248" s="8" t="s">
        <v>808</v>
      </c>
      <c r="B248" s="8" t="s">
        <v>809</v>
      </c>
      <c r="C248" s="8" t="s">
        <v>2312</v>
      </c>
      <c r="D248" s="8">
        <v>247</v>
      </c>
      <c r="E248" s="8" t="str">
        <f t="shared" si="9"/>
        <v>E2_7_7_72</v>
      </c>
      <c r="F248" s="8" t="s">
        <v>3688</v>
      </c>
      <c r="G248" s="8" t="s">
        <v>2069</v>
      </c>
      <c r="H248" s="8" t="s">
        <v>4036</v>
      </c>
      <c r="I248" s="8" t="s">
        <v>2070</v>
      </c>
      <c r="J248" s="8" t="str">
        <f t="shared" si="10"/>
        <v>(${Variables:E2_7_7_72_kcat} * E2_7_7_72 * C19078 * C00063)/(${Variables:E2_7_7_72_km} + (E2_7_7_72 * C19078 * C00063))</v>
      </c>
      <c r="K248" s="40" t="str">
        <f t="shared" si="11"/>
        <v>r247: C19078 + C00063 -&gt; C19080 + C00013 | (${Variables:E2_7_7_72_kcat} * E2_7_7_72 * C19078 * C00063)/(${Variables:E2_7_7_72_km} + (E2_7_7_72 * C19078 * C00063))</v>
      </c>
    </row>
    <row r="249" spans="1:11" ht="43.5" x14ac:dyDescent="0.35">
      <c r="A249" s="8" t="s">
        <v>808</v>
      </c>
      <c r="B249" s="8" t="s">
        <v>809</v>
      </c>
      <c r="C249" s="8" t="s">
        <v>2312</v>
      </c>
      <c r="D249" s="8">
        <v>248</v>
      </c>
      <c r="E249" s="8" t="str">
        <f t="shared" si="9"/>
        <v>E2_7_7_72</v>
      </c>
      <c r="F249" s="8" t="s">
        <v>3689</v>
      </c>
      <c r="G249" s="8" t="s">
        <v>2071</v>
      </c>
      <c r="H249" s="8" t="s">
        <v>4035</v>
      </c>
      <c r="I249" s="8" t="s">
        <v>1933</v>
      </c>
      <c r="J249" s="8" t="str">
        <f t="shared" si="10"/>
        <v>(${Variables:E2_7_7_72_kcat} * E2_7_7_72 * C19080 * C00002)/(${Variables:E2_7_7_72_km} + (E2_7_7_72 * C19080 * C00002))</v>
      </c>
      <c r="K249" s="40" t="str">
        <f t="shared" si="11"/>
        <v>r248: C19080 + C00002 -&gt; C19085 + C00013 | (${Variables:E2_7_7_72_kcat} * E2_7_7_72 * C19080 * C00002)/(${Variables:E2_7_7_72_km} + (E2_7_7_72 * C19080 * C00002))</v>
      </c>
    </row>
    <row r="250" spans="1:11" ht="43.5" x14ac:dyDescent="0.35">
      <c r="A250" s="8" t="s">
        <v>591</v>
      </c>
      <c r="B250" s="8" t="s">
        <v>592</v>
      </c>
      <c r="C250" s="8" t="s">
        <v>2114</v>
      </c>
      <c r="D250" s="8">
        <v>249</v>
      </c>
      <c r="E250" s="8" t="str">
        <f t="shared" si="9"/>
        <v>E2_7_7_85</v>
      </c>
      <c r="F250" s="8" t="s">
        <v>1299</v>
      </c>
      <c r="G250" s="8" t="s">
        <v>1299</v>
      </c>
      <c r="H250" s="8" t="s">
        <v>4037</v>
      </c>
      <c r="I250" s="8" t="s">
        <v>1361</v>
      </c>
      <c r="J250" s="8" t="str">
        <f t="shared" si="10"/>
        <v>(${Variables:E2_7_7_85_kcat} * E2_7_7_85 * C00002)/(${Variables:E2_7_7_85_km} + (E2_7_7_85 * C00002))</v>
      </c>
      <c r="K250" s="40" t="str">
        <f t="shared" si="11"/>
        <v>r249: C00002 -&gt; C00013 + C20565 | (${Variables:E2_7_7_85_kcat} * E2_7_7_85 * C00002)/(${Variables:E2_7_7_85_km} + (E2_7_7_85 * C00002))</v>
      </c>
    </row>
    <row r="251" spans="1:11" ht="58" x14ac:dyDescent="0.35">
      <c r="A251" s="8" t="s">
        <v>622</v>
      </c>
      <c r="B251" s="8" t="s">
        <v>623</v>
      </c>
      <c r="C251" s="8" t="s">
        <v>2267</v>
      </c>
      <c r="D251" s="8">
        <v>250</v>
      </c>
      <c r="E251" s="8" t="str">
        <f t="shared" si="9"/>
        <v>E2_7_7_87</v>
      </c>
      <c r="F251" s="8" t="s">
        <v>3690</v>
      </c>
      <c r="G251" s="8" t="s">
        <v>1748</v>
      </c>
      <c r="H251" s="8" t="s">
        <v>4038</v>
      </c>
      <c r="I251" s="8" t="s">
        <v>1749</v>
      </c>
      <c r="J251" s="8" t="str">
        <f t="shared" si="10"/>
        <v>(${Variables:E2_7_7_87_kcat} * E2_7_7_87 * C00188 * C00002 * C00288 * C00080)/(${Variables:E2_7_7_87_km} + (E2_7_7_87 * C00188 * C00002 * C00288 * C00080))</v>
      </c>
      <c r="K251" s="40" t="str">
        <f t="shared" si="11"/>
        <v>r250: C00188 + C00002 + C00288 + C00080 -&gt; C20641 + C00013 + C00001 | (${Variables:E2_7_7_87_kcat} * E2_7_7_87 * C00188 * C00002 * C00288 * C00080)/(${Variables:E2_7_7_87_km} + (E2_7_7_87 * C00188 * C00002 * C00288 * C00080))</v>
      </c>
    </row>
    <row r="252" spans="1:11" ht="43.5" x14ac:dyDescent="0.35">
      <c r="A252" s="8" t="s">
        <v>516</v>
      </c>
      <c r="B252" s="8" t="s">
        <v>517</v>
      </c>
      <c r="C252" s="8" t="s">
        <v>2234</v>
      </c>
      <c r="D252" s="8">
        <v>251</v>
      </c>
      <c r="E252" s="8" t="str">
        <f t="shared" si="9"/>
        <v>E2_7_7_9</v>
      </c>
      <c r="F252" s="8" t="s">
        <v>3691</v>
      </c>
      <c r="G252" s="8" t="s">
        <v>1653</v>
      </c>
      <c r="H252" s="8" t="s">
        <v>4039</v>
      </c>
      <c r="I252" s="8" t="s">
        <v>1654</v>
      </c>
      <c r="J252" s="8" t="str">
        <f t="shared" si="10"/>
        <v>(${Variables:E2_7_7_9_kcat} * E2_7_7_9 * C00075 * C00103)/(${Variables:E2_7_7_9_km} + (E2_7_7_9 * C00075 * C00103))</v>
      </c>
      <c r="K252" s="40" t="str">
        <f t="shared" si="11"/>
        <v>r251: C00075 + C00103 -&gt; C00013 + C00029 | (${Variables:E2_7_7_9_kcat} * E2_7_7_9 * C00075 * C00103)/(${Variables:E2_7_7_9_km} + (E2_7_7_9 * C00075 * C00103))</v>
      </c>
    </row>
    <row r="253" spans="1:11" ht="43.5" x14ac:dyDescent="0.35">
      <c r="A253" s="8" t="s">
        <v>664</v>
      </c>
      <c r="B253" s="8" t="s">
        <v>665</v>
      </c>
      <c r="C253" s="8" t="s">
        <v>2329</v>
      </c>
      <c r="D253" s="8">
        <v>252</v>
      </c>
      <c r="E253" s="8" t="str">
        <f t="shared" si="9"/>
        <v>E2_7_8_13</v>
      </c>
      <c r="F253" s="8" t="s">
        <v>3692</v>
      </c>
      <c r="G253" s="8" t="s">
        <v>1981</v>
      </c>
      <c r="H253" s="8" t="s">
        <v>4040</v>
      </c>
      <c r="I253" s="8" t="s">
        <v>1982</v>
      </c>
      <c r="J253" s="8" t="str">
        <f t="shared" si="10"/>
        <v>(${Variables:E2_7_8_13_kcat} * E2_7_8_13 * C04702 * C17556)/(${Variables:E2_7_8_13_km} + (E2_7_8_13 * C04702 * C17556))</v>
      </c>
      <c r="K253" s="40" t="str">
        <f t="shared" si="11"/>
        <v>r252: C04702 + C17556 -&gt; C00105 + C04851 | (${Variables:E2_7_8_13_kcat} * E2_7_8_13 * C04702 * C17556)/(${Variables:E2_7_8_13_km} + (E2_7_8_13 * C04702 * C17556))</v>
      </c>
    </row>
    <row r="254" spans="1:11" ht="43.5" x14ac:dyDescent="0.35">
      <c r="A254" s="8" t="s">
        <v>664</v>
      </c>
      <c r="B254" s="8" t="s">
        <v>665</v>
      </c>
      <c r="C254" s="8" t="s">
        <v>2329</v>
      </c>
      <c r="D254" s="8">
        <v>253</v>
      </c>
      <c r="E254" s="8" t="str">
        <f t="shared" si="9"/>
        <v>E2_7_8_13</v>
      </c>
      <c r="F254" s="8" t="s">
        <v>3693</v>
      </c>
      <c r="G254" s="8" t="s">
        <v>1989</v>
      </c>
      <c r="H254" s="8" t="s">
        <v>4041</v>
      </c>
      <c r="I254" s="8" t="s">
        <v>1990</v>
      </c>
      <c r="J254" s="8" t="str">
        <f t="shared" si="10"/>
        <v>(${Variables:E2_7_8_13_kcat} * E2_7_8_13 * C04882 * C17556)/(${Variables:E2_7_8_13_km} + (E2_7_8_13 * C04882 * C17556))</v>
      </c>
      <c r="K254" s="40" t="str">
        <f t="shared" si="11"/>
        <v>r253: C04882 + C17556 -&gt; C00105 + C05897 | (${Variables:E2_7_8_13_kcat} * E2_7_8_13 * C04882 * C17556)/(${Variables:E2_7_8_13_km} + (E2_7_8_13 * C04882 * C17556))</v>
      </c>
    </row>
    <row r="255" spans="1:11" ht="43.5" x14ac:dyDescent="0.35">
      <c r="A255" s="8" t="s">
        <v>536</v>
      </c>
      <c r="B255" s="8" t="s">
        <v>537</v>
      </c>
      <c r="C255" s="8" t="s">
        <v>2276</v>
      </c>
      <c r="D255" s="8">
        <v>254</v>
      </c>
      <c r="E255" s="8" t="str">
        <f t="shared" si="9"/>
        <v>E2_7_8_5</v>
      </c>
      <c r="F255" s="8" t="s">
        <v>3694</v>
      </c>
      <c r="G255" s="8" t="s">
        <v>1776</v>
      </c>
      <c r="H255" s="8" t="s">
        <v>4042</v>
      </c>
      <c r="I255" s="8" t="s">
        <v>1777</v>
      </c>
      <c r="J255" s="8" t="str">
        <f t="shared" si="10"/>
        <v>(${Variables:E2_7_8_5_kcat} * E2_7_8_5 * C00269 * C00093)/(${Variables:E2_7_8_5_km} + (E2_7_8_5 * C00269 * C00093))</v>
      </c>
      <c r="K255" s="40" t="str">
        <f t="shared" si="11"/>
        <v>r254: C00269 + C00093 -&gt; C00055 + C03892 | (${Variables:E2_7_8_5_kcat} * E2_7_8_5 * C00269 * C00093)/(${Variables:E2_7_8_5_km} + (E2_7_8_5 * C00269 * C00093))</v>
      </c>
    </row>
    <row r="256" spans="1:11" ht="43.5" x14ac:dyDescent="0.35">
      <c r="A256" s="8" t="s">
        <v>189</v>
      </c>
      <c r="B256" s="8" t="s">
        <v>190</v>
      </c>
      <c r="C256" s="8" t="s">
        <v>2191</v>
      </c>
      <c r="D256" s="8">
        <v>255</v>
      </c>
      <c r="E256" s="8" t="str">
        <f t="shared" si="9"/>
        <v>E2_7_8_7</v>
      </c>
      <c r="F256" s="8" t="s">
        <v>3695</v>
      </c>
      <c r="G256" s="8" t="s">
        <v>1564</v>
      </c>
      <c r="H256" s="8" t="s">
        <v>4043</v>
      </c>
      <c r="I256" s="8" t="s">
        <v>1565</v>
      </c>
      <c r="J256" s="8" t="str">
        <f t="shared" si="10"/>
        <v>(${Variables:E2_7_8_7_kcat} * E2_7_8_7 * C00010 * C03688)/(${Variables:E2_7_8_7_km} + (E2_7_8_7 * C00010 * C03688))</v>
      </c>
      <c r="K256" s="40" t="str">
        <f t="shared" si="11"/>
        <v>r255: C00010 + C03688 -&gt; C00054 + C00229 | (${Variables:E2_7_8_7_kcat} * E2_7_8_7 * C00010 * C03688)/(${Variables:E2_7_8_7_km} + (E2_7_8_7 * C00010 * C03688))</v>
      </c>
    </row>
    <row r="257" spans="1:11" ht="58" x14ac:dyDescent="0.35">
      <c r="A257" s="8" t="s">
        <v>682</v>
      </c>
      <c r="B257" s="8" t="s">
        <v>683</v>
      </c>
      <c r="C257" s="8" t="s">
        <v>2298</v>
      </c>
      <c r="D257" s="8">
        <v>256</v>
      </c>
      <c r="E257" s="8" t="str">
        <f t="shared" si="9"/>
        <v>E2_8_1_13</v>
      </c>
      <c r="F257" s="8" t="s">
        <v>3696</v>
      </c>
      <c r="G257" s="8" t="s">
        <v>1883</v>
      </c>
      <c r="H257" s="8" t="s">
        <v>4044</v>
      </c>
      <c r="I257" s="8" t="s">
        <v>1884</v>
      </c>
      <c r="J257" s="8" t="str">
        <f t="shared" si="10"/>
        <v>(${Variables:E2_8_1_13_kcat} * E2_8_1_13 * C00868 * C15812 * C00002)/(${Variables:E2_8_1_13_km} + (E2_8_1_13 * C00868 * C15812 * C00002))</v>
      </c>
      <c r="K257" s="40" t="str">
        <f t="shared" si="11"/>
        <v>r256: C00868 + C15812 + C00002 -&gt; C17322 + C15811 + C00020 + C00013 | (${Variables:E2_8_1_13_kcat} * E2_8_1_13 * C00868 * C15812 * C00002)/(${Variables:E2_8_1_13_km} + (E2_8_1_13 * C00868 * C15812 * C00002))</v>
      </c>
    </row>
    <row r="258" spans="1:11" ht="43.5" x14ac:dyDescent="0.35">
      <c r="A258" s="8" t="s">
        <v>648</v>
      </c>
      <c r="B258" s="8" t="s">
        <v>649</v>
      </c>
      <c r="C258" s="8" t="s">
        <v>2244</v>
      </c>
      <c r="D258" s="8">
        <v>257</v>
      </c>
      <c r="E258" s="8" t="str">
        <f t="shared" ref="E258:E321" si="12">CONCATENATE("E",C258)</f>
        <v>E2_8_1_4</v>
      </c>
      <c r="F258" s="8" t="s">
        <v>3697</v>
      </c>
      <c r="G258" s="8" t="s">
        <v>1691</v>
      </c>
      <c r="H258" s="8" t="s">
        <v>4045</v>
      </c>
      <c r="I258" s="8" t="s">
        <v>1692</v>
      </c>
      <c r="J258" s="8" t="str">
        <f t="shared" ref="J258:J321" si="13">CONCATENATE("(${Variables:",E258,"_kcat","} * ",E258," * ",G258,")","/(${Variables:",E258,"_km","} + (",E258," * ",G258,"))")</f>
        <v>(${Variables:E2_8_1_4_kcat} * E2_8_1_4 * C00097 * C02342)/(${Variables:E2_8_1_4_km} + (E2_8_1_4 * C00097 * C02342))</v>
      </c>
      <c r="K258" s="40" t="str">
        <f t="shared" ref="K258:K321" si="14">CONCATENATE("r",D258,": ",F258," -&gt; ",H258," | ",J258)</f>
        <v>r257: C00097 + C02342 -&gt; C00065 + C04161 | (${Variables:E2_8_1_4_kcat} * E2_8_1_4 * C00097 * C02342)/(${Variables:E2_8_1_4_km} + (E2_8_1_4 * C00097 * C02342))</v>
      </c>
    </row>
    <row r="259" spans="1:11" ht="58" x14ac:dyDescent="0.35">
      <c r="A259" s="8" t="s">
        <v>648</v>
      </c>
      <c r="B259" s="8" t="s">
        <v>649</v>
      </c>
      <c r="C259" s="8" t="s">
        <v>2244</v>
      </c>
      <c r="D259" s="8">
        <v>258</v>
      </c>
      <c r="E259" s="8" t="str">
        <f t="shared" si="12"/>
        <v>E2_8_1_4</v>
      </c>
      <c r="F259" s="8" t="s">
        <v>3698</v>
      </c>
      <c r="G259" s="8" t="s">
        <v>2051</v>
      </c>
      <c r="H259" s="8" t="s">
        <v>4046</v>
      </c>
      <c r="I259" s="8" t="s">
        <v>2052</v>
      </c>
      <c r="J259" s="8" t="str">
        <f t="shared" si="13"/>
        <v>(${Variables:E2_8_1_4_kcat} * E2_8_1_4 * C15812 * C15813 * C00030)/(${Variables:E2_8_1_4_km} + (E2_8_1_4 * C15812 * C15813 * C00030))</v>
      </c>
      <c r="K259" s="40" t="str">
        <f t="shared" si="14"/>
        <v>r258: C15812 + C15813 + C00030 -&gt; C00020 + C15814 + C15811 + C00028 | (${Variables:E2_8_1_4_kcat} * E2_8_1_4 * C15812 * C15813 * C00030)/(${Variables:E2_8_1_4_km} + (E2_8_1_4 * C15812 * C15813 * C00030))</v>
      </c>
    </row>
    <row r="260" spans="1:11" ht="43.5" x14ac:dyDescent="0.35">
      <c r="A260" s="8" t="s">
        <v>763</v>
      </c>
      <c r="B260" s="8" t="s">
        <v>764</v>
      </c>
      <c r="C260" s="8" t="s">
        <v>2211</v>
      </c>
      <c r="D260" s="8">
        <v>259</v>
      </c>
      <c r="E260" s="8" t="str">
        <f t="shared" si="12"/>
        <v>E2_8_3_10</v>
      </c>
      <c r="F260" s="8" t="s">
        <v>3699</v>
      </c>
      <c r="G260" s="8" t="s">
        <v>1590</v>
      </c>
      <c r="H260" s="8" t="s">
        <v>4047</v>
      </c>
      <c r="I260" s="8" t="s">
        <v>1591</v>
      </c>
      <c r="J260" s="8" t="str">
        <f t="shared" si="13"/>
        <v>(${Variables:E2_8_3_10_kcat} * E2_8_3_10 * C00024 * C00158)/(${Variables:E2_8_3_10_km} + (E2_8_3_10 * C00024 * C00158))</v>
      </c>
      <c r="K260" s="40" t="str">
        <f t="shared" si="14"/>
        <v>r259: C00024 + C00158 -&gt; C00033 + C00566 | (${Variables:E2_8_3_10_kcat} * E2_8_3_10 * C00024 * C00158)/(${Variables:E2_8_3_10_km} + (E2_8_3_10 * C00024 * C00158))</v>
      </c>
    </row>
    <row r="261" spans="1:11" ht="43.5" x14ac:dyDescent="0.35">
      <c r="A261" s="8" t="s">
        <v>368</v>
      </c>
      <c r="B261" s="8" t="s">
        <v>369</v>
      </c>
      <c r="C261" s="8" t="s">
        <v>2296</v>
      </c>
      <c r="D261" s="8">
        <v>260</v>
      </c>
      <c r="E261" s="8" t="str">
        <f t="shared" si="12"/>
        <v>E2_8_3_16</v>
      </c>
      <c r="F261" s="8" t="s">
        <v>3700</v>
      </c>
      <c r="G261" s="8" t="s">
        <v>1879</v>
      </c>
      <c r="H261" s="8" t="s">
        <v>4048</v>
      </c>
      <c r="I261" s="8" t="s">
        <v>1880</v>
      </c>
      <c r="J261" s="8" t="str">
        <f t="shared" si="13"/>
        <v>(${Variables:E2_8_3_16_kcat} * E2_8_3_16 * C00798 * C00209)/(${Variables:E2_8_3_16_km} + (E2_8_3_16 * C00798 * C00209))</v>
      </c>
      <c r="K261" s="40" t="str">
        <f t="shared" si="14"/>
        <v>r260: C00798 + C00209 -&gt; C00058 + C00313 | (${Variables:E2_8_3_16_kcat} * E2_8_3_16 * C00798 * C00209)/(${Variables:E2_8_3_16_km} + (E2_8_3_16 * C00798 * C00209))</v>
      </c>
    </row>
    <row r="262" spans="1:11" ht="43.5" x14ac:dyDescent="0.35">
      <c r="A262" s="8" t="s">
        <v>59</v>
      </c>
      <c r="B262" s="8" t="s">
        <v>60</v>
      </c>
      <c r="C262" s="8" t="s">
        <v>2341</v>
      </c>
      <c r="D262" s="8">
        <v>261</v>
      </c>
      <c r="E262" s="8" t="str">
        <f t="shared" si="12"/>
        <v>E3_1_1_103</v>
      </c>
      <c r="F262" s="8" t="s">
        <v>3701</v>
      </c>
      <c r="G262" s="8" t="s">
        <v>2082</v>
      </c>
      <c r="H262" s="8" t="s">
        <v>4049</v>
      </c>
      <c r="I262" s="8" t="s">
        <v>2083</v>
      </c>
      <c r="J262" s="8" t="str">
        <f t="shared" si="13"/>
        <v>(${Variables:E3_1_1_103_kcat} * E3_1_1_103 * C21811 * C00001)/(${Variables:E3_1_1_103_km} + (E3_1_1_103 * C21811 * C00001))</v>
      </c>
      <c r="K262" s="40" t="str">
        <f t="shared" si="14"/>
        <v>r261: C21811 + C00001 -&gt; C21812 + C00133 | (${Variables:E3_1_1_103_kcat} * E3_1_1_103 * C21811 * C00001)/(${Variables:E3_1_1_103_km} + (E3_1_1_103 * C21811 * C00001))</v>
      </c>
    </row>
    <row r="263" spans="1:11" ht="43.5" x14ac:dyDescent="0.35">
      <c r="A263" s="8" t="s">
        <v>1228</v>
      </c>
      <c r="B263" s="8" t="s">
        <v>1229</v>
      </c>
      <c r="C263" s="8" t="s">
        <v>2340</v>
      </c>
      <c r="D263" s="8">
        <v>262</v>
      </c>
      <c r="E263" s="8" t="str">
        <f t="shared" si="12"/>
        <v>E3_1_1_106</v>
      </c>
      <c r="F263" s="8" t="s">
        <v>3702</v>
      </c>
      <c r="G263" s="8" t="s">
        <v>2078</v>
      </c>
      <c r="H263" s="8" t="s">
        <v>4050</v>
      </c>
      <c r="I263" s="8" t="s">
        <v>2079</v>
      </c>
      <c r="J263" s="8" t="str">
        <f t="shared" si="13"/>
        <v>(${Variables:E3_1_1_106_kcat} * E3_1_1_106 * C20658 * C00001)/(${Variables:E3_1_1_106_km} + (E3_1_1_106 * C20658 * C00001))</v>
      </c>
      <c r="K263" s="40" t="str">
        <f t="shared" si="14"/>
        <v>r262: C20658 + C00001 -&gt; C00301 + C00033 | (${Variables:E3_1_1_106_kcat} * E3_1_1_106 * C20658 * C00001)/(${Variables:E3_1_1_106_km} + (E3_1_1_106 * C20658 * C00001))</v>
      </c>
    </row>
    <row r="264" spans="1:11" ht="43.5" x14ac:dyDescent="0.35">
      <c r="A264" s="8" t="s">
        <v>1228</v>
      </c>
      <c r="B264" s="8" t="s">
        <v>1229</v>
      </c>
      <c r="C264" s="8" t="s">
        <v>2340</v>
      </c>
      <c r="D264" s="8">
        <v>263</v>
      </c>
      <c r="E264" s="8" t="str">
        <f t="shared" si="12"/>
        <v>E3_1_1_106</v>
      </c>
      <c r="F264" s="8" t="s">
        <v>3703</v>
      </c>
      <c r="G264" s="8" t="s">
        <v>2084</v>
      </c>
      <c r="H264" s="8" t="s">
        <v>4050</v>
      </c>
      <c r="I264" s="8" t="s">
        <v>2079</v>
      </c>
      <c r="J264" s="8" t="str">
        <f t="shared" si="13"/>
        <v>(${Variables:E3_1_1_106_kcat} * E3_1_1_106 * C22131 * C00001)/(${Variables:E3_1_1_106_km} + (E3_1_1_106 * C22131 * C00001))</v>
      </c>
      <c r="K264" s="40" t="str">
        <f t="shared" si="14"/>
        <v>r263: C22131 + C00001 -&gt; C00301 + C00033 | (${Variables:E3_1_1_106_kcat} * E3_1_1_106 * C22131 * C00001)/(${Variables:E3_1_1_106_km} + (E3_1_1_106 * C22131 * C00001))</v>
      </c>
    </row>
    <row r="265" spans="1:11" ht="43.5" x14ac:dyDescent="0.35">
      <c r="A265" s="8" t="s">
        <v>200</v>
      </c>
      <c r="B265" s="8" t="s">
        <v>201</v>
      </c>
      <c r="C265" s="8" t="s">
        <v>2322</v>
      </c>
      <c r="D265" s="8">
        <v>264</v>
      </c>
      <c r="E265" s="8" t="str">
        <f t="shared" si="12"/>
        <v>E3_1_1_29</v>
      </c>
      <c r="F265" s="8" t="s">
        <v>3704</v>
      </c>
      <c r="G265" s="8" t="s">
        <v>1958</v>
      </c>
      <c r="H265" s="8" t="s">
        <v>4051</v>
      </c>
      <c r="I265" s="8" t="s">
        <v>1959</v>
      </c>
      <c r="J265" s="8" t="str">
        <f t="shared" si="13"/>
        <v>(${Variables:E3_1_1_29_kcat} * E3_1_1_29 * C03880 * C00001)/(${Variables:E3_1_1_29_km} + (E3_1_1_29 * C03880 * C00001))</v>
      </c>
      <c r="K265" s="40" t="str">
        <f t="shared" si="14"/>
        <v>r264: C03880 + C00001 -&gt; C03523 + C00066 | (${Variables:E3_1_1_29_kcat} * E3_1_1_29 * C03880 * C00001)/(${Variables:E3_1_1_29_km} + (E3_1_1_29 * C03880 * C00001))</v>
      </c>
    </row>
    <row r="266" spans="1:11" ht="43.5" x14ac:dyDescent="0.35">
      <c r="A266" s="8" t="s">
        <v>770</v>
      </c>
      <c r="B266" s="8" t="s">
        <v>771</v>
      </c>
      <c r="C266" s="8" t="s">
        <v>2113</v>
      </c>
      <c r="D266" s="8">
        <v>265</v>
      </c>
      <c r="E266" s="8" t="str">
        <f t="shared" si="12"/>
        <v>E3_1_1_96</v>
      </c>
      <c r="F266" s="8" t="s">
        <v>1301</v>
      </c>
      <c r="G266" s="8" t="s">
        <v>1301</v>
      </c>
      <c r="H266" s="8" t="s">
        <v>4052</v>
      </c>
      <c r="I266" s="8" t="s">
        <v>1360</v>
      </c>
      <c r="J266" s="8" t="str">
        <f t="shared" si="13"/>
        <v>(${Variables:E3_1_1_96_kcat} * E3_1_1_96 * C00001)/(${Variables:E3_1_1_96_km} + (E3_1_1_96 * C00001))</v>
      </c>
      <c r="K266" s="40" t="str">
        <f t="shared" si="14"/>
        <v>r265: C00001 -&gt; C00405 + C00066 + C00037 + C01635 | (${Variables:E3_1_1_96_kcat} * E3_1_1_96 * C00001)/(${Variables:E3_1_1_96_km} + (E3_1_1_96 * C00001))</v>
      </c>
    </row>
    <row r="267" spans="1:11" ht="43.5" x14ac:dyDescent="0.35">
      <c r="A267" s="8" t="s">
        <v>780</v>
      </c>
      <c r="B267" s="8" t="s">
        <v>781</v>
      </c>
      <c r="C267" s="8" t="s">
        <v>2299</v>
      </c>
      <c r="D267" s="8">
        <v>266</v>
      </c>
      <c r="E267" s="8" t="str">
        <f t="shared" si="12"/>
        <v>E3_1_3_23</v>
      </c>
      <c r="F267" s="8" t="s">
        <v>3705</v>
      </c>
      <c r="G267" s="8" t="s">
        <v>1885</v>
      </c>
      <c r="H267" s="8" t="s">
        <v>4053</v>
      </c>
      <c r="I267" s="8" t="s">
        <v>1886</v>
      </c>
      <c r="J267" s="8" t="str">
        <f t="shared" si="13"/>
        <v>(${Variables:E3_1_3_23_kcat} * E3_1_3_23 * C00934 * C00001)/(${Variables:E3_1_3_23_km} + (E3_1_3_23 * C00934 * C00001))</v>
      </c>
      <c r="K267" s="40" t="str">
        <f t="shared" si="14"/>
        <v>r266: C00934 + C00001 -&gt; C11477 + C00009 | (${Variables:E3_1_3_23_kcat} * E3_1_3_23 * C00934 * C00001)/(${Variables:E3_1_3_23_km} + (E3_1_3_23 * C00934 * C00001))</v>
      </c>
    </row>
    <row r="268" spans="1:11" ht="43.5" x14ac:dyDescent="0.35">
      <c r="A268" s="8" t="s">
        <v>108</v>
      </c>
      <c r="B268" s="8" t="s">
        <v>109</v>
      </c>
      <c r="C268" s="8" t="s">
        <v>2305</v>
      </c>
      <c r="D268" s="8">
        <v>267</v>
      </c>
      <c r="E268" s="8" t="str">
        <f t="shared" si="12"/>
        <v>E3_1_3_48</v>
      </c>
      <c r="F268" s="8" t="s">
        <v>3706</v>
      </c>
      <c r="G268" s="8" t="s">
        <v>1906</v>
      </c>
      <c r="H268" s="8" t="s">
        <v>4054</v>
      </c>
      <c r="I268" s="8" t="s">
        <v>1907</v>
      </c>
      <c r="J268" s="8" t="str">
        <f t="shared" si="13"/>
        <v>(${Variables:E3_1_3_48_kcat} * E3_1_3_48 * C01167 * C00001)/(${Variables:E3_1_3_48_km} + (E3_1_3_48 * C01167 * C00001))</v>
      </c>
      <c r="K268" s="40" t="str">
        <f t="shared" si="14"/>
        <v>r267: C01167 + C00001 -&gt; C00585 + C00009 | (${Variables:E3_1_3_48_kcat} * E3_1_3_48 * C01167 * C00001)/(${Variables:E3_1_3_48_km} + (E3_1_3_48 * C01167 * C00001))</v>
      </c>
    </row>
    <row r="269" spans="1:11" ht="43.5" x14ac:dyDescent="0.35">
      <c r="A269" s="8" t="s">
        <v>50</v>
      </c>
      <c r="B269" s="8" t="s">
        <v>51</v>
      </c>
      <c r="C269" s="8" t="s">
        <v>2205</v>
      </c>
      <c r="D269" s="8">
        <v>268</v>
      </c>
      <c r="E269" s="8" t="str">
        <f t="shared" si="12"/>
        <v>E3_1_3_5</v>
      </c>
      <c r="F269" s="8" t="s">
        <v>3707</v>
      </c>
      <c r="G269" s="8" t="s">
        <v>1578</v>
      </c>
      <c r="H269" s="8" t="s">
        <v>4055</v>
      </c>
      <c r="I269" s="8" t="s">
        <v>1579</v>
      </c>
      <c r="J269" s="8" t="str">
        <f t="shared" si="13"/>
        <v>(${Variables:E3_1_3_5_kcat} * E3_1_3_5 * C00020 * C00001)/(${Variables:E3_1_3_5_km} + (E3_1_3_5 * C00020 * C00001))</v>
      </c>
      <c r="K269" s="40" t="str">
        <f t="shared" si="14"/>
        <v>r268: C00020 + C00001 -&gt; C00212 + C00009 | (${Variables:E3_1_3_5_kcat} * E3_1_3_5 * C00020 * C00001)/(${Variables:E3_1_3_5_km} + (E3_1_3_5 * C00020 * C00001))</v>
      </c>
    </row>
    <row r="270" spans="1:11" ht="43.5" x14ac:dyDescent="0.35">
      <c r="A270" s="8" t="s">
        <v>50</v>
      </c>
      <c r="B270" s="8" t="s">
        <v>51</v>
      </c>
      <c r="C270" s="8" t="s">
        <v>2205</v>
      </c>
      <c r="D270" s="8">
        <v>269</v>
      </c>
      <c r="E270" s="8" t="str">
        <f t="shared" si="12"/>
        <v>E3_1_3_5</v>
      </c>
      <c r="F270" s="8" t="s">
        <v>3708</v>
      </c>
      <c r="G270" s="8" t="s">
        <v>1617</v>
      </c>
      <c r="H270" s="8" t="s">
        <v>4056</v>
      </c>
      <c r="I270" s="8" t="s">
        <v>1618</v>
      </c>
      <c r="J270" s="8" t="str">
        <f t="shared" si="13"/>
        <v>(${Variables:E3_1_3_5_kcat} * E3_1_3_5 * C00055 * C00001)/(${Variables:E3_1_3_5_km} + (E3_1_3_5 * C00055 * C00001))</v>
      </c>
      <c r="K270" s="40" t="str">
        <f t="shared" si="14"/>
        <v>r269: C00055 + C00001 -&gt; C00475 + C00009 | (${Variables:E3_1_3_5_kcat} * E3_1_3_5 * C00055 * C00001)/(${Variables:E3_1_3_5_km} + (E3_1_3_5 * C00055 * C00001))</v>
      </c>
    </row>
    <row r="271" spans="1:11" ht="43.5" x14ac:dyDescent="0.35">
      <c r="A271" s="8" t="s">
        <v>50</v>
      </c>
      <c r="B271" s="8" t="s">
        <v>51</v>
      </c>
      <c r="C271" s="8" t="s">
        <v>2205</v>
      </c>
      <c r="D271" s="8">
        <v>270</v>
      </c>
      <c r="E271" s="8" t="str">
        <f t="shared" si="12"/>
        <v>E3_1_3_5</v>
      </c>
      <c r="F271" s="8" t="s">
        <v>3709</v>
      </c>
      <c r="G271" s="8" t="s">
        <v>1701</v>
      </c>
      <c r="H271" s="8" t="s">
        <v>4057</v>
      </c>
      <c r="I271" s="8" t="s">
        <v>1702</v>
      </c>
      <c r="J271" s="8" t="str">
        <f t="shared" si="13"/>
        <v>(${Variables:E3_1_3_5_kcat} * E3_1_3_5 * C00105 * C00001)/(${Variables:E3_1_3_5_km} + (E3_1_3_5 * C00105 * C00001))</v>
      </c>
      <c r="K271" s="40" t="str">
        <f t="shared" si="14"/>
        <v>r270: C00105 + C00001 -&gt; C00299 + C00009 | (${Variables:E3_1_3_5_kcat} * E3_1_3_5 * C00105 * C00001)/(${Variables:E3_1_3_5_km} + (E3_1_3_5 * C00105 * C00001))</v>
      </c>
    </row>
    <row r="272" spans="1:11" ht="43.5" x14ac:dyDescent="0.35">
      <c r="A272" s="8" t="s">
        <v>50</v>
      </c>
      <c r="B272" s="8" t="s">
        <v>51</v>
      </c>
      <c r="C272" s="8" t="s">
        <v>2205</v>
      </c>
      <c r="D272" s="8">
        <v>271</v>
      </c>
      <c r="E272" s="8" t="str">
        <f t="shared" si="12"/>
        <v>E3_1_3_5</v>
      </c>
      <c r="F272" s="8" t="s">
        <v>3710</v>
      </c>
      <c r="G272" s="8" t="s">
        <v>1711</v>
      </c>
      <c r="H272" s="8" t="s">
        <v>4058</v>
      </c>
      <c r="I272" s="8" t="s">
        <v>1712</v>
      </c>
      <c r="J272" s="8" t="str">
        <f t="shared" si="13"/>
        <v>(${Variables:E3_1_3_5_kcat} * E3_1_3_5 * C00130 * C00001)/(${Variables:E3_1_3_5_km} + (E3_1_3_5 * C00130 * C00001))</v>
      </c>
      <c r="K272" s="40" t="str">
        <f t="shared" si="14"/>
        <v>r271: C00130 + C00001 -&gt; C00294 + C00009 | (${Variables:E3_1_3_5_kcat} * E3_1_3_5 * C00130 * C00001)/(${Variables:E3_1_3_5_km} + (E3_1_3_5 * C00130 * C00001))</v>
      </c>
    </row>
    <row r="273" spans="1:11" ht="43.5" x14ac:dyDescent="0.35">
      <c r="A273" s="8" t="s">
        <v>50</v>
      </c>
      <c r="B273" s="8" t="s">
        <v>51</v>
      </c>
      <c r="C273" s="8" t="s">
        <v>2205</v>
      </c>
      <c r="D273" s="8">
        <v>272</v>
      </c>
      <c r="E273" s="8" t="str">
        <f t="shared" si="12"/>
        <v>E3_1_3_5</v>
      </c>
      <c r="F273" s="8" t="s">
        <v>3711</v>
      </c>
      <c r="G273" s="8" t="s">
        <v>1725</v>
      </c>
      <c r="H273" s="8" t="s">
        <v>4059</v>
      </c>
      <c r="I273" s="8" t="s">
        <v>1726</v>
      </c>
      <c r="J273" s="8" t="str">
        <f t="shared" si="13"/>
        <v>(${Variables:E3_1_3_5_kcat} * E3_1_3_5 * C00144 * C00001)/(${Variables:E3_1_3_5_km} + (E3_1_3_5 * C00144 * C00001))</v>
      </c>
      <c r="K273" s="40" t="str">
        <f t="shared" si="14"/>
        <v>r272: C00144 + C00001 -&gt; C00387 + C00009 | (${Variables:E3_1_3_5_kcat} * E3_1_3_5 * C00144 * C00001)/(${Variables:E3_1_3_5_km} + (E3_1_3_5 * C00144 * C00001))</v>
      </c>
    </row>
    <row r="274" spans="1:11" ht="43.5" x14ac:dyDescent="0.35">
      <c r="A274" s="8" t="s">
        <v>50</v>
      </c>
      <c r="B274" s="8" t="s">
        <v>51</v>
      </c>
      <c r="C274" s="8" t="s">
        <v>2205</v>
      </c>
      <c r="D274" s="8">
        <v>273</v>
      </c>
      <c r="E274" s="8" t="str">
        <f t="shared" si="12"/>
        <v>E3_1_3_5</v>
      </c>
      <c r="F274" s="8" t="s">
        <v>3712</v>
      </c>
      <c r="G274" s="8" t="s">
        <v>1766</v>
      </c>
      <c r="H274" s="8" t="s">
        <v>4060</v>
      </c>
      <c r="I274" s="8" t="s">
        <v>1767</v>
      </c>
      <c r="J274" s="8" t="str">
        <f t="shared" si="13"/>
        <v>(${Variables:E3_1_3_5_kcat} * E3_1_3_5 * C00239 * C00001)/(${Variables:E3_1_3_5_km} + (E3_1_3_5 * C00239 * C00001))</v>
      </c>
      <c r="K274" s="40" t="str">
        <f t="shared" si="14"/>
        <v>r273: C00239 + C00001 -&gt; C00881 + C00009 | (${Variables:E3_1_3_5_kcat} * E3_1_3_5 * C00239 * C00001)/(${Variables:E3_1_3_5_km} + (E3_1_3_5 * C00239 * C00001))</v>
      </c>
    </row>
    <row r="275" spans="1:11" ht="43.5" x14ac:dyDescent="0.35">
      <c r="A275" s="8" t="s">
        <v>50</v>
      </c>
      <c r="B275" s="8" t="s">
        <v>51</v>
      </c>
      <c r="C275" s="8" t="s">
        <v>2205</v>
      </c>
      <c r="D275" s="8">
        <v>274</v>
      </c>
      <c r="E275" s="8" t="str">
        <f t="shared" si="12"/>
        <v>E3_1_3_5</v>
      </c>
      <c r="F275" s="8" t="s">
        <v>3713</v>
      </c>
      <c r="G275" s="8" t="s">
        <v>1803</v>
      </c>
      <c r="H275" s="8" t="s">
        <v>4061</v>
      </c>
      <c r="I275" s="8" t="s">
        <v>1804</v>
      </c>
      <c r="J275" s="8" t="str">
        <f t="shared" si="13"/>
        <v>(${Variables:E3_1_3_5_kcat} * E3_1_3_5 * C00360 * C00001)/(${Variables:E3_1_3_5_km} + (E3_1_3_5 * C00360 * C00001))</v>
      </c>
      <c r="K275" s="40" t="str">
        <f t="shared" si="14"/>
        <v>r274: C00360 + C00001 -&gt; C00559 + C00009 | (${Variables:E3_1_3_5_kcat} * E3_1_3_5 * C00360 * C00001)/(${Variables:E3_1_3_5_km} + (E3_1_3_5 * C00360 * C00001))</v>
      </c>
    </row>
    <row r="276" spans="1:11" ht="43.5" x14ac:dyDescent="0.35">
      <c r="A276" s="8" t="s">
        <v>50</v>
      </c>
      <c r="B276" s="8" t="s">
        <v>51</v>
      </c>
      <c r="C276" s="8" t="s">
        <v>2205</v>
      </c>
      <c r="D276" s="8">
        <v>275</v>
      </c>
      <c r="E276" s="8" t="str">
        <f t="shared" si="12"/>
        <v>E3_1_3_5</v>
      </c>
      <c r="F276" s="8" t="s">
        <v>3714</v>
      </c>
      <c r="G276" s="8" t="s">
        <v>1807</v>
      </c>
      <c r="H276" s="8" t="s">
        <v>4062</v>
      </c>
      <c r="I276" s="8" t="s">
        <v>1808</v>
      </c>
      <c r="J276" s="8" t="str">
        <f t="shared" si="13"/>
        <v>(${Variables:E3_1_3_5_kcat} * E3_1_3_5 * C00362 * C00001)/(${Variables:E3_1_3_5_km} + (E3_1_3_5 * C00362 * C00001))</v>
      </c>
      <c r="K276" s="40" t="str">
        <f t="shared" si="14"/>
        <v>r275: C00362 + C00001 -&gt; C00330 + C00009 | (${Variables:E3_1_3_5_kcat} * E3_1_3_5 * C00362 * C00001)/(${Variables:E3_1_3_5_km} + (E3_1_3_5 * C00362 * C00001))</v>
      </c>
    </row>
    <row r="277" spans="1:11" ht="43.5" x14ac:dyDescent="0.35">
      <c r="A277" s="8" t="s">
        <v>50</v>
      </c>
      <c r="B277" s="8" t="s">
        <v>51</v>
      </c>
      <c r="C277" s="8" t="s">
        <v>2205</v>
      </c>
      <c r="D277" s="8">
        <v>276</v>
      </c>
      <c r="E277" s="8" t="str">
        <f t="shared" si="12"/>
        <v>E3_1_3_5</v>
      </c>
      <c r="F277" s="8" t="s">
        <v>3715</v>
      </c>
      <c r="G277" s="8" t="s">
        <v>1809</v>
      </c>
      <c r="H277" s="8" t="s">
        <v>4063</v>
      </c>
      <c r="I277" s="8" t="s">
        <v>1810</v>
      </c>
      <c r="J277" s="8" t="str">
        <f t="shared" si="13"/>
        <v>(${Variables:E3_1_3_5_kcat} * E3_1_3_5 * C00364 * C00001)/(${Variables:E3_1_3_5_km} + (E3_1_3_5 * C00364 * C00001))</v>
      </c>
      <c r="K277" s="40" t="str">
        <f t="shared" si="14"/>
        <v>r276: C00364 + C00001 -&gt; C00214 + C00009 | (${Variables:E3_1_3_5_kcat} * E3_1_3_5 * C00364 * C00001)/(${Variables:E3_1_3_5_km} + (E3_1_3_5 * C00364 * C00001))</v>
      </c>
    </row>
    <row r="278" spans="1:11" ht="43.5" x14ac:dyDescent="0.35">
      <c r="A278" s="8" t="s">
        <v>50</v>
      </c>
      <c r="B278" s="8" t="s">
        <v>51</v>
      </c>
      <c r="C278" s="8" t="s">
        <v>2205</v>
      </c>
      <c r="D278" s="8">
        <v>277</v>
      </c>
      <c r="E278" s="8" t="str">
        <f t="shared" si="12"/>
        <v>E3_1_3_5</v>
      </c>
      <c r="F278" s="8" t="s">
        <v>3716</v>
      </c>
      <c r="G278" s="8" t="s">
        <v>1811</v>
      </c>
      <c r="H278" s="8" t="s">
        <v>4064</v>
      </c>
      <c r="I278" s="8" t="s">
        <v>1812</v>
      </c>
      <c r="J278" s="8" t="str">
        <f t="shared" si="13"/>
        <v>(${Variables:E3_1_3_5_kcat} * E3_1_3_5 * C00365 * C00001)/(${Variables:E3_1_3_5_km} + (E3_1_3_5 * C00365 * C00001))</v>
      </c>
      <c r="K278" s="40" t="str">
        <f t="shared" si="14"/>
        <v>r277: C00365 + C00001 -&gt; C00526 + C00009 | (${Variables:E3_1_3_5_kcat} * E3_1_3_5 * C00365 * C00001)/(${Variables:E3_1_3_5_km} + (E3_1_3_5 * C00365 * C00001))</v>
      </c>
    </row>
    <row r="279" spans="1:11" ht="43.5" x14ac:dyDescent="0.35">
      <c r="A279" s="8" t="s">
        <v>50</v>
      </c>
      <c r="B279" s="8" t="s">
        <v>51</v>
      </c>
      <c r="C279" s="8" t="s">
        <v>2205</v>
      </c>
      <c r="D279" s="8">
        <v>278</v>
      </c>
      <c r="E279" s="8" t="str">
        <f t="shared" si="12"/>
        <v>E3_1_3_5</v>
      </c>
      <c r="F279" s="8" t="s">
        <v>3717</v>
      </c>
      <c r="G279" s="8" t="s">
        <v>1829</v>
      </c>
      <c r="H279" s="8" t="s">
        <v>4065</v>
      </c>
      <c r="I279" s="8" t="s">
        <v>1830</v>
      </c>
      <c r="J279" s="8" t="str">
        <f t="shared" si="13"/>
        <v>(${Variables:E3_1_3_5_kcat} * E3_1_3_5 * C00455 * C00001)/(${Variables:E3_1_3_5_km} + (E3_1_3_5 * C00455 * C00001))</v>
      </c>
      <c r="K279" s="40" t="str">
        <f t="shared" si="14"/>
        <v>r278: C00455 + C00001 -&gt; C03150 + C00009 | (${Variables:E3_1_3_5_kcat} * E3_1_3_5 * C00455 * C00001)/(${Variables:E3_1_3_5_km} + (E3_1_3_5 * C00455 * C00001))</v>
      </c>
    </row>
    <row r="280" spans="1:11" ht="43.5" x14ac:dyDescent="0.35">
      <c r="A280" s="8" t="s">
        <v>50</v>
      </c>
      <c r="B280" s="8" t="s">
        <v>51</v>
      </c>
      <c r="C280" s="8" t="s">
        <v>2205</v>
      </c>
      <c r="D280" s="8">
        <v>279</v>
      </c>
      <c r="E280" s="8" t="str">
        <f t="shared" si="12"/>
        <v>E3_1_3_5</v>
      </c>
      <c r="F280" s="8" t="s">
        <v>3718</v>
      </c>
      <c r="G280" s="8" t="s">
        <v>1863</v>
      </c>
      <c r="H280" s="8" t="s">
        <v>4066</v>
      </c>
      <c r="I280" s="8" t="s">
        <v>1864</v>
      </c>
      <c r="J280" s="8" t="str">
        <f t="shared" si="13"/>
        <v>(${Variables:E3_1_3_5_kcat} * E3_1_3_5 * C00655 * C00001)/(${Variables:E3_1_3_5_km} + (E3_1_3_5 * C00655 * C00001))</v>
      </c>
      <c r="K280" s="40" t="str">
        <f t="shared" si="14"/>
        <v>r279: C00655 + C00001 -&gt; C01762 + C00009 | (${Variables:E3_1_3_5_kcat} * E3_1_3_5 * C00655 * C00001)/(${Variables:E3_1_3_5_km} + (E3_1_3_5 * C00655 * C00001))</v>
      </c>
    </row>
    <row r="281" spans="1:11" ht="43.5" x14ac:dyDescent="0.35">
      <c r="A281" s="8" t="s">
        <v>50</v>
      </c>
      <c r="B281" s="8" t="s">
        <v>51</v>
      </c>
      <c r="C281" s="8" t="s">
        <v>2205</v>
      </c>
      <c r="D281" s="8">
        <v>280</v>
      </c>
      <c r="E281" s="8" t="str">
        <f t="shared" si="12"/>
        <v>E3_1_3_5</v>
      </c>
      <c r="F281" s="8" t="s">
        <v>3719</v>
      </c>
      <c r="G281" s="8" t="s">
        <v>1909</v>
      </c>
      <c r="H281" s="8" t="s">
        <v>4067</v>
      </c>
      <c r="I281" s="8" t="s">
        <v>1910</v>
      </c>
      <c r="J281" s="8" t="str">
        <f t="shared" si="13"/>
        <v>(${Variables:E3_1_3_5_kcat} * E3_1_3_5 * C01185 * C00001)/(${Variables:E3_1_3_5_km} + (E3_1_3_5 * C01185 * C00001))</v>
      </c>
      <c r="K281" s="40" t="str">
        <f t="shared" si="14"/>
        <v>r280: C01185 + C00001 -&gt; C05841 + C00009 | (${Variables:E3_1_3_5_kcat} * E3_1_3_5 * C01185 * C00001)/(${Variables:E3_1_3_5_km} + (E3_1_3_5 * C01185 * C00001))</v>
      </c>
    </row>
    <row r="282" spans="1:11" ht="43.5" x14ac:dyDescent="0.35">
      <c r="A282" s="8" t="s">
        <v>50</v>
      </c>
      <c r="B282" s="8" t="s">
        <v>51</v>
      </c>
      <c r="C282" s="8" t="s">
        <v>2205</v>
      </c>
      <c r="D282" s="8">
        <v>281</v>
      </c>
      <c r="E282" s="8" t="str">
        <f t="shared" si="12"/>
        <v>E3_1_3_5</v>
      </c>
      <c r="F282" s="8" t="s">
        <v>3720</v>
      </c>
      <c r="G282" s="8" t="s">
        <v>1940</v>
      </c>
      <c r="H282" s="8" t="s">
        <v>4068</v>
      </c>
      <c r="I282" s="8" t="s">
        <v>1941</v>
      </c>
      <c r="J282" s="8" t="str">
        <f t="shared" si="13"/>
        <v>(${Variables:E3_1_3_5_kcat} * E3_1_3_5 * C02520 * C00001)/(${Variables:E3_1_3_5_km} + (E3_1_3_5 * C02520 * C00001))</v>
      </c>
      <c r="K282" s="40" t="str">
        <f t="shared" si="14"/>
        <v>r281: C02520 + C00001 -&gt; C00911 + C00009 | (${Variables:E3_1_3_5_kcat} * E3_1_3_5 * C02520 * C00001)/(${Variables:E3_1_3_5_km} + (E3_1_3_5 * C02520 * C00001))</v>
      </c>
    </row>
    <row r="283" spans="1:11" ht="43.5" x14ac:dyDescent="0.35">
      <c r="A283" s="8" t="s">
        <v>50</v>
      </c>
      <c r="B283" s="8" t="s">
        <v>51</v>
      </c>
      <c r="C283" s="8" t="s">
        <v>2205</v>
      </c>
      <c r="D283" s="8">
        <v>282</v>
      </c>
      <c r="E283" s="8" t="str">
        <f t="shared" si="12"/>
        <v>E3_1_3_5</v>
      </c>
      <c r="F283" s="8" t="s">
        <v>3721</v>
      </c>
      <c r="G283" s="8" t="s">
        <v>2027</v>
      </c>
      <c r="H283" s="8" t="s">
        <v>4069</v>
      </c>
      <c r="I283" s="8" t="s">
        <v>2028</v>
      </c>
      <c r="J283" s="8" t="str">
        <f t="shared" si="13"/>
        <v>(${Variables:E3_1_3_5_kcat} * E3_1_3_5 * C06196 * C00001)/(${Variables:E3_1_3_5_km} + (E3_1_3_5 * C06196 * C00001))</v>
      </c>
      <c r="K283" s="40" t="str">
        <f t="shared" si="14"/>
        <v>r282: C06196 + C00001 -&gt; C05512 + C00009 | (${Variables:E3_1_3_5_kcat} * E3_1_3_5 * C06196 * C00001)/(${Variables:E3_1_3_5_km} + (E3_1_3_5 * C06196 * C00001))</v>
      </c>
    </row>
    <row r="284" spans="1:11" ht="43.5" x14ac:dyDescent="0.35">
      <c r="A284" s="8" t="s">
        <v>394</v>
      </c>
      <c r="B284" s="8" t="s">
        <v>395</v>
      </c>
      <c r="C284" s="8" t="s">
        <v>2223</v>
      </c>
      <c r="D284" s="8">
        <v>283</v>
      </c>
      <c r="E284" s="8" t="str">
        <f t="shared" si="12"/>
        <v>E3_1_3_7</v>
      </c>
      <c r="F284" s="8" t="s">
        <v>3722</v>
      </c>
      <c r="G284" s="8" t="s">
        <v>1613</v>
      </c>
      <c r="H284" s="8" t="s">
        <v>4070</v>
      </c>
      <c r="I284" s="8" t="s">
        <v>1614</v>
      </c>
      <c r="J284" s="8" t="str">
        <f t="shared" si="13"/>
        <v>(${Variables:E3_1_3_7_kcat} * E3_1_3_7 * C00053 * C00001)/(${Variables:E3_1_3_7_km} + (E3_1_3_7 * C00053 * C00001))</v>
      </c>
      <c r="K284" s="40" t="str">
        <f t="shared" si="14"/>
        <v>r283: C00053 + C00001 -&gt; C00224 + C00009 | (${Variables:E3_1_3_7_kcat} * E3_1_3_7 * C00053 * C00001)/(${Variables:E3_1_3_7_km} + (E3_1_3_7 * C00053 * C00001))</v>
      </c>
    </row>
    <row r="285" spans="1:11" ht="43.5" x14ac:dyDescent="0.35">
      <c r="A285" s="8" t="s">
        <v>394</v>
      </c>
      <c r="B285" s="8" t="s">
        <v>395</v>
      </c>
      <c r="C285" s="8" t="s">
        <v>2223</v>
      </c>
      <c r="D285" s="8">
        <v>284</v>
      </c>
      <c r="E285" s="8" t="str">
        <f t="shared" si="12"/>
        <v>E3_1_3_7</v>
      </c>
      <c r="F285" s="8" t="s">
        <v>3723</v>
      </c>
      <c r="G285" s="8" t="s">
        <v>1615</v>
      </c>
      <c r="H285" s="8" t="s">
        <v>4071</v>
      </c>
      <c r="I285" s="8" t="s">
        <v>1616</v>
      </c>
      <c r="J285" s="8" t="str">
        <f t="shared" si="13"/>
        <v>(${Variables:E3_1_3_7_kcat} * E3_1_3_7 * C00054 * C00001)/(${Variables:E3_1_3_7_km} + (E3_1_3_7 * C00054 * C00001))</v>
      </c>
      <c r="K285" s="40" t="str">
        <f t="shared" si="14"/>
        <v>r284: C00054 + C00001 -&gt; C00020 + C00009 | (${Variables:E3_1_3_7_kcat} * E3_1_3_7 * C00054 * C00001)/(${Variables:E3_1_3_7_km} + (E3_1_3_7 * C00054 * C00001))</v>
      </c>
    </row>
    <row r="286" spans="1:11" ht="43.5" x14ac:dyDescent="0.35">
      <c r="A286" s="8" t="s">
        <v>57</v>
      </c>
      <c r="B286" s="8" t="s">
        <v>58</v>
      </c>
      <c r="C286" s="8" t="s">
        <v>2261</v>
      </c>
      <c r="D286" s="8">
        <v>285</v>
      </c>
      <c r="E286" s="8" t="str">
        <f t="shared" si="12"/>
        <v>E3_1_4_4</v>
      </c>
      <c r="F286" s="8" t="s">
        <v>3724</v>
      </c>
      <c r="G286" s="8" t="s">
        <v>1731</v>
      </c>
      <c r="H286" s="8" t="s">
        <v>4072</v>
      </c>
      <c r="I286" s="8" t="s">
        <v>1732</v>
      </c>
      <c r="J286" s="8" t="str">
        <f t="shared" si="13"/>
        <v>(${Variables:E3_1_4_4_kcat} * E3_1_4_4 * C00157 * C00001)/(${Variables:E3_1_4_4_km} + (E3_1_4_4 * C00157 * C00001))</v>
      </c>
      <c r="K286" s="40" t="str">
        <f t="shared" si="14"/>
        <v>r285: C00157 + C00001 -&gt; C00416 + C00114 | (${Variables:E3_1_4_4_kcat} * E3_1_4_4 * C00157 * C00001)/(${Variables:E3_1_4_4_km} + (E3_1_4_4 * C00157 * C00001))</v>
      </c>
    </row>
    <row r="287" spans="1:11" ht="43.5" x14ac:dyDescent="0.35">
      <c r="A287" s="8" t="s">
        <v>57</v>
      </c>
      <c r="B287" s="8" t="s">
        <v>58</v>
      </c>
      <c r="C287" s="8" t="s">
        <v>2261</v>
      </c>
      <c r="D287" s="8">
        <v>286</v>
      </c>
      <c r="E287" s="8" t="str">
        <f t="shared" si="12"/>
        <v>E3_1_4_4</v>
      </c>
      <c r="F287" s="8" t="s">
        <v>3725</v>
      </c>
      <c r="G287" s="8" t="s">
        <v>1795</v>
      </c>
      <c r="H287" s="8" t="s">
        <v>4073</v>
      </c>
      <c r="I287" s="8" t="s">
        <v>1796</v>
      </c>
      <c r="J287" s="8" t="str">
        <f t="shared" si="13"/>
        <v>(${Variables:E3_1_4_4_kcat} * E3_1_4_4 * C00350 * C00001)/(${Variables:E3_1_4_4_km} + (E3_1_4_4 * C00350 * C00001))</v>
      </c>
      <c r="K287" s="40" t="str">
        <f t="shared" si="14"/>
        <v>r286: C00350 + C00001 -&gt; C00189 + C00416 | (${Variables:E3_1_4_4_kcat} * E3_1_4_4 * C00350 * C00001)/(${Variables:E3_1_4_4_km} + (E3_1_4_4 * C00350 * C00001))</v>
      </c>
    </row>
    <row r="288" spans="1:11" ht="43.5" x14ac:dyDescent="0.35">
      <c r="A288" s="8" t="s">
        <v>57</v>
      </c>
      <c r="B288" s="8" t="s">
        <v>58</v>
      </c>
      <c r="C288" s="8" t="s">
        <v>2261</v>
      </c>
      <c r="D288" s="8">
        <v>287</v>
      </c>
      <c r="E288" s="8" t="str">
        <f t="shared" si="12"/>
        <v>E3_1_4_4</v>
      </c>
      <c r="F288" s="8" t="s">
        <v>3726</v>
      </c>
      <c r="G288" s="8" t="s">
        <v>1984</v>
      </c>
      <c r="H288" s="8" t="s">
        <v>4074</v>
      </c>
      <c r="I288" s="8" t="s">
        <v>1985</v>
      </c>
      <c r="J288" s="8" t="str">
        <f t="shared" si="13"/>
        <v>(${Variables:E3_1_4_4_kcat} * E3_1_4_4 * C04756 * C00001)/(${Variables:E3_1_4_4_km} + (E3_1_4_4 * C04756 * C00001))</v>
      </c>
      <c r="K288" s="40" t="str">
        <f t="shared" si="14"/>
        <v>r287: C04756 + C00001 -&gt; C15647 + C00189 | (${Variables:E3_1_4_4_kcat} * E3_1_4_4 * C04756 * C00001)/(${Variables:E3_1_4_4_km} + (E3_1_4_4 * C04756 * C00001))</v>
      </c>
    </row>
    <row r="289" spans="1:11" ht="43.5" x14ac:dyDescent="0.35">
      <c r="A289" s="8" t="s">
        <v>374</v>
      </c>
      <c r="B289" s="8" t="s">
        <v>375</v>
      </c>
      <c r="C289" s="8" t="s">
        <v>2237</v>
      </c>
      <c r="D289" s="8">
        <v>288</v>
      </c>
      <c r="E289" s="8" t="str">
        <f t="shared" si="12"/>
        <v>E3_2_1_26</v>
      </c>
      <c r="F289" s="8" t="s">
        <v>3727</v>
      </c>
      <c r="G289" s="8" t="s">
        <v>1671</v>
      </c>
      <c r="H289" s="8" t="s">
        <v>4075</v>
      </c>
      <c r="I289" s="8" t="s">
        <v>1672</v>
      </c>
      <c r="J289" s="8" t="str">
        <f t="shared" si="13"/>
        <v>(${Variables:E3_2_1_26_kcat} * E3_2_1_26 * C00089 * C00001)/(${Variables:E3_2_1_26_km} + (E3_2_1_26 * C00089 * C00001))</v>
      </c>
      <c r="K289" s="40" t="str">
        <f t="shared" si="14"/>
        <v>r288: C00089 + C00001 -&gt; C00095 + C00031 | (${Variables:E3_2_1_26_kcat} * E3_2_1_26 * C00089 * C00001)/(${Variables:E3_2_1_26_km} + (E3_2_1_26 * C00089 * C00001))</v>
      </c>
    </row>
    <row r="290" spans="1:11" ht="43.5" x14ac:dyDescent="0.35">
      <c r="A290" s="8" t="s">
        <v>374</v>
      </c>
      <c r="B290" s="8" t="s">
        <v>375</v>
      </c>
      <c r="C290" s="8" t="s">
        <v>2237</v>
      </c>
      <c r="D290" s="8">
        <v>289</v>
      </c>
      <c r="E290" s="8" t="str">
        <f t="shared" si="12"/>
        <v>E3_2_1_26</v>
      </c>
      <c r="F290" s="8" t="s">
        <v>3727</v>
      </c>
      <c r="G290" s="8" t="s">
        <v>1671</v>
      </c>
      <c r="H290" s="8" t="s">
        <v>4076</v>
      </c>
      <c r="I290" s="8" t="s">
        <v>1673</v>
      </c>
      <c r="J290" s="8" t="str">
        <f t="shared" si="13"/>
        <v>(${Variables:E3_2_1_26_kcat} * E3_2_1_26 * C00089 * C00001)/(${Variables:E3_2_1_26_km} + (E3_2_1_26 * C00089 * C00001))</v>
      </c>
      <c r="K290" s="40" t="str">
        <f t="shared" si="14"/>
        <v>r289: C00089 + C00001 -&gt; C02336 + C00267 | (${Variables:E3_2_1_26_kcat} * E3_2_1_26 * C00089 * C00001)/(${Variables:E3_2_1_26_km} + (E3_2_1_26 * C00089 * C00001))</v>
      </c>
    </row>
    <row r="291" spans="1:11" ht="43.5" x14ac:dyDescent="0.35">
      <c r="A291" s="8" t="s">
        <v>374</v>
      </c>
      <c r="B291" s="8" t="s">
        <v>375</v>
      </c>
      <c r="C291" s="8" t="s">
        <v>2237</v>
      </c>
      <c r="D291" s="8">
        <v>290</v>
      </c>
      <c r="E291" s="8" t="str">
        <f t="shared" si="12"/>
        <v>E3_2_1_26</v>
      </c>
      <c r="F291" s="8" t="s">
        <v>3728</v>
      </c>
      <c r="G291" s="8" t="s">
        <v>1841</v>
      </c>
      <c r="H291" s="8" t="s">
        <v>4077</v>
      </c>
      <c r="I291" s="8" t="s">
        <v>1842</v>
      </c>
      <c r="J291" s="8" t="str">
        <f t="shared" si="13"/>
        <v>(${Variables:E3_2_1_26_kcat} * E3_2_1_26 * C00492 * C00001)/(${Variables:E3_2_1_26_km} + (E3_2_1_26 * C00492 * C00001))</v>
      </c>
      <c r="K291" s="40" t="str">
        <f t="shared" si="14"/>
        <v>r290: C00492 + C00001 -&gt; C05402 + C00095 | (${Variables:E3_2_1_26_kcat} * E3_2_1_26 * C00492 * C00001)/(${Variables:E3_2_1_26_km} + (E3_2_1_26 * C00492 * C00001))</v>
      </c>
    </row>
    <row r="292" spans="1:11" ht="43.5" x14ac:dyDescent="0.35">
      <c r="A292" s="8" t="s">
        <v>374</v>
      </c>
      <c r="B292" s="8" t="s">
        <v>375</v>
      </c>
      <c r="C292" s="8" t="s">
        <v>2237</v>
      </c>
      <c r="D292" s="8">
        <v>291</v>
      </c>
      <c r="E292" s="8" t="str">
        <f t="shared" si="12"/>
        <v>E3_2_1_26</v>
      </c>
      <c r="F292" s="8" t="s">
        <v>3729</v>
      </c>
      <c r="G292" s="8" t="s">
        <v>1920</v>
      </c>
      <c r="H292" s="8" t="s">
        <v>4078</v>
      </c>
      <c r="I292" s="8" t="s">
        <v>1921</v>
      </c>
      <c r="J292" s="8" t="str">
        <f t="shared" si="13"/>
        <v>(${Variables:E3_2_1_26_kcat} * E3_2_1_26 * C01613 * C00001)/(${Variables:E3_2_1_26_km} + (E3_2_1_26 * C01613 * C00001))</v>
      </c>
      <c r="K292" s="40" t="str">
        <f t="shared" si="14"/>
        <v>r291: C01613 + C00001 -&gt; C05404 + C00095 | (${Variables:E3_2_1_26_kcat} * E3_2_1_26 * C01613 * C00001)/(${Variables:E3_2_1_26_km} + (E3_2_1_26 * C01613 * C00001))</v>
      </c>
    </row>
    <row r="293" spans="1:11" ht="43.5" x14ac:dyDescent="0.35">
      <c r="A293" s="8" t="s">
        <v>374</v>
      </c>
      <c r="B293" s="8" t="s">
        <v>375</v>
      </c>
      <c r="C293" s="8" t="s">
        <v>2237</v>
      </c>
      <c r="D293" s="8">
        <v>292</v>
      </c>
      <c r="E293" s="8" t="str">
        <f t="shared" si="12"/>
        <v>E3_2_1_26</v>
      </c>
      <c r="F293" s="8" t="s">
        <v>3730</v>
      </c>
      <c r="G293" s="8" t="s">
        <v>2065</v>
      </c>
      <c r="H293" s="8" t="s">
        <v>4079</v>
      </c>
      <c r="I293" s="8" t="s">
        <v>2066</v>
      </c>
      <c r="J293" s="8" t="str">
        <f t="shared" si="13"/>
        <v>(${Variables:E3_2_1_26_kcat} * E3_2_1_26 * C16688 * C00001)/(${Variables:E3_2_1_26_km} + (E3_2_1_26 * C16688 * C00001))</v>
      </c>
      <c r="K293" s="40" t="str">
        <f t="shared" si="14"/>
        <v>r292: C16688 + C00001 -&gt; C00095 + C00092 | (${Variables:E3_2_1_26_kcat} * E3_2_1_26 * C16688 * C00001)/(${Variables:E3_2_1_26_km} + (E3_2_1_26 * C16688 * C00001))</v>
      </c>
    </row>
    <row r="294" spans="1:11" ht="43.5" x14ac:dyDescent="0.35">
      <c r="A294" s="8" t="s">
        <v>155</v>
      </c>
      <c r="B294" s="8" t="s">
        <v>156</v>
      </c>
      <c r="C294" s="8" t="s">
        <v>2328</v>
      </c>
      <c r="D294" s="8">
        <v>293</v>
      </c>
      <c r="E294" s="8" t="str">
        <f t="shared" si="12"/>
        <v>E3_2_1_86</v>
      </c>
      <c r="F294" s="8" t="s">
        <v>3731</v>
      </c>
      <c r="G294" s="8" t="s">
        <v>1977</v>
      </c>
      <c r="H294" s="8" t="s">
        <v>4080</v>
      </c>
      <c r="I294" s="8" t="s">
        <v>1978</v>
      </c>
      <c r="J294" s="8" t="str">
        <f t="shared" si="13"/>
        <v>(${Variables:E3_2_1_86_kcat} * E3_2_1_86 * C04534 * C00001)/(${Variables:E3_2_1_86_km} + (E3_2_1_86 * C04534 * C00001))</v>
      </c>
      <c r="K294" s="40" t="str">
        <f t="shared" si="14"/>
        <v>r293: C04534 + C00001 -&gt; C00031 + C00092 | (${Variables:E3_2_1_86_kcat} * E3_2_1_86 * C04534 * C00001)/(${Variables:E3_2_1_86_km} + (E3_2_1_86 * C04534 * C00001))</v>
      </c>
    </row>
    <row r="295" spans="1:11" ht="43.5" x14ac:dyDescent="0.35">
      <c r="A295" s="8" t="s">
        <v>155</v>
      </c>
      <c r="B295" s="8" t="s">
        <v>156</v>
      </c>
      <c r="C295" s="8" t="s">
        <v>2328</v>
      </c>
      <c r="D295" s="8">
        <v>294</v>
      </c>
      <c r="E295" s="8" t="str">
        <f t="shared" si="12"/>
        <v>E3_2_1_86</v>
      </c>
      <c r="F295" s="8" t="s">
        <v>3732</v>
      </c>
      <c r="G295" s="8" t="s">
        <v>2023</v>
      </c>
      <c r="H295" s="8" t="s">
        <v>4081</v>
      </c>
      <c r="I295" s="8" t="s">
        <v>2024</v>
      </c>
      <c r="J295" s="8" t="str">
        <f t="shared" si="13"/>
        <v>(${Variables:E3_2_1_86_kcat} * E3_2_1_86 * C06187 * C00001)/(${Variables:E3_2_1_86_km} + (E3_2_1_86 * C06187 * C00001))</v>
      </c>
      <c r="K295" s="40" t="str">
        <f t="shared" si="14"/>
        <v>r294: C06187 + C00001 -&gt; C00530 + C01172 | (${Variables:E3_2_1_86_kcat} * E3_2_1_86 * C06187 * C00001)/(${Variables:E3_2_1_86_km} + (E3_2_1_86 * C06187 * C00001))</v>
      </c>
    </row>
    <row r="296" spans="1:11" ht="43.5" x14ac:dyDescent="0.35">
      <c r="A296" s="8" t="s">
        <v>155</v>
      </c>
      <c r="B296" s="8" t="s">
        <v>156</v>
      </c>
      <c r="C296" s="8" t="s">
        <v>2328</v>
      </c>
      <c r="D296" s="8">
        <v>295</v>
      </c>
      <c r="E296" s="8" t="str">
        <f t="shared" si="12"/>
        <v>E3_2_1_86</v>
      </c>
      <c r="F296" s="8" t="s">
        <v>3733</v>
      </c>
      <c r="G296" s="8" t="s">
        <v>2025</v>
      </c>
      <c r="H296" s="8" t="s">
        <v>4082</v>
      </c>
      <c r="I296" s="8" t="s">
        <v>2026</v>
      </c>
      <c r="J296" s="8" t="str">
        <f t="shared" si="13"/>
        <v>(${Variables:E3_2_1_86_kcat} * E3_2_1_86 * C06188 * C00001)/(${Variables:E3_2_1_86_km} + (E3_2_1_86 * C06188 * C00001))</v>
      </c>
      <c r="K296" s="40" t="str">
        <f t="shared" si="14"/>
        <v>r295: C06188 + C00001 -&gt; C02323 + C01172 | (${Variables:E3_2_1_86_kcat} * E3_2_1_86 * C06188 * C00001)/(${Variables:E3_2_1_86_km} + (E3_2_1_86 * C06188 * C00001))</v>
      </c>
    </row>
    <row r="297" spans="1:11" ht="43.5" x14ac:dyDescent="0.35">
      <c r="A297" s="8" t="s">
        <v>680</v>
      </c>
      <c r="B297" s="8" t="s">
        <v>681</v>
      </c>
      <c r="C297" s="8" t="s">
        <v>2207</v>
      </c>
      <c r="D297" s="8">
        <v>296</v>
      </c>
      <c r="E297" s="8" t="str">
        <f t="shared" si="12"/>
        <v>E3_2_2_9</v>
      </c>
      <c r="F297" s="8" t="s">
        <v>3734</v>
      </c>
      <c r="G297" s="8" t="s">
        <v>1582</v>
      </c>
      <c r="H297" s="8" t="s">
        <v>4083</v>
      </c>
      <c r="I297" s="8" t="s">
        <v>1583</v>
      </c>
      <c r="J297" s="8" t="str">
        <f t="shared" si="13"/>
        <v>(${Variables:E3_2_2_9_kcat} * E3_2_2_9 * C00021 * C00001)/(${Variables:E3_2_2_9_km} + (E3_2_2_9 * C00021 * C00001))</v>
      </c>
      <c r="K297" s="40" t="str">
        <f t="shared" si="14"/>
        <v>r296: C00021 + C00001 -&gt; C03539 + C00147 | (${Variables:E3_2_2_9_kcat} * E3_2_2_9 * C00021 * C00001)/(${Variables:E3_2_2_9_km} + (E3_2_2_9 * C00021 * C00001))</v>
      </c>
    </row>
    <row r="298" spans="1:11" ht="43.5" x14ac:dyDescent="0.35">
      <c r="A298" s="8" t="s">
        <v>680</v>
      </c>
      <c r="B298" s="8" t="s">
        <v>681</v>
      </c>
      <c r="C298" s="8" t="s">
        <v>2207</v>
      </c>
      <c r="D298" s="8">
        <v>297</v>
      </c>
      <c r="E298" s="8" t="str">
        <f t="shared" si="12"/>
        <v>E3_2_2_9</v>
      </c>
      <c r="F298" s="8" t="s">
        <v>3735</v>
      </c>
      <c r="G298" s="8" t="s">
        <v>1738</v>
      </c>
      <c r="H298" s="8" t="s">
        <v>4084</v>
      </c>
      <c r="I298" s="8" t="s">
        <v>1739</v>
      </c>
      <c r="J298" s="8" t="str">
        <f t="shared" si="13"/>
        <v>(${Variables:E3_2_2_9_kcat} * E3_2_2_9 * C00170 * C00001)/(${Variables:E3_2_2_9_km} + (E3_2_2_9 * C00170 * C00001))</v>
      </c>
      <c r="K298" s="40" t="str">
        <f t="shared" si="14"/>
        <v>r297: C00170 + C00001 -&gt; C00147 + C03089 | (${Variables:E3_2_2_9_kcat} * E3_2_2_9 * C00170 * C00001)/(${Variables:E3_2_2_9_km} + (E3_2_2_9 * C00170 * C00001))</v>
      </c>
    </row>
    <row r="299" spans="1:11" ht="43.5" x14ac:dyDescent="0.35">
      <c r="A299" s="8" t="s">
        <v>680</v>
      </c>
      <c r="B299" s="8" t="s">
        <v>681</v>
      </c>
      <c r="C299" s="8" t="s">
        <v>2207</v>
      </c>
      <c r="D299" s="8">
        <v>298</v>
      </c>
      <c r="E299" s="8" t="str">
        <f t="shared" si="12"/>
        <v>E3_2_2_9</v>
      </c>
      <c r="F299" s="8" t="s">
        <v>3736</v>
      </c>
      <c r="G299" s="8" t="s">
        <v>1993</v>
      </c>
      <c r="H299" s="8" t="s">
        <v>4085</v>
      </c>
      <c r="I299" s="8" t="s">
        <v>1994</v>
      </c>
      <c r="J299" s="8" t="str">
        <f t="shared" si="13"/>
        <v>(${Variables:E3_2_2_9_kcat} * E3_2_2_9 * C05198 * C00001)/(${Variables:E3_2_2_9_km} + (E3_2_2_9 * C05198 * C00001))</v>
      </c>
      <c r="K299" s="40" t="str">
        <f t="shared" si="14"/>
        <v>r298: C05198 + C00001 -&gt; C22288 + C00147 | (${Variables:E3_2_2_9_kcat} * E3_2_2_9 * C05198 * C00001)/(${Variables:E3_2_2_9_km} + (E3_2_2_9 * C05198 * C00001))</v>
      </c>
    </row>
    <row r="300" spans="1:11" ht="43.5" x14ac:dyDescent="0.35">
      <c r="A300" s="8" t="s">
        <v>84</v>
      </c>
      <c r="B300" s="8" t="s">
        <v>85</v>
      </c>
      <c r="C300" s="8" t="s">
        <v>2192</v>
      </c>
      <c r="D300" s="8">
        <v>299</v>
      </c>
      <c r="E300" s="8" t="str">
        <f t="shared" si="12"/>
        <v>E3_4_11_5</v>
      </c>
      <c r="F300" s="8" t="s">
        <v>3737</v>
      </c>
      <c r="G300" s="8" t="s">
        <v>1566</v>
      </c>
      <c r="H300" s="8" t="s">
        <v>4086</v>
      </c>
      <c r="I300" s="8" t="s">
        <v>1567</v>
      </c>
      <c r="J300" s="8" t="str">
        <f t="shared" si="13"/>
        <v>(${Variables:E3_4_11_5_kcat} * E3_4_11_5 * C00012 * C00001)/(${Variables:E3_4_11_5_km} + (E3_4_11_5 * C00012 * C00001))</v>
      </c>
      <c r="K300" s="40" t="str">
        <f t="shared" si="14"/>
        <v>r299: C00012 + C00001 -&gt; C00148 + C00012 | (${Variables:E3_4_11_5_kcat} * E3_4_11_5 * C00012 * C00001)/(${Variables:E3_4_11_5_km} + (E3_4_11_5 * C00012 * C00001))</v>
      </c>
    </row>
    <row r="301" spans="1:11" ht="43.5" x14ac:dyDescent="0.35">
      <c r="A301" s="8" t="s">
        <v>1142</v>
      </c>
      <c r="B301" s="8" t="s">
        <v>1143</v>
      </c>
      <c r="C301" s="8" t="s">
        <v>2227</v>
      </c>
      <c r="D301" s="8">
        <v>300</v>
      </c>
      <c r="E301" s="8" t="str">
        <f t="shared" si="12"/>
        <v>E3_5_1_2</v>
      </c>
      <c r="F301" s="8" t="s">
        <v>3738</v>
      </c>
      <c r="G301" s="8" t="s">
        <v>1632</v>
      </c>
      <c r="H301" s="8" t="s">
        <v>4087</v>
      </c>
      <c r="I301" s="8" t="s">
        <v>1633</v>
      </c>
      <c r="J301" s="8" t="str">
        <f t="shared" si="13"/>
        <v>(${Variables:E3_5_1_2_kcat} * E3_5_1_2 * C00064 * C00001)/(${Variables:E3_5_1_2_km} + (E3_5_1_2 * C00064 * C00001))</v>
      </c>
      <c r="K301" s="40" t="str">
        <f t="shared" si="14"/>
        <v>r300: C00064 + C00001 -&gt; C00025 + C00014 | (${Variables:E3_5_1_2_kcat} * E3_5_1_2 * C00064 * C00001)/(${Variables:E3_5_1_2_km} + (E3_5_1_2 * C00064 * C00001))</v>
      </c>
    </row>
    <row r="302" spans="1:11" ht="43.5" x14ac:dyDescent="0.35">
      <c r="A302" s="8" t="s">
        <v>1142</v>
      </c>
      <c r="B302" s="8" t="s">
        <v>1143</v>
      </c>
      <c r="C302" s="8" t="s">
        <v>2227</v>
      </c>
      <c r="D302" s="8">
        <v>301</v>
      </c>
      <c r="E302" s="8" t="str">
        <f t="shared" si="12"/>
        <v>E3_5_1_2</v>
      </c>
      <c r="F302" s="8" t="s">
        <v>3739</v>
      </c>
      <c r="G302" s="8" t="s">
        <v>1768</v>
      </c>
      <c r="H302" s="8" t="s">
        <v>4088</v>
      </c>
      <c r="I302" s="8" t="s">
        <v>1769</v>
      </c>
      <c r="J302" s="8" t="str">
        <f t="shared" si="13"/>
        <v>(${Variables:E3_5_1_2_kcat} * E3_5_1_2 * C00241 * C00001)/(${Variables:E3_5_1_2_km} + (E3_5_1_2 * C00241 * C00001))</v>
      </c>
      <c r="K302" s="40" t="str">
        <f t="shared" si="14"/>
        <v>r301: C00241 + C00001 -&gt; C00060 + C00014 | (${Variables:E3_5_1_2_kcat} * E3_5_1_2 * C00241 * C00001)/(${Variables:E3_5_1_2_km} + (E3_5_1_2 * C00241 * C00001))</v>
      </c>
    </row>
    <row r="303" spans="1:11" ht="43.5" x14ac:dyDescent="0.35">
      <c r="A303" s="8" t="s">
        <v>1142</v>
      </c>
      <c r="B303" s="8" t="s">
        <v>1143</v>
      </c>
      <c r="C303" s="8" t="s">
        <v>2227</v>
      </c>
      <c r="D303" s="8">
        <v>302</v>
      </c>
      <c r="E303" s="8" t="str">
        <f t="shared" si="12"/>
        <v>E3_5_1_2</v>
      </c>
      <c r="F303" s="8" t="s">
        <v>3740</v>
      </c>
      <c r="G303" s="8" t="s">
        <v>1881</v>
      </c>
      <c r="H303" s="8" t="s">
        <v>4089</v>
      </c>
      <c r="I303" s="8" t="s">
        <v>1882</v>
      </c>
      <c r="J303" s="8" t="str">
        <f t="shared" si="13"/>
        <v>(${Variables:E3_5_1_2_kcat} * E3_5_1_2 * C00819 * C00001)/(${Variables:E3_5_1_2_km} + (E3_5_1_2 * C00819 * C00001))</v>
      </c>
      <c r="K303" s="40" t="str">
        <f t="shared" si="14"/>
        <v>r302: C00819 + C00001 -&gt; C00217 + C00014 | (${Variables:E3_5_1_2_kcat} * E3_5_1_2 * C00819 * C00001)/(${Variables:E3_5_1_2_km} + (E3_5_1_2 * C00819 * C00001))</v>
      </c>
    </row>
    <row r="304" spans="1:11" ht="43.5" x14ac:dyDescent="0.35">
      <c r="A304" s="8" t="s">
        <v>745</v>
      </c>
      <c r="B304" s="8" t="s">
        <v>746</v>
      </c>
      <c r="C304" s="8" t="s">
        <v>2310</v>
      </c>
      <c r="D304" s="8">
        <v>303</v>
      </c>
      <c r="E304" s="8" t="str">
        <f t="shared" si="12"/>
        <v>E3_5_1_24</v>
      </c>
      <c r="F304" s="8" t="s">
        <v>3741</v>
      </c>
      <c r="G304" s="8" t="s">
        <v>1926</v>
      </c>
      <c r="H304" s="8" t="s">
        <v>4090</v>
      </c>
      <c r="I304" s="8" t="s">
        <v>1927</v>
      </c>
      <c r="J304" s="8" t="str">
        <f t="shared" si="13"/>
        <v>(${Variables:E3_5_1_24_kcat} * E3_5_1_24 * C01921 * C00001)/(${Variables:E3_5_1_24_km} + (E3_5_1_24 * C01921 * C00001))</v>
      </c>
      <c r="K304" s="40" t="str">
        <f t="shared" si="14"/>
        <v>r303: C01921 + C00001 -&gt; C00695 + C00037 | (${Variables:E3_5_1_24_kcat} * E3_5_1_24 * C01921 * C00001)/(${Variables:E3_5_1_24_km} + (E3_5_1_24 * C01921 * C00001))</v>
      </c>
    </row>
    <row r="305" spans="1:11" ht="43.5" x14ac:dyDescent="0.35">
      <c r="A305" s="8" t="s">
        <v>745</v>
      </c>
      <c r="B305" s="8" t="s">
        <v>746</v>
      </c>
      <c r="C305" s="8" t="s">
        <v>2310</v>
      </c>
      <c r="D305" s="8">
        <v>304</v>
      </c>
      <c r="E305" s="8" t="str">
        <f t="shared" si="12"/>
        <v>E3_5_1_24</v>
      </c>
      <c r="F305" s="8" t="s">
        <v>3742</v>
      </c>
      <c r="G305" s="8" t="s">
        <v>1991</v>
      </c>
      <c r="H305" s="8" t="s">
        <v>4091</v>
      </c>
      <c r="I305" s="8" t="s">
        <v>1992</v>
      </c>
      <c r="J305" s="8" t="str">
        <f t="shared" si="13"/>
        <v>(${Variables:E3_5_1_24_kcat} * E3_5_1_24 * C05122 * C00001)/(${Variables:E3_5_1_24_km} + (E3_5_1_24 * C05122 * C00001))</v>
      </c>
      <c r="K305" s="40" t="str">
        <f t="shared" si="14"/>
        <v>r304: C05122 + C00001 -&gt; C00695 + C00245 | (${Variables:E3_5_1_24_kcat} * E3_5_1_24 * C05122 * C00001)/(${Variables:E3_5_1_24_km} + (E3_5_1_24 * C05122 * C00001))</v>
      </c>
    </row>
    <row r="306" spans="1:11" ht="43.5" x14ac:dyDescent="0.35">
      <c r="A306" s="8" t="s">
        <v>745</v>
      </c>
      <c r="B306" s="8" t="s">
        <v>746</v>
      </c>
      <c r="C306" s="8" t="s">
        <v>2310</v>
      </c>
      <c r="D306" s="8">
        <v>305</v>
      </c>
      <c r="E306" s="8" t="str">
        <f t="shared" si="12"/>
        <v>E3_5_1_24</v>
      </c>
      <c r="F306" s="8" t="s">
        <v>3743</v>
      </c>
      <c r="G306" s="8" t="s">
        <v>1997</v>
      </c>
      <c r="H306" s="8" t="s">
        <v>4092</v>
      </c>
      <c r="I306" s="8" t="s">
        <v>1998</v>
      </c>
      <c r="J306" s="8" t="str">
        <f t="shared" si="13"/>
        <v>(${Variables:E3_5_1_24_kcat} * E3_5_1_24 * C05463 * C00001)/(${Variables:E3_5_1_24_km} + (E3_5_1_24 * C05463 * C00001))</v>
      </c>
      <c r="K306" s="40" t="str">
        <f t="shared" si="14"/>
        <v>r305: C05463 + C00001 -&gt; C04483 + C00245 | (${Variables:E3_5_1_24_kcat} * E3_5_1_24 * C05463 * C00001)/(${Variables:E3_5_1_24_km} + (E3_5_1_24 * C05463 * C00001))</v>
      </c>
    </row>
    <row r="307" spans="1:11" ht="43.5" x14ac:dyDescent="0.35">
      <c r="A307" s="8" t="s">
        <v>745</v>
      </c>
      <c r="B307" s="8" t="s">
        <v>746</v>
      </c>
      <c r="C307" s="8" t="s">
        <v>2310</v>
      </c>
      <c r="D307" s="8">
        <v>306</v>
      </c>
      <c r="E307" s="8" t="str">
        <f t="shared" si="12"/>
        <v>E3_5_1_24</v>
      </c>
      <c r="F307" s="8" t="s">
        <v>3744</v>
      </c>
      <c r="G307" s="8" t="s">
        <v>1999</v>
      </c>
      <c r="H307" s="8" t="s">
        <v>4093</v>
      </c>
      <c r="I307" s="8" t="s">
        <v>2000</v>
      </c>
      <c r="J307" s="8" t="str">
        <f t="shared" si="13"/>
        <v>(${Variables:E3_5_1_24_kcat} * E3_5_1_24 * C05464 * C00001)/(${Variables:E3_5_1_24_km} + (E3_5_1_24 * C05464 * C00001))</v>
      </c>
      <c r="K307" s="40" t="str">
        <f t="shared" si="14"/>
        <v>r306: C05464 + C00001 -&gt; C04483 + C00037 | (${Variables:E3_5_1_24_kcat} * E3_5_1_24 * C05464 * C00001)/(${Variables:E3_5_1_24_km} + (E3_5_1_24 * C05464 * C00001))</v>
      </c>
    </row>
    <row r="308" spans="1:11" ht="43.5" x14ac:dyDescent="0.35">
      <c r="A308" s="8" t="s">
        <v>745</v>
      </c>
      <c r="B308" s="8" t="s">
        <v>746</v>
      </c>
      <c r="C308" s="8" t="s">
        <v>2310</v>
      </c>
      <c r="D308" s="8">
        <v>307</v>
      </c>
      <c r="E308" s="8" t="str">
        <f t="shared" si="12"/>
        <v>E3_5_1_24</v>
      </c>
      <c r="F308" s="8" t="s">
        <v>3745</v>
      </c>
      <c r="G308" s="8" t="s">
        <v>2001</v>
      </c>
      <c r="H308" s="8" t="s">
        <v>4094</v>
      </c>
      <c r="I308" s="8" t="s">
        <v>2002</v>
      </c>
      <c r="J308" s="8" t="str">
        <f t="shared" si="13"/>
        <v>(${Variables:E3_5_1_24_kcat} * E3_5_1_24 * C05465 * C00001)/(${Variables:E3_5_1_24_km} + (E3_5_1_24 * C05465 * C00001))</v>
      </c>
      <c r="K308" s="40" t="str">
        <f t="shared" si="14"/>
        <v>r307: C05465 + C00001 -&gt; C02528 + C00245 | (${Variables:E3_5_1_24_kcat} * E3_5_1_24 * C05465 * C00001)/(${Variables:E3_5_1_24_km} + (E3_5_1_24 * C05465 * C00001))</v>
      </c>
    </row>
    <row r="309" spans="1:11" ht="43.5" x14ac:dyDescent="0.35">
      <c r="A309" s="8" t="s">
        <v>745</v>
      </c>
      <c r="B309" s="8" t="s">
        <v>746</v>
      </c>
      <c r="C309" s="8" t="s">
        <v>2310</v>
      </c>
      <c r="D309" s="8">
        <v>308</v>
      </c>
      <c r="E309" s="8" t="str">
        <f t="shared" si="12"/>
        <v>E3_5_1_24</v>
      </c>
      <c r="F309" s="8" t="s">
        <v>3746</v>
      </c>
      <c r="G309" s="8" t="s">
        <v>2003</v>
      </c>
      <c r="H309" s="8" t="s">
        <v>4095</v>
      </c>
      <c r="I309" s="8" t="s">
        <v>2004</v>
      </c>
      <c r="J309" s="8" t="str">
        <f t="shared" si="13"/>
        <v>(${Variables:E3_5_1_24_kcat} * E3_5_1_24 * C05466 * C00001)/(${Variables:E3_5_1_24_km} + (E3_5_1_24 * C05466 * C00001))</v>
      </c>
      <c r="K309" s="40" t="str">
        <f t="shared" si="14"/>
        <v>r308: C05466 + C00001 -&gt; C02528 + C00037 | (${Variables:E3_5_1_24_kcat} * E3_5_1_24 * C05466 * C00001)/(${Variables:E3_5_1_24_km} + (E3_5_1_24 * C05466 * C00001))</v>
      </c>
    </row>
    <row r="310" spans="1:11" ht="43.5" x14ac:dyDescent="0.35">
      <c r="A310" s="8" t="s">
        <v>104</v>
      </c>
      <c r="B310" s="8" t="s">
        <v>105</v>
      </c>
      <c r="C310" s="8" t="s">
        <v>2284</v>
      </c>
      <c r="D310" s="8">
        <v>309</v>
      </c>
      <c r="E310" s="8" t="str">
        <f t="shared" si="12"/>
        <v>E3_5_1_25</v>
      </c>
      <c r="F310" s="8" t="s">
        <v>3747</v>
      </c>
      <c r="G310" s="8" t="s">
        <v>1801</v>
      </c>
      <c r="H310" s="8" t="s">
        <v>4096</v>
      </c>
      <c r="I310" s="8" t="s">
        <v>1802</v>
      </c>
      <c r="J310" s="8" t="str">
        <f t="shared" si="13"/>
        <v>(${Variables:E3_5_1_25_kcat} * E3_5_1_25 * C00357 * C00001)/(${Variables:E3_5_1_25_km} + (E3_5_1_25 * C00357 * C00001))</v>
      </c>
      <c r="K310" s="40" t="str">
        <f t="shared" si="14"/>
        <v>r309: C00357 + C00001 -&gt; C00352 + C00033 | (${Variables:E3_5_1_25_kcat} * E3_5_1_25 * C00357 * C00001)/(${Variables:E3_5_1_25_km} + (E3_5_1_25 * C00357 * C00001))</v>
      </c>
    </row>
    <row r="311" spans="1:11" ht="43.5" x14ac:dyDescent="0.35">
      <c r="A311" s="8" t="s">
        <v>104</v>
      </c>
      <c r="B311" s="8" t="s">
        <v>105</v>
      </c>
      <c r="C311" s="8" t="s">
        <v>2284</v>
      </c>
      <c r="D311" s="8">
        <v>310</v>
      </c>
      <c r="E311" s="8" t="str">
        <f t="shared" si="12"/>
        <v>E3_5_1_25</v>
      </c>
      <c r="F311" s="8" t="s">
        <v>3748</v>
      </c>
      <c r="G311" s="8" t="s">
        <v>2029</v>
      </c>
      <c r="H311" s="8" t="s">
        <v>4097</v>
      </c>
      <c r="I311" s="8" t="s">
        <v>2030</v>
      </c>
      <c r="J311" s="8" t="str">
        <f t="shared" si="13"/>
        <v>(${Variables:E3_5_1_25_kcat} * E3_5_1_25 * C06376 * C00001)/(${Variables:E3_5_1_25_km} + (E3_5_1_25 * C06376 * C00001))</v>
      </c>
      <c r="K311" s="40" t="str">
        <f t="shared" si="14"/>
        <v>r310: C06376 + C00001 -&gt; C06377 + C00033 | (${Variables:E3_5_1_25_kcat} * E3_5_1_25 * C06376 * C00001)/(${Variables:E3_5_1_25_km} + (E3_5_1_25 * C06376 * C00001))</v>
      </c>
    </row>
    <row r="312" spans="1:11" ht="43.5" x14ac:dyDescent="0.35">
      <c r="A312" s="8" t="s">
        <v>62</v>
      </c>
      <c r="B312" s="8" t="s">
        <v>63</v>
      </c>
      <c r="C312" s="8" t="s">
        <v>2325</v>
      </c>
      <c r="D312" s="8">
        <v>311</v>
      </c>
      <c r="E312" s="8" t="str">
        <f t="shared" si="12"/>
        <v>E3_5_1_88</v>
      </c>
      <c r="F312" s="8" t="s">
        <v>3749</v>
      </c>
      <c r="G312" s="8" t="s">
        <v>1972</v>
      </c>
      <c r="H312" s="8" t="s">
        <v>4098</v>
      </c>
      <c r="I312" s="8" t="s">
        <v>1973</v>
      </c>
      <c r="J312" s="8" t="str">
        <f t="shared" si="13"/>
        <v>(${Variables:E3_5_1_88_kcat} * E3_5_1_88 * C04258 * C00001)/(${Variables:E3_5_1_88_km} + (E3_5_1_88 * C04258 * C00001))</v>
      </c>
      <c r="K312" s="40" t="str">
        <f t="shared" si="14"/>
        <v>r311: C04258 + C00001 -&gt; C00058 + C03617 | (${Variables:E3_5_1_88_kcat} * E3_5_1_88 * C04258 * C00001)/(${Variables:E3_5_1_88_km} + (E3_5_1_88 * C04258 * C00001))</v>
      </c>
    </row>
    <row r="313" spans="1:11" ht="43.5" x14ac:dyDescent="0.35">
      <c r="A313" s="8" t="s">
        <v>62</v>
      </c>
      <c r="B313" s="8" t="s">
        <v>63</v>
      </c>
      <c r="C313" s="8" t="s">
        <v>2325</v>
      </c>
      <c r="D313" s="8">
        <v>312</v>
      </c>
      <c r="E313" s="8" t="str">
        <f t="shared" si="12"/>
        <v>E3_5_1_88</v>
      </c>
      <c r="F313" s="8" t="s">
        <v>3750</v>
      </c>
      <c r="G313" s="8" t="s">
        <v>2043</v>
      </c>
      <c r="H313" s="8" t="s">
        <v>4099</v>
      </c>
      <c r="I313" s="8" t="s">
        <v>2044</v>
      </c>
      <c r="J313" s="8" t="str">
        <f t="shared" si="13"/>
        <v>(${Variables:E3_5_1_88_kcat} * E3_5_1_88 * C11439 * C00001)/(${Variables:E3_5_1_88_km} + (E3_5_1_88 * C11439 * C00001))</v>
      </c>
      <c r="K313" s="40" t="str">
        <f t="shared" si="14"/>
        <v>r312: C11439 + C00001 -&gt; C11440 + C00058 | (${Variables:E3_5_1_88_kcat} * E3_5_1_88 * C11439 * C00001)/(${Variables:E3_5_1_88_km} + (E3_5_1_88 * C11439 * C00001))</v>
      </c>
    </row>
    <row r="314" spans="1:11" ht="43.5" x14ac:dyDescent="0.35">
      <c r="A314" s="8" t="s">
        <v>1027</v>
      </c>
      <c r="B314" s="8" t="s">
        <v>1028</v>
      </c>
      <c r="C314" s="8" t="s">
        <v>2279</v>
      </c>
      <c r="D314" s="8">
        <v>313</v>
      </c>
      <c r="E314" s="8" t="str">
        <f t="shared" si="12"/>
        <v>E3_5_2_3</v>
      </c>
      <c r="F314" s="8" t="s">
        <v>3751</v>
      </c>
      <c r="G314" s="8" t="s">
        <v>1788</v>
      </c>
      <c r="H314" s="8" t="s">
        <v>1302</v>
      </c>
      <c r="I314" s="8" t="s">
        <v>1302</v>
      </c>
      <c r="J314" s="8" t="str">
        <f t="shared" si="13"/>
        <v>(${Variables:E3_5_2_3_kcat} * E3_5_2_3 * C00337 * C00001)/(${Variables:E3_5_2_3_km} + (E3_5_2_3 * C00337 * C00001))</v>
      </c>
      <c r="K314" s="40" t="str">
        <f t="shared" si="14"/>
        <v>r313: C00337 + C00001 -&gt; C00438 | (${Variables:E3_5_2_3_kcat} * E3_5_2_3 * C00337 * C00001)/(${Variables:E3_5_2_3_km} + (E3_5_2_3 * C00337 * C00001))</v>
      </c>
    </row>
    <row r="315" spans="1:11" ht="43.5" x14ac:dyDescent="0.35">
      <c r="A315" s="8" t="s">
        <v>1130</v>
      </c>
      <c r="B315" s="8" t="s">
        <v>1131</v>
      </c>
      <c r="C315" s="8" t="s">
        <v>2253</v>
      </c>
      <c r="D315" s="8">
        <v>314</v>
      </c>
      <c r="E315" s="8" t="str">
        <f t="shared" si="12"/>
        <v>E3_5_4_10</v>
      </c>
      <c r="F315" s="8" t="s">
        <v>3710</v>
      </c>
      <c r="G315" s="8" t="s">
        <v>1711</v>
      </c>
      <c r="H315" s="8" t="s">
        <v>1292</v>
      </c>
      <c r="I315" s="8" t="s">
        <v>1292</v>
      </c>
      <c r="J315" s="8" t="str">
        <f t="shared" si="13"/>
        <v>(${Variables:E3_5_4_10_kcat} * E3_5_4_10 * C00130 * C00001)/(${Variables:E3_5_4_10_km} + (E3_5_4_10 * C00130 * C00001))</v>
      </c>
      <c r="K315" s="40" t="str">
        <f t="shared" si="14"/>
        <v>r314: C00130 + C00001 -&gt; C04734 | (${Variables:E3_5_4_10_kcat} * E3_5_4_10 * C00130 * C00001)/(${Variables:E3_5_4_10_km} + (E3_5_4_10 * C00130 * C00001))</v>
      </c>
    </row>
    <row r="316" spans="1:11" ht="43.5" x14ac:dyDescent="0.35">
      <c r="A316" s="8" t="s">
        <v>339</v>
      </c>
      <c r="B316" s="8" t="s">
        <v>340</v>
      </c>
      <c r="C316" s="8" t="s">
        <v>2336</v>
      </c>
      <c r="D316" s="8">
        <v>315</v>
      </c>
      <c r="E316" s="8" t="str">
        <f t="shared" si="12"/>
        <v>E3_5_4_33</v>
      </c>
      <c r="F316" s="8" t="s">
        <v>3752</v>
      </c>
      <c r="G316" s="8" t="s">
        <v>2067</v>
      </c>
      <c r="H316" s="8" t="s">
        <v>4100</v>
      </c>
      <c r="I316" s="8" t="s">
        <v>2068</v>
      </c>
      <c r="J316" s="8" t="str">
        <f t="shared" si="13"/>
        <v>(${Variables:E3_5_4_33_kcat} * E3_5_4_33 * C17324 * C00001)/(${Variables:E3_5_4_33_km} + (E3_5_4_33 * C17324 * C00001))</v>
      </c>
      <c r="K316" s="40" t="str">
        <f t="shared" si="14"/>
        <v>r315: C17324 + C00001 -&gt; C20451 + C00014 | (${Variables:E3_5_4_33_kcat} * E3_5_4_33 * C17324 * C00001)/(${Variables:E3_5_4_33_km} + (E3_5_4_33 * C17324 * C00001))</v>
      </c>
    </row>
    <row r="317" spans="1:11" ht="43.5" x14ac:dyDescent="0.35">
      <c r="A317" s="8" t="s">
        <v>1104</v>
      </c>
      <c r="B317" s="8" t="s">
        <v>1105</v>
      </c>
      <c r="C317" s="8" t="s">
        <v>2270</v>
      </c>
      <c r="D317" s="8">
        <v>316</v>
      </c>
      <c r="E317" s="8" t="str">
        <f t="shared" si="12"/>
        <v>E3_5_4_4</v>
      </c>
      <c r="F317" s="8" t="s">
        <v>3753</v>
      </c>
      <c r="G317" s="8" t="s">
        <v>1756</v>
      </c>
      <c r="H317" s="8" t="s">
        <v>4101</v>
      </c>
      <c r="I317" s="8" t="s">
        <v>1757</v>
      </c>
      <c r="J317" s="8" t="str">
        <f t="shared" si="13"/>
        <v>(${Variables:E3_5_4_4_kcat} * E3_5_4_4 * C00212 * C00001)/(${Variables:E3_5_4_4_km} + (E3_5_4_4 * C00212 * C00001))</v>
      </c>
      <c r="K317" s="40" t="str">
        <f t="shared" si="14"/>
        <v>r316: C00212 + C00001 -&gt; C00294 + C00014 | (${Variables:E3_5_4_4_kcat} * E3_5_4_4 * C00212 * C00001)/(${Variables:E3_5_4_4_km} + (E3_5_4_4 * C00212 * C00001))</v>
      </c>
    </row>
    <row r="318" spans="1:11" ht="43.5" x14ac:dyDescent="0.35">
      <c r="A318" s="8" t="s">
        <v>1104</v>
      </c>
      <c r="B318" s="8" t="s">
        <v>1105</v>
      </c>
      <c r="C318" s="8" t="s">
        <v>2270</v>
      </c>
      <c r="D318" s="8">
        <v>317</v>
      </c>
      <c r="E318" s="8" t="str">
        <f t="shared" si="12"/>
        <v>E3_5_4_4</v>
      </c>
      <c r="F318" s="8" t="s">
        <v>3754</v>
      </c>
      <c r="G318" s="8" t="s">
        <v>1849</v>
      </c>
      <c r="H318" s="8" t="s">
        <v>4102</v>
      </c>
      <c r="I318" s="8" t="s">
        <v>1850</v>
      </c>
      <c r="J318" s="8" t="str">
        <f t="shared" si="13"/>
        <v>(${Variables:E3_5_4_4_kcat} * E3_5_4_4 * C00559 * C00001)/(${Variables:E3_5_4_4_km} + (E3_5_4_4 * C00559 * C00001))</v>
      </c>
      <c r="K318" s="40" t="str">
        <f t="shared" si="14"/>
        <v>r317: C00559 + C00001 -&gt; C05512 + C00014 | (${Variables:E3_5_4_4_kcat} * E3_5_4_4 * C00559 * C00001)/(${Variables:E3_5_4_4_km} + (E3_5_4_4 * C00559 * C00001))</v>
      </c>
    </row>
    <row r="319" spans="1:11" ht="43.5" x14ac:dyDescent="0.35">
      <c r="A319" s="8" t="s">
        <v>1260</v>
      </c>
      <c r="B319" s="8" t="s">
        <v>1261</v>
      </c>
      <c r="C319" s="8" t="s">
        <v>2282</v>
      </c>
      <c r="D319" s="8">
        <v>318</v>
      </c>
      <c r="E319" s="8" t="str">
        <f t="shared" si="12"/>
        <v>E3_5_99_6</v>
      </c>
      <c r="F319" s="8" t="s">
        <v>3755</v>
      </c>
      <c r="G319" s="8" t="s">
        <v>1797</v>
      </c>
      <c r="H319" s="8" t="s">
        <v>4103</v>
      </c>
      <c r="I319" s="8" t="s">
        <v>1798</v>
      </c>
      <c r="J319" s="8" t="str">
        <f t="shared" si="13"/>
        <v>(${Variables:E3_5_99_6_kcat} * E3_5_99_6 * C00352 * C00001)/(${Variables:E3_5_99_6_km} + (E3_5_99_6 * C00352 * C00001))</v>
      </c>
      <c r="K319" s="40" t="str">
        <f t="shared" si="14"/>
        <v>r318: C00352 + C00001 -&gt; C00085 + C00014 | (${Variables:E3_5_99_6_kcat} * E3_5_99_6 * C00352 * C00001)/(${Variables:E3_5_99_6_km} + (E3_5_99_6 * C00352 * C00001))</v>
      </c>
    </row>
    <row r="320" spans="1:11" ht="43.5" x14ac:dyDescent="0.35">
      <c r="A320" s="8" t="s">
        <v>846</v>
      </c>
      <c r="B320" s="8" t="s">
        <v>847</v>
      </c>
      <c r="C320" s="8" t="s">
        <v>2193</v>
      </c>
      <c r="D320" s="8">
        <v>319</v>
      </c>
      <c r="E320" s="8" t="str">
        <f t="shared" si="12"/>
        <v>E3_6_1_1</v>
      </c>
      <c r="F320" s="8" t="s">
        <v>3756</v>
      </c>
      <c r="G320" s="8" t="s">
        <v>1568</v>
      </c>
      <c r="H320" s="8" t="s">
        <v>1303</v>
      </c>
      <c r="I320" s="8" t="s">
        <v>1303</v>
      </c>
      <c r="J320" s="8" t="str">
        <f t="shared" si="13"/>
        <v>(${Variables:E3_6_1_1_kcat} * E3_6_1_1 * C00013 * C00001)/(${Variables:E3_6_1_1_km} + (E3_6_1_1 * C00013 * C00001))</v>
      </c>
      <c r="K320" s="40" t="str">
        <f t="shared" si="14"/>
        <v>r319: C00013 + C00001 -&gt; C00009 | (${Variables:E3_6_1_1_kcat} * E3_6_1_1 * C00013 * C00001)/(${Variables:E3_6_1_1_km} + (E3_6_1_1 * C00013 * C00001))</v>
      </c>
    </row>
    <row r="321" spans="1:11" ht="43.5" x14ac:dyDescent="0.35">
      <c r="A321" s="8" t="s">
        <v>1099</v>
      </c>
      <c r="B321" s="8" t="s">
        <v>1100</v>
      </c>
      <c r="C321" s="8" t="s">
        <v>2307</v>
      </c>
      <c r="D321" s="8">
        <v>320</v>
      </c>
      <c r="E321" s="8" t="str">
        <f t="shared" si="12"/>
        <v>E3_6_1_41</v>
      </c>
      <c r="F321" s="8" t="s">
        <v>3757</v>
      </c>
      <c r="G321" s="8" t="s">
        <v>1913</v>
      </c>
      <c r="H321" s="8" t="s">
        <v>1294</v>
      </c>
      <c r="I321" s="8" t="s">
        <v>1294</v>
      </c>
      <c r="J321" s="8" t="str">
        <f t="shared" si="13"/>
        <v>(${Variables:E3_6_1_41_kcat} * E3_6_1_41 * C01260 * C00001)/(${Variables:E3_6_1_41_km} + (E3_6_1_41 * C01260 * C00001))</v>
      </c>
      <c r="K321" s="40" t="str">
        <f t="shared" si="14"/>
        <v>r320: C01260 + C00001 -&gt; C00008 | (${Variables:E3_6_1_41_kcat} * E3_6_1_41 * C01260 * C00001)/(${Variables:E3_6_1_41_km} + (E3_6_1_41 * C01260 * C00001))</v>
      </c>
    </row>
    <row r="322" spans="1:11" ht="43.5" x14ac:dyDescent="0.35">
      <c r="A322" s="8" t="s">
        <v>832</v>
      </c>
      <c r="B322" s="8" t="s">
        <v>833</v>
      </c>
      <c r="C322" s="8" t="s">
        <v>2259</v>
      </c>
      <c r="D322" s="8">
        <v>321</v>
      </c>
      <c r="E322" s="8" t="str">
        <f t="shared" ref="E322:E385" si="15">CONCATENATE("E",C322)</f>
        <v>E4_1_1_101</v>
      </c>
      <c r="F322" s="8" t="s">
        <v>1304</v>
      </c>
      <c r="G322" s="8" t="s">
        <v>1304</v>
      </c>
      <c r="H322" s="8" t="s">
        <v>4104</v>
      </c>
      <c r="I322" s="8" t="s">
        <v>1729</v>
      </c>
      <c r="J322" s="8" t="str">
        <f t="shared" ref="J322:J385" si="16">CONCATENATE("(${Variables:",E322,"_kcat","} * ",E322," * ",G322,")","/(${Variables:",E322,"_km","} + (",E322," * ",G322,"))")</f>
        <v>(${Variables:E4_1_1_101_kcat} * E4_1_1_101 * C00149)/(${Variables:E4_1_1_101_km} + (E4_1_1_101 * C00149))</v>
      </c>
      <c r="K322" s="40" t="str">
        <f t="shared" ref="K322:K385" si="17">CONCATENATE("r",D322,": ",F322," -&gt; ",H322," | ",J322)</f>
        <v>r321: C00149 -&gt; C00186 + C00011 | (${Variables:E4_1_1_101_kcat} * E4_1_1_101 * C00149)/(${Variables:E4_1_1_101_km} + (E4_1_1_101 * C00149))</v>
      </c>
    </row>
    <row r="323" spans="1:11" ht="43.5" x14ac:dyDescent="0.35">
      <c r="A323" s="8" t="s">
        <v>1193</v>
      </c>
      <c r="B323" s="8" t="s">
        <v>1194</v>
      </c>
      <c r="C323" s="8" t="s">
        <v>2222</v>
      </c>
      <c r="D323" s="8">
        <v>322</v>
      </c>
      <c r="E323" s="8" t="str">
        <f t="shared" si="15"/>
        <v>E4_1_1_12</v>
      </c>
      <c r="F323" s="8" t="s">
        <v>3591</v>
      </c>
      <c r="G323" s="8" t="s">
        <v>1610</v>
      </c>
      <c r="H323" s="8" t="s">
        <v>4105</v>
      </c>
      <c r="I323" s="8" t="s">
        <v>1612</v>
      </c>
      <c r="J323" s="8" t="str">
        <f t="shared" si="16"/>
        <v>(${Variables:E4_1_1_12_kcat} * E4_1_1_12 * C00049 * C00026)/(${Variables:E4_1_1_12_km} + (E4_1_1_12 * C00049 * C00026))</v>
      </c>
      <c r="K323" s="40" t="str">
        <f t="shared" si="17"/>
        <v>r322: C00049 + C00026 -&gt; C00041 + C00011 | (${Variables:E4_1_1_12_kcat} * E4_1_1_12 * C00049 * C00026)/(${Variables:E4_1_1_12_km} + (E4_1_1_12 * C00049 * C00026))</v>
      </c>
    </row>
    <row r="324" spans="1:11" ht="43.5" x14ac:dyDescent="0.35">
      <c r="A324" s="8" t="s">
        <v>1193</v>
      </c>
      <c r="B324" s="8" t="s">
        <v>1194</v>
      </c>
      <c r="C324" s="8" t="s">
        <v>2222</v>
      </c>
      <c r="D324" s="8">
        <v>323</v>
      </c>
      <c r="E324" s="8" t="str">
        <f t="shared" si="15"/>
        <v>E4_1_1_12</v>
      </c>
      <c r="F324" s="8" t="s">
        <v>1293</v>
      </c>
      <c r="G324" s="8" t="s">
        <v>1293</v>
      </c>
      <c r="H324" s="8" t="s">
        <v>4106</v>
      </c>
      <c r="I324" s="8" t="s">
        <v>1854</v>
      </c>
      <c r="J324" s="8" t="str">
        <f t="shared" si="16"/>
        <v>(${Variables:E4_1_1_12_kcat} * E4_1_1_12 * C00606)/(${Variables:E4_1_1_12_km} + (E4_1_1_12 * C00606))</v>
      </c>
      <c r="K324" s="40" t="str">
        <f t="shared" si="17"/>
        <v>r323: C00606 -&gt; C00041 + C09306 | (${Variables:E4_1_1_12_kcat} * E4_1_1_12 * C00606)/(${Variables:E4_1_1_12_km} + (E4_1_1_12 * C00606))</v>
      </c>
    </row>
    <row r="325" spans="1:11" ht="43.5" x14ac:dyDescent="0.35">
      <c r="A325" s="8" t="s">
        <v>718</v>
      </c>
      <c r="B325" s="8" t="s">
        <v>719</v>
      </c>
      <c r="C325" s="8" t="s">
        <v>2295</v>
      </c>
      <c r="D325" s="8">
        <v>324</v>
      </c>
      <c r="E325" s="8" t="str">
        <f t="shared" si="15"/>
        <v>E4_1_1_20</v>
      </c>
      <c r="F325" s="8" t="s">
        <v>1305</v>
      </c>
      <c r="G325" s="8" t="s">
        <v>1305</v>
      </c>
      <c r="H325" s="8" t="s">
        <v>4107</v>
      </c>
      <c r="I325" s="8" t="s">
        <v>1873</v>
      </c>
      <c r="J325" s="8" t="str">
        <f t="shared" si="16"/>
        <v>(${Variables:E4_1_1_20_kcat} * E4_1_1_20 * C00680)/(${Variables:E4_1_1_20_km} + (E4_1_1_20 * C00680))</v>
      </c>
      <c r="K325" s="40" t="str">
        <f t="shared" si="17"/>
        <v>r324: C00680 -&gt; C00047 + C00011 | (${Variables:E4_1_1_20_kcat} * E4_1_1_20 * C00680)/(${Variables:E4_1_1_20_km} + (E4_1_1_20 * C00680))</v>
      </c>
    </row>
    <row r="326" spans="1:11" ht="43.5" x14ac:dyDescent="0.35">
      <c r="A326" s="8" t="s">
        <v>1154</v>
      </c>
      <c r="B326" s="8" t="s">
        <v>1155</v>
      </c>
      <c r="C326" s="8" t="s">
        <v>2330</v>
      </c>
      <c r="D326" s="8">
        <v>325</v>
      </c>
      <c r="E326" s="8" t="str">
        <f t="shared" si="15"/>
        <v>E4_1_1_21</v>
      </c>
      <c r="F326" s="8" t="s">
        <v>1306</v>
      </c>
      <c r="G326" s="8" t="s">
        <v>1306</v>
      </c>
      <c r="H326" s="8" t="s">
        <v>4108</v>
      </c>
      <c r="I326" s="8" t="s">
        <v>1983</v>
      </c>
      <c r="J326" s="8" t="str">
        <f t="shared" si="16"/>
        <v>(${Variables:E4_1_1_21_kcat} * E4_1_1_21 * C04751)/(${Variables:E4_1_1_21_km} + (E4_1_1_21 * C04751))</v>
      </c>
      <c r="K326" s="40" t="str">
        <f t="shared" si="17"/>
        <v>r325: C04751 -&gt; C03373 + C00011 | (${Variables:E4_1_1_21_kcat} * E4_1_1_21 * C04751)/(${Variables:E4_1_1_21_km} + (E4_1_1_21 * C04751))</v>
      </c>
    </row>
    <row r="327" spans="1:11" ht="43.5" x14ac:dyDescent="0.35">
      <c r="A327" s="8" t="s">
        <v>1036</v>
      </c>
      <c r="B327" s="8" t="s">
        <v>1037</v>
      </c>
      <c r="C327" s="8" t="s">
        <v>2303</v>
      </c>
      <c r="D327" s="8">
        <v>326</v>
      </c>
      <c r="E327" s="8" t="str">
        <f t="shared" si="15"/>
        <v>E4_1_1_23</v>
      </c>
      <c r="F327" s="8" t="s">
        <v>1308</v>
      </c>
      <c r="G327" s="8" t="s">
        <v>1308</v>
      </c>
      <c r="H327" s="8" t="s">
        <v>4109</v>
      </c>
      <c r="I327" s="8" t="s">
        <v>1903</v>
      </c>
      <c r="J327" s="8" t="str">
        <f t="shared" si="16"/>
        <v>(${Variables:E4_1_1_23_kcat} * E4_1_1_23 * C01103)/(${Variables:E4_1_1_23_km} + (E4_1_1_23 * C01103))</v>
      </c>
      <c r="K327" s="40" t="str">
        <f t="shared" si="17"/>
        <v>r326: C01103 -&gt; C00105 + C00011 | (${Variables:E4_1_1_23_kcat} * E4_1_1_23 * C01103)/(${Variables:E4_1_1_23_km} + (E4_1_1_23 * C01103))</v>
      </c>
    </row>
    <row r="328" spans="1:11" ht="43.5" x14ac:dyDescent="0.35">
      <c r="A328" s="8" t="s">
        <v>841</v>
      </c>
      <c r="B328" s="8" t="s">
        <v>842</v>
      </c>
      <c r="C328" s="8" t="s">
        <v>2190</v>
      </c>
      <c r="D328" s="8">
        <v>327</v>
      </c>
      <c r="E328" s="8" t="str">
        <f t="shared" si="15"/>
        <v>E4_1_1_31</v>
      </c>
      <c r="F328" s="8" t="s">
        <v>3758</v>
      </c>
      <c r="G328" s="8" t="s">
        <v>1562</v>
      </c>
      <c r="H328" s="8" t="s">
        <v>4110</v>
      </c>
      <c r="I328" s="8" t="s">
        <v>1563</v>
      </c>
      <c r="J328" s="8" t="str">
        <f t="shared" si="16"/>
        <v>(${Variables:E4_1_1_31_kcat} * E4_1_1_31 * C00009 * C00036)/(${Variables:E4_1_1_31_km} + (E4_1_1_31 * C00009 * C00036))</v>
      </c>
      <c r="K328" s="40" t="str">
        <f t="shared" si="17"/>
        <v>r327: C00009 + C00036 -&gt; C00001 + C00074 | (${Variables:E4_1_1_31_kcat} * E4_1_1_31 * C00009 * C00036)/(${Variables:E4_1_1_31_km} + (E4_1_1_31 * C00009 * C00036))</v>
      </c>
    </row>
    <row r="329" spans="1:11" ht="43.5" x14ac:dyDescent="0.35">
      <c r="A329" s="8" t="s">
        <v>864</v>
      </c>
      <c r="B329" s="8" t="s">
        <v>865</v>
      </c>
      <c r="C329" s="8" t="s">
        <v>2176</v>
      </c>
      <c r="D329" s="8">
        <v>328</v>
      </c>
      <c r="E329" s="8" t="str">
        <f t="shared" si="15"/>
        <v>E4_1_1_33</v>
      </c>
      <c r="F329" s="8" t="s">
        <v>3759</v>
      </c>
      <c r="G329" s="8" t="s">
        <v>1517</v>
      </c>
      <c r="H329" s="8" t="s">
        <v>4111</v>
      </c>
      <c r="I329" s="8" t="s">
        <v>1518</v>
      </c>
      <c r="J329" s="8" t="str">
        <f t="shared" si="16"/>
        <v>(${Variables:E4_1_1_33_kcat} * E4_1_1_33 * C00002 * C01143)/(${Variables:E4_1_1_33_km} + (E4_1_1_33 * C00002 * C01143))</v>
      </c>
      <c r="K329" s="40" t="str">
        <f t="shared" si="17"/>
        <v>r328: C00002 + C01143 -&gt; C00008 + C00009 + C00129 + C00011 | (${Variables:E4_1_1_33_kcat} * E4_1_1_33 * C00002 * C01143)/(${Variables:E4_1_1_33_km} + (E4_1_1_33 * C00002 * C01143))</v>
      </c>
    </row>
    <row r="330" spans="1:11" ht="43.5" x14ac:dyDescent="0.35">
      <c r="A330" s="8" t="s">
        <v>778</v>
      </c>
      <c r="B330" s="8" t="s">
        <v>779</v>
      </c>
      <c r="C330" s="8" t="s">
        <v>2326</v>
      </c>
      <c r="D330" s="8">
        <v>329</v>
      </c>
      <c r="E330" s="8" t="str">
        <f t="shared" si="15"/>
        <v>E4_1_1_36</v>
      </c>
      <c r="F330" s="8" t="s">
        <v>1309</v>
      </c>
      <c r="G330" s="8" t="s">
        <v>1309</v>
      </c>
      <c r="H330" s="8" t="s">
        <v>4112</v>
      </c>
      <c r="I330" s="8" t="s">
        <v>1974</v>
      </c>
      <c r="J330" s="8" t="str">
        <f t="shared" si="16"/>
        <v>(${Variables:E4_1_1_36_kcat} * E4_1_1_36 * C04352)/(${Variables:E4_1_1_36_km} + (E4_1_1_36 * C04352))</v>
      </c>
      <c r="K330" s="40" t="str">
        <f t="shared" si="17"/>
        <v>r329: C04352 -&gt; C01134 + C00011 | (${Variables:E4_1_1_36_kcat} * E4_1_1_36 * C04352)/(${Variables:E4_1_1_36_km} + (E4_1_1_36 * C04352))</v>
      </c>
    </row>
    <row r="331" spans="1:11" ht="43.5" x14ac:dyDescent="0.35">
      <c r="A331" s="8" t="s">
        <v>445</v>
      </c>
      <c r="B331" s="8" t="s">
        <v>446</v>
      </c>
      <c r="C331" s="8" t="s">
        <v>2122</v>
      </c>
      <c r="D331" s="8">
        <v>330</v>
      </c>
      <c r="E331" s="8" t="str">
        <f t="shared" si="15"/>
        <v>E4_1_1_49</v>
      </c>
      <c r="F331" s="8" t="s">
        <v>3760</v>
      </c>
      <c r="G331" s="8" t="s">
        <v>1376</v>
      </c>
      <c r="H331" s="8" t="s">
        <v>4113</v>
      </c>
      <c r="I331" s="8" t="s">
        <v>1377</v>
      </c>
      <c r="J331" s="8" t="str">
        <f t="shared" si="16"/>
        <v>(${Variables:E4_1_1_49_kcat} * E4_1_1_49 * C00002 * C00036)/(${Variables:E4_1_1_49_km} + (E4_1_1_49 * C00002 * C00036))</v>
      </c>
      <c r="K331" s="40" t="str">
        <f t="shared" si="17"/>
        <v>r330: C00002 + C00036 -&gt; C00008 + C00074 + C00011 | (${Variables:E4_1_1_49_kcat} * E4_1_1_49 * C00002 * C00036)/(${Variables:E4_1_1_49_km} + (E4_1_1_49 * C00002 * C00036))</v>
      </c>
    </row>
    <row r="332" spans="1:11" ht="29" x14ac:dyDescent="0.35">
      <c r="A332" s="8" t="s">
        <v>370</v>
      </c>
      <c r="B332" s="8" t="s">
        <v>371</v>
      </c>
      <c r="C332" s="8" t="s">
        <v>2277</v>
      </c>
      <c r="D332" s="8">
        <v>331</v>
      </c>
      <c r="E332" s="8" t="str">
        <f t="shared" si="15"/>
        <v>E4_1_1_8</v>
      </c>
      <c r="F332" s="8" t="s">
        <v>1310</v>
      </c>
      <c r="G332" s="8" t="s">
        <v>1310</v>
      </c>
      <c r="H332" s="8" t="s">
        <v>4114</v>
      </c>
      <c r="I332" s="8" t="s">
        <v>1785</v>
      </c>
      <c r="J332" s="8" t="str">
        <f t="shared" si="16"/>
        <v>(${Variables:E4_1_1_8_kcat} * E4_1_1_8 * C00313)/(${Variables:E4_1_1_8_km} + (E4_1_1_8 * C00313))</v>
      </c>
      <c r="K332" s="40" t="str">
        <f t="shared" si="17"/>
        <v>r331: C00313 -&gt; C00798 + C00011 | (${Variables:E4_1_1_8_kcat} * E4_1_1_8 * C00313)/(${Variables:E4_1_1_8_km} + (E4_1_1_8 * C00313))</v>
      </c>
    </row>
    <row r="333" spans="1:11" ht="29" x14ac:dyDescent="0.35">
      <c r="A333" s="8" t="s">
        <v>365</v>
      </c>
      <c r="B333" s="8" t="s">
        <v>366</v>
      </c>
      <c r="C333" s="8" t="s">
        <v>2294</v>
      </c>
      <c r="D333" s="8">
        <v>332</v>
      </c>
      <c r="E333" s="8" t="str">
        <f t="shared" si="15"/>
        <v>E4_1_2_4</v>
      </c>
      <c r="F333" s="8" t="s">
        <v>1311</v>
      </c>
      <c r="G333" s="8" t="s">
        <v>1311</v>
      </c>
      <c r="H333" s="8" t="s">
        <v>4115</v>
      </c>
      <c r="I333" s="8" t="s">
        <v>1867</v>
      </c>
      <c r="J333" s="8" t="str">
        <f t="shared" si="16"/>
        <v>(${Variables:E4_1_2_4_kcat} * E4_1_2_4 * C00673)/(${Variables:E4_1_2_4_km} + (E4_1_2_4 * C00673))</v>
      </c>
      <c r="K333" s="40" t="str">
        <f t="shared" si="17"/>
        <v>r332: C00673 -&gt; C00118 + C00084 | (${Variables:E4_1_2_4_kcat} * E4_1_2_4 * C00673)/(${Variables:E4_1_2_4_km} + (E4_1_2_4 * C00673))</v>
      </c>
    </row>
    <row r="334" spans="1:11" ht="43.5" x14ac:dyDescent="0.35">
      <c r="A334" s="8" t="s">
        <v>761</v>
      </c>
      <c r="B334" s="8" t="s">
        <v>762</v>
      </c>
      <c r="C334" s="8" t="s">
        <v>2290</v>
      </c>
      <c r="D334" s="8">
        <v>333</v>
      </c>
      <c r="E334" s="8" t="str">
        <f t="shared" si="15"/>
        <v>E4_1_3_34</v>
      </c>
      <c r="F334" s="8" t="s">
        <v>1312</v>
      </c>
      <c r="G334" s="8" t="s">
        <v>1312</v>
      </c>
      <c r="H334" s="8" t="s">
        <v>4116</v>
      </c>
      <c r="I334" s="8" t="s">
        <v>1851</v>
      </c>
      <c r="J334" s="8" t="str">
        <f t="shared" si="16"/>
        <v>(${Variables:E4_1_3_34_kcat} * E4_1_3_34 * C00566)/(${Variables:E4_1_3_34_km} + (E4_1_3_34 * C00566))</v>
      </c>
      <c r="K334" s="40" t="str">
        <f t="shared" si="17"/>
        <v>r333: C00566 -&gt; C00024 + C00036 | (${Variables:E4_1_3_34_kcat} * E4_1_3_34 * C00566)/(${Variables:E4_1_3_34_km} + (E4_1_3_34 * C00566))</v>
      </c>
    </row>
    <row r="335" spans="1:11" ht="29" x14ac:dyDescent="0.35">
      <c r="A335" s="8" t="s">
        <v>763</v>
      </c>
      <c r="B335" s="8" t="s">
        <v>764</v>
      </c>
      <c r="C335" s="8" t="s">
        <v>2262</v>
      </c>
      <c r="D335" s="8">
        <v>334</v>
      </c>
      <c r="E335" s="8" t="str">
        <f t="shared" si="15"/>
        <v>E4_1_3_6</v>
      </c>
      <c r="F335" s="8" t="s">
        <v>1300</v>
      </c>
      <c r="G335" s="8" t="s">
        <v>1300</v>
      </c>
      <c r="H335" s="8" t="s">
        <v>4117</v>
      </c>
      <c r="I335" s="8" t="s">
        <v>1733</v>
      </c>
      <c r="J335" s="8" t="str">
        <f t="shared" si="16"/>
        <v>(${Variables:E4_1_3_6_kcat} * E4_1_3_6 * C00158)/(${Variables:E4_1_3_6_km} + (E4_1_3_6 * C00158))</v>
      </c>
      <c r="K335" s="40" t="str">
        <f t="shared" si="17"/>
        <v>r334: C00158 -&gt; C00033 + C00036 | (${Variables:E4_1_3_6_kcat} * E4_1_3_6 * C00158)/(${Variables:E4_1_3_6_km} + (E4_1_3_6 * C00158))</v>
      </c>
    </row>
    <row r="336" spans="1:11" ht="43.5" x14ac:dyDescent="0.35">
      <c r="A336" s="8" t="s">
        <v>740</v>
      </c>
      <c r="B336" s="8" t="s">
        <v>741</v>
      </c>
      <c r="C336" s="8" t="s">
        <v>2291</v>
      </c>
      <c r="D336" s="8">
        <v>335</v>
      </c>
      <c r="E336" s="8" t="str">
        <f t="shared" si="15"/>
        <v>E4_2_1_11</v>
      </c>
      <c r="F336" s="8" t="s">
        <v>1313</v>
      </c>
      <c r="G336" s="8" t="s">
        <v>1313</v>
      </c>
      <c r="H336" s="8" t="s">
        <v>4118</v>
      </c>
      <c r="I336" s="8" t="s">
        <v>1859</v>
      </c>
      <c r="J336" s="8" t="str">
        <f t="shared" si="16"/>
        <v>(${Variables:E4_2_1_11_kcat} * E4_2_1_11 * C00631)/(${Variables:E4_2_1_11_km} + (E4_2_1_11 * C00631))</v>
      </c>
      <c r="K336" s="40" t="str">
        <f t="shared" si="17"/>
        <v>r335: C00631 -&gt; C00074 + C00001 | (${Variables:E4_2_1_11_kcat} * E4_2_1_11 * C00631)/(${Variables:E4_2_1_11_km} + (E4_2_1_11 * C00631))</v>
      </c>
    </row>
    <row r="337" spans="1:11" ht="43.5" x14ac:dyDescent="0.35">
      <c r="A337" s="8" t="s">
        <v>740</v>
      </c>
      <c r="B337" s="8" t="s">
        <v>741</v>
      </c>
      <c r="C337" s="8" t="s">
        <v>2291</v>
      </c>
      <c r="D337" s="8">
        <v>336</v>
      </c>
      <c r="E337" s="8" t="str">
        <f t="shared" si="15"/>
        <v>E4_2_1_11</v>
      </c>
      <c r="F337" s="8" t="s">
        <v>1314</v>
      </c>
      <c r="G337" s="8" t="s">
        <v>1314</v>
      </c>
      <c r="H337" s="8" t="s">
        <v>4119</v>
      </c>
      <c r="I337" s="8" t="s">
        <v>1953</v>
      </c>
      <c r="J337" s="8" t="str">
        <f t="shared" si="16"/>
        <v>(${Variables:E4_2_1_11_kcat} * E4_2_1_11 * C03356)/(${Variables:E4_2_1_11_km} + (E4_2_1_11 * C03356))</v>
      </c>
      <c r="K337" s="40" t="str">
        <f t="shared" si="17"/>
        <v>r336: C03356 -&gt; C04309 + C00001 | (${Variables:E4_2_1_11_kcat} * E4_2_1_11 * C03356)/(${Variables:E4_2_1_11_km} + (E4_2_1_11 * C03356))</v>
      </c>
    </row>
    <row r="338" spans="1:11" ht="43.5" x14ac:dyDescent="0.35">
      <c r="A338" s="8" t="s">
        <v>1195</v>
      </c>
      <c r="B338" s="8" t="s">
        <v>1196</v>
      </c>
      <c r="C338" s="8" t="s">
        <v>2274</v>
      </c>
      <c r="D338" s="8">
        <v>337</v>
      </c>
      <c r="E338" s="8" t="str">
        <f t="shared" si="15"/>
        <v>E4_2_1_126</v>
      </c>
      <c r="F338" s="8" t="s">
        <v>3761</v>
      </c>
      <c r="G338" s="8" t="s">
        <v>1770</v>
      </c>
      <c r="H338" s="8" t="s">
        <v>4120</v>
      </c>
      <c r="I338" s="8" t="s">
        <v>1771</v>
      </c>
      <c r="J338" s="8" t="str">
        <f t="shared" si="16"/>
        <v>(${Variables:E4_2_1_126_kcat} * E4_2_1_126 * C00256 * C00357)/(${Variables:E4_2_1_126_km} + (E4_2_1_126 * C00256 * C00357))</v>
      </c>
      <c r="K338" s="40" t="str">
        <f t="shared" si="17"/>
        <v>r337: C00256 + C00357 -&gt; C16698 + C00001 | (${Variables:E4_2_1_126_kcat} * E4_2_1_126 * C00256 * C00357)/(${Variables:E4_2_1_126_km} + (E4_2_1_126 * C00256 * C00357))</v>
      </c>
    </row>
    <row r="339" spans="1:11" ht="29" x14ac:dyDescent="0.35">
      <c r="A339" s="8" t="s">
        <v>757</v>
      </c>
      <c r="B339" s="8" t="s">
        <v>758</v>
      </c>
      <c r="C339" s="8" t="s">
        <v>2260</v>
      </c>
      <c r="D339" s="8">
        <v>338</v>
      </c>
      <c r="E339" s="8" t="str">
        <f t="shared" si="15"/>
        <v>E4_2_1_2</v>
      </c>
      <c r="F339" s="8" t="s">
        <v>1304</v>
      </c>
      <c r="G339" s="8" t="s">
        <v>1304</v>
      </c>
      <c r="H339" s="8" t="s">
        <v>4121</v>
      </c>
      <c r="I339" s="8" t="s">
        <v>1730</v>
      </c>
      <c r="J339" s="8" t="str">
        <f t="shared" si="16"/>
        <v>(${Variables:E4_2_1_2_kcat} * E4_2_1_2 * C00149)/(${Variables:E4_2_1_2_km} + (E4_2_1_2 * C00149))</v>
      </c>
      <c r="K339" s="40" t="str">
        <f t="shared" si="17"/>
        <v>r338: C00149 -&gt; C00122 + C00001 | (${Variables:E4_2_1_2_kcat} * E4_2_1_2 * C00149)/(${Variables:E4_2_1_2_km} + (E4_2_1_2 * C00149))</v>
      </c>
    </row>
    <row r="340" spans="1:11" ht="43.5" x14ac:dyDescent="0.35">
      <c r="A340" s="8" t="s">
        <v>481</v>
      </c>
      <c r="B340" s="8" t="s">
        <v>482</v>
      </c>
      <c r="C340" s="8" t="s">
        <v>2318</v>
      </c>
      <c r="D340" s="8">
        <v>339</v>
      </c>
      <c r="E340" s="8" t="str">
        <f t="shared" si="15"/>
        <v>E4_2_1_53</v>
      </c>
      <c r="F340" s="8" t="s">
        <v>1315</v>
      </c>
      <c r="G340" s="8" t="s">
        <v>1315</v>
      </c>
      <c r="H340" s="8" t="s">
        <v>4122</v>
      </c>
      <c r="I340" s="8" t="s">
        <v>1952</v>
      </c>
      <c r="J340" s="8" t="str">
        <f t="shared" si="16"/>
        <v>(${Variables:E4_2_1_53_kcat} * E4_2_1_53 * C03195)/(${Variables:E4_2_1_53_km} + (E4_2_1_53 * C03195))</v>
      </c>
      <c r="K340" s="40" t="str">
        <f t="shared" si="17"/>
        <v>r339: C03195 -&gt; C00712 + C00001 | (${Variables:E4_2_1_53_kcat} * E4_2_1_53 * C03195)/(${Variables:E4_2_1_53_km} + (E4_2_1_53 * C03195))</v>
      </c>
    </row>
    <row r="341" spans="1:11" ht="43.5" x14ac:dyDescent="0.35">
      <c r="A341" s="8" t="s">
        <v>894</v>
      </c>
      <c r="B341" s="8" t="s">
        <v>895</v>
      </c>
      <c r="C341" s="8" t="s">
        <v>2302</v>
      </c>
      <c r="D341" s="8">
        <v>340</v>
      </c>
      <c r="E341" s="8" t="str">
        <f t="shared" si="15"/>
        <v>E4_2_3_1</v>
      </c>
      <c r="F341" s="8" t="s">
        <v>3762</v>
      </c>
      <c r="G341" s="8" t="s">
        <v>1901</v>
      </c>
      <c r="H341" s="8" t="s">
        <v>4123</v>
      </c>
      <c r="I341" s="8" t="s">
        <v>1902</v>
      </c>
      <c r="J341" s="8" t="str">
        <f t="shared" si="16"/>
        <v>(${Variables:E4_2_3_1_kcat} * E4_2_3_1 * C01102 * C00001)/(${Variables:E4_2_3_1_km} + (E4_2_3_1 * C01102 * C00001))</v>
      </c>
      <c r="K341" s="40" t="str">
        <f t="shared" si="17"/>
        <v>r340: C01102 + C00001 -&gt; C00188 + C00009 | (${Variables:E4_2_3_1_kcat} * E4_2_3_1 * C01102 * C00001)/(${Variables:E4_2_3_1_km} + (E4_2_3_1 * C01102 * C00001))</v>
      </c>
    </row>
    <row r="342" spans="1:11" ht="43.5" x14ac:dyDescent="0.35">
      <c r="A342" s="8" t="s">
        <v>894</v>
      </c>
      <c r="B342" s="8" t="s">
        <v>895</v>
      </c>
      <c r="C342" s="8" t="s">
        <v>2302</v>
      </c>
      <c r="D342" s="8">
        <v>341</v>
      </c>
      <c r="E342" s="8" t="str">
        <f t="shared" si="15"/>
        <v>E4_2_3_1</v>
      </c>
      <c r="F342" s="8" t="s">
        <v>3763</v>
      </c>
      <c r="G342" s="8" t="s">
        <v>2021</v>
      </c>
      <c r="H342" s="8" t="s">
        <v>4124</v>
      </c>
      <c r="I342" s="8" t="s">
        <v>2022</v>
      </c>
      <c r="J342" s="8" t="str">
        <f t="shared" si="16"/>
        <v>(${Variables:E4_2_3_1_kcat} * E4_2_3_1 * C06055 * C00001)/(${Variables:E4_2_3_1_km} + (E4_2_3_1 * C06055 * C00001))</v>
      </c>
      <c r="K342" s="40" t="str">
        <f t="shared" si="17"/>
        <v>r341: C06055 + C00001 -&gt; C06056 + C00009 | (${Variables:E4_2_3_1_kcat} * E4_2_3_1 * C06055 * C00001)/(${Variables:E4_2_3_1_km} + (E4_2_3_1 * C06055 * C00001))</v>
      </c>
    </row>
    <row r="343" spans="1:11" ht="29" x14ac:dyDescent="0.35">
      <c r="A343" s="8" t="s">
        <v>1242</v>
      </c>
      <c r="B343" s="8" t="s">
        <v>1243</v>
      </c>
      <c r="C343" s="8" t="s">
        <v>2320</v>
      </c>
      <c r="D343" s="8">
        <v>342</v>
      </c>
      <c r="E343" s="8" t="str">
        <f t="shared" si="15"/>
        <v>E4_3_2_2</v>
      </c>
      <c r="F343" s="8" t="s">
        <v>1316</v>
      </c>
      <c r="G343" s="8" t="s">
        <v>1316</v>
      </c>
      <c r="H343" s="8" t="s">
        <v>4125</v>
      </c>
      <c r="I343" s="8" t="s">
        <v>1955</v>
      </c>
      <c r="J343" s="8" t="str">
        <f t="shared" si="16"/>
        <v>(${Variables:E4_3_2_2_kcat} * E4_3_2_2 * C03794)/(${Variables:E4_3_2_2_km} + (E4_3_2_2 * C03794))</v>
      </c>
      <c r="K343" s="40" t="str">
        <f t="shared" si="17"/>
        <v>r342: C03794 -&gt; C00122 + C00020 | (${Variables:E4_3_2_2_kcat} * E4_3_2_2 * C03794)/(${Variables:E4_3_2_2_km} + (E4_3_2_2 * C03794))</v>
      </c>
    </row>
    <row r="344" spans="1:11" ht="29" x14ac:dyDescent="0.35">
      <c r="A344" s="8" t="s">
        <v>1242</v>
      </c>
      <c r="B344" s="8" t="s">
        <v>1243</v>
      </c>
      <c r="C344" s="8" t="s">
        <v>2320</v>
      </c>
      <c r="D344" s="8">
        <v>343</v>
      </c>
      <c r="E344" s="8" t="str">
        <f t="shared" si="15"/>
        <v>E4_3_2_2</v>
      </c>
      <c r="F344" s="8" t="s">
        <v>1317</v>
      </c>
      <c r="G344" s="8" t="s">
        <v>1317</v>
      </c>
      <c r="H344" s="8" t="s">
        <v>4126</v>
      </c>
      <c r="I344" s="8" t="s">
        <v>1986</v>
      </c>
      <c r="J344" s="8" t="str">
        <f t="shared" si="16"/>
        <v>(${Variables:E4_3_2_2_kcat} * E4_3_2_2 * C04823)/(${Variables:E4_3_2_2_km} + (E4_3_2_2 * C04823))</v>
      </c>
      <c r="K344" s="40" t="str">
        <f t="shared" si="17"/>
        <v>r343: C04823 -&gt; C00122 + C04677 | (${Variables:E4_3_2_2_kcat} * E4_3_2_2 * C04823)/(${Variables:E4_3_2_2_km} + (E4_3_2_2 * C04823))</v>
      </c>
    </row>
    <row r="345" spans="1:11" ht="29" x14ac:dyDescent="0.35">
      <c r="A345" s="8" t="s">
        <v>1242</v>
      </c>
      <c r="B345" s="8" t="s">
        <v>1243</v>
      </c>
      <c r="C345" s="8" t="s">
        <v>2320</v>
      </c>
      <c r="D345" s="8">
        <v>344</v>
      </c>
      <c r="E345" s="8" t="str">
        <f t="shared" si="15"/>
        <v>E4_3_2_2</v>
      </c>
      <c r="F345" s="8" t="s">
        <v>1318</v>
      </c>
      <c r="G345" s="8" t="s">
        <v>1318</v>
      </c>
      <c r="H345" s="8" t="s">
        <v>4127</v>
      </c>
      <c r="I345" s="8" t="s">
        <v>2085</v>
      </c>
      <c r="J345" s="8" t="str">
        <f t="shared" si="16"/>
        <v>(${Variables:E4_3_2_2_kcat} * E4_3_2_2 * C22395)/(${Variables:E4_3_2_2_km} + (E4_3_2_2 * C22395))</v>
      </c>
      <c r="K345" s="40" t="str">
        <f t="shared" si="17"/>
        <v>r344: C22395 -&gt; C22441 + C00122 | (${Variables:E4_3_2_2_kcat} * E4_3_2_2 * C22395)/(${Variables:E4_3_2_2_km} + (E4_3_2_2 * C22395))</v>
      </c>
    </row>
    <row r="346" spans="1:11" ht="43.5" x14ac:dyDescent="0.35">
      <c r="A346" s="8" t="s">
        <v>722</v>
      </c>
      <c r="B346" s="8" t="s">
        <v>723</v>
      </c>
      <c r="C346" s="8" t="s">
        <v>2288</v>
      </c>
      <c r="D346" s="8">
        <v>345</v>
      </c>
      <c r="E346" s="8" t="str">
        <f t="shared" si="15"/>
        <v>E4_3_3_7</v>
      </c>
      <c r="F346" s="8" t="s">
        <v>3764</v>
      </c>
      <c r="G346" s="8" t="s">
        <v>1827</v>
      </c>
      <c r="H346" s="8" t="s">
        <v>4128</v>
      </c>
      <c r="I346" s="8" t="s">
        <v>1828</v>
      </c>
      <c r="J346" s="8" t="str">
        <f t="shared" si="16"/>
        <v>(${Variables:E4_3_3_7_kcat} * E4_3_3_7 * C00441 * C00022)/(${Variables:E4_3_3_7_km} + (E4_3_3_7 * C00441 * C00022))</v>
      </c>
      <c r="K346" s="40" t="str">
        <f t="shared" si="17"/>
        <v>r345: C00441 + C00022 -&gt; C20258 + C00001 | (${Variables:E4_3_3_7_kcat} * E4_3_3_7 * C00441 * C00022)/(${Variables:E4_3_3_7_km} + (E4_3_3_7 * C00441 * C00022))</v>
      </c>
    </row>
    <row r="347" spans="1:11" ht="43.5" x14ac:dyDescent="0.35">
      <c r="A347" s="8" t="s">
        <v>838</v>
      </c>
      <c r="B347" s="8" t="s">
        <v>839</v>
      </c>
      <c r="C347" s="8" t="s">
        <v>2319</v>
      </c>
      <c r="D347" s="8">
        <v>346</v>
      </c>
      <c r="E347" s="8" t="str">
        <f t="shared" si="15"/>
        <v>E4_4_1_21</v>
      </c>
      <c r="F347" s="8" t="s">
        <v>1319</v>
      </c>
      <c r="G347" s="8" t="s">
        <v>1319</v>
      </c>
      <c r="H347" s="8" t="s">
        <v>4129</v>
      </c>
      <c r="I347" s="8" t="s">
        <v>1954</v>
      </c>
      <c r="J347" s="8" t="str">
        <f t="shared" si="16"/>
        <v>(${Variables:E4_4_1_21_kcat} * E4_4_1_21 * C03539)/(${Variables:E4_4_1_21_km} + (E4_4_1_21 * C03539))</v>
      </c>
      <c r="K347" s="40" t="str">
        <f t="shared" si="17"/>
        <v>r346: C03539 -&gt; C11838 + C00155 | (${Variables:E4_4_1_21_kcat} * E4_4_1_21 * C03539)/(${Variables:E4_4_1_21_km} + (E4_4_1_21 * C03539))</v>
      </c>
    </row>
    <row r="348" spans="1:11" ht="29" x14ac:dyDescent="0.35">
      <c r="A348" s="8" t="s">
        <v>193</v>
      </c>
      <c r="B348" s="8" t="s">
        <v>194</v>
      </c>
      <c r="C348" s="8" t="s">
        <v>2217</v>
      </c>
      <c r="D348" s="8">
        <v>347</v>
      </c>
      <c r="E348" s="8" t="str">
        <f t="shared" si="15"/>
        <v>E5_1_1_1</v>
      </c>
      <c r="F348" s="8" t="s">
        <v>1320</v>
      </c>
      <c r="G348" s="8" t="s">
        <v>1320</v>
      </c>
      <c r="H348" s="8" t="s">
        <v>1321</v>
      </c>
      <c r="I348" s="8" t="s">
        <v>1321</v>
      </c>
      <c r="J348" s="8" t="str">
        <f t="shared" si="16"/>
        <v>(${Variables:E5_1_1_1_kcat} * E5_1_1_1 * C00041)/(${Variables:E5_1_1_1_km} + (E5_1_1_1 * C00041))</v>
      </c>
      <c r="K348" s="40" t="str">
        <f t="shared" si="17"/>
        <v>r347: C00041 -&gt; C00133 | (${Variables:E5_1_1_1_kcat} * E5_1_1_1 * C00041)/(${Variables:E5_1_1_1_km} + (E5_1_1_1 * C00041))</v>
      </c>
    </row>
    <row r="349" spans="1:11" ht="29" x14ac:dyDescent="0.35">
      <c r="A349" s="8" t="s">
        <v>407</v>
      </c>
      <c r="B349" s="8" t="s">
        <v>408</v>
      </c>
      <c r="C349" s="8" t="s">
        <v>2214</v>
      </c>
      <c r="D349" s="8">
        <v>348</v>
      </c>
      <c r="E349" s="8" t="str">
        <f t="shared" si="15"/>
        <v>E5_1_1_3</v>
      </c>
      <c r="F349" s="8" t="s">
        <v>1322</v>
      </c>
      <c r="G349" s="8" t="s">
        <v>1322</v>
      </c>
      <c r="H349" s="8" t="s">
        <v>1323</v>
      </c>
      <c r="I349" s="8" t="s">
        <v>1323</v>
      </c>
      <c r="J349" s="8" t="str">
        <f t="shared" si="16"/>
        <v>(${Variables:E5_1_1_3_kcat} * E5_1_1_3 * C00025)/(${Variables:E5_1_1_3_km} + (E5_1_1_3 * C00025))</v>
      </c>
      <c r="K349" s="40" t="str">
        <f t="shared" si="17"/>
        <v>r348: C00025 -&gt; C00217 | (${Variables:E5_1_1_3_kcat} * E5_1_1_3 * C00025)/(${Variables:E5_1_1_3_km} + (E5_1_1_3 * C00025))</v>
      </c>
    </row>
    <row r="350" spans="1:11" ht="29" x14ac:dyDescent="0.35">
      <c r="A350" s="8" t="s">
        <v>712</v>
      </c>
      <c r="B350" s="8" t="s">
        <v>713</v>
      </c>
      <c r="C350" s="8" t="s">
        <v>2293</v>
      </c>
      <c r="D350" s="8">
        <v>349</v>
      </c>
      <c r="E350" s="8" t="str">
        <f t="shared" si="15"/>
        <v>E5_1_1_7</v>
      </c>
      <c r="F350" s="8" t="s">
        <v>1324</v>
      </c>
      <c r="G350" s="8" t="s">
        <v>1324</v>
      </c>
      <c r="H350" s="8" t="s">
        <v>1305</v>
      </c>
      <c r="I350" s="8" t="s">
        <v>1305</v>
      </c>
      <c r="J350" s="8" t="str">
        <f t="shared" si="16"/>
        <v>(${Variables:E5_1_1_7_kcat} * E5_1_1_7 * C00666)/(${Variables:E5_1_1_7_km} + (E5_1_1_7 * C00666))</v>
      </c>
      <c r="K350" s="40" t="str">
        <f t="shared" si="17"/>
        <v>r349: C00666 -&gt; C00680 | (${Variables:E5_1_1_7_kcat} * E5_1_1_7 * C00666)/(${Variables:E5_1_1_7_km} + (E5_1_1_7 * C00666))</v>
      </c>
    </row>
    <row r="351" spans="1:11" ht="29" x14ac:dyDescent="0.35">
      <c r="A351" s="8" t="s">
        <v>974</v>
      </c>
      <c r="B351" s="8" t="s">
        <v>975</v>
      </c>
      <c r="C351" s="8" t="s">
        <v>2268</v>
      </c>
      <c r="D351" s="8">
        <v>350</v>
      </c>
      <c r="E351" s="8" t="str">
        <f t="shared" si="15"/>
        <v>E5_1_3_1</v>
      </c>
      <c r="F351" s="8" t="s">
        <v>1325</v>
      </c>
      <c r="G351" s="8" t="s">
        <v>1325</v>
      </c>
      <c r="H351" s="8" t="s">
        <v>1326</v>
      </c>
      <c r="I351" s="8" t="s">
        <v>1326</v>
      </c>
      <c r="J351" s="8" t="str">
        <f t="shared" si="16"/>
        <v>(${Variables:E5_1_3_1_kcat} * E5_1_3_1 * C00199)/(${Variables:E5_1_3_1_km} + (E5_1_3_1 * C00199))</v>
      </c>
      <c r="K351" s="40" t="str">
        <f t="shared" si="17"/>
        <v>r350: C00199 -&gt; C00231 | (${Variables:E5_1_3_1_kcat} * E5_1_3_1 * C00199)/(${Variables:E5_1_3_1_km} + (E5_1_3_1 * C00199))</v>
      </c>
    </row>
    <row r="352" spans="1:11" ht="43.5" x14ac:dyDescent="0.35">
      <c r="A352" s="8" t="s">
        <v>511</v>
      </c>
      <c r="B352" s="8" t="s">
        <v>512</v>
      </c>
      <c r="C352" s="8" t="s">
        <v>2218</v>
      </c>
      <c r="D352" s="8">
        <v>351</v>
      </c>
      <c r="E352" s="8" t="str">
        <f t="shared" si="15"/>
        <v>E5_1_3_14</v>
      </c>
      <c r="F352" s="8" t="s">
        <v>1327</v>
      </c>
      <c r="G352" s="8" t="s">
        <v>1327</v>
      </c>
      <c r="H352" s="8" t="s">
        <v>1328</v>
      </c>
      <c r="I352" s="8" t="s">
        <v>1328</v>
      </c>
      <c r="J352" s="8" t="str">
        <f t="shared" si="16"/>
        <v>(${Variables:E5_1_3_14_kcat} * E5_1_3_14 * C00043)/(${Variables:E5_1_3_14_km} + (E5_1_3_14 * C00043))</v>
      </c>
      <c r="K352" s="40" t="str">
        <f t="shared" si="17"/>
        <v>r351: C00043 -&gt; C01170 | (${Variables:E5_1_3_14_kcat} * E5_1_3_14 * C00043)/(${Variables:E5_1_3_14_km} + (E5_1_3_14 * C00043))</v>
      </c>
    </row>
    <row r="353" spans="1:11" ht="43.5" x14ac:dyDescent="0.35">
      <c r="A353" s="8" t="s">
        <v>511</v>
      </c>
      <c r="B353" s="8" t="s">
        <v>512</v>
      </c>
      <c r="C353" s="8" t="s">
        <v>2218</v>
      </c>
      <c r="D353" s="8">
        <v>352</v>
      </c>
      <c r="E353" s="8" t="str">
        <f t="shared" si="15"/>
        <v>E5_1_3_14</v>
      </c>
      <c r="F353" s="8" t="s">
        <v>3765</v>
      </c>
      <c r="G353" s="8" t="s">
        <v>1598</v>
      </c>
      <c r="H353" s="8" t="s">
        <v>3766</v>
      </c>
      <c r="I353" s="8" t="s">
        <v>1599</v>
      </c>
      <c r="J353" s="8" t="str">
        <f t="shared" si="16"/>
        <v>(${Variables:E5_1_3_14_kcat} * E5_1_3_14 * C00043 * C00001)/(${Variables:E5_1_3_14_km} + (E5_1_3_14 * C00043 * C00001))</v>
      </c>
      <c r="K353" s="40" t="str">
        <f t="shared" si="17"/>
        <v>r352: C00043 + C00001 -&gt; C00645 + C00015 | (${Variables:E5_1_3_14_kcat} * E5_1_3_14 * C00043 * C00001)/(${Variables:E5_1_3_14_km} + (E5_1_3_14 * C00043 * C00001))</v>
      </c>
    </row>
    <row r="354" spans="1:11" ht="43.5" x14ac:dyDescent="0.35">
      <c r="A354" s="8" t="s">
        <v>511</v>
      </c>
      <c r="B354" s="8" t="s">
        <v>512</v>
      </c>
      <c r="C354" s="8" t="s">
        <v>2218</v>
      </c>
      <c r="D354" s="8">
        <v>353</v>
      </c>
      <c r="E354" s="8" t="str">
        <f t="shared" si="15"/>
        <v>E5_1_3_14</v>
      </c>
      <c r="F354" s="8" t="s">
        <v>3766</v>
      </c>
      <c r="G354" s="8" t="s">
        <v>1599</v>
      </c>
      <c r="H354" s="8" t="s">
        <v>4130</v>
      </c>
      <c r="I354" s="8" t="s">
        <v>1860</v>
      </c>
      <c r="J354" s="8" t="str">
        <f t="shared" si="16"/>
        <v>(${Variables:E5_1_3_14_kcat} * E5_1_3_14 * C00645 * C00015)/(${Variables:E5_1_3_14_km} + (E5_1_3_14 * C00645 * C00015))</v>
      </c>
      <c r="K354" s="40" t="str">
        <f t="shared" si="17"/>
        <v>r353: C00645 + C00015 -&gt; C01170 + C00001 | (${Variables:E5_1_3_14_kcat} * E5_1_3_14 * C00645 * C00015)/(${Variables:E5_1_3_14_km} + (E5_1_3_14 * C00645 * C00015))</v>
      </c>
    </row>
    <row r="355" spans="1:11" ht="29" x14ac:dyDescent="0.35">
      <c r="A355" s="8" t="s">
        <v>1067</v>
      </c>
      <c r="B355" s="8" t="s">
        <v>1068</v>
      </c>
      <c r="C355" s="8" t="s">
        <v>2215</v>
      </c>
      <c r="D355" s="8">
        <v>354</v>
      </c>
      <c r="E355" s="8" t="str">
        <f t="shared" si="15"/>
        <v>E5_1_3_2</v>
      </c>
      <c r="F355" s="8" t="s">
        <v>1329</v>
      </c>
      <c r="G355" s="8" t="s">
        <v>1329</v>
      </c>
      <c r="H355" s="8" t="s">
        <v>1330</v>
      </c>
      <c r="I355" s="8" t="s">
        <v>1330</v>
      </c>
      <c r="J355" s="8" t="str">
        <f t="shared" si="16"/>
        <v>(${Variables:E5_1_3_2_kcat} * E5_1_3_2 * C00029)/(${Variables:E5_1_3_2_km} + (E5_1_3_2 * C00029))</v>
      </c>
      <c r="K355" s="40" t="str">
        <f t="shared" si="17"/>
        <v>r354: C00029 -&gt; C00052 | (${Variables:E5_1_3_2_kcat} * E5_1_3_2 * C00029)/(${Variables:E5_1_3_2_km} + (E5_1_3_2 * C00029))</v>
      </c>
    </row>
    <row r="356" spans="1:11" ht="29" x14ac:dyDescent="0.35">
      <c r="A356" s="8" t="s">
        <v>1067</v>
      </c>
      <c r="B356" s="8" t="s">
        <v>1068</v>
      </c>
      <c r="C356" s="8" t="s">
        <v>2215</v>
      </c>
      <c r="D356" s="8">
        <v>355</v>
      </c>
      <c r="E356" s="8" t="str">
        <f t="shared" si="15"/>
        <v>E5_1_3_2</v>
      </c>
      <c r="F356" s="8" t="s">
        <v>1327</v>
      </c>
      <c r="G356" s="8" t="s">
        <v>1327</v>
      </c>
      <c r="H356" s="8" t="s">
        <v>1331</v>
      </c>
      <c r="I356" s="8" t="s">
        <v>1331</v>
      </c>
      <c r="J356" s="8" t="str">
        <f t="shared" si="16"/>
        <v>(${Variables:E5_1_3_2_kcat} * E5_1_3_2 * C00043)/(${Variables:E5_1_3_2_km} + (E5_1_3_2 * C00043))</v>
      </c>
      <c r="K356" s="40" t="str">
        <f t="shared" si="17"/>
        <v>r355: C00043 -&gt; C00203 | (${Variables:E5_1_3_2_kcat} * E5_1_3_2 * C00043)/(${Variables:E5_1_3_2_km} + (E5_1_3_2 * C00043))</v>
      </c>
    </row>
    <row r="357" spans="1:11" ht="29" x14ac:dyDescent="0.35">
      <c r="A357" s="8" t="s">
        <v>1067</v>
      </c>
      <c r="B357" s="8" t="s">
        <v>1068</v>
      </c>
      <c r="C357" s="8" t="s">
        <v>2215</v>
      </c>
      <c r="D357" s="8">
        <v>356</v>
      </c>
      <c r="E357" s="8" t="str">
        <f t="shared" si="15"/>
        <v>E5_1_3_2</v>
      </c>
      <c r="F357" s="8" t="s">
        <v>1332</v>
      </c>
      <c r="G357" s="8" t="s">
        <v>1332</v>
      </c>
      <c r="H357" s="8" t="s">
        <v>1333</v>
      </c>
      <c r="I357" s="8" t="s">
        <v>1333</v>
      </c>
      <c r="J357" s="8" t="str">
        <f t="shared" si="16"/>
        <v>(${Variables:E5_1_3_2_kcat} * E5_1_3_2 * C00842)/(${Variables:E5_1_3_2_km} + (E5_1_3_2 * C00842))</v>
      </c>
      <c r="K357" s="40" t="str">
        <f t="shared" si="17"/>
        <v>r356: C00842 -&gt; C02097 | (${Variables:E5_1_3_2_kcat} * E5_1_3_2 * C00842)/(${Variables:E5_1_3_2_km} + (E5_1_3_2 * C00842))</v>
      </c>
    </row>
    <row r="358" spans="1:11" ht="29" x14ac:dyDescent="0.35">
      <c r="A358" s="8" t="s">
        <v>706</v>
      </c>
      <c r="B358" s="8" t="s">
        <v>707</v>
      </c>
      <c r="C358" s="8" t="s">
        <v>2321</v>
      </c>
      <c r="D358" s="8">
        <v>357</v>
      </c>
      <c r="E358" s="8" t="str">
        <f t="shared" si="15"/>
        <v>E5_2_1_8</v>
      </c>
      <c r="F358" s="8" t="s">
        <v>1334</v>
      </c>
      <c r="G358" s="8" t="s">
        <v>1334</v>
      </c>
      <c r="H358" s="8" t="s">
        <v>1335</v>
      </c>
      <c r="I358" s="8" t="s">
        <v>1335</v>
      </c>
      <c r="J358" s="8" t="str">
        <f t="shared" si="16"/>
        <v>(${Variables:E5_2_1_8_kcat} * E5_2_1_8 * C03798)/(${Variables:E5_2_1_8_km} + (E5_2_1_8 * C03798))</v>
      </c>
      <c r="K358" s="40" t="str">
        <f t="shared" si="17"/>
        <v>r357: C03798 -&gt; C03633 | (${Variables:E5_2_1_8_kcat} * E5_2_1_8 * C03798)/(${Variables:E5_2_1_8_km} + (E5_2_1_8 * C03798))</v>
      </c>
    </row>
    <row r="359" spans="1:11" ht="29" x14ac:dyDescent="0.35">
      <c r="A359" s="8" t="s">
        <v>578</v>
      </c>
      <c r="B359" s="8" t="s">
        <v>579</v>
      </c>
      <c r="C359" s="8" t="s">
        <v>2250</v>
      </c>
      <c r="D359" s="8">
        <v>358</v>
      </c>
      <c r="E359" s="8" t="str">
        <f t="shared" si="15"/>
        <v>E5_3_1_1</v>
      </c>
      <c r="F359" s="8" t="s">
        <v>1336</v>
      </c>
      <c r="G359" s="8" t="s">
        <v>1336</v>
      </c>
      <c r="H359" s="8" t="s">
        <v>1337</v>
      </c>
      <c r="I359" s="8" t="s">
        <v>1337</v>
      </c>
      <c r="J359" s="8" t="str">
        <f t="shared" si="16"/>
        <v>(${Variables:E5_3_1_1_kcat} * E5_3_1_1 * C00118)/(${Variables:E5_3_1_1_km} + (E5_3_1_1 * C00118))</v>
      </c>
      <c r="K359" s="40" t="str">
        <f t="shared" si="17"/>
        <v>r358: C00118 -&gt; C00111 | (${Variables:E5_3_1_1_kcat} * E5_3_1_1 * C00118)/(${Variables:E5_3_1_1_km} + (E5_3_1_1 * C00118))</v>
      </c>
    </row>
    <row r="360" spans="1:11" ht="29" x14ac:dyDescent="0.35">
      <c r="A360" s="8" t="s">
        <v>496</v>
      </c>
      <c r="B360" s="8" t="s">
        <v>497</v>
      </c>
      <c r="C360" s="8" t="s">
        <v>2249</v>
      </c>
      <c r="D360" s="8">
        <v>359</v>
      </c>
      <c r="E360" s="8" t="str">
        <f t="shared" si="15"/>
        <v>E5_3_1_6</v>
      </c>
      <c r="F360" s="8" t="s">
        <v>1338</v>
      </c>
      <c r="G360" s="8" t="s">
        <v>1338</v>
      </c>
      <c r="H360" s="8" t="s">
        <v>1325</v>
      </c>
      <c r="I360" s="8" t="s">
        <v>1325</v>
      </c>
      <c r="J360" s="8" t="str">
        <f t="shared" si="16"/>
        <v>(${Variables:E5_3_1_6_kcat} * E5_3_1_6 * C00117)/(${Variables:E5_3_1_6_km} + (E5_3_1_6 * C00117))</v>
      </c>
      <c r="K360" s="40" t="str">
        <f t="shared" si="17"/>
        <v>r359: C00117 -&gt; C00199 | (${Variables:E5_3_1_6_kcat} * E5_3_1_6 * C00117)/(${Variables:E5_3_1_6_km} + (E5_3_1_6 * C00117))</v>
      </c>
    </row>
    <row r="361" spans="1:11" ht="29" x14ac:dyDescent="0.35">
      <c r="A361" s="8" t="s">
        <v>496</v>
      </c>
      <c r="B361" s="8" t="s">
        <v>497</v>
      </c>
      <c r="C361" s="8" t="s">
        <v>2249</v>
      </c>
      <c r="D361" s="8">
        <v>360</v>
      </c>
      <c r="E361" s="8" t="str">
        <f t="shared" si="15"/>
        <v>E5_3_1_6</v>
      </c>
      <c r="F361" s="8" t="s">
        <v>1339</v>
      </c>
      <c r="G361" s="8" t="s">
        <v>1339</v>
      </c>
      <c r="H361" s="8" t="s">
        <v>1340</v>
      </c>
      <c r="I361" s="8" t="s">
        <v>1340</v>
      </c>
      <c r="J361" s="8" t="str">
        <f t="shared" si="16"/>
        <v>(${Variables:E5_3_1_6_kcat} * E5_3_1_6 * C02962)/(${Variables:E5_3_1_6_km} + (E5_3_1_6 * C02962))</v>
      </c>
      <c r="K361" s="40" t="str">
        <f t="shared" si="17"/>
        <v>r360: C02962 -&gt; C18096 | (${Variables:E5_3_1_6_kcat} * E5_3_1_6 * C02962)/(${Variables:E5_3_1_6_km} + (E5_3_1_6 * C02962))</v>
      </c>
    </row>
    <row r="362" spans="1:11" ht="29" x14ac:dyDescent="0.35">
      <c r="A362" s="8" t="s">
        <v>610</v>
      </c>
      <c r="B362" s="8" t="s">
        <v>611</v>
      </c>
      <c r="C362" s="8" t="s">
        <v>2240</v>
      </c>
      <c r="D362" s="8">
        <v>361</v>
      </c>
      <c r="E362" s="8" t="str">
        <f t="shared" si="15"/>
        <v>E5_3_1_9</v>
      </c>
      <c r="F362" s="8" t="s">
        <v>1343</v>
      </c>
      <c r="G362" s="8" t="s">
        <v>1343</v>
      </c>
      <c r="H362" s="8" t="s">
        <v>1344</v>
      </c>
      <c r="I362" s="8" t="s">
        <v>1344</v>
      </c>
      <c r="J362" s="8" t="str">
        <f t="shared" si="16"/>
        <v>(${Variables:E5_3_1_9_kcat} * E5_3_1_9 * C00092)/(${Variables:E5_3_1_9_km} + (E5_3_1_9 * C00092))</v>
      </c>
      <c r="K362" s="40" t="str">
        <f t="shared" si="17"/>
        <v>r361: C00092 -&gt; C00085 | (${Variables:E5_3_1_9_kcat} * E5_3_1_9 * C00092)/(${Variables:E5_3_1_9_km} + (E5_3_1_9 * C00092))</v>
      </c>
    </row>
    <row r="363" spans="1:11" ht="29" x14ac:dyDescent="0.35">
      <c r="A363" s="8" t="s">
        <v>610</v>
      </c>
      <c r="B363" s="8" t="s">
        <v>611</v>
      </c>
      <c r="C363" s="8" t="s">
        <v>2240</v>
      </c>
      <c r="D363" s="8">
        <v>362</v>
      </c>
      <c r="E363" s="8" t="str">
        <f t="shared" si="15"/>
        <v>E5_3_1_9</v>
      </c>
      <c r="F363" s="8" t="s">
        <v>1341</v>
      </c>
      <c r="G363" s="8" t="s">
        <v>1341</v>
      </c>
      <c r="H363" s="8" t="s">
        <v>1342</v>
      </c>
      <c r="I363" s="8" t="s">
        <v>1342</v>
      </c>
      <c r="J363" s="8" t="str">
        <f t="shared" si="16"/>
        <v>(${Variables:E5_3_1_9_kcat} * E5_3_1_9 * C00668)/(${Variables:E5_3_1_9_km} + (E5_3_1_9 * C00668))</v>
      </c>
      <c r="K363" s="40" t="str">
        <f t="shared" si="17"/>
        <v>r362: C00668 -&gt; C05345 | (${Variables:E5_3_1_9_kcat} * E5_3_1_9 * C00668)/(${Variables:E5_3_1_9_km} + (E5_3_1_9 * C00668))</v>
      </c>
    </row>
    <row r="364" spans="1:11" ht="29" x14ac:dyDescent="0.35">
      <c r="A364" s="8" t="s">
        <v>610</v>
      </c>
      <c r="B364" s="8" t="s">
        <v>611</v>
      </c>
      <c r="C364" s="8" t="s">
        <v>2240</v>
      </c>
      <c r="D364" s="8">
        <v>363</v>
      </c>
      <c r="E364" s="8" t="str">
        <f t="shared" si="15"/>
        <v>E5_3_1_9</v>
      </c>
      <c r="F364" s="8" t="s">
        <v>1341</v>
      </c>
      <c r="G364" s="8" t="s">
        <v>1341</v>
      </c>
      <c r="H364" s="8" t="s">
        <v>1345</v>
      </c>
      <c r="I364" s="8" t="s">
        <v>1345</v>
      </c>
      <c r="J364" s="8" t="str">
        <f t="shared" si="16"/>
        <v>(${Variables:E5_3_1_9_kcat} * E5_3_1_9 * C00668)/(${Variables:E5_3_1_9_km} + (E5_3_1_9 * C00668))</v>
      </c>
      <c r="K364" s="40" t="str">
        <f t="shared" si="17"/>
        <v>r363: C00668 -&gt; C01172 | (${Variables:E5_3_1_9_kcat} * E5_3_1_9 * C00668)/(${Variables:E5_3_1_9_km} + (E5_3_1_9 * C00668))</v>
      </c>
    </row>
    <row r="365" spans="1:11" ht="29" x14ac:dyDescent="0.35">
      <c r="A365" s="8" t="s">
        <v>610</v>
      </c>
      <c r="B365" s="8" t="s">
        <v>611</v>
      </c>
      <c r="C365" s="8" t="s">
        <v>2240</v>
      </c>
      <c r="D365" s="8">
        <v>364</v>
      </c>
      <c r="E365" s="8" t="str">
        <f t="shared" si="15"/>
        <v>E5_3_1_9</v>
      </c>
      <c r="F365" s="8" t="s">
        <v>1341</v>
      </c>
      <c r="G365" s="8" t="s">
        <v>1341</v>
      </c>
      <c r="H365" s="8" t="s">
        <v>1344</v>
      </c>
      <c r="I365" s="8" t="s">
        <v>1344</v>
      </c>
      <c r="J365" s="8" t="str">
        <f t="shared" si="16"/>
        <v>(${Variables:E5_3_1_9_kcat} * E5_3_1_9 * C00668)/(${Variables:E5_3_1_9_km} + (E5_3_1_9 * C00668))</v>
      </c>
      <c r="K365" s="40" t="str">
        <f t="shared" si="17"/>
        <v>r364: C00668 -&gt; C00085 | (${Variables:E5_3_1_9_kcat} * E5_3_1_9 * C00668)/(${Variables:E5_3_1_9_km} + (E5_3_1_9 * C00668))</v>
      </c>
    </row>
    <row r="366" spans="1:11" ht="29" x14ac:dyDescent="0.35">
      <c r="A366" s="8" t="s">
        <v>610</v>
      </c>
      <c r="B366" s="8" t="s">
        <v>611</v>
      </c>
      <c r="C366" s="8" t="s">
        <v>2240</v>
      </c>
      <c r="D366" s="8">
        <v>365</v>
      </c>
      <c r="E366" s="8" t="str">
        <f t="shared" si="15"/>
        <v>E5_3_1_9</v>
      </c>
      <c r="F366" s="8" t="s">
        <v>1345</v>
      </c>
      <c r="G366" s="8" t="s">
        <v>1345</v>
      </c>
      <c r="H366" s="8" t="s">
        <v>1342</v>
      </c>
      <c r="I366" s="8" t="s">
        <v>1342</v>
      </c>
      <c r="J366" s="8" t="str">
        <f t="shared" si="16"/>
        <v>(${Variables:E5_3_1_9_kcat} * E5_3_1_9 * C01172)/(${Variables:E5_3_1_9_km} + (E5_3_1_9 * C01172))</v>
      </c>
      <c r="K366" s="40" t="str">
        <f t="shared" si="17"/>
        <v>r365: C01172 -&gt; C05345 | (${Variables:E5_3_1_9_kcat} * E5_3_1_9 * C01172)/(${Variables:E5_3_1_9_km} + (E5_3_1_9 * C01172))</v>
      </c>
    </row>
    <row r="367" spans="1:11" ht="29" x14ac:dyDescent="0.35">
      <c r="A367" s="8" t="s">
        <v>1011</v>
      </c>
      <c r="B367" s="8" t="s">
        <v>1012</v>
      </c>
      <c r="C367" s="8" t="s">
        <v>2314</v>
      </c>
      <c r="D367" s="8">
        <v>366</v>
      </c>
      <c r="E367" s="8" t="str">
        <f t="shared" si="15"/>
        <v>E5_3_2_6</v>
      </c>
      <c r="F367" s="8" t="s">
        <v>1346</v>
      </c>
      <c r="G367" s="8" t="s">
        <v>1346</v>
      </c>
      <c r="H367" s="8" t="s">
        <v>1347</v>
      </c>
      <c r="I367" s="8" t="s">
        <v>1347</v>
      </c>
      <c r="J367" s="8" t="str">
        <f t="shared" si="16"/>
        <v>(${Variables:E5_3_2_6_kcat} * E5_3_2_6 * C02501)/(${Variables:E5_3_2_6_km} + (E5_3_2_6 * C02501))</v>
      </c>
      <c r="K367" s="40" t="str">
        <f t="shared" si="17"/>
        <v>r366: C02501 -&gt; C03453 | (${Variables:E5_3_2_6_kcat} * E5_3_2_6 * C02501)/(${Variables:E5_3_2_6_km} + (E5_3_2_6 * C02501))</v>
      </c>
    </row>
    <row r="368" spans="1:11" ht="29" x14ac:dyDescent="0.35">
      <c r="A368" s="8" t="s">
        <v>1011</v>
      </c>
      <c r="B368" s="8" t="s">
        <v>1012</v>
      </c>
      <c r="C368" s="8" t="s">
        <v>2314</v>
      </c>
      <c r="D368" s="8">
        <v>367</v>
      </c>
      <c r="E368" s="8" t="str">
        <f t="shared" si="15"/>
        <v>E5_3_2_6</v>
      </c>
      <c r="F368" s="8" t="s">
        <v>1348</v>
      </c>
      <c r="G368" s="8" t="s">
        <v>1348</v>
      </c>
      <c r="H368" s="8" t="s">
        <v>1349</v>
      </c>
      <c r="I368" s="8" t="s">
        <v>1349</v>
      </c>
      <c r="J368" s="8" t="str">
        <f t="shared" si="16"/>
        <v>(${Variables:E5_3_2_6_kcat} * E5_3_2_6 * C07478)/(${Variables:E5_3_2_6_km} + (E5_3_2_6 * C07478))</v>
      </c>
      <c r="K368" s="40" t="str">
        <f t="shared" si="17"/>
        <v>r367: C07478 -&gt; C07479 | (${Variables:E5_3_2_6_kcat} * E5_3_2_6 * C07478)/(${Variables:E5_3_2_6_km} + (E5_3_2_6 * C07478))</v>
      </c>
    </row>
    <row r="369" spans="1:11" ht="29" x14ac:dyDescent="0.35">
      <c r="A369" s="8" t="s">
        <v>868</v>
      </c>
      <c r="B369" s="8" t="s">
        <v>869</v>
      </c>
      <c r="C369" s="8" t="s">
        <v>2252</v>
      </c>
      <c r="D369" s="8">
        <v>368</v>
      </c>
      <c r="E369" s="8" t="str">
        <f t="shared" si="15"/>
        <v>E5_3_3_2</v>
      </c>
      <c r="F369" s="8" t="s">
        <v>1350</v>
      </c>
      <c r="G369" s="8" t="s">
        <v>1350</v>
      </c>
      <c r="H369" s="8" t="s">
        <v>1351</v>
      </c>
      <c r="I369" s="8" t="s">
        <v>1351</v>
      </c>
      <c r="J369" s="8" t="str">
        <f t="shared" si="16"/>
        <v>(${Variables:E5_3_3_2_kcat} * E5_3_3_2 * C00129)/(${Variables:E5_3_3_2_km} + (E5_3_3_2 * C00129))</v>
      </c>
      <c r="K369" s="40" t="str">
        <f t="shared" si="17"/>
        <v>r368: C00129 -&gt; C00235 | (${Variables:E5_3_3_2_kcat} * E5_3_3_2 * C00129)/(${Variables:E5_3_3_2_km} + (E5_3_3_2 * C00129))</v>
      </c>
    </row>
    <row r="370" spans="1:11" ht="43.5" x14ac:dyDescent="0.35">
      <c r="A370" s="8" t="s">
        <v>595</v>
      </c>
      <c r="B370" s="8" t="s">
        <v>596</v>
      </c>
      <c r="C370" s="8" t="s">
        <v>2333</v>
      </c>
      <c r="D370" s="8">
        <v>369</v>
      </c>
      <c r="E370" s="8" t="str">
        <f t="shared" si="15"/>
        <v>E5_4_2_10</v>
      </c>
      <c r="F370" s="8" t="s">
        <v>1352</v>
      </c>
      <c r="G370" s="8" t="s">
        <v>1352</v>
      </c>
      <c r="H370" s="8" t="s">
        <v>1353</v>
      </c>
      <c r="I370" s="8" t="s">
        <v>1353</v>
      </c>
      <c r="J370" s="8" t="str">
        <f t="shared" si="16"/>
        <v>(${Variables:E5_4_2_10_kcat} * E5_4_2_10 * C06156)/(${Variables:E5_4_2_10_km} + (E5_4_2_10 * C06156))</v>
      </c>
      <c r="K370" s="40" t="str">
        <f t="shared" si="17"/>
        <v>r369: C06156 -&gt; C00352 | (${Variables:E5_4_2_10_kcat} * E5_4_2_10 * C06156)/(${Variables:E5_4_2_10_km} + (E5_4_2_10 * C06156))</v>
      </c>
    </row>
    <row r="371" spans="1:11" ht="29" x14ac:dyDescent="0.35">
      <c r="A371" s="8" t="s">
        <v>1230</v>
      </c>
      <c r="B371" s="8" t="s">
        <v>1231</v>
      </c>
      <c r="C371" s="8" t="s">
        <v>2292</v>
      </c>
      <c r="D371" s="8">
        <v>370</v>
      </c>
      <c r="E371" s="8" t="str">
        <f t="shared" si="15"/>
        <v>E5_4_2_6</v>
      </c>
      <c r="F371" s="8" t="s">
        <v>1354</v>
      </c>
      <c r="G371" s="8" t="s">
        <v>1354</v>
      </c>
      <c r="H371" s="8" t="s">
        <v>1345</v>
      </c>
      <c r="I371" s="8" t="s">
        <v>1345</v>
      </c>
      <c r="J371" s="8" t="str">
        <f t="shared" si="16"/>
        <v>(${Variables:E5_4_2_6_kcat} * E5_4_2_6 * C00663)/(${Variables:E5_4_2_6_km} + (E5_4_2_6 * C00663))</v>
      </c>
      <c r="K371" s="40" t="str">
        <f t="shared" si="17"/>
        <v>r370: C00663 -&gt; C01172 | (${Variables:E5_4_2_6_kcat} * E5_4_2_6 * C00663)/(${Variables:E5_4_2_6_km} + (E5_4_2_6 * C00663))</v>
      </c>
    </row>
    <row r="372" spans="1:11" ht="29" x14ac:dyDescent="0.35">
      <c r="A372" s="8" t="s">
        <v>1230</v>
      </c>
      <c r="B372" s="8" t="s">
        <v>1231</v>
      </c>
      <c r="C372" s="8" t="s">
        <v>2292</v>
      </c>
      <c r="D372" s="8">
        <v>371</v>
      </c>
      <c r="E372" s="8" t="str">
        <f t="shared" si="15"/>
        <v>E5_4_2_6</v>
      </c>
      <c r="F372" s="8" t="s">
        <v>1354</v>
      </c>
      <c r="G372" s="8" t="s">
        <v>1354</v>
      </c>
      <c r="H372" s="8" t="s">
        <v>1343</v>
      </c>
      <c r="I372" s="8" t="s">
        <v>1343</v>
      </c>
      <c r="J372" s="8" t="str">
        <f t="shared" si="16"/>
        <v>(${Variables:E5_4_2_6_kcat} * E5_4_2_6 * C00663)/(${Variables:E5_4_2_6_km} + (E5_4_2_6 * C00663))</v>
      </c>
      <c r="K372" s="40" t="str">
        <f t="shared" si="17"/>
        <v>r371: C00663 -&gt; C00092 | (${Variables:E5_4_2_6_kcat} * E5_4_2_6 * C00663)/(${Variables:E5_4_2_6_km} + (E5_4_2_6 * C00663))</v>
      </c>
    </row>
    <row r="373" spans="1:11" ht="43.5" x14ac:dyDescent="0.35">
      <c r="A373" s="8" t="s">
        <v>286</v>
      </c>
      <c r="B373" s="8" t="s">
        <v>287</v>
      </c>
      <c r="C373" s="8" t="s">
        <v>2297</v>
      </c>
      <c r="D373" s="8">
        <v>372</v>
      </c>
      <c r="E373" s="8" t="str">
        <f t="shared" si="15"/>
        <v>E5_4_99_12</v>
      </c>
      <c r="F373" s="8" t="s">
        <v>1355</v>
      </c>
      <c r="G373" s="8" t="s">
        <v>1355</v>
      </c>
      <c r="H373" s="8" t="s">
        <v>1356</v>
      </c>
      <c r="I373" s="8" t="s">
        <v>1356</v>
      </c>
      <c r="J373" s="8" t="str">
        <f t="shared" si="16"/>
        <v>(${Variables:E5_4_99_12_kcat} * E5_4_99_12 * C00868)/(${Variables:E5_4_99_12_km} + (E5_4_99_12 * C00868))</v>
      </c>
      <c r="K373" s="40" t="str">
        <f t="shared" si="17"/>
        <v>r372: C00868 -&gt; C02764 | (${Variables:E5_4_99_12_kcat} * E5_4_99_12 * C00868)/(${Variables:E5_4_99_12_km} + (E5_4_99_12 * C00868))</v>
      </c>
    </row>
    <row r="374" spans="1:11" ht="43.5" x14ac:dyDescent="0.35">
      <c r="A374" s="8" t="s">
        <v>1154</v>
      </c>
      <c r="B374" s="8" t="s">
        <v>1155</v>
      </c>
      <c r="C374" s="8" t="s">
        <v>2335</v>
      </c>
      <c r="D374" s="8">
        <v>373</v>
      </c>
      <c r="E374" s="8" t="str">
        <f t="shared" si="15"/>
        <v>E5_4_99_18</v>
      </c>
      <c r="F374" s="8" t="s">
        <v>1307</v>
      </c>
      <c r="G374" s="8" t="s">
        <v>1307</v>
      </c>
      <c r="H374" s="8" t="s">
        <v>1306</v>
      </c>
      <c r="I374" s="8" t="s">
        <v>1306</v>
      </c>
      <c r="J374" s="8" t="str">
        <f t="shared" si="16"/>
        <v>(${Variables:E5_4_99_18_kcat} * E5_4_99_18 * C15667)/(${Variables:E5_4_99_18_km} + (E5_4_99_18 * C15667))</v>
      </c>
      <c r="K374" s="40" t="str">
        <f t="shared" si="17"/>
        <v>r373: C15667 -&gt; C04751 | (${Variables:E5_4_99_18_kcat} * E5_4_99_18 * C15667)/(${Variables:E5_4_99_18_km} + (E5_4_99_18 * C15667))</v>
      </c>
    </row>
    <row r="375" spans="1:11" ht="43.5" x14ac:dyDescent="0.35">
      <c r="A375" s="8" t="s">
        <v>1070</v>
      </c>
      <c r="B375" s="8" t="s">
        <v>1071</v>
      </c>
      <c r="C375" s="8" t="s">
        <v>2334</v>
      </c>
      <c r="D375" s="8">
        <v>374</v>
      </c>
      <c r="E375" s="8" t="str">
        <f t="shared" si="15"/>
        <v>E5_4_99_62</v>
      </c>
      <c r="F375" s="8" t="s">
        <v>1357</v>
      </c>
      <c r="G375" s="8" t="s">
        <v>1357</v>
      </c>
      <c r="H375" s="8" t="s">
        <v>1358</v>
      </c>
      <c r="I375" s="8" t="s">
        <v>1358</v>
      </c>
      <c r="J375" s="8" t="str">
        <f t="shared" si="16"/>
        <v>(${Variables:E5_4_99_62_kcat} * E5_4_99_62 * C08353)/(${Variables:E5_4_99_62_km} + (E5_4_99_62 * C08353))</v>
      </c>
      <c r="K375" s="40" t="str">
        <f t="shared" si="17"/>
        <v>r374: C08353 -&gt; C16639 | (${Variables:E5_4_99_62_kcat} * E5_4_99_62 * C08353)/(${Variables:E5_4_99_62_km} + (E5_4_99_62 * C08353))</v>
      </c>
    </row>
    <row r="376" spans="1:11" ht="58" x14ac:dyDescent="0.35">
      <c r="A376" s="8" t="s">
        <v>129</v>
      </c>
      <c r="B376" s="8" t="s">
        <v>130</v>
      </c>
      <c r="C376" s="8" t="s">
        <v>2139</v>
      </c>
      <c r="D376" s="8">
        <v>375</v>
      </c>
      <c r="E376" s="8" t="str">
        <f t="shared" si="15"/>
        <v>E6_1_1_1</v>
      </c>
      <c r="F376" s="8" t="s">
        <v>3767</v>
      </c>
      <c r="G376" s="8" t="s">
        <v>1413</v>
      </c>
      <c r="H376" s="8" t="s">
        <v>4131</v>
      </c>
      <c r="I376" s="8" t="s">
        <v>1414</v>
      </c>
      <c r="J376" s="8" t="str">
        <f t="shared" si="16"/>
        <v>(${Variables:E6_1_1_1_kcat} * E6_1_1_1 * C00002 * C00082 * C00787)/(${Variables:E6_1_1_1_km} + (E6_1_1_1 * C00002 * C00082 * C00787))</v>
      </c>
      <c r="K376" s="40" t="str">
        <f t="shared" si="17"/>
        <v>r375: C00002 + C00082 + C00787 -&gt; C00020 + C00013 + C02839 | (${Variables:E6_1_1_1_kcat} * E6_1_1_1 * C00002 * C00082 * C00787)/(${Variables:E6_1_1_1_km} + (E6_1_1_1 * C00002 * C00082 * C00787))</v>
      </c>
    </row>
    <row r="377" spans="1:11" ht="58" x14ac:dyDescent="0.35">
      <c r="A377" s="8" t="s">
        <v>144</v>
      </c>
      <c r="B377" s="8" t="s">
        <v>145</v>
      </c>
      <c r="C377" s="8" t="s">
        <v>2135</v>
      </c>
      <c r="D377" s="8">
        <v>376</v>
      </c>
      <c r="E377" s="8" t="str">
        <f t="shared" si="15"/>
        <v>E6_1_1_10</v>
      </c>
      <c r="F377" s="8" t="s">
        <v>3768</v>
      </c>
      <c r="G377" s="8" t="s">
        <v>1404</v>
      </c>
      <c r="H377" s="8" t="s">
        <v>4132</v>
      </c>
      <c r="I377" s="8" t="s">
        <v>1405</v>
      </c>
      <c r="J377" s="8" t="str">
        <f t="shared" si="16"/>
        <v>(${Variables:E6_1_1_10_kcat} * E6_1_1_10 * C00002 * C00073 * C01647)/(${Variables:E6_1_1_10_km} + (E6_1_1_10 * C00002 * C00073 * C01647))</v>
      </c>
      <c r="K377" s="40" t="str">
        <f t="shared" si="17"/>
        <v>r376: C00002 + C00073 + C01647 -&gt; C00020 + C00013 + C02430 | (${Variables:E6_1_1_10_kcat} * E6_1_1_10 * C00002 * C00073 * C01647)/(${Variables:E6_1_1_10_km} + (E6_1_1_10 * C00002 * C00073 * C01647))</v>
      </c>
    </row>
    <row r="378" spans="1:11" ht="58" x14ac:dyDescent="0.35">
      <c r="A378" s="8" t="s">
        <v>144</v>
      </c>
      <c r="B378" s="8" t="s">
        <v>145</v>
      </c>
      <c r="C378" s="8" t="s">
        <v>2135</v>
      </c>
      <c r="D378" s="8">
        <v>377</v>
      </c>
      <c r="E378" s="8" t="str">
        <f t="shared" si="15"/>
        <v>E6_1_1_10</v>
      </c>
      <c r="F378" s="8" t="s">
        <v>3769</v>
      </c>
      <c r="G378" s="8" t="s">
        <v>1547</v>
      </c>
      <c r="H378" s="8" t="s">
        <v>4133</v>
      </c>
      <c r="I378" s="8" t="s">
        <v>1548</v>
      </c>
      <c r="J378" s="8" t="str">
        <f t="shared" si="16"/>
        <v>(${Variables:E6_1_1_10_kcat} * E6_1_1_10 * C00002 * C05335 * C01647)/(${Variables:E6_1_1_10_km} + (E6_1_1_10 * C00002 * C05335 * C01647))</v>
      </c>
      <c r="K378" s="40" t="str">
        <f t="shared" si="17"/>
        <v>r377: C00002 + C05335 + C01647 -&gt; C00020 + C00013 + C05336 | (${Variables:E6_1_1_10_kcat} * E6_1_1_10 * C00002 * C05335 * C01647)/(${Variables:E6_1_1_10_km} + (E6_1_1_10 * C00002 * C05335 * C01647))</v>
      </c>
    </row>
    <row r="379" spans="1:11" ht="58" x14ac:dyDescent="0.35">
      <c r="A379" s="8" t="s">
        <v>1186</v>
      </c>
      <c r="B379" s="8" t="s">
        <v>1187</v>
      </c>
      <c r="C379" s="8" t="s">
        <v>2134</v>
      </c>
      <c r="D379" s="8">
        <v>378</v>
      </c>
      <c r="E379" s="8" t="str">
        <f t="shared" si="15"/>
        <v>E6_1_1_11</v>
      </c>
      <c r="F379" s="8" t="s">
        <v>3770</v>
      </c>
      <c r="G379" s="8" t="s">
        <v>1400</v>
      </c>
      <c r="H379" s="8" t="s">
        <v>4134</v>
      </c>
      <c r="I379" s="8" t="s">
        <v>1401</v>
      </c>
      <c r="J379" s="8" t="str">
        <f t="shared" si="16"/>
        <v>(${Variables:E6_1_1_11_kcat} * E6_1_1_11 * C00002 * C00065 * C01650)/(${Variables:E6_1_1_11_km} + (E6_1_1_11 * C00002 * C00065 * C01650))</v>
      </c>
      <c r="K379" s="40" t="str">
        <f t="shared" si="17"/>
        <v>r378: C00002 + C00065 + C01650 -&gt; C00020 + C00013 + C02553 | (${Variables:E6_1_1_11_kcat} * E6_1_1_11 * C00002 * C00065 * C01650)/(${Variables:E6_1_1_11_km} + (E6_1_1_11 * C00002 * C00065 * C01650))</v>
      </c>
    </row>
    <row r="380" spans="1:11" ht="58" x14ac:dyDescent="0.35">
      <c r="A380" s="8" t="s">
        <v>1186</v>
      </c>
      <c r="B380" s="8" t="s">
        <v>1187</v>
      </c>
      <c r="C380" s="8" t="s">
        <v>2134</v>
      </c>
      <c r="D380" s="8">
        <v>379</v>
      </c>
      <c r="E380" s="8" t="str">
        <f t="shared" si="15"/>
        <v>E6_1_1_11</v>
      </c>
      <c r="F380" s="8" t="s">
        <v>3771</v>
      </c>
      <c r="G380" s="8" t="s">
        <v>1402</v>
      </c>
      <c r="H380" s="8" t="s">
        <v>4135</v>
      </c>
      <c r="I380" s="8" t="s">
        <v>1403</v>
      </c>
      <c r="J380" s="8" t="str">
        <f t="shared" si="16"/>
        <v>(${Variables:E6_1_1_11_kcat} * E6_1_1_11 * C00002 * C00065 * C16636)/(${Variables:E6_1_1_11_km} + (E6_1_1_11 * C00002 * C00065 * C16636))</v>
      </c>
      <c r="K380" s="40" t="str">
        <f t="shared" si="17"/>
        <v>r379: C00002 + C00065 + C16636 -&gt; C00020 + C00013 + C06481 | (${Variables:E6_1_1_11_kcat} * E6_1_1_11 * C00002 * C00065 * C16636)/(${Variables:E6_1_1_11_km} + (E6_1_1_11 * C00002 * C00065 * C16636))</v>
      </c>
    </row>
    <row r="381" spans="1:11" ht="58" x14ac:dyDescent="0.35">
      <c r="A381" s="8" t="s">
        <v>776</v>
      </c>
      <c r="B381" s="8" t="s">
        <v>777</v>
      </c>
      <c r="C381" s="8" t="s">
        <v>2308</v>
      </c>
      <c r="D381" s="8">
        <v>380</v>
      </c>
      <c r="E381" s="8" t="str">
        <f t="shared" si="15"/>
        <v>E6_1_1_12</v>
      </c>
      <c r="F381" s="8" t="s">
        <v>3772</v>
      </c>
      <c r="G381" s="8" t="s">
        <v>1922</v>
      </c>
      <c r="H381" s="8" t="s">
        <v>4136</v>
      </c>
      <c r="I381" s="8" t="s">
        <v>1923</v>
      </c>
      <c r="J381" s="8" t="str">
        <f t="shared" si="16"/>
        <v>(${Variables:E6_1_1_12_kcat} * E6_1_1_12 * C01638 * C00049 * C00002)/(${Variables:E6_1_1_12_km} + (E6_1_1_12 * C01638 * C00049 * C00002))</v>
      </c>
      <c r="K381" s="40" t="str">
        <f t="shared" si="17"/>
        <v>r380: C01638 + C00049 + C00002 -&gt; C02984 + C00013 + C00020 | (${Variables:E6_1_1_12_kcat} * E6_1_1_12 * C01638 * C00049 * C00002)/(${Variables:E6_1_1_12_km} + (E6_1_1_12 * C01638 * C00049 * C00002))</v>
      </c>
    </row>
    <row r="382" spans="1:11" ht="58" x14ac:dyDescent="0.35">
      <c r="A382" s="8" t="s">
        <v>875</v>
      </c>
      <c r="B382" s="8" t="s">
        <v>876</v>
      </c>
      <c r="C382" s="8" t="s">
        <v>2123</v>
      </c>
      <c r="D382" s="8">
        <v>381</v>
      </c>
      <c r="E382" s="8" t="str">
        <f t="shared" si="15"/>
        <v>E6_1_1_14</v>
      </c>
      <c r="F382" s="8" t="s">
        <v>3773</v>
      </c>
      <c r="G382" s="8" t="s">
        <v>1378</v>
      </c>
      <c r="H382" s="8" t="s">
        <v>4137</v>
      </c>
      <c r="I382" s="8" t="s">
        <v>1379</v>
      </c>
      <c r="J382" s="8" t="str">
        <f t="shared" si="16"/>
        <v>(${Variables:E6_1_1_14_kcat} * E6_1_1_14 * C00002 * C00037 * C01642)/(${Variables:E6_1_1_14_km} + (E6_1_1_14 * C00002 * C00037 * C01642))</v>
      </c>
      <c r="K382" s="40" t="str">
        <f t="shared" si="17"/>
        <v>r381: C00002 + C00037 + C01642 -&gt; C00020 + C00013 + C02412 | (${Variables:E6_1_1_14_kcat} * E6_1_1_14 * C00002 * C00037 * C01642)/(${Variables:E6_1_1_14_km} + (E6_1_1_14 * C00002 * C00037 * C01642))</v>
      </c>
    </row>
    <row r="383" spans="1:11" ht="58" x14ac:dyDescent="0.35">
      <c r="A383" s="8" t="s">
        <v>926</v>
      </c>
      <c r="B383" s="8" t="s">
        <v>927</v>
      </c>
      <c r="C383" s="8" t="s">
        <v>2150</v>
      </c>
      <c r="D383" s="8">
        <v>382</v>
      </c>
      <c r="E383" s="8" t="str">
        <f t="shared" si="15"/>
        <v>E6_1_1_15</v>
      </c>
      <c r="F383" s="8" t="s">
        <v>3774</v>
      </c>
      <c r="G383" s="8" t="s">
        <v>1449</v>
      </c>
      <c r="H383" s="8" t="s">
        <v>4138</v>
      </c>
      <c r="I383" s="8" t="s">
        <v>1450</v>
      </c>
      <c r="J383" s="8" t="str">
        <f t="shared" si="16"/>
        <v>(${Variables:E6_1_1_15_kcat} * E6_1_1_15 * C00002 * C00148 * C01649)/(${Variables:E6_1_1_15_km} + (E6_1_1_15 * C00002 * C00148 * C01649))</v>
      </c>
      <c r="K383" s="40" t="str">
        <f t="shared" si="17"/>
        <v>r382: C00002 + C00148 + C01649 -&gt; C00020 + C00013 + C02702 | (${Variables:E6_1_1_15_kcat} * E6_1_1_15 * C00002 * C00148 * C01649)/(${Variables:E6_1_1_15_km} + (E6_1_1_15 * C00002 * C00148 * C01649))</v>
      </c>
    </row>
    <row r="384" spans="1:11" ht="58" x14ac:dyDescent="0.35">
      <c r="A384" s="8" t="s">
        <v>305</v>
      </c>
      <c r="B384" s="8" t="s">
        <v>306</v>
      </c>
      <c r="C384" s="8" t="s">
        <v>2141</v>
      </c>
      <c r="D384" s="8">
        <v>383</v>
      </c>
      <c r="E384" s="8" t="str">
        <f t="shared" si="15"/>
        <v>E6_1_1_16</v>
      </c>
      <c r="F384" s="8" t="s">
        <v>3775</v>
      </c>
      <c r="G384" s="8" t="s">
        <v>1417</v>
      </c>
      <c r="H384" s="8" t="s">
        <v>4139</v>
      </c>
      <c r="I384" s="8" t="s">
        <v>1418</v>
      </c>
      <c r="J384" s="8" t="str">
        <f t="shared" si="16"/>
        <v>(${Variables:E6_1_1_16_kcat} * E6_1_1_16 * C00002 * C00097 * C01639)/(${Variables:E6_1_1_16_km} + (E6_1_1_16 * C00002 * C00097 * C01639))</v>
      </c>
      <c r="K384" s="40" t="str">
        <f t="shared" si="17"/>
        <v>r383: C00002 + C00097 + C01639 -&gt; C00020 + C00013 + C03125 | (${Variables:E6_1_1_16_kcat} * E6_1_1_16 * C00002 * C00097 * C01639)/(${Variables:E6_1_1_16_km} + (E6_1_1_16 * C00002 * C00097 * C01639))</v>
      </c>
    </row>
    <row r="385" spans="1:11" ht="58" x14ac:dyDescent="0.35">
      <c r="A385" s="8" t="s">
        <v>301</v>
      </c>
      <c r="B385" s="8" t="s">
        <v>302</v>
      </c>
      <c r="C385" s="8" t="s">
        <v>2309</v>
      </c>
      <c r="D385" s="8">
        <v>384</v>
      </c>
      <c r="E385" s="8" t="str">
        <f t="shared" si="15"/>
        <v>E6_1_1_17</v>
      </c>
      <c r="F385" s="8" t="s">
        <v>3776</v>
      </c>
      <c r="G385" s="8" t="s">
        <v>1924</v>
      </c>
      <c r="H385" s="8" t="s">
        <v>4140</v>
      </c>
      <c r="I385" s="8" t="s">
        <v>1925</v>
      </c>
      <c r="J385" s="8" t="str">
        <f t="shared" si="16"/>
        <v>(${Variables:E6_1_1_17_kcat} * E6_1_1_17 * C01641 * C00025 * C00002)/(${Variables:E6_1_1_17_km} + (E6_1_1_17 * C01641 * C00025 * C00002))</v>
      </c>
      <c r="K385" s="40" t="str">
        <f t="shared" si="17"/>
        <v>r384: C01641 + C00025 + C00002 -&gt; C02987 + C00013 + C00020 | (${Variables:E6_1_1_17_kcat} * E6_1_1_17 * C01641 * C00025 * C00002)/(${Variables:E6_1_1_17_km} + (E6_1_1_17 * C01641 * C00025 * C00002))</v>
      </c>
    </row>
    <row r="386" spans="1:11" ht="58" x14ac:dyDescent="0.35">
      <c r="A386" s="8" t="s">
        <v>1172</v>
      </c>
      <c r="B386" s="42" t="s">
        <v>1173</v>
      </c>
      <c r="C386" s="8" t="s">
        <v>2132</v>
      </c>
      <c r="D386" s="8">
        <v>385</v>
      </c>
      <c r="E386" s="8" t="str">
        <f t="shared" ref="E386:E454" si="18">CONCATENATE("E",C386)</f>
        <v>E6_1_1_19</v>
      </c>
      <c r="F386" s="8" t="s">
        <v>3777</v>
      </c>
      <c r="G386" s="8" t="s">
        <v>1396</v>
      </c>
      <c r="H386" s="8" t="s">
        <v>4141</v>
      </c>
      <c r="I386" s="8" t="s">
        <v>1397</v>
      </c>
      <c r="J386" s="8" t="str">
        <f t="shared" ref="J386:J454" si="19">CONCATENATE("(${Variables:",E386,"_kcat","} * ",E386," * ",G386,")","/(${Variables:",E386,"_km","} + (",E386," * ",G386,"))")</f>
        <v>(${Variables:E6_1_1_19_kcat} * E6_1_1_19 * C00002 * C00062 * C01636)/(${Variables:E6_1_1_19_km} + (E6_1_1_19 * C00002 * C00062 * C01636))</v>
      </c>
      <c r="K386" s="40" t="str">
        <f t="shared" ref="K386:K449" si="20">CONCATENATE("r",D386,": ",F386," -&gt; ",H386," | ",J386)</f>
        <v>r385: C00002 + C00062 + C01636 -&gt; C00020 + C00013 + C02163 | (${Variables:E6_1_1_19_kcat} * E6_1_1_19 * C00002 * C00062 * C01636)/(${Variables:E6_1_1_19_km} + (E6_1_1_19 * C00002 * C00062 * C01636))</v>
      </c>
    </row>
    <row r="387" spans="1:11" ht="58" x14ac:dyDescent="0.35">
      <c r="A387" s="8" t="s">
        <v>139</v>
      </c>
      <c r="B387" s="8" t="s">
        <v>140</v>
      </c>
      <c r="C387" s="8" t="s">
        <v>2137</v>
      </c>
      <c r="D387" s="8">
        <v>386</v>
      </c>
      <c r="E387" s="8" t="str">
        <f t="shared" si="18"/>
        <v>E6_1_1_2</v>
      </c>
      <c r="F387" s="8" t="s">
        <v>3778</v>
      </c>
      <c r="G387" s="8" t="s">
        <v>1409</v>
      </c>
      <c r="H387" s="8" t="s">
        <v>4142</v>
      </c>
      <c r="I387" s="8" t="s">
        <v>1410</v>
      </c>
      <c r="J387" s="8" t="str">
        <f t="shared" si="19"/>
        <v>(${Variables:E6_1_1_2_kcat} * E6_1_1_2 * C00002 * C00078 * C01652)/(${Variables:E6_1_1_2_km} + (E6_1_1_2 * C00002 * C00078 * C01652))</v>
      </c>
      <c r="K387" s="40" t="str">
        <f t="shared" si="20"/>
        <v>r386: C00002 + C00078 + C01652 -&gt; C00020 + C00013 + C03512 | (${Variables:E6_1_1_2_kcat} * E6_1_1_2 * C00002 * C00078 * C01652)/(${Variables:E6_1_1_2_km} + (E6_1_1_2 * C00002 * C00078 * C01652))</v>
      </c>
    </row>
    <row r="388" spans="1:11" ht="58" x14ac:dyDescent="0.35">
      <c r="A388" s="8" t="s">
        <v>1089</v>
      </c>
      <c r="B388" s="8" t="s">
        <v>1090</v>
      </c>
      <c r="C388" s="8" t="s">
        <v>2138</v>
      </c>
      <c r="D388" s="8">
        <v>387</v>
      </c>
      <c r="E388" s="8" t="str">
        <f t="shared" si="18"/>
        <v>E6_1_1_20</v>
      </c>
      <c r="F388" s="8" t="s">
        <v>3779</v>
      </c>
      <c r="G388" s="8" t="s">
        <v>1411</v>
      </c>
      <c r="H388" s="8" t="s">
        <v>4143</v>
      </c>
      <c r="I388" s="8" t="s">
        <v>1412</v>
      </c>
      <c r="J388" s="8" t="str">
        <f t="shared" si="19"/>
        <v>(${Variables:E6_1_1_20_kcat} * E6_1_1_20 * C00002 * C00079 * C01648)/(${Variables:E6_1_1_20_km} + (E6_1_1_20 * C00002 * C00079 * C01648))</v>
      </c>
      <c r="K388" s="40" t="str">
        <f t="shared" si="20"/>
        <v>r387: C00002 + C00079 + C01648 -&gt; C00020 + C00013 + C03511 | (${Variables:E6_1_1_20_kcat} * E6_1_1_20 * C00002 * C00079 * C01648)/(${Variables:E6_1_1_20_km} + (E6_1_1_20 * C00002 * C00079 * C01648))</v>
      </c>
    </row>
    <row r="389" spans="1:11" ht="58" x14ac:dyDescent="0.35">
      <c r="A389" s="8" t="s">
        <v>1114</v>
      </c>
      <c r="B389" s="8" t="s">
        <v>1115</v>
      </c>
      <c r="C389" s="8" t="s">
        <v>2152</v>
      </c>
      <c r="D389" s="8">
        <v>388</v>
      </c>
      <c r="E389" s="8" t="str">
        <f t="shared" si="18"/>
        <v>E6_1_1_3</v>
      </c>
      <c r="F389" s="8" t="s">
        <v>3780</v>
      </c>
      <c r="G389" s="8" t="s">
        <v>1455</v>
      </c>
      <c r="H389" s="8" t="s">
        <v>4144</v>
      </c>
      <c r="I389" s="8" t="s">
        <v>1456</v>
      </c>
      <c r="J389" s="8" t="str">
        <f t="shared" si="19"/>
        <v>(${Variables:E6_1_1_3_kcat} * E6_1_1_3 * C00002 * C00188 * C01651)/(${Variables:E6_1_1_3_km} + (E6_1_1_3 * C00002 * C00188 * C01651))</v>
      </c>
      <c r="K389" s="40" t="str">
        <f t="shared" si="20"/>
        <v>r388: C00002 + C00188 + C01651 -&gt; C00020 + C00013 + C02992 | (${Variables:E6_1_1_3_kcat} * E6_1_1_3 * C00002 * C00188 * C01651)/(${Variables:E6_1_1_3_km} + (E6_1_1_3 * C00002 * C00188 * C01651))</v>
      </c>
    </row>
    <row r="390" spans="1:11" ht="58" x14ac:dyDescent="0.35">
      <c r="A390" s="8" t="s">
        <v>1178</v>
      </c>
      <c r="B390" s="8" t="s">
        <v>1179</v>
      </c>
      <c r="C390" s="8" t="s">
        <v>2147</v>
      </c>
      <c r="D390" s="8">
        <v>389</v>
      </c>
      <c r="E390" s="8" t="str">
        <f t="shared" si="18"/>
        <v>E6_1_1_4</v>
      </c>
      <c r="F390" s="8" t="s">
        <v>3781</v>
      </c>
      <c r="G390" s="8" t="s">
        <v>1429</v>
      </c>
      <c r="H390" s="8" t="s">
        <v>4145</v>
      </c>
      <c r="I390" s="8" t="s">
        <v>1430</v>
      </c>
      <c r="J390" s="8" t="str">
        <f t="shared" si="19"/>
        <v>(${Variables:E6_1_1_4_kcat} * E6_1_1_4 * C00002 * C00123 * C01645)/(${Variables:E6_1_1_4_km} + (E6_1_1_4 * C00002 * C00123 * C01645))</v>
      </c>
      <c r="K390" s="40" t="str">
        <f t="shared" si="20"/>
        <v>r389: C00002 + C00123 + C01645 -&gt; C00020 + C00013 + C02047 | (${Variables:E6_1_1_4_kcat} * E6_1_1_4 * C00002 * C00123 * C01645)/(${Variables:E6_1_1_4_km} + (E6_1_1_4 * C00002 * C00123 * C01645))</v>
      </c>
    </row>
    <row r="391" spans="1:11" ht="58" x14ac:dyDescent="0.35">
      <c r="A391" s="8" t="s">
        <v>677</v>
      </c>
      <c r="B391" s="8" t="s">
        <v>678</v>
      </c>
      <c r="C391" s="8" t="s">
        <v>2161</v>
      </c>
      <c r="D391" s="8">
        <v>390</v>
      </c>
      <c r="E391" s="8" t="str">
        <f t="shared" si="18"/>
        <v>E6_1_1_5</v>
      </c>
      <c r="F391" s="8" t="s">
        <v>3782</v>
      </c>
      <c r="G391" s="8" t="s">
        <v>1481</v>
      </c>
      <c r="H391" s="8" t="s">
        <v>4146</v>
      </c>
      <c r="I391" s="8" t="s">
        <v>1482</v>
      </c>
      <c r="J391" s="8" t="str">
        <f t="shared" si="19"/>
        <v>(${Variables:E6_1_1_5_kcat} * E6_1_1_5 * C00002 * C00407 * C01644)/(${Variables:E6_1_1_5_km} + (E6_1_1_5 * C00002 * C00407 * C01644))</v>
      </c>
      <c r="K391" s="40" t="str">
        <f t="shared" si="20"/>
        <v>r390: C00002 + C00407 + C01644 -&gt; C00020 + C00013 + C03127 | (${Variables:E6_1_1_5_kcat} * E6_1_1_5 * C00002 * C00407 * C01644)/(${Variables:E6_1_1_5_km} + (E6_1_1_5 * C00002 * C00407 * C01644))</v>
      </c>
    </row>
    <row r="392" spans="1:11" ht="58" x14ac:dyDescent="0.35">
      <c r="A392" s="8" t="s">
        <v>215</v>
      </c>
      <c r="B392" s="8" t="s">
        <v>216</v>
      </c>
      <c r="C392" s="8" t="s">
        <v>2126</v>
      </c>
      <c r="D392" s="8">
        <v>391</v>
      </c>
      <c r="E392" s="8" t="str">
        <f t="shared" si="18"/>
        <v>E6_1_1_6</v>
      </c>
      <c r="F392" s="8" t="s">
        <v>3783</v>
      </c>
      <c r="G392" s="8" t="s">
        <v>1384</v>
      </c>
      <c r="H392" s="8" t="s">
        <v>4147</v>
      </c>
      <c r="I392" s="8" t="s">
        <v>1385</v>
      </c>
      <c r="J392" s="8" t="str">
        <f t="shared" si="19"/>
        <v>(${Variables:E6_1_1_6_kcat} * E6_1_1_6 * C00002 * C00047 * C01646)/(${Variables:E6_1_1_6_km} + (E6_1_1_6 * C00002 * C00047 * C01646))</v>
      </c>
      <c r="K392" s="40" t="str">
        <f t="shared" si="20"/>
        <v>r391: C00002 + C00047 + C01646 -&gt; C00020 + C00013 + C01931 | (${Variables:E6_1_1_6_kcat} * E6_1_1_6 * C00002 * C00047 * C01646)/(${Variables:E6_1_1_6_km} + (E6_1_1_6 * C00002 * C00047 * C01646))</v>
      </c>
    </row>
    <row r="393" spans="1:11" ht="58" x14ac:dyDescent="0.35">
      <c r="A393" s="8" t="s">
        <v>398</v>
      </c>
      <c r="B393" s="8" t="s">
        <v>399</v>
      </c>
      <c r="C393" s="8" t="s">
        <v>2124</v>
      </c>
      <c r="D393" s="8">
        <v>392</v>
      </c>
      <c r="E393" s="8" t="str">
        <f t="shared" si="18"/>
        <v>E6_1_1_7</v>
      </c>
      <c r="F393" s="8" t="s">
        <v>3784</v>
      </c>
      <c r="G393" s="8" t="s">
        <v>1380</v>
      </c>
      <c r="H393" s="8" t="s">
        <v>4148</v>
      </c>
      <c r="I393" s="8" t="s">
        <v>1381</v>
      </c>
      <c r="J393" s="8" t="str">
        <f t="shared" si="19"/>
        <v>(${Variables:E6_1_1_7_kcat} * E6_1_1_7 * C00002 * C00041 * C01635)/(${Variables:E6_1_1_7_km} + (E6_1_1_7 * C00002 * C00041 * C01635))</v>
      </c>
      <c r="K393" s="40" t="str">
        <f t="shared" si="20"/>
        <v>r392: C00002 + C00041 + C01635 -&gt; C00020 + C00013 + C00886 | (${Variables:E6_1_1_7_kcat} * E6_1_1_7 * C00002 * C00041 * C01635)/(${Variables:E6_1_1_7_km} + (E6_1_1_7 * C00002 * C00041 * C01635))</v>
      </c>
    </row>
    <row r="394" spans="1:11" ht="58" x14ac:dyDescent="0.35">
      <c r="A394" s="8" t="s">
        <v>652</v>
      </c>
      <c r="B394" s="8" t="s">
        <v>653</v>
      </c>
      <c r="C394" s="8" t="s">
        <v>2151</v>
      </c>
      <c r="D394" s="8">
        <v>393</v>
      </c>
      <c r="E394" s="8" t="str">
        <f t="shared" si="18"/>
        <v>E6_1_1_9</v>
      </c>
      <c r="F394" s="8" t="s">
        <v>3785</v>
      </c>
      <c r="G394" s="8" t="s">
        <v>1453</v>
      </c>
      <c r="H394" s="8" t="s">
        <v>4149</v>
      </c>
      <c r="I394" s="8" t="s">
        <v>1454</v>
      </c>
      <c r="J394" s="8" t="str">
        <f t="shared" si="19"/>
        <v>(${Variables:E6_1_1_9_kcat} * E6_1_1_9 * C00002 * C00183 * C01653)/(${Variables:E6_1_1_9_km} + (E6_1_1_9 * C00002 * C00183 * C01653))</v>
      </c>
      <c r="K394" s="40" t="str">
        <f t="shared" si="20"/>
        <v>r393: C00002 + C00183 + C01653 -&gt; C00020 + C00013 + C02554 | (${Variables:E6_1_1_9_kcat} * E6_1_1_9 * C00002 * C00183 * C01653)/(${Variables:E6_1_1_9_km} + (E6_1_1_9 * C00002 * C00183 * C01653))</v>
      </c>
    </row>
    <row r="395" spans="1:11" ht="58" x14ac:dyDescent="0.35">
      <c r="A395" s="8" t="s">
        <v>759</v>
      </c>
      <c r="B395" s="8" t="s">
        <v>760</v>
      </c>
      <c r="C395" s="8" t="s">
        <v>2121</v>
      </c>
      <c r="D395" s="8">
        <v>394</v>
      </c>
      <c r="E395" s="8" t="str">
        <f t="shared" si="18"/>
        <v>E6_2_1_22</v>
      </c>
      <c r="F395" s="8" t="s">
        <v>3786</v>
      </c>
      <c r="G395" s="8" t="s">
        <v>1374</v>
      </c>
      <c r="H395" s="8" t="s">
        <v>4150</v>
      </c>
      <c r="I395" s="8" t="s">
        <v>1375</v>
      </c>
      <c r="J395" s="8" t="str">
        <f t="shared" si="19"/>
        <v>(${Variables:E6_2_1_22_kcat} * E6_2_1_22 * C00002 * C00033 * C04298)/(${Variables:E6_2_1_22_km} + (E6_2_1_22 * C00002 * C00033 * C04298))</v>
      </c>
      <c r="K395" s="40" t="str">
        <f t="shared" si="20"/>
        <v>r394: C00002 + C00033 + C04298 -&gt; C00020 + C00013 + C04334 | (${Variables:E6_2_1_22_kcat} * E6_2_1_22 * C00002 * C00033 * C04298)/(${Variables:E6_2_1_22_km} + (E6_2_1_22 * C00002 * C00033 * C04298))</v>
      </c>
    </row>
    <row r="396" spans="1:11" ht="58" x14ac:dyDescent="0.35">
      <c r="A396" s="8" t="s">
        <v>1249</v>
      </c>
      <c r="B396" s="8" t="s">
        <v>1250</v>
      </c>
      <c r="C396" s="8" t="s">
        <v>2128</v>
      </c>
      <c r="D396" s="8">
        <v>395</v>
      </c>
      <c r="E396" s="8" t="str">
        <f t="shared" si="18"/>
        <v>E6_3_1_1</v>
      </c>
      <c r="F396" s="8" t="s">
        <v>3787</v>
      </c>
      <c r="G396" s="8" t="s">
        <v>1388</v>
      </c>
      <c r="H396" s="8" t="s">
        <v>4151</v>
      </c>
      <c r="I396" s="8" t="s">
        <v>1389</v>
      </c>
      <c r="J396" s="8" t="str">
        <f t="shared" si="19"/>
        <v>(${Variables:E6_3_1_1_kcat} * E6_3_1_1 * C00002 * C00049 * C00014)/(${Variables:E6_3_1_1_km} + (E6_3_1_1 * C00002 * C00049 * C00014))</v>
      </c>
      <c r="K396" s="40" t="str">
        <f t="shared" si="20"/>
        <v>r395: C00002 + C00049 + C00014 -&gt; C00020 + C00013 + C00152 | (${Variables:E6_3_1_1_kcat} * E6_3_1_1 * C00002 * C00049 * C00014)/(${Variables:E6_3_1_1_km} + (E6_3_1_1 * C00002 * C00049 * C00014))</v>
      </c>
    </row>
    <row r="397" spans="1:11" ht="58" x14ac:dyDescent="0.35">
      <c r="A397" s="8" t="s">
        <v>1075</v>
      </c>
      <c r="B397" s="8" t="s">
        <v>1076</v>
      </c>
      <c r="C397" s="8" t="s">
        <v>2119</v>
      </c>
      <c r="D397" s="8">
        <v>396</v>
      </c>
      <c r="E397" s="8" t="str">
        <f t="shared" si="18"/>
        <v>E6_3_1_2</v>
      </c>
      <c r="F397" s="8" t="s">
        <v>3788</v>
      </c>
      <c r="G397" s="8" t="s">
        <v>1370</v>
      </c>
      <c r="H397" s="8" t="s">
        <v>4152</v>
      </c>
      <c r="I397" s="8" t="s">
        <v>1371</v>
      </c>
      <c r="J397" s="8" t="str">
        <f t="shared" si="19"/>
        <v>(${Variables:E6_3_1_2_kcat} * E6_3_1_2 * C00002 * C00025 * C00014)/(${Variables:E6_3_1_2_km} + (E6_3_1_2 * C00002 * C00025 * C00014))</v>
      </c>
      <c r="K397" s="40" t="str">
        <f t="shared" si="20"/>
        <v>r396: C00002 + C00025 + C00014 -&gt; C00008 + C00009 + C00064 | (${Variables:E6_3_1_2_kcat} * E6_3_1_2 * C00002 * C00025 * C00014)/(${Variables:E6_3_1_2_km} + (E6_3_1_2 * C00002 * C00025 * C00014))</v>
      </c>
    </row>
    <row r="398" spans="1:11" ht="58" x14ac:dyDescent="0.35">
      <c r="A398" s="8" t="s">
        <v>463</v>
      </c>
      <c r="B398" s="8" t="s">
        <v>464</v>
      </c>
      <c r="C398" s="8" t="s">
        <v>2168</v>
      </c>
      <c r="D398" s="8">
        <v>397</v>
      </c>
      <c r="E398" s="8" t="str">
        <f t="shared" si="18"/>
        <v>E6_3_1_5</v>
      </c>
      <c r="F398" s="8" t="s">
        <v>3789</v>
      </c>
      <c r="G398" s="8" t="s">
        <v>1500</v>
      </c>
      <c r="H398" s="8" t="s">
        <v>4153</v>
      </c>
      <c r="I398" s="8" t="s">
        <v>1501</v>
      </c>
      <c r="J398" s="8" t="str">
        <f t="shared" si="19"/>
        <v>(${Variables:E6_3_1_5_kcat} * E6_3_1_5 * C00002 * C00857 * C00014)/(${Variables:E6_3_1_5_km} + (E6_3_1_5 * C00002 * C00857 * C00014))</v>
      </c>
      <c r="K398" s="40" t="str">
        <f t="shared" si="20"/>
        <v>r397: C00002 + C00857 + C00014 -&gt; C00020 + C00013 + C00003 | (${Variables:E6_3_1_5_kcat} * E6_3_1_5 * C00002 * C00857 * C00014)/(${Variables:E6_3_1_5_km} + (E6_3_1_5 * C00002 * C00857 * C00014))</v>
      </c>
    </row>
    <row r="399" spans="1:11" ht="58" x14ac:dyDescent="0.35">
      <c r="A399" s="8" t="s">
        <v>186</v>
      </c>
      <c r="B399" s="8" t="s">
        <v>187</v>
      </c>
      <c r="C399" s="8" t="s">
        <v>2186</v>
      </c>
      <c r="D399" s="8">
        <v>398</v>
      </c>
      <c r="E399" s="8" t="str">
        <f t="shared" si="18"/>
        <v>E6_3_2_10</v>
      </c>
      <c r="F399" s="8" t="s">
        <v>3790</v>
      </c>
      <c r="G399" s="8" t="s">
        <v>1543</v>
      </c>
      <c r="H399" s="8" t="s">
        <v>4154</v>
      </c>
      <c r="I399" s="8" t="s">
        <v>1544</v>
      </c>
      <c r="J399" s="8" t="str">
        <f t="shared" si="19"/>
        <v>(${Variables:E6_3_2_10_kcat} * E6_3_2_10 * C00002 * C04877 * C00993)/(${Variables:E6_3_2_10_km} + (E6_3_2_10 * C00002 * C04877 * C00993))</v>
      </c>
      <c r="K399" s="40" t="str">
        <f t="shared" si="20"/>
        <v>r398: C00002 + C04877 + C00993 -&gt; C00008 + C00009 + C04882 | (${Variables:E6_3_2_10_kcat} * E6_3_2_10 * C00002 * C04877 * C00993)/(${Variables:E6_3_2_10_km} + (E6_3_2_10 * C00002 * C04877 * C00993))</v>
      </c>
    </row>
    <row r="400" spans="1:11" ht="58" x14ac:dyDescent="0.35">
      <c r="A400" s="8" t="s">
        <v>186</v>
      </c>
      <c r="B400" s="8" t="s">
        <v>187</v>
      </c>
      <c r="C400" s="8" t="s">
        <v>2186</v>
      </c>
      <c r="D400" s="8">
        <v>399</v>
      </c>
      <c r="E400" s="8" t="str">
        <f t="shared" si="18"/>
        <v>E6_3_2_10</v>
      </c>
      <c r="F400" s="8" t="s">
        <v>3791</v>
      </c>
      <c r="G400" s="8" t="s">
        <v>1551</v>
      </c>
      <c r="H400" s="8" t="s">
        <v>4155</v>
      </c>
      <c r="I400" s="8" t="s">
        <v>1552</v>
      </c>
      <c r="J400" s="8" t="str">
        <f t="shared" si="19"/>
        <v>(${Variables:E6_3_2_10_kcat} * E6_3_2_10 * C00002 * C05892 * C00993)/(${Variables:E6_3_2_10_km} + (E6_3_2_10 * C00002 * C05892 * C00993))</v>
      </c>
      <c r="K400" s="40" t="str">
        <f t="shared" si="20"/>
        <v>r399: C00002 + C05892 + C00993 -&gt; C00008 + C00009 + C04702 | (${Variables:E6_3_2_10_kcat} * E6_3_2_10 * C00002 * C05892 * C00993)/(${Variables:E6_3_2_10_km} + (E6_3_2_10 * C00002 * C05892 * C00993))</v>
      </c>
    </row>
    <row r="401" spans="1:11" ht="58" x14ac:dyDescent="0.35">
      <c r="A401" s="8" t="s">
        <v>778</v>
      </c>
      <c r="B401" s="8" t="s">
        <v>779</v>
      </c>
      <c r="C401" s="8" t="s">
        <v>2226</v>
      </c>
      <c r="D401" s="8">
        <v>400</v>
      </c>
      <c r="E401" s="8" t="str">
        <f t="shared" si="18"/>
        <v>E6_3_2_5</v>
      </c>
      <c r="F401" s="8" t="s">
        <v>3792</v>
      </c>
      <c r="G401" s="8" t="s">
        <v>1630</v>
      </c>
      <c r="H401" s="8" t="s">
        <v>4156</v>
      </c>
      <c r="I401" s="8" t="s">
        <v>1631</v>
      </c>
      <c r="J401" s="8" t="str">
        <f t="shared" si="19"/>
        <v>(${Variables:E6_3_2_5_kcat} * E6_3_2_5 * C00063 * C03492 * C00097)/(${Variables:E6_3_2_5_km} + (E6_3_2_5 * C00063 * C03492 * C00097))</v>
      </c>
      <c r="K401" s="40" t="str">
        <f t="shared" si="20"/>
        <v>r400: C00063 + C03492 + C00097 -&gt; C00055 + C00013 + C04352 | (${Variables:E6_3_2_5_kcat} * E6_3_2_5 * C00063 * C03492 * C00097)/(${Variables:E6_3_2_5_km} + (E6_3_2_5 * C00063 * C03492 * C00097))</v>
      </c>
    </row>
    <row r="402" spans="1:11" ht="58" x14ac:dyDescent="0.35">
      <c r="A402" s="8" t="s">
        <v>1146</v>
      </c>
      <c r="B402" s="8" t="s">
        <v>1147</v>
      </c>
      <c r="C402" s="8" t="s">
        <v>2185</v>
      </c>
      <c r="D402" s="8">
        <v>401</v>
      </c>
      <c r="E402" s="8" t="str">
        <f t="shared" si="18"/>
        <v>E6_3_2_6</v>
      </c>
      <c r="F402" s="8" t="s">
        <v>3793</v>
      </c>
      <c r="G402" s="8" t="s">
        <v>1541</v>
      </c>
      <c r="H402" s="8" t="s">
        <v>4157</v>
      </c>
      <c r="I402" s="8" t="s">
        <v>1542</v>
      </c>
      <c r="J402" s="8" t="str">
        <f t="shared" si="19"/>
        <v>(${Variables:E6_3_2_6_kcat} * E6_3_2_6 * C00002 * C04751 * C00049)/(${Variables:E6_3_2_6_km} + (E6_3_2_6 * C00002 * C04751 * C00049))</v>
      </c>
      <c r="K402" s="40" t="str">
        <f t="shared" si="20"/>
        <v>r401: C00002 + C04751 + C00049 -&gt; C00008 + C00009 + C04823 | (${Variables:E6_3_2_6_kcat} * E6_3_2_6 * C00002 * C04751 * C00049)/(${Variables:E6_3_2_6_km} + (E6_3_2_6 * C00002 * C04751 * C00049))</v>
      </c>
    </row>
    <row r="403" spans="1:11" ht="58" x14ac:dyDescent="0.35">
      <c r="A403" s="8" t="s">
        <v>1162</v>
      </c>
      <c r="B403" s="8" t="s">
        <v>1163</v>
      </c>
      <c r="C403" s="8" t="s">
        <v>2172</v>
      </c>
      <c r="D403" s="8">
        <v>402</v>
      </c>
      <c r="E403" s="8" t="str">
        <f t="shared" si="18"/>
        <v>E6_3_2_8</v>
      </c>
      <c r="F403" s="8" t="s">
        <v>3794</v>
      </c>
      <c r="G403" s="8" t="s">
        <v>1509</v>
      </c>
      <c r="H403" s="8" t="s">
        <v>4158</v>
      </c>
      <c r="I403" s="8" t="s">
        <v>1510</v>
      </c>
      <c r="J403" s="8" t="str">
        <f t="shared" si="19"/>
        <v>(${Variables:E6_3_2_8_kcat} * E6_3_2_8 * C00002 * C01050 * C00041)/(${Variables:E6_3_2_8_km} + (E6_3_2_8 * C00002 * C01050 * C00041))</v>
      </c>
      <c r="K403" s="40" t="str">
        <f t="shared" si="20"/>
        <v>r402: C00002 + C01050 + C00041 -&gt; C00008 + C00009 + C01212 | (${Variables:E6_3_2_8_kcat} * E6_3_2_8 * C00002 * C01050 * C00041)/(${Variables:E6_3_2_8_km} + (E6_3_2_8 * C00002 * C01050 * C00041))</v>
      </c>
    </row>
    <row r="404" spans="1:11" ht="58" x14ac:dyDescent="0.35">
      <c r="A404" s="8" t="s">
        <v>668</v>
      </c>
      <c r="B404" s="8" t="s">
        <v>669</v>
      </c>
      <c r="C404" s="8" t="s">
        <v>2177</v>
      </c>
      <c r="D404" s="8">
        <v>403</v>
      </c>
      <c r="E404" s="8" t="str">
        <f t="shared" si="18"/>
        <v>E6_3_2_9</v>
      </c>
      <c r="F404" s="8" t="s">
        <v>3795</v>
      </c>
      <c r="G404" s="8" t="s">
        <v>1521</v>
      </c>
      <c r="H404" s="8" t="s">
        <v>4159</v>
      </c>
      <c r="I404" s="8" t="s">
        <v>1522</v>
      </c>
      <c r="J404" s="8" t="str">
        <f t="shared" si="19"/>
        <v>(${Variables:E6_3_2_9_kcat} * E6_3_2_9 * C00002 * C01212 * C00217)/(${Variables:E6_3_2_9_km} + (E6_3_2_9 * C00002 * C01212 * C00217))</v>
      </c>
      <c r="K404" s="40" t="str">
        <f t="shared" si="20"/>
        <v>r403: C00002 + C01212 + C00217 -&gt; C00008 + C00009 + C00692 | (${Variables:E6_3_2_9_kcat} * E6_3_2_9 * C00002 * C01212 * C00217)/(${Variables:E6_3_2_9_km} + (E6_3_2_9 * C00002 * C01212 * C00217))</v>
      </c>
    </row>
    <row r="405" spans="1:11" ht="43.5" x14ac:dyDescent="0.35">
      <c r="A405" s="8" t="s">
        <v>1136</v>
      </c>
      <c r="B405" s="8" t="s">
        <v>1137</v>
      </c>
      <c r="C405" s="8" t="s">
        <v>2184</v>
      </c>
      <c r="D405" s="8">
        <v>404</v>
      </c>
      <c r="E405" s="8" t="str">
        <f t="shared" si="18"/>
        <v>E6_3_3_1</v>
      </c>
      <c r="F405" s="8" t="s">
        <v>3796</v>
      </c>
      <c r="G405" s="8" t="s">
        <v>1539</v>
      </c>
      <c r="H405" s="8" t="s">
        <v>4160</v>
      </c>
      <c r="I405" s="8" t="s">
        <v>1540</v>
      </c>
      <c r="J405" s="8" t="str">
        <f t="shared" si="19"/>
        <v>(${Variables:E6_3_3_1_kcat} * E6_3_3_1 * C00002 * C04640)/(${Variables:E6_3_3_1_km} + (E6_3_3_1 * C00002 * C04640))</v>
      </c>
      <c r="K405" s="40" t="str">
        <f t="shared" si="20"/>
        <v>r404: C00002 + C04640 -&gt; C00008 + C00009 + C03373 | (${Variables:E6_3_3_1_kcat} * E6_3_3_1 * C00002 * C04640)/(${Variables:E6_3_3_1_km} + (E6_3_3_1 * C00002 * C04640))</v>
      </c>
    </row>
    <row r="406" spans="1:11" ht="58" x14ac:dyDescent="0.35">
      <c r="A406" s="8" t="s">
        <v>1084</v>
      </c>
      <c r="B406" s="8" t="s">
        <v>1085</v>
      </c>
      <c r="C406" s="8" t="s">
        <v>2181</v>
      </c>
      <c r="D406" s="8">
        <v>405</v>
      </c>
      <c r="E406" s="8" t="str">
        <f t="shared" si="18"/>
        <v>E6_3_3_2</v>
      </c>
      <c r="F406" s="8" t="s">
        <v>3797</v>
      </c>
      <c r="G406" s="8" t="s">
        <v>1531</v>
      </c>
      <c r="H406" s="8" t="s">
        <v>4161</v>
      </c>
      <c r="I406" s="8" t="s">
        <v>1532</v>
      </c>
      <c r="J406" s="8" t="str">
        <f t="shared" si="19"/>
        <v>(${Variables:E6_3_3_2_kcat} * E6_3_3_2 * C00002 * C03479 * C00080)/(${Variables:E6_3_3_2_km} + (E6_3_3_2 * C00002 * C03479 * C00080))</v>
      </c>
      <c r="K406" s="40" t="str">
        <f t="shared" si="20"/>
        <v>r405: C00002 + C03479 + C00080 -&gt; C00008 + C00009 + C00445 | (${Variables:E6_3_3_2_kcat} * E6_3_3_2 * C00002 * C03479 * C00080)/(${Variables:E6_3_3_2_km} + (E6_3_3_2 * C00002 * C03479 * C00080))</v>
      </c>
    </row>
    <row r="407" spans="1:11" ht="58" x14ac:dyDescent="0.35">
      <c r="A407" s="8" t="s">
        <v>1126</v>
      </c>
      <c r="B407" s="8" t="s">
        <v>1127</v>
      </c>
      <c r="C407" s="8" t="s">
        <v>2179</v>
      </c>
      <c r="D407" s="8">
        <v>406</v>
      </c>
      <c r="E407" s="8" t="str">
        <f t="shared" si="18"/>
        <v>E6_3_4_13</v>
      </c>
      <c r="F407" s="8" t="s">
        <v>3798</v>
      </c>
      <c r="G407" s="8" t="s">
        <v>1527</v>
      </c>
      <c r="H407" s="8" t="s">
        <v>4162</v>
      </c>
      <c r="I407" s="8" t="s">
        <v>1528</v>
      </c>
      <c r="J407" s="8" t="str">
        <f t="shared" si="19"/>
        <v>(${Variables:E6_3_4_13_kcat} * E6_3_4_13 * C00002 * C03090 * C00037)/(${Variables:E6_3_4_13_km} + (E6_3_4_13 * C00002 * C03090 * C00037))</v>
      </c>
      <c r="K407" s="40" t="str">
        <f t="shared" si="20"/>
        <v>r406: C00002 + C03090 + C00037 -&gt; C00008 + C00009 + C03838 | (${Variables:E6_3_4_13_kcat} * E6_3_4_13 * C00002 * C03090 * C00037)/(${Variables:E6_3_4_13_km} + (E6_3_4_13 * C00002 * C03090 * C00037))</v>
      </c>
    </row>
    <row r="408" spans="1:11" ht="58" x14ac:dyDescent="0.35">
      <c r="A408" s="8" t="s">
        <v>1150</v>
      </c>
      <c r="B408" s="8" t="s">
        <v>1151</v>
      </c>
      <c r="C408" s="8" t="s">
        <v>2180</v>
      </c>
      <c r="D408" s="8">
        <v>407</v>
      </c>
      <c r="E408" s="8" t="str">
        <f t="shared" si="18"/>
        <v>E6_3_4_18</v>
      </c>
      <c r="F408" s="8" t="s">
        <v>3799</v>
      </c>
      <c r="G408" s="8" t="s">
        <v>1529</v>
      </c>
      <c r="H408" s="8" t="s">
        <v>4163</v>
      </c>
      <c r="I408" s="8" t="s">
        <v>1530</v>
      </c>
      <c r="J408" s="8" t="str">
        <f t="shared" si="19"/>
        <v>(${Variables:E6_3_4_18_kcat} * E6_3_4_18 * C00002 * C03373 * C00288)/(${Variables:E6_3_4_18_km} + (E6_3_4_18 * C00002 * C03373 * C00288))</v>
      </c>
      <c r="K408" s="40" t="str">
        <f t="shared" si="20"/>
        <v>r407: C00002 + C03373 + C00288 -&gt; C00008 + C00009 + C15667 | (${Variables:E6_3_4_18_kcat} * E6_3_4_18 * C00002 * C03373 * C00288)/(${Variables:E6_3_4_18_km} + (E6_3_4_18 * C00002 * C03373 * C00288))</v>
      </c>
    </row>
    <row r="409" spans="1:11" ht="58" x14ac:dyDescent="0.35">
      <c r="A409" s="8" t="s">
        <v>207</v>
      </c>
      <c r="B409" s="8" t="s">
        <v>208</v>
      </c>
      <c r="C409" s="8" t="s">
        <v>2337</v>
      </c>
      <c r="D409" s="8">
        <v>408</v>
      </c>
      <c r="E409" s="8" t="str">
        <f t="shared" si="18"/>
        <v>E6_3_4_19</v>
      </c>
      <c r="F409" s="8" t="s">
        <v>3800</v>
      </c>
      <c r="G409" s="8" t="s">
        <v>2072</v>
      </c>
      <c r="H409" s="8" t="s">
        <v>4164</v>
      </c>
      <c r="I409" s="8" t="s">
        <v>2073</v>
      </c>
      <c r="J409" s="8" t="str">
        <f t="shared" si="19"/>
        <v>(${Variables:E6_3_4_19_kcat} * E6_3_4_19 * C19722 * C00047 * C00002)/(${Variables:E6_3_4_19_km} + (E6_3_4_19 * C19722 * C00047 * C00002))</v>
      </c>
      <c r="K409" s="40" t="str">
        <f t="shared" si="20"/>
        <v>r408: C19722 + C00047 + C00002 -&gt; C19723 + C00020 + C00013 + C00001 | (${Variables:E6_3_4_19_kcat} * E6_3_4_19 * C19722 * C00047 * C00002)/(${Variables:E6_3_4_19_km} + (E6_3_4_19 * C19722 * C00047 * C00002))</v>
      </c>
    </row>
    <row r="410" spans="1:11" ht="58" x14ac:dyDescent="0.35">
      <c r="A410" s="8" t="s">
        <v>162</v>
      </c>
      <c r="B410" s="8" t="s">
        <v>163</v>
      </c>
      <c r="C410" s="8" t="s">
        <v>2136</v>
      </c>
      <c r="D410" s="8">
        <v>409</v>
      </c>
      <c r="E410" s="8" t="str">
        <f t="shared" si="18"/>
        <v>E6_3_4_2</v>
      </c>
      <c r="F410" s="8" t="s">
        <v>3801</v>
      </c>
      <c r="G410" s="8" t="s">
        <v>1406</v>
      </c>
      <c r="H410" s="8" t="s">
        <v>4165</v>
      </c>
      <c r="I410" s="8" t="s">
        <v>1407</v>
      </c>
      <c r="J410" s="8" t="str">
        <f t="shared" si="19"/>
        <v>(${Variables:E6_3_4_2_kcat} * E6_3_4_2 * C00002 * C00075 * C00014)/(${Variables:E6_3_4_2_km} + (E6_3_4_2 * C00002 * C00075 * C00014))</v>
      </c>
      <c r="K410" s="40" t="str">
        <f t="shared" si="20"/>
        <v>r409: C00002 + C00075 + C00014 -&gt; C00008 + C00009 + C00063 | (${Variables:E6_3_4_2_kcat} * E6_3_4_2 * C00002 * C00075 * C00014)/(${Variables:E6_3_4_2_km} + (E6_3_4_2 * C00002 * C00075 * C00014))</v>
      </c>
    </row>
    <row r="411" spans="1:11" ht="58" x14ac:dyDescent="0.35">
      <c r="A411" s="8" t="s">
        <v>162</v>
      </c>
      <c r="B411" s="8" t="s">
        <v>163</v>
      </c>
      <c r="C411" s="8" t="s">
        <v>2136</v>
      </c>
      <c r="D411" s="8">
        <v>410</v>
      </c>
      <c r="E411" s="8" t="str">
        <f t="shared" si="18"/>
        <v>E6_3_4_2</v>
      </c>
      <c r="F411" s="8" t="s">
        <v>3802</v>
      </c>
      <c r="G411" s="8" t="s">
        <v>1408</v>
      </c>
      <c r="H411" s="8" t="s">
        <v>4165</v>
      </c>
      <c r="I411" s="8" t="s">
        <v>1407</v>
      </c>
      <c r="J411" s="8" t="str">
        <f t="shared" si="19"/>
        <v>(${Variables:E6_3_4_2_kcat} * E6_3_4_2 * C00002 * C00075 * C00064 * C00001)/(${Variables:E6_3_4_2_km} + (E6_3_4_2 * C00002 * C00075 * C00064 * C00001))</v>
      </c>
      <c r="K411" s="40" t="str">
        <f t="shared" si="20"/>
        <v>r410: C00002 + C00075 + C00064 + C00001 -&gt; C00008 + C00009 + C00063 | (${Variables:E6_3_4_2_kcat} * E6_3_4_2 * C00002 * C00075 * C00064 * C00001)/(${Variables:E6_3_4_2_km} + (E6_3_4_2 * C00002 * C00075 * C00064 * C00001))</v>
      </c>
    </row>
    <row r="412" spans="1:11" ht="43.5" x14ac:dyDescent="0.35">
      <c r="A412" s="8" t="s">
        <v>162</v>
      </c>
      <c r="B412" s="8" t="s">
        <v>163</v>
      </c>
      <c r="C412" s="8" t="s">
        <v>2136</v>
      </c>
      <c r="D412" s="8">
        <v>411</v>
      </c>
      <c r="E412" s="8" t="str">
        <f t="shared" si="18"/>
        <v>E6_3_4_2</v>
      </c>
      <c r="F412" s="8" t="s">
        <v>3738</v>
      </c>
      <c r="G412" s="8" t="s">
        <v>1632</v>
      </c>
      <c r="H412" s="8" t="s">
        <v>4087</v>
      </c>
      <c r="I412" s="8" t="s">
        <v>1633</v>
      </c>
      <c r="J412" s="8" t="str">
        <f t="shared" si="19"/>
        <v>(${Variables:E6_3_4_2_kcat} * E6_3_4_2 * C00064 * C00001)/(${Variables:E6_3_4_2_km} + (E6_3_4_2 * C00064 * C00001))</v>
      </c>
      <c r="K412" s="40" t="str">
        <f t="shared" si="20"/>
        <v>r411: C00064 + C00001 -&gt; C00025 + C00014 | (${Variables:E6_3_4_2_kcat} * E6_3_4_2 * C00064 * C00001)/(${Variables:E6_3_4_2_km} + (E6_3_4_2 * C00064 * C00001))</v>
      </c>
    </row>
    <row r="413" spans="1:11" ht="58" x14ac:dyDescent="0.35">
      <c r="A413" s="8" t="s">
        <v>461</v>
      </c>
      <c r="B413" s="8" t="s">
        <v>462</v>
      </c>
      <c r="C413" s="8" t="s">
        <v>2306</v>
      </c>
      <c r="D413" s="8">
        <v>412</v>
      </c>
      <c r="E413" s="8" t="str">
        <f t="shared" si="18"/>
        <v>E6_3_4_21</v>
      </c>
      <c r="F413" s="8" t="s">
        <v>3803</v>
      </c>
      <c r="G413" s="8" t="s">
        <v>1911</v>
      </c>
      <c r="H413" s="8" t="s">
        <v>4166</v>
      </c>
      <c r="I413" s="8" t="s">
        <v>1912</v>
      </c>
      <c r="J413" s="8" t="str">
        <f t="shared" si="19"/>
        <v>(${Variables:E6_3_4_21_kcat} * E6_3_4_21 * C01185 * C00013 * C00008 * C00009)/(${Variables:E6_3_4_21_km} + (E6_3_4_21 * C01185 * C00013 * C00008 * C00009))</v>
      </c>
      <c r="K413" s="40" t="str">
        <f t="shared" si="20"/>
        <v>r412: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414" spans="1:11" ht="58" x14ac:dyDescent="0.35">
      <c r="A414" s="8" t="s">
        <v>854</v>
      </c>
      <c r="B414" s="8" t="s">
        <v>855</v>
      </c>
      <c r="C414" s="8" t="s">
        <v>2246</v>
      </c>
      <c r="D414" s="8">
        <v>413</v>
      </c>
      <c r="E414" s="8" t="str">
        <f t="shared" si="18"/>
        <v>E6_3_4_3</v>
      </c>
      <c r="F414" s="8" t="s">
        <v>3804</v>
      </c>
      <c r="G414" s="8" t="s">
        <v>1699</v>
      </c>
      <c r="H414" s="8" t="s">
        <v>4167</v>
      </c>
      <c r="I414" s="8" t="s">
        <v>1700</v>
      </c>
      <c r="J414" s="8" t="str">
        <f t="shared" si="19"/>
        <v>(${Variables:E6_3_4_3_kcat} * E6_3_4_3 * C00101 * C00058 * C00002)/(${Variables:E6_3_4_3_km} + (E6_3_4_3 * C00101 * C00058 * C00002))</v>
      </c>
      <c r="K414" s="40" t="str">
        <f t="shared" si="20"/>
        <v>r413: C00101 + C00058 + C00002 -&gt; C00008 + C00009 + C00234 | (${Variables:E6_3_4_3_kcat} * E6_3_4_3 * C00101 * C00058 * C00002)/(${Variables:E6_3_4_3_km} + (E6_3_4_3 * C00101 * C00058 * C00002))</v>
      </c>
    </row>
    <row r="415" spans="1:11" ht="58" x14ac:dyDescent="0.35">
      <c r="A415" s="8" t="s">
        <v>1245</v>
      </c>
      <c r="B415" s="8" t="s">
        <v>1246</v>
      </c>
      <c r="C415" s="8" t="s">
        <v>2220</v>
      </c>
      <c r="D415" s="8">
        <v>414</v>
      </c>
      <c r="E415" s="8" t="str">
        <f t="shared" si="18"/>
        <v>E6_3_4_4</v>
      </c>
      <c r="F415" s="8" t="s">
        <v>3805</v>
      </c>
      <c r="G415" s="8" t="s">
        <v>1604</v>
      </c>
      <c r="H415" s="8" t="s">
        <v>4168</v>
      </c>
      <c r="I415" s="8" t="s">
        <v>1605</v>
      </c>
      <c r="J415" s="8" t="str">
        <f t="shared" si="19"/>
        <v>(${Variables:E6_3_4_4_kcat} * E6_3_4_4 * C00044 * C00130 * C00049)/(${Variables:E6_3_4_4_km} + (E6_3_4_4 * C00044 * C00130 * C00049))</v>
      </c>
      <c r="K415" s="40" t="str">
        <f t="shared" si="20"/>
        <v>r414: C00044 + C00130 + C00049 -&gt; C00035 + C00009 + C03794 | (${Variables:E6_3_4_4_kcat} * E6_3_4_4 * C00044 * C00130 * C00049)/(${Variables:E6_3_4_4_km} + (E6_3_4_4 * C00044 * C00130 * C00049))</v>
      </c>
    </row>
    <row r="416" spans="1:11" ht="58" x14ac:dyDescent="0.35">
      <c r="A416" s="8" t="s">
        <v>174</v>
      </c>
      <c r="B416" s="8" t="s">
        <v>175</v>
      </c>
      <c r="C416" s="8" t="s">
        <v>2166</v>
      </c>
      <c r="D416" s="8">
        <v>415</v>
      </c>
      <c r="E416" s="8" t="str">
        <f t="shared" si="18"/>
        <v>E6_3_5_2</v>
      </c>
      <c r="F416" s="8" t="s">
        <v>3806</v>
      </c>
      <c r="G416" s="8" t="s">
        <v>1494</v>
      </c>
      <c r="H416" s="8" t="s">
        <v>4169</v>
      </c>
      <c r="I416" s="8" t="s">
        <v>1495</v>
      </c>
      <c r="J416" s="8" t="str">
        <f t="shared" si="19"/>
        <v>(${Variables:E6_3_5_2_kcat} * E6_3_5_2 * C00002 * C00655 * C00014)/(${Variables:E6_3_5_2_km} + (E6_3_5_2 * C00002 * C00655 * C00014))</v>
      </c>
      <c r="K416" s="40" t="str">
        <f t="shared" si="20"/>
        <v>r415: C00002 + C00655 + C00014 -&gt; C00020 + C00013 + C00144 | (${Variables:E6_3_5_2_kcat} * E6_3_5_2 * C00002 * C00655 * C00014)/(${Variables:E6_3_5_2_km} + (E6_3_5_2 * C00002 * C00655 * C00014))</v>
      </c>
    </row>
    <row r="417" spans="1:11" ht="58" x14ac:dyDescent="0.35">
      <c r="A417" s="8" t="s">
        <v>174</v>
      </c>
      <c r="B417" s="8" t="s">
        <v>175</v>
      </c>
      <c r="C417" s="8" t="s">
        <v>2166</v>
      </c>
      <c r="D417" s="8">
        <v>416</v>
      </c>
      <c r="E417" s="8" t="str">
        <f t="shared" si="18"/>
        <v>E6_3_5_2</v>
      </c>
      <c r="F417" s="8" t="s">
        <v>3807</v>
      </c>
      <c r="G417" s="8" t="s">
        <v>1496</v>
      </c>
      <c r="H417" s="8" t="s">
        <v>4170</v>
      </c>
      <c r="I417" s="8" t="s">
        <v>1497</v>
      </c>
      <c r="J417" s="8" t="str">
        <f t="shared" si="19"/>
        <v>(${Variables:E6_3_5_2_kcat} * E6_3_5_2 * C00002 * C00655 * C00064 * C00001)/(${Variables:E6_3_5_2_km} + (E6_3_5_2 * C00002 * C00655 * C00064 * C00001))</v>
      </c>
      <c r="K417" s="40" t="str">
        <f t="shared" si="20"/>
        <v>r416: C00002 + C00655 + C00064 + C00001 -&gt; C00020 + C00013 + C00144 + C00025 | (${Variables:E6_3_5_2_kcat} * E6_3_5_2 * C00002 * C00655 * C00064 * C00001)/(${Variables:E6_3_5_2_km} + (E6_3_5_2 * C00002 * C00655 * C00064 * C00001))</v>
      </c>
    </row>
    <row r="418" spans="1:11" ht="43.5" x14ac:dyDescent="0.35">
      <c r="A418" s="8" t="s">
        <v>174</v>
      </c>
      <c r="B418" s="8" t="s">
        <v>175</v>
      </c>
      <c r="C418" s="8" t="s">
        <v>2166</v>
      </c>
      <c r="D418" s="8">
        <v>417</v>
      </c>
      <c r="E418" s="8" t="str">
        <f t="shared" si="18"/>
        <v>E6_3_5_2</v>
      </c>
      <c r="F418" s="8" t="s">
        <v>3738</v>
      </c>
      <c r="G418" s="8" t="s">
        <v>1632</v>
      </c>
      <c r="H418" s="8" t="s">
        <v>4087</v>
      </c>
      <c r="I418" s="8" t="s">
        <v>1633</v>
      </c>
      <c r="J418" s="8" t="str">
        <f t="shared" si="19"/>
        <v>(${Variables:E6_3_5_2_kcat} * E6_3_5_2 * C00064 * C00001)/(${Variables:E6_3_5_2_km} + (E6_3_5_2 * C00064 * C00001))</v>
      </c>
      <c r="K418" s="40" t="str">
        <f t="shared" si="20"/>
        <v>r417: C00064 + C00001 -&gt; C00025 + C00014 | (${Variables:E6_3_5_2_kcat} * E6_3_5_2 * C00064 * C00001)/(${Variables:E6_3_5_2_km} + (E6_3_5_2 * C00064 * C00001))</v>
      </c>
    </row>
    <row r="419" spans="1:11" ht="58" x14ac:dyDescent="0.35">
      <c r="A419" s="8" t="s">
        <v>174</v>
      </c>
      <c r="B419" s="8" t="s">
        <v>175</v>
      </c>
      <c r="C419" s="8" t="s">
        <v>2166</v>
      </c>
      <c r="D419" s="8">
        <v>418</v>
      </c>
      <c r="E419" s="8" t="str">
        <f t="shared" si="18"/>
        <v>E6_3_5_2</v>
      </c>
      <c r="F419" s="8" t="s">
        <v>3808</v>
      </c>
      <c r="G419" s="8" t="s">
        <v>2061</v>
      </c>
      <c r="H419" s="8" t="s">
        <v>4171</v>
      </c>
      <c r="I419" s="8" t="s">
        <v>2062</v>
      </c>
      <c r="J419" s="8" t="str">
        <f t="shared" si="19"/>
        <v>(${Variables:E6_3_5_2_kcat} * E6_3_5_2 * C16618 * C00002 * C00064 * C00001)/(${Variables:E6_3_5_2_km} + (E6_3_5_2 * C16618 * C00002 * C00064 * C00001))</v>
      </c>
      <c r="K419" s="40" t="str">
        <f t="shared" si="20"/>
        <v>r418: C16618 + C00002 + C00064 + C00001 -&gt; C16619 + C00020 + C00013 + C00025 | (${Variables:E6_3_5_2_kcat} * E6_3_5_2 * C16618 * C00002 * C00064 * C00001)/(${Variables:E6_3_5_2_km} + (E6_3_5_2 * C16618 * C00002 * C00064 * C00001))</v>
      </c>
    </row>
    <row r="420" spans="1:11" ht="58" x14ac:dyDescent="0.35">
      <c r="A420" s="8" t="s">
        <v>1142</v>
      </c>
      <c r="B420" s="8" t="s">
        <v>1143</v>
      </c>
      <c r="C420" s="8" t="s">
        <v>2182</v>
      </c>
      <c r="D420" s="8">
        <v>419</v>
      </c>
      <c r="E420" s="8" t="str">
        <f t="shared" si="18"/>
        <v>E6_3_5_3</v>
      </c>
      <c r="F420" s="8" t="s">
        <v>3809</v>
      </c>
      <c r="G420" s="8" t="s">
        <v>1535</v>
      </c>
      <c r="H420" s="8" t="s">
        <v>4172</v>
      </c>
      <c r="I420" s="8" t="s">
        <v>1536</v>
      </c>
      <c r="J420" s="8" t="str">
        <f t="shared" si="19"/>
        <v>(${Variables:E6_3_5_3_kcat} * E6_3_5_3 * C00002 * C04376 * C00064 * C00001)/(${Variables:E6_3_5_3_km} + (E6_3_5_3 * C00002 * C04376 * C00064 * C00001))</v>
      </c>
      <c r="K420" s="40" t="str">
        <f t="shared" si="20"/>
        <v>r419: C00002 + C04376 + C00064 + C00001 -&gt; C00008 + C00009 + C04640 + C00025 | (${Variables:E6_3_5_3_kcat} * E6_3_5_3 * C00002 * C04376 * C00064 * C00001)/(${Variables:E6_3_5_3_km} + (E6_3_5_3 * C00002 * C04376 * C00064 * C00001))</v>
      </c>
    </row>
    <row r="421" spans="1:11" ht="58" x14ac:dyDescent="0.35">
      <c r="A421" s="8" t="s">
        <v>113</v>
      </c>
      <c r="B421" s="8" t="s">
        <v>114</v>
      </c>
      <c r="C421" s="8" t="s">
        <v>2129</v>
      </c>
      <c r="D421" s="8">
        <v>420</v>
      </c>
      <c r="E421" s="8" t="str">
        <f t="shared" si="18"/>
        <v>E6_3_5_4</v>
      </c>
      <c r="F421" s="8" t="s">
        <v>3787</v>
      </c>
      <c r="G421" s="8" t="s">
        <v>1388</v>
      </c>
      <c r="H421" s="8" t="s">
        <v>4151</v>
      </c>
      <c r="I421" s="8" t="s">
        <v>1389</v>
      </c>
      <c r="J421" s="8" t="str">
        <f t="shared" si="19"/>
        <v>(${Variables:E6_3_5_4_kcat} * E6_3_5_4 * C00002 * C00049 * C00014)/(${Variables:E6_3_5_4_km} + (E6_3_5_4 * C00002 * C00049 * C00014))</v>
      </c>
      <c r="K421" s="40" t="str">
        <f t="shared" si="20"/>
        <v>r420: C00002 + C00049 + C00014 -&gt; C00020 + C00013 + C00152 | (${Variables:E6_3_5_4_kcat} * E6_3_5_4 * C00002 * C00049 * C00014)/(${Variables:E6_3_5_4_km} + (E6_3_5_4 * C00002 * C00049 * C00014))</v>
      </c>
    </row>
    <row r="422" spans="1:11" ht="58" x14ac:dyDescent="0.35">
      <c r="A422" s="8" t="s">
        <v>113</v>
      </c>
      <c r="B422" s="8" t="s">
        <v>114</v>
      </c>
      <c r="C422" s="8" t="s">
        <v>2129</v>
      </c>
      <c r="D422" s="8">
        <v>421</v>
      </c>
      <c r="E422" s="8" t="str">
        <f t="shared" si="18"/>
        <v>E6_3_5_4</v>
      </c>
      <c r="F422" s="8" t="s">
        <v>3810</v>
      </c>
      <c r="G422" s="8" t="s">
        <v>1390</v>
      </c>
      <c r="H422" s="8" t="s">
        <v>4173</v>
      </c>
      <c r="I422" s="8" t="s">
        <v>1391</v>
      </c>
      <c r="J422" s="8" t="str">
        <f t="shared" si="19"/>
        <v>(${Variables:E6_3_5_4_kcat} * E6_3_5_4 * C00002 * C00049 * C00064 * C00001)/(${Variables:E6_3_5_4_km} + (E6_3_5_4 * C00002 * C00049 * C00064 * C00001))</v>
      </c>
      <c r="K422" s="40" t="str">
        <f t="shared" si="20"/>
        <v>r421: C00002 + C00049 + C00064 + C00001 -&gt; C00020 + C00013 + C00152 + C00025 | (${Variables:E6_3_5_4_kcat} * E6_3_5_4 * C00002 * C00049 * C00064 * C00001)/(${Variables:E6_3_5_4_km} + (E6_3_5_4 * C00002 * C00049 * C00064 * C00001))</v>
      </c>
    </row>
    <row r="423" spans="1:11" ht="43.5" x14ac:dyDescent="0.35">
      <c r="A423" s="8" t="s">
        <v>113</v>
      </c>
      <c r="B423" s="8" t="s">
        <v>114</v>
      </c>
      <c r="C423" s="8" t="s">
        <v>2129</v>
      </c>
      <c r="D423" s="8">
        <v>422</v>
      </c>
      <c r="E423" s="8" t="str">
        <f t="shared" si="18"/>
        <v>E6_3_5_4</v>
      </c>
      <c r="F423" s="8" t="s">
        <v>3738</v>
      </c>
      <c r="G423" s="8" t="s">
        <v>1632</v>
      </c>
      <c r="H423" s="8" t="s">
        <v>4087</v>
      </c>
      <c r="I423" s="8" t="s">
        <v>1633</v>
      </c>
      <c r="J423" s="8" t="str">
        <f t="shared" si="19"/>
        <v>(${Variables:E6_3_5_4_kcat} * E6_3_5_4 * C00064 * C00001)/(${Variables:E6_3_5_4_km} + (E6_3_5_4 * C00064 * C00001))</v>
      </c>
      <c r="K423" s="40" t="str">
        <f t="shared" si="20"/>
        <v>r422: C00064 + C00001 -&gt; C00025 + C00014 | (${Variables:E6_3_5_4_kcat} * E6_3_5_4 * C00064 * C00001)/(${Variables:E6_3_5_4_km} + (E6_3_5_4 * C00064 * C00001))</v>
      </c>
    </row>
    <row r="424" spans="1:11" ht="58" x14ac:dyDescent="0.35">
      <c r="A424" s="8" t="s">
        <v>1022</v>
      </c>
      <c r="B424" s="8" t="s">
        <v>1023</v>
      </c>
      <c r="C424" s="8" t="s">
        <v>2133</v>
      </c>
      <c r="D424" s="8">
        <v>423</v>
      </c>
      <c r="E424" s="8" t="str">
        <f t="shared" si="18"/>
        <v>E6_3_5_5</v>
      </c>
      <c r="F424" s="8" t="s">
        <v>3811</v>
      </c>
      <c r="G424" s="8" t="s">
        <v>1398</v>
      </c>
      <c r="H424" s="8" t="s">
        <v>4174</v>
      </c>
      <c r="I424" s="8" t="s">
        <v>1399</v>
      </c>
      <c r="J424" s="8" t="str">
        <f t="shared" si="19"/>
        <v>(${Variables:E6_3_5_5_kcat} * E6_3_5_5 * C00002 * C00064 * C00288 * C00001)/(${Variables:E6_3_5_5_km} + (E6_3_5_5 * C00002 * C00064 * C00288 * C00001))</v>
      </c>
      <c r="K424" s="40" t="str">
        <f t="shared" si="20"/>
        <v>r423: C00002 + C00064 + C00288 + C00001 -&gt; C00008 + C00009 + C00025 + C00169 | (${Variables:E6_3_5_5_kcat} * E6_3_5_5 * C00002 * C00064 * C00288 * C00001)/(${Variables:E6_3_5_5_km} + (E6_3_5_5 * C00002 * C00064 * C00288 * C00001))</v>
      </c>
    </row>
    <row r="425" spans="1:11" ht="43.5" x14ac:dyDescent="0.35">
      <c r="A425" s="8" t="s">
        <v>1022</v>
      </c>
      <c r="B425" s="8" t="s">
        <v>1023</v>
      </c>
      <c r="C425" s="8" t="s">
        <v>2133</v>
      </c>
      <c r="D425" s="8">
        <v>424</v>
      </c>
      <c r="E425" s="8" t="str">
        <f t="shared" si="18"/>
        <v>E6_3_5_5</v>
      </c>
      <c r="F425" s="8" t="s">
        <v>3812</v>
      </c>
      <c r="G425" s="8" t="s">
        <v>1471</v>
      </c>
      <c r="H425" s="8" t="s">
        <v>4175</v>
      </c>
      <c r="I425" s="8" t="s">
        <v>1472</v>
      </c>
      <c r="J425" s="8" t="str">
        <f t="shared" si="19"/>
        <v>(${Variables:E6_3_5_5_kcat} * E6_3_5_5 * C00002 * C00288)/(${Variables:E6_3_5_5_km} + (E6_3_5_5 * C00002 * C00288))</v>
      </c>
      <c r="K425" s="40" t="str">
        <f t="shared" si="20"/>
        <v>r424: C00002 + C00288 -&gt; C00008 + C20969 | (${Variables:E6_3_5_5_kcat} * E6_3_5_5 * C00002 * C00288)/(${Variables:E6_3_5_5_km} + (E6_3_5_5 * C00002 * C00288))</v>
      </c>
    </row>
    <row r="426" spans="1:11" ht="58" x14ac:dyDescent="0.35">
      <c r="A426" s="8" t="s">
        <v>1022</v>
      </c>
      <c r="B426" s="8" t="s">
        <v>1023</v>
      </c>
      <c r="C426" s="8" t="s">
        <v>2133</v>
      </c>
      <c r="D426" s="8">
        <v>425</v>
      </c>
      <c r="E426" s="8" t="str">
        <f t="shared" si="18"/>
        <v>E6_3_5_5</v>
      </c>
      <c r="F426" s="8" t="s">
        <v>3813</v>
      </c>
      <c r="G426" s="8" t="s">
        <v>1473</v>
      </c>
      <c r="H426" s="8" t="s">
        <v>4176</v>
      </c>
      <c r="I426" s="8" t="s">
        <v>1474</v>
      </c>
      <c r="J426" s="8" t="str">
        <f t="shared" si="19"/>
        <v>(${Variables:E6_3_5_5_kcat} * E6_3_5_5 * C00002 * C00288 * C00014)/(${Variables:E6_3_5_5_km} + (E6_3_5_5 * C00002 * C00288 * C00014))</v>
      </c>
      <c r="K426" s="40" t="str">
        <f t="shared" si="20"/>
        <v>r425: C00002 + C00288 + C00014 -&gt; C00008 + C00009 + C00169 | (${Variables:E6_3_5_5_kcat} * E6_3_5_5 * C00002 * C00288 * C00014)/(${Variables:E6_3_5_5_km} + (E6_3_5_5 * C00002 * C00288 * C00014))</v>
      </c>
    </row>
    <row r="427" spans="1:11" ht="43.5" x14ac:dyDescent="0.35">
      <c r="A427" s="8" t="s">
        <v>1022</v>
      </c>
      <c r="B427" s="8" t="s">
        <v>1023</v>
      </c>
      <c r="C427" s="8" t="s">
        <v>2133</v>
      </c>
      <c r="D427" s="8">
        <v>426</v>
      </c>
      <c r="E427" s="8" t="str">
        <f t="shared" si="18"/>
        <v>E6_3_5_5</v>
      </c>
      <c r="F427" s="8" t="s">
        <v>3814</v>
      </c>
      <c r="G427" s="8" t="s">
        <v>1525</v>
      </c>
      <c r="H427" s="8" t="s">
        <v>4177</v>
      </c>
      <c r="I427" s="8" t="s">
        <v>1526</v>
      </c>
      <c r="J427" s="8" t="str">
        <f t="shared" si="19"/>
        <v>(${Variables:E6_3_5_5_kcat} * E6_3_5_5 * C00002 * C01563)/(${Variables:E6_3_5_5_km} + (E6_3_5_5 * C00002 * C01563))</v>
      </c>
      <c r="K427" s="40" t="str">
        <f t="shared" si="20"/>
        <v>r426: C00002 + C01563 -&gt; C00008 + C00169 | (${Variables:E6_3_5_5_kcat} * E6_3_5_5 * C00002 * C01563)/(${Variables:E6_3_5_5_km} + (E6_3_5_5 * C00002 * C01563))</v>
      </c>
    </row>
    <row r="428" spans="1:11" ht="43.5" x14ac:dyDescent="0.35">
      <c r="A428" s="8" t="s">
        <v>1022</v>
      </c>
      <c r="B428" s="8" t="s">
        <v>1023</v>
      </c>
      <c r="C428" s="8" t="s">
        <v>2133</v>
      </c>
      <c r="D428" s="8">
        <v>427</v>
      </c>
      <c r="E428" s="8" t="str">
        <f t="shared" si="18"/>
        <v>E6_3_5_5</v>
      </c>
      <c r="F428" s="8" t="s">
        <v>3815</v>
      </c>
      <c r="G428" s="8" t="s">
        <v>1569</v>
      </c>
      <c r="H428" s="8" t="s">
        <v>4178</v>
      </c>
      <c r="I428" s="8" t="s">
        <v>1570</v>
      </c>
      <c r="J428" s="8" t="str">
        <f t="shared" si="19"/>
        <v>(${Variables:E6_3_5_5_kcat} * E6_3_5_5 * C00014 * C20969)/(${Variables:E6_3_5_5_km} + (E6_3_5_5 * C00014 * C20969))</v>
      </c>
      <c r="K428" s="40" t="str">
        <f t="shared" si="20"/>
        <v>r427: C00014 + C20969 -&gt; C01563 + C00009 | (${Variables:E6_3_5_5_kcat} * E6_3_5_5 * C00014 * C20969)/(${Variables:E6_3_5_5_km} + (E6_3_5_5 * C00014 * C20969))</v>
      </c>
    </row>
    <row r="429" spans="1:11" ht="43.5" x14ac:dyDescent="0.35">
      <c r="A429" s="8" t="s">
        <v>1022</v>
      </c>
      <c r="B429" s="8" t="s">
        <v>1023</v>
      </c>
      <c r="C429" s="8" t="s">
        <v>2133</v>
      </c>
      <c r="D429" s="8">
        <v>428</v>
      </c>
      <c r="E429" s="8" t="str">
        <f t="shared" si="18"/>
        <v>E6_3_5_5</v>
      </c>
      <c r="F429" s="8" t="s">
        <v>3738</v>
      </c>
      <c r="G429" s="8" t="s">
        <v>1632</v>
      </c>
      <c r="H429" s="8" t="s">
        <v>4087</v>
      </c>
      <c r="I429" s="8" t="s">
        <v>1633</v>
      </c>
      <c r="J429" s="8" t="str">
        <f t="shared" si="19"/>
        <v>(${Variables:E6_3_5_5_kcat} * E6_3_5_5 * C00064 * C00001)/(${Variables:E6_3_5_5_km} + (E6_3_5_5 * C00064 * C00001))</v>
      </c>
      <c r="K429" s="40" t="str">
        <f t="shared" si="20"/>
        <v>r428: C00064 + C00001 -&gt; C00025 + C00014 | (${Variables:E6_3_5_5_kcat} * E6_3_5_5 * C00064 * C00001)/(${Variables:E6_3_5_5_km} + (E6_3_5_5 * C00064 * C00001))</v>
      </c>
    </row>
    <row r="430" spans="1:11" ht="58" x14ac:dyDescent="0.35">
      <c r="A430" s="8" t="s">
        <v>467</v>
      </c>
      <c r="B430" s="8" t="s">
        <v>468</v>
      </c>
      <c r="C430" s="8" t="s">
        <v>2188</v>
      </c>
      <c r="D430" s="8">
        <v>429</v>
      </c>
      <c r="E430" s="8" t="str">
        <f t="shared" si="18"/>
        <v>E6_5_1_2</v>
      </c>
      <c r="F430" s="8" t="s">
        <v>3816</v>
      </c>
      <c r="G430" s="8" t="s">
        <v>1553</v>
      </c>
      <c r="H430" s="8" t="s">
        <v>4179</v>
      </c>
      <c r="I430" s="8" t="s">
        <v>1554</v>
      </c>
      <c r="J430" s="8" t="str">
        <f t="shared" si="19"/>
        <v>(${Variables:E6_5_1_2_kcat} * E6_5_1_2 * C00003 * C00039 * C02128)/(${Variables:E6_5_1_2_km} + (E6_5_1_2 * C00003 * C00039 * C02128))</v>
      </c>
      <c r="K430" s="40" t="str">
        <f t="shared" si="20"/>
        <v>r429: C00003 + C00039 + C02128 -&gt; C00020 + C00455 + C00039 | (${Variables:E6_5_1_2_kcat} * E6_5_1_2 * C00003 * C00039 * C02128)/(${Variables:E6_5_1_2_km} + (E6_5_1_2 * C00003 * C00039 * C02128))</v>
      </c>
    </row>
    <row r="431" spans="1:11" ht="43.5" x14ac:dyDescent="0.35">
      <c r="A431" s="8" t="s">
        <v>628</v>
      </c>
      <c r="B431" s="8" t="s">
        <v>629</v>
      </c>
      <c r="C431" s="8" t="s">
        <v>2115</v>
      </c>
      <c r="D431" s="8">
        <v>430</v>
      </c>
      <c r="E431" s="8" t="str">
        <f t="shared" si="18"/>
        <v>E7_1_2_2</v>
      </c>
      <c r="F431" s="8" t="s">
        <v>3817</v>
      </c>
      <c r="G431" s="8" t="s">
        <v>1362</v>
      </c>
      <c r="H431" s="8" t="s">
        <v>4180</v>
      </c>
      <c r="I431" s="8" t="s">
        <v>1363</v>
      </c>
      <c r="J431" s="8" t="str">
        <f t="shared" si="19"/>
        <v>(${Variables:E7_1_2_2_kcat} * E7_1_2_2 * C00002 * C00001)/(${Variables:E7_1_2_2_km} + (E7_1_2_2 * C00002 * C00001))</v>
      </c>
      <c r="K431" s="40" t="str">
        <f t="shared" si="20"/>
        <v>r430: C00002 + C00001 -&gt; C00008 + C00009 | (${Variables:E7_1_2_2_kcat} * E7_1_2_2 * C00002 * C00001)/(${Variables:E7_1_2_2_km} + (E7_1_2_2 * C00002 * C00001))</v>
      </c>
    </row>
    <row r="432" spans="1:11" ht="58" x14ac:dyDescent="0.35">
      <c r="A432" s="8" t="s">
        <v>1254</v>
      </c>
      <c r="B432" s="8" t="s">
        <v>1255</v>
      </c>
      <c r="C432" s="8" t="s">
        <v>2148</v>
      </c>
      <c r="D432" s="8">
        <v>431</v>
      </c>
      <c r="E432" s="8" t="str">
        <f t="shared" si="18"/>
        <v>E6_1_1_13</v>
      </c>
      <c r="F432" s="8" t="s">
        <v>4184</v>
      </c>
      <c r="G432" s="8" t="s">
        <v>1431</v>
      </c>
      <c r="H432" s="8" t="s">
        <v>4206</v>
      </c>
      <c r="I432" s="8" t="s">
        <v>1432</v>
      </c>
      <c r="J432" s="8" t="str">
        <f t="shared" si="19"/>
        <v>(${Variables:E6_1_1_13_kcat} * E6_1_1_13 * C00002 * C00133 * C00653)/(${Variables:E6_1_1_13_km} + (E6_1_1_13 * C00002 * C00133 * C00653))</v>
      </c>
      <c r="K432" s="40" t="str">
        <f t="shared" si="20"/>
        <v>r431: C00002  + C00133  + C00653 -&gt; C00020  + C00013  + C04260 | (${Variables:E6_1_1_13_kcat} * E6_1_1_13 * C00002 * C00133 * C00653)/(${Variables:E6_1_1_13_km} + (E6_1_1_13 * C00002 * C00133 * C00653))</v>
      </c>
    </row>
    <row r="433" spans="1:11" ht="58" x14ac:dyDescent="0.35">
      <c r="A433" s="8" t="s">
        <v>1254</v>
      </c>
      <c r="B433" s="8" t="s">
        <v>1255</v>
      </c>
      <c r="C433" s="8" t="s">
        <v>2148</v>
      </c>
      <c r="D433" s="8">
        <v>432</v>
      </c>
      <c r="E433" s="8" t="str">
        <f t="shared" si="18"/>
        <v>E6_1_1_13</v>
      </c>
      <c r="F433" s="41" t="s">
        <v>4185</v>
      </c>
      <c r="G433" s="8" t="s">
        <v>1433</v>
      </c>
      <c r="H433" s="8" t="s">
        <v>4207</v>
      </c>
      <c r="I433" s="8" t="s">
        <v>1434</v>
      </c>
      <c r="J433" s="8" t="str">
        <f t="shared" si="19"/>
        <v>(${Variables:E6_1_1_13_kcat} * E6_1_1_13 * C00002 * C00133 * G13167)/(${Variables:E6_1_1_13_km} + (E6_1_1_13 * C00002 * C00133 * G13167))</v>
      </c>
      <c r="K433" s="40" t="str">
        <f t="shared" si="20"/>
        <v>r432: C00002  + C00133  + G13167 -&gt; C00020  + C00013  + G13180 | (${Variables:E6_1_1_13_kcat} * E6_1_1_13 * C00002 * C00133 * G13167)/(${Variables:E6_1_1_13_km} + (E6_1_1_13 * C00002 * C00133 * G13167))</v>
      </c>
    </row>
    <row r="434" spans="1:11" ht="58" x14ac:dyDescent="0.35">
      <c r="A434" s="8" t="s">
        <v>1254</v>
      </c>
      <c r="B434" s="8" t="s">
        <v>1255</v>
      </c>
      <c r="C434" s="8" t="s">
        <v>2148</v>
      </c>
      <c r="D434" s="8">
        <v>433</v>
      </c>
      <c r="E434" s="8" t="str">
        <f t="shared" si="18"/>
        <v>E6_1_1_13</v>
      </c>
      <c r="F434" s="41" t="s">
        <v>4186</v>
      </c>
      <c r="G434" s="8" t="s">
        <v>1435</v>
      </c>
      <c r="H434" s="8" t="s">
        <v>4208</v>
      </c>
      <c r="I434" s="8" t="s">
        <v>1436</v>
      </c>
      <c r="J434" s="8" t="str">
        <f t="shared" si="19"/>
        <v>(${Variables:E6_1_1_13_kcat} * E6_1_1_13 * C00002 * C00133 * G13170)/(${Variables:E6_1_1_13_km} + (E6_1_1_13 * C00002 * C00133 * G13170))</v>
      </c>
      <c r="K434" s="40" t="str">
        <f t="shared" si="20"/>
        <v>r433: C00002  + C00133  + G13170 -&gt; C00020  + C00013  + G13171 | (${Variables:E6_1_1_13_kcat} * E6_1_1_13 * C00002 * C00133 * G13170)/(${Variables:E6_1_1_13_km} + (E6_1_1_13 * C00002 * C00133 * G13170))</v>
      </c>
    </row>
    <row r="435" spans="1:11" ht="58" x14ac:dyDescent="0.35">
      <c r="A435" s="8" t="s">
        <v>1254</v>
      </c>
      <c r="B435" s="8" t="s">
        <v>1255</v>
      </c>
      <c r="C435" s="8" t="s">
        <v>2148</v>
      </c>
      <c r="D435" s="8">
        <v>434</v>
      </c>
      <c r="E435" s="8" t="str">
        <f t="shared" si="18"/>
        <v>E6_1_1_13</v>
      </c>
      <c r="F435" s="41" t="s">
        <v>4187</v>
      </c>
      <c r="G435" s="8" t="s">
        <v>1437</v>
      </c>
      <c r="H435" s="8" t="s">
        <v>4209</v>
      </c>
      <c r="I435" s="8" t="s">
        <v>1438</v>
      </c>
      <c r="J435" s="8" t="str">
        <f t="shared" si="19"/>
        <v>(${Variables:E6_1_1_13_kcat} * E6_1_1_13 * C00002 * C00133 * G13174)/(${Variables:E6_1_1_13_km} + (E6_1_1_13 * C00002 * C00133 * G13174))</v>
      </c>
      <c r="K435" s="40" t="str">
        <f t="shared" si="20"/>
        <v>r434: C00002  + C00133  + G13174 -&gt; C00020  + C00013  + G13175 | (${Variables:E6_1_1_13_kcat} * E6_1_1_13 * C00002 * C00133 * G13174)/(${Variables:E6_1_1_13_km} + (E6_1_1_13 * C00002 * C00133 * G13174))</v>
      </c>
    </row>
    <row r="436" spans="1:11" ht="58" x14ac:dyDescent="0.35">
      <c r="A436" s="8" t="s">
        <v>1254</v>
      </c>
      <c r="B436" s="8" t="s">
        <v>1255</v>
      </c>
      <c r="C436" s="8" t="s">
        <v>2148</v>
      </c>
      <c r="D436" s="8">
        <v>435</v>
      </c>
      <c r="E436" s="8" t="str">
        <f t="shared" si="18"/>
        <v>E6_1_1_13</v>
      </c>
      <c r="F436" s="41" t="s">
        <v>4188</v>
      </c>
      <c r="G436" s="8" t="s">
        <v>1439</v>
      </c>
      <c r="H436" s="8" t="s">
        <v>4210</v>
      </c>
      <c r="I436" s="8" t="s">
        <v>1440</v>
      </c>
      <c r="J436" s="8" t="str">
        <f t="shared" si="19"/>
        <v>(${Variables:E6_1_1_13_kcat} * E6_1_1_13 * C00002 * C00133 * G13176)/(${Variables:E6_1_1_13_km} + (E6_1_1_13 * C00002 * C00133 * G13176))</v>
      </c>
      <c r="K436" s="40" t="str">
        <f t="shared" si="20"/>
        <v>r435: C00002  + C00133  + G13176 -&gt; C00020  + C00013  + G13177 | (${Variables:E6_1_1_13_kcat} * E6_1_1_13 * C00002 * C00133 * G13176)/(${Variables:E6_1_1_13_km} + (E6_1_1_13 * C00002 * C00133 * G13176))</v>
      </c>
    </row>
    <row r="437" spans="1:11" ht="58" x14ac:dyDescent="0.35">
      <c r="A437" s="8" t="s">
        <v>1254</v>
      </c>
      <c r="B437" s="8" t="s">
        <v>1255</v>
      </c>
      <c r="C437" s="8" t="s">
        <v>2148</v>
      </c>
      <c r="D437" s="8">
        <v>436</v>
      </c>
      <c r="E437" s="8" t="str">
        <f t="shared" si="18"/>
        <v>E6_1_1_13</v>
      </c>
      <c r="F437" s="41" t="s">
        <v>4189</v>
      </c>
      <c r="G437" s="8" t="s">
        <v>1441</v>
      </c>
      <c r="H437" s="8" t="s">
        <v>4211</v>
      </c>
      <c r="I437" s="8" t="s">
        <v>1442</v>
      </c>
      <c r="J437" s="8" t="str">
        <f t="shared" si="19"/>
        <v>(${Variables:E6_1_1_13_kcat} * E6_1_1_13 * C00002 * C00133 * G13178)/(${Variables:E6_1_1_13_km} + (E6_1_1_13 * C00002 * C00133 * G13178))</v>
      </c>
      <c r="K437" s="40" t="str">
        <f t="shared" si="20"/>
        <v>r436: C00002  + C00133  + G13178 -&gt; C00020  + C00013  + C13179 | (${Variables:E6_1_1_13_kcat} * E6_1_1_13 * C00002 * C00133 * G13178)/(${Variables:E6_1_1_13_km} + (E6_1_1_13 * C00002 * C00133 * G13178))</v>
      </c>
    </row>
    <row r="438" spans="1:11" ht="58" x14ac:dyDescent="0.35">
      <c r="A438" s="8" t="s">
        <v>1254</v>
      </c>
      <c r="B438" s="8" t="s">
        <v>1255</v>
      </c>
      <c r="C438" s="8" t="s">
        <v>2148</v>
      </c>
      <c r="D438" s="8">
        <v>437</v>
      </c>
      <c r="E438" s="8" t="str">
        <f t="shared" si="18"/>
        <v>E6_1_1_13</v>
      </c>
      <c r="F438" s="41" t="s">
        <v>4190</v>
      </c>
      <c r="G438" s="8" t="s">
        <v>1443</v>
      </c>
      <c r="H438" s="8" t="s">
        <v>4212</v>
      </c>
      <c r="I438" s="8" t="s">
        <v>1444</v>
      </c>
      <c r="J438" s="8" t="str">
        <f t="shared" si="19"/>
        <v>(${Variables:E6_1_1_13_kcat} * E6_1_1_13 * C00002 * C00133 * G13185)/(${Variables:E6_1_1_13_km} + (E6_1_1_13 * C00002 * C00133 * G13185))</v>
      </c>
      <c r="K438" s="40" t="str">
        <f t="shared" si="20"/>
        <v>r437: C00002  + C00133  + G13185 -&gt; C00020  + C00013  + G13186 | (${Variables:E6_1_1_13_kcat} * E6_1_1_13 * C00002 * C00133 * G13185)/(${Variables:E6_1_1_13_km} + (E6_1_1_13 * C00002 * C00133 * G13185))</v>
      </c>
    </row>
    <row r="439" spans="1:11" ht="58" x14ac:dyDescent="0.35">
      <c r="A439" s="8" t="s">
        <v>1254</v>
      </c>
      <c r="B439" s="8" t="s">
        <v>1255</v>
      </c>
      <c r="C439" s="8" t="s">
        <v>2148</v>
      </c>
      <c r="D439" s="8">
        <v>438</v>
      </c>
      <c r="E439" s="8" t="str">
        <f t="shared" si="18"/>
        <v>E6_1_1_13</v>
      </c>
      <c r="F439" s="41" t="s">
        <v>4191</v>
      </c>
      <c r="G439" s="8" t="s">
        <v>1445</v>
      </c>
      <c r="H439" s="8" t="s">
        <v>4213</v>
      </c>
      <c r="I439" s="8" t="s">
        <v>1446</v>
      </c>
      <c r="J439" s="8" t="str">
        <f t="shared" si="19"/>
        <v>(${Variables:E6_1_1_13_kcat} * E6_1_1_13 * C00002 * C00133 * G13192)/(${Variables:E6_1_1_13_km} + (E6_1_1_13 * C00002 * C00133 * G13192))</v>
      </c>
      <c r="K439" s="40" t="str">
        <f t="shared" si="20"/>
        <v>r438: C00002  + C00133  + G13192 -&gt; C00020  + C00013  + G13193 | (${Variables:E6_1_1_13_kcat} * E6_1_1_13 * C00002 * C00133 * G13192)/(${Variables:E6_1_1_13_km} + (E6_1_1_13 * C00002 * C00133 * G13192))</v>
      </c>
    </row>
    <row r="440" spans="1:11" ht="43.5" x14ac:dyDescent="0.35">
      <c r="A440" s="8" t="s">
        <v>642</v>
      </c>
      <c r="B440" s="8" t="s">
        <v>643</v>
      </c>
      <c r="C440" s="8" t="s">
        <v>2332</v>
      </c>
      <c r="D440" s="8">
        <v>439</v>
      </c>
      <c r="E440" s="8" t="str">
        <f t="shared" si="18"/>
        <v>E2_4_99_28</v>
      </c>
      <c r="F440" s="41" t="s">
        <v>4192</v>
      </c>
      <c r="G440" s="8" t="s">
        <v>2106</v>
      </c>
      <c r="H440" s="8" t="s">
        <v>4214</v>
      </c>
      <c r="I440" s="8" t="s">
        <v>2107</v>
      </c>
      <c r="J440" s="8" t="str">
        <f t="shared" si="19"/>
        <v>(${Variables:E2_4_99_28_kcat} * E2_4_99_28 * G10553 * G10554)/(${Variables:E2_4_99_28_km} + (E2_4_99_28 * G10553 * G10554))</v>
      </c>
      <c r="K440" s="40" t="str">
        <f t="shared" si="20"/>
        <v>r439: G10553  + G10554 -&gt; C04574  + G10554 | (${Variables:E2_4_99_28_kcat} * E2_4_99_28 * G10553 * G10554)/(${Variables:E2_4_99_28_km} + (E2_4_99_28 * G10553 * G10554))</v>
      </c>
    </row>
    <row r="441" spans="1:11" ht="43.5" x14ac:dyDescent="0.35">
      <c r="A441" s="8" t="s">
        <v>642</v>
      </c>
      <c r="B441" s="8" t="s">
        <v>643</v>
      </c>
      <c r="C441" s="8" t="s">
        <v>2332</v>
      </c>
      <c r="D441" s="8">
        <v>440</v>
      </c>
      <c r="E441" s="8" t="str">
        <f t="shared" si="18"/>
        <v>E2_4_99_28</v>
      </c>
      <c r="F441" s="41" t="s">
        <v>4193</v>
      </c>
      <c r="G441" s="8" t="s">
        <v>2108</v>
      </c>
      <c r="H441" s="8" t="s">
        <v>4215</v>
      </c>
      <c r="I441" s="8" t="s">
        <v>2109</v>
      </c>
      <c r="J441" s="8" t="str">
        <f t="shared" si="19"/>
        <v>(${Variables:E2_4_99_28_kcat} * E2_4_99_28 * G10555 * G10557)/(${Variables:E2_4_99_28_km} + (E2_4_99_28 * G10555 * G10557))</v>
      </c>
      <c r="K441" s="40" t="str">
        <f t="shared" si="20"/>
        <v>r440: G10555  + G10557 -&gt; C04574  + G10557 | (${Variables:E2_4_99_28_kcat} * E2_4_99_28 * G10555 * G10557)/(${Variables:E2_4_99_28_km} + (E2_4_99_28 * G10555 * G10557))</v>
      </c>
    </row>
    <row r="442" spans="1:11" ht="43.5" x14ac:dyDescent="0.35">
      <c r="A442" s="8" t="s">
        <v>670</v>
      </c>
      <c r="B442" s="8" t="s">
        <v>671</v>
      </c>
      <c r="C442" s="8" t="s">
        <v>2331</v>
      </c>
      <c r="D442" s="8">
        <v>441</v>
      </c>
      <c r="E442" s="8" t="str">
        <f t="shared" si="18"/>
        <v>E2_4_1_227</v>
      </c>
      <c r="F442" s="41" t="s">
        <v>4194</v>
      </c>
      <c r="G442" s="8" t="s">
        <v>2102</v>
      </c>
      <c r="H442" s="8" t="s">
        <v>4216</v>
      </c>
      <c r="I442" s="8" t="s">
        <v>2103</v>
      </c>
      <c r="J442" s="8" t="str">
        <f t="shared" si="19"/>
        <v>(${Variables:E2_4_1_227_kcat} * E2_4_1_227 * G10551 * G10610)/(${Variables:E2_4_1_227_km} + (E2_4_1_227 * G10551 * G10610))</v>
      </c>
      <c r="K442" s="40" t="str">
        <f t="shared" si="20"/>
        <v>r441: G10551  + G10610 -&gt; G10550  + G10619 | (${Variables:E2_4_1_227_kcat} * E2_4_1_227 * G10551 * G10610)/(${Variables:E2_4_1_227_km} + (E2_4_1_227 * G10551 * G10610))</v>
      </c>
    </row>
    <row r="443" spans="1:11" ht="43.5" x14ac:dyDescent="0.35">
      <c r="A443" s="8" t="s">
        <v>670</v>
      </c>
      <c r="B443" s="8" t="s">
        <v>671</v>
      </c>
      <c r="C443" s="8" t="s">
        <v>2331</v>
      </c>
      <c r="D443" s="8">
        <v>442</v>
      </c>
      <c r="E443" s="8" t="str">
        <f t="shared" si="18"/>
        <v>E2_4_1_227</v>
      </c>
      <c r="F443" s="41" t="s">
        <v>4195</v>
      </c>
      <c r="G443" s="8" t="s">
        <v>2104</v>
      </c>
      <c r="H443" s="8" t="s">
        <v>4217</v>
      </c>
      <c r="I443" s="8" t="s">
        <v>2105</v>
      </c>
      <c r="J443" s="8" t="str">
        <f t="shared" si="19"/>
        <v>(${Variables:E2_4_1_227_kcat} * E2_4_1_227 * G10552 * G10610)/(${Variables:E2_4_1_227_km} + (E2_4_1_227 * G10552 * G10610))</v>
      </c>
      <c r="K443" s="40" t="str">
        <f t="shared" si="20"/>
        <v>r442: G10552  + G10610 -&gt; G10553  + G10619 | (${Variables:E2_4_1_227_kcat} * E2_4_1_227 * G10552 * G10610)/(${Variables:E2_4_1_227_km} + (E2_4_1_227 * G10552 * G10610))</v>
      </c>
    </row>
    <row r="444" spans="1:11" ht="43.5" x14ac:dyDescent="0.35">
      <c r="A444" s="8" t="s">
        <v>670</v>
      </c>
      <c r="B444" s="8" t="s">
        <v>671</v>
      </c>
      <c r="C444" s="8" t="s">
        <v>2331</v>
      </c>
      <c r="D444" s="8">
        <v>443</v>
      </c>
      <c r="E444" s="8" t="str">
        <f t="shared" si="18"/>
        <v>E2_4_1_227</v>
      </c>
      <c r="F444" s="41" t="s">
        <v>4196</v>
      </c>
      <c r="G444" s="8" t="s">
        <v>2110</v>
      </c>
      <c r="H444" s="8" t="s">
        <v>4216</v>
      </c>
      <c r="I444" s="8" t="s">
        <v>2103</v>
      </c>
      <c r="J444" s="8" t="str">
        <f t="shared" si="19"/>
        <v>(${Variables:E2_4_1_227_kcat} * E2_4_1_227 * G10556 * G10610)/(${Variables:E2_4_1_227_km} + (E2_4_1_227 * G10556 * G10610))</v>
      </c>
      <c r="K444" s="40" t="str">
        <f t="shared" si="20"/>
        <v>r443: G10556  + G10610 -&gt; G10550  + G10619 | (${Variables:E2_4_1_227_kcat} * E2_4_1_227 * G10556 * G10610)/(${Variables:E2_4_1_227_km} + (E2_4_1_227 * G10556 * G10610))</v>
      </c>
    </row>
    <row r="445" spans="1:11" ht="43.5" x14ac:dyDescent="0.35">
      <c r="A445" s="8" t="s">
        <v>733</v>
      </c>
      <c r="B445" s="8" t="s">
        <v>734</v>
      </c>
      <c r="C445" s="8" t="s">
        <v>2328</v>
      </c>
      <c r="D445" s="8">
        <v>444</v>
      </c>
      <c r="E445" s="8" t="str">
        <f t="shared" si="18"/>
        <v>E3_2_1_86</v>
      </c>
      <c r="F445" s="41" t="s">
        <v>4197</v>
      </c>
      <c r="G445" s="8" t="s">
        <v>2100</v>
      </c>
      <c r="H445" s="8" t="s">
        <v>4218</v>
      </c>
      <c r="I445" s="8" t="s">
        <v>1978</v>
      </c>
      <c r="J445" s="8" t="str">
        <f t="shared" si="19"/>
        <v>(${Variables:E3_2_1_86_kcat} * E3_2_1_86 * G10518 * C00001)/(${Variables:E3_2_1_86_km} + (E3_2_1_86 * G10518 * C00001))</v>
      </c>
      <c r="K445" s="40" t="str">
        <f t="shared" si="20"/>
        <v>r444: G10518  + C00001 -&gt; C00031  + C00092 | (${Variables:E3_2_1_86_kcat} * E3_2_1_86 * G10518 * C00001)/(${Variables:E3_2_1_86_km} + (E3_2_1_86 * G10518 * C00001))</v>
      </c>
    </row>
    <row r="446" spans="1:11" ht="43.5" x14ac:dyDescent="0.35">
      <c r="A446" s="8" t="s">
        <v>558</v>
      </c>
      <c r="B446" s="8" t="s">
        <v>559</v>
      </c>
      <c r="C446" s="8" t="s">
        <v>2289</v>
      </c>
      <c r="D446" s="8">
        <v>445</v>
      </c>
      <c r="E446" s="8" t="str">
        <f t="shared" si="18"/>
        <v>E2_4_1_21</v>
      </c>
      <c r="F446" s="41" t="s">
        <v>4198</v>
      </c>
      <c r="G446" s="8" t="s">
        <v>2096</v>
      </c>
      <c r="H446" s="8" t="s">
        <v>4219</v>
      </c>
      <c r="I446" s="8" t="s">
        <v>2097</v>
      </c>
      <c r="J446" s="8" t="str">
        <f t="shared" si="19"/>
        <v>(${Variables:E2_4_1_21_kcat} * E2_4_1_21 * G10495 * G11109)/(${Variables:E2_4_1_21_km} + (E2_4_1_21 * G10495 * G11109))</v>
      </c>
      <c r="K446" s="40" t="str">
        <f t="shared" si="20"/>
        <v>r445: G10495  + G11109 -&gt; G10495  + G11113 | (${Variables:E2_4_1_21_kcat} * E2_4_1_21 * G10495 * G11109)/(${Variables:E2_4_1_21_km} + (E2_4_1_21 * G10495 * G11109))</v>
      </c>
    </row>
    <row r="447" spans="1:11" ht="43.5" x14ac:dyDescent="0.35">
      <c r="A447" s="8" t="s">
        <v>561</v>
      </c>
      <c r="B447" s="8" t="s">
        <v>562</v>
      </c>
      <c r="C447" s="8" t="s">
        <v>2286</v>
      </c>
      <c r="D447" s="8">
        <v>446</v>
      </c>
      <c r="E447" s="8" t="str">
        <f t="shared" si="18"/>
        <v>E2_4_1_1</v>
      </c>
      <c r="F447" s="41" t="s">
        <v>4199</v>
      </c>
      <c r="G447" s="8" t="s">
        <v>2094</v>
      </c>
      <c r="H447" s="8" t="s">
        <v>4220</v>
      </c>
      <c r="I447" s="8" t="s">
        <v>2095</v>
      </c>
      <c r="J447" s="8" t="str">
        <f t="shared" si="19"/>
        <v>(${Variables:E2_4_1_1_kcat} * E2_4_1_1 * G10495 * C00009)/(${Variables:E2_4_1_1_km} + (E2_4_1_1 * G10495 * C00009))</v>
      </c>
      <c r="K447" s="40" t="str">
        <f t="shared" si="20"/>
        <v>r446: G10495  + C00009 -&gt; G10495  + C00103 | (${Variables:E2_4_1_1_kcat} * E2_4_1_1 * G10495 * C00009)/(${Variables:E2_4_1_1_km} + (E2_4_1_1 * G10495 * C00009))</v>
      </c>
    </row>
    <row r="448" spans="1:11" ht="43.5" x14ac:dyDescent="0.35">
      <c r="A448" s="8" t="s">
        <v>561</v>
      </c>
      <c r="B448" s="8" t="s">
        <v>562</v>
      </c>
      <c r="C448" s="8" t="s">
        <v>2286</v>
      </c>
      <c r="D448" s="8">
        <v>447</v>
      </c>
      <c r="E448" s="8" t="str">
        <f t="shared" si="18"/>
        <v>E2_4_1_1</v>
      </c>
      <c r="F448" s="41" t="s">
        <v>4200</v>
      </c>
      <c r="G448" s="8" t="s">
        <v>2101</v>
      </c>
      <c r="H448" s="8" t="s">
        <v>4220</v>
      </c>
      <c r="I448" s="8" t="s">
        <v>2095</v>
      </c>
      <c r="J448" s="8" t="str">
        <f t="shared" si="19"/>
        <v>(${Variables:E2_4_1_1_kcat} * E2_4_1_1 * G10545 * C00009)/(${Variables:E2_4_1_1_km} + (E2_4_1_1 * G10545 * C00009))</v>
      </c>
      <c r="K448" s="40" t="str">
        <f t="shared" si="20"/>
        <v>r447: G10545  + C00009 -&gt; G10495  + C00103 | (${Variables:E2_4_1_1_kcat} * E2_4_1_1 * G10545 * C00009)/(${Variables:E2_4_1_1_km} + (E2_4_1_1 * G10545 * C00009))</v>
      </c>
    </row>
    <row r="449" spans="1:11" ht="43.5" x14ac:dyDescent="0.35">
      <c r="A449" s="8" t="s">
        <v>456</v>
      </c>
      <c r="B449" s="8" t="s">
        <v>457</v>
      </c>
      <c r="C449" s="8" t="s">
        <v>2238</v>
      </c>
      <c r="D449" s="8">
        <v>448</v>
      </c>
      <c r="E449" s="8" t="str">
        <f t="shared" si="18"/>
        <v>E2_4_1_7</v>
      </c>
      <c r="F449" s="41" t="s">
        <v>4201</v>
      </c>
      <c r="G449" s="8" t="s">
        <v>2093</v>
      </c>
      <c r="H449" s="8" t="s">
        <v>4221</v>
      </c>
      <c r="I449" s="8" t="s">
        <v>1675</v>
      </c>
      <c r="J449" s="8" t="str">
        <f t="shared" si="19"/>
        <v>(${Variables:E2_4_1_7_kcat} * E2_4_1_7 * G00370 * C00009)/(${Variables:E2_4_1_7_km} + (E2_4_1_7 * G00370 * C00009))</v>
      </c>
      <c r="K449" s="40" t="str">
        <f t="shared" si="20"/>
        <v>r448: G00370  + C00009 -&gt; C00095  + C00103 | (${Variables:E2_4_1_7_kcat} * E2_4_1_7 * G00370 * C00009)/(${Variables:E2_4_1_7_km} + (E2_4_1_7 * G00370 * C00009))</v>
      </c>
    </row>
    <row r="450" spans="1:11" ht="43.5" x14ac:dyDescent="0.35">
      <c r="A450" s="8" t="s">
        <v>374</v>
      </c>
      <c r="B450" s="8" t="s">
        <v>375</v>
      </c>
      <c r="C450" s="8" t="s">
        <v>2237</v>
      </c>
      <c r="D450" s="8">
        <v>449</v>
      </c>
      <c r="E450" s="8" t="str">
        <f t="shared" si="18"/>
        <v>E3_2_1_26</v>
      </c>
      <c r="F450" s="41" t="s">
        <v>4202</v>
      </c>
      <c r="G450" s="8" t="s">
        <v>2088</v>
      </c>
      <c r="H450" s="8" t="s">
        <v>4222</v>
      </c>
      <c r="I450" s="8" t="s">
        <v>2089</v>
      </c>
      <c r="J450" s="8" t="str">
        <f t="shared" si="19"/>
        <v>(${Variables:E3_2_1_26_kcat} * E3_2_1_26 * G00249 * C00001)/(${Variables:E3_2_1_26_km} + (E3_2_1_26 * G00249 * C00001))</v>
      </c>
      <c r="K450" s="40" t="str">
        <f t="shared" ref="K450:K454" si="21">CONCATENATE("r",D450,": ",F450," -&gt; ",H450," | ",J450)</f>
        <v>r449: G00249  + C00001 -&gt; G01275  + C00095 | (${Variables:E3_2_1_26_kcat} * E3_2_1_26 * G00249 * C00001)/(${Variables:E3_2_1_26_km} + (E3_2_1_26 * G00249 * C00001))</v>
      </c>
    </row>
    <row r="451" spans="1:11" ht="43.5" x14ac:dyDescent="0.35">
      <c r="A451" s="8" t="s">
        <v>374</v>
      </c>
      <c r="B451" s="8" t="s">
        <v>375</v>
      </c>
      <c r="C451" s="8" t="s">
        <v>2237</v>
      </c>
      <c r="D451" s="8">
        <v>450</v>
      </c>
      <c r="E451" s="8" t="str">
        <f t="shared" si="18"/>
        <v>E3_2_1_26</v>
      </c>
      <c r="F451" s="41" t="s">
        <v>4203</v>
      </c>
      <c r="G451" s="8" t="s">
        <v>2090</v>
      </c>
      <c r="H451" s="8" t="s">
        <v>4223</v>
      </c>
      <c r="I451" s="8" t="s">
        <v>2091</v>
      </c>
      <c r="J451" s="8" t="str">
        <f t="shared" si="19"/>
        <v>(${Variables:E3_2_1_26_kcat} * E3_2_1_26 * G00278 * C00001)/(${Variables:E3_2_1_26_km} + (E3_2_1_26 * G00278 * C00001))</v>
      </c>
      <c r="K451" s="40" t="str">
        <f t="shared" si="21"/>
        <v>r450: G00278  + C00001 -&gt; G00501  + C00095 | (${Variables:E3_2_1_26_kcat} * E3_2_1_26 * G00278 * C00001)/(${Variables:E3_2_1_26_km} + (E3_2_1_26 * G00278 * C00001))</v>
      </c>
    </row>
    <row r="452" spans="1:11" ht="43.5" x14ac:dyDescent="0.35">
      <c r="A452" s="8" t="s">
        <v>374</v>
      </c>
      <c r="B452" s="8" t="s">
        <v>375</v>
      </c>
      <c r="C452" s="8" t="s">
        <v>2237</v>
      </c>
      <c r="D452" s="8">
        <v>451</v>
      </c>
      <c r="E452" s="8" t="str">
        <f t="shared" si="18"/>
        <v>E3_2_1_26</v>
      </c>
      <c r="F452" s="41" t="s">
        <v>4204</v>
      </c>
      <c r="G452" s="8" t="s">
        <v>2092</v>
      </c>
      <c r="H452" s="8" t="s">
        <v>4224</v>
      </c>
      <c r="I452" s="8" t="s">
        <v>1672</v>
      </c>
      <c r="J452" s="8" t="str">
        <f t="shared" si="19"/>
        <v>(${Variables:E3_2_1_26_kcat} * E3_2_1_26 * G00370 * C00001)/(${Variables:E3_2_1_26_km} + (E3_2_1_26 * G00370 * C00001))</v>
      </c>
      <c r="K452" s="40" t="str">
        <f t="shared" si="21"/>
        <v>r451: G00370  + C00001 -&gt; C00095  + C00031 | (${Variables:E3_2_1_26_kcat} * E3_2_1_26 * G00370 * C00001)/(${Variables:E3_2_1_26_km} + (E3_2_1_26 * G00370 * C00001))</v>
      </c>
    </row>
    <row r="453" spans="1:11" ht="43.5" x14ac:dyDescent="0.35">
      <c r="A453" s="8" t="s">
        <v>374</v>
      </c>
      <c r="B453" s="8" t="s">
        <v>375</v>
      </c>
      <c r="C453" s="8" t="s">
        <v>2237</v>
      </c>
      <c r="D453" s="8">
        <v>452</v>
      </c>
      <c r="E453" s="8" t="str">
        <f t="shared" si="18"/>
        <v>E3_2_1_26</v>
      </c>
      <c r="F453" s="41" t="s">
        <v>4204</v>
      </c>
      <c r="G453" s="8" t="s">
        <v>2092</v>
      </c>
      <c r="H453" s="8" t="s">
        <v>4225</v>
      </c>
      <c r="I453" s="8" t="s">
        <v>1673</v>
      </c>
      <c r="J453" s="8" t="str">
        <f t="shared" si="19"/>
        <v>(${Variables:E3_2_1_26_kcat} * E3_2_1_26 * G00370 * C00001)/(${Variables:E3_2_1_26_km} + (E3_2_1_26 * G00370 * C00001))</v>
      </c>
      <c r="K453" s="40" t="str">
        <f t="shared" si="21"/>
        <v>r452: G00370  + C00001 -&gt; C02336  + C00267 | (${Variables:E3_2_1_26_kcat} * E3_2_1_26 * G00370 * C00001)/(${Variables:E3_2_1_26_km} + (E3_2_1_26 * G00370 * C00001))</v>
      </c>
    </row>
    <row r="454" spans="1:11" ht="43.5" x14ac:dyDescent="0.35">
      <c r="A454" s="8" t="s">
        <v>374</v>
      </c>
      <c r="B454" s="8" t="s">
        <v>375</v>
      </c>
      <c r="C454" s="8" t="s">
        <v>2237</v>
      </c>
      <c r="D454" s="8">
        <v>453</v>
      </c>
      <c r="E454" s="8" t="str">
        <f t="shared" si="18"/>
        <v>E3_2_1_26</v>
      </c>
      <c r="F454" s="41" t="s">
        <v>4205</v>
      </c>
      <c r="G454" s="8" t="s">
        <v>2098</v>
      </c>
      <c r="H454" s="8" t="s">
        <v>4226</v>
      </c>
      <c r="I454" s="8" t="s">
        <v>2099</v>
      </c>
      <c r="J454" s="8" t="str">
        <f t="shared" si="19"/>
        <v>(${Variables:E3_2_1_26_kcat} * E3_2_1_26 * G10508 * C00001)/(${Variables:E3_2_1_26_km} + (E3_2_1_26 * G10508 * C00001))</v>
      </c>
      <c r="K454" s="40" t="str">
        <f t="shared" si="21"/>
        <v>r453: G10508  + C00001 -&gt; C02336  + C00668 | (${Variables:E3_2_1_26_kcat} * E3_2_1_26 * G10508 * C00001)/(${Variables:E3_2_1_26_km} + (E3_2_1_26 * G10508 * C00001))</v>
      </c>
    </row>
    <row r="455" spans="1:11" x14ac:dyDescent="0.35">
      <c r="A455"/>
      <c r="B455"/>
      <c r="C455"/>
      <c r="D455"/>
      <c r="E455"/>
      <c r="F455"/>
      <c r="G455"/>
      <c r="H455"/>
      <c r="I455"/>
      <c r="J455"/>
      <c r="K455"/>
    </row>
    <row r="456" spans="1:11" x14ac:dyDescent="0.35">
      <c r="A456"/>
      <c r="B456"/>
      <c r="C456"/>
      <c r="D456"/>
      <c r="E456"/>
      <c r="F456"/>
      <c r="G456"/>
      <c r="H456"/>
      <c r="I456"/>
      <c r="J456"/>
      <c r="K456"/>
    </row>
    <row r="457" spans="1:11" x14ac:dyDescent="0.35">
      <c r="A457"/>
      <c r="B457"/>
      <c r="C457"/>
      <c r="D457"/>
      <c r="E457"/>
      <c r="F457"/>
      <c r="G457"/>
      <c r="H457"/>
      <c r="I457"/>
      <c r="J457"/>
      <c r="K457"/>
    </row>
    <row r="458" spans="1:11" x14ac:dyDescent="0.35">
      <c r="A458"/>
      <c r="B458"/>
      <c r="C458"/>
      <c r="D458"/>
      <c r="E458"/>
      <c r="F458"/>
      <c r="G458"/>
      <c r="H458"/>
      <c r="I458"/>
      <c r="J458"/>
      <c r="K458"/>
    </row>
    <row r="459" spans="1:11" x14ac:dyDescent="0.35">
      <c r="A459"/>
      <c r="B459"/>
      <c r="C459"/>
      <c r="D459"/>
      <c r="E459"/>
      <c r="F459"/>
      <c r="G459"/>
      <c r="H459"/>
      <c r="I459"/>
      <c r="J459"/>
      <c r="K459"/>
    </row>
    <row r="460" spans="1:11" x14ac:dyDescent="0.35">
      <c r="A460"/>
      <c r="B460"/>
      <c r="C460"/>
      <c r="D460"/>
      <c r="E460"/>
      <c r="F460"/>
      <c r="G460"/>
      <c r="H460"/>
      <c r="I460"/>
      <c r="J460"/>
      <c r="K460"/>
    </row>
    <row r="461" spans="1:11" x14ac:dyDescent="0.35">
      <c r="A461"/>
      <c r="B461"/>
      <c r="C461"/>
      <c r="D461"/>
      <c r="E461"/>
      <c r="F461"/>
      <c r="G461"/>
      <c r="H461"/>
      <c r="I461"/>
      <c r="J461"/>
      <c r="K461"/>
    </row>
    <row r="462" spans="1:11" x14ac:dyDescent="0.35">
      <c r="A462"/>
      <c r="B462"/>
      <c r="C462"/>
      <c r="D462"/>
      <c r="E462"/>
      <c r="F462"/>
      <c r="G462"/>
      <c r="H462"/>
      <c r="I462"/>
      <c r="J462"/>
      <c r="K462"/>
    </row>
    <row r="463" spans="1:11" x14ac:dyDescent="0.35">
      <c r="A463"/>
      <c r="B463"/>
      <c r="C463"/>
      <c r="D463"/>
      <c r="E463"/>
      <c r="F463"/>
      <c r="G463"/>
      <c r="H463"/>
      <c r="I463"/>
      <c r="J463"/>
      <c r="K463"/>
    </row>
    <row r="464" spans="1:11" x14ac:dyDescent="0.35">
      <c r="A464"/>
      <c r="B464"/>
      <c r="C464"/>
      <c r="D464"/>
      <c r="E464"/>
      <c r="F464"/>
      <c r="G464"/>
      <c r="H464"/>
      <c r="I464"/>
      <c r="J464"/>
      <c r="K464"/>
    </row>
    <row r="465" spans="1:11" x14ac:dyDescent="0.35">
      <c r="A465"/>
      <c r="B465"/>
      <c r="C465"/>
      <c r="D465"/>
      <c r="E465"/>
      <c r="F465"/>
      <c r="G465"/>
      <c r="H465"/>
      <c r="I465"/>
      <c r="J465"/>
      <c r="K465"/>
    </row>
    <row r="466" spans="1:11" x14ac:dyDescent="0.35">
      <c r="A466"/>
      <c r="B466"/>
      <c r="C466"/>
      <c r="D466"/>
      <c r="E466"/>
      <c r="F466"/>
      <c r="G466"/>
      <c r="H466"/>
      <c r="I466"/>
      <c r="J466"/>
      <c r="K466"/>
    </row>
    <row r="467" spans="1:11" x14ac:dyDescent="0.35">
      <c r="A467"/>
      <c r="B467"/>
      <c r="C467"/>
      <c r="D467"/>
      <c r="E467"/>
      <c r="F467"/>
      <c r="G467"/>
      <c r="H467"/>
      <c r="I467"/>
      <c r="J467"/>
      <c r="K467"/>
    </row>
    <row r="468" spans="1:11" x14ac:dyDescent="0.35">
      <c r="A468"/>
      <c r="B468"/>
      <c r="C468"/>
      <c r="D468"/>
      <c r="E468"/>
      <c r="F468"/>
      <c r="G468"/>
      <c r="H468"/>
      <c r="I468"/>
      <c r="J468"/>
      <c r="K468"/>
    </row>
    <row r="469" spans="1:11" x14ac:dyDescent="0.35">
      <c r="A469"/>
      <c r="B469"/>
      <c r="C469"/>
      <c r="D469"/>
      <c r="E469"/>
      <c r="F469"/>
      <c r="G469"/>
      <c r="H469"/>
      <c r="I469"/>
      <c r="J469"/>
      <c r="K469"/>
    </row>
    <row r="470" spans="1:11" x14ac:dyDescent="0.35">
      <c r="A470"/>
      <c r="B470"/>
      <c r="C470"/>
      <c r="D470"/>
      <c r="E470"/>
      <c r="F470"/>
      <c r="G470"/>
      <c r="H470"/>
      <c r="I470"/>
      <c r="J470"/>
      <c r="K470"/>
    </row>
    <row r="471" spans="1:11" x14ac:dyDescent="0.35">
      <c r="A471"/>
      <c r="B471"/>
      <c r="C471"/>
      <c r="D471"/>
      <c r="E471"/>
      <c r="F471"/>
      <c r="G471"/>
      <c r="H471"/>
      <c r="I471"/>
      <c r="J471"/>
      <c r="K471"/>
    </row>
    <row r="472" spans="1:11" x14ac:dyDescent="0.35">
      <c r="A472"/>
      <c r="B472"/>
      <c r="C472"/>
      <c r="D472"/>
      <c r="E472"/>
      <c r="F472"/>
      <c r="G472"/>
      <c r="H472"/>
      <c r="I472"/>
      <c r="J472"/>
      <c r="K472"/>
    </row>
    <row r="473" spans="1:11" x14ac:dyDescent="0.35">
      <c r="A473"/>
      <c r="B473"/>
      <c r="C473"/>
      <c r="D473"/>
      <c r="E473"/>
      <c r="F473"/>
      <c r="G473"/>
      <c r="H473"/>
      <c r="I473"/>
      <c r="J473"/>
      <c r="K473"/>
    </row>
    <row r="474" spans="1:11" x14ac:dyDescent="0.35">
      <c r="A474"/>
      <c r="B474"/>
      <c r="C474"/>
      <c r="D474"/>
      <c r="E474"/>
      <c r="F474"/>
      <c r="G474"/>
      <c r="H474"/>
      <c r="I474"/>
      <c r="J474"/>
      <c r="K474"/>
    </row>
    <row r="475" spans="1:11" x14ac:dyDescent="0.35">
      <c r="A475"/>
      <c r="B475"/>
      <c r="C475"/>
      <c r="D475"/>
      <c r="E475"/>
      <c r="F475"/>
      <c r="G475"/>
      <c r="H475"/>
      <c r="I475"/>
      <c r="J475"/>
      <c r="K475"/>
    </row>
    <row r="476" spans="1:11" x14ac:dyDescent="0.35">
      <c r="A476"/>
      <c r="B476"/>
      <c r="C476"/>
      <c r="D476"/>
      <c r="E476"/>
      <c r="F476"/>
      <c r="G476"/>
      <c r="H476"/>
      <c r="I476"/>
      <c r="J476"/>
      <c r="K476"/>
    </row>
    <row r="477" spans="1:11" x14ac:dyDescent="0.35">
      <c r="A477"/>
      <c r="B477"/>
      <c r="C477"/>
      <c r="D477"/>
      <c r="E477"/>
      <c r="F477"/>
      <c r="G477"/>
      <c r="H477"/>
      <c r="I477"/>
      <c r="J477"/>
      <c r="K477"/>
    </row>
    <row r="478" spans="1:11" x14ac:dyDescent="0.35">
      <c r="A478"/>
      <c r="B478"/>
      <c r="C478"/>
      <c r="D478"/>
      <c r="E478"/>
      <c r="F478"/>
      <c r="G478"/>
      <c r="H478"/>
      <c r="I478"/>
      <c r="J478"/>
      <c r="K478"/>
    </row>
    <row r="479" spans="1:11" x14ac:dyDescent="0.35">
      <c r="A479"/>
      <c r="B479"/>
      <c r="C479"/>
      <c r="D479"/>
      <c r="E479"/>
      <c r="F479"/>
      <c r="G479"/>
      <c r="H479"/>
      <c r="I479"/>
      <c r="J479"/>
      <c r="K479"/>
    </row>
    <row r="480" spans="1:11" x14ac:dyDescent="0.35">
      <c r="A480"/>
      <c r="B480"/>
      <c r="C480"/>
      <c r="D480"/>
      <c r="E480"/>
      <c r="F480"/>
      <c r="G480"/>
      <c r="H480"/>
      <c r="I480"/>
      <c r="J480"/>
      <c r="K480"/>
    </row>
    <row r="481" spans="1:11" x14ac:dyDescent="0.35">
      <c r="A481"/>
      <c r="B481"/>
      <c r="C481"/>
      <c r="D481"/>
      <c r="E481"/>
      <c r="F481"/>
      <c r="G481"/>
      <c r="H481"/>
      <c r="I481"/>
      <c r="J481"/>
      <c r="K481"/>
    </row>
    <row r="482" spans="1:11" x14ac:dyDescent="0.35">
      <c r="A482"/>
      <c r="B482"/>
      <c r="C482"/>
      <c r="D482"/>
      <c r="E482"/>
      <c r="F482"/>
      <c r="G482"/>
      <c r="H482"/>
      <c r="I482"/>
      <c r="J482"/>
      <c r="K482"/>
    </row>
    <row r="483" spans="1:11" x14ac:dyDescent="0.35">
      <c r="A483"/>
      <c r="B483"/>
      <c r="C483"/>
      <c r="D483"/>
      <c r="E483"/>
      <c r="F483"/>
      <c r="G483"/>
      <c r="H483"/>
      <c r="I483"/>
      <c r="J483"/>
      <c r="K483"/>
    </row>
    <row r="484" spans="1:11" x14ac:dyDescent="0.35">
      <c r="A484"/>
      <c r="B484"/>
      <c r="C484"/>
      <c r="D484"/>
      <c r="E484"/>
      <c r="F484"/>
      <c r="G484"/>
      <c r="H484"/>
      <c r="I484"/>
      <c r="J484"/>
      <c r="K484"/>
    </row>
    <row r="485" spans="1:11" x14ac:dyDescent="0.35">
      <c r="A485"/>
      <c r="B485"/>
      <c r="C485"/>
      <c r="D485"/>
      <c r="E485"/>
      <c r="F485"/>
      <c r="G485"/>
      <c r="H485"/>
      <c r="I485"/>
      <c r="J485"/>
      <c r="K485"/>
    </row>
    <row r="486" spans="1:11" x14ac:dyDescent="0.35">
      <c r="A486"/>
      <c r="B486"/>
      <c r="C486"/>
      <c r="D486"/>
      <c r="E486"/>
      <c r="F486"/>
      <c r="G486"/>
      <c r="H486"/>
      <c r="I486"/>
      <c r="J486"/>
      <c r="K486"/>
    </row>
    <row r="487" spans="1:11" x14ac:dyDescent="0.35">
      <c r="A487"/>
      <c r="B487"/>
      <c r="C487"/>
      <c r="D487"/>
      <c r="E487"/>
      <c r="F487"/>
      <c r="G487"/>
      <c r="H487"/>
      <c r="I487"/>
      <c r="J487"/>
      <c r="K487"/>
    </row>
    <row r="488" spans="1:11" x14ac:dyDescent="0.35">
      <c r="A488"/>
      <c r="B488"/>
      <c r="C488"/>
      <c r="D488"/>
      <c r="E488"/>
      <c r="F488"/>
      <c r="G488"/>
      <c r="H488"/>
      <c r="I488"/>
      <c r="J488"/>
      <c r="K488"/>
    </row>
    <row r="489" spans="1:11" x14ac:dyDescent="0.35">
      <c r="A489"/>
      <c r="B489"/>
      <c r="C489"/>
      <c r="D489"/>
      <c r="E489"/>
      <c r="F489"/>
      <c r="G489"/>
      <c r="H489"/>
      <c r="I489"/>
      <c r="J489"/>
      <c r="K489"/>
    </row>
    <row r="490" spans="1:11" x14ac:dyDescent="0.35">
      <c r="A490"/>
      <c r="B490"/>
      <c r="C490"/>
      <c r="D490"/>
      <c r="E490"/>
      <c r="F490"/>
      <c r="G490"/>
      <c r="H490"/>
      <c r="I490"/>
      <c r="J490"/>
      <c r="K490"/>
    </row>
    <row r="491" spans="1:11" x14ac:dyDescent="0.35">
      <c r="A491"/>
      <c r="B491"/>
      <c r="C491"/>
      <c r="D491"/>
      <c r="E491"/>
      <c r="F491"/>
      <c r="G491"/>
      <c r="H491"/>
      <c r="I491"/>
      <c r="J491"/>
      <c r="K491"/>
    </row>
    <row r="492" spans="1:11" x14ac:dyDescent="0.35">
      <c r="A492"/>
      <c r="B492"/>
      <c r="C492"/>
      <c r="D492"/>
      <c r="E492"/>
      <c r="F492"/>
      <c r="G492"/>
      <c r="H492"/>
      <c r="I492"/>
      <c r="J492"/>
      <c r="K492"/>
    </row>
    <row r="493" spans="1:11" x14ac:dyDescent="0.35">
      <c r="A493"/>
      <c r="B493"/>
      <c r="C493"/>
      <c r="D493"/>
      <c r="E493"/>
      <c r="F493"/>
      <c r="G493"/>
      <c r="H493"/>
      <c r="I493"/>
      <c r="J493"/>
      <c r="K493"/>
    </row>
    <row r="494" spans="1:11" x14ac:dyDescent="0.35">
      <c r="A494"/>
      <c r="B494"/>
      <c r="C494"/>
      <c r="D494"/>
      <c r="E494"/>
      <c r="F494"/>
      <c r="G494"/>
      <c r="H494"/>
      <c r="I494"/>
      <c r="J494"/>
      <c r="K494"/>
    </row>
    <row r="495" spans="1:11" x14ac:dyDescent="0.35">
      <c r="A495"/>
      <c r="B495"/>
      <c r="C495"/>
      <c r="D495"/>
      <c r="E495"/>
      <c r="F495"/>
      <c r="G495"/>
      <c r="H495"/>
      <c r="I495"/>
      <c r="J495"/>
      <c r="K495"/>
    </row>
    <row r="496" spans="1:11" x14ac:dyDescent="0.35">
      <c r="A496"/>
      <c r="B496"/>
      <c r="C496"/>
      <c r="D496"/>
      <c r="E496"/>
      <c r="F496"/>
      <c r="G496"/>
      <c r="H496"/>
      <c r="I496"/>
      <c r="J496"/>
      <c r="K496"/>
    </row>
    <row r="497" spans="1:11" x14ac:dyDescent="0.35">
      <c r="A497"/>
      <c r="B497"/>
      <c r="C497"/>
      <c r="D497"/>
      <c r="E497"/>
      <c r="F497"/>
      <c r="G497"/>
      <c r="H497"/>
      <c r="I497"/>
      <c r="J497"/>
      <c r="K497"/>
    </row>
    <row r="498" spans="1:11" x14ac:dyDescent="0.35">
      <c r="A498"/>
      <c r="B498"/>
      <c r="C498"/>
      <c r="D498"/>
      <c r="E498"/>
      <c r="F498"/>
      <c r="G498"/>
      <c r="H498"/>
      <c r="I498"/>
      <c r="J498"/>
      <c r="K498"/>
    </row>
    <row r="499" spans="1:11" x14ac:dyDescent="0.35">
      <c r="A499"/>
      <c r="B499"/>
      <c r="C499"/>
      <c r="D499"/>
      <c r="E499"/>
      <c r="F499"/>
      <c r="G499"/>
      <c r="H499"/>
      <c r="I499"/>
      <c r="J499"/>
      <c r="K499"/>
    </row>
    <row r="500" spans="1:11" x14ac:dyDescent="0.35">
      <c r="A500"/>
      <c r="B500"/>
      <c r="C500"/>
      <c r="D500"/>
      <c r="E500"/>
      <c r="F500"/>
      <c r="G500"/>
      <c r="H500"/>
      <c r="I500"/>
      <c r="J500"/>
      <c r="K500"/>
    </row>
    <row r="501" spans="1:11" x14ac:dyDescent="0.35">
      <c r="A501"/>
      <c r="B501"/>
      <c r="C501"/>
      <c r="D501"/>
      <c r="E501"/>
      <c r="F501"/>
      <c r="G501"/>
      <c r="H501"/>
      <c r="I501"/>
      <c r="J501"/>
      <c r="K501"/>
    </row>
    <row r="502" spans="1:11" x14ac:dyDescent="0.35">
      <c r="A502"/>
      <c r="B502"/>
      <c r="C502"/>
      <c r="D502"/>
      <c r="E502"/>
      <c r="F502"/>
      <c r="G502"/>
      <c r="H502"/>
      <c r="I502"/>
      <c r="J502"/>
      <c r="K502"/>
    </row>
    <row r="503" spans="1:11" x14ac:dyDescent="0.35">
      <c r="A503"/>
      <c r="B503"/>
      <c r="C503"/>
      <c r="D503"/>
      <c r="E503"/>
      <c r="F503"/>
      <c r="G503"/>
      <c r="H503"/>
      <c r="I503"/>
      <c r="J503"/>
      <c r="K503"/>
    </row>
    <row r="504" spans="1:11" x14ac:dyDescent="0.35">
      <c r="A504"/>
      <c r="B504"/>
      <c r="C504"/>
      <c r="D504"/>
      <c r="E504"/>
      <c r="F504"/>
      <c r="G504"/>
      <c r="H504"/>
      <c r="I504"/>
      <c r="J504"/>
      <c r="K504"/>
    </row>
    <row r="505" spans="1:11" x14ac:dyDescent="0.35">
      <c r="A505"/>
      <c r="B505"/>
      <c r="C505"/>
      <c r="D505"/>
      <c r="E505"/>
      <c r="F505"/>
      <c r="G505"/>
      <c r="H505"/>
      <c r="I505"/>
      <c r="J505"/>
      <c r="K505"/>
    </row>
    <row r="506" spans="1:11" x14ac:dyDescent="0.35">
      <c r="A506"/>
      <c r="B506"/>
      <c r="C506"/>
      <c r="D506"/>
      <c r="E506"/>
      <c r="F506"/>
      <c r="G506"/>
      <c r="H506"/>
      <c r="I506"/>
      <c r="J506"/>
      <c r="K506"/>
    </row>
    <row r="507" spans="1:11" x14ac:dyDescent="0.35">
      <c r="A507"/>
      <c r="B507"/>
      <c r="C507"/>
      <c r="D507"/>
      <c r="E507"/>
      <c r="F507"/>
      <c r="G507"/>
      <c r="H507"/>
      <c r="I507"/>
      <c r="J507"/>
      <c r="K507"/>
    </row>
    <row r="508" spans="1:11" x14ac:dyDescent="0.35">
      <c r="A508"/>
      <c r="B508"/>
      <c r="C508"/>
      <c r="D508"/>
      <c r="E508"/>
      <c r="F508"/>
      <c r="G508"/>
      <c r="H508"/>
      <c r="I508"/>
      <c r="J508"/>
      <c r="K508"/>
    </row>
    <row r="509" spans="1:11" x14ac:dyDescent="0.35">
      <c r="A509"/>
      <c r="B509"/>
      <c r="C509"/>
      <c r="D509"/>
      <c r="E509"/>
      <c r="F509"/>
      <c r="G509"/>
      <c r="H509"/>
      <c r="I509"/>
      <c r="J509"/>
      <c r="K509"/>
    </row>
    <row r="510" spans="1:11" x14ac:dyDescent="0.35">
      <c r="A510"/>
      <c r="B510"/>
      <c r="C510"/>
      <c r="D510"/>
      <c r="E510"/>
      <c r="F510"/>
      <c r="G510"/>
      <c r="H510"/>
      <c r="I510"/>
      <c r="J510"/>
      <c r="K510"/>
    </row>
    <row r="511" spans="1:11" x14ac:dyDescent="0.35">
      <c r="A511"/>
      <c r="B511"/>
      <c r="C511"/>
      <c r="D511"/>
      <c r="E511"/>
      <c r="F511"/>
      <c r="G511"/>
      <c r="H511"/>
      <c r="I511"/>
      <c r="J511"/>
      <c r="K511"/>
    </row>
    <row r="512" spans="1:11" x14ac:dyDescent="0.35">
      <c r="A512"/>
      <c r="B512"/>
      <c r="C512"/>
      <c r="D512"/>
      <c r="E512"/>
      <c r="F512"/>
      <c r="G512"/>
      <c r="H512"/>
      <c r="I512"/>
      <c r="J512"/>
      <c r="K512"/>
    </row>
    <row r="513" spans="1:11" x14ac:dyDescent="0.35">
      <c r="A513"/>
      <c r="B513"/>
      <c r="C513"/>
      <c r="D513"/>
      <c r="E513"/>
      <c r="F513"/>
      <c r="G513"/>
      <c r="H513"/>
      <c r="I513"/>
      <c r="J513"/>
      <c r="K513"/>
    </row>
    <row r="514" spans="1:11" x14ac:dyDescent="0.35">
      <c r="A514"/>
      <c r="B514"/>
      <c r="C514"/>
      <c r="D514"/>
      <c r="E514"/>
      <c r="F514"/>
      <c r="G514"/>
      <c r="H514"/>
      <c r="I514"/>
      <c r="J514"/>
      <c r="K514"/>
    </row>
    <row r="515" spans="1:11" x14ac:dyDescent="0.35">
      <c r="A515"/>
      <c r="B515"/>
      <c r="C515"/>
      <c r="D515"/>
      <c r="E515"/>
      <c r="F515"/>
      <c r="G515"/>
      <c r="H515"/>
      <c r="I515"/>
      <c r="J515"/>
      <c r="K515"/>
    </row>
    <row r="516" spans="1:11" x14ac:dyDescent="0.35">
      <c r="A516"/>
      <c r="B516"/>
      <c r="C516"/>
      <c r="D516"/>
      <c r="E516"/>
      <c r="F516"/>
      <c r="G516"/>
      <c r="H516"/>
      <c r="I516"/>
      <c r="J516"/>
      <c r="K516"/>
    </row>
    <row r="517" spans="1:11" x14ac:dyDescent="0.35">
      <c r="A517"/>
      <c r="B517"/>
      <c r="C517"/>
      <c r="D517"/>
      <c r="E517"/>
      <c r="F517"/>
      <c r="G517"/>
      <c r="H517"/>
      <c r="I517"/>
      <c r="J517"/>
      <c r="K517"/>
    </row>
    <row r="518" spans="1:11" x14ac:dyDescent="0.35">
      <c r="A518"/>
      <c r="B518"/>
      <c r="C518"/>
      <c r="D518"/>
      <c r="E518"/>
      <c r="F518"/>
      <c r="G518"/>
      <c r="H518"/>
      <c r="I518"/>
      <c r="J518"/>
      <c r="K518"/>
    </row>
    <row r="519" spans="1:11" x14ac:dyDescent="0.35">
      <c r="A519"/>
      <c r="B519"/>
      <c r="C519"/>
      <c r="D519"/>
      <c r="E519"/>
      <c r="F519"/>
      <c r="G519"/>
      <c r="H519"/>
      <c r="I519"/>
      <c r="J519"/>
      <c r="K519"/>
    </row>
    <row r="520" spans="1:11" x14ac:dyDescent="0.35">
      <c r="A520"/>
      <c r="B520"/>
      <c r="C520"/>
      <c r="D520"/>
      <c r="E520"/>
      <c r="F520"/>
      <c r="G520"/>
      <c r="H520"/>
      <c r="I520"/>
      <c r="J520"/>
      <c r="K520"/>
    </row>
    <row r="521" spans="1:11" x14ac:dyDescent="0.35">
      <c r="A521"/>
      <c r="B521"/>
      <c r="C521"/>
      <c r="D521"/>
      <c r="E521"/>
      <c r="F521"/>
      <c r="G521"/>
      <c r="H521"/>
      <c r="I521"/>
      <c r="J521"/>
      <c r="K521"/>
    </row>
    <row r="522" spans="1:11" x14ac:dyDescent="0.35">
      <c r="A522"/>
      <c r="B522"/>
      <c r="C522"/>
      <c r="D522"/>
      <c r="E522"/>
      <c r="F522"/>
      <c r="G522"/>
      <c r="H522"/>
      <c r="I522"/>
      <c r="J522"/>
      <c r="K522"/>
    </row>
    <row r="523" spans="1:11" x14ac:dyDescent="0.35">
      <c r="A523"/>
      <c r="B523"/>
      <c r="C523"/>
      <c r="D523"/>
      <c r="E523"/>
      <c r="F523"/>
      <c r="G523"/>
      <c r="H523"/>
      <c r="I523"/>
      <c r="J523"/>
      <c r="K523"/>
    </row>
    <row r="524" spans="1:11" x14ac:dyDescent="0.35">
      <c r="A524"/>
      <c r="B524"/>
      <c r="C524"/>
      <c r="D524"/>
      <c r="E524"/>
      <c r="F524"/>
      <c r="G524"/>
      <c r="H524"/>
      <c r="I524"/>
      <c r="J524"/>
      <c r="K524"/>
    </row>
    <row r="525" spans="1:11" x14ac:dyDescent="0.35">
      <c r="A525"/>
      <c r="B525"/>
      <c r="C525"/>
      <c r="D525"/>
      <c r="E525"/>
      <c r="F525"/>
      <c r="G525"/>
      <c r="H525"/>
      <c r="I525"/>
      <c r="J525"/>
      <c r="K525"/>
    </row>
    <row r="526" spans="1:11" x14ac:dyDescent="0.35">
      <c r="A526"/>
      <c r="B526"/>
      <c r="C526"/>
      <c r="D526"/>
      <c r="E526"/>
      <c r="F526"/>
      <c r="G526"/>
      <c r="H526"/>
      <c r="I526"/>
      <c r="J526"/>
      <c r="K526"/>
    </row>
    <row r="527" spans="1:11" x14ac:dyDescent="0.35">
      <c r="A527"/>
      <c r="B527"/>
      <c r="C527"/>
      <c r="D527"/>
      <c r="E527"/>
      <c r="F527"/>
      <c r="G527"/>
      <c r="H527"/>
      <c r="I527"/>
      <c r="J527"/>
      <c r="K527"/>
    </row>
    <row r="528" spans="1:11" x14ac:dyDescent="0.35">
      <c r="A528"/>
      <c r="B528"/>
      <c r="C528"/>
      <c r="D528"/>
      <c r="E528"/>
      <c r="F528"/>
      <c r="G528"/>
      <c r="H528"/>
      <c r="I528"/>
      <c r="J528"/>
      <c r="K528"/>
    </row>
    <row r="529" spans="1:11" x14ac:dyDescent="0.35">
      <c r="A529"/>
      <c r="B529"/>
      <c r="C529"/>
      <c r="D529"/>
      <c r="E529"/>
      <c r="F529"/>
      <c r="G529"/>
      <c r="H529"/>
      <c r="I529"/>
      <c r="J529"/>
      <c r="K529"/>
    </row>
    <row r="530" spans="1:11" x14ac:dyDescent="0.35">
      <c r="A530"/>
      <c r="B530"/>
      <c r="C530"/>
      <c r="D530"/>
      <c r="E530"/>
      <c r="F530"/>
      <c r="G530"/>
      <c r="H530"/>
      <c r="I530"/>
      <c r="J530"/>
      <c r="K530"/>
    </row>
    <row r="531" spans="1:11" x14ac:dyDescent="0.35">
      <c r="A531"/>
      <c r="B531"/>
      <c r="C531"/>
      <c r="D531"/>
      <c r="E531"/>
      <c r="F531"/>
      <c r="G531"/>
      <c r="H531"/>
      <c r="I531"/>
      <c r="J531"/>
      <c r="K531"/>
    </row>
    <row r="532" spans="1:11" x14ac:dyDescent="0.35">
      <c r="A532"/>
      <c r="B532"/>
      <c r="C532"/>
      <c r="D532"/>
      <c r="E532"/>
      <c r="F532"/>
      <c r="G532"/>
      <c r="H532"/>
      <c r="I532"/>
      <c r="J532"/>
      <c r="K532"/>
    </row>
    <row r="533" spans="1:11" x14ac:dyDescent="0.35">
      <c r="A533"/>
      <c r="B533"/>
      <c r="C533"/>
      <c r="D533"/>
      <c r="E533"/>
      <c r="F533"/>
      <c r="G533"/>
      <c r="H533"/>
      <c r="I533"/>
      <c r="J533"/>
      <c r="K533"/>
    </row>
    <row r="534" spans="1:11" x14ac:dyDescent="0.35">
      <c r="A534"/>
      <c r="B534"/>
      <c r="C534"/>
      <c r="D534"/>
      <c r="E534"/>
      <c r="F534"/>
      <c r="G534"/>
      <c r="H534"/>
      <c r="I534"/>
      <c r="J534"/>
      <c r="K534"/>
    </row>
    <row r="535" spans="1:11" x14ac:dyDescent="0.35">
      <c r="A535"/>
      <c r="B535"/>
      <c r="C535"/>
      <c r="D535"/>
      <c r="E535"/>
      <c r="F535"/>
      <c r="G535"/>
      <c r="H535"/>
      <c r="I535"/>
      <c r="J535"/>
      <c r="K535"/>
    </row>
    <row r="536" spans="1:11" x14ac:dyDescent="0.35">
      <c r="A536"/>
      <c r="B536"/>
      <c r="C536"/>
      <c r="D536"/>
      <c r="E536"/>
      <c r="F536"/>
      <c r="G536"/>
      <c r="H536"/>
      <c r="I536"/>
      <c r="J536"/>
      <c r="K536"/>
    </row>
    <row r="537" spans="1:11" x14ac:dyDescent="0.35">
      <c r="A537"/>
      <c r="B537"/>
      <c r="C537"/>
      <c r="D537"/>
      <c r="E537"/>
      <c r="F537"/>
      <c r="G537"/>
      <c r="H537"/>
      <c r="I537"/>
      <c r="J537"/>
      <c r="K537"/>
    </row>
    <row r="538" spans="1:11" x14ac:dyDescent="0.35">
      <c r="A538"/>
      <c r="B538"/>
      <c r="C538"/>
      <c r="D538"/>
      <c r="E538"/>
      <c r="F538"/>
      <c r="G538"/>
      <c r="H538"/>
      <c r="I538"/>
      <c r="J538"/>
      <c r="K538"/>
    </row>
    <row r="539" spans="1:11" x14ac:dyDescent="0.35">
      <c r="A539"/>
      <c r="B539"/>
      <c r="C539"/>
      <c r="D539"/>
      <c r="E539"/>
      <c r="F539"/>
      <c r="G539"/>
      <c r="H539"/>
      <c r="I539"/>
      <c r="J539"/>
      <c r="K539"/>
    </row>
    <row r="540" spans="1:11" x14ac:dyDescent="0.35">
      <c r="A540"/>
      <c r="B540"/>
      <c r="C540"/>
      <c r="D540"/>
      <c r="E540"/>
      <c r="F540"/>
      <c r="G540"/>
      <c r="H540"/>
      <c r="I540"/>
      <c r="J540"/>
      <c r="K540"/>
    </row>
    <row r="541" spans="1:11" x14ac:dyDescent="0.35">
      <c r="A541"/>
      <c r="B541"/>
      <c r="C541"/>
      <c r="D541"/>
      <c r="E541"/>
      <c r="F541"/>
      <c r="G541"/>
      <c r="H541"/>
      <c r="I541"/>
      <c r="J541"/>
      <c r="K541"/>
    </row>
    <row r="542" spans="1:11" x14ac:dyDescent="0.35">
      <c r="A542"/>
      <c r="B542"/>
      <c r="C542"/>
      <c r="D542"/>
      <c r="E542"/>
      <c r="F542"/>
      <c r="G542"/>
      <c r="H542"/>
      <c r="I542"/>
      <c r="J542"/>
      <c r="K542"/>
    </row>
    <row r="543" spans="1:11" x14ac:dyDescent="0.35">
      <c r="A543"/>
      <c r="B543"/>
      <c r="C543"/>
      <c r="D543"/>
      <c r="E543"/>
      <c r="F543"/>
      <c r="G543"/>
      <c r="H543"/>
      <c r="I543"/>
      <c r="J543"/>
      <c r="K543"/>
    </row>
    <row r="544" spans="1:11" x14ac:dyDescent="0.35">
      <c r="A544"/>
      <c r="B544"/>
      <c r="C544"/>
      <c r="D544"/>
      <c r="E544"/>
      <c r="F544"/>
      <c r="G544"/>
      <c r="H544"/>
      <c r="I544"/>
      <c r="J544"/>
      <c r="K544"/>
    </row>
    <row r="545" spans="1:11" x14ac:dyDescent="0.35">
      <c r="A545"/>
      <c r="B545"/>
      <c r="C545"/>
      <c r="D545"/>
      <c r="E545"/>
      <c r="F545"/>
      <c r="G545"/>
      <c r="H545"/>
      <c r="I545"/>
      <c r="J545"/>
      <c r="K545"/>
    </row>
    <row r="546" spans="1:11" x14ac:dyDescent="0.35">
      <c r="A546"/>
      <c r="B546"/>
      <c r="C546"/>
      <c r="D546"/>
      <c r="E546"/>
      <c r="F546"/>
      <c r="G546"/>
      <c r="H546"/>
      <c r="I546"/>
      <c r="J546"/>
      <c r="K546"/>
    </row>
    <row r="547" spans="1:11" x14ac:dyDescent="0.35">
      <c r="A547"/>
      <c r="B547"/>
      <c r="C547"/>
      <c r="D547"/>
      <c r="E547"/>
      <c r="F547"/>
      <c r="G547"/>
      <c r="H547"/>
      <c r="I547"/>
      <c r="J547"/>
      <c r="K547"/>
    </row>
    <row r="548" spans="1:11" x14ac:dyDescent="0.35">
      <c r="A548"/>
      <c r="B548"/>
      <c r="C548"/>
      <c r="D548"/>
      <c r="E548"/>
      <c r="F548"/>
      <c r="G548"/>
      <c r="H548"/>
      <c r="I548"/>
      <c r="J548"/>
      <c r="K548"/>
    </row>
    <row r="549" spans="1:11" x14ac:dyDescent="0.35">
      <c r="A549"/>
      <c r="B549"/>
      <c r="C549"/>
      <c r="D549"/>
      <c r="E549"/>
      <c r="F549"/>
      <c r="G549"/>
      <c r="H549"/>
      <c r="I549"/>
      <c r="J549"/>
      <c r="K549"/>
    </row>
    <row r="550" spans="1:11" x14ac:dyDescent="0.35">
      <c r="A550"/>
      <c r="B550"/>
      <c r="C550"/>
      <c r="D550"/>
      <c r="E550"/>
      <c r="F550"/>
      <c r="G550"/>
      <c r="H550"/>
      <c r="I550"/>
      <c r="J550"/>
      <c r="K550"/>
    </row>
    <row r="551" spans="1:11" x14ac:dyDescent="0.35">
      <c r="A551"/>
      <c r="B551"/>
      <c r="C551"/>
      <c r="D551"/>
      <c r="E551"/>
      <c r="F551"/>
      <c r="G551"/>
      <c r="H551"/>
      <c r="I551"/>
      <c r="J551"/>
      <c r="K551"/>
    </row>
    <row r="552" spans="1:11" x14ac:dyDescent="0.35">
      <c r="A552"/>
      <c r="B552"/>
      <c r="C552"/>
      <c r="D552"/>
      <c r="E552"/>
      <c r="F552"/>
      <c r="G552"/>
      <c r="H552"/>
      <c r="I552"/>
      <c r="J552"/>
      <c r="K552"/>
    </row>
    <row r="553" spans="1:11" x14ac:dyDescent="0.35">
      <c r="A553"/>
      <c r="B553"/>
      <c r="C553"/>
      <c r="D553"/>
      <c r="E553"/>
      <c r="F553"/>
      <c r="G553"/>
      <c r="H553"/>
      <c r="I553"/>
      <c r="J553"/>
      <c r="K553"/>
    </row>
    <row r="554" spans="1:11" x14ac:dyDescent="0.35">
      <c r="A554"/>
      <c r="B554"/>
      <c r="C554"/>
      <c r="D554"/>
      <c r="E554"/>
      <c r="F554"/>
      <c r="G554"/>
      <c r="H554"/>
      <c r="I554"/>
      <c r="J554"/>
      <c r="K554"/>
    </row>
    <row r="555" spans="1:11" x14ac:dyDescent="0.35">
      <c r="A555"/>
      <c r="B555"/>
      <c r="C555"/>
      <c r="D555"/>
      <c r="E555"/>
      <c r="F555"/>
      <c r="G555"/>
      <c r="H555"/>
      <c r="I555"/>
      <c r="J555"/>
      <c r="K555"/>
    </row>
    <row r="556" spans="1:11" x14ac:dyDescent="0.35">
      <c r="A556"/>
      <c r="B556"/>
      <c r="C556"/>
      <c r="D556"/>
      <c r="E556"/>
      <c r="F556"/>
      <c r="G556"/>
      <c r="H556"/>
      <c r="I556"/>
      <c r="J556"/>
      <c r="K556"/>
    </row>
    <row r="557" spans="1:11" x14ac:dyDescent="0.35">
      <c r="A557"/>
      <c r="B557"/>
      <c r="C557"/>
      <c r="D557"/>
      <c r="E557"/>
      <c r="F557"/>
      <c r="G557"/>
      <c r="H557"/>
      <c r="I557"/>
      <c r="J557"/>
      <c r="K557"/>
    </row>
    <row r="558" spans="1:11" x14ac:dyDescent="0.35">
      <c r="A558"/>
      <c r="B558"/>
      <c r="C558"/>
      <c r="D558"/>
      <c r="E558"/>
      <c r="F558"/>
      <c r="G558"/>
      <c r="H558"/>
      <c r="I558"/>
      <c r="J558"/>
      <c r="K558"/>
    </row>
    <row r="559" spans="1:11" x14ac:dyDescent="0.35">
      <c r="A559"/>
      <c r="B559"/>
      <c r="C559"/>
      <c r="D559"/>
      <c r="E559"/>
      <c r="F559"/>
      <c r="G559"/>
      <c r="H559"/>
      <c r="I559"/>
      <c r="J559"/>
      <c r="K559"/>
    </row>
    <row r="560" spans="1:11" x14ac:dyDescent="0.35">
      <c r="A560"/>
      <c r="B560"/>
      <c r="C560"/>
      <c r="D560"/>
      <c r="E560"/>
      <c r="F560"/>
      <c r="G560"/>
      <c r="H560"/>
      <c r="I560"/>
      <c r="J560"/>
      <c r="K560"/>
    </row>
    <row r="561" spans="1:11" x14ac:dyDescent="0.35">
      <c r="A561"/>
      <c r="B561"/>
      <c r="C561"/>
      <c r="D561"/>
      <c r="E561"/>
      <c r="F561"/>
      <c r="G561"/>
      <c r="H561"/>
      <c r="I561"/>
      <c r="J561"/>
      <c r="K561"/>
    </row>
    <row r="562" spans="1:11" x14ac:dyDescent="0.35">
      <c r="A562"/>
      <c r="B562"/>
      <c r="C562"/>
      <c r="D562"/>
      <c r="E562"/>
      <c r="F562"/>
      <c r="G562"/>
      <c r="H562"/>
      <c r="I562"/>
      <c r="J562"/>
      <c r="K562"/>
    </row>
    <row r="563" spans="1:11" x14ac:dyDescent="0.35">
      <c r="A563"/>
      <c r="B563"/>
      <c r="C563"/>
      <c r="D563"/>
      <c r="E563"/>
      <c r="F563"/>
      <c r="G563"/>
      <c r="H563"/>
      <c r="I563"/>
      <c r="J563"/>
      <c r="K563"/>
    </row>
    <row r="564" spans="1:11" x14ac:dyDescent="0.35">
      <c r="A564"/>
      <c r="B564"/>
      <c r="C564"/>
      <c r="D564"/>
      <c r="E564"/>
      <c r="F564"/>
      <c r="G564"/>
      <c r="H564"/>
      <c r="I564"/>
      <c r="J564"/>
      <c r="K564"/>
    </row>
    <row r="565" spans="1:11" x14ac:dyDescent="0.35">
      <c r="A565"/>
      <c r="B565"/>
      <c r="C565"/>
      <c r="D565"/>
      <c r="E565"/>
      <c r="F565"/>
      <c r="G565"/>
      <c r="H565"/>
      <c r="I565"/>
      <c r="J565"/>
      <c r="K565"/>
    </row>
    <row r="566" spans="1:11" x14ac:dyDescent="0.35">
      <c r="A566"/>
      <c r="B566"/>
      <c r="C566"/>
      <c r="D566"/>
      <c r="E566"/>
      <c r="F566"/>
      <c r="G566"/>
      <c r="H566"/>
      <c r="I566"/>
      <c r="J566"/>
      <c r="K566"/>
    </row>
    <row r="567" spans="1:11" x14ac:dyDescent="0.35">
      <c r="A567"/>
      <c r="B567"/>
      <c r="C567"/>
      <c r="D567"/>
      <c r="E567"/>
      <c r="F567"/>
      <c r="G567"/>
      <c r="H567"/>
      <c r="I567"/>
      <c r="J567"/>
      <c r="K567"/>
    </row>
    <row r="568" spans="1:11" x14ac:dyDescent="0.35">
      <c r="A568"/>
      <c r="B568"/>
      <c r="C568"/>
      <c r="D568"/>
      <c r="E568"/>
      <c r="F568"/>
      <c r="G568"/>
      <c r="H568"/>
      <c r="I568"/>
      <c r="J568"/>
      <c r="K568"/>
    </row>
    <row r="569" spans="1:11" x14ac:dyDescent="0.35">
      <c r="A569"/>
      <c r="B569"/>
      <c r="C569"/>
      <c r="D569"/>
      <c r="E569"/>
      <c r="F569"/>
      <c r="G569"/>
      <c r="H569"/>
      <c r="I569"/>
      <c r="J569"/>
      <c r="K569"/>
    </row>
    <row r="570" spans="1:11" x14ac:dyDescent="0.35">
      <c r="A570"/>
      <c r="B570"/>
      <c r="C570"/>
      <c r="D570"/>
      <c r="E570"/>
      <c r="F570"/>
      <c r="G570"/>
      <c r="H570"/>
      <c r="I570"/>
      <c r="J570"/>
      <c r="K570"/>
    </row>
    <row r="571" spans="1:11" x14ac:dyDescent="0.35">
      <c r="A571"/>
      <c r="B571"/>
      <c r="C571"/>
      <c r="D571"/>
      <c r="E571"/>
      <c r="F571"/>
      <c r="G571"/>
      <c r="H571"/>
      <c r="I571"/>
      <c r="J571"/>
      <c r="K571"/>
    </row>
    <row r="572" spans="1:11" x14ac:dyDescent="0.35">
      <c r="A572"/>
      <c r="B572"/>
      <c r="C572"/>
      <c r="D572"/>
      <c r="E572"/>
      <c r="F572"/>
      <c r="G572"/>
      <c r="H572"/>
      <c r="I572"/>
      <c r="J572"/>
      <c r="K572"/>
    </row>
    <row r="573" spans="1:11" x14ac:dyDescent="0.35">
      <c r="A573"/>
      <c r="B573"/>
      <c r="C573"/>
      <c r="D573"/>
      <c r="E573"/>
      <c r="F573"/>
      <c r="G573"/>
      <c r="H573"/>
      <c r="I573"/>
      <c r="J573"/>
      <c r="K573"/>
    </row>
    <row r="574" spans="1:11" x14ac:dyDescent="0.35">
      <c r="A574"/>
      <c r="B574"/>
      <c r="C574"/>
      <c r="D574"/>
      <c r="E574"/>
      <c r="F574"/>
      <c r="G574"/>
      <c r="H574"/>
      <c r="I574"/>
      <c r="J574"/>
      <c r="K574"/>
    </row>
    <row r="575" spans="1:11" x14ac:dyDescent="0.35">
      <c r="A575"/>
      <c r="B575"/>
      <c r="C575"/>
      <c r="D575"/>
      <c r="E575"/>
      <c r="F575"/>
      <c r="G575"/>
      <c r="H575"/>
      <c r="I575"/>
      <c r="J575"/>
      <c r="K575"/>
    </row>
    <row r="576" spans="1:11" x14ac:dyDescent="0.35">
      <c r="A576"/>
      <c r="B576"/>
      <c r="C576"/>
      <c r="D576"/>
      <c r="E576"/>
      <c r="F576"/>
      <c r="G576"/>
      <c r="H576"/>
      <c r="I576"/>
      <c r="J576"/>
      <c r="K576"/>
    </row>
    <row r="577" spans="1:11" x14ac:dyDescent="0.35">
      <c r="A577"/>
      <c r="B577"/>
      <c r="C577"/>
      <c r="D577"/>
      <c r="E577"/>
      <c r="F577"/>
      <c r="G577"/>
      <c r="H577"/>
      <c r="I577"/>
      <c r="J577"/>
      <c r="K577"/>
    </row>
    <row r="578" spans="1:11" x14ac:dyDescent="0.35">
      <c r="A578"/>
      <c r="B578"/>
      <c r="C578"/>
      <c r="D578"/>
      <c r="E578"/>
      <c r="F578"/>
      <c r="G578"/>
      <c r="H578"/>
      <c r="I578"/>
      <c r="J578"/>
      <c r="K578"/>
    </row>
    <row r="579" spans="1:11" x14ac:dyDescent="0.35">
      <c r="A579"/>
      <c r="B579"/>
      <c r="C579"/>
      <c r="D579"/>
      <c r="E579"/>
      <c r="F579"/>
      <c r="G579"/>
      <c r="H579"/>
      <c r="I579"/>
      <c r="J579"/>
      <c r="K579"/>
    </row>
    <row r="580" spans="1:11" x14ac:dyDescent="0.35">
      <c r="A580"/>
      <c r="B580"/>
      <c r="C580"/>
      <c r="D580"/>
      <c r="E580"/>
      <c r="F580"/>
      <c r="G580"/>
      <c r="H580"/>
      <c r="I580"/>
      <c r="J580"/>
      <c r="K580"/>
    </row>
    <row r="581" spans="1:11" x14ac:dyDescent="0.35">
      <c r="A581"/>
      <c r="B581"/>
      <c r="C581"/>
      <c r="D581"/>
      <c r="E581"/>
      <c r="F581"/>
      <c r="G581"/>
      <c r="H581"/>
      <c r="I581"/>
      <c r="J581"/>
      <c r="K581"/>
    </row>
    <row r="582" spans="1:11" x14ac:dyDescent="0.35">
      <c r="A582"/>
      <c r="B582"/>
      <c r="C582"/>
      <c r="D582"/>
      <c r="E582"/>
      <c r="F582"/>
      <c r="G582"/>
      <c r="H582"/>
      <c r="I582"/>
      <c r="J582"/>
      <c r="K582"/>
    </row>
    <row r="694" spans="3:5" x14ac:dyDescent="0.35">
      <c r="C694" s="41"/>
      <c r="D694" s="41"/>
      <c r="E694" s="41"/>
    </row>
    <row r="695" spans="3:5" x14ac:dyDescent="0.35">
      <c r="C695" s="41"/>
      <c r="D695" s="41"/>
      <c r="E695" s="41"/>
    </row>
    <row r="696" spans="3:5" x14ac:dyDescent="0.35">
      <c r="C696" s="41"/>
      <c r="D696" s="41"/>
      <c r="E696" s="41"/>
    </row>
    <row r="697" spans="3:5" x14ac:dyDescent="0.35">
      <c r="C697" s="41"/>
      <c r="D697" s="41"/>
      <c r="E697" s="41"/>
    </row>
    <row r="698" spans="3:5" x14ac:dyDescent="0.35">
      <c r="C698" s="41"/>
      <c r="D698" s="41"/>
      <c r="E698" s="41"/>
    </row>
    <row r="699" spans="3:5" x14ac:dyDescent="0.35">
      <c r="C699" s="41"/>
      <c r="D699" s="41"/>
      <c r="E699" s="41"/>
    </row>
    <row r="700" spans="3:5" x14ac:dyDescent="0.35">
      <c r="C700" s="41"/>
      <c r="D700" s="41"/>
      <c r="E700" s="41"/>
    </row>
    <row r="701" spans="3:5" x14ac:dyDescent="0.35">
      <c r="C701" s="41"/>
      <c r="D701" s="41"/>
      <c r="E701" s="41"/>
    </row>
    <row r="702" spans="3:5" x14ac:dyDescent="0.35">
      <c r="C702" s="41"/>
      <c r="D702" s="41"/>
      <c r="E702" s="41"/>
    </row>
    <row r="703" spans="3:5" x14ac:dyDescent="0.35">
      <c r="C703" s="41"/>
      <c r="D703" s="41"/>
      <c r="E703" s="41"/>
    </row>
    <row r="704" spans="3:5" x14ac:dyDescent="0.35">
      <c r="C704" s="41"/>
      <c r="D704" s="41"/>
      <c r="E704" s="41"/>
    </row>
    <row r="705" spans="2:5" x14ac:dyDescent="0.35">
      <c r="C705" s="41"/>
      <c r="D705" s="41"/>
      <c r="E705" s="41"/>
    </row>
    <row r="711" spans="2:5" x14ac:dyDescent="0.35">
      <c r="B711" s="42"/>
    </row>
    <row r="1774" spans="2:2" x14ac:dyDescent="0.35">
      <c r="B1774" s="42"/>
    </row>
    <row r="1775" spans="2:2" x14ac:dyDescent="0.35">
      <c r="B1775" s="42"/>
    </row>
    <row r="1912" spans="2:2" x14ac:dyDescent="0.35">
      <c r="B1912" s="42"/>
    </row>
    <row r="1986" spans="2:2" x14ac:dyDescent="0.35">
      <c r="B1986" s="42"/>
    </row>
    <row r="1987" spans="2:2" x14ac:dyDescent="0.35">
      <c r="B1987" s="42"/>
    </row>
    <row r="2092" spans="2:2" x14ac:dyDescent="0.35">
      <c r="B2092" s="42"/>
    </row>
  </sheetData>
  <sortState xmlns:xlrd2="http://schemas.microsoft.com/office/spreadsheetml/2017/richdata2" ref="D2:D2092">
    <sortCondition ref="D2:D209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Ashmitha Senthilkumar</dc:creator>
  <cp:lastModifiedBy>Subramanian Parkavi</cp:lastModifiedBy>
  <cp:lastPrinted>2024-10-29T05:18:35Z</cp:lastPrinted>
  <dcterms:created xsi:type="dcterms:W3CDTF">2024-05-21T03:57:22Z</dcterms:created>
  <dcterms:modified xsi:type="dcterms:W3CDTF">2026-05-07T15:48:11Z</dcterms:modified>
</cp:coreProperties>
</file>