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D:\NORTHUMBRIA\AP0606 - FYP research project\"/>
    </mc:Choice>
  </mc:AlternateContent>
  <xr:revisionPtr revIDLastSave="0" documentId="13_ncr:1_{FAE1F43B-6AD2-490A-9F92-117CF7B0B5A8}" xr6:coauthVersionLast="36" xr6:coauthVersionMax="36" xr10:uidLastSave="{00000000-0000-0000-0000-000000000000}"/>
  <bookViews>
    <workbookView xWindow="0" yWindow="0" windowWidth="16185" windowHeight="6653" activeTab="5" xr2:uid="{00000000-000D-0000-FFFF-FFFF00000000}"/>
  </bookViews>
  <sheets>
    <sheet name="Information" sheetId="2" r:id="rId1"/>
    <sheet name="Peptides" sheetId="1" r:id="rId2"/>
    <sheet name="EC number" sheetId="3" r:id="rId3"/>
    <sheet name="Metabolites" sheetId="8" r:id="rId4"/>
    <sheet name="Enzymes" sheetId="6" r:id="rId5"/>
    <sheet name="Reactions" sheetId="4" r:id="rId6"/>
  </sheets>
  <definedNames>
    <definedName name="_xlnm._FilterDatabase" localSheetId="1" hidden="1">Peptides!$B$2:$C$2</definedName>
    <definedName name="Z_F9B45C10_3ABA_4AFD_861C_93BE5D0D4A37_.wvu.FilterData" localSheetId="1" hidden="1">Peptides!$B$2:$C$2</definedName>
  </definedNames>
  <calcPr calcId="191029"/>
  <customWorkbookViews>
    <customWorkbookView name="Ashmitha Senthilkumar - Personal View" guid="{F9B45C10-3ABA-4AFD-861C-93BE5D0D4A37}" mergeInterval="0" personalView="1" maximized="1" xWindow="-11" yWindow="-11" windowWidth="1942" windowHeight="1030" activeSheetId="3"/>
  </customWorkbookViews>
</workbook>
</file>

<file path=xl/calcChain.xml><?xml version="1.0" encoding="utf-8"?>
<calcChain xmlns="http://schemas.openxmlformats.org/spreadsheetml/2006/main">
  <c r="E572" i="4" l="1"/>
  <c r="E573" i="4"/>
  <c r="E574" i="4"/>
  <c r="J574" i="4" s="1"/>
  <c r="K574" i="4" s="1"/>
  <c r="E575" i="4"/>
  <c r="E576" i="4"/>
  <c r="E577" i="4"/>
  <c r="J577" i="4" s="1"/>
  <c r="K577" i="4" s="1"/>
  <c r="E578" i="4"/>
  <c r="J578" i="4" s="1"/>
  <c r="K578" i="4" s="1"/>
  <c r="E579" i="4"/>
  <c r="E580" i="4"/>
  <c r="J580" i="4" s="1"/>
  <c r="K580" i="4" s="1"/>
  <c r="E581" i="4"/>
  <c r="J581" i="4" s="1"/>
  <c r="K581" i="4" s="1"/>
  <c r="E582" i="4"/>
  <c r="E583" i="4"/>
  <c r="E584" i="4"/>
  <c r="J584" i="4" s="1"/>
  <c r="K584" i="4" s="1"/>
  <c r="E585" i="4"/>
  <c r="J585" i="4" s="1"/>
  <c r="K585" i="4" s="1"/>
  <c r="E586" i="4"/>
  <c r="J586" i="4" s="1"/>
  <c r="K586" i="4" s="1"/>
  <c r="E587" i="4"/>
  <c r="J587" i="4" s="1"/>
  <c r="K587" i="4" s="1"/>
  <c r="E588" i="4"/>
  <c r="E589" i="4"/>
  <c r="J589" i="4" s="1"/>
  <c r="K589" i="4" s="1"/>
  <c r="E590" i="4"/>
  <c r="J590" i="4" s="1"/>
  <c r="K590" i="4" s="1"/>
  <c r="E591" i="4"/>
  <c r="E592" i="4"/>
  <c r="E593" i="4"/>
  <c r="E594" i="4"/>
  <c r="J594" i="4" s="1"/>
  <c r="K594" i="4" s="1"/>
  <c r="E595" i="4"/>
  <c r="E596" i="4"/>
  <c r="J596" i="4" s="1"/>
  <c r="K596" i="4" s="1"/>
  <c r="E597" i="4"/>
  <c r="E598" i="4"/>
  <c r="E599" i="4"/>
  <c r="E600" i="4"/>
  <c r="E601" i="4"/>
  <c r="E602" i="4"/>
  <c r="E603" i="4"/>
  <c r="J603" i="4" s="1"/>
  <c r="K603" i="4" s="1"/>
  <c r="E604" i="4"/>
  <c r="E605" i="4"/>
  <c r="J605" i="4" s="1"/>
  <c r="K605" i="4" s="1"/>
  <c r="E606" i="4"/>
  <c r="J606" i="4" s="1"/>
  <c r="K606" i="4" s="1"/>
  <c r="E607" i="4"/>
  <c r="E608" i="4"/>
  <c r="J608" i="4" s="1"/>
  <c r="K608" i="4" s="1"/>
  <c r="E609" i="4"/>
  <c r="J609" i="4" s="1"/>
  <c r="K609" i="4" s="1"/>
  <c r="E610" i="4"/>
  <c r="J610" i="4" s="1"/>
  <c r="K610" i="4" s="1"/>
  <c r="E611" i="4"/>
  <c r="J611" i="4" s="1"/>
  <c r="K611" i="4" s="1"/>
  <c r="E612" i="4"/>
  <c r="J612" i="4" s="1"/>
  <c r="K612" i="4" s="1"/>
  <c r="E613" i="4"/>
  <c r="J613" i="4" s="1"/>
  <c r="K613" i="4" s="1"/>
  <c r="E614" i="4"/>
  <c r="J614" i="4" s="1"/>
  <c r="K614" i="4" s="1"/>
  <c r="E615" i="4"/>
  <c r="J615" i="4" s="1"/>
  <c r="K615" i="4" s="1"/>
  <c r="E616" i="4"/>
  <c r="J616" i="4" s="1"/>
  <c r="K616" i="4" s="1"/>
  <c r="E617" i="4"/>
  <c r="J617" i="4" s="1"/>
  <c r="K617" i="4" s="1"/>
  <c r="E618" i="4"/>
  <c r="J618" i="4" s="1"/>
  <c r="K618" i="4" s="1"/>
  <c r="E619" i="4"/>
  <c r="J619" i="4" s="1"/>
  <c r="K619" i="4" s="1"/>
  <c r="E620" i="4"/>
  <c r="E621" i="4"/>
  <c r="E622" i="4"/>
  <c r="E623" i="4"/>
  <c r="E624" i="4"/>
  <c r="E625" i="4"/>
  <c r="J625" i="4" s="1"/>
  <c r="K625" i="4" s="1"/>
  <c r="E626" i="4"/>
  <c r="J626" i="4" s="1"/>
  <c r="K626" i="4" s="1"/>
  <c r="E627" i="4"/>
  <c r="E628" i="4"/>
  <c r="J628" i="4" s="1"/>
  <c r="K628" i="4" s="1"/>
  <c r="E629" i="4"/>
  <c r="J629" i="4" s="1"/>
  <c r="K629" i="4" s="1"/>
  <c r="E630" i="4"/>
  <c r="E631" i="4"/>
  <c r="J631" i="4" s="1"/>
  <c r="K631" i="4" s="1"/>
  <c r="E632" i="4"/>
  <c r="E633" i="4"/>
  <c r="J633" i="4" s="1"/>
  <c r="K633" i="4" s="1"/>
  <c r="E634" i="4"/>
  <c r="J634" i="4" s="1"/>
  <c r="K634" i="4" s="1"/>
  <c r="E635" i="4"/>
  <c r="J635" i="4" s="1"/>
  <c r="K635" i="4" s="1"/>
  <c r="E636" i="4"/>
  <c r="E637" i="4"/>
  <c r="E638" i="4"/>
  <c r="J638" i="4" s="1"/>
  <c r="K638" i="4" s="1"/>
  <c r="E639" i="4"/>
  <c r="E640" i="4"/>
  <c r="E641" i="4"/>
  <c r="J641" i="4" s="1"/>
  <c r="K641" i="4" s="1"/>
  <c r="E642" i="4"/>
  <c r="J642" i="4" s="1"/>
  <c r="K642" i="4" s="1"/>
  <c r="E643" i="4"/>
  <c r="J643" i="4" s="1"/>
  <c r="K643" i="4" s="1"/>
  <c r="E644" i="4"/>
  <c r="J644" i="4" s="1"/>
  <c r="K644" i="4" s="1"/>
  <c r="E645" i="4"/>
  <c r="J645" i="4" s="1"/>
  <c r="K645" i="4" s="1"/>
  <c r="E646" i="4"/>
  <c r="J646" i="4" s="1"/>
  <c r="K646" i="4" s="1"/>
  <c r="E647" i="4"/>
  <c r="J647" i="4" s="1"/>
  <c r="K647" i="4" s="1"/>
  <c r="E648" i="4"/>
  <c r="J648" i="4" s="1"/>
  <c r="K648" i="4" s="1"/>
  <c r="E649" i="4"/>
  <c r="J649" i="4" s="1"/>
  <c r="K649" i="4" s="1"/>
  <c r="E650" i="4"/>
  <c r="J650" i="4" s="1"/>
  <c r="K650" i="4" s="1"/>
  <c r="E651" i="4"/>
  <c r="J651" i="4" s="1"/>
  <c r="K651" i="4" s="1"/>
  <c r="E652" i="4"/>
  <c r="E653" i="4"/>
  <c r="E654" i="4"/>
  <c r="E655" i="4"/>
  <c r="E656" i="4"/>
  <c r="E657" i="4"/>
  <c r="J657" i="4" s="1"/>
  <c r="K657" i="4" s="1"/>
  <c r="E658" i="4"/>
  <c r="E659" i="4"/>
  <c r="J659" i="4" s="1"/>
  <c r="K659" i="4" s="1"/>
  <c r="E660" i="4"/>
  <c r="J660" i="4" s="1"/>
  <c r="K660" i="4" s="1"/>
  <c r="E661" i="4"/>
  <c r="J661" i="4" s="1"/>
  <c r="K661" i="4" s="1"/>
  <c r="E662" i="4"/>
  <c r="J662" i="4" s="1"/>
  <c r="K662" i="4" s="1"/>
  <c r="E663" i="4"/>
  <c r="J663" i="4" s="1"/>
  <c r="K663" i="4" s="1"/>
  <c r="E664" i="4"/>
  <c r="J664" i="4" s="1"/>
  <c r="K664" i="4" s="1"/>
  <c r="E665" i="4"/>
  <c r="J665" i="4" s="1"/>
  <c r="K665" i="4" s="1"/>
  <c r="E666" i="4"/>
  <c r="J666" i="4" s="1"/>
  <c r="K666" i="4" s="1"/>
  <c r="E667" i="4"/>
  <c r="J667" i="4" s="1"/>
  <c r="K667" i="4" s="1"/>
  <c r="E668" i="4"/>
  <c r="E669" i="4"/>
  <c r="E670" i="4"/>
  <c r="E671" i="4"/>
  <c r="E672" i="4"/>
  <c r="E673" i="4"/>
  <c r="E674" i="4"/>
  <c r="E675" i="4"/>
  <c r="E676" i="4"/>
  <c r="J676" i="4" s="1"/>
  <c r="K676" i="4" s="1"/>
  <c r="E677" i="4"/>
  <c r="E678" i="4"/>
  <c r="E679" i="4"/>
  <c r="J679" i="4" s="1"/>
  <c r="K679" i="4" s="1"/>
  <c r="E680" i="4"/>
  <c r="J680" i="4" s="1"/>
  <c r="K680" i="4" s="1"/>
  <c r="E681" i="4"/>
  <c r="J681" i="4" s="1"/>
  <c r="K681" i="4" s="1"/>
  <c r="E682" i="4"/>
  <c r="J682" i="4" s="1"/>
  <c r="K682" i="4" s="1"/>
  <c r="E683" i="4"/>
  <c r="J683" i="4" s="1"/>
  <c r="K683" i="4" s="1"/>
  <c r="E684" i="4"/>
  <c r="E685" i="4"/>
  <c r="E686" i="4"/>
  <c r="J686" i="4" s="1"/>
  <c r="K686" i="4" s="1"/>
  <c r="E687" i="4"/>
  <c r="E688" i="4"/>
  <c r="E689" i="4"/>
  <c r="J689" i="4" s="1"/>
  <c r="K689" i="4" s="1"/>
  <c r="E690" i="4"/>
  <c r="J690" i="4" s="1"/>
  <c r="K690" i="4" s="1"/>
  <c r="E691" i="4"/>
  <c r="J691" i="4" s="1"/>
  <c r="K691" i="4" s="1"/>
  <c r="E692" i="4"/>
  <c r="J692" i="4" s="1"/>
  <c r="K692" i="4" s="1"/>
  <c r="E693" i="4"/>
  <c r="J693" i="4" s="1"/>
  <c r="K693" i="4" s="1"/>
  <c r="E694" i="4"/>
  <c r="J694" i="4" s="1"/>
  <c r="K694" i="4" s="1"/>
  <c r="E695" i="4"/>
  <c r="J695" i="4" s="1"/>
  <c r="K695" i="4" s="1"/>
  <c r="E696" i="4"/>
  <c r="J696" i="4" s="1"/>
  <c r="K696" i="4" s="1"/>
  <c r="E697" i="4"/>
  <c r="J697" i="4" s="1"/>
  <c r="K697" i="4" s="1"/>
  <c r="E698" i="4"/>
  <c r="J698" i="4" s="1"/>
  <c r="K698" i="4" s="1"/>
  <c r="E699" i="4"/>
  <c r="J699" i="4" s="1"/>
  <c r="K699" i="4" s="1"/>
  <c r="E700" i="4"/>
  <c r="E701" i="4"/>
  <c r="E702" i="4"/>
  <c r="E703" i="4"/>
  <c r="E704" i="4"/>
  <c r="E705" i="4"/>
  <c r="E706" i="4"/>
  <c r="E707" i="4"/>
  <c r="E708" i="4"/>
  <c r="J708" i="4" s="1"/>
  <c r="K708" i="4" s="1"/>
  <c r="E709" i="4"/>
  <c r="J709" i="4" s="1"/>
  <c r="K709" i="4" s="1"/>
  <c r="E710" i="4"/>
  <c r="J710" i="4" s="1"/>
  <c r="K710" i="4" s="1"/>
  <c r="E711" i="4"/>
  <c r="J711" i="4" s="1"/>
  <c r="K711" i="4" s="1"/>
  <c r="E712" i="4"/>
  <c r="J712" i="4" s="1"/>
  <c r="K712" i="4" s="1"/>
  <c r="E713" i="4"/>
  <c r="J713" i="4" s="1"/>
  <c r="K713" i="4" s="1"/>
  <c r="E714" i="4"/>
  <c r="J714" i="4" s="1"/>
  <c r="K714" i="4" s="1"/>
  <c r="E715" i="4"/>
  <c r="J715" i="4" s="1"/>
  <c r="K715" i="4" s="1"/>
  <c r="E716" i="4"/>
  <c r="E717" i="4"/>
  <c r="E718" i="4"/>
  <c r="E719" i="4"/>
  <c r="E720" i="4"/>
  <c r="E721" i="4"/>
  <c r="E722" i="4"/>
  <c r="J722" i="4" s="1"/>
  <c r="K722" i="4" s="1"/>
  <c r="E723" i="4"/>
  <c r="E724" i="4"/>
  <c r="J724" i="4" s="1"/>
  <c r="K724" i="4" s="1"/>
  <c r="E725" i="4"/>
  <c r="E726" i="4"/>
  <c r="E727" i="4"/>
  <c r="E728" i="4"/>
  <c r="E729" i="4"/>
  <c r="E730" i="4"/>
  <c r="J730" i="4" s="1"/>
  <c r="K730" i="4" s="1"/>
  <c r="E731" i="4"/>
  <c r="J731" i="4" s="1"/>
  <c r="K731" i="4" s="1"/>
  <c r="E732" i="4"/>
  <c r="E733" i="4"/>
  <c r="E734" i="4"/>
  <c r="J734" i="4" s="1"/>
  <c r="K734" i="4" s="1"/>
  <c r="E735" i="4"/>
  <c r="E736" i="4"/>
  <c r="E737" i="4"/>
  <c r="J737" i="4" s="1"/>
  <c r="K737" i="4" s="1"/>
  <c r="E738" i="4"/>
  <c r="J738" i="4" s="1"/>
  <c r="K738" i="4" s="1"/>
  <c r="E739" i="4"/>
  <c r="J739" i="4" s="1"/>
  <c r="K739" i="4" s="1"/>
  <c r="E740" i="4"/>
  <c r="J740" i="4" s="1"/>
  <c r="K740" i="4" s="1"/>
  <c r="E741" i="4"/>
  <c r="J741" i="4" s="1"/>
  <c r="K741" i="4" s="1"/>
  <c r="E742" i="4"/>
  <c r="J742" i="4" s="1"/>
  <c r="K742" i="4" s="1"/>
  <c r="E743" i="4"/>
  <c r="J743" i="4" s="1"/>
  <c r="K743" i="4" s="1"/>
  <c r="E744" i="4"/>
  <c r="J744" i="4" s="1"/>
  <c r="K744" i="4" s="1"/>
  <c r="E745" i="4"/>
  <c r="J745" i="4" s="1"/>
  <c r="K745" i="4" s="1"/>
  <c r="E746" i="4"/>
  <c r="J746" i="4" s="1"/>
  <c r="K746" i="4" s="1"/>
  <c r="E747" i="4"/>
  <c r="J747" i="4" s="1"/>
  <c r="K747" i="4" s="1"/>
  <c r="E748" i="4"/>
  <c r="E749" i="4"/>
  <c r="E750" i="4"/>
  <c r="E751" i="4"/>
  <c r="E752" i="4"/>
  <c r="E753" i="4"/>
  <c r="J753" i="4" s="1"/>
  <c r="K753" i="4" s="1"/>
  <c r="E754" i="4"/>
  <c r="J754" i="4" s="1"/>
  <c r="K754" i="4" s="1"/>
  <c r="E755" i="4"/>
  <c r="E756" i="4"/>
  <c r="J756" i="4" s="1"/>
  <c r="K756" i="4" s="1"/>
  <c r="E757" i="4"/>
  <c r="J757" i="4" s="1"/>
  <c r="K757" i="4" s="1"/>
  <c r="E758" i="4"/>
  <c r="J758" i="4" s="1"/>
  <c r="K758" i="4" s="1"/>
  <c r="E759" i="4"/>
  <c r="J759" i="4" s="1"/>
  <c r="K759" i="4" s="1"/>
  <c r="E760" i="4"/>
  <c r="J760" i="4" s="1"/>
  <c r="K760" i="4" s="1"/>
  <c r="E761" i="4"/>
  <c r="J761" i="4" s="1"/>
  <c r="K761" i="4" s="1"/>
  <c r="E762" i="4"/>
  <c r="J762" i="4" s="1"/>
  <c r="K762" i="4" s="1"/>
  <c r="E763" i="4"/>
  <c r="J763" i="4" s="1"/>
  <c r="K763" i="4" s="1"/>
  <c r="E764" i="4"/>
  <c r="E765" i="4"/>
  <c r="E766" i="4"/>
  <c r="E767" i="4"/>
  <c r="E768" i="4"/>
  <c r="E769" i="4"/>
  <c r="J769" i="4" s="1"/>
  <c r="K769" i="4" s="1"/>
  <c r="E770" i="4"/>
  <c r="J770" i="4" s="1"/>
  <c r="K770" i="4" s="1"/>
  <c r="E771" i="4"/>
  <c r="E772" i="4"/>
  <c r="J772" i="4" s="1"/>
  <c r="K772" i="4" s="1"/>
  <c r="E773" i="4"/>
  <c r="J773" i="4" s="1"/>
  <c r="K773" i="4" s="1"/>
  <c r="E774" i="4"/>
  <c r="J774" i="4" s="1"/>
  <c r="K774" i="4" s="1"/>
  <c r="E775" i="4"/>
  <c r="J775" i="4" s="1"/>
  <c r="K775" i="4" s="1"/>
  <c r="E776" i="4"/>
  <c r="J776" i="4" s="1"/>
  <c r="K776" i="4" s="1"/>
  <c r="E777" i="4"/>
  <c r="J777" i="4" s="1"/>
  <c r="K777" i="4" s="1"/>
  <c r="E778" i="4"/>
  <c r="J778" i="4" s="1"/>
  <c r="K778" i="4" s="1"/>
  <c r="E779" i="4"/>
  <c r="J779" i="4" s="1"/>
  <c r="K779" i="4" s="1"/>
  <c r="E780" i="4"/>
  <c r="E781" i="4"/>
  <c r="E782" i="4"/>
  <c r="E783" i="4"/>
  <c r="E784" i="4"/>
  <c r="J784" i="4" s="1"/>
  <c r="K784" i="4" s="1"/>
  <c r="E785" i="4"/>
  <c r="J785" i="4" s="1"/>
  <c r="K785" i="4" s="1"/>
  <c r="E786" i="4"/>
  <c r="J786" i="4" s="1"/>
  <c r="K786" i="4" s="1"/>
  <c r="E787" i="4"/>
  <c r="J787" i="4" s="1"/>
  <c r="K787" i="4" s="1"/>
  <c r="E788" i="4"/>
  <c r="J788" i="4" s="1"/>
  <c r="K788" i="4" s="1"/>
  <c r="E789" i="4"/>
  <c r="J789" i="4" s="1"/>
  <c r="K789" i="4" s="1"/>
  <c r="E790" i="4"/>
  <c r="J790" i="4" s="1"/>
  <c r="K790" i="4" s="1"/>
  <c r="E791" i="4"/>
  <c r="J791" i="4" s="1"/>
  <c r="K791" i="4" s="1"/>
  <c r="E792" i="4"/>
  <c r="J792" i="4" s="1"/>
  <c r="K792" i="4" s="1"/>
  <c r="E793" i="4"/>
  <c r="J793" i="4" s="1"/>
  <c r="K793" i="4" s="1"/>
  <c r="E794" i="4"/>
  <c r="J794" i="4" s="1"/>
  <c r="K794" i="4" s="1"/>
  <c r="E795" i="4"/>
  <c r="J795" i="4" s="1"/>
  <c r="K795" i="4" s="1"/>
  <c r="E796" i="4"/>
  <c r="E797" i="4"/>
  <c r="E798" i="4"/>
  <c r="E799" i="4"/>
  <c r="E800" i="4"/>
  <c r="E801" i="4"/>
  <c r="E802" i="4"/>
  <c r="E803" i="4"/>
  <c r="E804" i="4"/>
  <c r="J804" i="4" s="1"/>
  <c r="K804" i="4" s="1"/>
  <c r="E805" i="4"/>
  <c r="E806" i="4"/>
  <c r="E807" i="4"/>
  <c r="J807" i="4" s="1"/>
  <c r="K807" i="4" s="1"/>
  <c r="E808" i="4"/>
  <c r="J808" i="4" s="1"/>
  <c r="K808" i="4" s="1"/>
  <c r="E809" i="4"/>
  <c r="J809" i="4" s="1"/>
  <c r="K809" i="4" s="1"/>
  <c r="E810" i="4"/>
  <c r="E811" i="4"/>
  <c r="J811" i="4" s="1"/>
  <c r="K811" i="4" s="1"/>
  <c r="E812" i="4"/>
  <c r="E813" i="4"/>
  <c r="E814" i="4"/>
  <c r="E815" i="4"/>
  <c r="E816" i="4"/>
  <c r="E817" i="4"/>
  <c r="J817" i="4" s="1"/>
  <c r="K817" i="4" s="1"/>
  <c r="E818" i="4"/>
  <c r="J818" i="4" s="1"/>
  <c r="K818" i="4" s="1"/>
  <c r="E819" i="4"/>
  <c r="J819" i="4" s="1"/>
  <c r="K819" i="4" s="1"/>
  <c r="E820" i="4"/>
  <c r="J820" i="4" s="1"/>
  <c r="K820" i="4" s="1"/>
  <c r="E821" i="4"/>
  <c r="J821" i="4" s="1"/>
  <c r="K821" i="4" s="1"/>
  <c r="E822" i="4"/>
  <c r="J822" i="4" s="1"/>
  <c r="K822" i="4" s="1"/>
  <c r="E823" i="4"/>
  <c r="J823" i="4" s="1"/>
  <c r="K823" i="4" s="1"/>
  <c r="E824" i="4"/>
  <c r="J824" i="4" s="1"/>
  <c r="K824" i="4" s="1"/>
  <c r="E825" i="4"/>
  <c r="J825" i="4" s="1"/>
  <c r="K825" i="4" s="1"/>
  <c r="E826" i="4"/>
  <c r="J826" i="4" s="1"/>
  <c r="K826" i="4" s="1"/>
  <c r="E827" i="4"/>
  <c r="J827" i="4" s="1"/>
  <c r="K827" i="4" s="1"/>
  <c r="E828" i="4"/>
  <c r="E829" i="4"/>
  <c r="E830" i="4"/>
  <c r="E831" i="4"/>
  <c r="E832" i="4"/>
  <c r="E833" i="4"/>
  <c r="E835" i="4"/>
  <c r="J835" i="4" s="1"/>
  <c r="K835" i="4" s="1"/>
  <c r="E836" i="4"/>
  <c r="J836" i="4" s="1"/>
  <c r="K836" i="4" s="1"/>
  <c r="E837" i="4"/>
  <c r="J837" i="4" s="1"/>
  <c r="K837" i="4" s="1"/>
  <c r="E838" i="4"/>
  <c r="J838" i="4" s="1"/>
  <c r="K838" i="4" s="1"/>
  <c r="E839" i="4"/>
  <c r="J839" i="4" s="1"/>
  <c r="K839" i="4" s="1"/>
  <c r="E840" i="4"/>
  <c r="J840" i="4" s="1"/>
  <c r="K840" i="4" s="1"/>
  <c r="E841" i="4"/>
  <c r="J841" i="4" s="1"/>
  <c r="K841" i="4" s="1"/>
  <c r="E842" i="4"/>
  <c r="J842" i="4" s="1"/>
  <c r="K842" i="4" s="1"/>
  <c r="E843" i="4"/>
  <c r="J843" i="4" s="1"/>
  <c r="K843" i="4" s="1"/>
  <c r="E844" i="4"/>
  <c r="J844" i="4" s="1"/>
  <c r="K844" i="4" s="1"/>
  <c r="E845" i="4"/>
  <c r="E846" i="4"/>
  <c r="E847" i="4"/>
  <c r="E848" i="4"/>
  <c r="E849" i="4"/>
  <c r="E850" i="4"/>
  <c r="E851" i="4"/>
  <c r="J851" i="4" s="1"/>
  <c r="K851" i="4" s="1"/>
  <c r="E852" i="4"/>
  <c r="J852" i="4" s="1"/>
  <c r="K852" i="4" s="1"/>
  <c r="E853" i="4"/>
  <c r="E854" i="4"/>
  <c r="E855" i="4"/>
  <c r="E856" i="4"/>
  <c r="E857" i="4"/>
  <c r="E858" i="4"/>
  <c r="E859" i="4"/>
  <c r="J859" i="4" s="1"/>
  <c r="K859" i="4" s="1"/>
  <c r="E860" i="4"/>
  <c r="J860" i="4" s="1"/>
  <c r="K860" i="4" s="1"/>
  <c r="E861" i="4"/>
  <c r="E862" i="4"/>
  <c r="E834" i="4"/>
  <c r="K637" i="4"/>
  <c r="K653" i="4"/>
  <c r="K669" i="4"/>
  <c r="K671" i="4"/>
  <c r="K733" i="4"/>
  <c r="K735" i="4"/>
  <c r="K736" i="4"/>
  <c r="K799" i="4"/>
  <c r="K806" i="4"/>
  <c r="J572" i="4"/>
  <c r="K572" i="4" s="1"/>
  <c r="J573" i="4"/>
  <c r="K573" i="4" s="1"/>
  <c r="J575" i="4"/>
  <c r="K575" i="4" s="1"/>
  <c r="J576" i="4"/>
  <c r="K576" i="4" s="1"/>
  <c r="J579" i="4"/>
  <c r="K579" i="4" s="1"/>
  <c r="J582" i="4"/>
  <c r="K582" i="4" s="1"/>
  <c r="J583" i="4"/>
  <c r="K583" i="4" s="1"/>
  <c r="J588" i="4"/>
  <c r="K588" i="4" s="1"/>
  <c r="J591" i="4"/>
  <c r="K591" i="4" s="1"/>
  <c r="J592" i="4"/>
  <c r="K592" i="4" s="1"/>
  <c r="J593" i="4"/>
  <c r="K593" i="4" s="1"/>
  <c r="J595" i="4"/>
  <c r="K595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4" i="4"/>
  <c r="K604" i="4" s="1"/>
  <c r="J607" i="4"/>
  <c r="K607" i="4" s="1"/>
  <c r="J620" i="4"/>
  <c r="K620" i="4" s="1"/>
  <c r="J621" i="4"/>
  <c r="K621" i="4" s="1"/>
  <c r="J622" i="4"/>
  <c r="K622" i="4" s="1"/>
  <c r="J623" i="4"/>
  <c r="K623" i="4" s="1"/>
  <c r="J624" i="4"/>
  <c r="K624" i="4" s="1"/>
  <c r="J627" i="4"/>
  <c r="K627" i="4" s="1"/>
  <c r="J630" i="4"/>
  <c r="K630" i="4" s="1"/>
  <c r="J632" i="4"/>
  <c r="K632" i="4" s="1"/>
  <c r="J636" i="4"/>
  <c r="K636" i="4" s="1"/>
  <c r="J637" i="4"/>
  <c r="J639" i="4"/>
  <c r="K639" i="4" s="1"/>
  <c r="J640" i="4"/>
  <c r="K640" i="4" s="1"/>
  <c r="J652" i="4"/>
  <c r="K652" i="4" s="1"/>
  <c r="J653" i="4"/>
  <c r="J654" i="4"/>
  <c r="K654" i="4" s="1"/>
  <c r="J655" i="4"/>
  <c r="K655" i="4" s="1"/>
  <c r="J656" i="4"/>
  <c r="K656" i="4" s="1"/>
  <c r="J658" i="4"/>
  <c r="K658" i="4" s="1"/>
  <c r="J668" i="4"/>
  <c r="K668" i="4" s="1"/>
  <c r="J669" i="4"/>
  <c r="J670" i="4"/>
  <c r="K670" i="4" s="1"/>
  <c r="J671" i="4"/>
  <c r="J672" i="4"/>
  <c r="K672" i="4" s="1"/>
  <c r="J673" i="4"/>
  <c r="K673" i="4" s="1"/>
  <c r="J674" i="4"/>
  <c r="K674" i="4" s="1"/>
  <c r="J675" i="4"/>
  <c r="K675" i="4" s="1"/>
  <c r="J677" i="4"/>
  <c r="K677" i="4" s="1"/>
  <c r="J678" i="4"/>
  <c r="K678" i="4" s="1"/>
  <c r="J684" i="4"/>
  <c r="K684" i="4" s="1"/>
  <c r="J685" i="4"/>
  <c r="K685" i="4" s="1"/>
  <c r="J687" i="4"/>
  <c r="K687" i="4" s="1"/>
  <c r="J688" i="4"/>
  <c r="K688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16" i="4"/>
  <c r="K716" i="4" s="1"/>
  <c r="J717" i="4"/>
  <c r="K717" i="4" s="1"/>
  <c r="J718" i="4"/>
  <c r="K718" i="4" s="1"/>
  <c r="J719" i="4"/>
  <c r="K719" i="4" s="1"/>
  <c r="J720" i="4"/>
  <c r="K720" i="4" s="1"/>
  <c r="J721" i="4"/>
  <c r="K721" i="4" s="1"/>
  <c r="J723" i="4"/>
  <c r="K723" i="4" s="1"/>
  <c r="J725" i="4"/>
  <c r="K725" i="4" s="1"/>
  <c r="J726" i="4"/>
  <c r="K726" i="4" s="1"/>
  <c r="J727" i="4"/>
  <c r="K727" i="4" s="1"/>
  <c r="J728" i="4"/>
  <c r="K728" i="4" s="1"/>
  <c r="J729" i="4"/>
  <c r="K729" i="4" s="1"/>
  <c r="J732" i="4"/>
  <c r="K732" i="4" s="1"/>
  <c r="J733" i="4"/>
  <c r="J735" i="4"/>
  <c r="J736" i="4"/>
  <c r="J748" i="4"/>
  <c r="K748" i="4" s="1"/>
  <c r="J749" i="4"/>
  <c r="K749" i="4" s="1"/>
  <c r="J750" i="4"/>
  <c r="K750" i="4" s="1"/>
  <c r="J751" i="4"/>
  <c r="K751" i="4" s="1"/>
  <c r="J752" i="4"/>
  <c r="K752" i="4" s="1"/>
  <c r="J755" i="4"/>
  <c r="K755" i="4" s="1"/>
  <c r="J764" i="4"/>
  <c r="K764" i="4" s="1"/>
  <c r="J765" i="4"/>
  <c r="K765" i="4" s="1"/>
  <c r="J766" i="4"/>
  <c r="K766" i="4" s="1"/>
  <c r="J767" i="4"/>
  <c r="K767" i="4" s="1"/>
  <c r="J768" i="4"/>
  <c r="K768" i="4" s="1"/>
  <c r="J771" i="4"/>
  <c r="K771" i="4" s="1"/>
  <c r="J780" i="4"/>
  <c r="K780" i="4" s="1"/>
  <c r="J781" i="4"/>
  <c r="K781" i="4" s="1"/>
  <c r="J782" i="4"/>
  <c r="K782" i="4" s="1"/>
  <c r="J783" i="4"/>
  <c r="K783" i="4" s="1"/>
  <c r="J796" i="4"/>
  <c r="K796" i="4" s="1"/>
  <c r="J797" i="4"/>
  <c r="K797" i="4" s="1"/>
  <c r="J798" i="4"/>
  <c r="K798" i="4" s="1"/>
  <c r="J799" i="4"/>
  <c r="J800" i="4"/>
  <c r="K800" i="4" s="1"/>
  <c r="J801" i="4"/>
  <c r="K801" i="4" s="1"/>
  <c r="J802" i="4"/>
  <c r="K802" i="4" s="1"/>
  <c r="J803" i="4"/>
  <c r="K803" i="4" s="1"/>
  <c r="J805" i="4"/>
  <c r="K805" i="4" s="1"/>
  <c r="J806" i="4"/>
  <c r="J810" i="4"/>
  <c r="K810" i="4" s="1"/>
  <c r="J812" i="4"/>
  <c r="K812" i="4" s="1"/>
  <c r="J813" i="4"/>
  <c r="K813" i="4" s="1"/>
  <c r="J814" i="4"/>
  <c r="K814" i="4" s="1"/>
  <c r="J815" i="4"/>
  <c r="K815" i="4" s="1"/>
  <c r="J816" i="4"/>
  <c r="K816" i="4" s="1"/>
  <c r="J828" i="4"/>
  <c r="K828" i="4" s="1"/>
  <c r="J829" i="4"/>
  <c r="K829" i="4" s="1"/>
  <c r="J830" i="4"/>
  <c r="K830" i="4" s="1"/>
  <c r="J831" i="4"/>
  <c r="K831" i="4" s="1"/>
  <c r="J832" i="4"/>
  <c r="K832" i="4" s="1"/>
  <c r="J833" i="4"/>
  <c r="K833" i="4" s="1"/>
  <c r="J845" i="4"/>
  <c r="K845" i="4" s="1"/>
  <c r="J846" i="4"/>
  <c r="K846" i="4" s="1"/>
  <c r="J847" i="4"/>
  <c r="K847" i="4" s="1"/>
  <c r="J848" i="4"/>
  <c r="K848" i="4" s="1"/>
  <c r="J849" i="4"/>
  <c r="K849" i="4" s="1"/>
  <c r="J850" i="4"/>
  <c r="K850" i="4" s="1"/>
  <c r="J853" i="4"/>
  <c r="K853" i="4" s="1"/>
  <c r="J854" i="4"/>
  <c r="K854" i="4" s="1"/>
  <c r="J855" i="4"/>
  <c r="K855" i="4" s="1"/>
  <c r="J856" i="4"/>
  <c r="K856" i="4" s="1"/>
  <c r="J857" i="4"/>
  <c r="K857" i="4" s="1"/>
  <c r="J858" i="4"/>
  <c r="K858" i="4" s="1"/>
  <c r="J861" i="4"/>
  <c r="K861" i="4" s="1"/>
  <c r="J862" i="4"/>
  <c r="K862" i="4" s="1"/>
  <c r="J834" i="4"/>
  <c r="K834" i="4" s="1"/>
  <c r="C233" i="6" l="1"/>
  <c r="G233" i="6" s="1"/>
  <c r="D233" i="6"/>
  <c r="E233" i="6"/>
  <c r="F233" i="6"/>
  <c r="H233" i="6"/>
  <c r="J233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D235" i="6"/>
  <c r="C235" i="6" s="1"/>
  <c r="E235" i="6"/>
  <c r="F235" i="6"/>
  <c r="C236" i="6"/>
  <c r="D236" i="6"/>
  <c r="E236" i="6"/>
  <c r="F236" i="6"/>
  <c r="G236" i="6"/>
  <c r="H236" i="6"/>
  <c r="I236" i="6"/>
  <c r="J236" i="6"/>
  <c r="M236" i="6"/>
  <c r="D237" i="6"/>
  <c r="C237" i="6" s="1"/>
  <c r="E237" i="6"/>
  <c r="F237" i="6"/>
  <c r="D238" i="6"/>
  <c r="H238" i="6" s="1"/>
  <c r="E238" i="6"/>
  <c r="F238" i="6"/>
  <c r="J238" i="6"/>
  <c r="D239" i="6"/>
  <c r="C239" i="6" s="1"/>
  <c r="E239" i="6"/>
  <c r="F239" i="6"/>
  <c r="H239" i="6"/>
  <c r="J239" i="6"/>
  <c r="N239" i="6"/>
  <c r="C240" i="6"/>
  <c r="G240" i="6" s="1"/>
  <c r="D240" i="6"/>
  <c r="J240" i="6" s="1"/>
  <c r="E240" i="6"/>
  <c r="F240" i="6"/>
  <c r="H240" i="6"/>
  <c r="D241" i="6"/>
  <c r="C241" i="6" s="1"/>
  <c r="E241" i="6"/>
  <c r="F241" i="6"/>
  <c r="G241" i="6"/>
  <c r="H241" i="6"/>
  <c r="I241" i="6"/>
  <c r="J241" i="6"/>
  <c r="K241" i="6"/>
  <c r="L241" i="6"/>
  <c r="M241" i="6"/>
  <c r="N241" i="6"/>
  <c r="D242" i="6"/>
  <c r="E242" i="6"/>
  <c r="F242" i="6"/>
  <c r="J242" i="6"/>
  <c r="D243" i="6"/>
  <c r="C243" i="6" s="1"/>
  <c r="E243" i="6"/>
  <c r="F243" i="6"/>
  <c r="J243" i="6"/>
  <c r="D244" i="6"/>
  <c r="C244" i="6" s="1"/>
  <c r="E244" i="6"/>
  <c r="F244" i="6"/>
  <c r="H244" i="6"/>
  <c r="J244" i="6"/>
  <c r="D245" i="6"/>
  <c r="C245" i="6" s="1"/>
  <c r="E245" i="6"/>
  <c r="F245" i="6"/>
  <c r="H245" i="6"/>
  <c r="J245" i="6"/>
  <c r="D246" i="6"/>
  <c r="E246" i="6"/>
  <c r="F246" i="6"/>
  <c r="J246" i="6"/>
  <c r="C247" i="6"/>
  <c r="D247" i="6"/>
  <c r="E247" i="6"/>
  <c r="F247" i="6"/>
  <c r="H247" i="6"/>
  <c r="I247" i="6"/>
  <c r="J247" i="6"/>
  <c r="M247" i="6"/>
  <c r="N247" i="6"/>
  <c r="D248" i="6"/>
  <c r="J248" i="6" s="1"/>
  <c r="E248" i="6"/>
  <c r="F248" i="6"/>
  <c r="H248" i="6"/>
  <c r="D249" i="6"/>
  <c r="C249" i="6" s="1"/>
  <c r="E249" i="6"/>
  <c r="F249" i="6"/>
  <c r="G249" i="6"/>
  <c r="H249" i="6"/>
  <c r="I249" i="6"/>
  <c r="J249" i="6"/>
  <c r="K249" i="6"/>
  <c r="L249" i="6"/>
  <c r="M249" i="6"/>
  <c r="N249" i="6"/>
  <c r="D250" i="6"/>
  <c r="E250" i="6"/>
  <c r="F250" i="6"/>
  <c r="J250" i="6"/>
  <c r="D251" i="6"/>
  <c r="H251" i="6" s="1"/>
  <c r="E251" i="6"/>
  <c r="F251" i="6"/>
  <c r="D252" i="6"/>
  <c r="C252" i="6" s="1"/>
  <c r="E252" i="6"/>
  <c r="F252" i="6"/>
  <c r="H252" i="6"/>
  <c r="J252" i="6"/>
  <c r="L252" i="6"/>
  <c r="M252" i="6"/>
  <c r="N252" i="6"/>
  <c r="D253" i="6"/>
  <c r="C253" i="6" s="1"/>
  <c r="E253" i="6"/>
  <c r="F253" i="6"/>
  <c r="H253" i="6"/>
  <c r="J253" i="6"/>
  <c r="D254" i="6"/>
  <c r="E254" i="6"/>
  <c r="F254" i="6"/>
  <c r="J254" i="6"/>
  <c r="C255" i="6"/>
  <c r="D255" i="6"/>
  <c r="E255" i="6"/>
  <c r="F255" i="6"/>
  <c r="H255" i="6"/>
  <c r="I255" i="6"/>
  <c r="J255" i="6"/>
  <c r="M255" i="6"/>
  <c r="N255" i="6"/>
  <c r="D256" i="6"/>
  <c r="J256" i="6" s="1"/>
  <c r="E256" i="6"/>
  <c r="F256" i="6"/>
  <c r="H256" i="6"/>
  <c r="D257" i="6"/>
  <c r="C257" i="6" s="1"/>
  <c r="E257" i="6"/>
  <c r="F257" i="6"/>
  <c r="G257" i="6"/>
  <c r="H257" i="6"/>
  <c r="I257" i="6"/>
  <c r="J257" i="6"/>
  <c r="K257" i="6"/>
  <c r="L257" i="6"/>
  <c r="M257" i="6"/>
  <c r="N257" i="6"/>
  <c r="D258" i="6"/>
  <c r="E258" i="6"/>
  <c r="F258" i="6"/>
  <c r="J258" i="6"/>
  <c r="D259" i="6"/>
  <c r="C259" i="6" s="1"/>
  <c r="E259" i="6"/>
  <c r="F259" i="6"/>
  <c r="H259" i="6"/>
  <c r="J259" i="6"/>
  <c r="D260" i="6"/>
  <c r="C260" i="6" s="1"/>
  <c r="E260" i="6"/>
  <c r="F260" i="6"/>
  <c r="H260" i="6"/>
  <c r="J260" i="6"/>
  <c r="D261" i="6"/>
  <c r="C261" i="6" s="1"/>
  <c r="E261" i="6"/>
  <c r="F261" i="6"/>
  <c r="H261" i="6"/>
  <c r="J261" i="6"/>
  <c r="D262" i="6"/>
  <c r="E262" i="6"/>
  <c r="F262" i="6"/>
  <c r="J262" i="6"/>
  <c r="C263" i="6"/>
  <c r="D263" i="6"/>
  <c r="E263" i="6"/>
  <c r="F263" i="6"/>
  <c r="H263" i="6"/>
  <c r="I263" i="6"/>
  <c r="J263" i="6"/>
  <c r="M263" i="6"/>
  <c r="N263" i="6"/>
  <c r="D264" i="6"/>
  <c r="J264" i="6" s="1"/>
  <c r="E264" i="6"/>
  <c r="F264" i="6"/>
  <c r="D265" i="6"/>
  <c r="C265" i="6" s="1"/>
  <c r="E265" i="6"/>
  <c r="F265" i="6"/>
  <c r="G265" i="6"/>
  <c r="H265" i="6"/>
  <c r="I265" i="6"/>
  <c r="J265" i="6"/>
  <c r="K265" i="6"/>
  <c r="L265" i="6"/>
  <c r="M265" i="6"/>
  <c r="N265" i="6"/>
  <c r="D266" i="6"/>
  <c r="E266" i="6"/>
  <c r="F266" i="6"/>
  <c r="J266" i="6"/>
  <c r="D267" i="6"/>
  <c r="C267" i="6" s="1"/>
  <c r="E267" i="6"/>
  <c r="F267" i="6"/>
  <c r="J267" i="6"/>
  <c r="D268" i="6"/>
  <c r="C268" i="6" s="1"/>
  <c r="E268" i="6"/>
  <c r="F268" i="6"/>
  <c r="H268" i="6"/>
  <c r="J268" i="6"/>
  <c r="L268" i="6"/>
  <c r="M268" i="6"/>
  <c r="D269" i="6"/>
  <c r="E269" i="6"/>
  <c r="F269" i="6"/>
  <c r="D270" i="6"/>
  <c r="C270" i="6" s="1"/>
  <c r="E270" i="6"/>
  <c r="F270" i="6"/>
  <c r="I270" i="6"/>
  <c r="J270" i="6"/>
  <c r="K270" i="6"/>
  <c r="D271" i="6"/>
  <c r="C271" i="6" s="1"/>
  <c r="N271" i="6" s="1"/>
  <c r="E271" i="6"/>
  <c r="F271" i="6"/>
  <c r="H271" i="6"/>
  <c r="I271" i="6"/>
  <c r="J271" i="6"/>
  <c r="D272" i="6"/>
  <c r="C272" i="6" s="1"/>
  <c r="E272" i="6"/>
  <c r="F272" i="6"/>
  <c r="D273" i="6"/>
  <c r="E273" i="6"/>
  <c r="F273" i="6"/>
  <c r="H273" i="6"/>
  <c r="C274" i="6"/>
  <c r="G274" i="6" s="1"/>
  <c r="D274" i="6"/>
  <c r="E274" i="6"/>
  <c r="F274" i="6"/>
  <c r="H274" i="6"/>
  <c r="I274" i="6"/>
  <c r="J274" i="6"/>
  <c r="K274" i="6"/>
  <c r="L274" i="6"/>
  <c r="M274" i="6"/>
  <c r="N274" i="6"/>
  <c r="D275" i="6"/>
  <c r="C275" i="6" s="1"/>
  <c r="E275" i="6"/>
  <c r="F275" i="6"/>
  <c r="H275" i="6"/>
  <c r="J275" i="6"/>
  <c r="M275" i="6"/>
  <c r="C276" i="6"/>
  <c r="D276" i="6"/>
  <c r="E276" i="6"/>
  <c r="F276" i="6"/>
  <c r="G276" i="6"/>
  <c r="D277" i="6"/>
  <c r="C277" i="6" s="1"/>
  <c r="M277" i="6" s="1"/>
  <c r="E277" i="6"/>
  <c r="F277" i="6"/>
  <c r="G277" i="6"/>
  <c r="H277" i="6"/>
  <c r="I277" i="6"/>
  <c r="J277" i="6"/>
  <c r="K277" i="6"/>
  <c r="L277" i="6"/>
  <c r="D278" i="6"/>
  <c r="C278" i="6" s="1"/>
  <c r="E278" i="6"/>
  <c r="F278" i="6"/>
  <c r="J278" i="6"/>
  <c r="D279" i="6"/>
  <c r="C279" i="6" s="1"/>
  <c r="E279" i="6"/>
  <c r="F279" i="6"/>
  <c r="D280" i="6"/>
  <c r="C280" i="6" s="1"/>
  <c r="E280" i="6"/>
  <c r="F280" i="6"/>
  <c r="G280" i="6"/>
  <c r="H280" i="6"/>
  <c r="D281" i="6"/>
  <c r="C281" i="6" s="1"/>
  <c r="E281" i="6"/>
  <c r="F281" i="6"/>
  <c r="G281" i="6"/>
  <c r="H281" i="6"/>
  <c r="I281" i="6"/>
  <c r="J281" i="6"/>
  <c r="K281" i="6"/>
  <c r="L281" i="6"/>
  <c r="M281" i="6"/>
  <c r="N281" i="6"/>
  <c r="C282" i="6"/>
  <c r="D282" i="6"/>
  <c r="E282" i="6"/>
  <c r="F282" i="6"/>
  <c r="H282" i="6"/>
  <c r="J282" i="6"/>
  <c r="D283" i="6"/>
  <c r="J283" i="6" s="1"/>
  <c r="E283" i="6"/>
  <c r="F283" i="6"/>
  <c r="H283" i="6"/>
  <c r="C284" i="6"/>
  <c r="N284" i="6" s="1"/>
  <c r="D284" i="6"/>
  <c r="E284" i="6"/>
  <c r="F284" i="6"/>
  <c r="G284" i="6"/>
  <c r="H284" i="6"/>
  <c r="I284" i="6"/>
  <c r="J284" i="6"/>
  <c r="K284" i="6"/>
  <c r="L284" i="6"/>
  <c r="M284" i="6"/>
  <c r="D285" i="6"/>
  <c r="C285" i="6" s="1"/>
  <c r="E285" i="6"/>
  <c r="F285" i="6"/>
  <c r="G285" i="6"/>
  <c r="H285" i="6"/>
  <c r="I285" i="6"/>
  <c r="J285" i="6"/>
  <c r="K285" i="6"/>
  <c r="L285" i="6"/>
  <c r="M285" i="6"/>
  <c r="N285" i="6"/>
  <c r="D286" i="6"/>
  <c r="E286" i="6"/>
  <c r="F286" i="6"/>
  <c r="D287" i="6"/>
  <c r="C287" i="6" s="1"/>
  <c r="G287" i="6" s="1"/>
  <c r="E287" i="6"/>
  <c r="F287" i="6"/>
  <c r="H287" i="6"/>
  <c r="I287" i="6"/>
  <c r="J287" i="6"/>
  <c r="L287" i="6"/>
  <c r="D288" i="6"/>
  <c r="C288" i="6" s="1"/>
  <c r="L288" i="6" s="1"/>
  <c r="E288" i="6"/>
  <c r="F288" i="6"/>
  <c r="H288" i="6"/>
  <c r="J288" i="6"/>
  <c r="D289" i="6"/>
  <c r="E289" i="6"/>
  <c r="F289" i="6"/>
  <c r="D290" i="6"/>
  <c r="C290" i="6" s="1"/>
  <c r="E290" i="6"/>
  <c r="F290" i="6"/>
  <c r="H290" i="6"/>
  <c r="J290" i="6"/>
  <c r="D291" i="6"/>
  <c r="C291" i="6" s="1"/>
  <c r="N291" i="6" s="1"/>
  <c r="E291" i="6"/>
  <c r="F291" i="6"/>
  <c r="H291" i="6"/>
  <c r="J291" i="6"/>
  <c r="C292" i="6"/>
  <c r="D292" i="6"/>
  <c r="E292" i="6"/>
  <c r="F292" i="6"/>
  <c r="H292" i="6"/>
  <c r="J292" i="6"/>
  <c r="L292" i="6"/>
  <c r="M292" i="6"/>
  <c r="D293" i="6"/>
  <c r="E293" i="6"/>
  <c r="F293" i="6"/>
  <c r="H293" i="6"/>
  <c r="D294" i="6"/>
  <c r="C294" i="6" s="1"/>
  <c r="E294" i="6"/>
  <c r="F294" i="6"/>
  <c r="H294" i="6"/>
  <c r="I294" i="6"/>
  <c r="J294" i="6"/>
  <c r="K294" i="6"/>
  <c r="L294" i="6"/>
  <c r="M294" i="6"/>
  <c r="C295" i="6"/>
  <c r="K295" i="6" s="1"/>
  <c r="D295" i="6"/>
  <c r="E295" i="6"/>
  <c r="F295" i="6"/>
  <c r="G295" i="6"/>
  <c r="H295" i="6"/>
  <c r="I295" i="6"/>
  <c r="J295" i="6"/>
  <c r="L295" i="6"/>
  <c r="M295" i="6"/>
  <c r="N295" i="6"/>
  <c r="D296" i="6"/>
  <c r="E296" i="6"/>
  <c r="F296" i="6"/>
  <c r="D297" i="6"/>
  <c r="C297" i="6" s="1"/>
  <c r="E297" i="6"/>
  <c r="F297" i="6"/>
  <c r="H297" i="6"/>
  <c r="J297" i="6"/>
  <c r="D298" i="6"/>
  <c r="C298" i="6" s="1"/>
  <c r="E298" i="6"/>
  <c r="F298" i="6"/>
  <c r="H298" i="6"/>
  <c r="J298" i="6"/>
  <c r="K298" i="6"/>
  <c r="L298" i="6"/>
  <c r="M298" i="6"/>
  <c r="N298" i="6"/>
  <c r="C299" i="6"/>
  <c r="D299" i="6"/>
  <c r="E299" i="6"/>
  <c r="F299" i="6"/>
  <c r="D300" i="6"/>
  <c r="J300" i="6" s="1"/>
  <c r="E300" i="6"/>
  <c r="F300" i="6"/>
  <c r="H300" i="6"/>
  <c r="D301" i="6"/>
  <c r="C301" i="6" s="1"/>
  <c r="E301" i="6"/>
  <c r="F301" i="6"/>
  <c r="G301" i="6"/>
  <c r="H301" i="6"/>
  <c r="I301" i="6"/>
  <c r="J301" i="6"/>
  <c r="K301" i="6"/>
  <c r="L301" i="6"/>
  <c r="M301" i="6"/>
  <c r="N301" i="6"/>
  <c r="D302" i="6"/>
  <c r="C302" i="6" s="1"/>
  <c r="E302" i="6"/>
  <c r="F302" i="6"/>
  <c r="H302" i="6"/>
  <c r="J302" i="6"/>
  <c r="L302" i="6"/>
  <c r="M302" i="6"/>
  <c r="N302" i="6"/>
  <c r="D303" i="6"/>
  <c r="C303" i="6" s="1"/>
  <c r="E303" i="6"/>
  <c r="F303" i="6"/>
  <c r="D304" i="6"/>
  <c r="C304" i="6" s="1"/>
  <c r="G304" i="6" s="1"/>
  <c r="E304" i="6"/>
  <c r="F304" i="6"/>
  <c r="H304" i="6"/>
  <c r="I304" i="6"/>
  <c r="J304" i="6"/>
  <c r="K304" i="6"/>
  <c r="L304" i="6"/>
  <c r="D305" i="6"/>
  <c r="C305" i="6" s="1"/>
  <c r="E305" i="6"/>
  <c r="F305" i="6"/>
  <c r="G305" i="6"/>
  <c r="H305" i="6"/>
  <c r="I305" i="6"/>
  <c r="J305" i="6"/>
  <c r="K305" i="6"/>
  <c r="L305" i="6"/>
  <c r="M305" i="6"/>
  <c r="N305" i="6"/>
  <c r="D306" i="6"/>
  <c r="E306" i="6"/>
  <c r="F306" i="6"/>
  <c r="D307" i="6"/>
  <c r="H307" i="6" s="1"/>
  <c r="E307" i="6"/>
  <c r="F307" i="6"/>
  <c r="D308" i="6"/>
  <c r="C308" i="6" s="1"/>
  <c r="G308" i="6" s="1"/>
  <c r="E308" i="6"/>
  <c r="F308" i="6"/>
  <c r="H308" i="6"/>
  <c r="I308" i="6"/>
  <c r="J308" i="6"/>
  <c r="K308" i="6"/>
  <c r="L308" i="6"/>
  <c r="M308" i="6"/>
  <c r="N308" i="6"/>
  <c r="D309" i="6"/>
  <c r="E309" i="6"/>
  <c r="F309" i="6"/>
  <c r="D310" i="6"/>
  <c r="J310" i="6" s="1"/>
  <c r="E310" i="6"/>
  <c r="F310" i="6"/>
  <c r="C311" i="6"/>
  <c r="K311" i="6" s="1"/>
  <c r="D311" i="6"/>
  <c r="E311" i="6"/>
  <c r="F311" i="6"/>
  <c r="G311" i="6"/>
  <c r="H311" i="6"/>
  <c r="I311" i="6"/>
  <c r="J311" i="6"/>
  <c r="L311" i="6"/>
  <c r="M311" i="6"/>
  <c r="N311" i="6"/>
  <c r="D312" i="6"/>
  <c r="C312" i="6" s="1"/>
  <c r="E312" i="6"/>
  <c r="F312" i="6"/>
  <c r="H312" i="6"/>
  <c r="J312" i="6"/>
  <c r="K312" i="6"/>
  <c r="L312" i="6"/>
  <c r="M312" i="6"/>
  <c r="N312" i="6"/>
  <c r="D313" i="6"/>
  <c r="E313" i="6"/>
  <c r="F313" i="6"/>
  <c r="D314" i="6"/>
  <c r="C314" i="6" s="1"/>
  <c r="E314" i="6"/>
  <c r="F314" i="6"/>
  <c r="H314" i="6"/>
  <c r="I314" i="6"/>
  <c r="J314" i="6"/>
  <c r="K314" i="6"/>
  <c r="L314" i="6"/>
  <c r="D315" i="6"/>
  <c r="C315" i="6" s="1"/>
  <c r="E315" i="6"/>
  <c r="F315" i="6"/>
  <c r="H315" i="6"/>
  <c r="I315" i="6"/>
  <c r="J315" i="6"/>
  <c r="L315" i="6"/>
  <c r="M315" i="6"/>
  <c r="D316" i="6"/>
  <c r="E316" i="6"/>
  <c r="F316" i="6"/>
  <c r="D317" i="6"/>
  <c r="C317" i="6" s="1"/>
  <c r="E317" i="6"/>
  <c r="F317" i="6"/>
  <c r="G317" i="6"/>
  <c r="H317" i="6"/>
  <c r="I317" i="6"/>
  <c r="J317" i="6"/>
  <c r="D318" i="6"/>
  <c r="C318" i="6" s="1"/>
  <c r="G318" i="6" s="1"/>
  <c r="E318" i="6"/>
  <c r="F318" i="6"/>
  <c r="H318" i="6"/>
  <c r="J318" i="6"/>
  <c r="C319" i="6"/>
  <c r="D319" i="6"/>
  <c r="E319" i="6"/>
  <c r="F319" i="6"/>
  <c r="H319" i="6"/>
  <c r="J319" i="6"/>
  <c r="M319" i="6"/>
  <c r="N319" i="6"/>
  <c r="C320" i="6"/>
  <c r="D320" i="6"/>
  <c r="J320" i="6" s="1"/>
  <c r="E320" i="6"/>
  <c r="F320" i="6"/>
  <c r="H320" i="6"/>
  <c r="D321" i="6"/>
  <c r="C321" i="6" s="1"/>
  <c r="N321" i="6" s="1"/>
  <c r="E321" i="6"/>
  <c r="F321" i="6"/>
  <c r="G321" i="6"/>
  <c r="H321" i="6"/>
  <c r="I321" i="6"/>
  <c r="J321" i="6"/>
  <c r="K321" i="6"/>
  <c r="L321" i="6"/>
  <c r="M321" i="6"/>
  <c r="C322" i="6"/>
  <c r="G322" i="6" s="1"/>
  <c r="D322" i="6"/>
  <c r="E322" i="6"/>
  <c r="F322" i="6"/>
  <c r="H322" i="6"/>
  <c r="I322" i="6"/>
  <c r="J322" i="6"/>
  <c r="K322" i="6"/>
  <c r="L322" i="6"/>
  <c r="M322" i="6"/>
  <c r="N322" i="6"/>
  <c r="D323" i="6"/>
  <c r="E323" i="6"/>
  <c r="F323" i="6"/>
  <c r="D324" i="6"/>
  <c r="C324" i="6" s="1"/>
  <c r="E324" i="6"/>
  <c r="F324" i="6"/>
  <c r="D325" i="6"/>
  <c r="C325" i="6" s="1"/>
  <c r="G325" i="6" s="1"/>
  <c r="E325" i="6"/>
  <c r="F325" i="6"/>
  <c r="H325" i="6"/>
  <c r="I325" i="6"/>
  <c r="J325" i="6"/>
  <c r="K325" i="6"/>
  <c r="L325" i="6"/>
  <c r="M325" i="6"/>
  <c r="N325" i="6"/>
  <c r="D326" i="6"/>
  <c r="E326" i="6"/>
  <c r="F326" i="6"/>
  <c r="K303" i="6" l="1"/>
  <c r="L303" i="6"/>
  <c r="I303" i="6"/>
  <c r="N303" i="6"/>
  <c r="M303" i="6"/>
  <c r="G303" i="6"/>
  <c r="K243" i="6"/>
  <c r="L243" i="6"/>
  <c r="G243" i="6"/>
  <c r="M243" i="6"/>
  <c r="N243" i="6"/>
  <c r="I243" i="6"/>
  <c r="G290" i="6"/>
  <c r="K290" i="6"/>
  <c r="L290" i="6"/>
  <c r="M290" i="6"/>
  <c r="N290" i="6"/>
  <c r="I290" i="6"/>
  <c r="K279" i="6"/>
  <c r="L279" i="6"/>
  <c r="G279" i="6"/>
  <c r="I279" i="6"/>
  <c r="M279" i="6"/>
  <c r="N279" i="6"/>
  <c r="K259" i="6"/>
  <c r="L259" i="6"/>
  <c r="G259" i="6"/>
  <c r="M259" i="6"/>
  <c r="N259" i="6"/>
  <c r="I259" i="6"/>
  <c r="M272" i="6"/>
  <c r="G272" i="6"/>
  <c r="I272" i="6"/>
  <c r="K272" i="6"/>
  <c r="L272" i="6"/>
  <c r="N272" i="6"/>
  <c r="K267" i="6"/>
  <c r="L267" i="6"/>
  <c r="G267" i="6"/>
  <c r="M267" i="6"/>
  <c r="N267" i="6"/>
  <c r="I267" i="6"/>
  <c r="I320" i="6"/>
  <c r="M320" i="6"/>
  <c r="K320" i="6"/>
  <c r="L320" i="6"/>
  <c r="N320" i="6"/>
  <c r="K260" i="6"/>
  <c r="I260" i="6"/>
  <c r="G260" i="6"/>
  <c r="K239" i="6"/>
  <c r="L239" i="6"/>
  <c r="G239" i="6"/>
  <c r="M239" i="6"/>
  <c r="I239" i="6"/>
  <c r="K315" i="6"/>
  <c r="G315" i="6"/>
  <c r="H306" i="6"/>
  <c r="J306" i="6"/>
  <c r="I292" i="6"/>
  <c r="G292" i="6"/>
  <c r="K292" i="6"/>
  <c r="K319" i="6"/>
  <c r="G319" i="6"/>
  <c r="I319" i="6"/>
  <c r="L319" i="6"/>
  <c r="H270" i="6"/>
  <c r="G261" i="6"/>
  <c r="I261" i="6"/>
  <c r="K261" i="6"/>
  <c r="L261" i="6"/>
  <c r="M261" i="6"/>
  <c r="N261" i="6"/>
  <c r="K299" i="6"/>
  <c r="G299" i="6"/>
  <c r="I299" i="6"/>
  <c r="L299" i="6"/>
  <c r="M299" i="6"/>
  <c r="K291" i="6"/>
  <c r="G291" i="6"/>
  <c r="G278" i="6"/>
  <c r="I278" i="6"/>
  <c r="L324" i="6"/>
  <c r="M324" i="6"/>
  <c r="N324" i="6"/>
  <c r="H296" i="6"/>
  <c r="J296" i="6"/>
  <c r="K268" i="6"/>
  <c r="G268" i="6"/>
  <c r="I268" i="6"/>
  <c r="J279" i="6"/>
  <c r="H279" i="6"/>
  <c r="H243" i="6"/>
  <c r="C306" i="6"/>
  <c r="N318" i="6"/>
  <c r="K317" i="6"/>
  <c r="N317" i="6"/>
  <c r="L317" i="6"/>
  <c r="M317" i="6"/>
  <c r="H310" i="6"/>
  <c r="G302" i="6"/>
  <c r="I302" i="6"/>
  <c r="K302" i="6"/>
  <c r="G298" i="6"/>
  <c r="I298" i="6"/>
  <c r="G294" i="6"/>
  <c r="N294" i="6"/>
  <c r="M291" i="6"/>
  <c r="N278" i="6"/>
  <c r="H267" i="6"/>
  <c r="N260" i="6"/>
  <c r="L297" i="6"/>
  <c r="M297" i="6"/>
  <c r="N297" i="6"/>
  <c r="C307" i="6"/>
  <c r="K244" i="6"/>
  <c r="I244" i="6"/>
  <c r="G244" i="6"/>
  <c r="C248" i="6"/>
  <c r="K252" i="6"/>
  <c r="I252" i="6"/>
  <c r="G252" i="6"/>
  <c r="H303" i="6"/>
  <c r="J303" i="6"/>
  <c r="C251" i="6"/>
  <c r="C296" i="6"/>
  <c r="L291" i="6"/>
  <c r="L260" i="6"/>
  <c r="J251" i="6"/>
  <c r="G282" i="6"/>
  <c r="I282" i="6"/>
  <c r="K282" i="6"/>
  <c r="L282" i="6"/>
  <c r="M282" i="6"/>
  <c r="C313" i="6"/>
  <c r="H313" i="6"/>
  <c r="J313" i="6"/>
  <c r="H323" i="6"/>
  <c r="J323" i="6"/>
  <c r="C289" i="6"/>
  <c r="J289" i="6"/>
  <c r="H289" i="6"/>
  <c r="M278" i="6"/>
  <c r="G270" i="6"/>
  <c r="L270" i="6"/>
  <c r="M270" i="6"/>
  <c r="N270" i="6"/>
  <c r="I324" i="6"/>
  <c r="G320" i="6"/>
  <c r="K318" i="6"/>
  <c r="G312" i="6"/>
  <c r="I312" i="6"/>
  <c r="M304" i="6"/>
  <c r="N304" i="6"/>
  <c r="N299" i="6"/>
  <c r="I297" i="6"/>
  <c r="I291" i="6"/>
  <c r="M288" i="6"/>
  <c r="N282" i="6"/>
  <c r="K278" i="6"/>
  <c r="C256" i="6"/>
  <c r="G245" i="6"/>
  <c r="K245" i="6"/>
  <c r="I245" i="6"/>
  <c r="L245" i="6"/>
  <c r="M245" i="6"/>
  <c r="N245" i="6"/>
  <c r="K240" i="6"/>
  <c r="I240" i="6"/>
  <c r="N240" i="6"/>
  <c r="L240" i="6"/>
  <c r="M240" i="6"/>
  <c r="K271" i="6"/>
  <c r="G271" i="6"/>
  <c r="M318" i="6"/>
  <c r="M260" i="6"/>
  <c r="C310" i="6"/>
  <c r="J307" i="6"/>
  <c r="H276" i="6"/>
  <c r="J276" i="6"/>
  <c r="M271" i="6"/>
  <c r="H264" i="6"/>
  <c r="N244" i="6"/>
  <c r="K235" i="6"/>
  <c r="L235" i="6"/>
  <c r="M235" i="6"/>
  <c r="N235" i="6"/>
  <c r="G235" i="6"/>
  <c r="I235" i="6"/>
  <c r="C264" i="6"/>
  <c r="G288" i="6"/>
  <c r="I288" i="6"/>
  <c r="C323" i="6"/>
  <c r="K275" i="6"/>
  <c r="L275" i="6"/>
  <c r="G275" i="6"/>
  <c r="I275" i="6"/>
  <c r="K324" i="6"/>
  <c r="K297" i="6"/>
  <c r="J324" i="6"/>
  <c r="L318" i="6"/>
  <c r="C300" i="6"/>
  <c r="K287" i="6"/>
  <c r="M287" i="6"/>
  <c r="N287" i="6"/>
  <c r="C283" i="6"/>
  <c r="L278" i="6"/>
  <c r="H324" i="6"/>
  <c r="J316" i="6"/>
  <c r="H316" i="6"/>
  <c r="G324" i="6"/>
  <c r="I318" i="6"/>
  <c r="C316" i="6"/>
  <c r="G297" i="6"/>
  <c r="C293" i="6"/>
  <c r="J293" i="6"/>
  <c r="K288" i="6"/>
  <c r="J280" i="6"/>
  <c r="C269" i="6"/>
  <c r="J269" i="6"/>
  <c r="H269" i="6"/>
  <c r="M244" i="6"/>
  <c r="I237" i="6"/>
  <c r="G237" i="6"/>
  <c r="K237" i="6"/>
  <c r="L237" i="6"/>
  <c r="M237" i="6"/>
  <c r="N237" i="6"/>
  <c r="C309" i="6"/>
  <c r="H309" i="6"/>
  <c r="J309" i="6"/>
  <c r="G253" i="6"/>
  <c r="K253" i="6"/>
  <c r="I253" i="6"/>
  <c r="L253" i="6"/>
  <c r="M253" i="6"/>
  <c r="N253" i="6"/>
  <c r="K280" i="6"/>
  <c r="N280" i="6"/>
  <c r="L280" i="6"/>
  <c r="M280" i="6"/>
  <c r="C273" i="6"/>
  <c r="J273" i="6"/>
  <c r="H272" i="6"/>
  <c r="J272" i="6"/>
  <c r="N288" i="6"/>
  <c r="J326" i="6"/>
  <c r="H326" i="6"/>
  <c r="H286" i="6"/>
  <c r="J286" i="6"/>
  <c r="K276" i="6"/>
  <c r="L276" i="6"/>
  <c r="I276" i="6"/>
  <c r="M276" i="6"/>
  <c r="N276" i="6"/>
  <c r="L271" i="6"/>
  <c r="C326" i="6"/>
  <c r="N315" i="6"/>
  <c r="G314" i="6"/>
  <c r="M314" i="6"/>
  <c r="N314" i="6"/>
  <c r="J299" i="6"/>
  <c r="H299" i="6"/>
  <c r="N292" i="6"/>
  <c r="C286" i="6"/>
  <c r="I280" i="6"/>
  <c r="N275" i="6"/>
  <c r="N268" i="6"/>
  <c r="L244" i="6"/>
  <c r="H278" i="6"/>
  <c r="K236" i="6"/>
  <c r="L236" i="6"/>
  <c r="N236" i="6"/>
  <c r="H262" i="6"/>
  <c r="C262" i="6"/>
  <c r="H246" i="6"/>
  <c r="C246" i="6"/>
  <c r="H254" i="6"/>
  <c r="C254" i="6"/>
  <c r="N277" i="6"/>
  <c r="K263" i="6"/>
  <c r="L263" i="6"/>
  <c r="G263" i="6"/>
  <c r="K255" i="6"/>
  <c r="L255" i="6"/>
  <c r="G255" i="6"/>
  <c r="K247" i="6"/>
  <c r="L247" i="6"/>
  <c r="G247" i="6"/>
  <c r="H235" i="6"/>
  <c r="J235" i="6"/>
  <c r="H266" i="6"/>
  <c r="C266" i="6"/>
  <c r="H258" i="6"/>
  <c r="C258" i="6"/>
  <c r="H250" i="6"/>
  <c r="C250" i="6"/>
  <c r="H242" i="6"/>
  <c r="C242" i="6"/>
  <c r="C238" i="6"/>
  <c r="N233" i="6"/>
  <c r="M233" i="6"/>
  <c r="L233" i="6"/>
  <c r="K233" i="6"/>
  <c r="J237" i="6"/>
  <c r="I233" i="6"/>
  <c r="H237" i="6"/>
  <c r="E571" i="4"/>
  <c r="J571" i="4" s="1"/>
  <c r="K571" i="4" s="1"/>
  <c r="E570" i="4"/>
  <c r="J570" i="4" s="1"/>
  <c r="K570" i="4" s="1"/>
  <c r="E569" i="4"/>
  <c r="J569" i="4" s="1"/>
  <c r="K569" i="4" s="1"/>
  <c r="E568" i="4"/>
  <c r="J568" i="4" s="1"/>
  <c r="K568" i="4" s="1"/>
  <c r="E567" i="4"/>
  <c r="J567" i="4" s="1"/>
  <c r="K567" i="4" s="1"/>
  <c r="E566" i="4"/>
  <c r="J566" i="4" s="1"/>
  <c r="K566" i="4" s="1"/>
  <c r="E565" i="4"/>
  <c r="J565" i="4" s="1"/>
  <c r="K565" i="4" s="1"/>
  <c r="E564" i="4"/>
  <c r="J564" i="4" s="1"/>
  <c r="K564" i="4" s="1"/>
  <c r="E563" i="4"/>
  <c r="J563" i="4" s="1"/>
  <c r="K563" i="4" s="1"/>
  <c r="E562" i="4"/>
  <c r="J562" i="4" s="1"/>
  <c r="K562" i="4" s="1"/>
  <c r="E561" i="4"/>
  <c r="J561" i="4" s="1"/>
  <c r="K561" i="4" s="1"/>
  <c r="E560" i="4"/>
  <c r="J560" i="4" s="1"/>
  <c r="K560" i="4" s="1"/>
  <c r="E559" i="4"/>
  <c r="J559" i="4" s="1"/>
  <c r="K559" i="4" s="1"/>
  <c r="E558" i="4"/>
  <c r="J558" i="4" s="1"/>
  <c r="K558" i="4" s="1"/>
  <c r="E557" i="4"/>
  <c r="J557" i="4" s="1"/>
  <c r="K557" i="4" s="1"/>
  <c r="E556" i="4"/>
  <c r="J556" i="4" s="1"/>
  <c r="K556" i="4" s="1"/>
  <c r="E555" i="4"/>
  <c r="J555" i="4" s="1"/>
  <c r="K555" i="4" s="1"/>
  <c r="E554" i="4"/>
  <c r="J554" i="4" s="1"/>
  <c r="K554" i="4" s="1"/>
  <c r="E553" i="4"/>
  <c r="J553" i="4" s="1"/>
  <c r="K553" i="4" s="1"/>
  <c r="E552" i="4"/>
  <c r="J552" i="4" s="1"/>
  <c r="K552" i="4" s="1"/>
  <c r="E551" i="4"/>
  <c r="J551" i="4" s="1"/>
  <c r="K551" i="4" s="1"/>
  <c r="E550" i="4"/>
  <c r="J550" i="4" s="1"/>
  <c r="K550" i="4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" i="6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E549" i="4"/>
  <c r="J549" i="4" s="1"/>
  <c r="E548" i="4"/>
  <c r="J548" i="4" s="1"/>
  <c r="K264" i="6" l="1"/>
  <c r="I264" i="6"/>
  <c r="L264" i="6"/>
  <c r="M264" i="6"/>
  <c r="N264" i="6"/>
  <c r="G264" i="6"/>
  <c r="G238" i="6"/>
  <c r="N238" i="6"/>
  <c r="I238" i="6"/>
  <c r="K238" i="6"/>
  <c r="M238" i="6"/>
  <c r="L238" i="6"/>
  <c r="G258" i="6"/>
  <c r="I258" i="6"/>
  <c r="N258" i="6"/>
  <c r="K258" i="6"/>
  <c r="L258" i="6"/>
  <c r="M258" i="6"/>
  <c r="G254" i="6"/>
  <c r="N254" i="6"/>
  <c r="I254" i="6"/>
  <c r="M254" i="6"/>
  <c r="L254" i="6"/>
  <c r="K254" i="6"/>
  <c r="I293" i="6"/>
  <c r="M293" i="6"/>
  <c r="K293" i="6"/>
  <c r="L293" i="6"/>
  <c r="N293" i="6"/>
  <c r="G293" i="6"/>
  <c r="I313" i="6"/>
  <c r="L313" i="6"/>
  <c r="K313" i="6"/>
  <c r="M313" i="6"/>
  <c r="N313" i="6"/>
  <c r="G313" i="6"/>
  <c r="K248" i="6"/>
  <c r="I248" i="6"/>
  <c r="N248" i="6"/>
  <c r="L248" i="6"/>
  <c r="M248" i="6"/>
  <c r="G248" i="6"/>
  <c r="G269" i="6"/>
  <c r="I269" i="6"/>
  <c r="K269" i="6"/>
  <c r="L269" i="6"/>
  <c r="M269" i="6"/>
  <c r="N269" i="6"/>
  <c r="G266" i="6"/>
  <c r="N266" i="6"/>
  <c r="I266" i="6"/>
  <c r="K266" i="6"/>
  <c r="L266" i="6"/>
  <c r="M266" i="6"/>
  <c r="G246" i="6"/>
  <c r="N246" i="6"/>
  <c r="K246" i="6"/>
  <c r="L246" i="6"/>
  <c r="I246" i="6"/>
  <c r="M246" i="6"/>
  <c r="G309" i="6"/>
  <c r="I309" i="6"/>
  <c r="K309" i="6"/>
  <c r="L309" i="6"/>
  <c r="M309" i="6"/>
  <c r="N309" i="6"/>
  <c r="G316" i="6"/>
  <c r="I316" i="6"/>
  <c r="K316" i="6"/>
  <c r="L316" i="6"/>
  <c r="M316" i="6"/>
  <c r="N316" i="6"/>
  <c r="G242" i="6"/>
  <c r="I242" i="6"/>
  <c r="N242" i="6"/>
  <c r="K242" i="6"/>
  <c r="L242" i="6"/>
  <c r="M242" i="6"/>
  <c r="K300" i="6"/>
  <c r="L300" i="6"/>
  <c r="M300" i="6"/>
  <c r="N300" i="6"/>
  <c r="G300" i="6"/>
  <c r="I300" i="6"/>
  <c r="G306" i="6"/>
  <c r="K306" i="6"/>
  <c r="L306" i="6"/>
  <c r="I306" i="6"/>
  <c r="M306" i="6"/>
  <c r="N306" i="6"/>
  <c r="G289" i="6"/>
  <c r="I289" i="6"/>
  <c r="N289" i="6"/>
  <c r="K289" i="6"/>
  <c r="L289" i="6"/>
  <c r="M289" i="6"/>
  <c r="G250" i="6"/>
  <c r="I250" i="6"/>
  <c r="K250" i="6"/>
  <c r="L250" i="6"/>
  <c r="M250" i="6"/>
  <c r="N250" i="6"/>
  <c r="G262" i="6"/>
  <c r="N262" i="6"/>
  <c r="K262" i="6"/>
  <c r="I262" i="6"/>
  <c r="L262" i="6"/>
  <c r="M262" i="6"/>
  <c r="K307" i="6"/>
  <c r="L307" i="6"/>
  <c r="M307" i="6"/>
  <c r="N307" i="6"/>
  <c r="I307" i="6"/>
  <c r="G307" i="6"/>
  <c r="G286" i="6"/>
  <c r="I286" i="6"/>
  <c r="K286" i="6"/>
  <c r="L286" i="6"/>
  <c r="M286" i="6"/>
  <c r="N286" i="6"/>
  <c r="K273" i="6"/>
  <c r="L273" i="6"/>
  <c r="M273" i="6"/>
  <c r="N273" i="6"/>
  <c r="G273" i="6"/>
  <c r="I273" i="6"/>
  <c r="K283" i="6"/>
  <c r="I283" i="6"/>
  <c r="N283" i="6"/>
  <c r="L283" i="6"/>
  <c r="M283" i="6"/>
  <c r="G283" i="6"/>
  <c r="G296" i="6"/>
  <c r="I296" i="6"/>
  <c r="L296" i="6"/>
  <c r="K296" i="6"/>
  <c r="M296" i="6"/>
  <c r="N296" i="6"/>
  <c r="K251" i="6"/>
  <c r="L251" i="6"/>
  <c r="G251" i="6"/>
  <c r="M251" i="6"/>
  <c r="N251" i="6"/>
  <c r="I251" i="6"/>
  <c r="G326" i="6"/>
  <c r="K326" i="6"/>
  <c r="I326" i="6"/>
  <c r="L326" i="6"/>
  <c r="M326" i="6"/>
  <c r="N326" i="6"/>
  <c r="K323" i="6"/>
  <c r="G323" i="6"/>
  <c r="I323" i="6"/>
  <c r="L323" i="6"/>
  <c r="M323" i="6"/>
  <c r="N323" i="6"/>
  <c r="G310" i="6"/>
  <c r="K310" i="6"/>
  <c r="N310" i="6"/>
  <c r="M310" i="6"/>
  <c r="L310" i="6"/>
  <c r="I310" i="6"/>
  <c r="K256" i="6"/>
  <c r="I256" i="6"/>
  <c r="L256" i="6"/>
  <c r="M256" i="6"/>
  <c r="N256" i="6"/>
  <c r="G256" i="6"/>
  <c r="K548" i="4"/>
  <c r="K549" i="4"/>
  <c r="E122" i="4" l="1"/>
  <c r="J122" i="4" s="1"/>
  <c r="K122" i="4" l="1"/>
  <c r="E121" i="4"/>
  <c r="J121" i="4" s="1"/>
  <c r="K121" i="4" l="1"/>
  <c r="D89" i="6" l="1"/>
  <c r="C89" i="6" s="1"/>
  <c r="D90" i="6"/>
  <c r="C90" i="6" s="1"/>
  <c r="D91" i="6"/>
  <c r="C91" i="6" s="1"/>
  <c r="D92" i="6"/>
  <c r="C92" i="6" s="1"/>
  <c r="D93" i="6"/>
  <c r="C93" i="6" s="1"/>
  <c r="D94" i="6"/>
  <c r="C94" i="6" s="1"/>
  <c r="D95" i="6"/>
  <c r="C95" i="6" s="1"/>
  <c r="D96" i="6"/>
  <c r="C96" i="6" s="1"/>
  <c r="D97" i="6"/>
  <c r="C97" i="6" s="1"/>
  <c r="D98" i="6"/>
  <c r="C98" i="6" s="1"/>
  <c r="D99" i="6"/>
  <c r="C99" i="6" s="1"/>
  <c r="D100" i="6"/>
  <c r="C100" i="6" s="1"/>
  <c r="D101" i="6"/>
  <c r="C101" i="6" s="1"/>
  <c r="D102" i="6"/>
  <c r="C102" i="6" s="1"/>
  <c r="D103" i="6"/>
  <c r="C103" i="6" s="1"/>
  <c r="D104" i="6"/>
  <c r="C104" i="6" s="1"/>
  <c r="D105" i="6"/>
  <c r="C105" i="6" s="1"/>
  <c r="D106" i="6"/>
  <c r="C106" i="6" s="1"/>
  <c r="D107" i="6"/>
  <c r="C107" i="6" s="1"/>
  <c r="D108" i="6"/>
  <c r="C108" i="6" s="1"/>
  <c r="D109" i="6"/>
  <c r="C109" i="6" s="1"/>
  <c r="D110" i="6"/>
  <c r="C110" i="6" s="1"/>
  <c r="D111" i="6"/>
  <c r="C111" i="6" s="1"/>
  <c r="D112" i="6"/>
  <c r="C112" i="6" s="1"/>
  <c r="D113" i="6"/>
  <c r="C113" i="6" s="1"/>
  <c r="D114" i="6"/>
  <c r="C114" i="6" s="1"/>
  <c r="D115" i="6"/>
  <c r="C115" i="6" s="1"/>
  <c r="D116" i="6"/>
  <c r="C116" i="6" s="1"/>
  <c r="D117" i="6"/>
  <c r="C117" i="6" s="1"/>
  <c r="D118" i="6"/>
  <c r="C118" i="6" s="1"/>
  <c r="D119" i="6"/>
  <c r="C119" i="6" s="1"/>
  <c r="D120" i="6"/>
  <c r="C120" i="6" s="1"/>
  <c r="D121" i="6"/>
  <c r="C121" i="6" s="1"/>
  <c r="D122" i="6"/>
  <c r="C122" i="6" s="1"/>
  <c r="D123" i="6"/>
  <c r="C123" i="6" s="1"/>
  <c r="D124" i="6"/>
  <c r="C124" i="6" s="1"/>
  <c r="D125" i="6"/>
  <c r="C125" i="6" s="1"/>
  <c r="D126" i="6"/>
  <c r="C126" i="6" s="1"/>
  <c r="D127" i="6"/>
  <c r="C127" i="6" s="1"/>
  <c r="D128" i="6"/>
  <c r="C128" i="6" s="1"/>
  <c r="D129" i="6"/>
  <c r="C129" i="6" s="1"/>
  <c r="D130" i="6"/>
  <c r="C130" i="6" s="1"/>
  <c r="D131" i="6"/>
  <c r="C131" i="6" s="1"/>
  <c r="D132" i="6"/>
  <c r="C132" i="6" s="1"/>
  <c r="D133" i="6"/>
  <c r="C133" i="6" s="1"/>
  <c r="D134" i="6"/>
  <c r="C134" i="6" s="1"/>
  <c r="D135" i="6"/>
  <c r="C135" i="6" s="1"/>
  <c r="D136" i="6"/>
  <c r="C136" i="6" s="1"/>
  <c r="D137" i="6"/>
  <c r="C137" i="6" s="1"/>
  <c r="D138" i="6"/>
  <c r="C138" i="6" s="1"/>
  <c r="D139" i="6"/>
  <c r="C139" i="6" s="1"/>
  <c r="D140" i="6"/>
  <c r="C140" i="6" s="1"/>
  <c r="D141" i="6"/>
  <c r="C141" i="6" s="1"/>
  <c r="D142" i="6"/>
  <c r="C142" i="6" s="1"/>
  <c r="D143" i="6"/>
  <c r="C143" i="6" s="1"/>
  <c r="D144" i="6"/>
  <c r="C144" i="6" s="1"/>
  <c r="D145" i="6"/>
  <c r="C145" i="6" s="1"/>
  <c r="D146" i="6"/>
  <c r="C146" i="6" s="1"/>
  <c r="D147" i="6"/>
  <c r="C147" i="6" s="1"/>
  <c r="D148" i="6"/>
  <c r="C148" i="6" s="1"/>
  <c r="D149" i="6"/>
  <c r="C149" i="6" s="1"/>
  <c r="D150" i="6"/>
  <c r="C150" i="6" s="1"/>
  <c r="D151" i="6"/>
  <c r="C151" i="6" s="1"/>
  <c r="D152" i="6"/>
  <c r="C152" i="6" s="1"/>
  <c r="D153" i="6"/>
  <c r="C153" i="6" s="1"/>
  <c r="D154" i="6"/>
  <c r="C154" i="6" s="1"/>
  <c r="D155" i="6"/>
  <c r="C155" i="6" s="1"/>
  <c r="D156" i="6"/>
  <c r="C156" i="6" s="1"/>
  <c r="D157" i="6"/>
  <c r="C157" i="6" s="1"/>
  <c r="D158" i="6"/>
  <c r="C158" i="6" s="1"/>
  <c r="D159" i="6"/>
  <c r="C159" i="6" s="1"/>
  <c r="D160" i="6"/>
  <c r="C160" i="6" s="1"/>
  <c r="D161" i="6"/>
  <c r="C161" i="6" s="1"/>
  <c r="D162" i="6"/>
  <c r="C162" i="6" s="1"/>
  <c r="D163" i="6"/>
  <c r="C163" i="6" s="1"/>
  <c r="D164" i="6"/>
  <c r="C164" i="6" s="1"/>
  <c r="D165" i="6"/>
  <c r="C165" i="6" s="1"/>
  <c r="D166" i="6"/>
  <c r="C166" i="6" s="1"/>
  <c r="D167" i="6"/>
  <c r="C167" i="6" s="1"/>
  <c r="D168" i="6"/>
  <c r="C168" i="6" s="1"/>
  <c r="D169" i="6"/>
  <c r="C169" i="6" s="1"/>
  <c r="D170" i="6"/>
  <c r="C170" i="6" s="1"/>
  <c r="D171" i="6"/>
  <c r="C171" i="6" s="1"/>
  <c r="D172" i="6"/>
  <c r="C172" i="6" s="1"/>
  <c r="D173" i="6"/>
  <c r="C173" i="6" s="1"/>
  <c r="D174" i="6"/>
  <c r="C174" i="6" s="1"/>
  <c r="D175" i="6"/>
  <c r="C175" i="6" s="1"/>
  <c r="D176" i="6"/>
  <c r="C176" i="6" s="1"/>
  <c r="D177" i="6"/>
  <c r="C177" i="6" s="1"/>
  <c r="D178" i="6"/>
  <c r="C178" i="6" s="1"/>
  <c r="D179" i="6"/>
  <c r="C179" i="6" s="1"/>
  <c r="D180" i="6"/>
  <c r="C180" i="6" s="1"/>
  <c r="D181" i="6"/>
  <c r="C181" i="6" s="1"/>
  <c r="D182" i="6"/>
  <c r="C182" i="6" s="1"/>
  <c r="D183" i="6"/>
  <c r="C183" i="6" s="1"/>
  <c r="D184" i="6"/>
  <c r="C184" i="6" s="1"/>
  <c r="D185" i="6"/>
  <c r="C185" i="6" s="1"/>
  <c r="D186" i="6"/>
  <c r="C186" i="6" s="1"/>
  <c r="D187" i="6"/>
  <c r="C187" i="6" s="1"/>
  <c r="D188" i="6"/>
  <c r="C188" i="6" s="1"/>
  <c r="D189" i="6"/>
  <c r="C189" i="6" s="1"/>
  <c r="D190" i="6"/>
  <c r="C190" i="6" s="1"/>
  <c r="D191" i="6"/>
  <c r="C191" i="6" s="1"/>
  <c r="D192" i="6"/>
  <c r="C192" i="6" s="1"/>
  <c r="D193" i="6"/>
  <c r="C193" i="6" s="1"/>
  <c r="D194" i="6"/>
  <c r="C194" i="6" s="1"/>
  <c r="D195" i="6"/>
  <c r="C195" i="6" s="1"/>
  <c r="D196" i="6"/>
  <c r="C196" i="6" s="1"/>
  <c r="D197" i="6"/>
  <c r="C197" i="6" s="1"/>
  <c r="D198" i="6"/>
  <c r="C198" i="6" s="1"/>
  <c r="D199" i="6"/>
  <c r="C199" i="6" s="1"/>
  <c r="D200" i="6"/>
  <c r="C200" i="6" s="1"/>
  <c r="D201" i="6"/>
  <c r="C201" i="6" s="1"/>
  <c r="D202" i="6"/>
  <c r="C202" i="6" s="1"/>
  <c r="D203" i="6"/>
  <c r="C203" i="6" s="1"/>
  <c r="D204" i="6"/>
  <c r="C204" i="6" s="1"/>
  <c r="D205" i="6"/>
  <c r="C205" i="6" s="1"/>
  <c r="D206" i="6"/>
  <c r="C206" i="6" s="1"/>
  <c r="D207" i="6"/>
  <c r="C207" i="6" s="1"/>
  <c r="D208" i="6"/>
  <c r="C208" i="6" s="1"/>
  <c r="D209" i="6"/>
  <c r="C209" i="6" s="1"/>
  <c r="D210" i="6"/>
  <c r="C210" i="6" s="1"/>
  <c r="D211" i="6"/>
  <c r="C211" i="6" s="1"/>
  <c r="D212" i="6"/>
  <c r="C212" i="6" s="1"/>
  <c r="D213" i="6"/>
  <c r="C213" i="6" s="1"/>
  <c r="D214" i="6"/>
  <c r="C214" i="6" s="1"/>
  <c r="D215" i="6"/>
  <c r="C215" i="6" s="1"/>
  <c r="D216" i="6"/>
  <c r="C216" i="6" s="1"/>
  <c r="D217" i="6"/>
  <c r="C217" i="6" s="1"/>
  <c r="D218" i="6"/>
  <c r="C218" i="6" s="1"/>
  <c r="D219" i="6"/>
  <c r="C219" i="6" s="1"/>
  <c r="D220" i="6"/>
  <c r="C220" i="6" s="1"/>
  <c r="D221" i="6"/>
  <c r="C221" i="6" s="1"/>
  <c r="D222" i="6"/>
  <c r="C222" i="6" s="1"/>
  <c r="D223" i="6"/>
  <c r="C223" i="6" s="1"/>
  <c r="D224" i="6"/>
  <c r="C224" i="6" s="1"/>
  <c r="D225" i="6"/>
  <c r="C225" i="6" s="1"/>
  <c r="D226" i="6"/>
  <c r="C226" i="6" s="1"/>
  <c r="D227" i="6"/>
  <c r="C227" i="6" s="1"/>
  <c r="D228" i="6"/>
  <c r="C228" i="6" s="1"/>
  <c r="D229" i="6"/>
  <c r="C229" i="6" s="1"/>
  <c r="D230" i="6"/>
  <c r="C230" i="6" s="1"/>
  <c r="D231" i="6"/>
  <c r="C231" i="6" s="1"/>
  <c r="D232" i="6"/>
  <c r="C232" i="6" s="1"/>
  <c r="D3" i="6"/>
  <c r="C3" i="6" s="1"/>
  <c r="D4" i="6"/>
  <c r="C4" i="6" s="1"/>
  <c r="D5" i="6"/>
  <c r="C5" i="6" s="1"/>
  <c r="D6" i="6"/>
  <c r="C6" i="6" s="1"/>
  <c r="D7" i="6"/>
  <c r="C7" i="6" s="1"/>
  <c r="D8" i="6"/>
  <c r="C8" i="6" s="1"/>
  <c r="D9" i="6"/>
  <c r="C9" i="6" s="1"/>
  <c r="D10" i="6"/>
  <c r="C10" i="6" s="1"/>
  <c r="D11" i="6"/>
  <c r="C11" i="6" s="1"/>
  <c r="D12" i="6"/>
  <c r="C12" i="6" s="1"/>
  <c r="D13" i="6"/>
  <c r="C13" i="6" s="1"/>
  <c r="D14" i="6"/>
  <c r="C14" i="6" s="1"/>
  <c r="D15" i="6"/>
  <c r="C15" i="6" s="1"/>
  <c r="D16" i="6"/>
  <c r="C16" i="6" s="1"/>
  <c r="D17" i="6"/>
  <c r="C17" i="6" s="1"/>
  <c r="D18" i="6"/>
  <c r="C18" i="6" s="1"/>
  <c r="D19" i="6"/>
  <c r="C19" i="6" s="1"/>
  <c r="D20" i="6"/>
  <c r="C20" i="6" s="1"/>
  <c r="D21" i="6"/>
  <c r="C21" i="6" s="1"/>
  <c r="D22" i="6"/>
  <c r="C22" i="6" s="1"/>
  <c r="D23" i="6"/>
  <c r="C23" i="6" s="1"/>
  <c r="D24" i="6"/>
  <c r="C24" i="6" s="1"/>
  <c r="D25" i="6"/>
  <c r="C25" i="6" s="1"/>
  <c r="D26" i="6"/>
  <c r="C26" i="6" s="1"/>
  <c r="D27" i="6"/>
  <c r="C27" i="6" s="1"/>
  <c r="D28" i="6"/>
  <c r="C28" i="6" s="1"/>
  <c r="D29" i="6"/>
  <c r="C29" i="6" s="1"/>
  <c r="D30" i="6"/>
  <c r="C30" i="6" s="1"/>
  <c r="D31" i="6"/>
  <c r="C31" i="6" s="1"/>
  <c r="D32" i="6"/>
  <c r="C32" i="6" s="1"/>
  <c r="D33" i="6"/>
  <c r="C33" i="6" s="1"/>
  <c r="D34" i="6"/>
  <c r="C34" i="6" s="1"/>
  <c r="D35" i="6"/>
  <c r="C35" i="6" s="1"/>
  <c r="D36" i="6"/>
  <c r="C36" i="6" s="1"/>
  <c r="D37" i="6"/>
  <c r="C37" i="6" s="1"/>
  <c r="D38" i="6"/>
  <c r="C38" i="6" s="1"/>
  <c r="D39" i="6"/>
  <c r="C39" i="6" s="1"/>
  <c r="D40" i="6"/>
  <c r="C40" i="6" s="1"/>
  <c r="D41" i="6"/>
  <c r="C41" i="6" s="1"/>
  <c r="D42" i="6"/>
  <c r="C42" i="6" s="1"/>
  <c r="D43" i="6"/>
  <c r="C43" i="6" s="1"/>
  <c r="D44" i="6"/>
  <c r="C44" i="6" s="1"/>
  <c r="D45" i="6"/>
  <c r="C45" i="6" s="1"/>
  <c r="D46" i="6"/>
  <c r="C46" i="6" s="1"/>
  <c r="D47" i="6"/>
  <c r="C47" i="6" s="1"/>
  <c r="D48" i="6"/>
  <c r="C48" i="6" s="1"/>
  <c r="D49" i="6"/>
  <c r="C49" i="6" s="1"/>
  <c r="D50" i="6"/>
  <c r="C50" i="6" s="1"/>
  <c r="D51" i="6"/>
  <c r="C51" i="6" s="1"/>
  <c r="D52" i="6"/>
  <c r="C52" i="6" s="1"/>
  <c r="D53" i="6"/>
  <c r="C53" i="6" s="1"/>
  <c r="D54" i="6"/>
  <c r="C54" i="6" s="1"/>
  <c r="D55" i="6"/>
  <c r="C55" i="6" s="1"/>
  <c r="D56" i="6"/>
  <c r="C56" i="6" s="1"/>
  <c r="D57" i="6"/>
  <c r="C57" i="6" s="1"/>
  <c r="D58" i="6"/>
  <c r="C58" i="6" s="1"/>
  <c r="D59" i="6"/>
  <c r="C59" i="6" s="1"/>
  <c r="D60" i="6"/>
  <c r="C60" i="6" s="1"/>
  <c r="D61" i="6"/>
  <c r="C61" i="6" s="1"/>
  <c r="D62" i="6"/>
  <c r="C62" i="6" s="1"/>
  <c r="D63" i="6"/>
  <c r="C63" i="6" s="1"/>
  <c r="D64" i="6"/>
  <c r="C64" i="6" s="1"/>
  <c r="D65" i="6"/>
  <c r="C65" i="6" s="1"/>
  <c r="D66" i="6"/>
  <c r="C66" i="6" s="1"/>
  <c r="D67" i="6"/>
  <c r="C67" i="6" s="1"/>
  <c r="D68" i="6"/>
  <c r="C68" i="6" s="1"/>
  <c r="D69" i="6"/>
  <c r="C69" i="6" s="1"/>
  <c r="D70" i="6"/>
  <c r="C70" i="6" s="1"/>
  <c r="D71" i="6"/>
  <c r="C71" i="6" s="1"/>
  <c r="D72" i="6"/>
  <c r="C72" i="6" s="1"/>
  <c r="D73" i="6"/>
  <c r="C73" i="6" s="1"/>
  <c r="D74" i="6"/>
  <c r="C74" i="6" s="1"/>
  <c r="D75" i="6"/>
  <c r="C75" i="6" s="1"/>
  <c r="D76" i="6"/>
  <c r="C76" i="6" s="1"/>
  <c r="D77" i="6"/>
  <c r="C77" i="6" s="1"/>
  <c r="D78" i="6"/>
  <c r="C78" i="6" s="1"/>
  <c r="D79" i="6"/>
  <c r="C79" i="6" s="1"/>
  <c r="D80" i="6"/>
  <c r="C80" i="6" s="1"/>
  <c r="D81" i="6"/>
  <c r="C81" i="6" s="1"/>
  <c r="D82" i="6"/>
  <c r="C82" i="6" s="1"/>
  <c r="D83" i="6"/>
  <c r="C83" i="6" s="1"/>
  <c r="D84" i="6"/>
  <c r="C84" i="6" s="1"/>
  <c r="D85" i="6"/>
  <c r="C85" i="6" s="1"/>
  <c r="D86" i="6"/>
  <c r="C86" i="6" s="1"/>
  <c r="D87" i="6"/>
  <c r="C87" i="6" s="1"/>
  <c r="D88" i="6"/>
  <c r="C88" i="6" s="1"/>
  <c r="D2" i="6"/>
  <c r="J80" i="6" l="1"/>
  <c r="H80" i="6"/>
  <c r="J65" i="6"/>
  <c r="H65" i="6"/>
  <c r="J36" i="6"/>
  <c r="H36" i="6"/>
  <c r="J218" i="6"/>
  <c r="H218" i="6"/>
  <c r="J190" i="6"/>
  <c r="H190" i="6"/>
  <c r="J169" i="6"/>
  <c r="H169" i="6"/>
  <c r="J156" i="6"/>
  <c r="H156" i="6"/>
  <c r="J145" i="6"/>
  <c r="H145" i="6"/>
  <c r="J125" i="6"/>
  <c r="H125" i="6"/>
  <c r="J101" i="6"/>
  <c r="H101" i="6"/>
  <c r="H94" i="6"/>
  <c r="J94" i="6"/>
  <c r="J79" i="6"/>
  <c r="H79" i="6"/>
  <c r="J63" i="6"/>
  <c r="H63" i="6"/>
  <c r="J58" i="6"/>
  <c r="H58" i="6"/>
  <c r="J53" i="6"/>
  <c r="H53" i="6"/>
  <c r="J47" i="6"/>
  <c r="H47" i="6"/>
  <c r="J41" i="6"/>
  <c r="H41" i="6"/>
  <c r="J35" i="6"/>
  <c r="H35" i="6"/>
  <c r="J28" i="6"/>
  <c r="H28" i="6"/>
  <c r="J22" i="6"/>
  <c r="H22" i="6"/>
  <c r="J16" i="6"/>
  <c r="H16" i="6"/>
  <c r="J7" i="6"/>
  <c r="H7" i="6"/>
  <c r="J3" i="6"/>
  <c r="H3" i="6"/>
  <c r="J217" i="6"/>
  <c r="H217" i="6"/>
  <c r="H210" i="6"/>
  <c r="J210" i="6"/>
  <c r="J196" i="6"/>
  <c r="H196" i="6"/>
  <c r="H195" i="6"/>
  <c r="J195" i="6"/>
  <c r="H189" i="6"/>
  <c r="J189" i="6"/>
  <c r="H172" i="6"/>
  <c r="J172" i="6"/>
  <c r="J168" i="6"/>
  <c r="H168" i="6"/>
  <c r="H163" i="6"/>
  <c r="J163" i="6"/>
  <c r="H155" i="6"/>
  <c r="J155" i="6"/>
  <c r="H149" i="6"/>
  <c r="J149" i="6"/>
  <c r="H142" i="6"/>
  <c r="J142" i="6"/>
  <c r="H134" i="6"/>
  <c r="J134" i="6"/>
  <c r="H124" i="6"/>
  <c r="J124" i="6"/>
  <c r="H110" i="6"/>
  <c r="J110" i="6"/>
  <c r="H104" i="6"/>
  <c r="J104" i="6"/>
  <c r="H93" i="6"/>
  <c r="J93" i="6"/>
  <c r="J86" i="6"/>
  <c r="H86" i="6"/>
  <c r="J67" i="6"/>
  <c r="H67" i="6"/>
  <c r="J42" i="6"/>
  <c r="H42" i="6"/>
  <c r="J224" i="6"/>
  <c r="H224" i="6"/>
  <c r="J211" i="6"/>
  <c r="H211" i="6"/>
  <c r="J184" i="6"/>
  <c r="H184" i="6"/>
  <c r="J173" i="6"/>
  <c r="H173" i="6"/>
  <c r="J164" i="6"/>
  <c r="H164" i="6"/>
  <c r="J138" i="6"/>
  <c r="H138" i="6"/>
  <c r="J119" i="6"/>
  <c r="H119" i="6"/>
  <c r="J115" i="6"/>
  <c r="H115" i="6"/>
  <c r="J95" i="6"/>
  <c r="H95" i="6"/>
  <c r="J85" i="6"/>
  <c r="H85" i="6"/>
  <c r="J76" i="6"/>
  <c r="H76" i="6"/>
  <c r="J2" i="6"/>
  <c r="C2" i="6"/>
  <c r="G2" i="6" s="1"/>
  <c r="H2" i="6"/>
  <c r="J78" i="6"/>
  <c r="H78" i="6"/>
  <c r="H56" i="6"/>
  <c r="J56" i="6"/>
  <c r="H46" i="6"/>
  <c r="J46" i="6"/>
  <c r="J34" i="6"/>
  <c r="H34" i="6"/>
  <c r="H27" i="6"/>
  <c r="J27" i="6"/>
  <c r="H15" i="6"/>
  <c r="J15" i="6"/>
  <c r="J230" i="6"/>
  <c r="H230" i="6"/>
  <c r="J216" i="6"/>
  <c r="H216" i="6"/>
  <c r="J209" i="6"/>
  <c r="H209" i="6"/>
  <c r="J202" i="6"/>
  <c r="H202" i="6"/>
  <c r="J194" i="6"/>
  <c r="H194" i="6"/>
  <c r="J188" i="6"/>
  <c r="H188" i="6"/>
  <c r="J180" i="6"/>
  <c r="H180" i="6"/>
  <c r="J167" i="6"/>
  <c r="H167" i="6"/>
  <c r="J162" i="6"/>
  <c r="H162" i="6"/>
  <c r="J148" i="6"/>
  <c r="H148" i="6"/>
  <c r="H144" i="6"/>
  <c r="J144" i="6"/>
  <c r="J133" i="6"/>
  <c r="H133" i="6"/>
  <c r="J123" i="6"/>
  <c r="H123" i="6"/>
  <c r="H109" i="6"/>
  <c r="J109" i="6"/>
  <c r="H100" i="6"/>
  <c r="J100" i="6"/>
  <c r="H92" i="6"/>
  <c r="J92" i="6"/>
  <c r="J72" i="6"/>
  <c r="H72" i="6"/>
  <c r="H52" i="6"/>
  <c r="J52" i="6"/>
  <c r="H40" i="6"/>
  <c r="J40" i="6"/>
  <c r="H33" i="6"/>
  <c r="J33" i="6"/>
  <c r="H26" i="6"/>
  <c r="J26" i="6"/>
  <c r="J21" i="6"/>
  <c r="H21" i="6"/>
  <c r="J20" i="6"/>
  <c r="H20" i="6"/>
  <c r="H18" i="6"/>
  <c r="J18" i="6"/>
  <c r="H14" i="6"/>
  <c r="J14" i="6"/>
  <c r="H11" i="6"/>
  <c r="J11" i="6"/>
  <c r="H10" i="6"/>
  <c r="J10" i="6"/>
  <c r="H6" i="6"/>
  <c r="J6" i="6"/>
  <c r="J232" i="6"/>
  <c r="H232" i="6"/>
  <c r="J223" i="6"/>
  <c r="H223" i="6"/>
  <c r="J215" i="6"/>
  <c r="H215" i="6"/>
  <c r="J208" i="6"/>
  <c r="H208" i="6"/>
  <c r="H201" i="6"/>
  <c r="J201" i="6"/>
  <c r="J178" i="6"/>
  <c r="H178" i="6"/>
  <c r="J161" i="6"/>
  <c r="H161" i="6"/>
  <c r="J154" i="6"/>
  <c r="H154" i="6"/>
  <c r="J147" i="6"/>
  <c r="H147" i="6"/>
  <c r="J141" i="6"/>
  <c r="H141" i="6"/>
  <c r="J137" i="6"/>
  <c r="H137" i="6"/>
  <c r="J132" i="6"/>
  <c r="H132" i="6"/>
  <c r="J129" i="6"/>
  <c r="H129" i="6"/>
  <c r="J108" i="6"/>
  <c r="H108" i="6"/>
  <c r="J99" i="6"/>
  <c r="H99" i="6"/>
  <c r="J91" i="6"/>
  <c r="H91" i="6"/>
  <c r="J54" i="6"/>
  <c r="H54" i="6"/>
  <c r="J228" i="6"/>
  <c r="H228" i="6"/>
  <c r="J181" i="6"/>
  <c r="H181" i="6"/>
  <c r="J64" i="6"/>
  <c r="H64" i="6"/>
  <c r="H71" i="6"/>
  <c r="J71" i="6"/>
  <c r="H70" i="6"/>
  <c r="J70" i="6"/>
  <c r="H32" i="6"/>
  <c r="J32" i="6"/>
  <c r="H25" i="6"/>
  <c r="J25" i="6"/>
  <c r="H19" i="6"/>
  <c r="J19" i="6"/>
  <c r="H13" i="6"/>
  <c r="J13" i="6"/>
  <c r="H5" i="6"/>
  <c r="J5" i="6"/>
  <c r="J231" i="6"/>
  <c r="H231" i="6"/>
  <c r="J227" i="6"/>
  <c r="H227" i="6"/>
  <c r="J222" i="6"/>
  <c r="H222" i="6"/>
  <c r="J214" i="6"/>
  <c r="H214" i="6"/>
  <c r="J207" i="6"/>
  <c r="H207" i="6"/>
  <c r="J200" i="6"/>
  <c r="H200" i="6"/>
  <c r="J193" i="6"/>
  <c r="H193" i="6"/>
  <c r="J187" i="6"/>
  <c r="H187" i="6"/>
  <c r="J177" i="6"/>
  <c r="H177" i="6"/>
  <c r="J171" i="6"/>
  <c r="H171" i="6"/>
  <c r="J166" i="6"/>
  <c r="H166" i="6"/>
  <c r="J160" i="6"/>
  <c r="H160" i="6"/>
  <c r="J153" i="6"/>
  <c r="H153" i="6"/>
  <c r="J146" i="6"/>
  <c r="H146" i="6"/>
  <c r="J135" i="6"/>
  <c r="H135" i="6"/>
  <c r="J131" i="6"/>
  <c r="H131" i="6"/>
  <c r="J128" i="6"/>
  <c r="H128" i="6"/>
  <c r="J122" i="6"/>
  <c r="H122" i="6"/>
  <c r="J118" i="6"/>
  <c r="H118" i="6"/>
  <c r="J114" i="6"/>
  <c r="H114" i="6"/>
  <c r="J103" i="6"/>
  <c r="H103" i="6"/>
  <c r="J98" i="6"/>
  <c r="H98" i="6"/>
  <c r="J23" i="6"/>
  <c r="H23" i="6"/>
  <c r="J62" i="6"/>
  <c r="H62" i="6"/>
  <c r="H84" i="6"/>
  <c r="J84" i="6"/>
  <c r="H75" i="6"/>
  <c r="J75" i="6"/>
  <c r="H66" i="6"/>
  <c r="J66" i="6"/>
  <c r="H61" i="6"/>
  <c r="J61" i="6"/>
  <c r="H55" i="6"/>
  <c r="J55" i="6"/>
  <c r="H83" i="6"/>
  <c r="J83" i="6"/>
  <c r="H77" i="6"/>
  <c r="J77" i="6"/>
  <c r="H74" i="6"/>
  <c r="J74" i="6"/>
  <c r="H69" i="6"/>
  <c r="J69" i="6"/>
  <c r="H57" i="6"/>
  <c r="J57" i="6"/>
  <c r="H51" i="6"/>
  <c r="J51" i="6"/>
  <c r="H45" i="6"/>
  <c r="J45" i="6"/>
  <c r="H39" i="6"/>
  <c r="J39" i="6"/>
  <c r="H31" i="6"/>
  <c r="J31" i="6"/>
  <c r="H9" i="6"/>
  <c r="J9" i="6"/>
  <c r="J229" i="6"/>
  <c r="H229" i="6"/>
  <c r="J226" i="6"/>
  <c r="H226" i="6"/>
  <c r="J221" i="6"/>
  <c r="H221" i="6"/>
  <c r="J206" i="6"/>
  <c r="H206" i="6"/>
  <c r="J199" i="6"/>
  <c r="H199" i="6"/>
  <c r="J186" i="6"/>
  <c r="H186" i="6"/>
  <c r="J183" i="6"/>
  <c r="H183" i="6"/>
  <c r="J179" i="6"/>
  <c r="H179" i="6"/>
  <c r="J176" i="6"/>
  <c r="H176" i="6"/>
  <c r="J159" i="6"/>
  <c r="H159" i="6"/>
  <c r="J152" i="6"/>
  <c r="H152" i="6"/>
  <c r="J136" i="6"/>
  <c r="H136" i="6"/>
  <c r="J127" i="6"/>
  <c r="H127" i="6"/>
  <c r="J113" i="6"/>
  <c r="H113" i="6"/>
  <c r="J107" i="6"/>
  <c r="H107" i="6"/>
  <c r="J102" i="6"/>
  <c r="H102" i="6"/>
  <c r="J97" i="6"/>
  <c r="H97" i="6"/>
  <c r="J48" i="6"/>
  <c r="H48" i="6"/>
  <c r="J203" i="6"/>
  <c r="H203" i="6"/>
  <c r="J82" i="6"/>
  <c r="H82" i="6"/>
  <c r="J68" i="6"/>
  <c r="H68" i="6"/>
  <c r="J60" i="6"/>
  <c r="H60" i="6"/>
  <c r="H50" i="6"/>
  <c r="J50" i="6"/>
  <c r="H44" i="6"/>
  <c r="J44" i="6"/>
  <c r="H38" i="6"/>
  <c r="J38" i="6"/>
  <c r="H24" i="6"/>
  <c r="J24" i="6"/>
  <c r="H12" i="6"/>
  <c r="J12" i="6"/>
  <c r="H4" i="6"/>
  <c r="J4" i="6"/>
  <c r="J220" i="6"/>
  <c r="H220" i="6"/>
  <c r="J213" i="6"/>
  <c r="H213" i="6"/>
  <c r="J205" i="6"/>
  <c r="H205" i="6"/>
  <c r="J198" i="6"/>
  <c r="H198" i="6"/>
  <c r="J192" i="6"/>
  <c r="H192" i="6"/>
  <c r="J185" i="6"/>
  <c r="H185" i="6"/>
  <c r="J175" i="6"/>
  <c r="H175" i="6"/>
  <c r="J170" i="6"/>
  <c r="H170" i="6"/>
  <c r="J158" i="6"/>
  <c r="H158" i="6"/>
  <c r="J151" i="6"/>
  <c r="H151" i="6"/>
  <c r="J143" i="6"/>
  <c r="H143" i="6"/>
  <c r="J140" i="6"/>
  <c r="H140" i="6"/>
  <c r="J139" i="6"/>
  <c r="H139" i="6"/>
  <c r="J130" i="6"/>
  <c r="H130" i="6"/>
  <c r="J121" i="6"/>
  <c r="H121" i="6"/>
  <c r="J117" i="6"/>
  <c r="H117" i="6"/>
  <c r="J112" i="6"/>
  <c r="H112" i="6"/>
  <c r="J106" i="6"/>
  <c r="H106" i="6"/>
  <c r="J90" i="6"/>
  <c r="H90" i="6"/>
  <c r="J29" i="6"/>
  <c r="H29" i="6"/>
  <c r="J88" i="6"/>
  <c r="H88" i="6"/>
  <c r="J87" i="6"/>
  <c r="H87" i="6"/>
  <c r="J81" i="6"/>
  <c r="H81" i="6"/>
  <c r="J73" i="6"/>
  <c r="H73" i="6"/>
  <c r="J59" i="6"/>
  <c r="H59" i="6"/>
  <c r="J49" i="6"/>
  <c r="H49" i="6"/>
  <c r="J43" i="6"/>
  <c r="H43" i="6"/>
  <c r="J37" i="6"/>
  <c r="H37" i="6"/>
  <c r="J30" i="6"/>
  <c r="H30" i="6"/>
  <c r="J17" i="6"/>
  <c r="H17" i="6"/>
  <c r="J8" i="6"/>
  <c r="H8" i="6"/>
  <c r="H225" i="6"/>
  <c r="J225" i="6"/>
  <c r="J219" i="6"/>
  <c r="H219" i="6"/>
  <c r="H212" i="6"/>
  <c r="J212" i="6"/>
  <c r="J204" i="6"/>
  <c r="H204" i="6"/>
  <c r="J197" i="6"/>
  <c r="H197" i="6"/>
  <c r="H191" i="6"/>
  <c r="J191" i="6"/>
  <c r="J182" i="6"/>
  <c r="H182" i="6"/>
  <c r="J174" i="6"/>
  <c r="H174" i="6"/>
  <c r="H165" i="6"/>
  <c r="J165" i="6"/>
  <c r="J157" i="6"/>
  <c r="H157" i="6"/>
  <c r="H150" i="6"/>
  <c r="J150" i="6"/>
  <c r="H126" i="6"/>
  <c r="J126" i="6"/>
  <c r="J120" i="6"/>
  <c r="H120" i="6"/>
  <c r="J116" i="6"/>
  <c r="H116" i="6"/>
  <c r="J111" i="6"/>
  <c r="H111" i="6"/>
  <c r="H105" i="6"/>
  <c r="J105" i="6"/>
  <c r="J96" i="6"/>
  <c r="H96" i="6"/>
  <c r="J89" i="6"/>
  <c r="H89" i="6"/>
  <c r="N206" i="6" l="1"/>
  <c r="M206" i="6"/>
  <c r="N66" i="6"/>
  <c r="M66" i="6"/>
  <c r="N140" i="6"/>
  <c r="M140" i="6"/>
  <c r="N187" i="6"/>
  <c r="M187" i="6"/>
  <c r="N5" i="6"/>
  <c r="M5" i="6"/>
  <c r="N181" i="6"/>
  <c r="M181" i="6"/>
  <c r="N137" i="6"/>
  <c r="M137" i="6"/>
  <c r="N215" i="6"/>
  <c r="M215" i="6"/>
  <c r="N20" i="6"/>
  <c r="M20" i="6"/>
  <c r="N100" i="6"/>
  <c r="M100" i="6"/>
  <c r="M180" i="6"/>
  <c r="N180" i="6"/>
  <c r="N27" i="6"/>
  <c r="M27" i="6"/>
  <c r="N56" i="6"/>
  <c r="M56" i="6"/>
  <c r="N95" i="6"/>
  <c r="M95" i="6"/>
  <c r="M224" i="6"/>
  <c r="N224" i="6"/>
  <c r="N134" i="6"/>
  <c r="M134" i="6"/>
  <c r="N195" i="6"/>
  <c r="M195" i="6"/>
  <c r="N28" i="6"/>
  <c r="M28" i="6"/>
  <c r="N94" i="6"/>
  <c r="M94" i="6"/>
  <c r="N36" i="6"/>
  <c r="M36" i="6"/>
  <c r="N217" i="6"/>
  <c r="M217" i="6"/>
  <c r="N47" i="6"/>
  <c r="M47" i="6"/>
  <c r="N145" i="6"/>
  <c r="M145" i="6"/>
  <c r="M192" i="6"/>
  <c r="N192" i="6"/>
  <c r="N52" i="6"/>
  <c r="M52" i="6"/>
  <c r="N104" i="6"/>
  <c r="M104" i="6"/>
  <c r="M120" i="6"/>
  <c r="N120" i="6"/>
  <c r="N213" i="6"/>
  <c r="M213" i="6"/>
  <c r="M176" i="6"/>
  <c r="N176" i="6"/>
  <c r="N219" i="6"/>
  <c r="M219" i="6"/>
  <c r="N112" i="6"/>
  <c r="M112" i="6"/>
  <c r="N39" i="6"/>
  <c r="M39" i="6"/>
  <c r="N6" i="6"/>
  <c r="M6" i="6"/>
  <c r="N143" i="6"/>
  <c r="M143" i="6"/>
  <c r="N175" i="6"/>
  <c r="M175" i="6"/>
  <c r="N12" i="6"/>
  <c r="M12" i="6"/>
  <c r="N203" i="6"/>
  <c r="M203" i="6"/>
  <c r="N152" i="6"/>
  <c r="M152" i="6"/>
  <c r="M57" i="6"/>
  <c r="N57" i="6"/>
  <c r="N75" i="6"/>
  <c r="M75" i="6"/>
  <c r="N122" i="6"/>
  <c r="M122" i="6"/>
  <c r="N171" i="6"/>
  <c r="M171" i="6"/>
  <c r="N214" i="6"/>
  <c r="M214" i="6"/>
  <c r="N227" i="6"/>
  <c r="M227" i="6"/>
  <c r="N71" i="6"/>
  <c r="M71" i="6"/>
  <c r="M129" i="6"/>
  <c r="N129" i="6"/>
  <c r="N201" i="6"/>
  <c r="M201" i="6"/>
  <c r="N14" i="6"/>
  <c r="M14" i="6"/>
  <c r="M72" i="6"/>
  <c r="N72" i="6"/>
  <c r="N162" i="6"/>
  <c r="M162" i="6"/>
  <c r="N230" i="6"/>
  <c r="M230" i="6"/>
  <c r="N34" i="6"/>
  <c r="M34" i="6"/>
  <c r="N76" i="6"/>
  <c r="M76" i="6"/>
  <c r="M184" i="6"/>
  <c r="N184" i="6"/>
  <c r="N110" i="6"/>
  <c r="M110" i="6"/>
  <c r="N16" i="6"/>
  <c r="M16" i="6"/>
  <c r="N63" i="6"/>
  <c r="M63" i="6"/>
  <c r="N190" i="6"/>
  <c r="M190" i="6"/>
  <c r="M8" i="6"/>
  <c r="N8" i="6"/>
  <c r="M121" i="6"/>
  <c r="N121" i="6"/>
  <c r="N170" i="6"/>
  <c r="M170" i="6"/>
  <c r="N108" i="6"/>
  <c r="M108" i="6"/>
  <c r="N11" i="6"/>
  <c r="M11" i="6"/>
  <c r="M168" i="6"/>
  <c r="N168" i="6"/>
  <c r="N58" i="6"/>
  <c r="M58" i="6"/>
  <c r="N74" i="6"/>
  <c r="M74" i="6"/>
  <c r="N60" i="6"/>
  <c r="M60" i="6"/>
  <c r="N103" i="6"/>
  <c r="M103" i="6"/>
  <c r="N43" i="6"/>
  <c r="M43" i="6"/>
  <c r="N90" i="6"/>
  <c r="M90" i="6"/>
  <c r="N158" i="6"/>
  <c r="M158" i="6"/>
  <c r="N198" i="6"/>
  <c r="M198" i="6"/>
  <c r="M220" i="6"/>
  <c r="N220" i="6"/>
  <c r="N44" i="6"/>
  <c r="M44" i="6"/>
  <c r="N102" i="6"/>
  <c r="M102" i="6"/>
  <c r="N179" i="6"/>
  <c r="M179" i="6"/>
  <c r="N9" i="6"/>
  <c r="M9" i="6"/>
  <c r="N77" i="6"/>
  <c r="M77" i="6"/>
  <c r="N23" i="6"/>
  <c r="M23" i="6"/>
  <c r="N135" i="6"/>
  <c r="M135" i="6"/>
  <c r="N193" i="6"/>
  <c r="M193" i="6"/>
  <c r="N13" i="6"/>
  <c r="M13" i="6"/>
  <c r="N228" i="6"/>
  <c r="M228" i="6"/>
  <c r="N141" i="6"/>
  <c r="M141" i="6"/>
  <c r="N223" i="6"/>
  <c r="M223" i="6"/>
  <c r="M21" i="6"/>
  <c r="N21" i="6"/>
  <c r="N109" i="6"/>
  <c r="M109" i="6"/>
  <c r="N188" i="6"/>
  <c r="M188" i="6"/>
  <c r="N115" i="6"/>
  <c r="M115" i="6"/>
  <c r="N42" i="6"/>
  <c r="M42" i="6"/>
  <c r="N142" i="6"/>
  <c r="M142" i="6"/>
  <c r="N196" i="6"/>
  <c r="M196" i="6"/>
  <c r="N35" i="6"/>
  <c r="M35" i="6"/>
  <c r="N101" i="6"/>
  <c r="M101" i="6"/>
  <c r="M65" i="6"/>
  <c r="N65" i="6"/>
  <c r="N174" i="6"/>
  <c r="M174" i="6"/>
  <c r="N4" i="6"/>
  <c r="M4" i="6"/>
  <c r="N136" i="6"/>
  <c r="M136" i="6"/>
  <c r="N51" i="6"/>
  <c r="M51" i="6"/>
  <c r="N118" i="6"/>
  <c r="M118" i="6"/>
  <c r="N173" i="6"/>
  <c r="M173" i="6"/>
  <c r="N37" i="6"/>
  <c r="M37" i="6"/>
  <c r="N62" i="6"/>
  <c r="M62" i="6"/>
  <c r="N151" i="6"/>
  <c r="M151" i="6"/>
  <c r="N221" i="6"/>
  <c r="M221" i="6"/>
  <c r="N55" i="6"/>
  <c r="M55" i="6"/>
  <c r="N207" i="6"/>
  <c r="M207" i="6"/>
  <c r="N154" i="6"/>
  <c r="M154" i="6"/>
  <c r="M33" i="6"/>
  <c r="N33" i="6"/>
  <c r="N155" i="6"/>
  <c r="M155" i="6"/>
  <c r="N111" i="6"/>
  <c r="M111" i="6"/>
  <c r="N182" i="6"/>
  <c r="M182" i="6"/>
  <c r="N17" i="6"/>
  <c r="M17" i="6"/>
  <c r="N87" i="6"/>
  <c r="M87" i="6"/>
  <c r="N96" i="6"/>
  <c r="M96" i="6"/>
  <c r="N204" i="6"/>
  <c r="M204" i="6"/>
  <c r="N165" i="6"/>
  <c r="M165" i="6"/>
  <c r="N225" i="6"/>
  <c r="M225" i="6"/>
  <c r="N73" i="6"/>
  <c r="M73" i="6"/>
  <c r="N117" i="6"/>
  <c r="M117" i="6"/>
  <c r="N68" i="6"/>
  <c r="M68" i="6"/>
  <c r="N127" i="6"/>
  <c r="M127" i="6"/>
  <c r="N183" i="6"/>
  <c r="M183" i="6"/>
  <c r="N199" i="6"/>
  <c r="M199" i="6"/>
  <c r="N45" i="6"/>
  <c r="M45" i="6"/>
  <c r="N61" i="6"/>
  <c r="M61" i="6"/>
  <c r="N114" i="6"/>
  <c r="M114" i="6"/>
  <c r="M160" i="6"/>
  <c r="N160" i="6"/>
  <c r="N231" i="6"/>
  <c r="M231" i="6"/>
  <c r="M32" i="6"/>
  <c r="N32" i="6"/>
  <c r="N99" i="6"/>
  <c r="M99" i="6"/>
  <c r="N161" i="6"/>
  <c r="M161" i="6"/>
  <c r="N10" i="6"/>
  <c r="M10" i="6"/>
  <c r="N40" i="6"/>
  <c r="M40" i="6"/>
  <c r="M144" i="6"/>
  <c r="N144" i="6"/>
  <c r="N209" i="6"/>
  <c r="M209" i="6"/>
  <c r="N46" i="6"/>
  <c r="M46" i="6"/>
  <c r="N78" i="6"/>
  <c r="M78" i="6"/>
  <c r="N164" i="6"/>
  <c r="M164" i="6"/>
  <c r="M93" i="6"/>
  <c r="N93" i="6"/>
  <c r="N149" i="6"/>
  <c r="M149" i="6"/>
  <c r="N163" i="6"/>
  <c r="M163" i="6"/>
  <c r="N189" i="6"/>
  <c r="M189" i="6"/>
  <c r="N3" i="6"/>
  <c r="M3" i="6"/>
  <c r="N53" i="6"/>
  <c r="M53" i="6"/>
  <c r="N156" i="6"/>
  <c r="M156" i="6"/>
  <c r="N157" i="6"/>
  <c r="M157" i="6"/>
  <c r="N70" i="6"/>
  <c r="M70" i="6"/>
  <c r="N178" i="6"/>
  <c r="M178" i="6"/>
  <c r="N216" i="6"/>
  <c r="M216" i="6"/>
  <c r="N197" i="6"/>
  <c r="M197" i="6"/>
  <c r="N29" i="6"/>
  <c r="M29" i="6"/>
  <c r="N38" i="6"/>
  <c r="M38" i="6"/>
  <c r="N126" i="6"/>
  <c r="M126" i="6"/>
  <c r="N130" i="6"/>
  <c r="M130" i="6"/>
  <c r="N186" i="6"/>
  <c r="M186" i="6"/>
  <c r="N153" i="6"/>
  <c r="M153" i="6"/>
  <c r="N91" i="6"/>
  <c r="M91" i="6"/>
  <c r="N133" i="6"/>
  <c r="M133" i="6"/>
  <c r="N86" i="6"/>
  <c r="M86" i="6"/>
  <c r="N172" i="6"/>
  <c r="M172" i="6"/>
  <c r="N116" i="6"/>
  <c r="M116" i="6"/>
  <c r="N212" i="6"/>
  <c r="M212" i="6"/>
  <c r="N30" i="6"/>
  <c r="M30" i="6"/>
  <c r="M88" i="6"/>
  <c r="N88" i="6"/>
  <c r="N185" i="6"/>
  <c r="M185" i="6"/>
  <c r="N205" i="6"/>
  <c r="M205" i="6"/>
  <c r="N24" i="6"/>
  <c r="M24" i="6"/>
  <c r="N48" i="6"/>
  <c r="M48" i="6"/>
  <c r="N159" i="6"/>
  <c r="M159" i="6"/>
  <c r="N226" i="6"/>
  <c r="M226" i="6"/>
  <c r="M69" i="6"/>
  <c r="N69" i="6"/>
  <c r="N84" i="6"/>
  <c r="M84" i="6"/>
  <c r="N128" i="6"/>
  <c r="M128" i="6"/>
  <c r="N177" i="6"/>
  <c r="M177" i="6"/>
  <c r="N64" i="6"/>
  <c r="M64" i="6"/>
  <c r="N132" i="6"/>
  <c r="M132" i="6"/>
  <c r="M208" i="6"/>
  <c r="N208" i="6"/>
  <c r="N18" i="6"/>
  <c r="M18" i="6"/>
  <c r="N92" i="6"/>
  <c r="M92" i="6"/>
  <c r="N167" i="6"/>
  <c r="M167" i="6"/>
  <c r="N15" i="6"/>
  <c r="M15" i="6"/>
  <c r="M85" i="6"/>
  <c r="N85" i="6"/>
  <c r="N211" i="6"/>
  <c r="M211" i="6"/>
  <c r="N124" i="6"/>
  <c r="M124" i="6"/>
  <c r="N22" i="6"/>
  <c r="M22" i="6"/>
  <c r="N79" i="6"/>
  <c r="M79" i="6"/>
  <c r="N218" i="6"/>
  <c r="M218" i="6"/>
  <c r="N89" i="6"/>
  <c r="M89" i="6"/>
  <c r="N81" i="6"/>
  <c r="M81" i="6"/>
  <c r="N82" i="6"/>
  <c r="M82" i="6"/>
  <c r="N7" i="6"/>
  <c r="M7" i="6"/>
  <c r="N169" i="6"/>
  <c r="M169" i="6"/>
  <c r="M97" i="6"/>
  <c r="N97" i="6"/>
  <c r="N131" i="6"/>
  <c r="M131" i="6"/>
  <c r="N59" i="6"/>
  <c r="M59" i="6"/>
  <c r="N113" i="6"/>
  <c r="M113" i="6"/>
  <c r="N25" i="6"/>
  <c r="M25" i="6"/>
  <c r="N202" i="6"/>
  <c r="M202" i="6"/>
  <c r="N138" i="6"/>
  <c r="M138" i="6"/>
  <c r="N191" i="6"/>
  <c r="M191" i="6"/>
  <c r="N139" i="6"/>
  <c r="M139" i="6"/>
  <c r="M105" i="6"/>
  <c r="N105" i="6"/>
  <c r="N150" i="6"/>
  <c r="M150" i="6"/>
  <c r="M49" i="6"/>
  <c r="N49" i="6"/>
  <c r="N106" i="6"/>
  <c r="M106" i="6"/>
  <c r="N50" i="6"/>
  <c r="M50" i="6"/>
  <c r="N107" i="6"/>
  <c r="M107" i="6"/>
  <c r="N229" i="6"/>
  <c r="M229" i="6"/>
  <c r="N31" i="6"/>
  <c r="M31" i="6"/>
  <c r="N83" i="6"/>
  <c r="M83" i="6"/>
  <c r="N98" i="6"/>
  <c r="M98" i="6"/>
  <c r="N146" i="6"/>
  <c r="M146" i="6"/>
  <c r="N166" i="6"/>
  <c r="M166" i="6"/>
  <c r="N200" i="6"/>
  <c r="M200" i="6"/>
  <c r="N222" i="6"/>
  <c r="M222" i="6"/>
  <c r="N19" i="6"/>
  <c r="M19" i="6"/>
  <c r="N54" i="6"/>
  <c r="M54" i="6"/>
  <c r="N147" i="6"/>
  <c r="M147" i="6"/>
  <c r="N232" i="6"/>
  <c r="M232" i="6"/>
  <c r="N26" i="6"/>
  <c r="M26" i="6"/>
  <c r="N123" i="6"/>
  <c r="M123" i="6"/>
  <c r="N148" i="6"/>
  <c r="M148" i="6"/>
  <c r="N194" i="6"/>
  <c r="M194" i="6"/>
  <c r="N2" i="6"/>
  <c r="M2" i="6"/>
  <c r="N119" i="6"/>
  <c r="M119" i="6"/>
  <c r="N67" i="6"/>
  <c r="M67" i="6"/>
  <c r="N210" i="6"/>
  <c r="M210" i="6"/>
  <c r="M41" i="6"/>
  <c r="N41" i="6"/>
  <c r="M125" i="6"/>
  <c r="N125" i="6"/>
  <c r="N80" i="6"/>
  <c r="M80" i="6"/>
  <c r="L149" i="6"/>
  <c r="I149" i="6"/>
  <c r="K149" i="6"/>
  <c r="G149" i="6"/>
  <c r="L96" i="6"/>
  <c r="K96" i="6"/>
  <c r="I96" i="6"/>
  <c r="G96" i="6"/>
  <c r="L105" i="6"/>
  <c r="K105" i="6"/>
  <c r="I105" i="6"/>
  <c r="G105" i="6"/>
  <c r="L130" i="6"/>
  <c r="K130" i="6"/>
  <c r="I130" i="6"/>
  <c r="G130" i="6"/>
  <c r="L192" i="6"/>
  <c r="K192" i="6"/>
  <c r="I192" i="6"/>
  <c r="G192" i="6"/>
  <c r="L205" i="6"/>
  <c r="K205" i="6"/>
  <c r="I205" i="6"/>
  <c r="G205" i="6"/>
  <c r="K220" i="6"/>
  <c r="L220" i="6"/>
  <c r="I220" i="6"/>
  <c r="G220" i="6"/>
  <c r="L231" i="6"/>
  <c r="K231" i="6"/>
  <c r="I231" i="6"/>
  <c r="G231" i="6"/>
  <c r="I172" i="6"/>
  <c r="L172" i="6"/>
  <c r="K172" i="6"/>
  <c r="G172" i="6"/>
  <c r="L189" i="6"/>
  <c r="I189" i="6"/>
  <c r="K189" i="6"/>
  <c r="G189" i="6"/>
  <c r="L214" i="6"/>
  <c r="K214" i="6"/>
  <c r="I214" i="6"/>
  <c r="G214" i="6"/>
  <c r="L116" i="6"/>
  <c r="K116" i="6"/>
  <c r="I116" i="6"/>
  <c r="G116" i="6"/>
  <c r="L120" i="6"/>
  <c r="K120" i="6"/>
  <c r="I120" i="6"/>
  <c r="G120" i="6"/>
  <c r="L150" i="6"/>
  <c r="K150" i="6"/>
  <c r="I150" i="6"/>
  <c r="G150" i="6"/>
  <c r="L165" i="6"/>
  <c r="K165" i="6"/>
  <c r="I165" i="6"/>
  <c r="G165" i="6"/>
  <c r="K174" i="6"/>
  <c r="L174" i="6"/>
  <c r="I174" i="6"/>
  <c r="G174" i="6"/>
  <c r="K182" i="6"/>
  <c r="L182" i="6"/>
  <c r="I182" i="6"/>
  <c r="G182" i="6"/>
  <c r="K191" i="6"/>
  <c r="L191" i="6"/>
  <c r="I191" i="6"/>
  <c r="G191" i="6"/>
  <c r="K204" i="6"/>
  <c r="L204" i="6"/>
  <c r="I204" i="6"/>
  <c r="G204" i="6"/>
  <c r="K219" i="6"/>
  <c r="L219" i="6"/>
  <c r="I219" i="6"/>
  <c r="G219" i="6"/>
  <c r="L8" i="6"/>
  <c r="K8" i="6"/>
  <c r="I8" i="6"/>
  <c r="G8" i="6"/>
  <c r="L37" i="6"/>
  <c r="K37" i="6"/>
  <c r="I37" i="6"/>
  <c r="G37" i="6"/>
  <c r="L49" i="6"/>
  <c r="K49" i="6"/>
  <c r="I49" i="6"/>
  <c r="G49" i="6"/>
  <c r="L73" i="6"/>
  <c r="K73" i="6"/>
  <c r="I73" i="6"/>
  <c r="G73" i="6"/>
  <c r="L87" i="6"/>
  <c r="K87" i="6"/>
  <c r="I87" i="6"/>
  <c r="G87" i="6"/>
  <c r="L90" i="6"/>
  <c r="K90" i="6"/>
  <c r="I90" i="6"/>
  <c r="G90" i="6"/>
  <c r="L106" i="6"/>
  <c r="K106" i="6"/>
  <c r="I106" i="6"/>
  <c r="G106" i="6"/>
  <c r="L117" i="6"/>
  <c r="K117" i="6"/>
  <c r="I117" i="6"/>
  <c r="G117" i="6"/>
  <c r="K121" i="6"/>
  <c r="L121" i="6"/>
  <c r="I121" i="6"/>
  <c r="G121" i="6"/>
  <c r="K140" i="6"/>
  <c r="L140" i="6"/>
  <c r="I140" i="6"/>
  <c r="G140" i="6"/>
  <c r="L151" i="6"/>
  <c r="K151" i="6"/>
  <c r="I151" i="6"/>
  <c r="G151" i="6"/>
  <c r="L175" i="6"/>
  <c r="K175" i="6"/>
  <c r="I175" i="6"/>
  <c r="G175" i="6"/>
  <c r="L12" i="6"/>
  <c r="K12" i="6"/>
  <c r="I12" i="6"/>
  <c r="G12" i="6"/>
  <c r="L24" i="6"/>
  <c r="K24" i="6"/>
  <c r="I24" i="6"/>
  <c r="G24" i="6"/>
  <c r="L38" i="6"/>
  <c r="I38" i="6"/>
  <c r="K38" i="6"/>
  <c r="G38" i="6"/>
  <c r="L50" i="6"/>
  <c r="K50" i="6"/>
  <c r="I50" i="6"/>
  <c r="G50" i="6"/>
  <c r="L68" i="6"/>
  <c r="K68" i="6"/>
  <c r="I68" i="6"/>
  <c r="G68" i="6"/>
  <c r="K203" i="6"/>
  <c r="I203" i="6"/>
  <c r="L203" i="6"/>
  <c r="G203" i="6"/>
  <c r="L102" i="6"/>
  <c r="K102" i="6"/>
  <c r="I102" i="6"/>
  <c r="G102" i="6"/>
  <c r="L113" i="6"/>
  <c r="K113" i="6"/>
  <c r="I113" i="6"/>
  <c r="G113" i="6"/>
  <c r="L127" i="6"/>
  <c r="I127" i="6"/>
  <c r="G127" i="6"/>
  <c r="K127" i="6"/>
  <c r="L136" i="6"/>
  <c r="K136" i="6"/>
  <c r="I136" i="6"/>
  <c r="G136" i="6"/>
  <c r="L159" i="6"/>
  <c r="K159" i="6"/>
  <c r="I159" i="6"/>
  <c r="G159" i="6"/>
  <c r="K179" i="6"/>
  <c r="L179" i="6"/>
  <c r="I179" i="6"/>
  <c r="G179" i="6"/>
  <c r="L186" i="6"/>
  <c r="K186" i="6"/>
  <c r="I186" i="6"/>
  <c r="G186" i="6"/>
  <c r="K199" i="6"/>
  <c r="L199" i="6"/>
  <c r="I199" i="6"/>
  <c r="G199" i="6"/>
  <c r="L226" i="6"/>
  <c r="K226" i="6"/>
  <c r="I226" i="6"/>
  <c r="G226" i="6"/>
  <c r="L31" i="6"/>
  <c r="K31" i="6"/>
  <c r="I31" i="6"/>
  <c r="G31" i="6"/>
  <c r="L45" i="6"/>
  <c r="K45" i="6"/>
  <c r="I45" i="6"/>
  <c r="G45" i="6"/>
  <c r="L74" i="6"/>
  <c r="K74" i="6"/>
  <c r="I74" i="6"/>
  <c r="G74" i="6"/>
  <c r="L83" i="6"/>
  <c r="K83" i="6"/>
  <c r="I83" i="6"/>
  <c r="G83" i="6"/>
  <c r="L55" i="6"/>
  <c r="I55" i="6"/>
  <c r="K55" i="6"/>
  <c r="G55" i="6"/>
  <c r="L66" i="6"/>
  <c r="K66" i="6"/>
  <c r="G66" i="6"/>
  <c r="I66" i="6"/>
  <c r="L84" i="6"/>
  <c r="K84" i="6"/>
  <c r="I84" i="6"/>
  <c r="G84" i="6"/>
  <c r="L62" i="6"/>
  <c r="K62" i="6"/>
  <c r="I62" i="6"/>
  <c r="G62" i="6"/>
  <c r="L103" i="6"/>
  <c r="K103" i="6"/>
  <c r="I103" i="6"/>
  <c r="G103" i="6"/>
  <c r="L114" i="6"/>
  <c r="K114" i="6"/>
  <c r="I114" i="6"/>
  <c r="G114" i="6"/>
  <c r="L118" i="6"/>
  <c r="K118" i="6"/>
  <c r="I118" i="6"/>
  <c r="G118" i="6"/>
  <c r="L128" i="6"/>
  <c r="K128" i="6"/>
  <c r="I128" i="6"/>
  <c r="G128" i="6"/>
  <c r="L135" i="6"/>
  <c r="K135" i="6"/>
  <c r="I135" i="6"/>
  <c r="G135" i="6"/>
  <c r="L146" i="6"/>
  <c r="K146" i="6"/>
  <c r="I146" i="6"/>
  <c r="G146" i="6"/>
  <c r="L160" i="6"/>
  <c r="K160" i="6"/>
  <c r="I160" i="6"/>
  <c r="G160" i="6"/>
  <c r="L171" i="6"/>
  <c r="K171" i="6"/>
  <c r="I171" i="6"/>
  <c r="G171" i="6"/>
  <c r="L187" i="6"/>
  <c r="K187" i="6"/>
  <c r="I187" i="6"/>
  <c r="G187" i="6"/>
  <c r="L200" i="6"/>
  <c r="K200" i="6"/>
  <c r="I200" i="6"/>
  <c r="G200" i="6"/>
  <c r="L227" i="6"/>
  <c r="K227" i="6"/>
  <c r="I227" i="6"/>
  <c r="G227" i="6"/>
  <c r="L5" i="6"/>
  <c r="K5" i="6"/>
  <c r="I5" i="6"/>
  <c r="G5" i="6"/>
  <c r="L32" i="6"/>
  <c r="I32" i="6"/>
  <c r="K32" i="6"/>
  <c r="G32" i="6"/>
  <c r="L71" i="6"/>
  <c r="K71" i="6"/>
  <c r="I71" i="6"/>
  <c r="G71" i="6"/>
  <c r="L64" i="6"/>
  <c r="K64" i="6"/>
  <c r="I64" i="6"/>
  <c r="G64" i="6"/>
  <c r="L181" i="6"/>
  <c r="K181" i="6"/>
  <c r="I181" i="6"/>
  <c r="G181" i="6"/>
  <c r="L54" i="6"/>
  <c r="K54" i="6"/>
  <c r="G54" i="6"/>
  <c r="I54" i="6"/>
  <c r="L129" i="6"/>
  <c r="K129" i="6"/>
  <c r="I129" i="6"/>
  <c r="G129" i="6"/>
  <c r="L137" i="6"/>
  <c r="K137" i="6"/>
  <c r="I137" i="6"/>
  <c r="G137" i="6"/>
  <c r="L147" i="6"/>
  <c r="K147" i="6"/>
  <c r="I147" i="6"/>
  <c r="G147" i="6"/>
  <c r="L161" i="6"/>
  <c r="K161" i="6"/>
  <c r="I161" i="6"/>
  <c r="G161" i="6"/>
  <c r="K201" i="6"/>
  <c r="L201" i="6"/>
  <c r="I201" i="6"/>
  <c r="G201" i="6"/>
  <c r="L215" i="6"/>
  <c r="K215" i="6"/>
  <c r="I215" i="6"/>
  <c r="G215" i="6"/>
  <c r="L232" i="6"/>
  <c r="K232" i="6"/>
  <c r="G232" i="6"/>
  <c r="I232" i="6"/>
  <c r="L6" i="6"/>
  <c r="K6" i="6"/>
  <c r="I6" i="6"/>
  <c r="G6" i="6"/>
  <c r="L11" i="6"/>
  <c r="K11" i="6"/>
  <c r="G11" i="6"/>
  <c r="I11" i="6"/>
  <c r="L18" i="6"/>
  <c r="K18" i="6"/>
  <c r="I18" i="6"/>
  <c r="G18" i="6"/>
  <c r="K21" i="6"/>
  <c r="L21" i="6"/>
  <c r="I21" i="6"/>
  <c r="G21" i="6"/>
  <c r="L33" i="6"/>
  <c r="K33" i="6"/>
  <c r="I33" i="6"/>
  <c r="G33" i="6"/>
  <c r="L72" i="6"/>
  <c r="K72" i="6"/>
  <c r="I72" i="6"/>
  <c r="G72" i="6"/>
  <c r="L92" i="6"/>
  <c r="K92" i="6"/>
  <c r="I92" i="6"/>
  <c r="G92" i="6"/>
  <c r="L100" i="6"/>
  <c r="K100" i="6"/>
  <c r="I100" i="6"/>
  <c r="G100" i="6"/>
  <c r="L109" i="6"/>
  <c r="K109" i="6"/>
  <c r="I109" i="6"/>
  <c r="G109" i="6"/>
  <c r="L123" i="6"/>
  <c r="K123" i="6"/>
  <c r="I123" i="6"/>
  <c r="G123" i="6"/>
  <c r="L133" i="6"/>
  <c r="K133" i="6"/>
  <c r="I133" i="6"/>
  <c r="G133" i="6"/>
  <c r="L144" i="6"/>
  <c r="K144" i="6"/>
  <c r="I144" i="6"/>
  <c r="G144" i="6"/>
  <c r="K167" i="6"/>
  <c r="L167" i="6"/>
  <c r="I167" i="6"/>
  <c r="G167" i="6"/>
  <c r="K194" i="6"/>
  <c r="L194" i="6"/>
  <c r="I194" i="6"/>
  <c r="G194" i="6"/>
  <c r="K209" i="6"/>
  <c r="L209" i="6"/>
  <c r="I209" i="6"/>
  <c r="G209" i="6"/>
  <c r="K230" i="6"/>
  <c r="L230" i="6"/>
  <c r="I230" i="6"/>
  <c r="G230" i="6"/>
  <c r="K15" i="6"/>
  <c r="I15" i="6"/>
  <c r="L15" i="6"/>
  <c r="G15" i="6"/>
  <c r="L27" i="6"/>
  <c r="K27" i="6"/>
  <c r="I27" i="6"/>
  <c r="G27" i="6"/>
  <c r="L78" i="6"/>
  <c r="K78" i="6"/>
  <c r="I78" i="6"/>
  <c r="G78" i="6"/>
  <c r="K76" i="6"/>
  <c r="L76" i="6"/>
  <c r="I76" i="6"/>
  <c r="G76" i="6"/>
  <c r="L119" i="6"/>
  <c r="K119" i="6"/>
  <c r="I119" i="6"/>
  <c r="G119" i="6"/>
  <c r="L173" i="6"/>
  <c r="K173" i="6"/>
  <c r="I173" i="6"/>
  <c r="G173" i="6"/>
  <c r="L224" i="6"/>
  <c r="I224" i="6"/>
  <c r="K224" i="6"/>
  <c r="G224" i="6"/>
  <c r="L42" i="6"/>
  <c r="K42" i="6"/>
  <c r="I42" i="6"/>
  <c r="G42" i="6"/>
  <c r="L86" i="6"/>
  <c r="K86" i="6"/>
  <c r="I86" i="6"/>
  <c r="G86" i="6"/>
  <c r="L104" i="6"/>
  <c r="I104" i="6"/>
  <c r="K104" i="6"/>
  <c r="G104" i="6"/>
  <c r="L163" i="6"/>
  <c r="K163" i="6"/>
  <c r="I163" i="6"/>
  <c r="G163" i="6"/>
  <c r="L217" i="6"/>
  <c r="K217" i="6"/>
  <c r="I217" i="6"/>
  <c r="G217" i="6"/>
  <c r="L7" i="6"/>
  <c r="K7" i="6"/>
  <c r="I7" i="6"/>
  <c r="G7" i="6"/>
  <c r="L22" i="6"/>
  <c r="I22" i="6"/>
  <c r="K22" i="6"/>
  <c r="G22" i="6"/>
  <c r="K35" i="6"/>
  <c r="L35" i="6"/>
  <c r="I35" i="6"/>
  <c r="G35" i="6"/>
  <c r="L47" i="6"/>
  <c r="K47" i="6"/>
  <c r="I47" i="6"/>
  <c r="G47" i="6"/>
  <c r="L63" i="6"/>
  <c r="K63" i="6"/>
  <c r="I63" i="6"/>
  <c r="G63" i="6"/>
  <c r="K79" i="6"/>
  <c r="L79" i="6"/>
  <c r="I79" i="6"/>
  <c r="G79" i="6"/>
  <c r="L101" i="6"/>
  <c r="K101" i="6"/>
  <c r="I101" i="6"/>
  <c r="G101" i="6"/>
  <c r="K145" i="6"/>
  <c r="L145" i="6"/>
  <c r="I145" i="6"/>
  <c r="G145" i="6"/>
  <c r="L169" i="6"/>
  <c r="I169" i="6"/>
  <c r="K169" i="6"/>
  <c r="G169" i="6"/>
  <c r="L190" i="6"/>
  <c r="K190" i="6"/>
  <c r="I190" i="6"/>
  <c r="G190" i="6"/>
  <c r="L218" i="6"/>
  <c r="K218" i="6"/>
  <c r="I218" i="6"/>
  <c r="G218" i="6"/>
  <c r="L65" i="6"/>
  <c r="K65" i="6"/>
  <c r="I65" i="6"/>
  <c r="G65" i="6"/>
  <c r="L126" i="6"/>
  <c r="K126" i="6"/>
  <c r="I126" i="6"/>
  <c r="G126" i="6"/>
  <c r="K183" i="6"/>
  <c r="L183" i="6"/>
  <c r="I183" i="6"/>
  <c r="G183" i="6"/>
  <c r="L229" i="6"/>
  <c r="K229" i="6"/>
  <c r="I229" i="6"/>
  <c r="G229" i="6"/>
  <c r="L46" i="6"/>
  <c r="K46" i="6"/>
  <c r="I46" i="6"/>
  <c r="G46" i="6"/>
  <c r="K157" i="6"/>
  <c r="L157" i="6"/>
  <c r="I157" i="6"/>
  <c r="G157" i="6"/>
  <c r="K212" i="6"/>
  <c r="L212" i="6"/>
  <c r="I212" i="6"/>
  <c r="G212" i="6"/>
  <c r="L143" i="6"/>
  <c r="K143" i="6"/>
  <c r="I143" i="6"/>
  <c r="G143" i="6"/>
  <c r="L158" i="6"/>
  <c r="I158" i="6"/>
  <c r="G158" i="6"/>
  <c r="K158" i="6"/>
  <c r="L213" i="6"/>
  <c r="K213" i="6"/>
  <c r="I213" i="6"/>
  <c r="G213" i="6"/>
  <c r="K221" i="6"/>
  <c r="L221" i="6"/>
  <c r="I221" i="6"/>
  <c r="G221" i="6"/>
  <c r="L166" i="6"/>
  <c r="K166" i="6"/>
  <c r="I166" i="6"/>
  <c r="G166" i="6"/>
  <c r="L222" i="6"/>
  <c r="K222" i="6"/>
  <c r="I222" i="6"/>
  <c r="G222" i="6"/>
  <c r="L148" i="6"/>
  <c r="K148" i="6"/>
  <c r="I148" i="6"/>
  <c r="G148" i="6"/>
  <c r="L34" i="6"/>
  <c r="K34" i="6"/>
  <c r="I34" i="6"/>
  <c r="G34" i="6"/>
  <c r="L56" i="6"/>
  <c r="K56" i="6"/>
  <c r="I56" i="6"/>
  <c r="G56" i="6"/>
  <c r="L2" i="6"/>
  <c r="K2" i="6"/>
  <c r="I2" i="6"/>
  <c r="L89" i="6"/>
  <c r="K89" i="6"/>
  <c r="I89" i="6"/>
  <c r="G89" i="6"/>
  <c r="L111" i="6"/>
  <c r="K111" i="6"/>
  <c r="I111" i="6"/>
  <c r="G111" i="6"/>
  <c r="K197" i="6"/>
  <c r="L197" i="6"/>
  <c r="I197" i="6"/>
  <c r="G197" i="6"/>
  <c r="K225" i="6"/>
  <c r="L225" i="6"/>
  <c r="I225" i="6"/>
  <c r="G225" i="6"/>
  <c r="L17" i="6"/>
  <c r="K17" i="6"/>
  <c r="I17" i="6"/>
  <c r="G17" i="6"/>
  <c r="L30" i="6"/>
  <c r="K30" i="6"/>
  <c r="I30" i="6"/>
  <c r="G30" i="6"/>
  <c r="L43" i="6"/>
  <c r="I43" i="6"/>
  <c r="K43" i="6"/>
  <c r="G43" i="6"/>
  <c r="L59" i="6"/>
  <c r="I59" i="6"/>
  <c r="K59" i="6"/>
  <c r="G59" i="6"/>
  <c r="L81" i="6"/>
  <c r="K81" i="6"/>
  <c r="I81" i="6"/>
  <c r="G81" i="6"/>
  <c r="L88" i="6"/>
  <c r="K88" i="6"/>
  <c r="I88" i="6"/>
  <c r="G88" i="6"/>
  <c r="L29" i="6"/>
  <c r="K29" i="6"/>
  <c r="I29" i="6"/>
  <c r="G29" i="6"/>
  <c r="K112" i="6"/>
  <c r="L112" i="6"/>
  <c r="I112" i="6"/>
  <c r="G112" i="6"/>
  <c r="K139" i="6"/>
  <c r="I139" i="6"/>
  <c r="L139" i="6"/>
  <c r="G139" i="6"/>
  <c r="L170" i="6"/>
  <c r="K170" i="6"/>
  <c r="I170" i="6"/>
  <c r="G170" i="6"/>
  <c r="L185" i="6"/>
  <c r="I185" i="6"/>
  <c r="K185" i="6"/>
  <c r="G185" i="6"/>
  <c r="L198" i="6"/>
  <c r="I198" i="6"/>
  <c r="K198" i="6"/>
  <c r="G198" i="6"/>
  <c r="L4" i="6"/>
  <c r="K4" i="6"/>
  <c r="I4" i="6"/>
  <c r="G4" i="6"/>
  <c r="L44" i="6"/>
  <c r="K44" i="6"/>
  <c r="I44" i="6"/>
  <c r="G44" i="6"/>
  <c r="L60" i="6"/>
  <c r="K60" i="6"/>
  <c r="I60" i="6"/>
  <c r="G60" i="6"/>
  <c r="L82" i="6"/>
  <c r="K82" i="6"/>
  <c r="I82" i="6"/>
  <c r="G82" i="6"/>
  <c r="L48" i="6"/>
  <c r="I48" i="6"/>
  <c r="K48" i="6"/>
  <c r="G48" i="6"/>
  <c r="L97" i="6"/>
  <c r="K97" i="6"/>
  <c r="I97" i="6"/>
  <c r="G97" i="6"/>
  <c r="L107" i="6"/>
  <c r="K107" i="6"/>
  <c r="I107" i="6"/>
  <c r="G107" i="6"/>
  <c r="L152" i="6"/>
  <c r="K152" i="6"/>
  <c r="I152" i="6"/>
  <c r="G152" i="6"/>
  <c r="L176" i="6"/>
  <c r="I176" i="6"/>
  <c r="K176" i="6"/>
  <c r="G176" i="6"/>
  <c r="L206" i="6"/>
  <c r="I206" i="6"/>
  <c r="K206" i="6"/>
  <c r="G206" i="6"/>
  <c r="L9" i="6"/>
  <c r="K9" i="6"/>
  <c r="I9" i="6"/>
  <c r="G9" i="6"/>
  <c r="L39" i="6"/>
  <c r="K39" i="6"/>
  <c r="I39" i="6"/>
  <c r="G39" i="6"/>
  <c r="L51" i="6"/>
  <c r="K51" i="6"/>
  <c r="I51" i="6"/>
  <c r="G51" i="6"/>
  <c r="L57" i="6"/>
  <c r="K57" i="6"/>
  <c r="I57" i="6"/>
  <c r="G57" i="6"/>
  <c r="L69" i="6"/>
  <c r="K69" i="6"/>
  <c r="I69" i="6"/>
  <c r="G69" i="6"/>
  <c r="L77" i="6"/>
  <c r="K77" i="6"/>
  <c r="I77" i="6"/>
  <c r="G77" i="6"/>
  <c r="L61" i="6"/>
  <c r="I61" i="6"/>
  <c r="K61" i="6"/>
  <c r="G61" i="6"/>
  <c r="L75" i="6"/>
  <c r="I75" i="6"/>
  <c r="G75" i="6"/>
  <c r="K75" i="6"/>
  <c r="L23" i="6"/>
  <c r="I23" i="6"/>
  <c r="G23" i="6"/>
  <c r="K23" i="6"/>
  <c r="L98" i="6"/>
  <c r="K98" i="6"/>
  <c r="I98" i="6"/>
  <c r="G98" i="6"/>
  <c r="K122" i="6"/>
  <c r="L122" i="6"/>
  <c r="I122" i="6"/>
  <c r="G122" i="6"/>
  <c r="L131" i="6"/>
  <c r="K131" i="6"/>
  <c r="I131" i="6"/>
  <c r="G131" i="6"/>
  <c r="L153" i="6"/>
  <c r="K153" i="6"/>
  <c r="I153" i="6"/>
  <c r="G153" i="6"/>
  <c r="L177" i="6"/>
  <c r="I177" i="6"/>
  <c r="G177" i="6"/>
  <c r="K177" i="6"/>
  <c r="L193" i="6"/>
  <c r="I193" i="6"/>
  <c r="K193" i="6"/>
  <c r="G193" i="6"/>
  <c r="L207" i="6"/>
  <c r="K207" i="6"/>
  <c r="I207" i="6"/>
  <c r="G207" i="6"/>
  <c r="L13" i="6"/>
  <c r="I13" i="6"/>
  <c r="G13" i="6"/>
  <c r="K13" i="6"/>
  <c r="L19" i="6"/>
  <c r="K19" i="6"/>
  <c r="I19" i="6"/>
  <c r="G19" i="6"/>
  <c r="L25" i="6"/>
  <c r="I25" i="6"/>
  <c r="K25" i="6"/>
  <c r="G25" i="6"/>
  <c r="L70" i="6"/>
  <c r="K70" i="6"/>
  <c r="I70" i="6"/>
  <c r="G70" i="6"/>
  <c r="L228" i="6"/>
  <c r="K228" i="6"/>
  <c r="I228" i="6"/>
  <c r="G228" i="6"/>
  <c r="L91" i="6"/>
  <c r="K91" i="6"/>
  <c r="I91" i="6"/>
  <c r="G91" i="6"/>
  <c r="L99" i="6"/>
  <c r="K99" i="6"/>
  <c r="I99" i="6"/>
  <c r="G99" i="6"/>
  <c r="L108" i="6"/>
  <c r="K108" i="6"/>
  <c r="I108" i="6"/>
  <c r="G108" i="6"/>
  <c r="L132" i="6"/>
  <c r="K132" i="6"/>
  <c r="I132" i="6"/>
  <c r="G132" i="6"/>
  <c r="L141" i="6"/>
  <c r="K141" i="6"/>
  <c r="I141" i="6"/>
  <c r="G141" i="6"/>
  <c r="L154" i="6"/>
  <c r="K154" i="6"/>
  <c r="I154" i="6"/>
  <c r="G154" i="6"/>
  <c r="L178" i="6"/>
  <c r="K178" i="6"/>
  <c r="I178" i="6"/>
  <c r="G178" i="6"/>
  <c r="K208" i="6"/>
  <c r="L208" i="6"/>
  <c r="I208" i="6"/>
  <c r="G208" i="6"/>
  <c r="L223" i="6"/>
  <c r="K223" i="6"/>
  <c r="I223" i="6"/>
  <c r="G223" i="6"/>
  <c r="L10" i="6"/>
  <c r="K10" i="6"/>
  <c r="I10" i="6"/>
  <c r="G10" i="6"/>
  <c r="L14" i="6"/>
  <c r="K14" i="6"/>
  <c r="I14" i="6"/>
  <c r="G14" i="6"/>
  <c r="L20" i="6"/>
  <c r="K20" i="6"/>
  <c r="G20" i="6"/>
  <c r="I20" i="6"/>
  <c r="L26" i="6"/>
  <c r="K26" i="6"/>
  <c r="I26" i="6"/>
  <c r="G26" i="6"/>
  <c r="L40" i="6"/>
  <c r="K40" i="6"/>
  <c r="I40" i="6"/>
  <c r="G40" i="6"/>
  <c r="L52" i="6"/>
  <c r="K52" i="6"/>
  <c r="I52" i="6"/>
  <c r="G52" i="6"/>
  <c r="L162" i="6"/>
  <c r="K162" i="6"/>
  <c r="I162" i="6"/>
  <c r="G162" i="6"/>
  <c r="K180" i="6"/>
  <c r="L180" i="6"/>
  <c r="I180" i="6"/>
  <c r="G180" i="6"/>
  <c r="K188" i="6"/>
  <c r="L188" i="6"/>
  <c r="I188" i="6"/>
  <c r="G188" i="6"/>
  <c r="K202" i="6"/>
  <c r="L202" i="6"/>
  <c r="I202" i="6"/>
  <c r="G202" i="6"/>
  <c r="K216" i="6"/>
  <c r="L216" i="6"/>
  <c r="I216" i="6"/>
  <c r="G216" i="6"/>
  <c r="L85" i="6"/>
  <c r="K85" i="6"/>
  <c r="I85" i="6"/>
  <c r="G85" i="6"/>
  <c r="L95" i="6"/>
  <c r="K95" i="6"/>
  <c r="I95" i="6"/>
  <c r="G95" i="6"/>
  <c r="L115" i="6"/>
  <c r="K115" i="6"/>
  <c r="I115" i="6"/>
  <c r="G115" i="6"/>
  <c r="L138" i="6"/>
  <c r="K138" i="6"/>
  <c r="I138" i="6"/>
  <c r="G138" i="6"/>
  <c r="L164" i="6"/>
  <c r="K164" i="6"/>
  <c r="I164" i="6"/>
  <c r="G164" i="6"/>
  <c r="L184" i="6"/>
  <c r="I184" i="6"/>
  <c r="K184" i="6"/>
  <c r="G184" i="6"/>
  <c r="K211" i="6"/>
  <c r="L211" i="6"/>
  <c r="I211" i="6"/>
  <c r="G211" i="6"/>
  <c r="L67" i="6"/>
  <c r="K67" i="6"/>
  <c r="I67" i="6"/>
  <c r="G67" i="6"/>
  <c r="L93" i="6"/>
  <c r="K93" i="6"/>
  <c r="I93" i="6"/>
  <c r="G93" i="6"/>
  <c r="L110" i="6"/>
  <c r="K110" i="6"/>
  <c r="I110" i="6"/>
  <c r="G110" i="6"/>
  <c r="L124" i="6"/>
  <c r="K124" i="6"/>
  <c r="I124" i="6"/>
  <c r="G124" i="6"/>
  <c r="L134" i="6"/>
  <c r="I134" i="6"/>
  <c r="K134" i="6"/>
  <c r="G134" i="6"/>
  <c r="L142" i="6"/>
  <c r="K142" i="6"/>
  <c r="I142" i="6"/>
  <c r="G142" i="6"/>
  <c r="L155" i="6"/>
  <c r="K155" i="6"/>
  <c r="I155" i="6"/>
  <c r="G155" i="6"/>
  <c r="L168" i="6"/>
  <c r="K168" i="6"/>
  <c r="I168" i="6"/>
  <c r="G168" i="6"/>
  <c r="L195" i="6"/>
  <c r="K195" i="6"/>
  <c r="I195" i="6"/>
  <c r="G195" i="6"/>
  <c r="L196" i="6"/>
  <c r="K196" i="6"/>
  <c r="I196" i="6"/>
  <c r="G196" i="6"/>
  <c r="L210" i="6"/>
  <c r="K210" i="6"/>
  <c r="I210" i="6"/>
  <c r="G210" i="6"/>
  <c r="L3" i="6"/>
  <c r="K3" i="6"/>
  <c r="I3" i="6"/>
  <c r="G3" i="6"/>
  <c r="L16" i="6"/>
  <c r="K16" i="6"/>
  <c r="I16" i="6"/>
  <c r="G16" i="6"/>
  <c r="L28" i="6"/>
  <c r="I28" i="6"/>
  <c r="G28" i="6"/>
  <c r="K28" i="6"/>
  <c r="L41" i="6"/>
  <c r="K41" i="6"/>
  <c r="I41" i="6"/>
  <c r="G41" i="6"/>
  <c r="L53" i="6"/>
  <c r="I53" i="6"/>
  <c r="K53" i="6"/>
  <c r="G53" i="6"/>
  <c r="L58" i="6"/>
  <c r="K58" i="6"/>
  <c r="I58" i="6"/>
  <c r="G58" i="6"/>
  <c r="L94" i="6"/>
  <c r="K94" i="6"/>
  <c r="I94" i="6"/>
  <c r="G94" i="6"/>
  <c r="L125" i="6"/>
  <c r="K125" i="6"/>
  <c r="I125" i="6"/>
  <c r="G125" i="6"/>
  <c r="K156" i="6"/>
  <c r="L156" i="6"/>
  <c r="I156" i="6"/>
  <c r="G156" i="6"/>
  <c r="L36" i="6"/>
  <c r="K36" i="6"/>
  <c r="I36" i="6"/>
  <c r="G36" i="6"/>
  <c r="L80" i="6"/>
  <c r="K80" i="6"/>
  <c r="I80" i="6"/>
  <c r="G80" i="6"/>
  <c r="E2" i="4"/>
  <c r="E68" i="4"/>
  <c r="J68" i="4" s="1"/>
  <c r="E86" i="4"/>
  <c r="J86" i="4" s="1"/>
  <c r="E347" i="4"/>
  <c r="J347" i="4" s="1"/>
  <c r="E326" i="4"/>
  <c r="J326" i="4" s="1"/>
  <c r="E540" i="4"/>
  <c r="J540" i="4" s="1"/>
  <c r="E541" i="4"/>
  <c r="J541" i="4" s="1"/>
  <c r="E542" i="4"/>
  <c r="J542" i="4" s="1"/>
  <c r="E543" i="4"/>
  <c r="J543" i="4" s="1"/>
  <c r="E544" i="4"/>
  <c r="J544" i="4" s="1"/>
  <c r="E545" i="4"/>
  <c r="J545" i="4" s="1"/>
  <c r="E546" i="4"/>
  <c r="J546" i="4" s="1"/>
  <c r="E547" i="4"/>
  <c r="J547" i="4" s="1"/>
  <c r="E177" i="4"/>
  <c r="J177" i="4" s="1"/>
  <c r="E223" i="4"/>
  <c r="J223" i="4" s="1"/>
  <c r="E224" i="4"/>
  <c r="J224" i="4" s="1"/>
  <c r="E187" i="4"/>
  <c r="J187" i="4" s="1"/>
  <c r="E503" i="4"/>
  <c r="J503" i="4" s="1"/>
  <c r="E207" i="4"/>
  <c r="J207" i="4" s="1"/>
  <c r="E208" i="4"/>
  <c r="J208" i="4" s="1"/>
  <c r="E209" i="4"/>
  <c r="J209" i="4" s="1"/>
  <c r="E210" i="4"/>
  <c r="J210" i="4" s="1"/>
  <c r="E501" i="4"/>
  <c r="J501" i="4" s="1"/>
  <c r="E428" i="4"/>
  <c r="J428" i="4" s="1"/>
  <c r="E486" i="4"/>
  <c r="J486" i="4" s="1"/>
  <c r="E487" i="4"/>
  <c r="J487" i="4" s="1"/>
  <c r="E499" i="4"/>
  <c r="J499" i="4" s="1"/>
  <c r="E243" i="4"/>
  <c r="J243" i="4" s="1"/>
  <c r="E244" i="4"/>
  <c r="J244" i="4" s="1"/>
  <c r="E245" i="4"/>
  <c r="J245" i="4" s="1"/>
  <c r="E246" i="4"/>
  <c r="J246" i="4" s="1"/>
  <c r="E247" i="4"/>
  <c r="J247" i="4" s="1"/>
  <c r="E248" i="4"/>
  <c r="J248" i="4" s="1"/>
  <c r="E498" i="4"/>
  <c r="J498" i="4" s="1"/>
  <c r="E216" i="4"/>
  <c r="J216" i="4" s="1"/>
  <c r="E217" i="4"/>
  <c r="J217" i="4" s="1"/>
  <c r="E502" i="4"/>
  <c r="J502" i="4" s="1"/>
  <c r="E530" i="4"/>
  <c r="J530" i="4" s="1"/>
  <c r="E531" i="4"/>
  <c r="J531" i="4" s="1"/>
  <c r="E221" i="4"/>
  <c r="J221" i="4" s="1"/>
  <c r="E236" i="4"/>
  <c r="J236" i="4" s="1"/>
  <c r="E491" i="4"/>
  <c r="J491" i="4" s="1"/>
  <c r="E533" i="4"/>
  <c r="J533" i="4" s="1"/>
  <c r="E483" i="4"/>
  <c r="J483" i="4" s="1"/>
  <c r="E484" i="4"/>
  <c r="J484" i="4" s="1"/>
  <c r="E481" i="4"/>
  <c r="J481" i="4" s="1"/>
  <c r="E516" i="4"/>
  <c r="J516" i="4" s="1"/>
  <c r="E517" i="4"/>
  <c r="J517" i="4" s="1"/>
  <c r="E492" i="4"/>
  <c r="J492" i="4" s="1"/>
  <c r="E493" i="4"/>
  <c r="J493" i="4" s="1"/>
  <c r="E494" i="4"/>
  <c r="J494" i="4" s="1"/>
  <c r="E480" i="4"/>
  <c r="J480" i="4" s="1"/>
  <c r="E489" i="4"/>
  <c r="J489" i="4" s="1"/>
  <c r="E238" i="4"/>
  <c r="J238" i="4" s="1"/>
  <c r="E239" i="4"/>
  <c r="J239" i="4" s="1"/>
  <c r="E220" i="4"/>
  <c r="J220" i="4" s="1"/>
  <c r="E180" i="4"/>
  <c r="J180" i="4" s="1"/>
  <c r="E230" i="4"/>
  <c r="J230" i="4" s="1"/>
  <c r="E231" i="4"/>
  <c r="J231" i="4" s="1"/>
  <c r="E170" i="4"/>
  <c r="J170" i="4" s="1"/>
  <c r="E171" i="4"/>
  <c r="J171" i="4" s="1"/>
  <c r="E496" i="4"/>
  <c r="J496" i="4" s="1"/>
  <c r="E227" i="4"/>
  <c r="J227" i="4" s="1"/>
  <c r="E488" i="4"/>
  <c r="J488" i="4" s="1"/>
  <c r="E211" i="4"/>
  <c r="J211" i="4" s="1"/>
  <c r="E212" i="4"/>
  <c r="J212" i="4" s="1"/>
  <c r="E213" i="4"/>
  <c r="J213" i="4" s="1"/>
  <c r="E214" i="4"/>
  <c r="J214" i="4" s="1"/>
  <c r="E500" i="4"/>
  <c r="J500" i="4" s="1"/>
  <c r="E495" i="4"/>
  <c r="J495" i="4" s="1"/>
  <c r="E215" i="4"/>
  <c r="J215" i="4" s="1"/>
  <c r="E174" i="4"/>
  <c r="J174" i="4" s="1"/>
  <c r="E222" i="4"/>
  <c r="J222" i="4" s="1"/>
  <c r="E179" i="4"/>
  <c r="J179" i="4" s="1"/>
  <c r="E166" i="4"/>
  <c r="J166" i="4" s="1"/>
  <c r="E181" i="4"/>
  <c r="J181" i="4" s="1"/>
  <c r="E186" i="4"/>
  <c r="J186" i="4" s="1"/>
  <c r="E534" i="4"/>
  <c r="J534" i="4" s="1"/>
  <c r="E535" i="4"/>
  <c r="J535" i="4" s="1"/>
  <c r="E195" i="4"/>
  <c r="J195" i="4" s="1"/>
  <c r="E228" i="4"/>
  <c r="J228" i="4" s="1"/>
  <c r="E232" i="4"/>
  <c r="J232" i="4" s="1"/>
  <c r="E497" i="4"/>
  <c r="J497" i="4" s="1"/>
  <c r="E185" i="4"/>
  <c r="J185" i="4" s="1"/>
  <c r="E234" i="4"/>
  <c r="J234" i="4" s="1"/>
  <c r="E196" i="4"/>
  <c r="J196" i="4" s="1"/>
  <c r="E175" i="4"/>
  <c r="J175" i="4" s="1"/>
  <c r="E205" i="4"/>
  <c r="J205" i="4" s="1"/>
  <c r="E206" i="4"/>
  <c r="J206" i="4" s="1"/>
  <c r="E523" i="4"/>
  <c r="J523" i="4" s="1"/>
  <c r="E524" i="4"/>
  <c r="J524" i="4" s="1"/>
  <c r="E182" i="4"/>
  <c r="J182" i="4" s="1"/>
  <c r="E504" i="4"/>
  <c r="J504" i="4" s="1"/>
  <c r="E183" i="4"/>
  <c r="J183" i="4" s="1"/>
  <c r="E130" i="4"/>
  <c r="J130" i="4" s="1"/>
  <c r="E178" i="4"/>
  <c r="J178" i="4" s="1"/>
  <c r="E204" i="4"/>
  <c r="J204" i="4" s="1"/>
  <c r="E509" i="4"/>
  <c r="J509" i="4" s="1"/>
  <c r="E201" i="4"/>
  <c r="J201" i="4" s="1"/>
  <c r="E202" i="4"/>
  <c r="J202" i="4" s="1"/>
  <c r="E219" i="4"/>
  <c r="J219" i="4" s="1"/>
  <c r="E240" i="4"/>
  <c r="J240" i="4" s="1"/>
  <c r="E426" i="4"/>
  <c r="J426" i="4" s="1"/>
  <c r="E235" i="4"/>
  <c r="J235" i="4" s="1"/>
  <c r="E510" i="4"/>
  <c r="J510" i="4" s="1"/>
  <c r="E200" i="4"/>
  <c r="J200" i="4" s="1"/>
  <c r="E536" i="4"/>
  <c r="J536" i="4" s="1"/>
  <c r="E513" i="4"/>
  <c r="J513" i="4" s="1"/>
  <c r="E514" i="4"/>
  <c r="J514" i="4" s="1"/>
  <c r="E512" i="4"/>
  <c r="J512" i="4" s="1"/>
  <c r="E184" i="4"/>
  <c r="J184" i="4" s="1"/>
  <c r="E527" i="4"/>
  <c r="J527" i="4" s="1"/>
  <c r="E528" i="4"/>
  <c r="J528" i="4" s="1"/>
  <c r="E529" i="4"/>
  <c r="J529" i="4" s="1"/>
  <c r="E226" i="4"/>
  <c r="J226" i="4" s="1"/>
  <c r="E511" i="4"/>
  <c r="J511" i="4" s="1"/>
  <c r="E508" i="4"/>
  <c r="J508" i="4" s="1"/>
  <c r="E505" i="4"/>
  <c r="J505" i="4" s="1"/>
  <c r="E148" i="4"/>
  <c r="J148" i="4" s="1"/>
  <c r="E482" i="4"/>
  <c r="J482" i="4" s="1"/>
  <c r="E506" i="4"/>
  <c r="J506" i="4" s="1"/>
  <c r="E539" i="4"/>
  <c r="J539" i="4" s="1"/>
  <c r="E113" i="4"/>
  <c r="J113" i="4" s="1"/>
  <c r="E114" i="4"/>
  <c r="J114" i="4" s="1"/>
  <c r="E149" i="4"/>
  <c r="J149" i="4" s="1"/>
  <c r="E425" i="4"/>
  <c r="J425" i="4" s="1"/>
  <c r="E333" i="4"/>
  <c r="J333" i="4" s="1"/>
  <c r="E388" i="4"/>
  <c r="J388" i="4" s="1"/>
  <c r="E389" i="4"/>
  <c r="J389" i="4" s="1"/>
  <c r="E417" i="4"/>
  <c r="J417" i="4" s="1"/>
  <c r="E537" i="4"/>
  <c r="J537" i="4" s="1"/>
  <c r="E82" i="4"/>
  <c r="J82" i="4" s="1"/>
  <c r="E84" i="4"/>
  <c r="J84" i="4" s="1"/>
  <c r="E85" i="4"/>
  <c r="J85" i="4" s="1"/>
  <c r="E87" i="4"/>
  <c r="J87" i="4" s="1"/>
  <c r="E88" i="4"/>
  <c r="J88" i="4" s="1"/>
  <c r="E89" i="4"/>
  <c r="J89" i="4" s="1"/>
  <c r="E90" i="4"/>
  <c r="J90" i="4" s="1"/>
  <c r="E91" i="4"/>
  <c r="J91" i="4" s="1"/>
  <c r="E78" i="4"/>
  <c r="J78" i="4" s="1"/>
  <c r="E83" i="4"/>
  <c r="J83" i="4" s="1"/>
  <c r="E92" i="4"/>
  <c r="J92" i="4" s="1"/>
  <c r="E94" i="4"/>
  <c r="J94" i="4" s="1"/>
  <c r="E354" i="4"/>
  <c r="J354" i="4" s="1"/>
  <c r="E131" i="4"/>
  <c r="J131" i="4" s="1"/>
  <c r="E385" i="4"/>
  <c r="J385" i="4" s="1"/>
  <c r="E51" i="4"/>
  <c r="J51" i="4" s="1"/>
  <c r="E104" i="4"/>
  <c r="J104" i="4" s="1"/>
  <c r="E115" i="4"/>
  <c r="J115" i="4" s="1"/>
  <c r="E337" i="4"/>
  <c r="J337" i="4" s="1"/>
  <c r="E110" i="4"/>
  <c r="J110" i="4" s="1"/>
  <c r="E108" i="4"/>
  <c r="J108" i="4" s="1"/>
  <c r="E449" i="4"/>
  <c r="J449" i="4" s="1"/>
  <c r="E458" i="4"/>
  <c r="J458" i="4" s="1"/>
  <c r="E233" i="4"/>
  <c r="J233" i="4" s="1"/>
  <c r="E448" i="4"/>
  <c r="J448" i="4" s="1"/>
  <c r="E452" i="4"/>
  <c r="J452" i="4" s="1"/>
  <c r="E453" i="4"/>
  <c r="J453" i="4" s="1"/>
  <c r="E459" i="4"/>
  <c r="J459" i="4" s="1"/>
  <c r="E454" i="4"/>
  <c r="J454" i="4" s="1"/>
  <c r="E455" i="4"/>
  <c r="J455" i="4" s="1"/>
  <c r="E279" i="4"/>
  <c r="J279" i="4" s="1"/>
  <c r="E188" i="4"/>
  <c r="J188" i="4" s="1"/>
  <c r="E249" i="4"/>
  <c r="J249" i="4" s="1"/>
  <c r="E250" i="4"/>
  <c r="J250" i="4" s="1"/>
  <c r="E251" i="4"/>
  <c r="J251" i="4" s="1"/>
  <c r="E252" i="4"/>
  <c r="J252" i="4" s="1"/>
  <c r="E253" i="4"/>
  <c r="J253" i="4" s="1"/>
  <c r="E254" i="4"/>
  <c r="J254" i="4" s="1"/>
  <c r="E522" i="4"/>
  <c r="J522" i="4" s="1"/>
  <c r="E197" i="4"/>
  <c r="J197" i="4" s="1"/>
  <c r="E198" i="4"/>
  <c r="J198" i="4" s="1"/>
  <c r="E152" i="4"/>
  <c r="J152" i="4" s="1"/>
  <c r="E420" i="4"/>
  <c r="J420" i="4" s="1"/>
  <c r="E369" i="4"/>
  <c r="J369" i="4" s="1"/>
  <c r="E370" i="4"/>
  <c r="J370" i="4" s="1"/>
  <c r="E355" i="4"/>
  <c r="J355" i="4" s="1"/>
  <c r="E189" i="4"/>
  <c r="J189" i="4" s="1"/>
  <c r="E255" i="4"/>
  <c r="J255" i="4" s="1"/>
  <c r="E256" i="4"/>
  <c r="J256" i="4" s="1"/>
  <c r="E257" i="4"/>
  <c r="J257" i="4" s="1"/>
  <c r="E258" i="4"/>
  <c r="J258" i="4" s="1"/>
  <c r="E259" i="4"/>
  <c r="J259" i="4" s="1"/>
  <c r="E260" i="4"/>
  <c r="J260" i="4" s="1"/>
  <c r="E241" i="4"/>
  <c r="J241" i="4" s="1"/>
  <c r="E242" i="4"/>
  <c r="J242" i="4" s="1"/>
  <c r="E507" i="4"/>
  <c r="J507" i="4" s="1"/>
  <c r="E390" i="4"/>
  <c r="J390" i="4" s="1"/>
  <c r="E518" i="4"/>
  <c r="J518" i="4" s="1"/>
  <c r="E525" i="4"/>
  <c r="J525" i="4" s="1"/>
  <c r="E532" i="4"/>
  <c r="J532" i="4" s="1"/>
  <c r="E538" i="4"/>
  <c r="J538" i="4" s="1"/>
  <c r="E160" i="4"/>
  <c r="J160" i="4" s="1"/>
  <c r="E97" i="4"/>
  <c r="J97" i="4" s="1"/>
  <c r="E225" i="4"/>
  <c r="J225" i="4" s="1"/>
  <c r="E75" i="4"/>
  <c r="J75" i="4" s="1"/>
  <c r="E150" i="4"/>
  <c r="J150" i="4" s="1"/>
  <c r="E167" i="4"/>
  <c r="J167" i="4" s="1"/>
  <c r="E168" i="4"/>
  <c r="J168" i="4" s="1"/>
  <c r="E169" i="4"/>
  <c r="J169" i="4" s="1"/>
  <c r="E218" i="4"/>
  <c r="J218" i="4" s="1"/>
  <c r="E190" i="4"/>
  <c r="J190" i="4" s="1"/>
  <c r="E261" i="4"/>
  <c r="J261" i="4" s="1"/>
  <c r="E262" i="4"/>
  <c r="J262" i="4" s="1"/>
  <c r="E263" i="4"/>
  <c r="J263" i="4" s="1"/>
  <c r="E264" i="4"/>
  <c r="J264" i="4" s="1"/>
  <c r="E265" i="4"/>
  <c r="J265" i="4" s="1"/>
  <c r="E266" i="4"/>
  <c r="J266" i="4" s="1"/>
  <c r="E328" i="4"/>
  <c r="J328" i="4" s="1"/>
  <c r="E329" i="4"/>
  <c r="J329" i="4" s="1"/>
  <c r="E237" i="4"/>
  <c r="J237" i="4" s="1"/>
  <c r="E153" i="4"/>
  <c r="J153" i="4" s="1"/>
  <c r="E191" i="4"/>
  <c r="J191" i="4" s="1"/>
  <c r="E163" i="4"/>
  <c r="J163" i="4" s="1"/>
  <c r="E164" i="4"/>
  <c r="J164" i="4" s="1"/>
  <c r="E154" i="4"/>
  <c r="J154" i="4" s="1"/>
  <c r="E48" i="4"/>
  <c r="J48" i="4" s="1"/>
  <c r="E374" i="4"/>
  <c r="J374" i="4" s="1"/>
  <c r="E375" i="4"/>
  <c r="J375" i="4" s="1"/>
  <c r="E123" i="4"/>
  <c r="J123" i="4" s="1"/>
  <c r="E124" i="4"/>
  <c r="J124" i="4" s="1"/>
  <c r="E466" i="4"/>
  <c r="J466" i="4" s="1"/>
  <c r="E27" i="4"/>
  <c r="J27" i="4" s="1"/>
  <c r="E29" i="4"/>
  <c r="J29" i="4" s="1"/>
  <c r="E30" i="4"/>
  <c r="J30" i="4" s="1"/>
  <c r="E105" i="4"/>
  <c r="J105" i="4" s="1"/>
  <c r="E155" i="4"/>
  <c r="J155" i="4" s="1"/>
  <c r="E156" i="4"/>
  <c r="J156" i="4" s="1"/>
  <c r="E69" i="4"/>
  <c r="J69" i="4" s="1"/>
  <c r="E70" i="4"/>
  <c r="J70" i="4" s="1"/>
  <c r="E335" i="4"/>
  <c r="J335" i="4" s="1"/>
  <c r="E116" i="4"/>
  <c r="J116" i="4" s="1"/>
  <c r="E59" i="4"/>
  <c r="J59" i="4" s="1"/>
  <c r="E60" i="4"/>
  <c r="J60" i="4" s="1"/>
  <c r="E61" i="4"/>
  <c r="J61" i="4" s="1"/>
  <c r="E62" i="4"/>
  <c r="J62" i="4" s="1"/>
  <c r="E520" i="4"/>
  <c r="J520" i="4" s="1"/>
  <c r="E521" i="4"/>
  <c r="J521" i="4" s="1"/>
  <c r="E356" i="4"/>
  <c r="J356" i="4" s="1"/>
  <c r="E139" i="4"/>
  <c r="J139" i="4" s="1"/>
  <c r="E140" i="4"/>
  <c r="J140" i="4" s="1"/>
  <c r="E141" i="4"/>
  <c r="J141" i="4" s="1"/>
  <c r="E3" i="4"/>
  <c r="J3" i="4" s="1"/>
  <c r="E464" i="4"/>
  <c r="J464" i="4" s="1"/>
  <c r="E463" i="4"/>
  <c r="J463" i="4" s="1"/>
  <c r="E161" i="4"/>
  <c r="J161" i="4" s="1"/>
  <c r="E473" i="4"/>
  <c r="J473" i="4" s="1"/>
  <c r="E412" i="4"/>
  <c r="J412" i="4" s="1"/>
  <c r="E357" i="4"/>
  <c r="J357" i="4" s="1"/>
  <c r="E133" i="4"/>
  <c r="J133" i="4" s="1"/>
  <c r="E66" i="4"/>
  <c r="J66" i="4" s="1"/>
  <c r="E192" i="4"/>
  <c r="J192" i="4" s="1"/>
  <c r="E280" i="4"/>
  <c r="J280" i="4" s="1"/>
  <c r="E281" i="4"/>
  <c r="J281" i="4" s="1"/>
  <c r="E282" i="4"/>
  <c r="J282" i="4" s="1"/>
  <c r="E283" i="4"/>
  <c r="J283" i="4" s="1"/>
  <c r="E284" i="4"/>
  <c r="J284" i="4" s="1"/>
  <c r="E285" i="4"/>
  <c r="J285" i="4" s="1"/>
  <c r="E286" i="4"/>
  <c r="J286" i="4" s="1"/>
  <c r="E43" i="4"/>
  <c r="J43" i="4" s="1"/>
  <c r="E98" i="4"/>
  <c r="J98" i="4" s="1"/>
  <c r="E358" i="4"/>
  <c r="J358" i="4" s="1"/>
  <c r="E128" i="4"/>
  <c r="J128" i="4" s="1"/>
  <c r="E134" i="4"/>
  <c r="J134" i="4" s="1"/>
  <c r="E419" i="4"/>
  <c r="J419" i="4" s="1"/>
  <c r="E438" i="4"/>
  <c r="J438" i="4" s="1"/>
  <c r="E371" i="4"/>
  <c r="J371" i="4" s="1"/>
  <c r="E432" i="4"/>
  <c r="J432" i="4" s="1"/>
  <c r="E433" i="4"/>
  <c r="J433" i="4" s="1"/>
  <c r="E434" i="4"/>
  <c r="J434" i="4" s="1"/>
  <c r="E31" i="4"/>
  <c r="J31" i="4" s="1"/>
  <c r="E103" i="4"/>
  <c r="J103" i="4" s="1"/>
  <c r="E386" i="4"/>
  <c r="J386" i="4" s="1"/>
  <c r="E111" i="4"/>
  <c r="J111" i="4" s="1"/>
  <c r="E106" i="4"/>
  <c r="J106" i="4" s="1"/>
  <c r="E21" i="4"/>
  <c r="J21" i="4" s="1"/>
  <c r="E327" i="4"/>
  <c r="J327" i="4" s="1"/>
  <c r="E451" i="4"/>
  <c r="J451" i="4" s="1"/>
  <c r="E193" i="4"/>
  <c r="J193" i="4" s="1"/>
  <c r="E267" i="4"/>
  <c r="J267" i="4" s="1"/>
  <c r="E268" i="4"/>
  <c r="J268" i="4" s="1"/>
  <c r="E269" i="4"/>
  <c r="J269" i="4" s="1"/>
  <c r="E270" i="4"/>
  <c r="J270" i="4" s="1"/>
  <c r="E271" i="4"/>
  <c r="J271" i="4" s="1"/>
  <c r="E272" i="4"/>
  <c r="J272" i="4" s="1"/>
  <c r="E273" i="4"/>
  <c r="J273" i="4" s="1"/>
  <c r="E274" i="4"/>
  <c r="J274" i="4" s="1"/>
  <c r="E275" i="4"/>
  <c r="J275" i="4" s="1"/>
  <c r="E276" i="4"/>
  <c r="J276" i="4" s="1"/>
  <c r="E277" i="4"/>
  <c r="J277" i="4" s="1"/>
  <c r="E35" i="4"/>
  <c r="J35" i="4" s="1"/>
  <c r="E414" i="4"/>
  <c r="J414" i="4" s="1"/>
  <c r="E4" i="4"/>
  <c r="J4" i="4" s="1"/>
  <c r="E99" i="4"/>
  <c r="J99" i="4" s="1"/>
  <c r="E101" i="4"/>
  <c r="J101" i="4" s="1"/>
  <c r="E151" i="4"/>
  <c r="J151" i="4" s="1"/>
  <c r="E359" i="4"/>
  <c r="J359" i="4" s="1"/>
  <c r="E391" i="4"/>
  <c r="J391" i="4" s="1"/>
  <c r="E437" i="4"/>
  <c r="J437" i="4" s="1"/>
  <c r="E24" i="4"/>
  <c r="J24" i="4" s="1"/>
  <c r="E25" i="4"/>
  <c r="J25" i="4" s="1"/>
  <c r="E332" i="4"/>
  <c r="J332" i="4" s="1"/>
  <c r="E63" i="4"/>
  <c r="J63" i="4" s="1"/>
  <c r="E194" i="4"/>
  <c r="J194" i="4" s="1"/>
  <c r="E287" i="4"/>
  <c r="J287" i="4" s="1"/>
  <c r="E288" i="4"/>
  <c r="J288" i="4" s="1"/>
  <c r="E289" i="4"/>
  <c r="J289" i="4" s="1"/>
  <c r="E290" i="4"/>
  <c r="J290" i="4" s="1"/>
  <c r="E291" i="4"/>
  <c r="J291" i="4" s="1"/>
  <c r="E292" i="4"/>
  <c r="J292" i="4" s="1"/>
  <c r="E293" i="4"/>
  <c r="J293" i="4" s="1"/>
  <c r="E44" i="4"/>
  <c r="J44" i="4" s="1"/>
  <c r="E429" i="4"/>
  <c r="J429" i="4" s="1"/>
  <c r="E55" i="4"/>
  <c r="J55" i="4" s="1"/>
  <c r="E411" i="4"/>
  <c r="J411" i="4" s="1"/>
  <c r="E52" i="4"/>
  <c r="J52" i="4" s="1"/>
  <c r="E71" i="4"/>
  <c r="J71" i="4" s="1"/>
  <c r="E72" i="4"/>
  <c r="J72" i="4" s="1"/>
  <c r="E26" i="4"/>
  <c r="J26" i="4" s="1"/>
  <c r="E372" i="4"/>
  <c r="J372" i="4" s="1"/>
  <c r="E416" i="4"/>
  <c r="J416" i="4" s="1"/>
  <c r="E117" i="4"/>
  <c r="J117" i="4" s="1"/>
  <c r="E405" i="4"/>
  <c r="J405" i="4" s="1"/>
  <c r="E360" i="4"/>
  <c r="J360" i="4" s="1"/>
  <c r="E36" i="4"/>
  <c r="J36" i="4" s="1"/>
  <c r="E361" i="4"/>
  <c r="J361" i="4" s="1"/>
  <c r="E362" i="4"/>
  <c r="J362" i="4" s="1"/>
  <c r="E363" i="4"/>
  <c r="J363" i="4" s="1"/>
  <c r="E95" i="4"/>
  <c r="J95" i="4" s="1"/>
  <c r="E118" i="4"/>
  <c r="J118" i="4" s="1"/>
  <c r="E64" i="4"/>
  <c r="J64" i="4" s="1"/>
  <c r="E65" i="4"/>
  <c r="J65" i="4" s="1"/>
  <c r="E5" i="4"/>
  <c r="J5" i="4" s="1"/>
  <c r="E50" i="4"/>
  <c r="J50" i="4" s="1"/>
  <c r="E446" i="4"/>
  <c r="J446" i="4" s="1"/>
  <c r="E364" i="4"/>
  <c r="J364" i="4" s="1"/>
  <c r="E294" i="4"/>
  <c r="J294" i="4" s="1"/>
  <c r="E295" i="4"/>
  <c r="J295" i="4" s="1"/>
  <c r="E296" i="4"/>
  <c r="J296" i="4" s="1"/>
  <c r="E297" i="4"/>
  <c r="J297" i="4" s="1"/>
  <c r="E298" i="4"/>
  <c r="J298" i="4" s="1"/>
  <c r="E299" i="4"/>
  <c r="J299" i="4" s="1"/>
  <c r="E300" i="4"/>
  <c r="J300" i="4" s="1"/>
  <c r="E45" i="4"/>
  <c r="J45" i="4" s="1"/>
  <c r="E301" i="4"/>
  <c r="J301" i="4" s="1"/>
  <c r="E302" i="4"/>
  <c r="J302" i="4" s="1"/>
  <c r="E303" i="4"/>
  <c r="J303" i="4" s="1"/>
  <c r="E304" i="4"/>
  <c r="J304" i="4" s="1"/>
  <c r="E305" i="4"/>
  <c r="J305" i="4" s="1"/>
  <c r="E306" i="4"/>
  <c r="J306" i="4" s="1"/>
  <c r="E307" i="4"/>
  <c r="J307" i="4" s="1"/>
  <c r="E46" i="4"/>
  <c r="J46" i="4" s="1"/>
  <c r="E6" i="4"/>
  <c r="J6" i="4" s="1"/>
  <c r="E7" i="4"/>
  <c r="J7" i="4" s="1"/>
  <c r="E376" i="4"/>
  <c r="J376" i="4" s="1"/>
  <c r="E120" i="4"/>
  <c r="J120" i="4" s="1"/>
  <c r="E157" i="4"/>
  <c r="J157" i="4" s="1"/>
  <c r="E56" i="4"/>
  <c r="J56" i="4" s="1"/>
  <c r="E415" i="4"/>
  <c r="J415" i="4" s="1"/>
  <c r="E431" i="4"/>
  <c r="J431" i="4" s="1"/>
  <c r="E107" i="4"/>
  <c r="J107" i="4" s="1"/>
  <c r="E421" i="4"/>
  <c r="J421" i="4" s="1"/>
  <c r="E158" i="4"/>
  <c r="J158" i="4" s="1"/>
  <c r="E57" i="4"/>
  <c r="J57" i="4" s="1"/>
  <c r="E435" i="4"/>
  <c r="J435" i="4" s="1"/>
  <c r="E456" i="4"/>
  <c r="J456" i="4" s="1"/>
  <c r="E457" i="4"/>
  <c r="J457" i="4" s="1"/>
  <c r="E58" i="4"/>
  <c r="J58" i="4" s="1"/>
  <c r="E365" i="4"/>
  <c r="J365" i="4" s="1"/>
  <c r="E129" i="4"/>
  <c r="J129" i="4" s="1"/>
  <c r="E135" i="4"/>
  <c r="J135" i="4" s="1"/>
  <c r="E475" i="4"/>
  <c r="J475" i="4" s="1"/>
  <c r="E476" i="4"/>
  <c r="J476" i="4" s="1"/>
  <c r="E450" i="4"/>
  <c r="J450" i="4" s="1"/>
  <c r="E467" i="4"/>
  <c r="J467" i="4" s="1"/>
  <c r="E468" i="4"/>
  <c r="J468" i="4" s="1"/>
  <c r="E469" i="4"/>
  <c r="J469" i="4" s="1"/>
  <c r="E430" i="4"/>
  <c r="J430" i="4" s="1"/>
  <c r="E172" i="4"/>
  <c r="J172" i="4" s="1"/>
  <c r="E173" i="4"/>
  <c r="J173" i="4" s="1"/>
  <c r="E308" i="4"/>
  <c r="J308" i="4" s="1"/>
  <c r="E309" i="4"/>
  <c r="J309" i="4" s="1"/>
  <c r="E310" i="4"/>
  <c r="J310" i="4" s="1"/>
  <c r="E311" i="4"/>
  <c r="J311" i="4" s="1"/>
  <c r="E312" i="4"/>
  <c r="J312" i="4" s="1"/>
  <c r="E313" i="4"/>
  <c r="J313" i="4" s="1"/>
  <c r="E314" i="4"/>
  <c r="J314" i="4" s="1"/>
  <c r="E47" i="4"/>
  <c r="J47" i="4" s="1"/>
  <c r="E422" i="4"/>
  <c r="J422" i="4" s="1"/>
  <c r="E37" i="4"/>
  <c r="J37" i="4" s="1"/>
  <c r="E119" i="4"/>
  <c r="J119" i="4" s="1"/>
  <c r="E8" i="4"/>
  <c r="J8" i="4" s="1"/>
  <c r="E338" i="4"/>
  <c r="J338" i="4" s="1"/>
  <c r="E392" i="4"/>
  <c r="J392" i="4" s="1"/>
  <c r="E460" i="4"/>
  <c r="J460" i="4" s="1"/>
  <c r="E477" i="4"/>
  <c r="J477" i="4" s="1"/>
  <c r="E334" i="4"/>
  <c r="J334" i="4" s="1"/>
  <c r="E348" i="4"/>
  <c r="J348" i="4" s="1"/>
  <c r="E144" i="4"/>
  <c r="J144" i="4" s="1"/>
  <c r="E145" i="4"/>
  <c r="J145" i="4" s="1"/>
  <c r="E146" i="4"/>
  <c r="J146" i="4" s="1"/>
  <c r="E147" i="4"/>
  <c r="J147" i="4" s="1"/>
  <c r="E53" i="4"/>
  <c r="J53" i="4" s="1"/>
  <c r="E54" i="4"/>
  <c r="J54" i="4" s="1"/>
  <c r="E165" i="4"/>
  <c r="J165" i="4" s="1"/>
  <c r="E203" i="4"/>
  <c r="J203" i="4" s="1"/>
  <c r="E441" i="4"/>
  <c r="J441" i="4" s="1"/>
  <c r="E424" i="4"/>
  <c r="J424" i="4" s="1"/>
  <c r="E125" i="4"/>
  <c r="J125" i="4" s="1"/>
  <c r="E349" i="4"/>
  <c r="J349" i="4" s="1"/>
  <c r="E350" i="4"/>
  <c r="J350" i="4" s="1"/>
  <c r="E351" i="4"/>
  <c r="J351" i="4" s="1"/>
  <c r="E352" i="4"/>
  <c r="J352" i="4" s="1"/>
  <c r="E353" i="4"/>
  <c r="J353" i="4" s="1"/>
  <c r="E470" i="4"/>
  <c r="J470" i="4" s="1"/>
  <c r="E28" i="4"/>
  <c r="J28" i="4" s="1"/>
  <c r="E366" i="4"/>
  <c r="J366" i="4" s="1"/>
  <c r="E519" i="4"/>
  <c r="J519" i="4" s="1"/>
  <c r="E418" i="4"/>
  <c r="J418" i="4" s="1"/>
  <c r="E38" i="4"/>
  <c r="J38" i="4" s="1"/>
  <c r="E49" i="4"/>
  <c r="J49" i="4" s="1"/>
  <c r="E73" i="4"/>
  <c r="J73" i="4" s="1"/>
  <c r="E74" i="4"/>
  <c r="J74" i="4" s="1"/>
  <c r="E9" i="4"/>
  <c r="J9" i="4" s="1"/>
  <c r="E377" i="4"/>
  <c r="J377" i="4" s="1"/>
  <c r="E485" i="4"/>
  <c r="J485" i="4" s="1"/>
  <c r="E490" i="4"/>
  <c r="J490" i="4" s="1"/>
  <c r="E393" i="4"/>
  <c r="J393" i="4" s="1"/>
  <c r="E394" i="4"/>
  <c r="J394" i="4" s="1"/>
  <c r="E112" i="4"/>
  <c r="J112" i="4" s="1"/>
  <c r="E322" i="4"/>
  <c r="J322" i="4" s="1"/>
  <c r="E323" i="4"/>
  <c r="J323" i="4" s="1"/>
  <c r="E162" i="4"/>
  <c r="J162" i="4" s="1"/>
  <c r="E136" i="4"/>
  <c r="J136" i="4" s="1"/>
  <c r="E102" i="4"/>
  <c r="J102" i="4" s="1"/>
  <c r="E471" i="4"/>
  <c r="J471" i="4" s="1"/>
  <c r="E367" i="4"/>
  <c r="J367" i="4" s="1"/>
  <c r="E93" i="4"/>
  <c r="J93" i="4" s="1"/>
  <c r="E10" i="4"/>
  <c r="J10" i="4" s="1"/>
  <c r="E465" i="4"/>
  <c r="J465" i="4" s="1"/>
  <c r="E76" i="4"/>
  <c r="J76" i="4" s="1"/>
  <c r="E77" i="4"/>
  <c r="J77" i="4" s="1"/>
  <c r="E127" i="4"/>
  <c r="J127" i="4" s="1"/>
  <c r="E79" i="4"/>
  <c r="J79" i="4" s="1"/>
  <c r="E439" i="4"/>
  <c r="J439" i="4" s="1"/>
  <c r="E440" i="4"/>
  <c r="J440" i="4" s="1"/>
  <c r="E436" i="4"/>
  <c r="J436" i="4" s="1"/>
  <c r="E447" i="4"/>
  <c r="J447" i="4" s="1"/>
  <c r="E443" i="4"/>
  <c r="J443" i="4" s="1"/>
  <c r="E461" i="4"/>
  <c r="J461" i="4" s="1"/>
  <c r="E462" i="4"/>
  <c r="J462" i="4" s="1"/>
  <c r="E100" i="4"/>
  <c r="J100" i="4" s="1"/>
  <c r="E346" i="4"/>
  <c r="J346" i="4" s="1"/>
  <c r="E33" i="4"/>
  <c r="J33" i="4" s="1"/>
  <c r="E34" i="4"/>
  <c r="J34" i="4" s="1"/>
  <c r="E39" i="4"/>
  <c r="J39" i="4" s="1"/>
  <c r="E40" i="4"/>
  <c r="J40" i="4" s="1"/>
  <c r="E41" i="4"/>
  <c r="J41" i="4" s="1"/>
  <c r="E96" i="4"/>
  <c r="J96" i="4" s="1"/>
  <c r="E407" i="4"/>
  <c r="J407" i="4" s="1"/>
  <c r="E409" i="4"/>
  <c r="J409" i="4" s="1"/>
  <c r="E427" i="4"/>
  <c r="J427" i="4" s="1"/>
  <c r="E80" i="4"/>
  <c r="J80" i="4" s="1"/>
  <c r="E379" i="4"/>
  <c r="J379" i="4" s="1"/>
  <c r="E380" i="4"/>
  <c r="J380" i="4" s="1"/>
  <c r="E132" i="4"/>
  <c r="J132" i="4" s="1"/>
  <c r="E330" i="4"/>
  <c r="J330" i="4" s="1"/>
  <c r="E423" i="4"/>
  <c r="J423" i="4" s="1"/>
  <c r="E373" i="4"/>
  <c r="J373" i="4" s="1"/>
  <c r="E444" i="4"/>
  <c r="J444" i="4" s="1"/>
  <c r="E331" i="4"/>
  <c r="J331" i="4" s="1"/>
  <c r="E395" i="4"/>
  <c r="J395" i="4" s="1"/>
  <c r="E396" i="4"/>
  <c r="J396" i="4" s="1"/>
  <c r="E387" i="4"/>
  <c r="J387" i="4" s="1"/>
  <c r="E11" i="4"/>
  <c r="J11" i="4" s="1"/>
  <c r="E397" i="4"/>
  <c r="J397" i="4" s="1"/>
  <c r="E398" i="4"/>
  <c r="J398" i="4" s="1"/>
  <c r="E399" i="4"/>
  <c r="J399" i="4" s="1"/>
  <c r="E400" i="4"/>
  <c r="J400" i="4" s="1"/>
  <c r="E401" i="4"/>
  <c r="J401" i="4" s="1"/>
  <c r="E402" i="4"/>
  <c r="J402" i="4" s="1"/>
  <c r="E403" i="4"/>
  <c r="J403" i="4" s="1"/>
  <c r="E404" i="4"/>
  <c r="J404" i="4" s="1"/>
  <c r="E12" i="4"/>
  <c r="J12" i="4" s="1"/>
  <c r="E81" i="4"/>
  <c r="J81" i="4" s="1"/>
  <c r="E22" i="4"/>
  <c r="J22" i="4" s="1"/>
  <c r="E142" i="4"/>
  <c r="J142" i="4" s="1"/>
  <c r="E143" i="4"/>
  <c r="J143" i="4" s="1"/>
  <c r="E159" i="4"/>
  <c r="J159" i="4" s="1"/>
  <c r="E23" i="4"/>
  <c r="J23" i="4" s="1"/>
  <c r="E442" i="4"/>
  <c r="J442" i="4" s="1"/>
  <c r="E474" i="4"/>
  <c r="J474" i="4" s="1"/>
  <c r="E381" i="4"/>
  <c r="J381" i="4" s="1"/>
  <c r="E382" i="4"/>
  <c r="J382" i="4" s="1"/>
  <c r="E383" i="4"/>
  <c r="J383" i="4" s="1"/>
  <c r="E384" i="4"/>
  <c r="J384" i="4" s="1"/>
  <c r="E368" i="4"/>
  <c r="J368" i="4" s="1"/>
  <c r="E406" i="4"/>
  <c r="J406" i="4" s="1"/>
  <c r="E13" i="4"/>
  <c r="J13" i="4" s="1"/>
  <c r="E14" i="4"/>
  <c r="J14" i="4" s="1"/>
  <c r="E15" i="4"/>
  <c r="J15" i="4" s="1"/>
  <c r="E472" i="4"/>
  <c r="J472" i="4" s="1"/>
  <c r="E16" i="4"/>
  <c r="J16" i="4" s="1"/>
  <c r="E137" i="4"/>
  <c r="J137" i="4" s="1"/>
  <c r="E126" i="4"/>
  <c r="J126" i="4" s="1"/>
  <c r="E479" i="4"/>
  <c r="J479" i="4" s="1"/>
  <c r="E315" i="4"/>
  <c r="J315" i="4" s="1"/>
  <c r="E316" i="4"/>
  <c r="J316" i="4" s="1"/>
  <c r="E317" i="4"/>
  <c r="J317" i="4" s="1"/>
  <c r="E318" i="4"/>
  <c r="J318" i="4" s="1"/>
  <c r="E319" i="4"/>
  <c r="J319" i="4" s="1"/>
  <c r="E320" i="4"/>
  <c r="J320" i="4" s="1"/>
  <c r="E321" i="4"/>
  <c r="J321" i="4" s="1"/>
  <c r="E408" i="4"/>
  <c r="J408" i="4" s="1"/>
  <c r="E410" i="4"/>
  <c r="J410" i="4" s="1"/>
  <c r="E176" i="4"/>
  <c r="J176" i="4" s="1"/>
  <c r="E17" i="4"/>
  <c r="J17" i="4" s="1"/>
  <c r="E32" i="4"/>
  <c r="J32" i="4" s="1"/>
  <c r="E478" i="4"/>
  <c r="J478" i="4" s="1"/>
  <c r="E336" i="4"/>
  <c r="J336" i="4" s="1"/>
  <c r="E18" i="4"/>
  <c r="J18" i="4" s="1"/>
  <c r="E19" i="4"/>
  <c r="J19" i="4" s="1"/>
  <c r="E20" i="4"/>
  <c r="J20" i="4" s="1"/>
  <c r="E138" i="4"/>
  <c r="J138" i="4" s="1"/>
  <c r="E526" i="4"/>
  <c r="J526" i="4" s="1"/>
  <c r="E199" i="4"/>
  <c r="J199" i="4" s="1"/>
  <c r="E378" i="4"/>
  <c r="J378" i="4" s="1"/>
  <c r="E413" i="4"/>
  <c r="J413" i="4" s="1"/>
  <c r="E324" i="4"/>
  <c r="J324" i="4" s="1"/>
  <c r="E325" i="4"/>
  <c r="J325" i="4" s="1"/>
  <c r="E515" i="4"/>
  <c r="J515" i="4" s="1"/>
  <c r="E278" i="4"/>
  <c r="J278" i="4" s="1"/>
  <c r="E109" i="4"/>
  <c r="J109" i="4" s="1"/>
  <c r="E344" i="4"/>
  <c r="J344" i="4" s="1"/>
  <c r="E42" i="4"/>
  <c r="J42" i="4" s="1"/>
  <c r="E339" i="4"/>
  <c r="J339" i="4" s="1"/>
  <c r="E340" i="4"/>
  <c r="J340" i="4" s="1"/>
  <c r="E341" i="4"/>
  <c r="J341" i="4" s="1"/>
  <c r="E342" i="4"/>
  <c r="J342" i="4" s="1"/>
  <c r="E343" i="4"/>
  <c r="J343" i="4" s="1"/>
  <c r="E345" i="4"/>
  <c r="J345" i="4" s="1"/>
  <c r="E445" i="4"/>
  <c r="J445" i="4" s="1"/>
  <c r="E229" i="4"/>
  <c r="J229" i="4" s="1"/>
  <c r="E67" i="4"/>
  <c r="J67" i="4" s="1"/>
  <c r="J2" i="4" l="1"/>
  <c r="K2" i="4" s="1"/>
  <c r="K341" i="4"/>
  <c r="K406" i="4"/>
  <c r="K387" i="4"/>
  <c r="K136" i="4"/>
  <c r="K519" i="4"/>
  <c r="K430" i="4"/>
  <c r="K421" i="4"/>
  <c r="K411" i="4"/>
  <c r="K437" i="4"/>
  <c r="K21" i="4"/>
  <c r="K280" i="4"/>
  <c r="K520" i="4"/>
  <c r="K266" i="4"/>
  <c r="K241" i="4"/>
  <c r="K522" i="4"/>
  <c r="K458" i="4"/>
  <c r="K90" i="4"/>
  <c r="K113" i="4"/>
  <c r="K513" i="4"/>
  <c r="K185" i="4"/>
  <c r="K214" i="4"/>
  <c r="K502" i="4"/>
  <c r="K244" i="4"/>
  <c r="K326" i="4"/>
  <c r="K340" i="4"/>
  <c r="K324" i="4"/>
  <c r="K18" i="4"/>
  <c r="K321" i="4"/>
  <c r="K126" i="4"/>
  <c r="K368" i="4"/>
  <c r="K159" i="4"/>
  <c r="K402" i="4"/>
  <c r="K396" i="4"/>
  <c r="K380" i="4"/>
  <c r="K40" i="4"/>
  <c r="K443" i="4"/>
  <c r="K76" i="4"/>
  <c r="K162" i="4"/>
  <c r="K377" i="4"/>
  <c r="K366" i="4"/>
  <c r="K125" i="4"/>
  <c r="K146" i="4"/>
  <c r="K338" i="4"/>
  <c r="K312" i="4"/>
  <c r="K469" i="4"/>
  <c r="K365" i="4"/>
  <c r="K107" i="4"/>
  <c r="K6" i="4"/>
  <c r="K301" i="4"/>
  <c r="K294" i="4"/>
  <c r="K118" i="4"/>
  <c r="K117" i="4"/>
  <c r="K55" i="4"/>
  <c r="K288" i="4"/>
  <c r="K391" i="4"/>
  <c r="K277" i="4"/>
  <c r="K269" i="4"/>
  <c r="K432" i="4"/>
  <c r="K43" i="4"/>
  <c r="K192" i="4"/>
  <c r="K464" i="4"/>
  <c r="K62" i="4"/>
  <c r="K156" i="4"/>
  <c r="K124" i="4"/>
  <c r="K191" i="4"/>
  <c r="K265" i="4"/>
  <c r="K168" i="4"/>
  <c r="K532" i="4"/>
  <c r="K355" i="4"/>
  <c r="K254" i="4"/>
  <c r="K455" i="4"/>
  <c r="K449" i="4"/>
  <c r="K131" i="4"/>
  <c r="K89" i="4"/>
  <c r="K389" i="4"/>
  <c r="K539" i="4"/>
  <c r="K226" i="4"/>
  <c r="K536" i="4"/>
  <c r="K201" i="4"/>
  <c r="K524" i="4"/>
  <c r="K497" i="4"/>
  <c r="K166" i="4"/>
  <c r="K213" i="4"/>
  <c r="K231" i="4"/>
  <c r="K480" i="4"/>
  <c r="K483" i="4"/>
  <c r="K217" i="4"/>
  <c r="K243" i="4"/>
  <c r="K208" i="4"/>
  <c r="K546" i="4"/>
  <c r="K347" i="4"/>
  <c r="K325" i="4"/>
  <c r="K403" i="4"/>
  <c r="K77" i="4"/>
  <c r="K349" i="4"/>
  <c r="K129" i="4"/>
  <c r="K7" i="4"/>
  <c r="K405" i="4"/>
  <c r="K289" i="4"/>
  <c r="K35" i="4"/>
  <c r="K433" i="4"/>
  <c r="K463" i="4"/>
  <c r="K69" i="4"/>
  <c r="K163" i="4"/>
  <c r="K538" i="4"/>
  <c r="K189" i="4"/>
  <c r="K279" i="4"/>
  <c r="K385" i="4"/>
  <c r="K417" i="4"/>
  <c r="K511" i="4"/>
  <c r="K202" i="4"/>
  <c r="K181" i="4"/>
  <c r="K170" i="4"/>
  <c r="K209" i="4"/>
  <c r="K67" i="4"/>
  <c r="K339" i="4"/>
  <c r="K413" i="4"/>
  <c r="K336" i="4"/>
  <c r="K320" i="4"/>
  <c r="K137" i="4"/>
  <c r="K384" i="4"/>
  <c r="K143" i="4"/>
  <c r="K401" i="4"/>
  <c r="K395" i="4"/>
  <c r="K379" i="4"/>
  <c r="K39" i="4"/>
  <c r="K447" i="4"/>
  <c r="K465" i="4"/>
  <c r="K323" i="4"/>
  <c r="K9" i="4"/>
  <c r="K28" i="4"/>
  <c r="K424" i="4"/>
  <c r="K145" i="4"/>
  <c r="K8" i="4"/>
  <c r="K311" i="4"/>
  <c r="K468" i="4"/>
  <c r="K58" i="4"/>
  <c r="K431" i="4"/>
  <c r="K46" i="4"/>
  <c r="K45" i="4"/>
  <c r="K364" i="4"/>
  <c r="K95" i="4"/>
  <c r="K416" i="4"/>
  <c r="K429" i="4"/>
  <c r="K287" i="4"/>
  <c r="K359" i="4"/>
  <c r="K276" i="4"/>
  <c r="K106" i="4"/>
  <c r="K371" i="4"/>
  <c r="K286" i="4"/>
  <c r="K66" i="4"/>
  <c r="K3" i="4"/>
  <c r="K61" i="4"/>
  <c r="K155" i="4"/>
  <c r="K123" i="4"/>
  <c r="K153" i="4"/>
  <c r="K264" i="4"/>
  <c r="K167" i="4"/>
  <c r="K525" i="4"/>
  <c r="K260" i="4"/>
  <c r="K370" i="4"/>
  <c r="K253" i="4"/>
  <c r="K454" i="4"/>
  <c r="K108" i="4"/>
  <c r="K354" i="4"/>
  <c r="K88" i="4"/>
  <c r="K388" i="4"/>
  <c r="K506" i="4"/>
  <c r="K529" i="4"/>
  <c r="K200" i="4"/>
  <c r="K509" i="4"/>
  <c r="K523" i="4"/>
  <c r="K232" i="4"/>
  <c r="K179" i="4"/>
  <c r="K212" i="4"/>
  <c r="K230" i="4"/>
  <c r="K494" i="4"/>
  <c r="K533" i="4"/>
  <c r="K216" i="4"/>
  <c r="K499" i="4"/>
  <c r="K207" i="4"/>
  <c r="K545" i="4"/>
  <c r="K86" i="4"/>
  <c r="K19" i="4"/>
  <c r="K132" i="4"/>
  <c r="K313" i="4"/>
  <c r="K270" i="4"/>
  <c r="K484" i="4"/>
  <c r="K229" i="4"/>
  <c r="K42" i="4"/>
  <c r="K378" i="4"/>
  <c r="K478" i="4"/>
  <c r="K319" i="4"/>
  <c r="K16" i="4"/>
  <c r="K383" i="4"/>
  <c r="K142" i="4"/>
  <c r="K400" i="4"/>
  <c r="K331" i="4"/>
  <c r="K80" i="4"/>
  <c r="K34" i="4"/>
  <c r="K436" i="4"/>
  <c r="K10" i="4"/>
  <c r="K322" i="4"/>
  <c r="K74" i="4"/>
  <c r="K470" i="4"/>
  <c r="K441" i="4"/>
  <c r="K144" i="4"/>
  <c r="K119" i="4"/>
  <c r="K310" i="4"/>
  <c r="K467" i="4"/>
  <c r="K457" i="4"/>
  <c r="K415" i="4"/>
  <c r="K307" i="4"/>
  <c r="K300" i="4"/>
  <c r="K446" i="4"/>
  <c r="K363" i="4"/>
  <c r="K372" i="4"/>
  <c r="K44" i="4"/>
  <c r="K194" i="4"/>
  <c r="K151" i="4"/>
  <c r="K275" i="4"/>
  <c r="K268" i="4"/>
  <c r="K111" i="4"/>
  <c r="K438" i="4"/>
  <c r="K285" i="4"/>
  <c r="K133" i="4"/>
  <c r="K141" i="4"/>
  <c r="K60" i="4"/>
  <c r="K105" i="4"/>
  <c r="K375" i="4"/>
  <c r="K237" i="4"/>
  <c r="K263" i="4"/>
  <c r="K150" i="4"/>
  <c r="K518" i="4"/>
  <c r="K259" i="4"/>
  <c r="K369" i="4"/>
  <c r="K252" i="4"/>
  <c r="K459" i="4"/>
  <c r="K110" i="4"/>
  <c r="K94" i="4"/>
  <c r="K87" i="4"/>
  <c r="K333" i="4"/>
  <c r="K528" i="4"/>
  <c r="K510" i="4"/>
  <c r="K204" i="4"/>
  <c r="K206" i="4"/>
  <c r="K228" i="4"/>
  <c r="K222" i="4"/>
  <c r="K211" i="4"/>
  <c r="K180" i="4"/>
  <c r="K493" i="4"/>
  <c r="K491" i="4"/>
  <c r="K498" i="4"/>
  <c r="K487" i="4"/>
  <c r="K503" i="4"/>
  <c r="K544" i="4"/>
  <c r="K68" i="4"/>
  <c r="K386" i="4"/>
  <c r="K419" i="4"/>
  <c r="K284" i="4"/>
  <c r="K357" i="4"/>
  <c r="K140" i="4"/>
  <c r="K59" i="4"/>
  <c r="K30" i="4"/>
  <c r="K374" i="4"/>
  <c r="K262" i="4"/>
  <c r="K75" i="4"/>
  <c r="K390" i="4"/>
  <c r="K258" i="4"/>
  <c r="K420" i="4"/>
  <c r="K251" i="4"/>
  <c r="K453" i="4"/>
  <c r="K337" i="4"/>
  <c r="K92" i="4"/>
  <c r="K85" i="4"/>
  <c r="K425" i="4"/>
  <c r="K482" i="4"/>
  <c r="K527" i="4"/>
  <c r="K235" i="4"/>
  <c r="K178" i="4"/>
  <c r="K205" i="4"/>
  <c r="K195" i="4"/>
  <c r="K174" i="4"/>
  <c r="K488" i="4"/>
  <c r="K220" i="4"/>
  <c r="K492" i="4"/>
  <c r="K236" i="4"/>
  <c r="K248" i="4"/>
  <c r="K486" i="4"/>
  <c r="K187" i="4"/>
  <c r="K543" i="4"/>
  <c r="K408" i="4"/>
  <c r="K23" i="4"/>
  <c r="K41" i="4"/>
  <c r="K485" i="4"/>
  <c r="K147" i="4"/>
  <c r="K302" i="4"/>
  <c r="K169" i="4"/>
  <c r="K344" i="4"/>
  <c r="K318" i="4"/>
  <c r="K22" i="4"/>
  <c r="K444" i="4"/>
  <c r="K427" i="4"/>
  <c r="K33" i="4"/>
  <c r="K440" i="4"/>
  <c r="K93" i="4"/>
  <c r="K112" i="4"/>
  <c r="K73" i="4"/>
  <c r="K353" i="4"/>
  <c r="K203" i="4"/>
  <c r="K348" i="4"/>
  <c r="K37" i="4"/>
  <c r="K309" i="4"/>
  <c r="K450" i="4"/>
  <c r="K456" i="4"/>
  <c r="K56" i="4"/>
  <c r="K306" i="4"/>
  <c r="K299" i="4"/>
  <c r="K50" i="4"/>
  <c r="K362" i="4"/>
  <c r="K26" i="4"/>
  <c r="K293" i="4"/>
  <c r="K63" i="4"/>
  <c r="K101" i="4"/>
  <c r="K274" i="4"/>
  <c r="K267" i="4"/>
  <c r="K345" i="4"/>
  <c r="K109" i="4"/>
  <c r="K526" i="4"/>
  <c r="K17" i="4"/>
  <c r="K317" i="4"/>
  <c r="K15" i="4"/>
  <c r="K381" i="4"/>
  <c r="K81" i="4"/>
  <c r="K398" i="4"/>
  <c r="K373" i="4"/>
  <c r="K409" i="4"/>
  <c r="K346" i="4"/>
  <c r="K439" i="4"/>
  <c r="K367" i="4"/>
  <c r="K394" i="4"/>
  <c r="K49" i="4"/>
  <c r="K352" i="4"/>
  <c r="K165" i="4"/>
  <c r="K334" i="4"/>
  <c r="K422" i="4"/>
  <c r="K308" i="4"/>
  <c r="K476" i="4"/>
  <c r="K435" i="4"/>
  <c r="K157" i="4"/>
  <c r="K305" i="4"/>
  <c r="K298" i="4"/>
  <c r="K5" i="4"/>
  <c r="K361" i="4"/>
  <c r="K72" i="4"/>
  <c r="K292" i="4"/>
  <c r="K332" i="4"/>
  <c r="K99" i="4"/>
  <c r="K273" i="4"/>
  <c r="K193" i="4"/>
  <c r="K103" i="4"/>
  <c r="K134" i="4"/>
  <c r="K283" i="4"/>
  <c r="K412" i="4"/>
  <c r="K139" i="4"/>
  <c r="K116" i="4"/>
  <c r="K29" i="4"/>
  <c r="K48" i="4"/>
  <c r="K329" i="4"/>
  <c r="K261" i="4"/>
  <c r="K225" i="4"/>
  <c r="K507" i="4"/>
  <c r="K257" i="4"/>
  <c r="K152" i="4"/>
  <c r="K250" i="4"/>
  <c r="K452" i="4"/>
  <c r="K115" i="4"/>
  <c r="K83" i="4"/>
  <c r="K84" i="4"/>
  <c r="K149" i="4"/>
  <c r="K148" i="4"/>
  <c r="K184" i="4"/>
  <c r="K426" i="4"/>
  <c r="K130" i="4"/>
  <c r="K175" i="4"/>
  <c r="K535" i="4"/>
  <c r="K215" i="4"/>
  <c r="K227" i="4"/>
  <c r="K239" i="4"/>
  <c r="K517" i="4"/>
  <c r="K221" i="4"/>
  <c r="K247" i="4"/>
  <c r="K428" i="4"/>
  <c r="K224" i="4"/>
  <c r="K542" i="4"/>
  <c r="K547" i="4"/>
  <c r="K445" i="4"/>
  <c r="K199" i="4"/>
  <c r="K32" i="4"/>
  <c r="K472" i="4"/>
  <c r="K382" i="4"/>
  <c r="K399" i="4"/>
  <c r="K343" i="4"/>
  <c r="K278" i="4"/>
  <c r="K138" i="4"/>
  <c r="K176" i="4"/>
  <c r="K316" i="4"/>
  <c r="K14" i="4"/>
  <c r="K474" i="4"/>
  <c r="K12" i="4"/>
  <c r="K397" i="4"/>
  <c r="K423" i="4"/>
  <c r="K407" i="4"/>
  <c r="K100" i="4"/>
  <c r="K79" i="4"/>
  <c r="K471" i="4"/>
  <c r="K393" i="4"/>
  <c r="K38" i="4"/>
  <c r="K351" i="4"/>
  <c r="K54" i="4"/>
  <c r="K477" i="4"/>
  <c r="K47" i="4"/>
  <c r="K173" i="4"/>
  <c r="K475" i="4"/>
  <c r="K57" i="4"/>
  <c r="K120" i="4"/>
  <c r="K304" i="4"/>
  <c r="K297" i="4"/>
  <c r="K65" i="4"/>
  <c r="K36" i="4"/>
  <c r="K71" i="4"/>
  <c r="K291" i="4"/>
  <c r="K25" i="4"/>
  <c r="K4" i="4"/>
  <c r="K272" i="4"/>
  <c r="K451" i="4"/>
  <c r="K31" i="4"/>
  <c r="K128" i="4"/>
  <c r="K282" i="4"/>
  <c r="K473" i="4"/>
  <c r="K356" i="4"/>
  <c r="K335" i="4"/>
  <c r="K27" i="4"/>
  <c r="K154" i="4"/>
  <c r="K328" i="4"/>
  <c r="K190" i="4"/>
  <c r="K97" i="4"/>
  <c r="K256" i="4"/>
  <c r="K198" i="4"/>
  <c r="K249" i="4"/>
  <c r="K448" i="4"/>
  <c r="K104" i="4"/>
  <c r="K78" i="4"/>
  <c r="K82" i="4"/>
  <c r="K505" i="4"/>
  <c r="K512" i="4"/>
  <c r="K240" i="4"/>
  <c r="K183" i="4"/>
  <c r="K196" i="4"/>
  <c r="K534" i="4"/>
  <c r="K495" i="4"/>
  <c r="K496" i="4"/>
  <c r="K238" i="4"/>
  <c r="K516" i="4"/>
  <c r="K531" i="4"/>
  <c r="K246" i="4"/>
  <c r="K501" i="4"/>
  <c r="K223" i="4"/>
  <c r="K541" i="4"/>
  <c r="K479" i="4"/>
  <c r="K461" i="4"/>
  <c r="K392" i="4"/>
  <c r="K295" i="4"/>
  <c r="K98" i="4"/>
  <c r="K182" i="4"/>
  <c r="K342" i="4"/>
  <c r="K515" i="4"/>
  <c r="K20" i="4"/>
  <c r="K410" i="4"/>
  <c r="K315" i="4"/>
  <c r="K13" i="4"/>
  <c r="K442" i="4"/>
  <c r="K404" i="4"/>
  <c r="K11" i="4"/>
  <c r="K330" i="4"/>
  <c r="K96" i="4"/>
  <c r="K462" i="4"/>
  <c r="K127" i="4"/>
  <c r="K102" i="4"/>
  <c r="K490" i="4"/>
  <c r="K418" i="4"/>
  <c r="K350" i="4"/>
  <c r="K53" i="4"/>
  <c r="K460" i="4"/>
  <c r="K314" i="4"/>
  <c r="K172" i="4"/>
  <c r="K135" i="4"/>
  <c r="K158" i="4"/>
  <c r="K376" i="4"/>
  <c r="K303" i="4"/>
  <c r="K296" i="4"/>
  <c r="K64" i="4"/>
  <c r="K360" i="4"/>
  <c r="K52" i="4"/>
  <c r="K290" i="4"/>
  <c r="K24" i="4"/>
  <c r="K414" i="4"/>
  <c r="K271" i="4"/>
  <c r="K327" i="4"/>
  <c r="K434" i="4"/>
  <c r="K358" i="4"/>
  <c r="K281" i="4"/>
  <c r="K161" i="4"/>
  <c r="K521" i="4"/>
  <c r="K70" i="4"/>
  <c r="K466" i="4"/>
  <c r="K164" i="4"/>
  <c r="K218" i="4"/>
  <c r="K160" i="4"/>
  <c r="K242" i="4"/>
  <c r="K255" i="4"/>
  <c r="K197" i="4"/>
  <c r="K188" i="4"/>
  <c r="K233" i="4"/>
  <c r="K51" i="4"/>
  <c r="K91" i="4"/>
  <c r="K537" i="4"/>
  <c r="K114" i="4"/>
  <c r="K508" i="4"/>
  <c r="K514" i="4"/>
  <c r="K219" i="4"/>
  <c r="K504" i="4"/>
  <c r="K234" i="4"/>
  <c r="K186" i="4"/>
  <c r="K500" i="4"/>
  <c r="K171" i="4"/>
  <c r="K489" i="4"/>
  <c r="K481" i="4"/>
  <c r="K530" i="4"/>
  <c r="K245" i="4"/>
  <c r="K210" i="4"/>
  <c r="K177" i="4"/>
  <c r="K540" i="4"/>
</calcChain>
</file>

<file path=xl/sharedStrings.xml><?xml version="1.0" encoding="utf-8"?>
<sst xmlns="http://schemas.openxmlformats.org/spreadsheetml/2006/main" count="30108" uniqueCount="10940">
  <si>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</si>
  <si>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</si>
  <si>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</si>
  <si>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</si>
  <si>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</si>
  <si>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</si>
  <si>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</si>
  <si>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</si>
  <si>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</si>
  <si>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</si>
  <si>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</si>
  <si>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</si>
  <si>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</si>
  <si>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NC_006814.3</t>
  </si>
  <si>
    <t>plus</t>
  </si>
  <si>
    <t>chromosomal replication initiator protein DnaA</t>
  </si>
  <si>
    <t>dnaA</t>
  </si>
  <si>
    <t>protein-coding</t>
  </si>
  <si>
    <t>DNA polymerase III subunit beta</t>
  </si>
  <si>
    <t>dnaN</t>
  </si>
  <si>
    <t>S4 domain-containing protein YaaA</t>
  </si>
  <si>
    <t>yaaA</t>
  </si>
  <si>
    <t>DNA replication/repair protein RecF</t>
  </si>
  <si>
    <t>recF</t>
  </si>
  <si>
    <t>DNA topoisomerase (ATP-hydrolyzing) subunit B</t>
  </si>
  <si>
    <t>gyrB</t>
  </si>
  <si>
    <t>DNA gyrase subunit A</t>
  </si>
  <si>
    <t>gyrA</t>
  </si>
  <si>
    <t>30S ribosomal protein S6</t>
  </si>
  <si>
    <t>rpsF</t>
  </si>
  <si>
    <t>single-stranded DNA-binding protein</t>
  </si>
  <si>
    <t>30S ribosomal protein S18</t>
  </si>
  <si>
    <t>rpsR</t>
  </si>
  <si>
    <t>DHH family phosphoesterase</t>
  </si>
  <si>
    <t>50S ribosomal protein L9</t>
  </si>
  <si>
    <t>rplI</t>
  </si>
  <si>
    <t>replicative DNA helicase</t>
  </si>
  <si>
    <t>dnaB</t>
  </si>
  <si>
    <t>DegV family protein</t>
  </si>
  <si>
    <t>ROK family protein</t>
  </si>
  <si>
    <t>CsbD family protein</t>
  </si>
  <si>
    <t>GlsB/YeaQ/YmgE family stress response membrane protein</t>
  </si>
  <si>
    <t>minus</t>
  </si>
  <si>
    <t>tRNA-Thr</t>
  </si>
  <si>
    <t>tRNA</t>
  </si>
  <si>
    <t>hypothetical protein</t>
  </si>
  <si>
    <t>AbrB/MazE/SpoVT family DNA-binding domain-containing protein</t>
  </si>
  <si>
    <t>type II toxin-antitoxin system death-on-curing family toxin</t>
  </si>
  <si>
    <t>C69 family dipeptidase</t>
  </si>
  <si>
    <t>LPXTG cell wall anchor domain-containing protein</t>
  </si>
  <si>
    <t>ECF transporter S component</t>
  </si>
  <si>
    <t>uncharacterized gene</t>
  </si>
  <si>
    <t>pseudogene</t>
  </si>
  <si>
    <t>AI-2E family transporter</t>
  </si>
  <si>
    <t>SGNH/GDSL hydrolase family protein</t>
  </si>
  <si>
    <t>ATP-binding cassette domain-containing protein</t>
  </si>
  <si>
    <t>tryptophan ABC transporter substrate-binding protein</t>
  </si>
  <si>
    <t>trpX</t>
  </si>
  <si>
    <t>Cof-type HAD-IIB family hydrolase</t>
  </si>
  <si>
    <t>exodeoxyribonuclease III</t>
  </si>
  <si>
    <t>amino acid permease</t>
  </si>
  <si>
    <t>DEAD/DEAH box helicase</t>
  </si>
  <si>
    <t>serine hydrolase domain-containing protein</t>
  </si>
  <si>
    <t>peptide deformylase</t>
  </si>
  <si>
    <t>16S ribosomal RNA</t>
  </si>
  <si>
    <t>rRNA</t>
  </si>
  <si>
    <t>23S ribosomal RNA</t>
  </si>
  <si>
    <t>5S ribosomal RNA</t>
  </si>
  <si>
    <t>rrf</t>
  </si>
  <si>
    <t>tRNA-Asn</t>
  </si>
  <si>
    <t>LysR family transcriptional regulator</t>
  </si>
  <si>
    <t>lysophospholipid acyltransferase family protein</t>
  </si>
  <si>
    <t>ABC transporter ATP-binding protein</t>
  </si>
  <si>
    <t>tRNA-Lys</t>
  </si>
  <si>
    <t>response regulator YycF</t>
  </si>
  <si>
    <t>yycF</t>
  </si>
  <si>
    <t>MBL fold metallo-hydrolase</t>
  </si>
  <si>
    <t>23S rRNA (pseudouridine(1915)-N(3))-methyltransferase RlmH</t>
  </si>
  <si>
    <t>rlmH</t>
  </si>
  <si>
    <t>helix-turn-helix transcriptional regulator</t>
  </si>
  <si>
    <t>CPBP family intramembrane glutamic endopeptidase</t>
  </si>
  <si>
    <t>energy-coupling factor transporter transmembrane component T</t>
  </si>
  <si>
    <t>AraC family transcriptional regulator</t>
  </si>
  <si>
    <t>zinc metalloprotease HtpX</t>
  </si>
  <si>
    <t>htpX</t>
  </si>
  <si>
    <t>LemA family protein</t>
  </si>
  <si>
    <t>amino acid ABC transporter ATP-binding protein</t>
  </si>
  <si>
    <t>ABC transporter substrate-binding protein/permease</t>
  </si>
  <si>
    <t>cardiolipin synthase</t>
  </si>
  <si>
    <t>cls</t>
  </si>
  <si>
    <t>alpha/beta hydrolase</t>
  </si>
  <si>
    <t>DUF1002 domain-containing protein</t>
  </si>
  <si>
    <t>ATP-binding protein</t>
  </si>
  <si>
    <t>ribose-phosphate diphosphokinase</t>
  </si>
  <si>
    <t>TetR/AcrR family transcriptional regulator</t>
  </si>
  <si>
    <t>MerR family transcriptional regulator</t>
  </si>
  <si>
    <t>N-acetylglucosamine-6-phosphate deacetylase</t>
  </si>
  <si>
    <t>nagA</t>
  </si>
  <si>
    <t>PTS sugar transporter subunit IIA</t>
  </si>
  <si>
    <t>universal stress protein</t>
  </si>
  <si>
    <t>DNA-3-methyladenine glycosylase I</t>
  </si>
  <si>
    <t>metallophosphoesterase</t>
  </si>
  <si>
    <t>anaerobic ribonucleoside-triphosphate reductase</t>
  </si>
  <si>
    <t>nrdD</t>
  </si>
  <si>
    <t>anaerobic ribonucleoside-triphosphate reductase activating protein</t>
  </si>
  <si>
    <t>nrdG</t>
  </si>
  <si>
    <t>MFS transporter</t>
  </si>
  <si>
    <t>LCP family protein</t>
  </si>
  <si>
    <t>LTA synthase family protein</t>
  </si>
  <si>
    <t>tyrosine--tRNA ligase</t>
  </si>
  <si>
    <t>tyrS</t>
  </si>
  <si>
    <t>peptide ABC transporter substrate-binding protein</t>
  </si>
  <si>
    <t>IMP dehydrogenase</t>
  </si>
  <si>
    <t>ABC transporter permease</t>
  </si>
  <si>
    <t>transcription elongation factor GreA</t>
  </si>
  <si>
    <t>greA</t>
  </si>
  <si>
    <t>tRNA-Gly</t>
  </si>
  <si>
    <t>tryptophan--tRNA ligase</t>
  </si>
  <si>
    <t>trpS</t>
  </si>
  <si>
    <t>methionine--tRNA ligase</t>
  </si>
  <si>
    <t>metG</t>
  </si>
  <si>
    <t>TatD family hydrolase</t>
  </si>
  <si>
    <t>ribonuclease M5</t>
  </si>
  <si>
    <t>rnmV</t>
  </si>
  <si>
    <t>16S rRNA (adenine(1518)-N(6)/adenine(1519)-N(6))-dimethyltransferase RsmA</t>
  </si>
  <si>
    <t>rsmA</t>
  </si>
  <si>
    <t>Veg family protein</t>
  </si>
  <si>
    <t>pur operon repressor</t>
  </si>
  <si>
    <t>purR</t>
  </si>
  <si>
    <t>bifunctional UDP-N-acetylglucosamine diphosphorylase/glucosamine-1-phosphate N-acetyltransferase GlmU</t>
  </si>
  <si>
    <t>glmU</t>
  </si>
  <si>
    <t>MurR/RpiR family transcriptional regulator</t>
  </si>
  <si>
    <t>PTS sugar transporter subunit IIC</t>
  </si>
  <si>
    <t>HD domain-containing protein</t>
  </si>
  <si>
    <t>DUF1934 domain-containing protein</t>
  </si>
  <si>
    <t>DNA-directed RNA polymerase subunit delta</t>
  </si>
  <si>
    <t>rpoE</t>
  </si>
  <si>
    <t>CTP synthase</t>
  </si>
  <si>
    <t>UDP-N-acetylglucosamine 1-carboxyvinyltransferase</t>
  </si>
  <si>
    <t>helix-turn-helix domain-containing protein</t>
  </si>
  <si>
    <t>xanthine phosphoribosyltransferase</t>
  </si>
  <si>
    <t>glutamine-hydrolyzing GMP synthase</t>
  </si>
  <si>
    <t>guaA</t>
  </si>
  <si>
    <t>putative holin-like toxin</t>
  </si>
  <si>
    <t>GNAT family N-acetyltransferase</t>
  </si>
  <si>
    <t>methylated-DNA--[protein]-cysteine S-methyltransferase</t>
  </si>
  <si>
    <t>serine hydroxymethyltransferase</t>
  </si>
  <si>
    <t>glyA</t>
  </si>
  <si>
    <t>APC family permease</t>
  </si>
  <si>
    <t>type B 50S ribosomal protein L31</t>
  </si>
  <si>
    <t>UDP-N-acetylmuramoyl-tripeptide--D-alanyl-D-alanine ligase</t>
  </si>
  <si>
    <t>holo-ACP synthase</t>
  </si>
  <si>
    <t>acpS</t>
  </si>
  <si>
    <t>alanine racemase</t>
  </si>
  <si>
    <t>alr</t>
  </si>
  <si>
    <t>L-lactate dehydrogenase</t>
  </si>
  <si>
    <t>aminoacyl-tRNA hydrolase</t>
  </si>
  <si>
    <t>pth</t>
  </si>
  <si>
    <t>transcription-repair coupling factor</t>
  </si>
  <si>
    <t>mfd</t>
  </si>
  <si>
    <t>RNA-binding S4 domain-containing protein</t>
  </si>
  <si>
    <t>S1 RNA-binding domain-containing protein</t>
  </si>
  <si>
    <t>tRNA lysidine(34) synthetase TilS</t>
  </si>
  <si>
    <t>tilS</t>
  </si>
  <si>
    <t>ATP-dependent zinc metalloprotease FtsH</t>
  </si>
  <si>
    <t>ftsH</t>
  </si>
  <si>
    <t>Hsp33 family molecular chaperone HslO</t>
  </si>
  <si>
    <t>hslO</t>
  </si>
  <si>
    <t>tRNA dihydrouridine synthase DusB</t>
  </si>
  <si>
    <t>dusB</t>
  </si>
  <si>
    <t>lysine--tRNA ligase</t>
  </si>
  <si>
    <t>lysS</t>
  </si>
  <si>
    <t>tRNA-Pro</t>
  </si>
  <si>
    <t>GAF domain-containing protein</t>
  </si>
  <si>
    <t>ATP-dependent Clp protease ATP-binding subunit</t>
  </si>
  <si>
    <t>DNA-directed RNA polymerase subunit beta</t>
  </si>
  <si>
    <t>DNA-directed RNA polymerase subunit beta'</t>
  </si>
  <si>
    <t>rpoC</t>
  </si>
  <si>
    <t>30S ribosomal protein S12</t>
  </si>
  <si>
    <t>rpsL</t>
  </si>
  <si>
    <t>30S ribosomal protein S7</t>
  </si>
  <si>
    <t>rpsG</t>
  </si>
  <si>
    <t>elongation factor G</t>
  </si>
  <si>
    <t>fusA</t>
  </si>
  <si>
    <t>30S ribosomal protein S10</t>
  </si>
  <si>
    <t>rpsJ</t>
  </si>
  <si>
    <t>50S ribosomal protein L3</t>
  </si>
  <si>
    <t>rplC</t>
  </si>
  <si>
    <t>50S ribosomal protein L4</t>
  </si>
  <si>
    <t>rplD</t>
  </si>
  <si>
    <t>50S ribosomal protein L23</t>
  </si>
  <si>
    <t>50S ribosomal protein L2</t>
  </si>
  <si>
    <t>rplB</t>
  </si>
  <si>
    <t>rpsS</t>
  </si>
  <si>
    <t>50S ribosomal protein L22</t>
  </si>
  <si>
    <t>rplV</t>
  </si>
  <si>
    <t>30S ribosomal protein S3</t>
  </si>
  <si>
    <t>rpsC</t>
  </si>
  <si>
    <t>50S ribosomal protein L16</t>
  </si>
  <si>
    <t>rplP</t>
  </si>
  <si>
    <t>50S ribosomal protein L29</t>
  </si>
  <si>
    <t>rpmC</t>
  </si>
  <si>
    <t>30S ribosomal protein S17</t>
  </si>
  <si>
    <t>rpsQ</t>
  </si>
  <si>
    <t>50S ribosomal protein L14</t>
  </si>
  <si>
    <t>rplN</t>
  </si>
  <si>
    <t>50S ribosomal protein L24</t>
  </si>
  <si>
    <t>rplX</t>
  </si>
  <si>
    <t>50S ribosomal protein L5</t>
  </si>
  <si>
    <t>rplE</t>
  </si>
  <si>
    <t>type Z 30S ribosomal protein S14</t>
  </si>
  <si>
    <t>30S ribosomal protein S8</t>
  </si>
  <si>
    <t>rpsH</t>
  </si>
  <si>
    <t>50S ribosomal protein L6</t>
  </si>
  <si>
    <t>rplF</t>
  </si>
  <si>
    <t>50S ribosomal protein L18</t>
  </si>
  <si>
    <t>rplR</t>
  </si>
  <si>
    <t>30S ribosomal protein S5</t>
  </si>
  <si>
    <t>rpsE</t>
  </si>
  <si>
    <t>50S ribosomal protein L30</t>
  </si>
  <si>
    <t>rpmD</t>
  </si>
  <si>
    <t>50S ribosomal protein L15</t>
  </si>
  <si>
    <t>rplO</t>
  </si>
  <si>
    <t>preprotein translocase subunit SecY</t>
  </si>
  <si>
    <t>secY</t>
  </si>
  <si>
    <t>adenylate kinase</t>
  </si>
  <si>
    <t>translation initiation factor IF-1</t>
  </si>
  <si>
    <t>infA</t>
  </si>
  <si>
    <t>50S ribosomal protein L36</t>
  </si>
  <si>
    <t>rpmJ</t>
  </si>
  <si>
    <t>30S ribosomal protein S13</t>
  </si>
  <si>
    <t>rpsM</t>
  </si>
  <si>
    <t>30S ribosomal protein S11</t>
  </si>
  <si>
    <t>rpsK</t>
  </si>
  <si>
    <t>DNA-directed RNA polymerase subunit alpha</t>
  </si>
  <si>
    <t>50S ribosomal protein L17</t>
  </si>
  <si>
    <t>rplQ</t>
  </si>
  <si>
    <t>energy-coupling factor transporter ATPase</t>
  </si>
  <si>
    <t>tRNA pseudouridine(38-40) synthase TruA</t>
  </si>
  <si>
    <t>truA</t>
  </si>
  <si>
    <t>50S ribosomal protein L13</t>
  </si>
  <si>
    <t>rplM</t>
  </si>
  <si>
    <t>30S ribosomal protein S9</t>
  </si>
  <si>
    <t>rpsI</t>
  </si>
  <si>
    <t>site-specific integrase</t>
  </si>
  <si>
    <t>HAD hydrolase-like protein</t>
  </si>
  <si>
    <t>histidine phosphatase family protein</t>
  </si>
  <si>
    <t>cation diffusion facilitator family transporter</t>
  </si>
  <si>
    <t>AAA family ATPase</t>
  </si>
  <si>
    <t>aminopeptidase C</t>
  </si>
  <si>
    <t>pepC</t>
  </si>
  <si>
    <t>dUTP diphosphatase</t>
  </si>
  <si>
    <t>DNA repair protein RadA</t>
  </si>
  <si>
    <t>radA</t>
  </si>
  <si>
    <t>glutamate--tRNA ligase</t>
  </si>
  <si>
    <t>gltX</t>
  </si>
  <si>
    <t>cysteine--tRNA ligase</t>
  </si>
  <si>
    <t>cysS</t>
  </si>
  <si>
    <t>Mini-ribonuclease 3</t>
  </si>
  <si>
    <t>23S rRNA (guanosine(2251)-2'-O)-methyltransferase RlmB</t>
  </si>
  <si>
    <t>rlmB</t>
  </si>
  <si>
    <t>50S ribosomal protein L33</t>
  </si>
  <si>
    <t>rpmG</t>
  </si>
  <si>
    <t>preprotein translocase subunit SecE</t>
  </si>
  <si>
    <t>secE</t>
  </si>
  <si>
    <t>transcription termination/antitermination protein NusG</t>
  </si>
  <si>
    <t>nusG</t>
  </si>
  <si>
    <t>50S ribosomal protein L11</t>
  </si>
  <si>
    <t>rplK</t>
  </si>
  <si>
    <t>50S ribosomal protein L1</t>
  </si>
  <si>
    <t>rplA</t>
  </si>
  <si>
    <t>phosphate ABC transporter permease subunit PstC</t>
  </si>
  <si>
    <t>pstC</t>
  </si>
  <si>
    <t>phosphate ABC transporter permease PstA</t>
  </si>
  <si>
    <t>pstA</t>
  </si>
  <si>
    <t>phosphate ABC transporter ATP-binding protein PstB</t>
  </si>
  <si>
    <t>pstB</t>
  </si>
  <si>
    <t>phosphate signaling complex protein PhoU</t>
  </si>
  <si>
    <t>phoU</t>
  </si>
  <si>
    <t>50S ribosomal protein L10</t>
  </si>
  <si>
    <t>rplJ</t>
  </si>
  <si>
    <t>50S ribosomal protein L7/L12</t>
  </si>
  <si>
    <t>rplL</t>
  </si>
  <si>
    <t>tRNA adenosine(34) deaminase TadA</t>
  </si>
  <si>
    <t>tadA</t>
  </si>
  <si>
    <t>signal recognition particle sRNA small type</t>
  </si>
  <si>
    <t>ffs</t>
  </si>
  <si>
    <t>other</t>
  </si>
  <si>
    <t>DNA polymerase III subunit gamma/tau</t>
  </si>
  <si>
    <t>dnaX</t>
  </si>
  <si>
    <t>YbaB/EbfC family nucleoid-associated protein</t>
  </si>
  <si>
    <t>recombination mediator RecR</t>
  </si>
  <si>
    <t>recR</t>
  </si>
  <si>
    <t>dTMP kinase</t>
  </si>
  <si>
    <t>tmk</t>
  </si>
  <si>
    <t>DNA polymerase III subunit delta</t>
  </si>
  <si>
    <t>DNA replication initiation control protein YabA</t>
  </si>
  <si>
    <t>yabA</t>
  </si>
  <si>
    <t>16S rRNA (cytidine(1402)-2'-O)-methyltransferase</t>
  </si>
  <si>
    <t>rsmI</t>
  </si>
  <si>
    <t>acyl-ACP thioesterase domain-containing protein</t>
  </si>
  <si>
    <t>tRNA (adenosine(37)-N6)-threonylcarbamoyltransferase complex dimerization subunit type 1 TsaB</t>
  </si>
  <si>
    <t>tsaB</t>
  </si>
  <si>
    <t>ribosomal protein S18-alanine N-acetyltransferase</t>
  </si>
  <si>
    <t>rimI</t>
  </si>
  <si>
    <t>tRNA (adenosine(37)-N6)-threonylcarbamoyltransferase complex transferase subunit TsaD</t>
  </si>
  <si>
    <t>tsaD</t>
  </si>
  <si>
    <t>deoxyribose-phosphate aldolase</t>
  </si>
  <si>
    <t>deoC</t>
  </si>
  <si>
    <t>GntR family transcriptional regulator</t>
  </si>
  <si>
    <t>ABC-F family ATP-binding cassette domain-containing protein</t>
  </si>
  <si>
    <t>redox-sensing transcriptional repressor Rex</t>
  </si>
  <si>
    <t>LacI family DNA-binding transcriptional regulator</t>
  </si>
  <si>
    <t>sucrose-6-phosphate hydrolase</t>
  </si>
  <si>
    <t>sucrose-specific PTS transporter subunit IIBC</t>
  </si>
  <si>
    <t>co-chaperone GroES</t>
  </si>
  <si>
    <t>groES</t>
  </si>
  <si>
    <t>chaperonin GroEL</t>
  </si>
  <si>
    <t>groL</t>
  </si>
  <si>
    <t>DNA mismatch repair protein MutS</t>
  </si>
  <si>
    <t>mutS</t>
  </si>
  <si>
    <t>DNA mismatch repair endonuclease MutL</t>
  </si>
  <si>
    <t>mutL</t>
  </si>
  <si>
    <t>Holliday junction branch migration protein RuvA</t>
  </si>
  <si>
    <t>ruvA</t>
  </si>
  <si>
    <t>Holliday junction branch migration DNA helicase RuvB</t>
  </si>
  <si>
    <t>ruvB</t>
  </si>
  <si>
    <t>preprotein translocase subunit YajC</t>
  </si>
  <si>
    <t>yajC</t>
  </si>
  <si>
    <t>DNA polymerase IV</t>
  </si>
  <si>
    <t>dinB</t>
  </si>
  <si>
    <t>alanine--tRNA ligase</t>
  </si>
  <si>
    <t>alaS</t>
  </si>
  <si>
    <t>IreB family regulatory phosphoprotein</t>
  </si>
  <si>
    <t>Holliday junction resolvase RuvX</t>
  </si>
  <si>
    <t>ruvX</t>
  </si>
  <si>
    <t>DUF1292 domain-containing protein</t>
  </si>
  <si>
    <t>endonuclease MutS2</t>
  </si>
  <si>
    <t>thioredoxin</t>
  </si>
  <si>
    <t>trxA</t>
  </si>
  <si>
    <t>mscL</t>
  </si>
  <si>
    <t>glutamate racemase</t>
  </si>
  <si>
    <t>DUF948 domain-containing protein</t>
  </si>
  <si>
    <t>substrate-binding domain-containing protein</t>
  </si>
  <si>
    <t>YutD family protein</t>
  </si>
  <si>
    <t>TIGR01457 family HAD-type hydrolase</t>
  </si>
  <si>
    <t>TIGR01906 family membrane protein</t>
  </si>
  <si>
    <t>NAD(P)/FAD-dependent oxidoreductase</t>
  </si>
  <si>
    <t>tRNA-Ile</t>
  </si>
  <si>
    <t>tRNA-Ala</t>
  </si>
  <si>
    <t>tRNA-Val</t>
  </si>
  <si>
    <t>tRNA-Leu</t>
  </si>
  <si>
    <t>tRNA-Arg</t>
  </si>
  <si>
    <t>tRNA-Met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</si>
  <si>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</si>
  <si>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</si>
  <si>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</si>
  <si>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</si>
  <si>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</si>
  <si>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</si>
  <si>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</si>
  <si>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</si>
  <si>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</si>
  <si>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glycosyltransferase family 4 protein</t>
  </si>
  <si>
    <t>preprotein translocase subunit SecG</t>
  </si>
  <si>
    <t>secG</t>
  </si>
  <si>
    <t>ribonuclease R</t>
  </si>
  <si>
    <t>rnr</t>
  </si>
  <si>
    <t>SsrA-binding protein SmpB</t>
  </si>
  <si>
    <t>smpB</t>
  </si>
  <si>
    <t>PTS mannose/fructose/sorbose transporter subunit IIC</t>
  </si>
  <si>
    <t>PTS system mannose/fructose/sorbose family transporter subunit IID</t>
  </si>
  <si>
    <t>DUF956 family protein</t>
  </si>
  <si>
    <t>bifunctional acetaldehyde-CoA/alcohol dehydrogenase</t>
  </si>
  <si>
    <t>adhE</t>
  </si>
  <si>
    <t>glutamine--fructose-6-phosphate transaminase (isomerizing)</t>
  </si>
  <si>
    <t>glmS</t>
  </si>
  <si>
    <t>acetate kinase</t>
  </si>
  <si>
    <t>DNA adenine methylase</t>
  </si>
  <si>
    <t>tyrosine-type recombinase/integrase</t>
  </si>
  <si>
    <t>SEC10/PgrA surface exclusion domain-containing protein</t>
  </si>
  <si>
    <t>sugar ABC transporter permease</t>
  </si>
  <si>
    <t>carbohydrate ABC transporter permease</t>
  </si>
  <si>
    <t>nicotinate phosphoribosyltransferase</t>
  </si>
  <si>
    <t>ammonia-dependent NAD(+) synthetase</t>
  </si>
  <si>
    <t>nadE</t>
  </si>
  <si>
    <t>oligosaccharide flippase family protein</t>
  </si>
  <si>
    <t>SprT family protein</t>
  </si>
  <si>
    <t>glycoside hydrolase family 73 protein</t>
  </si>
  <si>
    <t>DNA helicase PcrA</t>
  </si>
  <si>
    <t>pcrA</t>
  </si>
  <si>
    <t>NAD-dependent DNA ligase LigA</t>
  </si>
  <si>
    <t>ligA</t>
  </si>
  <si>
    <t>Asp-tRNA(Asn)/Glu-tRNA(Gln) amidotransferase subunit GatC</t>
  </si>
  <si>
    <t>gatC</t>
  </si>
  <si>
    <t>Asp-tRNA(Asn)/Glu-tRNA(Gln) amidotransferase subunit GatA</t>
  </si>
  <si>
    <t>gatA</t>
  </si>
  <si>
    <t>Asp-tRNA(Asn)/Glu-tRNA(Gln) amidotransferase subunit GatB</t>
  </si>
  <si>
    <t>gatB</t>
  </si>
  <si>
    <t>23S rRNA (uracil(1939)-C(5))-methyltransferase RlmD</t>
  </si>
  <si>
    <t>rlmD</t>
  </si>
  <si>
    <t>heavy metal translocating P-type ATPase</t>
  </si>
  <si>
    <t>Crp/Fnr family transcriptional regulator</t>
  </si>
  <si>
    <t>uracil-DNA glycosylase family protein</t>
  </si>
  <si>
    <t>phage portal protein</t>
  </si>
  <si>
    <t>aldo/keto reductase</t>
  </si>
  <si>
    <t>bifunctional pyr operon transcriptional regulator/uracil phosphoribosyltransferase PyrR</t>
  </si>
  <si>
    <t>pyrR</t>
  </si>
  <si>
    <t>transporter substrate-binding domain-containing protein</t>
  </si>
  <si>
    <t>uridine kinase</t>
  </si>
  <si>
    <t>udk</t>
  </si>
  <si>
    <t>amino acid ABC transporter permease</t>
  </si>
  <si>
    <t>extracellular solute-binding protein</t>
  </si>
  <si>
    <t>ribokinase</t>
  </si>
  <si>
    <t>rbsK</t>
  </si>
  <si>
    <t>ribose-5-phosphate isomerase RpiA</t>
  </si>
  <si>
    <t>rpiA</t>
  </si>
  <si>
    <t>KUP/HAK/KT family potassium transporter</t>
  </si>
  <si>
    <t>transcriptional regulator</t>
  </si>
  <si>
    <t>bacteriocin immunity protein</t>
  </si>
  <si>
    <t>DeoR/GlpR family DNA-binding transcription regulator</t>
  </si>
  <si>
    <t>GHKL domain-containing protein</t>
  </si>
  <si>
    <t>hemolysin family protein</t>
  </si>
  <si>
    <t>hypoxanthine phosphoribosyltransferase</t>
  </si>
  <si>
    <t>hpt</t>
  </si>
  <si>
    <t>IS3 family transposase</t>
  </si>
  <si>
    <t>PTS transporter subunit EIIC</t>
  </si>
  <si>
    <t>GtrA family protein</t>
  </si>
  <si>
    <t>YihY/virulence factor BrkB family protein</t>
  </si>
  <si>
    <t>UTP--glucose-1-phosphate uridylyltransferase GalU</t>
  </si>
  <si>
    <t>galU</t>
  </si>
  <si>
    <t>hydroxymethylglutaryl-CoA synthase</t>
  </si>
  <si>
    <t>recombination regulator RecX</t>
  </si>
  <si>
    <t>recX</t>
  </si>
  <si>
    <t>peptide chain release factor 3</t>
  </si>
  <si>
    <t>DUF1827 family protein</t>
  </si>
  <si>
    <t>phosphocarrier protein HPr</t>
  </si>
  <si>
    <t>phosphoenolpyruvate--protein phosphotransferase</t>
  </si>
  <si>
    <t>ptsP</t>
  </si>
  <si>
    <t>adaptor protein MecA</t>
  </si>
  <si>
    <t>CYTH domain-containing protein</t>
  </si>
  <si>
    <t>NAD kinase</t>
  </si>
  <si>
    <t>RluA family pseudouridine synthase</t>
  </si>
  <si>
    <t>PTS glucitol/sorbitol transporter subunit IIA</t>
  </si>
  <si>
    <t>tRNA (cytidine(34)-2'-O)-methyltransferase</t>
  </si>
  <si>
    <t>DUF1149 family protein</t>
  </si>
  <si>
    <t>SDR family NAD(P)-dependent oxidoreductase</t>
  </si>
  <si>
    <t>CDP-diacylglycerol--glycerol-3-phosphate 3-phosphatidyltransferase</t>
  </si>
  <si>
    <t>pgsA</t>
  </si>
  <si>
    <t>recombinase RecA</t>
  </si>
  <si>
    <t>recA</t>
  </si>
  <si>
    <t>ribonuclease Y</t>
  </si>
  <si>
    <t>YigZ family protein</t>
  </si>
  <si>
    <t>helicase-related protein</t>
  </si>
  <si>
    <t>ComF family protein</t>
  </si>
  <si>
    <t>preprotein translocase subunit SecA</t>
  </si>
  <si>
    <t>secA</t>
  </si>
  <si>
    <t>peptide chain release factor 2</t>
  </si>
  <si>
    <t>prfB</t>
  </si>
  <si>
    <t>HPr(Ser) kinase/phosphatase</t>
  </si>
  <si>
    <t>hprK</t>
  </si>
  <si>
    <t>prolipoprotein diacylglyceryl transferase</t>
  </si>
  <si>
    <t>lgt</t>
  </si>
  <si>
    <t>NAD(P)H-dependent glycerol-3-phosphate dehydrogenase</t>
  </si>
  <si>
    <t>thioredoxin-disulfide reductase</t>
  </si>
  <si>
    <t>trxB</t>
  </si>
  <si>
    <t>glucose-1-phosphate adenylyltransferase</t>
  </si>
  <si>
    <t>glucose-1-phosphate adenylyltransferase subunit GlgD</t>
  </si>
  <si>
    <t>glgD</t>
  </si>
  <si>
    <t>glycogen synthase GlgA</t>
  </si>
  <si>
    <t>glgA</t>
  </si>
  <si>
    <t>glycogen/starch/alpha-glucan phosphorylase</t>
  </si>
  <si>
    <t>glycoside hydrolase family 13 protein</t>
  </si>
  <si>
    <t>phospho-sugar mutase</t>
  </si>
  <si>
    <t>excinuclease ABC subunit UvrB</t>
  </si>
  <si>
    <t>uvrB</t>
  </si>
  <si>
    <t>excinuclease ABC subunit UvrA</t>
  </si>
  <si>
    <t>uvrA</t>
  </si>
  <si>
    <t>RNase adapter RapZ</t>
  </si>
  <si>
    <t>rapZ</t>
  </si>
  <si>
    <t>DNA-binding protein WhiA</t>
  </si>
  <si>
    <t>whiA</t>
  </si>
  <si>
    <t>type I glyceraldehyde-3-phosphate dehydrogenase</t>
  </si>
  <si>
    <t>gap</t>
  </si>
  <si>
    <t>phosphoglycerate kinase</t>
  </si>
  <si>
    <t>triose-phosphate isomerase</t>
  </si>
  <si>
    <t>tpiA</t>
  </si>
  <si>
    <t>uracil-DNA glycosylase</t>
  </si>
  <si>
    <t>phosphate acetyltransferase</t>
  </si>
  <si>
    <t>pta</t>
  </si>
  <si>
    <t>tRNA (adenosine(37)-N6)-threonylcarbamoyltransferase complex ATPase subunit type 1 TsaE</t>
  </si>
  <si>
    <t>tsaE</t>
  </si>
  <si>
    <t>3'-5' exonuclease</t>
  </si>
  <si>
    <t>UDP-N-acetylmuramate dehydrogenase</t>
  </si>
  <si>
    <t>murB</t>
  </si>
  <si>
    <t>ABC transporter substrate-binding protein</t>
  </si>
  <si>
    <t>diadenylate cyclase CdaA</t>
  </si>
  <si>
    <t>cdaA</t>
  </si>
  <si>
    <t>CdaR family protein</t>
  </si>
  <si>
    <t>phosphoglucosamine mutase</t>
  </si>
  <si>
    <t>glmM</t>
  </si>
  <si>
    <t>low molecular weight protein-tyrosine-phosphatase</t>
  </si>
  <si>
    <t>PRD domain-containing protein</t>
  </si>
  <si>
    <t>YebC/PmpR family DNA-binding transcriptional regulator</t>
  </si>
  <si>
    <t>competence type IV pilus ATPase ComGA</t>
  </si>
  <si>
    <t>comGA</t>
  </si>
  <si>
    <t>competence type IV pilus major pilin ComGC</t>
  </si>
  <si>
    <t>comGC</t>
  </si>
  <si>
    <t>class I SAM-dependent methyltransferase</t>
  </si>
  <si>
    <t>transfer-messenger RNA</t>
  </si>
  <si>
    <t>ssrA</t>
  </si>
  <si>
    <t>response regulator transcription factor</t>
  </si>
  <si>
    <t>glucose-6-phosphate isomerase</t>
  </si>
  <si>
    <t>thymidine kinase</t>
  </si>
  <si>
    <t>peptide chain release factor 1</t>
  </si>
  <si>
    <t>prfA</t>
  </si>
  <si>
    <t>peptide chain release factor N(5)-glutamine methyltransferase</t>
  </si>
  <si>
    <t>prmC</t>
  </si>
  <si>
    <t>L-threonylcarbamoyladenylate synthase</t>
  </si>
  <si>
    <t>uracil phosphoribosyltransferase</t>
  </si>
  <si>
    <t>upp</t>
  </si>
  <si>
    <t>F0F1 ATP synthase subunit A</t>
  </si>
  <si>
    <t>atpB</t>
  </si>
  <si>
    <t>F0F1 ATP synthase subunit C</t>
  </si>
  <si>
    <t>F0F1 ATP synthase subunit B</t>
  </si>
  <si>
    <t>atpF</t>
  </si>
  <si>
    <t>F0F1 ATP synthase subunit delta</t>
  </si>
  <si>
    <t>F0F1 ATP synthase subunit alpha</t>
  </si>
  <si>
    <t>atpA</t>
  </si>
  <si>
    <t>F0F1 ATP synthase subunit gamma</t>
  </si>
  <si>
    <t>F0F1 ATP synthase subunit beta</t>
  </si>
  <si>
    <t>atpD</t>
  </si>
  <si>
    <t>F0F1 ATP synthase subunit epsilon</t>
  </si>
  <si>
    <t>DUF1146 family protein</t>
  </si>
  <si>
    <t>membrane protein insertion efficiency factor YidD</t>
  </si>
  <si>
    <t>yidD</t>
  </si>
  <si>
    <t>DUF2969 domain-containing protein</t>
  </si>
  <si>
    <t>FtsW/RodA/SpoVE family cell cycle protein</t>
  </si>
  <si>
    <t>replication-associated recombination protein A</t>
  </si>
  <si>
    <t>30S ribosomal protein S4</t>
  </si>
  <si>
    <t>rpsD</t>
  </si>
  <si>
    <t>septation ring formation regulator EzrA</t>
  </si>
  <si>
    <t>ezrA</t>
  </si>
  <si>
    <t>cysteine desulfurase family protein</t>
  </si>
  <si>
    <t>tRNA uracil 4-sulfurtransferase ThiI</t>
  </si>
  <si>
    <t>thiI</t>
  </si>
  <si>
    <t>pseudouridine synthase</t>
  </si>
  <si>
    <t>valine--tRNA ligase</t>
  </si>
  <si>
    <t>radC</t>
  </si>
  <si>
    <t>rod shape-determining protein MreC</t>
  </si>
  <si>
    <t>mreC</t>
  </si>
  <si>
    <t>rod shape-determining protein MreD</t>
  </si>
  <si>
    <t>mreD</t>
  </si>
  <si>
    <t>DUF4044 domain-containing protein</t>
  </si>
  <si>
    <t>DUF3397 domain-containing protein</t>
  </si>
  <si>
    <t>16S rRNA (cytosine(1402)-N(4))-methyltransferase RsmH</t>
  </si>
  <si>
    <t>rsmH</t>
  </si>
  <si>
    <t>cell division protein FtsL</t>
  </si>
  <si>
    <t>ftsL</t>
  </si>
  <si>
    <t>phospho-N-acetylmuramoyl-pentapeptide-transferase</t>
  </si>
  <si>
    <t>mraY</t>
  </si>
  <si>
    <t>UDP-N-acetylmuramoyl-L-alanine--D-glutamate ligase</t>
  </si>
  <si>
    <t>murD</t>
  </si>
  <si>
    <t>cell division protein FtsA</t>
  </si>
  <si>
    <t>ftsA</t>
  </si>
  <si>
    <t>cell division protein FtsZ</t>
  </si>
  <si>
    <t>ftsZ</t>
  </si>
  <si>
    <t>cell division protein SepF</t>
  </si>
  <si>
    <t>DivIVA domain-containing protein</t>
  </si>
  <si>
    <t>isoleucine--tRNA ligase</t>
  </si>
  <si>
    <t>ileS</t>
  </si>
  <si>
    <t>NUDIX hydrolase</t>
  </si>
  <si>
    <t>5'-methylthioadenosine/adenosylhomocysteine nucleosidase</t>
  </si>
  <si>
    <t>DUF1831 domain-containing protein</t>
  </si>
  <si>
    <t>tRNA 2-thiouridine(34) synthase MnmA</t>
  </si>
  <si>
    <t>mnmA</t>
  </si>
  <si>
    <t>tetratricopeptide repeat protein</t>
  </si>
  <si>
    <t>ribonuclease J</t>
  </si>
  <si>
    <t>DNA-dependent RNA polymerase subunit epsilon</t>
  </si>
  <si>
    <t>def</t>
  </si>
  <si>
    <t>translational GTPase TypA</t>
  </si>
  <si>
    <t>typA</t>
  </si>
  <si>
    <t>YlbG family protein</t>
  </si>
  <si>
    <t>16S rRNA (guanine(966)-N(2))-methyltransferase RsmD</t>
  </si>
  <si>
    <t>rsmD</t>
  </si>
  <si>
    <t>pantetheine-phosphate adenylyltransferase</t>
  </si>
  <si>
    <t>coaD</t>
  </si>
  <si>
    <t>SepM family pheromone-processing serine protease</t>
  </si>
  <si>
    <t>helix-hairpin-helix domain-containing protein</t>
  </si>
  <si>
    <t>DNA internalization-related competence protein ComEC/Rec2</t>
  </si>
  <si>
    <t>holA</t>
  </si>
  <si>
    <t>30S ribosomal protein S20</t>
  </si>
  <si>
    <t>rpsT</t>
  </si>
  <si>
    <t>rpsO</t>
  </si>
  <si>
    <t>elongation factor Tu</t>
  </si>
  <si>
    <t>tuf</t>
  </si>
  <si>
    <t>trigger factor</t>
  </si>
  <si>
    <t>tig</t>
  </si>
  <si>
    <t>ATP-dependent Clp protease ATP-binding subunit ClpX</t>
  </si>
  <si>
    <t>clpX</t>
  </si>
  <si>
    <t>ribosome biogenesis GTP-binding protein YihA/YsxC</t>
  </si>
  <si>
    <t>yihA</t>
  </si>
  <si>
    <t>aspartate kinase</t>
  </si>
  <si>
    <t>aspartate-semialdehyde dehydrogenase</t>
  </si>
  <si>
    <t>Rgg/GadR/MutR family transcriptional regulator</t>
  </si>
  <si>
    <t>PTS sugar transporter subunit IIB</t>
  </si>
  <si>
    <t>PTS lactose/cellobiose transporter subunit IIA</t>
  </si>
  <si>
    <t>DUF3284 domain-containing protein</t>
  </si>
  <si>
    <t>glycoside hydrolase family 1 protein</t>
  </si>
  <si>
    <t>nitroreductase family protein</t>
  </si>
  <si>
    <t>eno</t>
  </si>
  <si>
    <t>phosphatase PAP2 family protein</t>
  </si>
  <si>
    <t>phage capsid protein</t>
  </si>
  <si>
    <t>thymidylate synthase</t>
  </si>
  <si>
    <t>dihydrofolate reductase</t>
  </si>
  <si>
    <t>MetQ/NlpA family ABC transporter substrate-binding protein</t>
  </si>
  <si>
    <t>methionine ABC transporter ATP-binding protein</t>
  </si>
  <si>
    <t>methionine ABC transporter permease</t>
  </si>
  <si>
    <t>[citrate (pro-3S)-lyase] ligase</t>
  </si>
  <si>
    <t>citC</t>
  </si>
  <si>
    <t>citrate lyase acyl carrier protein</t>
  </si>
  <si>
    <t>citD</t>
  </si>
  <si>
    <t>citrate (pro-3S)-lyase subunit beta</t>
  </si>
  <si>
    <t>citE</t>
  </si>
  <si>
    <t>citrate lyase subunit alpha</t>
  </si>
  <si>
    <t>citF</t>
  </si>
  <si>
    <t>50S ribosomal protein L11 methyltransferase</t>
  </si>
  <si>
    <t>prmA</t>
  </si>
  <si>
    <t>D-aminoacyl-tRNA deacylase</t>
  </si>
  <si>
    <t>dtd</t>
  </si>
  <si>
    <t>histidine--tRNA ligase</t>
  </si>
  <si>
    <t>hisS</t>
  </si>
  <si>
    <t>aspartate--tRNA ligase</t>
  </si>
  <si>
    <t>aspS</t>
  </si>
  <si>
    <t>sugar-phosphatase</t>
  </si>
  <si>
    <t>yidA</t>
  </si>
  <si>
    <t>excinuclease ABC subunit UvrC</t>
  </si>
  <si>
    <t>uvrC</t>
  </si>
  <si>
    <t>GTPase ObgE</t>
  </si>
  <si>
    <t>obgE</t>
  </si>
  <si>
    <t>ribonuclease Z</t>
  </si>
  <si>
    <t>rnz</t>
  </si>
  <si>
    <t>SDR family oxidoreductase</t>
  </si>
  <si>
    <t>50S ribosomal protein L32</t>
  </si>
  <si>
    <t>rpmF</t>
  </si>
  <si>
    <t>DNA polymerase III subunit alpha</t>
  </si>
  <si>
    <t>6-phosphofructokinase</t>
  </si>
  <si>
    <t>pfkA</t>
  </si>
  <si>
    <t>pyruvate kinase</t>
  </si>
  <si>
    <t>pyk</t>
  </si>
  <si>
    <t>site-specific tyrosine recombinase XerD</t>
  </si>
  <si>
    <t>xerD</t>
  </si>
  <si>
    <t>segregation/condensation protein A</t>
  </si>
  <si>
    <t>SMC-Scp complex subunit ScpB</t>
  </si>
  <si>
    <t>scpB</t>
  </si>
  <si>
    <t>SAG1386/EF1546 family surface-associated protein</t>
  </si>
  <si>
    <t>(d)CMP kinase</t>
  </si>
  <si>
    <t>cmk</t>
  </si>
  <si>
    <t>30S ribosomal protein S1</t>
  </si>
  <si>
    <t>rpsA</t>
  </si>
  <si>
    <t>ribosome biogenesis GTPase Der</t>
  </si>
  <si>
    <t>der</t>
  </si>
  <si>
    <t>HU family DNA-binding protein</t>
  </si>
  <si>
    <t>YitT family protein</t>
  </si>
  <si>
    <t>CCA tRNA nucleotidyltransferase</t>
  </si>
  <si>
    <t>YozE family protein</t>
  </si>
  <si>
    <t>ribosome biogenesis GTPase YlqF</t>
  </si>
  <si>
    <t>ylqF</t>
  </si>
  <si>
    <t>ribonuclease HII</t>
  </si>
  <si>
    <t>DNA-processing protein DprA</t>
  </si>
  <si>
    <t>dprA</t>
  </si>
  <si>
    <t>type I DNA topoisomerase</t>
  </si>
  <si>
    <t>topA</t>
  </si>
  <si>
    <t>methylenetetrahydrofolate--tRNA-(uracil(54)-C(5))-methyltransferase (FADH(2)-oxidizing) TrmFO</t>
  </si>
  <si>
    <t>trmFO</t>
  </si>
  <si>
    <t>dipeptidase PepV</t>
  </si>
  <si>
    <t>pepV</t>
  </si>
  <si>
    <t>flavodoxin</t>
  </si>
  <si>
    <t>serine hydrolase</t>
  </si>
  <si>
    <t>YSIRK-type signal peptide-containing protein</t>
  </si>
  <si>
    <t>branched-chain amino acid transport system II carrier protein</t>
  </si>
  <si>
    <t>brnQ</t>
  </si>
  <si>
    <t>HIT family protein</t>
  </si>
  <si>
    <t>alpha/beta fold hydrolase</t>
  </si>
  <si>
    <t>nucleoside phosphorylase</t>
  </si>
  <si>
    <t>S-ribosylhomocysteine lyase</t>
  </si>
  <si>
    <t>DNA/RNA non-specific endonuclease</t>
  </si>
  <si>
    <t>phosphoenolpyruvate carboxylase</t>
  </si>
  <si>
    <t>ppc</t>
  </si>
  <si>
    <t>GRP family sugar transporter</t>
  </si>
  <si>
    <t>glycerol-3-phosphate 1-O-acyltransferase PlsY</t>
  </si>
  <si>
    <t>plsY</t>
  </si>
  <si>
    <t>DNA topoisomerase IV subunit B</t>
  </si>
  <si>
    <t>parE</t>
  </si>
  <si>
    <t>DNA topoisomerase IV subunit A</t>
  </si>
  <si>
    <t>parC</t>
  </si>
  <si>
    <t>manganese-dependent inorganic pyrophosphatase</t>
  </si>
  <si>
    <t>peptidylprolyl isomerase</t>
  </si>
  <si>
    <t>YoaK family protein</t>
  </si>
  <si>
    <t>Fic family protein</t>
  </si>
  <si>
    <t>tyrosine recombinase XerS</t>
  </si>
  <si>
    <t>xerS</t>
  </si>
  <si>
    <t>MarR family winged helix-turn-helix transcriptional regulator</t>
  </si>
  <si>
    <t>carbamoyl phosphate synthase small subunit</t>
  </si>
  <si>
    <t>signal peptidase II</t>
  </si>
  <si>
    <t>lspA</t>
  </si>
  <si>
    <t>formate--tetrahydrofolate ligase</t>
  </si>
  <si>
    <t>RNase P RNA component class B</t>
  </si>
  <si>
    <t>rnpB</t>
  </si>
  <si>
    <t>RNase_P_RNA</t>
  </si>
  <si>
    <t>cell division regulator GpsB</t>
  </si>
  <si>
    <t>DUF1273 domain-containing protein</t>
  </si>
  <si>
    <t>Holliday junction resolvase RecU</t>
  </si>
  <si>
    <t>recU</t>
  </si>
  <si>
    <t>endonuclease III</t>
  </si>
  <si>
    <t>nth</t>
  </si>
  <si>
    <t>DnaD domain protein</t>
  </si>
  <si>
    <t>asnS</t>
  </si>
  <si>
    <t>helicase-exonuclease AddAB subunit AddA</t>
  </si>
  <si>
    <t>addA</t>
  </si>
  <si>
    <t>mevalonate kinase</t>
  </si>
  <si>
    <t>mvk</t>
  </si>
  <si>
    <t>diphosphomevalonate decarboxylase</t>
  </si>
  <si>
    <t>mvaD</t>
  </si>
  <si>
    <t>phosphomevalonate kinase</t>
  </si>
  <si>
    <t>type 2 isopentenyl-diphosphate Delta-isomerase</t>
  </si>
  <si>
    <t>fni</t>
  </si>
  <si>
    <t>RsmF rRNA methyltransferase first C-terminal domain-containing protein</t>
  </si>
  <si>
    <t>lepB</t>
  </si>
  <si>
    <t>peptidase T</t>
  </si>
  <si>
    <t>pepT</t>
  </si>
  <si>
    <t>Nif3-like dinuclear metal center hexameric protein</t>
  </si>
  <si>
    <t>8-oxo-dGTP diphosphatase</t>
  </si>
  <si>
    <t>RNA polymerase sigma factor RpoD</t>
  </si>
  <si>
    <t>rpoD</t>
  </si>
  <si>
    <t>DNA primase</t>
  </si>
  <si>
    <t>dnaG</t>
  </si>
  <si>
    <t>glycine--tRNA ligase subunit beta</t>
  </si>
  <si>
    <t>glyS</t>
  </si>
  <si>
    <t>glycine--tRNA ligase subunit alpha</t>
  </si>
  <si>
    <t>glyQ</t>
  </si>
  <si>
    <t>DNA repair protein RecO</t>
  </si>
  <si>
    <t>recO</t>
  </si>
  <si>
    <t>GTPase Era</t>
  </si>
  <si>
    <t>era</t>
  </si>
  <si>
    <t>rRNA maturation RNase YbeY</t>
  </si>
  <si>
    <t>ybeY</t>
  </si>
  <si>
    <t>PhoH family protein</t>
  </si>
  <si>
    <t>30S ribosomal protein S21</t>
  </si>
  <si>
    <t>rpsU</t>
  </si>
  <si>
    <t>peptide-methionine (S)-S-oxide reductase MsrA</t>
  </si>
  <si>
    <t>msrA</t>
  </si>
  <si>
    <t>homoserine kinase</t>
  </si>
  <si>
    <t>thrB</t>
  </si>
  <si>
    <t>homoserine dehydrogenase</t>
  </si>
  <si>
    <t>threonine synthase</t>
  </si>
  <si>
    <t>thrC</t>
  </si>
  <si>
    <t>citrate lyase holo-[acyl-carrier protein] synthase</t>
  </si>
  <si>
    <t>citX</t>
  </si>
  <si>
    <t>cysteine synthase A</t>
  </si>
  <si>
    <t>cysK</t>
  </si>
  <si>
    <t>triphosphoribosyl-dephospho-CoA synthase CitG</t>
  </si>
  <si>
    <t>citG</t>
  </si>
  <si>
    <t>adenine phosphoribosyltransferase</t>
  </si>
  <si>
    <t>single-stranded-DNA-specific exonuclease RecJ</t>
  </si>
  <si>
    <t>recJ</t>
  </si>
  <si>
    <t>class A sortase</t>
  </si>
  <si>
    <t>translation elongation factor 4</t>
  </si>
  <si>
    <t>lepA</t>
  </si>
  <si>
    <t>molecular chaperone DnaJ</t>
  </si>
  <si>
    <t>dnaJ</t>
  </si>
  <si>
    <t>molecular chaperone DnaK</t>
  </si>
  <si>
    <t>dnaK</t>
  </si>
  <si>
    <t>nucleotide exchange factor GrpE</t>
  </si>
  <si>
    <t>grpE</t>
  </si>
  <si>
    <t>heat-inducible transcriptional repressor HrcA</t>
  </si>
  <si>
    <t>hrcA</t>
  </si>
  <si>
    <t>tRNA pseudouridine(55) synthase TruB</t>
  </si>
  <si>
    <t>truB</t>
  </si>
  <si>
    <t>translation initiation factor IF-2</t>
  </si>
  <si>
    <t>infB</t>
  </si>
  <si>
    <t>transcription termination factor NusA</t>
  </si>
  <si>
    <t>nusA</t>
  </si>
  <si>
    <t>ribosome maturation factor RimP</t>
  </si>
  <si>
    <t>rimP</t>
  </si>
  <si>
    <t>PolC-type DNA polymerase III</t>
  </si>
  <si>
    <t>proline--tRNA ligase</t>
  </si>
  <si>
    <t>RIP metalloprotease RseP</t>
  </si>
  <si>
    <t>rseP</t>
  </si>
  <si>
    <t>phosphatidate cytidylyltransferase</t>
  </si>
  <si>
    <t>isoprenyl transferase</t>
  </si>
  <si>
    <t>frr</t>
  </si>
  <si>
    <t>UMP kinase</t>
  </si>
  <si>
    <t>pyrH</t>
  </si>
  <si>
    <t>translation elongation factor Ts</t>
  </si>
  <si>
    <t>tsf</t>
  </si>
  <si>
    <t>30S ribosomal protein S2</t>
  </si>
  <si>
    <t>rpsB</t>
  </si>
  <si>
    <t>GIY-YIG nuclease family protein</t>
  </si>
  <si>
    <t>M13 family metallopeptidase</t>
  </si>
  <si>
    <t>YneF family protein</t>
  </si>
  <si>
    <t>glycosyltransferase family 2 protein</t>
  </si>
  <si>
    <t>50S ribosomal protein L19</t>
  </si>
  <si>
    <t>rplS</t>
  </si>
  <si>
    <t>tRNA (guanosine(37)-N1)-methyltransferase TrmD</t>
  </si>
  <si>
    <t>trmD</t>
  </si>
  <si>
    <t>ribosome maturation factor RimM</t>
  </si>
  <si>
    <t>rimM</t>
  </si>
  <si>
    <t>30S ribosomal protein S16</t>
  </si>
  <si>
    <t>rpsP</t>
  </si>
  <si>
    <t>signal recognition particle protein</t>
  </si>
  <si>
    <t>ffh</t>
  </si>
  <si>
    <t>signal recognition particle-docking protein FtsY</t>
  </si>
  <si>
    <t>ftsY</t>
  </si>
  <si>
    <t>chromosome segregation protein SMC</t>
  </si>
  <si>
    <t>smc</t>
  </si>
  <si>
    <t>ribonuclease III</t>
  </si>
  <si>
    <t>rnc</t>
  </si>
  <si>
    <t>acyl carrier protein</t>
  </si>
  <si>
    <t>phosphate acyltransferase PlsX</t>
  </si>
  <si>
    <t>plsX</t>
  </si>
  <si>
    <t>ATP-dependent DNA helicase RecG</t>
  </si>
  <si>
    <t>recG</t>
  </si>
  <si>
    <t>DAK2 domain-containing protein</t>
  </si>
  <si>
    <t>Asp23/Gls24 family envelope stress response protein</t>
  </si>
  <si>
    <t>50S ribosomal protein L28</t>
  </si>
  <si>
    <t>rpmB</t>
  </si>
  <si>
    <t>thiamine diphosphokinase</t>
  </si>
  <si>
    <t>ribulose-phosphate 3-epimerase</t>
  </si>
  <si>
    <t>rpe</t>
  </si>
  <si>
    <t>ribosome small subunit-dependent GTPase A</t>
  </si>
  <si>
    <t>rsgA</t>
  </si>
  <si>
    <t>Stk1 family PASTA domain-containing Ser/Thr kinase</t>
  </si>
  <si>
    <t>pknB</t>
  </si>
  <si>
    <t>Stp1/IreP family PP2C-type Ser/Thr phosphatase</t>
  </si>
  <si>
    <t>16S rRNA (cytosine(967)-C(5))-methyltransferase RsmB</t>
  </si>
  <si>
    <t>rsmB</t>
  </si>
  <si>
    <t>methionyl-tRNA formyltransferase</t>
  </si>
  <si>
    <t>fmt</t>
  </si>
  <si>
    <t>primosomal protein N'</t>
  </si>
  <si>
    <t>DNA-directed RNA polymerase subunit omega</t>
  </si>
  <si>
    <t>rpoZ</t>
  </si>
  <si>
    <t>guanylate kinase</t>
  </si>
  <si>
    <t>gmk</t>
  </si>
  <si>
    <t>ASCH domain-containing protein</t>
  </si>
  <si>
    <t>DNA repair protein RecN</t>
  </si>
  <si>
    <t>recN</t>
  </si>
  <si>
    <t>polyprenyl synthetase family protein</t>
  </si>
  <si>
    <t>exodeoxyribonuclease VII small subunit</t>
  </si>
  <si>
    <t>exodeoxyribonuclease VII large subunit</t>
  </si>
  <si>
    <t>xseA</t>
  </si>
  <si>
    <t>bifunctional methylenetetrahydrofolate dehydrogenase/methenyltetrahydrofolate cyclohydrolase</t>
  </si>
  <si>
    <t>transcription antitermination factor NusB</t>
  </si>
  <si>
    <t>nusB</t>
  </si>
  <si>
    <t>elongation factor P</t>
  </si>
  <si>
    <t>efp</t>
  </si>
  <si>
    <t>50S ribosomal protein L27</t>
  </si>
  <si>
    <t>rpmA</t>
  </si>
  <si>
    <t>50S ribosomal protein L21</t>
  </si>
  <si>
    <t>rplU</t>
  </si>
  <si>
    <t>aminoglycoside 3'-phosphotransferase</t>
  </si>
  <si>
    <t>membrane protein</t>
  </si>
  <si>
    <t>arsenate reductase family protein</t>
  </si>
  <si>
    <t>Xaa-Pro dipeptidyl-peptidase</t>
  </si>
  <si>
    <t>peptide-methionine (R)-S-oxide reductase MsrB</t>
  </si>
  <si>
    <t>msrB</t>
  </si>
  <si>
    <t>carbamoyl-phosphate synthase large subunit</t>
  </si>
  <si>
    <t>carB</t>
  </si>
  <si>
    <t>dihydroorotase</t>
  </si>
  <si>
    <t>aspartate carbamoyltransferase catalytic subunit</t>
  </si>
  <si>
    <t>orotidine-5'-phosphate decarboxylase</t>
  </si>
  <si>
    <t>pyrF</t>
  </si>
  <si>
    <t>orotate phosphoribosyltransferase</t>
  </si>
  <si>
    <t>pyrE</t>
  </si>
  <si>
    <t>cation-translocating P-type ATPase</t>
  </si>
  <si>
    <t>ClC family H(+)/Cl(-) exchange transporter</t>
  </si>
  <si>
    <t>metal-sulfur cluster assembly factor</t>
  </si>
  <si>
    <t>HAMP domain-containing sensor histidine kinase</t>
  </si>
  <si>
    <t>GTP pyrophosphokinase</t>
  </si>
  <si>
    <t>MDR family MFS transporter</t>
  </si>
  <si>
    <t>aldose epimerase family protein</t>
  </si>
  <si>
    <t>UDP-glucose--hexose-1-phosphate uridylyltransferase</t>
  </si>
  <si>
    <t>galactokinase</t>
  </si>
  <si>
    <t>glycoside hydrolase family 2 TIM barrel-domain containing protein</t>
  </si>
  <si>
    <t>UDP-glucose 4-epimerase GalE</t>
  </si>
  <si>
    <t>galE</t>
  </si>
  <si>
    <t>sugar ABC transporter ATP-binding protein</t>
  </si>
  <si>
    <t>D-ribose pyranase</t>
  </si>
  <si>
    <t>rbsD</t>
  </si>
  <si>
    <t>transketolase</t>
  </si>
  <si>
    <t>type I glutamate--ammonia ligase</t>
  </si>
  <si>
    <t>glnA</t>
  </si>
  <si>
    <t>tRNA (adenosine(37)-N6)-dimethylallyltransferase MiaA</t>
  </si>
  <si>
    <t>miaA</t>
  </si>
  <si>
    <t>rhodanese-like domain-containing protein</t>
  </si>
  <si>
    <t>YqgQ family protein</t>
  </si>
  <si>
    <t>rhomboid family intramembrane serine protease</t>
  </si>
  <si>
    <t>5-formyltetrahydrofolate cyclo-ligase</t>
  </si>
  <si>
    <t>YfhO family protein</t>
  </si>
  <si>
    <t>S8 family serine peptidase</t>
  </si>
  <si>
    <t>phenylalanine--tRNA ligase subunit beta</t>
  </si>
  <si>
    <t>pheT</t>
  </si>
  <si>
    <t>phenylalanine--tRNA ligase subunit alpha</t>
  </si>
  <si>
    <t>pheS</t>
  </si>
  <si>
    <t>acylphosphatase</t>
  </si>
  <si>
    <t>membrane protein insertase YidC</t>
  </si>
  <si>
    <t>yidC</t>
  </si>
  <si>
    <t>YceD family protein</t>
  </si>
  <si>
    <t>nucleotidyltransferase</t>
  </si>
  <si>
    <t>ribosome silencing factor</t>
  </si>
  <si>
    <t>rsfS</t>
  </si>
  <si>
    <t>bis(5'-nucleosyl)-tetraphosphatase (symmetrical) YqeK</t>
  </si>
  <si>
    <t>yqeK</t>
  </si>
  <si>
    <t>nicotinate-nucleotide adenylyltransferase</t>
  </si>
  <si>
    <t>ribosome biogenesis GTPase YqeH</t>
  </si>
  <si>
    <t>yqeH</t>
  </si>
  <si>
    <t>YqeG family HAD IIIA-type phosphatase</t>
  </si>
  <si>
    <t>adenosine deaminase</t>
  </si>
  <si>
    <t>add</t>
  </si>
  <si>
    <t>50S ribosomal protein L20</t>
  </si>
  <si>
    <t>rplT</t>
  </si>
  <si>
    <t>50S ribosomal protein L35</t>
  </si>
  <si>
    <t>rpmI</t>
  </si>
  <si>
    <t>translation initiation factor IF-3</t>
  </si>
  <si>
    <t>infC</t>
  </si>
  <si>
    <t>threonine--tRNA ligase</t>
  </si>
  <si>
    <t>thrS</t>
  </si>
  <si>
    <t>primosomal protein DnaI</t>
  </si>
  <si>
    <t>dnaI</t>
  </si>
  <si>
    <t>transcriptional regulator NrdR</t>
  </si>
  <si>
    <t>nrdR</t>
  </si>
  <si>
    <t>dephospho-CoA kinase</t>
  </si>
  <si>
    <t>coaE</t>
  </si>
  <si>
    <t>mutM</t>
  </si>
  <si>
    <t>DNA polymerase I</t>
  </si>
  <si>
    <t>polA</t>
  </si>
  <si>
    <t>phosphoribosylamine--glycine ligase</t>
  </si>
  <si>
    <t>purD</t>
  </si>
  <si>
    <t>bifunctional phosphoribosylaminoimidazolecarboxamide formyltransferase/IMP cyclohydrolase</t>
  </si>
  <si>
    <t>purH</t>
  </si>
  <si>
    <t>phosphoribosylglycinamide formyltransferase</t>
  </si>
  <si>
    <t>purN</t>
  </si>
  <si>
    <t>phosphoribosylformylglycinamidine cyclo-ligase</t>
  </si>
  <si>
    <t>purM</t>
  </si>
  <si>
    <t>amidophosphoribosyltransferase</t>
  </si>
  <si>
    <t>purF</t>
  </si>
  <si>
    <t>phosphoribosylaminoimidazolesuccinocarboxamide synthase</t>
  </si>
  <si>
    <t>purC</t>
  </si>
  <si>
    <t>5-(carboxyamino)imidazole ribonucleotide synthase</t>
  </si>
  <si>
    <t>purK</t>
  </si>
  <si>
    <t>5-(carboxyamino)imidazole ribonucleotide mutase</t>
  </si>
  <si>
    <t>purE</t>
  </si>
  <si>
    <t>SPFH domain-containing protein</t>
  </si>
  <si>
    <t>type II toxin-antitoxin system RelB/DinJ family antitoxin</t>
  </si>
  <si>
    <t>M1 family metallopeptidase</t>
  </si>
  <si>
    <t>MATE family efflux transporter</t>
  </si>
  <si>
    <t>UDP-N-acetylmuramate--L-alanine ligase</t>
  </si>
  <si>
    <t>murC</t>
  </si>
  <si>
    <t>YtpR family tRNA-binding protein</t>
  </si>
  <si>
    <t>ytpR</t>
  </si>
  <si>
    <t>thioredoxin family protein</t>
  </si>
  <si>
    <t>tRNA (guanosine(46)-N7)-methyltransferase TrmB</t>
  </si>
  <si>
    <t>trmB</t>
  </si>
  <si>
    <t>peptidylprolyl isomerase PrsA</t>
  </si>
  <si>
    <t>YlbF family regulator</t>
  </si>
  <si>
    <t>arginine--tRNA ligase</t>
  </si>
  <si>
    <t>argS</t>
  </si>
  <si>
    <t>NAD(P)H-hydrate dehydratase</t>
  </si>
  <si>
    <t>PspC domain-containing protein</t>
  </si>
  <si>
    <t>leucine--tRNA ligase</t>
  </si>
  <si>
    <t>leuS</t>
  </si>
  <si>
    <t>methionine adenosyltransferase</t>
  </si>
  <si>
    <t>metK</t>
  </si>
  <si>
    <t>serine--tRNA ligase</t>
  </si>
  <si>
    <t>serS</t>
  </si>
  <si>
    <t>TVP38/TMEM64 family protein</t>
  </si>
  <si>
    <t>zinc ribbon domain-containing protein</t>
  </si>
  <si>
    <t>magnesium transporter CorA family protein</t>
  </si>
  <si>
    <t>nicotinamide riboside transporter PnuC</t>
  </si>
  <si>
    <t>pnuC</t>
  </si>
  <si>
    <t>PepSY domain-containing protein</t>
  </si>
  <si>
    <t>type I pantothenate kinase</t>
  </si>
  <si>
    <t>coaA</t>
  </si>
  <si>
    <t>amino acid ABC transporter substrate-binding protein</t>
  </si>
  <si>
    <t>asparaginase</t>
  </si>
  <si>
    <t>PTS beta-glucoside transporter subunit IIBCA</t>
  </si>
  <si>
    <t>type I pullulanase</t>
  </si>
  <si>
    <t>pulA</t>
  </si>
  <si>
    <t>GTPase HflX</t>
  </si>
  <si>
    <t>hflX</t>
  </si>
  <si>
    <t>class Ib ribonucleoside-diphosphate reductase assembly flavoprotein NrdI</t>
  </si>
  <si>
    <t>nrdI</t>
  </si>
  <si>
    <t>C39 family peptidase</t>
  </si>
  <si>
    <t>oligoendopeptidase F</t>
  </si>
  <si>
    <t>pepF</t>
  </si>
  <si>
    <t>pyridoxamine 5'-phosphate oxidase family protein</t>
  </si>
  <si>
    <t>metal ABC transporter permease</t>
  </si>
  <si>
    <t>1-phosphofructokinase</t>
  </si>
  <si>
    <t>pfkB</t>
  </si>
  <si>
    <t>peptide cleavage/export ABC transporter</t>
  </si>
  <si>
    <t>bacteriocin class II family protein</t>
  </si>
  <si>
    <t>DUF1129 domain-containing protein</t>
  </si>
  <si>
    <t>redox-regulated ATPase YchF</t>
  </si>
  <si>
    <t>ychF</t>
  </si>
  <si>
    <t>DUF951 domain-containing protein</t>
  </si>
  <si>
    <t>ParB/RepB/Spo0J family partition protein</t>
  </si>
  <si>
    <t>16S rRNA (guanine(527)-N(7))-methyltransferase RsmG</t>
  </si>
  <si>
    <t>rsmG</t>
  </si>
  <si>
    <t>CvpA family protein</t>
  </si>
  <si>
    <t>FAD:protein FMN transferase</t>
  </si>
  <si>
    <t>NAD(P)H-dependent oxidoreductase</t>
  </si>
  <si>
    <t>peroxide stress protein YaaA</t>
  </si>
  <si>
    <t>acyltransferase family protein</t>
  </si>
  <si>
    <t>glycerol kinase GlpK</t>
  </si>
  <si>
    <t>glpK</t>
  </si>
  <si>
    <t>bifunctional hydroxymethylpyrimidine kinase/phosphomethylpyrimidine kinase</t>
  </si>
  <si>
    <t>DMT family transporter</t>
  </si>
  <si>
    <t>adenylosuccinate lyase</t>
  </si>
  <si>
    <t>purB</t>
  </si>
  <si>
    <t>adenylosuccinate synthase</t>
  </si>
  <si>
    <t>GMP reductase</t>
  </si>
  <si>
    <t>aspartate--ammonia ligase</t>
  </si>
  <si>
    <t>asnA</t>
  </si>
  <si>
    <t>gamma-glutamyl-gamma-aminobutyrate hydrolase family protein</t>
  </si>
  <si>
    <t>IS1182 family transposase</t>
  </si>
  <si>
    <t>signal peptidase I</t>
  </si>
  <si>
    <t>DUF975 family protein</t>
  </si>
  <si>
    <t>D-alanyl-lipoteichoic acid biosynthesis protein DltD</t>
  </si>
  <si>
    <t>dltD</t>
  </si>
  <si>
    <t>D-alanine--poly(phosphoribitol) ligase subunit DltC</t>
  </si>
  <si>
    <t>dltC</t>
  </si>
  <si>
    <t>D-alanyl-lipoteichoic acid biosynthesis protein DltB</t>
  </si>
  <si>
    <t>dltB</t>
  </si>
  <si>
    <t>D-alanine--poly(phosphoribitol) ligase subunit DltA</t>
  </si>
  <si>
    <t>dltA</t>
  </si>
  <si>
    <t>teichoic acid D-Ala incorporation-associated protein DltX</t>
  </si>
  <si>
    <t>cyclic-di-AMP-binding protein CbpB</t>
  </si>
  <si>
    <t>cbpB</t>
  </si>
  <si>
    <t>CHAP domain-containing protein</t>
  </si>
  <si>
    <t>YdcF family protein</t>
  </si>
  <si>
    <t>ABC transporter ATP-binding protein/permease</t>
  </si>
  <si>
    <t>glucosamine-6-phosphate deaminase</t>
  </si>
  <si>
    <t>nagB</t>
  </si>
  <si>
    <t>deoxynucleoside kinase</t>
  </si>
  <si>
    <t>NCS2 family permease</t>
  </si>
  <si>
    <t>CopY/TcrY family copper transport repressor</t>
  </si>
  <si>
    <t>TIGR00266 family protein</t>
  </si>
  <si>
    <t>SPJ_0845 family protein</t>
  </si>
  <si>
    <t>tRNA uridine-5-carboxymethylaminomethyl(34) synthesis enzyme MnmG</t>
  </si>
  <si>
    <t>mnmG</t>
  </si>
  <si>
    <t>tRNA uridine-5-carboxymethylaminomethyl(34) synthesis GTPase MnmE</t>
  </si>
  <si>
    <t>mnmE</t>
  </si>
  <si>
    <t>ribonuclease P protein component</t>
  </si>
  <si>
    <t>rnpA</t>
  </si>
  <si>
    <t>50S ribosomal protein L34</t>
  </si>
  <si>
    <t>rpmH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</si>
  <si>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</si>
  <si>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</si>
  <si>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</si>
  <si>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</si>
  <si>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</si>
  <si>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>URL</t>
  </si>
  <si>
    <t>EC Number</t>
  </si>
  <si>
    <t>2.7.7.7</t>
  </si>
  <si>
    <t>3.1.1.29</t>
  </si>
  <si>
    <t>KEGG Enzyme URL</t>
  </si>
  <si>
    <t>KEGG Reaction URL</t>
  </si>
  <si>
    <t>Reactants</t>
  </si>
  <si>
    <t>Products</t>
  </si>
  <si>
    <t>C00021</t>
  </si>
  <si>
    <t>C00019</t>
  </si>
  <si>
    <t>C04734</t>
  </si>
  <si>
    <t>C00606</t>
  </si>
  <si>
    <t>C00008</t>
  </si>
  <si>
    <t>C00013</t>
  </si>
  <si>
    <t>C00044</t>
  </si>
  <si>
    <t>https://www.genome.jp/entry/R00379</t>
  </si>
  <si>
    <t>https://www.genome.jp/entry/2.7.7.7</t>
  </si>
  <si>
    <t>C11039</t>
  </si>
  <si>
    <t>C21031</t>
  </si>
  <si>
    <t>C00002</t>
  </si>
  <si>
    <t>C00158</t>
  </si>
  <si>
    <t>https://www.genome.jp/entry/3.1.1.29</t>
  </si>
  <si>
    <t>https://www.genome.jp/entry/R04238</t>
  </si>
  <si>
    <t>C00001</t>
  </si>
  <si>
    <t>C00438</t>
  </si>
  <si>
    <t>C00009</t>
  </si>
  <si>
    <t>C00149</t>
  </si>
  <si>
    <t>C00680</t>
  </si>
  <si>
    <t>C04751</t>
  </si>
  <si>
    <t>C15667</t>
  </si>
  <si>
    <t>C01103</t>
  </si>
  <si>
    <t>C04352</t>
  </si>
  <si>
    <t>C00313</t>
  </si>
  <si>
    <t>C00673</t>
  </si>
  <si>
    <t>C00566</t>
  </si>
  <si>
    <t>C00631</t>
  </si>
  <si>
    <t>C03356</t>
  </si>
  <si>
    <t>C03195</t>
  </si>
  <si>
    <t>C03794</t>
  </si>
  <si>
    <t>C04823</t>
  </si>
  <si>
    <t>C22395</t>
  </si>
  <si>
    <t>C03539</t>
  </si>
  <si>
    <t>C00041</t>
  </si>
  <si>
    <t>C00133</t>
  </si>
  <si>
    <t>C00025</t>
  </si>
  <si>
    <t>C00217</t>
  </si>
  <si>
    <t>C00666</t>
  </si>
  <si>
    <t>C00199</t>
  </si>
  <si>
    <t>C00231</t>
  </si>
  <si>
    <t>C00043</t>
  </si>
  <si>
    <t>C01170</t>
  </si>
  <si>
    <t>C00029</t>
  </si>
  <si>
    <t>C00052</t>
  </si>
  <si>
    <t>C00203</t>
  </si>
  <si>
    <t>C00842</t>
  </si>
  <si>
    <t>C02097</t>
  </si>
  <si>
    <t>C03798</t>
  </si>
  <si>
    <t>C03633</t>
  </si>
  <si>
    <t>C00118</t>
  </si>
  <si>
    <t>C00111</t>
  </si>
  <si>
    <t>C00117</t>
  </si>
  <si>
    <t>C02962</t>
  </si>
  <si>
    <t>C18096</t>
  </si>
  <si>
    <t>C00668</t>
  </si>
  <si>
    <t>C05345</t>
  </si>
  <si>
    <t>C00092</t>
  </si>
  <si>
    <t>C00085</t>
  </si>
  <si>
    <t>C01172</t>
  </si>
  <si>
    <t>C02501</t>
  </si>
  <si>
    <t>C03453</t>
  </si>
  <si>
    <t>C07478</t>
  </si>
  <si>
    <t>C07479</t>
  </si>
  <si>
    <t>C00129</t>
  </si>
  <si>
    <t>C00235</t>
  </si>
  <si>
    <t>C06156</t>
  </si>
  <si>
    <t>C00352</t>
  </si>
  <si>
    <t>C00663</t>
  </si>
  <si>
    <t>C00868</t>
  </si>
  <si>
    <t>C02764</t>
  </si>
  <si>
    <t>C08353</t>
  </si>
  <si>
    <t>C16639</t>
  </si>
  <si>
    <t xml:space="preserve">New EC number </t>
  </si>
  <si>
    <t>C00013 * C20565</t>
  </si>
  <si>
    <t>C00008 * C00009</t>
  </si>
  <si>
    <t>C00002 * C00003</t>
  </si>
  <si>
    <t>C00008 * C00006</t>
  </si>
  <si>
    <t>C00002 * C00020</t>
  </si>
  <si>
    <t>C00008 * C00206</t>
  </si>
  <si>
    <t>C00002 * C00022</t>
  </si>
  <si>
    <t>C00008 * C00074</t>
  </si>
  <si>
    <t>C00002 * C00025 * C00014</t>
  </si>
  <si>
    <t>C00008 * C00009 * C00064</t>
  </si>
  <si>
    <t>C00002 * C00033</t>
  </si>
  <si>
    <t>C00008 * C00227</t>
  </si>
  <si>
    <t>C00002 * C00033 * C04298</t>
  </si>
  <si>
    <t>C00020 * C00013 * C04334</t>
  </si>
  <si>
    <t>C00002 * C00037 * C01642</t>
  </si>
  <si>
    <t>C00020 * C00013 * C02412</t>
  </si>
  <si>
    <t>C00002 * C00041 * C01635</t>
  </si>
  <si>
    <t>C00020 * C00013 * C00886</t>
  </si>
  <si>
    <t>C00002 * C00046</t>
  </si>
  <si>
    <t>C00013 * C00046</t>
  </si>
  <si>
    <t>C00002 * C00047 * C01646</t>
  </si>
  <si>
    <t>C00020 * C00013 * C01931</t>
  </si>
  <si>
    <t>C00002 * C00049</t>
  </si>
  <si>
    <t>C00008 * C03082</t>
  </si>
  <si>
    <t>C00002 * C00049 * C00014</t>
  </si>
  <si>
    <t>C00020 * C00013 * C00152</t>
  </si>
  <si>
    <t>C00002 * C00055</t>
  </si>
  <si>
    <t>C00008 * C00112</t>
  </si>
  <si>
    <t>C00002 * C00061</t>
  </si>
  <si>
    <t>C00013 * C00016</t>
  </si>
  <si>
    <t>C00002 * C00062 * C01636</t>
  </si>
  <si>
    <t>C00020 * C00013 * C02163</t>
  </si>
  <si>
    <t>C00008 * C00009 * C00025 * C00169</t>
  </si>
  <si>
    <t>C00002 * C00065 * C01650</t>
  </si>
  <si>
    <t>C00020 * C00013 * C02553</t>
  </si>
  <si>
    <t>C00002 * C00065 * C16636</t>
  </si>
  <si>
    <t>C00020 * C00013 * C06481</t>
  </si>
  <si>
    <t>C00002 * C00073 * C01647</t>
  </si>
  <si>
    <t>C00020 * C00013 * C02430</t>
  </si>
  <si>
    <t>C00002 * C00075 * C00014</t>
  </si>
  <si>
    <t>C00008 * C00009 * C00063</t>
  </si>
  <si>
    <t>C00002 * C00075 * C00064 * C00001</t>
  </si>
  <si>
    <t>C00002 * C00078 * C01652</t>
  </si>
  <si>
    <t>C00020 * C00013 * C03512</t>
  </si>
  <si>
    <t>C00002 * C00079 * C01648</t>
  </si>
  <si>
    <t>C00020 * C00013 * C03511</t>
  </si>
  <si>
    <t>C00002 * C00082 * C00787</t>
  </si>
  <si>
    <t>C00020 * C00013 * C02839</t>
  </si>
  <si>
    <t>C00008 * C00354</t>
  </si>
  <si>
    <t>C00002 * C00097 * C01639</t>
  </si>
  <si>
    <t>C00020 * C00013 * C03125</t>
  </si>
  <si>
    <t>C00002 * C00103</t>
  </si>
  <si>
    <t>C00013 * C00498</t>
  </si>
  <si>
    <t>C00002 * C00105</t>
  </si>
  <si>
    <t>C00008 * C00015</t>
  </si>
  <si>
    <t>C00002 * C00116</t>
  </si>
  <si>
    <t>C00008 * C00093</t>
  </si>
  <si>
    <t>C00002 * C00117</t>
  </si>
  <si>
    <t>C00020 * C00119</t>
  </si>
  <si>
    <t>C00002 * C00121</t>
  </si>
  <si>
    <t>C00008 * C00117</t>
  </si>
  <si>
    <t>C00002 * C00123 * C01645</t>
  </si>
  <si>
    <t>C00020 * C00013 * C02047</t>
  </si>
  <si>
    <t>C00002 * C00133 * C00653</t>
  </si>
  <si>
    <t>C00020 * C00013 * C04260</t>
  </si>
  <si>
    <t>C00002 * C00133 * G13167</t>
  </si>
  <si>
    <t>C00020 * C00013 * G13180</t>
  </si>
  <si>
    <t>C00002 * C00133 * G13170</t>
  </si>
  <si>
    <t>C00020 * C00013 * G13171</t>
  </si>
  <si>
    <t>C00002 * C00133 * G13174</t>
  </si>
  <si>
    <t>C00020 * C00013 * G13175</t>
  </si>
  <si>
    <t>C00002 * C00133 * G13176</t>
  </si>
  <si>
    <t>C00020 * C00013 * G13177</t>
  </si>
  <si>
    <t>C00002 * C00133 * G13178</t>
  </si>
  <si>
    <t>C00002 * C00133 * G13185</t>
  </si>
  <si>
    <t>C00020 * C00013 * G13186</t>
  </si>
  <si>
    <t>C00002 * C00133 * G13192</t>
  </si>
  <si>
    <t>C00020 * C00013 * G13193</t>
  </si>
  <si>
    <t>C00002 * C00144</t>
  </si>
  <si>
    <t>C00008 * C00035</t>
  </si>
  <si>
    <t>C00002 * C00148 * C01649</t>
  </si>
  <si>
    <t>C00020 * C00013 * C02702</t>
  </si>
  <si>
    <t>C00008 * C02876</t>
  </si>
  <si>
    <t>C00002 * C00183 * C01653</t>
  </si>
  <si>
    <t>C00020 * C00013 * C02554</t>
  </si>
  <si>
    <t>C00002 * C00188 * C01651</t>
  </si>
  <si>
    <t>C00020 * C00013 * C02992</t>
  </si>
  <si>
    <t>C00002 * C00197</t>
  </si>
  <si>
    <t>C00008 * C00236</t>
  </si>
  <si>
    <t>C00002 * C00214</t>
  </si>
  <si>
    <t>C00008 * C00364</t>
  </si>
  <si>
    <t>C00002 * C00239</t>
  </si>
  <si>
    <t>C00008 * C00705</t>
  </si>
  <si>
    <t>C00002 * C00255</t>
  </si>
  <si>
    <t>C00008 * C00061</t>
  </si>
  <si>
    <t>C00002 * C00263</t>
  </si>
  <si>
    <t>C00008 * C01102</t>
  </si>
  <si>
    <t>C00008 * C20969</t>
  </si>
  <si>
    <t>C00008 * C00009 * C00169</t>
  </si>
  <si>
    <t>C00002 * C00299</t>
  </si>
  <si>
    <t>C00008 * C00105</t>
  </si>
  <si>
    <t>C00002 * C00362</t>
  </si>
  <si>
    <t>C00008 * C00361</t>
  </si>
  <si>
    <t>C00002 * C00378</t>
  </si>
  <si>
    <t>C00020 * C00068</t>
  </si>
  <si>
    <t>C00002 * C00407 * C01644</t>
  </si>
  <si>
    <t>C00020 * C00013 * C03127</t>
  </si>
  <si>
    <t>C00002 * C00418</t>
  </si>
  <si>
    <t>C00008 * C01107</t>
  </si>
  <si>
    <t>C00002 * C00455</t>
  </si>
  <si>
    <t>C00013 * C00003</t>
  </si>
  <si>
    <t>C00002 * C00475</t>
  </si>
  <si>
    <t>C00008 * C00055</t>
  </si>
  <si>
    <t>C00002 * C00526</t>
  </si>
  <si>
    <t>C00008 * C00365</t>
  </si>
  <si>
    <t>C00020 * C00013 * C00144</t>
  </si>
  <si>
    <t>C00020 * C00013 * C00144 * C00025</t>
  </si>
  <si>
    <t>C00002 * C00831</t>
  </si>
  <si>
    <t>C00008 * C01134</t>
  </si>
  <si>
    <t>C00002 * C00857 * C00014</t>
  </si>
  <si>
    <t>C00020 * C00013 * C00003</t>
  </si>
  <si>
    <t>C00002 * C00864</t>
  </si>
  <si>
    <t>C00008 * C03492</t>
  </si>
  <si>
    <t>C00002 * C00882</t>
  </si>
  <si>
    <t>C19771 * C00147</t>
  </si>
  <si>
    <t>C00008 * C00010</t>
  </si>
  <si>
    <t>C00002 * C00984</t>
  </si>
  <si>
    <t>C00008 * C00446</t>
  </si>
  <si>
    <t>C00002 * C01050 * C00041</t>
  </si>
  <si>
    <t>C00008 * C00009 * C01212</t>
  </si>
  <si>
    <t>C00002 * C01094</t>
  </si>
  <si>
    <t>C00008 * C05378</t>
  </si>
  <si>
    <t>C00002 * C01107</t>
  </si>
  <si>
    <t>C00008 * C01143</t>
  </si>
  <si>
    <t>C00002 * C01134</t>
  </si>
  <si>
    <t>C00013 * C00882</t>
  </si>
  <si>
    <t>C00002 * C01143</t>
  </si>
  <si>
    <t>C00008 * C00009 * C00129 * C00011</t>
  </si>
  <si>
    <t>C00002 * C01185</t>
  </si>
  <si>
    <t>C00013 * C00857</t>
  </si>
  <si>
    <t>C00002 * C01212 * C00217</t>
  </si>
  <si>
    <t>C00008 * C00009 * C00692</t>
  </si>
  <si>
    <t>C00002 * C01279</t>
  </si>
  <si>
    <t>C00008 * C04556</t>
  </si>
  <si>
    <t>C00002 * C01563</t>
  </si>
  <si>
    <t>C00008 * C00169</t>
  </si>
  <si>
    <t>C00002 * C03090 * C00037</t>
  </si>
  <si>
    <t>C00008 * C00009 * C03838</t>
  </si>
  <si>
    <t>C00002 * C03373 * C00288</t>
  </si>
  <si>
    <t>C00008 * C00009 * C15667</t>
  </si>
  <si>
    <t>C00002 * C03479 * C00080</t>
  </si>
  <si>
    <t>C00008 * C00009 * C00445</t>
  </si>
  <si>
    <t>C00002 * C04079</t>
  </si>
  <si>
    <t>C00008 * C04352</t>
  </si>
  <si>
    <t>C00008 * C00009 * C04640 * C00025</t>
  </si>
  <si>
    <t>C00002 * C04556</t>
  </si>
  <si>
    <t>C00008 * C04752</t>
  </si>
  <si>
    <t>C00002 * C04640</t>
  </si>
  <si>
    <t>C00008 * C00009 * C03373</t>
  </si>
  <si>
    <t>C00002 * C04751 * C00049</t>
  </si>
  <si>
    <t>C00008 * C00009 * C04823</t>
  </si>
  <si>
    <t>C00002 * C04877 * C00993</t>
  </si>
  <si>
    <t>C00008 * C00009 * C04882</t>
  </si>
  <si>
    <t>C00002 * C05335 * C00001</t>
  </si>
  <si>
    <t>C00009 * C00013 * C05691</t>
  </si>
  <si>
    <t>C00002 * C05335 * C01647</t>
  </si>
  <si>
    <t>C00020 * C00013 * C05336</t>
  </si>
  <si>
    <t>C00002 * C05892 * C00993</t>
  </si>
  <si>
    <t>C00008 * C00009 * C04702</t>
  </si>
  <si>
    <t>C00020 * C00455 * C00039</t>
  </si>
  <si>
    <t>C00009 * C00013 * C00019</t>
  </si>
  <si>
    <t>C00002 * C00073 * C00001</t>
  </si>
  <si>
    <t>C00009 * C00036</t>
  </si>
  <si>
    <t>C00010 * C03688</t>
  </si>
  <si>
    <t>C00054 * C00229</t>
  </si>
  <si>
    <t>C00013 * C00001</t>
  </si>
  <si>
    <t>C01563 * C00009</t>
  </si>
  <si>
    <t>C00019 * C00240</t>
  </si>
  <si>
    <t>C00021 * C04153</t>
  </si>
  <si>
    <t>C00019 * C01977</t>
  </si>
  <si>
    <t>C00021 * C04157</t>
  </si>
  <si>
    <t>C00021 * C04160</t>
  </si>
  <si>
    <t>C00020 * C00001</t>
  </si>
  <si>
    <t>C00212 * C00009</t>
  </si>
  <si>
    <t>C00020 * C00013</t>
  </si>
  <si>
    <t>C00147 * C00119</t>
  </si>
  <si>
    <t>C00021 * C00001</t>
  </si>
  <si>
    <t>C03539 * C00147</t>
  </si>
  <si>
    <t>C00024 * C00009</t>
  </si>
  <si>
    <t>C00010 * C00227</t>
  </si>
  <si>
    <t>C00024 * C00158</t>
  </si>
  <si>
    <t>C00033 * C00566</t>
  </si>
  <si>
    <t>C00024 * C03803</t>
  </si>
  <si>
    <t>C00010 * C04341</t>
  </si>
  <si>
    <t>C00024 * C06156</t>
  </si>
  <si>
    <t>C00010 * C04501</t>
  </si>
  <si>
    <t>C00029 * C00446</t>
  </si>
  <si>
    <t>C00103 * C00052</t>
  </si>
  <si>
    <t>C00044 * C00022</t>
  </si>
  <si>
    <t>C00035 * C00074</t>
  </si>
  <si>
    <t>C00044 * C00046</t>
  </si>
  <si>
    <t>C00044 * C00130 * C00049</t>
  </si>
  <si>
    <t>C00035 * C00009 * C03794</t>
  </si>
  <si>
    <t>C00044 * C00299</t>
  </si>
  <si>
    <t>C00035 * C00105</t>
  </si>
  <si>
    <t>C00044 * C00475</t>
  </si>
  <si>
    <t>C00035 * C00055</t>
  </si>
  <si>
    <t>C00055 * C00001</t>
  </si>
  <si>
    <t>C00475 * C00009</t>
  </si>
  <si>
    <t>C00063 * C00022</t>
  </si>
  <si>
    <t>C00112 * C00074</t>
  </si>
  <si>
    <t>C00063 * C00046</t>
  </si>
  <si>
    <t>C00013 * C00269</t>
  </si>
  <si>
    <t>C00063 * C03492 * C00097</t>
  </si>
  <si>
    <t>C00055 * C00013 * C04352</t>
  </si>
  <si>
    <t>C00064 * C00001</t>
  </si>
  <si>
    <t>C00025 * C00014</t>
  </si>
  <si>
    <t>C00064 * C00085</t>
  </si>
  <si>
    <t>C00025 * C00352</t>
  </si>
  <si>
    <t>C00065 * C01217</t>
  </si>
  <si>
    <t>C04377 * C00037 * C00001</t>
  </si>
  <si>
    <t>C00068 * C00008</t>
  </si>
  <si>
    <t>C03028 * C00020</t>
  </si>
  <si>
    <t>C00073 * C00343 * C00001</t>
  </si>
  <si>
    <t>C15999 * C00342</t>
  </si>
  <si>
    <t>C00074 * C00043</t>
  </si>
  <si>
    <t>C04631 * C00009</t>
  </si>
  <si>
    <t>C00074 * C00615</t>
  </si>
  <si>
    <t>C00022 * C04261</t>
  </si>
  <si>
    <t>C00075 * C00022</t>
  </si>
  <si>
    <t>C00015 * C00074</t>
  </si>
  <si>
    <t>C00075 * C00046</t>
  </si>
  <si>
    <t>C00075 * C00103</t>
  </si>
  <si>
    <t>C00013 * C00029</t>
  </si>
  <si>
    <t>C00075 * C04501</t>
  </si>
  <si>
    <t>C00013 * C00043</t>
  </si>
  <si>
    <t>C00081 * C00022</t>
  </si>
  <si>
    <t>C00104 * C00074</t>
  </si>
  <si>
    <t>C00081 * C00085</t>
  </si>
  <si>
    <t>C00104 * C00354</t>
  </si>
  <si>
    <t>C00081 * C01097</t>
  </si>
  <si>
    <t>C00104 * C03785</t>
  </si>
  <si>
    <t>C00084 * C00010 * C00003</t>
  </si>
  <si>
    <t>C00024 * C00004 * C00080</t>
  </si>
  <si>
    <t>C00089 * C00001</t>
  </si>
  <si>
    <t>C00095 * C00031</t>
  </si>
  <si>
    <t>C02336 * C00267</t>
  </si>
  <si>
    <t>C00093 * C00003</t>
  </si>
  <si>
    <t>C00111 * C00004 * C00080</t>
  </si>
  <si>
    <t>C00093 * C00006</t>
  </si>
  <si>
    <t>C00111 * C00005 * C00080</t>
  </si>
  <si>
    <t>C00093 * C00040</t>
  </si>
  <si>
    <t>C00681 * C00010</t>
  </si>
  <si>
    <t>C00097 * C00051 * C00006</t>
  </si>
  <si>
    <t>C05526 * C00005</t>
  </si>
  <si>
    <t>C00097 * C02342</t>
  </si>
  <si>
    <t>C00065 * C04161</t>
  </si>
  <si>
    <t>C00100 * C00009</t>
  </si>
  <si>
    <t>C02876 * C00010</t>
  </si>
  <si>
    <t>C00101 * C00003</t>
  </si>
  <si>
    <t>C00415 * C00004 * C00080</t>
  </si>
  <si>
    <t>C00101 * C00006</t>
  </si>
  <si>
    <t>C00415 * C00005 * C00080</t>
  </si>
  <si>
    <t>C00101 * C00058 * C00002</t>
  </si>
  <si>
    <t>C00008 * C00009 * C00234</t>
  </si>
  <si>
    <t>C00105 * C00001</t>
  </si>
  <si>
    <t>C00299 * C00009</t>
  </si>
  <si>
    <t>C00105 * C00013</t>
  </si>
  <si>
    <t>C00106 * C00119</t>
  </si>
  <si>
    <t>C00114 * C00003</t>
  </si>
  <si>
    <t>C00576 * C00004 * C00080</t>
  </si>
  <si>
    <t>C00114 * C00006</t>
  </si>
  <si>
    <t>C00576 * C00005 * C00080</t>
  </si>
  <si>
    <t>C00130 * C00001</t>
  </si>
  <si>
    <t>C00294 * C00009</t>
  </si>
  <si>
    <t>C00262 * C00119</t>
  </si>
  <si>
    <t>C00130 * C00014 * C00006</t>
  </si>
  <si>
    <t>C00144 * C00005 * C00080</t>
  </si>
  <si>
    <t>C00131 * C00022</t>
  </si>
  <si>
    <t>C00206 * C00074</t>
  </si>
  <si>
    <t>C00131 * C00039</t>
  </si>
  <si>
    <t>C00013 * C00039</t>
  </si>
  <si>
    <t>C00131 * C00343 * C00001</t>
  </si>
  <si>
    <t>C00002 * C00342</t>
  </si>
  <si>
    <t>C00143 * C00037 * C00001</t>
  </si>
  <si>
    <t>C00101 * C00065</t>
  </si>
  <si>
    <t>C00144 * C00001</t>
  </si>
  <si>
    <t>C00387 * C00009</t>
  </si>
  <si>
    <t>C00144 * C00013</t>
  </si>
  <si>
    <t>C00242 * C00119</t>
  </si>
  <si>
    <t>C00033 * C00036</t>
  </si>
  <si>
    <t>C00169 * C00049</t>
  </si>
  <si>
    <t>C00009 * C00438</t>
  </si>
  <si>
    <t>C00170 * C00001</t>
  </si>
  <si>
    <t>C00147 * C03089</t>
  </si>
  <si>
    <t>C00173 * C00009</t>
  </si>
  <si>
    <t>C02133 * C00229</t>
  </si>
  <si>
    <t>C00173 * C00093</t>
  </si>
  <si>
    <t>C00681 * C00229</t>
  </si>
  <si>
    <t>C00022 * C00004 * C00080</t>
  </si>
  <si>
    <t>C00188 * C00002 * C00288 * C00080</t>
  </si>
  <si>
    <t>C20641 * C00013 * C00001</t>
  </si>
  <si>
    <t>C00201 * C00022</t>
  </si>
  <si>
    <t>C00201 * C00046</t>
  </si>
  <si>
    <t>C00206 * C00343 * C00001</t>
  </si>
  <si>
    <t>C00342 * C00008</t>
  </si>
  <si>
    <t>C00212 * C00001</t>
  </si>
  <si>
    <t>C00294 * C00014</t>
  </si>
  <si>
    <t>C00226 * C00003</t>
  </si>
  <si>
    <t>C00071 * C00004 * C00080</t>
  </si>
  <si>
    <t>C00234 * C03838</t>
  </si>
  <si>
    <t>C00101 * C04376</t>
  </si>
  <si>
    <t>C00234 * C04677</t>
  </si>
  <si>
    <t>C00101 * C04734</t>
  </si>
  <si>
    <t>C00235 * C17324</t>
  </si>
  <si>
    <t>C00013 * C04432</t>
  </si>
  <si>
    <t>C00239 * C00001</t>
  </si>
  <si>
    <t>C00881 * C00009</t>
  </si>
  <si>
    <t>C00241 * C00001</t>
  </si>
  <si>
    <t>C00060 * C00014</t>
  </si>
  <si>
    <t>C00263 * C00003</t>
  </si>
  <si>
    <t>C00441 * C00004 * C00080</t>
  </si>
  <si>
    <t>C00263 * C00006</t>
  </si>
  <si>
    <t>C00441 * C00005 * C00080</t>
  </si>
  <si>
    <t>C00269 * C00093</t>
  </si>
  <si>
    <t>C00055 * C03892</t>
  </si>
  <si>
    <t>C00272 * C00006</t>
  </si>
  <si>
    <t>C02953 * C00005 * C00080</t>
  </si>
  <si>
    <t>C00286 * C00022</t>
  </si>
  <si>
    <t>C00361 * C00074</t>
  </si>
  <si>
    <t>C00286 * C00039</t>
  </si>
  <si>
    <t>C00286 * C00343 * C00001</t>
  </si>
  <si>
    <t>C00044 * C00342</t>
  </si>
  <si>
    <t>C00337 * C00001</t>
  </si>
  <si>
    <t>C00342 * C00006</t>
  </si>
  <si>
    <t>C00343 * C00005 * C00080</t>
  </si>
  <si>
    <t>C00352 * C00001</t>
  </si>
  <si>
    <t>C00085 * C00014</t>
  </si>
  <si>
    <t>C00356 * C00010</t>
  </si>
  <si>
    <t>C00024 * C00001 * C00332</t>
  </si>
  <si>
    <t>C00357 * C00001</t>
  </si>
  <si>
    <t>C00352 * C00033</t>
  </si>
  <si>
    <t>C00360 * C00001</t>
  </si>
  <si>
    <t>C00559 * C00009</t>
  </si>
  <si>
    <t>C00361 * C00343 * C00001</t>
  </si>
  <si>
    <t>C00035 * C00342</t>
  </si>
  <si>
    <t>C00362 * C00001</t>
  </si>
  <si>
    <t>C00330 * C00009</t>
  </si>
  <si>
    <t>C00364 * C00001</t>
  </si>
  <si>
    <t>C00214 * C00009</t>
  </si>
  <si>
    <t>C00365 * C00001</t>
  </si>
  <si>
    <t>C00526 * C00009</t>
  </si>
  <si>
    <t>C00365 * C00143</t>
  </si>
  <si>
    <t>C00415 * C00364</t>
  </si>
  <si>
    <t>C00369 * C00009</t>
  </si>
  <si>
    <t>C00718 * C00103</t>
  </si>
  <si>
    <t>C00415 * C00003</t>
  </si>
  <si>
    <t>C00504 * C00004 * C00080</t>
  </si>
  <si>
    <t>C00415 * C00006</t>
  </si>
  <si>
    <t>C00504 * C00005 * C00080</t>
  </si>
  <si>
    <t>C00418 * C00003</t>
  </si>
  <si>
    <t>C00772 * C00004 * C00080</t>
  </si>
  <si>
    <t>C00441 * C00009 * C00006</t>
  </si>
  <si>
    <t>C03082 * C00005 * C00080</t>
  </si>
  <si>
    <t>C00455 * C00001</t>
  </si>
  <si>
    <t>C03150 * C00009</t>
  </si>
  <si>
    <t>C00458 * C00039</t>
  </si>
  <si>
    <t>C00458 * C00343 * C00001</t>
  </si>
  <si>
    <t>C00063 * C00342</t>
  </si>
  <si>
    <t>C00459 * C00039</t>
  </si>
  <si>
    <t>C00460 * C00343 * C00001</t>
  </si>
  <si>
    <t>C00075 * C00342</t>
  </si>
  <si>
    <t>C00469 * C00003</t>
  </si>
  <si>
    <t>C00084 * C00004 * C00080</t>
  </si>
  <si>
    <t>C00473 * C00003</t>
  </si>
  <si>
    <t>C00376 * C00004 * C00080</t>
  </si>
  <si>
    <t>C00492 * C00001</t>
  </si>
  <si>
    <t>C05402 * C00095</t>
  </si>
  <si>
    <t>C00498 * C00718</t>
  </si>
  <si>
    <t>C00008 * C00718</t>
  </si>
  <si>
    <t>C00559 * C00001</t>
  </si>
  <si>
    <t>C05512 * C00014</t>
  </si>
  <si>
    <t>C00024 * C00036</t>
  </si>
  <si>
    <t>C00605 * C00093</t>
  </si>
  <si>
    <t>C00010 * C00681</t>
  </si>
  <si>
    <t>C00074 * C00001</t>
  </si>
  <si>
    <t>C00655 * C00001</t>
  </si>
  <si>
    <t>C01762 * C00009</t>
  </si>
  <si>
    <t>C00655 * C00013</t>
  </si>
  <si>
    <t>C00385 * C00119</t>
  </si>
  <si>
    <t>C00118 * C00084</t>
  </si>
  <si>
    <t>C00673 * C00008</t>
  </si>
  <si>
    <t>C01801 * C00002</t>
  </si>
  <si>
    <t>C00677 * C00039</t>
  </si>
  <si>
    <t>C00677 * C00343 * C00001</t>
  </si>
  <si>
    <t>C03802 * C00342</t>
  </si>
  <si>
    <t>C00705 * C00343 * C00001</t>
  </si>
  <si>
    <t>C00342 * C00112</t>
  </si>
  <si>
    <t>C00718 * C00009</t>
  </si>
  <si>
    <t>C00756 * C00003</t>
  </si>
  <si>
    <t>C01545 * C00004 * C00080</t>
  </si>
  <si>
    <t>C00868 * C15812 * C00002</t>
  </si>
  <si>
    <t>C17322 * C15811 * C00020 * C00013</t>
  </si>
  <si>
    <t>C00934 * C00001</t>
  </si>
  <si>
    <t>C11477 * C00009</t>
  </si>
  <si>
    <t>C00979 * C00283</t>
  </si>
  <si>
    <t>C00097 * C00033</t>
  </si>
  <si>
    <t>C00979 * C00320 * C00342 * C00080</t>
  </si>
  <si>
    <t>C00097 * C00094 * C00343 * C00033</t>
  </si>
  <si>
    <t>C00979 * C01528</t>
  </si>
  <si>
    <t>C05688 * C00033</t>
  </si>
  <si>
    <t>C01005 * C00283</t>
  </si>
  <si>
    <t>C00097 * C00009</t>
  </si>
  <si>
    <t>C01050 * C00003</t>
  </si>
  <si>
    <t>C04631 * C00004 * C00080</t>
  </si>
  <si>
    <t>C01050 * C00006</t>
  </si>
  <si>
    <t>C04631 * C00005 * C00080</t>
  </si>
  <si>
    <t>C01097 * C00002</t>
  </si>
  <si>
    <t>C03785 * C00008</t>
  </si>
  <si>
    <t>C01102 * C00001</t>
  </si>
  <si>
    <t>C00188 * C00009</t>
  </si>
  <si>
    <t>C00105 * C00011</t>
  </si>
  <si>
    <t>C01103 * C00013</t>
  </si>
  <si>
    <t>C00295 * C00119</t>
  </si>
  <si>
    <t>C01167 * C00001</t>
  </si>
  <si>
    <t>C00585 * C00009</t>
  </si>
  <si>
    <t>C01185 * C00001</t>
  </si>
  <si>
    <t>C05841 * C00009</t>
  </si>
  <si>
    <t>C01185 * C00013 * C00008 * C00009</t>
  </si>
  <si>
    <t>C00253 * C00119 * C00002 * C00001 * C00080</t>
  </si>
  <si>
    <t>C01260 * C00001</t>
  </si>
  <si>
    <t>C01346 * C00343 * C00001</t>
  </si>
  <si>
    <t>C00342 * C00015</t>
  </si>
  <si>
    <t>C01412 * C00010 * C00003</t>
  </si>
  <si>
    <t>C00136 * C00004 * C00080</t>
  </si>
  <si>
    <t>C01612 * C00003</t>
  </si>
  <si>
    <t>C01450 * C00004 * C00080</t>
  </si>
  <si>
    <t>C01613 * C00001</t>
  </si>
  <si>
    <t>C05404 * C00095</t>
  </si>
  <si>
    <t>C01638 * C00049 * C00002</t>
  </si>
  <si>
    <t>C02984 * C00013 * C00020</t>
  </si>
  <si>
    <t>C01641 * C00025 * C00002</t>
  </si>
  <si>
    <t>C02987 * C00013 * C00020</t>
  </si>
  <si>
    <t>C02211 * C00063</t>
  </si>
  <si>
    <t>C19078 * C00013</t>
  </si>
  <si>
    <t>C02211 * C00063 * C00002</t>
  </si>
  <si>
    <t>C19085 * C00013</t>
  </si>
  <si>
    <t>C02380 * C00119</t>
  </si>
  <si>
    <t>C04646 * C00013</t>
  </si>
  <si>
    <t>C02430 * C00234</t>
  </si>
  <si>
    <t>C00101 * C03294</t>
  </si>
  <si>
    <t>C02520 * C00001</t>
  </si>
  <si>
    <t>C00911 * C00009</t>
  </si>
  <si>
    <t>C02583 * C00019</t>
  </si>
  <si>
    <t>C20858 * C00021</t>
  </si>
  <si>
    <t>C02909 * C00003</t>
  </si>
  <si>
    <t>C14099 * C00004 * C00080</t>
  </si>
  <si>
    <t>C03023 * C00343 * C00001</t>
  </si>
  <si>
    <t>C03895 * C00342</t>
  </si>
  <si>
    <t>C15653 * C00342</t>
  </si>
  <si>
    <t>C03090 * C00013 * C00025</t>
  </si>
  <si>
    <t>C00064 * C00119 * C00001</t>
  </si>
  <si>
    <t>C04309 * C00001</t>
  </si>
  <si>
    <t>C11838 * C00155</t>
  </si>
  <si>
    <t>C00122 * C00020</t>
  </si>
  <si>
    <t>C03838 * C00445 * C00001</t>
  </si>
  <si>
    <t>C04376 * C00101</t>
  </si>
  <si>
    <t>C04232 * C00343 * C00001</t>
  </si>
  <si>
    <t>C03723 * C00342</t>
  </si>
  <si>
    <t>C04232 * C03170 * C00001</t>
  </si>
  <si>
    <t>C03723 * C02090</t>
  </si>
  <si>
    <t>C04232 * C16664 * C00001</t>
  </si>
  <si>
    <t>C03723 * C16663</t>
  </si>
  <si>
    <t>C04258 * C00001</t>
  </si>
  <si>
    <t>C00058 * C03617</t>
  </si>
  <si>
    <t>C01134 * C00011</t>
  </si>
  <si>
    <t>C04677 * C00013</t>
  </si>
  <si>
    <t>C04051 * C00119</t>
  </si>
  <si>
    <t>C04702 * C17556</t>
  </si>
  <si>
    <t>C00105 * C04851</t>
  </si>
  <si>
    <t>C03373 * C00011</t>
  </si>
  <si>
    <t>C00122 * C04677</t>
  </si>
  <si>
    <t>C04851 * C00043</t>
  </si>
  <si>
    <t>C05893 * C00015</t>
  </si>
  <si>
    <t>C04882 * C17556</t>
  </si>
  <si>
    <t>C00105 * C05897</t>
  </si>
  <si>
    <t>C05198 * C00001</t>
  </si>
  <si>
    <t>C22288 * C00147</t>
  </si>
  <si>
    <t>C05444 * C00003</t>
  </si>
  <si>
    <t>C05445 * C00004 * C00080</t>
  </si>
  <si>
    <t>C05576 * C00003</t>
  </si>
  <si>
    <t>C05577 * C00004 * C00080</t>
  </si>
  <si>
    <t>C05823 * C00003</t>
  </si>
  <si>
    <t>C00957 * C00004 * C00080</t>
  </si>
  <si>
    <t>C05893 * C11826</t>
  </si>
  <si>
    <t>C04574 * C11826</t>
  </si>
  <si>
    <t>C05897 * C00043</t>
  </si>
  <si>
    <t>C05898 * C00015</t>
  </si>
  <si>
    <t>C05898 * C11827</t>
  </si>
  <si>
    <t>C04574 * C11827</t>
  </si>
  <si>
    <t>C05984 * C00003</t>
  </si>
  <si>
    <t>C00109 * C00004 * C00080</t>
  </si>
  <si>
    <t>C06055 * C00001</t>
  </si>
  <si>
    <t>C06056 * C00009</t>
  </si>
  <si>
    <t>C06196 * C00001</t>
  </si>
  <si>
    <t>C05512 * C00009</t>
  </si>
  <si>
    <t>C06611 * C00003</t>
  </si>
  <si>
    <t>C06613 * C00004 * C00080</t>
  </si>
  <si>
    <t>C06612 * C00003</t>
  </si>
  <si>
    <t>C16348 * C00004 * C00080</t>
  </si>
  <si>
    <t>C06899 * C00004 * C00080</t>
  </si>
  <si>
    <t>C07490 * C00003 * C00001</t>
  </si>
  <si>
    <t>C07645 * C00004 * C00080</t>
  </si>
  <si>
    <t>C16551 * C00003</t>
  </si>
  <si>
    <t>C07648 * C00119</t>
  </si>
  <si>
    <t>C16619 * C00013</t>
  </si>
  <si>
    <t>C07649 * C00119</t>
  </si>
  <si>
    <t>C16634 * C00013</t>
  </si>
  <si>
    <t>C11439 * C00001</t>
  </si>
  <si>
    <t>C11440 * C00058</t>
  </si>
  <si>
    <t>C11736 * C00002</t>
  </si>
  <si>
    <t>C04242 * C00008</t>
  </si>
  <si>
    <t>C14089 * C00003</t>
  </si>
  <si>
    <t>C14090 * C00004 * C00080</t>
  </si>
  <si>
    <t>C15812 * C15813 * C00030</t>
  </si>
  <si>
    <t>C00020 * C15814 * C15811 * C00028</t>
  </si>
  <si>
    <t>C16310 * C00004 * C00080</t>
  </si>
  <si>
    <t>C08492 * C00003</t>
  </si>
  <si>
    <t>C16586 * C00003</t>
  </si>
  <si>
    <t>C16587 * C00004 * C00080</t>
  </si>
  <si>
    <t>C16595 * C00003</t>
  </si>
  <si>
    <t>C16596 * C00004 * C00080</t>
  </si>
  <si>
    <t>C16614 * C00119</t>
  </si>
  <si>
    <t>C16615 * C00013</t>
  </si>
  <si>
    <t>C16619 * C00020 * C00013 * C00025</t>
  </si>
  <si>
    <t>C16633 * C00002</t>
  </si>
  <si>
    <t>C16634 * C00008</t>
  </si>
  <si>
    <t>C16688 * C00001</t>
  </si>
  <si>
    <t>C00095 * C00092</t>
  </si>
  <si>
    <t>C17324 * C00001</t>
  </si>
  <si>
    <t>C20451 * C00014</t>
  </si>
  <si>
    <t>C19078 * C00063</t>
  </si>
  <si>
    <t>C19080 * C00013</t>
  </si>
  <si>
    <t>C19080 * C00002</t>
  </si>
  <si>
    <t>C19722 * C00047 * C00002</t>
  </si>
  <si>
    <t>C19723 * C00020 * C00013 * C00001</t>
  </si>
  <si>
    <t>C19771 * C03688</t>
  </si>
  <si>
    <t>C00229 * C00013</t>
  </si>
  <si>
    <t>C20641 * C17324</t>
  </si>
  <si>
    <t>C21750 * C00343 * C00001</t>
  </si>
  <si>
    <t>C21748 * C00342</t>
  </si>
  <si>
    <t>C22441 * C00122</t>
  </si>
  <si>
    <t>C22441 * C00002</t>
  </si>
  <si>
    <t>C22442 * C00008</t>
  </si>
  <si>
    <t>G00249 * C00001</t>
  </si>
  <si>
    <t>G01275 * C00095</t>
  </si>
  <si>
    <t>G00278 * C00001</t>
  </si>
  <si>
    <t>G00501 * C00095</t>
  </si>
  <si>
    <t>G00370 * C00001</t>
  </si>
  <si>
    <t>G10495 * C00009</t>
  </si>
  <si>
    <t>G10495 * C00103</t>
  </si>
  <si>
    <t>G10495 * G11109</t>
  </si>
  <si>
    <t>G10495 * G11113</t>
  </si>
  <si>
    <t>G10508 * C00001</t>
  </si>
  <si>
    <t>C02336 * C00668</t>
  </si>
  <si>
    <t>G10545 * C00009</t>
  </si>
  <si>
    <t>G10551 * G10610</t>
  </si>
  <si>
    <t>G10550 * G10619</t>
  </si>
  <si>
    <t>G10552 * G10610</t>
  </si>
  <si>
    <t>G10553 * G10619</t>
  </si>
  <si>
    <t>G10553 * G10554</t>
  </si>
  <si>
    <t>C04574 * G10554</t>
  </si>
  <si>
    <t>G10555 * G10557</t>
  </si>
  <si>
    <t>C04574 * G10557</t>
  </si>
  <si>
    <t>G10556 * G10610</t>
  </si>
  <si>
    <t>1_8_1_9</t>
  </si>
  <si>
    <t>2_1_1_182</t>
  </si>
  <si>
    <t>3_1_1_96</t>
  </si>
  <si>
    <t>2_7_7_85</t>
  </si>
  <si>
    <t>7_1_2_2</t>
  </si>
  <si>
    <t>2_7_1_23</t>
  </si>
  <si>
    <t>2_7_4_3</t>
  </si>
  <si>
    <t>2_7_1_40</t>
  </si>
  <si>
    <t>6_3_1_2</t>
  </si>
  <si>
    <t>2_7_2_1</t>
  </si>
  <si>
    <t>6_2_1_22</t>
  </si>
  <si>
    <t>6_1_1_14</t>
  </si>
  <si>
    <t>6_1_1_7</t>
  </si>
  <si>
    <t>2_7_7_6</t>
  </si>
  <si>
    <t>6_1_1_6</t>
  </si>
  <si>
    <t>2_7_2_4</t>
  </si>
  <si>
    <t>6_3_1_1</t>
  </si>
  <si>
    <t>2_7_4_25</t>
  </si>
  <si>
    <t>2_7_7_2</t>
  </si>
  <si>
    <t>6_1_1_19</t>
  </si>
  <si>
    <t>6_3_5_5</t>
  </si>
  <si>
    <t>6_1_1_11</t>
  </si>
  <si>
    <t>6_1_1_10</t>
  </si>
  <si>
    <t>6_3_4_2</t>
  </si>
  <si>
    <t>6_1_1_2</t>
  </si>
  <si>
    <t>6_1_1_20</t>
  </si>
  <si>
    <t>6_1_1_1</t>
  </si>
  <si>
    <t>2_7_1_11</t>
  </si>
  <si>
    <t>6_1_1_16</t>
  </si>
  <si>
    <t>2_7_7_27</t>
  </si>
  <si>
    <t>2_7_4_22</t>
  </si>
  <si>
    <t>2_7_1_30</t>
  </si>
  <si>
    <t>2_7_6_1</t>
  </si>
  <si>
    <t>2_7_1_15</t>
  </si>
  <si>
    <t>6_1_1_4</t>
  </si>
  <si>
    <t>6_1_1_13</t>
  </si>
  <si>
    <t>2_7_4_8</t>
  </si>
  <si>
    <t>6_1_1_15</t>
  </si>
  <si>
    <t>6_1_1_9</t>
  </si>
  <si>
    <t>6_1_1_3</t>
  </si>
  <si>
    <t>2_7_2_3</t>
  </si>
  <si>
    <t>2_7_1_21</t>
  </si>
  <si>
    <t>2_7_1_26</t>
  </si>
  <si>
    <t>2_7_1_39</t>
  </si>
  <si>
    <t>2_7_1_48</t>
  </si>
  <si>
    <t>2_7_6_2</t>
  </si>
  <si>
    <t>6_1_1_5</t>
  </si>
  <si>
    <t>2_7_1_36</t>
  </si>
  <si>
    <t>2_7_7_18</t>
  </si>
  <si>
    <t>2_7_13_3</t>
  </si>
  <si>
    <t>6_3_5_2</t>
  </si>
  <si>
    <t>2_7_1_33</t>
  </si>
  <si>
    <t>6_3_1_5</t>
  </si>
  <si>
    <t>2_4_2_52</t>
  </si>
  <si>
    <t>2_7_1_24</t>
  </si>
  <si>
    <t>2_7_1_6</t>
  </si>
  <si>
    <t>6_3_2_8</t>
  </si>
  <si>
    <t>2_7_1_56</t>
  </si>
  <si>
    <t>2_7_4_2</t>
  </si>
  <si>
    <t>2_7_7_3</t>
  </si>
  <si>
    <t>4_1_1_33</t>
  </si>
  <si>
    <t>6_3_2_9</t>
  </si>
  <si>
    <t>2_7_1_49</t>
  </si>
  <si>
    <t>6_3_4_13</t>
  </si>
  <si>
    <t>6_3_4_18</t>
  </si>
  <si>
    <t>6_3_3_2</t>
  </si>
  <si>
    <t>6_3_5_3</t>
  </si>
  <si>
    <t>2_7_4_7</t>
  </si>
  <si>
    <t>6_3_3_1</t>
  </si>
  <si>
    <t>6_3_2_6</t>
  </si>
  <si>
    <t>6_3_2_10</t>
  </si>
  <si>
    <t>2_5_1_6</t>
  </si>
  <si>
    <t>6_5_1_2</t>
  </si>
  <si>
    <t>4_1_1_31</t>
  </si>
  <si>
    <t>2_7_8_7</t>
  </si>
  <si>
    <t>3_6_1_1</t>
  </si>
  <si>
    <t>2_1_1_170</t>
  </si>
  <si>
    <t>2_1_1_176</t>
  </si>
  <si>
    <t>2_1_1_177</t>
  </si>
  <si>
    <t>2_1_1_190</t>
  </si>
  <si>
    <t>2_1_1_199</t>
  </si>
  <si>
    <t>2_1_1_207</t>
  </si>
  <si>
    <t>2_1_1_171</t>
  </si>
  <si>
    <t>2_1_1_228</t>
  </si>
  <si>
    <t>2_1_1_33</t>
  </si>
  <si>
    <t>3_1_3_5</t>
  </si>
  <si>
    <t>2_4_2_7</t>
  </si>
  <si>
    <t>3_2_2_9</t>
  </si>
  <si>
    <t>2_3_1_8</t>
  </si>
  <si>
    <t>2_8_3_10</t>
  </si>
  <si>
    <t>2_3_1_266</t>
  </si>
  <si>
    <t>2_3_1_157</t>
  </si>
  <si>
    <t>5_1_1_3</t>
  </si>
  <si>
    <t>5_1_3_2</t>
  </si>
  <si>
    <t>2_7_7_12</t>
  </si>
  <si>
    <t>5_1_1_1</t>
  </si>
  <si>
    <t>6_3_4_4</t>
  </si>
  <si>
    <t>2_7_7_41</t>
  </si>
  <si>
    <t>6_3_2_5</t>
  </si>
  <si>
    <t>2_6_1_16</t>
  </si>
  <si>
    <t>2_1_2_1</t>
  </si>
  <si>
    <t>1_8_4_11</t>
  </si>
  <si>
    <t>2_5_1_7</t>
  </si>
  <si>
    <t>2_7_3_9</t>
  </si>
  <si>
    <t>2_7_7_9</t>
  </si>
  <si>
    <t>2_7_7_23</t>
  </si>
  <si>
    <t>1_2_1_10</t>
  </si>
  <si>
    <t>3_2_1_26</t>
  </si>
  <si>
    <t>2_7_1_211</t>
  </si>
  <si>
    <t>5_3_1_9</t>
  </si>
  <si>
    <t>1_1_1_94</t>
  </si>
  <si>
    <t>2_3_1_15</t>
  </si>
  <si>
    <t>2_8_1_4</t>
  </si>
  <si>
    <t>1_5_1_3</t>
  </si>
  <si>
    <t>6_3_4_3</t>
  </si>
  <si>
    <t>2_4_2_9</t>
  </si>
  <si>
    <t>1_1_1_1</t>
  </si>
  <si>
    <t>5_3_1_6</t>
  </si>
  <si>
    <t>5_3_1_1</t>
  </si>
  <si>
    <t>5_3_3_2</t>
  </si>
  <si>
    <t>3_5_4_10</t>
  </si>
  <si>
    <t>2_4_2_8</t>
  </si>
  <si>
    <t>1_7_1_7</t>
  </si>
  <si>
    <t>2_7_7_7</t>
  </si>
  <si>
    <t>1_17_4_2</t>
  </si>
  <si>
    <t>2_4_2_22</t>
  </si>
  <si>
    <t>4_1_3_6</t>
  </si>
  <si>
    <t>2_1_3_2</t>
  </si>
  <si>
    <t>2_3_1_274</t>
  </si>
  <si>
    <t>1_1_1_27</t>
  </si>
  <si>
    <t>2_7_7_87</t>
  </si>
  <si>
    <t>5_1_3_1</t>
  </si>
  <si>
    <t>1_17_4_1</t>
  </si>
  <si>
    <t>3_5_4_4</t>
  </si>
  <si>
    <t>2_1_2_2</t>
  </si>
  <si>
    <t>2_1_2_3</t>
  </si>
  <si>
    <t>2_5_1_75</t>
  </si>
  <si>
    <t>1_1_1_3</t>
  </si>
  <si>
    <t>2_7_8_5</t>
  </si>
  <si>
    <t>3_5_2_3</t>
  </si>
  <si>
    <t>3_5_99_6</t>
  </si>
  <si>
    <t>2_3_3_10</t>
  </si>
  <si>
    <t>3_5_1_25</t>
  </si>
  <si>
    <t>2_1_1_45</t>
  </si>
  <si>
    <t>2_4_1_1</t>
  </si>
  <si>
    <t>1_2_1_11</t>
  </si>
  <si>
    <t>2_4_1_21</t>
  </si>
  <si>
    <t>4_1_3_34</t>
  </si>
  <si>
    <t>4_2_1_11</t>
  </si>
  <si>
    <t>4_1_2_4</t>
  </si>
  <si>
    <t>5_4_99_12</t>
  </si>
  <si>
    <t>2_8_1_13</t>
  </si>
  <si>
    <t>3_1_3_23</t>
  </si>
  <si>
    <t>2_5_1_47</t>
  </si>
  <si>
    <t>1_3_1_98</t>
  </si>
  <si>
    <t>4_2_3_1</t>
  </si>
  <si>
    <t>4_1_1_23</t>
  </si>
  <si>
    <t>2_4_2_10</t>
  </si>
  <si>
    <t>3_1_3_48</t>
  </si>
  <si>
    <t>6_3_4_21</t>
  </si>
  <si>
    <t>3_6_1_41</t>
  </si>
  <si>
    <t>6_1_1_12</t>
  </si>
  <si>
    <t>6_1_1_17</t>
  </si>
  <si>
    <t>2_7_7_72</t>
  </si>
  <si>
    <t>2_1_2_9</t>
  </si>
  <si>
    <t>5_3_2_6</t>
  </si>
  <si>
    <t>2_1_1_297</t>
  </si>
  <si>
    <t>1_8_4_12</t>
  </si>
  <si>
    <t>2_4_2_14</t>
  </si>
  <si>
    <t>4_4_1_21</t>
  </si>
  <si>
    <t>4_3_2_2</t>
  </si>
  <si>
    <t>5_2_1_8</t>
  </si>
  <si>
    <t>3_1_1_29</t>
  </si>
  <si>
    <t>3_5_1_88</t>
  </si>
  <si>
    <t>4_1_1_36</t>
  </si>
  <si>
    <t>2_7_8_13</t>
  </si>
  <si>
    <t>4_1_1_21</t>
  </si>
  <si>
    <t>2_4_1_227</t>
  </si>
  <si>
    <t>2_4_99_28</t>
  </si>
  <si>
    <t>5_4_2_10</t>
  </si>
  <si>
    <t>5_4_99_62</t>
  </si>
  <si>
    <t>5_4_99_18</t>
  </si>
  <si>
    <t>3_5_4_33</t>
  </si>
  <si>
    <t>6_3_4_19</t>
  </si>
  <si>
    <t>2_7_7_61</t>
  </si>
  <si>
    <t>2_3_1_234</t>
  </si>
  <si>
    <t>Enzymes</t>
  </si>
  <si>
    <t>No.</t>
  </si>
  <si>
    <t xml:space="preserve">Rate Law </t>
  </si>
  <si>
    <t xml:space="preserve"> Equation </t>
  </si>
  <si>
    <t xml:space="preserve">Enzymes </t>
  </si>
  <si>
    <t xml:space="preserve">EC_number  </t>
  </si>
  <si>
    <t xml:space="preserve">Translation Rate Law </t>
  </si>
  <si>
    <t>Enzyme mRNA</t>
  </si>
  <si>
    <t>C00003</t>
  </si>
  <si>
    <t>C00020</t>
  </si>
  <si>
    <t>C00061</t>
  </si>
  <si>
    <t>C00051</t>
  </si>
  <si>
    <t>C00060</t>
  </si>
  <si>
    <t>C00080</t>
  </si>
  <si>
    <t>C00081</t>
  </si>
  <si>
    <t>C00006</t>
  </si>
  <si>
    <t>C00005 * C00080 * C18902</t>
  </si>
  <si>
    <t>C00006 * C00001 * C05703</t>
  </si>
  <si>
    <t>C00073</t>
  </si>
  <si>
    <t>C00019 * C20648</t>
  </si>
  <si>
    <t>C00021 * C20796</t>
  </si>
  <si>
    <t>C01528 * C00006 * C00001</t>
  </si>
  <si>
    <t>C05684 * C00005 * C00080</t>
  </si>
  <si>
    <t>C05464</t>
  </si>
  <si>
    <t>C00655</t>
  </si>
  <si>
    <t>C00027</t>
  </si>
  <si>
    <t>C03800</t>
  </si>
  <si>
    <t>C00095</t>
  </si>
  <si>
    <t>C02336</t>
  </si>
  <si>
    <t>C05684</t>
  </si>
  <si>
    <t>C00233</t>
  </si>
  <si>
    <t>C04702</t>
  </si>
  <si>
    <t>C00201</t>
  </si>
  <si>
    <t>C06377</t>
  </si>
  <si>
    <t>C05465</t>
  </si>
  <si>
    <t>C00089</t>
  </si>
  <si>
    <t>C01613</t>
  </si>
  <si>
    <t>C00131</t>
  </si>
  <si>
    <t>C00286</t>
  </si>
  <si>
    <t>C00058</t>
  </si>
  <si>
    <t>C00718</t>
  </si>
  <si>
    <t>C00459</t>
  </si>
  <si>
    <t>C00144</t>
  </si>
  <si>
    <t>C21812</t>
  </si>
  <si>
    <t>C00301</t>
  </si>
  <si>
    <t>C05576</t>
  </si>
  <si>
    <t>C06611</t>
  </si>
  <si>
    <t>C00097</t>
  </si>
  <si>
    <t>C00506</t>
  </si>
  <si>
    <t>C00269</t>
  </si>
  <si>
    <t>C00212</t>
  </si>
  <si>
    <t>C03082</t>
  </si>
  <si>
    <t>C04631</t>
  </si>
  <si>
    <t>C00458</t>
  </si>
  <si>
    <t>C00350</t>
  </si>
  <si>
    <t>C04376</t>
  </si>
  <si>
    <t>C06188</t>
  </si>
  <si>
    <t>C00018</t>
  </si>
  <si>
    <t>C00504</t>
  </si>
  <si>
    <t>C05897</t>
  </si>
  <si>
    <t>G10551</t>
  </si>
  <si>
    <t>C01102</t>
  </si>
  <si>
    <t>C00250</t>
  </si>
  <si>
    <t>C00415</t>
  </si>
  <si>
    <t>C00103</t>
  </si>
  <si>
    <t>C00075</t>
  </si>
  <si>
    <t>C00798</t>
  </si>
  <si>
    <t>C00239</t>
  </si>
  <si>
    <t>G10518</t>
  </si>
  <si>
    <t>C11440</t>
  </si>
  <si>
    <t>C00585</t>
  </si>
  <si>
    <t>C22288</t>
  </si>
  <si>
    <t>C00418</t>
  </si>
  <si>
    <t>C00469</t>
  </si>
  <si>
    <t>C02909</t>
  </si>
  <si>
    <t>C05444</t>
  </si>
  <si>
    <t>C05947</t>
  </si>
  <si>
    <t>C00064</t>
  </si>
  <si>
    <t>C00123</t>
  </si>
  <si>
    <t>C00183</t>
  </si>
  <si>
    <t>C00407</t>
  </si>
  <si>
    <t>C02356</t>
  </si>
  <si>
    <t>C00004</t>
  </si>
  <si>
    <t>C00063</t>
  </si>
  <si>
    <t>C01097</t>
  </si>
  <si>
    <t>C00074</t>
  </si>
  <si>
    <t>C11736</t>
  </si>
  <si>
    <t>C00294</t>
  </si>
  <si>
    <t>C00881</t>
  </si>
  <si>
    <t>C00157</t>
  </si>
  <si>
    <t>C00492</t>
  </si>
  <si>
    <t>C00054</t>
  </si>
  <si>
    <t>C00299</t>
  </si>
  <si>
    <t>G10552</t>
  </si>
  <si>
    <t>C00104</t>
  </si>
  <si>
    <t>C00101</t>
  </si>
  <si>
    <t>C06196</t>
  </si>
  <si>
    <t>C04483</t>
  </si>
  <si>
    <t>C05526</t>
  </si>
  <si>
    <t>C05893</t>
  </si>
  <si>
    <t>C00136</t>
  </si>
  <si>
    <t>C03895</t>
  </si>
  <si>
    <t>C00035</t>
  </si>
  <si>
    <t>C04377</t>
  </si>
  <si>
    <t>C00361</t>
  </si>
  <si>
    <t>C02520</t>
  </si>
  <si>
    <t>C00360</t>
  </si>
  <si>
    <t>C00055</t>
  </si>
  <si>
    <t>C00105</t>
  </si>
  <si>
    <t>C15812</t>
  </si>
  <si>
    <t>C00053</t>
  </si>
  <si>
    <t>C00130</t>
  </si>
  <si>
    <t>C00010</t>
  </si>
  <si>
    <t>C00455</t>
  </si>
  <si>
    <t>C01185</t>
  </si>
  <si>
    <t>C00364</t>
  </si>
  <si>
    <t>C00365</t>
  </si>
  <si>
    <t>C00362</t>
  </si>
  <si>
    <t>C19771</t>
  </si>
  <si>
    <t>C21811</t>
  </si>
  <si>
    <t>C00645</t>
  </si>
  <si>
    <t>C04756</t>
  </si>
  <si>
    <t>C04882</t>
  </si>
  <si>
    <t>C00114</t>
  </si>
  <si>
    <t>C00024</t>
  </si>
  <si>
    <t>C01167</t>
  </si>
  <si>
    <t>C15653</t>
  </si>
  <si>
    <t>C00756</t>
  </si>
  <si>
    <t>C01612</t>
  </si>
  <si>
    <t>C03785</t>
  </si>
  <si>
    <t>C00022</t>
  </si>
  <si>
    <t>C20658</t>
  </si>
  <si>
    <t>C22131</t>
  </si>
  <si>
    <t>C03880</t>
  </si>
  <si>
    <t>C01801</t>
  </si>
  <si>
    <t>C00934</t>
  </si>
  <si>
    <t>C04242</t>
  </si>
  <si>
    <t>C16688</t>
  </si>
  <si>
    <t>C00226</t>
  </si>
  <si>
    <t>C00473</t>
  </si>
  <si>
    <t>C06612</t>
  </si>
  <si>
    <t>C06899</t>
  </si>
  <si>
    <t>C07645</t>
  </si>
  <si>
    <t>C14089</t>
  </si>
  <si>
    <t>C16310</t>
  </si>
  <si>
    <t>C16586</t>
  </si>
  <si>
    <t>C16595</t>
  </si>
  <si>
    <t>C00186</t>
  </si>
  <si>
    <t>C05823</t>
  </si>
  <si>
    <t>C05984</t>
  </si>
  <si>
    <t>C00263</t>
  </si>
  <si>
    <t>C00345</t>
  </si>
  <si>
    <t>C00093</t>
  </si>
  <si>
    <t>C00160</t>
  </si>
  <si>
    <t>C15565</t>
  </si>
  <si>
    <t>C03972</t>
  </si>
  <si>
    <t>C00206</t>
  </si>
  <si>
    <t>C00705</t>
  </si>
  <si>
    <t>C01346</t>
  </si>
  <si>
    <t>C04232</t>
  </si>
  <si>
    <t>C21750</t>
  </si>
  <si>
    <t>C00460</t>
  </si>
  <si>
    <t>C00677</t>
  </si>
  <si>
    <t>C00084</t>
  </si>
  <si>
    <t>C01412</t>
  </si>
  <si>
    <t>C00441</t>
  </si>
  <si>
    <t>C00337</t>
  </si>
  <si>
    <t>C01050</t>
  </si>
  <si>
    <t>C00314</t>
  </si>
  <si>
    <t>C00534</t>
  </si>
  <si>
    <t>C00627</t>
  </si>
  <si>
    <t>C00647</t>
  </si>
  <si>
    <t>C00272</t>
  </si>
  <si>
    <t>C00005</t>
  </si>
  <si>
    <t>C00342</t>
  </si>
  <si>
    <t>C01528</t>
  </si>
  <si>
    <t>C03023</t>
  </si>
  <si>
    <t>C03172</t>
  </si>
  <si>
    <t>C04489</t>
  </si>
  <si>
    <t>C05698</t>
  </si>
  <si>
    <t>C02583</t>
  </si>
  <si>
    <t>C04250</t>
  </si>
  <si>
    <t>C00065</t>
  </si>
  <si>
    <t>C00143</t>
  </si>
  <si>
    <t>C00234</t>
  </si>
  <si>
    <t>C03838</t>
  </si>
  <si>
    <t>C02430</t>
  </si>
  <si>
    <t>C00169</t>
  </si>
  <si>
    <t>C00173</t>
  </si>
  <si>
    <t>C00605</t>
  </si>
  <si>
    <t>C20641</t>
  </si>
  <si>
    <t>C02133</t>
  </si>
  <si>
    <t>C00100</t>
  </si>
  <si>
    <t>C00356</t>
  </si>
  <si>
    <t>C00369</t>
  </si>
  <si>
    <t>G10495</t>
  </si>
  <si>
    <t>G10545</t>
  </si>
  <si>
    <t>C00498</t>
  </si>
  <si>
    <t>C04851</t>
  </si>
  <si>
    <t>G10556</t>
  </si>
  <si>
    <t>G00370</t>
  </si>
  <si>
    <t>C07649</t>
  </si>
  <si>
    <t>C03090</t>
  </si>
  <si>
    <t>C04677</t>
  </si>
  <si>
    <t>C02380</t>
  </si>
  <si>
    <t>C07648</t>
  </si>
  <si>
    <t>C16614</t>
  </si>
  <si>
    <t>C05898</t>
  </si>
  <si>
    <t>G10553</t>
  </si>
  <si>
    <t>G10555</t>
  </si>
  <si>
    <t>C00979</t>
  </si>
  <si>
    <t>C01005</t>
  </si>
  <si>
    <t>C00049</t>
  </si>
  <si>
    <t>C00079</t>
  </si>
  <si>
    <t>C00082</t>
  </si>
  <si>
    <t>C16633</t>
  </si>
  <si>
    <t>C00068</t>
  </si>
  <si>
    <t>C22441</t>
  </si>
  <si>
    <t>C02211</t>
  </si>
  <si>
    <t>C19078</t>
  </si>
  <si>
    <t>C19080</t>
  </si>
  <si>
    <t>C00188</t>
  </si>
  <si>
    <t>G00249</t>
  </si>
  <si>
    <t>G00278</t>
  </si>
  <si>
    <t>G10508</t>
  </si>
  <si>
    <t>C04534</t>
  </si>
  <si>
    <t>C06187</t>
  </si>
  <si>
    <t>C00170</t>
  </si>
  <si>
    <t>C05198</t>
  </si>
  <si>
    <t>C00012</t>
  </si>
  <si>
    <t>C00241</t>
  </si>
  <si>
    <t>C00819</t>
  </si>
  <si>
    <t>C01921</t>
  </si>
  <si>
    <t>C05122</t>
  </si>
  <si>
    <t>C05463</t>
  </si>
  <si>
    <t>C05466</t>
  </si>
  <si>
    <t>C00357</t>
  </si>
  <si>
    <t>C06376</t>
  </si>
  <si>
    <t>C04258</t>
  </si>
  <si>
    <t>C11439</t>
  </si>
  <si>
    <t>C17324</t>
  </si>
  <si>
    <t>C00559</t>
  </si>
  <si>
    <t>C01260</t>
  </si>
  <si>
    <t>C00256</t>
  </si>
  <si>
    <t>C06055</t>
  </si>
  <si>
    <t>C01638</t>
  </si>
  <si>
    <t>C01641</t>
  </si>
  <si>
    <t>C19722</t>
  </si>
  <si>
    <t>C16618</t>
  </si>
  <si>
    <t>C00014</t>
  </si>
  <si>
    <t>C00576</t>
  </si>
  <si>
    <t>C00071</t>
  </si>
  <si>
    <t>C00772</t>
  </si>
  <si>
    <t>C00376</t>
  </si>
  <si>
    <t>C01545</t>
  </si>
  <si>
    <t>C01450</t>
  </si>
  <si>
    <t>C14099</t>
  </si>
  <si>
    <t>C05445</t>
  </si>
  <si>
    <t>C05577</t>
  </si>
  <si>
    <t>C06613</t>
  </si>
  <si>
    <t>C16348</t>
  </si>
  <si>
    <t>C07490</t>
  </si>
  <si>
    <t>C16551</t>
  </si>
  <si>
    <t>C14090</t>
  </si>
  <si>
    <t>C08492</t>
  </si>
  <si>
    <t>C16587</t>
  </si>
  <si>
    <t>C16596</t>
  </si>
  <si>
    <t>C00957</t>
  </si>
  <si>
    <t>C00109</t>
  </si>
  <si>
    <t>C01236</t>
  </si>
  <si>
    <t>C00048</t>
  </si>
  <si>
    <t>C00161</t>
  </si>
  <si>
    <t>C20258</t>
  </si>
  <si>
    <t>C03723</t>
  </si>
  <si>
    <t>C21748</t>
  </si>
  <si>
    <t>C03802</t>
  </si>
  <si>
    <t>C00227</t>
  </si>
  <si>
    <t>C00295</t>
  </si>
  <si>
    <t>C02953</t>
  </si>
  <si>
    <t>C00343</t>
  </si>
  <si>
    <t>C15999</t>
  </si>
  <si>
    <t>C04144</t>
  </si>
  <si>
    <t>C05335</t>
  </si>
  <si>
    <t>C20858</t>
  </si>
  <si>
    <t>C11437</t>
  </si>
  <si>
    <t>C00681</t>
  </si>
  <si>
    <t>C00153</t>
  </si>
  <si>
    <t>C02876</t>
  </si>
  <si>
    <t>G10550</t>
  </si>
  <si>
    <t>C16634</t>
  </si>
  <si>
    <t>C00242</t>
  </si>
  <si>
    <t>C00385</t>
  </si>
  <si>
    <t>C00147</t>
  </si>
  <si>
    <t>C04051</t>
  </si>
  <si>
    <t>C00262</t>
  </si>
  <si>
    <t>C04646</t>
  </si>
  <si>
    <t>C16619</t>
  </si>
  <si>
    <t>C16615</t>
  </si>
  <si>
    <t>C00106</t>
  </si>
  <si>
    <t>C04574</t>
  </si>
  <si>
    <t>C05688</t>
  </si>
  <si>
    <t>C00036</t>
  </si>
  <si>
    <t>C00166</t>
  </si>
  <si>
    <t>C01179</t>
  </si>
  <si>
    <t>C05528</t>
  </si>
  <si>
    <t>C05527</t>
  </si>
  <si>
    <t>C05946</t>
  </si>
  <si>
    <t>C00141</t>
  </si>
  <si>
    <t>C00671</t>
  </si>
  <si>
    <t>C00112</t>
  </si>
  <si>
    <t>C00015</t>
  </si>
  <si>
    <t>C00454</t>
  </si>
  <si>
    <t>C03028</t>
  </si>
  <si>
    <t>C22442</t>
  </si>
  <si>
    <t>C00229</t>
  </si>
  <si>
    <t>C16463</t>
  </si>
  <si>
    <t>C19085</t>
  </si>
  <si>
    <t>C17322</t>
  </si>
  <si>
    <t>C00033</t>
  </si>
  <si>
    <t>C03523</t>
  </si>
  <si>
    <t>C00405</t>
  </si>
  <si>
    <t>C11477</t>
  </si>
  <si>
    <t>C00475</t>
  </si>
  <si>
    <t>C00387</t>
  </si>
  <si>
    <t>C00330</t>
  </si>
  <si>
    <t>C00214</t>
  </si>
  <si>
    <t>C00526</t>
  </si>
  <si>
    <t>C03150</t>
  </si>
  <si>
    <t>C01762</t>
  </si>
  <si>
    <t>C05841</t>
  </si>
  <si>
    <t>C00911</t>
  </si>
  <si>
    <t>C05512</t>
  </si>
  <si>
    <t>C00224</t>
  </si>
  <si>
    <t>C00416</t>
  </si>
  <si>
    <t>C00189</t>
  </si>
  <si>
    <t>C15647</t>
  </si>
  <si>
    <t>C05402</t>
  </si>
  <si>
    <t>C05404</t>
  </si>
  <si>
    <t>G01275</t>
  </si>
  <si>
    <t>G00501</t>
  </si>
  <si>
    <t>C00031</t>
  </si>
  <si>
    <t>C00530</t>
  </si>
  <si>
    <t>C02323</t>
  </si>
  <si>
    <t>C00148</t>
  </si>
  <si>
    <t>C00695</t>
  </si>
  <si>
    <t>C02528</t>
  </si>
  <si>
    <t>C20451</t>
  </si>
  <si>
    <t>C00047</t>
  </si>
  <si>
    <t>C03373</t>
  </si>
  <si>
    <t>C01134</t>
  </si>
  <si>
    <t>C04309</t>
  </si>
  <si>
    <t>C16698</t>
  </si>
  <si>
    <t>C00122</t>
  </si>
  <si>
    <t>C00712</t>
  </si>
  <si>
    <t>C06056</t>
  </si>
  <si>
    <t>C11838</t>
  </si>
  <si>
    <t>C02984</t>
  </si>
  <si>
    <t>C02987</t>
  </si>
  <si>
    <t>C19723</t>
  </si>
  <si>
    <t>C00253</t>
  </si>
  <si>
    <t>C01563</t>
  </si>
  <si>
    <t>C00007</t>
  </si>
  <si>
    <t>C00011</t>
  </si>
  <si>
    <t>C00016</t>
  </si>
  <si>
    <t>C00026</t>
  </si>
  <si>
    <t>C00037</t>
  </si>
  <si>
    <t>C00039</t>
  </si>
  <si>
    <t>C00040</t>
  </si>
  <si>
    <t>C00046</t>
  </si>
  <si>
    <t>C00062</t>
  </si>
  <si>
    <t>C00066</t>
  </si>
  <si>
    <t>C00078</t>
  </si>
  <si>
    <t>C00094</t>
  </si>
  <si>
    <t>C00116</t>
  </si>
  <si>
    <t>C00119</t>
  </si>
  <si>
    <t>C00121</t>
  </si>
  <si>
    <t>C00155</t>
  </si>
  <si>
    <t>C00163</t>
  </si>
  <si>
    <t>C00184</t>
  </si>
  <si>
    <t>C00197</t>
  </si>
  <si>
    <t>C00209</t>
  </si>
  <si>
    <t>C00236</t>
  </si>
  <si>
    <t>C00240</t>
  </si>
  <si>
    <t>C00245</t>
  </si>
  <si>
    <t>C00255</t>
  </si>
  <si>
    <t>C00257</t>
  </si>
  <si>
    <t>C00258</t>
  </si>
  <si>
    <t>C00267</t>
  </si>
  <si>
    <t>C00283</t>
  </si>
  <si>
    <t>C00288</t>
  </si>
  <si>
    <t>C00302</t>
  </si>
  <si>
    <t>C00320</t>
  </si>
  <si>
    <t>C00354</t>
  </si>
  <si>
    <t>C00378</t>
  </si>
  <si>
    <t>C00445</t>
  </si>
  <si>
    <t>C00446</t>
  </si>
  <si>
    <t>C00447</t>
  </si>
  <si>
    <t>C00513</t>
  </si>
  <si>
    <t>C00615</t>
  </si>
  <si>
    <t>C00831</t>
  </si>
  <si>
    <t>C00857</t>
  </si>
  <si>
    <t>C00864</t>
  </si>
  <si>
    <t>C00882</t>
  </si>
  <si>
    <t>C00984</t>
  </si>
  <si>
    <t>C01094</t>
  </si>
  <si>
    <t>C01107</t>
  </si>
  <si>
    <t>C01143</t>
  </si>
  <si>
    <t>C01212</t>
  </si>
  <si>
    <t>C01217</t>
  </si>
  <si>
    <t>C01279</t>
  </si>
  <si>
    <t>C01977</t>
  </si>
  <si>
    <t>C01997</t>
  </si>
  <si>
    <t>C02090</t>
  </si>
  <si>
    <t>C02188</t>
  </si>
  <si>
    <t>C02342</t>
  </si>
  <si>
    <t>C02415</t>
  </si>
  <si>
    <t>C02743</t>
  </si>
  <si>
    <t>C03089</t>
  </si>
  <si>
    <t>C03170</t>
  </si>
  <si>
    <t>C03294</t>
  </si>
  <si>
    <t>C03479</t>
  </si>
  <si>
    <t>C03492</t>
  </si>
  <si>
    <t>C03617</t>
  </si>
  <si>
    <t>C03688</t>
  </si>
  <si>
    <t>C03803</t>
  </si>
  <si>
    <t>C03892</t>
  </si>
  <si>
    <t>C04079</t>
  </si>
  <si>
    <t>C04153</t>
  </si>
  <si>
    <t>C04157</t>
  </si>
  <si>
    <t>C04160</t>
  </si>
  <si>
    <t>C04161</t>
  </si>
  <si>
    <t>C04261</t>
  </si>
  <si>
    <t>C04341</t>
  </si>
  <si>
    <t>C04432</t>
  </si>
  <si>
    <t>C04501</t>
  </si>
  <si>
    <t>C04556</t>
  </si>
  <si>
    <t>C04640</t>
  </si>
  <si>
    <t>C04752</t>
  </si>
  <si>
    <t>C04877</t>
  </si>
  <si>
    <t>C05378</t>
  </si>
  <si>
    <t>C05382</t>
  </si>
  <si>
    <t>C05892</t>
  </si>
  <si>
    <t>C09306</t>
  </si>
  <si>
    <t>C11475</t>
  </si>
  <si>
    <t>C11826</t>
  </si>
  <si>
    <t>C11827</t>
  </si>
  <si>
    <t>C15811</t>
  </si>
  <si>
    <t>C15813</t>
  </si>
  <si>
    <t>C15814</t>
  </si>
  <si>
    <t>C16663</t>
  </si>
  <si>
    <t>C16664</t>
  </si>
  <si>
    <t>C17556</t>
  </si>
  <si>
    <t>C20565</t>
  </si>
  <si>
    <t>C20648</t>
  </si>
  <si>
    <t>C20743</t>
  </si>
  <si>
    <t>C20751</t>
  </si>
  <si>
    <t>C20796</t>
  </si>
  <si>
    <t>C20864</t>
  </si>
  <si>
    <t>C20969</t>
  </si>
  <si>
    <t>G10554</t>
  </si>
  <si>
    <t>G10557</t>
  </si>
  <si>
    <t>G10610</t>
  </si>
  <si>
    <t>G10619</t>
  </si>
  <si>
    <t>G11109</t>
  </si>
  <si>
    <t>G11113</t>
  </si>
  <si>
    <t>C00030</t>
  </si>
  <si>
    <t>C00152</t>
  </si>
  <si>
    <t>C00332</t>
  </si>
  <si>
    <t>C00653</t>
  </si>
  <si>
    <t>C00692</t>
  </si>
  <si>
    <t>C00787</t>
  </si>
  <si>
    <t>C00886</t>
  </si>
  <si>
    <t>C00993</t>
  </si>
  <si>
    <t>C01635</t>
  </si>
  <si>
    <t>C01636</t>
  </si>
  <si>
    <t>C01639</t>
  </si>
  <si>
    <t>C01642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</si>
  <si>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</si>
  <si>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</si>
  <si>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</si>
  <si>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</si>
  <si>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</si>
  <si>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</si>
  <si>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</si>
  <si>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</si>
  <si>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</si>
  <si>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</si>
  <si>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C01931</t>
  </si>
  <si>
    <t>C02047</t>
  </si>
  <si>
    <t>C02128</t>
  </si>
  <si>
    <t>C02163</t>
  </si>
  <si>
    <t>C02412</t>
  </si>
  <si>
    <t>C02553</t>
  </si>
  <si>
    <t>C02554</t>
  </si>
  <si>
    <t>C02702</t>
  </si>
  <si>
    <t>C02839</t>
  </si>
  <si>
    <t>C02992</t>
  </si>
  <si>
    <t>C03125</t>
  </si>
  <si>
    <t>C03127</t>
  </si>
  <si>
    <t>C03511</t>
  </si>
  <si>
    <t>C03512</t>
  </si>
  <si>
    <t>C04260</t>
  </si>
  <si>
    <t>C04298</t>
  </si>
  <si>
    <t>C04334</t>
  </si>
  <si>
    <t>C05336</t>
  </si>
  <si>
    <t>C05691</t>
  </si>
  <si>
    <t>C05703</t>
  </si>
  <si>
    <t>C06481</t>
  </si>
  <si>
    <t>C13179</t>
  </si>
  <si>
    <t>C16636</t>
  </si>
  <si>
    <t>C18902</t>
  </si>
  <si>
    <t>G13167</t>
  </si>
  <si>
    <t>G13170</t>
  </si>
  <si>
    <t>G13171</t>
  </si>
  <si>
    <t>G13174</t>
  </si>
  <si>
    <t>G13175</t>
  </si>
  <si>
    <t>G13176</t>
  </si>
  <si>
    <t>G13177</t>
  </si>
  <si>
    <t>G13178</t>
  </si>
  <si>
    <t>G13180</t>
  </si>
  <si>
    <t>G13185</t>
  </si>
  <si>
    <t>G13186</t>
  </si>
  <si>
    <t>G13192</t>
  </si>
  <si>
    <t>G13193</t>
  </si>
  <si>
    <t>C00028</t>
  </si>
  <si>
    <t>Water</t>
  </si>
  <si>
    <t>ATP</t>
  </si>
  <si>
    <t>NAD+</t>
  </si>
  <si>
    <t>NADH</t>
  </si>
  <si>
    <t>NADPH</t>
  </si>
  <si>
    <t>NADP+</t>
  </si>
  <si>
    <t>Oxygen</t>
  </si>
  <si>
    <t>ADP</t>
  </si>
  <si>
    <t xml:space="preserve">Phosphoric Acid </t>
  </si>
  <si>
    <t>CoA</t>
  </si>
  <si>
    <t xml:space="preserve">Carbon Dioxide </t>
  </si>
  <si>
    <t>peptide</t>
  </si>
  <si>
    <t xml:space="preserve">Diphosphoric Acid </t>
  </si>
  <si>
    <t>Ammonia</t>
  </si>
  <si>
    <t>UDP</t>
  </si>
  <si>
    <t>FAD</t>
  </si>
  <si>
    <t>SAM</t>
  </si>
  <si>
    <t>AMP</t>
  </si>
  <si>
    <t>S-Adenosyl-L-Homocysteine(SAH)</t>
  </si>
  <si>
    <t>Pyridoxal Phosphate(PLP)</t>
  </si>
  <si>
    <t xml:space="preserve">Pyruvate </t>
  </si>
  <si>
    <t>Acetyl-CoA</t>
  </si>
  <si>
    <t xml:space="preserve">2-Oxoglutarate </t>
  </si>
  <si>
    <t xml:space="preserve">Hydrogen Peroxide </t>
  </si>
  <si>
    <t>Acceptor</t>
  </si>
  <si>
    <t xml:space="preserve">Reduced Acceptor </t>
  </si>
  <si>
    <t>D-Glucose</t>
  </si>
  <si>
    <t>L-Glutamate</t>
  </si>
  <si>
    <t>Acetate</t>
  </si>
  <si>
    <t>GDP</t>
  </si>
  <si>
    <t>Oxaloacetate</t>
  </si>
  <si>
    <t>Glycine</t>
  </si>
  <si>
    <t>DNA</t>
  </si>
  <si>
    <t>Acyl-CoA</t>
  </si>
  <si>
    <t>L-Alanine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</si>
  <si>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</si>
  <si>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</si>
  <si>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</si>
  <si>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</si>
  <si>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</si>
  <si>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</si>
  <si>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</si>
  <si>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UDP-D-Galactose</t>
  </si>
  <si>
    <t>3'-Phosphoadenylyl Sulfate/PAPS</t>
  </si>
  <si>
    <t xml:space="preserve">Adenosine 3',5'-bisphosphate </t>
  </si>
  <si>
    <t>Cytidine-5'-monophosphate/CMP</t>
  </si>
  <si>
    <t>Formate</t>
  </si>
  <si>
    <t xml:space="preserve">Carboxylate </t>
  </si>
  <si>
    <t>Flavin Mononucleotide/FMN</t>
  </si>
  <si>
    <t>L-Arginine</t>
  </si>
  <si>
    <t>CTP</t>
  </si>
  <si>
    <t>L-Glutamine</t>
  </si>
  <si>
    <t>L-Serine</t>
  </si>
  <si>
    <t xml:space="preserve">Thiamin Diphosphate </t>
  </si>
  <si>
    <t xml:space="preserve">Aldehyde </t>
  </si>
  <si>
    <t xml:space="preserve">L-Methionine </t>
  </si>
  <si>
    <t xml:space="preserve">Phosphoenolpyruvate </t>
  </si>
  <si>
    <t>UTP</t>
  </si>
  <si>
    <t>L-Tryptophan</t>
  </si>
  <si>
    <t>L-Phenylalanine</t>
  </si>
  <si>
    <t>H+</t>
  </si>
  <si>
    <t>ITP</t>
  </si>
  <si>
    <t>L-Tyrosine</t>
  </si>
  <si>
    <t>Acetaldehyde</t>
  </si>
  <si>
    <t xml:space="preserve">D-Fructose </t>
  </si>
  <si>
    <t xml:space="preserve">Sucrose </t>
  </si>
  <si>
    <t xml:space="preserve">sn-Glycerol 3-Phosphate </t>
  </si>
  <si>
    <t xml:space="preserve">Sulfite </t>
  </si>
  <si>
    <t xml:space="preserve">L-Cysteine </t>
  </si>
  <si>
    <t>Propanoyl-CoA</t>
  </si>
  <si>
    <t xml:space="preserve">Tetrahydrofolate </t>
  </si>
  <si>
    <t xml:space="preserve">Glucose 1-Phosphate </t>
  </si>
  <si>
    <t>IDP</t>
  </si>
  <si>
    <t>UMP</t>
  </si>
  <si>
    <t>Uracil</t>
  </si>
  <si>
    <t xml:space="preserve">2-Oxobutanoate </t>
  </si>
  <si>
    <t xml:space="preserve">Glycerone Phosphate </t>
  </si>
  <si>
    <t>CDP</t>
  </si>
  <si>
    <t xml:space="preserve">Choline </t>
  </si>
  <si>
    <t>Glycerol</t>
  </si>
  <si>
    <t xml:space="preserve">D-Ribose 5-Phosphate </t>
  </si>
  <si>
    <t xml:space="preserve">D-Glyceraldehyde 3-Phosphate </t>
  </si>
  <si>
    <t xml:space="preserve">5-Phospho-alpha-D-ribose 1-diphosphate </t>
  </si>
  <si>
    <t>D-Ribose</t>
  </si>
  <si>
    <t>Fumarate</t>
  </si>
  <si>
    <t>L-Leucine</t>
  </si>
  <si>
    <t xml:space="preserve">Isopentenyl Diphosphate </t>
  </si>
  <si>
    <t>IMP</t>
  </si>
  <si>
    <t>dATP</t>
  </si>
  <si>
    <t>D-Alanine</t>
  </si>
  <si>
    <t>Butanoyl-CoA</t>
  </si>
  <si>
    <t xml:space="preserve">3-Methyl-2-oxobutanoic acid </t>
  </si>
  <si>
    <t>5,10-Methylenetetrahydrofolate</t>
  </si>
  <si>
    <t>GMP</t>
  </si>
  <si>
    <t>Adenine</t>
  </si>
  <si>
    <t xml:space="preserve">L-Proline </t>
  </si>
  <si>
    <t>(S)-Malate</t>
  </si>
  <si>
    <t>L-Asparagine</t>
  </si>
  <si>
    <t>Nicotinamide</t>
  </si>
  <si>
    <t>L-Homocysteine</t>
  </si>
  <si>
    <t xml:space="preserve">Phosphatidylcholine </t>
  </si>
  <si>
    <t>Citrate</t>
  </si>
  <si>
    <t>Glycolate</t>
  </si>
  <si>
    <t>2-Oxo acid</t>
  </si>
  <si>
    <t>Propanoate</t>
  </si>
  <si>
    <t>Phenylpyruvate</t>
  </si>
  <si>
    <t xml:space="preserve">Carbamoyl Phosphate </t>
  </si>
  <si>
    <t xml:space="preserve">5'-Methylthioadenosine </t>
  </si>
  <si>
    <t>Acyl-[acyl-carrier protein]</t>
  </si>
  <si>
    <t>L-Valine</t>
  </si>
  <si>
    <t>Glycerone</t>
  </si>
  <si>
    <t>(S)-Lactate</t>
  </si>
  <si>
    <t>L-Threonine</t>
  </si>
  <si>
    <t xml:space="preserve">Ethanolamine </t>
  </si>
  <si>
    <t xml:space="preserve">3-Phospho-D-glycerate </t>
  </si>
  <si>
    <t xml:space="preserve">D-Ribulose 5-phosphate </t>
  </si>
  <si>
    <t>NTP</t>
  </si>
  <si>
    <t>UDP-N-acetyl-D-galactosamine</t>
  </si>
  <si>
    <t>dADP</t>
  </si>
  <si>
    <t xml:space="preserve">Oxalate </t>
  </si>
  <si>
    <t xml:space="preserve">Adenosine </t>
  </si>
  <si>
    <t xml:space="preserve">Thymidine </t>
  </si>
  <si>
    <t xml:space="preserve">D-Glutamate </t>
  </si>
  <si>
    <t xml:space="preserve">Adenylyl Sulfate </t>
  </si>
  <si>
    <t>Primary Alcohol</t>
  </si>
  <si>
    <t>Acetyl Phosphate</t>
  </si>
  <si>
    <t xml:space="preserve">Acyl-carrier protein </t>
  </si>
  <si>
    <t xml:space="preserve">D-Xylulose 5-Phosphate </t>
  </si>
  <si>
    <t xml:space="preserve">4-Methyl-2-oxopentanoate </t>
  </si>
  <si>
    <t>10-Formyltetrahydrofolate</t>
  </si>
  <si>
    <t>Dimethylallyl diphosphate</t>
  </si>
  <si>
    <t>3-Phospho-D-glyceroyl phosphate</t>
  </si>
  <si>
    <t>dCMP</t>
  </si>
  <si>
    <t>Amide</t>
  </si>
  <si>
    <t>Guanine</t>
  </si>
  <si>
    <t>Taurine</t>
  </si>
  <si>
    <t>Pyridoxal</t>
  </si>
  <si>
    <t>Nicotinate</t>
  </si>
  <si>
    <t>Riboflavin</t>
  </si>
  <si>
    <t>(R)-Lactate</t>
  </si>
  <si>
    <t xml:space="preserve">D-Gluconic Acid </t>
  </si>
  <si>
    <t>D-Glycerate</t>
  </si>
  <si>
    <t>Hypoxanthine</t>
  </si>
  <si>
    <t>L-Homoserine</t>
  </si>
  <si>
    <t>CDP-diacylglycerol</t>
  </si>
  <si>
    <t>Tetrahydrobiopterin</t>
  </si>
  <si>
    <t xml:space="preserve">Hydrogen Sulfide </t>
  </si>
  <si>
    <t>dGTP</t>
  </si>
  <si>
    <t>HCO3-</t>
  </si>
  <si>
    <t>Inosine</t>
  </si>
  <si>
    <t>Orotate</t>
  </si>
  <si>
    <t>Uridine</t>
  </si>
  <si>
    <t>ADP-ribose</t>
  </si>
  <si>
    <t xml:space="preserve">Glutamate </t>
  </si>
  <si>
    <t>Oxalyl-CoA</t>
  </si>
  <si>
    <t>Pyridoxine</t>
  </si>
  <si>
    <t>Thiosulfate</t>
  </si>
  <si>
    <t>Deoxyguanosine</t>
  </si>
  <si>
    <t>Acetoacetyl-CoA</t>
  </si>
  <si>
    <t>(S)-Dihydroorotate</t>
  </si>
  <si>
    <t>Thioredoxin</t>
  </si>
  <si>
    <t xml:space="preserve">Thioredoxin disulfide </t>
  </si>
  <si>
    <t>6-Phospho-D-gluconate</t>
  </si>
  <si>
    <t>Phosphatidylethanolamine</t>
  </si>
  <si>
    <t>D-Glucosamine 6-phosphate</t>
  </si>
  <si>
    <t>D-Fructose 1,6-bisphosphate</t>
  </si>
  <si>
    <t>(S)-3-Hydroxy-3-methylglutaryl-CoA</t>
  </si>
  <si>
    <t>N-Acetyl-D-glucosamine 6-phosphate</t>
  </si>
  <si>
    <t>dAMP</t>
  </si>
  <si>
    <t>dGDP</t>
  </si>
  <si>
    <t>dGMP</t>
  </si>
  <si>
    <t>dTMP</t>
  </si>
  <si>
    <t>dUMP</t>
  </si>
  <si>
    <t>Starch</t>
  </si>
  <si>
    <t>Retinal</t>
  </si>
  <si>
    <t>Thiamine</t>
  </si>
  <si>
    <t>Xanthine</t>
  </si>
  <si>
    <t xml:space="preserve">Guanosine </t>
  </si>
  <si>
    <t>D-Amino acid</t>
  </si>
  <si>
    <t>L-Isoleucine</t>
  </si>
  <si>
    <t>Dihydrofolate</t>
  </si>
  <si>
    <t>Phosphatidate</t>
  </si>
  <si>
    <t>N-Carbamoyl-L-aspartate</t>
  </si>
  <si>
    <t>( R )-Mevalonate</t>
  </si>
  <si>
    <t>L-Aspartate 4-semialdehyde</t>
  </si>
  <si>
    <t>5,10-Methenyltetrahydrofolate</t>
  </si>
  <si>
    <t xml:space="preserve">alpha-D-Galactose 1-phosphate </t>
  </si>
  <si>
    <t>Sedoheptulose 1,7-bisphosphate</t>
  </si>
  <si>
    <t>NDP</t>
  </si>
  <si>
    <t>Nicotinamide-D-ribonucleotide</t>
  </si>
  <si>
    <t>dCTP</t>
  </si>
  <si>
    <t>dTTP</t>
  </si>
  <si>
    <t>dUTP</t>
  </si>
  <si>
    <t>Ethanol</t>
  </si>
  <si>
    <t>Retinol</t>
  </si>
  <si>
    <t>Cytidine</t>
  </si>
  <si>
    <t>Raffinose</t>
  </si>
  <si>
    <t>ADP-glucose</t>
  </si>
  <si>
    <t>Folate</t>
  </si>
  <si>
    <t>L-Cysteate</t>
  </si>
  <si>
    <t>CDP-glycerol</t>
  </si>
  <si>
    <t>Deoxyuridine</t>
  </si>
  <si>
    <t>Hydroquinone</t>
  </si>
  <si>
    <t>Pyridoxamine</t>
  </si>
  <si>
    <t>Deoxyadenosine</t>
  </si>
  <si>
    <t>(3S)-Citryl-CoA</t>
  </si>
  <si>
    <t xml:space="preserve">Betaine aldehyde </t>
  </si>
  <si>
    <t>Protein tyrosine</t>
  </si>
  <si>
    <t>2,3-Dehydroacyl-CoA</t>
  </si>
  <si>
    <t>3-Sulfino-L-alanine</t>
  </si>
  <si>
    <t>Protein histidine</t>
  </si>
  <si>
    <t>Pyridoxine phosphate</t>
  </si>
  <si>
    <t>2-Phospho-D-glycerate</t>
  </si>
  <si>
    <t>N-Acetyl-D-mannosamine</t>
  </si>
  <si>
    <t>Pyridoxamine phosphate</t>
  </si>
  <si>
    <t>Poly(ribitol phosphate)</t>
  </si>
  <si>
    <t>Xanthosine 5'-phosphate</t>
  </si>
  <si>
    <t>beta-D-Glucose 1-phosphate</t>
  </si>
  <si>
    <t>LL-2,6-Diaminoheptanedioate</t>
  </si>
  <si>
    <t xml:space="preserve">alpha-D-Glucose 6-phosphate </t>
  </si>
  <si>
    <t>(S)-3-Methyl-2-oxopentanoic acid</t>
  </si>
  <si>
    <t>2-Deoxy-D-ribose 5-phosphate</t>
  </si>
  <si>
    <t>Deoxynucleoside triphosphate</t>
  </si>
  <si>
    <t>meso-2,6-Diaminoheptanedioate</t>
  </si>
  <si>
    <t>1-Acyl-sn-glycerol 3-phosphate</t>
  </si>
  <si>
    <t>UDP-N-acetylmuramoyl-L-alanyl-D-glutamate</t>
  </si>
  <si>
    <t>Cholic Acid</t>
  </si>
  <si>
    <t>dCDP</t>
  </si>
  <si>
    <t>(9Z)-Octadecenoic acid</t>
  </si>
  <si>
    <t>Amylose</t>
  </si>
  <si>
    <t>1-Octanol</t>
  </si>
  <si>
    <t>Mevaldate</t>
  </si>
  <si>
    <t>tRNA(Tyr)</t>
  </si>
  <si>
    <t>Formyl-CoA</t>
  </si>
  <si>
    <t>D-Glutamine</t>
  </si>
  <si>
    <t>dTDP-glucose</t>
  </si>
  <si>
    <t xml:space="preserve">Pantethiene </t>
  </si>
  <si>
    <t>Deamino-NAD+</t>
  </si>
  <si>
    <t>Pantothenate</t>
  </si>
  <si>
    <t>tRNA uridine</t>
  </si>
  <si>
    <t>Deoxycytidine</t>
  </si>
  <si>
    <t>Dephospho-CoA</t>
  </si>
  <si>
    <t>L-Alanyl-tRNA</t>
  </si>
  <si>
    <t>Ribonucleoside</t>
  </si>
  <si>
    <t>sugar phosphate</t>
  </si>
  <si>
    <t>Mercaptopyruvate</t>
  </si>
  <si>
    <t>O-Acetyl-L-serine</t>
  </si>
  <si>
    <t>alpha-D-Galactose</t>
  </si>
  <si>
    <t>D-Alanyl-D-alanine</t>
  </si>
  <si>
    <t>O-Phospho-L-serine</t>
  </si>
  <si>
    <t>UDP-N-acetylmuramate</t>
  </si>
  <si>
    <t>D-Fructose 1-phosphate</t>
  </si>
  <si>
    <t>D-Tagatose 6-phosphate</t>
  </si>
  <si>
    <t>O-Phospho-L-homoserine</t>
  </si>
  <si>
    <t xml:space="preserve">Orotidine 5'-phosphate </t>
  </si>
  <si>
    <t>(R)-5-Phosphomevalonate</t>
  </si>
  <si>
    <t>Pantetheine 4'-phosphate</t>
  </si>
  <si>
    <t>(R)-5-Diphosphomevalonate</t>
  </si>
  <si>
    <t>Protein tyrosine phosphate</t>
  </si>
  <si>
    <t>UDP-N-acetyl-D-mannosamine</t>
  </si>
  <si>
    <t>beta-D-Glucose 6-phosphate</t>
  </si>
  <si>
    <t>3-(4-Hydroxyphenyl)pyruvate</t>
  </si>
  <si>
    <t>Nicotinate D-ribonucleotide</t>
  </si>
  <si>
    <t>UDP-N-acetylmuramoyl-L-alanine</t>
  </si>
  <si>
    <t>5,6,7,8-Tetrahydromethanopterin</t>
  </si>
  <si>
    <t>D-Glucono-1,5-lactone 6-phosphate</t>
  </si>
  <si>
    <t>P1,P4-Bis(5'-adenosyl)tetraphosphate</t>
  </si>
  <si>
    <t>4-Amino-5-hydroxymethyl-2-methylpyrimidine</t>
  </si>
  <si>
    <t>dUDP</t>
  </si>
  <si>
    <t>Butanal</t>
  </si>
  <si>
    <t>Ketone</t>
  </si>
  <si>
    <t>Hydrogen Selenide</t>
  </si>
  <si>
    <t>Octanal</t>
  </si>
  <si>
    <t>Carbamate</t>
  </si>
  <si>
    <t>Secondary alcohol</t>
  </si>
  <si>
    <t>Stachyose</t>
  </si>
  <si>
    <t>tRNA(Ala)</t>
  </si>
  <si>
    <t>tRNA(Arg)</t>
  </si>
  <si>
    <t>tRNA(Asp)</t>
  </si>
  <si>
    <t>tRNA(Cys)</t>
  </si>
  <si>
    <t>tRNA(Glu)</t>
  </si>
  <si>
    <t>tRNA(Gly)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</si>
  <si>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</si>
  <si>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</si>
  <si>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</si>
  <si>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</si>
  <si>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</si>
  <si>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</si>
  <si>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</si>
  <si>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</si>
  <si>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</si>
  <si>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</si>
  <si>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Xanthosine</t>
  </si>
  <si>
    <t>Deoxyribose</t>
  </si>
  <si>
    <t>Glycocholate</t>
  </si>
  <si>
    <t>L-Lysyl-tRNA</t>
  </si>
  <si>
    <t>tRNA guanine</t>
  </si>
  <si>
    <t>Histone N6-acetyl-L-lysine</t>
  </si>
  <si>
    <t>L-Leucyl-tRNA</t>
  </si>
  <si>
    <t>Trypanothione</t>
  </si>
  <si>
    <t>dTDP-galactose</t>
  </si>
  <si>
    <t>5'-Phospho-DNA</t>
  </si>
  <si>
    <t xml:space="preserve">Acyl phosphate </t>
  </si>
  <si>
    <t>L-Arginyl-tRNA(Arg)</t>
  </si>
  <si>
    <t>Protein lysine</t>
  </si>
  <si>
    <t>tRNA precursor</t>
  </si>
  <si>
    <t>Salicyl alcohol</t>
  </si>
  <si>
    <t>beta-D-Fructose</t>
  </si>
  <si>
    <t xml:space="preserve"> 'Activated'  tRNA</t>
  </si>
  <si>
    <t>6-Mercaptopurine</t>
  </si>
  <si>
    <t>Glycyl-tRNA(Gly)</t>
  </si>
  <si>
    <t>Histone-L-lysine</t>
  </si>
  <si>
    <t>L-Methionyl-tRNA</t>
  </si>
  <si>
    <t>2-Hydroxymuconate</t>
  </si>
  <si>
    <t>5'-Ribonucleotide</t>
  </si>
  <si>
    <t>Chenodeoxycholate</t>
  </si>
  <si>
    <t>L-Seryl-tRNA(Ser)</t>
  </si>
  <si>
    <t xml:space="preserve">L-Valyl-tRNA(Val) </t>
  </si>
  <si>
    <t>Protein glutamine</t>
  </si>
  <si>
    <t>L-Prolyl-tRNA(Pro)</t>
  </si>
  <si>
    <t>[Protein]-L-cysteine </t>
  </si>
  <si>
    <t>tRNA pseudouridine</t>
  </si>
  <si>
    <t>L-Tyrosyl-tRNA(Tyr)</t>
  </si>
  <si>
    <t>Propanoyl phosphate</t>
  </si>
  <si>
    <t>(2-Naphthyl)methanol</t>
  </si>
  <si>
    <t>7,8-Dihydrobiopterin</t>
  </si>
  <si>
    <t>D-Allose 6-phosphate</t>
  </si>
  <si>
    <t>L-Aspartyl-tRNA(Asp)</t>
  </si>
  <si>
    <t>L-Glutamyl-tRNA(Glu)</t>
  </si>
  <si>
    <t>L-Threonyl-tRNA(Thr)</t>
  </si>
  <si>
    <t xml:space="preserve">Peptide-L-methionine </t>
  </si>
  <si>
    <t xml:space="preserve">Thiamine Triphosphate </t>
  </si>
  <si>
    <t>(S)-2-Aminobutanoate</t>
  </si>
  <si>
    <t>4-Phospho-L-aspartate</t>
  </si>
  <si>
    <t>5-Methylthio-D-ribose</t>
  </si>
  <si>
    <t>5-Phosphoribosylamine</t>
  </si>
  <si>
    <t>L-Cysteinyl-tRNA(Cys)</t>
  </si>
  <si>
    <t>L-Isoleucyl-tRNA(Ile)</t>
  </si>
  <si>
    <t>Nicotinamide-beta-riboside</t>
  </si>
  <si>
    <t>Trypanothione disulfide</t>
  </si>
  <si>
    <t>S-Methyl-L-methionine</t>
  </si>
  <si>
    <t>(R)-10-Hydroxystearate</t>
  </si>
  <si>
    <t>N-Formylmethionyl-tRNA</t>
  </si>
  <si>
    <t>3-Phospho-D-erythronate</t>
  </si>
  <si>
    <t>Aminoimidazole Ribotide</t>
  </si>
  <si>
    <t>gamma-Oxalocrotonate</t>
  </si>
  <si>
    <t>Folinic Acid</t>
  </si>
  <si>
    <t>D-4'-Phosphopantothenate</t>
  </si>
  <si>
    <t>L-Phenylalanyl-tRNA(Phe)</t>
  </si>
  <si>
    <t>L-Tryptophanyl-tRNA(Trp)</t>
  </si>
  <si>
    <t xml:space="preserve">N-Substituted amino acid </t>
  </si>
  <si>
    <t>S-Ribosyl-L-homocysteine</t>
  </si>
  <si>
    <t>L-Methionylaminoacyl-tRNA</t>
  </si>
  <si>
    <t>Peptidylproline (omega=0)</t>
  </si>
  <si>
    <t>Apo-[acyl-carrier protein]</t>
  </si>
  <si>
    <t>Ribonucleoside diphosphate</t>
  </si>
  <si>
    <t>D-Tagatose 1,6-bisphosphate</t>
  </si>
  <si>
    <t>N6-(1,2-Dicarboxyethyl)-AMP</t>
  </si>
  <si>
    <t>Peptidylproline (omega=180)</t>
  </si>
  <si>
    <t>Protein S-methyl-L-cysteine</t>
  </si>
  <si>
    <t>Ribonucleoside triphosphate</t>
  </si>
  <si>
    <t>Ribosomal-protein L-alanine</t>
  </si>
  <si>
    <t>5'-Phosphoribosylglycinamide</t>
  </si>
  <si>
    <t>N-Substituted aminoacyl-tRNA</t>
  </si>
  <si>
    <t>Phosphatidylglycerophosphate</t>
  </si>
  <si>
    <t>Peptide-L-methionine (S)-S-oxide</t>
  </si>
  <si>
    <t>2,3,4,5-Tetrahydrodipicolinate</t>
  </si>
  <si>
    <t>5-Amino-4-imidazolecarboxyamide</t>
  </si>
  <si>
    <t>N-((R)-Pantothenoyl)-L-cysteine</t>
  </si>
  <si>
    <t>Tetrahydropteroyltri-L-glutamate</t>
  </si>
  <si>
    <t>rRNA containing N2-methylguanine</t>
  </si>
  <si>
    <t>tRNA containing N1-methylguanine</t>
  </si>
  <si>
    <t>tRNA containing N7-methylguanine</t>
  </si>
  <si>
    <t>tRNA containing a thionucleotide</t>
  </si>
  <si>
    <t>2'-Deoxyribonucleoside diphosphate</t>
  </si>
  <si>
    <t>5-Fluorodeoxyuridine monophosphate</t>
  </si>
  <si>
    <t>DNA containing 6-O-methylguanine</t>
  </si>
  <si>
    <t>N-Formyl-L-methionylaminoacyl-tRNA</t>
  </si>
  <si>
    <t>O-D-Alanyl-poly(ribitol phosphate)</t>
  </si>
  <si>
    <t>Protein N(pi)-phospho-L-histidine</t>
  </si>
  <si>
    <t>Holo-[citrate (pro-3S)-lyase]</t>
  </si>
  <si>
    <t>Phosphoenol-4-deoxy-3-tetrulosonate</t>
  </si>
  <si>
    <t>Acetyl-[citrate (pro-3S)-lyase]</t>
  </si>
  <si>
    <t>Ribosomal-protein N-acetyl-L-alanine</t>
  </si>
  <si>
    <t>( R )- 4' - Phosphopantothenoyl -L-cysteine</t>
  </si>
  <si>
    <t>5'-Phosphoribosyl-N-formylglycinamide</t>
  </si>
  <si>
    <t>5,10-Methylenetetrahydromenthanopterin</t>
  </si>
  <si>
    <t>tRNA containing 6-isopentenyladenosine</t>
  </si>
  <si>
    <t>Deoxycholic acid</t>
  </si>
  <si>
    <t>5-Methyltetrahydropteroyltri-L-glutamate</t>
  </si>
  <si>
    <t>N-Acetyl-alpha-D-glucosamine 1-phosphate</t>
  </si>
  <si>
    <t>6-Phospho-beta-D-glucosyl-(1,4)-D-glucose</t>
  </si>
  <si>
    <t>4-Amino-2-methyl-5-(phosphooxymethyl)pyrimidine</t>
  </si>
  <si>
    <t>di-trans,poly-cis-Undecaprenyl diphosphate</t>
  </si>
  <si>
    <t>UDP-N-acetyl-3-(1-carboxyvinyl)-D-glucosamine</t>
  </si>
  <si>
    <t>2-(Formamido)-N1-(5'-phosphoribosyl)acetamidine</t>
  </si>
  <si>
    <t>6-Thioinosine-5'-monophosphate</t>
  </si>
  <si>
    <t>1-(5'-Phosphoribosyl)-5-amino-4-imidazolecarboxamide</t>
  </si>
  <si>
    <t>UDPMurNAc(oyl-L-Ala-D-gamma-Glu-L-Lys-D-Ala-D-Ala)</t>
  </si>
  <si>
    <t>1-(5'-Phosphoribosyl)-5-formamido-4-imidazolecarboxamide</t>
  </si>
  <si>
    <t>1-(5-Phospho-D-ribosyl)-5-amino-4-imidazolecarboxylate</t>
  </si>
  <si>
    <t>4-Amino-5-hydroxymethyl-2-methylpyrimidine diphosphate</t>
  </si>
  <si>
    <t>O-1-Alk-1-enyl-2-acyl-sn-glycero-3-phosphoethanolamine</t>
  </si>
  <si>
    <t>1-(5'-Phosphoribosyl)-5-amino-4-(N-succinocarboxamide)-imidazole</t>
  </si>
  <si>
    <t>MurAc(oyl-L-Ala-D-gamma-Glu-L-Lys-D-Ala-D-Ala)-diphospho-undecaprenol</t>
  </si>
  <si>
    <t>UDP-N-acetylmuramoyl-L-alanyl-gamma-D-glutamyl-meso-2,6-diaminopimelate</t>
  </si>
  <si>
    <t xml:space="preserve">UDP-N-acetylmuramoyl-L-alanyl-D-glutamyl-6-carboxyl-L-lysyl-D-alanyl-D-alanine </t>
  </si>
  <si>
    <t>Taurocholate</t>
  </si>
  <si>
    <t>5'-Deoxyadenosine</t>
  </si>
  <si>
    <t>L-Selenomethionine</t>
  </si>
  <si>
    <t>Selenomethionyl-tRNA(Met)</t>
  </si>
  <si>
    <t>beta-D-Fructose 6-phosphate</t>
  </si>
  <si>
    <t>beta-D-Fructose 1,6-bisphosphate</t>
  </si>
  <si>
    <t>Sedoheptulose 7-phosphate</t>
  </si>
  <si>
    <t>Melibiose</t>
  </si>
  <si>
    <t>D-Gal alpha 1-&gt;6D-Gal alpha 1-&gt;6D-Glucose</t>
  </si>
  <si>
    <t>3alpha,7alpha,26-Trihydroxy-5beta-cholestane</t>
  </si>
  <si>
    <t>3alpha,7alpha-Dihydroxy-5beta-cholestan-26-al</t>
  </si>
  <si>
    <t>Taurodeoxycholate</t>
  </si>
  <si>
    <t>Glycodeoxycholate</t>
  </si>
  <si>
    <t>Taurochenodeoxycholate</t>
  </si>
  <si>
    <t>Glycochenodeoxycholate</t>
  </si>
  <si>
    <t>Deoxyinosine</t>
  </si>
  <si>
    <t>S-Glutathionyl-L-cysteine</t>
  </si>
  <si>
    <t>3-Sulfinylpyruvate</t>
  </si>
  <si>
    <t>3-Sulfopyruvate</t>
  </si>
  <si>
    <t>3,4-Dihydroxyphenylethyleneglycol</t>
  </si>
  <si>
    <t>3,4-Dihydroxymandelaldehyde</t>
  </si>
  <si>
    <t>Selenite</t>
  </si>
  <si>
    <t>L-Selenocysteine</t>
  </si>
  <si>
    <t>Se-Adenosylselenomethionine</t>
  </si>
  <si>
    <t>Selenohomocysteine</t>
  </si>
  <si>
    <t>Methaneselenol</t>
  </si>
  <si>
    <t>3-Mercaptolactate</t>
  </si>
  <si>
    <t>Nicotinate D-ribonucleoside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</si>
  <si>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</si>
  <si>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</si>
  <si>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</si>
  <si>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</si>
  <si>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(4R)-4-Hydroxy-2-oxoglutarate</t>
  </si>
  <si>
    <t>L-erythro-4-Hydroxyglutamate</t>
  </si>
  <si>
    <t xml:space="preserve">2-Hydroxybutanoic acid </t>
  </si>
  <si>
    <t>O-Phospho-4-hydroxy-L-threonine</t>
  </si>
  <si>
    <t>4-Hydroxy-L-threonine</t>
  </si>
  <si>
    <t>alpha-D-Glucosamine 1-phosphate</t>
  </si>
  <si>
    <t>Arbutin 6-phosphate</t>
  </si>
  <si>
    <t>Salicin 6-phosphate</t>
  </si>
  <si>
    <t>2'-Deoxyinosine 5'-phosphate</t>
  </si>
  <si>
    <t>N-Acetyl-D-galactosamine 6-phosphate</t>
  </si>
  <si>
    <t xml:space="preserve">D-Galactosamine 6-phosphate </t>
  </si>
  <si>
    <t>L-Seryl-tRNA(Sec)</t>
  </si>
  <si>
    <t>trans-3-Chloro-2-propene-1-ol</t>
  </si>
  <si>
    <t>cis-3-Chloro-2-propene-1-ol</t>
  </si>
  <si>
    <t>trans-3-Chloroallyl aldehyde</t>
  </si>
  <si>
    <t>Chloral hydrate</t>
  </si>
  <si>
    <t>2-Hydroxy-5-methyl-cis,cis-muconate</t>
  </si>
  <si>
    <t>2-Oxo-5-methyl-cis-muconate</t>
  </si>
  <si>
    <t>Trichloroethanol</t>
  </si>
  <si>
    <t>Aldophosphamide</t>
  </si>
  <si>
    <t>Thioguanine</t>
  </si>
  <si>
    <t>5-FU</t>
  </si>
  <si>
    <t>beta-D-Ribopyranose</t>
  </si>
  <si>
    <t>3-Hexenol</t>
  </si>
  <si>
    <t>2'-Deoxy-5-hydroxymethylcytidine-5'-triphosphate</t>
  </si>
  <si>
    <t>1-Deoxy-D-xylulose 5-phosphate</t>
  </si>
  <si>
    <t>Formyl-L-methionyl peptide</t>
  </si>
  <si>
    <t>Methionyl peptide</t>
  </si>
  <si>
    <t>DNA containing guanine</t>
  </si>
  <si>
    <t>Sugar</t>
  </si>
  <si>
    <t>5-Fluorodeoxyuridine</t>
  </si>
  <si>
    <t>[GlcNAc-(1-&gt;4)-Mur2Ac(oyl-L-Ala-g-D-Glu-L-Lys-D-Ala-D-Ala)]n-diphosphoundecaprenol</t>
  </si>
  <si>
    <t>[GlcNAc-(1-&gt;4)-Mur2Ac(oyl-L-Ala-g-D-Glu-A2pm-D-Ala-D-Ala)]n-diphosphoundecaprenol</t>
  </si>
  <si>
    <t>(S)-4,5-Dihydroxypentane-2,3-dione</t>
  </si>
  <si>
    <t>Fleroxacin</t>
  </si>
  <si>
    <t>1-Hydroxymethylnaphthalene</t>
  </si>
  <si>
    <t>1-Naphthaldehyde</t>
  </si>
  <si>
    <t>2-Naphthaldehyde</t>
  </si>
  <si>
    <t>(S)-2-Hydroxyacid</t>
  </si>
  <si>
    <t>2-Acyl-1-(1-alkenyl)-sn-glycero-3-phosphate</t>
  </si>
  <si>
    <t>Peptide-L-methionine (R)-S-oxide</t>
  </si>
  <si>
    <t>5-Carboxyamino-1-(5-phospho-D-ribosyl)imidazole</t>
  </si>
  <si>
    <t>[Enzyme]-cysteine</t>
  </si>
  <si>
    <t>[Enzyme]-S-sulfanylcysteine</t>
  </si>
  <si>
    <t>Adenylyl-[sulfur-carrier protein]</t>
  </si>
  <si>
    <t>Thiocarboxy-[sulfur-carrier protein]</t>
  </si>
  <si>
    <t>L-Methionine (S)-S-oxide</t>
  </si>
  <si>
    <t>3-Hexenal</t>
  </si>
  <si>
    <t>cis-3-Chloroallyl aldehyde</t>
  </si>
  <si>
    <t>3',5'-Cyclic diGMP</t>
  </si>
  <si>
    <t>Alcophosphamide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</si>
  <si>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</si>
  <si>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</si>
  <si>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</si>
  <si>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</si>
  <si>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</si>
  <si>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</si>
  <si>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</si>
  <si>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</si>
  <si>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</t>
  </si>
  <si>
    <t>5-Fluorouridine monophosphate</t>
  </si>
  <si>
    <t>tRNA(Sec)</t>
  </si>
  <si>
    <t>beta-D-Ribofuranose</t>
  </si>
  <si>
    <t xml:space="preserve">Tryparedoxin </t>
  </si>
  <si>
    <t>Tryparedoxin disulfide</t>
  </si>
  <si>
    <t>Sucrose 6-phosphate</t>
  </si>
  <si>
    <t>N-Acetylmuramic acid 6-phosphate</t>
  </si>
  <si>
    <t>tRNA containing 2-thiouridine</t>
  </si>
  <si>
    <t>tRNA adenine</t>
  </si>
  <si>
    <t>di-trans,poly-cis-Undecaprenyl phosphate</t>
  </si>
  <si>
    <t>D-Allulose 6-phosphate</t>
  </si>
  <si>
    <t xml:space="preserve">Methylselenic acid </t>
  </si>
  <si>
    <t>tRNA with a 3' cytidine</t>
  </si>
  <si>
    <t>tRNA with a 3' CC end</t>
  </si>
  <si>
    <t>tRNA with a 3' CCA end</t>
  </si>
  <si>
    <t>[tRNA(Ile2)]-cytidine34</t>
  </si>
  <si>
    <t>[tRNA(Ile2)]-lysidine34</t>
  </si>
  <si>
    <t>2'-(5-Triphosphoribosyl)-3'-dephospho-CoA</t>
  </si>
  <si>
    <t>(2S,4S)-4-Hydroxy-2,3,4,5-tetrahydrodipicolinate</t>
  </si>
  <si>
    <t>tRNA hypoxanthine</t>
  </si>
  <si>
    <t>Cyclic di-3',5'-adenylate</t>
  </si>
  <si>
    <t>L-Threonylcarbamoyladenylate</t>
  </si>
  <si>
    <t>Adenine in rRNA</t>
  </si>
  <si>
    <t>O-Acetyl-ADP-ribose</t>
  </si>
  <si>
    <t>Protein N6-acetyl-L-lysine</t>
  </si>
  <si>
    <t>N6-L-Threonylcarbamoyladenine in tRNA</t>
  </si>
  <si>
    <t>N6-Dimethyladenine in rRNA</t>
  </si>
  <si>
    <t>Protein N5-methyl-L-glutamine</t>
  </si>
  <si>
    <t>5'Triphospho-[mRNA]</t>
  </si>
  <si>
    <t>Carboxyphosphate</t>
  </si>
  <si>
    <t>5-Hydroxymethylcytosine in DNA</t>
  </si>
  <si>
    <t>5-Fluorouridine diphosphate</t>
  </si>
  <si>
    <t>5-Fluorodeoxyuridine diphosphate</t>
  </si>
  <si>
    <t>[(4-D-Ala)-(2-GlcNAc)-Rib-ol-P]n-[Gro-P]m-beta-ManNAc-(1-&gt;4)-alpha-GlcNAc-P-peptidoglycan</t>
  </si>
  <si>
    <t>[(2-GlcNAc)-Rib-ol-P]n-[Gro-P]m-beta-ManNAc-(1-&gt;4)-alpha-GlcNAc-P-peptidoglycan</t>
  </si>
  <si>
    <t>Protodeoxyviolaceinic acid</t>
  </si>
  <si>
    <t>5-Deoxy-D-ribose</t>
  </si>
  <si>
    <t xml:space="preserve"> N6-Succino-2-amino-2'-deoxyadenylate</t>
  </si>
  <si>
    <t>dZMP</t>
  </si>
  <si>
    <t>dZDP</t>
  </si>
  <si>
    <t>UDP-glucose</t>
  </si>
  <si>
    <t xml:space="preserve">alpha-D-Glucose </t>
  </si>
  <si>
    <t xml:space="preserve">Sulfur Dioxide </t>
  </si>
  <si>
    <t>Object</t>
  </si>
  <si>
    <t>Manninotriose</t>
  </si>
  <si>
    <t>1,4-alpha-D-Glucan</t>
  </si>
  <si>
    <t>Sucrose 6'-phosphate</t>
  </si>
  <si>
    <t>UDP-N-acetyl-D-glucosamine</t>
  </si>
  <si>
    <t>alpha-Glycosylated WTA</t>
  </si>
  <si>
    <t>beta-Glycosylated WTA</t>
  </si>
  <si>
    <t>alpha-O-GlcNAcylated WTA</t>
  </si>
  <si>
    <t>beta-O-GlcNAcylated WTA</t>
  </si>
  <si>
    <t>(GlcNAc)1 (MurNAc)1 (*)1 (D-Ala-D-Ala-A2pm-gamma-D-Glu-Ala)1 (PP-Und)1</t>
  </si>
  <si>
    <t xml:space="preserve"> (Glc)2 (P)1</t>
  </si>
  <si>
    <t>(GlcNAc)1 (MurNAc)1 (D-Ala-D-Ala-Lys-D-Glu-Ala)1 (PP-Und)1</t>
  </si>
  <si>
    <t>(MurNAc)1 (D-Ala-D-Ala-Lys-D-Glu-Ala)1 (PP-Und)1</t>
  </si>
  <si>
    <t>(GlcNAc)1 (MurNAc)1 (D-Ala-D-Ala-Lys-gamma-D-Glu-Ala)1 (PP-Und)1</t>
  </si>
  <si>
    <t>(GlcNAc)1 (MurNAc)1 (*)1 (D-Ala-D-Ala-Lys-gamma-D-Glu-Ala)1 (PP-Und)1</t>
  </si>
  <si>
    <t>(GlcNAc)1 (MurNAc)1 (D-Ala-D-Ala-A2pm-gamma-D-Glu-Ala)1 (PP-Und)1</t>
  </si>
  <si>
    <t>(MurNAc)1 (D-Ala-D-Ala-Lys-gamma-D-Glu-Ala)1 (PP-Und)1</t>
  </si>
  <si>
    <t>(MurNAc)1 (D-Ala-D-Ala-A2pm-gamma-D-Glu-Ala)1 (PP-Und)1</t>
  </si>
  <si>
    <t>(Ala)1 (Glc)1 (GlcNAc)1 (Gro)1 (ManNAc)1 (Rib-ol)2 (*)1 (P)3 (PP-Und)1</t>
  </si>
  <si>
    <t>(Ala)1 (GlcNAc)2 (Gro)2 (ManNAc)1 (Rib-ol)1 (*)1 (P)3 (PP-Und)1</t>
  </si>
  <si>
    <t xml:space="preserve"> (GlcNAc)2 (Gro)2 (ManNAc)1 (Rib-ol)1 (*)1 (P)3 (PP-Und)1</t>
  </si>
  <si>
    <t>(Ala)1 (Glc)1 (GlcNAc)1 (Gro)2 (ManNAc)1 (*)1 (P)2 (PP-Und)1</t>
  </si>
  <si>
    <t xml:space="preserve"> (DAG)1 (Glc)2 (GlcNAc)1 (Gro)2 (*)1 (P)2</t>
  </si>
  <si>
    <t>(Ala)1 (DAG)1 (Glc)2 (GlcNAc)1 (Gro)2 (*)1 (P)2</t>
  </si>
  <si>
    <t>(DAG)1 (Gal)2 (Glc)1 (Gro)2 (*)1 (P)2</t>
  </si>
  <si>
    <t>(Ala)1 (DAG)1 (Gal)2 (Glc)1 (Gro)2 (*)1 (P)2</t>
  </si>
  <si>
    <t>Assembly level</t>
  </si>
  <si>
    <t>Complete Genome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</si>
  <si>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</si>
  <si>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</si>
  <si>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</si>
  <si>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</si>
  <si>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</si>
  <si>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</si>
  <si>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</si>
  <si>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</si>
  <si>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</si>
  <si>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</si>
  <si>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 xml:space="preserve">Genes </t>
  </si>
  <si>
    <t xml:space="preserve">Protein-coding </t>
  </si>
  <si>
    <t xml:space="preserve">Chromosome </t>
  </si>
  <si>
    <t>Ref Seq</t>
  </si>
  <si>
    <t>GenBank</t>
  </si>
  <si>
    <t>2 Mb</t>
  </si>
  <si>
    <t xml:space="preserve">CheckM analysis </t>
  </si>
  <si>
    <t>Completeness</t>
  </si>
  <si>
    <t>Contamination</t>
  </si>
  <si>
    <t>Metabolites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</si>
  <si>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</si>
  <si>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</si>
  <si>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</si>
  <si>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</si>
  <si>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</si>
  <si>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>Transcription Equation</t>
  </si>
  <si>
    <t>Translation Equation</t>
  </si>
  <si>
    <t>C00114 + C00003</t>
  </si>
  <si>
    <t>C00114 + C00006</t>
  </si>
  <si>
    <t>C00226 + C00003</t>
  </si>
  <si>
    <t>C00418 + C00003</t>
  </si>
  <si>
    <t>C00469 + C00003</t>
  </si>
  <si>
    <t>C00473 + C00003</t>
  </si>
  <si>
    <t>C00756 + C00003</t>
  </si>
  <si>
    <t>C01612 + C00003</t>
  </si>
  <si>
    <t>C02909 + C00003</t>
  </si>
  <si>
    <t>C05444 + C00003</t>
  </si>
  <si>
    <t>C05576 + C00003</t>
  </si>
  <si>
    <t>C06611 + C00003</t>
  </si>
  <si>
    <t>C06612 + C00003</t>
  </si>
  <si>
    <t>C06899 + C00004 + C00080</t>
  </si>
  <si>
    <t>C07645 + C00004 + C00080</t>
  </si>
  <si>
    <t>C14089 + C00003</t>
  </si>
  <si>
    <t>C16310 + C00004 + C00080</t>
  </si>
  <si>
    <t>C16586 + C00003</t>
  </si>
  <si>
    <t>C16595 + C00003</t>
  </si>
  <si>
    <t>C05823 + C00003</t>
  </si>
  <si>
    <t>C05984 + C00003</t>
  </si>
  <si>
    <t>C00263 + C00003</t>
  </si>
  <si>
    <t>C00263 + C00006</t>
  </si>
  <si>
    <t>C00093 + C00003</t>
  </si>
  <si>
    <t>C00093 + C00006</t>
  </si>
  <si>
    <t>C00206 + C00343 + C00001</t>
  </si>
  <si>
    <t>C00361 + C00343 + C00001</t>
  </si>
  <si>
    <t>C00705 + C00343 + C00001</t>
  </si>
  <si>
    <t>C01346 + C00343 + C00001</t>
  </si>
  <si>
    <t>C04232 + C00343 + C00001</t>
  </si>
  <si>
    <t>C04232 + C03170 + C00001</t>
  </si>
  <si>
    <t>C04232 + C16664 + C00001</t>
  </si>
  <si>
    <t>C21750 + C00343 + C00001</t>
  </si>
  <si>
    <t>C00131 + C00343 + C00001</t>
  </si>
  <si>
    <t>C00286 + C00343 + C00001</t>
  </si>
  <si>
    <t>C00458 + C00343 + C00001</t>
  </si>
  <si>
    <t>C00460 + C00343 + C00001</t>
  </si>
  <si>
    <t>C00677 + C00343 + C00001</t>
  </si>
  <si>
    <t>C00084 + C00010 + C00003</t>
  </si>
  <si>
    <t>C01412 + C00010 + C00003</t>
  </si>
  <si>
    <t>C00441 + C00009 + C00006</t>
  </si>
  <si>
    <t>C01050 + C00003</t>
  </si>
  <si>
    <t>C01050 + C00006</t>
  </si>
  <si>
    <t>C00101 + C00003</t>
  </si>
  <si>
    <t>C00101 + C00006</t>
  </si>
  <si>
    <t>C00272 + C00006</t>
  </si>
  <si>
    <t>C00415 + C00003</t>
  </si>
  <si>
    <t>C00415 + C00006</t>
  </si>
  <si>
    <t>C00130 + C00014 + C00006</t>
  </si>
  <si>
    <t>C00005 + C00080 + C18902</t>
  </si>
  <si>
    <t>C00097 + C00051 + C00006</t>
  </si>
  <si>
    <t>C00342 + C00006</t>
  </si>
  <si>
    <t>C01528 + C00006 + C00001</t>
  </si>
  <si>
    <t>C00073 + C00343 + C00001</t>
  </si>
  <si>
    <t>C03023 + C00343 + C00001</t>
  </si>
  <si>
    <t>C00019 + C00240</t>
  </si>
  <si>
    <t>C00019 + C20648</t>
  </si>
  <si>
    <t>C00019 + C01977</t>
  </si>
  <si>
    <t>C02583 + C00019</t>
  </si>
  <si>
    <t>C00365 + C00143</t>
  </si>
  <si>
    <t>C00065 + C01217</t>
  </si>
  <si>
    <t>C00143 + C00037 + C00001</t>
  </si>
  <si>
    <t>C00234 + C03838</t>
  </si>
  <si>
    <t>C03838 + C00445 + C00001</t>
  </si>
  <si>
    <t>C00234 + C04677</t>
  </si>
  <si>
    <t>C02430 + C00234</t>
  </si>
  <si>
    <t>C00169 + C00049</t>
  </si>
  <si>
    <t>C00093 + C00040</t>
  </si>
  <si>
    <t>C00173 + C00093</t>
  </si>
  <si>
    <t>C00605 + C00093</t>
  </si>
  <si>
    <t>C00024 + C06156</t>
  </si>
  <si>
    <t>C20641 + C17324</t>
  </si>
  <si>
    <t>C00024 + C03803</t>
  </si>
  <si>
    <t>C00173 + C00009</t>
  </si>
  <si>
    <t>C00024 + C00009</t>
  </si>
  <si>
    <t>C00100 + C00009</t>
  </si>
  <si>
    <t>C00356 + C00010</t>
  </si>
  <si>
    <t>C00369 + C00009</t>
  </si>
  <si>
    <t>C00718 + C00009</t>
  </si>
  <si>
    <t>C00498 + C00718</t>
  </si>
  <si>
    <t>C04851 + C00043</t>
  </si>
  <si>
    <t>C05897 + C00043</t>
  </si>
  <si>
    <t>C01103 + C00013</t>
  </si>
  <si>
    <t>C07649 + C00119</t>
  </si>
  <si>
    <t>C03090 + C00013 + C00025</t>
  </si>
  <si>
    <t>C00144 + C00013</t>
  </si>
  <si>
    <t>C00655 + C00013</t>
  </si>
  <si>
    <t>C00002 + C00882</t>
  </si>
  <si>
    <t>C00020 + C00013</t>
  </si>
  <si>
    <t>C04677 + C00013</t>
  </si>
  <si>
    <t>C02380 + C00119</t>
  </si>
  <si>
    <t>C07648 + C00119</t>
  </si>
  <si>
    <t>C16614 + C00119</t>
  </si>
  <si>
    <t>C00105 + C00013</t>
  </si>
  <si>
    <t>C05893 + C11826</t>
  </si>
  <si>
    <t>C05898 + C11827</t>
  </si>
  <si>
    <t>C00979 + C00283</t>
  </si>
  <si>
    <t>C00979 + C00320 + C00342 + C00080</t>
  </si>
  <si>
    <t>C00979 + C01528</t>
  </si>
  <si>
    <t>C01005 + C00283</t>
  </si>
  <si>
    <t>C00002 + C05335 + C00001</t>
  </si>
  <si>
    <t>C00009 + C00013 + C00019</t>
  </si>
  <si>
    <t>C00074 + C00043</t>
  </si>
  <si>
    <t>C00235 + C17324</t>
  </si>
  <si>
    <t>C00064 + C00085</t>
  </si>
  <si>
    <t>C00002 + C00085</t>
  </si>
  <si>
    <t>C00002 + C05382</t>
  </si>
  <si>
    <t>C00063 + C00085</t>
  </si>
  <si>
    <t>C00063 + C01097</t>
  </si>
  <si>
    <t>C00075 + C00085</t>
  </si>
  <si>
    <t>C00075 + C01097</t>
  </si>
  <si>
    <t>C00081 + C00085</t>
  </si>
  <si>
    <t>C00081 + C01097</t>
  </si>
  <si>
    <t>C01097 + C00002</t>
  </si>
  <si>
    <t>C00002 + C00121</t>
  </si>
  <si>
    <t>C00673 + C00008</t>
  </si>
  <si>
    <t>C00002 + C00214</t>
  </si>
  <si>
    <t>C00002 + C00526</t>
  </si>
  <si>
    <t>C11736 + C00002</t>
  </si>
  <si>
    <t>C00089 + C04261</t>
  </si>
  <si>
    <t>C00002 + C00003</t>
  </si>
  <si>
    <t>C00002 + C00255</t>
  </si>
  <si>
    <t>C00002 + C00116</t>
  </si>
  <si>
    <t>C00002 + C00831</t>
  </si>
  <si>
    <t>C00002 + C00864</t>
  </si>
  <si>
    <t>C00002 + C04079</t>
  </si>
  <si>
    <t>C00002 + C00418</t>
  </si>
  <si>
    <t>C00002 + C00263</t>
  </si>
  <si>
    <t>C00002 + C00022</t>
  </si>
  <si>
    <t>C00044 + C00022</t>
  </si>
  <si>
    <t>C00063 + C00022</t>
  </si>
  <si>
    <t>C00075 + C00022</t>
  </si>
  <si>
    <t>C00081 + C00022</t>
  </si>
  <si>
    <t>C00131 + C00022</t>
  </si>
  <si>
    <t>C00201 + C00022</t>
  </si>
  <si>
    <t>C00286 + C00022</t>
  </si>
  <si>
    <t>C00002 + C00299</t>
  </si>
  <si>
    <t>C00002 + C00475</t>
  </si>
  <si>
    <t>C00044 + C00299</t>
  </si>
  <si>
    <t>C00044 + C00475</t>
  </si>
  <si>
    <t>C16633 + C00002</t>
  </si>
  <si>
    <t>C00002 + C01279</t>
  </si>
  <si>
    <t>C00002 + C01094</t>
  </si>
  <si>
    <t>C00002 + C00984</t>
  </si>
  <si>
    <t>C00002 + C00033</t>
  </si>
  <si>
    <t>C00002 + C00197</t>
  </si>
  <si>
    <t>C00002 + C00049</t>
  </si>
  <si>
    <t>C00074 + C00615</t>
  </si>
  <si>
    <t>C00002 + C01107</t>
  </si>
  <si>
    <t>C00002 + C00105</t>
  </si>
  <si>
    <t>C00002 + C00055</t>
  </si>
  <si>
    <t>C00002 + C00239</t>
  </si>
  <si>
    <t>C00002 + C00020</t>
  </si>
  <si>
    <t>C00068 + C00008</t>
  </si>
  <si>
    <t>C00002 + C04556</t>
  </si>
  <si>
    <t>C00002 + C00144</t>
  </si>
  <si>
    <t>C00002 + C00362</t>
  </si>
  <si>
    <t>C22441 + C00002</t>
  </si>
  <si>
    <t>C00002 + C00117</t>
  </si>
  <si>
    <t>C00002 + C00378</t>
  </si>
  <si>
    <t>C00029 + C00446</t>
  </si>
  <si>
    <t>C00002 + C00455</t>
  </si>
  <si>
    <t>C00002 + C01185</t>
  </si>
  <si>
    <t>C00002 + C00061</t>
  </si>
  <si>
    <t>C00075 + C04501</t>
  </si>
  <si>
    <t>C00002 + C00103</t>
  </si>
  <si>
    <t>C00002 + C01134</t>
  </si>
  <si>
    <t>C00002 + C00046</t>
  </si>
  <si>
    <t>C00044 + C00046</t>
  </si>
  <si>
    <t>C00063 + C00046</t>
  </si>
  <si>
    <t>C00075 + C00046</t>
  </si>
  <si>
    <t>C00201 + C00046</t>
  </si>
  <si>
    <t>C19771 + C03688</t>
  </si>
  <si>
    <t>C00131 + C00039</t>
  </si>
  <si>
    <t>C00286 + C00039</t>
  </si>
  <si>
    <t>C00458 + C00039</t>
  </si>
  <si>
    <t>C00459 + C00039</t>
  </si>
  <si>
    <t>C00677 + C00039</t>
  </si>
  <si>
    <t>C02211 + C00063</t>
  </si>
  <si>
    <t>C02211 + C00063 + C00002</t>
  </si>
  <si>
    <t>C19078 + C00063</t>
  </si>
  <si>
    <t>C19080 + C00002</t>
  </si>
  <si>
    <t>C00188 + C00002 + C00288 + C00080</t>
  </si>
  <si>
    <t>C00075 + C00103</t>
  </si>
  <si>
    <t>C04702 + C17556</t>
  </si>
  <si>
    <t>C04882 + C17556</t>
  </si>
  <si>
    <t>C00269 + C00093</t>
  </si>
  <si>
    <t>C00010 + C03688</t>
  </si>
  <si>
    <t>C00868 + C15812 + C00002</t>
  </si>
  <si>
    <t>C00097 + C02342</t>
  </si>
  <si>
    <t>C15812 + C15813 + C00030</t>
  </si>
  <si>
    <t>C00024 + C00158</t>
  </si>
  <si>
    <t>C00934 + C00001</t>
  </si>
  <si>
    <t>C01167 + C00001</t>
  </si>
  <si>
    <t>C00020 + C00001</t>
  </si>
  <si>
    <t>C00055 + C00001</t>
  </si>
  <si>
    <t>C00105 + C00001</t>
  </si>
  <si>
    <t>C00130 + C00001</t>
  </si>
  <si>
    <t>C00144 + C00001</t>
  </si>
  <si>
    <t>C00239 + C00001</t>
  </si>
  <si>
    <t>C00360 + C00001</t>
  </si>
  <si>
    <t>C00362 + C00001</t>
  </si>
  <si>
    <t>C00364 + C00001</t>
  </si>
  <si>
    <t>C00365 + C00001</t>
  </si>
  <si>
    <t>C00455 + C00001</t>
  </si>
  <si>
    <t>C00655 + C00001</t>
  </si>
  <si>
    <t>C01185 + C00001</t>
  </si>
  <si>
    <t>C02520 + C00001</t>
  </si>
  <si>
    <t>C06196 + C00001</t>
  </si>
  <si>
    <t>C00089 + C00001</t>
  </si>
  <si>
    <t>C00492 + C00001</t>
  </si>
  <si>
    <t>C01613 + C00001</t>
  </si>
  <si>
    <t>C16688 + C00001</t>
  </si>
  <si>
    <t>C00021 + C00001</t>
  </si>
  <si>
    <t>C00170 + C00001</t>
  </si>
  <si>
    <t>C05198 + C00001</t>
  </si>
  <si>
    <t>C00064 + C00001</t>
  </si>
  <si>
    <t>C00241 + C00001</t>
  </si>
  <si>
    <t>C00357 + C00001</t>
  </si>
  <si>
    <t>C04258 + C00001</t>
  </si>
  <si>
    <t>C11439 + C00001</t>
  </si>
  <si>
    <t>C00337 + C00001</t>
  </si>
  <si>
    <t>C17324 + C00001</t>
  </si>
  <si>
    <t>C00212 + C00001</t>
  </si>
  <si>
    <t>C00559 + C00001</t>
  </si>
  <si>
    <t>C00352 + C00001</t>
  </si>
  <si>
    <t>C00013 + C00001</t>
  </si>
  <si>
    <t>C01260 + C00001</t>
  </si>
  <si>
    <t>C00009 + C00036</t>
  </si>
  <si>
    <t>C00002 + C01143</t>
  </si>
  <si>
    <t>C01102 + C00001</t>
  </si>
  <si>
    <t>C06055 + C00001</t>
  </si>
  <si>
    <t>C00002 + C00082 + C00787</t>
  </si>
  <si>
    <t>C00002 + C00073 + C01647</t>
  </si>
  <si>
    <t>C00002 + C05335 + C01647</t>
  </si>
  <si>
    <t>C00002 + C00065 + C01650</t>
  </si>
  <si>
    <t>C00002 + C00065 + C16636</t>
  </si>
  <si>
    <t>C01638 + C00049 + C00002</t>
  </si>
  <si>
    <t>C00002 + C00037 + C01642</t>
  </si>
  <si>
    <t>C00002 + C00148 + C01649</t>
  </si>
  <si>
    <t>C00002 + C00097 + C01639</t>
  </si>
  <si>
    <t>C01641 + C00025 + C00002</t>
  </si>
  <si>
    <t>C00002 + C00062 + C01636</t>
  </si>
  <si>
    <t>C00002 + C00078 + C01652</t>
  </si>
  <si>
    <t>C00002 + C00079 + C01648</t>
  </si>
  <si>
    <t>C00002 + C00188 + C01651</t>
  </si>
  <si>
    <t>C00002 + C00123 + C01645</t>
  </si>
  <si>
    <t>C00002 + C00407 + C01644</t>
  </si>
  <si>
    <t>C00002 + C00047 + C01646</t>
  </si>
  <si>
    <t>C00002 + C00041 + C01635</t>
  </si>
  <si>
    <t>C00002 + C00183 + C01653</t>
  </si>
  <si>
    <t>C00002 + C00033 + C04298</t>
  </si>
  <si>
    <t>C00002 + C00049 + C00014</t>
  </si>
  <si>
    <t>C00002 + C00025 + C00014</t>
  </si>
  <si>
    <t>C00002 + C00857 + C00014</t>
  </si>
  <si>
    <t>C00002 + C04877 + C00993</t>
  </si>
  <si>
    <t>C00002 + C05892 + C00993</t>
  </si>
  <si>
    <t>C00063 + C03492 + C00097</t>
  </si>
  <si>
    <t>C00002 + C04751 + C00049</t>
  </si>
  <si>
    <t>C00002 + C01050 + C00041</t>
  </si>
  <si>
    <t>C00002 + C01212 + C00217</t>
  </si>
  <si>
    <t>C00002 + C04640</t>
  </si>
  <si>
    <t>C00002 + C03479 + C00080</t>
  </si>
  <si>
    <t>C00002 + C03090 + C00037</t>
  </si>
  <si>
    <t>C00002 + C03373 + C00288</t>
  </si>
  <si>
    <t>C19722 + C00047 + C00002</t>
  </si>
  <si>
    <t>C00002 + C00075 + C00014</t>
  </si>
  <si>
    <t>C00002 + C00075 + C00064 + C00001</t>
  </si>
  <si>
    <t>C01185 + C00013 + C00008 + C00009</t>
  </si>
  <si>
    <t>C00101 + C00058 + C00002</t>
  </si>
  <si>
    <t>C00044 + C00130 + C00049</t>
  </si>
  <si>
    <t>C00002 + C00655 + C00014</t>
  </si>
  <si>
    <t>C00002 + C00655 + C00064 + C00001</t>
  </si>
  <si>
    <t>C16618 + C00002 + C00064 + C00001</t>
  </si>
  <si>
    <t>C00002 + C00064 + C00288 + C00001</t>
  </si>
  <si>
    <t>C00002 + C00288</t>
  </si>
  <si>
    <t>C00002 + C00288 + C00014</t>
  </si>
  <si>
    <t>C00002 + C01563</t>
  </si>
  <si>
    <t>C00014 + C20969</t>
  </si>
  <si>
    <t>C00003 + C00039 + C02128</t>
  </si>
  <si>
    <t>C00002 + C00001</t>
  </si>
  <si>
    <t>Reactants (Addition)</t>
  </si>
  <si>
    <t>C00576 + C00004 + C00080</t>
  </si>
  <si>
    <t>C00576 + C00005 + C00080</t>
  </si>
  <si>
    <t>C00071 + C00004 + C00080</t>
  </si>
  <si>
    <t>C00772 + C00004 + C00080</t>
  </si>
  <si>
    <t>C00084 + C00004 + C00080</t>
  </si>
  <si>
    <t>C00376 + C00004 + C00080</t>
  </si>
  <si>
    <t>C01545 + C00004 + C00080</t>
  </si>
  <si>
    <t>C01450 + C00004 + C00080</t>
  </si>
  <si>
    <t>C14099 + C00004 + C00080</t>
  </si>
  <si>
    <t>C05445 + C00004 + C00080</t>
  </si>
  <si>
    <t>C05577 + C00004 + C00080</t>
  </si>
  <si>
    <t>C06613 + C00004 + C00080</t>
  </si>
  <si>
    <t>C16348 + C00004 + C00080</t>
  </si>
  <si>
    <t>C07490 + C00003 + C00001</t>
  </si>
  <si>
    <t>C16551 + C00003</t>
  </si>
  <si>
    <t>C14090 + C00004 + C00080</t>
  </si>
  <si>
    <t>C08492 + C00003</t>
  </si>
  <si>
    <t>C16587 + C00004 + C00080</t>
  </si>
  <si>
    <t>C16596 + C00004 + C00080</t>
  </si>
  <si>
    <t>C00022 + C00004 + C00080</t>
  </si>
  <si>
    <t>C00957 + C00004 + C00080</t>
  </si>
  <si>
    <t>C00109 + C00004 + C00080</t>
  </si>
  <si>
    <t>C00441 + C00004 + C00080</t>
  </si>
  <si>
    <t>C00441 + C00005 + C00080</t>
  </si>
  <si>
    <t>C00111 + C00004 + C00080</t>
  </si>
  <si>
    <t>C00111 + C00005 + C00080</t>
  </si>
  <si>
    <t>C00342 + C00008</t>
  </si>
  <si>
    <t>C00035 + C00342</t>
  </si>
  <si>
    <t>C00342 + C00112</t>
  </si>
  <si>
    <t>C00342 + C00015</t>
  </si>
  <si>
    <t>C03723 + C00342</t>
  </si>
  <si>
    <t>C03723 + C02090</t>
  </si>
  <si>
    <t>C03723 + C16663</t>
  </si>
  <si>
    <t>C21748 + C00342</t>
  </si>
  <si>
    <t>C00002 + C00342</t>
  </si>
  <si>
    <t>C00044 + C00342</t>
  </si>
  <si>
    <t>C00063 + C00342</t>
  </si>
  <si>
    <t>C00075 + C00342</t>
  </si>
  <si>
    <t>C03802 + C00342</t>
  </si>
  <si>
    <t>C00024 + C00004 + C00080</t>
  </si>
  <si>
    <t>C00136 + C00004 + C00080</t>
  </si>
  <si>
    <t>C03082 + C00005 + C00080</t>
  </si>
  <si>
    <t>C04631 + C00004 + C00080</t>
  </si>
  <si>
    <t>C04631 + C00005 + C00080</t>
  </si>
  <si>
    <t>C00504 + C00004 + C00080</t>
  </si>
  <si>
    <t>C00504 + C00005 + C00080</t>
  </si>
  <si>
    <t>C00415 + C00004 + C00080</t>
  </si>
  <si>
    <t>C00415 + C00005 + C00080</t>
  </si>
  <si>
    <t>C02953 + C00005 + C00080</t>
  </si>
  <si>
    <t>C00144 + C00005 + C00080</t>
  </si>
  <si>
    <t>C00006 + C00001 + C05703</t>
  </si>
  <si>
    <t>C05526 + C00005</t>
  </si>
  <si>
    <t>C00343 + C00005 + C00080</t>
  </si>
  <si>
    <t>C05684 + C00005 + C00080</t>
  </si>
  <si>
    <t>C15999 + C00342</t>
  </si>
  <si>
    <t>C03895 + C00342</t>
  </si>
  <si>
    <t>C15653 + C00342</t>
  </si>
  <si>
    <t>C00021 + C04153</t>
  </si>
  <si>
    <t>C00021 + C20796</t>
  </si>
  <si>
    <t>C00021 + C04157</t>
  </si>
  <si>
    <t>C20858 + C00021</t>
  </si>
  <si>
    <t>C00021 + C04160</t>
  </si>
  <si>
    <t>C00415 + C00364</t>
  </si>
  <si>
    <t>C04377 + C00037 + C00001</t>
  </si>
  <si>
    <t>C00101 + C00065</t>
  </si>
  <si>
    <t>C00101 + C04376</t>
  </si>
  <si>
    <t>C04376 + C00101</t>
  </si>
  <si>
    <t>C00101 + C04734</t>
  </si>
  <si>
    <t>C00101 + C03294</t>
  </si>
  <si>
    <t>C00009 + C00438</t>
  </si>
  <si>
    <t>C00681 + C00010</t>
  </si>
  <si>
    <t>C00681 + C00229</t>
  </si>
  <si>
    <t>C00010 + C00681</t>
  </si>
  <si>
    <t>C00010 + C04501</t>
  </si>
  <si>
    <t>C00010 + C04341</t>
  </si>
  <si>
    <t>C02133 + C00229</t>
  </si>
  <si>
    <t>C00010 + C00227</t>
  </si>
  <si>
    <t>C02876 + C00010</t>
  </si>
  <si>
    <t>C00024 + C00001 + C00332</t>
  </si>
  <si>
    <t>C00718 + C00103</t>
  </si>
  <si>
    <t>C00008 + C00718</t>
  </si>
  <si>
    <t>C05893 + C00015</t>
  </si>
  <si>
    <t>C05898 + C00015</t>
  </si>
  <si>
    <t>C00295 + C00119</t>
  </si>
  <si>
    <t>C16634 + C00013</t>
  </si>
  <si>
    <t>C00064 + C00119 + C00001</t>
  </si>
  <si>
    <t>C00242 + C00119</t>
  </si>
  <si>
    <t>C00385 + C00119</t>
  </si>
  <si>
    <t>C19771 + C00147</t>
  </si>
  <si>
    <t>C00147 + C00119</t>
  </si>
  <si>
    <t>C04051 + C00119</t>
  </si>
  <si>
    <t>C00262 + C00119</t>
  </si>
  <si>
    <t>C04646 + C00013</t>
  </si>
  <si>
    <t>C16619 + C00013</t>
  </si>
  <si>
    <t>C16615 + C00013</t>
  </si>
  <si>
    <t>C00106 + C00119</t>
  </si>
  <si>
    <t>C04574 + C11826</t>
  </si>
  <si>
    <t>C04574 + C11827</t>
  </si>
  <si>
    <t>C00097 + C00033</t>
  </si>
  <si>
    <t>C00097 + C00094 + C00343 + C00033</t>
  </si>
  <si>
    <t>C05688 + C00033</t>
  </si>
  <si>
    <t>C00097 + C00009</t>
  </si>
  <si>
    <t>C00009 + C00013 + C05691</t>
  </si>
  <si>
    <t>C00002 + C00073 + C00001</t>
  </si>
  <si>
    <t>C04631 + C00009</t>
  </si>
  <si>
    <t>C00013 + C04432</t>
  </si>
  <si>
    <t>C00025 + C00352</t>
  </si>
  <si>
    <t>C00008 + C00354</t>
  </si>
  <si>
    <t>C00008 + C00447</t>
  </si>
  <si>
    <t>C00008 + C05378</t>
  </si>
  <si>
    <t>C00112 + C00354</t>
  </si>
  <si>
    <t>C00112 + C03785</t>
  </si>
  <si>
    <t>C00015 + C00354</t>
  </si>
  <si>
    <t>C00015 + C03785</t>
  </si>
  <si>
    <t>C00104 + C00354</t>
  </si>
  <si>
    <t>C00104 + C03785</t>
  </si>
  <si>
    <t>C03785 + C00008</t>
  </si>
  <si>
    <t>C00008 + C00117</t>
  </si>
  <si>
    <t>C01801 + C00002</t>
  </si>
  <si>
    <t>C00008 + C00364</t>
  </si>
  <si>
    <t>C00008 + C00365</t>
  </si>
  <si>
    <t>C04242 + C00008</t>
  </si>
  <si>
    <t>C16688 + C00615</t>
  </si>
  <si>
    <t>C00008 + C00006</t>
  </si>
  <si>
    <t>C00008 + C00010</t>
  </si>
  <si>
    <t>C00008 + C00061</t>
  </si>
  <si>
    <t>C00008 + C00093</t>
  </si>
  <si>
    <t>C00008 + C01134</t>
  </si>
  <si>
    <t>C00008 + C03492</t>
  </si>
  <si>
    <t>C00008 + C04352</t>
  </si>
  <si>
    <t>C00008 + C01107</t>
  </si>
  <si>
    <t>C00008 + C01102</t>
  </si>
  <si>
    <t>C00008 + C00074</t>
  </si>
  <si>
    <t>C00035 + C00074</t>
  </si>
  <si>
    <t>C00112 + C00074</t>
  </si>
  <si>
    <t>C00015 + C00074</t>
  </si>
  <si>
    <t>C00104 + C00074</t>
  </si>
  <si>
    <t>C00206 + C00074</t>
  </si>
  <si>
    <t>C00361 + C00074</t>
  </si>
  <si>
    <t>C00008 + C00105</t>
  </si>
  <si>
    <t>C00008 + C00055</t>
  </si>
  <si>
    <t>C00035 + C00105</t>
  </si>
  <si>
    <t>C00035 + C00055</t>
  </si>
  <si>
    <t>C16634 + C00008</t>
  </si>
  <si>
    <t>C00008 + C04556</t>
  </si>
  <si>
    <t>C00008 + C00446</t>
  </si>
  <si>
    <t>C00008 + C00227</t>
  </si>
  <si>
    <t>C00008 + C02876</t>
  </si>
  <si>
    <t>C00008 + C00236</t>
  </si>
  <si>
    <t>C00008 + C03082</t>
  </si>
  <si>
    <t>C00022 + C04261</t>
  </si>
  <si>
    <t>C00008 + C01143</t>
  </si>
  <si>
    <t>C00008 + C00015</t>
  </si>
  <si>
    <t>C00008 + C00112</t>
  </si>
  <si>
    <t>C00008 + C00705</t>
  </si>
  <si>
    <t>C00008 + C00206</t>
  </si>
  <si>
    <t>C03028 + C00020</t>
  </si>
  <si>
    <t>C00008 + C04752</t>
  </si>
  <si>
    <t>C00008 + C00035</t>
  </si>
  <si>
    <t>C00008 + C00361</t>
  </si>
  <si>
    <t>C22442 + C00008</t>
  </si>
  <si>
    <t>C00020 + C00119</t>
  </si>
  <si>
    <t>C00020 + C00068</t>
  </si>
  <si>
    <t>C00103 + C00052</t>
  </si>
  <si>
    <t>C00013 + C00003</t>
  </si>
  <si>
    <t>C00013 + C00857</t>
  </si>
  <si>
    <t>C00013 + C00016</t>
  </si>
  <si>
    <t>C00013 + C00043</t>
  </si>
  <si>
    <t>C00013 + C00498</t>
  </si>
  <si>
    <t>C00013 + C00882</t>
  </si>
  <si>
    <t>C00013 + C00269</t>
  </si>
  <si>
    <t>C00013 + C00046</t>
  </si>
  <si>
    <t>C00229 + C00013</t>
  </si>
  <si>
    <t>C00013 + C00039</t>
  </si>
  <si>
    <t>C19078 + C00013</t>
  </si>
  <si>
    <t>C19085 + C00013</t>
  </si>
  <si>
    <t>C19080 + C00013</t>
  </si>
  <si>
    <t>C00013 + C20565</t>
  </si>
  <si>
    <t>C20641 + C00013 + C00001</t>
  </si>
  <si>
    <t>C00013 + C00029</t>
  </si>
  <si>
    <t>C00105 + C04851</t>
  </si>
  <si>
    <t>C00105 + C05897</t>
  </si>
  <si>
    <t>C00055 + C03892</t>
  </si>
  <si>
    <t>C00054 + C00229</t>
  </si>
  <si>
    <t>C17322 + C15811 + C00020 + C00013</t>
  </si>
  <si>
    <t>C00065 + C04161</t>
  </si>
  <si>
    <t>C00020 + C15814 + C15811 + C00028</t>
  </si>
  <si>
    <t>C00033 + C00566</t>
  </si>
  <si>
    <t>C11477 + C00009</t>
  </si>
  <si>
    <t>C00585 + C00009</t>
  </si>
  <si>
    <t>C00212 + C00009</t>
  </si>
  <si>
    <t>C00475 + C00009</t>
  </si>
  <si>
    <t>C00299 + C00009</t>
  </si>
  <si>
    <t>C00294 + C00009</t>
  </si>
  <si>
    <t>C00387 + C00009</t>
  </si>
  <si>
    <t>C00881 + C00009</t>
  </si>
  <si>
    <t>C00559 + C00009</t>
  </si>
  <si>
    <t>C00330 + C00009</t>
  </si>
  <si>
    <t>C00214 + C00009</t>
  </si>
  <si>
    <t>C00526 + C00009</t>
  </si>
  <si>
    <t>C03150 + C00009</t>
  </si>
  <si>
    <t>C01762 + C00009</t>
  </si>
  <si>
    <t>C05841 + C00009</t>
  </si>
  <si>
    <t>C00911 + C00009</t>
  </si>
  <si>
    <t>C05512 + C00009</t>
  </si>
  <si>
    <t>C00095 + C00031</t>
  </si>
  <si>
    <t>C02336 + C00267</t>
  </si>
  <si>
    <t>C05402 + C00095</t>
  </si>
  <si>
    <t>C05404 + C00095</t>
  </si>
  <si>
    <t>C00095 + C00092</t>
  </si>
  <si>
    <t>C03539 + C00147</t>
  </si>
  <si>
    <t>C00147 + C03089</t>
  </si>
  <si>
    <t>C22288 + C00147</t>
  </si>
  <si>
    <t>C00025 + C00014</t>
  </si>
  <si>
    <t>C00060 + C00014</t>
  </si>
  <si>
    <t>C00352 + C00033</t>
  </si>
  <si>
    <t>C00058 + C03617</t>
  </si>
  <si>
    <t>C11440 + C00058</t>
  </si>
  <si>
    <t>C20451 + C00014</t>
  </si>
  <si>
    <t>C00294 + C00014</t>
  </si>
  <si>
    <t>C05512 + C00014</t>
  </si>
  <si>
    <t>C00085 + C00014</t>
  </si>
  <si>
    <t>C03373 + C00011</t>
  </si>
  <si>
    <t>C00105 + C00011</t>
  </si>
  <si>
    <t>C00008 + C00009 + C00129 + C00011</t>
  </si>
  <si>
    <t>C01134 + C00011</t>
  </si>
  <si>
    <t>C00118 + C00084</t>
  </si>
  <si>
    <t>C00024 + C00036</t>
  </si>
  <si>
    <t>C00033 + C00036</t>
  </si>
  <si>
    <t>C00074 + C00001</t>
  </si>
  <si>
    <t>C04309 + C00001</t>
  </si>
  <si>
    <t>C00188 + C00009</t>
  </si>
  <si>
    <t>C06056 + C00009</t>
  </si>
  <si>
    <t>C00122 + C00020</t>
  </si>
  <si>
    <t>C00122 + C04677</t>
  </si>
  <si>
    <t>C22441 + C00122</t>
  </si>
  <si>
    <t>C11838 + C00155</t>
  </si>
  <si>
    <t>C00020 + C00013 + C02839</t>
  </si>
  <si>
    <t>C00020 + C00013 + C02430</t>
  </si>
  <si>
    <t>C00020 + C00013 + C05336</t>
  </si>
  <si>
    <t>C00020 + C00013 + C02553</t>
  </si>
  <si>
    <t>C00020 + C00013 + C06481</t>
  </si>
  <si>
    <t>C02984 + C00013 + C00020</t>
  </si>
  <si>
    <t>C00020 + C00013 + C02412</t>
  </si>
  <si>
    <t>C00020 + C00013 + C02702</t>
  </si>
  <si>
    <t>C00020 + C00013 + C03125</t>
  </si>
  <si>
    <t>C02987 + C00013 + C00020</t>
  </si>
  <si>
    <t>C00020 + C00013 + C02163</t>
  </si>
  <si>
    <t>C00020 + C00013 + C03512</t>
  </si>
  <si>
    <t>C00020 + C00013 + C03511</t>
  </si>
  <si>
    <t>C00020 + C00013 + C02992</t>
  </si>
  <si>
    <t>C00020 + C00013 + C02047</t>
  </si>
  <si>
    <t>C00020 + C00013 + C03127</t>
  </si>
  <si>
    <t>C00020 + C00013 + C01931</t>
  </si>
  <si>
    <t>C00020 + C00013 + C00886</t>
  </si>
  <si>
    <t>C00020 + C00013 + C02554</t>
  </si>
  <si>
    <t>C00020 + C00013 + C04334</t>
  </si>
  <si>
    <t>C00020 + C00013 + C00152</t>
  </si>
  <si>
    <t>C00008 + C00009 + C00064</t>
  </si>
  <si>
    <t>C00020 + C00013 + C00003</t>
  </si>
  <si>
    <t>C00008 + C00009 + C04882</t>
  </si>
  <si>
    <t>C00008 + C00009 + C04702</t>
  </si>
  <si>
    <t>C00055 + C00013 + C04352</t>
  </si>
  <si>
    <t>C00008 + C00009 + C04823</t>
  </si>
  <si>
    <t>C00008 + C00009 + C01212</t>
  </si>
  <si>
    <t>C00008 + C00009 + C00692</t>
  </si>
  <si>
    <t>C00008 + C00009 + C03373</t>
  </si>
  <si>
    <t>C00008 + C00009 + C00445</t>
  </si>
  <si>
    <t>C00008 + C00009 + C03838</t>
  </si>
  <si>
    <t>C00008 + C00009 + C15667</t>
  </si>
  <si>
    <t>C19723 + C00020 + C00013 + C00001</t>
  </si>
  <si>
    <t>C00008 + C00009 + C00063</t>
  </si>
  <si>
    <t>C00253 + C00119 + C00002 + C00001 + C00080</t>
  </si>
  <si>
    <t>C00008 + C00009 + C00234</t>
  </si>
  <si>
    <t>C00035 + C00009 + C03794</t>
  </si>
  <si>
    <t>C00020 + C00013 + C00144</t>
  </si>
  <si>
    <t>C00020 + C00013 + C00144 + C00025</t>
  </si>
  <si>
    <t>C16619 + C00020 + C00013 + C00025</t>
  </si>
  <si>
    <t>C00008 + C00009 + C04640 + C00025</t>
  </si>
  <si>
    <t>C00008 + C00009 + C00025 + C00169</t>
  </si>
  <si>
    <t>C00008 + C20969</t>
  </si>
  <si>
    <t>C00008 + C00009 + C00169</t>
  </si>
  <si>
    <t>C00008 + C00169</t>
  </si>
  <si>
    <t>C01563 + C00009</t>
  </si>
  <si>
    <t>C00020 + C00455 + C00039</t>
  </si>
  <si>
    <t>C00008 + C00009</t>
  </si>
  <si>
    <t>Products (Addition)</t>
  </si>
  <si>
    <t>Products (Multiplication)</t>
  </si>
  <si>
    <t>Reactants (Multiplication)</t>
  </si>
  <si>
    <t>No</t>
  </si>
  <si>
    <t>Initial Concentration (mM)</t>
  </si>
  <si>
    <t>Enzyme Turnover (/s)</t>
  </si>
  <si>
    <t>Enzyme Km (mM)</t>
  </si>
  <si>
    <t>NZ_CP065054.1</t>
  </si>
  <si>
    <t>WP_206158853.1</t>
  </si>
  <si>
    <t>I2432_RS00005</t>
  </si>
  <si>
    <t>WP_012677175.1</t>
  </si>
  <si>
    <t>I2432_RS00010</t>
  </si>
  <si>
    <t>WP_012514683.1</t>
  </si>
  <si>
    <t>I2432_RS00015</t>
  </si>
  <si>
    <t>WP_172453717.1</t>
  </si>
  <si>
    <t>I2432_RS00020</t>
  </si>
  <si>
    <t>WP_206158854.1</t>
  </si>
  <si>
    <t>I2432_RS00025</t>
  </si>
  <si>
    <t>WP_043031693.1</t>
  </si>
  <si>
    <t>I2432_RS00030</t>
  </si>
  <si>
    <t>WP_206158855.1</t>
  </si>
  <si>
    <t>I2432_RS00035</t>
  </si>
  <si>
    <t>WP_115251456.1</t>
  </si>
  <si>
    <t>I2432_RS00040</t>
  </si>
  <si>
    <t>WP_043053535.1</t>
  </si>
  <si>
    <t>I2432_RS00045</t>
  </si>
  <si>
    <t>FtsB family cell division protein</t>
  </si>
  <si>
    <t>WP_012677181.1</t>
  </si>
  <si>
    <t>I2432_RS00050</t>
  </si>
  <si>
    <t>SP_0009 family protein</t>
  </si>
  <si>
    <t>WP_012677182.1</t>
  </si>
  <si>
    <t>I2432_RS10380</t>
  </si>
  <si>
    <t>WP_206158856.1</t>
  </si>
  <si>
    <t>I2432_RS00055</t>
  </si>
  <si>
    <t>WP_206158857.1</t>
  </si>
  <si>
    <t>I2432_RS00060</t>
  </si>
  <si>
    <t>WP_012514693.1</t>
  </si>
  <si>
    <t>I2432_RS00065</t>
  </si>
  <si>
    <t>WP_206158858.1</t>
  </si>
  <si>
    <t>I2432_RS00070</t>
  </si>
  <si>
    <t>WP_165627774.1</t>
  </si>
  <si>
    <t>I2432_RS00075</t>
  </si>
  <si>
    <t>I2432_RS00080</t>
  </si>
  <si>
    <t>I2432_RS00085</t>
  </si>
  <si>
    <t>I2432_RS00090</t>
  </si>
  <si>
    <t>I2432_RS00095</t>
  </si>
  <si>
    <t>I2432_RS00100</t>
  </si>
  <si>
    <t>I2432_RS00105</t>
  </si>
  <si>
    <t>I2432_RS00110</t>
  </si>
  <si>
    <t>I2432_RS00115</t>
  </si>
  <si>
    <t>I2432_RS00120</t>
  </si>
  <si>
    <t>I2432_RS00125</t>
  </si>
  <si>
    <t>I2432_RS00130</t>
  </si>
  <si>
    <t>I2432_RS00135</t>
  </si>
  <si>
    <t>I2432_RS00140</t>
  </si>
  <si>
    <t>I2432_RS00145</t>
  </si>
  <si>
    <t>I2432_RS00150</t>
  </si>
  <si>
    <t>I2432_RS00155</t>
  </si>
  <si>
    <t>I2432_RS00160</t>
  </si>
  <si>
    <t>I2432_RS00165</t>
  </si>
  <si>
    <t>I2432_RS00170</t>
  </si>
  <si>
    <t>I2432_RS00175</t>
  </si>
  <si>
    <t>I2432_RS00180</t>
  </si>
  <si>
    <t>WP_249093259.1</t>
  </si>
  <si>
    <t>I2432_RS00185</t>
  </si>
  <si>
    <t>WP_012514697.1</t>
  </si>
  <si>
    <t>I2432_RS00190</t>
  </si>
  <si>
    <t>peptidoglycan hydrolase PcsB</t>
  </si>
  <si>
    <t>pcsB</t>
  </si>
  <si>
    <t>WP_165628003.1</t>
  </si>
  <si>
    <t>I2432_RS00195</t>
  </si>
  <si>
    <t>WP_021320231.1</t>
  </si>
  <si>
    <t>I2432_RS00200</t>
  </si>
  <si>
    <t>WP_206158860.1</t>
  </si>
  <si>
    <t>I2432_RS00205</t>
  </si>
  <si>
    <t>WP_206158861.1</t>
  </si>
  <si>
    <t>I2432_RS00210</t>
  </si>
  <si>
    <t>phosphopantetheine-binding protein</t>
  </si>
  <si>
    <t>WP_206158862.1</t>
  </si>
  <si>
    <t>I2432_RS00215</t>
  </si>
  <si>
    <t>WP_206158863.1</t>
  </si>
  <si>
    <t>I2432_RS00220</t>
  </si>
  <si>
    <t>phosphoribosylformylglycinamidine synthase</t>
  </si>
  <si>
    <t>WP_206158864.1</t>
  </si>
  <si>
    <t>I2432_RS00225</t>
  </si>
  <si>
    <t>WP_206158865.1</t>
  </si>
  <si>
    <t>I2432_RS00230</t>
  </si>
  <si>
    <t>WP_206158866.1</t>
  </si>
  <si>
    <t>I2432_RS00235</t>
  </si>
  <si>
    <t>WP_012678772.1</t>
  </si>
  <si>
    <t>I2432_RS00240</t>
  </si>
  <si>
    <t>WP_043038324.1</t>
  </si>
  <si>
    <t>I2432_RS00245</t>
  </si>
  <si>
    <t>ISL3-like element ISSeq1 family transposase</t>
  </si>
  <si>
    <t>WP_014622390.1</t>
  </si>
  <si>
    <t>I2432_RS00250</t>
  </si>
  <si>
    <t>WP_206158867.1</t>
  </si>
  <si>
    <t>I2432_RS00255</t>
  </si>
  <si>
    <t>WP_206158868.1</t>
  </si>
  <si>
    <t>I2432_RS00260</t>
  </si>
  <si>
    <t>WP_206158869.1</t>
  </si>
  <si>
    <t>I2432_RS00265</t>
  </si>
  <si>
    <t>WP_206158870.1</t>
  </si>
  <si>
    <t>I2432_RS00270</t>
  </si>
  <si>
    <t>WP_012514713.1</t>
  </si>
  <si>
    <t>I2432_RS00275</t>
  </si>
  <si>
    <t>WP_372585987.1</t>
  </si>
  <si>
    <t>I2432_RS10485</t>
  </si>
  <si>
    <t>WP_206158871.1</t>
  </si>
  <si>
    <t>I2432_RS00280</t>
  </si>
  <si>
    <t>WP_115251528.1</t>
  </si>
  <si>
    <t>I2432_RS00285</t>
  </si>
  <si>
    <t>quorum-sensing system DWW-type pheromone</t>
  </si>
  <si>
    <t>WP_200831644.1</t>
  </si>
  <si>
    <t>I2432_RS10490</t>
  </si>
  <si>
    <t>WP_111677625.1</t>
  </si>
  <si>
    <t>I2432_RS00295</t>
  </si>
  <si>
    <t>WP_164336754.1</t>
  </si>
  <si>
    <t>I2432_RS00300</t>
  </si>
  <si>
    <t>MORN repeat-containing protein</t>
  </si>
  <si>
    <t>WP_164336752.1</t>
  </si>
  <si>
    <t>I2432_RS00305</t>
  </si>
  <si>
    <t>WP_206158872.1</t>
  </si>
  <si>
    <t>I2432_RS00310</t>
  </si>
  <si>
    <t>WP_164336748.1</t>
  </si>
  <si>
    <t>I2432_RS00315</t>
  </si>
  <si>
    <t>zinc-dependent alcohol dehydrogenase family protein</t>
  </si>
  <si>
    <t>WP_012514721.1</t>
  </si>
  <si>
    <t>I2432_RS00320</t>
  </si>
  <si>
    <t>alcohol dehydrogenase AdhP</t>
  </si>
  <si>
    <t>adhP</t>
  </si>
  <si>
    <t>WP_012514722.1</t>
  </si>
  <si>
    <t>I2432_RS00325</t>
  </si>
  <si>
    <t>WP_206158873.1</t>
  </si>
  <si>
    <t>I2432_RS00330</t>
  </si>
  <si>
    <t>WP_249093262.1</t>
  </si>
  <si>
    <t>I2432_RS00335</t>
  </si>
  <si>
    <t>WP_037582370.1</t>
  </si>
  <si>
    <t>I2432_RS00340</t>
  </si>
  <si>
    <t>WP_111677630.1</t>
  </si>
  <si>
    <t>I2432_RS00345</t>
  </si>
  <si>
    <t>WP_206158874.1</t>
  </si>
  <si>
    <t>I2432_RS00350</t>
  </si>
  <si>
    <t>WP_206158875.1</t>
  </si>
  <si>
    <t>I2432_RS00355</t>
  </si>
  <si>
    <t>IS30 family transposase</t>
  </si>
  <si>
    <t>WP_206158876.1</t>
  </si>
  <si>
    <t>I2432_RS00360</t>
  </si>
  <si>
    <t>WP_003046044.1</t>
  </si>
  <si>
    <t>I2432_RS00365</t>
  </si>
  <si>
    <t>WP_206158877.1</t>
  </si>
  <si>
    <t>I2432_RS00370</t>
  </si>
  <si>
    <t>WP_012677212.1</t>
  </si>
  <si>
    <t>I2432_RS00375</t>
  </si>
  <si>
    <t>WP_012677213.1</t>
  </si>
  <si>
    <t>I2432_RS00380</t>
  </si>
  <si>
    <t>WP_043024907.1</t>
  </si>
  <si>
    <t>I2432_RS00385</t>
  </si>
  <si>
    <t>30S ribosomal protein S19</t>
  </si>
  <si>
    <t>WP_000533765.1</t>
  </si>
  <si>
    <t>I2432_RS00390</t>
  </si>
  <si>
    <t>WP_002986651.1</t>
  </si>
  <si>
    <t>I2432_RS00395</t>
  </si>
  <si>
    <t>WP_012514737.1</t>
  </si>
  <si>
    <t>I2432_RS00400</t>
  </si>
  <si>
    <t>WP_012514738.1</t>
  </si>
  <si>
    <t>I2432_RS00405</t>
  </si>
  <si>
    <t>WP_003046054.1</t>
  </si>
  <si>
    <t>I2432_RS00410</t>
  </si>
  <si>
    <t>WP_196820072.1</t>
  </si>
  <si>
    <t>I2432_RS00415</t>
  </si>
  <si>
    <t>WP_012514740.1</t>
  </si>
  <si>
    <t>I2432_RS00420</t>
  </si>
  <si>
    <t>WP_012514741.1</t>
  </si>
  <si>
    <t>I2432_RS00425</t>
  </si>
  <si>
    <t>WP_003046060.1</t>
  </si>
  <si>
    <t>I2432_RS00430</t>
  </si>
  <si>
    <t>WP_012514742.1</t>
  </si>
  <si>
    <t>I2432_RS00435</t>
  </si>
  <si>
    <t>WP_012514743.1</t>
  </si>
  <si>
    <t>I2432_RS00440</t>
  </si>
  <si>
    <t>WP_012514744.1</t>
  </si>
  <si>
    <t>I2432_RS00445</t>
  </si>
  <si>
    <t>WP_003010871.1</t>
  </si>
  <si>
    <t>I2432_RS00450</t>
  </si>
  <si>
    <t>WP_012514745.1</t>
  </si>
  <si>
    <t>I2432_RS00455</t>
  </si>
  <si>
    <t>WP_206158878.1</t>
  </si>
  <si>
    <t>I2432_RS00460</t>
  </si>
  <si>
    <t>WP_012514746.1</t>
  </si>
  <si>
    <t>I2432_RS00465</t>
  </si>
  <si>
    <t>WP_043038345.1</t>
  </si>
  <si>
    <t>I2432_RS00470</t>
  </si>
  <si>
    <t>WP_012678795.1</t>
  </si>
  <si>
    <t>I2432_RS00475</t>
  </si>
  <si>
    <t>WP_001040189.1</t>
  </si>
  <si>
    <t>I2432_RS00480</t>
  </si>
  <si>
    <t>WP_000868345.1</t>
  </si>
  <si>
    <t>I2432_RS00485</t>
  </si>
  <si>
    <t>WP_012514749.1</t>
  </si>
  <si>
    <t>I2432_RS00490</t>
  </si>
  <si>
    <t>WP_001118387.1</t>
  </si>
  <si>
    <t>I2432_RS00495</t>
  </si>
  <si>
    <t>WP_206158879.1</t>
  </si>
  <si>
    <t>I2432_RS00500</t>
  </si>
  <si>
    <t>WP_002986602.1</t>
  </si>
  <si>
    <t>I2432_RS00505</t>
  </si>
  <si>
    <t>I2432_RS00510</t>
  </si>
  <si>
    <t>WP_206158880.1</t>
  </si>
  <si>
    <t>I2432_RS00515</t>
  </si>
  <si>
    <t>WP_206158881.1</t>
  </si>
  <si>
    <t>I2432_RS00520</t>
  </si>
  <si>
    <t>DUF4176 domain-containing protein</t>
  </si>
  <si>
    <t>WP_206158882.1</t>
  </si>
  <si>
    <t>I2432_RS00525</t>
  </si>
  <si>
    <t>I2432_RS00530</t>
  </si>
  <si>
    <t>I2432_RS00535</t>
  </si>
  <si>
    <t>I2432_RS00540</t>
  </si>
  <si>
    <t>I2432_RS00545</t>
  </si>
  <si>
    <t>I2432_RS00550</t>
  </si>
  <si>
    <t>I2432_RS00555</t>
  </si>
  <si>
    <t>I2432_RS00560</t>
  </si>
  <si>
    <t>I2432_RS00565</t>
  </si>
  <si>
    <t>I2432_RS00570</t>
  </si>
  <si>
    <t>I2432_RS00575</t>
  </si>
  <si>
    <t>I2432_RS00580</t>
  </si>
  <si>
    <t>I2432_RS00585</t>
  </si>
  <si>
    <t>I2432_RS00590</t>
  </si>
  <si>
    <t>I2432_RS00595</t>
  </si>
  <si>
    <t>I2432_RS00600</t>
  </si>
  <si>
    <t>I2432_RS00605</t>
  </si>
  <si>
    <t>WP_206158883.1</t>
  </si>
  <si>
    <t>I2432_RS00610</t>
  </si>
  <si>
    <t>DUF3173 domain-containing protein</t>
  </si>
  <si>
    <t>WP_011921695.1</t>
  </si>
  <si>
    <t>I2432_RS00615</t>
  </si>
  <si>
    <t>replication initiation factor domain-containing protein</t>
  </si>
  <si>
    <t>WP_196819752.1</t>
  </si>
  <si>
    <t>I2432_RS00620</t>
  </si>
  <si>
    <t>WP_196819753.1</t>
  </si>
  <si>
    <t>I2432_RS00625</t>
  </si>
  <si>
    <t>FtsK/SpoIIIE domain-containing protein</t>
  </si>
  <si>
    <t>WP_231191913.1</t>
  </si>
  <si>
    <t>I2432_RS00630</t>
  </si>
  <si>
    <t>WP_196819754.1</t>
  </si>
  <si>
    <t>I2432_RS00635</t>
  </si>
  <si>
    <t>WP_196819755.1</t>
  </si>
  <si>
    <t>I2432_RS00640</t>
  </si>
  <si>
    <t>WP_206158884.1</t>
  </si>
  <si>
    <t>I2432_RS00645</t>
  </si>
  <si>
    <t>ISL3 family transposase</t>
  </si>
  <si>
    <t>WP_206158885.1</t>
  </si>
  <si>
    <t>I2432_RS00650</t>
  </si>
  <si>
    <t>I2432_RS10495</t>
  </si>
  <si>
    <t>WP_206158886.1</t>
  </si>
  <si>
    <t>I2432_RS00655</t>
  </si>
  <si>
    <t>WP_206158887.1</t>
  </si>
  <si>
    <t>I2432_RS00660</t>
  </si>
  <si>
    <t>collagen-like protein</t>
  </si>
  <si>
    <t>WP_206158888.1</t>
  </si>
  <si>
    <t>I2432_RS10385</t>
  </si>
  <si>
    <t>WP_206158889.1</t>
  </si>
  <si>
    <t>I2432_RS00670</t>
  </si>
  <si>
    <t>WP_206158890.1</t>
  </si>
  <si>
    <t>I2432_RS00675</t>
  </si>
  <si>
    <t>4-(cytidine 5'-diphospho)-2-C-methyl-D-erythritol kinase</t>
  </si>
  <si>
    <t>ispE</t>
  </si>
  <si>
    <t>WP_012514767.1</t>
  </si>
  <si>
    <t>I2432_RS00680</t>
  </si>
  <si>
    <t>zinc-dependent MarR family transcriptional regulator</t>
  </si>
  <si>
    <t>WP_014622123.1</t>
  </si>
  <si>
    <t>I2432_RS00685</t>
  </si>
  <si>
    <t>metal ABC transporter ATP-binding protein</t>
  </si>
  <si>
    <t>WP_041785193.1</t>
  </si>
  <si>
    <t>I2432_RS00690</t>
  </si>
  <si>
    <t>WP_206158891.1</t>
  </si>
  <si>
    <t>I2432_RS00695</t>
  </si>
  <si>
    <t>WP_206158892.1</t>
  </si>
  <si>
    <t>I2432_RS00700</t>
  </si>
  <si>
    <t>penicillin-binding protein PBP1B</t>
  </si>
  <si>
    <t>pbp1b</t>
  </si>
  <si>
    <t>WP_206158893.1</t>
  </si>
  <si>
    <t>I2432_RS00705</t>
  </si>
  <si>
    <t>rpoB</t>
  </si>
  <si>
    <t>WP_037580647.1</t>
  </si>
  <si>
    <t>I2432_RS00710</t>
  </si>
  <si>
    <t>WP_206158894.1</t>
  </si>
  <si>
    <t>I2432_RS00715</t>
  </si>
  <si>
    <t>I2432_RS00720</t>
  </si>
  <si>
    <t>WP_012514775.1</t>
  </si>
  <si>
    <t>I2432_RS00725</t>
  </si>
  <si>
    <t>WP_206158895.1</t>
  </si>
  <si>
    <t>I2432_RS00730</t>
  </si>
  <si>
    <t>DUF1033 family protein</t>
  </si>
  <si>
    <t>WP_012514777.1</t>
  </si>
  <si>
    <t>I2432_RS00735</t>
  </si>
  <si>
    <t>I2432_RS00740</t>
  </si>
  <si>
    <t>WP_206158896.1</t>
  </si>
  <si>
    <t>I2432_RS00745</t>
  </si>
  <si>
    <t>WP_206158897.1</t>
  </si>
  <si>
    <t>I2432_RS00750</t>
  </si>
  <si>
    <t>competence type IV pilus assembly protein ComGB</t>
  </si>
  <si>
    <t>comGB</t>
  </si>
  <si>
    <t>WP_249093266.1</t>
  </si>
  <si>
    <t>I2432_RS00755</t>
  </si>
  <si>
    <t>WP_206158899.1</t>
  </si>
  <si>
    <t>I2432_RS00760</t>
  </si>
  <si>
    <t>competence type IV pilus minor pilin ComGD</t>
  </si>
  <si>
    <t>comGD</t>
  </si>
  <si>
    <t>WP_012514783.1</t>
  </si>
  <si>
    <t>I2432_RS00765</t>
  </si>
  <si>
    <t>competence type IV pilus minor pilin ComGE</t>
  </si>
  <si>
    <t>comGE</t>
  </si>
  <si>
    <t>WP_249093270.1</t>
  </si>
  <si>
    <t>I2432_RS00770</t>
  </si>
  <si>
    <t>competence type IV pilus minor pilin ComGF</t>
  </si>
  <si>
    <t>comGF</t>
  </si>
  <si>
    <t>WP_012677237.1</t>
  </si>
  <si>
    <t>I2432_RS00775</t>
  </si>
  <si>
    <t>competence type IV pilus minor pilin ComGG</t>
  </si>
  <si>
    <t>comGG</t>
  </si>
  <si>
    <t>WP_206152302.1</t>
  </si>
  <si>
    <t>I2432_RS00780</t>
  </si>
  <si>
    <t>WP_037580627.1</t>
  </si>
  <si>
    <t>I2432_RS00785</t>
  </si>
  <si>
    <t>WP_165627047.1</t>
  </si>
  <si>
    <t>I2432_RS00790</t>
  </si>
  <si>
    <t>class IIb bacteriocin, lactobin A/cerein 7B family</t>
  </si>
  <si>
    <t>WP_206158901.1</t>
  </si>
  <si>
    <t>I2432_RS00795</t>
  </si>
  <si>
    <t>WP_206158902.1</t>
  </si>
  <si>
    <t>I2432_RS00800</t>
  </si>
  <si>
    <t>BglG family transcription antiterminator</t>
  </si>
  <si>
    <t>WP_115250224.1</t>
  </si>
  <si>
    <t>I2432_RS00805</t>
  </si>
  <si>
    <t>WP_012514792.1</t>
  </si>
  <si>
    <t>I2432_RS00810</t>
  </si>
  <si>
    <t>PTS ascorbate transporter subunit IIC</t>
  </si>
  <si>
    <t>WP_206158903.1</t>
  </si>
  <si>
    <t>I2432_RS00815</t>
  </si>
  <si>
    <t>WP_115250226.1</t>
  </si>
  <si>
    <t>I2432_RS00820</t>
  </si>
  <si>
    <t>transketolase family protein</t>
  </si>
  <si>
    <t>WP_206158904.1</t>
  </si>
  <si>
    <t>I2432_RS00825</t>
  </si>
  <si>
    <t>WP_206158905.1</t>
  </si>
  <si>
    <t>I2432_RS00830</t>
  </si>
  <si>
    <t>WP_206158906.1</t>
  </si>
  <si>
    <t>I2432_RS00835</t>
  </si>
  <si>
    <t>WP_012677249.1</t>
  </si>
  <si>
    <t>I2432_RS00840</t>
  </si>
  <si>
    <t>alkyl hydroperoxide reductase subunit F</t>
  </si>
  <si>
    <t>ahpF</t>
  </si>
  <si>
    <t>WP_206158907.1</t>
  </si>
  <si>
    <t>I2432_RS00845</t>
  </si>
  <si>
    <t>alkyl hydroperoxide reductase subunit C</t>
  </si>
  <si>
    <t>ahpC</t>
  </si>
  <si>
    <t>WP_012514798.1</t>
  </si>
  <si>
    <t>I2432_RS00850</t>
  </si>
  <si>
    <t>I2432_RS00855</t>
  </si>
  <si>
    <t>cold-shock protein</t>
  </si>
  <si>
    <t>WP_012514799.1</t>
  </si>
  <si>
    <t>I2432_RS00860</t>
  </si>
  <si>
    <t>CtsR family transcriptional regulator</t>
  </si>
  <si>
    <t>WP_012514800.1</t>
  </si>
  <si>
    <t>I2432_RS00865</t>
  </si>
  <si>
    <t>WP_206158908.1</t>
  </si>
  <si>
    <t>I2432_RS00870</t>
  </si>
  <si>
    <t>I2432_RS10450</t>
  </si>
  <si>
    <t>WP_206158909.1</t>
  </si>
  <si>
    <t>I2432_RS00880</t>
  </si>
  <si>
    <t>lipase family protein</t>
  </si>
  <si>
    <t>WP_206158910.1</t>
  </si>
  <si>
    <t>I2432_RS00885</t>
  </si>
  <si>
    <t>WP_206158911.1</t>
  </si>
  <si>
    <t>I2432_RS00890</t>
  </si>
  <si>
    <t>WP_206158912.1</t>
  </si>
  <si>
    <t>I2432_RS00895</t>
  </si>
  <si>
    <t>WP_012514806.1</t>
  </si>
  <si>
    <t>I2432_RS00900</t>
  </si>
  <si>
    <t>WP_206158913.1</t>
  </si>
  <si>
    <t>I2432_RS00905</t>
  </si>
  <si>
    <t>WP_206158914.1</t>
  </si>
  <si>
    <t>I2432_RS00910</t>
  </si>
  <si>
    <t>WP_206158915.1</t>
  </si>
  <si>
    <t>I2432_RS00915</t>
  </si>
  <si>
    <t>uberolysin/carnocyclin family circular bacteriocin</t>
  </si>
  <si>
    <t>WP_042669851.1</t>
  </si>
  <si>
    <t>I2432_RS00920</t>
  </si>
  <si>
    <t>WP_206158916.1</t>
  </si>
  <si>
    <t>I2432_RS00925</t>
  </si>
  <si>
    <t>stage II sporulation protein M</t>
  </si>
  <si>
    <t>WP_111692112.1</t>
  </si>
  <si>
    <t>I2432_RS00930</t>
  </si>
  <si>
    <t>WP_012678903.1</t>
  </si>
  <si>
    <t>I2432_RS00935</t>
  </si>
  <si>
    <t>WP_206158917.1</t>
  </si>
  <si>
    <t>I2432_RS00940</t>
  </si>
  <si>
    <t>WP_043983904.1</t>
  </si>
  <si>
    <t>I2432_RS00945</t>
  </si>
  <si>
    <t>WP_115250239.1</t>
  </si>
  <si>
    <t>I2432_RS00950</t>
  </si>
  <si>
    <t>WP_206158918.1</t>
  </si>
  <si>
    <t>I2432_RS00955</t>
  </si>
  <si>
    <t>WP_012677265.1</t>
  </si>
  <si>
    <t>I2432_RS00960</t>
  </si>
  <si>
    <t>transglutaminase domain-containing protein</t>
  </si>
  <si>
    <t>WP_249093273.1</t>
  </si>
  <si>
    <t>I2432_RS00965</t>
  </si>
  <si>
    <t>RidA family protein</t>
  </si>
  <si>
    <t>WP_012514818.1</t>
  </si>
  <si>
    <t>I2432_RS00970</t>
  </si>
  <si>
    <t>penicillin-binding protein PBP2A</t>
  </si>
  <si>
    <t>pbp2a</t>
  </si>
  <si>
    <t>WP_115250240.1</t>
  </si>
  <si>
    <t>I2432_RS00975</t>
  </si>
  <si>
    <t>WP_012677268.1</t>
  </si>
  <si>
    <t>I2432_RS00980</t>
  </si>
  <si>
    <t>WP_115250241.1</t>
  </si>
  <si>
    <t>I2432_RS00985</t>
  </si>
  <si>
    <t>WP_012514821.1</t>
  </si>
  <si>
    <t>I2432_RS00990</t>
  </si>
  <si>
    <t>WP_206158919.1</t>
  </si>
  <si>
    <t>I2432_RS10390</t>
  </si>
  <si>
    <t>WP_115250243.1</t>
  </si>
  <si>
    <t>I2432_RS01000</t>
  </si>
  <si>
    <t>WP_115250244.1</t>
  </si>
  <si>
    <t>I2432_RS01005</t>
  </si>
  <si>
    <t>WP_115250245.1</t>
  </si>
  <si>
    <t>I2432_RS01010</t>
  </si>
  <si>
    <t>WP_111677677.1</t>
  </si>
  <si>
    <t>I2432_RS01015</t>
  </si>
  <si>
    <t>WP_115250246.1</t>
  </si>
  <si>
    <t>I2432_RS01020</t>
  </si>
  <si>
    <t>WP_012514830.1</t>
  </si>
  <si>
    <t>I2432_RS01025</t>
  </si>
  <si>
    <t>WP_037580553.1</t>
  </si>
  <si>
    <t>I2432_RS01030</t>
  </si>
  <si>
    <t>3-keto-L-gulonate-6-phosphate decarboxylase UlaD</t>
  </si>
  <si>
    <t>WP_115250247.1</t>
  </si>
  <si>
    <t>I2432_RS01035</t>
  </si>
  <si>
    <t>L-ribulose-5-phosphate 3-epimerase</t>
  </si>
  <si>
    <t>WP_115250248.1</t>
  </si>
  <si>
    <t>I2432_RS01040</t>
  </si>
  <si>
    <t>L-ribulose-5-phosphate 4-epimerase</t>
  </si>
  <si>
    <t>WP_115250249.1</t>
  </si>
  <si>
    <t>I2432_RS01045</t>
  </si>
  <si>
    <t>WP_206159069.1</t>
  </si>
  <si>
    <t>I2432_RS01050</t>
  </si>
  <si>
    <t>L-ascorbate 6-phosphate lactonase</t>
  </si>
  <si>
    <t>ulaG</t>
  </si>
  <si>
    <t>WP_043039978.1</t>
  </si>
  <si>
    <t>I2432_RS01055</t>
  </si>
  <si>
    <t>WP_043039979.1</t>
  </si>
  <si>
    <t>I2432_RS01060</t>
  </si>
  <si>
    <t>quaternary amine ABC transporter ATP-binding protein</t>
  </si>
  <si>
    <t>WP_115250251.1</t>
  </si>
  <si>
    <t>I2432_RS01065</t>
  </si>
  <si>
    <t>ABC transporter permease/substrate binding protein</t>
  </si>
  <si>
    <t>WP_115250252.1</t>
  </si>
  <si>
    <t>I2432_RS01070</t>
  </si>
  <si>
    <t>WP_206158920.1</t>
  </si>
  <si>
    <t>I2432_RS01075</t>
  </si>
  <si>
    <t>CoA-binding protein</t>
  </si>
  <si>
    <t>WP_206158921.1</t>
  </si>
  <si>
    <t>I2432_RS01080</t>
  </si>
  <si>
    <t>peroxide-responsive transcriptional repressor PerR</t>
  </si>
  <si>
    <t>perR</t>
  </si>
  <si>
    <t>WP_012677286.1</t>
  </si>
  <si>
    <t>I2432_RS01085</t>
  </si>
  <si>
    <t>FIVAR domain-containing protein</t>
  </si>
  <si>
    <t>WP_206158922.1</t>
  </si>
  <si>
    <t>I2432_RS10395</t>
  </si>
  <si>
    <t>NPCBM/NEW2 domain-containing protein</t>
  </si>
  <si>
    <t>WP_206158923.1</t>
  </si>
  <si>
    <t>I2432_RS01095</t>
  </si>
  <si>
    <t>WP_012677289.1</t>
  </si>
  <si>
    <t>I2432_RS01100</t>
  </si>
  <si>
    <t>tRNA guanosine(34) transglycosylase Tgt</t>
  </si>
  <si>
    <t>tgt</t>
  </si>
  <si>
    <t>WP_206158924.1</t>
  </si>
  <si>
    <t>I2432_RS01105</t>
  </si>
  <si>
    <t>WP_206158925.1</t>
  </si>
  <si>
    <t>I2432_RS01110</t>
  </si>
  <si>
    <t>WP_269457116.1</t>
  </si>
  <si>
    <t>I2432_RS10400</t>
  </si>
  <si>
    <t>WP_080332469.1</t>
  </si>
  <si>
    <t>I2432_RS10405</t>
  </si>
  <si>
    <t>CHY zinc finger protein</t>
  </si>
  <si>
    <t>WP_206158926.1</t>
  </si>
  <si>
    <t>I2432_RS01125</t>
  </si>
  <si>
    <t>biotin transporter BioY</t>
  </si>
  <si>
    <t>WP_164336088.1</t>
  </si>
  <si>
    <t>I2432_RS01130</t>
  </si>
  <si>
    <t>WP_206158927.1</t>
  </si>
  <si>
    <t>I2432_RS01135</t>
  </si>
  <si>
    <t>WP_042669878.1</t>
  </si>
  <si>
    <t>I2432_RS01140</t>
  </si>
  <si>
    <t>WP_206158928.1</t>
  </si>
  <si>
    <t>I2432_RS01145</t>
  </si>
  <si>
    <t>I2432_RS01150</t>
  </si>
  <si>
    <t>WP_043038431.1</t>
  </si>
  <si>
    <t>I2432_RS01155</t>
  </si>
  <si>
    <t>WP_206158929.1</t>
  </si>
  <si>
    <t>I2432_RS01160</t>
  </si>
  <si>
    <t>nucleotide sugar dehydrogenase</t>
  </si>
  <si>
    <t>WP_206158930.1</t>
  </si>
  <si>
    <t>I2432_RS01165</t>
  </si>
  <si>
    <t>WP_206158931.1</t>
  </si>
  <si>
    <t>I2432_RS01170</t>
  </si>
  <si>
    <t>WP_206158932.1</t>
  </si>
  <si>
    <t>I2432_RS01175</t>
  </si>
  <si>
    <t>WP_012514863.1</t>
  </si>
  <si>
    <t>I2432_RS01180</t>
  </si>
  <si>
    <t>WP_012514864.1</t>
  </si>
  <si>
    <t>I2432_RS01185</t>
  </si>
  <si>
    <t>WP_206158933.1</t>
  </si>
  <si>
    <t>I2432_RS01190</t>
  </si>
  <si>
    <t>transcriptional regulator GutM</t>
  </si>
  <si>
    <t>WP_206158934.1</t>
  </si>
  <si>
    <t>I2432_RS01195</t>
  </si>
  <si>
    <t>PTS glucitol/sorbitol transporter subunit IIC</t>
  </si>
  <si>
    <t>srlA</t>
  </si>
  <si>
    <t>WP_012677306.1</t>
  </si>
  <si>
    <t>I2432_RS01200</t>
  </si>
  <si>
    <t>PTS glucitol/sorbitol transporter subunit IIB</t>
  </si>
  <si>
    <t>srlE</t>
  </si>
  <si>
    <t>WP_037580510.1</t>
  </si>
  <si>
    <t>I2432_RS01205</t>
  </si>
  <si>
    <t>WP_115250528.1</t>
  </si>
  <si>
    <t>I2432_RS01210</t>
  </si>
  <si>
    <t>WP_206158935.1</t>
  </si>
  <si>
    <t>I2432_RS01215</t>
  </si>
  <si>
    <t>WP_012514871.1</t>
  </si>
  <si>
    <t>I2432_RS01220</t>
  </si>
  <si>
    <t>RloB family protein</t>
  </si>
  <si>
    <t>WP_012514872.1</t>
  </si>
  <si>
    <t>I2432_RS01225</t>
  </si>
  <si>
    <t>WP_206158936.1</t>
  </si>
  <si>
    <t>I2432_RS01230</t>
  </si>
  <si>
    <t>WP_206158937.1</t>
  </si>
  <si>
    <t>I2432_RS01235</t>
  </si>
  <si>
    <t>WP_206158938.1</t>
  </si>
  <si>
    <t>I2432_RS01240</t>
  </si>
  <si>
    <t>WP_041785235.1</t>
  </si>
  <si>
    <t>I2432_RS01245</t>
  </si>
  <si>
    <t>WP_206158939.1</t>
  </si>
  <si>
    <t>I2432_RS01250</t>
  </si>
  <si>
    <t>WP_012514879.1</t>
  </si>
  <si>
    <t>I2432_RS01255</t>
  </si>
  <si>
    <t>WP_206158940.1</t>
  </si>
  <si>
    <t>I2432_RS01260</t>
  </si>
  <si>
    <t>WP_206158941.1</t>
  </si>
  <si>
    <t>I2432_RS01265</t>
  </si>
  <si>
    <t>epoxyqueuosine reductase QueH</t>
  </si>
  <si>
    <t>WP_043025106.1</t>
  </si>
  <si>
    <t>I2432_RS01270</t>
  </si>
  <si>
    <t>WP_037580461.1</t>
  </si>
  <si>
    <t>I2432_RS01275</t>
  </si>
  <si>
    <t>WP_206159071.1</t>
  </si>
  <si>
    <t>I2432_RS01280</t>
  </si>
  <si>
    <t>WP_115250537.1</t>
  </si>
  <si>
    <t>I2432_RS01285</t>
  </si>
  <si>
    <t>beta-class carbonic anhydrase</t>
  </si>
  <si>
    <t>WP_115250538.1</t>
  </si>
  <si>
    <t>I2432_RS01290</t>
  </si>
  <si>
    <t>WP_206158942.1</t>
  </si>
  <si>
    <t>I2432_RS01295</t>
  </si>
  <si>
    <t>WP_206158943.1</t>
  </si>
  <si>
    <t>I2432_RS01300</t>
  </si>
  <si>
    <t>WP_165622974.1</t>
  </si>
  <si>
    <t>I2432_RS01305</t>
  </si>
  <si>
    <t>sensor kinase</t>
  </si>
  <si>
    <t>WP_014622241.1</t>
  </si>
  <si>
    <t>I2432_RS01310</t>
  </si>
  <si>
    <t>WP_043038466.1</t>
  </si>
  <si>
    <t>I2432_RS01315</t>
  </si>
  <si>
    <t>WP_012514891.1</t>
  </si>
  <si>
    <t>I2432_RS01320</t>
  </si>
  <si>
    <t>WP_012514892.1</t>
  </si>
  <si>
    <t>I2432_RS01325</t>
  </si>
  <si>
    <t>WP_037583999.1</t>
  </si>
  <si>
    <t>I2432_RS01330</t>
  </si>
  <si>
    <t>WP_021320323.1</t>
  </si>
  <si>
    <t>I2432_RS01335</t>
  </si>
  <si>
    <t>metalloprotease family protein</t>
  </si>
  <si>
    <t>WP_012514894.1</t>
  </si>
  <si>
    <t>I2432_RS01340</t>
  </si>
  <si>
    <t>transporter accessory protein</t>
  </si>
  <si>
    <t>WP_021320325.1</t>
  </si>
  <si>
    <t>I2432_RS01345</t>
  </si>
  <si>
    <t>WP_012514896.1</t>
  </si>
  <si>
    <t>I2432_RS01350</t>
  </si>
  <si>
    <t>YidC/Oxa1 family membrane protein insertase</t>
  </si>
  <si>
    <t>WP_282957533.1</t>
  </si>
  <si>
    <t>I2432_RS01355</t>
  </si>
  <si>
    <t>RNA-binding cell elongation regulator Jag/EloR</t>
  </si>
  <si>
    <t>jag</t>
  </si>
  <si>
    <t>WP_037580444.1</t>
  </si>
  <si>
    <t>I2432_RS01360</t>
  </si>
  <si>
    <t>T7SS effector LXG polymorphic toxin</t>
  </si>
  <si>
    <t>WP_249093278.1</t>
  </si>
  <si>
    <t>I2432_RS10260</t>
  </si>
  <si>
    <t>glycohydrolase toxin TNT-related protein</t>
  </si>
  <si>
    <t>WP_249093281.1</t>
  </si>
  <si>
    <t>I2432_RS10265</t>
  </si>
  <si>
    <t>Imm59 family immunity protein</t>
  </si>
  <si>
    <t>WP_014622246.1</t>
  </si>
  <si>
    <t>I2432_RS01375</t>
  </si>
  <si>
    <t>WP_012678587.1</t>
  </si>
  <si>
    <t>I2432_RS01380</t>
  </si>
  <si>
    <t>WP_346265915.1</t>
  </si>
  <si>
    <t>I2432_RS10270</t>
  </si>
  <si>
    <t>WP_206158945.1</t>
  </si>
  <si>
    <t>I2432_RS01395</t>
  </si>
  <si>
    <t>WP_206158946.1</t>
  </si>
  <si>
    <t>I2432_RS01400</t>
  </si>
  <si>
    <t>WP_206158947.1</t>
  </si>
  <si>
    <t>I2432_RS01405</t>
  </si>
  <si>
    <t>N-acetylmannosamine-6-phosphate 2-epimerase</t>
  </si>
  <si>
    <t>WP_115250547.1</t>
  </si>
  <si>
    <t>I2432_RS01410</t>
  </si>
  <si>
    <t>WP_164335356.1</t>
  </si>
  <si>
    <t>I2432_RS01415</t>
  </si>
  <si>
    <t>WP_206158948.1</t>
  </si>
  <si>
    <t>I2432_RS01420</t>
  </si>
  <si>
    <t>WP_111710202.1</t>
  </si>
  <si>
    <t>I2432_RS01425</t>
  </si>
  <si>
    <t>DUF3850 domain-containing protein</t>
  </si>
  <si>
    <t>WP_111710204.1</t>
  </si>
  <si>
    <t>I2432_RS01430</t>
  </si>
  <si>
    <t>WP_027970832.1</t>
  </si>
  <si>
    <t>I2432_RS01435</t>
  </si>
  <si>
    <t>primase C-terminal domain-containing protein</t>
  </si>
  <si>
    <t>WP_111710206.1</t>
  </si>
  <si>
    <t>I2432_RS01440</t>
  </si>
  <si>
    <t>WP_111710208.1</t>
  </si>
  <si>
    <t>I2432_RS01445</t>
  </si>
  <si>
    <t>WP_111710210.1</t>
  </si>
  <si>
    <t>I2432_RS01450</t>
  </si>
  <si>
    <t>WP_111710212.1</t>
  </si>
  <si>
    <t>I2432_RS01455</t>
  </si>
  <si>
    <t>WP_231140757.1</t>
  </si>
  <si>
    <t>I2432_RS01460</t>
  </si>
  <si>
    <t>WP_206158949.1</t>
  </si>
  <si>
    <t>I2432_RS01465</t>
  </si>
  <si>
    <t>I2432_RS01470</t>
  </si>
  <si>
    <t>WP_111710214.1</t>
  </si>
  <si>
    <t>I2432_RS01475</t>
  </si>
  <si>
    <t>WP_111710217.1</t>
  </si>
  <si>
    <t>I2432_RS01480</t>
  </si>
  <si>
    <t>WP_111710219.1</t>
  </si>
  <si>
    <t>I2432_RS01485</t>
  </si>
  <si>
    <t>WP_111710221.1</t>
  </si>
  <si>
    <t>I2432_RS01490</t>
  </si>
  <si>
    <t>WP_111710223.1</t>
  </si>
  <si>
    <t>I2432_RS01495</t>
  </si>
  <si>
    <t>MobP2 family relaxase</t>
  </si>
  <si>
    <t>mobP2</t>
  </si>
  <si>
    <t>WP_111710225.1</t>
  </si>
  <si>
    <t>I2432_RS01500</t>
  </si>
  <si>
    <t>WP_111710227.1</t>
  </si>
  <si>
    <t>I2432_RS01505</t>
  </si>
  <si>
    <t>DUF3991 domain-containing protein</t>
  </si>
  <si>
    <t>WP_346265913.1</t>
  </si>
  <si>
    <t>I2432_RS10455</t>
  </si>
  <si>
    <t>PBECR4 domain-containing protein</t>
  </si>
  <si>
    <t>WP_346265914.1</t>
  </si>
  <si>
    <t>I2432_RS10460</t>
  </si>
  <si>
    <t>type IA DNA topoisomerase</t>
  </si>
  <si>
    <t>WP_111710231.1</t>
  </si>
  <si>
    <t>I2432_RS01515</t>
  </si>
  <si>
    <t>WP_111710233.1</t>
  </si>
  <si>
    <t>I2432_RS01520</t>
  </si>
  <si>
    <t>TrbC/VirB2 family protein</t>
  </si>
  <si>
    <t>WP_001199271.1</t>
  </si>
  <si>
    <t>I2432_RS01525</t>
  </si>
  <si>
    <t>WP_111710235.1</t>
  </si>
  <si>
    <t>I2432_RS01530</t>
  </si>
  <si>
    <t>WP_111710919.1</t>
  </si>
  <si>
    <t>I2432_RS01535</t>
  </si>
  <si>
    <t>WP_111710237.1</t>
  </si>
  <si>
    <t>I2432_RS01540</t>
  </si>
  <si>
    <t>SspB-related isopeptide-forming adhesin</t>
  </si>
  <si>
    <t>WP_206158950.1</t>
  </si>
  <si>
    <t>I2432_RS01545</t>
  </si>
  <si>
    <t>WP_027970814.1</t>
  </si>
  <si>
    <t>I2432_RS01550</t>
  </si>
  <si>
    <t>site-specific DNA-methyltransferase</t>
  </si>
  <si>
    <t>WP_111710239.1</t>
  </si>
  <si>
    <t>I2432_RS01555</t>
  </si>
  <si>
    <t>WP_111710240.1</t>
  </si>
  <si>
    <t>I2432_RS01560</t>
  </si>
  <si>
    <t>VirD4-like conjugal transfer protein, CD1115 family</t>
  </si>
  <si>
    <t>WP_206159072.1</t>
  </si>
  <si>
    <t>I2432_RS01565</t>
  </si>
  <si>
    <t>WP_000978200.1</t>
  </si>
  <si>
    <t>I2432_RS01570</t>
  </si>
  <si>
    <t>pLS20_p028 family conjugation system transmembrane protein</t>
  </si>
  <si>
    <t>WP_206158951.1</t>
  </si>
  <si>
    <t>I2432_RS01575</t>
  </si>
  <si>
    <t>BRCT domain-containing protein</t>
  </si>
  <si>
    <t>WP_206158952.1</t>
  </si>
  <si>
    <t>I2432_RS01580</t>
  </si>
  <si>
    <t>DUF5592 family protein</t>
  </si>
  <si>
    <t>WP_000655412.1</t>
  </si>
  <si>
    <t>I2432_RS01585</t>
  </si>
  <si>
    <t>WP_001208031.1</t>
  </si>
  <si>
    <t>I2432_RS01590</t>
  </si>
  <si>
    <t>virulence factor</t>
  </si>
  <si>
    <t>WP_043036457.1</t>
  </si>
  <si>
    <t>I2432_RS01595</t>
  </si>
  <si>
    <t>WP_027970824.1</t>
  </si>
  <si>
    <t>I2432_RS01600</t>
  </si>
  <si>
    <t>WP_111710244.1</t>
  </si>
  <si>
    <t>I2432_RS01605</t>
  </si>
  <si>
    <t>WP_154804153.1</t>
  </si>
  <si>
    <t>I2432_RS01610</t>
  </si>
  <si>
    <t>ParA family protein</t>
  </si>
  <si>
    <t>WP_000692257.1</t>
  </si>
  <si>
    <t>I2432_RS01615</t>
  </si>
  <si>
    <t>WP_000069811.1</t>
  </si>
  <si>
    <t>I2432_RS01620</t>
  </si>
  <si>
    <t>WP_111710245.1</t>
  </si>
  <si>
    <t>I2432_RS01625</t>
  </si>
  <si>
    <t>ISLre2 family transposase</t>
  </si>
  <si>
    <t>WP_206158953.1</t>
  </si>
  <si>
    <t>I2432_RS01630</t>
  </si>
  <si>
    <t>WP_000831903.1</t>
  </si>
  <si>
    <t>I2432_RS01635</t>
  </si>
  <si>
    <t>WP_206158954.1</t>
  </si>
  <si>
    <t>I2432_RS01640</t>
  </si>
  <si>
    <t>WP_037580416.1</t>
  </si>
  <si>
    <t>I2432_RS01645</t>
  </si>
  <si>
    <t>WP_012678569.1</t>
  </si>
  <si>
    <t>I2432_RS01650</t>
  </si>
  <si>
    <t>WP_037580414.1</t>
  </si>
  <si>
    <t>I2432_RS01655</t>
  </si>
  <si>
    <t>YhcH/YjgK/YiaL family protein</t>
  </si>
  <si>
    <t>WP_206158955.1</t>
  </si>
  <si>
    <t>I2432_RS01660</t>
  </si>
  <si>
    <t>YesL family protein</t>
  </si>
  <si>
    <t>WP_115250553.1</t>
  </si>
  <si>
    <t>I2432_RS01665</t>
  </si>
  <si>
    <t>dihydrodipicolinate synthase family protein</t>
  </si>
  <si>
    <t>WP_115250554.1</t>
  </si>
  <si>
    <t>I2432_RS01670</t>
  </si>
  <si>
    <t>WP_206158956.1</t>
  </si>
  <si>
    <t>I2432_RS01675</t>
  </si>
  <si>
    <t>WP_206158957.1</t>
  </si>
  <si>
    <t>I2432_RS01680</t>
  </si>
  <si>
    <t>WP_043038497.1</t>
  </si>
  <si>
    <t>I2432_RS01685</t>
  </si>
  <si>
    <t>WP_206158958.1</t>
  </si>
  <si>
    <t>I2432_RS01690</t>
  </si>
  <si>
    <t>WP_037580397.1</t>
  </si>
  <si>
    <t>I2432_RS01695</t>
  </si>
  <si>
    <t>WP_206158959.1</t>
  </si>
  <si>
    <t>I2432_RS01700</t>
  </si>
  <si>
    <t>WP_206158960.1</t>
  </si>
  <si>
    <t>I2432_RS01705</t>
  </si>
  <si>
    <t>WP_196819829.1</t>
  </si>
  <si>
    <t>I2432_RS01710</t>
  </si>
  <si>
    <t>WP_164335375.1</t>
  </si>
  <si>
    <t>I2432_RS01715</t>
  </si>
  <si>
    <t>WP_043038501.1</t>
  </si>
  <si>
    <t>I2432_RS01720</t>
  </si>
  <si>
    <t>WP_206158961.1</t>
  </si>
  <si>
    <t>I2432_RS01725</t>
  </si>
  <si>
    <t>DNA recombination protein RmuC</t>
  </si>
  <si>
    <t>rmuC</t>
  </si>
  <si>
    <t>WP_126436299.1</t>
  </si>
  <si>
    <t>I2432_RS01730</t>
  </si>
  <si>
    <t>3'-5' exoribonuclease YhaM family protein</t>
  </si>
  <si>
    <t>WP_014622269.1</t>
  </si>
  <si>
    <t>I2432_RS01735</t>
  </si>
  <si>
    <t>WP_012678556.1</t>
  </si>
  <si>
    <t>I2432_RS01740</t>
  </si>
  <si>
    <t>WP_206158962.1</t>
  </si>
  <si>
    <t>I2432_RS01745</t>
  </si>
  <si>
    <t>WP_027969350.1</t>
  </si>
  <si>
    <t>I2432_RS01750</t>
  </si>
  <si>
    <t>WP_012514926.1</t>
  </si>
  <si>
    <t>I2432_RS01755</t>
  </si>
  <si>
    <t>WP_012678553.1</t>
  </si>
  <si>
    <t>I2432_RS01760</t>
  </si>
  <si>
    <t>WP_012514929.1</t>
  </si>
  <si>
    <t>I2432_RS01765</t>
  </si>
  <si>
    <t>5'-nucleotidase, lipoprotein e(P4) family</t>
  </si>
  <si>
    <t>WP_043030440.1</t>
  </si>
  <si>
    <t>I2432_RS01770</t>
  </si>
  <si>
    <t>WP_206158963.1</t>
  </si>
  <si>
    <t>I2432_RS01775</t>
  </si>
  <si>
    <t>FUSC family protein</t>
  </si>
  <si>
    <t>WP_012678993.1</t>
  </si>
  <si>
    <t>I2432_RS01780</t>
  </si>
  <si>
    <t>WP_012678549.1</t>
  </si>
  <si>
    <t>I2432_RS01785</t>
  </si>
  <si>
    <t>WP_206158964.1</t>
  </si>
  <si>
    <t>I2432_RS01790</t>
  </si>
  <si>
    <t>WP_206158965.1</t>
  </si>
  <si>
    <t>I2432_RS01795</t>
  </si>
  <si>
    <t>WP_115250569.1</t>
  </si>
  <si>
    <t>I2432_RS01800</t>
  </si>
  <si>
    <t>WP_012678545.1</t>
  </si>
  <si>
    <t>I2432_RS01805</t>
  </si>
  <si>
    <t>WP_012678544.1</t>
  </si>
  <si>
    <t>I2432_RS01810</t>
  </si>
  <si>
    <t>WP_012514940.1</t>
  </si>
  <si>
    <t>I2432_RS01815</t>
  </si>
  <si>
    <t>ribonuclease J1</t>
  </si>
  <si>
    <t>rnjA</t>
  </si>
  <si>
    <t>WP_012514941.1</t>
  </si>
  <si>
    <t>I2432_RS01820</t>
  </si>
  <si>
    <t>WP_014622279.1</t>
  </si>
  <si>
    <t>I2432_RS01825</t>
  </si>
  <si>
    <t>WP_206158966.1</t>
  </si>
  <si>
    <t>I2432_RS01830</t>
  </si>
  <si>
    <t>WP_115250574.1</t>
  </si>
  <si>
    <t>I2432_RS01835</t>
  </si>
  <si>
    <t>WP_115250575.1</t>
  </si>
  <si>
    <t>I2432_RS01840</t>
  </si>
  <si>
    <t>WP_043030445.1</t>
  </si>
  <si>
    <t>I2432_RS01845</t>
  </si>
  <si>
    <t>30S ribosomal protein S14</t>
  </si>
  <si>
    <t>rpsN</t>
  </si>
  <si>
    <t>WP_012678537.1</t>
  </si>
  <si>
    <t>I2432_RS01850</t>
  </si>
  <si>
    <t>WP_115250576.1</t>
  </si>
  <si>
    <t>I2432_RS01855</t>
  </si>
  <si>
    <t>DUF536 domain-containing protein</t>
  </si>
  <si>
    <t>WP_115250577.1</t>
  </si>
  <si>
    <t>I2432_RS01860</t>
  </si>
  <si>
    <t>WP_115250578.1</t>
  </si>
  <si>
    <t>I2432_RS01865</t>
  </si>
  <si>
    <t>WP_115250579.1</t>
  </si>
  <si>
    <t>I2432_RS01870</t>
  </si>
  <si>
    <t>WP_012678533.1</t>
  </si>
  <si>
    <t>I2432_RS01875</t>
  </si>
  <si>
    <t>WP_234991596.1</t>
  </si>
  <si>
    <t>I2432_RS01880</t>
  </si>
  <si>
    <t>WP_206158967.1</t>
  </si>
  <si>
    <t>I2432_RS01885</t>
  </si>
  <si>
    <t>sensor histidine kinase</t>
  </si>
  <si>
    <t>WP_115250581.1</t>
  </si>
  <si>
    <t>I2432_RS01890</t>
  </si>
  <si>
    <t>thioester-forming surface-anchored protein</t>
  </si>
  <si>
    <t>WP_249093326.1</t>
  </si>
  <si>
    <t>I2432_RS01895</t>
  </si>
  <si>
    <t>WP_115250583.1</t>
  </si>
  <si>
    <t>I2432_RS01900</t>
  </si>
  <si>
    <t>CPBP family glutamic-type intramembrane protease</t>
  </si>
  <si>
    <t>WP_206158969.1</t>
  </si>
  <si>
    <t>I2432_RS01905</t>
  </si>
  <si>
    <t>WP_115250585.1</t>
  </si>
  <si>
    <t>I2432_RS01910</t>
  </si>
  <si>
    <t>WP_200831601.1</t>
  </si>
  <si>
    <t>I2432_RS01915</t>
  </si>
  <si>
    <t>WP_115250587.1</t>
  </si>
  <si>
    <t>I2432_RS01920</t>
  </si>
  <si>
    <t>WP_115250588.1</t>
  </si>
  <si>
    <t>I2432_RS01925</t>
  </si>
  <si>
    <t>WP_012514975.1</t>
  </si>
  <si>
    <t>I2432_RS01930</t>
  </si>
  <si>
    <t>WP_115250589.1</t>
  </si>
  <si>
    <t>I2432_RS01935</t>
  </si>
  <si>
    <t>WP_012678520.1</t>
  </si>
  <si>
    <t>I2432_RS01940</t>
  </si>
  <si>
    <t>aquaglyceroporin Gla</t>
  </si>
  <si>
    <t>gla</t>
  </si>
  <si>
    <t>WP_037580303.1</t>
  </si>
  <si>
    <t>I2432_RS01945</t>
  </si>
  <si>
    <t>CppA N-terminal domain-containing protein</t>
  </si>
  <si>
    <t>WP_043038541.1</t>
  </si>
  <si>
    <t>I2432_RS01950</t>
  </si>
  <si>
    <t>WP_115250590.1</t>
  </si>
  <si>
    <t>I2432_RS01955</t>
  </si>
  <si>
    <t>WP_115250591.1</t>
  </si>
  <si>
    <t>I2432_RS01960</t>
  </si>
  <si>
    <t>formate C-acetyltransferase</t>
  </si>
  <si>
    <t>pflB</t>
  </si>
  <si>
    <t>WP_012678516.1</t>
  </si>
  <si>
    <t>I2432_RS01965</t>
  </si>
  <si>
    <t>WP_043025192.1</t>
  </si>
  <si>
    <t>I2432_RS01970</t>
  </si>
  <si>
    <t>WP_115250806.1</t>
  </si>
  <si>
    <t>I2432_RS01975</t>
  </si>
  <si>
    <t>WP_115250592.1</t>
  </si>
  <si>
    <t>I2432_RS01980</t>
  </si>
  <si>
    <t>SF1B family DNA helicase RecD2</t>
  </si>
  <si>
    <t>recD2</t>
  </si>
  <si>
    <t>WP_115251467.1</t>
  </si>
  <si>
    <t>I2432_RS01985</t>
  </si>
  <si>
    <t>WP_012514985.1</t>
  </si>
  <si>
    <t>I2432_RS01990</t>
  </si>
  <si>
    <t>ribonuclease HIII</t>
  </si>
  <si>
    <t>rnhC</t>
  </si>
  <si>
    <t>WP_115250593.1</t>
  </si>
  <si>
    <t>I2432_RS01995</t>
  </si>
  <si>
    <t>WP_037580269.1</t>
  </si>
  <si>
    <t>I2432_RS02000</t>
  </si>
  <si>
    <t>WP_200831602.1</t>
  </si>
  <si>
    <t>I2432_RS02005</t>
  </si>
  <si>
    <t>WP_115250595.1</t>
  </si>
  <si>
    <t>I2432_RS02010</t>
  </si>
  <si>
    <t>FAD-containing oxidoreductase</t>
  </si>
  <si>
    <t>WP_115250596.1</t>
  </si>
  <si>
    <t>I2432_RS02015</t>
  </si>
  <si>
    <t>WP_115250597.1</t>
  </si>
  <si>
    <t>I2432_RS02020</t>
  </si>
  <si>
    <t>WP_249093331.1</t>
  </si>
  <si>
    <t>I2432_RS10275</t>
  </si>
  <si>
    <t>WP_249093334.1</t>
  </si>
  <si>
    <t>I2432_RS10280</t>
  </si>
  <si>
    <t>WP_115250599.1</t>
  </si>
  <si>
    <t>I2432_RS02030</t>
  </si>
  <si>
    <t>A/G-specific adenine glycosylase</t>
  </si>
  <si>
    <t>mutY</t>
  </si>
  <si>
    <t>WP_115250600.1</t>
  </si>
  <si>
    <t>I2432_RS02035</t>
  </si>
  <si>
    <t>WP_012678504.1</t>
  </si>
  <si>
    <t>I2432_RS02040</t>
  </si>
  <si>
    <t>WP_038674547.1</t>
  </si>
  <si>
    <t>I2432_RS02045</t>
  </si>
  <si>
    <t>WP_002983142.1</t>
  </si>
  <si>
    <t>I2432_RS02050</t>
  </si>
  <si>
    <t>WP_111689846.1</t>
  </si>
  <si>
    <t>I2432_RS02055</t>
  </si>
  <si>
    <t>WP_014622324.1</t>
  </si>
  <si>
    <t>I2432_RS02060</t>
  </si>
  <si>
    <t>WP_115250601.1</t>
  </si>
  <si>
    <t>I2432_RS02065</t>
  </si>
  <si>
    <t>M24 family metallopeptidase</t>
  </si>
  <si>
    <t>WP_111710310.1</t>
  </si>
  <si>
    <t>I2432_RS02070</t>
  </si>
  <si>
    <t>deoxycytidylate deaminase</t>
  </si>
  <si>
    <t>WP_012678498.1</t>
  </si>
  <si>
    <t>I2432_RS02075</t>
  </si>
  <si>
    <t>WP_012515004.1</t>
  </si>
  <si>
    <t>I2432_RS02080</t>
  </si>
  <si>
    <t>WP_012515005.1</t>
  </si>
  <si>
    <t>I2432_RS02085</t>
  </si>
  <si>
    <t>WP_115250602.1</t>
  </si>
  <si>
    <t>I2432_RS02090</t>
  </si>
  <si>
    <t>TIGR04197 family type VII secretion effector</t>
  </si>
  <si>
    <t>WP_115250603.1</t>
  </si>
  <si>
    <t>I2432_RS02095</t>
  </si>
  <si>
    <t>WP_231146773.1</t>
  </si>
  <si>
    <t>I2432_RS02100</t>
  </si>
  <si>
    <t>WP_231871326.1</t>
  </si>
  <si>
    <t>I2432_RS10500</t>
  </si>
  <si>
    <t>polymorphic toxin type 44 domain-containing protein</t>
  </si>
  <si>
    <t>WP_249093338.1</t>
  </si>
  <si>
    <t>I2432_RS02105</t>
  </si>
  <si>
    <t>WP_115250604.1</t>
  </si>
  <si>
    <t>I2432_RS02110</t>
  </si>
  <si>
    <t>WP_115250605.1</t>
  </si>
  <si>
    <t>I2432_RS02115</t>
  </si>
  <si>
    <t>WP_115250606.1</t>
  </si>
  <si>
    <t>I2432_RS02120</t>
  </si>
  <si>
    <t>WP_206158970.1</t>
  </si>
  <si>
    <t>I2432_RS02125</t>
  </si>
  <si>
    <t>EndoS/ChiA family endoglycosidase</t>
  </si>
  <si>
    <t>WP_115250608.1</t>
  </si>
  <si>
    <t>I2432_RS02130</t>
  </si>
  <si>
    <t>fructokinase ScrK</t>
  </si>
  <si>
    <t>scrK</t>
  </si>
  <si>
    <t>WP_115250609.1</t>
  </si>
  <si>
    <t>I2432_RS02135</t>
  </si>
  <si>
    <t>mannose-6-phosphate isomerase, class I</t>
  </si>
  <si>
    <t>manA</t>
  </si>
  <si>
    <t>WP_115250610.1</t>
  </si>
  <si>
    <t>I2432_RS02140</t>
  </si>
  <si>
    <t>WP_115250611.1</t>
  </si>
  <si>
    <t>I2432_RS02145</t>
  </si>
  <si>
    <t>WP_037580207.1</t>
  </si>
  <si>
    <t>I2432_RS02150</t>
  </si>
  <si>
    <t>WP_115250612.1</t>
  </si>
  <si>
    <t>I2432_RS02155</t>
  </si>
  <si>
    <t>WP_115250613.1</t>
  </si>
  <si>
    <t>I2432_RS02160</t>
  </si>
  <si>
    <t>NEAT domain-containing protein</t>
  </si>
  <si>
    <t>WP_115250614.1</t>
  </si>
  <si>
    <t>I2432_RS02165</t>
  </si>
  <si>
    <t>heme-binding Shp domain-containing protein</t>
  </si>
  <si>
    <t>WP_231191928.1</t>
  </si>
  <si>
    <t>I2432_RS02170</t>
  </si>
  <si>
    <t>heme ABC transporter substrate-binding protein IsdE</t>
  </si>
  <si>
    <t>isdE</t>
  </si>
  <si>
    <t>WP_037580194.1</t>
  </si>
  <si>
    <t>I2432_RS02175</t>
  </si>
  <si>
    <t>FecCD family ABC transporter permease</t>
  </si>
  <si>
    <t>WP_115250616.1</t>
  </si>
  <si>
    <t>I2432_RS02180</t>
  </si>
  <si>
    <t>WP_115250617.1</t>
  </si>
  <si>
    <t>I2432_RS02185</t>
  </si>
  <si>
    <t>WP_115250618.1</t>
  </si>
  <si>
    <t>I2432_RS02190</t>
  </si>
  <si>
    <t>WP_115250619.1</t>
  </si>
  <si>
    <t>I2432_RS02195</t>
  </si>
  <si>
    <t>MptD family putative ECF transporter S component</t>
  </si>
  <si>
    <t>WP_012679055.1</t>
  </si>
  <si>
    <t>I2432_RS02200</t>
  </si>
  <si>
    <t>WP_115250620.1</t>
  </si>
  <si>
    <t>I2432_RS02205</t>
  </si>
  <si>
    <t>WP_196820084.1</t>
  </si>
  <si>
    <t>I2432_RS02210</t>
  </si>
  <si>
    <t>WP_206158971.1</t>
  </si>
  <si>
    <t>I2432_RS02215</t>
  </si>
  <si>
    <t>WP_154804109.1</t>
  </si>
  <si>
    <t>I2432_RS02220</t>
  </si>
  <si>
    <t>WP_012678470.1</t>
  </si>
  <si>
    <t>I2432_RS02225</t>
  </si>
  <si>
    <t>WP_041785288.1</t>
  </si>
  <si>
    <t>I2432_RS02230</t>
  </si>
  <si>
    <t>pyridoxal phosphate-dependent aminotransferase</t>
  </si>
  <si>
    <t>WP_037580165.1</t>
  </si>
  <si>
    <t>I2432_RS02235</t>
  </si>
  <si>
    <t>GTP-sensing pleiotropic transcriptional regulator CodY</t>
  </si>
  <si>
    <t>codY</t>
  </si>
  <si>
    <t>WP_012678467.1</t>
  </si>
  <si>
    <t>I2432_RS02240</t>
  </si>
  <si>
    <t>cysteine hydrolase family protein</t>
  </si>
  <si>
    <t>WP_206156410.1</t>
  </si>
  <si>
    <t>I2432_RS02245</t>
  </si>
  <si>
    <t>WP_043052757.1</t>
  </si>
  <si>
    <t>I2432_RS02250</t>
  </si>
  <si>
    <t>WP_206158972.1</t>
  </si>
  <si>
    <t>I2432_RS02255</t>
  </si>
  <si>
    <t>WP_165622797.1</t>
  </si>
  <si>
    <t>I2432_RS02260</t>
  </si>
  <si>
    <t>WP_206156408.1</t>
  </si>
  <si>
    <t>I2432_RS02265</t>
  </si>
  <si>
    <t>WP_014622354.1</t>
  </si>
  <si>
    <t>I2432_RS02270</t>
  </si>
  <si>
    <t>KxYKxGKxW signal peptide domain-containing protein</t>
  </si>
  <si>
    <t>WP_206156407.1</t>
  </si>
  <si>
    <t>I2432_RS02275</t>
  </si>
  <si>
    <t>ACT domain-containing protein</t>
  </si>
  <si>
    <t>WP_014622356.1</t>
  </si>
  <si>
    <t>I2432_RS02280</t>
  </si>
  <si>
    <t>PFL family protein</t>
  </si>
  <si>
    <t>WP_206156406.1</t>
  </si>
  <si>
    <t>I2432_RS02285</t>
  </si>
  <si>
    <t>WP_012678458.1</t>
  </si>
  <si>
    <t>I2432_RS02290</t>
  </si>
  <si>
    <t>M15 family metallopeptidase</t>
  </si>
  <si>
    <t>WP_043040136.1</t>
  </si>
  <si>
    <t>I2432_RS02295</t>
  </si>
  <si>
    <t>glucosaminidase domain-containing protein</t>
  </si>
  <si>
    <t>WP_206156405.1</t>
  </si>
  <si>
    <t>I2432_RS02300</t>
  </si>
  <si>
    <t>WP_206156404.1</t>
  </si>
  <si>
    <t>I2432_RS02305</t>
  </si>
  <si>
    <t>WP_126436367.1</t>
  </si>
  <si>
    <t>I2432_RS02310</t>
  </si>
  <si>
    <t>WP_041785294.1</t>
  </si>
  <si>
    <t>I2432_RS02315</t>
  </si>
  <si>
    <t>WP_206156403.1</t>
  </si>
  <si>
    <t>I2432_RS02320</t>
  </si>
  <si>
    <t>enoyl-CoA hydratase</t>
  </si>
  <si>
    <t>WP_206156402.1</t>
  </si>
  <si>
    <t>I2432_RS02325</t>
  </si>
  <si>
    <t>fatty acid biosynthesis transcriptional regulator FabT</t>
  </si>
  <si>
    <t>fabT</t>
  </si>
  <si>
    <t>WP_012515055.1</t>
  </si>
  <si>
    <t>I2432_RS02330</t>
  </si>
  <si>
    <t>beta-ketoacyl-ACP synthase III</t>
  </si>
  <si>
    <t>WP_012678450.1</t>
  </si>
  <si>
    <t>I2432_RS02335</t>
  </si>
  <si>
    <t>WP_012515057.1</t>
  </si>
  <si>
    <t>I2432_RS02340</t>
  </si>
  <si>
    <t>enoyl-[acyl-carrier-protein] reductase FabK</t>
  </si>
  <si>
    <t>fabK</t>
  </si>
  <si>
    <t>WP_012678449.1</t>
  </si>
  <si>
    <t>I2432_RS02345</t>
  </si>
  <si>
    <t>ACP S-malonyltransferase</t>
  </si>
  <si>
    <t>fabD</t>
  </si>
  <si>
    <t>WP_206156401.1</t>
  </si>
  <si>
    <t>I2432_RS02350</t>
  </si>
  <si>
    <t>3-oxoacyl-[acyl-carrier-protein] reductase</t>
  </si>
  <si>
    <t>fabG</t>
  </si>
  <si>
    <t>WP_206156400.1</t>
  </si>
  <si>
    <t>I2432_RS02355</t>
  </si>
  <si>
    <t>beta-ketoacyl-ACP synthase II</t>
  </si>
  <si>
    <t>fabF</t>
  </si>
  <si>
    <t>WP_159334817.1</t>
  </si>
  <si>
    <t>I2432_RS02360</t>
  </si>
  <si>
    <t>acetyl-CoA carboxylase biotin carboxyl carrier protein</t>
  </si>
  <si>
    <t>accB</t>
  </si>
  <si>
    <t>WP_012515062.1</t>
  </si>
  <si>
    <t>I2432_RS02365</t>
  </si>
  <si>
    <t>3-hydroxyacyl-ACP dehydratase FabZ</t>
  </si>
  <si>
    <t>fabZ</t>
  </si>
  <si>
    <t>WP_012515063.1</t>
  </si>
  <si>
    <t>I2432_RS02370</t>
  </si>
  <si>
    <t>acetyl-CoA carboxylase biotin carboxylase subunit</t>
  </si>
  <si>
    <t>WP_043040143.1</t>
  </si>
  <si>
    <t>I2432_RS02375</t>
  </si>
  <si>
    <t>acetyl-CoA carboxylase, carboxyltransferase subunit beta</t>
  </si>
  <si>
    <t>accD</t>
  </si>
  <si>
    <t>WP_014622368.1</t>
  </si>
  <si>
    <t>I2432_RS02380</t>
  </si>
  <si>
    <t>acetyl-CoA carboxylase carboxyl transferase subunit alpha</t>
  </si>
  <si>
    <t>WP_012515065.1</t>
  </si>
  <si>
    <t>I2432_RS02385</t>
  </si>
  <si>
    <t>WP_206158973.1</t>
  </si>
  <si>
    <t>I2432_RS02390</t>
  </si>
  <si>
    <t>acyltransferase</t>
  </si>
  <si>
    <t>WP_151374899.1</t>
  </si>
  <si>
    <t>I2432_RS02395</t>
  </si>
  <si>
    <t>WP_012678440.1</t>
  </si>
  <si>
    <t>I2432_RS02400</t>
  </si>
  <si>
    <t>WP_012679088.1</t>
  </si>
  <si>
    <t>I2432_RS02405</t>
  </si>
  <si>
    <t>WP_012679089.1</t>
  </si>
  <si>
    <t>I2432_RS02410</t>
  </si>
  <si>
    <t>WP_012515071.1</t>
  </si>
  <si>
    <t>I2432_RS02415</t>
  </si>
  <si>
    <t>HAD family hydrolase</t>
  </si>
  <si>
    <t>WP_012678437.1</t>
  </si>
  <si>
    <t>I2432_RS02420</t>
  </si>
  <si>
    <t>WP_165620132.1</t>
  </si>
  <si>
    <t>I2432_RS02425</t>
  </si>
  <si>
    <t>WP_014622376.1</t>
  </si>
  <si>
    <t>I2432_RS02430</t>
  </si>
  <si>
    <t>WP_014622377.1</t>
  </si>
  <si>
    <t>I2432_RS02435</t>
  </si>
  <si>
    <t>biofilm formation/cell division transcriptional regulator BrpA</t>
  </si>
  <si>
    <t>brpA</t>
  </si>
  <si>
    <t>WP_165625996.1</t>
  </si>
  <si>
    <t>I2432_RS02440</t>
  </si>
  <si>
    <t>WP_012679094.1</t>
  </si>
  <si>
    <t>I2432_RS02445</t>
  </si>
  <si>
    <t>WP_111689882.1</t>
  </si>
  <si>
    <t>I2432_RS02450</t>
  </si>
  <si>
    <t>WP_043038651.1</t>
  </si>
  <si>
    <t>I2432_RS02455</t>
  </si>
  <si>
    <t>WP_012678429.1</t>
  </si>
  <si>
    <t>I2432_RS02460</t>
  </si>
  <si>
    <t>WP_043983780.1</t>
  </si>
  <si>
    <t>I2432_RS02465</t>
  </si>
  <si>
    <t>cell cycle regulator CcrZ</t>
  </si>
  <si>
    <t>ccrZ</t>
  </si>
  <si>
    <t>WP_012515084.1</t>
  </si>
  <si>
    <t>I2432_RS02470</t>
  </si>
  <si>
    <t>WP_115250646.1</t>
  </si>
  <si>
    <t>I2432_RS02475</t>
  </si>
  <si>
    <t>I2432_RS02480</t>
  </si>
  <si>
    <t>WP_042670147.1</t>
  </si>
  <si>
    <t>I2432_RS02485</t>
  </si>
  <si>
    <t>WP_012515088.1</t>
  </si>
  <si>
    <t>I2432_RS02490</t>
  </si>
  <si>
    <t>RNase P modulator RnpM</t>
  </si>
  <si>
    <t>rnpM</t>
  </si>
  <si>
    <t>WP_012515089.1</t>
  </si>
  <si>
    <t>I2432_RS02495</t>
  </si>
  <si>
    <t>YlxQ-related RNA-binding protein</t>
  </si>
  <si>
    <t>WP_042670148.1</t>
  </si>
  <si>
    <t>I2432_RS02500</t>
  </si>
  <si>
    <t>I2432_RS10505</t>
  </si>
  <si>
    <t>WP_373419095.1</t>
  </si>
  <si>
    <t>I2432_RS02505</t>
  </si>
  <si>
    <t>30S ribosome-binding factor RbfA</t>
  </si>
  <si>
    <t>rbfA</t>
  </si>
  <si>
    <t>WP_012515093.1</t>
  </si>
  <si>
    <t>I2432_RS02510</t>
  </si>
  <si>
    <t>alpha/beta hydrolase fold domain-containing protein</t>
  </si>
  <si>
    <t>WP_206156397.1</t>
  </si>
  <si>
    <t>I2432_RS02515</t>
  </si>
  <si>
    <t>WP_206156396.1</t>
  </si>
  <si>
    <t>I2432_RS02520</t>
  </si>
  <si>
    <t>WP_043983775.1</t>
  </si>
  <si>
    <t>I2432_RS02525</t>
  </si>
  <si>
    <t>DUF3137 domain-containing protein</t>
  </si>
  <si>
    <t>WP_043983774.1</t>
  </si>
  <si>
    <t>I2432_RS02530</t>
  </si>
  <si>
    <t>WP_038674501.1</t>
  </si>
  <si>
    <t>I2432_RS02535</t>
  </si>
  <si>
    <t>WP_206156394.1</t>
  </si>
  <si>
    <t>I2432_RS02540</t>
  </si>
  <si>
    <t>galactose-6-phosphate isomerase subunit LacA</t>
  </si>
  <si>
    <t>lacA</t>
  </si>
  <si>
    <t>WP_012515101.1</t>
  </si>
  <si>
    <t>I2432_RS02545</t>
  </si>
  <si>
    <t>galactose-6-phosphate isomerase subunit LacB</t>
  </si>
  <si>
    <t>lacB</t>
  </si>
  <si>
    <t>WP_043983773.1</t>
  </si>
  <si>
    <t>I2432_RS02550</t>
  </si>
  <si>
    <t>tagatose-6-phosphate kinase</t>
  </si>
  <si>
    <t>WP_043983772.1</t>
  </si>
  <si>
    <t>I2432_RS02555</t>
  </si>
  <si>
    <t>tagatose-bisphosphate aldolase</t>
  </si>
  <si>
    <t>lacD</t>
  </si>
  <si>
    <t>WP_206156393.1</t>
  </si>
  <si>
    <t>I2432_RS02560</t>
  </si>
  <si>
    <t>WP_043030517.1</t>
  </si>
  <si>
    <t>I2432_RS02565</t>
  </si>
  <si>
    <t>lactose-specific PTS transporter subunit IIA</t>
  </si>
  <si>
    <t>lacF</t>
  </si>
  <si>
    <t>WP_012515107.1</t>
  </si>
  <si>
    <t>I2432_RS02570</t>
  </si>
  <si>
    <t>lactose-specific PTS transporter subunit EIIC</t>
  </si>
  <si>
    <t>WP_111692241.1</t>
  </si>
  <si>
    <t>I2432_RS02575</t>
  </si>
  <si>
    <t>6-phospho-beta-galactosidase</t>
  </si>
  <si>
    <t>lacG</t>
  </si>
  <si>
    <t>WP_206156392.1</t>
  </si>
  <si>
    <t>I2432_RS02580</t>
  </si>
  <si>
    <t>DUF4300 family protein</t>
  </si>
  <si>
    <t>WP_206156391.1</t>
  </si>
  <si>
    <t>I2432_RS02585</t>
  </si>
  <si>
    <t>trimeric intracellular cation channel family protein</t>
  </si>
  <si>
    <t>WP_012678408.1</t>
  </si>
  <si>
    <t>I2432_RS02590</t>
  </si>
  <si>
    <t>WP_043029425.1</t>
  </si>
  <si>
    <t>I2432_RS02595</t>
  </si>
  <si>
    <t>WP_012515113.1</t>
  </si>
  <si>
    <t>I2432_RS02600</t>
  </si>
  <si>
    <t>WP_043983767.1</t>
  </si>
  <si>
    <t>I2432_RS02605</t>
  </si>
  <si>
    <t>WP_043029426.1</t>
  </si>
  <si>
    <t>I2432_RS02610</t>
  </si>
  <si>
    <t>WP_042670173.1</t>
  </si>
  <si>
    <t>I2432_RS02615</t>
  </si>
  <si>
    <t>WP_041785314.1</t>
  </si>
  <si>
    <t>I2432_RS02620</t>
  </si>
  <si>
    <t>WP_206156390.1</t>
  </si>
  <si>
    <t>I2432_RS02625</t>
  </si>
  <si>
    <t>ABC transporter permease subunit</t>
  </si>
  <si>
    <t>WP_012515120.1</t>
  </si>
  <si>
    <t>I2432_RS02630</t>
  </si>
  <si>
    <t>WP_012515121.1</t>
  </si>
  <si>
    <t>I2432_RS02635</t>
  </si>
  <si>
    <t>WP_206158698.1</t>
  </si>
  <si>
    <t>I2432_RS02640</t>
  </si>
  <si>
    <t>WP_165627891.1</t>
  </si>
  <si>
    <t>I2432_RS02645</t>
  </si>
  <si>
    <t>Na/Pi cotransporter family protein</t>
  </si>
  <si>
    <t>WP_206156389.1</t>
  </si>
  <si>
    <t>I2432_RS02650</t>
  </si>
  <si>
    <t>WP_012515125.1</t>
  </si>
  <si>
    <t>I2432_RS02655</t>
  </si>
  <si>
    <t>WP_165627892.1</t>
  </si>
  <si>
    <t>I2432_RS02660</t>
  </si>
  <si>
    <t>WP_269205574.1</t>
  </si>
  <si>
    <t>I2432_RS02665</t>
  </si>
  <si>
    <t>isoprenylcysteine carboxyl methyltransferase family protein</t>
  </si>
  <si>
    <t>WP_012515132.1</t>
  </si>
  <si>
    <t>I2432_RS02670</t>
  </si>
  <si>
    <t>WP_165623030.1</t>
  </si>
  <si>
    <t>I2432_RS02675</t>
  </si>
  <si>
    <t>WP_206156388.1</t>
  </si>
  <si>
    <t>I2432_RS02680</t>
  </si>
  <si>
    <t>DUF896 family protein</t>
  </si>
  <si>
    <t>WP_012515137.1</t>
  </si>
  <si>
    <t>I2432_RS02685</t>
  </si>
  <si>
    <t>streptolysin S family TOMM toxin</t>
  </si>
  <si>
    <t>WP_012678394.1</t>
  </si>
  <si>
    <t>I2432_RS02690</t>
  </si>
  <si>
    <t>SagB/ThcOx family dehydrogenase</t>
  </si>
  <si>
    <t>WP_206156387.1</t>
  </si>
  <si>
    <t>I2432_RS02695</t>
  </si>
  <si>
    <t>streptolysin associated protein SagC</t>
  </si>
  <si>
    <t>WP_206158974.1</t>
  </si>
  <si>
    <t>I2432_RS02700</t>
  </si>
  <si>
    <t>YcaO-like family protein</t>
  </si>
  <si>
    <t>WP_021320450.1</t>
  </si>
  <si>
    <t>I2432_RS02705</t>
  </si>
  <si>
    <t>WP_206156386.1</t>
  </si>
  <si>
    <t>I2432_RS02710</t>
  </si>
  <si>
    <t>SagF family protein</t>
  </si>
  <si>
    <t>WP_206156385.1</t>
  </si>
  <si>
    <t>I2432_RS02715</t>
  </si>
  <si>
    <t>WP_206156384.1</t>
  </si>
  <si>
    <t>I2432_RS02720</t>
  </si>
  <si>
    <t>SagG family ABC transporter permease subunit</t>
  </si>
  <si>
    <t>WP_206156383.1</t>
  </si>
  <si>
    <t>I2432_RS02725</t>
  </si>
  <si>
    <t>WP_042670190.1</t>
  </si>
  <si>
    <t>I2432_RS02730</t>
  </si>
  <si>
    <t>WP_206158975.1</t>
  </si>
  <si>
    <t>I2432_RS02735</t>
  </si>
  <si>
    <t>WP_206158976.1</t>
  </si>
  <si>
    <t>I2432_RS02740</t>
  </si>
  <si>
    <t>WP_206156380.1</t>
  </si>
  <si>
    <t>I2432_RS02745</t>
  </si>
  <si>
    <t>copper homeostasis protein CutC</t>
  </si>
  <si>
    <t>WP_043983756.1</t>
  </si>
  <si>
    <t>I2432_RS02750</t>
  </si>
  <si>
    <t>WP_043983755.1</t>
  </si>
  <si>
    <t>I2432_RS02755</t>
  </si>
  <si>
    <t>WP_012679132.1</t>
  </si>
  <si>
    <t>I2432_RS02760</t>
  </si>
  <si>
    <t>WP_014622436.1</t>
  </si>
  <si>
    <t>I2432_RS02765</t>
  </si>
  <si>
    <t>WP_012515158.1</t>
  </si>
  <si>
    <t>I2432_RS02770</t>
  </si>
  <si>
    <t>WP_206156379.1</t>
  </si>
  <si>
    <t>I2432_RS02775</t>
  </si>
  <si>
    <t>WP_043030542.1</t>
  </si>
  <si>
    <t>I2432_RS02780</t>
  </si>
  <si>
    <t>YSIRK signal domain/LPXTG anchor domain surface protein</t>
  </si>
  <si>
    <t>WP_043036553.1</t>
  </si>
  <si>
    <t>I2432_RS02785</t>
  </si>
  <si>
    <t>WP_206156377.1</t>
  </si>
  <si>
    <t>I2432_RS02790</t>
  </si>
  <si>
    <t>WP_043030544.1</t>
  </si>
  <si>
    <t>I2432_RS02795</t>
  </si>
  <si>
    <t>WP_024273139.1</t>
  </si>
  <si>
    <t>I2432_RS02800</t>
  </si>
  <si>
    <t>WP_012515166.1</t>
  </si>
  <si>
    <t>I2432_RS02805</t>
  </si>
  <si>
    <t>WP_021320463.1</t>
  </si>
  <si>
    <t>I2432_RS02810</t>
  </si>
  <si>
    <t>WP_021320464.1</t>
  </si>
  <si>
    <t>I2432_RS02815</t>
  </si>
  <si>
    <t>WP_012515168.1</t>
  </si>
  <si>
    <t>I2432_RS02820</t>
  </si>
  <si>
    <t>peptide cleavage/export ABC transporter ComA</t>
  </si>
  <si>
    <t>comA</t>
  </si>
  <si>
    <t>WP_012515169.1</t>
  </si>
  <si>
    <t>I2432_RS02825</t>
  </si>
  <si>
    <t>bacteriocin secretion accessory protein</t>
  </si>
  <si>
    <t>WP_206156376.1</t>
  </si>
  <si>
    <t>I2432_RS02830</t>
  </si>
  <si>
    <t>WP_024273149.1</t>
  </si>
  <si>
    <t>I2432_RS02835</t>
  </si>
  <si>
    <t>class 1b ribonucleoside-diphosphate reductase subunit beta</t>
  </si>
  <si>
    <t>nrdF</t>
  </si>
  <si>
    <t>WP_012515172.1</t>
  </si>
  <si>
    <t>I2432_RS02840</t>
  </si>
  <si>
    <t>WP_206156919.1</t>
  </si>
  <si>
    <t>I2432_RS02845</t>
  </si>
  <si>
    <t>class 1b ribonucleoside-diphosphate reductase subunit alpha</t>
  </si>
  <si>
    <t>nrdE</t>
  </si>
  <si>
    <t>WP_043030545.1</t>
  </si>
  <si>
    <t>I2432_RS02850</t>
  </si>
  <si>
    <t>WP_126436428.1</t>
  </si>
  <si>
    <t>I2432_RS02855</t>
  </si>
  <si>
    <t>WXG100 family type VII secretion target</t>
  </si>
  <si>
    <t>WP_012515178.1</t>
  </si>
  <si>
    <t>I2432_RS02860</t>
  </si>
  <si>
    <t>type VII secretion protein EsaA</t>
  </si>
  <si>
    <t>esaA</t>
  </si>
  <si>
    <t>WP_206156375.1</t>
  </si>
  <si>
    <t>I2432_RS02865</t>
  </si>
  <si>
    <t>secretion protein</t>
  </si>
  <si>
    <t>WP_230923370.1</t>
  </si>
  <si>
    <t>I2432_RS02870</t>
  </si>
  <si>
    <t>type VII secretion protein</t>
  </si>
  <si>
    <t>WP_012678362.1</t>
  </si>
  <si>
    <t>I2432_RS02875</t>
  </si>
  <si>
    <t>type VII secretion protein EssB</t>
  </si>
  <si>
    <t>essB</t>
  </si>
  <si>
    <t>WP_206156373.1</t>
  </si>
  <si>
    <t>I2432_RS02880</t>
  </si>
  <si>
    <t>type VII secretion protein EssC</t>
  </si>
  <si>
    <t>essC</t>
  </si>
  <si>
    <t>WP_206156372.1</t>
  </si>
  <si>
    <t>I2432_RS02885</t>
  </si>
  <si>
    <t>WP_012515184.1</t>
  </si>
  <si>
    <t>I2432_RS02890</t>
  </si>
  <si>
    <t>YwqH-like family protein</t>
  </si>
  <si>
    <t>WP_012678359.1</t>
  </si>
  <si>
    <t>I2432_RS02895</t>
  </si>
  <si>
    <t>WP_043030550.1</t>
  </si>
  <si>
    <t>I2432_RS02900</t>
  </si>
  <si>
    <t>I2432_RS10465</t>
  </si>
  <si>
    <t>WP_346265916.1</t>
  </si>
  <si>
    <t>I2432_RS02905</t>
  </si>
  <si>
    <t>WP_154803729.1</t>
  </si>
  <si>
    <t>I2432_RS02910</t>
  </si>
  <si>
    <t>WP_206156370.1</t>
  </si>
  <si>
    <t>I2432_RS02915</t>
  </si>
  <si>
    <t>WP_249093348.1</t>
  </si>
  <si>
    <t>I2432_RS10290</t>
  </si>
  <si>
    <t>WP_042670223.1</t>
  </si>
  <si>
    <t>I2432_RS02925</t>
  </si>
  <si>
    <t>DUF4299 family protein</t>
  </si>
  <si>
    <t>WP_052495504.1</t>
  </si>
  <si>
    <t>I2432_RS02930</t>
  </si>
  <si>
    <t>WP_249093352.1</t>
  </si>
  <si>
    <t>I2432_RS02935</t>
  </si>
  <si>
    <t>WP_043029553.1</t>
  </si>
  <si>
    <t>I2432_RS02940</t>
  </si>
  <si>
    <t>WP_206156925.1</t>
  </si>
  <si>
    <t>I2432_RS02945</t>
  </si>
  <si>
    <t>WP_043030553.1</t>
  </si>
  <si>
    <t>I2432_RS02950</t>
  </si>
  <si>
    <t>WP_080358081.1</t>
  </si>
  <si>
    <t>I2432_RS02955</t>
  </si>
  <si>
    <t>WP_206156369.1</t>
  </si>
  <si>
    <t>I2432_RS02960</t>
  </si>
  <si>
    <t>WP_428843968.1</t>
  </si>
  <si>
    <t>I2432_RS10295</t>
  </si>
  <si>
    <t>I2432_RS02965</t>
  </si>
  <si>
    <t>thiol-disulfide oxidoreductase-associated membrane protein CcdA2</t>
  </si>
  <si>
    <t>ccdA2</t>
  </si>
  <si>
    <t>WP_014622479.1</t>
  </si>
  <si>
    <t>I2432_RS02970</t>
  </si>
  <si>
    <t>TlpA family protein disulfide reductase</t>
  </si>
  <si>
    <t>WP_043029461.1</t>
  </si>
  <si>
    <t>I2432_RS02975</t>
  </si>
  <si>
    <t>WP_043029462.1</t>
  </si>
  <si>
    <t>I2432_RS02980</t>
  </si>
  <si>
    <t>WP_165623575.1</t>
  </si>
  <si>
    <t>I2432_RS02985</t>
  </si>
  <si>
    <t>cache domain-containing sensor histidine kinase</t>
  </si>
  <si>
    <t>WP_206156367.1</t>
  </si>
  <si>
    <t>I2432_RS02990</t>
  </si>
  <si>
    <t>MmcQ/YjbR family DNA-binding protein</t>
  </si>
  <si>
    <t>WP_043052850.1</t>
  </si>
  <si>
    <t>I2432_RS02995</t>
  </si>
  <si>
    <t>B3/B4 domain-containing protein</t>
  </si>
  <si>
    <t>WP_206156366.1</t>
  </si>
  <si>
    <t>I2432_RS03000</t>
  </si>
  <si>
    <t>prolyl-tRNA synthetase associated domain-containing protein</t>
  </si>
  <si>
    <t>WP_206156365.1</t>
  </si>
  <si>
    <t>I2432_RS03005</t>
  </si>
  <si>
    <t>arginine repressor</t>
  </si>
  <si>
    <t>WP_165623104.1</t>
  </si>
  <si>
    <t>I2432_RS03010</t>
  </si>
  <si>
    <t>WP_014622486.1</t>
  </si>
  <si>
    <t>I2432_RS03015</t>
  </si>
  <si>
    <t>arginine deiminase</t>
  </si>
  <si>
    <t>arcA</t>
  </si>
  <si>
    <t>WP_043029465.1</t>
  </si>
  <si>
    <t>I2432_RS03020</t>
  </si>
  <si>
    <t>WP_012515214.1</t>
  </si>
  <si>
    <t>I2432_RS03025</t>
  </si>
  <si>
    <t>ornithine carbamoyltransferase</t>
  </si>
  <si>
    <t>argF</t>
  </si>
  <si>
    <t>WP_012515215.1</t>
  </si>
  <si>
    <t>I2432_RS03030</t>
  </si>
  <si>
    <t>YfcC family protein</t>
  </si>
  <si>
    <t>WP_014622488.1</t>
  </si>
  <si>
    <t>I2432_RS03035</t>
  </si>
  <si>
    <t>dipeptidase</t>
  </si>
  <si>
    <t>WP_206156364.1</t>
  </si>
  <si>
    <t>I2432_RS03040</t>
  </si>
  <si>
    <t>carbamate kinase</t>
  </si>
  <si>
    <t>arcC</t>
  </si>
  <si>
    <t>WP_043029469.1</t>
  </si>
  <si>
    <t>I2432_RS03045</t>
  </si>
  <si>
    <t>WP_126436451.1</t>
  </si>
  <si>
    <t>I2432_RS03050</t>
  </si>
  <si>
    <t>WP_014622490.1</t>
  </si>
  <si>
    <t>I2432_RS03055</t>
  </si>
  <si>
    <t>WP_014622491.1</t>
  </si>
  <si>
    <t>I2432_RS03060</t>
  </si>
  <si>
    <t>WP_206156363.1</t>
  </si>
  <si>
    <t>I2432_RS03065</t>
  </si>
  <si>
    <t>WP_014622678.1</t>
  </si>
  <si>
    <t>I2432_RS03070</t>
  </si>
  <si>
    <t>WP_012678319.1</t>
  </si>
  <si>
    <t>I2432_RS03075</t>
  </si>
  <si>
    <t>23S rRNA (adenine(2503)-C(2))-methyltransferase RlmN</t>
  </si>
  <si>
    <t>rlmN</t>
  </si>
  <si>
    <t>WP_043030580.1</t>
  </si>
  <si>
    <t>I2432_RS03080</t>
  </si>
  <si>
    <t>peptidase</t>
  </si>
  <si>
    <t>WP_249093356.1</t>
  </si>
  <si>
    <t>I2432_RS03085</t>
  </si>
  <si>
    <t>Dps family protein</t>
  </si>
  <si>
    <t>WP_012515230.1</t>
  </si>
  <si>
    <t>I2432_RS03090</t>
  </si>
  <si>
    <t>WP_012515231.1</t>
  </si>
  <si>
    <t>I2432_RS03095</t>
  </si>
  <si>
    <t>ROK family glucokinase</t>
  </si>
  <si>
    <t>WP_206153029.1</t>
  </si>
  <si>
    <t>I2432_RS03100</t>
  </si>
  <si>
    <t>WP_012678312.1</t>
  </si>
  <si>
    <t>I2432_RS03105</t>
  </si>
  <si>
    <t>WP_012678311.1</t>
  </si>
  <si>
    <t>I2432_RS03110</t>
  </si>
  <si>
    <t>DUF3165 family protein</t>
  </si>
  <si>
    <t>WP_012515235.1</t>
  </si>
  <si>
    <t>I2432_RS03115</t>
  </si>
  <si>
    <t>WP_206156362.1</t>
  </si>
  <si>
    <t>I2432_RS03120</t>
  </si>
  <si>
    <t>UDP-N-acetylglucosamine--N-acetylmuramyl-(pentapeptide) pyrophosphoryl-undecaprenol N-acetylglucosamine transferase</t>
  </si>
  <si>
    <t>WP_206156361.1</t>
  </si>
  <si>
    <t>I2432_RS03125</t>
  </si>
  <si>
    <t>cell division protein FtsQ/DivIB</t>
  </si>
  <si>
    <t>WP_206156360.1</t>
  </si>
  <si>
    <t>I2432_RS03130</t>
  </si>
  <si>
    <t>WP_012678306.1</t>
  </si>
  <si>
    <t>I2432_RS03135</t>
  </si>
  <si>
    <t>WP_206156359.1</t>
  </si>
  <si>
    <t>I2432_RS03140</t>
  </si>
  <si>
    <t>YggS family pyridoxal phosphate-dependent enzyme</t>
  </si>
  <si>
    <t>WP_012678304.1</t>
  </si>
  <si>
    <t>I2432_RS03145</t>
  </si>
  <si>
    <t>WP_012678303.1</t>
  </si>
  <si>
    <t>I2432_RS03150</t>
  </si>
  <si>
    <t>YggT family protein</t>
  </si>
  <si>
    <t>WP_014622505.1</t>
  </si>
  <si>
    <t>I2432_RS03155</t>
  </si>
  <si>
    <t>RNA-binding protein</t>
  </si>
  <si>
    <t>WP_206158978.1</t>
  </si>
  <si>
    <t>I2432_RS03160</t>
  </si>
  <si>
    <t>WP_206158979.1</t>
  </si>
  <si>
    <t>I2432_RS03165</t>
  </si>
  <si>
    <t>WP_206156358.1</t>
  </si>
  <si>
    <t>I2432_RS03170</t>
  </si>
  <si>
    <t>WP_012515246.1</t>
  </si>
  <si>
    <t>I2432_RS03175</t>
  </si>
  <si>
    <t>WP_206156357.1</t>
  </si>
  <si>
    <t>I2432_RS03180</t>
  </si>
  <si>
    <t>WP_206156356.1</t>
  </si>
  <si>
    <t>I2432_RS03185</t>
  </si>
  <si>
    <t>DUF1797 family protein</t>
  </si>
  <si>
    <t>WP_012515249.1</t>
  </si>
  <si>
    <t>I2432_RS03190</t>
  </si>
  <si>
    <t>WP_206158980.1</t>
  </si>
  <si>
    <t>I2432_RS03195</t>
  </si>
  <si>
    <t>WP_206156354.1</t>
  </si>
  <si>
    <t>I2432_RS03200</t>
  </si>
  <si>
    <t>WP_021320504.1</t>
  </si>
  <si>
    <t>I2432_RS03205</t>
  </si>
  <si>
    <t>WP_043029482.1</t>
  </si>
  <si>
    <t>I2432_RS03210</t>
  </si>
  <si>
    <t>WP_043029483.1</t>
  </si>
  <si>
    <t>I2432_RS03215</t>
  </si>
  <si>
    <t>WP_206156352.1</t>
  </si>
  <si>
    <t>I2432_RS03220</t>
  </si>
  <si>
    <t>WP_043983712.1</t>
  </si>
  <si>
    <t>I2432_RS03225</t>
  </si>
  <si>
    <t>WP_012515261.1</t>
  </si>
  <si>
    <t>I2432_RS03230</t>
  </si>
  <si>
    <t>WP_206158981.1</t>
  </si>
  <si>
    <t>I2432_RS03235</t>
  </si>
  <si>
    <t>TlyA family RNA methyltransferase</t>
  </si>
  <si>
    <t>WP_206156350.1</t>
  </si>
  <si>
    <t>I2432_RS03240</t>
  </si>
  <si>
    <t>WP_021320511.1</t>
  </si>
  <si>
    <t>I2432_RS03245</t>
  </si>
  <si>
    <t>WP_206156349.1</t>
  </si>
  <si>
    <t>I2432_RS03250</t>
  </si>
  <si>
    <t>cell surface protein</t>
  </si>
  <si>
    <t>WP_111710439.1</t>
  </si>
  <si>
    <t>I2432_RS03255</t>
  </si>
  <si>
    <t>WP_037584068.1</t>
  </si>
  <si>
    <t>I2432_RS03260</t>
  </si>
  <si>
    <t>WP_021320515.1</t>
  </si>
  <si>
    <t>I2432_RS03265</t>
  </si>
  <si>
    <t>YpmS family protein</t>
  </si>
  <si>
    <t>WP_012515269.1</t>
  </si>
  <si>
    <t>I2432_RS03270</t>
  </si>
  <si>
    <t>WP_012515270.1</t>
  </si>
  <si>
    <t>I2432_RS03275</t>
  </si>
  <si>
    <t>ADP-ribosyltransferase</t>
  </si>
  <si>
    <t>WP_228269162.1</t>
  </si>
  <si>
    <t>I2432_RS03280</t>
  </si>
  <si>
    <t>I2432_RS03285</t>
  </si>
  <si>
    <t>WP_247874349.1</t>
  </si>
  <si>
    <t>I2432_RS03290</t>
  </si>
  <si>
    <t>WP_012515275.1</t>
  </si>
  <si>
    <t>I2432_RS03295</t>
  </si>
  <si>
    <t>dihydroorotate oxidase</t>
  </si>
  <si>
    <t>WP_206156348.1</t>
  </si>
  <si>
    <t>I2432_RS03300</t>
  </si>
  <si>
    <t>phosphoglycerate mutase</t>
  </si>
  <si>
    <t>WP_206158982.1</t>
  </si>
  <si>
    <t>I2432_RS03305</t>
  </si>
  <si>
    <t>transcription repressor NadR</t>
  </si>
  <si>
    <t>WP_041785362.1</t>
  </si>
  <si>
    <t>I2432_RS03310</t>
  </si>
  <si>
    <t>WP_014622531.1</t>
  </si>
  <si>
    <t>I2432_RS03315</t>
  </si>
  <si>
    <t>ISAs1 family transposase</t>
  </si>
  <si>
    <t>WP_115266811.1</t>
  </si>
  <si>
    <t>I2432_RS03320</t>
  </si>
  <si>
    <t>formate/nitrite transporter family protein</t>
  </si>
  <si>
    <t>WP_012678274.1</t>
  </si>
  <si>
    <t>I2432_RS03325</t>
  </si>
  <si>
    <t>penicillin-binding protein PBP2B</t>
  </si>
  <si>
    <t>pbp2b</t>
  </si>
  <si>
    <t>WP_206156347.1</t>
  </si>
  <si>
    <t>I2432_RS03330</t>
  </si>
  <si>
    <t>WP_012679200.1</t>
  </si>
  <si>
    <t>I2432_RS03335</t>
  </si>
  <si>
    <t>D-alanine--D-alanine ligase</t>
  </si>
  <si>
    <t>WP_206156346.1</t>
  </si>
  <si>
    <t>I2432_RS03340</t>
  </si>
  <si>
    <t>WP_165623119.1</t>
  </si>
  <si>
    <t>I2432_RS03345</t>
  </si>
  <si>
    <t>TIGR02206 family membrane protein</t>
  </si>
  <si>
    <t>WP_206156345.1</t>
  </si>
  <si>
    <t>I2432_RS03350</t>
  </si>
  <si>
    <t>WP_042670316.1</t>
  </si>
  <si>
    <t>I2432_RS03355</t>
  </si>
  <si>
    <t>WP_158303440.1</t>
  </si>
  <si>
    <t>I2432_RS03360</t>
  </si>
  <si>
    <t>WP_012678268.1</t>
  </si>
  <si>
    <t>I2432_RS03365</t>
  </si>
  <si>
    <t>WP_012678267.1</t>
  </si>
  <si>
    <t>I2432_RS03370</t>
  </si>
  <si>
    <t>WP_206156344.1</t>
  </si>
  <si>
    <t>I2432_RS03375</t>
  </si>
  <si>
    <t>tRNA1(Val) (adenine(37)-N6)-methyltransferase</t>
  </si>
  <si>
    <t>WP_206156343.1</t>
  </si>
  <si>
    <t>I2432_RS03380</t>
  </si>
  <si>
    <t>WP_164335069.1</t>
  </si>
  <si>
    <t>I2432_RS03385</t>
  </si>
  <si>
    <t>WP_012515294.1</t>
  </si>
  <si>
    <t>I2432_RS03390</t>
  </si>
  <si>
    <t>WP_206158983.1</t>
  </si>
  <si>
    <t>I2432_RS03395</t>
  </si>
  <si>
    <t>WP_206156918.1</t>
  </si>
  <si>
    <t>I2432_RS03400</t>
  </si>
  <si>
    <t>superoxide dismutase SodA</t>
  </si>
  <si>
    <t>sodA</t>
  </si>
  <si>
    <t>WP_043983699.1</t>
  </si>
  <si>
    <t>I2432_RS03405</t>
  </si>
  <si>
    <t>DUF3114 domain-containing protein</t>
  </si>
  <si>
    <t>WP_206156917.1</t>
  </si>
  <si>
    <t>I2432_RS03410</t>
  </si>
  <si>
    <t>tRNA preQ1(34) S-adenosylmethionine ribosyltransferase-isomerase QueA</t>
  </si>
  <si>
    <t>queA</t>
  </si>
  <si>
    <t>WP_012678257.1</t>
  </si>
  <si>
    <t>I2432_RS03415</t>
  </si>
  <si>
    <t>WP_206158984.1</t>
  </si>
  <si>
    <t>I2432_RS03420</t>
  </si>
  <si>
    <t>WP_012515300.1</t>
  </si>
  <si>
    <t>I2432_RS03425</t>
  </si>
  <si>
    <t>competence protein CoiA</t>
  </si>
  <si>
    <t>WP_043030612.1</t>
  </si>
  <si>
    <t>I2432_RS03430</t>
  </si>
  <si>
    <t>WP_206156340.1</t>
  </si>
  <si>
    <t>I2432_RS03435</t>
  </si>
  <si>
    <t>WP_012678253.1</t>
  </si>
  <si>
    <t>I2432_RS03440</t>
  </si>
  <si>
    <t>HAD-IA family hydrolase</t>
  </si>
  <si>
    <t>WP_206156339.1</t>
  </si>
  <si>
    <t>I2432_RS03445</t>
  </si>
  <si>
    <t>WP_172954538.1</t>
  </si>
  <si>
    <t>I2432_RS03450</t>
  </si>
  <si>
    <t>O-methyltransferase</t>
  </si>
  <si>
    <t>WP_206156338.1</t>
  </si>
  <si>
    <t>I2432_RS03455</t>
  </si>
  <si>
    <t>prsA</t>
  </si>
  <si>
    <t>WP_111692313.1</t>
  </si>
  <si>
    <t>I2432_RS03460</t>
  </si>
  <si>
    <t>WP_206156337.1</t>
  </si>
  <si>
    <t>I2432_RS03465</t>
  </si>
  <si>
    <t>WP_014622554.1</t>
  </si>
  <si>
    <t>I2432_RS03470</t>
  </si>
  <si>
    <t>polysaccharide deacetylase family protein</t>
  </si>
  <si>
    <t>WP_012678246.1</t>
  </si>
  <si>
    <t>I2432_RS03475</t>
  </si>
  <si>
    <t>WP_012515312.1</t>
  </si>
  <si>
    <t>I2432_RS03480</t>
  </si>
  <si>
    <t>WP_012515313.1</t>
  </si>
  <si>
    <t>I2432_RS03485</t>
  </si>
  <si>
    <t>DUF1294 domain-containing protein</t>
  </si>
  <si>
    <t>WP_021320543.1</t>
  </si>
  <si>
    <t>I2432_RS03490</t>
  </si>
  <si>
    <t>PrsW family glutamic-type intramembrane protease</t>
  </si>
  <si>
    <t>WP_043983694.1</t>
  </si>
  <si>
    <t>I2432_RS03495</t>
  </si>
  <si>
    <t>WP_012678242.1</t>
  </si>
  <si>
    <t>I2432_RS03500</t>
  </si>
  <si>
    <t>WP_206158985.1</t>
  </si>
  <si>
    <t>I2432_RS03505</t>
  </si>
  <si>
    <t>DUF3272 family protein</t>
  </si>
  <si>
    <t>WP_024273159.1</t>
  </si>
  <si>
    <t>I2432_RS03510</t>
  </si>
  <si>
    <t>bifunctional biotin--[acetyl-CoA-carboxylase] ligase/biotin operon repressor BirA</t>
  </si>
  <si>
    <t>birA</t>
  </si>
  <si>
    <t>WP_196819946.1</t>
  </si>
  <si>
    <t>I2432_RS03515</t>
  </si>
  <si>
    <t>ISNCY-like element ISSeq2 family transposase</t>
  </si>
  <si>
    <t>WP_115250549.1</t>
  </si>
  <si>
    <t>I2432_RS03520</t>
  </si>
  <si>
    <t>leucine-rich repeat domain-containing protein</t>
  </si>
  <si>
    <t>WP_196819947.1</t>
  </si>
  <si>
    <t>I2432_RS03525</t>
  </si>
  <si>
    <t>WP_012515321.1</t>
  </si>
  <si>
    <t>I2432_RS03530</t>
  </si>
  <si>
    <t>WP_206156335.1</t>
  </si>
  <si>
    <t>I2432_RS03535</t>
  </si>
  <si>
    <t>WP_014622570.1</t>
  </si>
  <si>
    <t>I2432_RS03540</t>
  </si>
  <si>
    <t>sugar kinase</t>
  </si>
  <si>
    <t>WP_043983690.1</t>
  </si>
  <si>
    <t>I2432_RS03545</t>
  </si>
  <si>
    <t>beta-glucuronidase</t>
  </si>
  <si>
    <t>uidA</t>
  </si>
  <si>
    <t>WP_043983689.1</t>
  </si>
  <si>
    <t>I2432_RS03550</t>
  </si>
  <si>
    <t>FadR/GntR family transcriptional regulator</t>
  </si>
  <si>
    <t>WP_012679236.1</t>
  </si>
  <si>
    <t>I2432_RS03555</t>
  </si>
  <si>
    <t>bifunctional 4-hydroxy-2-oxoglutarate aldolase/2-dehydro-3-deoxy-phosphogluconate aldolase</t>
  </si>
  <si>
    <t>WP_043025537.1</t>
  </si>
  <si>
    <t>I2432_RS03560</t>
  </si>
  <si>
    <t>glucuronate isomerase</t>
  </si>
  <si>
    <t>uxaC</t>
  </si>
  <si>
    <t>WP_043983687.1</t>
  </si>
  <si>
    <t>I2432_RS03565</t>
  </si>
  <si>
    <t>mannonate dehydratase</t>
  </si>
  <si>
    <t>WP_014622577.1</t>
  </si>
  <si>
    <t>I2432_RS03570</t>
  </si>
  <si>
    <t>WP_206156334.1</t>
  </si>
  <si>
    <t>I2432_RS03575</t>
  </si>
  <si>
    <t>WP_111677895.1</t>
  </si>
  <si>
    <t>I2432_RS03580</t>
  </si>
  <si>
    <t>glycoside hydrolase family 3 protein</t>
  </si>
  <si>
    <t>WP_206158986.1</t>
  </si>
  <si>
    <t>I2432_RS03585</t>
  </si>
  <si>
    <t>albumin-binding GA domain-containing protein</t>
  </si>
  <si>
    <t>WP_206156332.1</t>
  </si>
  <si>
    <t>I2432_RS03590</t>
  </si>
  <si>
    <t>WP_043040353.1</t>
  </si>
  <si>
    <t>I2432_RS03595</t>
  </si>
  <si>
    <t>CBS-HotDog domain-containing transcription factor SpxR</t>
  </si>
  <si>
    <t>spxR</t>
  </si>
  <si>
    <t>WP_012515337.1</t>
  </si>
  <si>
    <t>I2432_RS03600</t>
  </si>
  <si>
    <t>methionyl aminopeptidase</t>
  </si>
  <si>
    <t>WP_014622584.1</t>
  </si>
  <si>
    <t>I2432_RS03605</t>
  </si>
  <si>
    <t>WP_206156331.1</t>
  </si>
  <si>
    <t>I2432_RS03610</t>
  </si>
  <si>
    <t>3-phosphoshikimate 1-carboxyvinyltransferase</t>
  </si>
  <si>
    <t>aroA</t>
  </si>
  <si>
    <t>WP_206156330.1</t>
  </si>
  <si>
    <t>I2432_RS03615</t>
  </si>
  <si>
    <t>shikimate kinase</t>
  </si>
  <si>
    <t>WP_021320558.1</t>
  </si>
  <si>
    <t>I2432_RS03620</t>
  </si>
  <si>
    <t>WP_042670356.1</t>
  </si>
  <si>
    <t>I2432_RS03625</t>
  </si>
  <si>
    <t>WP_206158987.1</t>
  </si>
  <si>
    <t>I2432_RS03630</t>
  </si>
  <si>
    <t>CD1845 family protein</t>
  </si>
  <si>
    <t>WP_111689996.1</t>
  </si>
  <si>
    <t>I2432_RS03635</t>
  </si>
  <si>
    <t>DUF6017 domain-containing protein</t>
  </si>
  <si>
    <t>WP_111690549.1</t>
  </si>
  <si>
    <t>I2432_RS03640</t>
  </si>
  <si>
    <t>PcfB family protein</t>
  </si>
  <si>
    <t>WP_111689997.1</t>
  </si>
  <si>
    <t>I2432_RS03645</t>
  </si>
  <si>
    <t>I2432_RS03650</t>
  </si>
  <si>
    <t>WP_154803975.1</t>
  </si>
  <si>
    <t>I2432_RS03655</t>
  </si>
  <si>
    <t>group II intron reverse transcriptase/maturase</t>
  </si>
  <si>
    <t>ltrA</t>
  </si>
  <si>
    <t>WP_206158988.1</t>
  </si>
  <si>
    <t>I2432_RS03660</t>
  </si>
  <si>
    <t>I2432_RS03665</t>
  </si>
  <si>
    <t>WP_111690001.1</t>
  </si>
  <si>
    <t>I2432_RS03670</t>
  </si>
  <si>
    <t>Maff2 family mobile element protein</t>
  </si>
  <si>
    <t>WP_000394022.1</t>
  </si>
  <si>
    <t>I2432_RS03675</t>
  </si>
  <si>
    <t>VirB6/TrbL-like conjugal transfer protein, CD1112 family</t>
  </si>
  <si>
    <t>WP_111690002.1</t>
  </si>
  <si>
    <t>I2432_RS03680</t>
  </si>
  <si>
    <t>conjugal transfer protein</t>
  </si>
  <si>
    <t>WP_111690003.1</t>
  </si>
  <si>
    <t>I2432_RS03685</t>
  </si>
  <si>
    <t>PrgI family protein</t>
  </si>
  <si>
    <t>WP_111690004.1</t>
  </si>
  <si>
    <t>I2432_RS03690</t>
  </si>
  <si>
    <t>VirB4-like conjugal transfer ATPase, CD1110 family</t>
  </si>
  <si>
    <t>WP_165619934.1</t>
  </si>
  <si>
    <t>I2432_RS03695</t>
  </si>
  <si>
    <t>WP_165622921.1</t>
  </si>
  <si>
    <t>I2432_RS03700</t>
  </si>
  <si>
    <t>WP_000711921.1</t>
  </si>
  <si>
    <t>I2432_RS03705</t>
  </si>
  <si>
    <t>CD1107 family mobile element protein</t>
  </si>
  <si>
    <t>WP_111690007.1</t>
  </si>
  <si>
    <t>I2432_RS03710</t>
  </si>
  <si>
    <t>DNA topoisomerase 3</t>
  </si>
  <si>
    <t>WP_111690008.1</t>
  </si>
  <si>
    <t>I2432_RS03715</t>
  </si>
  <si>
    <t>I2432_RS03720</t>
  </si>
  <si>
    <t>WP_009643971.1</t>
  </si>
  <si>
    <t>I2432_RS03725</t>
  </si>
  <si>
    <t>RNA-binding domain-containing protein</t>
  </si>
  <si>
    <t>WP_206159073.1</t>
  </si>
  <si>
    <t>I2432_RS03730</t>
  </si>
  <si>
    <t>WP_206158989.1</t>
  </si>
  <si>
    <t>I2432_RS03735</t>
  </si>
  <si>
    <t>DNA-binding protein</t>
  </si>
  <si>
    <t>WP_206158990.1</t>
  </si>
  <si>
    <t>I2432_RS03740</t>
  </si>
  <si>
    <t>WP_111690012.1</t>
  </si>
  <si>
    <t>I2432_RS03745</t>
  </si>
  <si>
    <t>bacteriocin</t>
  </si>
  <si>
    <t>WP_172454088.1</t>
  </si>
  <si>
    <t>I2432_RS03750</t>
  </si>
  <si>
    <t>WP_111690014.1</t>
  </si>
  <si>
    <t>I2432_RS03755</t>
  </si>
  <si>
    <t>WP_231146896.1</t>
  </si>
  <si>
    <t>I2432_RS03760</t>
  </si>
  <si>
    <t>streptococcin A-M57</t>
  </si>
  <si>
    <t>WP_206158991.1</t>
  </si>
  <si>
    <t>I2432_RS03765</t>
  </si>
  <si>
    <t>I2432_RS10510</t>
  </si>
  <si>
    <t>Blp family class II bacteriocin</t>
  </si>
  <si>
    <t>WP_010817848.1</t>
  </si>
  <si>
    <t>I2432_RS03775</t>
  </si>
  <si>
    <t>WP_206158992.1</t>
  </si>
  <si>
    <t>I2432_RS03780</t>
  </si>
  <si>
    <t>relaxase/mobilization nuclease domain-containing protein</t>
  </si>
  <si>
    <t>WP_111690018.1</t>
  </si>
  <si>
    <t>I2432_RS03785</t>
  </si>
  <si>
    <t>plasmid mobilization protein</t>
  </si>
  <si>
    <t>WP_111690019.1</t>
  </si>
  <si>
    <t>I2432_RS03790</t>
  </si>
  <si>
    <t>WP_111690020.1</t>
  </si>
  <si>
    <t>I2432_RS03795</t>
  </si>
  <si>
    <t>I2432_RS03800</t>
  </si>
  <si>
    <t>ClbS/DfsB family four-helix bundle protein</t>
  </si>
  <si>
    <t>WP_165622983.1</t>
  </si>
  <si>
    <t>I2432_RS03805</t>
  </si>
  <si>
    <t>WP_249093364.1</t>
  </si>
  <si>
    <t>I2432_RS03810</t>
  </si>
  <si>
    <t>I2432_RS03815</t>
  </si>
  <si>
    <t>DUF6609 family protein</t>
  </si>
  <si>
    <t>WP_043025566.1</t>
  </si>
  <si>
    <t>I2432_RS03820</t>
  </si>
  <si>
    <t>WP_038674400.1</t>
  </si>
  <si>
    <t>I2432_RS03825</t>
  </si>
  <si>
    <t>I2432_RS10470</t>
  </si>
  <si>
    <t>WP_043983682.1</t>
  </si>
  <si>
    <t>I2432_RS03835</t>
  </si>
  <si>
    <t>WP_206156328.1</t>
  </si>
  <si>
    <t>I2432_RS03840</t>
  </si>
  <si>
    <t>I2432_RS03845</t>
  </si>
  <si>
    <t>WP_014622656.1</t>
  </si>
  <si>
    <t>I2432_RS03850</t>
  </si>
  <si>
    <t>YccF domain-containing protein</t>
  </si>
  <si>
    <t>WP_021320585.1</t>
  </si>
  <si>
    <t>I2432_RS03855</t>
  </si>
  <si>
    <t>aminoacyl-tRNA deacylase</t>
  </si>
  <si>
    <t>WP_014622658.1</t>
  </si>
  <si>
    <t>I2432_RS03860</t>
  </si>
  <si>
    <t>energy-coupled thiamine transporter ThiT</t>
  </si>
  <si>
    <t>thiT</t>
  </si>
  <si>
    <t>WP_012678185.1</t>
  </si>
  <si>
    <t>I2432_RS03865</t>
  </si>
  <si>
    <t>glycoside hydrolase family 25 protein</t>
  </si>
  <si>
    <t>WP_012678184.1</t>
  </si>
  <si>
    <t>I2432_RS03870</t>
  </si>
  <si>
    <t>WP_043029568.1</t>
  </si>
  <si>
    <t>I2432_RS03875</t>
  </si>
  <si>
    <t>WP_206156327.1</t>
  </si>
  <si>
    <t>I2432_RS03880</t>
  </si>
  <si>
    <t>glutathione peroxidase</t>
  </si>
  <si>
    <t>WP_206156326.1</t>
  </si>
  <si>
    <t>I2432_RS03885</t>
  </si>
  <si>
    <t>WP_206156325.1</t>
  </si>
  <si>
    <t>I2432_RS03890</t>
  </si>
  <si>
    <t>WP_206156324.1</t>
  </si>
  <si>
    <t>I2432_RS03895</t>
  </si>
  <si>
    <t>cell division peptidoglycan polymerase FtsW</t>
  </si>
  <si>
    <t>ftsW</t>
  </si>
  <si>
    <t>WP_012678178.1</t>
  </si>
  <si>
    <t>I2432_RS03900</t>
  </si>
  <si>
    <t>WP_021320592.1</t>
  </si>
  <si>
    <t>I2432_RS03905</t>
  </si>
  <si>
    <t>HGH motif RaS-RiPP peptide</t>
  </si>
  <si>
    <t>WP_154231861.1</t>
  </si>
  <si>
    <t>I2432_RS03910</t>
  </si>
  <si>
    <t>radical SAM protein</t>
  </si>
  <si>
    <t>WP_041790494.1</t>
  </si>
  <si>
    <t>I2432_RS03915</t>
  </si>
  <si>
    <t>radical SAM/SPASM domain-containing protein</t>
  </si>
  <si>
    <t>WP_012678175.1</t>
  </si>
  <si>
    <t>I2432_RS03920</t>
  </si>
  <si>
    <t>WP_012678174.1</t>
  </si>
  <si>
    <t>I2432_RS03925</t>
  </si>
  <si>
    <t>WP_021320595.1</t>
  </si>
  <si>
    <t>I2432_RS03930</t>
  </si>
  <si>
    <t>WP_111690554.1</t>
  </si>
  <si>
    <t>I2432_RS03935</t>
  </si>
  <si>
    <t>WP_154298852.1</t>
  </si>
  <si>
    <t>I2432_RS03940</t>
  </si>
  <si>
    <t>WP_206156323.1</t>
  </si>
  <si>
    <t>I2432_RS03945</t>
  </si>
  <si>
    <t>WP_043052932.1</t>
  </si>
  <si>
    <t>I2432_RS03950</t>
  </si>
  <si>
    <t>WP_115266987.1</t>
  </si>
  <si>
    <t>I2432_RS03955</t>
  </si>
  <si>
    <t>cell division ATP-binding protein FtsE</t>
  </si>
  <si>
    <t>ftsE</t>
  </si>
  <si>
    <t>WP_012678167.1</t>
  </si>
  <si>
    <t>I2432_RS03960</t>
  </si>
  <si>
    <t>permease-like cell division protein FtsX</t>
  </si>
  <si>
    <t>ftsX</t>
  </si>
  <si>
    <t>WP_041785395.1</t>
  </si>
  <si>
    <t>I2432_RS03965</t>
  </si>
  <si>
    <t>WP_111677937.1</t>
  </si>
  <si>
    <t>I2432_RS03970</t>
  </si>
  <si>
    <t>bifunctional DnaQ family exonuclease/ATP-dependent helicase</t>
  </si>
  <si>
    <t>WP_206156322.1</t>
  </si>
  <si>
    <t>I2432_RS03975</t>
  </si>
  <si>
    <t>DUF5590 domain-containing protein</t>
  </si>
  <si>
    <t>WP_043030657.1</t>
  </si>
  <si>
    <t>I2432_RS03980</t>
  </si>
  <si>
    <t>WP_012678162.1</t>
  </si>
  <si>
    <t>I2432_RS03985</t>
  </si>
  <si>
    <t>asparagine--tRNA ligase</t>
  </si>
  <si>
    <t>WP_012679348.1</t>
  </si>
  <si>
    <t>I2432_RS03990</t>
  </si>
  <si>
    <t>WP_206158994.1</t>
  </si>
  <si>
    <t>I2432_RS03995</t>
  </si>
  <si>
    <t>WP_012515369.1</t>
  </si>
  <si>
    <t>I2432_RS04000</t>
  </si>
  <si>
    <t>YvcK family protein</t>
  </si>
  <si>
    <t>WP_012679350.1</t>
  </si>
  <si>
    <t>I2432_RS04005</t>
  </si>
  <si>
    <t>WP_012679351.1</t>
  </si>
  <si>
    <t>I2432_RS04010</t>
  </si>
  <si>
    <t>WP_126436569.1</t>
  </si>
  <si>
    <t>I2432_RS04015</t>
  </si>
  <si>
    <t>zinc ABC transporter substrate-binding protein AdcA</t>
  </si>
  <si>
    <t>WP_043030662.1</t>
  </si>
  <si>
    <t>I2432_RS04020</t>
  </si>
  <si>
    <t>WP_206156320.1</t>
  </si>
  <si>
    <t>I2432_RS04025</t>
  </si>
  <si>
    <t>SIS domain-containing protein</t>
  </si>
  <si>
    <t>WP_206156319.1</t>
  </si>
  <si>
    <t>I2432_RS04030</t>
  </si>
  <si>
    <t>WP_206156318.1</t>
  </si>
  <si>
    <t>I2432_RS04035</t>
  </si>
  <si>
    <t>WP_206158995.1</t>
  </si>
  <si>
    <t>I2432_RS04040</t>
  </si>
  <si>
    <t>glycoside hydrolase family 35 protein</t>
  </si>
  <si>
    <t>WP_206158996.1</t>
  </si>
  <si>
    <t>I2432_RS04045</t>
  </si>
  <si>
    <t>PTS system mannose/fructose/N-acetylgalactosamine-transporter subunit IIB</t>
  </si>
  <si>
    <t>WP_014622687.1</t>
  </si>
  <si>
    <t>I2432_RS04050</t>
  </si>
  <si>
    <t>PTS mannose/fructose/sorbose/N-acetylgalactosamine transporter subunit IIC</t>
  </si>
  <si>
    <t>WP_206158997.1</t>
  </si>
  <si>
    <t>I2432_RS04055</t>
  </si>
  <si>
    <t>WP_021320614.1</t>
  </si>
  <si>
    <t>I2432_RS04060</t>
  </si>
  <si>
    <t>WP_043983663.1</t>
  </si>
  <si>
    <t>I2432_RS04065</t>
  </si>
  <si>
    <t>WP_012515383.1</t>
  </si>
  <si>
    <t>I2432_RS04070</t>
  </si>
  <si>
    <t>WP_042670471.1</t>
  </si>
  <si>
    <t>I2432_RS04075</t>
  </si>
  <si>
    <t>WP_043025613.1</t>
  </si>
  <si>
    <t>I2432_RS04080</t>
  </si>
  <si>
    <t>WP_043983662.1</t>
  </si>
  <si>
    <t>I2432_RS04085</t>
  </si>
  <si>
    <t>WP_012678143.1</t>
  </si>
  <si>
    <t>I2432_RS04090</t>
  </si>
  <si>
    <t>chorismate mutase</t>
  </si>
  <si>
    <t>WP_041785397.1</t>
  </si>
  <si>
    <t>I2432_RS04095</t>
  </si>
  <si>
    <t>chloride channel protein</t>
  </si>
  <si>
    <t>WP_206156916.1</t>
  </si>
  <si>
    <t>I2432_RS04100</t>
  </si>
  <si>
    <t>WP_021320621.1</t>
  </si>
  <si>
    <t>I2432_RS04105</t>
  </si>
  <si>
    <t>I2432_RS04110</t>
  </si>
  <si>
    <t>I2432_RS04115</t>
  </si>
  <si>
    <t>WP_043029597.1</t>
  </si>
  <si>
    <t>I2432_RS04120</t>
  </si>
  <si>
    <t>WP_012515393.1</t>
  </si>
  <si>
    <t>I2432_RS10515</t>
  </si>
  <si>
    <t>WP_037578738.1</t>
  </si>
  <si>
    <t>I2432_RS04125</t>
  </si>
  <si>
    <t>DUF3169 family protein</t>
  </si>
  <si>
    <t>WP_206156316.1</t>
  </si>
  <si>
    <t>I2432_RS04130</t>
  </si>
  <si>
    <t>WP_206156315.1</t>
  </si>
  <si>
    <t>I2432_RS04135</t>
  </si>
  <si>
    <t>WP_014622701.1</t>
  </si>
  <si>
    <t>I2432_RS04140</t>
  </si>
  <si>
    <t>WP_111690045.1</t>
  </si>
  <si>
    <t>I2432_RS04145</t>
  </si>
  <si>
    <t>glutaredoxin-like protein NrdH</t>
  </si>
  <si>
    <t>nrdH</t>
  </si>
  <si>
    <t>WP_021320625.1</t>
  </si>
  <si>
    <t>I2432_RS04150</t>
  </si>
  <si>
    <t>WP_012515399.1</t>
  </si>
  <si>
    <t>I2432_RS04155</t>
  </si>
  <si>
    <t>WP_021320626.1</t>
  </si>
  <si>
    <t>I2432_RS04160</t>
  </si>
  <si>
    <t>NADP-dependent glyceraldehyde-3-phosphate dehydrogenase</t>
  </si>
  <si>
    <t>WP_111690046.1</t>
  </si>
  <si>
    <t>I2432_RS04165</t>
  </si>
  <si>
    <t>WP_115250829.1</t>
  </si>
  <si>
    <t>I2432_RS04170</t>
  </si>
  <si>
    <t>WP_012678130.1</t>
  </si>
  <si>
    <t>I2432_RS04175</t>
  </si>
  <si>
    <t>WP_021320630.1</t>
  </si>
  <si>
    <t>I2432_RS04180</t>
  </si>
  <si>
    <t>WP_012678128.1</t>
  </si>
  <si>
    <t>I2432_RS04185</t>
  </si>
  <si>
    <t>WP_249093367.1</t>
  </si>
  <si>
    <t>I2432_RS04190</t>
  </si>
  <si>
    <t>DUF1694 domain-containing protein</t>
  </si>
  <si>
    <t>WP_138119098.1</t>
  </si>
  <si>
    <t>I2432_RS04195</t>
  </si>
  <si>
    <t>surface-displayed alpha-enolase</t>
  </si>
  <si>
    <t>WP_012515409.1</t>
  </si>
  <si>
    <t>I2432_RS04200</t>
  </si>
  <si>
    <t>type I toxin-antitoxin system Fst family toxin</t>
  </si>
  <si>
    <t>WP_111677961.1</t>
  </si>
  <si>
    <t>I2432_RS04205</t>
  </si>
  <si>
    <t>I2432_RS04210</t>
  </si>
  <si>
    <t>WP_231147224.1</t>
  </si>
  <si>
    <t>I2432_RS04215</t>
  </si>
  <si>
    <t>endonuclease/exonuclease/phosphatase family protein</t>
  </si>
  <si>
    <t>WP_206158998.1</t>
  </si>
  <si>
    <t>I2432_RS04220</t>
  </si>
  <si>
    <t>WP_074632251.1</t>
  </si>
  <si>
    <t>I2432_RS10410</t>
  </si>
  <si>
    <t>QueT transporter family protein</t>
  </si>
  <si>
    <t>WP_042670491.1</t>
  </si>
  <si>
    <t>I2432_RS04230</t>
  </si>
  <si>
    <t>WP_042670492.1</t>
  </si>
  <si>
    <t>I2432_RS04235</t>
  </si>
  <si>
    <t>diacylglycerol kinase</t>
  </si>
  <si>
    <t>WP_043029612.1</t>
  </si>
  <si>
    <t>I2432_RS04240</t>
  </si>
  <si>
    <t>WP_138119998.1</t>
  </si>
  <si>
    <t>I2432_RS04245</t>
  </si>
  <si>
    <t>1,4-alpha-glucan branching protein GlgB</t>
  </si>
  <si>
    <t>glgB</t>
  </si>
  <si>
    <t>WP_206158999.1</t>
  </si>
  <si>
    <t>I2432_RS04250</t>
  </si>
  <si>
    <t>WP_012678117.1</t>
  </si>
  <si>
    <t>I2432_RS04255</t>
  </si>
  <si>
    <t>WP_043025646.1</t>
  </si>
  <si>
    <t>I2432_RS04260</t>
  </si>
  <si>
    <t>WP_206159000.1</t>
  </si>
  <si>
    <t>I2432_RS04265</t>
  </si>
  <si>
    <t>WP_206159001.1</t>
  </si>
  <si>
    <t>I2432_RS04270</t>
  </si>
  <si>
    <t>WP_012515426.1</t>
  </si>
  <si>
    <t>I2432_RS04275</t>
  </si>
  <si>
    <t>WP_206159002.1</t>
  </si>
  <si>
    <t>I2432_RS04280</t>
  </si>
  <si>
    <t>WP_012678113.1</t>
  </si>
  <si>
    <t>I2432_RS04285</t>
  </si>
  <si>
    <t>WP_037578685.1</t>
  </si>
  <si>
    <t>I2432_RS04290</t>
  </si>
  <si>
    <t>WP_012515430.1</t>
  </si>
  <si>
    <t>I2432_RS04295</t>
  </si>
  <si>
    <t>WP_012515431.1</t>
  </si>
  <si>
    <t>I2432_RS04300</t>
  </si>
  <si>
    <t>WP_021320644.1</t>
  </si>
  <si>
    <t>I2432_RS04305</t>
  </si>
  <si>
    <t>WP_012515433.1</t>
  </si>
  <si>
    <t>I2432_RS04310</t>
  </si>
  <si>
    <t>WP_206159003.1</t>
  </si>
  <si>
    <t>I2432_RS04315</t>
  </si>
  <si>
    <t>murA</t>
  </si>
  <si>
    <t>WP_037578679.1</t>
  </si>
  <si>
    <t>I2432_RS04320</t>
  </si>
  <si>
    <t>WP_012678107.1</t>
  </si>
  <si>
    <t>I2432_RS04325</t>
  </si>
  <si>
    <t>WP_206159004.1</t>
  </si>
  <si>
    <t>I2432_RS04330</t>
  </si>
  <si>
    <t>WP_206159005.1</t>
  </si>
  <si>
    <t>I2432_RS04335</t>
  </si>
  <si>
    <t>WP_021320646.1</t>
  </si>
  <si>
    <t>I2432_RS04340</t>
  </si>
  <si>
    <t>WP_172452926.1</t>
  </si>
  <si>
    <t>I2432_RS04345</t>
  </si>
  <si>
    <t>WP_206159006.1</t>
  </si>
  <si>
    <t>I2432_RS04350</t>
  </si>
  <si>
    <t>WP_206159007.1</t>
  </si>
  <si>
    <t>I2432_RS04355</t>
  </si>
  <si>
    <t>WP_206159008.1</t>
  </si>
  <si>
    <t>I2432_RS04360</t>
  </si>
  <si>
    <t>WP_206159009.1</t>
  </si>
  <si>
    <t>I2432_RS04365</t>
  </si>
  <si>
    <t>WP_249093370.1</t>
  </si>
  <si>
    <t>I2432_RS04370</t>
  </si>
  <si>
    <t>Cna B-type domain-containing protein</t>
  </si>
  <si>
    <t>WP_206159011.1</t>
  </si>
  <si>
    <t>I2432_RS04375</t>
  </si>
  <si>
    <t>isopeptide-forming domain-containing fimbrial protein</t>
  </si>
  <si>
    <t>WP_206159012.1</t>
  </si>
  <si>
    <t>I2432_RS04380</t>
  </si>
  <si>
    <t>class C sortase</t>
  </si>
  <si>
    <t>WP_115250853.1</t>
  </si>
  <si>
    <t>I2432_RS04385</t>
  </si>
  <si>
    <t>IdeS/Mac family cysteine endopeptidase</t>
  </si>
  <si>
    <t>WP_249093389.1</t>
  </si>
  <si>
    <t>I2432_RS04390</t>
  </si>
  <si>
    <t>WP_206159013.1</t>
  </si>
  <si>
    <t>I2432_RS04395</t>
  </si>
  <si>
    <t>pullulanase</t>
  </si>
  <si>
    <t>WP_206159014.1</t>
  </si>
  <si>
    <t>I2432_RS04400</t>
  </si>
  <si>
    <t>RNA polymerase sigma factor</t>
  </si>
  <si>
    <t>WP_229297579.1</t>
  </si>
  <si>
    <t>I2432_RS04405</t>
  </si>
  <si>
    <t>zf-HC2 domain-containing protein</t>
  </si>
  <si>
    <t>WP_206159015.1</t>
  </si>
  <si>
    <t>I2432_RS04410</t>
  </si>
  <si>
    <t>polyphosphate polymerase domain-containing protein</t>
  </si>
  <si>
    <t>WP_206159016.1</t>
  </si>
  <si>
    <t>I2432_RS04415</t>
  </si>
  <si>
    <t>DUF4956 domain-containing protein</t>
  </si>
  <si>
    <t>WP_206159017.1</t>
  </si>
  <si>
    <t>I2432_RS04420</t>
  </si>
  <si>
    <t>CotH kinase family protein</t>
  </si>
  <si>
    <t>WP_206159018.1</t>
  </si>
  <si>
    <t>I2432_RS04425</t>
  </si>
  <si>
    <t>WP_206159019.1</t>
  </si>
  <si>
    <t>I2432_RS04430</t>
  </si>
  <si>
    <t>WP_256605726.1</t>
  </si>
  <si>
    <t>I2432_RS10415</t>
  </si>
  <si>
    <t>WP_428843969.1</t>
  </si>
  <si>
    <t>I2432_RS04435</t>
  </si>
  <si>
    <t>ATP-dependent nuclease subunit B</t>
  </si>
  <si>
    <t>rexB</t>
  </si>
  <si>
    <t>WP_206159021.1</t>
  </si>
  <si>
    <t>I2432_RS04440</t>
  </si>
  <si>
    <t>WP_206159022.1</t>
  </si>
  <si>
    <t>I2432_RS04445</t>
  </si>
  <si>
    <t>I2432_RS04450</t>
  </si>
  <si>
    <t>aminotransferase</t>
  </si>
  <si>
    <t>WP_043038906.1</t>
  </si>
  <si>
    <t>I2432_RS04455</t>
  </si>
  <si>
    <t>WP_206159023.1</t>
  </si>
  <si>
    <t>I2432_RS04460</t>
  </si>
  <si>
    <t>WP_000048058.1</t>
  </si>
  <si>
    <t>I2432_RS04465</t>
  </si>
  <si>
    <t>large conductance mechanosensitive channel protein MscL</t>
  </si>
  <si>
    <t>WP_037578608.1</t>
  </si>
  <si>
    <t>I2432_RS04470</t>
  </si>
  <si>
    <t>WP_206159076.1</t>
  </si>
  <si>
    <t>I2432_RS04475</t>
  </si>
  <si>
    <t>WP_012678079.1</t>
  </si>
  <si>
    <t>I2432_RS04480</t>
  </si>
  <si>
    <t>WP_042670527.1</t>
  </si>
  <si>
    <t>I2432_RS04485</t>
  </si>
  <si>
    <t>dTDP-4-dehydrorhamnose reductase</t>
  </si>
  <si>
    <t>rfbD</t>
  </si>
  <si>
    <t>WP_206159024.1</t>
  </si>
  <si>
    <t>I2432_RS04490</t>
  </si>
  <si>
    <t>beta 1-4 rhamnosyltransferase Cps2T</t>
  </si>
  <si>
    <t>cps2T</t>
  </si>
  <si>
    <t>WP_165622540.1</t>
  </si>
  <si>
    <t>I2432_RS04495</t>
  </si>
  <si>
    <t>WP_206159025.1</t>
  </si>
  <si>
    <t>I2432_RS04500</t>
  </si>
  <si>
    <t>WP_012678074.1</t>
  </si>
  <si>
    <t>I2432_RS04505</t>
  </si>
  <si>
    <t>WP_206159026.1</t>
  </si>
  <si>
    <t>I2432_RS04510</t>
  </si>
  <si>
    <t>WP_206159027.1</t>
  </si>
  <si>
    <t>I2432_RS04515</t>
  </si>
  <si>
    <t>rhamnan synthesis F family protein</t>
  </si>
  <si>
    <t>WP_206159028.1</t>
  </si>
  <si>
    <t>I2432_RS04520</t>
  </si>
  <si>
    <t>WP_012515476.1</t>
  </si>
  <si>
    <t>I2432_RS04525</t>
  </si>
  <si>
    <t>DUF2304 domain-containing protein</t>
  </si>
  <si>
    <t>WP_014622762.1</t>
  </si>
  <si>
    <t>I2432_RS04530</t>
  </si>
  <si>
    <t>lipopolysaccharide biosynthesis protein</t>
  </si>
  <si>
    <t>WP_206159029.1</t>
  </si>
  <si>
    <t>I2432_RS04535</t>
  </si>
  <si>
    <t>DUF2142 domain-containing protein</t>
  </si>
  <si>
    <t>WP_206159030.1</t>
  </si>
  <si>
    <t>I2432_RS04540</t>
  </si>
  <si>
    <t>WP_206159031.1</t>
  </si>
  <si>
    <t>I2432_RS04545</t>
  </si>
  <si>
    <t>WP_282957534.1</t>
  </si>
  <si>
    <t>I2432_RS04550</t>
  </si>
  <si>
    <t>WP_115250875.1</t>
  </si>
  <si>
    <t>I2432_RS04555</t>
  </si>
  <si>
    <t>WP_206159032.1</t>
  </si>
  <si>
    <t>I2432_RS04560</t>
  </si>
  <si>
    <t>EbsA family protein</t>
  </si>
  <si>
    <t>WP_012678063.1</t>
  </si>
  <si>
    <t>I2432_RS04565</t>
  </si>
  <si>
    <t>ferredoxin</t>
  </si>
  <si>
    <t>WP_206159033.1</t>
  </si>
  <si>
    <t>I2432_RS04570</t>
  </si>
  <si>
    <t>WP_042670543.1</t>
  </si>
  <si>
    <t>I2432_RS04575</t>
  </si>
  <si>
    <t>WP_012515488.1</t>
  </si>
  <si>
    <t>I2432_RS04580</t>
  </si>
  <si>
    <t>WP_012515489.1</t>
  </si>
  <si>
    <t>I2432_RS04585</t>
  </si>
  <si>
    <t>WP_012515490.1</t>
  </si>
  <si>
    <t>I2432_RS04590</t>
  </si>
  <si>
    <t>WP_000124834.1</t>
  </si>
  <si>
    <t>I2432_RS04595</t>
  </si>
  <si>
    <t>WP_249093392.1</t>
  </si>
  <si>
    <t>I2432_RS04600</t>
  </si>
  <si>
    <t>WP_206159034.1</t>
  </si>
  <si>
    <t>I2432_RS04605</t>
  </si>
  <si>
    <t>class I SAM-dependent rRNA methyltransferase</t>
  </si>
  <si>
    <t>WP_021320679.1</t>
  </si>
  <si>
    <t>I2432_RS04610</t>
  </si>
  <si>
    <t>type I 3-dehydroquinate dehydratase</t>
  </si>
  <si>
    <t>aroD</t>
  </si>
  <si>
    <t>WP_206159035.1</t>
  </si>
  <si>
    <t>I2432_RS04615</t>
  </si>
  <si>
    <t>chorismate synthase</t>
  </si>
  <si>
    <t>aroC</t>
  </si>
  <si>
    <t>WP_164335179.1</t>
  </si>
  <si>
    <t>I2432_RS04620</t>
  </si>
  <si>
    <t>YlbF/YmcA family competence regulator</t>
  </si>
  <si>
    <t>WP_012678055.1</t>
  </si>
  <si>
    <t>I2432_RS04625</t>
  </si>
  <si>
    <t>glutathione-disulfide reductase</t>
  </si>
  <si>
    <t>gorA</t>
  </si>
  <si>
    <t>WP_206159036.1</t>
  </si>
  <si>
    <t>I2432_RS04630</t>
  </si>
  <si>
    <t>DUF6556 family protein</t>
  </si>
  <si>
    <t>WP_206159037.1</t>
  </si>
  <si>
    <t>I2432_RS04635</t>
  </si>
  <si>
    <t>WP_206159038.1</t>
  </si>
  <si>
    <t>I2432_RS04640</t>
  </si>
  <si>
    <t>WP_206159039.1</t>
  </si>
  <si>
    <t>I2432_RS04645</t>
  </si>
  <si>
    <t>WP_231148175.1</t>
  </si>
  <si>
    <t>I2432_RS04650</t>
  </si>
  <si>
    <t>WP_206159040.1</t>
  </si>
  <si>
    <t>I2432_RS04655</t>
  </si>
  <si>
    <t>WP_138119153.1</t>
  </si>
  <si>
    <t>I2432_RS04660</t>
  </si>
  <si>
    <t>WP_138119155.1</t>
  </si>
  <si>
    <t>I2432_RS04665</t>
  </si>
  <si>
    <t>WP_249093395.1</t>
  </si>
  <si>
    <t>I2432_RS04670</t>
  </si>
  <si>
    <t>ImmA/IrrE family metallo-endopeptidase</t>
  </si>
  <si>
    <t>WP_138119157.1</t>
  </si>
  <si>
    <t>I2432_RS04675</t>
  </si>
  <si>
    <t>WP_138119158.1</t>
  </si>
  <si>
    <t>I2432_RS04680</t>
  </si>
  <si>
    <t>WP_138119161.1</t>
  </si>
  <si>
    <t>I2432_RS04685</t>
  </si>
  <si>
    <t>WP_138119163.1</t>
  </si>
  <si>
    <t>I2432_RS04690</t>
  </si>
  <si>
    <t>WP_138119165.1</t>
  </si>
  <si>
    <t>I2432_RS04695</t>
  </si>
  <si>
    <t>WP_331852325.1</t>
  </si>
  <si>
    <t>I2432_RS04700</t>
  </si>
  <si>
    <t>DnaD domain-containing protein</t>
  </si>
  <si>
    <t>WP_206159041.1</t>
  </si>
  <si>
    <t>I2432_RS04705</t>
  </si>
  <si>
    <t>WP_012678838.1</t>
  </si>
  <si>
    <t>I2432_RS04710</t>
  </si>
  <si>
    <t>WP_138119167.1</t>
  </si>
  <si>
    <t>I2432_RS04715</t>
  </si>
  <si>
    <t>WP_138119169.1</t>
  </si>
  <si>
    <t>I2432_RS04720</t>
  </si>
  <si>
    <t>recombinase RecT</t>
  </si>
  <si>
    <t>WP_138119171.1</t>
  </si>
  <si>
    <t>I2432_RS04725</t>
  </si>
  <si>
    <t>WP_206159042.1</t>
  </si>
  <si>
    <t>I2432_RS04730</t>
  </si>
  <si>
    <t>PD-(D/E)XK nuclease-like domain-containing protein</t>
  </si>
  <si>
    <t>WP_138119175.1</t>
  </si>
  <si>
    <t>I2432_RS04735</t>
  </si>
  <si>
    <t>WP_138119177.1</t>
  </si>
  <si>
    <t>I2432_RS04740</t>
  </si>
  <si>
    <t>crossover junction endodeoxyribonuclease RuvC</t>
  </si>
  <si>
    <t>WP_138119179.1</t>
  </si>
  <si>
    <t>I2432_RS04745</t>
  </si>
  <si>
    <t>WP_138119181.1</t>
  </si>
  <si>
    <t>I2432_RS10310</t>
  </si>
  <si>
    <t>DUF1642 domain-containing protein</t>
  </si>
  <si>
    <t>WP_249093398.1</t>
  </si>
  <si>
    <t>I2432_RS04750</t>
  </si>
  <si>
    <t>WP_206159043.1</t>
  </si>
  <si>
    <t>I2432_RS04755</t>
  </si>
  <si>
    <t>WP_206159044.1</t>
  </si>
  <si>
    <t>I2432_RS04760</t>
  </si>
  <si>
    <t>DUF1492 domain-containing protein</t>
  </si>
  <si>
    <t>WP_138119185.1</t>
  </si>
  <si>
    <t>I2432_RS04765</t>
  </si>
  <si>
    <t>type II toxin-antitoxin system RelB family antitoxin</t>
  </si>
  <si>
    <t>relB</t>
  </si>
  <si>
    <t>WP_138119187.1</t>
  </si>
  <si>
    <t>I2432_RS04770</t>
  </si>
  <si>
    <t>type II toxin-antitoxin system RelE family toxin</t>
  </si>
  <si>
    <t>WP_138119189.1</t>
  </si>
  <si>
    <t>I2432_RS04775</t>
  </si>
  <si>
    <t>phBC6A51 family helix-turn-helix protein</t>
  </si>
  <si>
    <t>WP_231148477.1</t>
  </si>
  <si>
    <t>I2432_RS04780</t>
  </si>
  <si>
    <t>PBSX family phage terminase large subunit</t>
  </si>
  <si>
    <t>WP_206159045.1</t>
  </si>
  <si>
    <t>I2432_RS04785</t>
  </si>
  <si>
    <t>WP_138119195.1</t>
  </si>
  <si>
    <t>I2432_RS04790</t>
  </si>
  <si>
    <t>minor capsid protein</t>
  </si>
  <si>
    <t>WP_138119197.1</t>
  </si>
  <si>
    <t>I2432_RS04795</t>
  </si>
  <si>
    <t>DUF4355 domain-containing protein</t>
  </si>
  <si>
    <t>WP_138119199.1</t>
  </si>
  <si>
    <t>I2432_RS04800</t>
  </si>
  <si>
    <t>WP_206159046.1</t>
  </si>
  <si>
    <t>I2432_RS04805</t>
  </si>
  <si>
    <t>HeH/LEM domain-containing protein</t>
  </si>
  <si>
    <t>WP_138119202.1</t>
  </si>
  <si>
    <t>I2432_RS04810</t>
  </si>
  <si>
    <t>phage head-tail connector protein</t>
  </si>
  <si>
    <t>WP_138119204.1</t>
  </si>
  <si>
    <t>I2432_RS04815</t>
  </si>
  <si>
    <t>WP_138119206.1</t>
  </si>
  <si>
    <t>I2432_RS04820</t>
  </si>
  <si>
    <t>WP_138119207.1</t>
  </si>
  <si>
    <t>I2432_RS04825</t>
  </si>
  <si>
    <t>DUF5072 family protein</t>
  </si>
  <si>
    <t>WP_138119209.1</t>
  </si>
  <si>
    <t>I2432_RS04830</t>
  </si>
  <si>
    <t>phage major tail protein, TP901-1 family</t>
  </si>
  <si>
    <t>WP_138119211.1</t>
  </si>
  <si>
    <t>I2432_RS04835</t>
  </si>
  <si>
    <t>WP_138119213.1</t>
  </si>
  <si>
    <t>I2432_RS04840</t>
  </si>
  <si>
    <t>WP_138119215.1</t>
  </si>
  <si>
    <t>I2432_RS04845</t>
  </si>
  <si>
    <t>phage tail protein</t>
  </si>
  <si>
    <t>WP_154803894.1</t>
  </si>
  <si>
    <t>I2432_RS04850</t>
  </si>
  <si>
    <t>distal tail protein Dit</t>
  </si>
  <si>
    <t>WP_154803893.1</t>
  </si>
  <si>
    <t>I2432_RS04855</t>
  </si>
  <si>
    <t>WP_206159047.1</t>
  </si>
  <si>
    <t>I2432_RS04860</t>
  </si>
  <si>
    <t>DUF859 family phage minor structural protein</t>
  </si>
  <si>
    <t>WP_154803891.1</t>
  </si>
  <si>
    <t>I2432_RS04865</t>
  </si>
  <si>
    <t>DUF1366 domain-containing protein</t>
  </si>
  <si>
    <t>WP_138119225.1</t>
  </si>
  <si>
    <t>I2432_RS04870</t>
  </si>
  <si>
    <t>WP_269206307.1</t>
  </si>
  <si>
    <t>I2432_RS10420</t>
  </si>
  <si>
    <t>WP_154803889.1</t>
  </si>
  <si>
    <t>I2432_RS04875</t>
  </si>
  <si>
    <t>phage holin family protein</t>
  </si>
  <si>
    <t>WP_154803888.1</t>
  </si>
  <si>
    <t>I2432_RS04880</t>
  </si>
  <si>
    <t>WP_154803887.1</t>
  </si>
  <si>
    <t>I2432_RS04885</t>
  </si>
  <si>
    <t>WP_206159048.1</t>
  </si>
  <si>
    <t>I2432_RS04890</t>
  </si>
  <si>
    <t>WP_206159049.1</t>
  </si>
  <si>
    <t>I2432_RS04895</t>
  </si>
  <si>
    <t>collagen-like triple helix repeat-containing protein</t>
  </si>
  <si>
    <t>WP_249093403.1</t>
  </si>
  <si>
    <t>I2432_RS04900</t>
  </si>
  <si>
    <t>WP_206159050.1</t>
  </si>
  <si>
    <t>I2432_RS04905</t>
  </si>
  <si>
    <t>WP_138119239.1</t>
  </si>
  <si>
    <t>I2432_RS04910</t>
  </si>
  <si>
    <t>I2432_RS04915</t>
  </si>
  <si>
    <t>Paratox</t>
  </si>
  <si>
    <t>WP_138119241.1</t>
  </si>
  <si>
    <t>I2432_RS04920</t>
  </si>
  <si>
    <t>I2432_RS04925</t>
  </si>
  <si>
    <t>WP_206159051.1</t>
  </si>
  <si>
    <t>I2432_RS04930</t>
  </si>
  <si>
    <t>WP_206159052.1</t>
  </si>
  <si>
    <t>I2432_RS04935</t>
  </si>
  <si>
    <t>WP_111678035.1</t>
  </si>
  <si>
    <t>I2432_RS04940</t>
  </si>
  <si>
    <t>WP_037578443.1</t>
  </si>
  <si>
    <t>I2432_RS04945</t>
  </si>
  <si>
    <t>WP_165627297.1</t>
  </si>
  <si>
    <t>I2432_RS04950</t>
  </si>
  <si>
    <t>WP_037578437.1</t>
  </si>
  <si>
    <t>I2432_RS04955</t>
  </si>
  <si>
    <t>WP_012515511.1</t>
  </si>
  <si>
    <t>I2432_RS04960</t>
  </si>
  <si>
    <t>WP_037578432.1</t>
  </si>
  <si>
    <t>I2432_RS04965</t>
  </si>
  <si>
    <t>WP_206159053.1</t>
  </si>
  <si>
    <t>I2432_RS04970</t>
  </si>
  <si>
    <t>zinc ribbon domain-containing protein YjdM</t>
  </si>
  <si>
    <t>WP_037578426.1</t>
  </si>
  <si>
    <t>I2432_RS04975</t>
  </si>
  <si>
    <t>WP_206159054.1</t>
  </si>
  <si>
    <t>I2432_RS04980</t>
  </si>
  <si>
    <t>WP_043036868.1</t>
  </si>
  <si>
    <t>I2432_RS04985</t>
  </si>
  <si>
    <t>WP_206159055.1</t>
  </si>
  <si>
    <t>I2432_RS04990</t>
  </si>
  <si>
    <t>WP_115250889.1</t>
  </si>
  <si>
    <t>I2432_RS04995</t>
  </si>
  <si>
    <t>alanine/glycine:cation symporter family protein</t>
  </si>
  <si>
    <t>WP_206159056.1</t>
  </si>
  <si>
    <t>I2432_RS05000</t>
  </si>
  <si>
    <t>WP_206159057.1</t>
  </si>
  <si>
    <t>I2432_RS05005</t>
  </si>
  <si>
    <t>WP_206159058.1</t>
  </si>
  <si>
    <t>I2432_RS05010</t>
  </si>
  <si>
    <t>WP_021320695.1</t>
  </si>
  <si>
    <t>I2432_RS05015</t>
  </si>
  <si>
    <t>alkaline shock response membrane anchor protein AmaP</t>
  </si>
  <si>
    <t>amaP</t>
  </si>
  <si>
    <t>WP_206159059.1</t>
  </si>
  <si>
    <t>I2432_RS05020</t>
  </si>
  <si>
    <t>DUF2273 domain-containing protein</t>
  </si>
  <si>
    <t>WP_012515523.1</t>
  </si>
  <si>
    <t>I2432_RS05025</t>
  </si>
  <si>
    <t>WP_014622796.1</t>
  </si>
  <si>
    <t>I2432_RS05030</t>
  </si>
  <si>
    <t>WP_012678035.1</t>
  </si>
  <si>
    <t>I2432_RS05035</t>
  </si>
  <si>
    <t>WP_012515526.1</t>
  </si>
  <si>
    <t>I2432_RS05040</t>
  </si>
  <si>
    <t>I2432_RS05045</t>
  </si>
  <si>
    <t>TrkA C-terminal domain-containing protein</t>
  </si>
  <si>
    <t>WP_012515527.1</t>
  </si>
  <si>
    <t>I2432_RS05050</t>
  </si>
  <si>
    <t>WP_206159060.1</t>
  </si>
  <si>
    <t>I2432_RS05055</t>
  </si>
  <si>
    <t>WP_037578379.1</t>
  </si>
  <si>
    <t>I2432_RS05060</t>
  </si>
  <si>
    <t>WP_206159061.1</t>
  </si>
  <si>
    <t>I2432_RS05065</t>
  </si>
  <si>
    <t>restriction endonuclease subunit S</t>
  </si>
  <si>
    <t>WP_111678049.1</t>
  </si>
  <si>
    <t>I2432_RS05070</t>
  </si>
  <si>
    <t>aromatic acid exporter family protein</t>
  </si>
  <si>
    <t>WP_206159062.1</t>
  </si>
  <si>
    <t>I2432_RS05075</t>
  </si>
  <si>
    <t>DUF2130 domain-containing protein</t>
  </si>
  <si>
    <t>WP_206159063.1</t>
  </si>
  <si>
    <t>I2432_RS05080</t>
  </si>
  <si>
    <t>WP_206159064.1</t>
  </si>
  <si>
    <t>I2432_RS05085</t>
  </si>
  <si>
    <t>bifunctional riboflavin kinase/FAD synthetase</t>
  </si>
  <si>
    <t>WP_206159065.1</t>
  </si>
  <si>
    <t>I2432_RS05090</t>
  </si>
  <si>
    <t>Spx/MgsR family RNA polymerase-binding regulatory protein</t>
  </si>
  <si>
    <t>WP_012678026.1</t>
  </si>
  <si>
    <t>I2432_RS05095</t>
  </si>
  <si>
    <t>UPF0223 family protein</t>
  </si>
  <si>
    <t>WP_012678025.1</t>
  </si>
  <si>
    <t>I2432_RS05100</t>
  </si>
  <si>
    <t>inositol monophosphatase family protein</t>
  </si>
  <si>
    <t>WP_206159066.1</t>
  </si>
  <si>
    <t>I2432_RS05105</t>
  </si>
  <si>
    <t>WP_206159080.1</t>
  </si>
  <si>
    <t>I2432_RS05110</t>
  </si>
  <si>
    <t>phosphate ABC transporter substrate-binding protein PstS family protein</t>
  </si>
  <si>
    <t>WP_111692426.1</t>
  </si>
  <si>
    <t>I2432_RS05115</t>
  </si>
  <si>
    <t>WP_043025772.1</t>
  </si>
  <si>
    <t>I2432_RS05120</t>
  </si>
  <si>
    <t>WP_012679475.1</t>
  </si>
  <si>
    <t>I2432_RS05125</t>
  </si>
  <si>
    <t>WP_206159067.1</t>
  </si>
  <si>
    <t>I2432_RS05130</t>
  </si>
  <si>
    <t>WP_012678019.1</t>
  </si>
  <si>
    <t>I2432_RS05135</t>
  </si>
  <si>
    <t>WP_012678018.1</t>
  </si>
  <si>
    <t>I2432_RS05140</t>
  </si>
  <si>
    <t>WP_206158612.1</t>
  </si>
  <si>
    <t>I2432_RS05145</t>
  </si>
  <si>
    <t>WP_037578348.1</t>
  </si>
  <si>
    <t>I2432_RS05150</t>
  </si>
  <si>
    <t>WP_111678059.1</t>
  </si>
  <si>
    <t>I2432_RS05155</t>
  </si>
  <si>
    <t>WP_206158613.1</t>
  </si>
  <si>
    <t>I2432_RS05160</t>
  </si>
  <si>
    <t>DUF1433 domain-containing protein</t>
  </si>
  <si>
    <t>WP_115250909.1</t>
  </si>
  <si>
    <t>I2432_RS05165</t>
  </si>
  <si>
    <t>WP_111678062.1</t>
  </si>
  <si>
    <t>I2432_RS05170</t>
  </si>
  <si>
    <t>WP_231871354.1</t>
  </si>
  <si>
    <t>I2432_RS05175</t>
  </si>
  <si>
    <t>WP_249093119.1</t>
  </si>
  <si>
    <t>I2432_RS05180</t>
  </si>
  <si>
    <t>WP_165627640.1</t>
  </si>
  <si>
    <t>I2432_RS05185</t>
  </si>
  <si>
    <t>WP_037579874.1</t>
  </si>
  <si>
    <t>I2432_RS05190</t>
  </si>
  <si>
    <t>WP_012678006.1</t>
  </si>
  <si>
    <t>I2432_RS05195</t>
  </si>
  <si>
    <t>WP_111710551.1</t>
  </si>
  <si>
    <t>I2432_RS05200</t>
  </si>
  <si>
    <t>WP_038674319.1</t>
  </si>
  <si>
    <t>I2432_RS05205</t>
  </si>
  <si>
    <t>pyrimidine-nucleoside phosphorylase</t>
  </si>
  <si>
    <t>WP_014622825.1</t>
  </si>
  <si>
    <t>I2432_RS05210</t>
  </si>
  <si>
    <t>WP_206158614.1</t>
  </si>
  <si>
    <t>I2432_RS05215</t>
  </si>
  <si>
    <t>cytidine deaminase</t>
  </si>
  <si>
    <t>WP_012515564.1</t>
  </si>
  <si>
    <t>I2432_RS05220</t>
  </si>
  <si>
    <t>BMP family lipoprotein</t>
  </si>
  <si>
    <t>WP_012515565.1</t>
  </si>
  <si>
    <t>I2432_RS05225</t>
  </si>
  <si>
    <t>WP_043025785.1</t>
  </si>
  <si>
    <t>I2432_RS05230</t>
  </si>
  <si>
    <t>WP_014622827.1</t>
  </si>
  <si>
    <t>I2432_RS05235</t>
  </si>
  <si>
    <t>WP_111678071.1</t>
  </si>
  <si>
    <t>I2432_RS05240</t>
  </si>
  <si>
    <t>WP_159334861.1</t>
  </si>
  <si>
    <t>I2432_RS05245</t>
  </si>
  <si>
    <t>WP_196820070.1</t>
  </si>
  <si>
    <t>I2432_RS05250</t>
  </si>
  <si>
    <t>phosphopantothenoylcysteine decarboxylase</t>
  </si>
  <si>
    <t>coaC</t>
  </si>
  <si>
    <t>WP_206158615.1</t>
  </si>
  <si>
    <t>I2432_RS05255</t>
  </si>
  <si>
    <t>phosphopantothenate--cysteine ligase</t>
  </si>
  <si>
    <t>WP_282185038.1</t>
  </si>
  <si>
    <t>I2432_RS05260</t>
  </si>
  <si>
    <t>WP_206158616.1</t>
  </si>
  <si>
    <t>I2432_RS05265</t>
  </si>
  <si>
    <t>WP_206158617.1</t>
  </si>
  <si>
    <t>I2432_RS10425</t>
  </si>
  <si>
    <t>WP_206158618.1</t>
  </si>
  <si>
    <t>I2432_RS05275</t>
  </si>
  <si>
    <t>WP_043030778.1</t>
  </si>
  <si>
    <t>I2432_RS05280</t>
  </si>
  <si>
    <t>ATP cone domain-containing protein</t>
  </si>
  <si>
    <t>WP_012515578.1</t>
  </si>
  <si>
    <t>I2432_RS05285</t>
  </si>
  <si>
    <t>PLP-dependent aminotransferase family protein</t>
  </si>
  <si>
    <t>WP_206158619.1</t>
  </si>
  <si>
    <t>I2432_RS05290</t>
  </si>
  <si>
    <t>pyridoxamine kinase</t>
  </si>
  <si>
    <t>WP_206158620.1</t>
  </si>
  <si>
    <t>I2432_RS05295</t>
  </si>
  <si>
    <t>WP_041790444.1</t>
  </si>
  <si>
    <t>I2432_RS05300</t>
  </si>
  <si>
    <t>WP_206158621.1</t>
  </si>
  <si>
    <t>I2432_RS05305</t>
  </si>
  <si>
    <t>WP_249093412.1</t>
  </si>
  <si>
    <t>I2432_RS05310</t>
  </si>
  <si>
    <t>diacylglycerol/lipid kinase family protein</t>
  </si>
  <si>
    <t>WP_206158622.1</t>
  </si>
  <si>
    <t>I2432_RS05315</t>
  </si>
  <si>
    <t>PAQR family membrane homeostasis protein TrhA</t>
  </si>
  <si>
    <t>trhA</t>
  </si>
  <si>
    <t>WP_012515586.1</t>
  </si>
  <si>
    <t>I2432_RS05320</t>
  </si>
  <si>
    <t>DUF1836 domain-containing protein</t>
  </si>
  <si>
    <t>WP_043983552.1</t>
  </si>
  <si>
    <t>I2432_RS05325</t>
  </si>
  <si>
    <t>WP_206158623.1</t>
  </si>
  <si>
    <t>I2432_RS05330</t>
  </si>
  <si>
    <t>DUF1430 domain-containing protein</t>
  </si>
  <si>
    <t>WP_206158624.1</t>
  </si>
  <si>
    <t>I2432_RS05335</t>
  </si>
  <si>
    <t>WP_206158625.1</t>
  </si>
  <si>
    <t>I2432_RS05340</t>
  </si>
  <si>
    <t>I2432_RS10330</t>
  </si>
  <si>
    <t>WP_206158626.1</t>
  </si>
  <si>
    <t>I2432_RS05345</t>
  </si>
  <si>
    <t>WP_206159083.1</t>
  </si>
  <si>
    <t>I2432_RS05350</t>
  </si>
  <si>
    <t>WP_043983543.1</t>
  </si>
  <si>
    <t>I2432_RS05355</t>
  </si>
  <si>
    <t>I2432_RS05360</t>
  </si>
  <si>
    <t>WP_206158627.1</t>
  </si>
  <si>
    <t>I2432_RS05365</t>
  </si>
  <si>
    <t>SatD family protein</t>
  </si>
  <si>
    <t>WP_043038966.1</t>
  </si>
  <si>
    <t>I2432_RS05370</t>
  </si>
  <si>
    <t>DUF3307 domain-containing protein</t>
  </si>
  <si>
    <t>WP_043038967.1</t>
  </si>
  <si>
    <t>I2432_RS05375</t>
  </si>
  <si>
    <t>WP_206158628.1</t>
  </si>
  <si>
    <t>I2432_RS05380</t>
  </si>
  <si>
    <t>WP_206158629.1</t>
  </si>
  <si>
    <t>I2432_RS05385</t>
  </si>
  <si>
    <t>AbrB family transcriptional regulator</t>
  </si>
  <si>
    <t>WP_206158630.1</t>
  </si>
  <si>
    <t>I2432_RS05390</t>
  </si>
  <si>
    <t>WP_206158631.1</t>
  </si>
  <si>
    <t>I2432_RS05395</t>
  </si>
  <si>
    <t>WP_206158632.1</t>
  </si>
  <si>
    <t>I2432_RS05400</t>
  </si>
  <si>
    <t>CitMHS family transporter</t>
  </si>
  <si>
    <t>WP_206158633.1</t>
  </si>
  <si>
    <t>I2432_RS05405</t>
  </si>
  <si>
    <t>WP_164336867.1</t>
  </si>
  <si>
    <t>I2432_RS05410</t>
  </si>
  <si>
    <t>acetyl-CoA carboxylase biotin carboxyl carrier protein subunit</t>
  </si>
  <si>
    <t>WP_206158634.1</t>
  </si>
  <si>
    <t>I2432_RS05415</t>
  </si>
  <si>
    <t>sodium ion-translocating decarboxylase subunit beta</t>
  </si>
  <si>
    <t>WP_037581197.1</t>
  </si>
  <si>
    <t>I2432_RS05420</t>
  </si>
  <si>
    <t>OadG-related small transporter subunit</t>
  </si>
  <si>
    <t>WP_012515617.1</t>
  </si>
  <si>
    <t>I2432_RS10430</t>
  </si>
  <si>
    <t>WP_037581193.1</t>
  </si>
  <si>
    <t>I2432_RS05425</t>
  </si>
  <si>
    <t>WP_037581191.1</t>
  </si>
  <si>
    <t>I2432_RS05430</t>
  </si>
  <si>
    <t>WP_206158635.1</t>
  </si>
  <si>
    <t>I2432_RS05435</t>
  </si>
  <si>
    <t>WP_206159084.1</t>
  </si>
  <si>
    <t>I2432_RS05440</t>
  </si>
  <si>
    <t>oxaloacetate decarboxylase subunit alpha</t>
  </si>
  <si>
    <t>WP_206158636.1</t>
  </si>
  <si>
    <t>I2432_RS05445</t>
  </si>
  <si>
    <t>PASTA domain-containing protein</t>
  </si>
  <si>
    <t>WP_021320776.1</t>
  </si>
  <si>
    <t>I2432_RS05450</t>
  </si>
  <si>
    <t>WP_012515624.1</t>
  </si>
  <si>
    <t>I2432_RS05455</t>
  </si>
  <si>
    <t>WP_111692456.1</t>
  </si>
  <si>
    <t>I2432_RS05460</t>
  </si>
  <si>
    <t>WP_021320779.1</t>
  </si>
  <si>
    <t>I2432_RS05465</t>
  </si>
  <si>
    <t>I2432_RS05470</t>
  </si>
  <si>
    <t>WP_206158637.1</t>
  </si>
  <si>
    <t>I2432_RS05475</t>
  </si>
  <si>
    <t>WP_043053094.1</t>
  </si>
  <si>
    <t>I2432_RS05480</t>
  </si>
  <si>
    <t>LexA family transcriptional regulator</t>
  </si>
  <si>
    <t>WP_206158638.1</t>
  </si>
  <si>
    <t>I2432_RS05485</t>
  </si>
  <si>
    <t>WP_021320784.1</t>
  </si>
  <si>
    <t>I2432_RS05490</t>
  </si>
  <si>
    <t>WP_206158639.1</t>
  </si>
  <si>
    <t>I2432_RS05495</t>
  </si>
  <si>
    <t>WP_206158640.1</t>
  </si>
  <si>
    <t>I2432_RS05500</t>
  </si>
  <si>
    <t>putative DNA-binding protein</t>
  </si>
  <si>
    <t>WP_206158641.1</t>
  </si>
  <si>
    <t>I2432_RS05505</t>
  </si>
  <si>
    <t>WP_012515636.1</t>
  </si>
  <si>
    <t>I2432_RS05510</t>
  </si>
  <si>
    <t>aminoacyltransferase</t>
  </si>
  <si>
    <t>WP_206159085.1</t>
  </si>
  <si>
    <t>I2432_RS05515</t>
  </si>
  <si>
    <t>WP_037581153.1</t>
  </si>
  <si>
    <t>I2432_RS05520</t>
  </si>
  <si>
    <t>pneumococcal-type histidine triad protein</t>
  </si>
  <si>
    <t>WP_111678144.1</t>
  </si>
  <si>
    <t>I2432_RS05525</t>
  </si>
  <si>
    <t>metal ABC transporter solute-binding protein, Zn/Mn family</t>
  </si>
  <si>
    <t>WP_111678145.1</t>
  </si>
  <si>
    <t>I2432_RS05530</t>
  </si>
  <si>
    <t>SMU1112c/YaeR family gloxylase I-like metalloprotein</t>
  </si>
  <si>
    <t>gloA2</t>
  </si>
  <si>
    <t>WP_206158642.1</t>
  </si>
  <si>
    <t>I2432_RS05535</t>
  </si>
  <si>
    <t>WP_021320791.1</t>
  </si>
  <si>
    <t>I2432_RS05540</t>
  </si>
  <si>
    <t>WP_206158643.1</t>
  </si>
  <si>
    <t>I2432_RS05545</t>
  </si>
  <si>
    <t>WP_012515644.1</t>
  </si>
  <si>
    <t>I2432_RS05550</t>
  </si>
  <si>
    <t>tnpA</t>
  </si>
  <si>
    <t>I2432_RS05555</t>
  </si>
  <si>
    <t>H2O-forming NADH oxidase</t>
  </si>
  <si>
    <t>nox</t>
  </si>
  <si>
    <t>WP_111678147.1</t>
  </si>
  <si>
    <t>I2432_RS05560</t>
  </si>
  <si>
    <t>lysozyme family protein</t>
  </si>
  <si>
    <t>WP_206158644.1</t>
  </si>
  <si>
    <t>I2432_RS05565</t>
  </si>
  <si>
    <t>nucleoid-associated protein</t>
  </si>
  <si>
    <t>WP_196819608.1</t>
  </si>
  <si>
    <t>I2432_RS05570</t>
  </si>
  <si>
    <t>WP_206158645.1</t>
  </si>
  <si>
    <t>I2432_RS05575</t>
  </si>
  <si>
    <t>WP_206158646.1</t>
  </si>
  <si>
    <t>I2432_RS05580</t>
  </si>
  <si>
    <t>WP_206158647.1</t>
  </si>
  <si>
    <t>I2432_RS05585</t>
  </si>
  <si>
    <t>WP_206158648.1</t>
  </si>
  <si>
    <t>I2432_RS05590</t>
  </si>
  <si>
    <t>WP_014622900.1</t>
  </si>
  <si>
    <t>I2432_RS05595</t>
  </si>
  <si>
    <t>WP_206158649.1</t>
  </si>
  <si>
    <t>I2432_RS05600</t>
  </si>
  <si>
    <t>4-oxalocrotonate tautomerase</t>
  </si>
  <si>
    <t>WP_012515655.1</t>
  </si>
  <si>
    <t>I2432_RS05605</t>
  </si>
  <si>
    <t>WP_206158650.1</t>
  </si>
  <si>
    <t>I2432_RS05610</t>
  </si>
  <si>
    <t>WP_206159086.1</t>
  </si>
  <si>
    <t>I2432_RS05615</t>
  </si>
  <si>
    <t>guaC</t>
  </si>
  <si>
    <t>WP_012679550.1</t>
  </si>
  <si>
    <t>I2432_RS05620</t>
  </si>
  <si>
    <t>ABC transporter permease/substrate-binding protein</t>
  </si>
  <si>
    <t>WP_206158651.1</t>
  </si>
  <si>
    <t>I2432_RS05625</t>
  </si>
  <si>
    <t>WP_043029751.1</t>
  </si>
  <si>
    <t>I2432_RS05630</t>
  </si>
  <si>
    <t>multidrug transporter</t>
  </si>
  <si>
    <t>WP_206158652.1</t>
  </si>
  <si>
    <t>I2432_RS05635</t>
  </si>
  <si>
    <t>WP_206158653.1</t>
  </si>
  <si>
    <t>I2432_RS05640</t>
  </si>
  <si>
    <t>WP_012677915.1</t>
  </si>
  <si>
    <t>I2432_RS05645</t>
  </si>
  <si>
    <t>WP_206152518.1</t>
  </si>
  <si>
    <t>I2432_RS05650</t>
  </si>
  <si>
    <t>WP_021320798.1</t>
  </si>
  <si>
    <t>I2432_RS05655</t>
  </si>
  <si>
    <t>WP_012677913.1</t>
  </si>
  <si>
    <t>I2432_RS05660</t>
  </si>
  <si>
    <t>WP_012515666.1</t>
  </si>
  <si>
    <t>I2432_RS05665</t>
  </si>
  <si>
    <t>WP_012515667.1</t>
  </si>
  <si>
    <t>I2432_RS05670</t>
  </si>
  <si>
    <t>WP_206158654.1</t>
  </si>
  <si>
    <t>I2432_RS05675</t>
  </si>
  <si>
    <t>WP_012515669.1</t>
  </si>
  <si>
    <t>I2432_RS05680</t>
  </si>
  <si>
    <t>WP_012677911.1</t>
  </si>
  <si>
    <t>I2432_RS05685</t>
  </si>
  <si>
    <t>WP_042670686.1</t>
  </si>
  <si>
    <t>I2432_RS05690</t>
  </si>
  <si>
    <t>RadC family protein</t>
  </si>
  <si>
    <t>WP_206158655.1</t>
  </si>
  <si>
    <t>I2432_RS05695</t>
  </si>
  <si>
    <t>WP_115250978.1</t>
  </si>
  <si>
    <t>I2432_RS05700</t>
  </si>
  <si>
    <t>WP_012677907.1</t>
  </si>
  <si>
    <t>I2432_RS05705</t>
  </si>
  <si>
    <t>WP_206158656.1</t>
  </si>
  <si>
    <t>I2432_RS05710</t>
  </si>
  <si>
    <t>WP_012515676.1</t>
  </si>
  <si>
    <t>I2432_RS05715</t>
  </si>
  <si>
    <t>WP_206158657.1</t>
  </si>
  <si>
    <t>I2432_RS05720</t>
  </si>
  <si>
    <t>WP_206158658.1</t>
  </si>
  <si>
    <t>I2432_RS05725</t>
  </si>
  <si>
    <t>WP_206158659.1</t>
  </si>
  <si>
    <t>I2432_RS05730</t>
  </si>
  <si>
    <t>WP_126436739.1</t>
  </si>
  <si>
    <t>I2432_RS05735</t>
  </si>
  <si>
    <t>2-amino-4-hydroxy-6-hydroxymethyldihydropteridine diphosphokinase</t>
  </si>
  <si>
    <t>folK</t>
  </si>
  <si>
    <t>WP_043053123.1</t>
  </si>
  <si>
    <t>I2432_RS05740</t>
  </si>
  <si>
    <t>dihydroneopterin aldolase</t>
  </si>
  <si>
    <t>folB</t>
  </si>
  <si>
    <t>WP_012677900.1</t>
  </si>
  <si>
    <t>I2432_RS05745</t>
  </si>
  <si>
    <t>dihydropteroate synthase</t>
  </si>
  <si>
    <t>folP</t>
  </si>
  <si>
    <t>WP_043039002.1</t>
  </si>
  <si>
    <t>I2432_RS05750</t>
  </si>
  <si>
    <t>GTP cyclohydrolase I FolE</t>
  </si>
  <si>
    <t>folE</t>
  </si>
  <si>
    <t>WP_111710584.1</t>
  </si>
  <si>
    <t>I2432_RS05755</t>
  </si>
  <si>
    <t>bifunctional folylpolyglutamate synthase/dihydrofolate synthase</t>
  </si>
  <si>
    <t>WP_206158660.1</t>
  </si>
  <si>
    <t>I2432_RS05760</t>
  </si>
  <si>
    <t>WP_037581040.1</t>
  </si>
  <si>
    <t>I2432_RS05765</t>
  </si>
  <si>
    <t>WP_206158661.1</t>
  </si>
  <si>
    <t>I2432_RS05770</t>
  </si>
  <si>
    <t>WP_206158662.1</t>
  </si>
  <si>
    <t>I2432_RS05775</t>
  </si>
  <si>
    <t>WP_115250987.1</t>
  </si>
  <si>
    <t>I2432_RS05780</t>
  </si>
  <si>
    <t>nucleoside-diphosphate kinase</t>
  </si>
  <si>
    <t>ndk</t>
  </si>
  <si>
    <t>WP_115250988.1</t>
  </si>
  <si>
    <t>I2432_RS05785</t>
  </si>
  <si>
    <t>WP_206152509.1</t>
  </si>
  <si>
    <t>I2432_RS05790</t>
  </si>
  <si>
    <t>leucine-rich repeat adhesin HupY/LrrG</t>
  </si>
  <si>
    <t>hupY</t>
  </si>
  <si>
    <t>WP_206152508.1</t>
  </si>
  <si>
    <t>I2432_RS05795</t>
  </si>
  <si>
    <t>WP_126437219.1</t>
  </si>
  <si>
    <t>I2432_RS05800</t>
  </si>
  <si>
    <t>WP_206152507.1</t>
  </si>
  <si>
    <t>I2432_RS05805</t>
  </si>
  <si>
    <t>WP_012515696.1</t>
  </si>
  <si>
    <t>I2432_RS05810</t>
  </si>
  <si>
    <t>WP_126436753.1</t>
  </si>
  <si>
    <t>I2432_RS05815</t>
  </si>
  <si>
    <t>WP_037581013.1</t>
  </si>
  <si>
    <t>I2432_RS05820</t>
  </si>
  <si>
    <t>WP_206152505.1</t>
  </si>
  <si>
    <t>I2432_RS05825</t>
  </si>
  <si>
    <t>hydroxymethylglutaryl-CoA reductase, degradative</t>
  </si>
  <si>
    <t>WP_206152557.1</t>
  </si>
  <si>
    <t>I2432_RS05830</t>
  </si>
  <si>
    <t>WP_206152504.1</t>
  </si>
  <si>
    <t>I2432_RS05835</t>
  </si>
  <si>
    <t>WP_206152503.1</t>
  </si>
  <si>
    <t>I2432_RS05840</t>
  </si>
  <si>
    <t>WP_196819636.1</t>
  </si>
  <si>
    <t>I2432_RS05845</t>
  </si>
  <si>
    <t>WP_206152502.1</t>
  </si>
  <si>
    <t>I2432_RS05850</t>
  </si>
  <si>
    <t>WP_206152501.1</t>
  </si>
  <si>
    <t>I2432_RS05855</t>
  </si>
  <si>
    <t>WP_206152500.1</t>
  </si>
  <si>
    <t>I2432_RS05860</t>
  </si>
  <si>
    <t>surface-anchored 5'-nucleotidase</t>
  </si>
  <si>
    <t>WP_206152499.1</t>
  </si>
  <si>
    <t>I2432_RS05865</t>
  </si>
  <si>
    <t>WP_012677877.1</t>
  </si>
  <si>
    <t>I2432_RS05870</t>
  </si>
  <si>
    <t>NADP-specific glutamate dehydrogenase</t>
  </si>
  <si>
    <t>gdhA</t>
  </si>
  <si>
    <t>WP_206152498.1</t>
  </si>
  <si>
    <t>I2432_RS05875</t>
  </si>
  <si>
    <t>WP_206152497.1</t>
  </si>
  <si>
    <t>I2432_RS05880</t>
  </si>
  <si>
    <t>WP_206152496.1</t>
  </si>
  <si>
    <t>I2432_RS05885</t>
  </si>
  <si>
    <t>WP_206152495.1</t>
  </si>
  <si>
    <t>I2432_RS05890</t>
  </si>
  <si>
    <t>WP_206152556.1</t>
  </si>
  <si>
    <t>I2432_RS05895</t>
  </si>
  <si>
    <t>WP_206152494.1</t>
  </si>
  <si>
    <t>I2432_RS05900</t>
  </si>
  <si>
    <t>WP_037580974.1</t>
  </si>
  <si>
    <t>I2432_RS05905</t>
  </si>
  <si>
    <t>WP_043039022.1</t>
  </si>
  <si>
    <t>I2432_RS05910</t>
  </si>
  <si>
    <t>DJ-1/PfpI family protein</t>
  </si>
  <si>
    <t>WP_231148567.1</t>
  </si>
  <si>
    <t>I2432_RS05915</t>
  </si>
  <si>
    <t>GrpB family protein</t>
  </si>
  <si>
    <t>WP_206152492.1</t>
  </si>
  <si>
    <t>I2432_RS05920</t>
  </si>
  <si>
    <t>I2432_RS05925</t>
  </si>
  <si>
    <t>WP_206158663.1</t>
  </si>
  <si>
    <t>I2432_RS05930</t>
  </si>
  <si>
    <t>PTS fructose transporter subunit IIABC</t>
  </si>
  <si>
    <t>WP_014622963.1</t>
  </si>
  <si>
    <t>I2432_RS05935</t>
  </si>
  <si>
    <t>WP_206152490.1</t>
  </si>
  <si>
    <t>I2432_RS05940</t>
  </si>
  <si>
    <t>WP_268810509.1</t>
  </si>
  <si>
    <t>I2432_RS05945</t>
  </si>
  <si>
    <t>2-dehydropantoate 2-reductase</t>
  </si>
  <si>
    <t>WP_037580953.1</t>
  </si>
  <si>
    <t>I2432_RS05950</t>
  </si>
  <si>
    <t>PTS transporter subunit IIC</t>
  </si>
  <si>
    <t>WP_206152489.1</t>
  </si>
  <si>
    <t>I2432_RS05955</t>
  </si>
  <si>
    <t>WP_206158664.1</t>
  </si>
  <si>
    <t>I2432_RS05960</t>
  </si>
  <si>
    <t>WP_115251490.1</t>
  </si>
  <si>
    <t>I2432_RS05965</t>
  </si>
  <si>
    <t>WP_111710604.1</t>
  </si>
  <si>
    <t>I2432_RS05970</t>
  </si>
  <si>
    <t>InlB B-repeat-containing protein</t>
  </si>
  <si>
    <t>WP_249093144.1</t>
  </si>
  <si>
    <t>I2432_RS05975</t>
  </si>
  <si>
    <t>recombinase family protein</t>
  </si>
  <si>
    <t>WP_043053154.1</t>
  </si>
  <si>
    <t>I2432_RS05980</t>
  </si>
  <si>
    <t>KH domain-containing protein</t>
  </si>
  <si>
    <t>WP_012515734.1</t>
  </si>
  <si>
    <t>I2432_RS05985</t>
  </si>
  <si>
    <t>WP_038674241.1</t>
  </si>
  <si>
    <t>I2432_RS05990</t>
  </si>
  <si>
    <t>WP_206158666.1</t>
  </si>
  <si>
    <t>I2432_RS05995</t>
  </si>
  <si>
    <t>WP_206152485.1</t>
  </si>
  <si>
    <t>I2432_RS06000</t>
  </si>
  <si>
    <t>WP_012515737.1</t>
  </si>
  <si>
    <t>I2432_RS06005</t>
  </si>
  <si>
    <t>WP_012677853.1</t>
  </si>
  <si>
    <t>I2432_RS06010</t>
  </si>
  <si>
    <t>efflux RND transporter periplasmic adaptor subunit</t>
  </si>
  <si>
    <t>WP_206152484.1</t>
  </si>
  <si>
    <t>I2432_RS06015</t>
  </si>
  <si>
    <t>WP_206152483.1</t>
  </si>
  <si>
    <t>I2432_RS06020</t>
  </si>
  <si>
    <t>WP_037580927.1</t>
  </si>
  <si>
    <t>I2432_RS06025</t>
  </si>
  <si>
    <t>WP_164336691.1</t>
  </si>
  <si>
    <t>I2432_RS06030</t>
  </si>
  <si>
    <t>uracil-xanthine permease family protein</t>
  </si>
  <si>
    <t>WP_012677849.1</t>
  </si>
  <si>
    <t>I2432_RS06035</t>
  </si>
  <si>
    <t>WP_012677848.1</t>
  </si>
  <si>
    <t>I2432_RS06040</t>
  </si>
  <si>
    <t>WP_414603542.1</t>
  </si>
  <si>
    <t>I2432_RS06045</t>
  </si>
  <si>
    <t>WP_115251017.1</t>
  </si>
  <si>
    <t>I2432_RS06050</t>
  </si>
  <si>
    <t>WP_021320845.1</t>
  </si>
  <si>
    <t>I2432_RS06055</t>
  </si>
  <si>
    <t>WP_206158667.1</t>
  </si>
  <si>
    <t>I2432_RS06060</t>
  </si>
  <si>
    <t>WP_012677843.1</t>
  </si>
  <si>
    <t>I2432_RS06065</t>
  </si>
  <si>
    <t>ribosomal-processing cysteine protease Prp</t>
  </si>
  <si>
    <t>WP_012515751.1</t>
  </si>
  <si>
    <t>I2432_RS06070</t>
  </si>
  <si>
    <t>WP_012515752.1</t>
  </si>
  <si>
    <t>I2432_RS06075</t>
  </si>
  <si>
    <t>CapA family protein</t>
  </si>
  <si>
    <t>WP_206158668.1</t>
  </si>
  <si>
    <t>I2432_RS06080</t>
  </si>
  <si>
    <t>DUF3862 domain-containing protein</t>
  </si>
  <si>
    <t>WP_037580818.1</t>
  </si>
  <si>
    <t>I2432_RS06085</t>
  </si>
  <si>
    <t>WP_138119407.1</t>
  </si>
  <si>
    <t>I2432_RS06090</t>
  </si>
  <si>
    <t>WP_043029806.1</t>
  </si>
  <si>
    <t>I2432_RS06095</t>
  </si>
  <si>
    <t>WP_038674231.1</t>
  </si>
  <si>
    <t>I2432_RS06100</t>
  </si>
  <si>
    <t>I2432_RS06105</t>
  </si>
  <si>
    <t>I2432_RS06110</t>
  </si>
  <si>
    <t>WP_012677836.1</t>
  </si>
  <si>
    <t>I2432_RS06115</t>
  </si>
  <si>
    <t>I2432_RS06120</t>
  </si>
  <si>
    <t>I2432_RS06125</t>
  </si>
  <si>
    <t>WP_043040698.1</t>
  </si>
  <si>
    <t>I2432_RS06130</t>
  </si>
  <si>
    <t>I2432_RS06135</t>
  </si>
  <si>
    <t>WP_206152480.1</t>
  </si>
  <si>
    <t>I2432_RS06140</t>
  </si>
  <si>
    <t>WP_021320852.1</t>
  </si>
  <si>
    <t>I2432_RS06145</t>
  </si>
  <si>
    <t>WP_154299016.1</t>
  </si>
  <si>
    <t>I2432_RS06150</t>
  </si>
  <si>
    <t>WP_012515764.1</t>
  </si>
  <si>
    <t>I2432_RS06155</t>
  </si>
  <si>
    <t>WP_206152479.1</t>
  </si>
  <si>
    <t>I2432_RS06160</t>
  </si>
  <si>
    <t>WP_014623000.1</t>
  </si>
  <si>
    <t>I2432_RS06165</t>
  </si>
  <si>
    <t>WP_012677828.1</t>
  </si>
  <si>
    <t>I2432_RS06170</t>
  </si>
  <si>
    <t>WP_206152478.1</t>
  </si>
  <si>
    <t>I2432_RS06175</t>
  </si>
  <si>
    <t>WP_042670768.1</t>
  </si>
  <si>
    <t>I2432_RS06180</t>
  </si>
  <si>
    <t>amidase</t>
  </si>
  <si>
    <t>WP_138119411.1</t>
  </si>
  <si>
    <t>I2432_RS06185</t>
  </si>
  <si>
    <t>WP_012677824.1</t>
  </si>
  <si>
    <t>I2432_RS06190</t>
  </si>
  <si>
    <t>WP_012515772.1</t>
  </si>
  <si>
    <t>I2432_RS06195</t>
  </si>
  <si>
    <t>WP_042670772.1</t>
  </si>
  <si>
    <t>I2432_RS06200</t>
  </si>
  <si>
    <t>I2432_RS06205</t>
  </si>
  <si>
    <t>WP_012677820.1</t>
  </si>
  <si>
    <t>I2432_RS06210</t>
  </si>
  <si>
    <t>WP_021320860.1</t>
  </si>
  <si>
    <t>I2432_RS06215</t>
  </si>
  <si>
    <t>purine-nucleoside phosphorylase</t>
  </si>
  <si>
    <t>WP_206158669.1</t>
  </si>
  <si>
    <t>I2432_RS06220</t>
  </si>
  <si>
    <t>phosphopentomutase</t>
  </si>
  <si>
    <t>WP_014623010.1</t>
  </si>
  <si>
    <t>I2432_RS06225</t>
  </si>
  <si>
    <t>WP_138119415.1</t>
  </si>
  <si>
    <t>I2432_RS06230</t>
  </si>
  <si>
    <t>WP_043036962.1</t>
  </si>
  <si>
    <t>I2432_RS06235</t>
  </si>
  <si>
    <t>WP_206158670.1</t>
  </si>
  <si>
    <t>I2432_RS06240</t>
  </si>
  <si>
    <t>WP_043025989.1</t>
  </si>
  <si>
    <t>I2432_RS06245</t>
  </si>
  <si>
    <t>WP_138119419.1</t>
  </si>
  <si>
    <t>I2432_RS06250</t>
  </si>
  <si>
    <t>WP_231151016.1</t>
  </si>
  <si>
    <t>I2432_RS06255</t>
  </si>
  <si>
    <t>WP_228294441.1</t>
  </si>
  <si>
    <t>I2432_RS06260</t>
  </si>
  <si>
    <t>WP_138119422.1</t>
  </si>
  <si>
    <t>I2432_RS06265</t>
  </si>
  <si>
    <t>WP_196819645.1</t>
  </si>
  <si>
    <t>I2432_RS06270</t>
  </si>
  <si>
    <t>WP_138119426.1</t>
  </si>
  <si>
    <t>I2432_RS06275</t>
  </si>
  <si>
    <t>WP_012677809.1</t>
  </si>
  <si>
    <t>I2432_RS06280</t>
  </si>
  <si>
    <t>WP_206158671.1</t>
  </si>
  <si>
    <t>I2432_RS06285</t>
  </si>
  <si>
    <t>WP_012515790.1</t>
  </si>
  <si>
    <t>I2432_RS06290</t>
  </si>
  <si>
    <t>WP_206158672.1</t>
  </si>
  <si>
    <t>I2432_RS06295</t>
  </si>
  <si>
    <t>WP_049752574.1</t>
  </si>
  <si>
    <t>I2432_RS06300</t>
  </si>
  <si>
    <t>WP_196819647.1</t>
  </si>
  <si>
    <t>I2432_RS06305</t>
  </si>
  <si>
    <t>WP_206152474.1</t>
  </si>
  <si>
    <t>I2432_RS06310</t>
  </si>
  <si>
    <t>WP_014623027.1</t>
  </si>
  <si>
    <t>I2432_RS06315</t>
  </si>
  <si>
    <t>WP_012515795.1</t>
  </si>
  <si>
    <t>I2432_RS06320</t>
  </si>
  <si>
    <t>WP_012677801.1</t>
  </si>
  <si>
    <t>I2432_RS06325</t>
  </si>
  <si>
    <t>WP_043025999.1</t>
  </si>
  <si>
    <t>I2432_RS06330</t>
  </si>
  <si>
    <t>YeiH family protein</t>
  </si>
  <si>
    <t>WP_038674217.1</t>
  </si>
  <si>
    <t>I2432_RS06335</t>
  </si>
  <si>
    <t>WP_012677798.1</t>
  </si>
  <si>
    <t>I2432_RS06340</t>
  </si>
  <si>
    <t>WP_196819649.1</t>
  </si>
  <si>
    <t>I2432_RS06345</t>
  </si>
  <si>
    <t>WP_021320876.1</t>
  </si>
  <si>
    <t>I2432_RS06350</t>
  </si>
  <si>
    <t>I2432_RS06355</t>
  </si>
  <si>
    <t>I2432_RS06360</t>
  </si>
  <si>
    <t>ComC/BlpC family leader-containing pheromone/bacteriocin</t>
  </si>
  <si>
    <t>WP_012515807.1</t>
  </si>
  <si>
    <t>I2432_RS06365</t>
  </si>
  <si>
    <t>I2432_RS06370</t>
  </si>
  <si>
    <t>I2432_RS06375</t>
  </si>
  <si>
    <t>WP_196819650.1</t>
  </si>
  <si>
    <t>I2432_RS06380</t>
  </si>
  <si>
    <t>WP_012677786.1</t>
  </si>
  <si>
    <t>I2432_RS06385</t>
  </si>
  <si>
    <t>WP_012515812.1</t>
  </si>
  <si>
    <t>I2432_RS06390</t>
  </si>
  <si>
    <t>WP_012679714.1</t>
  </si>
  <si>
    <t>I2432_RS06395</t>
  </si>
  <si>
    <t>WP_012679715.1</t>
  </si>
  <si>
    <t>I2432_RS06400</t>
  </si>
  <si>
    <t>WP_043052195.1</t>
  </si>
  <si>
    <t>I2432_RS06405</t>
  </si>
  <si>
    <t>radical SAM family heme chaperone HemW</t>
  </si>
  <si>
    <t>hemW</t>
  </si>
  <si>
    <t>WP_138119440.1</t>
  </si>
  <si>
    <t>I2432_RS06410</t>
  </si>
  <si>
    <t>GNAT family acetyltransferase</t>
  </si>
  <si>
    <t>WP_043029841.1</t>
  </si>
  <si>
    <t>I2432_RS06415</t>
  </si>
  <si>
    <t>WP_206158673.1</t>
  </si>
  <si>
    <t>I2432_RS06420</t>
  </si>
  <si>
    <t>WP_012677778.1</t>
  </si>
  <si>
    <t>I2432_RS06425</t>
  </si>
  <si>
    <t>WP_138119444.1</t>
  </si>
  <si>
    <t>I2432_RS06430</t>
  </si>
  <si>
    <t>lipid II isoglutaminyl synthase subunit MurT</t>
  </si>
  <si>
    <t>murT</t>
  </si>
  <si>
    <t>WP_043040746.1</t>
  </si>
  <si>
    <t>I2432_RS06435</t>
  </si>
  <si>
    <t>lipid II isoglutaminyl synthase subunit GatD</t>
  </si>
  <si>
    <t>gatD</t>
  </si>
  <si>
    <t>WP_111692545.1</t>
  </si>
  <si>
    <t>I2432_RS06440</t>
  </si>
  <si>
    <t>lipoate--protein ligase</t>
  </si>
  <si>
    <t>WP_138119446.1</t>
  </si>
  <si>
    <t>I2432_RS06445</t>
  </si>
  <si>
    <t>dihydrolipoyl dehydrogenase</t>
  </si>
  <si>
    <t>lpdA</t>
  </si>
  <si>
    <t>WP_196819653.1</t>
  </si>
  <si>
    <t>I2432_RS06450</t>
  </si>
  <si>
    <t>dihydrolipoamide acetyltransferase</t>
  </si>
  <si>
    <t>WP_043030957.1</t>
  </si>
  <si>
    <t>I2432_RS06455</t>
  </si>
  <si>
    <t>alpha-ketoacid dehydrogenase subunit beta</t>
  </si>
  <si>
    <t>WP_024273192.1</t>
  </si>
  <si>
    <t>I2432_RS06460</t>
  </si>
  <si>
    <t>thiamine pyrophosphate-dependent dehydrogenase E1 component subunit alpha</t>
  </si>
  <si>
    <t>WP_037581977.1</t>
  </si>
  <si>
    <t>I2432_RS06465</t>
  </si>
  <si>
    <t>ribosomal protection-like ABC-F family protein</t>
  </si>
  <si>
    <t>abc-f</t>
  </si>
  <si>
    <t>WP_138119448.1</t>
  </si>
  <si>
    <t>I2432_RS06470</t>
  </si>
  <si>
    <t>WP_042670811.1</t>
  </si>
  <si>
    <t>I2432_RS06475</t>
  </si>
  <si>
    <t>WP_206158674.1</t>
  </si>
  <si>
    <t>I2432_RS06480</t>
  </si>
  <si>
    <t>WP_012677767.1</t>
  </si>
  <si>
    <t>I2432_RS06485</t>
  </si>
  <si>
    <t>WP_138119450.1</t>
  </si>
  <si>
    <t>I2432_RS06490</t>
  </si>
  <si>
    <t>WP_111690217.1</t>
  </si>
  <si>
    <t>I2432_RS06495</t>
  </si>
  <si>
    <t>Rqc2 family fibronectin-binding protein</t>
  </si>
  <si>
    <t>WP_206152472.1</t>
  </si>
  <si>
    <t>I2432_RS06500</t>
  </si>
  <si>
    <t>WP_138119452.1</t>
  </si>
  <si>
    <t>I2432_RS06505</t>
  </si>
  <si>
    <t>WP_012679733.1</t>
  </si>
  <si>
    <t>I2432_RS06510</t>
  </si>
  <si>
    <t>WP_043030971.1</t>
  </si>
  <si>
    <t>I2432_RS06515</t>
  </si>
  <si>
    <t>dTDP-glucose 4,6-dehydratase</t>
  </si>
  <si>
    <t>rfbB</t>
  </si>
  <si>
    <t>WP_206158675.1</t>
  </si>
  <si>
    <t>I2432_RS06520</t>
  </si>
  <si>
    <t>dTDP-4-dehydrorhamnose 3,5-epimerase family protein</t>
  </si>
  <si>
    <t>WP_206158676.1</t>
  </si>
  <si>
    <t>I2432_RS06525</t>
  </si>
  <si>
    <t>glucose-1-phosphate thymidylyltransferase RfbA</t>
  </si>
  <si>
    <t>rfbA</t>
  </si>
  <si>
    <t>WP_037581952.1</t>
  </si>
  <si>
    <t>I2432_RS06530</t>
  </si>
  <si>
    <t>WP_206152553.1</t>
  </si>
  <si>
    <t>I2432_RS06535</t>
  </si>
  <si>
    <t>WP_206152470.1</t>
  </si>
  <si>
    <t>I2432_RS06540</t>
  </si>
  <si>
    <t>tRNA (adenine(22)-N(1))-methyltransferase</t>
  </si>
  <si>
    <t>WP_206158677.1</t>
  </si>
  <si>
    <t>I2432_RS06545</t>
  </si>
  <si>
    <t>WP_111678219.1</t>
  </si>
  <si>
    <t>I2432_RS06550</t>
  </si>
  <si>
    <t>WP_111678845.1</t>
  </si>
  <si>
    <t>I2432_RS06555</t>
  </si>
  <si>
    <t>WP_042670830.1</t>
  </si>
  <si>
    <t>I2432_RS06560</t>
  </si>
  <si>
    <t>TIGR02328 family protein</t>
  </si>
  <si>
    <t>WP_111710640.1</t>
  </si>
  <si>
    <t>I2432_RS06565</t>
  </si>
  <si>
    <t>WP_206152468.1</t>
  </si>
  <si>
    <t>I2432_RS06570</t>
  </si>
  <si>
    <t>WP_206152467.1</t>
  </si>
  <si>
    <t>I2432_RS06575</t>
  </si>
  <si>
    <t>WP_115266806.1</t>
  </si>
  <si>
    <t>I2432_RS06580</t>
  </si>
  <si>
    <t>cystathionine beta-lyase</t>
  </si>
  <si>
    <t>WP_012679747.1</t>
  </si>
  <si>
    <t>I2432_RS06585</t>
  </si>
  <si>
    <t>WP_206152466.1</t>
  </si>
  <si>
    <t>I2432_RS06590</t>
  </si>
  <si>
    <t>WP_012677750.1</t>
  </si>
  <si>
    <t>I2432_RS06595</t>
  </si>
  <si>
    <t>DUF3042 family protein</t>
  </si>
  <si>
    <t>WP_064484007.1</t>
  </si>
  <si>
    <t>I2432_RS06600</t>
  </si>
  <si>
    <t>uridine kinase family protein</t>
  </si>
  <si>
    <t>WP_206158678.1</t>
  </si>
  <si>
    <t>I2432_RS06605</t>
  </si>
  <si>
    <t>glycogen/starch/alpha-glucan family phosphorylase</t>
  </si>
  <si>
    <t>glgP</t>
  </si>
  <si>
    <t>WP_206158679.1</t>
  </si>
  <si>
    <t>I2432_RS06610</t>
  </si>
  <si>
    <t>malQ</t>
  </si>
  <si>
    <t>I2432_RS06615</t>
  </si>
  <si>
    <t>WP_043030986.1</t>
  </si>
  <si>
    <t>I2432_RS06620</t>
  </si>
  <si>
    <t>WP_012515862.1</t>
  </si>
  <si>
    <t>I2432_RS06625</t>
  </si>
  <si>
    <t>WP_021320918.1</t>
  </si>
  <si>
    <t>I2432_RS06630</t>
  </si>
  <si>
    <t>WP_012515864.1</t>
  </si>
  <si>
    <t>I2432_RS06635</t>
  </si>
  <si>
    <t>maltodextrose utilization protein malA</t>
  </si>
  <si>
    <t>WP_111692558.1</t>
  </si>
  <si>
    <t>I2432_RS06640</t>
  </si>
  <si>
    <t>WP_043030990.1</t>
  </si>
  <si>
    <t>I2432_RS06645</t>
  </si>
  <si>
    <t>WP_206152461.1</t>
  </si>
  <si>
    <t>I2432_RS06650</t>
  </si>
  <si>
    <t>alpha-amylase family glycosyl hydrolase</t>
  </si>
  <si>
    <t>WP_206152460.1</t>
  </si>
  <si>
    <t>I2432_RS06655</t>
  </si>
  <si>
    <t>WP_206152459.1</t>
  </si>
  <si>
    <t>I2432_RS06660</t>
  </si>
  <si>
    <t>WP_206152458.1</t>
  </si>
  <si>
    <t>I2432_RS06665</t>
  </si>
  <si>
    <t>WP_414603551.1</t>
  </si>
  <si>
    <t>I2432_RS06670</t>
  </si>
  <si>
    <t>WP_206152456.1</t>
  </si>
  <si>
    <t>I2432_RS06675</t>
  </si>
  <si>
    <t>WP_012515872.1</t>
  </si>
  <si>
    <t>I2432_RS06680</t>
  </si>
  <si>
    <t>WP_206152455.1</t>
  </si>
  <si>
    <t>I2432_RS06685</t>
  </si>
  <si>
    <t>WP_206158680.1</t>
  </si>
  <si>
    <t>I2432_RS06690</t>
  </si>
  <si>
    <t>WP_012515875.1</t>
  </si>
  <si>
    <t>I2432_RS06695</t>
  </si>
  <si>
    <t>WP_043039107.1</t>
  </si>
  <si>
    <t>I2432_RS06700</t>
  </si>
  <si>
    <t>WP_206152453.1</t>
  </si>
  <si>
    <t>I2432_RS06705</t>
  </si>
  <si>
    <t>WP_012515878.1</t>
  </si>
  <si>
    <t>I2432_RS06710</t>
  </si>
  <si>
    <t>WP_012515880.1</t>
  </si>
  <si>
    <t>I2432_RS06715</t>
  </si>
  <si>
    <t>WP_206158681.1</t>
  </si>
  <si>
    <t>I2432_RS06720</t>
  </si>
  <si>
    <t>WP_041790684.1</t>
  </si>
  <si>
    <t>I2432_RS06725</t>
  </si>
  <si>
    <t>WP_012515883.1</t>
  </si>
  <si>
    <t>I2432_RS06730</t>
  </si>
  <si>
    <t>WP_012677730.1</t>
  </si>
  <si>
    <t>I2432_RS06735</t>
  </si>
  <si>
    <t>WP_206158682.1</t>
  </si>
  <si>
    <t>I2432_RS06740</t>
  </si>
  <si>
    <t>DUF871 domain-containing protein</t>
  </si>
  <si>
    <t>WP_043026077.1</t>
  </si>
  <si>
    <t>I2432_RS06745</t>
  </si>
  <si>
    <t>WP_206152450.1</t>
  </si>
  <si>
    <t>I2432_RS06750</t>
  </si>
  <si>
    <t>WP_206152449.1</t>
  </si>
  <si>
    <t>I2432_RS06755</t>
  </si>
  <si>
    <t>WP_043029880.1</t>
  </si>
  <si>
    <t>I2432_RS06760</t>
  </si>
  <si>
    <t>WP_043029881.1</t>
  </si>
  <si>
    <t>I2432_RS06765</t>
  </si>
  <si>
    <t>WP_080280804.1</t>
  </si>
  <si>
    <t>I2432_RS06770</t>
  </si>
  <si>
    <t>aminopeptidase</t>
  </si>
  <si>
    <t>WP_206158683.1</t>
  </si>
  <si>
    <t>I2432_RS06775</t>
  </si>
  <si>
    <t>WP_043053232.1</t>
  </si>
  <si>
    <t>I2432_RS06780</t>
  </si>
  <si>
    <t>thioesterase family protein</t>
  </si>
  <si>
    <t>WP_206152447.1</t>
  </si>
  <si>
    <t>I2432_RS06785</t>
  </si>
  <si>
    <t>WP_206152446.1</t>
  </si>
  <si>
    <t>I2432_RS06790</t>
  </si>
  <si>
    <t>DUF1846 domain-containing protein</t>
  </si>
  <si>
    <t>WP_012515894.1</t>
  </si>
  <si>
    <t>I2432_RS06795</t>
  </si>
  <si>
    <t>PaaI family thioesterase</t>
  </si>
  <si>
    <t>WP_012515895.1</t>
  </si>
  <si>
    <t>I2432_RS06800</t>
  </si>
  <si>
    <t>WP_229297295.1</t>
  </si>
  <si>
    <t>I2432_RS06805</t>
  </si>
  <si>
    <t>WP_043039118.1</t>
  </si>
  <si>
    <t>I2432_RS06810</t>
  </si>
  <si>
    <t>WP_043039119.1</t>
  </si>
  <si>
    <t>I2432_RS06815</t>
  </si>
  <si>
    <t>hyaluronate lyase</t>
  </si>
  <si>
    <t>hylB</t>
  </si>
  <si>
    <t>WP_043039120.1</t>
  </si>
  <si>
    <t>I2432_RS06820</t>
  </si>
  <si>
    <t>WP_012679782.1</t>
  </si>
  <si>
    <t>I2432_RS06825</t>
  </si>
  <si>
    <t>WP_043037035.1</t>
  </si>
  <si>
    <t>I2432_RS06830</t>
  </si>
  <si>
    <t>RpiB/LacA/LacB family sugar-phosphate isomerase</t>
  </si>
  <si>
    <t>WP_206152444.1</t>
  </si>
  <si>
    <t>I2432_RS06835</t>
  </si>
  <si>
    <t>gluconate 5-dehydrogenase</t>
  </si>
  <si>
    <t>WP_012679785.1</t>
  </si>
  <si>
    <t>I2432_RS06840</t>
  </si>
  <si>
    <t>WP_043037041.1</t>
  </si>
  <si>
    <t>I2432_RS06845</t>
  </si>
  <si>
    <t>glycoside hydrolase family 88 protein</t>
  </si>
  <si>
    <t>WP_043037044.1</t>
  </si>
  <si>
    <t>I2432_RS06850</t>
  </si>
  <si>
    <t>WP_014623120.1</t>
  </si>
  <si>
    <t>I2432_RS06855</t>
  </si>
  <si>
    <t>WP_012679789.1</t>
  </si>
  <si>
    <t>I2432_RS06860</t>
  </si>
  <si>
    <t>WP_014623122.1</t>
  </si>
  <si>
    <t>I2432_RS06865</t>
  </si>
  <si>
    <t>WP_043039121.1</t>
  </si>
  <si>
    <t>I2432_RS06870</t>
  </si>
  <si>
    <t>WP_043039122.1</t>
  </si>
  <si>
    <t>I2432_RS06875</t>
  </si>
  <si>
    <t>WP_249093152.1</t>
  </si>
  <si>
    <t>I2432_RS06880</t>
  </si>
  <si>
    <t>WP_206158684.1</t>
  </si>
  <si>
    <t>I2432_RS06885</t>
  </si>
  <si>
    <t>WP_206152443.1</t>
  </si>
  <si>
    <t>I2432_RS06890</t>
  </si>
  <si>
    <t>WP_043039125.1</t>
  </si>
  <si>
    <t>I2432_RS06895</t>
  </si>
  <si>
    <t>WP_043039126.1</t>
  </si>
  <si>
    <t>I2432_RS06900</t>
  </si>
  <si>
    <t>WP_043039127.1</t>
  </si>
  <si>
    <t>I2432_RS06905</t>
  </si>
  <si>
    <t>WP_043039128.1</t>
  </si>
  <si>
    <t>I2432_RS06910</t>
  </si>
  <si>
    <t>WP_043039129.1</t>
  </si>
  <si>
    <t>I2432_RS06915</t>
  </si>
  <si>
    <t>WP_206158685.1</t>
  </si>
  <si>
    <t>I2432_RS06920</t>
  </si>
  <si>
    <t>WP_206152442.1</t>
  </si>
  <si>
    <t>I2432_RS06925</t>
  </si>
  <si>
    <t>WP_012515923.1</t>
  </si>
  <si>
    <t>I2432_RS06930</t>
  </si>
  <si>
    <t>putative mucin/carbohydrate-binding domain-containing protein</t>
  </si>
  <si>
    <t>WP_043039132.1</t>
  </si>
  <si>
    <t>I2432_RS06935</t>
  </si>
  <si>
    <t>anti sigma factor C-terminal domain-containing protein</t>
  </si>
  <si>
    <t>WP_043039133.1</t>
  </si>
  <si>
    <t>I2432_RS06940</t>
  </si>
  <si>
    <t>WP_043039134.1</t>
  </si>
  <si>
    <t>I2432_RS06945</t>
  </si>
  <si>
    <t>WP_043039135.1</t>
  </si>
  <si>
    <t>I2432_RS06950</t>
  </si>
  <si>
    <t>WP_080332801.1</t>
  </si>
  <si>
    <t>I2432_RS06955</t>
  </si>
  <si>
    <t>WP_012678588.1</t>
  </si>
  <si>
    <t>I2432_RS06960</t>
  </si>
  <si>
    <t>WP_229297449.1</t>
  </si>
  <si>
    <t>I2432_RS06965</t>
  </si>
  <si>
    <t>PoNe immunity protein domain-containing protein</t>
  </si>
  <si>
    <t>WP_043039136.1</t>
  </si>
  <si>
    <t>I2432_RS06970</t>
  </si>
  <si>
    <t>WP_231191967.1</t>
  </si>
  <si>
    <t>I2432_RS10340</t>
  </si>
  <si>
    <t>WP_043039143.1</t>
  </si>
  <si>
    <t>I2432_RS06980</t>
  </si>
  <si>
    <t>WP_111678241.1</t>
  </si>
  <si>
    <t>I2432_RS06985</t>
  </si>
  <si>
    <t>WP_012679809.1</t>
  </si>
  <si>
    <t>I2432_RS06990</t>
  </si>
  <si>
    <t>WP_043039144.1</t>
  </si>
  <si>
    <t>I2432_RS06995</t>
  </si>
  <si>
    <t>WP_043039145.1</t>
  </si>
  <si>
    <t>I2432_RS07000</t>
  </si>
  <si>
    <t>WP_043039146.1</t>
  </si>
  <si>
    <t>I2432_RS07005</t>
  </si>
  <si>
    <t>YdbC family protein</t>
  </si>
  <si>
    <t>WP_012515948.1</t>
  </si>
  <si>
    <t>I2432_RS07010</t>
  </si>
  <si>
    <t>WP_043039147.1</t>
  </si>
  <si>
    <t>I2432_RS07015</t>
  </si>
  <si>
    <t>peptidase U32 family protein</t>
  </si>
  <si>
    <t>WP_206152440.1</t>
  </si>
  <si>
    <t>I2432_RS07020</t>
  </si>
  <si>
    <t>WP_043039149.1</t>
  </si>
  <si>
    <t>I2432_RS07025</t>
  </si>
  <si>
    <t>DUF3270 domain-containing protein</t>
  </si>
  <si>
    <t>WP_041785612.1</t>
  </si>
  <si>
    <t>I2432_RS07030</t>
  </si>
  <si>
    <t>YtxH domain-containing protein</t>
  </si>
  <si>
    <t>WP_043039150.1</t>
  </si>
  <si>
    <t>I2432_RS07035</t>
  </si>
  <si>
    <t>WP_012515955.1</t>
  </si>
  <si>
    <t>I2432_RS07040</t>
  </si>
  <si>
    <t>WP_043026144.1</t>
  </si>
  <si>
    <t>I2432_RS07045</t>
  </si>
  <si>
    <t>WP_012515957.1</t>
  </si>
  <si>
    <t>I2432_RS07050</t>
  </si>
  <si>
    <t>WP_012515958.1</t>
  </si>
  <si>
    <t>I2432_RS07055</t>
  </si>
  <si>
    <t>WP_012515959.1</t>
  </si>
  <si>
    <t>I2432_RS07060</t>
  </si>
  <si>
    <t>Tex family protein</t>
  </si>
  <si>
    <t>WP_206152439.1</t>
  </si>
  <si>
    <t>I2432_RS07065</t>
  </si>
  <si>
    <t>WP_021320976.1</t>
  </si>
  <si>
    <t>I2432_RS07070</t>
  </si>
  <si>
    <t>WP_012677665.1</t>
  </si>
  <si>
    <t>I2432_RS07075</t>
  </si>
  <si>
    <t>WP_043039154.1</t>
  </si>
  <si>
    <t>I2432_RS07080</t>
  </si>
  <si>
    <t>WP_043039155.1</t>
  </si>
  <si>
    <t>I2432_RS07085</t>
  </si>
  <si>
    <t>WP_206158686.1</t>
  </si>
  <si>
    <t>I2432_RS07090</t>
  </si>
  <si>
    <t>two-component system histidine kinase PnpS</t>
  </si>
  <si>
    <t>pnpS</t>
  </si>
  <si>
    <t>WP_043039156.1</t>
  </si>
  <si>
    <t>I2432_RS07095</t>
  </si>
  <si>
    <t>WP_043039157.1</t>
  </si>
  <si>
    <t>I2432_RS07100</t>
  </si>
  <si>
    <t>WP_042670938.1</t>
  </si>
  <si>
    <t>I2432_RS07105</t>
  </si>
  <si>
    <t>permease</t>
  </si>
  <si>
    <t>WP_021320980.1</t>
  </si>
  <si>
    <t>I2432_RS07110</t>
  </si>
  <si>
    <t>TIGR03943 family putative permease subunit</t>
  </si>
  <si>
    <t>WP_042357070.1</t>
  </si>
  <si>
    <t>I2432_RS07115</t>
  </si>
  <si>
    <t>WP_206158687.1</t>
  </si>
  <si>
    <t>I2432_RS07120</t>
  </si>
  <si>
    <t>WP_043039159.1</t>
  </si>
  <si>
    <t>I2432_RS07125</t>
  </si>
  <si>
    <t>BglG family transcription antiterminator LicT</t>
  </si>
  <si>
    <t>licT</t>
  </si>
  <si>
    <t>WP_043039160.1</t>
  </si>
  <si>
    <t>I2432_RS07130</t>
  </si>
  <si>
    <t>WP_206158688.1</t>
  </si>
  <si>
    <t>I2432_RS07135</t>
  </si>
  <si>
    <t>WP_012677653.1</t>
  </si>
  <si>
    <t>I2432_RS07140</t>
  </si>
  <si>
    <t>WP_043039162.1</t>
  </si>
  <si>
    <t>I2432_RS07145</t>
  </si>
  <si>
    <t>WP_012679835.1</t>
  </si>
  <si>
    <t>I2432_RS07150</t>
  </si>
  <si>
    <t>WP_043039163.1</t>
  </si>
  <si>
    <t>I2432_RS07155</t>
  </si>
  <si>
    <t>WP_043039164.1</t>
  </si>
  <si>
    <t>I2432_RS07160</t>
  </si>
  <si>
    <t>WP_111678243.1</t>
  </si>
  <si>
    <t>I2432_RS07165</t>
  </si>
  <si>
    <t>WP_012679838.1</t>
  </si>
  <si>
    <t>I2432_RS07170</t>
  </si>
  <si>
    <t>WP_206158689.1</t>
  </si>
  <si>
    <t>I2432_RS07175</t>
  </si>
  <si>
    <t>WP_043039168.1</t>
  </si>
  <si>
    <t>I2432_RS07180</t>
  </si>
  <si>
    <t>I2432_RS07185</t>
  </si>
  <si>
    <t>WP_043039169.1</t>
  </si>
  <si>
    <t>I2432_RS07190</t>
  </si>
  <si>
    <t>WP_038674782.1</t>
  </si>
  <si>
    <t>I2432_RS07195</t>
  </si>
  <si>
    <t>WP_043039170.1</t>
  </si>
  <si>
    <t>I2432_RS07200</t>
  </si>
  <si>
    <t>Dam family site-specific DNA-(adenine-N6)-methyltransferase</t>
  </si>
  <si>
    <t>WP_042670951.1</t>
  </si>
  <si>
    <t>I2432_RS07205</t>
  </si>
  <si>
    <t>restriction endonuclease FokI C-terminal domain-containing protein</t>
  </si>
  <si>
    <t>WP_206152432.1</t>
  </si>
  <si>
    <t>I2432_RS07210</t>
  </si>
  <si>
    <t>WP_021320992.1</t>
  </si>
  <si>
    <t>I2432_RS07215</t>
  </si>
  <si>
    <t>cell wall metabolism sensor histidine kinase VicK</t>
  </si>
  <si>
    <t>vicK</t>
  </si>
  <si>
    <t>WP_014623188.1</t>
  </si>
  <si>
    <t>I2432_RS07220</t>
  </si>
  <si>
    <t>WP_012677635.1</t>
  </si>
  <si>
    <t>I2432_RS07225</t>
  </si>
  <si>
    <t>WP_111678244.1</t>
  </si>
  <si>
    <t>I2432_RS07230</t>
  </si>
  <si>
    <t>AMP-binding protein</t>
  </si>
  <si>
    <t>WP_043039172.1</t>
  </si>
  <si>
    <t>I2432_RS07235</t>
  </si>
  <si>
    <t>acetyl-CoA C-acyltransferase</t>
  </si>
  <si>
    <t>WP_206158690.1</t>
  </si>
  <si>
    <t>I2432_RS07240</t>
  </si>
  <si>
    <t>WP_206158691.1</t>
  </si>
  <si>
    <t>I2432_RS07245</t>
  </si>
  <si>
    <t>I2432_RS07250</t>
  </si>
  <si>
    <t>WP_012677624.1</t>
  </si>
  <si>
    <t>I2432_RS07255</t>
  </si>
  <si>
    <t>WP_138119573.1</t>
  </si>
  <si>
    <t>I2432_RS07260</t>
  </si>
  <si>
    <t>WP_043031155.1</t>
  </si>
  <si>
    <t>I2432_RS07265</t>
  </si>
  <si>
    <t>WP_037581595.1</t>
  </si>
  <si>
    <t>I2432_RS07270</t>
  </si>
  <si>
    <t>lantibiotic ABC transporter permease</t>
  </si>
  <si>
    <t>WP_043984171.1</t>
  </si>
  <si>
    <t>I2432_RS07275</t>
  </si>
  <si>
    <t>WP_138119575.1</t>
  </si>
  <si>
    <t>I2432_RS07280</t>
  </si>
  <si>
    <t>WP_138119577.1</t>
  </si>
  <si>
    <t>I2432_RS07285</t>
  </si>
  <si>
    <t>WP_111678248.1</t>
  </si>
  <si>
    <t>I2432_RS07290</t>
  </si>
  <si>
    <t>S8 family peptidase</t>
  </si>
  <si>
    <t>WP_428843967.1</t>
  </si>
  <si>
    <t>I2432_RS07295</t>
  </si>
  <si>
    <t>WP_206158693.1</t>
  </si>
  <si>
    <t>I2432_RS07300</t>
  </si>
  <si>
    <t>WP_049780515.1</t>
  </si>
  <si>
    <t>I2432_RS07305</t>
  </si>
  <si>
    <t>WP_111690292.1</t>
  </si>
  <si>
    <t>I2432_RS07310</t>
  </si>
  <si>
    <t>WP_043052263.1</t>
  </si>
  <si>
    <t>I2432_RS07315</t>
  </si>
  <si>
    <t>WP_126436925.1</t>
  </si>
  <si>
    <t>I2432_RS07320</t>
  </si>
  <si>
    <t>alpha-amylase</t>
  </si>
  <si>
    <t>WP_206158694.1</t>
  </si>
  <si>
    <t>I2432_RS07325</t>
  </si>
  <si>
    <t>catabolite control protein A</t>
  </si>
  <si>
    <t>ccpA</t>
  </si>
  <si>
    <t>WP_012516008.1</t>
  </si>
  <si>
    <t>I2432_RS07330</t>
  </si>
  <si>
    <t>WP_138119585.1</t>
  </si>
  <si>
    <t>I2432_RS07335</t>
  </si>
  <si>
    <t>WP_138119587.1</t>
  </si>
  <si>
    <t>I2432_RS07340</t>
  </si>
  <si>
    <t>WP_282957526.1</t>
  </si>
  <si>
    <t>I2432_RS10435</t>
  </si>
  <si>
    <t>WP_206158695.1</t>
  </si>
  <si>
    <t>I2432_RS07345</t>
  </si>
  <si>
    <t>WP_014623212.1</t>
  </si>
  <si>
    <t>I2432_RS07350</t>
  </si>
  <si>
    <t>WP_138119591.1</t>
  </si>
  <si>
    <t>I2432_RS07355</t>
  </si>
  <si>
    <t>WP_012677607.1</t>
  </si>
  <si>
    <t>I2432_RS07360</t>
  </si>
  <si>
    <t>WP_206158696.1</t>
  </si>
  <si>
    <t>I2432_RS07365</t>
  </si>
  <si>
    <t>WP_012516015.1</t>
  </si>
  <si>
    <t>I2432_RS07370</t>
  </si>
  <si>
    <t>WP_012677605.1</t>
  </si>
  <si>
    <t>I2432_RS07375</t>
  </si>
  <si>
    <t>WP_206158697.1</t>
  </si>
  <si>
    <t>I2432_RS07380</t>
  </si>
  <si>
    <t>I2432_RS07385</t>
  </si>
  <si>
    <t>WP_249093173.1</t>
  </si>
  <si>
    <t>I2432_RS07390</t>
  </si>
  <si>
    <t>WP_231196290.1</t>
  </si>
  <si>
    <t>I2432_RS10345</t>
  </si>
  <si>
    <t>WP_043031187.1</t>
  </si>
  <si>
    <t>I2432_RS07395</t>
  </si>
  <si>
    <t>DNA-formamidopyrimidine glycosylase</t>
  </si>
  <si>
    <t>WP_111710704.1</t>
  </si>
  <si>
    <t>I2432_RS07400</t>
  </si>
  <si>
    <t>WP_111710705.1</t>
  </si>
  <si>
    <t>I2432_RS07405</t>
  </si>
  <si>
    <t>exo-alpha-sialidase</t>
  </si>
  <si>
    <t>WP_206158699.1</t>
  </si>
  <si>
    <t>I2432_RS07410</t>
  </si>
  <si>
    <t>WP_111710707.1</t>
  </si>
  <si>
    <t>I2432_RS07415</t>
  </si>
  <si>
    <t>WP_021321011.1</t>
  </si>
  <si>
    <t>I2432_RS07420</t>
  </si>
  <si>
    <t>WP_012677594.1</t>
  </si>
  <si>
    <t>I2432_RS07425</t>
  </si>
  <si>
    <t>WP_037581536.1</t>
  </si>
  <si>
    <t>I2432_RS07430</t>
  </si>
  <si>
    <t>haloacid dehalogenase-like hydrolase</t>
  </si>
  <si>
    <t>WP_111710708.1</t>
  </si>
  <si>
    <t>I2432_RS07435</t>
  </si>
  <si>
    <t>ROK family transcriptional regulator</t>
  </si>
  <si>
    <t>WP_043040893.1</t>
  </si>
  <si>
    <t>I2432_RS07440</t>
  </si>
  <si>
    <t>WP_111690574.1</t>
  </si>
  <si>
    <t>I2432_RS07445</t>
  </si>
  <si>
    <t>GntP family permease</t>
  </si>
  <si>
    <t>WP_206158700.1</t>
  </si>
  <si>
    <t>I2432_RS07450</t>
  </si>
  <si>
    <t>3-hydroxybutyrate dehydrogenase</t>
  </si>
  <si>
    <t>WP_012516030.1</t>
  </si>
  <si>
    <t>I2432_RS07455</t>
  </si>
  <si>
    <t>3-oxoacid CoA-transferase subunit B</t>
  </si>
  <si>
    <t>WP_012516031.1</t>
  </si>
  <si>
    <t>I2432_RS07460</t>
  </si>
  <si>
    <t>CoA transferase subunit A</t>
  </si>
  <si>
    <t>WP_012677586.1</t>
  </si>
  <si>
    <t>I2432_RS07465</t>
  </si>
  <si>
    <t>acetyl-CoA C-acetyltransferase</t>
  </si>
  <si>
    <t>WP_206158701.1</t>
  </si>
  <si>
    <t>I2432_RS07470</t>
  </si>
  <si>
    <t>WP_042670991.1</t>
  </si>
  <si>
    <t>I2432_RS07475</t>
  </si>
  <si>
    <t>WP_195757344.1</t>
  </si>
  <si>
    <t>I2432_RS07480</t>
  </si>
  <si>
    <t>WP_138119605.1</t>
  </si>
  <si>
    <t>I2432_RS07485</t>
  </si>
  <si>
    <t>diacylglycerol kinase family protein</t>
  </si>
  <si>
    <t>WP_138119607.1</t>
  </si>
  <si>
    <t>I2432_RS07490</t>
  </si>
  <si>
    <t>WP_037579167.1</t>
  </si>
  <si>
    <t>I2432_RS07495</t>
  </si>
  <si>
    <t>WP_138119609.1</t>
  </si>
  <si>
    <t>I2432_RS07500</t>
  </si>
  <si>
    <t>WP_138119611.1</t>
  </si>
  <si>
    <t>I2432_RS07505</t>
  </si>
  <si>
    <t>WP_138119613.1</t>
  </si>
  <si>
    <t>I2432_RS07510</t>
  </si>
  <si>
    <t>WP_012677569.1</t>
  </si>
  <si>
    <t>I2432_RS07515</t>
  </si>
  <si>
    <t>WP_012677568.1</t>
  </si>
  <si>
    <t>I2432_RS07520</t>
  </si>
  <si>
    <t>CvfB family protein</t>
  </si>
  <si>
    <t>WP_138119615.1</t>
  </si>
  <si>
    <t>I2432_RS07525</t>
  </si>
  <si>
    <t>ribosome recycling factor</t>
  </si>
  <si>
    <t>WP_138119617.1</t>
  </si>
  <si>
    <t>I2432_RS07530</t>
  </si>
  <si>
    <t>WP_012516047.1</t>
  </si>
  <si>
    <t>I2432_RS07535</t>
  </si>
  <si>
    <t>WP_043026324.1</t>
  </si>
  <si>
    <t>I2432_RS07540</t>
  </si>
  <si>
    <t>WP_043026325.1</t>
  </si>
  <si>
    <t>I2432_RS07545</t>
  </si>
  <si>
    <t>WP_043026326.1</t>
  </si>
  <si>
    <t>I2432_RS07550</t>
  </si>
  <si>
    <t>WP_043026328.1</t>
  </si>
  <si>
    <t>I2432_RS07555</t>
  </si>
  <si>
    <t>nickel ABC transporter substrate-binding protein</t>
  </si>
  <si>
    <t>nikA</t>
  </si>
  <si>
    <t>WP_206158702.1</t>
  </si>
  <si>
    <t>I2432_RS07560</t>
  </si>
  <si>
    <t>WP_206158703.1</t>
  </si>
  <si>
    <t>I2432_RS07565</t>
  </si>
  <si>
    <t>WP_012677559.1</t>
  </si>
  <si>
    <t>I2432_RS07570</t>
  </si>
  <si>
    <t>WP_003049875.1</t>
  </si>
  <si>
    <t>I2432_RS07575</t>
  </si>
  <si>
    <t>WP_206158704.1</t>
  </si>
  <si>
    <t>I2432_RS07580</t>
  </si>
  <si>
    <t>WP_138119623.1</t>
  </si>
  <si>
    <t>I2432_RS07585</t>
  </si>
  <si>
    <t>I2432_RS10520</t>
  </si>
  <si>
    <t>I2432_RS10525</t>
  </si>
  <si>
    <t>WP_012516058.1</t>
  </si>
  <si>
    <t>I2432_RS07595</t>
  </si>
  <si>
    <t>WP_206158705.1</t>
  </si>
  <si>
    <t>I2432_RS07600</t>
  </si>
  <si>
    <t>WP_206158706.1</t>
  </si>
  <si>
    <t>I2432_RS07605</t>
  </si>
  <si>
    <t>WP_138119628.1</t>
  </si>
  <si>
    <t>I2432_RS07610</t>
  </si>
  <si>
    <t>metal ABC transporter substrate-binding protein</t>
  </si>
  <si>
    <t>WP_043031220.1</t>
  </si>
  <si>
    <t>I2432_RS07615</t>
  </si>
  <si>
    <t>metal-dependent transcriptional regulator</t>
  </si>
  <si>
    <t>WP_138119630.1</t>
  </si>
  <si>
    <t>I2432_RS07620</t>
  </si>
  <si>
    <t>WP_138119631.1</t>
  </si>
  <si>
    <t>I2432_RS07625</t>
  </si>
  <si>
    <t>cell wall synthase accessory phosphoprotein MacP</t>
  </si>
  <si>
    <t>macP</t>
  </si>
  <si>
    <t>WP_012679907.1</t>
  </si>
  <si>
    <t>I2432_RS07630</t>
  </si>
  <si>
    <t>NUDIX domain-containing protein</t>
  </si>
  <si>
    <t>WP_138119632.1</t>
  </si>
  <si>
    <t>I2432_RS07635</t>
  </si>
  <si>
    <t>WP_138119633.1</t>
  </si>
  <si>
    <t>I2432_RS07640</t>
  </si>
  <si>
    <t>Gfo/Idh/MocA family protein</t>
  </si>
  <si>
    <t>WP_014623302.1</t>
  </si>
  <si>
    <t>I2432_RS07645</t>
  </si>
  <si>
    <t>WP_138119634.1</t>
  </si>
  <si>
    <t>I2432_RS07650</t>
  </si>
  <si>
    <t>3-oxoacyl-ACP reductase</t>
  </si>
  <si>
    <t>WP_115251206.1</t>
  </si>
  <si>
    <t>I2432_RS07655</t>
  </si>
  <si>
    <t>DUF2829 domain-containing protein</t>
  </si>
  <si>
    <t>WP_012516072.1</t>
  </si>
  <si>
    <t>I2432_RS07660</t>
  </si>
  <si>
    <t>WP_138119635.1</t>
  </si>
  <si>
    <t>I2432_RS07665</t>
  </si>
  <si>
    <t>L,D-transpeptidase</t>
  </si>
  <si>
    <t>WP_037579231.1</t>
  </si>
  <si>
    <t>I2432_RS07670</t>
  </si>
  <si>
    <t>WP_138119636.1</t>
  </si>
  <si>
    <t>I2432_RS07675</t>
  </si>
  <si>
    <t>WP_012516076.1</t>
  </si>
  <si>
    <t>I2432_RS07680</t>
  </si>
  <si>
    <t>WP_012516077.1</t>
  </si>
  <si>
    <t>I2432_RS07685</t>
  </si>
  <si>
    <t>WP_154293451.1</t>
  </si>
  <si>
    <t>I2432_RS07690</t>
  </si>
  <si>
    <t>WP_012516079.1</t>
  </si>
  <si>
    <t>I2432_RS07695</t>
  </si>
  <si>
    <t>DUF1912 family protein</t>
  </si>
  <si>
    <t>WP_012516080.1</t>
  </si>
  <si>
    <t>I2432_RS07700</t>
  </si>
  <si>
    <t>I2432_RS07705</t>
  </si>
  <si>
    <t>WP_021321036.1</t>
  </si>
  <si>
    <t>I2432_RS07710</t>
  </si>
  <si>
    <t>bifunctional 3-deoxy-7-phosphoheptulonate synthase/chorismate mutase</t>
  </si>
  <si>
    <t>WP_012516082.1</t>
  </si>
  <si>
    <t>I2432_RS07715</t>
  </si>
  <si>
    <t>3-dehydroquinate synthase</t>
  </si>
  <si>
    <t>aroB</t>
  </si>
  <si>
    <t>WP_138119638.1</t>
  </si>
  <si>
    <t>I2432_RS07720</t>
  </si>
  <si>
    <t>WP_138119640.1</t>
  </si>
  <si>
    <t>I2432_RS07725</t>
  </si>
  <si>
    <t>shikimate dehydrogenase</t>
  </si>
  <si>
    <t>WP_138119642.1</t>
  </si>
  <si>
    <t>I2432_RS07730</t>
  </si>
  <si>
    <t>WP_206158707.1</t>
  </si>
  <si>
    <t>I2432_RS07735</t>
  </si>
  <si>
    <t>WP_206158708.1</t>
  </si>
  <si>
    <t>I2432_RS07740</t>
  </si>
  <si>
    <t>WP_206158709.1</t>
  </si>
  <si>
    <t>I2432_RS07745</t>
  </si>
  <si>
    <t>WP_206158710.1</t>
  </si>
  <si>
    <t>I2432_RS07750</t>
  </si>
  <si>
    <t>WP_111710727.1</t>
  </si>
  <si>
    <t>I2432_RS07755</t>
  </si>
  <si>
    <t>WP_165619207.1</t>
  </si>
  <si>
    <t>I2432_RS07760</t>
  </si>
  <si>
    <t>WP_042671048.1</t>
  </si>
  <si>
    <t>I2432_RS07765</t>
  </si>
  <si>
    <t>WP_206158711.1</t>
  </si>
  <si>
    <t>I2432_RS07770</t>
  </si>
  <si>
    <t>GH92 family glycosyl hydrolase</t>
  </si>
  <si>
    <t>WP_206158712.1</t>
  </si>
  <si>
    <t>I2432_RS07775</t>
  </si>
  <si>
    <t>WP_206158713.1</t>
  </si>
  <si>
    <t>I2432_RS07780</t>
  </si>
  <si>
    <t>beta-N-acetylglucosaminidase domain-containing protein</t>
  </si>
  <si>
    <t>WP_206158714.1</t>
  </si>
  <si>
    <t>I2432_RS07785</t>
  </si>
  <si>
    <t>WP_037579350.1</t>
  </si>
  <si>
    <t>I2432_RS07790</t>
  </si>
  <si>
    <t>glycoside hydrolase family 125 protein</t>
  </si>
  <si>
    <t>WP_206158715.1</t>
  </si>
  <si>
    <t>I2432_RS07795</t>
  </si>
  <si>
    <t>alpha-mannosidase</t>
  </si>
  <si>
    <t>WP_111678333.1</t>
  </si>
  <si>
    <t>I2432_RS07800</t>
  </si>
  <si>
    <t>WP_111678334.1</t>
  </si>
  <si>
    <t>I2432_RS07805</t>
  </si>
  <si>
    <t>WP_231151225.1</t>
  </si>
  <si>
    <t>I2432_RS10350</t>
  </si>
  <si>
    <t>WP_231151224.1</t>
  </si>
  <si>
    <t>I2432_RS07810</t>
  </si>
  <si>
    <t>WP_255313937.1</t>
  </si>
  <si>
    <t>I2432_RS10440</t>
  </si>
  <si>
    <t>WP_255313988.1</t>
  </si>
  <si>
    <t>I2432_RS07815</t>
  </si>
  <si>
    <t>WP_043031274.1</t>
  </si>
  <si>
    <t>I2432_RS07820</t>
  </si>
  <si>
    <t>WP_249093179.1</t>
  </si>
  <si>
    <t>I2432_RS07825</t>
  </si>
  <si>
    <t>WP_111678339.1</t>
  </si>
  <si>
    <t>I2432_RS07830</t>
  </si>
  <si>
    <t>leucocin A/sakacin P family class II bacteriocin</t>
  </si>
  <si>
    <t>WP_229297300.1</t>
  </si>
  <si>
    <t>I2432_RS07835</t>
  </si>
  <si>
    <t>WP_111678854.1</t>
  </si>
  <si>
    <t>I2432_RS07840</t>
  </si>
  <si>
    <t>garvicin Q family class II bacteriocin</t>
  </si>
  <si>
    <t>WP_111678341.1</t>
  </si>
  <si>
    <t>I2432_RS07845</t>
  </si>
  <si>
    <t>WP_111678343.1</t>
  </si>
  <si>
    <t>I2432_RS07850</t>
  </si>
  <si>
    <t>WP_111678345.1</t>
  </si>
  <si>
    <t>I2432_RS07855</t>
  </si>
  <si>
    <t>WP_012516117.1</t>
  </si>
  <si>
    <t>I2432_RS07860</t>
  </si>
  <si>
    <t>WP_111678347.1</t>
  </si>
  <si>
    <t>I2432_RS10475</t>
  </si>
  <si>
    <t>LytR/AlgR family response regulator transcription factor</t>
  </si>
  <si>
    <t>WP_111678349.1</t>
  </si>
  <si>
    <t>I2432_RS07870</t>
  </si>
  <si>
    <t>TmhB bacteriocin enhancer peptide</t>
  </si>
  <si>
    <t>WP_111678351.1</t>
  </si>
  <si>
    <t>I2432_RS07875</t>
  </si>
  <si>
    <t>WP_111678353.1</t>
  </si>
  <si>
    <t>I2432_RS07880</t>
  </si>
  <si>
    <t>WP_206158717.1</t>
  </si>
  <si>
    <t>I2432_RS07885</t>
  </si>
  <si>
    <t>6-phospho-alpha-glucosidase</t>
  </si>
  <si>
    <t>WP_111678855.1</t>
  </si>
  <si>
    <t>I2432_RS07890</t>
  </si>
  <si>
    <t>WP_111678357.1</t>
  </si>
  <si>
    <t>I2432_RS07895</t>
  </si>
  <si>
    <t>carbohydrate deacetylase</t>
  </si>
  <si>
    <t>WP_111678359.1</t>
  </si>
  <si>
    <t>I2432_RS07900</t>
  </si>
  <si>
    <t>WP_206152409.1</t>
  </si>
  <si>
    <t>I2432_RS07905</t>
  </si>
  <si>
    <t>I2432_RS07910</t>
  </si>
  <si>
    <t>WP_111678363.1</t>
  </si>
  <si>
    <t>I2432_RS07915</t>
  </si>
  <si>
    <t>WP_111678365.1</t>
  </si>
  <si>
    <t>I2432_RS07920</t>
  </si>
  <si>
    <t>WP_111678367.1</t>
  </si>
  <si>
    <t>I2432_RS07925</t>
  </si>
  <si>
    <t>nucleoside tri-diphosphate phosphatase</t>
  </si>
  <si>
    <t>ntdP</t>
  </si>
  <si>
    <t>WP_012516131.1</t>
  </si>
  <si>
    <t>I2432_RS07930</t>
  </si>
  <si>
    <t>DUF960 domain-containing protein</t>
  </si>
  <si>
    <t>WP_012516132.1</t>
  </si>
  <si>
    <t>I2432_RS07935</t>
  </si>
  <si>
    <t>WP_206158718.1</t>
  </si>
  <si>
    <t>I2432_RS07940</t>
  </si>
  <si>
    <t>I2432_RS07945</t>
  </si>
  <si>
    <t>I2432_RS07950</t>
  </si>
  <si>
    <t>I2432_RS07955</t>
  </si>
  <si>
    <t>I2432_RS07960</t>
  </si>
  <si>
    <t>I2432_RS07965</t>
  </si>
  <si>
    <t>I2432_RS07970</t>
  </si>
  <si>
    <t>I2432_RS07975</t>
  </si>
  <si>
    <t>I2432_RS07980</t>
  </si>
  <si>
    <t>I2432_RS07985</t>
  </si>
  <si>
    <t>I2432_RS07990</t>
  </si>
  <si>
    <t>I2432_RS07995</t>
  </si>
  <si>
    <t>ribosome hibernation-promoting factor, HPF/YfiA family</t>
  </si>
  <si>
    <t>hpf</t>
  </si>
  <si>
    <t>WP_012679953.1</t>
  </si>
  <si>
    <t>I2432_RS08000</t>
  </si>
  <si>
    <t>WP_111678856.1</t>
  </si>
  <si>
    <t>I2432_RS08005</t>
  </si>
  <si>
    <t>WP_111678371.1</t>
  </si>
  <si>
    <t>I2432_RS08010</t>
  </si>
  <si>
    <t>WP_111678373.1</t>
  </si>
  <si>
    <t>I2432_RS08015</t>
  </si>
  <si>
    <t>WP_111678375.1</t>
  </si>
  <si>
    <t>I2432_RS08020</t>
  </si>
  <si>
    <t>WP_012516140.1</t>
  </si>
  <si>
    <t>I2432_RS08025</t>
  </si>
  <si>
    <t>bifunctional Cof-type HAD-IIB family hydrolase/peptidylprolyl isomerase</t>
  </si>
  <si>
    <t>WP_111678377.1</t>
  </si>
  <si>
    <t>I2432_RS08030</t>
  </si>
  <si>
    <t>response regulator</t>
  </si>
  <si>
    <t>WP_021321066.1</t>
  </si>
  <si>
    <t>I2432_RS08035</t>
  </si>
  <si>
    <t>WP_111678379.1</t>
  </si>
  <si>
    <t>I2432_RS08040</t>
  </si>
  <si>
    <t>cell wall-active antibiotics response protein LiaF</t>
  </si>
  <si>
    <t>liaF</t>
  </si>
  <si>
    <t>WP_111678381.1</t>
  </si>
  <si>
    <t>I2432_RS08045</t>
  </si>
  <si>
    <t>WP_111678383.1</t>
  </si>
  <si>
    <t>I2432_RS08050</t>
  </si>
  <si>
    <t>WP_111678385.1</t>
  </si>
  <si>
    <t>I2432_RS08055</t>
  </si>
  <si>
    <t>WP_111678857.1</t>
  </si>
  <si>
    <t>I2432_RS08060</t>
  </si>
  <si>
    <t>WP_111678387.1</t>
  </si>
  <si>
    <t>I2432_RS08065</t>
  </si>
  <si>
    <t>WP_111678389.1</t>
  </si>
  <si>
    <t>I2432_RS08070</t>
  </si>
  <si>
    <t>WP_012516150.1</t>
  </si>
  <si>
    <t>I2432_RS08075</t>
  </si>
  <si>
    <t>WP_012516151.1</t>
  </si>
  <si>
    <t>I2432_RS08080</t>
  </si>
  <si>
    <t>WP_111678391.1</t>
  </si>
  <si>
    <t>I2432_RS08085</t>
  </si>
  <si>
    <t>WP_012677489.1</t>
  </si>
  <si>
    <t>I2432_RS08090</t>
  </si>
  <si>
    <t>cell division site-positioning protein MapZ family protein</t>
  </si>
  <si>
    <t>WP_206158719.1</t>
  </si>
  <si>
    <t>I2432_RS08095</t>
  </si>
  <si>
    <t>THUMP domain-containing class I SAM-dependent RNA methyltransferase</t>
  </si>
  <si>
    <t>WP_111678395.1</t>
  </si>
  <si>
    <t>I2432_RS08100</t>
  </si>
  <si>
    <t>I2432_RS08105</t>
  </si>
  <si>
    <t>gpsB</t>
  </si>
  <si>
    <t>WP_111678397.1</t>
  </si>
  <si>
    <t>I2432_RS08110</t>
  </si>
  <si>
    <t>WP_037579781.1</t>
  </si>
  <si>
    <t>I2432_RS08115</t>
  </si>
  <si>
    <t>WP_206158720.1</t>
  </si>
  <si>
    <t>I2432_RS08120</t>
  </si>
  <si>
    <t>penicillin-binding protein PBP1A</t>
  </si>
  <si>
    <t>pbp1a</t>
  </si>
  <si>
    <t>WP_206158721.1</t>
  </si>
  <si>
    <t>I2432_RS08125</t>
  </si>
  <si>
    <t>WP_111678401.1</t>
  </si>
  <si>
    <t>I2432_RS08130</t>
  </si>
  <si>
    <t>WP_111678403.1</t>
  </si>
  <si>
    <t>I2432_RS08135</t>
  </si>
  <si>
    <t>WP_111678405.1</t>
  </si>
  <si>
    <t>I2432_RS08140</t>
  </si>
  <si>
    <t>WP_206158722.1</t>
  </si>
  <si>
    <t>I2432_RS08145</t>
  </si>
  <si>
    <t>WP_111678411.1</t>
  </si>
  <si>
    <t>I2432_RS08150</t>
  </si>
  <si>
    <t>DUF4059 family protein</t>
  </si>
  <si>
    <t>WP_012516167.1</t>
  </si>
  <si>
    <t>I2432_RS08155</t>
  </si>
  <si>
    <t>WP_111678413.1</t>
  </si>
  <si>
    <t>I2432_RS08160</t>
  </si>
  <si>
    <t>WP_111678415.1</t>
  </si>
  <si>
    <t>I2432_RS08165</t>
  </si>
  <si>
    <t>WP_111678417.1</t>
  </si>
  <si>
    <t>I2432_RS08170</t>
  </si>
  <si>
    <t>WP_111678419.1</t>
  </si>
  <si>
    <t>I2432_RS08175</t>
  </si>
  <si>
    <t>WP_111678858.1</t>
  </si>
  <si>
    <t>I2432_RS08180</t>
  </si>
  <si>
    <t>WP_206158723.1</t>
  </si>
  <si>
    <t>I2432_RS08185</t>
  </si>
  <si>
    <t>penicillin-binding protein PBP2X</t>
  </si>
  <si>
    <t>pbp2X</t>
  </si>
  <si>
    <t>WP_111678423.1</t>
  </si>
  <si>
    <t>I2432_RS08190</t>
  </si>
  <si>
    <t>WP_012516176.1</t>
  </si>
  <si>
    <t>I2432_RS08195</t>
  </si>
  <si>
    <t>WP_111678425.1</t>
  </si>
  <si>
    <t>I2432_RS08200</t>
  </si>
  <si>
    <t>WP_111678427.1</t>
  </si>
  <si>
    <t>I2432_RS08205</t>
  </si>
  <si>
    <t>glutamate-5-semialdehyde dehydrogenase</t>
  </si>
  <si>
    <t>WP_206158724.1</t>
  </si>
  <si>
    <t>I2432_RS08210</t>
  </si>
  <si>
    <t>glutamate 5-kinase</t>
  </si>
  <si>
    <t>proB</t>
  </si>
  <si>
    <t>WP_043053371.1</t>
  </si>
  <si>
    <t>I2432_RS08215</t>
  </si>
  <si>
    <t>WP_249093184.1</t>
  </si>
  <si>
    <t>I2432_RS08220</t>
  </si>
  <si>
    <t>WP_111678434.1</t>
  </si>
  <si>
    <t>I2432_RS08225</t>
  </si>
  <si>
    <t>WP_111678436.1</t>
  </si>
  <si>
    <t>I2432_RS08230</t>
  </si>
  <si>
    <t>WP_111678437.1</t>
  </si>
  <si>
    <t>I2432_RS08235</t>
  </si>
  <si>
    <t>WP_206152400.1</t>
  </si>
  <si>
    <t>I2432_RS08240</t>
  </si>
  <si>
    <t>tkt</t>
  </si>
  <si>
    <t>WP_111678441.1</t>
  </si>
  <si>
    <t>I2432_RS08245</t>
  </si>
  <si>
    <t>fructose-6-phosphate aldolase</t>
  </si>
  <si>
    <t>fsa</t>
  </si>
  <si>
    <t>WP_012677466.1</t>
  </si>
  <si>
    <t>I2432_RS08250</t>
  </si>
  <si>
    <t>WP_111678443.1</t>
  </si>
  <si>
    <t>I2432_RS08255</t>
  </si>
  <si>
    <t>WP_111678445.1</t>
  </si>
  <si>
    <t>I2432_RS08260</t>
  </si>
  <si>
    <t>WP_043041044.1</t>
  </si>
  <si>
    <t>I2432_RS08265</t>
  </si>
  <si>
    <t>WP_111678447.1</t>
  </si>
  <si>
    <t>I2432_RS08270</t>
  </si>
  <si>
    <t>WP_111678449.1</t>
  </si>
  <si>
    <t>I2432_RS08275</t>
  </si>
  <si>
    <t>WP_012680029.1</t>
  </si>
  <si>
    <t>I2432_RS08280</t>
  </si>
  <si>
    <t>regulatory iron-sulfur-containing complex subunit RicT</t>
  </si>
  <si>
    <t>ricT</t>
  </si>
  <si>
    <t>WP_206158726.1</t>
  </si>
  <si>
    <t>I2432_RS08285</t>
  </si>
  <si>
    <t>DNA polymerase III subunit delta'</t>
  </si>
  <si>
    <t>WP_111678453.1</t>
  </si>
  <si>
    <t>I2432_RS08290</t>
  </si>
  <si>
    <t>WP_111678859.1</t>
  </si>
  <si>
    <t>I2432_RS08295</t>
  </si>
  <si>
    <t>WP_043053379.1</t>
  </si>
  <si>
    <t>I2432_RS08300</t>
  </si>
  <si>
    <t>WP_037579848.1</t>
  </si>
  <si>
    <t>I2432_RS08305</t>
  </si>
  <si>
    <t>ATP-dependent Clp protease proteolytic subunit</t>
  </si>
  <si>
    <t>WP_012677455.1</t>
  </si>
  <si>
    <t>I2432_RS08310</t>
  </si>
  <si>
    <t>WP_206158727.1</t>
  </si>
  <si>
    <t>I2432_RS08315</t>
  </si>
  <si>
    <t>putative polysaccharide biosynthesis protein</t>
  </si>
  <si>
    <t>WP_043031351.1</t>
  </si>
  <si>
    <t>I2432_RS08320</t>
  </si>
  <si>
    <t>UDP-N-acetylmuramoyl-L-alanyl-D-glutamate--L-lysine ligase</t>
  </si>
  <si>
    <t>WP_206158728.1</t>
  </si>
  <si>
    <t>I2432_RS08325</t>
  </si>
  <si>
    <t>WP_206158729.1</t>
  </si>
  <si>
    <t>I2432_RS08330</t>
  </si>
  <si>
    <t>iron-hydroxamate ABC transporter substrate-binding protein</t>
  </si>
  <si>
    <t>WP_111678461.1</t>
  </si>
  <si>
    <t>I2432_RS08335</t>
  </si>
  <si>
    <t>WP_111678463.1</t>
  </si>
  <si>
    <t>I2432_RS08340</t>
  </si>
  <si>
    <t>WP_111678465.1</t>
  </si>
  <si>
    <t>I2432_RS08345</t>
  </si>
  <si>
    <t>DUF1803 domain-containing protein</t>
  </si>
  <si>
    <t>WP_111678467.1</t>
  </si>
  <si>
    <t>I2432_RS08350</t>
  </si>
  <si>
    <t>WP_043052335.1</t>
  </si>
  <si>
    <t>I2432_RS08355</t>
  </si>
  <si>
    <t>pyruvate formate-lyase-activating protein</t>
  </si>
  <si>
    <t>pflA</t>
  </si>
  <si>
    <t>WP_012516212.1</t>
  </si>
  <si>
    <t>I2432_RS08360</t>
  </si>
  <si>
    <t>WP_014623408.1</t>
  </si>
  <si>
    <t>I2432_RS08365</t>
  </si>
  <si>
    <t>WP_111678469.1</t>
  </si>
  <si>
    <t>I2432_RS08370</t>
  </si>
  <si>
    <t>WP_269206748.1</t>
  </si>
  <si>
    <t>I2432_RS08375</t>
  </si>
  <si>
    <t>TIGR01212 family radical SAM protein</t>
  </si>
  <si>
    <t>WP_111678471.1</t>
  </si>
  <si>
    <t>I2432_RS08380</t>
  </si>
  <si>
    <t>WP_111678473.1</t>
  </si>
  <si>
    <t>I2432_RS08385</t>
  </si>
  <si>
    <t>WP_043031370.1</t>
  </si>
  <si>
    <t>I2432_RS08390</t>
  </si>
  <si>
    <t>WP_012677440.1</t>
  </si>
  <si>
    <t>I2432_RS08395</t>
  </si>
  <si>
    <t>WP_111678065.1</t>
  </si>
  <si>
    <t>I2432_RS08400</t>
  </si>
  <si>
    <t>WP_428843970.1</t>
  </si>
  <si>
    <t>I2432_RS08405</t>
  </si>
  <si>
    <t>WP_111678479.1</t>
  </si>
  <si>
    <t>I2432_RS08410</t>
  </si>
  <si>
    <t>I2432_RS08415</t>
  </si>
  <si>
    <t>WP_111678483.1</t>
  </si>
  <si>
    <t>I2432_RS08420</t>
  </si>
  <si>
    <t>I2432_RS08425</t>
  </si>
  <si>
    <t>WP_111678485.1</t>
  </si>
  <si>
    <t>I2432_RS08430</t>
  </si>
  <si>
    <t>WP_111678487.1</t>
  </si>
  <si>
    <t>I2432_RS08435</t>
  </si>
  <si>
    <t>WP_012677432.1</t>
  </si>
  <si>
    <t>I2432_RS08440</t>
  </si>
  <si>
    <t>WP_111678489.1</t>
  </si>
  <si>
    <t>I2432_RS08445</t>
  </si>
  <si>
    <t>WP_021321103.1</t>
  </si>
  <si>
    <t>I2432_RS08450</t>
  </si>
  <si>
    <t>WP_111678491.1</t>
  </si>
  <si>
    <t>I2432_RS08455</t>
  </si>
  <si>
    <t>WP_111678493.1</t>
  </si>
  <si>
    <t>I2432_RS08460</t>
  </si>
  <si>
    <t>WP_012516231.1</t>
  </si>
  <si>
    <t>I2432_RS08465</t>
  </si>
  <si>
    <t>WP_111678495.1</t>
  </si>
  <si>
    <t>I2432_RS08470</t>
  </si>
  <si>
    <t>nucleoside-triphosphate diphosphatase</t>
  </si>
  <si>
    <t>WP_111678497.1</t>
  </si>
  <si>
    <t>I2432_RS08475</t>
  </si>
  <si>
    <t>racE</t>
  </si>
  <si>
    <t>WP_111678498.1</t>
  </si>
  <si>
    <t>I2432_RS08480</t>
  </si>
  <si>
    <t>WP_012516235.1</t>
  </si>
  <si>
    <t>I2432_RS08485</t>
  </si>
  <si>
    <t>Bax inhibitor-1/YccA family protein</t>
  </si>
  <si>
    <t>WP_111678500.1</t>
  </si>
  <si>
    <t>I2432_RS08490</t>
  </si>
  <si>
    <t>WP_111678502.1</t>
  </si>
  <si>
    <t>I2432_RS08495</t>
  </si>
  <si>
    <t>TrmH family RNA methyltransferase</t>
  </si>
  <si>
    <t>WP_111678860.1</t>
  </si>
  <si>
    <t>I2432_RS08500</t>
  </si>
  <si>
    <t>WP_037579906.1</t>
  </si>
  <si>
    <t>I2432_RS08505</t>
  </si>
  <si>
    <t>WP_111678504.1</t>
  </si>
  <si>
    <t>I2432_RS08510</t>
  </si>
  <si>
    <t>WP_037579971.1</t>
  </si>
  <si>
    <t>I2432_RS08515</t>
  </si>
  <si>
    <t>endolytic transglycosylase MltG</t>
  </si>
  <si>
    <t>mltG</t>
  </si>
  <si>
    <t>WP_111678506.1</t>
  </si>
  <si>
    <t>I2432_RS08520</t>
  </si>
  <si>
    <t>WP_111678508.1</t>
  </si>
  <si>
    <t>I2432_RS08525</t>
  </si>
  <si>
    <t>WP_111678510.1</t>
  </si>
  <si>
    <t>I2432_RS08530</t>
  </si>
  <si>
    <t>WP_111678512.1</t>
  </si>
  <si>
    <t>I2432_RS08535</t>
  </si>
  <si>
    <t>WP_206158731.1</t>
  </si>
  <si>
    <t>I2432_RS08540</t>
  </si>
  <si>
    <t>WP_037579917.1</t>
  </si>
  <si>
    <t>I2432_RS08545</t>
  </si>
  <si>
    <t>WP_012680068.1</t>
  </si>
  <si>
    <t>I2432_RS08550</t>
  </si>
  <si>
    <t>helicase loader</t>
  </si>
  <si>
    <t>WP_206158732.1</t>
  </si>
  <si>
    <t>I2432_RS08555</t>
  </si>
  <si>
    <t>WP_012516251.1</t>
  </si>
  <si>
    <t>I2432_RS08560</t>
  </si>
  <si>
    <t>WP_115251292.1</t>
  </si>
  <si>
    <t>I2432_RS08565</t>
  </si>
  <si>
    <t>two-component system response regulator CovR/CsrR</t>
  </si>
  <si>
    <t>covR</t>
  </si>
  <si>
    <t>WP_012516253.1</t>
  </si>
  <si>
    <t>I2432_RS08570</t>
  </si>
  <si>
    <t>WP_111678519.1</t>
  </si>
  <si>
    <t>I2432_RS08575</t>
  </si>
  <si>
    <t>WP_111678521.1</t>
  </si>
  <si>
    <t>I2432_RS08580</t>
  </si>
  <si>
    <t>WP_111678523.1</t>
  </si>
  <si>
    <t>I2432_RS08585</t>
  </si>
  <si>
    <t>WP_111678525.1</t>
  </si>
  <si>
    <t>I2432_RS08590</t>
  </si>
  <si>
    <t>potassium uptake transporter channel subunit KtrB</t>
  </si>
  <si>
    <t>ktrB</t>
  </si>
  <si>
    <t>WP_111678527.1</t>
  </si>
  <si>
    <t>I2432_RS08595</t>
  </si>
  <si>
    <t>potassium uptake transporter gating subunit KtrA</t>
  </si>
  <si>
    <t>ktrA</t>
  </si>
  <si>
    <t>WP_012516259.1</t>
  </si>
  <si>
    <t>I2432_RS08600</t>
  </si>
  <si>
    <t>serine/threonine transporter SstT</t>
  </si>
  <si>
    <t>sstT</t>
  </si>
  <si>
    <t>WP_043030134.1</t>
  </si>
  <si>
    <t>I2432_RS08605</t>
  </si>
  <si>
    <t>WP_111678529.1</t>
  </si>
  <si>
    <t>I2432_RS08610</t>
  </si>
  <si>
    <t>WP_012677405.1</t>
  </si>
  <si>
    <t>I2432_RS08615</t>
  </si>
  <si>
    <t>WP_111678531.1</t>
  </si>
  <si>
    <t>I2432_RS08620</t>
  </si>
  <si>
    <t>M20/M25/M40 family metallo-hydrolase</t>
  </si>
  <si>
    <t>WP_111678533.1</t>
  </si>
  <si>
    <t>I2432_RS08625</t>
  </si>
  <si>
    <t>WP_111678535.1</t>
  </si>
  <si>
    <t>I2432_RS08630</t>
  </si>
  <si>
    <t>WP_111678537.1</t>
  </si>
  <si>
    <t>I2432_RS08635</t>
  </si>
  <si>
    <t>WP_111678539.1</t>
  </si>
  <si>
    <t>I2432_RS08640</t>
  </si>
  <si>
    <t>WP_043053402.1</t>
  </si>
  <si>
    <t>I2432_RS08645</t>
  </si>
  <si>
    <t>WP_206158733.1</t>
  </si>
  <si>
    <t>I2432_RS08650</t>
  </si>
  <si>
    <t>class I SAM-dependent DNA methyltransferase</t>
  </si>
  <si>
    <t>WP_304364313.1</t>
  </si>
  <si>
    <t>I2432_RS08655</t>
  </si>
  <si>
    <t>WP_012677397.1</t>
  </si>
  <si>
    <t>I2432_RS08660</t>
  </si>
  <si>
    <t>WP_012677396.1</t>
  </si>
  <si>
    <t>I2432_RS08665</t>
  </si>
  <si>
    <t>WP_043026538.1</t>
  </si>
  <si>
    <t>I2432_RS08670</t>
  </si>
  <si>
    <t>ribosome assembly RNA-binding protein YhbY</t>
  </si>
  <si>
    <t>yhbY</t>
  </si>
  <si>
    <t>WP_012516273.1</t>
  </si>
  <si>
    <t>I2432_RS08675</t>
  </si>
  <si>
    <t>WP_043053403.1</t>
  </si>
  <si>
    <t>I2432_RS08680</t>
  </si>
  <si>
    <t>WP_037579990.1</t>
  </si>
  <si>
    <t>I2432_RS08685</t>
  </si>
  <si>
    <t>competence protein ComX</t>
  </si>
  <si>
    <t>WP_111678543.1</t>
  </si>
  <si>
    <t>I2432_RS08690</t>
  </si>
  <si>
    <t>I2432_RS08695</t>
  </si>
  <si>
    <t>I2432_RS08700</t>
  </si>
  <si>
    <t>I2432_RS08705</t>
  </si>
  <si>
    <t>I2432_RS08710</t>
  </si>
  <si>
    <t>I2432_RS08715</t>
  </si>
  <si>
    <t>I2432_RS08720</t>
  </si>
  <si>
    <t>WP_012516278.1</t>
  </si>
  <si>
    <t>I2432_RS08725</t>
  </si>
  <si>
    <t>WP_012516279.1</t>
  </si>
  <si>
    <t>I2432_RS08730</t>
  </si>
  <si>
    <t>oligopeptide ABC transporter permease OppC</t>
  </si>
  <si>
    <t>oppC</t>
  </si>
  <si>
    <t>WP_043030145.1</t>
  </si>
  <si>
    <t>I2432_RS08735</t>
  </si>
  <si>
    <t>WP_111678545.1</t>
  </si>
  <si>
    <t>I2432_RS08740</t>
  </si>
  <si>
    <t>WP_196819673.1</t>
  </si>
  <si>
    <t>I2432_RS08745</t>
  </si>
  <si>
    <t>D-alanyl-D-alanine carboxypeptidase PBP3</t>
  </si>
  <si>
    <t>pbp3</t>
  </si>
  <si>
    <t>WP_111678549.1</t>
  </si>
  <si>
    <t>I2432_RS08750</t>
  </si>
  <si>
    <t>WP_111678551.1</t>
  </si>
  <si>
    <t>I2432_RS08755</t>
  </si>
  <si>
    <t>D-alanyl-D-alanine carboxypeptidase family protein</t>
  </si>
  <si>
    <t>WP_111678553.1</t>
  </si>
  <si>
    <t>I2432_RS08760</t>
  </si>
  <si>
    <t>Fe-S cluster assembly protein SufB</t>
  </si>
  <si>
    <t>sufB</t>
  </si>
  <si>
    <t>WP_012516286.1</t>
  </si>
  <si>
    <t>I2432_RS08765</t>
  </si>
  <si>
    <t>Fe-S cluster assembly sulfur transfer protein SufU</t>
  </si>
  <si>
    <t>sufU</t>
  </si>
  <si>
    <t>WP_111678554.1</t>
  </si>
  <si>
    <t>I2432_RS08770</t>
  </si>
  <si>
    <t>cysteine desulfurase</t>
  </si>
  <si>
    <t>WP_111678556.1</t>
  </si>
  <si>
    <t>I2432_RS08775</t>
  </si>
  <si>
    <t>Fe-S cluster assembly protein SufD</t>
  </si>
  <si>
    <t>sufD</t>
  </si>
  <si>
    <t>WP_206158734.1</t>
  </si>
  <si>
    <t>I2432_RS08780</t>
  </si>
  <si>
    <t>Fe-S cluster assembly ATPase SufC</t>
  </si>
  <si>
    <t>sufC</t>
  </si>
  <si>
    <t>WP_012516290.1</t>
  </si>
  <si>
    <t>I2432_RS08785</t>
  </si>
  <si>
    <t>WP_206159089.1</t>
  </si>
  <si>
    <t>I2432_RS08790</t>
  </si>
  <si>
    <t>mecA</t>
  </si>
  <si>
    <t>WP_012677379.1</t>
  </si>
  <si>
    <t>I2432_RS08795</t>
  </si>
  <si>
    <t>undecaprenyl-diphosphate phosphatase</t>
  </si>
  <si>
    <t>WP_206158735.1</t>
  </si>
  <si>
    <t>I2432_RS08800</t>
  </si>
  <si>
    <t>WP_012516295.1</t>
  </si>
  <si>
    <t>I2432_RS08805</t>
  </si>
  <si>
    <t>WP_012680102.1</t>
  </si>
  <si>
    <t>I2432_RS08810</t>
  </si>
  <si>
    <t>putative metal homeostasis protein</t>
  </si>
  <si>
    <t>WP_111678561.1</t>
  </si>
  <si>
    <t>I2432_RS08815</t>
  </si>
  <si>
    <t>WP_021321140.1</t>
  </si>
  <si>
    <t>I2432_RS08820</t>
  </si>
  <si>
    <t>WP_111678563.1</t>
  </si>
  <si>
    <t>I2432_RS08825</t>
  </si>
  <si>
    <t>WP_012516300.1</t>
  </si>
  <si>
    <t>I2432_RS08830</t>
  </si>
  <si>
    <t>WP_002982870.1</t>
  </si>
  <si>
    <t>I2432_RS08835</t>
  </si>
  <si>
    <t>WP_111678565.1</t>
  </si>
  <si>
    <t>I2432_RS08840</t>
  </si>
  <si>
    <t>class II fructose-bisphosphate aldolase</t>
  </si>
  <si>
    <t>WP_014623510.1</t>
  </si>
  <si>
    <t>I2432_RS08845</t>
  </si>
  <si>
    <t>I2432_RS08850</t>
  </si>
  <si>
    <t>WP_111678567.1</t>
  </si>
  <si>
    <t>I2432_RS08855</t>
  </si>
  <si>
    <t>WP_111678569.1</t>
  </si>
  <si>
    <t>I2432_RS08860</t>
  </si>
  <si>
    <t>WP_012677368.1</t>
  </si>
  <si>
    <t>I2432_RS08865</t>
  </si>
  <si>
    <t>WP_021321143.1</t>
  </si>
  <si>
    <t>I2432_RS08870</t>
  </si>
  <si>
    <t>alpha-amylase family protein</t>
  </si>
  <si>
    <t>WP_111678571.1</t>
  </si>
  <si>
    <t>I2432_RS08875</t>
  </si>
  <si>
    <t>mechanosensitive ion channel family protein</t>
  </si>
  <si>
    <t>WP_111678573.1</t>
  </si>
  <si>
    <t>I2432_RS08880</t>
  </si>
  <si>
    <t>TIGR01440 family protein</t>
  </si>
  <si>
    <t>WP_111678575.1</t>
  </si>
  <si>
    <t>I2432_RS08885</t>
  </si>
  <si>
    <t>WP_111678864.1</t>
  </si>
  <si>
    <t>I2432_RS08890</t>
  </si>
  <si>
    <t>WP_111678577.1</t>
  </si>
  <si>
    <t>I2432_RS08895</t>
  </si>
  <si>
    <t>WP_111678579.1</t>
  </si>
  <si>
    <t>I2432_RS08900</t>
  </si>
  <si>
    <t>WP_111678581.1</t>
  </si>
  <si>
    <t>I2432_RS08905</t>
  </si>
  <si>
    <t>WP_111678583.1</t>
  </si>
  <si>
    <t>I2432_RS08910</t>
  </si>
  <si>
    <t>I2432_RS08915</t>
  </si>
  <si>
    <t>WP_206158736.1</t>
  </si>
  <si>
    <t>I2432_RS08920</t>
  </si>
  <si>
    <t>I2432_RS08925</t>
  </si>
  <si>
    <t>I2432_RS08930</t>
  </si>
  <si>
    <t>I2432_RS08935</t>
  </si>
  <si>
    <t>I2432_RS08940</t>
  </si>
  <si>
    <t>I2432_RS08945</t>
  </si>
  <si>
    <t>I2432_RS08950</t>
  </si>
  <si>
    <t>I2432_RS08955</t>
  </si>
  <si>
    <t>I2432_RS08960</t>
  </si>
  <si>
    <t>I2432_RS08965</t>
  </si>
  <si>
    <t>I2432_RS08970</t>
  </si>
  <si>
    <t>I2432_RS08975</t>
  </si>
  <si>
    <t>I2432_RS08980</t>
  </si>
  <si>
    <t>I2432_RS08985</t>
  </si>
  <si>
    <t>I2432_RS08990</t>
  </si>
  <si>
    <t>I2432_RS08995</t>
  </si>
  <si>
    <t>I2432_RS09000</t>
  </si>
  <si>
    <t>I2432_RS09005</t>
  </si>
  <si>
    <t>I2432_RS09010</t>
  </si>
  <si>
    <t>WP_111678587.1</t>
  </si>
  <si>
    <t>I2432_RS09015</t>
  </si>
  <si>
    <t>WP_012677358.1</t>
  </si>
  <si>
    <t>I2432_RS09020</t>
  </si>
  <si>
    <t>MSCRAMM family protein</t>
  </si>
  <si>
    <t>WP_111678589.1</t>
  </si>
  <si>
    <t>I2432_RS09025</t>
  </si>
  <si>
    <t>WP_043041129.1</t>
  </si>
  <si>
    <t>I2432_RS09030</t>
  </si>
  <si>
    <t>WP_043041131.1</t>
  </si>
  <si>
    <t>I2432_RS09035</t>
  </si>
  <si>
    <t>WP_111678591.1</t>
  </si>
  <si>
    <t>I2432_RS09040</t>
  </si>
  <si>
    <t>galT</t>
  </si>
  <si>
    <t>WP_111678593.1</t>
  </si>
  <si>
    <t>I2432_RS09045</t>
  </si>
  <si>
    <t>WP_037579560.1</t>
  </si>
  <si>
    <t>I2432_RS09050</t>
  </si>
  <si>
    <t>WP_037579558.1</t>
  </si>
  <si>
    <t>I2432_RS09055</t>
  </si>
  <si>
    <t>type II toxin-antitoxin system RelE/ParE family toxin</t>
  </si>
  <si>
    <t>WP_041781483.1</t>
  </si>
  <si>
    <t>I2432_RS09060</t>
  </si>
  <si>
    <t>WP_015057304.1</t>
  </si>
  <si>
    <t>I2432_RS09065</t>
  </si>
  <si>
    <t>WP_206158737.1</t>
  </si>
  <si>
    <t>I2432_RS09070</t>
  </si>
  <si>
    <t>WP_015057302.1</t>
  </si>
  <si>
    <t>I2432_RS09075</t>
  </si>
  <si>
    <t>WP_206158738.1</t>
  </si>
  <si>
    <t>I2432_RS09080</t>
  </si>
  <si>
    <t>WP_152652335.1</t>
  </si>
  <si>
    <t>I2432_RS09085</t>
  </si>
  <si>
    <t>WP_015057298.1</t>
  </si>
  <si>
    <t>I2432_RS09090</t>
  </si>
  <si>
    <t>peptidase domain-containing ABC transporter</t>
  </si>
  <si>
    <t>WP_206158739.1</t>
  </si>
  <si>
    <t>I2432_RS09095</t>
  </si>
  <si>
    <t>type 2 lanthipeptide synthetase LanM family protein</t>
  </si>
  <si>
    <t>WP_206158740.1</t>
  </si>
  <si>
    <t>I2432_RS09100</t>
  </si>
  <si>
    <t>type A2 lanthipeptide</t>
  </si>
  <si>
    <t>WP_015057295.1</t>
  </si>
  <si>
    <t>I2432_RS09105</t>
  </si>
  <si>
    <t>WP_015057294.1</t>
  </si>
  <si>
    <t>I2432_RS09110</t>
  </si>
  <si>
    <t>WP_015057293.1</t>
  </si>
  <si>
    <t>I2432_RS09115</t>
  </si>
  <si>
    <t>WP_015057292.1</t>
  </si>
  <si>
    <t>I2432_RS09120</t>
  </si>
  <si>
    <t>WP_015057291.1</t>
  </si>
  <si>
    <t>I2432_RS09125</t>
  </si>
  <si>
    <t>WP_015057290.1</t>
  </si>
  <si>
    <t>I2432_RS09130</t>
  </si>
  <si>
    <t>WP_206158741.1</t>
  </si>
  <si>
    <t>I2432_RS09135</t>
  </si>
  <si>
    <t>WP_024379186.1</t>
  </si>
  <si>
    <t>I2432_RS09140</t>
  </si>
  <si>
    <t>WP_043026593.1</t>
  </si>
  <si>
    <t>I2432_RS09145</t>
  </si>
  <si>
    <t>WP_111678597.1</t>
  </si>
  <si>
    <t>I2432_RS09150</t>
  </si>
  <si>
    <t>type I restriction endonuclease subunit R</t>
  </si>
  <si>
    <t>WP_111678599.1</t>
  </si>
  <si>
    <t>I2432_RS09155</t>
  </si>
  <si>
    <t>WP_249093208.1</t>
  </si>
  <si>
    <t>I2432_RS09160</t>
  </si>
  <si>
    <t>WP_115267933.1</t>
  </si>
  <si>
    <t>I2432_RS09165</t>
  </si>
  <si>
    <t>type I restriction-modification system subunit M</t>
  </si>
  <si>
    <t>WP_206158742.1</t>
  </si>
  <si>
    <t>I2432_RS09170</t>
  </si>
  <si>
    <t>WP_018378865.1</t>
  </si>
  <si>
    <t>I2432_RS09175</t>
  </si>
  <si>
    <t>WP_111678604.1</t>
  </si>
  <si>
    <t>I2432_RS09180</t>
  </si>
  <si>
    <t>DUF5962 family protein</t>
  </si>
  <si>
    <t>WP_111678606.1</t>
  </si>
  <si>
    <t>I2432_RS09185</t>
  </si>
  <si>
    <t>WP_231149947.1</t>
  </si>
  <si>
    <t>I2432_RS10360</t>
  </si>
  <si>
    <t>WP_001287945.1</t>
  </si>
  <si>
    <t>I2432_RS09200</t>
  </si>
  <si>
    <t>WP_111678608.1</t>
  </si>
  <si>
    <t>I2432_RS09205</t>
  </si>
  <si>
    <t>WP_111678609.1</t>
  </si>
  <si>
    <t>I2432_RS09210</t>
  </si>
  <si>
    <t>WP_012516324.1</t>
  </si>
  <si>
    <t>I2432_RS09215</t>
  </si>
  <si>
    <t>WP_002982710.1</t>
  </si>
  <si>
    <t>I2432_RS09220</t>
  </si>
  <si>
    <t>WP_111678616.1</t>
  </si>
  <si>
    <t>I2432_RS09225</t>
  </si>
  <si>
    <t>NYN domain-containing protein</t>
  </si>
  <si>
    <t>WP_206158743.1</t>
  </si>
  <si>
    <t>I2432_RS09230</t>
  </si>
  <si>
    <t>WP_111678619.1</t>
  </si>
  <si>
    <t>I2432_RS09235</t>
  </si>
  <si>
    <t>WP_111678621.1</t>
  </si>
  <si>
    <t>I2432_RS09240</t>
  </si>
  <si>
    <t>WP_012516331.1</t>
  </si>
  <si>
    <t>I2432_RS09245</t>
  </si>
  <si>
    <t>WP_111678623.1</t>
  </si>
  <si>
    <t>I2432_RS09250</t>
  </si>
  <si>
    <t>serine O-acetyltransferase</t>
  </si>
  <si>
    <t>cysE</t>
  </si>
  <si>
    <t>WP_037579540.1</t>
  </si>
  <si>
    <t>I2432_RS09255</t>
  </si>
  <si>
    <t>SseB family protein</t>
  </si>
  <si>
    <t>WP_037579539.1</t>
  </si>
  <si>
    <t>I2432_RS09260</t>
  </si>
  <si>
    <t>polyribonucleotide nucleotidyltransferase</t>
  </si>
  <si>
    <t>pnp</t>
  </si>
  <si>
    <t>WP_111678625.1</t>
  </si>
  <si>
    <t>I2432_RS09265</t>
  </si>
  <si>
    <t>30S ribosomal protein S15</t>
  </si>
  <si>
    <t>WP_003046456.1</t>
  </si>
  <si>
    <t>I2432_RS09270</t>
  </si>
  <si>
    <t>WP_249093229.1</t>
  </si>
  <si>
    <t>I2432_RS09275</t>
  </si>
  <si>
    <t>WP_206158745.1</t>
  </si>
  <si>
    <t>I2432_RS09280</t>
  </si>
  <si>
    <t>NADPH-dependent FMN reductase</t>
  </si>
  <si>
    <t>WP_206158746.1</t>
  </si>
  <si>
    <t>I2432_RS09285</t>
  </si>
  <si>
    <t>WP_012516339.1</t>
  </si>
  <si>
    <t>I2432_RS09290</t>
  </si>
  <si>
    <t>WP_206158747.1</t>
  </si>
  <si>
    <t>I2432_RS09295</t>
  </si>
  <si>
    <t>nucleotidyltransferase family protein</t>
  </si>
  <si>
    <t>WP_206158748.1</t>
  </si>
  <si>
    <t>I2432_RS09300</t>
  </si>
  <si>
    <t>WP_206158749.1</t>
  </si>
  <si>
    <t>I2432_RS09305</t>
  </si>
  <si>
    <t>WP_206158750.1</t>
  </si>
  <si>
    <t>I2432_RS09310</t>
  </si>
  <si>
    <t>WP_043026658.1</t>
  </si>
  <si>
    <t>I2432_RS09315</t>
  </si>
  <si>
    <t>WP_206158751.1</t>
  </si>
  <si>
    <t>I2432_RS09320</t>
  </si>
  <si>
    <t>WP_111678641.1</t>
  </si>
  <si>
    <t>I2432_RS09325</t>
  </si>
  <si>
    <t>conjugal transfer protein TraF</t>
  </si>
  <si>
    <t>traF</t>
  </si>
  <si>
    <t>WP_014623564.1</t>
  </si>
  <si>
    <t>I2432_RS09330</t>
  </si>
  <si>
    <t>glucan 1,6-alpha-glucosidase DexB</t>
  </si>
  <si>
    <t>dexB</t>
  </si>
  <si>
    <t>WP_206159091.1</t>
  </si>
  <si>
    <t>I2432_RS09335</t>
  </si>
  <si>
    <t>WP_012516349.1</t>
  </si>
  <si>
    <t>I2432_RS09340</t>
  </si>
  <si>
    <t>WP_206158752.1</t>
  </si>
  <si>
    <t>I2432_RS09345</t>
  </si>
  <si>
    <t>kinase</t>
  </si>
  <si>
    <t>WP_206158753.1</t>
  </si>
  <si>
    <t>I2432_RS09350</t>
  </si>
  <si>
    <t>WP_206158754.1</t>
  </si>
  <si>
    <t>I2432_RS09355</t>
  </si>
  <si>
    <t>RelA/SpoT family protein</t>
  </si>
  <si>
    <t>WP_206158755.1</t>
  </si>
  <si>
    <t>I2432_RS09360</t>
  </si>
  <si>
    <t>WP_206158756.1</t>
  </si>
  <si>
    <t>I2432_RS09365</t>
  </si>
  <si>
    <t>YSIRK-targeted surface antigen transcriptional regulator</t>
  </si>
  <si>
    <t>sezV</t>
  </si>
  <si>
    <t>WP_206158757.1</t>
  </si>
  <si>
    <t>I2432_RS09370</t>
  </si>
  <si>
    <t>WP_043031512.1</t>
  </si>
  <si>
    <t>I2432_RS09375</t>
  </si>
  <si>
    <t>WP_206158758.1</t>
  </si>
  <si>
    <t>I2432_RS09380</t>
  </si>
  <si>
    <t>WP_206158759.1</t>
  </si>
  <si>
    <t>I2432_RS09385</t>
  </si>
  <si>
    <t>PTS transporter subunit IIBC</t>
  </si>
  <si>
    <t>WP_206158760.1</t>
  </si>
  <si>
    <t>I2432_RS09390</t>
  </si>
  <si>
    <t>WP_206158761.1</t>
  </si>
  <si>
    <t>I2432_RS09395</t>
  </si>
  <si>
    <t>16S rRNA (uracil(1498)-N(3))-methyltransferase</t>
  </si>
  <si>
    <t>WP_206158762.1</t>
  </si>
  <si>
    <t>I2432_RS09400</t>
  </si>
  <si>
    <t>WP_206158763.1</t>
  </si>
  <si>
    <t>I2432_RS09405</t>
  </si>
  <si>
    <t>WP_206158764.1</t>
  </si>
  <si>
    <t>I2432_RS09410</t>
  </si>
  <si>
    <t>WP_196819686.1</t>
  </si>
  <si>
    <t>I2432_RS09415</t>
  </si>
  <si>
    <t>WP_196819687.1</t>
  </si>
  <si>
    <t>I2432_RS09420</t>
  </si>
  <si>
    <t>DUF3013 family protein</t>
  </si>
  <si>
    <t>WP_012516370.1</t>
  </si>
  <si>
    <t>I2432_RS09425</t>
  </si>
  <si>
    <t>aminodeoxychorismate synthase component I</t>
  </si>
  <si>
    <t>pabB</t>
  </si>
  <si>
    <t>WP_196819688.1</t>
  </si>
  <si>
    <t>I2432_RS09430</t>
  </si>
  <si>
    <t>aminodeoxychorismate/anthranilate synthase component II</t>
  </si>
  <si>
    <t>WP_196819689.1</t>
  </si>
  <si>
    <t>I2432_RS09435</t>
  </si>
  <si>
    <t>WP_043039480.1</t>
  </si>
  <si>
    <t>I2432_RS09440</t>
  </si>
  <si>
    <t>6S RNA</t>
  </si>
  <si>
    <t>ssrS</t>
  </si>
  <si>
    <t>ncRNA</t>
  </si>
  <si>
    <t>I2432_RS09445</t>
  </si>
  <si>
    <t>I2432_RS09450</t>
  </si>
  <si>
    <t>I2432_RS10480</t>
  </si>
  <si>
    <t>WP_229297461.1</t>
  </si>
  <si>
    <t>I2432_RS09460</t>
  </si>
  <si>
    <t>IS200/IS605 family transposase</t>
  </si>
  <si>
    <t>WP_196819690.1</t>
  </si>
  <si>
    <t>I2432_RS09465</t>
  </si>
  <si>
    <t>peptidoglycan bridge formation glycyltransferase FemA/FemB family protein</t>
  </si>
  <si>
    <t>WP_043039483.1</t>
  </si>
  <si>
    <t>I2432_RS09470</t>
  </si>
  <si>
    <t>lytic exoenzyme target recognition domain-containing protein</t>
  </si>
  <si>
    <t>WP_206158765.1</t>
  </si>
  <si>
    <t>I2432_RS09475</t>
  </si>
  <si>
    <t>I2432_RS09480</t>
  </si>
  <si>
    <t>DNA topology modulation protein</t>
  </si>
  <si>
    <t>WP_154804316.1</t>
  </si>
  <si>
    <t>I2432_RS09485</t>
  </si>
  <si>
    <t>WP_228294482.1</t>
  </si>
  <si>
    <t>I2432_RS09490</t>
  </si>
  <si>
    <t>WP_228269178.1</t>
  </si>
  <si>
    <t>I2432_RS09495</t>
  </si>
  <si>
    <t>WP_196819692.1</t>
  </si>
  <si>
    <t>I2432_RS09500</t>
  </si>
  <si>
    <t>WP_196819693.1</t>
  </si>
  <si>
    <t>I2432_RS09505</t>
  </si>
  <si>
    <t>WP_138083084.1</t>
  </si>
  <si>
    <t>I2432_RS09510</t>
  </si>
  <si>
    <t>S66 family peptidase</t>
  </si>
  <si>
    <t>WP_043030210.1</t>
  </si>
  <si>
    <t>I2432_RS09515</t>
  </si>
  <si>
    <t>glycerol dehydrogenase</t>
  </si>
  <si>
    <t>WP_043041183.1</t>
  </si>
  <si>
    <t>I2432_RS09520</t>
  </si>
  <si>
    <t>WP_111690472.1</t>
  </si>
  <si>
    <t>I2432_RS09525</t>
  </si>
  <si>
    <t>glycyl radical protein</t>
  </si>
  <si>
    <t>WP_196819694.1</t>
  </si>
  <si>
    <t>I2432_RS09530</t>
  </si>
  <si>
    <t>WP_196819695.1</t>
  </si>
  <si>
    <t>I2432_RS09535</t>
  </si>
  <si>
    <t>WP_014623600.1</t>
  </si>
  <si>
    <t>I2432_RS09540</t>
  </si>
  <si>
    <t>WP_012516388.1</t>
  </si>
  <si>
    <t>I2432_RS09545</t>
  </si>
  <si>
    <t>sugar-binding transcriptional regulator</t>
  </si>
  <si>
    <t>WP_196819696.1</t>
  </si>
  <si>
    <t>I2432_RS09550</t>
  </si>
  <si>
    <t>WP_012516391.1</t>
  </si>
  <si>
    <t>I2432_RS09555</t>
  </si>
  <si>
    <t>glycyl-radical enzyme activating protein</t>
  </si>
  <si>
    <t>WP_206158766.1</t>
  </si>
  <si>
    <t>I2432_RS09560</t>
  </si>
  <si>
    <t>WP_042671390.1</t>
  </si>
  <si>
    <t>I2432_RS09565</t>
  </si>
  <si>
    <t>WP_206158767.1</t>
  </si>
  <si>
    <t>I2432_RS09570</t>
  </si>
  <si>
    <t>toxic anion resistance protein</t>
  </si>
  <si>
    <t>WP_111678696.1</t>
  </si>
  <si>
    <t>I2432_RS09575</t>
  </si>
  <si>
    <t>WP_037579467.1</t>
  </si>
  <si>
    <t>I2432_RS09580</t>
  </si>
  <si>
    <t>WP_206158768.1</t>
  </si>
  <si>
    <t>I2432_RS09585</t>
  </si>
  <si>
    <t>DUF7604 domain-containing protein</t>
  </si>
  <si>
    <t>WP_206158769.1</t>
  </si>
  <si>
    <t>I2432_RS09590</t>
  </si>
  <si>
    <t>WP_206158770.1</t>
  </si>
  <si>
    <t>I2432_RS09595</t>
  </si>
  <si>
    <t>SpaA isopeptide-forming pilin-related protein</t>
  </si>
  <si>
    <t>WP_206158771.1</t>
  </si>
  <si>
    <t>I2432_RS09600</t>
  </si>
  <si>
    <t>WP_206158772.1</t>
  </si>
  <si>
    <t>I2432_RS09605</t>
  </si>
  <si>
    <t>WP_165620175.1</t>
  </si>
  <si>
    <t>I2432_RS09610</t>
  </si>
  <si>
    <t>WP_206158773.1</t>
  </si>
  <si>
    <t>I2432_RS09615</t>
  </si>
  <si>
    <t>SpaH/EbpB family LPXTG-anchored major pilin</t>
  </si>
  <si>
    <t>WP_206158774.1</t>
  </si>
  <si>
    <t>I2432_RS09620</t>
  </si>
  <si>
    <t>WP_206158775.1</t>
  </si>
  <si>
    <t>I2432_RS09625</t>
  </si>
  <si>
    <t>WP_037579450.1</t>
  </si>
  <si>
    <t>I2432_RS09630</t>
  </si>
  <si>
    <t>WP_249093245.1</t>
  </si>
  <si>
    <t>I2432_RS09635</t>
  </si>
  <si>
    <t>WP_014623615.1</t>
  </si>
  <si>
    <t>I2432_RS09640</t>
  </si>
  <si>
    <t>I2432_RS09645</t>
  </si>
  <si>
    <t>WP_206158777.1</t>
  </si>
  <si>
    <t>I2432_RS09650</t>
  </si>
  <si>
    <t>WP_012678666.1</t>
  </si>
  <si>
    <t>I2432_RS09655</t>
  </si>
  <si>
    <t>WP_206158778.1</t>
  </si>
  <si>
    <t>I2432_RS09660</t>
  </si>
  <si>
    <t>WP_154804304.1</t>
  </si>
  <si>
    <t>I2432_RS09665</t>
  </si>
  <si>
    <t>WP_206158779.1</t>
  </si>
  <si>
    <t>I2432_RS09670</t>
  </si>
  <si>
    <t>WP_012516417.1</t>
  </si>
  <si>
    <t>I2432_RS09675</t>
  </si>
  <si>
    <t>WP_206158780.1</t>
  </si>
  <si>
    <t>I2432_RS09680</t>
  </si>
  <si>
    <t>WP_012516420.1</t>
  </si>
  <si>
    <t>I2432_RS09685</t>
  </si>
  <si>
    <t>DUF4651 domain-containing protein</t>
  </si>
  <si>
    <t>WP_249093247.1</t>
  </si>
  <si>
    <t>I2432_RS09690</t>
  </si>
  <si>
    <t>glutamyl aminopeptidase</t>
  </si>
  <si>
    <t>pepA</t>
  </si>
  <si>
    <t>WP_206158781.1</t>
  </si>
  <si>
    <t>I2432_RS09695</t>
  </si>
  <si>
    <t>pyrroline-5-carboxylate reductase</t>
  </si>
  <si>
    <t>proC</t>
  </si>
  <si>
    <t>WP_043031581.1</t>
  </si>
  <si>
    <t>I2432_RS09700</t>
  </si>
  <si>
    <t>WP_206158782.1</t>
  </si>
  <si>
    <t>I2432_RS09705</t>
  </si>
  <si>
    <t>WP_206158783.1</t>
  </si>
  <si>
    <t>I2432_RS09710</t>
  </si>
  <si>
    <t>WP_037579409.1</t>
  </si>
  <si>
    <t>I2432_RS09715</t>
  </si>
  <si>
    <t>WP_012516427.1</t>
  </si>
  <si>
    <t>I2432_RS09720</t>
  </si>
  <si>
    <t>WP_111678726.1</t>
  </si>
  <si>
    <t>I2432_RS09725</t>
  </si>
  <si>
    <t>WP_043031585.1</t>
  </si>
  <si>
    <t>I2432_RS09730</t>
  </si>
  <si>
    <t>WP_206158784.1</t>
  </si>
  <si>
    <t>I2432_RS09735</t>
  </si>
  <si>
    <t>WP_206158785.1</t>
  </si>
  <si>
    <t>I2432_RS09740</t>
  </si>
  <si>
    <t>WP_164437590.1</t>
  </si>
  <si>
    <t>I2432_RS09745</t>
  </si>
  <si>
    <t>WP_206158786.1</t>
  </si>
  <si>
    <t>I2432_RS09750</t>
  </si>
  <si>
    <t>WP_021321219.1</t>
  </si>
  <si>
    <t>I2432_RS09755</t>
  </si>
  <si>
    <t>WP_206158787.1</t>
  </si>
  <si>
    <t>I2432_RS09760</t>
  </si>
  <si>
    <t>WP_015898660.1</t>
  </si>
  <si>
    <t>I2432_RS09765</t>
  </si>
  <si>
    <t>WP_012516439.1</t>
  </si>
  <si>
    <t>I2432_RS09770</t>
  </si>
  <si>
    <t>transcriptional regulator Spx</t>
  </si>
  <si>
    <t>spx</t>
  </si>
  <si>
    <t>WP_012516440.1</t>
  </si>
  <si>
    <t>I2432_RS09775</t>
  </si>
  <si>
    <t>WP_012516441.1</t>
  </si>
  <si>
    <t>I2432_RS09780</t>
  </si>
  <si>
    <t>competence/damage-inducible protein A</t>
  </si>
  <si>
    <t>WP_206158788.1</t>
  </si>
  <si>
    <t>I2432_RS09785</t>
  </si>
  <si>
    <t>WP_012516443.1</t>
  </si>
  <si>
    <t>I2432_RS09790</t>
  </si>
  <si>
    <t>phospholipase</t>
  </si>
  <si>
    <t>WP_206158789.1</t>
  </si>
  <si>
    <t>I2432_RS09795</t>
  </si>
  <si>
    <t>WP_206158790.1</t>
  </si>
  <si>
    <t>I2432_RS09800</t>
  </si>
  <si>
    <t>WP_206158791.1</t>
  </si>
  <si>
    <t>I2432_RS09805</t>
  </si>
  <si>
    <t>WP_115251409.1</t>
  </si>
  <si>
    <t>I2432_RS09810</t>
  </si>
  <si>
    <t>WP_115251410.1</t>
  </si>
  <si>
    <t>I2432_RS09815</t>
  </si>
  <si>
    <t>WP_115251411.1</t>
  </si>
  <si>
    <t>I2432_RS09820</t>
  </si>
  <si>
    <t>WP_206159093.1</t>
  </si>
  <si>
    <t>I2432_RS09825</t>
  </si>
  <si>
    <t>WP_014623648.1</t>
  </si>
  <si>
    <t>I2432_RS09830</t>
  </si>
  <si>
    <t>argR</t>
  </si>
  <si>
    <t>WP_012516453.1</t>
  </si>
  <si>
    <t>I2432_RS09835</t>
  </si>
  <si>
    <t>WP_206158792.1</t>
  </si>
  <si>
    <t>I2432_RS09840</t>
  </si>
  <si>
    <t>WP_206158793.1</t>
  </si>
  <si>
    <t>I2432_RS09845</t>
  </si>
  <si>
    <t>WP_206158794.1</t>
  </si>
  <si>
    <t>I2432_RS09850</t>
  </si>
  <si>
    <t>WP_206158795.1</t>
  </si>
  <si>
    <t>I2432_RS09855</t>
  </si>
  <si>
    <t>WP_115251416.1</t>
  </si>
  <si>
    <t>I2432_RS09860</t>
  </si>
  <si>
    <t>WP_206158796.1</t>
  </si>
  <si>
    <t>I2432_RS09865</t>
  </si>
  <si>
    <t>WP_052495596.1</t>
  </si>
  <si>
    <t>I2432_RS09870</t>
  </si>
  <si>
    <t>WP_042671458.1</t>
  </si>
  <si>
    <t>I2432_RS09875</t>
  </si>
  <si>
    <t>ThiF family adenylyltransferase</t>
  </si>
  <si>
    <t>WP_206158797.1</t>
  </si>
  <si>
    <t>I2432_RS09880</t>
  </si>
  <si>
    <t>WP_231140702.1</t>
  </si>
  <si>
    <t>I2432_RS09885</t>
  </si>
  <si>
    <t>WP_206158798.1</t>
  </si>
  <si>
    <t>I2432_RS09890</t>
  </si>
  <si>
    <t>WP_206158799.1</t>
  </si>
  <si>
    <t>I2432_RS09895</t>
  </si>
  <si>
    <t>WP_206158800.1</t>
  </si>
  <si>
    <t>I2432_RS09900</t>
  </si>
  <si>
    <t>WP_012516460.1</t>
  </si>
  <si>
    <t>I2432_RS09905</t>
  </si>
  <si>
    <t>WP_001265622.1</t>
  </si>
  <si>
    <t>I2432_RS09910</t>
  </si>
  <si>
    <t>Panacea domain-containing protein</t>
  </si>
  <si>
    <t>WP_043039543.1</t>
  </si>
  <si>
    <t>I2432_RS09915</t>
  </si>
  <si>
    <t>WP_206158801.1</t>
  </si>
  <si>
    <t>I2432_RS09920</t>
  </si>
  <si>
    <t>WP_206158803.1</t>
  </si>
  <si>
    <t>I2432_RS09925</t>
  </si>
  <si>
    <t>WP_206158805.1</t>
  </si>
  <si>
    <t>I2432_RS09930</t>
  </si>
  <si>
    <t>WP_115251423.1</t>
  </si>
  <si>
    <t>I2432_RS09935</t>
  </si>
  <si>
    <t>AvrD family protein</t>
  </si>
  <si>
    <t>WP_206158807.1</t>
  </si>
  <si>
    <t>I2432_RS09940</t>
  </si>
  <si>
    <t>WP_012516469.1</t>
  </si>
  <si>
    <t>I2432_RS09945</t>
  </si>
  <si>
    <t>WP_115251425.1</t>
  </si>
  <si>
    <t>I2432_RS09950</t>
  </si>
  <si>
    <t>WP_206158809.1</t>
  </si>
  <si>
    <t>I2432_RS09955</t>
  </si>
  <si>
    <t>WP_206158811.1</t>
  </si>
  <si>
    <t>I2432_RS09960</t>
  </si>
  <si>
    <t>DUF368 domain-containing protein</t>
  </si>
  <si>
    <t>WP_206158813.1</t>
  </si>
  <si>
    <t>I2432_RS09965</t>
  </si>
  <si>
    <t>WP_206158815.1</t>
  </si>
  <si>
    <t>I2432_RS09970</t>
  </si>
  <si>
    <t>PadR family transcriptional regulator</t>
  </si>
  <si>
    <t>WP_021321234.1</t>
  </si>
  <si>
    <t>I2432_RS09975</t>
  </si>
  <si>
    <t>WP_206158816.1</t>
  </si>
  <si>
    <t>I2432_RS09980</t>
  </si>
  <si>
    <t>DUF1700 domain-containing protein</t>
  </si>
  <si>
    <t>WP_037579716.1</t>
  </si>
  <si>
    <t>I2432_RS09985</t>
  </si>
  <si>
    <t>YhgE/Pip domain-containing protein</t>
  </si>
  <si>
    <t>WP_206158818.1</t>
  </si>
  <si>
    <t>I2432_RS09990</t>
  </si>
  <si>
    <t>WP_111692878.1</t>
  </si>
  <si>
    <t>I2432_RS09995</t>
  </si>
  <si>
    <t>WP_206158819.1</t>
  </si>
  <si>
    <t>I2432_RS10000</t>
  </si>
  <si>
    <t>WP_012516482.1</t>
  </si>
  <si>
    <t>I2432_RS10005</t>
  </si>
  <si>
    <t>I2432_RS10010</t>
  </si>
  <si>
    <t>WP_043030268.1</t>
  </si>
  <si>
    <t>I2432_RS10015</t>
  </si>
  <si>
    <t>WP_012516485.1</t>
  </si>
  <si>
    <t>I2432_RS10020</t>
  </si>
  <si>
    <t>WP_012678721.1</t>
  </si>
  <si>
    <t>I2432_RS10025</t>
  </si>
  <si>
    <t>WP_172454094.1</t>
  </si>
  <si>
    <t>I2432_RS10030</t>
  </si>
  <si>
    <t>WP_012516488.1</t>
  </si>
  <si>
    <t>I2432_RS10035</t>
  </si>
  <si>
    <t>WP_206158821.1</t>
  </si>
  <si>
    <t>I2432_RS10040</t>
  </si>
  <si>
    <t>WP_206158823.1</t>
  </si>
  <si>
    <t>I2432_RS10045</t>
  </si>
  <si>
    <t>WP_206158825.1</t>
  </si>
  <si>
    <t>I2432_RS10050</t>
  </si>
  <si>
    <t>WP_043041253.1</t>
  </si>
  <si>
    <t>I2432_RS10055</t>
  </si>
  <si>
    <t>L-serine ammonia-lyase, iron-sulfur-dependent subunit beta</t>
  </si>
  <si>
    <t>sdaAB</t>
  </si>
  <si>
    <t>WP_206158827.1</t>
  </si>
  <si>
    <t>I2432_RS10060</t>
  </si>
  <si>
    <t>L-serine ammonia-lyase, iron-sulfur-dependent, subunit alpha</t>
  </si>
  <si>
    <t>sdaAA</t>
  </si>
  <si>
    <t>WP_012516494.1</t>
  </si>
  <si>
    <t>I2432_RS10065</t>
  </si>
  <si>
    <t>WP_206158828.1</t>
  </si>
  <si>
    <t>I2432_RS10070</t>
  </si>
  <si>
    <t>transglycosylase SLT domain-containing protein</t>
  </si>
  <si>
    <t>WP_037579670.1</t>
  </si>
  <si>
    <t>I2432_RS10075</t>
  </si>
  <si>
    <t>energy-coupling factor transporter transmembrane component T family protein</t>
  </si>
  <si>
    <t>WP_206158830.1</t>
  </si>
  <si>
    <t>I2432_RS10080</t>
  </si>
  <si>
    <t>WP_206158832.1</t>
  </si>
  <si>
    <t>I2432_RS10085</t>
  </si>
  <si>
    <t>energy-coupling factor ABC transporter ATP-binding protein</t>
  </si>
  <si>
    <t>WP_206158834.1</t>
  </si>
  <si>
    <t>I2432_RS10090</t>
  </si>
  <si>
    <t>WP_206158836.1</t>
  </si>
  <si>
    <t>I2432_RS10095</t>
  </si>
  <si>
    <t>WP_014623681.1</t>
  </si>
  <si>
    <t>I2432_RS10100</t>
  </si>
  <si>
    <t>EF-P 5-aminopentanol modification-associated protein YfmH</t>
  </si>
  <si>
    <t>yfmH</t>
  </si>
  <si>
    <t>WP_206158838.1</t>
  </si>
  <si>
    <t>I2432_RS10105</t>
  </si>
  <si>
    <t>EF-P 5-aminopentanol modification-associated protein YfmF</t>
  </si>
  <si>
    <t>yfmF</t>
  </si>
  <si>
    <t>WP_206158840.1</t>
  </si>
  <si>
    <t>I2432_RS10110</t>
  </si>
  <si>
    <t>WP_111710909.1</t>
  </si>
  <si>
    <t>I2432_RS10115</t>
  </si>
  <si>
    <t>WP_206158841.1</t>
  </si>
  <si>
    <t>I2432_RS10120</t>
  </si>
  <si>
    <t>WP_115251446.1</t>
  </si>
  <si>
    <t>I2432_RS10125</t>
  </si>
  <si>
    <t>I2432_RS10130</t>
  </si>
  <si>
    <t>DUF1310 family protein</t>
  </si>
  <si>
    <t>WP_206158844.1</t>
  </si>
  <si>
    <t>I2432_RS10135</t>
  </si>
  <si>
    <t>WP_206158846.1</t>
  </si>
  <si>
    <t>I2432_RS10140</t>
  </si>
  <si>
    <t>WP_115251451.1</t>
  </si>
  <si>
    <t>I2432_RS10145</t>
  </si>
  <si>
    <t>guaB</t>
  </si>
  <si>
    <t>WP_012516513.1</t>
  </si>
  <si>
    <t>I2432_RS10150</t>
  </si>
  <si>
    <t>WP_111678801.1</t>
  </si>
  <si>
    <t>I2432_RS10155</t>
  </si>
  <si>
    <t>WP_206158847.1</t>
  </si>
  <si>
    <t>I2432_RS10160</t>
  </si>
  <si>
    <t>WP_206158848.1</t>
  </si>
  <si>
    <t>I2432_RS10165</t>
  </si>
  <si>
    <t>WP_206158849.1</t>
  </si>
  <si>
    <t>I2432_RS10170</t>
  </si>
  <si>
    <t>I2432_RS10175</t>
  </si>
  <si>
    <t>I2432_RS10180</t>
  </si>
  <si>
    <t>I2432_RS10185</t>
  </si>
  <si>
    <t>WP_206158850.1</t>
  </si>
  <si>
    <t>I2432_RS10190</t>
  </si>
  <si>
    <t>S1C family serine protease</t>
  </si>
  <si>
    <t>WP_206158851.1</t>
  </si>
  <si>
    <t>I2432_RS10195</t>
  </si>
  <si>
    <t>WP_111690534.1</t>
  </si>
  <si>
    <t>I2432_RS10200</t>
  </si>
  <si>
    <t>NZ_CP065055.1</t>
  </si>
  <si>
    <t>pUnnamedse13</t>
  </si>
  <si>
    <t>WP_206159094.1</t>
  </si>
  <si>
    <t>I2432_RS10210</t>
  </si>
  <si>
    <t>WP_206159095.1</t>
  </si>
  <si>
    <t>I2432_RS10215</t>
  </si>
  <si>
    <t>MobV family relaxase</t>
  </si>
  <si>
    <t>mobV</t>
  </si>
  <si>
    <t>WP_115245232.1</t>
  </si>
  <si>
    <t>I2432_RS10220</t>
  </si>
  <si>
    <t>CopG family transcriptional regulator</t>
  </si>
  <si>
    <t>WP_154231421.1</t>
  </si>
  <si>
    <t>I2432_RS10225</t>
  </si>
  <si>
    <t>I2432_RS10205</t>
  </si>
  <si>
    <t>https://www.ncbi.nlm.nih.gov/datasets/genome/GCF_015689395.1/</t>
  </si>
  <si>
    <t>GCF_015689395.1</t>
  </si>
  <si>
    <t>SAMN16565168</t>
  </si>
  <si>
    <t>ASM1568939v1</t>
  </si>
  <si>
    <t>2.2 Mb</t>
  </si>
  <si>
    <t>CP065054.1</t>
  </si>
  <si>
    <t xml:space="preserve">https://www.genome.jp/entry/R00375 </t>
  </si>
  <si>
    <t xml:space="preserve">https://www.genome.jp/entry/R00377 </t>
  </si>
  <si>
    <t xml:space="preserve">https://www.genome.jp/entry/R00376 </t>
  </si>
  <si>
    <t xml:space="preserve">https://www.genome.jp/entry/R11029 </t>
  </si>
  <si>
    <t>6.3.4.19</t>
  </si>
  <si>
    <t>https://www.genome.jp/entry/6.3.4.19</t>
  </si>
  <si>
    <t>2.4.2.8</t>
  </si>
  <si>
    <t>https://www.genome.jp/entry/2.4.2.8</t>
  </si>
  <si>
    <t xml:space="preserve">https://www.genome.jp/entry/R01229 </t>
  </si>
  <si>
    <t xml:space="preserve">https://www.genome.jp/entry/R01132 </t>
  </si>
  <si>
    <t xml:space="preserve">C00130 + C00013 </t>
  </si>
  <si>
    <t xml:space="preserve">https://www.genome.jp/entry/R02142 </t>
  </si>
  <si>
    <t xml:space="preserve">C00655 + C00013 </t>
  </si>
  <si>
    <t xml:space="preserve">https://www.genome.jp/entry/R08237 </t>
  </si>
  <si>
    <t xml:space="preserve">https://www.genome.jp/entry/R08238 </t>
  </si>
  <si>
    <t xml:space="preserve">https://www.genome.jp/entry/R08245 </t>
  </si>
  <si>
    <t>2.7.6.1</t>
  </si>
  <si>
    <t>https://www.genome.jp/entry/2.7.6.1</t>
  </si>
  <si>
    <t>https://www.genome.jp/entry/R01049</t>
  </si>
  <si>
    <t>2.3.1.274</t>
  </si>
  <si>
    <t>https://www.genome.jp/entry/2.3.1.274</t>
  </si>
  <si>
    <t>https://www.genome.jp/entry/R12240</t>
  </si>
  <si>
    <t>6.3.2.6</t>
  </si>
  <si>
    <t>https://www.genome.jp/entry/6.3.2.6</t>
  </si>
  <si>
    <t>https://www.genome.jp/entry/R04591</t>
  </si>
  <si>
    <t>6.3.5.3</t>
  </si>
  <si>
    <t xml:space="preserve">https://www.genome.jp/entry/6.3.5.3 </t>
  </si>
  <si>
    <t>https://www.genome.jp/entry/R04463</t>
  </si>
  <si>
    <t xml:space="preserve">C00002 + C04376 + C00064 + C00001 </t>
  </si>
  <si>
    <t>2.4.2.14</t>
  </si>
  <si>
    <t>https://www.genome.jp/entry/2.4.2.14</t>
  </si>
  <si>
    <t>https://www.genome.jp/entry/R01072</t>
  </si>
  <si>
    <t>6.3.3.1</t>
  </si>
  <si>
    <t>https://www.genome.jp/entry/6.3.3.1</t>
  </si>
  <si>
    <t>https://www.genome.jp/entry/R04208</t>
  </si>
  <si>
    <t xml:space="preserve"> https://www.genome.jp/entry/R09597</t>
  </si>
  <si>
    <t>2.1.2.2</t>
  </si>
  <si>
    <t>https://www.genome.jp/entry/2.1.2.2</t>
  </si>
  <si>
    <t>https://www.genome.jp/entry/R04325</t>
  </si>
  <si>
    <t>https://www.genome.jp/entry/R04326</t>
  </si>
  <si>
    <t>2.1.2.3</t>
  </si>
  <si>
    <t>3.5.4.10</t>
  </si>
  <si>
    <t>https://www.genome.jp/entry/2.1.2.3</t>
  </si>
  <si>
    <t>https://www.genome.jp/entry/R04560</t>
  </si>
  <si>
    <t>https://www.genome.jp/entry/3.5.4.10</t>
  </si>
  <si>
    <t>https://www.genome.jp/entry/R01127</t>
  </si>
  <si>
    <t>6.3.4.13</t>
  </si>
  <si>
    <t>https://www.genome.jp/entry/6.3.4.13</t>
  </si>
  <si>
    <t>https://www.genome.jp/entry/R04144</t>
  </si>
  <si>
    <t>4.1.1.21</t>
  </si>
  <si>
    <t>5.4.99.18</t>
  </si>
  <si>
    <t>https://www.genome.jp/entry/4.1.1.21</t>
  </si>
  <si>
    <t>https://www.genome.jp/entry/R04209</t>
  </si>
  <si>
    <t>https://www.genome.jp/entry/5.4.99.18</t>
  </si>
  <si>
    <t>https://www.genome.jp/entry/R07405</t>
  </si>
  <si>
    <t>6.3.4.18</t>
  </si>
  <si>
    <t>https://www.genome.jp/entry/6.3.4.18</t>
  </si>
  <si>
    <t>https://www.genome.jp/entry/R07404</t>
  </si>
  <si>
    <t>4.3.2.2</t>
  </si>
  <si>
    <t>https://www.genome.jp/entry/4.3.2.2</t>
  </si>
  <si>
    <t>https://www.genome.jp/entry/R01083</t>
  </si>
  <si>
    <t>https://www.genome.jp/entry/R04559</t>
  </si>
  <si>
    <t>https://www.genome.jp/entry/R12851</t>
  </si>
  <si>
    <t>3.6.4.12</t>
  </si>
  <si>
    <t>3.1.3.48</t>
  </si>
  <si>
    <t>https://www.genome.jp/entry/3.1.3.48</t>
  </si>
  <si>
    <t>https://www.genome.jp/entry/R02585</t>
  </si>
  <si>
    <t>3.2.1.-</t>
  </si>
  <si>
    <t>2.3.1.-</t>
  </si>
  <si>
    <t>1.1.1.1</t>
  </si>
  <si>
    <t>1.2.1.10</t>
  </si>
  <si>
    <t>https://www.genome.jp/entry/1.1.1.1</t>
  </si>
  <si>
    <t>https://www.genome.jp/entry/R00623</t>
  </si>
  <si>
    <t>https://www.genome.jp/entry/R00754</t>
  </si>
  <si>
    <t>https://www.genome.jp/entry/R02124</t>
  </si>
  <si>
    <t>https://www.genome.jp/entry/R02878</t>
  </si>
  <si>
    <t>https://www.genome.jp/entry/R04805</t>
  </si>
  <si>
    <t>https://www.genome.jp/entry/R04880</t>
  </si>
  <si>
    <t>https://www.genome.jp/entry/R05233</t>
  </si>
  <si>
    <t>https://www.genome.jp/entry/R05234</t>
  </si>
  <si>
    <t>https://www.genome.jp/entry/R06917</t>
  </si>
  <si>
    <t>https://www.genome.jp/entry/R06927</t>
  </si>
  <si>
    <t>https://www.genome.jp/entry/R08281</t>
  </si>
  <si>
    <t>https://www.genome.jp/entry/R08306</t>
  </si>
  <si>
    <t>https://www.genome.jp/entry/R08557</t>
  </si>
  <si>
    <t>https://www.genome.jp/entry/R08558</t>
  </si>
  <si>
    <t>https://www.genome.jp/entry/R10783</t>
  </si>
  <si>
    <t xml:space="preserve">C16310 + C00004 + C00080 </t>
  </si>
  <si>
    <t>https://www.genome.jp/entry/R00624</t>
  </si>
  <si>
    <t xml:space="preserve">C01612 + C00003 </t>
  </si>
  <si>
    <t>https://www.genome.jp/entry/R08310</t>
  </si>
  <si>
    <t>https://www.genome.jp/entry/R02246</t>
  </si>
  <si>
    <t>https://www.genome.jp/entry/R07105</t>
  </si>
  <si>
    <t>https://www.genome.jp/entry/1.2.1.10</t>
  </si>
  <si>
    <t>https://www.genome.jp/entry/R00228</t>
  </si>
  <si>
    <t>https://www.genome.jp/entry/R01172</t>
  </si>
  <si>
    <t xml:space="preserve">https://www.genome.jp/entry/R08557 </t>
  </si>
  <si>
    <t>4.2.3.1</t>
  </si>
  <si>
    <t>https://www.genome.jp/entry/4.2.3.1</t>
  </si>
  <si>
    <t>https://www.genome.jp/entry/R01466</t>
  </si>
  <si>
    <t>https://www.genome.jp/entry/R05086</t>
  </si>
  <si>
    <t>2.7.4.3</t>
  </si>
  <si>
    <t>https://www.genome.jp/entry/2.7.4.3</t>
  </si>
  <si>
    <t>https://www.genome.jp/entry/R00127</t>
  </si>
  <si>
    <t>https://www.genome.jp/entry/R01547</t>
  </si>
  <si>
    <t>C00002 + C00360</t>
  </si>
  <si>
    <t>https://www.genome.jp/entry/R11319</t>
  </si>
  <si>
    <t>2.7.7.6</t>
  </si>
  <si>
    <t>https://www.genome.jp/entry/2.7.7.6</t>
  </si>
  <si>
    <t>https://www.genome.jp/entry/R00444</t>
  </si>
  <si>
    <t>https://www.genome.jp/entry/R00435</t>
  </si>
  <si>
    <t>https://www.genome.jp/entry/R00441</t>
  </si>
  <si>
    <t>https://www.genome.jp/entry/R00442</t>
  </si>
  <si>
    <t>https://www.genome.jp/entry/R00443</t>
  </si>
  <si>
    <t>https://www.genome.jp/entry/R10813</t>
  </si>
  <si>
    <t>C20864 + C00013</t>
  </si>
  <si>
    <t>2.7.1.148</t>
  </si>
  <si>
    <t>https://www.genome.jp/entry/2.7.1.148</t>
  </si>
  <si>
    <t>https://www.genome.jp/entry/R05634</t>
  </si>
  <si>
    <t>C11435 + C00002</t>
  </si>
  <si>
    <t>C11436 + C00008</t>
  </si>
  <si>
    <t>6.1.1.1</t>
  </si>
  <si>
    <t>https://www.genome.jp/entry/6.1.1.1</t>
  </si>
  <si>
    <t>https://www.genome.jp/entry/R02918</t>
  </si>
  <si>
    <t xml:space="preserve">C00044 + C00046 </t>
  </si>
  <si>
    <t>3.6.1.-</t>
  </si>
  <si>
    <t>https://www.genome.jp/entry/2.7.2.1</t>
  </si>
  <si>
    <t>https://www.genome.jp/entry/R00315</t>
  </si>
  <si>
    <t>https://www.genome.jp/entry/R01353</t>
  </si>
  <si>
    <t xml:space="preserve">C00002 + C00163 </t>
  </si>
  <si>
    <t>2.7.1.-</t>
  </si>
  <si>
    <t>2.2.1.1</t>
  </si>
  <si>
    <t>https://www.genome.jp/entry/2.2.1.1</t>
  </si>
  <si>
    <t>https://www.genome.jp/entry/R01641</t>
  </si>
  <si>
    <t>C05382 + C00118</t>
  </si>
  <si>
    <t>C00117 + C00231</t>
  </si>
  <si>
    <t>https://www.genome.jp/entry/R01067</t>
  </si>
  <si>
    <t>C00085 + C00118</t>
  </si>
  <si>
    <t>C00279 + C00231</t>
  </si>
  <si>
    <t>https://www.genome.jp/entry/R01830</t>
  </si>
  <si>
    <t>C05345 + C00118</t>
  </si>
  <si>
    <t>https://www.genome.jp/entry/R06590</t>
  </si>
  <si>
    <t>C12214 + C00117</t>
  </si>
  <si>
    <t>C12215 + C05382</t>
  </si>
  <si>
    <t>https://www.genome.jp/entry/R06861</t>
  </si>
  <si>
    <t>C00231 + C00068</t>
  </si>
  <si>
    <t>C13378 + C00118</t>
  </si>
  <si>
    <t>https://www.genome.jp/entry/R06863</t>
  </si>
  <si>
    <t>C05382 + C00068</t>
  </si>
  <si>
    <t>C13378 + C00117</t>
  </si>
  <si>
    <t>2.2.1.-</t>
  </si>
  <si>
    <t>3.4.24.-</t>
  </si>
  <si>
    <t>1.11.1.26</t>
  </si>
  <si>
    <t>https://www.genome.jp/entry/1.11.1.26</t>
  </si>
  <si>
    <t>https://www.genome.jp/entry/R12579</t>
  </si>
  <si>
    <t>C00004 + C15498 + C00080</t>
  </si>
  <si>
    <t>C00003 + C00001 + C01335</t>
  </si>
  <si>
    <t>7.5.2.-</t>
  </si>
  <si>
    <t>7.6.2.-</t>
  </si>
  <si>
    <t>5.4.99.-</t>
  </si>
  <si>
    <t>6.1.1.4</t>
  </si>
  <si>
    <t>https://www.genome.jp/entry/6.1.1.4</t>
  </si>
  <si>
    <t>https://www.genome.jp/entry/R03657</t>
  </si>
  <si>
    <t>4.1.1.85</t>
  </si>
  <si>
    <t>https://www.genome.jp/entry/4.1.1.85</t>
  </si>
  <si>
    <t>https://www.genome.jp/entry/R07125</t>
  </si>
  <si>
    <t>C14899 + C00080</t>
  </si>
  <si>
    <t>C03291 + C00011</t>
  </si>
  <si>
    <t>5.1.3.4</t>
  </si>
  <si>
    <t>https://www.genome.jp/entry/5.1.3.4</t>
  </si>
  <si>
    <t>https://www.genome.jp/entry/R05850</t>
  </si>
  <si>
    <t>C01101</t>
  </si>
  <si>
    <t>3.1.1.-</t>
  </si>
  <si>
    <t>7.6.2.9</t>
  </si>
  <si>
    <t>https://www.genome.jp/entry/7.6.2.9</t>
  </si>
  <si>
    <t>https://www.genome.jp/entry/R00375</t>
  </si>
  <si>
    <t>https://www.genome.jp/entry/R00376</t>
  </si>
  <si>
    <t>https://www.genome.jp/entry/R00377</t>
  </si>
  <si>
    <t>https://www.genome.jp/entry/R00378</t>
  </si>
  <si>
    <t>https://www.genome.jp/entry/R11029</t>
  </si>
  <si>
    <t xml:space="preserve">C11039 </t>
  </si>
  <si>
    <t>2.4.2.29</t>
  </si>
  <si>
    <t>https://www.genome.jp/entry/R10209</t>
  </si>
  <si>
    <t>https://www.genome.jp/entry/2.4.2.29</t>
  </si>
  <si>
    <t>C01977 + C16675</t>
  </si>
  <si>
    <t>C20446 + C00242</t>
  </si>
  <si>
    <t>3.-.-.-</t>
  </si>
  <si>
    <t>3.5.4.33</t>
  </si>
  <si>
    <t>https://www.genome.jp/entry/R10223</t>
  </si>
  <si>
    <t>https://www.genome.jp/entry/3.5.4.33</t>
  </si>
  <si>
    <t>2.4.-.-</t>
  </si>
  <si>
    <t>2.7.7.9</t>
  </si>
  <si>
    <t>https://www.genome.jp/entry/2.7.7.9</t>
  </si>
  <si>
    <t>https://www.genome.jp/entry/R00289</t>
  </si>
  <si>
    <t>2.3.1.157</t>
  </si>
  <si>
    <t>https://www.genome.jp/entry/2.3.1.157</t>
  </si>
  <si>
    <t>https://www.genome.jp/entry/R05332</t>
  </si>
  <si>
    <t>2.7.7.23</t>
  </si>
  <si>
    <t>https://www.genome.jp/entry/2.7.7.23</t>
  </si>
  <si>
    <t>https://www.genome.jp/entry/R00416</t>
  </si>
  <si>
    <t>5.3.1.9</t>
  </si>
  <si>
    <t>https://www.genome.jp/entry/5.3.1.9</t>
  </si>
  <si>
    <t>https://www.genome.jp/entry/R02740</t>
  </si>
  <si>
    <t>https://www.genome.jp/entry/R00771</t>
  </si>
  <si>
    <t>https://www.genome.jp/entry/R02739</t>
  </si>
  <si>
    <t>https://www.genome.jp/entry/R03321</t>
  </si>
  <si>
    <t>https://www.genome.jp/entry/R13199</t>
  </si>
  <si>
    <t xml:space="preserve">C00668 </t>
  </si>
  <si>
    <t>6.3.3.2</t>
  </si>
  <si>
    <t>https://www.genome.jp/entry/6.3.3.2</t>
  </si>
  <si>
    <t>https://www.genome.jp/entry/R02301</t>
  </si>
  <si>
    <t>3.4.21.-</t>
  </si>
  <si>
    <t>3.4.21.105</t>
  </si>
  <si>
    <t>https://www.genome.jp/entry/3.4.21.105</t>
  </si>
  <si>
    <t>1.1.1.94</t>
  </si>
  <si>
    <t>https://www.genome.jp/entry/1.1.1.94</t>
  </si>
  <si>
    <t>https://www.genome.jp/entry/R00842</t>
  </si>
  <si>
    <t>https://www.genome.jp/entry/R00844</t>
  </si>
  <si>
    <t>7.-.-.-</t>
  </si>
  <si>
    <t>1.17.99.6</t>
  </si>
  <si>
    <t>https://www.genome.jp/entry/1.17.99.6</t>
  </si>
  <si>
    <t>https://www.genome.jp/entry/R12500</t>
  </si>
  <si>
    <t>C01978 + C00028 + C00001</t>
  </si>
  <si>
    <t>C19647 + C00030</t>
  </si>
  <si>
    <t>3.6.1.23</t>
  </si>
  <si>
    <t>https://www.genome.jp/entry/3.6.1.23</t>
  </si>
  <si>
    <t>https://www.genome.jp/entry/R02100</t>
  </si>
  <si>
    <t>C00460 + C00001</t>
  </si>
  <si>
    <t>C00365 + C00013</t>
  </si>
  <si>
    <t>https://www.genome.jp/entry/R11896</t>
  </si>
  <si>
    <t>C21751 + C00001</t>
  </si>
  <si>
    <t>C04242 + C00013</t>
  </si>
  <si>
    <t>6.1.1.17</t>
  </si>
  <si>
    <t>https://www.genome.jp/entry/6.1.1.17</t>
  </si>
  <si>
    <t>https://www.genome.jp/entry/R05578</t>
  </si>
  <si>
    <t>3.1.26.5</t>
  </si>
  <si>
    <t>https://www.genome.jp/entry/3.1.26.5</t>
  </si>
  <si>
    <t>5.1.3.9</t>
  </si>
  <si>
    <t>https://www.genome.jp/entry/5.1.3.9</t>
  </si>
  <si>
    <t>https://www.genome.jp/entry/R02770</t>
  </si>
  <si>
    <t>C00686</t>
  </si>
  <si>
    <t>C04136</t>
  </si>
  <si>
    <t>https://www.genome.jp/entry/R02087</t>
  </si>
  <si>
    <t>C04257</t>
  </si>
  <si>
    <t>5.6.2.1</t>
  </si>
  <si>
    <t>https://www.genome.jp/entry/5.6.2.1</t>
  </si>
  <si>
    <t>3.1.-.-</t>
  </si>
  <si>
    <t>3.1.26.8</t>
  </si>
  <si>
    <t>https://www.genome.jp/entry/3.1.26.8</t>
  </si>
  <si>
    <t>1.8.-.-</t>
  </si>
  <si>
    <t>2.1.1.182</t>
  </si>
  <si>
    <t>https://www.genome.jp/entry/2.1.1.182</t>
  </si>
  <si>
    <t>https://www.genome.jp/entry/R10716</t>
  </si>
  <si>
    <t>5.1.3.1</t>
  </si>
  <si>
    <t>https://www.genome.jp/entry/5.1.3.1</t>
  </si>
  <si>
    <t>https://www.genome.jp/entry/R01529</t>
  </si>
  <si>
    <t>2.7.6.2</t>
  </si>
  <si>
    <t>https://www.genome.jp/entry/2.7.6.2</t>
  </si>
  <si>
    <t>https://www.genome.jp/entry/R00619</t>
  </si>
  <si>
    <t>2.7.2.3</t>
  </si>
  <si>
    <t>https://www.genome.jp/entry/2.7.2.3</t>
  </si>
  <si>
    <t>https://www.genome.jp/entry/R01512</t>
  </si>
  <si>
    <t>6.3.1.2</t>
  </si>
  <si>
    <t>https://www.genome.jp/entry/6.3.1.2</t>
  </si>
  <si>
    <t>https://www.genome.jp/entry/R00253</t>
  </si>
  <si>
    <t>2.3.1.234</t>
  </si>
  <si>
    <t>https://www.genome.jp/entry/2.3.1.234</t>
  </si>
  <si>
    <t>https://www.genome.jp/entry/R10648</t>
  </si>
  <si>
    <t>2.3.1.266</t>
  </si>
  <si>
    <t>https://www.genome.jp/entry/2.3.1.266</t>
  </si>
  <si>
    <t>https://www.genome.jp/entry/R04316</t>
  </si>
  <si>
    <t>1.3.1.-</t>
  </si>
  <si>
    <t>2.7.13.3</t>
  </si>
  <si>
    <t>https://www.genome.jp/entry/2.7.13.3</t>
  </si>
  <si>
    <t>3.4.26.-</t>
  </si>
  <si>
    <t>1.-.-.-</t>
  </si>
  <si>
    <t>3.4.14.11</t>
  </si>
  <si>
    <t>https://www.genome.jp/entry/3.4.14.11</t>
  </si>
  <si>
    <t>2.3.1.54</t>
  </si>
  <si>
    <t>https://www.genome.jp/entry/2.3.1.54</t>
  </si>
  <si>
    <t>https://www.genome.jp/entry/R00212</t>
  </si>
  <si>
    <t>C00024 + C00058</t>
  </si>
  <si>
    <t>C00010 + C00022</t>
  </si>
  <si>
    <t>https://www.genome.jp/entry/R06987</t>
  </si>
  <si>
    <t>C00109 + C00010</t>
  </si>
  <si>
    <t>C00100 + C00058</t>
  </si>
  <si>
    <t>3.4.21.89</t>
  </si>
  <si>
    <t>https://www.genome.jp/entry/3.4.21.89</t>
  </si>
  <si>
    <t>https://www.genome.jp/entry/3.2.2.31</t>
  </si>
  <si>
    <t>3.2.2.31</t>
  </si>
  <si>
    <t>3.1.25.-</t>
  </si>
  <si>
    <t>3.4.-.-</t>
  </si>
  <si>
    <t>3.5.4.12</t>
  </si>
  <si>
    <t xml:space="preserve">https://www.genome.jp/entry/3.5.4.12 </t>
  </si>
  <si>
    <t>https://www.genome.jp/entry/R01663</t>
  </si>
  <si>
    <t>C00365 + C00014</t>
  </si>
  <si>
    <t>3.2.1.26</t>
  </si>
  <si>
    <t>https://www.genome.jp/entry/3.2.1.26</t>
  </si>
  <si>
    <t>https://www.genome.jp/entry/R00801</t>
  </si>
  <si>
    <t>https://www.genome.jp/entry/R00802</t>
  </si>
  <si>
    <t>https://www.genome.jp/entry/R02410</t>
  </si>
  <si>
    <t>https://www.genome.jp/entry/R03635</t>
  </si>
  <si>
    <t>https://www.genome.jp/entry/R03921</t>
  </si>
  <si>
    <t>https://www.genome.jp/entry/R06087</t>
  </si>
  <si>
    <t>G00370 + C00001</t>
  </si>
  <si>
    <t>https://www.genome.jp/entry/R06088</t>
  </si>
  <si>
    <t>https://www.genome.jp/entry/R06100</t>
  </si>
  <si>
    <t>G00249 + C00001</t>
  </si>
  <si>
    <t>G01275 + C00095</t>
  </si>
  <si>
    <t>https://www.genome.jp/entry/R06101</t>
  </si>
  <si>
    <t>G00278 + C00001</t>
  </si>
  <si>
    <t>G00501 + C00095</t>
  </si>
  <si>
    <t>https://www.genome.jp/entry/R06102</t>
  </si>
  <si>
    <t>G10508 + C00001</t>
  </si>
  <si>
    <t>C02336 + C00668</t>
  </si>
  <si>
    <t>2.7.1.211</t>
  </si>
  <si>
    <t>https://www.genome.jp/entry/2.7.1.211</t>
  </si>
  <si>
    <t>https://www.genome.jp/entry/R00811</t>
  </si>
  <si>
    <t>2.7.1.4</t>
  </si>
  <si>
    <t>https://www.genome.jp/entry/2.7.1.4</t>
  </si>
  <si>
    <t>https://www.genome.jp/entry/R00760</t>
  </si>
  <si>
    <t>C00002 + C00095</t>
  </si>
  <si>
    <t>C00008 + C00085</t>
  </si>
  <si>
    <t>https://www.genome.jp/entry/R00867</t>
  </si>
  <si>
    <t>C00008 + C05345</t>
  </si>
  <si>
    <t>C00002 + C02336</t>
  </si>
  <si>
    <t>https://www.genome.jp/entry/R03920</t>
  </si>
  <si>
    <t>5.3.1.8</t>
  </si>
  <si>
    <t>https://www.genome.jp/entry/5.3.1.8</t>
  </si>
  <si>
    <t>https://www.genome.jp/entry/R00772</t>
  </si>
  <si>
    <t>C00275</t>
  </si>
  <si>
    <t>https://www.genome.jp/entry/R01819</t>
  </si>
  <si>
    <t>2.7.8.7</t>
  </si>
  <si>
    <t>https://www.genome.jp/entry/2.7.8.7</t>
  </si>
  <si>
    <t>https://www.genome.jp/entry/R01625</t>
  </si>
  <si>
    <t>5.1.1.1</t>
  </si>
  <si>
    <t>https://www.genome.jp/entry/5.1.1.1</t>
  </si>
  <si>
    <t>https://www.genome.jp/entry/R00401</t>
  </si>
  <si>
    <t>7.4.2.-</t>
  </si>
  <si>
    <t>https://www.genome.jp/entry/3.6.4.12</t>
  </si>
  <si>
    <t>2.6.1.-</t>
  </si>
  <si>
    <t>6.3.5.-</t>
  </si>
  <si>
    <t>3.4.17.-</t>
  </si>
  <si>
    <t>4.2.1.17</t>
  </si>
  <si>
    <t>https://www.genome.jp/entry/4.2.1.17</t>
  </si>
  <si>
    <t>https://www.genome.jp/entry/R02685</t>
  </si>
  <si>
    <t xml:space="preserve">C00640 </t>
  </si>
  <si>
    <t>C00658 + C00001</t>
  </si>
  <si>
    <t>https://www.genome.jp/entry/R03026</t>
  </si>
  <si>
    <t>C01144</t>
  </si>
  <si>
    <t>C00877 + C00001</t>
  </si>
  <si>
    <t>https://www.genome.jp/entry/R03045</t>
  </si>
  <si>
    <t>C05668</t>
  </si>
  <si>
    <t>C00894 + C00001</t>
  </si>
  <si>
    <t>https://www.genome.jp/entry/R04170</t>
  </si>
  <si>
    <t>C05262</t>
  </si>
  <si>
    <t>C03221 + C00001</t>
  </si>
  <si>
    <t>https://www.genome.jp/entry/R04204</t>
  </si>
  <si>
    <t>C04405</t>
  </si>
  <si>
    <t>C03345 + C00001</t>
  </si>
  <si>
    <t>https://www.genome.jp/entry/R04224</t>
  </si>
  <si>
    <t>C03460 + C00001</t>
  </si>
  <si>
    <t>C06000</t>
  </si>
  <si>
    <t>https://www.genome.jp/entry/R04738</t>
  </si>
  <si>
    <t>C05258</t>
  </si>
  <si>
    <t>C05272 + C00001</t>
  </si>
  <si>
    <t>https://www.genome.jp/entry/R04740</t>
  </si>
  <si>
    <t>C05260</t>
  </si>
  <si>
    <t>C05273 + C00001</t>
  </si>
  <si>
    <t>https://www.genome.jp/entry/R04744</t>
  </si>
  <si>
    <t>C05275 + C00001</t>
  </si>
  <si>
    <t>C05264</t>
  </si>
  <si>
    <t>https://www.genome.jp/entry/R04746</t>
  </si>
  <si>
    <t>C05266</t>
  </si>
  <si>
    <t>C05276 + C00001</t>
  </si>
  <si>
    <t>https://www.genome.jp/entry/R04749</t>
  </si>
  <si>
    <t>C05268</t>
  </si>
  <si>
    <t>C05271 + C00001</t>
  </si>
  <si>
    <t>https://www.genome.jp/entry/R07889</t>
  </si>
  <si>
    <t>C16329</t>
  </si>
  <si>
    <t>C16328 + C00001</t>
  </si>
  <si>
    <t>https://www.genome.jp/entry/R07893</t>
  </si>
  <si>
    <t>C16333</t>
  </si>
  <si>
    <t>C16332 + C00001</t>
  </si>
  <si>
    <t>https://www.genome.jp/entry/R07897</t>
  </si>
  <si>
    <t>C16337</t>
  </si>
  <si>
    <t>C16336 + C00001</t>
  </si>
  <si>
    <t>https://www.genome.jp/entry/R07314</t>
  </si>
  <si>
    <t>https://www.genome.jp/entry/R03224</t>
  </si>
  <si>
    <t>C00640</t>
  </si>
  <si>
    <t>C05067 + C00001</t>
  </si>
  <si>
    <t>C01086</t>
  </si>
  <si>
    <t>C01122 + C00001</t>
  </si>
  <si>
    <t>https://www.genome.jp/entry/R04137</t>
  </si>
  <si>
    <t>C05998</t>
  </si>
  <si>
    <t>C03069 + C00001</t>
  </si>
  <si>
    <t>https://www.genome.jp/entry/R05595</t>
  </si>
  <si>
    <t>C05116</t>
  </si>
  <si>
    <t>https://www.genome.jp/entry/R06411</t>
  </si>
  <si>
    <t>C11946 + C00001</t>
  </si>
  <si>
    <t>C11947</t>
  </si>
  <si>
    <t>https://www.genome.jp/entry/R06412</t>
  </si>
  <si>
    <t>C11945 + C00001</t>
  </si>
  <si>
    <t>https://www.genome.jp/entry/R06942</t>
  </si>
  <si>
    <t>C14144 + C00001</t>
  </si>
  <si>
    <t>C14145</t>
  </si>
  <si>
    <t>https://www.genome.jp/entry/R08093</t>
  </si>
  <si>
    <t>C16468 + C00001</t>
  </si>
  <si>
    <t>C16469</t>
  </si>
  <si>
    <t>2.3.1.180</t>
  </si>
  <si>
    <t>https://www.genome.jp/entry/2.3.1.180</t>
  </si>
  <si>
    <t>https://www.genome.jp/entry/R10707</t>
  </si>
  <si>
    <t>C00024 + C01209</t>
  </si>
  <si>
    <t>C05744 + C00010 + C00011</t>
  </si>
  <si>
    <t>2.3.1.39</t>
  </si>
  <si>
    <t>https://www.genome.jp/entry/R01626</t>
  </si>
  <si>
    <t>C00083 + C00229</t>
  </si>
  <si>
    <t>C00010 + C01209</t>
  </si>
  <si>
    <t>https://www.genome.jp/entry/2.3.1.39</t>
  </si>
  <si>
    <t>1.1.1.100</t>
  </si>
  <si>
    <t>https://www.genome.jp/entry/1.1.1.100</t>
  </si>
  <si>
    <t>https://www.genome.jp/entry/R02767</t>
  </si>
  <si>
    <t>C01271 + C00006</t>
  </si>
  <si>
    <t>C00685 + C00005 + C00080</t>
  </si>
  <si>
    <t>https://www.genome.jp/entry/R04533</t>
  </si>
  <si>
    <t>C04618 + C00006</t>
  </si>
  <si>
    <t>C05744 + C00005 + C00080</t>
  </si>
  <si>
    <t>https://www.genome.jp/entry/R04534</t>
  </si>
  <si>
    <t>C04619 + C00006</t>
  </si>
  <si>
    <t>C05753 + C00005</t>
  </si>
  <si>
    <t>https://www.genome.jp/entry/R04536</t>
  </si>
  <si>
    <t>C04620 + C00006</t>
  </si>
  <si>
    <t>C05750 + C00005 + C00080</t>
  </si>
  <si>
    <t>https://www.genome.jp/entry/R04543</t>
  </si>
  <si>
    <t>C04633 + C00006</t>
  </si>
  <si>
    <t>C05762 + C00005 + C00080</t>
  </si>
  <si>
    <t>https://www.genome.jp/entry/R04566</t>
  </si>
  <si>
    <t>C04688 + C00006</t>
  </si>
  <si>
    <t>C05759 + C00005 + C00080</t>
  </si>
  <si>
    <t>https://www.genome.jp/entry/R04953</t>
  </si>
  <si>
    <t>C05747 + C00006</t>
  </si>
  <si>
    <t>C05746 + C00005 + C00080</t>
  </si>
  <si>
    <t>https://www.genome.jp/entry/R04964</t>
  </si>
  <si>
    <t>C05757 + C00006</t>
  </si>
  <si>
    <t>C05756 + C00005 + C00080</t>
  </si>
  <si>
    <t>https://www.genome.jp/entry/R07763</t>
  </si>
  <si>
    <t>C16219 + C00005 + C00080</t>
  </si>
  <si>
    <t>C16220 + C00006</t>
  </si>
  <si>
    <t>https://www.genome.jp/entry/R10116</t>
  </si>
  <si>
    <t>C20372 + C00005 + C00080</t>
  </si>
  <si>
    <t>C20373 + C00006</t>
  </si>
  <si>
    <t>https://www.genome.jp/entry/R10120</t>
  </si>
  <si>
    <t>C20376 + C00005 + C00080</t>
  </si>
  <si>
    <t>C20377 + C00006</t>
  </si>
  <si>
    <t>2.3.1.179</t>
  </si>
  <si>
    <t>https://www.genome.jp/entry/2.3.1.179</t>
  </si>
  <si>
    <t>https://www.genome.jp/entry/R02768</t>
  </si>
  <si>
    <t>C00173 + C01209</t>
  </si>
  <si>
    <t>C00685 + C00011 + C00229</t>
  </si>
  <si>
    <t>https://www.genome.jp/entry/R04355</t>
  </si>
  <si>
    <t>C03939 + C01209</t>
  </si>
  <si>
    <t>C05744 + C00011 + C00229</t>
  </si>
  <si>
    <t>https://www.genome.jp/entry/R04726</t>
  </si>
  <si>
    <t>C05223 + C01209</t>
  </si>
  <si>
    <t>C05759 + C00011 + C00229</t>
  </si>
  <si>
    <t>https://www.genome.jp/entry/R04952</t>
  </si>
  <si>
    <t>C05745 + C01209</t>
  </si>
  <si>
    <t>C05746 + C00011 + C00229</t>
  </si>
  <si>
    <t>https://www.genome.jp/entry/R04957</t>
  </si>
  <si>
    <t>C05749 + C01209</t>
  </si>
  <si>
    <t>C05750 + C00011 + C00229</t>
  </si>
  <si>
    <t>https://www.genome.jp/entry/R04960</t>
  </si>
  <si>
    <t>C05752 + C01209</t>
  </si>
  <si>
    <t>C05753 + C00011 + C00229</t>
  </si>
  <si>
    <t>https://www.genome.jp/entry/R04963</t>
  </si>
  <si>
    <t>C05755 + C01209</t>
  </si>
  <si>
    <t>C05756 + C00011 + C00229</t>
  </si>
  <si>
    <t>https://www.genome.jp/entry/R04968</t>
  </si>
  <si>
    <t>C05761 + C01209</t>
  </si>
  <si>
    <t>C05762 + C00011 + C00229</t>
  </si>
  <si>
    <t>https://www.genome.jp/entry/R07762</t>
  </si>
  <si>
    <t xml:space="preserve">C05764 + C01209 </t>
  </si>
  <si>
    <t>C16219 + C00229 + C00011</t>
  </si>
  <si>
    <t>https://www.genome.jp/entry/R10115</t>
  </si>
  <si>
    <t>C19673 + C01209</t>
  </si>
  <si>
    <t>C20372 + C00011 + C00229</t>
  </si>
  <si>
    <t>https://www.genome.jp/entry/R10119</t>
  </si>
  <si>
    <t>C20375 + C01209</t>
  </si>
  <si>
    <t>C20376 + C00011 + C00229</t>
  </si>
  <si>
    <t>6.4.1.2</t>
  </si>
  <si>
    <t>https://www.genome.jp/entry/6.4.1.2</t>
  </si>
  <si>
    <t>https://www.genome.jp/entry/R00742</t>
  </si>
  <si>
    <t>C00002 + C00024 + C00288</t>
  </si>
  <si>
    <t>C00008 + C00009 + C00083</t>
  </si>
  <si>
    <t>4.2.1.59</t>
  </si>
  <si>
    <t>https://www.genome.jp/entry/4.2.1.59</t>
  </si>
  <si>
    <t>https://www.genome.jp/entry/R10208</t>
  </si>
  <si>
    <t>C01271</t>
  </si>
  <si>
    <t>C00693 + C00001</t>
  </si>
  <si>
    <t>https://www.genome.jp/entry/R04428</t>
  </si>
  <si>
    <t>C04618</t>
  </si>
  <si>
    <t>C04246 + C00001</t>
  </si>
  <si>
    <t>https://www.genome.jp/entry/R04535</t>
  </si>
  <si>
    <t>C04619</t>
  </si>
  <si>
    <t>C05754 + C00001</t>
  </si>
  <si>
    <t>https://www.genome.jp/entry/R04537</t>
  </si>
  <si>
    <t>C04620</t>
  </si>
  <si>
    <t>C05751 + C00001</t>
  </si>
  <si>
    <t>https://www.genome.jp/entry/R04544</t>
  </si>
  <si>
    <t>C04633</t>
  </si>
  <si>
    <t>C05763 + C00001</t>
  </si>
  <si>
    <t>https://www.genome.jp/entry/R04568</t>
  </si>
  <si>
    <t>C04688</t>
  </si>
  <si>
    <t>C05760 + C00001</t>
  </si>
  <si>
    <t>https://www.genome.jp/entry/R04954</t>
  </si>
  <si>
    <t>C05747</t>
  </si>
  <si>
    <t>C05748 + C00001</t>
  </si>
  <si>
    <t>https://www.genome.jp/entry/R04965</t>
  </si>
  <si>
    <t>C05757</t>
  </si>
  <si>
    <t>C05758 + C00001</t>
  </si>
  <si>
    <t>https://www.genome.jp/entry/R10117</t>
  </si>
  <si>
    <t>C20373</t>
  </si>
  <si>
    <t>C20374 + C00001</t>
  </si>
  <si>
    <t>https://www.genome.jp/entry/R10121</t>
  </si>
  <si>
    <t>C20377</t>
  </si>
  <si>
    <t>C20378 + C00001</t>
  </si>
  <si>
    <t xml:space="preserve">https://www.genome.jp/entry/R00742 </t>
  </si>
  <si>
    <t>6.1.1.11</t>
  </si>
  <si>
    <t>https://www.genome.jp/entry/6.1.1.11</t>
  </si>
  <si>
    <t>https://www.genome.jp/entry/R03662</t>
  </si>
  <si>
    <t>https://www.genome.jp/entry/R08218</t>
  </si>
  <si>
    <t>3.1.3.-</t>
  </si>
  <si>
    <t>2.3.-.-</t>
  </si>
  <si>
    <t>2.7.1.15</t>
  </si>
  <si>
    <t>2.7.1.229</t>
  </si>
  <si>
    <t>https://www.genome.jp/entry/2.7.1.15</t>
  </si>
  <si>
    <t>https://www.genome.jp/entry/R01051</t>
  </si>
  <si>
    <t>https://www.genome.jp/entry/R02750</t>
  </si>
  <si>
    <t>https://www.genome.jp/entry/2.7.1.229</t>
  </si>
  <si>
    <t>2.1.1.33</t>
  </si>
  <si>
    <t>https://www.genome.jp/entry/2.1.1.33</t>
  </si>
  <si>
    <t>https://www.genome.jp/entry/R00600</t>
  </si>
  <si>
    <t>https://www.genome.jp/entry/2.7.1.144</t>
  </si>
  <si>
    <t>2.7.1.144</t>
  </si>
  <si>
    <t>https://www.genome.jp/entry/R03236</t>
  </si>
  <si>
    <t>4.1.2.40</t>
  </si>
  <si>
    <t>https://www.genome.jp/entry/4.1.2.40</t>
  </si>
  <si>
    <t>https://www.genome.jp/entry/R01069</t>
  </si>
  <si>
    <t>C00111 + C00118</t>
  </si>
  <si>
    <t>2.7.1.207</t>
  </si>
  <si>
    <t>https://www.genome.jp/entry/2.7.1.207</t>
  </si>
  <si>
    <t>https://www.genome.jp/entry/R04393</t>
  </si>
  <si>
    <t>C04261 + C00243</t>
  </si>
  <si>
    <t>C00615 + C05396</t>
  </si>
  <si>
    <t>https://www.genome.jp/entry/R06237</t>
  </si>
  <si>
    <t>C04261 + G10504</t>
  </si>
  <si>
    <t>C00615 + G10517</t>
  </si>
  <si>
    <t>3.2.1.85</t>
  </si>
  <si>
    <t>https://www.genome.jp/entry/3.2.1.85</t>
  </si>
  <si>
    <t>https://www.genome.jp/entry/R03255</t>
  </si>
  <si>
    <t>C03847 + C00001</t>
  </si>
  <si>
    <t>C00069 + C01113</t>
  </si>
  <si>
    <t>https://www.genome.jp/entry/R03256</t>
  </si>
  <si>
    <t>C05396 + C00001</t>
  </si>
  <si>
    <t>C00221 + C01113</t>
  </si>
  <si>
    <t>G10517 + C00001</t>
  </si>
  <si>
    <t>https://www.genome.jp/entry/R06110</t>
  </si>
  <si>
    <t xml:space="preserve">https://www.genome.jp/entry/2.7.1.15 </t>
  </si>
  <si>
    <t>5.4.99.62</t>
  </si>
  <si>
    <t>https://www.genome.jp/entry/5.4.99.62</t>
  </si>
  <si>
    <t>https://www.genome.jp/entry/R08247</t>
  </si>
  <si>
    <t>3.5.1.25</t>
  </si>
  <si>
    <t>https://www.genome.jp/entry/3.5.1.25</t>
  </si>
  <si>
    <t>https://www.genome.jp/entry/R02059</t>
  </si>
  <si>
    <t>1.1.1.-</t>
  </si>
  <si>
    <t>6.1.1.14</t>
  </si>
  <si>
    <t>https://www.genome.jp/entry/R03654</t>
  </si>
  <si>
    <t>https://www.genome.jp/entry/6.1.1.14</t>
  </si>
  <si>
    <t>3.1.11.2</t>
  </si>
  <si>
    <t>https://www.genome.jp/entry/3.1.11.2</t>
  </si>
  <si>
    <t>6.1.1.10</t>
  </si>
  <si>
    <t>https://www.genome.jp/entry/6.1.1.10</t>
  </si>
  <si>
    <t>https://www.genome.jp/entry/R03659</t>
  </si>
  <si>
    <t>https://www.genome.jp/entry/R04773</t>
  </si>
  <si>
    <t>1.17.4.1</t>
  </si>
  <si>
    <t>https://www.genome.jp/entry/1.17.4.1</t>
  </si>
  <si>
    <t>https://www.genome.jp/entry/R04294</t>
  </si>
  <si>
    <t>https://www.genome.jp/entry/R02017</t>
  </si>
  <si>
    <t>https://www.genome.jp/entry/R02018</t>
  </si>
  <si>
    <t>https://www.genome.jp/entry/R02019</t>
  </si>
  <si>
    <t>https://www.genome.jp/entry/R02024</t>
  </si>
  <si>
    <t>https://www.genome.jp/entry/R08363</t>
  </si>
  <si>
    <t>https://www.genome.jp/entry/R08364</t>
  </si>
  <si>
    <r>
      <t>C00677</t>
    </r>
    <r>
      <rPr>
        <sz val="11"/>
        <color theme="1"/>
        <rFont val="Calibri"/>
        <family val="2"/>
        <scheme val="minor"/>
      </rPr>
      <t> + C00039</t>
    </r>
  </si>
  <si>
    <r>
      <t>C00013</t>
    </r>
    <r>
      <rPr>
        <sz val="11"/>
        <color theme="1"/>
        <rFont val="Calibri"/>
        <family val="2"/>
        <scheme val="minor"/>
      </rPr>
      <t> + C00039</t>
    </r>
  </si>
  <si>
    <r>
      <t>C00286</t>
    </r>
    <r>
      <rPr>
        <sz val="11"/>
        <color theme="1"/>
        <rFont val="Calibri"/>
        <family val="2"/>
        <scheme val="minor"/>
      </rPr>
      <t> + C00039</t>
    </r>
  </si>
  <si>
    <t xml:space="preserve"> https://www.genome.jp/entry/R00378</t>
  </si>
  <si>
    <t>https://www.genome.jp/entry/R11893</t>
  </si>
  <si>
    <t>1.8.4.12</t>
  </si>
  <si>
    <t>https://www.genome.jp/entry/1.8.4.12</t>
  </si>
  <si>
    <t>https://www.genome.jp/entry/R07607</t>
  </si>
  <si>
    <t>3.5.3.6</t>
  </si>
  <si>
    <t>https://www.genome.jp/entry/3.5.3.6</t>
  </si>
  <si>
    <t>https://www.genome.jp/entry/R00552</t>
  </si>
  <si>
    <t>C00062 + C00001</t>
  </si>
  <si>
    <t>C00327 + C00014</t>
  </si>
  <si>
    <t>https://www.genome.jp/entry/R06138</t>
  </si>
  <si>
    <t>C06060 + C00001</t>
  </si>
  <si>
    <t>2.1.3.3</t>
  </si>
  <si>
    <t>https://www.genome.jp/entry/2.1.3.3</t>
  </si>
  <si>
    <t>https://www.genome.jp/entry/R01398</t>
  </si>
  <si>
    <t>C00169 + C00077</t>
  </si>
  <si>
    <t>C00009 + C00327</t>
  </si>
  <si>
    <t>2.7.2.2</t>
  </si>
  <si>
    <t>https://www.genome.jp/entry/2.7.2.2</t>
  </si>
  <si>
    <t>https://www.genome.jp/entry/R00150</t>
  </si>
  <si>
    <t>C00002 + C00014 + C00288</t>
  </si>
  <si>
    <t>C00008 + C00169 + C00001</t>
  </si>
  <si>
    <t>https://www.genome.jp/entry/R01395</t>
  </si>
  <si>
    <t>https://www.genome.jp/entry/R12185</t>
  </si>
  <si>
    <t>C00014 + C00288</t>
  </si>
  <si>
    <t>6.3.1.1</t>
  </si>
  <si>
    <t>https://www.genome.jp/entry/6.3.1.1</t>
  </si>
  <si>
    <t>https://www.genome.jp/entry/R00483</t>
  </si>
  <si>
    <t>2.1.1.171</t>
  </si>
  <si>
    <t>https://www.genome.jp/entry/2.1.1.171</t>
  </si>
  <si>
    <t>https://www.genome.jp/entry/R07234</t>
  </si>
  <si>
    <t>2.7.7.3</t>
  </si>
  <si>
    <t>https://www.genome.jp/entry/R03035</t>
  </si>
  <si>
    <t>https://www.genome.jp/entry/2.7.7.3</t>
  </si>
  <si>
    <t>2.1.1.192</t>
  </si>
  <si>
    <t>1.16.-.-</t>
  </si>
  <si>
    <t>2.7.1.2</t>
  </si>
  <si>
    <t>https://www.genome.jp/entry/R00299</t>
  </si>
  <si>
    <t>C00002 + C00031</t>
  </si>
  <si>
    <t>C00008 + C00092</t>
  </si>
  <si>
    <t>https://www.genome.jp/entry/2.7.1.2</t>
  </si>
  <si>
    <t xml:space="preserve">https://www.genome.jp/entry/2.7.1.2 </t>
  </si>
  <si>
    <t>https://www.genome.jp/entry/R01600</t>
  </si>
  <si>
    <t>C00002 + C00221</t>
  </si>
  <si>
    <t>C00008 + C01172</t>
  </si>
  <si>
    <t>https://www.genome.jp/entry/R01786</t>
  </si>
  <si>
    <t>C00002 + C00267</t>
  </si>
  <si>
    <t>C00008 + C00668</t>
  </si>
  <si>
    <t>6.3.2.9</t>
  </si>
  <si>
    <t>https://www.genome.jp/entry/6.3.2.9</t>
  </si>
  <si>
    <t>https://www.genome.jp/entry/R02783</t>
  </si>
  <si>
    <t>2.4.1.227</t>
  </si>
  <si>
    <t>https://www.genome.jp/entry/2.4.1.227</t>
  </si>
  <si>
    <t>https://www.genome.jp/entry/R05662</t>
  </si>
  <si>
    <t>https://www.genome.jp/entry/R06173</t>
  </si>
  <si>
    <t>G10552 + G10610</t>
  </si>
  <si>
    <t>G10553 + G10619</t>
  </si>
  <si>
    <t>https://www.genome.jp/entry/R05032</t>
  </si>
  <si>
    <t>https://www.genome.jp/entry/R06172</t>
  </si>
  <si>
    <t>G10551 + G10610</t>
  </si>
  <si>
    <t>G10550 + G10619</t>
  </si>
  <si>
    <t>https://www.genome.jp/entry/R06174</t>
  </si>
  <si>
    <t>G10556 + G10610</t>
  </si>
  <si>
    <t>G10555 + G10619</t>
  </si>
  <si>
    <t>6.1.1.5</t>
  </si>
  <si>
    <t>https://www.genome.jp/entry/6.1.1.5</t>
  </si>
  <si>
    <t>https://www.genome.jp/entry/R03656</t>
  </si>
  <si>
    <t>5.4.2.-</t>
  </si>
  <si>
    <t>3.1.11.6</t>
  </si>
  <si>
    <t>https://www.genome.jp/entry/3.1.11.6</t>
  </si>
  <si>
    <t>2.5.1.-</t>
  </si>
  <si>
    <t>1.3.98.1</t>
  </si>
  <si>
    <t>https://www.genome.jp/entry/1.3.98.1</t>
  </si>
  <si>
    <t>https://www.genome.jp/entry/R01867</t>
  </si>
  <si>
    <t>C00337 + C00122</t>
  </si>
  <si>
    <t>C00295 + C00042</t>
  </si>
  <si>
    <t>5.4.2.12</t>
  </si>
  <si>
    <t>https://www.genome.jp/entry/R01518</t>
  </si>
  <si>
    <t>https://www.genome.jp/entry/5.4.2.12</t>
  </si>
  <si>
    <t>6.3.2.4</t>
  </si>
  <si>
    <t>https://www.genome.jp/entry/6.3.2.4</t>
  </si>
  <si>
    <t>https://www.genome.jp/entry/R01150</t>
  </si>
  <si>
    <t>C00002 + C00133</t>
  </si>
  <si>
    <t>C00008 + C00009 + C00993</t>
  </si>
  <si>
    <t>6.3.2.10</t>
  </si>
  <si>
    <t>https://www.genome.jp/entry/6.3.2.10</t>
  </si>
  <si>
    <t>https://www.genome.jp/entry/R04573</t>
  </si>
  <si>
    <t>https://www.genome.jp/entry/R04617</t>
  </si>
  <si>
    <t>3.6.4.-</t>
  </si>
  <si>
    <t>2.1.1.223</t>
  </si>
  <si>
    <t>1.15.1.1</t>
  </si>
  <si>
    <t>https://www.genome.jp/entry/R00275</t>
  </si>
  <si>
    <t>C00704 + C00080</t>
  </si>
  <si>
    <t>C00027 + C00007</t>
  </si>
  <si>
    <t>https://www.genome.jp/entry/1.15.1.1</t>
  </si>
  <si>
    <t>2.4.99.17</t>
  </si>
  <si>
    <t>https://www.genome.jp/entry/2.4.99.17</t>
  </si>
  <si>
    <t>https://www.genome.jp/entry/R10220</t>
  </si>
  <si>
    <t>C00019 + C20446</t>
  </si>
  <si>
    <t>C00073 + C00147 + C19647</t>
  </si>
  <si>
    <t>3.5.99.6</t>
  </si>
  <si>
    <t>https://www.genome.jp/entry/3.5.99.6</t>
  </si>
  <si>
    <t>https://www.genome.jp/entry/R00765</t>
  </si>
  <si>
    <t>2.1.1.-</t>
  </si>
  <si>
    <t>2.1.-.-</t>
  </si>
  <si>
    <t>5.2.1.8</t>
  </si>
  <si>
    <t>https://www.genome.jp/entry/R04273</t>
  </si>
  <si>
    <t xml:space="preserve">C03798 </t>
  </si>
  <si>
    <t>https://www.genome.jp/entry/5.2.1.8</t>
  </si>
  <si>
    <t>6.1.1.7</t>
  </si>
  <si>
    <t>https://www.genome.jp/entry/6.1.1.7</t>
  </si>
  <si>
    <t>https://www.genome.jp/entry/R03038</t>
  </si>
  <si>
    <t>2.7.1.48</t>
  </si>
  <si>
    <t>https://www.genome.jp/entry/2.7.1.48</t>
  </si>
  <si>
    <t>https://www.genome.jp/entry/R00513</t>
  </si>
  <si>
    <t>https://www.genome.jp/entry/R00964</t>
  </si>
  <si>
    <t>https://www.genome.jp/entry/R00517</t>
  </si>
  <si>
    <t>https://www.genome.jp/entry/R00968</t>
  </si>
  <si>
    <t>https://www.genome.jp/entry/R08232</t>
  </si>
  <si>
    <t>6.3.4.15</t>
  </si>
  <si>
    <t>https://www.genome.jp/entry/6.3.4.15</t>
  </si>
  <si>
    <t>https://www.genome.jp/entry/R04562</t>
  </si>
  <si>
    <t>C00002 + C00120 + C04735</t>
  </si>
  <si>
    <t>C00020 + C00013 + C04681</t>
  </si>
  <si>
    <t>C00002 + C00120</t>
  </si>
  <si>
    <t>C00013 + C05921</t>
  </si>
  <si>
    <t>https://www.genome.jp/entry/R01074</t>
  </si>
  <si>
    <t>https://www.genome.jp/entry/R05145</t>
  </si>
  <si>
    <t>C05921 + C06249</t>
  </si>
  <si>
    <t>C00020 + C06250</t>
  </si>
  <si>
    <t>2.5.1.6</t>
  </si>
  <si>
    <t>https://www.genome.jp/entry/R00177</t>
  </si>
  <si>
    <t>https://www.genome.jp/entry/2.5.1.6</t>
  </si>
  <si>
    <t>https://www.genome.jp/entry/R04771</t>
  </si>
  <si>
    <t>2.5.1.7</t>
  </si>
  <si>
    <t>https://www.genome.jp/entry/2.5.1.7</t>
  </si>
  <si>
    <t>https://www.genome.jp/entry/R00660</t>
  </si>
  <si>
    <t>3.2.1.31</t>
  </si>
  <si>
    <t>https://www.genome.jp/entry/3.2.1.31</t>
  </si>
  <si>
    <t>https://www.genome.jp/entry/R01478</t>
  </si>
  <si>
    <t>C00001 + C03033</t>
  </si>
  <si>
    <t>C00191 + C00069</t>
  </si>
  <si>
    <t>https://www.genome.jp/entry/R07818</t>
  </si>
  <si>
    <t>G13040 + C00001</t>
  </si>
  <si>
    <t>G09660 + C00191</t>
  </si>
  <si>
    <t>C11376 + C00001</t>
  </si>
  <si>
    <t>C11173 + C00191</t>
  </si>
  <si>
    <t>https://www.genome.jp/entry/R08260</t>
  </si>
  <si>
    <t>https://www.genome.jp/entry/R10830</t>
  </si>
  <si>
    <t>G00526 + C00001</t>
  </si>
  <si>
    <t>G00711 + C00191</t>
  </si>
  <si>
    <t>https://www.genome.jp/entry/R04979</t>
  </si>
  <si>
    <t xml:space="preserve">C05787 + C00001 + C00030 </t>
  </si>
  <si>
    <t>C05791 + C00191 + C00028</t>
  </si>
  <si>
    <t>https://www.genome.jp/entry/R08127</t>
  </si>
  <si>
    <t>C04900 + C00001</t>
  </si>
  <si>
    <t>C12632 + C00191</t>
  </si>
  <si>
    <t>4.1.2.14</t>
  </si>
  <si>
    <t>https://www.genome.jp/entry/4.1.2.14</t>
  </si>
  <si>
    <t>https://www.genome.jp/entry/R05605</t>
  </si>
  <si>
    <t>C04442</t>
  </si>
  <si>
    <t>C00118 + C00022</t>
  </si>
  <si>
    <t>https://www.genome.jp/entry/4.1.3.16</t>
  </si>
  <si>
    <t>4.1.3.16</t>
  </si>
  <si>
    <t>https://www.genome.jp/entry/R00470</t>
  </si>
  <si>
    <t>C01127</t>
  </si>
  <si>
    <t>C00022 + C00048</t>
  </si>
  <si>
    <t>https://www.genome.jp/entry/R00471</t>
  </si>
  <si>
    <t>https://www.genome.jp/entry/R10283</t>
  </si>
  <si>
    <t>C20485</t>
  </si>
  <si>
    <t>5.3.1.12</t>
  </si>
  <si>
    <t>https://www.genome.jp/entry/5.3.1.12</t>
  </si>
  <si>
    <t>https://www.genome.jp/entry/R01482</t>
  </si>
  <si>
    <t>C00905</t>
  </si>
  <si>
    <t>C00191</t>
  </si>
  <si>
    <t>https://www.genome.jp/entry/R01983</t>
  </si>
  <si>
    <t>C00333</t>
  </si>
  <si>
    <t>C00558</t>
  </si>
  <si>
    <t>4.2.1.8</t>
  </si>
  <si>
    <t>https://www.genome.jp/entry/4.2.1.8</t>
  </si>
  <si>
    <t>https://www.genome.jp/entry/R05606</t>
  </si>
  <si>
    <t>C00514</t>
  </si>
  <si>
    <t>C00204 + C00001</t>
  </si>
  <si>
    <t>2.5.1.19</t>
  </si>
  <si>
    <t>https://www.genome.jp/entry/2.5.1.19</t>
  </si>
  <si>
    <t>https://www.genome.jp/entry/R03460</t>
  </si>
  <si>
    <t>C00074 + C03175</t>
  </si>
  <si>
    <t>C00009 + C01269</t>
  </si>
  <si>
    <t>2.7.1.71</t>
  </si>
  <si>
    <t>https://www.genome.jp/entry/2.7.1.71</t>
  </si>
  <si>
    <t>https://www.genome.jp/entry/R02412</t>
  </si>
  <si>
    <t>C00002 + C00493</t>
  </si>
  <si>
    <t>C00008 + C03175</t>
  </si>
  <si>
    <t>2.1.1.190</t>
  </si>
  <si>
    <t>https://www.genome.jp/entry/2.1.1.190</t>
  </si>
  <si>
    <t>2.7.7.49</t>
  </si>
  <si>
    <t>https://www.genome.jp/entry/2.7.7.49</t>
  </si>
  <si>
    <t>1.11.1.-</t>
  </si>
  <si>
    <t>4.1.1.31</t>
  </si>
  <si>
    <t>https://www.genome.jp/entry/4.1.1.31</t>
  </si>
  <si>
    <t>https://www.genome.jp/entry/R00345</t>
  </si>
  <si>
    <t>C00001 + C00074 + C00011</t>
  </si>
  <si>
    <t>https://www.genome.jp/entry/6.1.1.22</t>
  </si>
  <si>
    <t>6.1.1.22</t>
  </si>
  <si>
    <t>https://www.genome.jp/entry/R03648</t>
  </si>
  <si>
    <t>C00002 + C00152 + C01637</t>
  </si>
  <si>
    <t>C00020 + C00013 + C03402</t>
  </si>
  <si>
    <t>3.4.13.-</t>
  </si>
  <si>
    <t>3.5.4.4</t>
  </si>
  <si>
    <t>https://www.genome.jp/entry/3.5.4.4</t>
  </si>
  <si>
    <t>https://www.genome.jp/entry/R01560</t>
  </si>
  <si>
    <t>https://www.genome.jp/entry/R02556</t>
  </si>
  <si>
    <t>5.4.99.5</t>
  </si>
  <si>
    <t>https://www.genome.jp/entry/5.4.99.5</t>
  </si>
  <si>
    <t>https://www.genome.jp/entry/R01715</t>
  </si>
  <si>
    <t>C00251</t>
  </si>
  <si>
    <t>C00254</t>
  </si>
  <si>
    <t>00342 + C00008</t>
  </si>
  <si>
    <t>2.7.3.9</t>
  </si>
  <si>
    <t>https://www.genome.jp/entry/2.7.3.9</t>
  </si>
  <si>
    <t>https://www.genome.jp/entry/R02628</t>
  </si>
  <si>
    <t>2.4.99.28</t>
  </si>
  <si>
    <t>https://www.genome.jp/entry/2.4.99.28</t>
  </si>
  <si>
    <t>https://www.genome.jp/entry/R06178</t>
  </si>
  <si>
    <t>https://www.genome.jp/entry/R06179</t>
  </si>
  <si>
    <t>G10553 + G10554</t>
  </si>
  <si>
    <t>C04574 + G10554</t>
  </si>
  <si>
    <t>https://www.genome.jp/entry/R04519</t>
  </si>
  <si>
    <t>https://www.genome.jp/entry/R06177</t>
  </si>
  <si>
    <t>G10555 + G10557</t>
  </si>
  <si>
    <t>C04574 + G10557</t>
  </si>
  <si>
    <t>5.6.2.2</t>
  </si>
  <si>
    <t>https://www.genome.jp/entry/5.6.2.2</t>
  </si>
  <si>
    <t>4.2.1.11</t>
  </si>
  <si>
    <t>https://www.genome.jp/entry/4.2.1.11</t>
  </si>
  <si>
    <t>https://www.genome.jp/entry/R00658</t>
  </si>
  <si>
    <t>https://www.genome.jp/entry/R04206</t>
  </si>
  <si>
    <t>6.5.1.2</t>
  </si>
  <si>
    <t>https://www.genome.jp/entry/6.5.1.2</t>
  </si>
  <si>
    <t>https://www.genome.jp/entry/R00382</t>
  </si>
  <si>
    <t>2.7.1.107</t>
  </si>
  <si>
    <t>https://www.genome.jp/entry/2.7.1.107</t>
  </si>
  <si>
    <t>https://www.genome.jp/entry/R02240</t>
  </si>
  <si>
    <t>C00002 + C00641</t>
  </si>
  <si>
    <t>C00008 + C00416</t>
  </si>
  <si>
    <t>3.2.1.41</t>
  </si>
  <si>
    <t>https://www.genome.jp/entry/3.2.1.41</t>
  </si>
  <si>
    <t>2.7.7.27</t>
  </si>
  <si>
    <t>https://www.genome.jp/entry/2.7.7.27</t>
  </si>
  <si>
    <t>https://www.genome.jp/entry/R00948</t>
  </si>
  <si>
    <t>2.4.1.21</t>
  </si>
  <si>
    <t>https://www.genome.jp/entry/2.4.1.21</t>
  </si>
  <si>
    <t>https://www.genome.jp/entry/R02421</t>
  </si>
  <si>
    <t>https://www.genome.jp/entry/R06049</t>
  </si>
  <si>
    <t>G10495 + G11109</t>
  </si>
  <si>
    <t>G10495 + G11113</t>
  </si>
  <si>
    <t>2.4.1.1</t>
  </si>
  <si>
    <t>https://www.genome.jp/entry/2.4.1.1</t>
  </si>
  <si>
    <t>https://www.genome.jp/entry/R01821</t>
  </si>
  <si>
    <t>https://www.genome.jp/entry/R06050</t>
  </si>
  <si>
    <t>G10495 + C00009</t>
  </si>
  <si>
    <t>G10495 + C00103</t>
  </si>
  <si>
    <t>https://www.genome.jp/entry/R02111</t>
  </si>
  <si>
    <t>https://www.genome.jp/entry/R06185</t>
  </si>
  <si>
    <t>G10545 + C00009</t>
  </si>
  <si>
    <t>7.1.2.2</t>
  </si>
  <si>
    <t>https://www.genome.jp/entry/7.1.2.2</t>
  </si>
  <si>
    <t>https://www.genome.jp/entry/R00086</t>
  </si>
  <si>
    <t>3.1.30.-</t>
  </si>
  <si>
    <t>6.1.1.20</t>
  </si>
  <si>
    <t>https://www.genome.jp/entry/6.1.1.20</t>
  </si>
  <si>
    <t>https://www.genome.jp/entry/R03660</t>
  </si>
  <si>
    <t>3.4.22.-</t>
  </si>
  <si>
    <t>1.1.1.133</t>
  </si>
  <si>
    <t>https://www.genome.jp/entry/1.1.1.133</t>
  </si>
  <si>
    <t>https://www.genome.jp/entry/R02777</t>
  </si>
  <si>
    <t>C03319 + C00006</t>
  </si>
  <si>
    <t>C00688 + C00005 + C00080</t>
  </si>
  <si>
    <t>2.7.8.-</t>
  </si>
  <si>
    <t>5.1.3.2</t>
  </si>
  <si>
    <t>https://www.genome.jp/entry/5.1.3.2</t>
  </si>
  <si>
    <t>https://www.genome.jp/entry/R00291</t>
  </si>
  <si>
    <t>https://www.genome.jp/entry/R00418</t>
  </si>
  <si>
    <t>https://www.genome.jp/entry/R02984</t>
  </si>
  <si>
    <t>3.4.11.4</t>
  </si>
  <si>
    <t>2.7.4.25</t>
  </si>
  <si>
    <t>https://www.genome.jp/entry/2.7.4.25</t>
  </si>
  <si>
    <t>https://www.genome.jp/entry/R00512</t>
  </si>
  <si>
    <t>https://www.genome.jp/entry/R01665</t>
  </si>
  <si>
    <t>4.2.1.10</t>
  </si>
  <si>
    <t>https://www.genome.jp/entry/R03084</t>
  </si>
  <si>
    <t>C00944</t>
  </si>
  <si>
    <t>C02637 + C00001</t>
  </si>
  <si>
    <t>https://www.genome.jp/entry/4.2.1.10</t>
  </si>
  <si>
    <t>4.2.3.5</t>
  </si>
  <si>
    <t>https://www.genome.jp/entry/4.2.3.5</t>
  </si>
  <si>
    <t>https://www.genome.jp/entry/R01714</t>
  </si>
  <si>
    <t>C01269</t>
  </si>
  <si>
    <t>C00251 + C00009</t>
  </si>
  <si>
    <t>1.8.1.7</t>
  </si>
  <si>
    <t>https://www.genome.jp/entry/1.8.1.7</t>
  </si>
  <si>
    <t>https://www.genome.jp/entry/R00115</t>
  </si>
  <si>
    <t>C00051 + C00006</t>
  </si>
  <si>
    <t>C00127 + C00005 + C00080</t>
  </si>
  <si>
    <t>https://www.genome.jp/entry/R00094</t>
  </si>
  <si>
    <t>C00051 + C00003</t>
  </si>
  <si>
    <t>C00127 + C00004 + C00080</t>
  </si>
  <si>
    <t>2.8.1.4</t>
  </si>
  <si>
    <t>https://www.genome.jp/entry/2.8.1.4</t>
  </si>
  <si>
    <t>https://www.genome.jp/entry/R03923</t>
  </si>
  <si>
    <t>https://www.genome.jp/entry/R07461</t>
  </si>
  <si>
    <t>2.7.7.-</t>
  </si>
  <si>
    <t>2.1.1.72</t>
  </si>
  <si>
    <t>https://www.genome.jp/entry/2.1.1.72</t>
  </si>
  <si>
    <t>https://www.genome.jp/entry/R02961</t>
  </si>
  <si>
    <t>C00019 + C00821</t>
  </si>
  <si>
    <t>C00021 + C03391</t>
  </si>
  <si>
    <t>2.7.2.1</t>
  </si>
  <si>
    <t>2.7.1.11</t>
  </si>
  <si>
    <t>https://www.genome.jp/entry/R04779</t>
  </si>
  <si>
    <t>C00002 + C05345</t>
  </si>
  <si>
    <t>https://www.genome.jp/entry/2.7.1.11</t>
  </si>
  <si>
    <t>https://www.genome.jp/entry/R00756</t>
  </si>
  <si>
    <t>https://www.genome.jp/entry/R00767</t>
  </si>
  <si>
    <t>https://www.genome.jp/entry/R00769</t>
  </si>
  <si>
    <t>https://www.genome.jp/entry/R00770</t>
  </si>
  <si>
    <t>https://www.genome.jp/entry/R01843</t>
  </si>
  <si>
    <t>https://www.genome.jp/entry/R03237</t>
  </si>
  <si>
    <t>https://www.genome.jp/entry/R03238</t>
  </si>
  <si>
    <t>https://www.genome.jp/entry/R03239</t>
  </si>
  <si>
    <t>2.7.1.40</t>
  </si>
  <si>
    <t>https://www.genome.jp/entry/2.7.1.40</t>
  </si>
  <si>
    <t>https://www.genome.jp/entry/R00200</t>
  </si>
  <si>
    <t>https://www.genome.jp/entry/R00430</t>
  </si>
  <si>
    <t>https://www.genome.jp/entry/R00572</t>
  </si>
  <si>
    <t>https://www.genome.jp/entry/R00659</t>
  </si>
  <si>
    <t>https://www.genome.jp/entry/R00724</t>
  </si>
  <si>
    <t>https://www.genome.jp/entry/R01138</t>
  </si>
  <si>
    <t>https://www.genome.jp/entry/R01858</t>
  </si>
  <si>
    <t>https://www.genome.jp/entry/R02320</t>
  </si>
  <si>
    <t>2.6.1.16</t>
  </si>
  <si>
    <t>https://www.genome.jp/entry/2.6.1.16</t>
  </si>
  <si>
    <t>https://www.genome.jp/entry/R00768</t>
  </si>
  <si>
    <t>5.4.99.25</t>
  </si>
  <si>
    <t>https://www.genome.jp/entry/5.4.99.25</t>
  </si>
  <si>
    <t>2.7.1.26</t>
  </si>
  <si>
    <t>https://www.genome.jp/entry/2.7.1.26</t>
  </si>
  <si>
    <t>https://www.genome.jp/entry/R00549</t>
  </si>
  <si>
    <t>2.7.7.2</t>
  </si>
  <si>
    <t>https://www.genome.jp/entry/2.7.7.2</t>
  </si>
  <si>
    <t>https://www.genome.jp/entry/R00161</t>
  </si>
  <si>
    <t>7.3.2.1</t>
  </si>
  <si>
    <t>https://www.genome.jp/entry/7.3.2.1</t>
  </si>
  <si>
    <t>3.4.11.-</t>
  </si>
  <si>
    <t>2.7.1.33</t>
  </si>
  <si>
    <t>https://www.genome.jp/entry/2.7.1.33</t>
  </si>
  <si>
    <t>https://www.genome.jp/entry/R03018</t>
  </si>
  <si>
    <t>https://www.genome.jp/entry/R02971</t>
  </si>
  <si>
    <t>https://www.genome.jp/entry/R04391</t>
  </si>
  <si>
    <t>2.4.2.2</t>
  </si>
  <si>
    <t>https://www.genome.jp/entry/2.4.2.2</t>
  </si>
  <si>
    <t>https://www.genome.jp/entry/R01570</t>
  </si>
  <si>
    <t>C00178 + C00672</t>
  </si>
  <si>
    <t>https://www.genome.jp/entry/R01876</t>
  </si>
  <si>
    <t>C00106 + C00620</t>
  </si>
  <si>
    <t>https://www.genome.jp/entry/R02296</t>
  </si>
  <si>
    <t>C00380 + C00620</t>
  </si>
  <si>
    <t>https://www.genome.jp/entry/R02484</t>
  </si>
  <si>
    <t>C00106 + C00672</t>
  </si>
  <si>
    <t>https://www.genome.jp/entry/R02298</t>
  </si>
  <si>
    <t>C00396 + C00620 + C00080</t>
  </si>
  <si>
    <t>C03169 + C00009</t>
  </si>
  <si>
    <t>4.1.2.4</t>
  </si>
  <si>
    <t>https://www.genome.jp/entry/R01066</t>
  </si>
  <si>
    <t>https://www.genome.jp/entry/4.1.2.4</t>
  </si>
  <si>
    <t>3.5.4.5</t>
  </si>
  <si>
    <t>https://www.genome.jp/entry/3.5.4.5</t>
  </si>
  <si>
    <t>https://www.genome.jp/entry/R01878</t>
  </si>
  <si>
    <t>C00475 + C00001</t>
  </si>
  <si>
    <t>C00299 + C00014</t>
  </si>
  <si>
    <t>https://www.genome.jp/entry/R02485</t>
  </si>
  <si>
    <t>C00881 + C00001</t>
  </si>
  <si>
    <t>C00526 + C00014</t>
  </si>
  <si>
    <t>https://www.genome.jp/entry/R08221</t>
  </si>
  <si>
    <t>C16635 + C00001</t>
  </si>
  <si>
    <t>C12739 + C00014</t>
  </si>
  <si>
    <t>4.1.1.36</t>
  </si>
  <si>
    <t>https://www.genome.jp/entry/4.1.1.36</t>
  </si>
  <si>
    <t>https://www.genome.jp/entry/R03269</t>
  </si>
  <si>
    <t>6.3.2.5</t>
  </si>
  <si>
    <t>https://www.genome.jp/entry/6.3.2.5</t>
  </si>
  <si>
    <t>https://www.genome.jp/entry/R04231</t>
  </si>
  <si>
    <t>6.3.4.3</t>
  </si>
  <si>
    <t>https://www.genome.jp/entry/6.3.4.3</t>
  </si>
  <si>
    <t>https://www.genome.jp/entry/R00943</t>
  </si>
  <si>
    <t>1.2.1.11</t>
  </si>
  <si>
    <t>https://www.genome.jp/entry/1.2.1.11</t>
  </si>
  <si>
    <t>https://www.genome.jp/entry/R02291</t>
  </si>
  <si>
    <t>2.7.1.35</t>
  </si>
  <si>
    <t>https://www.genome.jp/entry/2.7.1.35</t>
  </si>
  <si>
    <t>https://www.genome.jp/entry/R00174</t>
  </si>
  <si>
    <t>C00002 + C00250</t>
  </si>
  <si>
    <t>C00008 + C00018</t>
  </si>
  <si>
    <t>https://www.genome.jp/entry/R01909</t>
  </si>
  <si>
    <t>C00002 + C00314</t>
  </si>
  <si>
    <t>C00008 + C00627</t>
  </si>
  <si>
    <t>https://www.genome.jp/entry/R02493</t>
  </si>
  <si>
    <t>C00002 + C00534</t>
  </si>
  <si>
    <t>C00008 + C00647</t>
  </si>
  <si>
    <t>3.1.26.4</t>
  </si>
  <si>
    <t>https://www.genome.jp/entry/3.1.26.4</t>
  </si>
  <si>
    <t>6.2.1.22</t>
  </si>
  <si>
    <t>https://www.genome.jp/entry/6.2.1.22</t>
  </si>
  <si>
    <t>https://www.genome.jp/entry/R04449</t>
  </si>
  <si>
    <t>2.4.2.52</t>
  </si>
  <si>
    <t>https://www.genome.jp/entry/2.4.2.52</t>
  </si>
  <si>
    <t>https://www.genome.jp/entry/R09675</t>
  </si>
  <si>
    <t>7.2.4.-</t>
  </si>
  <si>
    <t>4.1.3.6</t>
  </si>
  <si>
    <t>https://www.genome.jp/entry/4.1.3.6</t>
  </si>
  <si>
    <t>https://www.genome.jp/entry/R00362</t>
  </si>
  <si>
    <t>4.1.3.34</t>
  </si>
  <si>
    <t>https://www.genome.jp/entry/4.1.3.34</t>
  </si>
  <si>
    <t>https://www.genome.jp/entry/R00354</t>
  </si>
  <si>
    <t>2.8.3.10</t>
  </si>
  <si>
    <t>https://www.genome.jp/entry/2.8.3.10</t>
  </si>
  <si>
    <t>https://www.genome.jp/entry/R01323</t>
  </si>
  <si>
    <t>2.7.7.61</t>
  </si>
  <si>
    <t>https://www.genome.jp/entry/2.7.7.61</t>
  </si>
  <si>
    <t>https://www.genome.jp/entry/R10706</t>
  </si>
  <si>
    <t>4.1.1.112</t>
  </si>
  <si>
    <t>https://www.genome.jp/entry/4.1.1.112</t>
  </si>
  <si>
    <t>https://www.genome.jp/entry/R00217</t>
  </si>
  <si>
    <t>C00022 + C00011</t>
  </si>
  <si>
    <t>https://www.genome.jp/entry/R00995</t>
  </si>
  <si>
    <t>C06030</t>
  </si>
  <si>
    <t>C00109 + C00011</t>
  </si>
  <si>
    <t>3.4.21.88</t>
  </si>
  <si>
    <t>https://www.genome.jp/entry/3.4.21.88</t>
  </si>
  <si>
    <t>6.3.5.2</t>
  </si>
  <si>
    <t>https://www.genome.jp/entry/6.3.5.2</t>
  </si>
  <si>
    <t>https://www.genome.jp/entry/R00256</t>
  </si>
  <si>
    <t>https://www.genome.jp/entry/R01230</t>
  </si>
  <si>
    <t>https://www.genome.jp/entry/R01231</t>
  </si>
  <si>
    <t>https://www.genome.jp/entry/R08244</t>
  </si>
  <si>
    <t>2.3.2.-</t>
  </si>
  <si>
    <t>1.1.1.27</t>
  </si>
  <si>
    <t>https://www.genome.jp/entry/1.1.1.27</t>
  </si>
  <si>
    <t>https://www.genome.jp/entry/R00703</t>
  </si>
  <si>
    <t>C00186 + C00003</t>
  </si>
  <si>
    <t>https://www.genome.jp/entry/R01000</t>
  </si>
  <si>
    <t>https://www.genome.jp/entry/R03104</t>
  </si>
  <si>
    <t>1.6.3.4</t>
  </si>
  <si>
    <t>https://www.genome.jp/entry/1.6.3.4</t>
  </si>
  <si>
    <t>https://www.genome.jp/entry/R10517</t>
  </si>
  <si>
    <t>C00004 + C00080 + C00007</t>
  </si>
  <si>
    <t>C00003 + C00001</t>
  </si>
  <si>
    <t>2.1.2.1</t>
  </si>
  <si>
    <t>https://www.genome.jp/entry/2.1.2.1</t>
  </si>
  <si>
    <t>https://www.genome.jp/entry/R00945</t>
  </si>
  <si>
    <t>https://www.genome.jp/entry/R09099</t>
  </si>
  <si>
    <t>2.7.7.87</t>
  </si>
  <si>
    <t>https://www.genome.jp/entry/2.7.7.87</t>
  </si>
  <si>
    <t>https://www.genome.jp/entry/R10463</t>
  </si>
  <si>
    <t>2.1.1.297</t>
  </si>
  <si>
    <t>https://www.genome.jp/entry/2.1.1.297</t>
  </si>
  <si>
    <t>https://www.genome.jp/entry/R10806</t>
  </si>
  <si>
    <t>2.7.1.21</t>
  </si>
  <si>
    <t>https://www.genome.jp/entry/2.7.1.21</t>
  </si>
  <si>
    <t>https://www.genome.jp/entry/R01567</t>
  </si>
  <si>
    <t>https://www.genome.jp/entry/R02099</t>
  </si>
  <si>
    <t>https://www.genome.jp/entry/R08233</t>
  </si>
  <si>
    <t>5.3.2.6</t>
  </si>
  <si>
    <t>https://www.genome.jp/entry/5.3.2.6</t>
  </si>
  <si>
    <t>https://www.genome.jp/entry/R03966</t>
  </si>
  <si>
    <t>https://www.genome.jp/entry/R05389</t>
  </si>
  <si>
    <t>2.7.1.180</t>
  </si>
  <si>
    <t>https://www.genome.jp/entry/2.7.1.180</t>
  </si>
  <si>
    <t>https://www.genome.jp/entry/R10613</t>
  </si>
  <si>
    <t>C00016 + C19803</t>
  </si>
  <si>
    <t>C20730 + C00020</t>
  </si>
  <si>
    <t>2.4.2.22</t>
  </si>
  <si>
    <t>https://www.genome.jp/entry/2.4.2.22</t>
  </si>
  <si>
    <t>https://www.genome.jp/entry/R02142</t>
  </si>
  <si>
    <t>https://www.genome.jp/entry/R01229</t>
  </si>
  <si>
    <t>1.7.1.7</t>
  </si>
  <si>
    <t>https://www.genome.jp/entry/1.7.1.7</t>
  </si>
  <si>
    <t>https://www.genome.jp/entry/R01134</t>
  </si>
  <si>
    <t>2.3.1.8</t>
  </si>
  <si>
    <t>https://www.genome.jp/entry/2.3.1.8</t>
  </si>
  <si>
    <t>https://www.genome.jp/entry/R00230</t>
  </si>
  <si>
    <t>https://www.genome.jp/entry/R00921</t>
  </si>
  <si>
    <t>2.7.1.23</t>
  </si>
  <si>
    <t>https://www.genome.jp/entry/2.7.1.23</t>
  </si>
  <si>
    <t>https://www.genome.jp/entry/R00104</t>
  </si>
  <si>
    <t>2.7.6.5</t>
  </si>
  <si>
    <t>https://www.genome.jp/entry/2.7.6.5</t>
  </si>
  <si>
    <t>https://www.genome.jp/entry/R00429</t>
  </si>
  <si>
    <t>C00002 + C00044</t>
  </si>
  <si>
    <t>C00020 + C04494</t>
  </si>
  <si>
    <t>3.6.1.25</t>
  </si>
  <si>
    <t>https://www.genome.jp/entry/3.6.1.25</t>
  </si>
  <si>
    <t>https://www.genome.jp/entry/R00138</t>
  </si>
  <si>
    <t>C00536 + C00001</t>
  </si>
  <si>
    <t>C00013 + C00009</t>
  </si>
  <si>
    <t>1.3.1.98</t>
  </si>
  <si>
    <t>https://www.genome.jp/entry/1.3.1.98</t>
  </si>
  <si>
    <t>https://www.genome.jp/entry/R03192</t>
  </si>
  <si>
    <t>https://www.genome.jp/entry/R03191</t>
  </si>
  <si>
    <t>2.7.6.3</t>
  </si>
  <si>
    <t>https://www.genome.jp/entry/2.7.6.3</t>
  </si>
  <si>
    <t>https://www.genome.jp/entry/R03503</t>
  </si>
  <si>
    <t>C00002 + C01300</t>
  </si>
  <si>
    <t>C00020 + C04807</t>
  </si>
  <si>
    <t>4.1.2.25</t>
  </si>
  <si>
    <t>https://www.genome.jp/entry/4.1.2.25</t>
  </si>
  <si>
    <t>https://www.genome.jp/entry/R03504</t>
  </si>
  <si>
    <t>C04874</t>
  </si>
  <si>
    <t>C00266 + C01300</t>
  </si>
  <si>
    <t>2.5.1.15</t>
  </si>
  <si>
    <t>https://www.genome.jp/entry/2.5.1.15</t>
  </si>
  <si>
    <t>https://www.genome.jp/entry/R03067</t>
  </si>
  <si>
    <t>C04807 + C00568</t>
  </si>
  <si>
    <t>C00013 + C00921</t>
  </si>
  <si>
    <t>https://www.genome.jp/entry/R03066</t>
  </si>
  <si>
    <t>C01300 + C00568</t>
  </si>
  <si>
    <t>C00921 + C00001</t>
  </si>
  <si>
    <t>3.5.4.16</t>
  </si>
  <si>
    <t>https://www.genome.jp/entry/3.5.4.16</t>
  </si>
  <si>
    <t>https://www.genome.jp/entry/R00424</t>
  </si>
  <si>
    <t>C00044 + C00001</t>
  </si>
  <si>
    <t>C04895 + C00058</t>
  </si>
  <si>
    <t>https://www.genome.jp/entry/R00428</t>
  </si>
  <si>
    <t>C05922</t>
  </si>
  <si>
    <t>https://www.genome.jp/entry/R04639</t>
  </si>
  <si>
    <t>C04895 + C00001</t>
  </si>
  <si>
    <t>C06148</t>
  </si>
  <si>
    <t>https://www.genome.jp/entry/R05046</t>
  </si>
  <si>
    <t>C05922 + C00001</t>
  </si>
  <si>
    <t>C05923 + C00058</t>
  </si>
  <si>
    <t>https://www.genome.jp/entry/R05048</t>
  </si>
  <si>
    <t>C05923</t>
  </si>
  <si>
    <t>6.3.2.-</t>
  </si>
  <si>
    <t>2.7.1.39</t>
  </si>
  <si>
    <t>https://www.genome.jp/entry/2.7.1.39</t>
  </si>
  <si>
    <t>https://www.genome.jp/entry/R01771</t>
  </si>
  <si>
    <t>1.1.1.3</t>
  </si>
  <si>
    <t>https://www.genome.jp/entry/1.1.1.3</t>
  </si>
  <si>
    <t>https://www.genome.jp/entry/R01773</t>
  </si>
  <si>
    <t>https://www.genome.jp/entry/R01775</t>
  </si>
  <si>
    <t>2.7.4.6</t>
  </si>
  <si>
    <t>https://www.genome.jp/entry/2.7.4.6</t>
  </si>
  <si>
    <t>https://www.genome.jp/entry/R00331</t>
  </si>
  <si>
    <t>C00002 + C00454</t>
  </si>
  <si>
    <t>C00008 + C00201</t>
  </si>
  <si>
    <t>https://www.genome.jp/entry/R00124</t>
  </si>
  <si>
    <t>C00002 + C00008</t>
  </si>
  <si>
    <t>C00008 + C00002</t>
  </si>
  <si>
    <t>https://www.genome.jp/entry/R00139</t>
  </si>
  <si>
    <t>C11038 + C00002</t>
  </si>
  <si>
    <t>C11039 + C00008</t>
  </si>
  <si>
    <t>https://www.genome.jp/entry/R00156</t>
  </si>
  <si>
    <t>C00002 + C00015</t>
  </si>
  <si>
    <t>C00008 + C00075</t>
  </si>
  <si>
    <t>https://www.genome.jp/entry/R00330</t>
  </si>
  <si>
    <t>C00002 + C00035</t>
  </si>
  <si>
    <t>C00008 + C00044</t>
  </si>
  <si>
    <t>https://www.genome.jp/entry/R00570</t>
  </si>
  <si>
    <t>C00002 + C00112</t>
  </si>
  <si>
    <t>C00008 + C00063</t>
  </si>
  <si>
    <t>https://www.genome.jp/entry/R00722</t>
  </si>
  <si>
    <t>C00002 + C00104</t>
  </si>
  <si>
    <t>C00008 + C00081</t>
  </si>
  <si>
    <t>https://www.genome.jp/entry/R01137</t>
  </si>
  <si>
    <t>C00002 + C00206</t>
  </si>
  <si>
    <t>C00008 + C00131</t>
  </si>
  <si>
    <t>https://www.genome.jp/entry/R01857</t>
  </si>
  <si>
    <t>C00002 + C00361</t>
  </si>
  <si>
    <t>C00008 + C00286</t>
  </si>
  <si>
    <t>https://www.genome.jp/entry/R02093</t>
  </si>
  <si>
    <t>C00002 + C00363</t>
  </si>
  <si>
    <t>C00008 + C00459</t>
  </si>
  <si>
    <t>https://www.genome.jp/entry/R02326</t>
  </si>
  <si>
    <t>C00002 + C00705</t>
  </si>
  <si>
    <t>C00008 + C00458</t>
  </si>
  <si>
    <t>https://www.genome.jp/entry/R02331</t>
  </si>
  <si>
    <t>C00002 + C01346</t>
  </si>
  <si>
    <t>C00008 + C00460</t>
  </si>
  <si>
    <t>https://www.genome.jp/entry/R03530</t>
  </si>
  <si>
    <t>C00002 + C01344</t>
  </si>
  <si>
    <t>C00008 + C01345</t>
  </si>
  <si>
    <t>https://www.genome.jp/entry/R12853</t>
  </si>
  <si>
    <t>C22442 + C00002</t>
  </si>
  <si>
    <t>C22443 + C00008</t>
  </si>
  <si>
    <t>https://www.genome.jp/entry/R11894</t>
  </si>
  <si>
    <t>C00002 + C21748</t>
  </si>
  <si>
    <t>C00008 + C21749</t>
  </si>
  <si>
    <t>https://www.genome.jp/entry/R11895</t>
  </si>
  <si>
    <t>C00002 + C21750</t>
  </si>
  <si>
    <t>C00008 + C21751</t>
  </si>
  <si>
    <t>1.5.1.3</t>
  </si>
  <si>
    <t>https://www.genome.jp/entry/1.5.1.3</t>
  </si>
  <si>
    <t>https://www.genome.jp/entry/R00939</t>
  </si>
  <si>
    <t>https://www.genome.jp/entry/R00936</t>
  </si>
  <si>
    <t>https://www.genome.jp/entry/R00937</t>
  </si>
  <si>
    <t>https://www.genome.jp/entry/R00940</t>
  </si>
  <si>
    <t>https://www.genome.jp/entry/R02235</t>
  </si>
  <si>
    <t>https://www.genome.jp/entry/R02236</t>
  </si>
  <si>
    <t>https://www.genome.jp/entry/R11765</t>
  </si>
  <si>
    <t>2.1.1.45</t>
  </si>
  <si>
    <t>https://www.genome.jp/entry/2.1.1.45</t>
  </si>
  <si>
    <t>https://www.genome.jp/entry/R02101</t>
  </si>
  <si>
    <t>2.3.3.10</t>
  </si>
  <si>
    <t>https://www.genome.jp/entry/2.3.3.10</t>
  </si>
  <si>
    <t>https://www.genome.jp/entry/R01978</t>
  </si>
  <si>
    <t>1.1.1.88</t>
  </si>
  <si>
    <t>https://www.genome.jp/entry/1.1.1.88</t>
  </si>
  <si>
    <t>https://www.genome.jp/entry/R02081</t>
  </si>
  <si>
    <t>C00418 + C00010 + C00003</t>
  </si>
  <si>
    <t>C00356 + C00004 + C00080</t>
  </si>
  <si>
    <t>5.3.3.2</t>
  </si>
  <si>
    <t>https://www.genome.jp/entry/5.3.3.2</t>
  </si>
  <si>
    <t>https://www.genome.jp/entry/R01123</t>
  </si>
  <si>
    <t>2.7.4.2</t>
  </si>
  <si>
    <t>https://www.genome.jp/entry/2.7.4.2</t>
  </si>
  <si>
    <t>https://www.genome.jp/entry/R03245</t>
  </si>
  <si>
    <t>4.1.1.33</t>
  </si>
  <si>
    <t>https://www.genome.jp/entry/R01121</t>
  </si>
  <si>
    <t>2.7.1.36</t>
  </si>
  <si>
    <t>https://www.genome.jp/entry/2.7.1.36</t>
  </si>
  <si>
    <t>https://www.genome.jp/entry/R02245</t>
  </si>
  <si>
    <t>https://www.genome.jp/entry/3.1.3.5</t>
  </si>
  <si>
    <t>3.1.3.5</t>
  </si>
  <si>
    <t>https://www.genome.jp/entry/R07297</t>
  </si>
  <si>
    <t>https://www.genome.jp/entry/R00183</t>
  </si>
  <si>
    <t>https://www.genome.jp/entry/R00511</t>
  </si>
  <si>
    <t>https://www.genome.jp/entry/R00963</t>
  </si>
  <si>
    <t>https://www.genome.jp/entry/R01126</t>
  </si>
  <si>
    <t>https://www.genome.jp/entry/R01227</t>
  </si>
  <si>
    <t>https://www.genome.jp/entry/R02323</t>
  </si>
  <si>
    <t>https://www.genome.jp/entry/R02719</t>
  </si>
  <si>
    <t>https://www.genome.jp/entry/R03346</t>
  </si>
  <si>
    <t>https://www.genome.jp/entry/R01569</t>
  </si>
  <si>
    <t>https://www.genome.jp/entry/R01664</t>
  </si>
  <si>
    <t>https://www.genome.jp/entry/R01968</t>
  </si>
  <si>
    <t>https://www.genome.jp/entry/R02088</t>
  </si>
  <si>
    <t>https://www.genome.jp/entry/R02102</t>
  </si>
  <si>
    <t>https://www.genome.jp/entry/R12958</t>
  </si>
  <si>
    <t>3.5.1.88</t>
  </si>
  <si>
    <t>https://www.genome.jp/entry/3.5.1.88</t>
  </si>
  <si>
    <t>https://www.genome.jp/entry/R05635</t>
  </si>
  <si>
    <t>https://www.genome.jp/entry/R04268</t>
  </si>
  <si>
    <t>1.4.1.4</t>
  </si>
  <si>
    <t>https://www.genome.jp/entry/1.4.1.4</t>
  </si>
  <si>
    <t>https://www.genome.jp/entry/R00248</t>
  </si>
  <si>
    <t>C00025 + C00006 + C00001</t>
  </si>
  <si>
    <t>C00026 + C00014 + C00005 + C00080</t>
  </si>
  <si>
    <t>https://www.genome.jp/entry/R00145</t>
  </si>
  <si>
    <t>C05167 + C00001 + C00003</t>
  </si>
  <si>
    <t>C00161 + C00014 + C00004 + C00080</t>
  </si>
  <si>
    <t>https://www.genome.jp/entry/R00146</t>
  </si>
  <si>
    <t>C05167 + C00001 + C00006</t>
  </si>
  <si>
    <t>C00161 + C00014 + C00005 + C00080</t>
  </si>
  <si>
    <t>2.7.7.72</t>
  </si>
  <si>
    <t>https://www.genome.jp/entry/2.7.7.72</t>
  </si>
  <si>
    <t>https://www.genome.jp/entry/R09382</t>
  </si>
  <si>
    <t>https://www.genome.jp/entry/R09383</t>
  </si>
  <si>
    <t>https://www.genome.jp/entry/R09384</t>
  </si>
  <si>
    <t>https://www.genome.jp/entry/R09386</t>
  </si>
  <si>
    <t>2.7.1.202</t>
  </si>
  <si>
    <t>https://www.genome.jp/entry/2.7.1.202</t>
  </si>
  <si>
    <t>https://www.genome.jp/entry/R03232</t>
  </si>
  <si>
    <t>C04261 + C00095</t>
  </si>
  <si>
    <t>C00615 + C01094</t>
  </si>
  <si>
    <t>2.7.1.56</t>
  </si>
  <si>
    <t>https://www.genome.jp/entry/2.7.1.56</t>
  </si>
  <si>
    <t>https://www.genome.jp/entry/R13203</t>
  </si>
  <si>
    <t>https://www.genome.jp/entry/R02071</t>
  </si>
  <si>
    <t>1.1.1.169</t>
  </si>
  <si>
    <t>https://www.genome.jp/entry/1.1.1.169</t>
  </si>
  <si>
    <t>https://www.genome.jp/entry/R02472</t>
  </si>
  <si>
    <t>C00522 + C00006</t>
  </si>
  <si>
    <t>C00966 + C00005 + C00080</t>
  </si>
  <si>
    <t>2.1.1.228</t>
  </si>
  <si>
    <t>https://www.genome.jp/entry/2.1.1.228</t>
  </si>
  <si>
    <t>https://www.genome.jp/entry/R00597</t>
  </si>
  <si>
    <t>6.3.5.5</t>
  </si>
  <si>
    <t>https://www.genome.jp/entry/6.3.5.5</t>
  </si>
  <si>
    <t>https://www.genome.jp/entry/R00575</t>
  </si>
  <si>
    <t>https://www.genome.jp/entry/R10948</t>
  </si>
  <si>
    <t>https://www.genome.jp/entry/R10949</t>
  </si>
  <si>
    <t>https://www.genome.jp/entry/R07641</t>
  </si>
  <si>
    <t>2.1.3.2</t>
  </si>
  <si>
    <t>https://www.genome.jp/entry/2.1.3.2</t>
  </si>
  <si>
    <t>https://www.genome.jp/entry/R01397</t>
  </si>
  <si>
    <t>2.4.2.9</t>
  </si>
  <si>
    <t>https://www.genome.jp/entry/2.4.2.9</t>
  </si>
  <si>
    <t>https://www.genome.jp/entry/R00966</t>
  </si>
  <si>
    <t>3.4.23.36</t>
  </si>
  <si>
    <t>https://www.genome.jp/entry/3.4.23.36</t>
  </si>
  <si>
    <t>2.3.1.15</t>
  </si>
  <si>
    <t>https://www.genome.jp/entry/2.3.1.15</t>
  </si>
  <si>
    <t>https://www.genome.jp/entry/R00851</t>
  </si>
  <si>
    <t>https://www.genome.jp/entry/R02617</t>
  </si>
  <si>
    <t>https://www.genome.jp/entry/R09380</t>
  </si>
  <si>
    <t>3.5.2.3</t>
  </si>
  <si>
    <t>https://www.genome.jp/entry/3.5.2.3</t>
  </si>
  <si>
    <t>https://www.genome.jp/entry/R01993</t>
  </si>
  <si>
    <t>3.2.2.27</t>
  </si>
  <si>
    <t>https://www.genome.jp/entry/3.2.2.27</t>
  </si>
  <si>
    <t>3.5.1.4</t>
  </si>
  <si>
    <t>https://www.genome.jp/entry/3.5.1.4</t>
  </si>
  <si>
    <t>https://www.genome.jp/entry/R03909</t>
  </si>
  <si>
    <t>C03620 + C00001</t>
  </si>
  <si>
    <t>https://www.genome.jp/entry/R00321</t>
  </si>
  <si>
    <t>C06244 + C00001</t>
  </si>
  <si>
    <t>C00033 + C00014</t>
  </si>
  <si>
    <t>https://www.genome.jp/entry/R02540</t>
  </si>
  <si>
    <t>C02505 + C00001</t>
  </si>
  <si>
    <t>C07086 + C00014</t>
  </si>
  <si>
    <t>https://www.genome.jp/entry/R03096</t>
  </si>
  <si>
    <t>C02693 + C00001</t>
  </si>
  <si>
    <t>C00954 + C00014</t>
  </si>
  <si>
    <t>https://www.genome.jp/entry/R03180</t>
  </si>
  <si>
    <t>C03078 + C00001</t>
  </si>
  <si>
    <t>C01035 + C00014</t>
  </si>
  <si>
    <t>https://www.genome.jp/entry/R05551</t>
  </si>
  <si>
    <t>C00511 + C00014</t>
  </si>
  <si>
    <t>C01659 + C00001</t>
  </si>
  <si>
    <t>https://www.genome.jp/entry/R05590</t>
  </si>
  <si>
    <t>C09815 + C00001</t>
  </si>
  <si>
    <t>C00180 + C00014</t>
  </si>
  <si>
    <t>https://www.genome.jp/entry/R06134</t>
  </si>
  <si>
    <t>2.4.2.10</t>
  </si>
  <si>
    <t>https://www.genome.jp/entry/2.4.2.10</t>
  </si>
  <si>
    <t>https://www.genome.jp/entry/R01870</t>
  </si>
  <si>
    <t>https://www.genome.jp/entry/R08231</t>
  </si>
  <si>
    <t>4.1.1.23</t>
  </si>
  <si>
    <t>https://www.genome.jp/entry/4.1.1.23</t>
  </si>
  <si>
    <t>https://www.genome.jp/entry/R00965</t>
  </si>
  <si>
    <t>2.4.2.1</t>
  </si>
  <si>
    <t>https://www.genome.jp/entry/2.4.2.1</t>
  </si>
  <si>
    <t>https://www.genome.jp/entry/R08368</t>
  </si>
  <si>
    <t>C15586 + C00009</t>
  </si>
  <si>
    <t>C15587 + C00620</t>
  </si>
  <si>
    <t>https://www.genome.jp/entry/R01561</t>
  </si>
  <si>
    <t>C00147 + C00620</t>
  </si>
  <si>
    <t>https://www.genome.jp/entry/R01863</t>
  </si>
  <si>
    <t>C00262 + C00620</t>
  </si>
  <si>
    <t>https://www.genome.jp/entry/R02147</t>
  </si>
  <si>
    <t>C00242 + C00620</t>
  </si>
  <si>
    <t>https://www.genome.jp/entry/R02297</t>
  </si>
  <si>
    <t>C00385 + C00620</t>
  </si>
  <si>
    <t>https://www.genome.jp/entry/R10244</t>
  </si>
  <si>
    <t>C20463 + C00009</t>
  </si>
  <si>
    <t>C15587 + C00672</t>
  </si>
  <si>
    <t>https://www.genome.jp/entry/R01969</t>
  </si>
  <si>
    <t>C00242 + C00672</t>
  </si>
  <si>
    <t>https://www.genome.jp/entry/R02557</t>
  </si>
  <si>
    <t>C00147 + C00672</t>
  </si>
  <si>
    <t>https://www.genome.jp/entry/R02748</t>
  </si>
  <si>
    <t>C00262 + C00672</t>
  </si>
  <si>
    <t>https://www.genome.jp/entry/R02294</t>
  </si>
  <si>
    <t>C00153 + C00620</t>
  </si>
  <si>
    <t>https://www.genome.jp/entry/R02295</t>
  </si>
  <si>
    <t>C00253 + C00620 + C00080</t>
  </si>
  <si>
    <t>5.4.2.7</t>
  </si>
  <si>
    <t>https://www.genome.jp/entry/5.4.2.7</t>
  </si>
  <si>
    <t>https://www.genome.jp/entry/R01057</t>
  </si>
  <si>
    <t>C00620</t>
  </si>
  <si>
    <t>https://www.genome.jp/entry/R02749</t>
  </si>
  <si>
    <t>C00672</t>
  </si>
  <si>
    <t>5.3.1.6</t>
  </si>
  <si>
    <t>https://www.genome.jp/entry/5.3.1.6</t>
  </si>
  <si>
    <t>https://www.genome.jp/entry/R01056</t>
  </si>
  <si>
    <t>https://www.genome.jp/entry/R09030</t>
  </si>
  <si>
    <t>3.6.5.n1</t>
  </si>
  <si>
    <t>5.4.2.10</t>
  </si>
  <si>
    <t>https://www.genome.jp/entry/5.4.2.10</t>
  </si>
  <si>
    <t>https://www.genome.jp/entry/R02060</t>
  </si>
  <si>
    <t>2.7.7.85</t>
  </si>
  <si>
    <t>https://www.genome.jp/entry/2.7.7.85</t>
  </si>
  <si>
    <t>https://www.genome.jp/entry/R10342</t>
  </si>
  <si>
    <t>6.3.5.13</t>
  </si>
  <si>
    <t>https://www.genome.jp/entry/6.3.5.13</t>
  </si>
  <si>
    <t>C03880 + C00001</t>
  </si>
  <si>
    <t>C03523 + C00066</t>
  </si>
  <si>
    <t>https://www.genome.jp/entry/R05030</t>
  </si>
  <si>
    <t>C00002 + C05893 + C00014</t>
  </si>
  <si>
    <t>C00008 + C00009 + C05894</t>
  </si>
  <si>
    <t>https://www.genome.jp/entry/R12330</t>
  </si>
  <si>
    <t>C00002 + C05893</t>
  </si>
  <si>
    <t>C00008 + C22083</t>
  </si>
  <si>
    <t>https://www.genome.jp/entry/R12331</t>
  </si>
  <si>
    <t>C22083 + C00014</t>
  </si>
  <si>
    <t>C05894 + C00009</t>
  </si>
  <si>
    <t>1.8.1.4</t>
  </si>
  <si>
    <t>https://www.genome.jp/entry/1.8.1.4</t>
  </si>
  <si>
    <t>https://www.genome.jp/entry/R08550</t>
  </si>
  <si>
    <t>C16832 + C00003</t>
  </si>
  <si>
    <t>C16237 + C00004 + C00080</t>
  </si>
  <si>
    <t>C02972 + C00003</t>
  </si>
  <si>
    <t>https://www.genome.jp/entry/R03815</t>
  </si>
  <si>
    <t>C02051 + C00004 + C00080</t>
  </si>
  <si>
    <t>https://www.genome.jp/entry/R07618</t>
  </si>
  <si>
    <t>C15973 + C00003</t>
  </si>
  <si>
    <t>C15972 + C00004 + C00080</t>
  </si>
  <si>
    <t>https://www.genome.jp/entry/R01698</t>
  </si>
  <si>
    <t>C00579 + C00003</t>
  </si>
  <si>
    <t>C00248 + C00004 + C00080</t>
  </si>
  <si>
    <t>1.2.4.-</t>
  </si>
  <si>
    <t>4.2.1.46</t>
  </si>
  <si>
    <t>https://www.genome.jp/entry/4.2.1.46</t>
  </si>
  <si>
    <t>https://www.genome.jp/entry/R06513</t>
  </si>
  <si>
    <t>C11907 + C00001</t>
  </si>
  <si>
    <t>5.1.3.-</t>
  </si>
  <si>
    <t>2.7.7.24</t>
  </si>
  <si>
    <t>https://www.genome.jp/entry/R02328</t>
  </si>
  <si>
    <t>C00459 + C00103</t>
  </si>
  <si>
    <t>C00013 + C00842</t>
  </si>
  <si>
    <t>https://www.genome.jp/entry/2.7.7.24</t>
  </si>
  <si>
    <t>2.1.1.217</t>
  </si>
  <si>
    <t>https://www.genome.jp/entry/2.1.1.217</t>
  </si>
  <si>
    <t>4.2.99.18</t>
  </si>
  <si>
    <t>https://www.genome.jp/entry/4.2.99.18</t>
  </si>
  <si>
    <t>2.4.2.7</t>
  </si>
  <si>
    <t>https://www.genome.jp/entry/2.4.2.7</t>
  </si>
  <si>
    <t>https://www.genome.jp/entry/R00190</t>
  </si>
  <si>
    <t>https://www.genome.jp/entry/R04378</t>
  </si>
  <si>
    <t>3.1.26.11</t>
  </si>
  <si>
    <t>https://www.genome.jp/entry/3.1.26.11</t>
  </si>
  <si>
    <t>2.5.1.75</t>
  </si>
  <si>
    <t>https://www.genome.jp/entry/2.5.1.75</t>
  </si>
  <si>
    <t>https://www.genome.jp/entry/R01122</t>
  </si>
  <si>
    <t>6.1.1.13</t>
  </si>
  <si>
    <t>https://www.genome.jp/entry/6.1.1.13</t>
  </si>
  <si>
    <t>https://www.genome.jp/entry/R02718</t>
  </si>
  <si>
    <t>C00002 + C00133 + C00653</t>
  </si>
  <si>
    <t>C00020 + C00013 + C04260</t>
  </si>
  <si>
    <t>https://www.genome.jp/entry/R12812</t>
  </si>
  <si>
    <t>C00002 + C00133 + G13185</t>
  </si>
  <si>
    <t>C00020 + C00013 + G13186</t>
  </si>
  <si>
    <t>https://www.genome.jp/entry/R12863</t>
  </si>
  <si>
    <t>C00002 + C00133 + G13167</t>
  </si>
  <si>
    <t>C00020 + C00013 + G13180</t>
  </si>
  <si>
    <t>https://www.genome.jp/entry/R12867</t>
  </si>
  <si>
    <t>C00002 + C00133 + G13170</t>
  </si>
  <si>
    <t>C00020 + C00013 + G13171</t>
  </si>
  <si>
    <t>https://www.genome.jp/entry/R12871</t>
  </si>
  <si>
    <t>C00002 + C00133 + G13174</t>
  </si>
  <si>
    <t>C00020 + C00013 + G13175</t>
  </si>
  <si>
    <t>https://www.genome.jp/entry/R12873</t>
  </si>
  <si>
    <t>C00002 + C00133 + G13176</t>
  </si>
  <si>
    <t>C00020 + C00013 + G13177</t>
  </si>
  <si>
    <t>https://www.genome.jp/entry/R12875</t>
  </si>
  <si>
    <t>C00002 + C00133 + G13178</t>
  </si>
  <si>
    <t>C00020 + C00013 + G13179</t>
  </si>
  <si>
    <t>https://www.genome.jp/entry/R12904</t>
  </si>
  <si>
    <t>C00002 + C00133 + G13192</t>
  </si>
  <si>
    <t>C00020 + C00013 + G13193</t>
  </si>
  <si>
    <t>3.1.2.-</t>
  </si>
  <si>
    <t>4.2.2.1</t>
  </si>
  <si>
    <t>https://www.genome.jp/entry/4.2.2.1</t>
  </si>
  <si>
    <t>https://www.genome.jp/entry/R02465</t>
  </si>
  <si>
    <t>C00518</t>
  </si>
  <si>
    <t>C04794</t>
  </si>
  <si>
    <t>https://www.genome.jp/entry/R06242</t>
  </si>
  <si>
    <t>G10505</t>
  </si>
  <si>
    <t>G02170</t>
  </si>
  <si>
    <t>5.3.1.-</t>
  </si>
  <si>
    <t>1.1.1.69</t>
  </si>
  <si>
    <t>https://www.genome.jp/entry/1.1.1.69</t>
  </si>
  <si>
    <t>https://www.genome.jp/entry/R01738</t>
  </si>
  <si>
    <t>C00257 + C00003</t>
  </si>
  <si>
    <t>C01062 + C00004 + C00080</t>
  </si>
  <si>
    <t>https://www.genome.jp/entry/R01740</t>
  </si>
  <si>
    <t>C00257 + C00006</t>
  </si>
  <si>
    <t>C01062 + C00005 + C00080</t>
  </si>
  <si>
    <t>3.1.3.23</t>
  </si>
  <si>
    <t>https://www.genome.jp/entry/3.1.3.23</t>
  </si>
  <si>
    <t>https://www.genome.jp/entry/R00804</t>
  </si>
  <si>
    <t>5.3.1.1</t>
  </si>
  <si>
    <t>https://www.genome.jp/entry/5.3.1.1</t>
  </si>
  <si>
    <t>https://www.genome.jp/entry/R01015</t>
  </si>
  <si>
    <t>6.1.1.6</t>
  </si>
  <si>
    <t>https://www.genome.jp/entry/6.1.1.6</t>
  </si>
  <si>
    <t>https://www.genome.jp/entry/R03658</t>
  </si>
  <si>
    <t>2.5.1.145</t>
  </si>
  <si>
    <t>https://www.genome.jp/entry/2.5.1.145</t>
  </si>
  <si>
    <t>3.1.26.3</t>
  </si>
  <si>
    <t>https://www.genome.jp/entry/3.1.26.3</t>
  </si>
  <si>
    <t>2.3.1.16</t>
  </si>
  <si>
    <t>https://www.genome.jp/entry/2.3.1.16</t>
  </si>
  <si>
    <t>https://www.genome.jp/entry/R00391</t>
  </si>
  <si>
    <t>C00040 + C00024</t>
  </si>
  <si>
    <t>C00010 + C00264</t>
  </si>
  <si>
    <t>https://www.genome.jp/entry/R00238</t>
  </si>
  <si>
    <t>C00010 + C00332</t>
  </si>
  <si>
    <t>https://www.genome.jp/entry/R00829</t>
  </si>
  <si>
    <t>C00091 + C00024</t>
  </si>
  <si>
    <t>C00010 + C02232</t>
  </si>
  <si>
    <t>https://www.genome.jp/entry/R00927</t>
  </si>
  <si>
    <t>C00100 + C00024</t>
  </si>
  <si>
    <t>C00010 + C03344</t>
  </si>
  <si>
    <t>https://www.genome.jp/entry/R01177</t>
  </si>
  <si>
    <t>C00024 + C00136</t>
  </si>
  <si>
    <t>C00010 + C05269</t>
  </si>
  <si>
    <t>https://www.genome.jp/entry/R03778</t>
  </si>
  <si>
    <t>C01944 + C00024</t>
  </si>
  <si>
    <t>C00010 + C05265</t>
  </si>
  <si>
    <t>https://www.genome.jp/entry/R03858</t>
  </si>
  <si>
    <t>C01832 + C00024</t>
  </si>
  <si>
    <t>C00010 + C05261</t>
  </si>
  <si>
    <t>https://www.genome.jp/entry/R03991</t>
  </si>
  <si>
    <t>C02593 + C00024</t>
  </si>
  <si>
    <t>C00010 + C05259</t>
  </si>
  <si>
    <t>https://www.genome.jp/entry/R04742</t>
  </si>
  <si>
    <t>C05274 + C00024</t>
  </si>
  <si>
    <t>C00010 + C05263</t>
  </si>
  <si>
    <t>https://www.genome.jp/entry/R04747</t>
  </si>
  <si>
    <t>C05270 + C00024</t>
  </si>
  <si>
    <t>C00010 + C05267</t>
  </si>
  <si>
    <t>https://www.genome.jp/entry/R05506</t>
  </si>
  <si>
    <t>C07118 + C00010</t>
  </si>
  <si>
    <t>C00512 + C00024</t>
  </si>
  <si>
    <t>https://www.genome.jp/entry/R05586</t>
  </si>
  <si>
    <t>C06715 + C00010</t>
  </si>
  <si>
    <t>C00527 + C00024</t>
  </si>
  <si>
    <t>https://www.genome.jp/entry/R07891</t>
  </si>
  <si>
    <t>C16331 + C00024</t>
  </si>
  <si>
    <t>C00010 + C16330</t>
  </si>
  <si>
    <t>https://www.genome.jp/entry/R07895</t>
  </si>
  <si>
    <t>C16335 + C00024</t>
  </si>
  <si>
    <t>C00010 + C16334</t>
  </si>
  <si>
    <t>https://www.genome.jp/entry/R07899</t>
  </si>
  <si>
    <t>C16339 + C00024</t>
  </si>
  <si>
    <t>C00010 + C16338</t>
  </si>
  <si>
    <t>https://www.genome.jp/entry/R07937</t>
  </si>
  <si>
    <t>C16169 + C00024</t>
  </si>
  <si>
    <t>C00010 + C16376</t>
  </si>
  <si>
    <t>https://www.genome.jp/entry/R07953</t>
  </si>
  <si>
    <t>C16173 + C00024</t>
  </si>
  <si>
    <t>C00010 + C16389</t>
  </si>
  <si>
    <t>https://www.genome.jp/entry/R08091</t>
  </si>
  <si>
    <t>C16466 + C00010</t>
  </si>
  <si>
    <t>C16470 + C00024</t>
  </si>
  <si>
    <t>https://www.genome.jp/entry/R08095</t>
  </si>
  <si>
    <t>C16471 + C00010</t>
  </si>
  <si>
    <t>C03069 + C00024</t>
  </si>
  <si>
    <t>https://www.genome.jp/entry/R13471</t>
  </si>
  <si>
    <t>C23016 + C00010</t>
  </si>
  <si>
    <t>C23017 + C00024</t>
  </si>
  <si>
    <t>https://www.genome.jp/entry/R13479</t>
  </si>
  <si>
    <t>C23006 + C00010</t>
  </si>
  <si>
    <t>C23007 + C00024</t>
  </si>
  <si>
    <t>https://www.genome.jp/entry/R13483</t>
  </si>
  <si>
    <t>C23021 + C00010</t>
  </si>
  <si>
    <t>C23022 + C00024</t>
  </si>
  <si>
    <t>https://www.genome.jp/entry/R13467</t>
  </si>
  <si>
    <t>C23013 + C00010</t>
  </si>
  <si>
    <t>C21906 + C00100</t>
  </si>
  <si>
    <t>6.1.1.3</t>
  </si>
  <si>
    <t>https://www.genome.jp/entry/6.1.1.3</t>
  </si>
  <si>
    <t>https://www.genome.jp/entry/R03663</t>
  </si>
  <si>
    <t>3.2.1.1</t>
  </si>
  <si>
    <t>https://www.genome.jp/entry/3.2.1.1</t>
  </si>
  <si>
    <t>C00369 + C00001</t>
  </si>
  <si>
    <t>C00721 + C00369</t>
  </si>
  <si>
    <t>https://www.genome.jp/entry/R02108</t>
  </si>
  <si>
    <t>https://www.genome.jp/entry/R02112</t>
  </si>
  <si>
    <t>C00721 + C00208</t>
  </si>
  <si>
    <t>https://www.genome.jp/entry/R06209</t>
  </si>
  <si>
    <t>G10545 + C00001</t>
  </si>
  <si>
    <t>G10545 + G10545</t>
  </si>
  <si>
    <t>https://www.genome.jp/entry/R11262</t>
  </si>
  <si>
    <t>C01935 + C00001</t>
  </si>
  <si>
    <t>C00208</t>
  </si>
  <si>
    <t>3.1.13.1</t>
  </si>
  <si>
    <t>https://www.genome.jp/entry/3.1.13.1</t>
  </si>
  <si>
    <t>2.7.1.24</t>
  </si>
  <si>
    <t>https://www.genome.jp/entry/2.7.1.24</t>
  </si>
  <si>
    <t>https://www.genome.jp/entry/R00130</t>
  </si>
  <si>
    <t>3.2.2.23</t>
  </si>
  <si>
    <t>https://www.genome.jp/entry/3.2.2.23</t>
  </si>
  <si>
    <t>3.2.1.18</t>
  </si>
  <si>
    <t>https://www.genome.jp/entry/3.2.1.18</t>
  </si>
  <si>
    <t>https://www.genome.jp/entry/R03491</t>
  </si>
  <si>
    <t xml:space="preserve">C01290 + C00270 </t>
  </si>
  <si>
    <t>C04730 + C00001</t>
  </si>
  <si>
    <t>https://www.genome.jp/entry/R04018</t>
  </si>
  <si>
    <t>C02686 + C00270</t>
  </si>
  <si>
    <t>C06128 + C00001</t>
  </si>
  <si>
    <t>https://www.genome.jp/entry/R04634</t>
  </si>
  <si>
    <t>C04884 + C00001</t>
  </si>
  <si>
    <t>C06135 + C00270</t>
  </si>
  <si>
    <t>https://www.genome.jp/entry/R04650</t>
  </si>
  <si>
    <t>C04911 + C00270</t>
  </si>
  <si>
    <t>C04927 + C00001</t>
  </si>
  <si>
    <t>https://www.genome.jp/entry/R05115</t>
  </si>
  <si>
    <t>C06140 + C00270</t>
  </si>
  <si>
    <t>C06139 + C00001</t>
  </si>
  <si>
    <t>https://www.genome.jp/entry/R05117</t>
  </si>
  <si>
    <t>C06140 + C00001</t>
  </si>
  <si>
    <t>C06141 + C00270</t>
  </si>
  <si>
    <t>https://www.genome.jp/entry/R05996</t>
  </si>
  <si>
    <t>G00116 + C00270</t>
  </si>
  <si>
    <t>G00117 + C00001</t>
  </si>
  <si>
    <t>https://www.genome.jp/entry/R05998</t>
  </si>
  <si>
    <t>G00116 + C00001</t>
  </si>
  <si>
    <t>G00115 + C00270</t>
  </si>
  <si>
    <t>https://www.genome.jp/entry/R05999</t>
  </si>
  <si>
    <t>G00092 + C00270</t>
  </si>
  <si>
    <t>G00108 + C00001</t>
  </si>
  <si>
    <t>https://www.genome.jp/entry/R06012</t>
  </si>
  <si>
    <t>G00109 + C00001</t>
  </si>
  <si>
    <t>G00123 + C00270</t>
  </si>
  <si>
    <t>https://www.genome.jp/entry/R06147</t>
  </si>
  <si>
    <t>G11121 + C00270</t>
  </si>
  <si>
    <t>G00317 + C00001</t>
  </si>
  <si>
    <t>https://www.genome.jp/entry/R06253</t>
  </si>
  <si>
    <t>G00110 + C00270</t>
  </si>
  <si>
    <t>G00111 + C00001</t>
  </si>
  <si>
    <t>2.3.1.9</t>
  </si>
  <si>
    <t>https://www.genome.jp/entry/2.3.1.9</t>
  </si>
  <si>
    <t>1.8.4.11</t>
  </si>
  <si>
    <t>https://www.genome.jp/entry/1.8.4.11</t>
  </si>
  <si>
    <t>https://www.genome.jp/entry/R04120</t>
  </si>
  <si>
    <t>https://www.genome.jp/entry/R07606</t>
  </si>
  <si>
    <t>2.7.4.22</t>
  </si>
  <si>
    <t>https://www.genome.jp/entry/2.7.4.22</t>
  </si>
  <si>
    <t>https://www.genome.jp/entry/R00158</t>
  </si>
  <si>
    <t>7.2.2.-</t>
  </si>
  <si>
    <t>3.2.2.9</t>
  </si>
  <si>
    <t>https://www.genome.jp/entry/3.2.2.9</t>
  </si>
  <si>
    <t>https://www.genome.jp/entry/R00194</t>
  </si>
  <si>
    <t>https://www.genome.jp/entry/R01401</t>
  </si>
  <si>
    <t>https://www.genome.jp/entry/R12621</t>
  </si>
  <si>
    <t>6.1.1.9</t>
  </si>
  <si>
    <t>https://www.genome.jp/entry/6.1.1.9</t>
  </si>
  <si>
    <t>https://www.genome.jp/entry/R03665</t>
  </si>
  <si>
    <t>4.2.3.4</t>
  </si>
  <si>
    <t>https://www.genome.jp/entry/4.2.3.4</t>
  </si>
  <si>
    <t>https://www.genome.jp/entry/R03083</t>
  </si>
  <si>
    <t>C04691</t>
  </si>
  <si>
    <t>C00944 + C00009</t>
  </si>
  <si>
    <t>1.1.1.25</t>
  </si>
  <si>
    <t>https://www.genome.jp/entry/1.1.1.25</t>
  </si>
  <si>
    <t>C00493 + C00006</t>
  </si>
  <si>
    <t>C02637 + C00005 + C00080</t>
  </si>
  <si>
    <t>https://www.genome.jp/entry/R12885</t>
  </si>
  <si>
    <t>C02637 + C00006</t>
  </si>
  <si>
    <t>C22438 + C00005 + C00080</t>
  </si>
  <si>
    <t>https://www.genome.jp/entry/R02413</t>
  </si>
  <si>
    <t>3.2.1.163</t>
  </si>
  <si>
    <t>https://www.genome.jp/entry/3.2.1.163</t>
  </si>
  <si>
    <t>https://www.genome.jp/entry/R10809</t>
  </si>
  <si>
    <t>C01728 + C00001</t>
  </si>
  <si>
    <t>C00159</t>
  </si>
  <si>
    <t>2.5.1.47</t>
  </si>
  <si>
    <t>https://www.genome.jp/entry/2.5.1.47</t>
  </si>
  <si>
    <t>https://www.genome.jp/entry/R00897</t>
  </si>
  <si>
    <t>https://www.genome.jp/entry/R03601</t>
  </si>
  <si>
    <t>https://www.genome.jp/entry/R04859</t>
  </si>
  <si>
    <t>https://www.genome.jp/entry/R07274</t>
  </si>
  <si>
    <t>2.1.1.176</t>
  </si>
  <si>
    <t>https://www.genome.jp/entry/2.1.1.176</t>
  </si>
  <si>
    <t>2.1.2.9</t>
  </si>
  <si>
    <t>https://www.genome.jp/entry/2.1.2.9</t>
  </si>
  <si>
    <t>https://www.genome.jp/entry/R03940</t>
  </si>
  <si>
    <t>2.7.4.8</t>
  </si>
  <si>
    <t>https://www.genome.jp/entry/2.7.4.8</t>
  </si>
  <si>
    <t>https://www.genome.jp/entry/R00332</t>
  </si>
  <si>
    <t>https://www.genome.jp/entry/R02090</t>
  </si>
  <si>
    <t>https://www.genome.jp/entry/R12852</t>
  </si>
  <si>
    <t>4.4.1.21</t>
  </si>
  <si>
    <t>https://www.genome.jp/entry/4.4.1.21</t>
  </si>
  <si>
    <t>https://www.genome.jp/entry/R01291</t>
  </si>
  <si>
    <t>3.1.21.10</t>
  </si>
  <si>
    <t>https://www.genome.jp/entry/3.1.21.10</t>
  </si>
  <si>
    <t>6.3.1.5</t>
  </si>
  <si>
    <t>https://www.genome.jp/entry/6.3.1.5</t>
  </si>
  <si>
    <t>https://www.genome.jp/entry/R00189</t>
  </si>
  <si>
    <t>6.3.4.21</t>
  </si>
  <si>
    <t>https://www.genome.jp/entry/6.3.4.21</t>
  </si>
  <si>
    <t>https://www.genome.jp/entry/R01724</t>
  </si>
  <si>
    <t>1.8.1.9</t>
  </si>
  <si>
    <t>https://www.genome.jp/entry/1.8.1.9</t>
  </si>
  <si>
    <t>https://www.genome.jp/entry/R02016</t>
  </si>
  <si>
    <t>https://www.genome.jp/entry/R00900</t>
  </si>
  <si>
    <t>https://www.genome.jp/entry/R03596</t>
  </si>
  <si>
    <t>https://www.genome.jp/entry/R09372</t>
  </si>
  <si>
    <t>2.7.8.13</t>
  </si>
  <si>
    <t>https://www.genome.jp/entry/2.7.8.13</t>
  </si>
  <si>
    <t>https://www.genome.jp/entry/R05629</t>
  </si>
  <si>
    <t>https://www.genome.jp/entry/R05630</t>
  </si>
  <si>
    <t>2.1.1.199</t>
  </si>
  <si>
    <t>https://www.genome.jp/entry/2.1.1.199</t>
  </si>
  <si>
    <t>1.2.1.41</t>
  </si>
  <si>
    <t>https://www.genome.jp/entry/1.2.1.41</t>
  </si>
  <si>
    <t>https://www.genome.jp/entry/R03313</t>
  </si>
  <si>
    <t>C01165 + C00009 + C00006</t>
  </si>
  <si>
    <t>C03287 + C00005 + C00080</t>
  </si>
  <si>
    <t>2.7.2.11</t>
  </si>
  <si>
    <t>https://www.genome.jp/entry/2.7.2.11</t>
  </si>
  <si>
    <t>https://www.genome.jp/entry/R00239</t>
  </si>
  <si>
    <t>C00002 + C00025</t>
  </si>
  <si>
    <t>C00008 + C03287</t>
  </si>
  <si>
    <t>2.7.1.30</t>
  </si>
  <si>
    <t>https://www.genome.jp/entry/2.7.1.30</t>
  </si>
  <si>
    <t>https://www.genome.jp/entry/R00847</t>
  </si>
  <si>
    <t>2.7.4.9</t>
  </si>
  <si>
    <t>https://www.genome.jp/entry/2.7.4.9</t>
  </si>
  <si>
    <t>https://www.genome.jp/entry/R02094</t>
  </si>
  <si>
    <t>C00002 + C00364</t>
  </si>
  <si>
    <t>C00008 + C00363</t>
  </si>
  <si>
    <t>https://www.genome.jp/entry/R02098</t>
  </si>
  <si>
    <t>C00002 + C00365</t>
  </si>
  <si>
    <t>6.3.2.7</t>
  </si>
  <si>
    <t>https://www.genome.jp/entry/6.3.2.7</t>
  </si>
  <si>
    <t>https://www.genome.jp/entry/R02786</t>
  </si>
  <si>
    <t>C00002 + C00692 + C00047</t>
  </si>
  <si>
    <t>C00008 + C00009 + C05892</t>
  </si>
  <si>
    <t>3.6.1.1</t>
  </si>
  <si>
    <t>https://www.genome.jp/entry/3.6.1.1</t>
  </si>
  <si>
    <t>https://www.genome.jp/entry/R00004</t>
  </si>
  <si>
    <t>1.97.1.4</t>
  </si>
  <si>
    <t>https://www.genome.jp/entry/1.97.1.4</t>
  </si>
  <si>
    <t>https://www.genome.jp/entry/R04710</t>
  </si>
  <si>
    <t>C00019 + C05196 + C05197</t>
  </si>
  <si>
    <t>C05198 + C00073 + C05199 + C05312</t>
  </si>
  <si>
    <t>2.1.1.207</t>
  </si>
  <si>
    <t>https://www.genome.jp/entry/2.1.1.207</t>
  </si>
  <si>
    <t>5.1.1.3</t>
  </si>
  <si>
    <t>https://www.genome.jp/entry/5.1.1.3</t>
  </si>
  <si>
    <t>https://www.genome.jp/entry/R00260</t>
  </si>
  <si>
    <t>https://www.genome.jp/entry/6.3.2.8</t>
  </si>
  <si>
    <t>6.3.2.8</t>
  </si>
  <si>
    <t>https://www.genome.jp/entry/R03193</t>
  </si>
  <si>
    <t>3.6.5.-</t>
  </si>
  <si>
    <t>2.1.1.170</t>
  </si>
  <si>
    <t>7.4.2.11</t>
  </si>
  <si>
    <t>https://www.genome.jp/entry/7.4.2.11</t>
  </si>
  <si>
    <t>3.6.1.41</t>
  </si>
  <si>
    <t>https://www.genome.jp/entry/3.6.1.41</t>
  </si>
  <si>
    <t>https://www.genome.jp/entry/R00125</t>
  </si>
  <si>
    <t>2.7.7.18</t>
  </si>
  <si>
    <t>https://www.genome.jp/entry/2.7.7.18</t>
  </si>
  <si>
    <t>https://www.genome.jp/entry/R03005</t>
  </si>
  <si>
    <t>https://www.genome.jp/entry/R00137</t>
  </si>
  <si>
    <t>3.4.16.4</t>
  </si>
  <si>
    <t>https://www.genome.jp/entry/3.4.16.4</t>
  </si>
  <si>
    <t>2.8.1.7</t>
  </si>
  <si>
    <t>https://www.genome.jp/entry/2.8.1.7</t>
  </si>
  <si>
    <t>C15811 + C00097</t>
  </si>
  <si>
    <t>C15812 + C00041</t>
  </si>
  <si>
    <t>https://www.genome.jp/entry/R07460</t>
  </si>
  <si>
    <t>https://www.genome.jp/entry/R11528</t>
  </si>
  <si>
    <t>C00097 + C02743</t>
  </si>
  <si>
    <t>C00041 + C21440</t>
  </si>
  <si>
    <t>https://www.genome.jp/entry/R11529</t>
  </si>
  <si>
    <t>C15812 + C02743</t>
  </si>
  <si>
    <t>C15811 + C21440</t>
  </si>
  <si>
    <t>3.6.1.27</t>
  </si>
  <si>
    <t>https://www.genome.jp/entry/3.6.1.27</t>
  </si>
  <si>
    <t>https://www.genome.jp/entry/R05627</t>
  </si>
  <si>
    <t>C04574 + C00001</t>
  </si>
  <si>
    <t>C17556 + C00009</t>
  </si>
  <si>
    <t>4.1.2.13</t>
  </si>
  <si>
    <t>https://www.genome.jp/entry/4.1.2.13</t>
  </si>
  <si>
    <t>https://www.genome.jp/entry/R01068</t>
  </si>
  <si>
    <t>https://www.genome.jp/entry/R01070</t>
  </si>
  <si>
    <t>https://www.genome.jp/entry/R01829</t>
  </si>
  <si>
    <t>C00111 + C00279</t>
  </si>
  <si>
    <t>https://www.genome.jp/entry/R02568</t>
  </si>
  <si>
    <t>C00111 + C00577</t>
  </si>
  <si>
    <t>6.3.4.2</t>
  </si>
  <si>
    <t>https://www.genome.jp/entry/6.3.4.2</t>
  </si>
  <si>
    <t>https://www.genome.jp/entry/R00571</t>
  </si>
  <si>
    <t>https://www.genome.jp/entry/R00573</t>
  </si>
  <si>
    <t>C00008 + C00009 + C00063 + C00025</t>
  </si>
  <si>
    <t>2.7.1.49</t>
  </si>
  <si>
    <t>2.7.4.7</t>
  </si>
  <si>
    <t>https://www.genome.jp/entry/2.7.1.49</t>
  </si>
  <si>
    <t>https://www.genome.jp/entry/R03471</t>
  </si>
  <si>
    <t>https://www.genome.jp/entry/2.7.4.7</t>
  </si>
  <si>
    <t>https://www.genome.jp/entry/R04509</t>
  </si>
  <si>
    <t>5.4.99.12</t>
  </si>
  <si>
    <t>https://www.genome.jp/entry/5.4.99.12</t>
  </si>
  <si>
    <t>https://www.genome.jp/entry/R03020</t>
  </si>
  <si>
    <t>2.7.2.4</t>
  </si>
  <si>
    <t>https://www.genome.jp/entry/2.7.2.4</t>
  </si>
  <si>
    <t>https://www.genome.jp/entry/R00480</t>
  </si>
  <si>
    <t>2.7.1.6</t>
  </si>
  <si>
    <t>https://www.genome.jp/entry/2.7.1.6</t>
  </si>
  <si>
    <t>https://www.genome.jp/entry/R01092</t>
  </si>
  <si>
    <t>2.7.7.12</t>
  </si>
  <si>
    <t>https://www.genome.jp/entry/2.7.7.12</t>
  </si>
  <si>
    <t>https://www.genome.jp/entry/R00955</t>
  </si>
  <si>
    <t>3.1.21.3</t>
  </si>
  <si>
    <t>https://www.genome.jp/entry/3.1.21.3</t>
  </si>
  <si>
    <t>3.1.21.-</t>
  </si>
  <si>
    <t>6.1.1.16</t>
  </si>
  <si>
    <t>https://www.genome.jp/entry/6.1.1.16</t>
  </si>
  <si>
    <t>https://www.genome.jp/entry/R03650</t>
  </si>
  <si>
    <t>2.3.1.30</t>
  </si>
  <si>
    <t>https://www.genome.jp/entry/2.3.1.30</t>
  </si>
  <si>
    <t>https://www.genome.jp/entry/R00586</t>
  </si>
  <si>
    <t>C00065 + C00024</t>
  </si>
  <si>
    <t>C00979 + C00010</t>
  </si>
  <si>
    <t>2.7.7.8</t>
  </si>
  <si>
    <t>https://www.genome.jp/entry/2.7.7.8</t>
  </si>
  <si>
    <t>https://www.genome.jp/entry/R07282</t>
  </si>
  <si>
    <t>C00046 + C00009</t>
  </si>
  <si>
    <t>C00046 + C00454</t>
  </si>
  <si>
    <t>https://www.genome.jp/entry/R00437</t>
  </si>
  <si>
    <t>C00046 + C00008</t>
  </si>
  <si>
    <t>https://www.genome.jp/entry/R00438</t>
  </si>
  <si>
    <t>C00046 + C00015</t>
  </si>
  <si>
    <t>https://www.genome.jp/entry/R00439</t>
  </si>
  <si>
    <t>C00046 + C00035</t>
  </si>
  <si>
    <t>https://www.genome.jp/entry/R00440</t>
  </si>
  <si>
    <t>C00046 + C00112</t>
  </si>
  <si>
    <t>6.1.1.15</t>
  </si>
  <si>
    <t>https://www.genome.jp/entry/6.1.1.15</t>
  </si>
  <si>
    <t>https://www.genome.jp/entry/R03661</t>
  </si>
  <si>
    <t>2.7.7.41</t>
  </si>
  <si>
    <t>https://www.genome.jp/entry/2.7.7.41</t>
  </si>
  <si>
    <t>https://www.genome.jp/entry/R01799</t>
  </si>
  <si>
    <t xml:space="preserve">C00063 + C00416 </t>
  </si>
  <si>
    <t>3.2.1.70</t>
  </si>
  <si>
    <t>https://www.genome.jp/entry/3.2.1.70</t>
  </si>
  <si>
    <t>3.1.1.96</t>
  </si>
  <si>
    <t>https://www.genome.jp/entry/3.1.1.96</t>
  </si>
  <si>
    <t>2.1.1.193</t>
  </si>
  <si>
    <t>https://www.genome.jp/entry/2.1.1.193</t>
  </si>
  <si>
    <t>2.6.1.85</t>
  </si>
  <si>
    <t>https://www.genome.jp/entry/2.6.1.85</t>
  </si>
  <si>
    <t>https://www.genome.jp/entry/R01716</t>
  </si>
  <si>
    <t>C00251 + C00064</t>
  </si>
  <si>
    <t>C11355 + C00025</t>
  </si>
  <si>
    <t>https://www.genome.jp/entry/R05552</t>
  </si>
  <si>
    <t xml:space="preserve">C00251 + C00014 </t>
  </si>
  <si>
    <t>C11355 + C00001</t>
  </si>
  <si>
    <t>4.1.3.27</t>
  </si>
  <si>
    <t>https://www.genome.jp/entry/4.1.3.27</t>
  </si>
  <si>
    <t>https://www.genome.jp/entry/R00986</t>
  </si>
  <si>
    <t>C00108 + C00022 + C00025</t>
  </si>
  <si>
    <t>https://www.genome.jp/entry/R00985</t>
  </si>
  <si>
    <t>C00251 + C00014</t>
  </si>
  <si>
    <t>C00108 + C00022 + C00001</t>
  </si>
  <si>
    <t>1.1.1.6</t>
  </si>
  <si>
    <t>https://www.genome.jp/entry/1.1.1.6</t>
  </si>
  <si>
    <t>https://www.genome.jp/entry/R01034</t>
  </si>
  <si>
    <t>C00116 + C00003</t>
  </si>
  <si>
    <t>C00184 + C00004 + C00080</t>
  </si>
  <si>
    <t>https://www.genome.jp/entry/R10715</t>
  </si>
  <si>
    <t>C00424 + C00003</t>
  </si>
  <si>
    <t>C00546 + C00004 + C00080</t>
  </si>
  <si>
    <t>https://www.genome.jp/entry/R10717</t>
  </si>
  <si>
    <t>C00583 + C00003</t>
  </si>
  <si>
    <t>C05235 + C00004 + C00080</t>
  </si>
  <si>
    <t>4.1.2.-</t>
  </si>
  <si>
    <t>1.97.1.-</t>
  </si>
  <si>
    <t>6.3.4.4</t>
  </si>
  <si>
    <t>https://www.genome.jp/entry/6.3.4.4</t>
  </si>
  <si>
    <t>https://www.genome.jp/entry/R01135</t>
  </si>
  <si>
    <t>3.4.11.7</t>
  </si>
  <si>
    <t>https://www.genome.jp/entry/3.4.11.7</t>
  </si>
  <si>
    <t>1.5.1.2</t>
  </si>
  <si>
    <t>https://www.genome.jp/entry/1.5.1.2</t>
  </si>
  <si>
    <t>https://www.genome.jp/entry/R01248</t>
  </si>
  <si>
    <t>C00148 + C00003</t>
  </si>
  <si>
    <t>C03912 + C00004 + C00080</t>
  </si>
  <si>
    <t>https://www.genome.jp/entry/R01251</t>
  </si>
  <si>
    <t>C00148 + C00006</t>
  </si>
  <si>
    <t>C03912 + C00005 + C00080</t>
  </si>
  <si>
    <t>https://www.genome.jp/entry/R03291</t>
  </si>
  <si>
    <t>C01157 + C00003</t>
  </si>
  <si>
    <t>C04281 + C00004 + C00080</t>
  </si>
  <si>
    <t>https://www.genome.jp/entry/R03293</t>
  </si>
  <si>
    <t>C01157 + C00006</t>
  </si>
  <si>
    <t>C04281 + C00005 + C00080</t>
  </si>
  <si>
    <t>1.17.4.2</t>
  </si>
  <si>
    <t>https://www.genome.jp/entry/1.17.4.2</t>
  </si>
  <si>
    <t>https://www.genome.jp/entry/R04315</t>
  </si>
  <si>
    <t>https://www.genome.jp/entry/R02014</t>
  </si>
  <si>
    <t>https://www.genome.jp/entry/R02020</t>
  </si>
  <si>
    <t>https://www.genome.jp/entry/R02022</t>
  </si>
  <si>
    <t>https://www.genome.jp/entry/R02023</t>
  </si>
  <si>
    <t>3.2.2.20</t>
  </si>
  <si>
    <t>https://www.genome.jp/entry/3.2.2.20</t>
  </si>
  <si>
    <t>6.1.1.19</t>
  </si>
  <si>
    <t>https://www.genome.jp/entry/6.1.1.19</t>
  </si>
  <si>
    <t>https://www.genome.jp/entry/R03646</t>
  </si>
  <si>
    <t>6.1.1.12</t>
  </si>
  <si>
    <t>https://www.genome.jp/entry/6.1.1.12</t>
  </si>
  <si>
    <t>https://www.genome.jp/entry/R05577</t>
  </si>
  <si>
    <t>6.1.1.21</t>
  </si>
  <si>
    <t>https://www.genome.jp/entry/6.1.1.21</t>
  </si>
  <si>
    <t>https://www.genome.jp/entry/R03655</t>
  </si>
  <si>
    <t>C00002 + C00135 + C01643</t>
  </si>
  <si>
    <t>C00020 + C00013 + C02988</t>
  </si>
  <si>
    <t>3.6.-.-</t>
  </si>
  <si>
    <t>2.8.1.13</t>
  </si>
  <si>
    <t>https://www.genome.jp/entry/2.8.1.13</t>
  </si>
  <si>
    <t>https://www.genome.jp/entry/R08700</t>
  </si>
  <si>
    <t>4.3.1.17</t>
  </si>
  <si>
    <t>https://www.genome.jp/entry/4.3.1.17</t>
  </si>
  <si>
    <t>https://www.genome.jp/entry/R00220</t>
  </si>
  <si>
    <t>C00022 + C00014</t>
  </si>
  <si>
    <t>https://www.genome.jp/entry/R00590</t>
  </si>
  <si>
    <t>C02218 + C00001</t>
  </si>
  <si>
    <t>https://www.genome.jp/entry/R11099</t>
  </si>
  <si>
    <t>C20904 + C00001</t>
  </si>
  <si>
    <t>https://www.genome.jp/entry/R11100</t>
  </si>
  <si>
    <t>C02218</t>
  </si>
  <si>
    <t>C20904</t>
  </si>
  <si>
    <t>https://www.genome.jp/entry/R06131</t>
  </si>
  <si>
    <t>C05167</t>
  </si>
  <si>
    <t>C00161 + C00014</t>
  </si>
  <si>
    <t>2.7.8.5</t>
  </si>
  <si>
    <t>https://www.genome.jp/entry/2.7.8.5</t>
  </si>
  <si>
    <t>https://www.genome.jp/entry/R01801</t>
  </si>
  <si>
    <t>1.1.1.205</t>
  </si>
  <si>
    <t>https://www.genome.jp/entry/1.1.1.205</t>
  </si>
  <si>
    <t>https://www.genome.jp/entry/R01130</t>
  </si>
  <si>
    <t>C00130 + C00003 + C00001</t>
  </si>
  <si>
    <t>C00655 + C00004 + C00080</t>
  </si>
  <si>
    <t>https://www.genome.jp/entry/R08240</t>
  </si>
  <si>
    <t>C04646 + C00003 + C00001</t>
  </si>
  <si>
    <t>C16618 + C00004 + C00080</t>
  </si>
  <si>
    <t>6.1.1.2</t>
  </si>
  <si>
    <t>https://www.genome.jp/entry/6.1.1.2</t>
  </si>
  <si>
    <t>https://www.genome.jp/entry/R03664</t>
  </si>
  <si>
    <t>2.1.1.177</t>
  </si>
  <si>
    <t>https://www.genome.jp/entry/2.1.1.177</t>
  </si>
  <si>
    <t>1_1_1_100</t>
  </si>
  <si>
    <t>1_1_1_133</t>
  </si>
  <si>
    <t>1_1_1_169</t>
  </si>
  <si>
    <t>1_1_1_205</t>
  </si>
  <si>
    <t>1_1_1_25</t>
  </si>
  <si>
    <t>1_1_1_6</t>
  </si>
  <si>
    <t>1_1_1_69</t>
  </si>
  <si>
    <t>1_1_1_88</t>
  </si>
  <si>
    <t>1_11_1_26</t>
  </si>
  <si>
    <t>1_15_1_1</t>
  </si>
  <si>
    <t>1_17_99_6</t>
  </si>
  <si>
    <t>1_2_1_41</t>
  </si>
  <si>
    <t>1_3_98_1</t>
  </si>
  <si>
    <t>1_4_1_4</t>
  </si>
  <si>
    <t>1_5_1_2</t>
  </si>
  <si>
    <t>1_6_3_4</t>
  </si>
  <si>
    <t>1_8_1_4</t>
  </si>
  <si>
    <t>1_8_1_7</t>
  </si>
  <si>
    <t>1_97_1_4</t>
  </si>
  <si>
    <t>2_1_1_192</t>
  </si>
  <si>
    <t>2_1_1_193</t>
  </si>
  <si>
    <t>2_1_1_217</t>
  </si>
  <si>
    <t>2_1_1_223</t>
  </si>
  <si>
    <t>2_1_1_72</t>
  </si>
  <si>
    <t>2_1_3_3</t>
  </si>
  <si>
    <t>2_2_1_1</t>
  </si>
  <si>
    <t>2_3_1_16</t>
  </si>
  <si>
    <t>2_3_1_179</t>
  </si>
  <si>
    <t>2_3_1_180</t>
  </si>
  <si>
    <t>2_3_1_30</t>
  </si>
  <si>
    <t>2_3_1_39</t>
  </si>
  <si>
    <t>2_3_1_54</t>
  </si>
  <si>
    <t>2_3_1_9</t>
  </si>
  <si>
    <t>2_4_2_1</t>
  </si>
  <si>
    <t>2_4_2_2</t>
  </si>
  <si>
    <t>2_4_2_29</t>
  </si>
  <si>
    <t>2_4_99_17</t>
  </si>
  <si>
    <t>2_5_1_145</t>
  </si>
  <si>
    <t>2_5_1_15</t>
  </si>
  <si>
    <t>2_5_1_19</t>
  </si>
  <si>
    <t>2_6_1_85</t>
  </si>
  <si>
    <t>2_7_1_107</t>
  </si>
  <si>
    <t>2_7_1_144</t>
  </si>
  <si>
    <t>2_7_1_148</t>
  </si>
  <si>
    <t>2_7_1_180</t>
  </si>
  <si>
    <t>2_7_1_2</t>
  </si>
  <si>
    <t>2_7_1_202</t>
  </si>
  <si>
    <t>2_7_1_207</t>
  </si>
  <si>
    <t>2_7_1_229</t>
  </si>
  <si>
    <t>2_7_1_35</t>
  </si>
  <si>
    <t>2_7_1_4</t>
  </si>
  <si>
    <t>2_7_1_71</t>
  </si>
  <si>
    <t>2_7_2_11</t>
  </si>
  <si>
    <t>2_7_2_2</t>
  </si>
  <si>
    <t>2_7_4_6</t>
  </si>
  <si>
    <t>2_7_4_9</t>
  </si>
  <si>
    <t>2_7_6_3</t>
  </si>
  <si>
    <t>2_7_6_5</t>
  </si>
  <si>
    <t>2_7_7_24</t>
  </si>
  <si>
    <t>2_7_7_49</t>
  </si>
  <si>
    <t>2_7_7_8</t>
  </si>
  <si>
    <t>2_8_1_7</t>
  </si>
  <si>
    <t>3_1_11_2</t>
  </si>
  <si>
    <t>3_1_11_6</t>
  </si>
  <si>
    <t>3_1_13_1</t>
  </si>
  <si>
    <t>3_1_21_10</t>
  </si>
  <si>
    <t>3_1_21_3</t>
  </si>
  <si>
    <t>3_1_26_11</t>
  </si>
  <si>
    <t>3_1_26_3</t>
  </si>
  <si>
    <t>3_1_26_4</t>
  </si>
  <si>
    <t>3_1_26_5</t>
  </si>
  <si>
    <t>3_1_26_8</t>
  </si>
  <si>
    <t>3_2_1_1</t>
  </si>
  <si>
    <t>3_2_1_163</t>
  </si>
  <si>
    <t>3_2_1_18</t>
  </si>
  <si>
    <t>3_2_1_31</t>
  </si>
  <si>
    <t>3_2_1_41</t>
  </si>
  <si>
    <t>3_2_1_70</t>
  </si>
  <si>
    <t>3_2_1_85</t>
  </si>
  <si>
    <t>3_2_2_20</t>
  </si>
  <si>
    <t>3_2_2_23</t>
  </si>
  <si>
    <t>3_2_2_27</t>
  </si>
  <si>
    <t>3_2_2_31</t>
  </si>
  <si>
    <t>3_4_11_4</t>
  </si>
  <si>
    <t>3_4_11_7</t>
  </si>
  <si>
    <t>3_4_14_11</t>
  </si>
  <si>
    <t>3_4_16_4</t>
  </si>
  <si>
    <t>3_4_21_105</t>
  </si>
  <si>
    <t>3_4_21_88</t>
  </si>
  <si>
    <t>3_4_21_89</t>
  </si>
  <si>
    <t>3_4_23_36</t>
  </si>
  <si>
    <t>3_5_1_4</t>
  </si>
  <si>
    <t>3_5_3_6</t>
  </si>
  <si>
    <t>3_5_4_12</t>
  </si>
  <si>
    <t>3_5_4_16</t>
  </si>
  <si>
    <t>3_5_4_5</t>
  </si>
  <si>
    <t>3_6_1_23</t>
  </si>
  <si>
    <t>3_6_1_25</t>
  </si>
  <si>
    <t>3_6_1_27</t>
  </si>
  <si>
    <t>3_6_4_12</t>
  </si>
  <si>
    <t>3_6_5_n1</t>
  </si>
  <si>
    <t>4_1_1_112</t>
  </si>
  <si>
    <t>4_1_1_85</t>
  </si>
  <si>
    <t>4_1_2_13</t>
  </si>
  <si>
    <t>4_1_2_14</t>
  </si>
  <si>
    <t>4_1_2_25</t>
  </si>
  <si>
    <t>4_1_2_40</t>
  </si>
  <si>
    <t>4_1_3_16</t>
  </si>
  <si>
    <t>4_1_3_27</t>
  </si>
  <si>
    <t>4_2_1_10</t>
  </si>
  <si>
    <t>4_2_1_17</t>
  </si>
  <si>
    <t>4_2_1_46</t>
  </si>
  <si>
    <t>4_2_1_59</t>
  </si>
  <si>
    <t>4_2_1_8</t>
  </si>
  <si>
    <t>4_2_2_1</t>
  </si>
  <si>
    <t>4_2_3_4</t>
  </si>
  <si>
    <t>4_2_3_5</t>
  </si>
  <si>
    <t>4_2_99_18</t>
  </si>
  <si>
    <t>4_3_1_17</t>
  </si>
  <si>
    <t>5_1_3_4</t>
  </si>
  <si>
    <t>5_1_3_9</t>
  </si>
  <si>
    <t>5_3_1_12</t>
  </si>
  <si>
    <t>5_3_1_8</t>
  </si>
  <si>
    <t>5_4_2_12</t>
  </si>
  <si>
    <t>5_4_2_7</t>
  </si>
  <si>
    <t>5_4_99_25</t>
  </si>
  <si>
    <t>5_4_99_5</t>
  </si>
  <si>
    <t>5_6_2_1</t>
  </si>
  <si>
    <t>5_6_2_2</t>
  </si>
  <si>
    <t>6_1_1_21</t>
  </si>
  <si>
    <t>6_1_1_22</t>
  </si>
  <si>
    <t>6_3_2_4</t>
  </si>
  <si>
    <t>6_3_2_7</t>
  </si>
  <si>
    <t>6_3_4_15</t>
  </si>
  <si>
    <t>6_3_5_13</t>
  </si>
  <si>
    <t>6_4_1_2</t>
  </si>
  <si>
    <t>7_3_2_1</t>
  </si>
  <si>
    <t>7_4_2_11</t>
  </si>
  <si>
    <t>7_6_2_9</t>
  </si>
  <si>
    <t>Streptococcus equi subsp. Zooepidemicus</t>
  </si>
  <si>
    <t>WP_011888528.1</t>
  </si>
  <si>
    <t>https://www.genome.jp/entry/4.1.1.33</t>
  </si>
  <si>
    <t xml:space="preserve">C16310 * C00004 * C00080 </t>
  </si>
  <si>
    <t xml:space="preserve">C01612 * C00003 </t>
  </si>
  <si>
    <t>C01271 * C00006</t>
  </si>
  <si>
    <t>C04618 * C00006</t>
  </si>
  <si>
    <t>C04619 * C00006</t>
  </si>
  <si>
    <t>C04620 * C00006</t>
  </si>
  <si>
    <t>C04633 * C00006</t>
  </si>
  <si>
    <t>C04688 * C00006</t>
  </si>
  <si>
    <t>C05747 * C00006</t>
  </si>
  <si>
    <t>C05757 * C00006</t>
  </si>
  <si>
    <t>C16219 * C00005 * C00080</t>
  </si>
  <si>
    <t>C20372 * C00005 * C00080</t>
  </si>
  <si>
    <t>C20376 * C00005 * C00080</t>
  </si>
  <si>
    <t>C03319 * C00006</t>
  </si>
  <si>
    <t>C00522 * C00006</t>
  </si>
  <si>
    <t>C00130 * C00003 * C00001</t>
  </si>
  <si>
    <t>C04646 * C00003 * C00001</t>
  </si>
  <si>
    <t>C00493 * C00006</t>
  </si>
  <si>
    <t>C02637 * C00006</t>
  </si>
  <si>
    <t>C00186 * C00003</t>
  </si>
  <si>
    <t>C00116 * C00003</t>
  </si>
  <si>
    <t>C00424 * C00003</t>
  </si>
  <si>
    <t>C00583 * C00003</t>
  </si>
  <si>
    <t>C00257 * C00003</t>
  </si>
  <si>
    <t>C00257 * C00006</t>
  </si>
  <si>
    <t>C00418 * C00010 * C00003</t>
  </si>
  <si>
    <t>C00004 * C15498 * C00080</t>
  </si>
  <si>
    <t>C00704 * C00080</t>
  </si>
  <si>
    <t>C01978 * C00028 * C00001</t>
  </si>
  <si>
    <t>C01165 * C00009 * C00006</t>
  </si>
  <si>
    <t>C00337 * C00122</t>
  </si>
  <si>
    <t>C00025 * C00006 * C00001</t>
  </si>
  <si>
    <t>C05167 * C00001 * C00003</t>
  </si>
  <si>
    <t>C05167 * C00001 * C00006</t>
  </si>
  <si>
    <t>C00148 * C00003</t>
  </si>
  <si>
    <t>C00148 * C00006</t>
  </si>
  <si>
    <t>C01157 * C00003</t>
  </si>
  <si>
    <t>C01157 * C00006</t>
  </si>
  <si>
    <t>C00004 * C00080 * C00007</t>
  </si>
  <si>
    <t>C16832 * C00003</t>
  </si>
  <si>
    <t>C02972 * C00003</t>
  </si>
  <si>
    <t>C15973 * C00003</t>
  </si>
  <si>
    <t>C00579 * C00003</t>
  </si>
  <si>
    <t>C00051 * C00006</t>
  </si>
  <si>
    <t>C00051 * C00003</t>
  </si>
  <si>
    <t>C00019 * C05196 * C05197</t>
  </si>
  <si>
    <t>C00019 * C00821</t>
  </si>
  <si>
    <t>C00169 * C00077</t>
  </si>
  <si>
    <t>C05382 * C00118</t>
  </si>
  <si>
    <t>C00085 * C00118</t>
  </si>
  <si>
    <t>C05345 * C00118</t>
  </si>
  <si>
    <t>C12214 * C00117</t>
  </si>
  <si>
    <t>C00231 * C00068</t>
  </si>
  <si>
    <t>C05382 * C00068</t>
  </si>
  <si>
    <t>C00040 * C00024</t>
  </si>
  <si>
    <t>C00091 * C00024</t>
  </si>
  <si>
    <t>C00100 * C00024</t>
  </si>
  <si>
    <t>C00024 * C00136</t>
  </si>
  <si>
    <t>C01944 * C00024</t>
  </si>
  <si>
    <t>C01832 * C00024</t>
  </si>
  <si>
    <t>C02593 * C00024</t>
  </si>
  <si>
    <t>C05274 * C00024</t>
  </si>
  <si>
    <t>C05270 * C00024</t>
  </si>
  <si>
    <t>C07118 * C00010</t>
  </si>
  <si>
    <t>C06715 * C00010</t>
  </si>
  <si>
    <t>C16331 * C00024</t>
  </si>
  <si>
    <t>C16335 * C00024</t>
  </si>
  <si>
    <t>C16339 * C00024</t>
  </si>
  <si>
    <t>C16169 * C00024</t>
  </si>
  <si>
    <t>C16173 * C00024</t>
  </si>
  <si>
    <t>C16466 * C00010</t>
  </si>
  <si>
    <t>C16471 * C00010</t>
  </si>
  <si>
    <t>C23016 * C00010</t>
  </si>
  <si>
    <t>C23006 * C00010</t>
  </si>
  <si>
    <t>C23021 * C00010</t>
  </si>
  <si>
    <t>C23013 * C00010</t>
  </si>
  <si>
    <t>C00173 * C01209</t>
  </si>
  <si>
    <t>C03939 * C01209</t>
  </si>
  <si>
    <t>C05223 * C01209</t>
  </si>
  <si>
    <t>C05745 * C01209</t>
  </si>
  <si>
    <t>C05749 * C01209</t>
  </si>
  <si>
    <t>C05752 * C01209</t>
  </si>
  <si>
    <t>C05755 * C01209</t>
  </si>
  <si>
    <t>C05761 * C01209</t>
  </si>
  <si>
    <t xml:space="preserve">C05764 * C01209 </t>
  </si>
  <si>
    <t>C19673 * C01209</t>
  </si>
  <si>
    <t>C20375 * C01209</t>
  </si>
  <si>
    <t>C00024 * C01209</t>
  </si>
  <si>
    <t>C00065 * C00024</t>
  </si>
  <si>
    <t>C00083 * C00229</t>
  </si>
  <si>
    <t>C00024 * C00058</t>
  </si>
  <si>
    <t>C00109 * C00010</t>
  </si>
  <si>
    <t>C15586 * C00009</t>
  </si>
  <si>
    <t>C20463 * C00009</t>
  </si>
  <si>
    <t>C03169 * C00009</t>
  </si>
  <si>
    <t>C01977 * C16675</t>
  </si>
  <si>
    <t xml:space="preserve">C00130 * C00013 </t>
  </si>
  <si>
    <t xml:space="preserve">C00655 * C00013 </t>
  </si>
  <si>
    <t>C00019 * C20446</t>
  </si>
  <si>
    <t>C04807 * C00568</t>
  </si>
  <si>
    <t>C01300 * C00568</t>
  </si>
  <si>
    <t>C00074 * C03175</t>
  </si>
  <si>
    <t>C00251 * C00064</t>
  </si>
  <si>
    <t xml:space="preserve">C00251 * C00014 </t>
  </si>
  <si>
    <t>C00002 * C00641</t>
  </si>
  <si>
    <t>C00002 * C05345</t>
  </si>
  <si>
    <t>C00002 * C00085</t>
  </si>
  <si>
    <t>C00063 * C00085</t>
  </si>
  <si>
    <t>C00075 * C00085</t>
  </si>
  <si>
    <t>C00002 * C05382</t>
  </si>
  <si>
    <t>C00063 * C01097</t>
  </si>
  <si>
    <t>C00075 * C01097</t>
  </si>
  <si>
    <t>C11435 * C00002</t>
  </si>
  <si>
    <t>C00016 * C19803</t>
  </si>
  <si>
    <t>C00002 * C00031</t>
  </si>
  <si>
    <t>C00002 * C00221</t>
  </si>
  <si>
    <t>C00002 * C00267</t>
  </si>
  <si>
    <t>C04261 * C00095</t>
  </si>
  <si>
    <t>C04261 * C00243</t>
  </si>
  <si>
    <t>C04261 * G10504</t>
  </si>
  <si>
    <t>C00089 * C04261</t>
  </si>
  <si>
    <t>C00002 * C00250</t>
  </si>
  <si>
    <t>C00002 * C00314</t>
  </si>
  <si>
    <t>C00002 * C00534</t>
  </si>
  <si>
    <t>C00002 * C00095</t>
  </si>
  <si>
    <t>C00002 * C02336</t>
  </si>
  <si>
    <t>C00002 * C00493</t>
  </si>
  <si>
    <t xml:space="preserve">C00002 * C00163 </t>
  </si>
  <si>
    <t>C00002 * C00025</t>
  </si>
  <si>
    <t>C00002 * C00014 * C00288</t>
  </si>
  <si>
    <t>C00014 * C00288</t>
  </si>
  <si>
    <t>C00002 * C00360</t>
  </si>
  <si>
    <t>C00002 * C00454</t>
  </si>
  <si>
    <t>C00002 * C00008</t>
  </si>
  <si>
    <t>C11038 * C00002</t>
  </si>
  <si>
    <t>C00002 * C00015</t>
  </si>
  <si>
    <t>C00002 * C00035</t>
  </si>
  <si>
    <t>C00002 * C00112</t>
  </si>
  <si>
    <t>C00002 * C00104</t>
  </si>
  <si>
    <t>C00002 * C00206</t>
  </si>
  <si>
    <t>C00002 * C00361</t>
  </si>
  <si>
    <t>C00002 * C00363</t>
  </si>
  <si>
    <t>C00002 * C00705</t>
  </si>
  <si>
    <t>C00002 * C01346</t>
  </si>
  <si>
    <t>C00002 * C01344</t>
  </si>
  <si>
    <t>C22442 * C00002</t>
  </si>
  <si>
    <t>C00002 * C21748</t>
  </si>
  <si>
    <t>C00002 * C21750</t>
  </si>
  <si>
    <t>C00002 * C00364</t>
  </si>
  <si>
    <t>C00002 * C00365</t>
  </si>
  <si>
    <t>C00002 * C01300</t>
  </si>
  <si>
    <t>C00002 * C00044</t>
  </si>
  <si>
    <t>C00459 * C00103</t>
  </si>
  <si>
    <t xml:space="preserve">C00063 * C00416 </t>
  </si>
  <si>
    <t xml:space="preserve">C00044 * C00046 </t>
  </si>
  <si>
    <t>C00677 * C00039</t>
  </si>
  <si>
    <t>C00286 * C00039</t>
  </si>
  <si>
    <t>C00046 * C00009</t>
  </si>
  <si>
    <t>C15811 * C00097</t>
  </si>
  <si>
    <t>C00097 * C02743</t>
  </si>
  <si>
    <t>C15812 * C02743</t>
  </si>
  <si>
    <t>C03880 * C00001</t>
  </si>
  <si>
    <t>C00369 * C00001</t>
  </si>
  <si>
    <t>G10545 * C00001</t>
  </si>
  <si>
    <t>C01935 * C00001</t>
  </si>
  <si>
    <t>C01728 * C00001</t>
  </si>
  <si>
    <t xml:space="preserve">C01290 * C00270 </t>
  </si>
  <si>
    <t>C02686 * C00270</t>
  </si>
  <si>
    <t>C04884 * C00001</t>
  </si>
  <si>
    <t>C04911 * C00270</t>
  </si>
  <si>
    <t>C06140 * C00270</t>
  </si>
  <si>
    <t>C06140 * C00001</t>
  </si>
  <si>
    <t>G00116 * C00270</t>
  </si>
  <si>
    <t>G00116 * C00001</t>
  </si>
  <si>
    <t>G00092 * C00270</t>
  </si>
  <si>
    <t>G00109 * C00001</t>
  </si>
  <si>
    <t>G11121 * C00270</t>
  </si>
  <si>
    <t>G00110 * C00270</t>
  </si>
  <si>
    <t>C00001 * C03033</t>
  </si>
  <si>
    <t>G13040 * C00001</t>
  </si>
  <si>
    <t>C11376 * C00001</t>
  </si>
  <si>
    <t>G00526 * C00001</t>
  </si>
  <si>
    <t xml:space="preserve">C05787 * C00001 * C00030 </t>
  </si>
  <si>
    <t>C04900 * C00001</t>
  </si>
  <si>
    <t>C03847 * C00001</t>
  </si>
  <si>
    <t>C05396 * C00001</t>
  </si>
  <si>
    <t>G10517 * C00001</t>
  </si>
  <si>
    <t>C03620 * C00001</t>
  </si>
  <si>
    <t>C06244 * C00001</t>
  </si>
  <si>
    <t>C02505 * C00001</t>
  </si>
  <si>
    <t>C02693 * C00001</t>
  </si>
  <si>
    <t>C03078 * C00001</t>
  </si>
  <si>
    <t>C00511 * C00014</t>
  </si>
  <si>
    <t>C09815 * C00001</t>
  </si>
  <si>
    <t>C00062 * C00001</t>
  </si>
  <si>
    <t>C06060 * C00001</t>
  </si>
  <si>
    <t>C00044 * C00001</t>
  </si>
  <si>
    <t>C04895 * C00001</t>
  </si>
  <si>
    <t>C05922 * C00001</t>
  </si>
  <si>
    <t>C00475 * C00001</t>
  </si>
  <si>
    <t>C00881 * C00001</t>
  </si>
  <si>
    <t>C16635 * C00001</t>
  </si>
  <si>
    <t>C00460 * C00001</t>
  </si>
  <si>
    <t>C21751 * C00001</t>
  </si>
  <si>
    <t>C00536 * C00001</t>
  </si>
  <si>
    <t>C04574 * C00001</t>
  </si>
  <si>
    <t>C14899 * C00080</t>
  </si>
  <si>
    <t>C00251 * C00014</t>
  </si>
  <si>
    <t>C03460 * C00001</t>
  </si>
  <si>
    <t>C00877 * C00001</t>
  </si>
  <si>
    <t>C11946 * C00001</t>
  </si>
  <si>
    <t>C11945 * C00001</t>
  </si>
  <si>
    <t>C14144 * C00001</t>
  </si>
  <si>
    <t>C16468 * C00001</t>
  </si>
  <si>
    <t>C20904 * C00001</t>
  </si>
  <si>
    <t>C00002 * C00135 * C01643</t>
  </si>
  <si>
    <t>C00002 * C00152 * C01637</t>
  </si>
  <si>
    <t>C00002 * C00133</t>
  </si>
  <si>
    <t>C00002 * C00692 * C00047</t>
  </si>
  <si>
    <t>C00002 * C00120 * C04735</t>
  </si>
  <si>
    <t>C00002 * C00120</t>
  </si>
  <si>
    <t>C05921 * C06249</t>
  </si>
  <si>
    <t>C00685 * C00005 * C00080</t>
  </si>
  <si>
    <t>C05744 * C00005 * C00080</t>
  </si>
  <si>
    <t>C05753 * C00005</t>
  </si>
  <si>
    <t>C05750 * C00005 * C00080</t>
  </si>
  <si>
    <t>C05762 * C00005 * C00080</t>
  </si>
  <si>
    <t>C05759 * C00005 * C00080</t>
  </si>
  <si>
    <t>C05746 * C00005 * C00080</t>
  </si>
  <si>
    <t>C05756 * C00005 * C00080</t>
  </si>
  <si>
    <t>C16220 * C00006</t>
  </si>
  <si>
    <t>C20373 * C00006</t>
  </si>
  <si>
    <t>C20377 * C00006</t>
  </si>
  <si>
    <t>C00688 * C00005 * C00080</t>
  </si>
  <si>
    <t>C00966 * C00005 * C00080</t>
  </si>
  <si>
    <t>C00655 * C00004 * C00080</t>
  </si>
  <si>
    <t>C16618 * C00004 * C00080</t>
  </si>
  <si>
    <t>C02637 * C00005 * C00080</t>
  </si>
  <si>
    <t>C22438 * C00005 * C00080</t>
  </si>
  <si>
    <t>C00184 * C00004 * C00080</t>
  </si>
  <si>
    <t>C00546 * C00004 * C00080</t>
  </si>
  <si>
    <t>C05235 * C00004 * C00080</t>
  </si>
  <si>
    <t>C01062 * C00004 * C00080</t>
  </si>
  <si>
    <t>C01062 * C00005 * C00080</t>
  </si>
  <si>
    <t>C00356 * C00004 * C00080</t>
  </si>
  <si>
    <t>C00003 * C00001 * C01335</t>
  </si>
  <si>
    <t>C00027 * C00007</t>
  </si>
  <si>
    <t>00342 * C00008</t>
  </si>
  <si>
    <t>C19647 * C00030</t>
  </si>
  <si>
    <t>C03287 * C00005 * C00080</t>
  </si>
  <si>
    <t>C00295 * C00042</t>
  </si>
  <si>
    <t>C00026 * C00014 * C00005 * C00080</t>
  </si>
  <si>
    <t>C00161 * C00014 * C00004 * C00080</t>
  </si>
  <si>
    <t>C00161 * C00014 * C00005 * C00080</t>
  </si>
  <si>
    <t>C03912 * C00004 * C00080</t>
  </si>
  <si>
    <t>C03912 * C00005 * C00080</t>
  </si>
  <si>
    <t>C04281 * C00004 * C00080</t>
  </si>
  <si>
    <t>C04281 * C00005 * C00080</t>
  </si>
  <si>
    <t>C00003 * C00001</t>
  </si>
  <si>
    <t>C16237 * C00004 * C00080</t>
  </si>
  <si>
    <t>C02051 * C00004 * C00080</t>
  </si>
  <si>
    <t>C15972 * C00004 * C00080</t>
  </si>
  <si>
    <t>C00248 * C00004 * C00080</t>
  </si>
  <si>
    <t>C00127 * C00005 * C00080</t>
  </si>
  <si>
    <t>C00127 * C00004 * C00080</t>
  </si>
  <si>
    <t>C05198 * C00073 * C05199 * C05312</t>
  </si>
  <si>
    <t>C00021 * C03391</t>
  </si>
  <si>
    <t>C00009 * C00327</t>
  </si>
  <si>
    <t>C00117 * C00231</t>
  </si>
  <si>
    <t>C00279 * C00231</t>
  </si>
  <si>
    <t>C12215 * C05382</t>
  </si>
  <si>
    <t>C13378 * C00118</t>
  </si>
  <si>
    <t>C13378 * C00117</t>
  </si>
  <si>
    <t>C00010 * C00264</t>
  </si>
  <si>
    <t>C00010 * C00332</t>
  </si>
  <si>
    <t>C00010 * C02232</t>
  </si>
  <si>
    <t>C00010 * C03344</t>
  </si>
  <si>
    <t>C00010 * C05269</t>
  </si>
  <si>
    <t>C00010 * C05265</t>
  </si>
  <si>
    <t>C00010 * C05261</t>
  </si>
  <si>
    <t>C00010 * C05259</t>
  </si>
  <si>
    <t>C00010 * C05263</t>
  </si>
  <si>
    <t>C00010 * C05267</t>
  </si>
  <si>
    <t>C00512 * C00024</t>
  </si>
  <si>
    <t>C00527 * C00024</t>
  </si>
  <si>
    <t>C00010 * C16330</t>
  </si>
  <si>
    <t>C00010 * C16334</t>
  </si>
  <si>
    <t>C00010 * C16338</t>
  </si>
  <si>
    <t>C00010 * C16376</t>
  </si>
  <si>
    <t>C00010 * C16389</t>
  </si>
  <si>
    <t>C16470 * C00024</t>
  </si>
  <si>
    <t>C03069 * C00024</t>
  </si>
  <si>
    <t>C23017 * C00024</t>
  </si>
  <si>
    <t>C23007 * C00024</t>
  </si>
  <si>
    <t>C23022 * C00024</t>
  </si>
  <si>
    <t>C21906 * C00100</t>
  </si>
  <si>
    <t>C00685 * C00011 * C00229</t>
  </si>
  <si>
    <t>C05744 * C00011 * C00229</t>
  </si>
  <si>
    <t>C05759 * C00011 * C00229</t>
  </si>
  <si>
    <t>C05746 * C00011 * C00229</t>
  </si>
  <si>
    <t>C05750 * C00011 * C00229</t>
  </si>
  <si>
    <t>C05753 * C00011 * C00229</t>
  </si>
  <si>
    <t>C05756 * C00011 * C00229</t>
  </si>
  <si>
    <t>C05762 * C00011 * C00229</t>
  </si>
  <si>
    <t>C16219 * C00229 * C00011</t>
  </si>
  <si>
    <t>C20372 * C00011 * C00229</t>
  </si>
  <si>
    <t>C20376 * C00011 * C00229</t>
  </si>
  <si>
    <t>C05744 * C00010 * C00011</t>
  </si>
  <si>
    <t>C00979 * C00010</t>
  </si>
  <si>
    <t>C00010 * C01209</t>
  </si>
  <si>
    <t>C00010 * C00022</t>
  </si>
  <si>
    <t>C00100 * C00058</t>
  </si>
  <si>
    <t>G10555 * G10619</t>
  </si>
  <si>
    <t>C15587 * C00620</t>
  </si>
  <si>
    <t>C00147 * C00620</t>
  </si>
  <si>
    <t>C00262 * C00620</t>
  </si>
  <si>
    <t>C00242 * C00620</t>
  </si>
  <si>
    <t>C00385 * C00620</t>
  </si>
  <si>
    <t>C15587 * C00672</t>
  </si>
  <si>
    <t>C00242 * C00672</t>
  </si>
  <si>
    <t>C00147 * C00672</t>
  </si>
  <si>
    <t>C00262 * C00672</t>
  </si>
  <si>
    <t>C00153 * C00620</t>
  </si>
  <si>
    <t>C00253 * C00620 * C00080</t>
  </si>
  <si>
    <t>C00178 * C00672</t>
  </si>
  <si>
    <t>C00106 * C00620</t>
  </si>
  <si>
    <t>C00380 * C00620</t>
  </si>
  <si>
    <t>C00106 * C00672</t>
  </si>
  <si>
    <t>C00396 * C00620 * C00080</t>
  </si>
  <si>
    <t>C20446 * C00242</t>
  </si>
  <si>
    <t>C00073 * C00147 * C19647</t>
  </si>
  <si>
    <t>C00013 * C00921</t>
  </si>
  <si>
    <t>C00921 * C00001</t>
  </si>
  <si>
    <t>C00009 * C01269</t>
  </si>
  <si>
    <t>C11355 * C00025</t>
  </si>
  <si>
    <t>C11355 * C00001</t>
  </si>
  <si>
    <t>C00008 * C00416</t>
  </si>
  <si>
    <t>C00112 * C00354</t>
  </si>
  <si>
    <t>C00015 * C00354</t>
  </si>
  <si>
    <t>C00008 * C00447</t>
  </si>
  <si>
    <t>C00112 * C03785</t>
  </si>
  <si>
    <t>C00015 * C03785</t>
  </si>
  <si>
    <t>C11436 * C00008</t>
  </si>
  <si>
    <t>C20730 * C00020</t>
  </si>
  <si>
    <t>C00008 * C00092</t>
  </si>
  <si>
    <t>C00008 * C01172</t>
  </si>
  <si>
    <t>C00008 * C00668</t>
  </si>
  <si>
    <t>C00615 * C01094</t>
  </si>
  <si>
    <t>C00615 * C05396</t>
  </si>
  <si>
    <t>C00615 * G10517</t>
  </si>
  <si>
    <t>C16688 * C00615</t>
  </si>
  <si>
    <t>C00008 * C00018</t>
  </si>
  <si>
    <t>C00008 * C00627</t>
  </si>
  <si>
    <t>C00008 * C00647</t>
  </si>
  <si>
    <t>C00008 * C00085</t>
  </si>
  <si>
    <t>C00008 * C05345</t>
  </si>
  <si>
    <t>C00008 * C03175</t>
  </si>
  <si>
    <t>C00008 * C03287</t>
  </si>
  <si>
    <t>C00008 * C00169 * C00001</t>
  </si>
  <si>
    <t>C00008 * C00201</t>
  </si>
  <si>
    <t>C00008 * C00002</t>
  </si>
  <si>
    <t>C11039 * C00008</t>
  </si>
  <si>
    <t>C00008 * C00075</t>
  </si>
  <si>
    <t>C00008 * C00044</t>
  </si>
  <si>
    <t>C00008 * C00063</t>
  </si>
  <si>
    <t>C00008 * C00081</t>
  </si>
  <si>
    <t>C00008 * C00131</t>
  </si>
  <si>
    <t>C00008 * C00286</t>
  </si>
  <si>
    <t>C00008 * C00459</t>
  </si>
  <si>
    <t>C00008 * C00458</t>
  </si>
  <si>
    <t>C00008 * C00460</t>
  </si>
  <si>
    <t>C00008 * C01345</t>
  </si>
  <si>
    <t>C22443 * C00008</t>
  </si>
  <si>
    <t>C00008 * C21749</t>
  </si>
  <si>
    <t>C00008 * C21751</t>
  </si>
  <si>
    <t>C00008 * C00363</t>
  </si>
  <si>
    <t>C00020 * C04807</t>
  </si>
  <si>
    <t>C00020 * C04494</t>
  </si>
  <si>
    <t>C00013 * C00842</t>
  </si>
  <si>
    <t>C20864 * C00013</t>
  </si>
  <si>
    <t>C00013 * C00039</t>
  </si>
  <si>
    <t>C00046 * C00454</t>
  </si>
  <si>
    <t>C00046 * C00008</t>
  </si>
  <si>
    <t>C00046 * C00015</t>
  </si>
  <si>
    <t>C00046 * C00035</t>
  </si>
  <si>
    <t>C00046 * C00112</t>
  </si>
  <si>
    <t>C15812 * C00041</t>
  </si>
  <si>
    <t>C00041 * C21440</t>
  </si>
  <si>
    <t>C15811 * C21440</t>
  </si>
  <si>
    <t>C03523 * C00066</t>
  </si>
  <si>
    <t>C00721 * C00369</t>
  </si>
  <si>
    <t>C00721 * C00208</t>
  </si>
  <si>
    <t>G10545 * G10545</t>
  </si>
  <si>
    <t>C04730 * C00001</t>
  </si>
  <si>
    <t>C06128 * C00001</t>
  </si>
  <si>
    <t>C06135 * C00270</t>
  </si>
  <si>
    <t>C04927 * C00001</t>
  </si>
  <si>
    <t>C06139 * C00001</t>
  </si>
  <si>
    <t>C06141 * C00270</t>
  </si>
  <si>
    <t>G00117 * C00001</t>
  </si>
  <si>
    <t>G00115 * C00270</t>
  </si>
  <si>
    <t>G00108 * C00001</t>
  </si>
  <si>
    <t>G00123 * C00270</t>
  </si>
  <si>
    <t>G00317 * C00001</t>
  </si>
  <si>
    <t>G00111 * C00001</t>
  </si>
  <si>
    <t>C00191 * C00069</t>
  </si>
  <si>
    <t>G09660 * C00191</t>
  </si>
  <si>
    <t>C11173 * C00191</t>
  </si>
  <si>
    <t>G00711 * C00191</t>
  </si>
  <si>
    <t>C05791 * C00191 * C00028</t>
  </si>
  <si>
    <t>C12632 * C00191</t>
  </si>
  <si>
    <t>C00069 * C01113</t>
  </si>
  <si>
    <t>C00221 * C01113</t>
  </si>
  <si>
    <t>C00033 * C00014</t>
  </si>
  <si>
    <t>C07086 * C00014</t>
  </si>
  <si>
    <t>C00954 * C00014</t>
  </si>
  <si>
    <t>C01035 * C00014</t>
  </si>
  <si>
    <t>C01659 * C00001</t>
  </si>
  <si>
    <t>C00180 * C00014</t>
  </si>
  <si>
    <t>C00327 * C00014</t>
  </si>
  <si>
    <t>C00365 * C00014</t>
  </si>
  <si>
    <t>C04895 * C00058</t>
  </si>
  <si>
    <t>C05923 * C00058</t>
  </si>
  <si>
    <t>C00299 * C00014</t>
  </si>
  <si>
    <t>C00526 * C00014</t>
  </si>
  <si>
    <t>C12739 * C00014</t>
  </si>
  <si>
    <t>C00365 * C00013</t>
  </si>
  <si>
    <t>C04242 * C00013</t>
  </si>
  <si>
    <t>C00013 * C00009</t>
  </si>
  <si>
    <t>C17556 * C00009</t>
  </si>
  <si>
    <t>C00022 * C00011</t>
  </si>
  <si>
    <t>C00109 * C00011</t>
  </si>
  <si>
    <t>C00001 * C00074 * C00011</t>
  </si>
  <si>
    <t>C03291 * C00011</t>
  </si>
  <si>
    <t>C00111 * C00118</t>
  </si>
  <si>
    <t>C00111 * C00279</t>
  </si>
  <si>
    <t>C00111 * C00577</t>
  </si>
  <si>
    <t>C00118 * C00022</t>
  </si>
  <si>
    <t>C00266 * C01300</t>
  </si>
  <si>
    <t>C00022 * C00048</t>
  </si>
  <si>
    <t>C00108 * C00022 * C00025</t>
  </si>
  <si>
    <t>C00108 * C00022 * C00001</t>
  </si>
  <si>
    <t>C02637 * C00001</t>
  </si>
  <si>
    <t>C00658 * C00001</t>
  </si>
  <si>
    <t>C00894 * C00001</t>
  </si>
  <si>
    <t>C03221 * C00001</t>
  </si>
  <si>
    <t>C03345 * C00001</t>
  </si>
  <si>
    <t>C05272 * C00001</t>
  </si>
  <si>
    <t>C05273 * C00001</t>
  </si>
  <si>
    <t>C05275 * C00001</t>
  </si>
  <si>
    <t>C05276 * C00001</t>
  </si>
  <si>
    <t>C05271 * C00001</t>
  </si>
  <si>
    <t>C16328 * C00001</t>
  </si>
  <si>
    <t>C16332 * C00001</t>
  </si>
  <si>
    <t>C16336 * C00001</t>
  </si>
  <si>
    <t>C05067 * C00001</t>
  </si>
  <si>
    <t>C01122 * C00001</t>
  </si>
  <si>
    <t>C03069 * C00001</t>
  </si>
  <si>
    <t>C11907 * C00001</t>
  </si>
  <si>
    <t>C00693 * C00001</t>
  </si>
  <si>
    <t>C04246 * C00001</t>
  </si>
  <si>
    <t>C05754 * C00001</t>
  </si>
  <si>
    <t>C05751 * C00001</t>
  </si>
  <si>
    <t>C05763 * C00001</t>
  </si>
  <si>
    <t>C05760 * C00001</t>
  </si>
  <si>
    <t>C05748 * C00001</t>
  </si>
  <si>
    <t>C05758 * C00001</t>
  </si>
  <si>
    <t>C20374 * C00001</t>
  </si>
  <si>
    <t>C20378 * C00001</t>
  </si>
  <si>
    <t>C00204 * C00001</t>
  </si>
  <si>
    <t>C00944 * C00009</t>
  </si>
  <si>
    <t>C00251 * C00009</t>
  </si>
  <si>
    <t>C00022 * C00014</t>
  </si>
  <si>
    <t>C02218 * C00001</t>
  </si>
  <si>
    <t>C00161 * C00014</t>
  </si>
  <si>
    <t>C00020 * C00013 * G13179</t>
  </si>
  <si>
    <t>C00020 * C00013 * C02988</t>
  </si>
  <si>
    <t>C00020 * C00013 * C03402</t>
  </si>
  <si>
    <t>C00008 * C00009 * C00993</t>
  </si>
  <si>
    <t>C00008 * C00009 * C05892</t>
  </si>
  <si>
    <t>C00020 * C00013 * C04681</t>
  </si>
  <si>
    <t>C00013 * C05921</t>
  </si>
  <si>
    <t>C00020 * C06250</t>
  </si>
  <si>
    <t>C00008 * C00009 * C00063 * C00025</t>
  </si>
  <si>
    <t>C00008 * C00009 * C05894</t>
  </si>
  <si>
    <t>C00008 * C22083</t>
  </si>
  <si>
    <t>C05894 * C00009</t>
  </si>
  <si>
    <t>C00008 * C00009 * C00083</t>
  </si>
  <si>
    <t>C00677 + C00039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</si>
</sst>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5B616B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1F1F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0">
    <xf numFmtId="0" fontId="0" fillId="0" borderId="0" xfId="0"/>
    <xf numFmtId="0" fontId="18" fillId="0" borderId="10" xfId="0" applyFont="1" applyBorder="1" applyAlignment="1">
      <alignment horizontal="left" vertical="center" wrapText="1" indent="1"/>
    </xf>
    <xf numFmtId="0" fontId="20" fillId="0" borderId="0" xfId="0" applyFont="1" applyAlignment="1">
      <alignment vertical="top"/>
    </xf>
    <xf numFmtId="0" fontId="21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vertical="top" wrapText="1"/>
    </xf>
    <xf numFmtId="0" fontId="22" fillId="0" borderId="0" xfId="42" applyFont="1" applyAlignment="1">
      <alignment vertical="top"/>
    </xf>
    <xf numFmtId="0" fontId="19" fillId="0" borderId="0" xfId="42" applyAlignment="1">
      <alignment vertical="top"/>
    </xf>
    <xf numFmtId="0" fontId="20" fillId="0" borderId="0" xfId="0" applyFont="1" applyAlignment="1">
      <alignment horizontal="left" vertical="top" wrapText="1"/>
    </xf>
    <xf numFmtId="0" fontId="14" fillId="0" borderId="0" xfId="0" applyFont="1"/>
    <xf numFmtId="0" fontId="23" fillId="0" borderId="0" xfId="0" applyFont="1"/>
    <xf numFmtId="0" fontId="19" fillId="0" borderId="0" xfId="42" applyFill="1"/>
    <xf numFmtId="0" fontId="20" fillId="0" borderId="0" xfId="0" applyFont="1"/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0" fillId="33" borderId="0" xfId="0" applyFill="1" applyAlignment="1">
      <alignment vertical="center" wrapText="1"/>
    </xf>
    <xf numFmtId="0" fontId="16" fillId="33" borderId="1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24" fillId="0" borderId="0" xfId="0" applyFont="1"/>
    <xf numFmtId="0" fontId="24" fillId="0" borderId="0" xfId="0" quotePrefix="1" applyFont="1"/>
    <xf numFmtId="0" fontId="16" fillId="0" borderId="0" xfId="0" applyFont="1"/>
    <xf numFmtId="0" fontId="16" fillId="34" borderId="0" xfId="0" applyFont="1" applyFill="1"/>
    <xf numFmtId="0" fontId="16" fillId="35" borderId="0" xfId="0" applyFont="1" applyFill="1"/>
    <xf numFmtId="0" fontId="16" fillId="0" borderId="0" xfId="0" applyFont="1" applyAlignment="1">
      <alignment wrapText="1"/>
    </xf>
    <xf numFmtId="0" fontId="16" fillId="40" borderId="0" xfId="0" applyFont="1" applyFill="1" applyAlignment="1">
      <alignment wrapText="1"/>
    </xf>
    <xf numFmtId="0" fontId="16" fillId="41" borderId="0" xfId="0" applyFont="1" applyFill="1" applyAlignment="1">
      <alignment wrapText="1"/>
    </xf>
    <xf numFmtId="0" fontId="16" fillId="36" borderId="0" xfId="0" applyFont="1" applyFill="1" applyAlignment="1">
      <alignment wrapText="1"/>
    </xf>
    <xf numFmtId="0" fontId="16" fillId="34" borderId="0" xfId="0" applyFont="1" applyFill="1" applyAlignment="1">
      <alignment wrapText="1"/>
    </xf>
    <xf numFmtId="0" fontId="16" fillId="39" borderId="0" xfId="0" applyFont="1" applyFill="1" applyAlignment="1">
      <alignment wrapText="1"/>
    </xf>
    <xf numFmtId="0" fontId="16" fillId="38" borderId="0" xfId="0" applyFont="1" applyFill="1" applyAlignment="1">
      <alignment wrapText="1"/>
    </xf>
    <xf numFmtId="0" fontId="16" fillId="37" borderId="0" xfId="0" applyFont="1" applyFill="1" applyAlignment="1">
      <alignment wrapText="1"/>
    </xf>
    <xf numFmtId="0" fontId="0" fillId="40" borderId="0" xfId="0" applyFill="1"/>
    <xf numFmtId="0" fontId="0" fillId="41" borderId="0" xfId="0" applyFill="1"/>
    <xf numFmtId="0" fontId="0" fillId="36" borderId="0" xfId="0" applyFill="1"/>
    <xf numFmtId="0" fontId="0" fillId="39" borderId="0" xfId="0" applyFill="1"/>
    <xf numFmtId="0" fontId="0" fillId="38" borderId="0" xfId="0" applyFill="1"/>
    <xf numFmtId="0" fontId="0" fillId="37" borderId="0" xfId="0" applyFill="1"/>
    <xf numFmtId="0" fontId="16" fillId="43" borderId="0" xfId="0" applyFont="1" applyFill="1" applyAlignment="1">
      <alignment wrapText="1"/>
    </xf>
    <xf numFmtId="0" fontId="0" fillId="43" borderId="0" xfId="0" applyFill="1"/>
    <xf numFmtId="0" fontId="16" fillId="42" borderId="0" xfId="0" applyFont="1" applyFill="1" applyAlignment="1">
      <alignment wrapText="1"/>
    </xf>
    <xf numFmtId="0" fontId="0" fillId="42" borderId="0" xfId="0" applyFill="1" applyAlignment="1">
      <alignment wrapText="1"/>
    </xf>
    <xf numFmtId="0" fontId="14" fillId="0" borderId="0" xfId="0" applyFont="1" applyAlignment="1">
      <alignment wrapText="1"/>
    </xf>
    <xf numFmtId="0" fontId="19" fillId="0" borderId="0" xfId="42"/>
    <xf numFmtId="0" fontId="20" fillId="0" borderId="10" xfId="0" applyFont="1" applyBorder="1" applyAlignment="1">
      <alignment horizontal="left" vertical="top" wrapText="1"/>
    </xf>
    <xf numFmtId="0" fontId="20" fillId="44" borderId="0" xfId="0" applyFont="1" applyFill="1" applyAlignment="1">
      <alignment vertical="top"/>
    </xf>
    <xf numFmtId="0" fontId="0" fillId="44" borderId="0" xfId="0" applyFill="1"/>
    <xf numFmtId="0" fontId="0" fillId="44" borderId="0" xfId="0" applyFill="1" applyAlignment="1">
      <alignment horizontal="center" vertical="center"/>
    </xf>
    <xf numFmtId="10" fontId="0" fillId="44" borderId="0" xfId="0" applyNumberFormat="1" applyFill="1" applyAlignment="1">
      <alignment horizontal="center" vertical="center"/>
    </xf>
    <xf numFmtId="0" fontId="20" fillId="0" borderId="0" xfId="0" applyFont="1" applyFill="1" applyAlignment="1">
      <alignment vertical="top"/>
    </xf>
    <xf numFmtId="0" fontId="0" fillId="0" borderId="0" xfId="0" applyFill="1"/>
    <xf numFmtId="0" fontId="0" fillId="45" borderId="0" xfId="0" applyFill="1"/>
    <xf numFmtId="0" fontId="0" fillId="46" borderId="0" xfId="0" applyFill="1"/>
    <xf numFmtId="0" fontId="0" fillId="0" borderId="0" xfId="0" applyFont="1"/>
    <xf numFmtId="0" fontId="0" fillId="0" borderId="0" xfId="0" applyFont="1" applyAlignment="1">
      <alignment wrapText="1"/>
    </xf>
    <xf numFmtId="0" fontId="19" fillId="0" borderId="0" xfId="42" applyAlignment="1">
      <alignment wrapText="1"/>
    </xf>
    <xf numFmtId="0" fontId="25" fillId="0" borderId="0" xfId="0" applyFont="1"/>
    <xf numFmtId="0" fontId="20" fillId="0" borderId="0" xfId="42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ECFF"/>
      <color rgb="FFFFCCFF"/>
      <color rgb="FFE3D7E0"/>
      <color rgb="FFFFCCCC"/>
      <color rgb="FFFF66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datasets/genome/GCF_015689395.1/" TargetMode="External"/><Relationship Id="rId2" Type="http://schemas.openxmlformats.org/officeDocument/2006/relationships/hyperlink" Target="https://www.ncbi.nlm.nih.gov/nuccore/NC_006814.3/" TargetMode="External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enome.jp/entry/R01067" TargetMode="External"/><Relationship Id="rId21" Type="http://schemas.openxmlformats.org/officeDocument/2006/relationships/hyperlink" Target="https://www.genome.jp/entry/2.7.6.1" TargetMode="External"/><Relationship Id="rId170" Type="http://schemas.openxmlformats.org/officeDocument/2006/relationships/hyperlink" Target="https://www.genome.jp/entry/2.7.2.1" TargetMode="External"/><Relationship Id="rId268" Type="http://schemas.openxmlformats.org/officeDocument/2006/relationships/hyperlink" Target="https://www.genome.jp/entry/2.7.7.6" TargetMode="External"/><Relationship Id="rId475" Type="http://schemas.openxmlformats.org/officeDocument/2006/relationships/hyperlink" Target="https://www.genome.jp/entry/2.7.1.207" TargetMode="External"/><Relationship Id="rId682" Type="http://schemas.openxmlformats.org/officeDocument/2006/relationships/hyperlink" Target="https://www.genome.jp/entry/6.1.1.22" TargetMode="External"/><Relationship Id="rId128" Type="http://schemas.openxmlformats.org/officeDocument/2006/relationships/hyperlink" Target="https://www.genome.jp/entry/R01547" TargetMode="External"/><Relationship Id="rId335" Type="http://schemas.openxmlformats.org/officeDocument/2006/relationships/hyperlink" Target="https://www.genome.jp/entry/R00772" TargetMode="External"/><Relationship Id="rId542" Type="http://schemas.openxmlformats.org/officeDocument/2006/relationships/hyperlink" Target="https://www.genome.jp/entry/R00552" TargetMode="External"/><Relationship Id="rId987" Type="http://schemas.openxmlformats.org/officeDocument/2006/relationships/hyperlink" Target="https://www.genome.jp/entry/2.7.6.3" TargetMode="External"/><Relationship Id="rId1172" Type="http://schemas.openxmlformats.org/officeDocument/2006/relationships/hyperlink" Target="https://www.genome.jp/entry/R06134" TargetMode="External"/><Relationship Id="rId402" Type="http://schemas.openxmlformats.org/officeDocument/2006/relationships/hyperlink" Target="https://www.genome.jp/entry/R04533" TargetMode="External"/><Relationship Id="rId847" Type="http://schemas.openxmlformats.org/officeDocument/2006/relationships/hyperlink" Target="https://www.genome.jp/entry/R00200" TargetMode="External"/><Relationship Id="rId1032" Type="http://schemas.openxmlformats.org/officeDocument/2006/relationships/hyperlink" Target="https://www.genome.jp/entry/R00570" TargetMode="External"/><Relationship Id="rId1477" Type="http://schemas.openxmlformats.org/officeDocument/2006/relationships/hyperlink" Target="https://www.genome.jp/entry/2.7.7.6" TargetMode="External"/><Relationship Id="rId1684" Type="http://schemas.openxmlformats.org/officeDocument/2006/relationships/hyperlink" Target="https://www.genome.jp/entry/1.5.1.2" TargetMode="External"/><Relationship Id="rId707" Type="http://schemas.openxmlformats.org/officeDocument/2006/relationships/hyperlink" Target="https://www.genome.jp/entry/R11893" TargetMode="External"/><Relationship Id="rId914" Type="http://schemas.openxmlformats.org/officeDocument/2006/relationships/hyperlink" Target="https://www.genome.jp/entry/R00354" TargetMode="External"/><Relationship Id="rId1337" Type="http://schemas.openxmlformats.org/officeDocument/2006/relationships/hyperlink" Target="https://www.genome.jp/entry/2.3.1.16" TargetMode="External"/><Relationship Id="rId1544" Type="http://schemas.openxmlformats.org/officeDocument/2006/relationships/hyperlink" Target="https://www.genome.jp/entry/R02098" TargetMode="External"/><Relationship Id="rId43" Type="http://schemas.openxmlformats.org/officeDocument/2006/relationships/hyperlink" Target="https://www.genome.jp/entry/4.1.1.21" TargetMode="External"/><Relationship Id="rId1404" Type="http://schemas.openxmlformats.org/officeDocument/2006/relationships/hyperlink" Target="https://www.genome.jp/entry/R00927" TargetMode="External"/><Relationship Id="rId1611" Type="http://schemas.openxmlformats.org/officeDocument/2006/relationships/hyperlink" Target="https://www.genome.jp/entry/R00480" TargetMode="External"/><Relationship Id="rId192" Type="http://schemas.openxmlformats.org/officeDocument/2006/relationships/hyperlink" Target="https://www.genome.jp/entry/5.1.3.4" TargetMode="External"/><Relationship Id="rId1709" Type="http://schemas.openxmlformats.org/officeDocument/2006/relationships/hyperlink" Target="https://www.genome.jp/entry/2.7.13.3" TargetMode="External"/><Relationship Id="rId497" Type="http://schemas.openxmlformats.org/officeDocument/2006/relationships/hyperlink" Target="https://www.genome.jp/entry/6.1.1.14" TargetMode="External"/><Relationship Id="rId357" Type="http://schemas.openxmlformats.org/officeDocument/2006/relationships/hyperlink" Target="https://www.genome.jp/entry/4.2.1.17" TargetMode="External"/><Relationship Id="rId1194" Type="http://schemas.openxmlformats.org/officeDocument/2006/relationships/hyperlink" Target="https://www.genome.jp/entry/5.3.1.6" TargetMode="External"/><Relationship Id="rId217" Type="http://schemas.openxmlformats.org/officeDocument/2006/relationships/hyperlink" Target="https://www.genome.jp/entry/5.3.1.9" TargetMode="External"/><Relationship Id="rId564" Type="http://schemas.openxmlformats.org/officeDocument/2006/relationships/hyperlink" Target="https://www.genome.jp/entry/6.3.2.9" TargetMode="External"/><Relationship Id="rId771" Type="http://schemas.openxmlformats.org/officeDocument/2006/relationships/hyperlink" Target="https://www.genome.jp/entry/7.1.2.2" TargetMode="External"/><Relationship Id="rId869" Type="http://schemas.openxmlformats.org/officeDocument/2006/relationships/hyperlink" Target="https://www.genome.jp/entry/2.7.1.33" TargetMode="External"/><Relationship Id="rId1499" Type="http://schemas.openxmlformats.org/officeDocument/2006/relationships/hyperlink" Target="https://www.genome.jp/entry/1.8.1.9" TargetMode="External"/><Relationship Id="rId424" Type="http://schemas.openxmlformats.org/officeDocument/2006/relationships/hyperlink" Target="https://www.genome.jp/entry/R04355" TargetMode="External"/><Relationship Id="rId631" Type="http://schemas.openxmlformats.org/officeDocument/2006/relationships/hyperlink" Target="https://www.genome.jp/entry/R00376" TargetMode="External"/><Relationship Id="rId729" Type="http://schemas.openxmlformats.org/officeDocument/2006/relationships/hyperlink" Target="https://www.genome.jp/entry/2.4.99.28" TargetMode="External"/><Relationship Id="rId1054" Type="http://schemas.openxmlformats.org/officeDocument/2006/relationships/hyperlink" Target="https://www.genome.jp/entry/R02235" TargetMode="External"/><Relationship Id="rId1261" Type="http://schemas.openxmlformats.org/officeDocument/2006/relationships/hyperlink" Target="https://www.genome.jp/entry/R02111" TargetMode="External"/><Relationship Id="rId1359" Type="http://schemas.openxmlformats.org/officeDocument/2006/relationships/hyperlink" Target="https://www.genome.jp/entry/R13483" TargetMode="External"/><Relationship Id="rId936" Type="http://schemas.openxmlformats.org/officeDocument/2006/relationships/hyperlink" Target="https://www.genome.jp/entry/5.6.2.2" TargetMode="External"/><Relationship Id="rId1121" Type="http://schemas.openxmlformats.org/officeDocument/2006/relationships/hyperlink" Target="https://www.genome.jp/entry/2.7.1.56" TargetMode="External"/><Relationship Id="rId1219" Type="http://schemas.openxmlformats.org/officeDocument/2006/relationships/hyperlink" Target="https://www.genome.jp/entry/6.3.5.13" TargetMode="External"/><Relationship Id="rId1566" Type="http://schemas.openxmlformats.org/officeDocument/2006/relationships/hyperlink" Target="https://www.genome.jp/entry/2.7.7.18" TargetMode="External"/><Relationship Id="rId65" Type="http://schemas.openxmlformats.org/officeDocument/2006/relationships/hyperlink" Target="https://www.genome.jp/entry/R05233" TargetMode="External"/><Relationship Id="rId1426" Type="http://schemas.openxmlformats.org/officeDocument/2006/relationships/hyperlink" Target="https://www.genome.jp/entry/1.1.1.100" TargetMode="External"/><Relationship Id="rId1633" Type="http://schemas.openxmlformats.org/officeDocument/2006/relationships/hyperlink" Target="https://www.genome.jp/entry/R00437" TargetMode="External"/><Relationship Id="rId1700" Type="http://schemas.openxmlformats.org/officeDocument/2006/relationships/hyperlink" Target="https://www.genome.jp/entry/3.2.2.20" TargetMode="External"/><Relationship Id="rId281" Type="http://schemas.openxmlformats.org/officeDocument/2006/relationships/hyperlink" Target="https://www.genome.jp/entry/2.3.1.234" TargetMode="External"/><Relationship Id="rId141" Type="http://schemas.openxmlformats.org/officeDocument/2006/relationships/hyperlink" Target="https://www.genome.jp/entry/R10813" TargetMode="External"/><Relationship Id="rId379" Type="http://schemas.openxmlformats.org/officeDocument/2006/relationships/hyperlink" Target="https://www.genome.jp/entry/R03224" TargetMode="External"/><Relationship Id="rId586" Type="http://schemas.openxmlformats.org/officeDocument/2006/relationships/hyperlink" Target="https://www.genome.jp/entry/6.3.2.10" TargetMode="External"/><Relationship Id="rId793" Type="http://schemas.openxmlformats.org/officeDocument/2006/relationships/hyperlink" Target="https://www.genome.jp/entry/5.1.3.2" TargetMode="External"/><Relationship Id="rId7" Type="http://schemas.openxmlformats.org/officeDocument/2006/relationships/hyperlink" Target="https://www.genome.jp/entry/2.7.7.7" TargetMode="External"/><Relationship Id="rId239" Type="http://schemas.openxmlformats.org/officeDocument/2006/relationships/hyperlink" Target="https://www.genome.jp/entry/3.6.1.23" TargetMode="External"/><Relationship Id="rId446" Type="http://schemas.openxmlformats.org/officeDocument/2006/relationships/hyperlink" Target="https://www.genome.jp/entry/R10208" TargetMode="External"/><Relationship Id="rId653" Type="http://schemas.openxmlformats.org/officeDocument/2006/relationships/hyperlink" Target="https://www.genome.jp/entry/R08260" TargetMode="External"/><Relationship Id="rId1076" Type="http://schemas.openxmlformats.org/officeDocument/2006/relationships/hyperlink" Target="https://www.genome.jp/entry/3.1.3.5" TargetMode="External"/><Relationship Id="rId1283" Type="http://schemas.openxmlformats.org/officeDocument/2006/relationships/hyperlink" Target="https://www.genome.jp/entry/6.1.1.13" TargetMode="External"/><Relationship Id="rId1490" Type="http://schemas.openxmlformats.org/officeDocument/2006/relationships/hyperlink" Target="https://www.genome.jp/entry/R12852" TargetMode="External"/><Relationship Id="rId306" Type="http://schemas.openxmlformats.org/officeDocument/2006/relationships/hyperlink" Target="https://www.genome.jp/entry/3.2.1.26" TargetMode="External"/><Relationship Id="rId860" Type="http://schemas.openxmlformats.org/officeDocument/2006/relationships/hyperlink" Target="https://www.genome.jp/entry/2.7.1.26" TargetMode="External"/><Relationship Id="rId958" Type="http://schemas.openxmlformats.org/officeDocument/2006/relationships/hyperlink" Target="https://www.genome.jp/entry/R08233" TargetMode="External"/><Relationship Id="rId1143" Type="http://schemas.openxmlformats.org/officeDocument/2006/relationships/hyperlink" Target="https://www.genome.jp/entry/2.4.2.9" TargetMode="External"/><Relationship Id="rId1588" Type="http://schemas.openxmlformats.org/officeDocument/2006/relationships/hyperlink" Target="https://www.genome.jp/entry/R00571" TargetMode="External"/><Relationship Id="rId87" Type="http://schemas.openxmlformats.org/officeDocument/2006/relationships/hyperlink" Target="https://www.genome.jp/entry/1.1.1.1" TargetMode="External"/><Relationship Id="rId513" Type="http://schemas.openxmlformats.org/officeDocument/2006/relationships/hyperlink" Target="https://www.genome.jp/entry/R04294" TargetMode="External"/><Relationship Id="rId720" Type="http://schemas.openxmlformats.org/officeDocument/2006/relationships/hyperlink" Target="https://www.genome.jp/entry/R02024" TargetMode="External"/><Relationship Id="rId818" Type="http://schemas.openxmlformats.org/officeDocument/2006/relationships/hyperlink" Target="https://www.genome.jp/entry/2.7.7.7" TargetMode="External"/><Relationship Id="rId1350" Type="http://schemas.openxmlformats.org/officeDocument/2006/relationships/hyperlink" Target="https://www.genome.jp/entry/R07891" TargetMode="External"/><Relationship Id="rId1448" Type="http://schemas.openxmlformats.org/officeDocument/2006/relationships/hyperlink" Target="https://www.genome.jp/entry/4.2.3.4" TargetMode="External"/><Relationship Id="rId1655" Type="http://schemas.openxmlformats.org/officeDocument/2006/relationships/hyperlink" Target="https://www.genome.jp/entry/2.7.7.41" TargetMode="External"/><Relationship Id="rId1003" Type="http://schemas.openxmlformats.org/officeDocument/2006/relationships/hyperlink" Target="https://www.genome.jp/entry/R05046" TargetMode="External"/><Relationship Id="rId1210" Type="http://schemas.openxmlformats.org/officeDocument/2006/relationships/hyperlink" Target="https://www.genome.jp/entry/6.3.5.13" TargetMode="External"/><Relationship Id="rId1308" Type="http://schemas.openxmlformats.org/officeDocument/2006/relationships/hyperlink" Target="https://www.genome.jp/entry/R03658" TargetMode="External"/><Relationship Id="rId1515" Type="http://schemas.openxmlformats.org/officeDocument/2006/relationships/hyperlink" Target="https://www.genome.jp/entry/2.2.1.1" TargetMode="External"/><Relationship Id="rId1722" Type="http://schemas.openxmlformats.org/officeDocument/2006/relationships/hyperlink" Target="https://www.genome.jp/entry/R06131" TargetMode="External"/><Relationship Id="rId14" Type="http://schemas.openxmlformats.org/officeDocument/2006/relationships/hyperlink" Target="https://www.genome.jp/entry/2.4.2.8" TargetMode="External"/><Relationship Id="rId163" Type="http://schemas.openxmlformats.org/officeDocument/2006/relationships/hyperlink" Target="https://www.genome.jp/entry/2.7.7.6" TargetMode="External"/><Relationship Id="rId370" Type="http://schemas.openxmlformats.org/officeDocument/2006/relationships/hyperlink" Target="https://www.genome.jp/entry/R04738" TargetMode="External"/><Relationship Id="rId230" Type="http://schemas.openxmlformats.org/officeDocument/2006/relationships/hyperlink" Target="https://www.genome.jp/entry/2.7.7.9" TargetMode="External"/><Relationship Id="rId468" Type="http://schemas.openxmlformats.org/officeDocument/2006/relationships/hyperlink" Target="https://www.genome.jp/entry/2.1.1.33" TargetMode="External"/><Relationship Id="rId675" Type="http://schemas.openxmlformats.org/officeDocument/2006/relationships/hyperlink" Target="https://www.genome.jp/entry/2.1.1.190" TargetMode="External"/><Relationship Id="rId882" Type="http://schemas.openxmlformats.org/officeDocument/2006/relationships/hyperlink" Target="https://www.genome.jp/entry/R02298" TargetMode="External"/><Relationship Id="rId1098" Type="http://schemas.openxmlformats.org/officeDocument/2006/relationships/hyperlink" Target="https://www.genome.jp/entry/R12958" TargetMode="External"/><Relationship Id="rId328" Type="http://schemas.openxmlformats.org/officeDocument/2006/relationships/hyperlink" Target="https://www.genome.jp/entry/2.7.1.4" TargetMode="External"/><Relationship Id="rId535" Type="http://schemas.openxmlformats.org/officeDocument/2006/relationships/hyperlink" Target="https://www.genome.jp/entry/R08364" TargetMode="External"/><Relationship Id="rId742" Type="http://schemas.openxmlformats.org/officeDocument/2006/relationships/hyperlink" Target="https://www.genome.jp/entry/4.2.1.11" TargetMode="External"/><Relationship Id="rId1165" Type="http://schemas.openxmlformats.org/officeDocument/2006/relationships/hyperlink" Target="https://www.genome.jp/entry/R03909" TargetMode="External"/><Relationship Id="rId1372" Type="http://schemas.openxmlformats.org/officeDocument/2006/relationships/hyperlink" Target="https://www.genome.jp/entry/3.1.13.1" TargetMode="External"/><Relationship Id="rId602" Type="http://schemas.openxmlformats.org/officeDocument/2006/relationships/hyperlink" Target="https://www.genome.jp/entry/R00275" TargetMode="External"/><Relationship Id="rId1025" Type="http://schemas.openxmlformats.org/officeDocument/2006/relationships/hyperlink" Target="https://www.genome.jp/entry/2.7.4.6" TargetMode="External"/><Relationship Id="rId1232" Type="http://schemas.openxmlformats.org/officeDocument/2006/relationships/hyperlink" Target="https://www.genome.jp/entry/4.2.1.46" TargetMode="External"/><Relationship Id="rId1677" Type="http://schemas.openxmlformats.org/officeDocument/2006/relationships/hyperlink" Target="https://www.genome.jp/entry/R10717" TargetMode="External"/><Relationship Id="rId907" Type="http://schemas.openxmlformats.org/officeDocument/2006/relationships/hyperlink" Target="https://www.genome.jp/entry/6.2.1.22" TargetMode="External"/><Relationship Id="rId1537" Type="http://schemas.openxmlformats.org/officeDocument/2006/relationships/hyperlink" Target="https://www.genome.jp/entry/R00376" TargetMode="External"/><Relationship Id="rId1744" Type="http://schemas.openxmlformats.org/officeDocument/2006/relationships/hyperlink" Target="https://www.genome.jp/entry/R01121" TargetMode="External"/><Relationship Id="rId36" Type="http://schemas.openxmlformats.org/officeDocument/2006/relationships/hyperlink" Target="https://www.genome.jp/entry/R04326" TargetMode="External"/><Relationship Id="rId1604" Type="http://schemas.openxmlformats.org/officeDocument/2006/relationships/hyperlink" Target="https://www.genome.jp/entry/2.7.1.49" TargetMode="External"/><Relationship Id="rId185" Type="http://schemas.openxmlformats.org/officeDocument/2006/relationships/hyperlink" Target="https://www.genome.jp/entry/R06863" TargetMode="External"/><Relationship Id="rId392" Type="http://schemas.openxmlformats.org/officeDocument/2006/relationships/hyperlink" Target="https://www.genome.jp/entry/1.1.1.100" TargetMode="External"/><Relationship Id="rId697" Type="http://schemas.openxmlformats.org/officeDocument/2006/relationships/hyperlink" Target="https://www.genome.jp/entry/1.17.4.1" TargetMode="External"/><Relationship Id="rId252" Type="http://schemas.openxmlformats.org/officeDocument/2006/relationships/hyperlink" Target="https://www.genome.jp/entry/R02770" TargetMode="External"/><Relationship Id="rId1187" Type="http://schemas.openxmlformats.org/officeDocument/2006/relationships/hyperlink" Target="https://www.genome.jp/entry/R02748" TargetMode="External"/><Relationship Id="rId112" Type="http://schemas.openxmlformats.org/officeDocument/2006/relationships/hyperlink" Target="https://www.genome.jp/entry/R08306" TargetMode="External"/><Relationship Id="rId557" Type="http://schemas.openxmlformats.org/officeDocument/2006/relationships/hyperlink" Target="https://www.genome.jp/entry/R03035" TargetMode="External"/><Relationship Id="rId764" Type="http://schemas.openxmlformats.org/officeDocument/2006/relationships/hyperlink" Target="https://www.genome.jp/entry/R06050" TargetMode="External"/><Relationship Id="rId971" Type="http://schemas.openxmlformats.org/officeDocument/2006/relationships/hyperlink" Target="https://www.genome.jp/entry/2.3.1.8" TargetMode="External"/><Relationship Id="rId1394" Type="http://schemas.openxmlformats.org/officeDocument/2006/relationships/hyperlink" Target="https://www.genome.jp/entry/R05996" TargetMode="External"/><Relationship Id="rId1699" Type="http://schemas.openxmlformats.org/officeDocument/2006/relationships/hyperlink" Target="https://www.genome.jp/entry/3.1.21.10" TargetMode="External"/><Relationship Id="rId417" Type="http://schemas.openxmlformats.org/officeDocument/2006/relationships/hyperlink" Target="https://www.genome.jp/entry/2.3.1.179" TargetMode="External"/><Relationship Id="rId624" Type="http://schemas.openxmlformats.org/officeDocument/2006/relationships/hyperlink" Target="https://www.genome.jp/entry/2.7.7.7" TargetMode="External"/><Relationship Id="rId831" Type="http://schemas.openxmlformats.org/officeDocument/2006/relationships/hyperlink" Target="https://www.genome.jp/entry/R00767" TargetMode="External"/><Relationship Id="rId1047" Type="http://schemas.openxmlformats.org/officeDocument/2006/relationships/hyperlink" Target="https://www.genome.jp/entry/1.5.1.3" TargetMode="External"/><Relationship Id="rId1254" Type="http://schemas.openxmlformats.org/officeDocument/2006/relationships/hyperlink" Target="https://www.genome.jp/entry/R08232" TargetMode="External"/><Relationship Id="rId1461" Type="http://schemas.openxmlformats.org/officeDocument/2006/relationships/hyperlink" Target="https://www.genome.jp/entry/2.5.1.47" TargetMode="External"/><Relationship Id="rId929" Type="http://schemas.openxmlformats.org/officeDocument/2006/relationships/hyperlink" Target="https://www.genome.jp/entry/6.3.5.2" TargetMode="External"/><Relationship Id="rId1114" Type="http://schemas.openxmlformats.org/officeDocument/2006/relationships/hyperlink" Target="https://www.genome.jp/entry/R09383" TargetMode="External"/><Relationship Id="rId1321" Type="http://schemas.openxmlformats.org/officeDocument/2006/relationships/hyperlink" Target="https://www.genome.jp/entry/2.3.1.16" TargetMode="External"/><Relationship Id="rId1559" Type="http://schemas.openxmlformats.org/officeDocument/2006/relationships/hyperlink" Target="https://www.genome.jp/entry/7.4.2.11" TargetMode="External"/><Relationship Id="rId58" Type="http://schemas.openxmlformats.org/officeDocument/2006/relationships/hyperlink" Target="https://www.genome.jp/entry/1.1.1.1" TargetMode="External"/><Relationship Id="rId1419" Type="http://schemas.openxmlformats.org/officeDocument/2006/relationships/hyperlink" Target="https://www.genome.jp/entry/R12621" TargetMode="External"/><Relationship Id="rId1626" Type="http://schemas.openxmlformats.org/officeDocument/2006/relationships/hyperlink" Target="https://www.genome.jp/entry/R00586" TargetMode="External"/><Relationship Id="rId274" Type="http://schemas.openxmlformats.org/officeDocument/2006/relationships/hyperlink" Target="https://www.genome.jp/entry/R00442" TargetMode="External"/><Relationship Id="rId481" Type="http://schemas.openxmlformats.org/officeDocument/2006/relationships/hyperlink" Target="https://www.genome.jp/entry/R06237" TargetMode="External"/><Relationship Id="rId134" Type="http://schemas.openxmlformats.org/officeDocument/2006/relationships/hyperlink" Target="https://www.genome.jp/entry/2.7.7.6" TargetMode="External"/><Relationship Id="rId579" Type="http://schemas.openxmlformats.org/officeDocument/2006/relationships/hyperlink" Target="https://www.genome.jp/entry/3.1.11.6" TargetMode="External"/><Relationship Id="rId786" Type="http://schemas.openxmlformats.org/officeDocument/2006/relationships/hyperlink" Target="https://www.genome.jp/entry/R03660" TargetMode="External"/><Relationship Id="rId993" Type="http://schemas.openxmlformats.org/officeDocument/2006/relationships/hyperlink" Target="https://www.genome.jp/entry/R03067" TargetMode="External"/><Relationship Id="rId341" Type="http://schemas.openxmlformats.org/officeDocument/2006/relationships/hyperlink" Target="https://www.genome.jp/entry/3.6.4.12" TargetMode="External"/><Relationship Id="rId439" Type="http://schemas.openxmlformats.org/officeDocument/2006/relationships/hyperlink" Target="https://www.genome.jp/entry/4.2.1.59" TargetMode="External"/><Relationship Id="rId646" Type="http://schemas.openxmlformats.org/officeDocument/2006/relationships/hyperlink" Target="https://www.genome.jp/entry/3.2.1.31" TargetMode="External"/><Relationship Id="rId1069" Type="http://schemas.openxmlformats.org/officeDocument/2006/relationships/hyperlink" Target="https://www.genome.jp/entry/3.1.3.5" TargetMode="External"/><Relationship Id="rId1276" Type="http://schemas.openxmlformats.org/officeDocument/2006/relationships/hyperlink" Target="https://www.genome.jp/entry/R12873" TargetMode="External"/><Relationship Id="rId1483" Type="http://schemas.openxmlformats.org/officeDocument/2006/relationships/hyperlink" Target="https://www.genome.jp/entry/R00443" TargetMode="External"/><Relationship Id="rId201" Type="http://schemas.openxmlformats.org/officeDocument/2006/relationships/hyperlink" Target="https://www.genome.jp/entry/R00379" TargetMode="External"/><Relationship Id="rId506" Type="http://schemas.openxmlformats.org/officeDocument/2006/relationships/hyperlink" Target="https://www.genome.jp/entry/1.17.4.1" TargetMode="External"/><Relationship Id="rId853" Type="http://schemas.openxmlformats.org/officeDocument/2006/relationships/hyperlink" Target="https://www.genome.jp/entry/R01858" TargetMode="External"/><Relationship Id="rId1136" Type="http://schemas.openxmlformats.org/officeDocument/2006/relationships/hyperlink" Target="https://www.genome.jp/entry/R00575" TargetMode="External"/><Relationship Id="rId1690" Type="http://schemas.openxmlformats.org/officeDocument/2006/relationships/hyperlink" Target="https://www.genome.jp/entry/1.17.4.2" TargetMode="External"/><Relationship Id="rId713" Type="http://schemas.openxmlformats.org/officeDocument/2006/relationships/hyperlink" Target="https://www.genome.jp/entry/1.17.4.1" TargetMode="External"/><Relationship Id="rId920" Type="http://schemas.openxmlformats.org/officeDocument/2006/relationships/hyperlink" Target="https://www.genome.jp/entry/R00362" TargetMode="External"/><Relationship Id="rId1343" Type="http://schemas.openxmlformats.org/officeDocument/2006/relationships/hyperlink" Target="https://www.genome.jp/entry/R03778" TargetMode="External"/><Relationship Id="rId1550" Type="http://schemas.openxmlformats.org/officeDocument/2006/relationships/hyperlink" Target="https://www.genome.jp/entry/R00004" TargetMode="External"/><Relationship Id="rId1648" Type="http://schemas.openxmlformats.org/officeDocument/2006/relationships/hyperlink" Target="https://www.genome.jp/entry/R00375" TargetMode="External"/><Relationship Id="rId1203" Type="http://schemas.openxmlformats.org/officeDocument/2006/relationships/hyperlink" Target="https://www.genome.jp/entry/R07607" TargetMode="External"/><Relationship Id="rId1410" Type="http://schemas.openxmlformats.org/officeDocument/2006/relationships/hyperlink" Target="https://www.genome.jp/entry/2.7.4.22" TargetMode="External"/><Relationship Id="rId1508" Type="http://schemas.openxmlformats.org/officeDocument/2006/relationships/hyperlink" Target="https://www.genome.jp/entry/R05629" TargetMode="External"/><Relationship Id="rId1715" Type="http://schemas.openxmlformats.org/officeDocument/2006/relationships/hyperlink" Target="https://www.genome.jp/entry/4.3.1.17" TargetMode="External"/><Relationship Id="rId296" Type="http://schemas.openxmlformats.org/officeDocument/2006/relationships/hyperlink" Target="https://www.genome.jp/entry/R00375" TargetMode="External"/><Relationship Id="rId156" Type="http://schemas.openxmlformats.org/officeDocument/2006/relationships/hyperlink" Target="https://www.genome.jp/entry/R00443" TargetMode="External"/><Relationship Id="rId363" Type="http://schemas.openxmlformats.org/officeDocument/2006/relationships/hyperlink" Target="https://www.genome.jp/entry/4.2.1.17" TargetMode="External"/><Relationship Id="rId570" Type="http://schemas.openxmlformats.org/officeDocument/2006/relationships/hyperlink" Target="https://www.genome.jp/entry/2.4.1.227" TargetMode="External"/><Relationship Id="rId223" Type="http://schemas.openxmlformats.org/officeDocument/2006/relationships/hyperlink" Target="https://www.genome.jp/entry/R00771" TargetMode="External"/><Relationship Id="rId430" Type="http://schemas.openxmlformats.org/officeDocument/2006/relationships/hyperlink" Target="https://www.genome.jp/entry/R04968" TargetMode="External"/><Relationship Id="rId668" Type="http://schemas.openxmlformats.org/officeDocument/2006/relationships/hyperlink" Target="https://www.genome.jp/entry/R01983" TargetMode="External"/><Relationship Id="rId875" Type="http://schemas.openxmlformats.org/officeDocument/2006/relationships/hyperlink" Target="https://www.genome.jp/entry/2.4.2.2" TargetMode="External"/><Relationship Id="rId1060" Type="http://schemas.openxmlformats.org/officeDocument/2006/relationships/hyperlink" Target="https://www.genome.jp/entry/R01978" TargetMode="External"/><Relationship Id="rId1298" Type="http://schemas.openxmlformats.org/officeDocument/2006/relationships/hyperlink" Target="https://www.genome.jp/entry/R06242" TargetMode="External"/><Relationship Id="rId528" Type="http://schemas.openxmlformats.org/officeDocument/2006/relationships/hyperlink" Target="https://www.genome.jp/entry/1.17.4.1" TargetMode="External"/><Relationship Id="rId735" Type="http://schemas.openxmlformats.org/officeDocument/2006/relationships/hyperlink" Target="https://www.genome.jp/entry/5.6.2.2" TargetMode="External"/><Relationship Id="rId942" Type="http://schemas.openxmlformats.org/officeDocument/2006/relationships/hyperlink" Target="https://www.genome.jp/entry/R03104" TargetMode="External"/><Relationship Id="rId1158" Type="http://schemas.openxmlformats.org/officeDocument/2006/relationships/hyperlink" Target="https://www.genome.jp/entry/3.5.1.4" TargetMode="External"/><Relationship Id="rId1365" Type="http://schemas.openxmlformats.org/officeDocument/2006/relationships/hyperlink" Target="https://www.genome.jp/entry/3.2.1.1" TargetMode="External"/><Relationship Id="rId1572" Type="http://schemas.openxmlformats.org/officeDocument/2006/relationships/hyperlink" Target="https://www.genome.jp/entry/R11528" TargetMode="External"/><Relationship Id="rId1018" Type="http://schemas.openxmlformats.org/officeDocument/2006/relationships/hyperlink" Target="https://www.genome.jp/entry/2.7.4.6" TargetMode="External"/><Relationship Id="rId1225" Type="http://schemas.openxmlformats.org/officeDocument/2006/relationships/hyperlink" Target="https://www.genome.jp/entry/1.8.1.4" TargetMode="External"/><Relationship Id="rId1432" Type="http://schemas.openxmlformats.org/officeDocument/2006/relationships/hyperlink" Target="https://www.genome.jp/entry/1.1.1.100" TargetMode="External"/><Relationship Id="rId71" Type="http://schemas.openxmlformats.org/officeDocument/2006/relationships/hyperlink" Target="https://www.genome.jp/entry/R08557" TargetMode="External"/><Relationship Id="rId802" Type="http://schemas.openxmlformats.org/officeDocument/2006/relationships/hyperlink" Target="https://www.genome.jp/entry/4.2.1.10" TargetMode="External"/><Relationship Id="rId1737" Type="http://schemas.openxmlformats.org/officeDocument/2006/relationships/hyperlink" Target="https://www.genome.jp/entry/1.1.1.205" TargetMode="External"/><Relationship Id="rId29" Type="http://schemas.openxmlformats.org/officeDocument/2006/relationships/hyperlink" Target="https://www.genome.jp/entry/2.4.2.14" TargetMode="External"/><Relationship Id="rId178" Type="http://schemas.openxmlformats.org/officeDocument/2006/relationships/hyperlink" Target="https://www.genome.jp/entry/2.2.1.1" TargetMode="External"/><Relationship Id="rId385" Type="http://schemas.openxmlformats.org/officeDocument/2006/relationships/hyperlink" Target="https://www.genome.jp/entry/R08093" TargetMode="External"/><Relationship Id="rId592" Type="http://schemas.openxmlformats.org/officeDocument/2006/relationships/hyperlink" Target="https://www.genome.jp/entry/2.7.7.7" TargetMode="External"/><Relationship Id="rId245" Type="http://schemas.openxmlformats.org/officeDocument/2006/relationships/hyperlink" Target="https://www.genome.jp/entry/5.1.3.9" TargetMode="External"/><Relationship Id="rId452" Type="http://schemas.openxmlformats.org/officeDocument/2006/relationships/hyperlink" Target="https://www.genome.jp/entry/R04954" TargetMode="External"/><Relationship Id="rId897" Type="http://schemas.openxmlformats.org/officeDocument/2006/relationships/hyperlink" Target="https://www.genome.jp/entry/1.2.1.11" TargetMode="External"/><Relationship Id="rId1082" Type="http://schemas.openxmlformats.org/officeDocument/2006/relationships/hyperlink" Target="https://www.genome.jp/entry/3.1.3.5" TargetMode="External"/><Relationship Id="rId105" Type="http://schemas.openxmlformats.org/officeDocument/2006/relationships/hyperlink" Target="https://www.genome.jp/entry/R04805" TargetMode="External"/><Relationship Id="rId312" Type="http://schemas.openxmlformats.org/officeDocument/2006/relationships/hyperlink" Target="https://www.genome.jp/entry/3.2.1.26" TargetMode="External"/><Relationship Id="rId757" Type="http://schemas.openxmlformats.org/officeDocument/2006/relationships/hyperlink" Target="https://www.genome.jp/entry/2.4.1.21" TargetMode="External"/><Relationship Id="rId964" Type="http://schemas.openxmlformats.org/officeDocument/2006/relationships/hyperlink" Target="https://www.genome.jp/entry/R10613" TargetMode="External"/><Relationship Id="rId1387" Type="http://schemas.openxmlformats.org/officeDocument/2006/relationships/hyperlink" Target="https://www.genome.jp/entry/3.2.1.18" TargetMode="External"/><Relationship Id="rId1594" Type="http://schemas.openxmlformats.org/officeDocument/2006/relationships/hyperlink" Target="https://www.genome.jp/entry/2.7.7.6" TargetMode="External"/><Relationship Id="rId93" Type="http://schemas.openxmlformats.org/officeDocument/2006/relationships/hyperlink" Target="https://www.genome.jp/entry/1.1.1.1" TargetMode="External"/><Relationship Id="rId617" Type="http://schemas.openxmlformats.org/officeDocument/2006/relationships/hyperlink" Target="https://www.genome.jp/entry/R00513" TargetMode="External"/><Relationship Id="rId824" Type="http://schemas.openxmlformats.org/officeDocument/2006/relationships/hyperlink" Target="https://www.genome.jp/entry/R00377" TargetMode="External"/><Relationship Id="rId1247" Type="http://schemas.openxmlformats.org/officeDocument/2006/relationships/hyperlink" Target="https://www.genome.jp/entry/2.7.1.48" TargetMode="External"/><Relationship Id="rId1454" Type="http://schemas.openxmlformats.org/officeDocument/2006/relationships/hyperlink" Target="https://www.genome.jp/entry/2.7.13.3" TargetMode="External"/><Relationship Id="rId1661" Type="http://schemas.openxmlformats.org/officeDocument/2006/relationships/hyperlink" Target="https://www.genome.jp/entry/2.1.1.193" TargetMode="External"/><Relationship Id="rId1107" Type="http://schemas.openxmlformats.org/officeDocument/2006/relationships/hyperlink" Target="https://www.genome.jp/entry/R00145" TargetMode="External"/><Relationship Id="rId1314" Type="http://schemas.openxmlformats.org/officeDocument/2006/relationships/hyperlink" Target="https://www.genome.jp/entry/2.7.13.3" TargetMode="External"/><Relationship Id="rId1521" Type="http://schemas.openxmlformats.org/officeDocument/2006/relationships/hyperlink" Target="https://www.genome.jp/entry/R01641" TargetMode="External"/><Relationship Id="rId1619" Type="http://schemas.openxmlformats.org/officeDocument/2006/relationships/hyperlink" Target="https://www.genome.jp/entry/R00291" TargetMode="External"/><Relationship Id="rId20" Type="http://schemas.openxmlformats.org/officeDocument/2006/relationships/hyperlink" Target="https://www.genome.jp/entry/R08245" TargetMode="External"/><Relationship Id="rId267" Type="http://schemas.openxmlformats.org/officeDocument/2006/relationships/hyperlink" Target="https://www.genome.jp/entry/2.7.7.6" TargetMode="External"/><Relationship Id="rId474" Type="http://schemas.openxmlformats.org/officeDocument/2006/relationships/hyperlink" Target="https://www.genome.jp/entry/2.7.1.207" TargetMode="External"/><Relationship Id="rId127" Type="http://schemas.openxmlformats.org/officeDocument/2006/relationships/hyperlink" Target="https://www.genome.jp/entry/R00127" TargetMode="External"/><Relationship Id="rId681" Type="http://schemas.openxmlformats.org/officeDocument/2006/relationships/hyperlink" Target="https://www.genome.jp/entry/R00345" TargetMode="External"/><Relationship Id="rId779" Type="http://schemas.openxmlformats.org/officeDocument/2006/relationships/hyperlink" Target="https://www.genome.jp/entry/7.1.2.2" TargetMode="External"/><Relationship Id="rId986" Type="http://schemas.openxmlformats.org/officeDocument/2006/relationships/hyperlink" Target="https://www.genome.jp/entry/R03191" TargetMode="External"/><Relationship Id="rId334" Type="http://schemas.openxmlformats.org/officeDocument/2006/relationships/hyperlink" Target="https://www.genome.jp/entry/5.3.1.8" TargetMode="External"/><Relationship Id="rId541" Type="http://schemas.openxmlformats.org/officeDocument/2006/relationships/hyperlink" Target="https://www.genome.jp/entry/3.5.3.6" TargetMode="External"/><Relationship Id="rId639" Type="http://schemas.openxmlformats.org/officeDocument/2006/relationships/hyperlink" Target="https://www.genome.jp/entry/R00177" TargetMode="External"/><Relationship Id="rId1171" Type="http://schemas.openxmlformats.org/officeDocument/2006/relationships/hyperlink" Target="https://www.genome.jp/entry/R05590" TargetMode="External"/><Relationship Id="rId1269" Type="http://schemas.openxmlformats.org/officeDocument/2006/relationships/hyperlink" Target="https://www.genome.jp/entry/6.1.1.13" TargetMode="External"/><Relationship Id="rId1476" Type="http://schemas.openxmlformats.org/officeDocument/2006/relationships/hyperlink" Target="https://www.genome.jp/entry/2.7.7.6" TargetMode="External"/><Relationship Id="rId401" Type="http://schemas.openxmlformats.org/officeDocument/2006/relationships/hyperlink" Target="https://www.genome.jp/entry/R02767" TargetMode="External"/><Relationship Id="rId846" Type="http://schemas.openxmlformats.org/officeDocument/2006/relationships/hyperlink" Target="https://www.genome.jp/entry/2.7.1.40" TargetMode="External"/><Relationship Id="rId1031" Type="http://schemas.openxmlformats.org/officeDocument/2006/relationships/hyperlink" Target="https://www.genome.jp/entry/R00330" TargetMode="External"/><Relationship Id="rId1129" Type="http://schemas.openxmlformats.org/officeDocument/2006/relationships/hyperlink" Target="https://www.genome.jp/entry/6.3.5.5" TargetMode="External"/><Relationship Id="rId1683" Type="http://schemas.openxmlformats.org/officeDocument/2006/relationships/hyperlink" Target="https://www.genome.jp/entry/1.5.1.2" TargetMode="External"/><Relationship Id="rId706" Type="http://schemas.openxmlformats.org/officeDocument/2006/relationships/hyperlink" Target="https://www.genome.jp/entry/R08364" TargetMode="External"/><Relationship Id="rId913" Type="http://schemas.openxmlformats.org/officeDocument/2006/relationships/hyperlink" Target="https://www.genome.jp/entry/4.1.3.34" TargetMode="External"/><Relationship Id="rId1336" Type="http://schemas.openxmlformats.org/officeDocument/2006/relationships/hyperlink" Target="https://www.genome.jp/entry/2.3.1.16" TargetMode="External"/><Relationship Id="rId1543" Type="http://schemas.openxmlformats.org/officeDocument/2006/relationships/hyperlink" Target="https://www.genome.jp/entry/R02094" TargetMode="External"/><Relationship Id="rId42" Type="http://schemas.openxmlformats.org/officeDocument/2006/relationships/hyperlink" Target="https://www.genome.jp/entry/R04144" TargetMode="External"/><Relationship Id="rId1403" Type="http://schemas.openxmlformats.org/officeDocument/2006/relationships/hyperlink" Target="https://www.genome.jp/entry/R00238" TargetMode="External"/><Relationship Id="rId1610" Type="http://schemas.openxmlformats.org/officeDocument/2006/relationships/hyperlink" Target="https://www.genome.jp/entry/2.7.2.4" TargetMode="External"/><Relationship Id="rId191" Type="http://schemas.openxmlformats.org/officeDocument/2006/relationships/hyperlink" Target="https://www.genome.jp/entry/R07125" TargetMode="External"/><Relationship Id="rId1708" Type="http://schemas.openxmlformats.org/officeDocument/2006/relationships/hyperlink" Target="https://www.genome.jp/entry/R03655" TargetMode="External"/><Relationship Id="rId289" Type="http://schemas.openxmlformats.org/officeDocument/2006/relationships/hyperlink" Target="https://www.genome.jp/entry/2.7.7.7" TargetMode="External"/><Relationship Id="rId496" Type="http://schemas.openxmlformats.org/officeDocument/2006/relationships/hyperlink" Target="https://www.genome.jp/entry/R03654" TargetMode="External"/><Relationship Id="rId149" Type="http://schemas.openxmlformats.org/officeDocument/2006/relationships/hyperlink" Target="https://www.genome.jp/entry/2.7.7.6" TargetMode="External"/><Relationship Id="rId356" Type="http://schemas.openxmlformats.org/officeDocument/2006/relationships/hyperlink" Target="https://www.genome.jp/entry/4.2.1.17" TargetMode="External"/><Relationship Id="rId563" Type="http://schemas.openxmlformats.org/officeDocument/2006/relationships/hyperlink" Target="https://www.genome.jp/entry/R01786" TargetMode="External"/><Relationship Id="rId770" Type="http://schemas.openxmlformats.org/officeDocument/2006/relationships/hyperlink" Target="https://www.genome.jp/entry/R00086" TargetMode="External"/><Relationship Id="rId1193" Type="http://schemas.openxmlformats.org/officeDocument/2006/relationships/hyperlink" Target="https://www.genome.jp/entry/R02749" TargetMode="External"/><Relationship Id="rId216" Type="http://schemas.openxmlformats.org/officeDocument/2006/relationships/hyperlink" Target="https://www.genome.jp/entry/R00416" TargetMode="External"/><Relationship Id="rId423" Type="http://schemas.openxmlformats.org/officeDocument/2006/relationships/hyperlink" Target="https://www.genome.jp/entry/R02768" TargetMode="External"/><Relationship Id="rId868" Type="http://schemas.openxmlformats.org/officeDocument/2006/relationships/hyperlink" Target="https://www.genome.jp/entry/2.7.1.33" TargetMode="External"/><Relationship Id="rId1053" Type="http://schemas.openxmlformats.org/officeDocument/2006/relationships/hyperlink" Target="https://www.genome.jp/entry/R00940" TargetMode="External"/><Relationship Id="rId1260" Type="http://schemas.openxmlformats.org/officeDocument/2006/relationships/hyperlink" Target="https://www.genome.jp/entry/R06050" TargetMode="External"/><Relationship Id="rId1498" Type="http://schemas.openxmlformats.org/officeDocument/2006/relationships/hyperlink" Target="https://www.genome.jp/entry/1.8.1.9" TargetMode="External"/><Relationship Id="rId630" Type="http://schemas.openxmlformats.org/officeDocument/2006/relationships/hyperlink" Target="https://www.genome.jp/entry/R00377" TargetMode="External"/><Relationship Id="rId728" Type="http://schemas.openxmlformats.org/officeDocument/2006/relationships/hyperlink" Target="https://www.genome.jp/entry/2.4.99.28" TargetMode="External"/><Relationship Id="rId935" Type="http://schemas.openxmlformats.org/officeDocument/2006/relationships/hyperlink" Target="https://www.genome.jp/entry/R08244" TargetMode="External"/><Relationship Id="rId1358" Type="http://schemas.openxmlformats.org/officeDocument/2006/relationships/hyperlink" Target="https://www.genome.jp/entry/R13479" TargetMode="External"/><Relationship Id="rId1565" Type="http://schemas.openxmlformats.org/officeDocument/2006/relationships/hyperlink" Target="https://www.genome.jp/entry/R00137" TargetMode="External"/><Relationship Id="rId64" Type="http://schemas.openxmlformats.org/officeDocument/2006/relationships/hyperlink" Target="https://www.genome.jp/entry/R04880" TargetMode="External"/><Relationship Id="rId1120" Type="http://schemas.openxmlformats.org/officeDocument/2006/relationships/hyperlink" Target="https://www.genome.jp/entry/2.7.1.56" TargetMode="External"/><Relationship Id="rId1218" Type="http://schemas.openxmlformats.org/officeDocument/2006/relationships/hyperlink" Target="https://www.genome.jp/entry/6.3.5.13" TargetMode="External"/><Relationship Id="rId1425" Type="http://schemas.openxmlformats.org/officeDocument/2006/relationships/hyperlink" Target="https://www.genome.jp/entry/1.1.1.100" TargetMode="External"/><Relationship Id="rId1632" Type="http://schemas.openxmlformats.org/officeDocument/2006/relationships/hyperlink" Target="https://www.genome.jp/entry/R07282" TargetMode="External"/><Relationship Id="rId280" Type="http://schemas.openxmlformats.org/officeDocument/2006/relationships/hyperlink" Target="https://www.genome.jp/entry/R04316" TargetMode="External"/><Relationship Id="rId140" Type="http://schemas.openxmlformats.org/officeDocument/2006/relationships/hyperlink" Target="https://www.genome.jp/entry/R00443" TargetMode="External"/><Relationship Id="rId378" Type="http://schemas.openxmlformats.org/officeDocument/2006/relationships/hyperlink" Target="https://www.genome.jp/entry/R07314" TargetMode="External"/><Relationship Id="rId585" Type="http://schemas.openxmlformats.org/officeDocument/2006/relationships/hyperlink" Target="https://www.genome.jp/entry/R01150" TargetMode="External"/><Relationship Id="rId792" Type="http://schemas.openxmlformats.org/officeDocument/2006/relationships/hyperlink" Target="https://www.genome.jp/entry/5.1.3.2" TargetMode="External"/><Relationship Id="rId6" Type="http://schemas.openxmlformats.org/officeDocument/2006/relationships/hyperlink" Target="https://www.genome.jp/entry/2.7.7.7" TargetMode="External"/><Relationship Id="rId238" Type="http://schemas.openxmlformats.org/officeDocument/2006/relationships/hyperlink" Target="https://www.genome.jp/entry/3.6.1.23" TargetMode="External"/><Relationship Id="rId445" Type="http://schemas.openxmlformats.org/officeDocument/2006/relationships/hyperlink" Target="https://www.genome.jp/entry/4.2.1.59" TargetMode="External"/><Relationship Id="rId652" Type="http://schemas.openxmlformats.org/officeDocument/2006/relationships/hyperlink" Target="https://www.genome.jp/entry/R07818" TargetMode="External"/><Relationship Id="rId1075" Type="http://schemas.openxmlformats.org/officeDocument/2006/relationships/hyperlink" Target="https://www.genome.jp/entry/3.1.3.5" TargetMode="External"/><Relationship Id="rId1282" Type="http://schemas.openxmlformats.org/officeDocument/2006/relationships/hyperlink" Target="https://www.genome.jp/entry/6.1.1.13" TargetMode="External"/><Relationship Id="rId305" Type="http://schemas.openxmlformats.org/officeDocument/2006/relationships/hyperlink" Target="https://www.genome.jp/entry/3.2.1.26" TargetMode="External"/><Relationship Id="rId512" Type="http://schemas.openxmlformats.org/officeDocument/2006/relationships/hyperlink" Target="https://www.genome.jp/entry/1.17.4.1" TargetMode="External"/><Relationship Id="rId957" Type="http://schemas.openxmlformats.org/officeDocument/2006/relationships/hyperlink" Target="https://www.genome.jp/entry/R02099" TargetMode="External"/><Relationship Id="rId1142" Type="http://schemas.openxmlformats.org/officeDocument/2006/relationships/hyperlink" Target="https://www.genome.jp/entry/R01397" TargetMode="External"/><Relationship Id="rId1587" Type="http://schemas.openxmlformats.org/officeDocument/2006/relationships/hyperlink" Target="https://www.genome.jp/entry/R00256" TargetMode="External"/><Relationship Id="rId86" Type="http://schemas.openxmlformats.org/officeDocument/2006/relationships/hyperlink" Target="https://www.genome.jp/entry/1.1.1.1" TargetMode="External"/><Relationship Id="rId817" Type="http://schemas.openxmlformats.org/officeDocument/2006/relationships/hyperlink" Target="https://www.genome.jp/entry/2.7.7.7" TargetMode="External"/><Relationship Id="rId1002" Type="http://schemas.openxmlformats.org/officeDocument/2006/relationships/hyperlink" Target="https://www.genome.jp/entry/R04639" TargetMode="External"/><Relationship Id="rId1447" Type="http://schemas.openxmlformats.org/officeDocument/2006/relationships/hyperlink" Target="https://www.genome.jp/entry/R03665" TargetMode="External"/><Relationship Id="rId1654" Type="http://schemas.openxmlformats.org/officeDocument/2006/relationships/hyperlink" Target="https://www.genome.jp/entry/R03661" TargetMode="External"/><Relationship Id="rId1307" Type="http://schemas.openxmlformats.org/officeDocument/2006/relationships/hyperlink" Target="https://www.genome.jp/entry/6.1.1.6" TargetMode="External"/><Relationship Id="rId1514" Type="http://schemas.openxmlformats.org/officeDocument/2006/relationships/hyperlink" Target="https://www.genome.jp/entry/R00239" TargetMode="External"/><Relationship Id="rId1721" Type="http://schemas.openxmlformats.org/officeDocument/2006/relationships/hyperlink" Target="https://www.genome.jp/entry/R11100" TargetMode="External"/><Relationship Id="rId13" Type="http://schemas.openxmlformats.org/officeDocument/2006/relationships/hyperlink" Target="https://www.genome.jp/entry/2.4.2.8" TargetMode="External"/><Relationship Id="rId162" Type="http://schemas.openxmlformats.org/officeDocument/2006/relationships/hyperlink" Target="https://www.genome.jp/entry/2.7.7.6" TargetMode="External"/><Relationship Id="rId467" Type="http://schemas.openxmlformats.org/officeDocument/2006/relationships/hyperlink" Target="https://www.genome.jp/entry/R02750" TargetMode="External"/><Relationship Id="rId1097" Type="http://schemas.openxmlformats.org/officeDocument/2006/relationships/hyperlink" Target="https://www.genome.jp/entry/R02102" TargetMode="External"/><Relationship Id="rId674" Type="http://schemas.openxmlformats.org/officeDocument/2006/relationships/hyperlink" Target="https://www.genome.jp/entry/R02412" TargetMode="External"/><Relationship Id="rId881" Type="http://schemas.openxmlformats.org/officeDocument/2006/relationships/hyperlink" Target="https://www.genome.jp/entry/R02484" TargetMode="External"/><Relationship Id="rId979" Type="http://schemas.openxmlformats.org/officeDocument/2006/relationships/hyperlink" Target="https://www.genome.jp/entry/3.6.1.25" TargetMode="External"/><Relationship Id="rId327" Type="http://schemas.openxmlformats.org/officeDocument/2006/relationships/hyperlink" Target="https://www.genome.jp/entry/2.7.1.4" TargetMode="External"/><Relationship Id="rId534" Type="http://schemas.openxmlformats.org/officeDocument/2006/relationships/hyperlink" Target="https://www.genome.jp/entry/R08363" TargetMode="External"/><Relationship Id="rId741" Type="http://schemas.openxmlformats.org/officeDocument/2006/relationships/hyperlink" Target="https://www.genome.jp/entry/R06177" TargetMode="External"/><Relationship Id="rId839" Type="http://schemas.openxmlformats.org/officeDocument/2006/relationships/hyperlink" Target="https://www.genome.jp/entry/2.7.1.40" TargetMode="External"/><Relationship Id="rId1164" Type="http://schemas.openxmlformats.org/officeDocument/2006/relationships/hyperlink" Target="https://www.genome.jp/entry/3.5.1.4" TargetMode="External"/><Relationship Id="rId1371" Type="http://schemas.openxmlformats.org/officeDocument/2006/relationships/hyperlink" Target="https://www.genome.jp/entry/R11262" TargetMode="External"/><Relationship Id="rId1469" Type="http://schemas.openxmlformats.org/officeDocument/2006/relationships/hyperlink" Target="https://www.genome.jp/entry/2.7.13.3" TargetMode="External"/><Relationship Id="rId601" Type="http://schemas.openxmlformats.org/officeDocument/2006/relationships/hyperlink" Target="https://www.genome.jp/entry/R11029" TargetMode="External"/><Relationship Id="rId1024" Type="http://schemas.openxmlformats.org/officeDocument/2006/relationships/hyperlink" Target="https://www.genome.jp/entry/2.7.4.6" TargetMode="External"/><Relationship Id="rId1231" Type="http://schemas.openxmlformats.org/officeDocument/2006/relationships/hyperlink" Target="https://www.genome.jp/entry/R01698" TargetMode="External"/><Relationship Id="rId1676" Type="http://schemas.openxmlformats.org/officeDocument/2006/relationships/hyperlink" Target="https://www.genome.jp/entry/R10715" TargetMode="External"/><Relationship Id="rId906" Type="http://schemas.openxmlformats.org/officeDocument/2006/relationships/hyperlink" Target="https://www.genome.jp/entry/5.6.2.1" TargetMode="External"/><Relationship Id="rId1329" Type="http://schemas.openxmlformats.org/officeDocument/2006/relationships/hyperlink" Target="https://www.genome.jp/entry/2.3.1.16" TargetMode="External"/><Relationship Id="rId1536" Type="http://schemas.openxmlformats.org/officeDocument/2006/relationships/hyperlink" Target="https://www.genome.jp/entry/R00375" TargetMode="External"/><Relationship Id="rId1743" Type="http://schemas.openxmlformats.org/officeDocument/2006/relationships/hyperlink" Target="https://www.genome.jp/entry/3.6.4.12" TargetMode="External"/><Relationship Id="rId35" Type="http://schemas.openxmlformats.org/officeDocument/2006/relationships/hyperlink" Target="https://www.genome.jp/entry/2.1.2.2" TargetMode="External"/><Relationship Id="rId1603" Type="http://schemas.openxmlformats.org/officeDocument/2006/relationships/hyperlink" Target="https://www.genome.jp/entry/R04273" TargetMode="External"/><Relationship Id="rId184" Type="http://schemas.openxmlformats.org/officeDocument/2006/relationships/hyperlink" Target="https://www.genome.jp/entry/R06861" TargetMode="External"/><Relationship Id="rId391" Type="http://schemas.openxmlformats.org/officeDocument/2006/relationships/hyperlink" Target="https://www.genome.jp/entry/1.1.1.100" TargetMode="External"/><Relationship Id="rId251" Type="http://schemas.openxmlformats.org/officeDocument/2006/relationships/hyperlink" Target="https://www.genome.jp/entry/5.1.3.9" TargetMode="External"/><Relationship Id="rId489" Type="http://schemas.openxmlformats.org/officeDocument/2006/relationships/hyperlink" Target="https://www.genome.jp/entry/2.7.1.15" TargetMode="External"/><Relationship Id="rId696" Type="http://schemas.openxmlformats.org/officeDocument/2006/relationships/hyperlink" Target="https://www.genome.jp/entry/1.17.4.1" TargetMode="External"/><Relationship Id="rId349" Type="http://schemas.openxmlformats.org/officeDocument/2006/relationships/hyperlink" Target="https://www.genome.jp/entry/4.2.1.17" TargetMode="External"/><Relationship Id="rId556" Type="http://schemas.openxmlformats.org/officeDocument/2006/relationships/hyperlink" Target="https://www.genome.jp/entry/2.7.7.3" TargetMode="External"/><Relationship Id="rId763" Type="http://schemas.openxmlformats.org/officeDocument/2006/relationships/hyperlink" Target="https://www.genome.jp/entry/R01821" TargetMode="External"/><Relationship Id="rId1186" Type="http://schemas.openxmlformats.org/officeDocument/2006/relationships/hyperlink" Target="https://www.genome.jp/entry/R02557" TargetMode="External"/><Relationship Id="rId1393" Type="http://schemas.openxmlformats.org/officeDocument/2006/relationships/hyperlink" Target="https://www.genome.jp/entry/R05117" TargetMode="External"/><Relationship Id="rId111" Type="http://schemas.openxmlformats.org/officeDocument/2006/relationships/hyperlink" Target="https://www.genome.jp/entry/R08281" TargetMode="External"/><Relationship Id="rId209" Type="http://schemas.openxmlformats.org/officeDocument/2006/relationships/hyperlink" Target="https://www.genome.jp/entry/R10223" TargetMode="External"/><Relationship Id="rId416" Type="http://schemas.openxmlformats.org/officeDocument/2006/relationships/hyperlink" Target="https://www.genome.jp/entry/2.3.1.179" TargetMode="External"/><Relationship Id="rId970" Type="http://schemas.openxmlformats.org/officeDocument/2006/relationships/hyperlink" Target="https://www.genome.jp/entry/R01134" TargetMode="External"/><Relationship Id="rId1046" Type="http://schemas.openxmlformats.org/officeDocument/2006/relationships/hyperlink" Target="https://www.genome.jp/entry/1.5.1.3" TargetMode="External"/><Relationship Id="rId1253" Type="http://schemas.openxmlformats.org/officeDocument/2006/relationships/hyperlink" Target="https://www.genome.jp/entry/R00968" TargetMode="External"/><Relationship Id="rId1698" Type="http://schemas.openxmlformats.org/officeDocument/2006/relationships/hyperlink" Target="https://www.genome.jp/entry/R02023" TargetMode="External"/><Relationship Id="rId623" Type="http://schemas.openxmlformats.org/officeDocument/2006/relationships/hyperlink" Target="https://www.genome.jp/entry/2.7.7.7" TargetMode="External"/><Relationship Id="rId830" Type="http://schemas.openxmlformats.org/officeDocument/2006/relationships/hyperlink" Target="https://www.genome.jp/entry/2.7.1.11" TargetMode="External"/><Relationship Id="rId928" Type="http://schemas.openxmlformats.org/officeDocument/2006/relationships/hyperlink" Target="https://www.genome.jp/entry/6.3.5.2" TargetMode="External"/><Relationship Id="rId1460" Type="http://schemas.openxmlformats.org/officeDocument/2006/relationships/hyperlink" Target="https://www.genome.jp/entry/2.5.1.47" TargetMode="External"/><Relationship Id="rId1558" Type="http://schemas.openxmlformats.org/officeDocument/2006/relationships/hyperlink" Target="https://www.genome.jp/entry/2.7.13.3" TargetMode="External"/><Relationship Id="rId57" Type="http://schemas.openxmlformats.org/officeDocument/2006/relationships/hyperlink" Target="https://www.genome.jp/entry/1.1.1.1" TargetMode="External"/><Relationship Id="rId1113" Type="http://schemas.openxmlformats.org/officeDocument/2006/relationships/hyperlink" Target="https://www.genome.jp/entry/2.7.7.72" TargetMode="External"/><Relationship Id="rId1320" Type="http://schemas.openxmlformats.org/officeDocument/2006/relationships/hyperlink" Target="https://www.genome.jp/entry/2.3.1.16" TargetMode="External"/><Relationship Id="rId1418" Type="http://schemas.openxmlformats.org/officeDocument/2006/relationships/hyperlink" Target="https://www.genome.jp/entry/R01401" TargetMode="External"/><Relationship Id="rId1625" Type="http://schemas.openxmlformats.org/officeDocument/2006/relationships/hyperlink" Target="https://www.genome.jp/entry/2.3.1.30" TargetMode="External"/><Relationship Id="rId273" Type="http://schemas.openxmlformats.org/officeDocument/2006/relationships/hyperlink" Target="https://www.genome.jp/entry/R00441" TargetMode="External"/><Relationship Id="rId480" Type="http://schemas.openxmlformats.org/officeDocument/2006/relationships/hyperlink" Target="https://www.genome.jp/entry/2.7.1.207" TargetMode="External"/><Relationship Id="rId133" Type="http://schemas.openxmlformats.org/officeDocument/2006/relationships/hyperlink" Target="https://www.genome.jp/entry/2.7.7.6" TargetMode="External"/><Relationship Id="rId340" Type="http://schemas.openxmlformats.org/officeDocument/2006/relationships/hyperlink" Target="https://www.genome.jp/entry/R00401" TargetMode="External"/><Relationship Id="rId578" Type="http://schemas.openxmlformats.org/officeDocument/2006/relationships/hyperlink" Target="https://www.genome.jp/entry/3.1.11.6" TargetMode="External"/><Relationship Id="rId785" Type="http://schemas.openxmlformats.org/officeDocument/2006/relationships/hyperlink" Target="https://www.genome.jp/entry/6.1.1.20" TargetMode="External"/><Relationship Id="rId992" Type="http://schemas.openxmlformats.org/officeDocument/2006/relationships/hyperlink" Target="https://www.genome.jp/entry/2.5.1.15" TargetMode="External"/><Relationship Id="rId200" Type="http://schemas.openxmlformats.org/officeDocument/2006/relationships/hyperlink" Target="https://www.genome.jp/entry/2.7.7.7" TargetMode="External"/><Relationship Id="rId438" Type="http://schemas.openxmlformats.org/officeDocument/2006/relationships/hyperlink" Target="https://www.genome.jp/entry/4.2.1.59" TargetMode="External"/><Relationship Id="rId645" Type="http://schemas.openxmlformats.org/officeDocument/2006/relationships/hyperlink" Target="https://www.genome.jp/entry/3.2.1.31" TargetMode="External"/><Relationship Id="rId852" Type="http://schemas.openxmlformats.org/officeDocument/2006/relationships/hyperlink" Target="https://www.genome.jp/entry/R01138" TargetMode="External"/><Relationship Id="rId1068" Type="http://schemas.openxmlformats.org/officeDocument/2006/relationships/hyperlink" Target="https://www.genome.jp/entry/R02245" TargetMode="External"/><Relationship Id="rId1275" Type="http://schemas.openxmlformats.org/officeDocument/2006/relationships/hyperlink" Target="https://www.genome.jp/entry/R12871" TargetMode="External"/><Relationship Id="rId1482" Type="http://schemas.openxmlformats.org/officeDocument/2006/relationships/hyperlink" Target="https://www.genome.jp/entry/R00442" TargetMode="External"/><Relationship Id="rId505" Type="http://schemas.openxmlformats.org/officeDocument/2006/relationships/hyperlink" Target="https://www.genome.jp/entry/1.17.4.1" TargetMode="External"/><Relationship Id="rId712" Type="http://schemas.openxmlformats.org/officeDocument/2006/relationships/hyperlink" Target="https://www.genome.jp/entry/1.17.4.1" TargetMode="External"/><Relationship Id="rId1135" Type="http://schemas.openxmlformats.org/officeDocument/2006/relationships/hyperlink" Target="https://www.genome.jp/entry/R00256" TargetMode="External"/><Relationship Id="rId1342" Type="http://schemas.openxmlformats.org/officeDocument/2006/relationships/hyperlink" Target="https://www.genome.jp/entry/R01177" TargetMode="External"/><Relationship Id="rId79" Type="http://schemas.openxmlformats.org/officeDocument/2006/relationships/hyperlink" Target="https://www.genome.jp/entry/1.2.1.10" TargetMode="External"/><Relationship Id="rId1202" Type="http://schemas.openxmlformats.org/officeDocument/2006/relationships/hyperlink" Target="https://www.genome.jp/entry/1.8.4.12" TargetMode="External"/><Relationship Id="rId1647" Type="http://schemas.openxmlformats.org/officeDocument/2006/relationships/hyperlink" Target="https://www.genome.jp/entry/R00379" TargetMode="External"/><Relationship Id="rId1507" Type="http://schemas.openxmlformats.org/officeDocument/2006/relationships/hyperlink" Target="https://www.genome.jp/entry/2.7.8.13" TargetMode="External"/><Relationship Id="rId1714" Type="http://schemas.openxmlformats.org/officeDocument/2006/relationships/hyperlink" Target="https://www.genome.jp/entry/4.3.1.17" TargetMode="External"/><Relationship Id="rId295" Type="http://schemas.openxmlformats.org/officeDocument/2006/relationships/hyperlink" Target="https://www.genome.jp/entry/R00379" TargetMode="External"/><Relationship Id="rId155" Type="http://schemas.openxmlformats.org/officeDocument/2006/relationships/hyperlink" Target="https://www.genome.jp/entry/R00442" TargetMode="External"/><Relationship Id="rId362" Type="http://schemas.openxmlformats.org/officeDocument/2006/relationships/hyperlink" Target="https://www.genome.jp/entry/4.2.1.17" TargetMode="External"/><Relationship Id="rId1297" Type="http://schemas.openxmlformats.org/officeDocument/2006/relationships/hyperlink" Target="https://www.genome.jp/entry/R02465" TargetMode="External"/><Relationship Id="rId222" Type="http://schemas.openxmlformats.org/officeDocument/2006/relationships/hyperlink" Target="https://www.genome.jp/entry/R02740" TargetMode="External"/><Relationship Id="rId667" Type="http://schemas.openxmlformats.org/officeDocument/2006/relationships/hyperlink" Target="https://www.genome.jp/entry/R01482" TargetMode="External"/><Relationship Id="rId874" Type="http://schemas.openxmlformats.org/officeDocument/2006/relationships/hyperlink" Target="https://www.genome.jp/entry/2.4.2.2" TargetMode="External"/><Relationship Id="rId527" Type="http://schemas.openxmlformats.org/officeDocument/2006/relationships/hyperlink" Target="https://www.genome.jp/entry/1.17.4.1" TargetMode="External"/><Relationship Id="rId734" Type="http://schemas.openxmlformats.org/officeDocument/2006/relationships/hyperlink" Target="https://www.genome.jp/entry/5.6.2.2" TargetMode="External"/><Relationship Id="rId941" Type="http://schemas.openxmlformats.org/officeDocument/2006/relationships/hyperlink" Target="https://www.genome.jp/entry/R01000" TargetMode="External"/><Relationship Id="rId1157" Type="http://schemas.openxmlformats.org/officeDocument/2006/relationships/hyperlink" Target="https://www.genome.jp/entry/3.5.1.4" TargetMode="External"/><Relationship Id="rId1364" Type="http://schemas.openxmlformats.org/officeDocument/2006/relationships/hyperlink" Target="https://www.genome.jp/entry/3.2.1.1" TargetMode="External"/><Relationship Id="rId1571" Type="http://schemas.openxmlformats.org/officeDocument/2006/relationships/hyperlink" Target="https://www.genome.jp/entry/R07460" TargetMode="External"/><Relationship Id="rId70" Type="http://schemas.openxmlformats.org/officeDocument/2006/relationships/hyperlink" Target="https://www.genome.jp/entry/R08306" TargetMode="External"/><Relationship Id="rId801" Type="http://schemas.openxmlformats.org/officeDocument/2006/relationships/hyperlink" Target="https://www.genome.jp/entry/R03084" TargetMode="External"/><Relationship Id="rId1017" Type="http://schemas.openxmlformats.org/officeDocument/2006/relationships/hyperlink" Target="https://www.genome.jp/entry/2.7.4.6" TargetMode="External"/><Relationship Id="rId1224" Type="http://schemas.openxmlformats.org/officeDocument/2006/relationships/hyperlink" Target="https://www.genome.jp/entry/1.8.1.4" TargetMode="External"/><Relationship Id="rId1431" Type="http://schemas.openxmlformats.org/officeDocument/2006/relationships/hyperlink" Target="https://www.genome.jp/entry/1.1.1.100" TargetMode="External"/><Relationship Id="rId1669" Type="http://schemas.openxmlformats.org/officeDocument/2006/relationships/hyperlink" Target="https://www.genome.jp/entry/4.1.3.27" TargetMode="External"/><Relationship Id="rId1529" Type="http://schemas.openxmlformats.org/officeDocument/2006/relationships/hyperlink" Target="https://www.genome.jp/entry/2.7.7.7" TargetMode="External"/><Relationship Id="rId1736" Type="http://schemas.openxmlformats.org/officeDocument/2006/relationships/hyperlink" Target="https://www.genome.jp/entry/1.1.1.205" TargetMode="External"/><Relationship Id="rId28" Type="http://schemas.openxmlformats.org/officeDocument/2006/relationships/hyperlink" Target="https://www.genome.jp/entry/R04463" TargetMode="External"/><Relationship Id="rId177" Type="http://schemas.openxmlformats.org/officeDocument/2006/relationships/hyperlink" Target="https://www.genome.jp/entry/2.2.1.1" TargetMode="External"/><Relationship Id="rId384" Type="http://schemas.openxmlformats.org/officeDocument/2006/relationships/hyperlink" Target="https://www.genome.jp/entry/R06942" TargetMode="External"/><Relationship Id="rId591" Type="http://schemas.openxmlformats.org/officeDocument/2006/relationships/hyperlink" Target="https://www.genome.jp/entry/2.7.7.7" TargetMode="External"/><Relationship Id="rId244" Type="http://schemas.openxmlformats.org/officeDocument/2006/relationships/hyperlink" Target="https://www.genome.jp/entry/3.1.26.5" TargetMode="External"/><Relationship Id="rId689" Type="http://schemas.openxmlformats.org/officeDocument/2006/relationships/hyperlink" Target="https://www.genome.jp/entry/R02556" TargetMode="External"/><Relationship Id="rId896" Type="http://schemas.openxmlformats.org/officeDocument/2006/relationships/hyperlink" Target="https://www.genome.jp/entry/R00943" TargetMode="External"/><Relationship Id="rId1081" Type="http://schemas.openxmlformats.org/officeDocument/2006/relationships/hyperlink" Target="https://www.genome.jp/entry/3.1.3.5" TargetMode="External"/><Relationship Id="rId451" Type="http://schemas.openxmlformats.org/officeDocument/2006/relationships/hyperlink" Target="https://www.genome.jp/entry/R04568" TargetMode="External"/><Relationship Id="rId549" Type="http://schemas.openxmlformats.org/officeDocument/2006/relationships/hyperlink" Target="https://www.genome.jp/entry/R00150" TargetMode="External"/><Relationship Id="rId756" Type="http://schemas.openxmlformats.org/officeDocument/2006/relationships/hyperlink" Target="https://www.genome.jp/entry/R02421" TargetMode="External"/><Relationship Id="rId1179" Type="http://schemas.openxmlformats.org/officeDocument/2006/relationships/hyperlink" Target="https://www.genome.jp/entry/R08368" TargetMode="External"/><Relationship Id="rId1386" Type="http://schemas.openxmlformats.org/officeDocument/2006/relationships/hyperlink" Target="https://www.genome.jp/entry/3.2.1.18" TargetMode="External"/><Relationship Id="rId1593" Type="http://schemas.openxmlformats.org/officeDocument/2006/relationships/hyperlink" Target="https://www.genome.jp/entry/2.7.7.6" TargetMode="External"/><Relationship Id="rId104" Type="http://schemas.openxmlformats.org/officeDocument/2006/relationships/hyperlink" Target="https://www.genome.jp/entry/R02878" TargetMode="External"/><Relationship Id="rId311" Type="http://schemas.openxmlformats.org/officeDocument/2006/relationships/hyperlink" Target="https://www.genome.jp/entry/3.2.1.26" TargetMode="External"/><Relationship Id="rId409" Type="http://schemas.openxmlformats.org/officeDocument/2006/relationships/hyperlink" Target="https://www.genome.jp/entry/R07763" TargetMode="External"/><Relationship Id="rId963" Type="http://schemas.openxmlformats.org/officeDocument/2006/relationships/hyperlink" Target="https://www.genome.jp/entry/2.7.1.180" TargetMode="External"/><Relationship Id="rId1039" Type="http://schemas.openxmlformats.org/officeDocument/2006/relationships/hyperlink" Target="https://www.genome.jp/entry/R03530" TargetMode="External"/><Relationship Id="rId1246" Type="http://schemas.openxmlformats.org/officeDocument/2006/relationships/hyperlink" Target="https://www.genome.jp/entry/2.7.1.48" TargetMode="External"/><Relationship Id="rId92" Type="http://schemas.openxmlformats.org/officeDocument/2006/relationships/hyperlink" Target="https://www.genome.jp/entry/1.1.1.1" TargetMode="External"/><Relationship Id="rId616" Type="http://schemas.openxmlformats.org/officeDocument/2006/relationships/hyperlink" Target="https://www.genome.jp/entry/2.7.1.48" TargetMode="External"/><Relationship Id="rId823" Type="http://schemas.openxmlformats.org/officeDocument/2006/relationships/hyperlink" Target="https://www.genome.jp/entry/R00376" TargetMode="External"/><Relationship Id="rId1453" Type="http://schemas.openxmlformats.org/officeDocument/2006/relationships/hyperlink" Target="https://www.genome.jp/entry/R02413" TargetMode="External"/><Relationship Id="rId1660" Type="http://schemas.openxmlformats.org/officeDocument/2006/relationships/hyperlink" Target="https://www.genome.jp/entry/R00429" TargetMode="External"/><Relationship Id="rId1106" Type="http://schemas.openxmlformats.org/officeDocument/2006/relationships/hyperlink" Target="https://www.genome.jp/entry/R00248" TargetMode="External"/><Relationship Id="rId1313" Type="http://schemas.openxmlformats.org/officeDocument/2006/relationships/hyperlink" Target="https://www.genome.jp/entry/R02961" TargetMode="External"/><Relationship Id="rId1520" Type="http://schemas.openxmlformats.org/officeDocument/2006/relationships/hyperlink" Target="https://www.genome.jp/entry/2.2.1.1" TargetMode="External"/><Relationship Id="rId1618" Type="http://schemas.openxmlformats.org/officeDocument/2006/relationships/hyperlink" Target="https://www.genome.jp/entry/5.1.3.2" TargetMode="External"/><Relationship Id="rId199" Type="http://schemas.openxmlformats.org/officeDocument/2006/relationships/hyperlink" Target="https://www.genome.jp/entry/2.7.7.7" TargetMode="External"/><Relationship Id="rId266" Type="http://schemas.openxmlformats.org/officeDocument/2006/relationships/hyperlink" Target="https://www.genome.jp/entry/2.7.7.6" TargetMode="External"/><Relationship Id="rId473" Type="http://schemas.openxmlformats.org/officeDocument/2006/relationships/hyperlink" Target="https://www.genome.jp/entry/R01069" TargetMode="External"/><Relationship Id="rId680" Type="http://schemas.openxmlformats.org/officeDocument/2006/relationships/hyperlink" Target="https://www.genome.jp/entry/4.1.1.31" TargetMode="External"/><Relationship Id="rId126" Type="http://schemas.openxmlformats.org/officeDocument/2006/relationships/hyperlink" Target="https://www.genome.jp/entry/2.7.4.3" TargetMode="External"/><Relationship Id="rId333" Type="http://schemas.openxmlformats.org/officeDocument/2006/relationships/hyperlink" Target="https://www.genome.jp/entry/5.3.1.8" TargetMode="External"/><Relationship Id="rId540" Type="http://schemas.openxmlformats.org/officeDocument/2006/relationships/hyperlink" Target="https://www.genome.jp/entry/3.5.3.6" TargetMode="External"/><Relationship Id="rId778" Type="http://schemas.openxmlformats.org/officeDocument/2006/relationships/hyperlink" Target="https://www.genome.jp/entry/R00086" TargetMode="External"/><Relationship Id="rId985" Type="http://schemas.openxmlformats.org/officeDocument/2006/relationships/hyperlink" Target="https://www.genome.jp/entry/R03192" TargetMode="External"/><Relationship Id="rId1170" Type="http://schemas.openxmlformats.org/officeDocument/2006/relationships/hyperlink" Target="https://www.genome.jp/entry/R05551" TargetMode="External"/><Relationship Id="rId638" Type="http://schemas.openxmlformats.org/officeDocument/2006/relationships/hyperlink" Target="https://www.genome.jp/entry/R05145" TargetMode="External"/><Relationship Id="rId845" Type="http://schemas.openxmlformats.org/officeDocument/2006/relationships/hyperlink" Target="https://www.genome.jp/entry/2.7.1.40" TargetMode="External"/><Relationship Id="rId1030" Type="http://schemas.openxmlformats.org/officeDocument/2006/relationships/hyperlink" Target="https://www.genome.jp/entry/R00156" TargetMode="External"/><Relationship Id="rId1268" Type="http://schemas.openxmlformats.org/officeDocument/2006/relationships/hyperlink" Target="https://www.genome.jp/entry/6.1.1.13" TargetMode="External"/><Relationship Id="rId1475" Type="http://schemas.openxmlformats.org/officeDocument/2006/relationships/hyperlink" Target="https://www.genome.jp/entry/2.7.7.6" TargetMode="External"/><Relationship Id="rId1682" Type="http://schemas.openxmlformats.org/officeDocument/2006/relationships/hyperlink" Target="https://www.genome.jp/entry/1.5.1.2" TargetMode="External"/><Relationship Id="rId400" Type="http://schemas.openxmlformats.org/officeDocument/2006/relationships/hyperlink" Target="https://www.genome.jp/entry/1.1.1.100" TargetMode="External"/><Relationship Id="rId705" Type="http://schemas.openxmlformats.org/officeDocument/2006/relationships/hyperlink" Target="https://www.genome.jp/entry/R08363" TargetMode="External"/><Relationship Id="rId1128" Type="http://schemas.openxmlformats.org/officeDocument/2006/relationships/hyperlink" Target="https://www.genome.jp/entry/R00597" TargetMode="External"/><Relationship Id="rId1335" Type="http://schemas.openxmlformats.org/officeDocument/2006/relationships/hyperlink" Target="https://www.genome.jp/entry/2.3.1.16" TargetMode="External"/><Relationship Id="rId1542" Type="http://schemas.openxmlformats.org/officeDocument/2006/relationships/hyperlink" Target="https://www.genome.jp/entry/2.7.4.9" TargetMode="External"/><Relationship Id="rId912" Type="http://schemas.openxmlformats.org/officeDocument/2006/relationships/hyperlink" Target="https://www.genome.jp/entry/R00362" TargetMode="External"/><Relationship Id="rId41" Type="http://schemas.openxmlformats.org/officeDocument/2006/relationships/hyperlink" Target="https://www.genome.jp/entry/6.3.4.13" TargetMode="External"/><Relationship Id="rId1402" Type="http://schemas.openxmlformats.org/officeDocument/2006/relationships/hyperlink" Target="https://www.genome.jp/entry/2.3.1.9" TargetMode="External"/><Relationship Id="rId1707" Type="http://schemas.openxmlformats.org/officeDocument/2006/relationships/hyperlink" Target="https://www.genome.jp/entry/6.1.1.21" TargetMode="External"/><Relationship Id="rId190" Type="http://schemas.openxmlformats.org/officeDocument/2006/relationships/hyperlink" Target="https://www.genome.jp/entry/4.1.1.85" TargetMode="External"/><Relationship Id="rId288" Type="http://schemas.openxmlformats.org/officeDocument/2006/relationships/hyperlink" Target="https://www.genome.jp/entry/R06987" TargetMode="External"/><Relationship Id="rId495" Type="http://schemas.openxmlformats.org/officeDocument/2006/relationships/hyperlink" Target="https://www.genome.jp/entry/R02059" TargetMode="External"/><Relationship Id="rId148" Type="http://schemas.openxmlformats.org/officeDocument/2006/relationships/hyperlink" Target="https://www.genome.jp/entry/2.7.7.6" TargetMode="External"/><Relationship Id="rId355" Type="http://schemas.openxmlformats.org/officeDocument/2006/relationships/hyperlink" Target="https://www.genome.jp/entry/4.2.1.17" TargetMode="External"/><Relationship Id="rId562" Type="http://schemas.openxmlformats.org/officeDocument/2006/relationships/hyperlink" Target="https://www.genome.jp/entry/R01600" TargetMode="External"/><Relationship Id="rId1192" Type="http://schemas.openxmlformats.org/officeDocument/2006/relationships/hyperlink" Target="https://www.genome.jp/entry/R01057" TargetMode="External"/><Relationship Id="rId215" Type="http://schemas.openxmlformats.org/officeDocument/2006/relationships/hyperlink" Target="https://www.genome.jp/entry/2.7.7.23" TargetMode="External"/><Relationship Id="rId422" Type="http://schemas.openxmlformats.org/officeDocument/2006/relationships/hyperlink" Target="https://www.genome.jp/entry/2.3.1.179" TargetMode="External"/><Relationship Id="rId867" Type="http://schemas.openxmlformats.org/officeDocument/2006/relationships/hyperlink" Target="https://www.genome.jp/entry/2.7.1.33" TargetMode="External"/><Relationship Id="rId1052" Type="http://schemas.openxmlformats.org/officeDocument/2006/relationships/hyperlink" Target="https://www.genome.jp/entry/R00937" TargetMode="External"/><Relationship Id="rId1497" Type="http://schemas.openxmlformats.org/officeDocument/2006/relationships/hyperlink" Target="https://www.genome.jp/entry/R01724" TargetMode="External"/><Relationship Id="rId727" Type="http://schemas.openxmlformats.org/officeDocument/2006/relationships/hyperlink" Target="https://www.genome.jp/entry/2.4.99.28" TargetMode="External"/><Relationship Id="rId934" Type="http://schemas.openxmlformats.org/officeDocument/2006/relationships/hyperlink" Target="https://www.genome.jp/entry/R01231" TargetMode="External"/><Relationship Id="rId1357" Type="http://schemas.openxmlformats.org/officeDocument/2006/relationships/hyperlink" Target="https://www.genome.jp/entry/R13471" TargetMode="External"/><Relationship Id="rId1564" Type="http://schemas.openxmlformats.org/officeDocument/2006/relationships/hyperlink" Target="https://www.genome.jp/entry/R03005" TargetMode="External"/><Relationship Id="rId63" Type="http://schemas.openxmlformats.org/officeDocument/2006/relationships/hyperlink" Target="https://www.genome.jp/entry/R04805" TargetMode="External"/><Relationship Id="rId1217" Type="http://schemas.openxmlformats.org/officeDocument/2006/relationships/hyperlink" Target="https://www.genome.jp/entry/6.3.5.13" TargetMode="External"/><Relationship Id="rId1424" Type="http://schemas.openxmlformats.org/officeDocument/2006/relationships/hyperlink" Target="https://www.genome.jp/entry/1.1.1.100" TargetMode="External"/><Relationship Id="rId1631" Type="http://schemas.openxmlformats.org/officeDocument/2006/relationships/hyperlink" Target="https://www.genome.jp/entry/2.7.7.8" TargetMode="External"/><Relationship Id="rId1729" Type="http://schemas.openxmlformats.org/officeDocument/2006/relationships/hyperlink" Target="https://www.genome.jp/entry/R00220" TargetMode="External"/><Relationship Id="rId377" Type="http://schemas.openxmlformats.org/officeDocument/2006/relationships/hyperlink" Target="https://www.genome.jp/entry/R07897" TargetMode="External"/><Relationship Id="rId584" Type="http://schemas.openxmlformats.org/officeDocument/2006/relationships/hyperlink" Target="https://www.genome.jp/entry/6.3.2.4" TargetMode="External"/><Relationship Id="rId5" Type="http://schemas.openxmlformats.org/officeDocument/2006/relationships/hyperlink" Target="https://www.genome.jp/entry/2.7.7.7" TargetMode="External"/><Relationship Id="rId237" Type="http://schemas.openxmlformats.org/officeDocument/2006/relationships/hyperlink" Target="https://www.genome.jp/entry/R12500" TargetMode="External"/><Relationship Id="rId791" Type="http://schemas.openxmlformats.org/officeDocument/2006/relationships/hyperlink" Target="https://www.genome.jp/entry/5.1.3.2" TargetMode="External"/><Relationship Id="rId889" Type="http://schemas.openxmlformats.org/officeDocument/2006/relationships/hyperlink" Target="https://www.genome.jp/entry/R02485" TargetMode="External"/><Relationship Id="rId1074" Type="http://schemas.openxmlformats.org/officeDocument/2006/relationships/hyperlink" Target="https://www.genome.jp/entry/3.1.3.5" TargetMode="External"/><Relationship Id="rId444" Type="http://schemas.openxmlformats.org/officeDocument/2006/relationships/hyperlink" Target="https://www.genome.jp/entry/4.2.1.59" TargetMode="External"/><Relationship Id="rId651" Type="http://schemas.openxmlformats.org/officeDocument/2006/relationships/hyperlink" Target="https://www.genome.jp/entry/R01478" TargetMode="External"/><Relationship Id="rId749" Type="http://schemas.openxmlformats.org/officeDocument/2006/relationships/hyperlink" Target="https://www.genome.jp/entry/R02240" TargetMode="External"/><Relationship Id="rId1281" Type="http://schemas.openxmlformats.org/officeDocument/2006/relationships/hyperlink" Target="https://www.genome.jp/entry/6.1.1.13" TargetMode="External"/><Relationship Id="rId1379" Type="http://schemas.openxmlformats.org/officeDocument/2006/relationships/hyperlink" Target="https://www.genome.jp/entry/3.2.1.18" TargetMode="External"/><Relationship Id="rId1586" Type="http://schemas.openxmlformats.org/officeDocument/2006/relationships/hyperlink" Target="https://www.genome.jp/entry/6.3.4.2" TargetMode="External"/><Relationship Id="rId304" Type="http://schemas.openxmlformats.org/officeDocument/2006/relationships/hyperlink" Target="https://www.genome.jp/entry/R01663" TargetMode="External"/><Relationship Id="rId511" Type="http://schemas.openxmlformats.org/officeDocument/2006/relationships/hyperlink" Target="https://www.genome.jp/entry/1.17.4.1" TargetMode="External"/><Relationship Id="rId609" Type="http://schemas.openxmlformats.org/officeDocument/2006/relationships/hyperlink" Target="https://www.genome.jp/entry/5.2.1.8" TargetMode="External"/><Relationship Id="rId956" Type="http://schemas.openxmlformats.org/officeDocument/2006/relationships/hyperlink" Target="https://www.genome.jp/entry/R01567" TargetMode="External"/><Relationship Id="rId1141" Type="http://schemas.openxmlformats.org/officeDocument/2006/relationships/hyperlink" Target="https://www.genome.jp/entry/2.1.3.2" TargetMode="External"/><Relationship Id="rId1239" Type="http://schemas.openxmlformats.org/officeDocument/2006/relationships/hyperlink" Target="https://www.genome.jp/entry/2.4.2.7" TargetMode="External"/><Relationship Id="rId85" Type="http://schemas.openxmlformats.org/officeDocument/2006/relationships/hyperlink" Target="https://www.genome.jp/entry/1.1.1.1" TargetMode="External"/><Relationship Id="rId816" Type="http://schemas.openxmlformats.org/officeDocument/2006/relationships/hyperlink" Target="https://www.genome.jp/entry/2.7.7.7" TargetMode="External"/><Relationship Id="rId1001" Type="http://schemas.openxmlformats.org/officeDocument/2006/relationships/hyperlink" Target="https://www.genome.jp/entry/R00428" TargetMode="External"/><Relationship Id="rId1446" Type="http://schemas.openxmlformats.org/officeDocument/2006/relationships/hyperlink" Target="https://www.genome.jp/entry/6.1.1.9" TargetMode="External"/><Relationship Id="rId1653" Type="http://schemas.openxmlformats.org/officeDocument/2006/relationships/hyperlink" Target="https://www.genome.jp/entry/6.1.1.15" TargetMode="External"/><Relationship Id="rId1306" Type="http://schemas.openxmlformats.org/officeDocument/2006/relationships/hyperlink" Target="https://www.genome.jp/entry/R01015" TargetMode="External"/><Relationship Id="rId1513" Type="http://schemas.openxmlformats.org/officeDocument/2006/relationships/hyperlink" Target="https://www.genome.jp/entry/2.7.2.11" TargetMode="External"/><Relationship Id="rId1720" Type="http://schemas.openxmlformats.org/officeDocument/2006/relationships/hyperlink" Target="https://www.genome.jp/entry/R11099" TargetMode="External"/><Relationship Id="rId12" Type="http://schemas.openxmlformats.org/officeDocument/2006/relationships/hyperlink" Target="https://www.genome.jp/entry/R11029" TargetMode="External"/><Relationship Id="rId161" Type="http://schemas.openxmlformats.org/officeDocument/2006/relationships/hyperlink" Target="https://www.genome.jp/entry/2.7.7.6" TargetMode="External"/><Relationship Id="rId399" Type="http://schemas.openxmlformats.org/officeDocument/2006/relationships/hyperlink" Target="https://www.genome.jp/entry/1.1.1.100" TargetMode="External"/><Relationship Id="rId259" Type="http://schemas.openxmlformats.org/officeDocument/2006/relationships/hyperlink" Target="https://www.genome.jp/entry/2.7.6.2" TargetMode="External"/><Relationship Id="rId466" Type="http://schemas.openxmlformats.org/officeDocument/2006/relationships/hyperlink" Target="https://www.genome.jp/entry/2.7.1.229" TargetMode="External"/><Relationship Id="rId673" Type="http://schemas.openxmlformats.org/officeDocument/2006/relationships/hyperlink" Target="https://www.genome.jp/entry/2.7.1.71" TargetMode="External"/><Relationship Id="rId880" Type="http://schemas.openxmlformats.org/officeDocument/2006/relationships/hyperlink" Target="https://www.genome.jp/entry/R02296" TargetMode="External"/><Relationship Id="rId1096" Type="http://schemas.openxmlformats.org/officeDocument/2006/relationships/hyperlink" Target="https://www.genome.jp/entry/R02088" TargetMode="External"/><Relationship Id="rId119" Type="http://schemas.openxmlformats.org/officeDocument/2006/relationships/hyperlink" Target="https://www.genome.jp/entry/R07105" TargetMode="External"/><Relationship Id="rId326" Type="http://schemas.openxmlformats.org/officeDocument/2006/relationships/hyperlink" Target="https://www.genome.jp/entry/R00811" TargetMode="External"/><Relationship Id="rId533" Type="http://schemas.openxmlformats.org/officeDocument/2006/relationships/hyperlink" Target="https://www.genome.jp/entry/R02024" TargetMode="External"/><Relationship Id="rId978" Type="http://schemas.openxmlformats.org/officeDocument/2006/relationships/hyperlink" Target="https://www.genome.jp/entry/R00429" TargetMode="External"/><Relationship Id="rId1163" Type="http://schemas.openxmlformats.org/officeDocument/2006/relationships/hyperlink" Target="https://www.genome.jp/entry/3.5.1.4" TargetMode="External"/><Relationship Id="rId1370" Type="http://schemas.openxmlformats.org/officeDocument/2006/relationships/hyperlink" Target="https://www.genome.jp/entry/R06209" TargetMode="External"/><Relationship Id="rId740" Type="http://schemas.openxmlformats.org/officeDocument/2006/relationships/hyperlink" Target="https://www.genome.jp/entry/R06179" TargetMode="External"/><Relationship Id="rId838" Type="http://schemas.openxmlformats.org/officeDocument/2006/relationships/hyperlink" Target="https://www.genome.jp/entry/R03239" TargetMode="External"/><Relationship Id="rId1023" Type="http://schemas.openxmlformats.org/officeDocument/2006/relationships/hyperlink" Target="https://www.genome.jp/entry/2.7.4.6" TargetMode="External"/><Relationship Id="rId1468" Type="http://schemas.openxmlformats.org/officeDocument/2006/relationships/hyperlink" Target="https://www.genome.jp/entry/R04273" TargetMode="External"/><Relationship Id="rId1675" Type="http://schemas.openxmlformats.org/officeDocument/2006/relationships/hyperlink" Target="https://www.genome.jp/entry/R01034" TargetMode="External"/><Relationship Id="rId600" Type="http://schemas.openxmlformats.org/officeDocument/2006/relationships/hyperlink" Target="https://www.genome.jp/entry/R00378" TargetMode="External"/><Relationship Id="rId1230" Type="http://schemas.openxmlformats.org/officeDocument/2006/relationships/hyperlink" Target="https://www.genome.jp/entry/R07618" TargetMode="External"/><Relationship Id="rId1328" Type="http://schemas.openxmlformats.org/officeDocument/2006/relationships/hyperlink" Target="https://www.genome.jp/entry/2.3.1.16" TargetMode="External"/><Relationship Id="rId1535" Type="http://schemas.openxmlformats.org/officeDocument/2006/relationships/hyperlink" Target="https://www.genome.jp/entry/2.7.7.7" TargetMode="External"/><Relationship Id="rId905" Type="http://schemas.openxmlformats.org/officeDocument/2006/relationships/hyperlink" Target="https://www.genome.jp/entry/3.1.26.4" TargetMode="External"/><Relationship Id="rId1742" Type="http://schemas.openxmlformats.org/officeDocument/2006/relationships/hyperlink" Target="https://www.genome.jp/entry/2.1.1.177" TargetMode="External"/><Relationship Id="rId34" Type="http://schemas.openxmlformats.org/officeDocument/2006/relationships/hyperlink" Target="https://www.genome.jp/entry/R04325" TargetMode="External"/><Relationship Id="rId1602" Type="http://schemas.openxmlformats.org/officeDocument/2006/relationships/hyperlink" Target="https://www.genome.jp/entry/5.2.1.8" TargetMode="External"/><Relationship Id="rId183" Type="http://schemas.openxmlformats.org/officeDocument/2006/relationships/hyperlink" Target="https://www.genome.jp/entry/R06590" TargetMode="External"/><Relationship Id="rId390" Type="http://schemas.openxmlformats.org/officeDocument/2006/relationships/hyperlink" Target="https://www.genome.jp/entry/1.1.1.100" TargetMode="External"/><Relationship Id="rId250" Type="http://schemas.openxmlformats.org/officeDocument/2006/relationships/hyperlink" Target="https://www.genome.jp/entry/5.1.3.9" TargetMode="External"/><Relationship Id="rId488" Type="http://schemas.openxmlformats.org/officeDocument/2006/relationships/hyperlink" Target="https://www.genome.jp/entry/R01051" TargetMode="External"/><Relationship Id="rId695" Type="http://schemas.openxmlformats.org/officeDocument/2006/relationships/hyperlink" Target="https://www.genome.jp/entry/1.17.4.1" TargetMode="External"/><Relationship Id="rId110" Type="http://schemas.openxmlformats.org/officeDocument/2006/relationships/hyperlink" Target="https://www.genome.jp/entry/R06927" TargetMode="External"/><Relationship Id="rId348" Type="http://schemas.openxmlformats.org/officeDocument/2006/relationships/hyperlink" Target="https://www.genome.jp/entry/4.2.1.17" TargetMode="External"/><Relationship Id="rId555" Type="http://schemas.openxmlformats.org/officeDocument/2006/relationships/hyperlink" Target="https://www.genome.jp/entry/R07234" TargetMode="External"/><Relationship Id="rId762" Type="http://schemas.openxmlformats.org/officeDocument/2006/relationships/hyperlink" Target="https://www.genome.jp/entry/2.4.1.1" TargetMode="External"/><Relationship Id="rId1185" Type="http://schemas.openxmlformats.org/officeDocument/2006/relationships/hyperlink" Target="https://www.genome.jp/entry/R01969" TargetMode="External"/><Relationship Id="rId1392" Type="http://schemas.openxmlformats.org/officeDocument/2006/relationships/hyperlink" Target="https://www.genome.jp/entry/R05115" TargetMode="External"/><Relationship Id="rId208" Type="http://schemas.openxmlformats.org/officeDocument/2006/relationships/hyperlink" Target="https://www.genome.jp/entry/2.4.2.29" TargetMode="External"/><Relationship Id="rId415" Type="http://schemas.openxmlformats.org/officeDocument/2006/relationships/hyperlink" Target="https://www.genome.jp/entry/2.3.1.179" TargetMode="External"/><Relationship Id="rId622" Type="http://schemas.openxmlformats.org/officeDocument/2006/relationships/hyperlink" Target="https://www.genome.jp/entry/2.7.7.7" TargetMode="External"/><Relationship Id="rId1045" Type="http://schemas.openxmlformats.org/officeDocument/2006/relationships/hyperlink" Target="https://www.genome.jp/entry/1.5.1.3" TargetMode="External"/><Relationship Id="rId1252" Type="http://schemas.openxmlformats.org/officeDocument/2006/relationships/hyperlink" Target="https://www.genome.jp/entry/R00517" TargetMode="External"/><Relationship Id="rId1697" Type="http://schemas.openxmlformats.org/officeDocument/2006/relationships/hyperlink" Target="https://www.genome.jp/entry/R02022" TargetMode="External"/><Relationship Id="rId927" Type="http://schemas.openxmlformats.org/officeDocument/2006/relationships/hyperlink" Target="https://www.genome.jp/entry/3.4.21.88" TargetMode="External"/><Relationship Id="rId1112" Type="http://schemas.openxmlformats.org/officeDocument/2006/relationships/hyperlink" Target="https://www.genome.jp/entry/2.7.7.72" TargetMode="External"/><Relationship Id="rId1557" Type="http://schemas.openxmlformats.org/officeDocument/2006/relationships/hyperlink" Target="https://www.genome.jp/entry/R03193" TargetMode="External"/><Relationship Id="rId56" Type="http://schemas.openxmlformats.org/officeDocument/2006/relationships/hyperlink" Target="https://www.genome.jp/entry/R02585" TargetMode="External"/><Relationship Id="rId1417" Type="http://schemas.openxmlformats.org/officeDocument/2006/relationships/hyperlink" Target="https://www.genome.jp/entry/R00194" TargetMode="External"/><Relationship Id="rId1624" Type="http://schemas.openxmlformats.org/officeDocument/2006/relationships/hyperlink" Target="https://www.genome.jp/entry/R03650" TargetMode="External"/><Relationship Id="rId272" Type="http://schemas.openxmlformats.org/officeDocument/2006/relationships/hyperlink" Target="https://www.genome.jp/entry/R00435" TargetMode="External"/><Relationship Id="rId577" Type="http://schemas.openxmlformats.org/officeDocument/2006/relationships/hyperlink" Target="https://www.genome.jp/entry/R03656" TargetMode="External"/><Relationship Id="rId132" Type="http://schemas.openxmlformats.org/officeDocument/2006/relationships/hyperlink" Target="https://www.genome.jp/entry/2.7.7.6" TargetMode="External"/><Relationship Id="rId784" Type="http://schemas.openxmlformats.org/officeDocument/2006/relationships/hyperlink" Target="https://www.genome.jp/entry/R03660" TargetMode="External"/><Relationship Id="rId991" Type="http://schemas.openxmlformats.org/officeDocument/2006/relationships/hyperlink" Target="https://www.genome.jp/entry/2.5.1.15" TargetMode="External"/><Relationship Id="rId1067" Type="http://schemas.openxmlformats.org/officeDocument/2006/relationships/hyperlink" Target="https://www.genome.jp/entry/2.7.1.36" TargetMode="External"/><Relationship Id="rId437" Type="http://schemas.openxmlformats.org/officeDocument/2006/relationships/hyperlink" Target="https://www.genome.jp/entry/4.2.1.59" TargetMode="External"/><Relationship Id="rId644" Type="http://schemas.openxmlformats.org/officeDocument/2006/relationships/hyperlink" Target="https://www.genome.jp/entry/R00660" TargetMode="External"/><Relationship Id="rId851" Type="http://schemas.openxmlformats.org/officeDocument/2006/relationships/hyperlink" Target="https://www.genome.jp/entry/R00724" TargetMode="External"/><Relationship Id="rId1274" Type="http://schemas.openxmlformats.org/officeDocument/2006/relationships/hyperlink" Target="https://www.genome.jp/entry/R12867" TargetMode="External"/><Relationship Id="rId1481" Type="http://schemas.openxmlformats.org/officeDocument/2006/relationships/hyperlink" Target="https://www.genome.jp/entry/R00441" TargetMode="External"/><Relationship Id="rId1579" Type="http://schemas.openxmlformats.org/officeDocument/2006/relationships/hyperlink" Target="https://www.genome.jp/entry/4.1.2.13" TargetMode="External"/><Relationship Id="rId504" Type="http://schemas.openxmlformats.org/officeDocument/2006/relationships/hyperlink" Target="https://www.genome.jp/entry/R04773" TargetMode="External"/><Relationship Id="rId711" Type="http://schemas.openxmlformats.org/officeDocument/2006/relationships/hyperlink" Target="https://www.genome.jp/entry/1.17.4.1" TargetMode="External"/><Relationship Id="rId949" Type="http://schemas.openxmlformats.org/officeDocument/2006/relationships/hyperlink" Target="https://www.genome.jp/entry/2.7.7.87" TargetMode="External"/><Relationship Id="rId1134" Type="http://schemas.openxmlformats.org/officeDocument/2006/relationships/hyperlink" Target="https://www.genome.jp/entry/6.3.5.5" TargetMode="External"/><Relationship Id="rId1341" Type="http://schemas.openxmlformats.org/officeDocument/2006/relationships/hyperlink" Target="https://www.genome.jp/entry/R00927" TargetMode="External"/><Relationship Id="rId78" Type="http://schemas.openxmlformats.org/officeDocument/2006/relationships/hyperlink" Target="https://www.genome.jp/entry/1.2.1.10" TargetMode="External"/><Relationship Id="rId809" Type="http://schemas.openxmlformats.org/officeDocument/2006/relationships/hyperlink" Target="https://www.genome.jp/entry/2.8.1.4" TargetMode="External"/><Relationship Id="rId1201" Type="http://schemas.openxmlformats.org/officeDocument/2006/relationships/hyperlink" Target="https://www.genome.jp/entry/R09030" TargetMode="External"/><Relationship Id="rId1439" Type="http://schemas.openxmlformats.org/officeDocument/2006/relationships/hyperlink" Target="https://www.genome.jp/entry/R04543" TargetMode="External"/><Relationship Id="rId1646" Type="http://schemas.openxmlformats.org/officeDocument/2006/relationships/hyperlink" Target="https://www.genome.jp/entry/2.7.7.7" TargetMode="External"/><Relationship Id="rId1506" Type="http://schemas.openxmlformats.org/officeDocument/2006/relationships/hyperlink" Target="https://www.genome.jp/entry/2.7.8.13" TargetMode="External"/><Relationship Id="rId1713" Type="http://schemas.openxmlformats.org/officeDocument/2006/relationships/hyperlink" Target="https://www.genome.jp/entry/4.3.1.17" TargetMode="External"/><Relationship Id="rId294" Type="http://schemas.openxmlformats.org/officeDocument/2006/relationships/hyperlink" Target="https://www.genome.jp/entry/2.7.7.7" TargetMode="External"/><Relationship Id="rId154" Type="http://schemas.openxmlformats.org/officeDocument/2006/relationships/hyperlink" Target="https://www.genome.jp/entry/R00441" TargetMode="External"/><Relationship Id="rId361" Type="http://schemas.openxmlformats.org/officeDocument/2006/relationships/hyperlink" Target="https://www.genome.jp/entry/4.2.1.17" TargetMode="External"/><Relationship Id="rId599" Type="http://schemas.openxmlformats.org/officeDocument/2006/relationships/hyperlink" Target="https://www.genome.jp/entry/R00377" TargetMode="External"/><Relationship Id="rId459" Type="http://schemas.openxmlformats.org/officeDocument/2006/relationships/hyperlink" Target="https://www.genome.jp/entry/R03662" TargetMode="External"/><Relationship Id="rId666" Type="http://schemas.openxmlformats.org/officeDocument/2006/relationships/hyperlink" Target="https://www.genome.jp/entry/5.3.1.12" TargetMode="External"/><Relationship Id="rId873" Type="http://schemas.openxmlformats.org/officeDocument/2006/relationships/hyperlink" Target="https://www.genome.jp/entry/2.4.2.2" TargetMode="External"/><Relationship Id="rId1089" Type="http://schemas.openxmlformats.org/officeDocument/2006/relationships/hyperlink" Target="https://www.genome.jp/entry/R01227" TargetMode="External"/><Relationship Id="rId1296" Type="http://schemas.openxmlformats.org/officeDocument/2006/relationships/hyperlink" Target="https://www.genome.jp/entry/4.2.2.1" TargetMode="External"/><Relationship Id="rId221" Type="http://schemas.openxmlformats.org/officeDocument/2006/relationships/hyperlink" Target="https://www.genome.jp/entry/5.3.1.9" TargetMode="External"/><Relationship Id="rId319" Type="http://schemas.openxmlformats.org/officeDocument/2006/relationships/hyperlink" Target="https://www.genome.jp/entry/R03921" TargetMode="External"/><Relationship Id="rId526" Type="http://schemas.openxmlformats.org/officeDocument/2006/relationships/hyperlink" Target="https://www.genome.jp/entry/1.17.4.1" TargetMode="External"/><Relationship Id="rId1156" Type="http://schemas.openxmlformats.org/officeDocument/2006/relationships/hyperlink" Target="https://www.genome.jp/entry/3.2.2.27" TargetMode="External"/><Relationship Id="rId1363" Type="http://schemas.openxmlformats.org/officeDocument/2006/relationships/hyperlink" Target="https://www.genome.jp/entry/R03663" TargetMode="External"/><Relationship Id="rId733" Type="http://schemas.openxmlformats.org/officeDocument/2006/relationships/hyperlink" Target="https://www.genome.jp/entry/R06177" TargetMode="External"/><Relationship Id="rId940" Type="http://schemas.openxmlformats.org/officeDocument/2006/relationships/hyperlink" Target="https://www.genome.jp/entry/1.1.1.27" TargetMode="External"/><Relationship Id="rId1016" Type="http://schemas.openxmlformats.org/officeDocument/2006/relationships/hyperlink" Target="https://www.genome.jp/entry/2.7.4.6" TargetMode="External"/><Relationship Id="rId1570" Type="http://schemas.openxmlformats.org/officeDocument/2006/relationships/hyperlink" Target="https://www.genome.jp/entry/2.8.1.7" TargetMode="External"/><Relationship Id="rId1668" Type="http://schemas.openxmlformats.org/officeDocument/2006/relationships/hyperlink" Target="https://www.genome.jp/entry/4.1.3.27" TargetMode="External"/><Relationship Id="rId800" Type="http://schemas.openxmlformats.org/officeDocument/2006/relationships/hyperlink" Target="https://www.genome.jp/entry/R01665" TargetMode="External"/><Relationship Id="rId1223" Type="http://schemas.openxmlformats.org/officeDocument/2006/relationships/hyperlink" Target="https://www.genome.jp/entry/R12331" TargetMode="External"/><Relationship Id="rId1430" Type="http://schemas.openxmlformats.org/officeDocument/2006/relationships/hyperlink" Target="https://www.genome.jp/entry/1.1.1.100" TargetMode="External"/><Relationship Id="rId1528" Type="http://schemas.openxmlformats.org/officeDocument/2006/relationships/hyperlink" Target="https://www.genome.jp/entry/R00847" TargetMode="External"/><Relationship Id="rId1735" Type="http://schemas.openxmlformats.org/officeDocument/2006/relationships/hyperlink" Target="https://www.genome.jp/entry/R01801" TargetMode="External"/><Relationship Id="rId27" Type="http://schemas.openxmlformats.org/officeDocument/2006/relationships/hyperlink" Target="https://www.genome.jp/entry/6.3.5.3" TargetMode="External"/><Relationship Id="rId176" Type="http://schemas.openxmlformats.org/officeDocument/2006/relationships/hyperlink" Target="https://www.genome.jp/entry/2.2.1.1" TargetMode="External"/><Relationship Id="rId383" Type="http://schemas.openxmlformats.org/officeDocument/2006/relationships/hyperlink" Target="https://www.genome.jp/entry/R06412" TargetMode="External"/><Relationship Id="rId590" Type="http://schemas.openxmlformats.org/officeDocument/2006/relationships/hyperlink" Target="https://www.genome.jp/entry/2.7.7.7" TargetMode="External"/><Relationship Id="rId243" Type="http://schemas.openxmlformats.org/officeDocument/2006/relationships/hyperlink" Target="https://www.genome.jp/entry/R05578" TargetMode="External"/><Relationship Id="rId450" Type="http://schemas.openxmlformats.org/officeDocument/2006/relationships/hyperlink" Target="https://www.genome.jp/entry/R04544" TargetMode="External"/><Relationship Id="rId688" Type="http://schemas.openxmlformats.org/officeDocument/2006/relationships/hyperlink" Target="https://www.genome.jp/entry/R01560" TargetMode="External"/><Relationship Id="rId895" Type="http://schemas.openxmlformats.org/officeDocument/2006/relationships/hyperlink" Target="https://www.genome.jp/entry/6.3.4.3" TargetMode="External"/><Relationship Id="rId1080" Type="http://schemas.openxmlformats.org/officeDocument/2006/relationships/hyperlink" Target="https://www.genome.jp/entry/3.1.3.5" TargetMode="External"/><Relationship Id="rId103" Type="http://schemas.openxmlformats.org/officeDocument/2006/relationships/hyperlink" Target="https://www.genome.jp/entry/R02124" TargetMode="External"/><Relationship Id="rId310" Type="http://schemas.openxmlformats.org/officeDocument/2006/relationships/hyperlink" Target="https://www.genome.jp/entry/3.2.1.26" TargetMode="External"/><Relationship Id="rId548" Type="http://schemas.openxmlformats.org/officeDocument/2006/relationships/hyperlink" Target="https://www.genome.jp/entry/2.7.2.2" TargetMode="External"/><Relationship Id="rId755" Type="http://schemas.openxmlformats.org/officeDocument/2006/relationships/hyperlink" Target="https://www.genome.jp/entry/2.4.1.21" TargetMode="External"/><Relationship Id="rId962" Type="http://schemas.openxmlformats.org/officeDocument/2006/relationships/hyperlink" Target="https://www.genome.jp/entry/R05389" TargetMode="External"/><Relationship Id="rId1178" Type="http://schemas.openxmlformats.org/officeDocument/2006/relationships/hyperlink" Target="https://www.genome.jp/entry/R00965" TargetMode="External"/><Relationship Id="rId1385" Type="http://schemas.openxmlformats.org/officeDocument/2006/relationships/hyperlink" Target="https://www.genome.jp/entry/3.2.1.18" TargetMode="External"/><Relationship Id="rId1592" Type="http://schemas.openxmlformats.org/officeDocument/2006/relationships/hyperlink" Target="https://www.genome.jp/entry/2.7.7.6" TargetMode="External"/><Relationship Id="rId91" Type="http://schemas.openxmlformats.org/officeDocument/2006/relationships/hyperlink" Target="https://www.genome.jp/entry/1.1.1.1" TargetMode="External"/><Relationship Id="rId408" Type="http://schemas.openxmlformats.org/officeDocument/2006/relationships/hyperlink" Target="https://www.genome.jp/entry/R04964" TargetMode="External"/><Relationship Id="rId615" Type="http://schemas.openxmlformats.org/officeDocument/2006/relationships/hyperlink" Target="https://www.genome.jp/entry/2.7.1.48" TargetMode="External"/><Relationship Id="rId822" Type="http://schemas.openxmlformats.org/officeDocument/2006/relationships/hyperlink" Target="https://www.genome.jp/entry/R00375" TargetMode="External"/><Relationship Id="rId1038" Type="http://schemas.openxmlformats.org/officeDocument/2006/relationships/hyperlink" Target="https://www.genome.jp/entry/R02331" TargetMode="External"/><Relationship Id="rId1245" Type="http://schemas.openxmlformats.org/officeDocument/2006/relationships/hyperlink" Target="https://www.genome.jp/entry/2.7.1.48" TargetMode="External"/><Relationship Id="rId1452" Type="http://schemas.openxmlformats.org/officeDocument/2006/relationships/hyperlink" Target="https://www.genome.jp/entry/R12885" TargetMode="External"/><Relationship Id="rId1105" Type="http://schemas.openxmlformats.org/officeDocument/2006/relationships/hyperlink" Target="https://www.genome.jp/entry/1.4.1.4" TargetMode="External"/><Relationship Id="rId1312" Type="http://schemas.openxmlformats.org/officeDocument/2006/relationships/hyperlink" Target="https://www.genome.jp/entry/2.1.1.72" TargetMode="External"/><Relationship Id="rId49" Type="http://schemas.openxmlformats.org/officeDocument/2006/relationships/hyperlink" Target="https://www.genome.jp/entry/4.3.2.2" TargetMode="External"/><Relationship Id="rId1617" Type="http://schemas.openxmlformats.org/officeDocument/2006/relationships/hyperlink" Target="https://www.genome.jp/entry/5.1.3.2" TargetMode="External"/><Relationship Id="rId198" Type="http://schemas.openxmlformats.org/officeDocument/2006/relationships/hyperlink" Target="https://www.genome.jp/entry/2.7.7.7" TargetMode="External"/><Relationship Id="rId265" Type="http://schemas.openxmlformats.org/officeDocument/2006/relationships/hyperlink" Target="https://www.genome.jp/entry/2.7.7.6" TargetMode="External"/><Relationship Id="rId472" Type="http://schemas.openxmlformats.org/officeDocument/2006/relationships/hyperlink" Target="https://www.genome.jp/entry/4.1.2.40" TargetMode="External"/><Relationship Id="rId125" Type="http://schemas.openxmlformats.org/officeDocument/2006/relationships/hyperlink" Target="https://www.genome.jp/entry/2.7.4.3" TargetMode="External"/><Relationship Id="rId332" Type="http://schemas.openxmlformats.org/officeDocument/2006/relationships/hyperlink" Target="https://www.genome.jp/entry/R03920" TargetMode="External"/><Relationship Id="rId777" Type="http://schemas.openxmlformats.org/officeDocument/2006/relationships/hyperlink" Target="https://www.genome.jp/entry/7.1.2.2" TargetMode="External"/><Relationship Id="rId984" Type="http://schemas.openxmlformats.org/officeDocument/2006/relationships/hyperlink" Target="https://www.genome.jp/entry/1.3.1.98" TargetMode="External"/><Relationship Id="rId637" Type="http://schemas.openxmlformats.org/officeDocument/2006/relationships/hyperlink" Target="https://www.genome.jp/entry/R01074" TargetMode="External"/><Relationship Id="rId844" Type="http://schemas.openxmlformats.org/officeDocument/2006/relationships/hyperlink" Target="https://www.genome.jp/entry/2.7.1.40" TargetMode="External"/><Relationship Id="rId1267" Type="http://schemas.openxmlformats.org/officeDocument/2006/relationships/hyperlink" Target="https://www.genome.jp/entry/6.1.1.13" TargetMode="External"/><Relationship Id="rId1474" Type="http://schemas.openxmlformats.org/officeDocument/2006/relationships/hyperlink" Target="https://www.genome.jp/entry/2.7.7.6" TargetMode="External"/><Relationship Id="rId1681" Type="http://schemas.openxmlformats.org/officeDocument/2006/relationships/hyperlink" Target="https://www.genome.jp/entry/1.5.1.2" TargetMode="External"/><Relationship Id="rId704" Type="http://schemas.openxmlformats.org/officeDocument/2006/relationships/hyperlink" Target="https://www.genome.jp/entry/R02024" TargetMode="External"/><Relationship Id="rId911" Type="http://schemas.openxmlformats.org/officeDocument/2006/relationships/hyperlink" Target="https://www.genome.jp/entry/4.1.3.6" TargetMode="External"/><Relationship Id="rId1127" Type="http://schemas.openxmlformats.org/officeDocument/2006/relationships/hyperlink" Target="https://www.genome.jp/entry/2.1.1.228" TargetMode="External"/><Relationship Id="rId1334" Type="http://schemas.openxmlformats.org/officeDocument/2006/relationships/hyperlink" Target="https://www.genome.jp/entry/2.3.1.16" TargetMode="External"/><Relationship Id="rId1541" Type="http://schemas.openxmlformats.org/officeDocument/2006/relationships/hyperlink" Target="https://www.genome.jp/entry/2.7.4.9" TargetMode="External"/><Relationship Id="rId40" Type="http://schemas.openxmlformats.org/officeDocument/2006/relationships/hyperlink" Target="https://www.genome.jp/entry/R01127" TargetMode="External"/><Relationship Id="rId1401" Type="http://schemas.openxmlformats.org/officeDocument/2006/relationships/hyperlink" Target="https://www.genome.jp/entry/2.3.1.9" TargetMode="External"/><Relationship Id="rId1639" Type="http://schemas.openxmlformats.org/officeDocument/2006/relationships/hyperlink" Target="https://www.genome.jp/entry/R05635" TargetMode="External"/><Relationship Id="rId203" Type="http://schemas.openxmlformats.org/officeDocument/2006/relationships/hyperlink" Target="https://www.genome.jp/entry/R00376" TargetMode="External"/><Relationship Id="rId648" Type="http://schemas.openxmlformats.org/officeDocument/2006/relationships/hyperlink" Target="https://www.genome.jp/entry/3.2.1.31" TargetMode="External"/><Relationship Id="rId855" Type="http://schemas.openxmlformats.org/officeDocument/2006/relationships/hyperlink" Target="https://www.genome.jp/entry/3.4.21.89" TargetMode="External"/><Relationship Id="rId1040" Type="http://schemas.openxmlformats.org/officeDocument/2006/relationships/hyperlink" Target="https://www.genome.jp/entry/R12853" TargetMode="External"/><Relationship Id="rId1278" Type="http://schemas.openxmlformats.org/officeDocument/2006/relationships/hyperlink" Target="https://www.genome.jp/entry/R12904" TargetMode="External"/><Relationship Id="rId1485" Type="http://schemas.openxmlformats.org/officeDocument/2006/relationships/hyperlink" Target="https://www.genome.jp/entry/2.7.4.8" TargetMode="External"/><Relationship Id="rId1692" Type="http://schemas.openxmlformats.org/officeDocument/2006/relationships/hyperlink" Target="https://www.genome.jp/entry/1.17.4.2" TargetMode="External"/><Relationship Id="rId1706" Type="http://schemas.openxmlformats.org/officeDocument/2006/relationships/hyperlink" Target="https://www.genome.jp/entry/2.7.13.3" TargetMode="External"/><Relationship Id="rId287" Type="http://schemas.openxmlformats.org/officeDocument/2006/relationships/hyperlink" Target="https://www.genome.jp/entry/R00212" TargetMode="External"/><Relationship Id="rId410" Type="http://schemas.openxmlformats.org/officeDocument/2006/relationships/hyperlink" Target="https://www.genome.jp/entry/R10116" TargetMode="External"/><Relationship Id="rId494" Type="http://schemas.openxmlformats.org/officeDocument/2006/relationships/hyperlink" Target="https://www.genome.jp/entry/3.5.1.25" TargetMode="External"/><Relationship Id="rId508" Type="http://schemas.openxmlformats.org/officeDocument/2006/relationships/hyperlink" Target="https://www.genome.jp/entry/1.17.4.1" TargetMode="External"/><Relationship Id="rId715" Type="http://schemas.openxmlformats.org/officeDocument/2006/relationships/hyperlink" Target="https://www.genome.jp/entry/1.17.4.1" TargetMode="External"/><Relationship Id="rId922" Type="http://schemas.openxmlformats.org/officeDocument/2006/relationships/hyperlink" Target="https://www.genome.jp/entry/R10706" TargetMode="External"/><Relationship Id="rId1138" Type="http://schemas.openxmlformats.org/officeDocument/2006/relationships/hyperlink" Target="https://www.genome.jp/entry/R10948" TargetMode="External"/><Relationship Id="rId1345" Type="http://schemas.openxmlformats.org/officeDocument/2006/relationships/hyperlink" Target="https://www.genome.jp/entry/R03991" TargetMode="External"/><Relationship Id="rId1552" Type="http://schemas.openxmlformats.org/officeDocument/2006/relationships/hyperlink" Target="https://www.genome.jp/entry/R04710" TargetMode="External"/><Relationship Id="rId147" Type="http://schemas.openxmlformats.org/officeDocument/2006/relationships/hyperlink" Target="https://www.genome.jp/entry/2.7.7.6" TargetMode="External"/><Relationship Id="rId354" Type="http://schemas.openxmlformats.org/officeDocument/2006/relationships/hyperlink" Target="https://www.genome.jp/entry/4.2.1.17" TargetMode="External"/><Relationship Id="rId799" Type="http://schemas.openxmlformats.org/officeDocument/2006/relationships/hyperlink" Target="https://www.genome.jp/entry/R00512" TargetMode="External"/><Relationship Id="rId1191" Type="http://schemas.openxmlformats.org/officeDocument/2006/relationships/hyperlink" Target="https://www.genome.jp/entry/5.4.2.7" TargetMode="External"/><Relationship Id="rId1205" Type="http://schemas.openxmlformats.org/officeDocument/2006/relationships/hyperlink" Target="https://www.genome.jp/entry/R02060" TargetMode="External"/><Relationship Id="rId51" Type="http://schemas.openxmlformats.org/officeDocument/2006/relationships/hyperlink" Target="https://www.genome.jp/entry/4.3.2.2" TargetMode="External"/><Relationship Id="rId561" Type="http://schemas.openxmlformats.org/officeDocument/2006/relationships/hyperlink" Target="https://www.genome.jp/entry/2.7.1.2" TargetMode="External"/><Relationship Id="rId659" Type="http://schemas.openxmlformats.org/officeDocument/2006/relationships/hyperlink" Target="https://www.genome.jp/entry/4.1.3.16" TargetMode="External"/><Relationship Id="rId866" Type="http://schemas.openxmlformats.org/officeDocument/2006/relationships/hyperlink" Target="https://www.genome.jp/entry/2.7.13.3" TargetMode="External"/><Relationship Id="rId1289" Type="http://schemas.openxmlformats.org/officeDocument/2006/relationships/hyperlink" Target="https://www.genome.jp/entry/R12863" TargetMode="External"/><Relationship Id="rId1412" Type="http://schemas.openxmlformats.org/officeDocument/2006/relationships/hyperlink" Target="https://www.genome.jp/entry/5.2.1.8" TargetMode="External"/><Relationship Id="rId1496" Type="http://schemas.openxmlformats.org/officeDocument/2006/relationships/hyperlink" Target="https://www.genome.jp/entry/6.3.4.21" TargetMode="External"/><Relationship Id="rId1717" Type="http://schemas.openxmlformats.org/officeDocument/2006/relationships/hyperlink" Target="https://www.genome.jp/entry/4.3.1.17" TargetMode="External"/><Relationship Id="rId214" Type="http://schemas.openxmlformats.org/officeDocument/2006/relationships/hyperlink" Target="https://www.genome.jp/entry/R05332" TargetMode="External"/><Relationship Id="rId298" Type="http://schemas.openxmlformats.org/officeDocument/2006/relationships/hyperlink" Target="https://www.genome.jp/entry/R00377" TargetMode="External"/><Relationship Id="rId421" Type="http://schemas.openxmlformats.org/officeDocument/2006/relationships/hyperlink" Target="https://www.genome.jp/entry/2.3.1.179" TargetMode="External"/><Relationship Id="rId519" Type="http://schemas.openxmlformats.org/officeDocument/2006/relationships/hyperlink" Target="https://www.genome.jp/entry/R08364" TargetMode="External"/><Relationship Id="rId1051" Type="http://schemas.openxmlformats.org/officeDocument/2006/relationships/hyperlink" Target="https://www.genome.jp/entry/R00936" TargetMode="External"/><Relationship Id="rId1149" Type="http://schemas.openxmlformats.org/officeDocument/2006/relationships/hyperlink" Target="https://www.genome.jp/entry/R00851" TargetMode="External"/><Relationship Id="rId1356" Type="http://schemas.openxmlformats.org/officeDocument/2006/relationships/hyperlink" Target="https://www.genome.jp/entry/R08095" TargetMode="External"/><Relationship Id="rId158" Type="http://schemas.openxmlformats.org/officeDocument/2006/relationships/hyperlink" Target="https://www.genome.jp/entry/2.7.7.6" TargetMode="External"/><Relationship Id="rId726" Type="http://schemas.openxmlformats.org/officeDocument/2006/relationships/hyperlink" Target="https://www.genome.jp/entry/2.4.99.28" TargetMode="External"/><Relationship Id="rId933" Type="http://schemas.openxmlformats.org/officeDocument/2006/relationships/hyperlink" Target="https://www.genome.jp/entry/R01230" TargetMode="External"/><Relationship Id="rId1009" Type="http://schemas.openxmlformats.org/officeDocument/2006/relationships/hyperlink" Target="https://www.genome.jp/entry/1.1.1.3" TargetMode="External"/><Relationship Id="rId1563" Type="http://schemas.openxmlformats.org/officeDocument/2006/relationships/hyperlink" Target="https://www.genome.jp/entry/2.7.7.18" TargetMode="External"/><Relationship Id="rId62" Type="http://schemas.openxmlformats.org/officeDocument/2006/relationships/hyperlink" Target="https://www.genome.jp/entry/R02878" TargetMode="External"/><Relationship Id="rId365" Type="http://schemas.openxmlformats.org/officeDocument/2006/relationships/hyperlink" Target="https://www.genome.jp/entry/R03026" TargetMode="External"/><Relationship Id="rId572" Type="http://schemas.openxmlformats.org/officeDocument/2006/relationships/hyperlink" Target="https://www.genome.jp/entry/R06173" TargetMode="External"/><Relationship Id="rId1216" Type="http://schemas.openxmlformats.org/officeDocument/2006/relationships/hyperlink" Target="https://www.genome.jp/entry/6.3.5.13" TargetMode="External"/><Relationship Id="rId1423" Type="http://schemas.openxmlformats.org/officeDocument/2006/relationships/hyperlink" Target="https://www.genome.jp/entry/R05332" TargetMode="External"/><Relationship Id="rId1630" Type="http://schemas.openxmlformats.org/officeDocument/2006/relationships/hyperlink" Target="https://www.genome.jp/entry/2.7.7.8" TargetMode="External"/><Relationship Id="rId225" Type="http://schemas.openxmlformats.org/officeDocument/2006/relationships/hyperlink" Target="https://www.genome.jp/entry/R03321" TargetMode="External"/><Relationship Id="rId432" Type="http://schemas.openxmlformats.org/officeDocument/2006/relationships/hyperlink" Target="https://www.genome.jp/entry/R10115" TargetMode="External"/><Relationship Id="rId877" Type="http://schemas.openxmlformats.org/officeDocument/2006/relationships/hyperlink" Target="https://www.genome.jp/entry/2.4.2.2" TargetMode="External"/><Relationship Id="rId1062" Type="http://schemas.openxmlformats.org/officeDocument/2006/relationships/hyperlink" Target="https://www.genome.jp/entry/R02081" TargetMode="External"/><Relationship Id="rId1728" Type="http://schemas.openxmlformats.org/officeDocument/2006/relationships/hyperlink" Target="https://www.genome.jp/entry/4.3.1.17" TargetMode="External"/><Relationship Id="rId737" Type="http://schemas.openxmlformats.org/officeDocument/2006/relationships/hyperlink" Target="https://www.genome.jp/entry/5.6.2.2" TargetMode="External"/><Relationship Id="rId944" Type="http://schemas.openxmlformats.org/officeDocument/2006/relationships/hyperlink" Target="https://www.genome.jp/entry/R10517" TargetMode="External"/><Relationship Id="rId1367" Type="http://schemas.openxmlformats.org/officeDocument/2006/relationships/hyperlink" Target="https://www.genome.jp/entry/R02108" TargetMode="External"/><Relationship Id="rId1574" Type="http://schemas.openxmlformats.org/officeDocument/2006/relationships/hyperlink" Target="https://www.genome.jp/entry/3.6.1.27" TargetMode="External"/><Relationship Id="rId73" Type="http://schemas.openxmlformats.org/officeDocument/2006/relationships/hyperlink" Target="https://www.genome.jp/entry/R10783" TargetMode="External"/><Relationship Id="rId169" Type="http://schemas.openxmlformats.org/officeDocument/2006/relationships/hyperlink" Target="https://www.genome.jp/entry/R10813" TargetMode="External"/><Relationship Id="rId376" Type="http://schemas.openxmlformats.org/officeDocument/2006/relationships/hyperlink" Target="https://www.genome.jp/entry/R07893" TargetMode="External"/><Relationship Id="rId583" Type="http://schemas.openxmlformats.org/officeDocument/2006/relationships/hyperlink" Target="https://www.genome.jp/entry/5.4.2.12" TargetMode="External"/><Relationship Id="rId790" Type="http://schemas.openxmlformats.org/officeDocument/2006/relationships/hyperlink" Target="https://www.genome.jp/entry/R02777" TargetMode="External"/><Relationship Id="rId804" Type="http://schemas.openxmlformats.org/officeDocument/2006/relationships/hyperlink" Target="https://www.genome.jp/entry/R01714" TargetMode="External"/><Relationship Id="rId1227" Type="http://schemas.openxmlformats.org/officeDocument/2006/relationships/hyperlink" Target="https://www.genome.jp/entry/1.8.1.4" TargetMode="External"/><Relationship Id="rId1434" Type="http://schemas.openxmlformats.org/officeDocument/2006/relationships/hyperlink" Target="https://www.genome.jp/entry/1.1.1.100" TargetMode="External"/><Relationship Id="rId1641" Type="http://schemas.openxmlformats.org/officeDocument/2006/relationships/hyperlink" Target="https://www.genome.jp/entry/2.7.7.7" TargetMode="External"/><Relationship Id="rId4" Type="http://schemas.openxmlformats.org/officeDocument/2006/relationships/hyperlink" Target="https://www.genome.jp/entry/2.7.7.7" TargetMode="External"/><Relationship Id="rId236" Type="http://schemas.openxmlformats.org/officeDocument/2006/relationships/hyperlink" Target="https://www.genome.jp/entry/1.17.99.6" TargetMode="External"/><Relationship Id="rId443" Type="http://schemas.openxmlformats.org/officeDocument/2006/relationships/hyperlink" Target="https://www.genome.jp/entry/4.2.1.59" TargetMode="External"/><Relationship Id="rId650" Type="http://schemas.openxmlformats.org/officeDocument/2006/relationships/hyperlink" Target="https://www.genome.jp/entry/3.2.1.31" TargetMode="External"/><Relationship Id="rId888" Type="http://schemas.openxmlformats.org/officeDocument/2006/relationships/hyperlink" Target="https://www.genome.jp/entry/R01878" TargetMode="External"/><Relationship Id="rId1073" Type="http://schemas.openxmlformats.org/officeDocument/2006/relationships/hyperlink" Target="https://www.genome.jp/entry/3.1.3.5" TargetMode="External"/><Relationship Id="rId1280" Type="http://schemas.openxmlformats.org/officeDocument/2006/relationships/hyperlink" Target="https://www.genome.jp/entry/6.1.1.13" TargetMode="External"/><Relationship Id="rId1501" Type="http://schemas.openxmlformats.org/officeDocument/2006/relationships/hyperlink" Target="https://www.genome.jp/entry/1.8.1.9" TargetMode="External"/><Relationship Id="rId1739" Type="http://schemas.openxmlformats.org/officeDocument/2006/relationships/hyperlink" Target="https://www.genome.jp/entry/R08240" TargetMode="External"/><Relationship Id="rId303" Type="http://schemas.openxmlformats.org/officeDocument/2006/relationships/hyperlink" Target="https://www.genome.jp/entry/3.5.4.12" TargetMode="External"/><Relationship Id="rId748" Type="http://schemas.openxmlformats.org/officeDocument/2006/relationships/hyperlink" Target="https://www.genome.jp/entry/2.7.1.107" TargetMode="External"/><Relationship Id="rId955" Type="http://schemas.openxmlformats.org/officeDocument/2006/relationships/hyperlink" Target="https://www.genome.jp/entry/2.7.1.21" TargetMode="External"/><Relationship Id="rId1140" Type="http://schemas.openxmlformats.org/officeDocument/2006/relationships/hyperlink" Target="https://www.genome.jp/entry/R07641" TargetMode="External"/><Relationship Id="rId1378" Type="http://schemas.openxmlformats.org/officeDocument/2006/relationships/hyperlink" Target="https://www.genome.jp/entry/3.2.1.18" TargetMode="External"/><Relationship Id="rId1585" Type="http://schemas.openxmlformats.org/officeDocument/2006/relationships/hyperlink" Target="https://www.genome.jp/entry/6.3.4.2" TargetMode="External"/><Relationship Id="rId84" Type="http://schemas.openxmlformats.org/officeDocument/2006/relationships/hyperlink" Target="https://www.genome.jp/entry/1.1.1.1" TargetMode="External"/><Relationship Id="rId387" Type="http://schemas.openxmlformats.org/officeDocument/2006/relationships/hyperlink" Target="https://www.genome.jp/entry/R10707" TargetMode="External"/><Relationship Id="rId510" Type="http://schemas.openxmlformats.org/officeDocument/2006/relationships/hyperlink" Target="https://www.genome.jp/entry/1.17.4.1" TargetMode="External"/><Relationship Id="rId594" Type="http://schemas.openxmlformats.org/officeDocument/2006/relationships/hyperlink" Target="https://www.genome.jp/entry/2.7.7.7" TargetMode="External"/><Relationship Id="rId608" Type="http://schemas.openxmlformats.org/officeDocument/2006/relationships/hyperlink" Target="https://www.genome.jp/entry/R04273" TargetMode="External"/><Relationship Id="rId815" Type="http://schemas.openxmlformats.org/officeDocument/2006/relationships/hyperlink" Target="https://www.genome.jp/entry/2.7.7.7" TargetMode="External"/><Relationship Id="rId1238" Type="http://schemas.openxmlformats.org/officeDocument/2006/relationships/hyperlink" Target="https://www.genome.jp/entry/2.4.2.7" TargetMode="External"/><Relationship Id="rId1445" Type="http://schemas.openxmlformats.org/officeDocument/2006/relationships/hyperlink" Target="https://www.genome.jp/entry/R10120" TargetMode="External"/><Relationship Id="rId1652" Type="http://schemas.openxmlformats.org/officeDocument/2006/relationships/hyperlink" Target="https://www.genome.jp/entry/R11029" TargetMode="External"/><Relationship Id="rId247" Type="http://schemas.openxmlformats.org/officeDocument/2006/relationships/hyperlink" Target="https://www.genome.jp/entry/R02770" TargetMode="External"/><Relationship Id="rId899" Type="http://schemas.openxmlformats.org/officeDocument/2006/relationships/hyperlink" Target="https://www.genome.jp/entry/2.7.1.35" TargetMode="External"/><Relationship Id="rId1000" Type="http://schemas.openxmlformats.org/officeDocument/2006/relationships/hyperlink" Target="https://www.genome.jp/entry/R00424" TargetMode="External"/><Relationship Id="rId1084" Type="http://schemas.openxmlformats.org/officeDocument/2006/relationships/hyperlink" Target="https://www.genome.jp/entry/R07297" TargetMode="External"/><Relationship Id="rId1305" Type="http://schemas.openxmlformats.org/officeDocument/2006/relationships/hyperlink" Target="https://www.genome.jp/entry/5.3.1.1" TargetMode="External"/><Relationship Id="rId107" Type="http://schemas.openxmlformats.org/officeDocument/2006/relationships/hyperlink" Target="https://www.genome.jp/entry/R05233" TargetMode="External"/><Relationship Id="rId454" Type="http://schemas.openxmlformats.org/officeDocument/2006/relationships/hyperlink" Target="https://www.genome.jp/entry/R10117" TargetMode="External"/><Relationship Id="rId661" Type="http://schemas.openxmlformats.org/officeDocument/2006/relationships/hyperlink" Target="https://www.genome.jp/entry/4.1.3.16" TargetMode="External"/><Relationship Id="rId759" Type="http://schemas.openxmlformats.org/officeDocument/2006/relationships/hyperlink" Target="https://www.genome.jp/entry/2.4.1.1" TargetMode="External"/><Relationship Id="rId966" Type="http://schemas.openxmlformats.org/officeDocument/2006/relationships/hyperlink" Target="https://www.genome.jp/entry/2.4.2.22" TargetMode="External"/><Relationship Id="rId1291" Type="http://schemas.openxmlformats.org/officeDocument/2006/relationships/hyperlink" Target="https://www.genome.jp/entry/R12871" TargetMode="External"/><Relationship Id="rId1389" Type="http://schemas.openxmlformats.org/officeDocument/2006/relationships/hyperlink" Target="https://www.genome.jp/entry/R04018" TargetMode="External"/><Relationship Id="rId1512" Type="http://schemas.openxmlformats.org/officeDocument/2006/relationships/hyperlink" Target="https://www.genome.jp/entry/R03313" TargetMode="External"/><Relationship Id="rId1596" Type="http://schemas.openxmlformats.org/officeDocument/2006/relationships/hyperlink" Target="https://www.genome.jp/entry/R00444" TargetMode="External"/><Relationship Id="rId11" Type="http://schemas.openxmlformats.org/officeDocument/2006/relationships/hyperlink" Target="https://www.genome.jp/entry/R00376" TargetMode="External"/><Relationship Id="rId314" Type="http://schemas.openxmlformats.org/officeDocument/2006/relationships/hyperlink" Target="https://www.genome.jp/entry/3.2.1.26" TargetMode="External"/><Relationship Id="rId398" Type="http://schemas.openxmlformats.org/officeDocument/2006/relationships/hyperlink" Target="https://www.genome.jp/entry/1.1.1.100" TargetMode="External"/><Relationship Id="rId521" Type="http://schemas.openxmlformats.org/officeDocument/2006/relationships/hyperlink" Target="https://www.genome.jp/entry/1.17.4.1" TargetMode="External"/><Relationship Id="rId619" Type="http://schemas.openxmlformats.org/officeDocument/2006/relationships/hyperlink" Target="https://www.genome.jp/entry/R00517" TargetMode="External"/><Relationship Id="rId1151" Type="http://schemas.openxmlformats.org/officeDocument/2006/relationships/hyperlink" Target="https://www.genome.jp/entry/2.3.1.15" TargetMode="External"/><Relationship Id="rId1249" Type="http://schemas.openxmlformats.org/officeDocument/2006/relationships/hyperlink" Target="https://www.genome.jp/entry/2.7.1.48" TargetMode="External"/><Relationship Id="rId95" Type="http://schemas.openxmlformats.org/officeDocument/2006/relationships/hyperlink" Target="https://www.genome.jp/entry/1.1.1.1" TargetMode="External"/><Relationship Id="rId160" Type="http://schemas.openxmlformats.org/officeDocument/2006/relationships/hyperlink" Target="https://www.genome.jp/entry/2.7.7.6" TargetMode="External"/><Relationship Id="rId826" Type="http://schemas.openxmlformats.org/officeDocument/2006/relationships/hyperlink" Target="https://www.genome.jp/entry/R11029" TargetMode="External"/><Relationship Id="rId1011" Type="http://schemas.openxmlformats.org/officeDocument/2006/relationships/hyperlink" Target="https://www.genome.jp/entry/2.7.4.6" TargetMode="External"/><Relationship Id="rId1109" Type="http://schemas.openxmlformats.org/officeDocument/2006/relationships/hyperlink" Target="https://www.genome.jp/entry/2.7.7.72" TargetMode="External"/><Relationship Id="rId1456" Type="http://schemas.openxmlformats.org/officeDocument/2006/relationships/hyperlink" Target="https://www.genome.jp/entry/R10809" TargetMode="External"/><Relationship Id="rId1663" Type="http://schemas.openxmlformats.org/officeDocument/2006/relationships/hyperlink" Target="https://www.genome.jp/entry/2.6.1.85" TargetMode="External"/><Relationship Id="rId258" Type="http://schemas.openxmlformats.org/officeDocument/2006/relationships/hyperlink" Target="https://www.genome.jp/entry/R01529" TargetMode="External"/><Relationship Id="rId465" Type="http://schemas.openxmlformats.org/officeDocument/2006/relationships/hyperlink" Target="https://www.genome.jp/entry/R02750" TargetMode="External"/><Relationship Id="rId672" Type="http://schemas.openxmlformats.org/officeDocument/2006/relationships/hyperlink" Target="https://www.genome.jp/entry/R03460" TargetMode="External"/><Relationship Id="rId1095" Type="http://schemas.openxmlformats.org/officeDocument/2006/relationships/hyperlink" Target="https://www.genome.jp/entry/R01968" TargetMode="External"/><Relationship Id="rId1316" Type="http://schemas.openxmlformats.org/officeDocument/2006/relationships/hyperlink" Target="https://www.genome.jp/entry/2.3.1.16" TargetMode="External"/><Relationship Id="rId1523" Type="http://schemas.openxmlformats.org/officeDocument/2006/relationships/hyperlink" Target="https://www.genome.jp/entry/R01830" TargetMode="External"/><Relationship Id="rId1730" Type="http://schemas.openxmlformats.org/officeDocument/2006/relationships/hyperlink" Target="https://www.genome.jp/entry/R00590" TargetMode="External"/><Relationship Id="rId22" Type="http://schemas.openxmlformats.org/officeDocument/2006/relationships/hyperlink" Target="https://www.genome.jp/entry/R01049" TargetMode="External"/><Relationship Id="rId118" Type="http://schemas.openxmlformats.org/officeDocument/2006/relationships/hyperlink" Target="https://www.genome.jp/entry/R02246" TargetMode="External"/><Relationship Id="rId325" Type="http://schemas.openxmlformats.org/officeDocument/2006/relationships/hyperlink" Target="https://www.genome.jp/entry/2.7.1.211" TargetMode="External"/><Relationship Id="rId532" Type="http://schemas.openxmlformats.org/officeDocument/2006/relationships/hyperlink" Target="https://www.genome.jp/entry/R02019" TargetMode="External"/><Relationship Id="rId977" Type="http://schemas.openxmlformats.org/officeDocument/2006/relationships/hyperlink" Target="https://www.genome.jp/entry/2.7.6.5" TargetMode="External"/><Relationship Id="rId1162" Type="http://schemas.openxmlformats.org/officeDocument/2006/relationships/hyperlink" Target="https://www.genome.jp/entry/3.5.1.4" TargetMode="External"/><Relationship Id="rId171" Type="http://schemas.openxmlformats.org/officeDocument/2006/relationships/hyperlink" Target="https://www.genome.jp/entry/R00315" TargetMode="External"/><Relationship Id="rId837" Type="http://schemas.openxmlformats.org/officeDocument/2006/relationships/hyperlink" Target="https://www.genome.jp/entry/R03238" TargetMode="External"/><Relationship Id="rId1022" Type="http://schemas.openxmlformats.org/officeDocument/2006/relationships/hyperlink" Target="https://www.genome.jp/entry/2.7.4.6" TargetMode="External"/><Relationship Id="rId1467" Type="http://schemas.openxmlformats.org/officeDocument/2006/relationships/hyperlink" Target="https://www.genome.jp/entry/5.2.1.8" TargetMode="External"/><Relationship Id="rId1674" Type="http://schemas.openxmlformats.org/officeDocument/2006/relationships/hyperlink" Target="https://www.genome.jp/entry/1.1.1.6" TargetMode="External"/><Relationship Id="rId269" Type="http://schemas.openxmlformats.org/officeDocument/2006/relationships/hyperlink" Target="https://www.genome.jp/entry/2.7.7.6" TargetMode="External"/><Relationship Id="rId476" Type="http://schemas.openxmlformats.org/officeDocument/2006/relationships/hyperlink" Target="https://www.genome.jp/entry/R04393" TargetMode="External"/><Relationship Id="rId683" Type="http://schemas.openxmlformats.org/officeDocument/2006/relationships/hyperlink" Target="https://www.genome.jp/entry/R03648" TargetMode="External"/><Relationship Id="rId890" Type="http://schemas.openxmlformats.org/officeDocument/2006/relationships/hyperlink" Target="https://www.genome.jp/entry/R08221" TargetMode="External"/><Relationship Id="rId904" Type="http://schemas.openxmlformats.org/officeDocument/2006/relationships/hyperlink" Target="https://www.genome.jp/entry/R02493" TargetMode="External"/><Relationship Id="rId1327" Type="http://schemas.openxmlformats.org/officeDocument/2006/relationships/hyperlink" Target="https://www.genome.jp/entry/2.3.1.16" TargetMode="External"/><Relationship Id="rId1534" Type="http://schemas.openxmlformats.org/officeDocument/2006/relationships/hyperlink" Target="https://www.genome.jp/entry/2.7.7.7" TargetMode="External"/><Relationship Id="rId1741" Type="http://schemas.openxmlformats.org/officeDocument/2006/relationships/hyperlink" Target="https://www.genome.jp/entry/R03664" TargetMode="External"/><Relationship Id="rId33" Type="http://schemas.openxmlformats.org/officeDocument/2006/relationships/hyperlink" Target="https://www.genome.jp/entry/2.1.2.2" TargetMode="External"/><Relationship Id="rId129" Type="http://schemas.openxmlformats.org/officeDocument/2006/relationships/hyperlink" Target="https://www.genome.jp/entry/R11319" TargetMode="External"/><Relationship Id="rId336" Type="http://schemas.openxmlformats.org/officeDocument/2006/relationships/hyperlink" Target="https://www.genome.jp/entry/R01819" TargetMode="External"/><Relationship Id="rId543" Type="http://schemas.openxmlformats.org/officeDocument/2006/relationships/hyperlink" Target="https://www.genome.jp/entry/R06138" TargetMode="External"/><Relationship Id="rId988" Type="http://schemas.openxmlformats.org/officeDocument/2006/relationships/hyperlink" Target="https://www.genome.jp/entry/R03503" TargetMode="External"/><Relationship Id="rId1173" Type="http://schemas.openxmlformats.org/officeDocument/2006/relationships/hyperlink" Target="https://www.genome.jp/entry/2.4.2.10" TargetMode="External"/><Relationship Id="rId1380" Type="http://schemas.openxmlformats.org/officeDocument/2006/relationships/hyperlink" Target="https://www.genome.jp/entry/3.2.1.18" TargetMode="External"/><Relationship Id="rId1601" Type="http://schemas.openxmlformats.org/officeDocument/2006/relationships/hyperlink" Target="https://www.genome.jp/entry/R10813" TargetMode="External"/><Relationship Id="rId182" Type="http://schemas.openxmlformats.org/officeDocument/2006/relationships/hyperlink" Target="https://www.genome.jp/entry/R01830" TargetMode="External"/><Relationship Id="rId403" Type="http://schemas.openxmlformats.org/officeDocument/2006/relationships/hyperlink" Target="https://www.genome.jp/entry/R04534" TargetMode="External"/><Relationship Id="rId750" Type="http://schemas.openxmlformats.org/officeDocument/2006/relationships/hyperlink" Target="https://www.genome.jp/entry/3.2.1.41" TargetMode="External"/><Relationship Id="rId848" Type="http://schemas.openxmlformats.org/officeDocument/2006/relationships/hyperlink" Target="https://www.genome.jp/entry/R00430" TargetMode="External"/><Relationship Id="rId1033" Type="http://schemas.openxmlformats.org/officeDocument/2006/relationships/hyperlink" Target="https://www.genome.jp/entry/R00722" TargetMode="External"/><Relationship Id="rId1478" Type="http://schemas.openxmlformats.org/officeDocument/2006/relationships/hyperlink" Target="https://www.genome.jp/entry/2.7.7.6" TargetMode="External"/><Relationship Id="rId1685" Type="http://schemas.openxmlformats.org/officeDocument/2006/relationships/hyperlink" Target="https://www.genome.jp/entry/R01248" TargetMode="External"/><Relationship Id="rId487" Type="http://schemas.openxmlformats.org/officeDocument/2006/relationships/hyperlink" Target="https://www.genome.jp/entry/R06110" TargetMode="External"/><Relationship Id="rId610" Type="http://schemas.openxmlformats.org/officeDocument/2006/relationships/hyperlink" Target="https://www.genome.jp/entry/6.1.1.7" TargetMode="External"/><Relationship Id="rId694" Type="http://schemas.openxmlformats.org/officeDocument/2006/relationships/hyperlink" Target="https://www.genome.jp/entry/1.17.4.1" TargetMode="External"/><Relationship Id="rId708" Type="http://schemas.openxmlformats.org/officeDocument/2006/relationships/hyperlink" Target="https://www.genome.jp/entry/1.17.4.1" TargetMode="External"/><Relationship Id="rId915" Type="http://schemas.openxmlformats.org/officeDocument/2006/relationships/hyperlink" Target="https://www.genome.jp/entry/4.1.3.6" TargetMode="External"/><Relationship Id="rId1240" Type="http://schemas.openxmlformats.org/officeDocument/2006/relationships/hyperlink" Target="https://www.genome.jp/entry/R00190" TargetMode="External"/><Relationship Id="rId1338" Type="http://schemas.openxmlformats.org/officeDocument/2006/relationships/hyperlink" Target="https://www.genome.jp/entry/R00391" TargetMode="External"/><Relationship Id="rId1545" Type="http://schemas.openxmlformats.org/officeDocument/2006/relationships/hyperlink" Target="https://www.genome.jp/entry/2.4.2.9" TargetMode="External"/><Relationship Id="rId347" Type="http://schemas.openxmlformats.org/officeDocument/2006/relationships/hyperlink" Target="https://www.genome.jp/entry/4.2.1.17" TargetMode="External"/><Relationship Id="rId999" Type="http://schemas.openxmlformats.org/officeDocument/2006/relationships/hyperlink" Target="https://www.genome.jp/entry/3.5.4.16" TargetMode="External"/><Relationship Id="rId1100" Type="http://schemas.openxmlformats.org/officeDocument/2006/relationships/hyperlink" Target="https://www.genome.jp/entry/3.5.1.88" TargetMode="External"/><Relationship Id="rId1184" Type="http://schemas.openxmlformats.org/officeDocument/2006/relationships/hyperlink" Target="https://www.genome.jp/entry/R10244" TargetMode="External"/><Relationship Id="rId1405" Type="http://schemas.openxmlformats.org/officeDocument/2006/relationships/hyperlink" Target="https://www.genome.jp/entry/R01177" TargetMode="External"/><Relationship Id="rId44" Type="http://schemas.openxmlformats.org/officeDocument/2006/relationships/hyperlink" Target="https://www.genome.jp/entry/R04209" TargetMode="External"/><Relationship Id="rId554" Type="http://schemas.openxmlformats.org/officeDocument/2006/relationships/hyperlink" Target="https://www.genome.jp/entry/2.1.1.171" TargetMode="External"/><Relationship Id="rId761" Type="http://schemas.openxmlformats.org/officeDocument/2006/relationships/hyperlink" Target="https://www.genome.jp/entry/2.4.1.1" TargetMode="External"/><Relationship Id="rId859" Type="http://schemas.openxmlformats.org/officeDocument/2006/relationships/hyperlink" Target="https://www.genome.jp/entry/5.4.99.25" TargetMode="External"/><Relationship Id="rId1391" Type="http://schemas.openxmlformats.org/officeDocument/2006/relationships/hyperlink" Target="https://www.genome.jp/entry/R04650" TargetMode="External"/><Relationship Id="rId1489" Type="http://schemas.openxmlformats.org/officeDocument/2006/relationships/hyperlink" Target="https://www.genome.jp/entry/R02090" TargetMode="External"/><Relationship Id="rId1612" Type="http://schemas.openxmlformats.org/officeDocument/2006/relationships/hyperlink" Target="https://www.genome.jp/entry/2.7.1.6" TargetMode="External"/><Relationship Id="rId1696" Type="http://schemas.openxmlformats.org/officeDocument/2006/relationships/hyperlink" Target="https://www.genome.jp/entry/R02020" TargetMode="External"/><Relationship Id="rId193" Type="http://schemas.openxmlformats.org/officeDocument/2006/relationships/hyperlink" Target="https://www.genome.jp/entry/R05850" TargetMode="External"/><Relationship Id="rId207" Type="http://schemas.openxmlformats.org/officeDocument/2006/relationships/hyperlink" Target="https://www.genome.jp/entry/R10209" TargetMode="External"/><Relationship Id="rId414" Type="http://schemas.openxmlformats.org/officeDocument/2006/relationships/hyperlink" Target="https://www.genome.jp/entry/2.3.1.179" TargetMode="External"/><Relationship Id="rId498" Type="http://schemas.openxmlformats.org/officeDocument/2006/relationships/hyperlink" Target="https://www.genome.jp/entry/6.1.1.14" TargetMode="External"/><Relationship Id="rId621" Type="http://schemas.openxmlformats.org/officeDocument/2006/relationships/hyperlink" Target="https://www.genome.jp/entry/R08232" TargetMode="External"/><Relationship Id="rId1044" Type="http://schemas.openxmlformats.org/officeDocument/2006/relationships/hyperlink" Target="https://www.genome.jp/entry/1.5.1.3" TargetMode="External"/><Relationship Id="rId1251" Type="http://schemas.openxmlformats.org/officeDocument/2006/relationships/hyperlink" Target="https://www.genome.jp/entry/R00964" TargetMode="External"/><Relationship Id="rId1349" Type="http://schemas.openxmlformats.org/officeDocument/2006/relationships/hyperlink" Target="https://www.genome.jp/entry/R05586" TargetMode="External"/><Relationship Id="rId260" Type="http://schemas.openxmlformats.org/officeDocument/2006/relationships/hyperlink" Target="https://www.genome.jp/entry/R00619" TargetMode="External"/><Relationship Id="rId719" Type="http://schemas.openxmlformats.org/officeDocument/2006/relationships/hyperlink" Target="https://www.genome.jp/entry/R02019" TargetMode="External"/><Relationship Id="rId926" Type="http://schemas.openxmlformats.org/officeDocument/2006/relationships/hyperlink" Target="https://www.genome.jp/entry/R00995" TargetMode="External"/><Relationship Id="rId1111" Type="http://schemas.openxmlformats.org/officeDocument/2006/relationships/hyperlink" Target="https://www.genome.jp/entry/2.7.7.72" TargetMode="External"/><Relationship Id="rId1556" Type="http://schemas.openxmlformats.org/officeDocument/2006/relationships/hyperlink" Target="https://www.genome.jp/entry/6.3.2.8" TargetMode="External"/><Relationship Id="rId55" Type="http://schemas.openxmlformats.org/officeDocument/2006/relationships/hyperlink" Target="https://www.genome.jp/entry/3.1.3.48" TargetMode="External"/><Relationship Id="rId120" Type="http://schemas.openxmlformats.org/officeDocument/2006/relationships/hyperlink" Target="https://www.genome.jp/entry/4.2.3.1" TargetMode="External"/><Relationship Id="rId358" Type="http://schemas.openxmlformats.org/officeDocument/2006/relationships/hyperlink" Target="https://www.genome.jp/entry/4.2.1.17" TargetMode="External"/><Relationship Id="rId565" Type="http://schemas.openxmlformats.org/officeDocument/2006/relationships/hyperlink" Target="https://www.genome.jp/entry/R02783" TargetMode="External"/><Relationship Id="rId772" Type="http://schemas.openxmlformats.org/officeDocument/2006/relationships/hyperlink" Target="https://www.genome.jp/entry/R00086" TargetMode="External"/><Relationship Id="rId1195" Type="http://schemas.openxmlformats.org/officeDocument/2006/relationships/hyperlink" Target="https://www.genome.jp/entry/5.3.1.6" TargetMode="External"/><Relationship Id="rId1209" Type="http://schemas.openxmlformats.org/officeDocument/2006/relationships/hyperlink" Target="https://www.genome.jp/entry/6.3.5.13" TargetMode="External"/><Relationship Id="rId1416" Type="http://schemas.openxmlformats.org/officeDocument/2006/relationships/hyperlink" Target="https://www.genome.jp/entry/3.2.2.9" TargetMode="External"/><Relationship Id="rId1623" Type="http://schemas.openxmlformats.org/officeDocument/2006/relationships/hyperlink" Target="https://www.genome.jp/entry/6.1.1.16" TargetMode="External"/><Relationship Id="rId218" Type="http://schemas.openxmlformats.org/officeDocument/2006/relationships/hyperlink" Target="https://www.genome.jp/entry/5.3.1.9" TargetMode="External"/><Relationship Id="rId425" Type="http://schemas.openxmlformats.org/officeDocument/2006/relationships/hyperlink" Target="https://www.genome.jp/entry/R04726" TargetMode="External"/><Relationship Id="rId632" Type="http://schemas.openxmlformats.org/officeDocument/2006/relationships/hyperlink" Target="https://www.genome.jp/entry/R11029" TargetMode="External"/><Relationship Id="rId1055" Type="http://schemas.openxmlformats.org/officeDocument/2006/relationships/hyperlink" Target="https://www.genome.jp/entry/R02236" TargetMode="External"/><Relationship Id="rId1262" Type="http://schemas.openxmlformats.org/officeDocument/2006/relationships/hyperlink" Target="https://www.genome.jp/entry/R06185" TargetMode="External"/><Relationship Id="rId271" Type="http://schemas.openxmlformats.org/officeDocument/2006/relationships/hyperlink" Target="https://www.genome.jp/entry/R00444" TargetMode="External"/><Relationship Id="rId937" Type="http://schemas.openxmlformats.org/officeDocument/2006/relationships/hyperlink" Target="https://www.genome.jp/entry/1.1.1.27" TargetMode="External"/><Relationship Id="rId1122" Type="http://schemas.openxmlformats.org/officeDocument/2006/relationships/hyperlink" Target="https://www.genome.jp/entry/R13203" TargetMode="External"/><Relationship Id="rId1567" Type="http://schemas.openxmlformats.org/officeDocument/2006/relationships/hyperlink" Target="https://www.genome.jp/entry/3.4.16.4" TargetMode="External"/><Relationship Id="rId66" Type="http://schemas.openxmlformats.org/officeDocument/2006/relationships/hyperlink" Target="https://www.genome.jp/entry/R05234" TargetMode="External"/><Relationship Id="rId131" Type="http://schemas.openxmlformats.org/officeDocument/2006/relationships/hyperlink" Target="https://www.genome.jp/entry/2.7.7.6" TargetMode="External"/><Relationship Id="rId369" Type="http://schemas.openxmlformats.org/officeDocument/2006/relationships/hyperlink" Target="https://www.genome.jp/entry/R04224" TargetMode="External"/><Relationship Id="rId576" Type="http://schemas.openxmlformats.org/officeDocument/2006/relationships/hyperlink" Target="https://www.genome.jp/entry/6.1.1.5" TargetMode="External"/><Relationship Id="rId783" Type="http://schemas.openxmlformats.org/officeDocument/2006/relationships/hyperlink" Target="https://www.genome.jp/entry/6.1.1.20" TargetMode="External"/><Relationship Id="rId990" Type="http://schemas.openxmlformats.org/officeDocument/2006/relationships/hyperlink" Target="https://www.genome.jp/entry/R03504" TargetMode="External"/><Relationship Id="rId1427" Type="http://schemas.openxmlformats.org/officeDocument/2006/relationships/hyperlink" Target="https://www.genome.jp/entry/1.1.1.100" TargetMode="External"/><Relationship Id="rId1634" Type="http://schemas.openxmlformats.org/officeDocument/2006/relationships/hyperlink" Target="https://www.genome.jp/entry/R00438" TargetMode="External"/><Relationship Id="rId229" Type="http://schemas.openxmlformats.org/officeDocument/2006/relationships/hyperlink" Target="https://www.genome.jp/entry/3.4.21.105" TargetMode="External"/><Relationship Id="rId436" Type="http://schemas.openxmlformats.org/officeDocument/2006/relationships/hyperlink" Target="https://www.genome.jp/entry/4.2.1.59" TargetMode="External"/><Relationship Id="rId643" Type="http://schemas.openxmlformats.org/officeDocument/2006/relationships/hyperlink" Target="https://www.genome.jp/entry/2.5.1.7" TargetMode="External"/><Relationship Id="rId1066" Type="http://schemas.openxmlformats.org/officeDocument/2006/relationships/hyperlink" Target="https://www.genome.jp/entry/R03245" TargetMode="External"/><Relationship Id="rId1273" Type="http://schemas.openxmlformats.org/officeDocument/2006/relationships/hyperlink" Target="https://www.genome.jp/entry/R12863" TargetMode="External"/><Relationship Id="rId1480" Type="http://schemas.openxmlformats.org/officeDocument/2006/relationships/hyperlink" Target="https://www.genome.jp/entry/R00435" TargetMode="External"/><Relationship Id="rId850" Type="http://schemas.openxmlformats.org/officeDocument/2006/relationships/hyperlink" Target="https://www.genome.jp/entry/R00659" TargetMode="External"/><Relationship Id="rId948" Type="http://schemas.openxmlformats.org/officeDocument/2006/relationships/hyperlink" Target="https://www.genome.jp/entry/R09099" TargetMode="External"/><Relationship Id="rId1133" Type="http://schemas.openxmlformats.org/officeDocument/2006/relationships/hyperlink" Target="https://www.genome.jp/entry/6.3.5.5" TargetMode="External"/><Relationship Id="rId1578" Type="http://schemas.openxmlformats.org/officeDocument/2006/relationships/hyperlink" Target="https://www.genome.jp/entry/4.1.2.13" TargetMode="External"/><Relationship Id="rId1701" Type="http://schemas.openxmlformats.org/officeDocument/2006/relationships/hyperlink" Target="https://www.genome.jp/entry/3.6.4.12" TargetMode="External"/><Relationship Id="rId77" Type="http://schemas.openxmlformats.org/officeDocument/2006/relationships/hyperlink" Target="https://www.genome.jp/entry/R07105" TargetMode="External"/><Relationship Id="rId282" Type="http://schemas.openxmlformats.org/officeDocument/2006/relationships/hyperlink" Target="https://www.genome.jp/entry/R10648" TargetMode="External"/><Relationship Id="rId503" Type="http://schemas.openxmlformats.org/officeDocument/2006/relationships/hyperlink" Target="https://www.genome.jp/entry/R03659" TargetMode="External"/><Relationship Id="rId587" Type="http://schemas.openxmlformats.org/officeDocument/2006/relationships/hyperlink" Target="https://www.genome.jp/entry/6.3.2.10" TargetMode="External"/><Relationship Id="rId710" Type="http://schemas.openxmlformats.org/officeDocument/2006/relationships/hyperlink" Target="https://www.genome.jp/entry/1.17.4.1" TargetMode="External"/><Relationship Id="rId808" Type="http://schemas.openxmlformats.org/officeDocument/2006/relationships/hyperlink" Target="https://www.genome.jp/entry/R00094" TargetMode="External"/><Relationship Id="rId1340" Type="http://schemas.openxmlformats.org/officeDocument/2006/relationships/hyperlink" Target="https://www.genome.jp/entry/R00829" TargetMode="External"/><Relationship Id="rId1438" Type="http://schemas.openxmlformats.org/officeDocument/2006/relationships/hyperlink" Target="https://www.genome.jp/entry/R04536" TargetMode="External"/><Relationship Id="rId1645" Type="http://schemas.openxmlformats.org/officeDocument/2006/relationships/hyperlink" Target="https://www.genome.jp/entry/2.7.7.7" TargetMode="External"/><Relationship Id="rId8" Type="http://schemas.openxmlformats.org/officeDocument/2006/relationships/hyperlink" Target="https://www.genome.jp/entry/R00375" TargetMode="External"/><Relationship Id="rId142" Type="http://schemas.openxmlformats.org/officeDocument/2006/relationships/hyperlink" Target="https://www.genome.jp/entry/2.7.1.148" TargetMode="External"/><Relationship Id="rId447" Type="http://schemas.openxmlformats.org/officeDocument/2006/relationships/hyperlink" Target="https://www.genome.jp/entry/R04428" TargetMode="External"/><Relationship Id="rId794" Type="http://schemas.openxmlformats.org/officeDocument/2006/relationships/hyperlink" Target="https://www.genome.jp/entry/R00291" TargetMode="External"/><Relationship Id="rId1077" Type="http://schemas.openxmlformats.org/officeDocument/2006/relationships/hyperlink" Target="https://www.genome.jp/entry/3.1.3.5" TargetMode="External"/><Relationship Id="rId1200" Type="http://schemas.openxmlformats.org/officeDocument/2006/relationships/hyperlink" Target="https://www.genome.jp/entry/R01056" TargetMode="External"/><Relationship Id="rId654" Type="http://schemas.openxmlformats.org/officeDocument/2006/relationships/hyperlink" Target="https://www.genome.jp/entry/R10830" TargetMode="External"/><Relationship Id="rId861" Type="http://schemas.openxmlformats.org/officeDocument/2006/relationships/hyperlink" Target="https://www.genome.jp/entry/R00549" TargetMode="External"/><Relationship Id="rId959" Type="http://schemas.openxmlformats.org/officeDocument/2006/relationships/hyperlink" Target="https://www.genome.jp/entry/5.3.2.6" TargetMode="External"/><Relationship Id="rId1284" Type="http://schemas.openxmlformats.org/officeDocument/2006/relationships/hyperlink" Target="https://www.genome.jp/entry/6.1.1.13" TargetMode="External"/><Relationship Id="rId1491" Type="http://schemas.openxmlformats.org/officeDocument/2006/relationships/hyperlink" Target="https://www.genome.jp/entry/4.4.1.21" TargetMode="External"/><Relationship Id="rId1505" Type="http://schemas.openxmlformats.org/officeDocument/2006/relationships/hyperlink" Target="https://www.genome.jp/entry/R09372" TargetMode="External"/><Relationship Id="rId1589" Type="http://schemas.openxmlformats.org/officeDocument/2006/relationships/hyperlink" Target="https://www.genome.jp/entry/R00573" TargetMode="External"/><Relationship Id="rId1712" Type="http://schemas.openxmlformats.org/officeDocument/2006/relationships/hyperlink" Target="https://www.genome.jp/entry/R08700" TargetMode="External"/><Relationship Id="rId293" Type="http://schemas.openxmlformats.org/officeDocument/2006/relationships/hyperlink" Target="https://www.genome.jp/entry/2.7.7.7" TargetMode="External"/><Relationship Id="rId307" Type="http://schemas.openxmlformats.org/officeDocument/2006/relationships/hyperlink" Target="https://www.genome.jp/entry/3.2.1.26" TargetMode="External"/><Relationship Id="rId514" Type="http://schemas.openxmlformats.org/officeDocument/2006/relationships/hyperlink" Target="https://www.genome.jp/entry/R02017" TargetMode="External"/><Relationship Id="rId721" Type="http://schemas.openxmlformats.org/officeDocument/2006/relationships/hyperlink" Target="https://www.genome.jp/entry/R08363" TargetMode="External"/><Relationship Id="rId1144" Type="http://schemas.openxmlformats.org/officeDocument/2006/relationships/hyperlink" Target="https://www.genome.jp/entry/R00966" TargetMode="External"/><Relationship Id="rId1351" Type="http://schemas.openxmlformats.org/officeDocument/2006/relationships/hyperlink" Target="https://www.genome.jp/entry/R07895" TargetMode="External"/><Relationship Id="rId1449" Type="http://schemas.openxmlformats.org/officeDocument/2006/relationships/hyperlink" Target="https://www.genome.jp/entry/R03083" TargetMode="External"/><Relationship Id="rId88" Type="http://schemas.openxmlformats.org/officeDocument/2006/relationships/hyperlink" Target="https://www.genome.jp/entry/1.1.1.1" TargetMode="External"/><Relationship Id="rId153" Type="http://schemas.openxmlformats.org/officeDocument/2006/relationships/hyperlink" Target="https://www.genome.jp/entry/R00435" TargetMode="External"/><Relationship Id="rId360" Type="http://schemas.openxmlformats.org/officeDocument/2006/relationships/hyperlink" Target="https://www.genome.jp/entry/4.2.1.17" TargetMode="External"/><Relationship Id="rId598" Type="http://schemas.openxmlformats.org/officeDocument/2006/relationships/hyperlink" Target="https://www.genome.jp/entry/R00376" TargetMode="External"/><Relationship Id="rId819" Type="http://schemas.openxmlformats.org/officeDocument/2006/relationships/hyperlink" Target="https://www.genome.jp/entry/2.7.7.7" TargetMode="External"/><Relationship Id="rId1004" Type="http://schemas.openxmlformats.org/officeDocument/2006/relationships/hyperlink" Target="https://www.genome.jp/entry/R05048" TargetMode="External"/><Relationship Id="rId1211" Type="http://schemas.openxmlformats.org/officeDocument/2006/relationships/hyperlink" Target="https://www.genome.jp/entry/6.3.5.13" TargetMode="External"/><Relationship Id="rId1656" Type="http://schemas.openxmlformats.org/officeDocument/2006/relationships/hyperlink" Target="https://www.genome.jp/entry/R01799" TargetMode="External"/><Relationship Id="rId220" Type="http://schemas.openxmlformats.org/officeDocument/2006/relationships/hyperlink" Target="https://www.genome.jp/entry/5.3.1.9" TargetMode="External"/><Relationship Id="rId458" Type="http://schemas.openxmlformats.org/officeDocument/2006/relationships/hyperlink" Target="https://www.genome.jp/entry/6.1.1.11" TargetMode="External"/><Relationship Id="rId665" Type="http://schemas.openxmlformats.org/officeDocument/2006/relationships/hyperlink" Target="https://www.genome.jp/entry/5.3.1.12" TargetMode="External"/><Relationship Id="rId872" Type="http://schemas.openxmlformats.org/officeDocument/2006/relationships/hyperlink" Target="https://www.genome.jp/entry/R04391" TargetMode="External"/><Relationship Id="rId1088" Type="http://schemas.openxmlformats.org/officeDocument/2006/relationships/hyperlink" Target="https://www.genome.jp/entry/R01126" TargetMode="External"/><Relationship Id="rId1295" Type="http://schemas.openxmlformats.org/officeDocument/2006/relationships/hyperlink" Target="https://www.genome.jp/entry/4.2.2.1" TargetMode="External"/><Relationship Id="rId1309" Type="http://schemas.openxmlformats.org/officeDocument/2006/relationships/hyperlink" Target="https://www.genome.jp/entry/2.5.1.145" TargetMode="External"/><Relationship Id="rId1516" Type="http://schemas.openxmlformats.org/officeDocument/2006/relationships/hyperlink" Target="https://www.genome.jp/entry/2.2.1.1" TargetMode="External"/><Relationship Id="rId1723" Type="http://schemas.openxmlformats.org/officeDocument/2006/relationships/hyperlink" Target="https://www.genome.jp/entry/R00378" TargetMode="External"/><Relationship Id="rId15" Type="http://schemas.openxmlformats.org/officeDocument/2006/relationships/hyperlink" Target="https://www.genome.jp/entry/R01132" TargetMode="External"/><Relationship Id="rId318" Type="http://schemas.openxmlformats.org/officeDocument/2006/relationships/hyperlink" Target="https://www.genome.jp/entry/R03635" TargetMode="External"/><Relationship Id="rId525" Type="http://schemas.openxmlformats.org/officeDocument/2006/relationships/hyperlink" Target="https://www.genome.jp/entry/1.17.4.1" TargetMode="External"/><Relationship Id="rId732" Type="http://schemas.openxmlformats.org/officeDocument/2006/relationships/hyperlink" Target="https://www.genome.jp/entry/R04519" TargetMode="External"/><Relationship Id="rId1155" Type="http://schemas.openxmlformats.org/officeDocument/2006/relationships/hyperlink" Target="https://www.genome.jp/entry/R01993" TargetMode="External"/><Relationship Id="rId1362" Type="http://schemas.openxmlformats.org/officeDocument/2006/relationships/hyperlink" Target="https://www.genome.jp/entry/6.1.1.3" TargetMode="External"/><Relationship Id="rId99" Type="http://schemas.openxmlformats.org/officeDocument/2006/relationships/hyperlink" Target="https://www.genome.jp/entry/1.1.1.1" TargetMode="External"/><Relationship Id="rId164" Type="http://schemas.openxmlformats.org/officeDocument/2006/relationships/hyperlink" Target="https://www.genome.jp/entry/R00444" TargetMode="External"/><Relationship Id="rId371" Type="http://schemas.openxmlformats.org/officeDocument/2006/relationships/hyperlink" Target="https://www.genome.jp/entry/R04740" TargetMode="External"/><Relationship Id="rId1015" Type="http://schemas.openxmlformats.org/officeDocument/2006/relationships/hyperlink" Target="https://www.genome.jp/entry/2.7.4.6" TargetMode="External"/><Relationship Id="rId1222" Type="http://schemas.openxmlformats.org/officeDocument/2006/relationships/hyperlink" Target="https://www.genome.jp/entry/R12330" TargetMode="External"/><Relationship Id="rId1667" Type="http://schemas.openxmlformats.org/officeDocument/2006/relationships/hyperlink" Target="https://www.genome.jp/entry/R05552" TargetMode="External"/><Relationship Id="rId469" Type="http://schemas.openxmlformats.org/officeDocument/2006/relationships/hyperlink" Target="https://www.genome.jp/entry/R00600" TargetMode="External"/><Relationship Id="rId676" Type="http://schemas.openxmlformats.org/officeDocument/2006/relationships/hyperlink" Target="https://www.genome.jp/entry/2.7.7.49" TargetMode="External"/><Relationship Id="rId883" Type="http://schemas.openxmlformats.org/officeDocument/2006/relationships/hyperlink" Target="https://www.genome.jp/entry/4.1.2.4" TargetMode="External"/><Relationship Id="rId1099" Type="http://schemas.openxmlformats.org/officeDocument/2006/relationships/hyperlink" Target="https://www.genome.jp/entry/3.5.1.88" TargetMode="External"/><Relationship Id="rId1527" Type="http://schemas.openxmlformats.org/officeDocument/2006/relationships/hyperlink" Target="https://www.genome.jp/entry/2.7.1.30" TargetMode="External"/><Relationship Id="rId1734" Type="http://schemas.openxmlformats.org/officeDocument/2006/relationships/hyperlink" Target="https://www.genome.jp/entry/2.7.8.5" TargetMode="External"/><Relationship Id="rId26" Type="http://schemas.openxmlformats.org/officeDocument/2006/relationships/hyperlink" Target="https://www.genome.jp/entry/R04591" TargetMode="External"/><Relationship Id="rId231" Type="http://schemas.openxmlformats.org/officeDocument/2006/relationships/hyperlink" Target="https://www.genome.jp/entry/R00289" TargetMode="External"/><Relationship Id="rId329" Type="http://schemas.openxmlformats.org/officeDocument/2006/relationships/hyperlink" Target="https://www.genome.jp/entry/2.7.1.4" TargetMode="External"/><Relationship Id="rId536" Type="http://schemas.openxmlformats.org/officeDocument/2006/relationships/hyperlink" Target="https://www.genome.jp/entry/R11893" TargetMode="External"/><Relationship Id="rId1166" Type="http://schemas.openxmlformats.org/officeDocument/2006/relationships/hyperlink" Target="https://www.genome.jp/entry/R00321" TargetMode="External"/><Relationship Id="rId1373" Type="http://schemas.openxmlformats.org/officeDocument/2006/relationships/hyperlink" Target="https://www.genome.jp/entry/2.7.1.24" TargetMode="External"/><Relationship Id="rId175" Type="http://schemas.openxmlformats.org/officeDocument/2006/relationships/hyperlink" Target="https://www.genome.jp/entry/2.2.1.1" TargetMode="External"/><Relationship Id="rId743" Type="http://schemas.openxmlformats.org/officeDocument/2006/relationships/hyperlink" Target="https://www.genome.jp/entry/R00658" TargetMode="External"/><Relationship Id="rId950" Type="http://schemas.openxmlformats.org/officeDocument/2006/relationships/hyperlink" Target="https://www.genome.jp/entry/R10463" TargetMode="External"/><Relationship Id="rId1026" Type="http://schemas.openxmlformats.org/officeDocument/2006/relationships/hyperlink" Target="https://www.genome.jp/entry/2.7.4.6" TargetMode="External"/><Relationship Id="rId1580" Type="http://schemas.openxmlformats.org/officeDocument/2006/relationships/hyperlink" Target="https://www.genome.jp/entry/R01068" TargetMode="External"/><Relationship Id="rId1678" Type="http://schemas.openxmlformats.org/officeDocument/2006/relationships/hyperlink" Target="https://www.genome.jp/entry/6.3.4.4" TargetMode="External"/><Relationship Id="rId382" Type="http://schemas.openxmlformats.org/officeDocument/2006/relationships/hyperlink" Target="https://www.genome.jp/entry/R06411" TargetMode="External"/><Relationship Id="rId603" Type="http://schemas.openxmlformats.org/officeDocument/2006/relationships/hyperlink" Target="https://www.genome.jp/entry/1.15.1.1" TargetMode="External"/><Relationship Id="rId687" Type="http://schemas.openxmlformats.org/officeDocument/2006/relationships/hyperlink" Target="https://www.genome.jp/entry/3.5.4.4" TargetMode="External"/><Relationship Id="rId810" Type="http://schemas.openxmlformats.org/officeDocument/2006/relationships/hyperlink" Target="https://www.genome.jp/entry/2.8.1.4" TargetMode="External"/><Relationship Id="rId908" Type="http://schemas.openxmlformats.org/officeDocument/2006/relationships/hyperlink" Target="https://www.genome.jp/entry/R04449" TargetMode="External"/><Relationship Id="rId1233" Type="http://schemas.openxmlformats.org/officeDocument/2006/relationships/hyperlink" Target="https://www.genome.jp/entry/R06513" TargetMode="External"/><Relationship Id="rId1440" Type="http://schemas.openxmlformats.org/officeDocument/2006/relationships/hyperlink" Target="https://www.genome.jp/entry/R04566" TargetMode="External"/><Relationship Id="rId1538" Type="http://schemas.openxmlformats.org/officeDocument/2006/relationships/hyperlink" Target="https://www.genome.jp/entry/R00377" TargetMode="External"/><Relationship Id="rId242" Type="http://schemas.openxmlformats.org/officeDocument/2006/relationships/hyperlink" Target="https://www.genome.jp/entry/6.1.1.17" TargetMode="External"/><Relationship Id="rId894" Type="http://schemas.openxmlformats.org/officeDocument/2006/relationships/hyperlink" Target="https://www.genome.jp/entry/R04231" TargetMode="External"/><Relationship Id="rId1177" Type="http://schemas.openxmlformats.org/officeDocument/2006/relationships/hyperlink" Target="https://www.genome.jp/entry/4.1.1.23" TargetMode="External"/><Relationship Id="rId1300" Type="http://schemas.openxmlformats.org/officeDocument/2006/relationships/hyperlink" Target="https://www.genome.jp/entry/R01738" TargetMode="External"/><Relationship Id="rId1745" Type="http://schemas.openxmlformats.org/officeDocument/2006/relationships/printerSettings" Target="../printerSettings/printerSettings4.bin"/><Relationship Id="rId37" Type="http://schemas.openxmlformats.org/officeDocument/2006/relationships/hyperlink" Target="https://www.genome.jp/entry/2.1.2.3" TargetMode="External"/><Relationship Id="rId102" Type="http://schemas.openxmlformats.org/officeDocument/2006/relationships/hyperlink" Target="https://www.genome.jp/entry/R00754" TargetMode="External"/><Relationship Id="rId547" Type="http://schemas.openxmlformats.org/officeDocument/2006/relationships/hyperlink" Target="https://www.genome.jp/entry/2.7.2.2" TargetMode="External"/><Relationship Id="rId754" Type="http://schemas.openxmlformats.org/officeDocument/2006/relationships/hyperlink" Target="https://www.genome.jp/entry/R00948" TargetMode="External"/><Relationship Id="rId961" Type="http://schemas.openxmlformats.org/officeDocument/2006/relationships/hyperlink" Target="https://www.genome.jp/entry/5.3.2.6" TargetMode="External"/><Relationship Id="rId1384" Type="http://schemas.openxmlformats.org/officeDocument/2006/relationships/hyperlink" Target="https://www.genome.jp/entry/3.2.1.18" TargetMode="External"/><Relationship Id="rId1591" Type="http://schemas.openxmlformats.org/officeDocument/2006/relationships/hyperlink" Target="https://www.genome.jp/entry/2.7.7.6" TargetMode="External"/><Relationship Id="rId1605" Type="http://schemas.openxmlformats.org/officeDocument/2006/relationships/hyperlink" Target="https://www.genome.jp/entry/R03471" TargetMode="External"/><Relationship Id="rId1689" Type="http://schemas.openxmlformats.org/officeDocument/2006/relationships/hyperlink" Target="https://www.genome.jp/entry/1.17.4.2" TargetMode="External"/><Relationship Id="rId90" Type="http://schemas.openxmlformats.org/officeDocument/2006/relationships/hyperlink" Target="https://www.genome.jp/entry/1.1.1.1" TargetMode="External"/><Relationship Id="rId186" Type="http://schemas.openxmlformats.org/officeDocument/2006/relationships/hyperlink" Target="https://www.genome.jp/entry/1.11.1.26" TargetMode="External"/><Relationship Id="rId393" Type="http://schemas.openxmlformats.org/officeDocument/2006/relationships/hyperlink" Target="https://www.genome.jp/entry/1.1.1.100" TargetMode="External"/><Relationship Id="rId407" Type="http://schemas.openxmlformats.org/officeDocument/2006/relationships/hyperlink" Target="https://www.genome.jp/entry/R04953" TargetMode="External"/><Relationship Id="rId614" Type="http://schemas.openxmlformats.org/officeDocument/2006/relationships/hyperlink" Target="https://www.genome.jp/entry/2.7.1.48" TargetMode="External"/><Relationship Id="rId821" Type="http://schemas.openxmlformats.org/officeDocument/2006/relationships/hyperlink" Target="https://www.genome.jp/entry/R00379" TargetMode="External"/><Relationship Id="rId1037" Type="http://schemas.openxmlformats.org/officeDocument/2006/relationships/hyperlink" Target="https://www.genome.jp/entry/R02326" TargetMode="External"/><Relationship Id="rId1244" Type="http://schemas.openxmlformats.org/officeDocument/2006/relationships/hyperlink" Target="https://www.genome.jp/entry/R01122" TargetMode="External"/><Relationship Id="rId1451" Type="http://schemas.openxmlformats.org/officeDocument/2006/relationships/hyperlink" Target="https://www.genome.jp/entry/1.1.1.25" TargetMode="External"/><Relationship Id="rId253" Type="http://schemas.openxmlformats.org/officeDocument/2006/relationships/hyperlink" Target="https://www.genome.jp/entry/R02087" TargetMode="External"/><Relationship Id="rId460" Type="http://schemas.openxmlformats.org/officeDocument/2006/relationships/hyperlink" Target="https://www.genome.jp/entry/6.1.1.11" TargetMode="External"/><Relationship Id="rId698" Type="http://schemas.openxmlformats.org/officeDocument/2006/relationships/hyperlink" Target="https://www.genome.jp/entry/1.17.4.1" TargetMode="External"/><Relationship Id="rId919" Type="http://schemas.openxmlformats.org/officeDocument/2006/relationships/hyperlink" Target="https://www.genome.jp/entry/4.1.3.6" TargetMode="External"/><Relationship Id="rId1090" Type="http://schemas.openxmlformats.org/officeDocument/2006/relationships/hyperlink" Target="https://www.genome.jp/entry/R02323" TargetMode="External"/><Relationship Id="rId1104" Type="http://schemas.openxmlformats.org/officeDocument/2006/relationships/hyperlink" Target="https://www.genome.jp/entry/1.4.1.4" TargetMode="External"/><Relationship Id="rId1311" Type="http://schemas.openxmlformats.org/officeDocument/2006/relationships/hyperlink" Target="https://www.genome.jp/entry/3.1.26.3" TargetMode="External"/><Relationship Id="rId1549" Type="http://schemas.openxmlformats.org/officeDocument/2006/relationships/hyperlink" Target="https://www.genome.jp/entry/3.6.1.1" TargetMode="External"/><Relationship Id="rId48" Type="http://schemas.openxmlformats.org/officeDocument/2006/relationships/hyperlink" Target="https://www.genome.jp/entry/R07404" TargetMode="External"/><Relationship Id="rId113" Type="http://schemas.openxmlformats.org/officeDocument/2006/relationships/hyperlink" Target="https://www.genome.jp/entry/R08557" TargetMode="External"/><Relationship Id="rId320" Type="http://schemas.openxmlformats.org/officeDocument/2006/relationships/hyperlink" Target="https://www.genome.jp/entry/R06087" TargetMode="External"/><Relationship Id="rId558" Type="http://schemas.openxmlformats.org/officeDocument/2006/relationships/hyperlink" Target="https://www.genome.jp/entry/R00299" TargetMode="External"/><Relationship Id="rId765" Type="http://schemas.openxmlformats.org/officeDocument/2006/relationships/hyperlink" Target="https://www.genome.jp/entry/R02111" TargetMode="External"/><Relationship Id="rId972" Type="http://schemas.openxmlformats.org/officeDocument/2006/relationships/hyperlink" Target="https://www.genome.jp/entry/2.3.1.8" TargetMode="External"/><Relationship Id="rId1188" Type="http://schemas.openxmlformats.org/officeDocument/2006/relationships/hyperlink" Target="https://www.genome.jp/entry/R02294" TargetMode="External"/><Relationship Id="rId1395" Type="http://schemas.openxmlformats.org/officeDocument/2006/relationships/hyperlink" Target="https://www.genome.jp/entry/R05998" TargetMode="External"/><Relationship Id="rId1409" Type="http://schemas.openxmlformats.org/officeDocument/2006/relationships/hyperlink" Target="https://www.genome.jp/entry/R07606" TargetMode="External"/><Relationship Id="rId1616" Type="http://schemas.openxmlformats.org/officeDocument/2006/relationships/hyperlink" Target="https://www.genome.jp/entry/5.1.3.2" TargetMode="External"/><Relationship Id="rId197" Type="http://schemas.openxmlformats.org/officeDocument/2006/relationships/hyperlink" Target="https://www.genome.jp/entry/2.7.7.7" TargetMode="External"/><Relationship Id="rId418" Type="http://schemas.openxmlformats.org/officeDocument/2006/relationships/hyperlink" Target="https://www.genome.jp/entry/2.3.1.179" TargetMode="External"/><Relationship Id="rId625" Type="http://schemas.openxmlformats.org/officeDocument/2006/relationships/hyperlink" Target="https://www.genome.jp/entry/2.7.7.7" TargetMode="External"/><Relationship Id="rId832" Type="http://schemas.openxmlformats.org/officeDocument/2006/relationships/hyperlink" Target="https://www.genome.jp/entry/R00769" TargetMode="External"/><Relationship Id="rId1048" Type="http://schemas.openxmlformats.org/officeDocument/2006/relationships/hyperlink" Target="https://www.genome.jp/entry/1.5.1.3" TargetMode="External"/><Relationship Id="rId1255" Type="http://schemas.openxmlformats.org/officeDocument/2006/relationships/hyperlink" Target="https://www.genome.jp/entry/2.4.1.1" TargetMode="External"/><Relationship Id="rId1462" Type="http://schemas.openxmlformats.org/officeDocument/2006/relationships/hyperlink" Target="https://www.genome.jp/entry/2.5.1.47" TargetMode="External"/><Relationship Id="rId264" Type="http://schemas.openxmlformats.org/officeDocument/2006/relationships/hyperlink" Target="https://www.genome.jp/entry/R00253" TargetMode="External"/><Relationship Id="rId471" Type="http://schemas.openxmlformats.org/officeDocument/2006/relationships/hyperlink" Target="https://www.genome.jp/entry/R03236" TargetMode="External"/><Relationship Id="rId1115" Type="http://schemas.openxmlformats.org/officeDocument/2006/relationships/hyperlink" Target="https://www.genome.jp/entry/R09384" TargetMode="External"/><Relationship Id="rId1322" Type="http://schemas.openxmlformats.org/officeDocument/2006/relationships/hyperlink" Target="https://www.genome.jp/entry/2.3.1.16" TargetMode="External"/><Relationship Id="rId59" Type="http://schemas.openxmlformats.org/officeDocument/2006/relationships/hyperlink" Target="https://www.genome.jp/entry/R00623" TargetMode="External"/><Relationship Id="rId124" Type="http://schemas.openxmlformats.org/officeDocument/2006/relationships/hyperlink" Target="https://www.genome.jp/entry/2.7.4.3" TargetMode="External"/><Relationship Id="rId569" Type="http://schemas.openxmlformats.org/officeDocument/2006/relationships/hyperlink" Target="https://www.genome.jp/entry/2.4.1.227" TargetMode="External"/><Relationship Id="rId776" Type="http://schemas.openxmlformats.org/officeDocument/2006/relationships/hyperlink" Target="https://www.genome.jp/entry/R00086" TargetMode="External"/><Relationship Id="rId983" Type="http://schemas.openxmlformats.org/officeDocument/2006/relationships/hyperlink" Target="https://www.genome.jp/entry/1.3.1.98" TargetMode="External"/><Relationship Id="rId1199" Type="http://schemas.openxmlformats.org/officeDocument/2006/relationships/hyperlink" Target="https://www.genome.jp/entry/5.3.1.6" TargetMode="External"/><Relationship Id="rId1627" Type="http://schemas.openxmlformats.org/officeDocument/2006/relationships/hyperlink" Target="https://www.genome.jp/entry/2.7.7.8" TargetMode="External"/><Relationship Id="rId331" Type="http://schemas.openxmlformats.org/officeDocument/2006/relationships/hyperlink" Target="https://www.genome.jp/entry/R00867" TargetMode="External"/><Relationship Id="rId429" Type="http://schemas.openxmlformats.org/officeDocument/2006/relationships/hyperlink" Target="https://www.genome.jp/entry/R04963" TargetMode="External"/><Relationship Id="rId636" Type="http://schemas.openxmlformats.org/officeDocument/2006/relationships/hyperlink" Target="https://www.genome.jp/entry/R04562" TargetMode="External"/><Relationship Id="rId1059" Type="http://schemas.openxmlformats.org/officeDocument/2006/relationships/hyperlink" Target="https://www.genome.jp/entry/2.3.3.10" TargetMode="External"/><Relationship Id="rId1266" Type="http://schemas.openxmlformats.org/officeDocument/2006/relationships/hyperlink" Target="https://www.genome.jp/entry/6.1.1.13" TargetMode="External"/><Relationship Id="rId1473" Type="http://schemas.openxmlformats.org/officeDocument/2006/relationships/hyperlink" Target="https://www.genome.jp/entry/2.7.7.6" TargetMode="External"/><Relationship Id="rId843" Type="http://schemas.openxmlformats.org/officeDocument/2006/relationships/hyperlink" Target="https://www.genome.jp/entry/2.7.1.40" TargetMode="External"/><Relationship Id="rId1126" Type="http://schemas.openxmlformats.org/officeDocument/2006/relationships/hyperlink" Target="https://www.genome.jp/entry/R02472" TargetMode="External"/><Relationship Id="rId1680" Type="http://schemas.openxmlformats.org/officeDocument/2006/relationships/hyperlink" Target="https://www.genome.jp/entry/3.4.11.7" TargetMode="External"/><Relationship Id="rId275" Type="http://schemas.openxmlformats.org/officeDocument/2006/relationships/hyperlink" Target="https://www.genome.jp/entry/R00443" TargetMode="External"/><Relationship Id="rId482" Type="http://schemas.openxmlformats.org/officeDocument/2006/relationships/hyperlink" Target="https://www.genome.jp/entry/3.2.1.85" TargetMode="External"/><Relationship Id="rId703" Type="http://schemas.openxmlformats.org/officeDocument/2006/relationships/hyperlink" Target="https://www.genome.jp/entry/R02019" TargetMode="External"/><Relationship Id="rId910" Type="http://schemas.openxmlformats.org/officeDocument/2006/relationships/hyperlink" Target="https://www.genome.jp/entry/R09675" TargetMode="External"/><Relationship Id="rId1333" Type="http://schemas.openxmlformats.org/officeDocument/2006/relationships/hyperlink" Target="https://www.genome.jp/entry/2.3.1.16" TargetMode="External"/><Relationship Id="rId1540" Type="http://schemas.openxmlformats.org/officeDocument/2006/relationships/hyperlink" Target="https://www.genome.jp/entry/R11029" TargetMode="External"/><Relationship Id="rId1638" Type="http://schemas.openxmlformats.org/officeDocument/2006/relationships/hyperlink" Target="https://www.genome.jp/entry/3.5.1.88" TargetMode="External"/><Relationship Id="rId135" Type="http://schemas.openxmlformats.org/officeDocument/2006/relationships/hyperlink" Target="https://www.genome.jp/entry/2.7.7.6" TargetMode="External"/><Relationship Id="rId342" Type="http://schemas.openxmlformats.org/officeDocument/2006/relationships/hyperlink" Target="https://www.genome.jp/entry/4.2.1.17" TargetMode="External"/><Relationship Id="rId787" Type="http://schemas.openxmlformats.org/officeDocument/2006/relationships/hyperlink" Target="https://www.genome.jp/entry/3.2.1.41" TargetMode="External"/><Relationship Id="rId994" Type="http://schemas.openxmlformats.org/officeDocument/2006/relationships/hyperlink" Target="https://www.genome.jp/entry/R03066" TargetMode="External"/><Relationship Id="rId1400" Type="http://schemas.openxmlformats.org/officeDocument/2006/relationships/hyperlink" Target="https://www.genome.jp/entry/2.3.1.9" TargetMode="External"/><Relationship Id="rId202" Type="http://schemas.openxmlformats.org/officeDocument/2006/relationships/hyperlink" Target="https://www.genome.jp/entry/R00375" TargetMode="External"/><Relationship Id="rId647" Type="http://schemas.openxmlformats.org/officeDocument/2006/relationships/hyperlink" Target="https://www.genome.jp/entry/3.2.1.31" TargetMode="External"/><Relationship Id="rId854" Type="http://schemas.openxmlformats.org/officeDocument/2006/relationships/hyperlink" Target="https://www.genome.jp/entry/R02320" TargetMode="External"/><Relationship Id="rId1277" Type="http://schemas.openxmlformats.org/officeDocument/2006/relationships/hyperlink" Target="https://www.genome.jp/entry/R12875" TargetMode="External"/><Relationship Id="rId1484" Type="http://schemas.openxmlformats.org/officeDocument/2006/relationships/hyperlink" Target="https://www.genome.jp/entry/R10813" TargetMode="External"/><Relationship Id="rId1691" Type="http://schemas.openxmlformats.org/officeDocument/2006/relationships/hyperlink" Target="https://www.genome.jp/entry/1.17.4.2" TargetMode="External"/><Relationship Id="rId1705" Type="http://schemas.openxmlformats.org/officeDocument/2006/relationships/hyperlink" Target="https://www.genome.jp/entry/R05577" TargetMode="External"/><Relationship Id="rId286" Type="http://schemas.openxmlformats.org/officeDocument/2006/relationships/hyperlink" Target="https://www.genome.jp/entry/2.3.1.54" TargetMode="External"/><Relationship Id="rId493" Type="http://schemas.openxmlformats.org/officeDocument/2006/relationships/hyperlink" Target="https://www.genome.jp/entry/R08247" TargetMode="External"/><Relationship Id="rId507" Type="http://schemas.openxmlformats.org/officeDocument/2006/relationships/hyperlink" Target="https://www.genome.jp/entry/1.17.4.1" TargetMode="External"/><Relationship Id="rId714" Type="http://schemas.openxmlformats.org/officeDocument/2006/relationships/hyperlink" Target="https://www.genome.jp/entry/1.17.4.1" TargetMode="External"/><Relationship Id="rId921" Type="http://schemas.openxmlformats.org/officeDocument/2006/relationships/hyperlink" Target="https://www.genome.jp/entry/2.7.7.61" TargetMode="External"/><Relationship Id="rId1137" Type="http://schemas.openxmlformats.org/officeDocument/2006/relationships/hyperlink" Target="https://www.genome.jp/entry/R01395" TargetMode="External"/><Relationship Id="rId1344" Type="http://schemas.openxmlformats.org/officeDocument/2006/relationships/hyperlink" Target="https://www.genome.jp/entry/R03858" TargetMode="External"/><Relationship Id="rId1551" Type="http://schemas.openxmlformats.org/officeDocument/2006/relationships/hyperlink" Target="https://www.genome.jp/entry/1.97.1.4" TargetMode="External"/><Relationship Id="rId50" Type="http://schemas.openxmlformats.org/officeDocument/2006/relationships/hyperlink" Target="https://www.genome.jp/entry/4.3.2.2" TargetMode="External"/><Relationship Id="rId146" Type="http://schemas.openxmlformats.org/officeDocument/2006/relationships/hyperlink" Target="https://www.genome.jp/entry/2.7.7.6" TargetMode="External"/><Relationship Id="rId353" Type="http://schemas.openxmlformats.org/officeDocument/2006/relationships/hyperlink" Target="https://www.genome.jp/entry/4.2.1.17" TargetMode="External"/><Relationship Id="rId560" Type="http://schemas.openxmlformats.org/officeDocument/2006/relationships/hyperlink" Target="https://www.genome.jp/entry/2.7.1.2" TargetMode="External"/><Relationship Id="rId798" Type="http://schemas.openxmlformats.org/officeDocument/2006/relationships/hyperlink" Target="https://www.genome.jp/entry/2.7.4.25" TargetMode="External"/><Relationship Id="rId1190" Type="http://schemas.openxmlformats.org/officeDocument/2006/relationships/hyperlink" Target="https://www.genome.jp/entry/5.4.2.7" TargetMode="External"/><Relationship Id="rId1204" Type="http://schemas.openxmlformats.org/officeDocument/2006/relationships/hyperlink" Target="https://www.genome.jp/entry/5.4.2.10" TargetMode="External"/><Relationship Id="rId1411" Type="http://schemas.openxmlformats.org/officeDocument/2006/relationships/hyperlink" Target="https://www.genome.jp/entry/R00158" TargetMode="External"/><Relationship Id="rId1649" Type="http://schemas.openxmlformats.org/officeDocument/2006/relationships/hyperlink" Target="https://www.genome.jp/entry/R00376" TargetMode="External"/><Relationship Id="rId213" Type="http://schemas.openxmlformats.org/officeDocument/2006/relationships/hyperlink" Target="https://www.genome.jp/entry/2.3.1.157" TargetMode="External"/><Relationship Id="rId420" Type="http://schemas.openxmlformats.org/officeDocument/2006/relationships/hyperlink" Target="https://www.genome.jp/entry/2.3.1.179" TargetMode="External"/><Relationship Id="rId658" Type="http://schemas.openxmlformats.org/officeDocument/2006/relationships/hyperlink" Target="https://www.genome.jp/entry/R05605" TargetMode="External"/><Relationship Id="rId865" Type="http://schemas.openxmlformats.org/officeDocument/2006/relationships/hyperlink" Target="https://www.genome.jp/entry/7.3.2.1" TargetMode="External"/><Relationship Id="rId1050" Type="http://schemas.openxmlformats.org/officeDocument/2006/relationships/hyperlink" Target="https://www.genome.jp/entry/R00939" TargetMode="External"/><Relationship Id="rId1288" Type="http://schemas.openxmlformats.org/officeDocument/2006/relationships/hyperlink" Target="https://www.genome.jp/entry/R12812" TargetMode="External"/><Relationship Id="rId1495" Type="http://schemas.openxmlformats.org/officeDocument/2006/relationships/hyperlink" Target="https://www.genome.jp/entry/R00189" TargetMode="External"/><Relationship Id="rId1509" Type="http://schemas.openxmlformats.org/officeDocument/2006/relationships/hyperlink" Target="https://www.genome.jp/entry/R05630" TargetMode="External"/><Relationship Id="rId1716" Type="http://schemas.openxmlformats.org/officeDocument/2006/relationships/hyperlink" Target="https://www.genome.jp/entry/4.3.1.17" TargetMode="External"/><Relationship Id="rId297" Type="http://schemas.openxmlformats.org/officeDocument/2006/relationships/hyperlink" Target="https://www.genome.jp/entry/R00376" TargetMode="External"/><Relationship Id="rId518" Type="http://schemas.openxmlformats.org/officeDocument/2006/relationships/hyperlink" Target="https://www.genome.jp/entry/R08363" TargetMode="External"/><Relationship Id="rId725" Type="http://schemas.openxmlformats.org/officeDocument/2006/relationships/hyperlink" Target="https://www.genome.jp/entry/R02628" TargetMode="External"/><Relationship Id="rId932" Type="http://schemas.openxmlformats.org/officeDocument/2006/relationships/hyperlink" Target="https://www.genome.jp/entry/R00256" TargetMode="External"/><Relationship Id="rId1148" Type="http://schemas.openxmlformats.org/officeDocument/2006/relationships/hyperlink" Target="https://www.genome.jp/entry/2.3.1.15" TargetMode="External"/><Relationship Id="rId1355" Type="http://schemas.openxmlformats.org/officeDocument/2006/relationships/hyperlink" Target="https://www.genome.jp/entry/R08091" TargetMode="External"/><Relationship Id="rId1562" Type="http://schemas.openxmlformats.org/officeDocument/2006/relationships/hyperlink" Target="https://www.genome.jp/entry/R00125" TargetMode="External"/><Relationship Id="rId157" Type="http://schemas.openxmlformats.org/officeDocument/2006/relationships/hyperlink" Target="https://www.genome.jp/entry/R10813" TargetMode="External"/><Relationship Id="rId364" Type="http://schemas.openxmlformats.org/officeDocument/2006/relationships/hyperlink" Target="https://www.genome.jp/entry/R02685" TargetMode="External"/><Relationship Id="rId1008" Type="http://schemas.openxmlformats.org/officeDocument/2006/relationships/hyperlink" Target="https://www.genome.jp/entry/R01773" TargetMode="External"/><Relationship Id="rId1215" Type="http://schemas.openxmlformats.org/officeDocument/2006/relationships/hyperlink" Target="https://www.genome.jp/entry/R12331" TargetMode="External"/><Relationship Id="rId1422" Type="http://schemas.openxmlformats.org/officeDocument/2006/relationships/hyperlink" Target="https://www.genome.jp/entry/2.3.1.157" TargetMode="External"/><Relationship Id="rId61" Type="http://schemas.openxmlformats.org/officeDocument/2006/relationships/hyperlink" Target="https://www.genome.jp/entry/R02124" TargetMode="External"/><Relationship Id="rId571" Type="http://schemas.openxmlformats.org/officeDocument/2006/relationships/hyperlink" Target="https://www.genome.jp/entry/R05662" TargetMode="External"/><Relationship Id="rId669" Type="http://schemas.openxmlformats.org/officeDocument/2006/relationships/hyperlink" Target="https://www.genome.jp/entry/4.2.1.8" TargetMode="External"/><Relationship Id="rId876" Type="http://schemas.openxmlformats.org/officeDocument/2006/relationships/hyperlink" Target="https://www.genome.jp/entry/2.4.2.2" TargetMode="External"/><Relationship Id="rId1299" Type="http://schemas.openxmlformats.org/officeDocument/2006/relationships/hyperlink" Target="https://www.genome.jp/entry/1.1.1.69" TargetMode="External"/><Relationship Id="rId1727" Type="http://schemas.openxmlformats.org/officeDocument/2006/relationships/hyperlink" Target="https://www.genome.jp/entry/4.3.1.17" TargetMode="External"/><Relationship Id="rId19" Type="http://schemas.openxmlformats.org/officeDocument/2006/relationships/hyperlink" Target="https://www.genome.jp/entry/R08238" TargetMode="External"/><Relationship Id="rId224" Type="http://schemas.openxmlformats.org/officeDocument/2006/relationships/hyperlink" Target="https://www.genome.jp/entry/R02739" TargetMode="External"/><Relationship Id="rId431" Type="http://schemas.openxmlformats.org/officeDocument/2006/relationships/hyperlink" Target="https://www.genome.jp/entry/R07762" TargetMode="External"/><Relationship Id="rId529" Type="http://schemas.openxmlformats.org/officeDocument/2006/relationships/hyperlink" Target="https://www.genome.jp/entry/R04294" TargetMode="External"/><Relationship Id="rId736" Type="http://schemas.openxmlformats.org/officeDocument/2006/relationships/hyperlink" Target="https://www.genome.jp/entry/5.6.2.2" TargetMode="External"/><Relationship Id="rId1061" Type="http://schemas.openxmlformats.org/officeDocument/2006/relationships/hyperlink" Target="https://www.genome.jp/entry/1.1.1.88" TargetMode="External"/><Relationship Id="rId1159" Type="http://schemas.openxmlformats.org/officeDocument/2006/relationships/hyperlink" Target="https://www.genome.jp/entry/3.5.1.4" TargetMode="External"/><Relationship Id="rId1366" Type="http://schemas.openxmlformats.org/officeDocument/2006/relationships/hyperlink" Target="https://www.genome.jp/entry/3.2.1.1" TargetMode="External"/><Relationship Id="rId168" Type="http://schemas.openxmlformats.org/officeDocument/2006/relationships/hyperlink" Target="https://www.genome.jp/entry/R00443" TargetMode="External"/><Relationship Id="rId943" Type="http://schemas.openxmlformats.org/officeDocument/2006/relationships/hyperlink" Target="https://www.genome.jp/entry/1.6.3.4" TargetMode="External"/><Relationship Id="rId1019" Type="http://schemas.openxmlformats.org/officeDocument/2006/relationships/hyperlink" Target="https://www.genome.jp/entry/2.7.4.6" TargetMode="External"/><Relationship Id="rId1573" Type="http://schemas.openxmlformats.org/officeDocument/2006/relationships/hyperlink" Target="https://www.genome.jp/entry/R11529" TargetMode="External"/><Relationship Id="rId72" Type="http://schemas.openxmlformats.org/officeDocument/2006/relationships/hyperlink" Target="https://www.genome.jp/entry/R08558" TargetMode="External"/><Relationship Id="rId375" Type="http://schemas.openxmlformats.org/officeDocument/2006/relationships/hyperlink" Target="https://www.genome.jp/entry/R07889" TargetMode="External"/><Relationship Id="rId582" Type="http://schemas.openxmlformats.org/officeDocument/2006/relationships/hyperlink" Target="https://www.genome.jp/entry/R01518" TargetMode="External"/><Relationship Id="rId803" Type="http://schemas.openxmlformats.org/officeDocument/2006/relationships/hyperlink" Target="https://www.genome.jp/entry/4.2.3.5" TargetMode="External"/><Relationship Id="rId1226" Type="http://schemas.openxmlformats.org/officeDocument/2006/relationships/hyperlink" Target="https://www.genome.jp/entry/1.8.1.4" TargetMode="External"/><Relationship Id="rId1433" Type="http://schemas.openxmlformats.org/officeDocument/2006/relationships/hyperlink" Target="https://www.genome.jp/entry/1.1.1.100" TargetMode="External"/><Relationship Id="rId1640" Type="http://schemas.openxmlformats.org/officeDocument/2006/relationships/hyperlink" Target="https://www.genome.jp/entry/R04268" TargetMode="External"/><Relationship Id="rId1738" Type="http://schemas.openxmlformats.org/officeDocument/2006/relationships/hyperlink" Target="https://www.genome.jp/entry/R01130" TargetMode="External"/><Relationship Id="rId3" Type="http://schemas.openxmlformats.org/officeDocument/2006/relationships/hyperlink" Target="https://www.genome.jp/entry/2.7.7.7" TargetMode="External"/><Relationship Id="rId235" Type="http://schemas.openxmlformats.org/officeDocument/2006/relationships/hyperlink" Target="https://www.genome.jp/entry/R00844" TargetMode="External"/><Relationship Id="rId442" Type="http://schemas.openxmlformats.org/officeDocument/2006/relationships/hyperlink" Target="https://www.genome.jp/entry/4.2.1.59" TargetMode="External"/><Relationship Id="rId887" Type="http://schemas.openxmlformats.org/officeDocument/2006/relationships/hyperlink" Target="https://www.genome.jp/entry/3.5.4.5" TargetMode="External"/><Relationship Id="rId1072" Type="http://schemas.openxmlformats.org/officeDocument/2006/relationships/hyperlink" Target="https://www.genome.jp/entry/3.1.3.5" TargetMode="External"/><Relationship Id="rId1500" Type="http://schemas.openxmlformats.org/officeDocument/2006/relationships/hyperlink" Target="https://www.genome.jp/entry/1.8.1.9" TargetMode="External"/><Relationship Id="rId302" Type="http://schemas.openxmlformats.org/officeDocument/2006/relationships/hyperlink" Target="https://www.genome.jp/entry/3.2.2.31" TargetMode="External"/><Relationship Id="rId747" Type="http://schemas.openxmlformats.org/officeDocument/2006/relationships/hyperlink" Target="https://www.genome.jp/entry/R00382" TargetMode="External"/><Relationship Id="rId954" Type="http://schemas.openxmlformats.org/officeDocument/2006/relationships/hyperlink" Target="https://www.genome.jp/entry/2.7.1.21" TargetMode="External"/><Relationship Id="rId1377" Type="http://schemas.openxmlformats.org/officeDocument/2006/relationships/hyperlink" Target="https://www.genome.jp/entry/3.2.1.18" TargetMode="External"/><Relationship Id="rId1584" Type="http://schemas.openxmlformats.org/officeDocument/2006/relationships/hyperlink" Target="https://www.genome.jp/entry/6.3.4.2" TargetMode="External"/><Relationship Id="rId83" Type="http://schemas.openxmlformats.org/officeDocument/2006/relationships/hyperlink" Target="https://www.genome.jp/entry/1.1.1.1" TargetMode="External"/><Relationship Id="rId179" Type="http://schemas.openxmlformats.org/officeDocument/2006/relationships/hyperlink" Target="https://www.genome.jp/entry/2.2.1.1" TargetMode="External"/><Relationship Id="rId386" Type="http://schemas.openxmlformats.org/officeDocument/2006/relationships/hyperlink" Target="https://www.genome.jp/entry/2.3.1.180" TargetMode="External"/><Relationship Id="rId593" Type="http://schemas.openxmlformats.org/officeDocument/2006/relationships/hyperlink" Target="https://www.genome.jp/entry/2.7.7.7" TargetMode="External"/><Relationship Id="rId607" Type="http://schemas.openxmlformats.org/officeDocument/2006/relationships/hyperlink" Target="https://www.genome.jp/entry/R00765" TargetMode="External"/><Relationship Id="rId814" Type="http://schemas.openxmlformats.org/officeDocument/2006/relationships/hyperlink" Target="https://www.genome.jp/entry/R02961" TargetMode="External"/><Relationship Id="rId1237" Type="http://schemas.openxmlformats.org/officeDocument/2006/relationships/hyperlink" Target="https://www.genome.jp/entry/4.2.99.18" TargetMode="External"/><Relationship Id="rId1444" Type="http://schemas.openxmlformats.org/officeDocument/2006/relationships/hyperlink" Target="https://www.genome.jp/entry/R10116" TargetMode="External"/><Relationship Id="rId1651" Type="http://schemas.openxmlformats.org/officeDocument/2006/relationships/hyperlink" Target="https://www.genome.jp/entry/R00378" TargetMode="External"/><Relationship Id="rId246" Type="http://schemas.openxmlformats.org/officeDocument/2006/relationships/hyperlink" Target="https://www.genome.jp/entry/5.1.3.9" TargetMode="External"/><Relationship Id="rId453" Type="http://schemas.openxmlformats.org/officeDocument/2006/relationships/hyperlink" Target="https://www.genome.jp/entry/R04965" TargetMode="External"/><Relationship Id="rId660" Type="http://schemas.openxmlformats.org/officeDocument/2006/relationships/hyperlink" Target="https://www.genome.jp/entry/4.1.3.16" TargetMode="External"/><Relationship Id="rId898" Type="http://schemas.openxmlformats.org/officeDocument/2006/relationships/hyperlink" Target="https://www.genome.jp/entry/R02291" TargetMode="External"/><Relationship Id="rId1083" Type="http://schemas.openxmlformats.org/officeDocument/2006/relationships/hyperlink" Target="https://www.genome.jp/entry/3.1.3.5" TargetMode="External"/><Relationship Id="rId1290" Type="http://schemas.openxmlformats.org/officeDocument/2006/relationships/hyperlink" Target="https://www.genome.jp/entry/R12867" TargetMode="External"/><Relationship Id="rId1304" Type="http://schemas.openxmlformats.org/officeDocument/2006/relationships/hyperlink" Target="https://www.genome.jp/entry/R00804" TargetMode="External"/><Relationship Id="rId1511" Type="http://schemas.openxmlformats.org/officeDocument/2006/relationships/hyperlink" Target="https://www.genome.jp/entry/1.2.1.41" TargetMode="External"/><Relationship Id="rId106" Type="http://schemas.openxmlformats.org/officeDocument/2006/relationships/hyperlink" Target="https://www.genome.jp/entry/R04880" TargetMode="External"/><Relationship Id="rId313" Type="http://schemas.openxmlformats.org/officeDocument/2006/relationships/hyperlink" Target="https://www.genome.jp/entry/3.2.1.26" TargetMode="External"/><Relationship Id="rId758" Type="http://schemas.openxmlformats.org/officeDocument/2006/relationships/hyperlink" Target="https://www.genome.jp/entry/R06049" TargetMode="External"/><Relationship Id="rId965" Type="http://schemas.openxmlformats.org/officeDocument/2006/relationships/hyperlink" Target="https://www.genome.jp/entry/2.4.2.22" TargetMode="External"/><Relationship Id="rId1150" Type="http://schemas.openxmlformats.org/officeDocument/2006/relationships/hyperlink" Target="https://www.genome.jp/entry/2.3.1.15" TargetMode="External"/><Relationship Id="rId1388" Type="http://schemas.openxmlformats.org/officeDocument/2006/relationships/hyperlink" Target="https://www.genome.jp/entry/R03491" TargetMode="External"/><Relationship Id="rId1595" Type="http://schemas.openxmlformats.org/officeDocument/2006/relationships/hyperlink" Target="https://www.genome.jp/entry/2.7.7.6" TargetMode="External"/><Relationship Id="rId1609" Type="http://schemas.openxmlformats.org/officeDocument/2006/relationships/hyperlink" Target="https://www.genome.jp/entry/R03020" TargetMode="External"/><Relationship Id="rId10" Type="http://schemas.openxmlformats.org/officeDocument/2006/relationships/hyperlink" Target="https://www.genome.jp/entry/R00377" TargetMode="External"/><Relationship Id="rId94" Type="http://schemas.openxmlformats.org/officeDocument/2006/relationships/hyperlink" Target="https://www.genome.jp/entry/1.1.1.1" TargetMode="External"/><Relationship Id="rId397" Type="http://schemas.openxmlformats.org/officeDocument/2006/relationships/hyperlink" Target="https://www.genome.jp/entry/1.1.1.100" TargetMode="External"/><Relationship Id="rId520" Type="http://schemas.openxmlformats.org/officeDocument/2006/relationships/hyperlink" Target="https://www.genome.jp/entry/R11893" TargetMode="External"/><Relationship Id="rId618" Type="http://schemas.openxmlformats.org/officeDocument/2006/relationships/hyperlink" Target="https://www.genome.jp/entry/R00964" TargetMode="External"/><Relationship Id="rId825" Type="http://schemas.openxmlformats.org/officeDocument/2006/relationships/hyperlink" Target="https://www.genome.jp/entry/R00378" TargetMode="External"/><Relationship Id="rId1248" Type="http://schemas.openxmlformats.org/officeDocument/2006/relationships/hyperlink" Target="https://www.genome.jp/entry/2.7.1.48" TargetMode="External"/><Relationship Id="rId1455" Type="http://schemas.openxmlformats.org/officeDocument/2006/relationships/hyperlink" Target="https://www.genome.jp/entry/3.2.1.163" TargetMode="External"/><Relationship Id="rId1662" Type="http://schemas.openxmlformats.org/officeDocument/2006/relationships/hyperlink" Target="https://www.genome.jp/entry/2.6.1.85" TargetMode="External"/><Relationship Id="rId257" Type="http://schemas.openxmlformats.org/officeDocument/2006/relationships/hyperlink" Target="https://www.genome.jp/entry/5.1.3.1" TargetMode="External"/><Relationship Id="rId464" Type="http://schemas.openxmlformats.org/officeDocument/2006/relationships/hyperlink" Target="https://www.genome.jp/entry/R01051" TargetMode="External"/><Relationship Id="rId1010" Type="http://schemas.openxmlformats.org/officeDocument/2006/relationships/hyperlink" Target="https://www.genome.jp/entry/R01775" TargetMode="External"/><Relationship Id="rId1094" Type="http://schemas.openxmlformats.org/officeDocument/2006/relationships/hyperlink" Target="https://www.genome.jp/entry/R01664" TargetMode="External"/><Relationship Id="rId1108" Type="http://schemas.openxmlformats.org/officeDocument/2006/relationships/hyperlink" Target="https://www.genome.jp/entry/R00146" TargetMode="External"/><Relationship Id="rId1315" Type="http://schemas.openxmlformats.org/officeDocument/2006/relationships/hyperlink" Target="https://www.genome.jp/entry/2.3.1.16" TargetMode="External"/><Relationship Id="rId117" Type="http://schemas.openxmlformats.org/officeDocument/2006/relationships/hyperlink" Target="https://www.genome.jp/entry/R08310" TargetMode="External"/><Relationship Id="rId671" Type="http://schemas.openxmlformats.org/officeDocument/2006/relationships/hyperlink" Target="https://www.genome.jp/entry/2.5.1.19" TargetMode="External"/><Relationship Id="rId769" Type="http://schemas.openxmlformats.org/officeDocument/2006/relationships/hyperlink" Target="https://www.genome.jp/entry/7.1.2.2" TargetMode="External"/><Relationship Id="rId976" Type="http://schemas.openxmlformats.org/officeDocument/2006/relationships/hyperlink" Target="https://www.genome.jp/entry/R00104" TargetMode="External"/><Relationship Id="rId1399" Type="http://schemas.openxmlformats.org/officeDocument/2006/relationships/hyperlink" Target="https://www.genome.jp/entry/R06253" TargetMode="External"/><Relationship Id="rId324" Type="http://schemas.openxmlformats.org/officeDocument/2006/relationships/hyperlink" Target="https://www.genome.jp/entry/R06102" TargetMode="External"/><Relationship Id="rId531" Type="http://schemas.openxmlformats.org/officeDocument/2006/relationships/hyperlink" Target="https://www.genome.jp/entry/R02018" TargetMode="External"/><Relationship Id="rId629" Type="http://schemas.openxmlformats.org/officeDocument/2006/relationships/hyperlink" Target="https://www.genome.jp/entry/R00379" TargetMode="External"/><Relationship Id="rId1161" Type="http://schemas.openxmlformats.org/officeDocument/2006/relationships/hyperlink" Target="https://www.genome.jp/entry/3.5.1.4" TargetMode="External"/><Relationship Id="rId1259" Type="http://schemas.openxmlformats.org/officeDocument/2006/relationships/hyperlink" Target="https://www.genome.jp/entry/R01821" TargetMode="External"/><Relationship Id="rId1466" Type="http://schemas.openxmlformats.org/officeDocument/2006/relationships/hyperlink" Target="https://www.genome.jp/entry/R07274" TargetMode="External"/><Relationship Id="rId836" Type="http://schemas.openxmlformats.org/officeDocument/2006/relationships/hyperlink" Target="https://www.genome.jp/entry/R03237" TargetMode="External"/><Relationship Id="rId1021" Type="http://schemas.openxmlformats.org/officeDocument/2006/relationships/hyperlink" Target="https://www.genome.jp/entry/2.7.4.6" TargetMode="External"/><Relationship Id="rId1119" Type="http://schemas.openxmlformats.org/officeDocument/2006/relationships/hyperlink" Target="https://www.genome.jp/entry/2.7.1.56" TargetMode="External"/><Relationship Id="rId1673" Type="http://schemas.openxmlformats.org/officeDocument/2006/relationships/hyperlink" Target="https://www.genome.jp/entry/1.1.1.6" TargetMode="External"/><Relationship Id="rId903" Type="http://schemas.openxmlformats.org/officeDocument/2006/relationships/hyperlink" Target="https://www.genome.jp/entry/R01909" TargetMode="External"/><Relationship Id="rId1326" Type="http://schemas.openxmlformats.org/officeDocument/2006/relationships/hyperlink" Target="https://www.genome.jp/entry/2.3.1.16" TargetMode="External"/><Relationship Id="rId1533" Type="http://schemas.openxmlformats.org/officeDocument/2006/relationships/hyperlink" Target="https://www.genome.jp/entry/2.7.7.7" TargetMode="External"/><Relationship Id="rId1740" Type="http://schemas.openxmlformats.org/officeDocument/2006/relationships/hyperlink" Target="https://www.genome.jp/entry/6.1.1.2" TargetMode="External"/><Relationship Id="rId32" Type="http://schemas.openxmlformats.org/officeDocument/2006/relationships/hyperlink" Target="https://www.genome.jp/entry/R04208" TargetMode="External"/><Relationship Id="rId1600" Type="http://schemas.openxmlformats.org/officeDocument/2006/relationships/hyperlink" Target="https://www.genome.jp/entry/R00443" TargetMode="External"/><Relationship Id="rId181" Type="http://schemas.openxmlformats.org/officeDocument/2006/relationships/hyperlink" Target="https://www.genome.jp/entry/R01067" TargetMode="External"/><Relationship Id="rId279" Type="http://schemas.openxmlformats.org/officeDocument/2006/relationships/hyperlink" Target="https://www.genome.jp/entry/2.3.1.266" TargetMode="External"/><Relationship Id="rId486" Type="http://schemas.openxmlformats.org/officeDocument/2006/relationships/hyperlink" Target="https://www.genome.jp/entry/R03256" TargetMode="External"/><Relationship Id="rId693" Type="http://schemas.openxmlformats.org/officeDocument/2006/relationships/hyperlink" Target="https://www.genome.jp/entry/1.17.4.1" TargetMode="External"/><Relationship Id="rId139" Type="http://schemas.openxmlformats.org/officeDocument/2006/relationships/hyperlink" Target="https://www.genome.jp/entry/R00442" TargetMode="External"/><Relationship Id="rId346" Type="http://schemas.openxmlformats.org/officeDocument/2006/relationships/hyperlink" Target="https://www.genome.jp/entry/4.2.1.17" TargetMode="External"/><Relationship Id="rId553" Type="http://schemas.openxmlformats.org/officeDocument/2006/relationships/hyperlink" Target="https://www.genome.jp/entry/R00483" TargetMode="External"/><Relationship Id="rId760" Type="http://schemas.openxmlformats.org/officeDocument/2006/relationships/hyperlink" Target="https://www.genome.jp/entry/2.4.1.1" TargetMode="External"/><Relationship Id="rId998" Type="http://schemas.openxmlformats.org/officeDocument/2006/relationships/hyperlink" Target="https://www.genome.jp/entry/3.5.4.16" TargetMode="External"/><Relationship Id="rId1183" Type="http://schemas.openxmlformats.org/officeDocument/2006/relationships/hyperlink" Target="https://www.genome.jp/entry/R02297" TargetMode="External"/><Relationship Id="rId1390" Type="http://schemas.openxmlformats.org/officeDocument/2006/relationships/hyperlink" Target="https://www.genome.jp/entry/R04634" TargetMode="External"/><Relationship Id="rId206" Type="http://schemas.openxmlformats.org/officeDocument/2006/relationships/hyperlink" Target="https://www.genome.jp/entry/R11029" TargetMode="External"/><Relationship Id="rId413" Type="http://schemas.openxmlformats.org/officeDocument/2006/relationships/hyperlink" Target="https://www.genome.jp/entry/2.3.1.179" TargetMode="External"/><Relationship Id="rId858" Type="http://schemas.openxmlformats.org/officeDocument/2006/relationships/hyperlink" Target="https://www.genome.jp/entry/3.6.4.12" TargetMode="External"/><Relationship Id="rId1043" Type="http://schemas.openxmlformats.org/officeDocument/2006/relationships/hyperlink" Target="https://www.genome.jp/entry/1.5.1.3" TargetMode="External"/><Relationship Id="rId1488" Type="http://schemas.openxmlformats.org/officeDocument/2006/relationships/hyperlink" Target="https://www.genome.jp/entry/R00332" TargetMode="External"/><Relationship Id="rId1695" Type="http://schemas.openxmlformats.org/officeDocument/2006/relationships/hyperlink" Target="https://www.genome.jp/entry/R02014" TargetMode="External"/><Relationship Id="rId620" Type="http://schemas.openxmlformats.org/officeDocument/2006/relationships/hyperlink" Target="https://www.genome.jp/entry/R00968" TargetMode="External"/><Relationship Id="rId718" Type="http://schemas.openxmlformats.org/officeDocument/2006/relationships/hyperlink" Target="https://www.genome.jp/entry/R02018" TargetMode="External"/><Relationship Id="rId925" Type="http://schemas.openxmlformats.org/officeDocument/2006/relationships/hyperlink" Target="https://www.genome.jp/entry/R00217" TargetMode="External"/><Relationship Id="rId1250" Type="http://schemas.openxmlformats.org/officeDocument/2006/relationships/hyperlink" Target="https://www.genome.jp/entry/R00513" TargetMode="External"/><Relationship Id="rId1348" Type="http://schemas.openxmlformats.org/officeDocument/2006/relationships/hyperlink" Target="https://www.genome.jp/entry/R05506" TargetMode="External"/><Relationship Id="rId1555" Type="http://schemas.openxmlformats.org/officeDocument/2006/relationships/hyperlink" Target="https://www.genome.jp/entry/R00260" TargetMode="External"/><Relationship Id="rId1110" Type="http://schemas.openxmlformats.org/officeDocument/2006/relationships/hyperlink" Target="https://www.genome.jp/entry/R09382" TargetMode="External"/><Relationship Id="rId1208" Type="http://schemas.openxmlformats.org/officeDocument/2006/relationships/hyperlink" Target="https://www.genome.jp/entry/6.3.5.13" TargetMode="External"/><Relationship Id="rId1415" Type="http://schemas.openxmlformats.org/officeDocument/2006/relationships/hyperlink" Target="https://www.genome.jp/entry/3.2.2.9" TargetMode="External"/><Relationship Id="rId54" Type="http://schemas.openxmlformats.org/officeDocument/2006/relationships/hyperlink" Target="https://www.genome.jp/entry/R12851" TargetMode="External"/><Relationship Id="rId1622" Type="http://schemas.openxmlformats.org/officeDocument/2006/relationships/hyperlink" Target="https://www.genome.jp/entry/3.1.21.3" TargetMode="External"/><Relationship Id="rId270" Type="http://schemas.openxmlformats.org/officeDocument/2006/relationships/hyperlink" Target="https://www.genome.jp/entry/2.7.7.6" TargetMode="External"/><Relationship Id="rId130" Type="http://schemas.openxmlformats.org/officeDocument/2006/relationships/hyperlink" Target="https://www.genome.jp/entry/2.7.7.6" TargetMode="External"/><Relationship Id="rId368" Type="http://schemas.openxmlformats.org/officeDocument/2006/relationships/hyperlink" Target="https://www.genome.jp/entry/R04204" TargetMode="External"/><Relationship Id="rId575" Type="http://schemas.openxmlformats.org/officeDocument/2006/relationships/hyperlink" Target="https://www.genome.jp/entry/R06174" TargetMode="External"/><Relationship Id="rId782" Type="http://schemas.openxmlformats.org/officeDocument/2006/relationships/hyperlink" Target="https://www.genome.jp/entry/R00660" TargetMode="External"/><Relationship Id="rId228" Type="http://schemas.openxmlformats.org/officeDocument/2006/relationships/hyperlink" Target="https://www.genome.jp/entry/R02301" TargetMode="External"/><Relationship Id="rId435" Type="http://schemas.openxmlformats.org/officeDocument/2006/relationships/hyperlink" Target="https://www.genome.jp/entry/R00742" TargetMode="External"/><Relationship Id="rId642" Type="http://schemas.openxmlformats.org/officeDocument/2006/relationships/hyperlink" Target="https://www.genome.jp/entry/R04771" TargetMode="External"/><Relationship Id="rId1065" Type="http://schemas.openxmlformats.org/officeDocument/2006/relationships/hyperlink" Target="https://www.genome.jp/entry/2.7.4.2" TargetMode="External"/><Relationship Id="rId1272" Type="http://schemas.openxmlformats.org/officeDocument/2006/relationships/hyperlink" Target="https://www.genome.jp/entry/R12812" TargetMode="External"/><Relationship Id="rId502" Type="http://schemas.openxmlformats.org/officeDocument/2006/relationships/hyperlink" Target="https://www.genome.jp/entry/6.1.1.10" TargetMode="External"/><Relationship Id="rId947" Type="http://schemas.openxmlformats.org/officeDocument/2006/relationships/hyperlink" Target="https://www.genome.jp/entry/R00945" TargetMode="External"/><Relationship Id="rId1132" Type="http://schemas.openxmlformats.org/officeDocument/2006/relationships/hyperlink" Target="https://www.genome.jp/entry/6.3.5.5" TargetMode="External"/><Relationship Id="rId1577" Type="http://schemas.openxmlformats.org/officeDocument/2006/relationships/hyperlink" Target="https://www.genome.jp/entry/4.1.2.13" TargetMode="External"/><Relationship Id="rId76" Type="http://schemas.openxmlformats.org/officeDocument/2006/relationships/hyperlink" Target="https://www.genome.jp/entry/R02246" TargetMode="External"/><Relationship Id="rId807" Type="http://schemas.openxmlformats.org/officeDocument/2006/relationships/hyperlink" Target="https://www.genome.jp/entry/R00115" TargetMode="External"/><Relationship Id="rId1437" Type="http://schemas.openxmlformats.org/officeDocument/2006/relationships/hyperlink" Target="https://www.genome.jp/entry/R04534" TargetMode="External"/><Relationship Id="rId1644" Type="http://schemas.openxmlformats.org/officeDocument/2006/relationships/hyperlink" Target="https://www.genome.jp/entry/2.7.7.7" TargetMode="External"/><Relationship Id="rId1504" Type="http://schemas.openxmlformats.org/officeDocument/2006/relationships/hyperlink" Target="https://www.genome.jp/entry/R03596" TargetMode="External"/><Relationship Id="rId1711" Type="http://schemas.openxmlformats.org/officeDocument/2006/relationships/hyperlink" Target="https://www.genome.jp/entry/2.8.1.13" TargetMode="External"/><Relationship Id="rId292" Type="http://schemas.openxmlformats.org/officeDocument/2006/relationships/hyperlink" Target="https://www.genome.jp/entry/2.7.7.7" TargetMode="External"/><Relationship Id="rId597" Type="http://schemas.openxmlformats.org/officeDocument/2006/relationships/hyperlink" Target="https://www.genome.jp/entry/R00375" TargetMode="External"/><Relationship Id="rId152" Type="http://schemas.openxmlformats.org/officeDocument/2006/relationships/hyperlink" Target="https://www.genome.jp/entry/R00444" TargetMode="External"/><Relationship Id="rId457" Type="http://schemas.openxmlformats.org/officeDocument/2006/relationships/hyperlink" Target="https://www.genome.jp/entry/6.4.1.2" TargetMode="External"/><Relationship Id="rId1087" Type="http://schemas.openxmlformats.org/officeDocument/2006/relationships/hyperlink" Target="https://www.genome.jp/entry/R00963" TargetMode="External"/><Relationship Id="rId1294" Type="http://schemas.openxmlformats.org/officeDocument/2006/relationships/hyperlink" Target="https://www.genome.jp/entry/R12904" TargetMode="External"/><Relationship Id="rId664" Type="http://schemas.openxmlformats.org/officeDocument/2006/relationships/hyperlink" Target="https://www.genome.jp/entry/R10283" TargetMode="External"/><Relationship Id="rId871" Type="http://schemas.openxmlformats.org/officeDocument/2006/relationships/hyperlink" Target="https://www.genome.jp/entry/R02971" TargetMode="External"/><Relationship Id="rId969" Type="http://schemas.openxmlformats.org/officeDocument/2006/relationships/hyperlink" Target="https://www.genome.jp/entry/1.7.1.7" TargetMode="External"/><Relationship Id="rId1599" Type="http://schemas.openxmlformats.org/officeDocument/2006/relationships/hyperlink" Target="https://www.genome.jp/entry/R00442" TargetMode="External"/><Relationship Id="rId317" Type="http://schemas.openxmlformats.org/officeDocument/2006/relationships/hyperlink" Target="https://www.genome.jp/entry/R02410" TargetMode="External"/><Relationship Id="rId524" Type="http://schemas.openxmlformats.org/officeDocument/2006/relationships/hyperlink" Target="https://www.genome.jp/entry/1.17.4.1" TargetMode="External"/><Relationship Id="rId731" Type="http://schemas.openxmlformats.org/officeDocument/2006/relationships/hyperlink" Target="https://www.genome.jp/entry/R06179" TargetMode="External"/><Relationship Id="rId1154" Type="http://schemas.openxmlformats.org/officeDocument/2006/relationships/hyperlink" Target="https://www.genome.jp/entry/3.5.2.3" TargetMode="External"/><Relationship Id="rId1361" Type="http://schemas.openxmlformats.org/officeDocument/2006/relationships/hyperlink" Target="https://www.genome.jp/entry/2.7.13.3" TargetMode="External"/><Relationship Id="rId1459" Type="http://schemas.openxmlformats.org/officeDocument/2006/relationships/hyperlink" Target="https://www.genome.jp/entry/2.5.1.47" TargetMode="External"/><Relationship Id="rId98" Type="http://schemas.openxmlformats.org/officeDocument/2006/relationships/hyperlink" Target="https://www.genome.jp/entry/1.1.1.1" TargetMode="External"/><Relationship Id="rId829" Type="http://schemas.openxmlformats.org/officeDocument/2006/relationships/hyperlink" Target="https://www.genome.jp/entry/R00756" TargetMode="External"/><Relationship Id="rId1014" Type="http://schemas.openxmlformats.org/officeDocument/2006/relationships/hyperlink" Target="https://www.genome.jp/entry/2.7.4.6" TargetMode="External"/><Relationship Id="rId1221" Type="http://schemas.openxmlformats.org/officeDocument/2006/relationships/hyperlink" Target="https://www.genome.jp/entry/R05030" TargetMode="External"/><Relationship Id="rId1666" Type="http://schemas.openxmlformats.org/officeDocument/2006/relationships/hyperlink" Target="https://www.genome.jp/entry/R01716" TargetMode="External"/><Relationship Id="rId1319" Type="http://schemas.openxmlformats.org/officeDocument/2006/relationships/hyperlink" Target="https://www.genome.jp/entry/2.3.1.16" TargetMode="External"/><Relationship Id="rId1526" Type="http://schemas.openxmlformats.org/officeDocument/2006/relationships/hyperlink" Target="https://www.genome.jp/entry/R06863" TargetMode="External"/><Relationship Id="rId1733" Type="http://schemas.openxmlformats.org/officeDocument/2006/relationships/hyperlink" Target="https://www.genome.jp/entry/R06131" TargetMode="External"/><Relationship Id="rId25" Type="http://schemas.openxmlformats.org/officeDocument/2006/relationships/hyperlink" Target="https://www.genome.jp/entry/6.3.2.6" TargetMode="External"/><Relationship Id="rId174" Type="http://schemas.openxmlformats.org/officeDocument/2006/relationships/hyperlink" Target="https://www.genome.jp/entry/2.2.1.1" TargetMode="External"/><Relationship Id="rId381" Type="http://schemas.openxmlformats.org/officeDocument/2006/relationships/hyperlink" Target="https://www.genome.jp/entry/R05595" TargetMode="External"/><Relationship Id="rId241" Type="http://schemas.openxmlformats.org/officeDocument/2006/relationships/hyperlink" Target="https://www.genome.jp/entry/R11896" TargetMode="External"/><Relationship Id="rId479" Type="http://schemas.openxmlformats.org/officeDocument/2006/relationships/hyperlink" Target="https://www.genome.jp/entry/R04393" TargetMode="External"/><Relationship Id="rId686" Type="http://schemas.openxmlformats.org/officeDocument/2006/relationships/hyperlink" Target="https://www.genome.jp/entry/3.5.4.4" TargetMode="External"/><Relationship Id="rId893" Type="http://schemas.openxmlformats.org/officeDocument/2006/relationships/hyperlink" Target="https://www.genome.jp/entry/6.3.2.5" TargetMode="External"/><Relationship Id="rId339" Type="http://schemas.openxmlformats.org/officeDocument/2006/relationships/hyperlink" Target="https://www.genome.jp/entry/5.1.1.1" TargetMode="External"/><Relationship Id="rId546" Type="http://schemas.openxmlformats.org/officeDocument/2006/relationships/hyperlink" Target="https://www.genome.jp/entry/2.7.2.2" TargetMode="External"/><Relationship Id="rId753" Type="http://schemas.openxmlformats.org/officeDocument/2006/relationships/hyperlink" Target="https://www.genome.jp/entry/2.7.7.27" TargetMode="External"/><Relationship Id="rId1176" Type="http://schemas.openxmlformats.org/officeDocument/2006/relationships/hyperlink" Target="https://www.genome.jp/entry/R08231" TargetMode="External"/><Relationship Id="rId1383" Type="http://schemas.openxmlformats.org/officeDocument/2006/relationships/hyperlink" Target="https://www.genome.jp/entry/3.2.1.18" TargetMode="External"/><Relationship Id="rId101" Type="http://schemas.openxmlformats.org/officeDocument/2006/relationships/hyperlink" Target="https://www.genome.jp/entry/R00623" TargetMode="External"/><Relationship Id="rId406" Type="http://schemas.openxmlformats.org/officeDocument/2006/relationships/hyperlink" Target="https://www.genome.jp/entry/R04566" TargetMode="External"/><Relationship Id="rId960" Type="http://schemas.openxmlformats.org/officeDocument/2006/relationships/hyperlink" Target="https://www.genome.jp/entry/R03966" TargetMode="External"/><Relationship Id="rId1036" Type="http://schemas.openxmlformats.org/officeDocument/2006/relationships/hyperlink" Target="https://www.genome.jp/entry/R02093" TargetMode="External"/><Relationship Id="rId1243" Type="http://schemas.openxmlformats.org/officeDocument/2006/relationships/hyperlink" Target="https://www.genome.jp/entry/2.5.1.75" TargetMode="External"/><Relationship Id="rId1590" Type="http://schemas.openxmlformats.org/officeDocument/2006/relationships/hyperlink" Target="https://www.genome.jp/entry/2.7.7.6" TargetMode="External"/><Relationship Id="rId1688" Type="http://schemas.openxmlformats.org/officeDocument/2006/relationships/hyperlink" Target="https://www.genome.jp/entry/R03293" TargetMode="External"/><Relationship Id="rId613" Type="http://schemas.openxmlformats.org/officeDocument/2006/relationships/hyperlink" Target="https://www.genome.jp/entry/2.7.1.48" TargetMode="External"/><Relationship Id="rId820" Type="http://schemas.openxmlformats.org/officeDocument/2006/relationships/hyperlink" Target="https://www.genome.jp/entry/2.7.7.7" TargetMode="External"/><Relationship Id="rId918" Type="http://schemas.openxmlformats.org/officeDocument/2006/relationships/hyperlink" Target="https://www.genome.jp/entry/R01323" TargetMode="External"/><Relationship Id="rId1450" Type="http://schemas.openxmlformats.org/officeDocument/2006/relationships/hyperlink" Target="https://www.genome.jp/entry/1.1.1.25" TargetMode="External"/><Relationship Id="rId1548" Type="http://schemas.openxmlformats.org/officeDocument/2006/relationships/hyperlink" Target="https://www.genome.jp/entry/R02786" TargetMode="External"/><Relationship Id="rId1103" Type="http://schemas.openxmlformats.org/officeDocument/2006/relationships/hyperlink" Target="https://www.genome.jp/entry/1.4.1.4" TargetMode="External"/><Relationship Id="rId1310" Type="http://schemas.openxmlformats.org/officeDocument/2006/relationships/hyperlink" Target="https://www.genome.jp/entry/7.3.2.1" TargetMode="External"/><Relationship Id="rId1408" Type="http://schemas.openxmlformats.org/officeDocument/2006/relationships/hyperlink" Target="https://www.genome.jp/entry/R04120" TargetMode="External"/><Relationship Id="rId47" Type="http://schemas.openxmlformats.org/officeDocument/2006/relationships/hyperlink" Target="https://www.genome.jp/entry/6.3.4.18" TargetMode="External"/><Relationship Id="rId1615" Type="http://schemas.openxmlformats.org/officeDocument/2006/relationships/hyperlink" Target="https://www.genome.jp/entry/R00955" TargetMode="External"/><Relationship Id="rId196" Type="http://schemas.openxmlformats.org/officeDocument/2006/relationships/hyperlink" Target="https://www.genome.jp/entry/2.7.7.7" TargetMode="External"/><Relationship Id="rId263" Type="http://schemas.openxmlformats.org/officeDocument/2006/relationships/hyperlink" Target="https://www.genome.jp/entry/6.3.1.2" TargetMode="External"/><Relationship Id="rId470" Type="http://schemas.openxmlformats.org/officeDocument/2006/relationships/hyperlink" Target="https://www.genome.jp/entry/2.7.1.144" TargetMode="External"/><Relationship Id="rId123" Type="http://schemas.openxmlformats.org/officeDocument/2006/relationships/hyperlink" Target="https://www.genome.jp/entry/R05086" TargetMode="External"/><Relationship Id="rId330" Type="http://schemas.openxmlformats.org/officeDocument/2006/relationships/hyperlink" Target="https://www.genome.jp/entry/R00760" TargetMode="External"/><Relationship Id="rId568" Type="http://schemas.openxmlformats.org/officeDocument/2006/relationships/hyperlink" Target="https://www.genome.jp/entry/2.4.1.227" TargetMode="External"/><Relationship Id="rId775" Type="http://schemas.openxmlformats.org/officeDocument/2006/relationships/hyperlink" Target="https://www.genome.jp/entry/7.1.2.2" TargetMode="External"/><Relationship Id="rId982" Type="http://schemas.openxmlformats.org/officeDocument/2006/relationships/hyperlink" Target="https://www.genome.jp/entry/R01049" TargetMode="External"/><Relationship Id="rId1198" Type="http://schemas.openxmlformats.org/officeDocument/2006/relationships/hyperlink" Target="https://www.genome.jp/entry/5.3.1.6" TargetMode="External"/><Relationship Id="rId428" Type="http://schemas.openxmlformats.org/officeDocument/2006/relationships/hyperlink" Target="https://www.genome.jp/entry/R04960" TargetMode="External"/><Relationship Id="rId635" Type="http://schemas.openxmlformats.org/officeDocument/2006/relationships/hyperlink" Target="https://www.genome.jp/entry/6.3.4.15" TargetMode="External"/><Relationship Id="rId842" Type="http://schemas.openxmlformats.org/officeDocument/2006/relationships/hyperlink" Target="https://www.genome.jp/entry/2.7.1.40" TargetMode="External"/><Relationship Id="rId1058" Type="http://schemas.openxmlformats.org/officeDocument/2006/relationships/hyperlink" Target="https://www.genome.jp/entry/R02101" TargetMode="External"/><Relationship Id="rId1265" Type="http://schemas.openxmlformats.org/officeDocument/2006/relationships/hyperlink" Target="https://www.genome.jp/entry/6.1.1.13" TargetMode="External"/><Relationship Id="rId1472" Type="http://schemas.openxmlformats.org/officeDocument/2006/relationships/hyperlink" Target="https://www.genome.jp/entry/R03940" TargetMode="External"/><Relationship Id="rId702" Type="http://schemas.openxmlformats.org/officeDocument/2006/relationships/hyperlink" Target="https://www.genome.jp/entry/R02018" TargetMode="External"/><Relationship Id="rId1125" Type="http://schemas.openxmlformats.org/officeDocument/2006/relationships/hyperlink" Target="https://www.genome.jp/entry/1.1.1.169" TargetMode="External"/><Relationship Id="rId1332" Type="http://schemas.openxmlformats.org/officeDocument/2006/relationships/hyperlink" Target="https://www.genome.jp/entry/2.3.1.16" TargetMode="External"/><Relationship Id="rId69" Type="http://schemas.openxmlformats.org/officeDocument/2006/relationships/hyperlink" Target="https://www.genome.jp/entry/R08281" TargetMode="External"/><Relationship Id="rId1637" Type="http://schemas.openxmlformats.org/officeDocument/2006/relationships/hyperlink" Target="https://www.genome.jp/entry/3.5.1.88" TargetMode="External"/><Relationship Id="rId1704" Type="http://schemas.openxmlformats.org/officeDocument/2006/relationships/hyperlink" Target="https://www.genome.jp/entry/6.1.1.12" TargetMode="External"/><Relationship Id="rId285" Type="http://schemas.openxmlformats.org/officeDocument/2006/relationships/hyperlink" Target="https://www.genome.jp/entry/2.3.1.54" TargetMode="External"/><Relationship Id="rId492" Type="http://schemas.openxmlformats.org/officeDocument/2006/relationships/hyperlink" Target="https://www.genome.jp/entry/5.4.99.62" TargetMode="External"/><Relationship Id="rId797" Type="http://schemas.openxmlformats.org/officeDocument/2006/relationships/hyperlink" Target="https://www.genome.jp/entry/2.7.4.25" TargetMode="External"/><Relationship Id="rId145" Type="http://schemas.openxmlformats.org/officeDocument/2006/relationships/hyperlink" Target="https://www.genome.jp/entry/R02918" TargetMode="External"/><Relationship Id="rId352" Type="http://schemas.openxmlformats.org/officeDocument/2006/relationships/hyperlink" Target="https://www.genome.jp/entry/4.2.1.17" TargetMode="External"/><Relationship Id="rId1287" Type="http://schemas.openxmlformats.org/officeDocument/2006/relationships/hyperlink" Target="https://www.genome.jp/entry/R02718" TargetMode="External"/><Relationship Id="rId212" Type="http://schemas.openxmlformats.org/officeDocument/2006/relationships/hyperlink" Target="https://www.genome.jp/entry/R00289" TargetMode="External"/><Relationship Id="rId657" Type="http://schemas.openxmlformats.org/officeDocument/2006/relationships/hyperlink" Target="https://www.genome.jp/entry/4.1.2.14" TargetMode="External"/><Relationship Id="rId864" Type="http://schemas.openxmlformats.org/officeDocument/2006/relationships/hyperlink" Target="https://www.genome.jp/entry/7.3.2.1" TargetMode="External"/><Relationship Id="rId1494" Type="http://schemas.openxmlformats.org/officeDocument/2006/relationships/hyperlink" Target="https://www.genome.jp/entry/6.3.1.5" TargetMode="External"/><Relationship Id="rId517" Type="http://schemas.openxmlformats.org/officeDocument/2006/relationships/hyperlink" Target="https://www.genome.jp/entry/R02024" TargetMode="External"/><Relationship Id="rId724" Type="http://schemas.openxmlformats.org/officeDocument/2006/relationships/hyperlink" Target="https://www.genome.jp/entry/2.7.3.9" TargetMode="External"/><Relationship Id="rId931" Type="http://schemas.openxmlformats.org/officeDocument/2006/relationships/hyperlink" Target="https://www.genome.jp/entry/6.3.5.2" TargetMode="External"/><Relationship Id="rId1147" Type="http://schemas.openxmlformats.org/officeDocument/2006/relationships/hyperlink" Target="https://www.genome.jp/entry/5.6.2.2" TargetMode="External"/><Relationship Id="rId1354" Type="http://schemas.openxmlformats.org/officeDocument/2006/relationships/hyperlink" Target="https://www.genome.jp/entry/R07953" TargetMode="External"/><Relationship Id="rId1561" Type="http://schemas.openxmlformats.org/officeDocument/2006/relationships/hyperlink" Target="https://www.genome.jp/entry/3.6.1.41" TargetMode="External"/><Relationship Id="rId60" Type="http://schemas.openxmlformats.org/officeDocument/2006/relationships/hyperlink" Target="https://www.genome.jp/entry/R00754" TargetMode="External"/><Relationship Id="rId1007" Type="http://schemas.openxmlformats.org/officeDocument/2006/relationships/hyperlink" Target="https://www.genome.jp/entry/1.1.1.3" TargetMode="External"/><Relationship Id="rId1214" Type="http://schemas.openxmlformats.org/officeDocument/2006/relationships/hyperlink" Target="https://www.genome.jp/entry/R12330" TargetMode="External"/><Relationship Id="rId1421" Type="http://schemas.openxmlformats.org/officeDocument/2006/relationships/hyperlink" Target="https://www.genome.jp/entry/R00416" TargetMode="External"/><Relationship Id="rId1659" Type="http://schemas.openxmlformats.org/officeDocument/2006/relationships/hyperlink" Target="https://www.genome.jp/entry/2.7.6.5" TargetMode="External"/><Relationship Id="rId1519" Type="http://schemas.openxmlformats.org/officeDocument/2006/relationships/hyperlink" Target="https://www.genome.jp/entry/2.2.1.1" TargetMode="External"/><Relationship Id="rId1726" Type="http://schemas.openxmlformats.org/officeDocument/2006/relationships/hyperlink" Target="https://www.genome.jp/entry/4.3.1.17" TargetMode="External"/><Relationship Id="rId18" Type="http://schemas.openxmlformats.org/officeDocument/2006/relationships/hyperlink" Target="https://www.genome.jp/entry/R08237" TargetMode="External"/><Relationship Id="rId167" Type="http://schemas.openxmlformats.org/officeDocument/2006/relationships/hyperlink" Target="https://www.genome.jp/entry/R00442" TargetMode="External"/><Relationship Id="rId374" Type="http://schemas.openxmlformats.org/officeDocument/2006/relationships/hyperlink" Target="https://www.genome.jp/entry/R04749" TargetMode="External"/><Relationship Id="rId581" Type="http://schemas.openxmlformats.org/officeDocument/2006/relationships/hyperlink" Target="https://www.genome.jp/entry/R01867" TargetMode="External"/><Relationship Id="rId234" Type="http://schemas.openxmlformats.org/officeDocument/2006/relationships/hyperlink" Target="https://www.genome.jp/entry/R00842" TargetMode="External"/><Relationship Id="rId679" Type="http://schemas.openxmlformats.org/officeDocument/2006/relationships/hyperlink" Target="https://www.genome.jp/entry/R00379" TargetMode="External"/><Relationship Id="rId886" Type="http://schemas.openxmlformats.org/officeDocument/2006/relationships/hyperlink" Target="https://www.genome.jp/entry/3.5.4.5" TargetMode="External"/><Relationship Id="rId2" Type="http://schemas.openxmlformats.org/officeDocument/2006/relationships/hyperlink" Target="https://www.genome.jp/entry/2.7.7.7" TargetMode="External"/><Relationship Id="rId441" Type="http://schemas.openxmlformats.org/officeDocument/2006/relationships/hyperlink" Target="https://www.genome.jp/entry/4.2.1.59" TargetMode="External"/><Relationship Id="rId539" Type="http://schemas.openxmlformats.org/officeDocument/2006/relationships/hyperlink" Target="https://www.genome.jp/entry/2.7.13.3" TargetMode="External"/><Relationship Id="rId746" Type="http://schemas.openxmlformats.org/officeDocument/2006/relationships/hyperlink" Target="https://www.genome.jp/entry/6.5.1.2" TargetMode="External"/><Relationship Id="rId1071" Type="http://schemas.openxmlformats.org/officeDocument/2006/relationships/hyperlink" Target="https://www.genome.jp/entry/3.1.3.5" TargetMode="External"/><Relationship Id="rId1169" Type="http://schemas.openxmlformats.org/officeDocument/2006/relationships/hyperlink" Target="https://www.genome.jp/entry/R03180" TargetMode="External"/><Relationship Id="rId1376" Type="http://schemas.openxmlformats.org/officeDocument/2006/relationships/hyperlink" Target="https://www.genome.jp/entry/3.2.1.18" TargetMode="External"/><Relationship Id="rId1583" Type="http://schemas.openxmlformats.org/officeDocument/2006/relationships/hyperlink" Target="https://www.genome.jp/entry/R02568" TargetMode="External"/><Relationship Id="rId301" Type="http://schemas.openxmlformats.org/officeDocument/2006/relationships/hyperlink" Target="https://www.genome.jp/entry/3.4.21.89" TargetMode="External"/><Relationship Id="rId953" Type="http://schemas.openxmlformats.org/officeDocument/2006/relationships/hyperlink" Target="https://www.genome.jp/entry/2.7.1.21" TargetMode="External"/><Relationship Id="rId1029" Type="http://schemas.openxmlformats.org/officeDocument/2006/relationships/hyperlink" Target="https://www.genome.jp/entry/R00139" TargetMode="External"/><Relationship Id="rId1236" Type="http://schemas.openxmlformats.org/officeDocument/2006/relationships/hyperlink" Target="https://www.genome.jp/entry/2.1.1.217" TargetMode="External"/><Relationship Id="rId82" Type="http://schemas.openxmlformats.org/officeDocument/2006/relationships/hyperlink" Target="https://www.genome.jp/entry/1.1.1.1" TargetMode="External"/><Relationship Id="rId606" Type="http://schemas.openxmlformats.org/officeDocument/2006/relationships/hyperlink" Target="https://www.genome.jp/entry/3.5.99.6" TargetMode="External"/><Relationship Id="rId813" Type="http://schemas.openxmlformats.org/officeDocument/2006/relationships/hyperlink" Target="https://www.genome.jp/entry/2.1.1.72" TargetMode="External"/><Relationship Id="rId1443" Type="http://schemas.openxmlformats.org/officeDocument/2006/relationships/hyperlink" Target="https://www.genome.jp/entry/R07763" TargetMode="External"/><Relationship Id="rId1650" Type="http://schemas.openxmlformats.org/officeDocument/2006/relationships/hyperlink" Target="https://www.genome.jp/entry/R00377" TargetMode="External"/><Relationship Id="rId1303" Type="http://schemas.openxmlformats.org/officeDocument/2006/relationships/hyperlink" Target="https://www.genome.jp/entry/3.1.3.23" TargetMode="External"/><Relationship Id="rId1510" Type="http://schemas.openxmlformats.org/officeDocument/2006/relationships/hyperlink" Target="https://www.genome.jp/entry/2.1.1.199" TargetMode="External"/><Relationship Id="rId1608" Type="http://schemas.openxmlformats.org/officeDocument/2006/relationships/hyperlink" Target="https://www.genome.jp/entry/5.4.99.12" TargetMode="External"/><Relationship Id="rId189" Type="http://schemas.openxmlformats.org/officeDocument/2006/relationships/hyperlink" Target="https://www.genome.jp/entry/R03657" TargetMode="External"/><Relationship Id="rId396" Type="http://schemas.openxmlformats.org/officeDocument/2006/relationships/hyperlink" Target="https://www.genome.jp/entry/1.1.1.100" TargetMode="External"/><Relationship Id="rId256" Type="http://schemas.openxmlformats.org/officeDocument/2006/relationships/hyperlink" Target="https://www.genome.jp/entry/R10716" TargetMode="External"/><Relationship Id="rId463" Type="http://schemas.openxmlformats.org/officeDocument/2006/relationships/hyperlink" Target="https://www.genome.jp/entry/2.7.1.15" TargetMode="External"/><Relationship Id="rId670" Type="http://schemas.openxmlformats.org/officeDocument/2006/relationships/hyperlink" Target="https://www.genome.jp/entry/R05606" TargetMode="External"/><Relationship Id="rId1093" Type="http://schemas.openxmlformats.org/officeDocument/2006/relationships/hyperlink" Target="https://www.genome.jp/entry/R01569" TargetMode="External"/><Relationship Id="rId116" Type="http://schemas.openxmlformats.org/officeDocument/2006/relationships/hyperlink" Target="https://www.genome.jp/entry/R00624" TargetMode="External"/><Relationship Id="rId323" Type="http://schemas.openxmlformats.org/officeDocument/2006/relationships/hyperlink" Target="https://www.genome.jp/entry/R06101" TargetMode="External"/><Relationship Id="rId530" Type="http://schemas.openxmlformats.org/officeDocument/2006/relationships/hyperlink" Target="https://www.genome.jp/entry/R02017" TargetMode="External"/><Relationship Id="rId768" Type="http://schemas.openxmlformats.org/officeDocument/2006/relationships/hyperlink" Target="https://www.genome.jp/entry/R00086" TargetMode="External"/><Relationship Id="rId975" Type="http://schemas.openxmlformats.org/officeDocument/2006/relationships/hyperlink" Target="https://www.genome.jp/entry/2.7.1.23" TargetMode="External"/><Relationship Id="rId1160" Type="http://schemas.openxmlformats.org/officeDocument/2006/relationships/hyperlink" Target="https://www.genome.jp/entry/3.5.1.4" TargetMode="External"/><Relationship Id="rId1398" Type="http://schemas.openxmlformats.org/officeDocument/2006/relationships/hyperlink" Target="https://www.genome.jp/entry/R06147" TargetMode="External"/><Relationship Id="rId628" Type="http://schemas.openxmlformats.org/officeDocument/2006/relationships/hyperlink" Target="https://www.genome.jp/entry/R00375" TargetMode="External"/><Relationship Id="rId835" Type="http://schemas.openxmlformats.org/officeDocument/2006/relationships/hyperlink" Target="https://www.genome.jp/entry/R03236" TargetMode="External"/><Relationship Id="rId1258" Type="http://schemas.openxmlformats.org/officeDocument/2006/relationships/hyperlink" Target="https://www.genome.jp/entry/2.4.1.1" TargetMode="External"/><Relationship Id="rId1465" Type="http://schemas.openxmlformats.org/officeDocument/2006/relationships/hyperlink" Target="https://www.genome.jp/entry/R04859" TargetMode="External"/><Relationship Id="rId1672" Type="http://schemas.openxmlformats.org/officeDocument/2006/relationships/hyperlink" Target="https://www.genome.jp/entry/1.1.1.6" TargetMode="External"/><Relationship Id="rId1020" Type="http://schemas.openxmlformats.org/officeDocument/2006/relationships/hyperlink" Target="https://www.genome.jp/entry/2.7.4.6" TargetMode="External"/><Relationship Id="rId1118" Type="http://schemas.openxmlformats.org/officeDocument/2006/relationships/hyperlink" Target="https://www.genome.jp/entry/R03232" TargetMode="External"/><Relationship Id="rId1325" Type="http://schemas.openxmlformats.org/officeDocument/2006/relationships/hyperlink" Target="https://www.genome.jp/entry/2.3.1.16" TargetMode="External"/><Relationship Id="rId1532" Type="http://schemas.openxmlformats.org/officeDocument/2006/relationships/hyperlink" Target="https://www.genome.jp/entry/2.7.7.7" TargetMode="External"/><Relationship Id="rId902" Type="http://schemas.openxmlformats.org/officeDocument/2006/relationships/hyperlink" Target="https://www.genome.jp/entry/R00174" TargetMode="External"/><Relationship Id="rId31" Type="http://schemas.openxmlformats.org/officeDocument/2006/relationships/hyperlink" Target="https://www.genome.jp/entry/6.3.3.1" TargetMode="External"/><Relationship Id="rId180" Type="http://schemas.openxmlformats.org/officeDocument/2006/relationships/hyperlink" Target="https://www.genome.jp/entry/R01641" TargetMode="External"/><Relationship Id="rId278" Type="http://schemas.openxmlformats.org/officeDocument/2006/relationships/hyperlink" Target="https://www.genome.jp/entry/R10648" TargetMode="External"/><Relationship Id="rId485" Type="http://schemas.openxmlformats.org/officeDocument/2006/relationships/hyperlink" Target="https://www.genome.jp/entry/R03255" TargetMode="External"/><Relationship Id="rId692" Type="http://schemas.openxmlformats.org/officeDocument/2006/relationships/hyperlink" Target="https://www.genome.jp/entry/1.17.4.1" TargetMode="External"/><Relationship Id="rId138" Type="http://schemas.openxmlformats.org/officeDocument/2006/relationships/hyperlink" Target="https://www.genome.jp/entry/R00441" TargetMode="External"/><Relationship Id="rId345" Type="http://schemas.openxmlformats.org/officeDocument/2006/relationships/hyperlink" Target="https://www.genome.jp/entry/4.2.1.17" TargetMode="External"/><Relationship Id="rId552" Type="http://schemas.openxmlformats.org/officeDocument/2006/relationships/hyperlink" Target="https://www.genome.jp/entry/6.3.1.1" TargetMode="External"/><Relationship Id="rId997" Type="http://schemas.openxmlformats.org/officeDocument/2006/relationships/hyperlink" Target="https://www.genome.jp/entry/3.5.4.16" TargetMode="External"/><Relationship Id="rId1182" Type="http://schemas.openxmlformats.org/officeDocument/2006/relationships/hyperlink" Target="https://www.genome.jp/entry/R02147" TargetMode="External"/><Relationship Id="rId205" Type="http://schemas.openxmlformats.org/officeDocument/2006/relationships/hyperlink" Target="https://www.genome.jp/entry/R00378" TargetMode="External"/><Relationship Id="rId412" Type="http://schemas.openxmlformats.org/officeDocument/2006/relationships/hyperlink" Target="https://www.genome.jp/entry/2.3.1.179" TargetMode="External"/><Relationship Id="rId857" Type="http://schemas.openxmlformats.org/officeDocument/2006/relationships/hyperlink" Target="https://www.genome.jp/entry/R00768" TargetMode="External"/><Relationship Id="rId1042" Type="http://schemas.openxmlformats.org/officeDocument/2006/relationships/hyperlink" Target="https://www.genome.jp/entry/R11895" TargetMode="External"/><Relationship Id="rId1487" Type="http://schemas.openxmlformats.org/officeDocument/2006/relationships/hyperlink" Target="https://www.genome.jp/entry/2.7.4.8" TargetMode="External"/><Relationship Id="rId1694" Type="http://schemas.openxmlformats.org/officeDocument/2006/relationships/hyperlink" Target="https://www.genome.jp/entry/R04315" TargetMode="External"/><Relationship Id="rId717" Type="http://schemas.openxmlformats.org/officeDocument/2006/relationships/hyperlink" Target="https://www.genome.jp/entry/R02017" TargetMode="External"/><Relationship Id="rId924" Type="http://schemas.openxmlformats.org/officeDocument/2006/relationships/hyperlink" Target="https://www.genome.jp/entry/4.1.1.112" TargetMode="External"/><Relationship Id="rId1347" Type="http://schemas.openxmlformats.org/officeDocument/2006/relationships/hyperlink" Target="https://www.genome.jp/entry/R04747" TargetMode="External"/><Relationship Id="rId1554" Type="http://schemas.openxmlformats.org/officeDocument/2006/relationships/hyperlink" Target="https://www.genome.jp/entry/5.1.1.3" TargetMode="External"/><Relationship Id="rId53" Type="http://schemas.openxmlformats.org/officeDocument/2006/relationships/hyperlink" Target="https://www.genome.jp/entry/R04559" TargetMode="External"/><Relationship Id="rId1207" Type="http://schemas.openxmlformats.org/officeDocument/2006/relationships/hyperlink" Target="https://www.genome.jp/entry/R10342" TargetMode="External"/><Relationship Id="rId1414" Type="http://schemas.openxmlformats.org/officeDocument/2006/relationships/hyperlink" Target="https://www.genome.jp/entry/3.2.2.9" TargetMode="External"/><Relationship Id="rId1621" Type="http://schemas.openxmlformats.org/officeDocument/2006/relationships/hyperlink" Target="https://www.genome.jp/entry/R02984" TargetMode="External"/><Relationship Id="rId1719" Type="http://schemas.openxmlformats.org/officeDocument/2006/relationships/hyperlink" Target="https://www.genome.jp/entry/R00590" TargetMode="External"/><Relationship Id="rId367" Type="http://schemas.openxmlformats.org/officeDocument/2006/relationships/hyperlink" Target="https://www.genome.jp/entry/R04170" TargetMode="External"/><Relationship Id="rId574" Type="http://schemas.openxmlformats.org/officeDocument/2006/relationships/hyperlink" Target="https://www.genome.jp/entry/R06172" TargetMode="External"/><Relationship Id="rId227" Type="http://schemas.openxmlformats.org/officeDocument/2006/relationships/hyperlink" Target="https://www.genome.jp/entry/6.3.3.2" TargetMode="External"/><Relationship Id="rId781" Type="http://schemas.openxmlformats.org/officeDocument/2006/relationships/hyperlink" Target="https://www.genome.jp/entry/2.5.1.7" TargetMode="External"/><Relationship Id="rId879" Type="http://schemas.openxmlformats.org/officeDocument/2006/relationships/hyperlink" Target="https://www.genome.jp/entry/R01876" TargetMode="External"/><Relationship Id="rId434" Type="http://schemas.openxmlformats.org/officeDocument/2006/relationships/hyperlink" Target="https://www.genome.jp/entry/6.4.1.2" TargetMode="External"/><Relationship Id="rId641" Type="http://schemas.openxmlformats.org/officeDocument/2006/relationships/hyperlink" Target="https://www.genome.jp/entry/2.5.1.6" TargetMode="External"/><Relationship Id="rId739" Type="http://schemas.openxmlformats.org/officeDocument/2006/relationships/hyperlink" Target="https://www.genome.jp/entry/R04519" TargetMode="External"/><Relationship Id="rId1064" Type="http://schemas.openxmlformats.org/officeDocument/2006/relationships/hyperlink" Target="https://www.genome.jp/entry/R01123" TargetMode="External"/><Relationship Id="rId1271" Type="http://schemas.openxmlformats.org/officeDocument/2006/relationships/hyperlink" Target="https://www.genome.jp/entry/R02718" TargetMode="External"/><Relationship Id="rId1369" Type="http://schemas.openxmlformats.org/officeDocument/2006/relationships/hyperlink" Target="https://www.genome.jp/entry/3.2.1.1" TargetMode="External"/><Relationship Id="rId1576" Type="http://schemas.openxmlformats.org/officeDocument/2006/relationships/hyperlink" Target="https://www.genome.jp/entry/4.1.2.13" TargetMode="External"/><Relationship Id="rId501" Type="http://schemas.openxmlformats.org/officeDocument/2006/relationships/hyperlink" Target="https://www.genome.jp/entry/6.1.1.10" TargetMode="External"/><Relationship Id="rId946" Type="http://schemas.openxmlformats.org/officeDocument/2006/relationships/hyperlink" Target="https://www.genome.jp/entry/2.1.2.1" TargetMode="External"/><Relationship Id="rId1131" Type="http://schemas.openxmlformats.org/officeDocument/2006/relationships/hyperlink" Target="https://www.genome.jp/entry/6.3.5.5" TargetMode="External"/><Relationship Id="rId1229" Type="http://schemas.openxmlformats.org/officeDocument/2006/relationships/hyperlink" Target="https://www.genome.jp/entry/R03815" TargetMode="External"/><Relationship Id="rId75" Type="http://schemas.openxmlformats.org/officeDocument/2006/relationships/hyperlink" Target="https://www.genome.jp/entry/R08310" TargetMode="External"/><Relationship Id="rId806" Type="http://schemas.openxmlformats.org/officeDocument/2006/relationships/hyperlink" Target="https://www.genome.jp/entry/1.8.1.7" TargetMode="External"/><Relationship Id="rId1436" Type="http://schemas.openxmlformats.org/officeDocument/2006/relationships/hyperlink" Target="https://www.genome.jp/entry/R04533" TargetMode="External"/><Relationship Id="rId1643" Type="http://schemas.openxmlformats.org/officeDocument/2006/relationships/hyperlink" Target="https://www.genome.jp/entry/2.7.7.7" TargetMode="External"/><Relationship Id="rId1503" Type="http://schemas.openxmlformats.org/officeDocument/2006/relationships/hyperlink" Target="https://www.genome.jp/entry/R00900" TargetMode="External"/><Relationship Id="rId1710" Type="http://schemas.openxmlformats.org/officeDocument/2006/relationships/hyperlink" Target="https://www.genome.jp/entry/3.6.4.12" TargetMode="External"/><Relationship Id="rId291" Type="http://schemas.openxmlformats.org/officeDocument/2006/relationships/hyperlink" Target="https://www.genome.jp/entry/2.7.7.7" TargetMode="External"/><Relationship Id="rId151" Type="http://schemas.openxmlformats.org/officeDocument/2006/relationships/hyperlink" Target="https://www.genome.jp/entry/2.7.7.6" TargetMode="External"/><Relationship Id="rId389" Type="http://schemas.openxmlformats.org/officeDocument/2006/relationships/hyperlink" Target="https://www.genome.jp/entry/2.3.1.39" TargetMode="External"/><Relationship Id="rId596" Type="http://schemas.openxmlformats.org/officeDocument/2006/relationships/hyperlink" Target="https://www.genome.jp/entry/R00379" TargetMode="External"/><Relationship Id="rId249" Type="http://schemas.openxmlformats.org/officeDocument/2006/relationships/hyperlink" Target="https://www.genome.jp/entry/5.6.2.1" TargetMode="External"/><Relationship Id="rId456" Type="http://schemas.openxmlformats.org/officeDocument/2006/relationships/hyperlink" Target="https://www.genome.jp/entry/R00742" TargetMode="External"/><Relationship Id="rId663" Type="http://schemas.openxmlformats.org/officeDocument/2006/relationships/hyperlink" Target="https://www.genome.jp/entry/R00471" TargetMode="External"/><Relationship Id="rId870" Type="http://schemas.openxmlformats.org/officeDocument/2006/relationships/hyperlink" Target="https://www.genome.jp/entry/R03018" TargetMode="External"/><Relationship Id="rId1086" Type="http://schemas.openxmlformats.org/officeDocument/2006/relationships/hyperlink" Target="https://www.genome.jp/entry/R00511" TargetMode="External"/><Relationship Id="rId1293" Type="http://schemas.openxmlformats.org/officeDocument/2006/relationships/hyperlink" Target="https://www.genome.jp/entry/R12875" TargetMode="External"/><Relationship Id="rId109" Type="http://schemas.openxmlformats.org/officeDocument/2006/relationships/hyperlink" Target="https://www.genome.jp/entry/R06917" TargetMode="External"/><Relationship Id="rId316" Type="http://schemas.openxmlformats.org/officeDocument/2006/relationships/hyperlink" Target="https://www.genome.jp/entry/R00802" TargetMode="External"/><Relationship Id="rId523" Type="http://schemas.openxmlformats.org/officeDocument/2006/relationships/hyperlink" Target="https://www.genome.jp/entry/1.17.4.1" TargetMode="External"/><Relationship Id="rId968" Type="http://schemas.openxmlformats.org/officeDocument/2006/relationships/hyperlink" Target="https://www.genome.jp/entry/R01229" TargetMode="External"/><Relationship Id="rId1153" Type="http://schemas.openxmlformats.org/officeDocument/2006/relationships/hyperlink" Target="https://www.genome.jp/entry/R09380" TargetMode="External"/><Relationship Id="rId1598" Type="http://schemas.openxmlformats.org/officeDocument/2006/relationships/hyperlink" Target="https://www.genome.jp/entry/R00441" TargetMode="External"/><Relationship Id="rId97" Type="http://schemas.openxmlformats.org/officeDocument/2006/relationships/hyperlink" Target="https://www.genome.jp/entry/1.1.1.1" TargetMode="External"/><Relationship Id="rId730" Type="http://schemas.openxmlformats.org/officeDocument/2006/relationships/hyperlink" Target="https://www.genome.jp/entry/R06178" TargetMode="External"/><Relationship Id="rId828" Type="http://schemas.openxmlformats.org/officeDocument/2006/relationships/hyperlink" Target="https://www.genome.jp/entry/R04779" TargetMode="External"/><Relationship Id="rId1013" Type="http://schemas.openxmlformats.org/officeDocument/2006/relationships/hyperlink" Target="https://www.genome.jp/entry/2.7.4.6" TargetMode="External"/><Relationship Id="rId1360" Type="http://schemas.openxmlformats.org/officeDocument/2006/relationships/hyperlink" Target="https://www.genome.jp/entry/R13467" TargetMode="External"/><Relationship Id="rId1458" Type="http://schemas.openxmlformats.org/officeDocument/2006/relationships/hyperlink" Target="https://www.genome.jp/entry/2.1.1.190" TargetMode="External"/><Relationship Id="rId1665" Type="http://schemas.openxmlformats.org/officeDocument/2006/relationships/hyperlink" Target="https://www.genome.jp/entry/R00256" TargetMode="External"/><Relationship Id="rId1220" Type="http://schemas.openxmlformats.org/officeDocument/2006/relationships/hyperlink" Target="https://www.genome.jp/entry/R00256" TargetMode="External"/><Relationship Id="rId1318" Type="http://schemas.openxmlformats.org/officeDocument/2006/relationships/hyperlink" Target="https://www.genome.jp/entry/2.3.1.16" TargetMode="External"/><Relationship Id="rId1525" Type="http://schemas.openxmlformats.org/officeDocument/2006/relationships/hyperlink" Target="https://www.genome.jp/entry/R06861" TargetMode="External"/><Relationship Id="rId1732" Type="http://schemas.openxmlformats.org/officeDocument/2006/relationships/hyperlink" Target="https://www.genome.jp/entry/R11100" TargetMode="External"/><Relationship Id="rId24" Type="http://schemas.openxmlformats.org/officeDocument/2006/relationships/hyperlink" Target="https://www.genome.jp/entry/R12240" TargetMode="External"/><Relationship Id="rId173" Type="http://schemas.openxmlformats.org/officeDocument/2006/relationships/hyperlink" Target="https://www.genome.jp/entry/R01353" TargetMode="External"/><Relationship Id="rId380" Type="http://schemas.openxmlformats.org/officeDocument/2006/relationships/hyperlink" Target="https://www.genome.jp/entry/R04137" TargetMode="External"/><Relationship Id="rId240" Type="http://schemas.openxmlformats.org/officeDocument/2006/relationships/hyperlink" Target="https://www.genome.jp/entry/R02100" TargetMode="External"/><Relationship Id="rId478" Type="http://schemas.openxmlformats.org/officeDocument/2006/relationships/hyperlink" Target="https://www.genome.jp/entry/2.7.1.207" TargetMode="External"/><Relationship Id="rId685" Type="http://schemas.openxmlformats.org/officeDocument/2006/relationships/hyperlink" Target="https://www.genome.jp/entry/R01069" TargetMode="External"/><Relationship Id="rId892" Type="http://schemas.openxmlformats.org/officeDocument/2006/relationships/hyperlink" Target="https://www.genome.jp/entry/R03269" TargetMode="External"/><Relationship Id="rId100" Type="http://schemas.openxmlformats.org/officeDocument/2006/relationships/hyperlink" Target="https://www.genome.jp/entry/1.1.1.1" TargetMode="External"/><Relationship Id="rId338" Type="http://schemas.openxmlformats.org/officeDocument/2006/relationships/hyperlink" Target="https://www.genome.jp/entry/R01625" TargetMode="External"/><Relationship Id="rId545" Type="http://schemas.openxmlformats.org/officeDocument/2006/relationships/hyperlink" Target="https://www.genome.jp/entry/R01398" TargetMode="External"/><Relationship Id="rId752" Type="http://schemas.openxmlformats.org/officeDocument/2006/relationships/hyperlink" Target="https://www.genome.jp/entry/R00948" TargetMode="External"/><Relationship Id="rId1175" Type="http://schemas.openxmlformats.org/officeDocument/2006/relationships/hyperlink" Target="https://www.genome.jp/entry/R01870" TargetMode="External"/><Relationship Id="rId1382" Type="http://schemas.openxmlformats.org/officeDocument/2006/relationships/hyperlink" Target="https://www.genome.jp/entry/3.2.1.18" TargetMode="External"/><Relationship Id="rId405" Type="http://schemas.openxmlformats.org/officeDocument/2006/relationships/hyperlink" Target="https://www.genome.jp/entry/R04543" TargetMode="External"/><Relationship Id="rId612" Type="http://schemas.openxmlformats.org/officeDocument/2006/relationships/hyperlink" Target="https://www.genome.jp/entry/2.7.1.48" TargetMode="External"/><Relationship Id="rId1035" Type="http://schemas.openxmlformats.org/officeDocument/2006/relationships/hyperlink" Target="https://www.genome.jp/entry/R01857" TargetMode="External"/><Relationship Id="rId1242" Type="http://schemas.openxmlformats.org/officeDocument/2006/relationships/hyperlink" Target="https://www.genome.jp/entry/3.1.26.11" TargetMode="External"/><Relationship Id="rId1687" Type="http://schemas.openxmlformats.org/officeDocument/2006/relationships/hyperlink" Target="https://www.genome.jp/entry/R03291" TargetMode="External"/><Relationship Id="rId917" Type="http://schemas.openxmlformats.org/officeDocument/2006/relationships/hyperlink" Target="https://www.genome.jp/entry/2.8.3.10" TargetMode="External"/><Relationship Id="rId1102" Type="http://schemas.openxmlformats.org/officeDocument/2006/relationships/hyperlink" Target="https://www.genome.jp/entry/R04268" TargetMode="External"/><Relationship Id="rId1547" Type="http://schemas.openxmlformats.org/officeDocument/2006/relationships/hyperlink" Target="https://www.genome.jp/entry/6.3.2.7" TargetMode="External"/><Relationship Id="rId46" Type="http://schemas.openxmlformats.org/officeDocument/2006/relationships/hyperlink" Target="https://www.genome.jp/entry/R07405" TargetMode="External"/><Relationship Id="rId1407" Type="http://schemas.openxmlformats.org/officeDocument/2006/relationships/hyperlink" Target="https://www.genome.jp/entry/1.8.4.11" TargetMode="External"/><Relationship Id="rId1614" Type="http://schemas.openxmlformats.org/officeDocument/2006/relationships/hyperlink" Target="https://www.genome.jp/entry/2.7.7.12" TargetMode="External"/><Relationship Id="rId195" Type="http://schemas.openxmlformats.org/officeDocument/2006/relationships/hyperlink" Target="https://www.genome.jp/entry/2.7.7.7" TargetMode="External"/><Relationship Id="rId262" Type="http://schemas.openxmlformats.org/officeDocument/2006/relationships/hyperlink" Target="https://www.genome.jp/entry/R01512" TargetMode="External"/><Relationship Id="rId567" Type="http://schemas.openxmlformats.org/officeDocument/2006/relationships/hyperlink" Target="https://www.genome.jp/entry/2.4.1.227" TargetMode="External"/><Relationship Id="rId1197" Type="http://schemas.openxmlformats.org/officeDocument/2006/relationships/hyperlink" Target="https://www.genome.jp/entry/R09030" TargetMode="External"/><Relationship Id="rId122" Type="http://schemas.openxmlformats.org/officeDocument/2006/relationships/hyperlink" Target="https://www.genome.jp/entry/R01466" TargetMode="External"/><Relationship Id="rId774" Type="http://schemas.openxmlformats.org/officeDocument/2006/relationships/hyperlink" Target="https://www.genome.jp/entry/R00086" TargetMode="External"/><Relationship Id="rId981" Type="http://schemas.openxmlformats.org/officeDocument/2006/relationships/hyperlink" Target="https://www.genome.jp/entry/2.7.6.1" TargetMode="External"/><Relationship Id="rId1057" Type="http://schemas.openxmlformats.org/officeDocument/2006/relationships/hyperlink" Target="https://www.genome.jp/entry/2.1.1.45" TargetMode="External"/><Relationship Id="rId427" Type="http://schemas.openxmlformats.org/officeDocument/2006/relationships/hyperlink" Target="https://www.genome.jp/entry/R04957" TargetMode="External"/><Relationship Id="rId634" Type="http://schemas.openxmlformats.org/officeDocument/2006/relationships/hyperlink" Target="https://www.genome.jp/entry/6.3.4.15" TargetMode="External"/><Relationship Id="rId841" Type="http://schemas.openxmlformats.org/officeDocument/2006/relationships/hyperlink" Target="https://www.genome.jp/entry/2.7.1.40" TargetMode="External"/><Relationship Id="rId1264" Type="http://schemas.openxmlformats.org/officeDocument/2006/relationships/hyperlink" Target="https://www.genome.jp/entry/6.1.1.13" TargetMode="External"/><Relationship Id="rId1471" Type="http://schemas.openxmlformats.org/officeDocument/2006/relationships/hyperlink" Target="https://www.genome.jp/entry/2.1.2.9" TargetMode="External"/><Relationship Id="rId1569" Type="http://schemas.openxmlformats.org/officeDocument/2006/relationships/hyperlink" Target="https://www.genome.jp/entry/2.8.1.7" TargetMode="External"/><Relationship Id="rId701" Type="http://schemas.openxmlformats.org/officeDocument/2006/relationships/hyperlink" Target="https://www.genome.jp/entry/R02017" TargetMode="External"/><Relationship Id="rId939" Type="http://schemas.openxmlformats.org/officeDocument/2006/relationships/hyperlink" Target="https://www.genome.jp/entry/1.1.1.27" TargetMode="External"/><Relationship Id="rId1124" Type="http://schemas.openxmlformats.org/officeDocument/2006/relationships/hyperlink" Target="https://www.genome.jp/entry/R03236" TargetMode="External"/><Relationship Id="rId1331" Type="http://schemas.openxmlformats.org/officeDocument/2006/relationships/hyperlink" Target="https://www.genome.jp/entry/2.3.1.16" TargetMode="External"/><Relationship Id="rId68" Type="http://schemas.openxmlformats.org/officeDocument/2006/relationships/hyperlink" Target="https://www.genome.jp/entry/R06927" TargetMode="External"/><Relationship Id="rId1429" Type="http://schemas.openxmlformats.org/officeDocument/2006/relationships/hyperlink" Target="https://www.genome.jp/entry/1.1.1.100" TargetMode="External"/><Relationship Id="rId1636" Type="http://schemas.openxmlformats.org/officeDocument/2006/relationships/hyperlink" Target="https://www.genome.jp/entry/R00440" TargetMode="External"/><Relationship Id="rId1703" Type="http://schemas.openxmlformats.org/officeDocument/2006/relationships/hyperlink" Target="https://www.genome.jp/entry/R03646" TargetMode="External"/><Relationship Id="rId284" Type="http://schemas.openxmlformats.org/officeDocument/2006/relationships/hyperlink" Target="https://www.genome.jp/entry/3.4.14.11" TargetMode="External"/><Relationship Id="rId491" Type="http://schemas.openxmlformats.org/officeDocument/2006/relationships/hyperlink" Target="https://www.genome.jp/entry/R02750" TargetMode="External"/><Relationship Id="rId144" Type="http://schemas.openxmlformats.org/officeDocument/2006/relationships/hyperlink" Target="https://www.genome.jp/entry/6.1.1.1" TargetMode="External"/><Relationship Id="rId589" Type="http://schemas.openxmlformats.org/officeDocument/2006/relationships/hyperlink" Target="https://www.genome.jp/entry/R04617" TargetMode="External"/><Relationship Id="rId796" Type="http://schemas.openxmlformats.org/officeDocument/2006/relationships/hyperlink" Target="https://www.genome.jp/entry/R02984" TargetMode="External"/><Relationship Id="rId351" Type="http://schemas.openxmlformats.org/officeDocument/2006/relationships/hyperlink" Target="https://www.genome.jp/entry/4.2.1.17" TargetMode="External"/><Relationship Id="rId449" Type="http://schemas.openxmlformats.org/officeDocument/2006/relationships/hyperlink" Target="https://www.genome.jp/entry/R04537" TargetMode="External"/><Relationship Id="rId656" Type="http://schemas.openxmlformats.org/officeDocument/2006/relationships/hyperlink" Target="https://www.genome.jp/entry/R08127" TargetMode="External"/><Relationship Id="rId863" Type="http://schemas.openxmlformats.org/officeDocument/2006/relationships/hyperlink" Target="https://www.genome.jp/entry/R00161" TargetMode="External"/><Relationship Id="rId1079" Type="http://schemas.openxmlformats.org/officeDocument/2006/relationships/hyperlink" Target="https://www.genome.jp/entry/3.1.3.5" TargetMode="External"/><Relationship Id="rId1286" Type="http://schemas.openxmlformats.org/officeDocument/2006/relationships/hyperlink" Target="https://www.genome.jp/entry/6.1.1.13" TargetMode="External"/><Relationship Id="rId1493" Type="http://schemas.openxmlformats.org/officeDocument/2006/relationships/hyperlink" Target="https://www.genome.jp/entry/3.1.21.10" TargetMode="External"/><Relationship Id="rId211" Type="http://schemas.openxmlformats.org/officeDocument/2006/relationships/hyperlink" Target="https://www.genome.jp/entry/2.7.7.9" TargetMode="External"/><Relationship Id="rId309" Type="http://schemas.openxmlformats.org/officeDocument/2006/relationships/hyperlink" Target="https://www.genome.jp/entry/3.2.1.26" TargetMode="External"/><Relationship Id="rId516" Type="http://schemas.openxmlformats.org/officeDocument/2006/relationships/hyperlink" Target="https://www.genome.jp/entry/R02019" TargetMode="External"/><Relationship Id="rId1146" Type="http://schemas.openxmlformats.org/officeDocument/2006/relationships/hyperlink" Target="https://www.genome.jp/entry/5.6.2.2" TargetMode="External"/><Relationship Id="rId723" Type="http://schemas.openxmlformats.org/officeDocument/2006/relationships/hyperlink" Target="https://www.genome.jp/entry/R11893" TargetMode="External"/><Relationship Id="rId930" Type="http://schemas.openxmlformats.org/officeDocument/2006/relationships/hyperlink" Target="https://www.genome.jp/entry/6.3.5.2" TargetMode="External"/><Relationship Id="rId1006" Type="http://schemas.openxmlformats.org/officeDocument/2006/relationships/hyperlink" Target="https://www.genome.jp/entry/R01771" TargetMode="External"/><Relationship Id="rId1353" Type="http://schemas.openxmlformats.org/officeDocument/2006/relationships/hyperlink" Target="https://www.genome.jp/entry/R07937" TargetMode="External"/><Relationship Id="rId1560" Type="http://schemas.openxmlformats.org/officeDocument/2006/relationships/hyperlink" Target="https://www.genome.jp/entry/7.4.2.11" TargetMode="External"/><Relationship Id="rId1658" Type="http://schemas.openxmlformats.org/officeDocument/2006/relationships/hyperlink" Target="https://www.genome.jp/entry/3.1.1.96" TargetMode="External"/><Relationship Id="rId1213" Type="http://schemas.openxmlformats.org/officeDocument/2006/relationships/hyperlink" Target="https://www.genome.jp/entry/R05030" TargetMode="External"/><Relationship Id="rId1420" Type="http://schemas.openxmlformats.org/officeDocument/2006/relationships/hyperlink" Target="https://www.genome.jp/entry/2.7.7.23" TargetMode="External"/><Relationship Id="rId1518" Type="http://schemas.openxmlformats.org/officeDocument/2006/relationships/hyperlink" Target="https://www.genome.jp/entry/2.2.1.1" TargetMode="External"/><Relationship Id="rId1725" Type="http://schemas.openxmlformats.org/officeDocument/2006/relationships/hyperlink" Target="https://www.genome.jp/entry/4.3.1.17" TargetMode="External"/><Relationship Id="rId17" Type="http://schemas.openxmlformats.org/officeDocument/2006/relationships/hyperlink" Target="https://www.genome.jp/entry/R02142" TargetMode="External"/><Relationship Id="rId166" Type="http://schemas.openxmlformats.org/officeDocument/2006/relationships/hyperlink" Target="https://www.genome.jp/entry/R00441" TargetMode="External"/><Relationship Id="rId373" Type="http://schemas.openxmlformats.org/officeDocument/2006/relationships/hyperlink" Target="https://www.genome.jp/entry/R04746" TargetMode="External"/><Relationship Id="rId580" Type="http://schemas.openxmlformats.org/officeDocument/2006/relationships/hyperlink" Target="https://www.genome.jp/entry/1.3.98.1" TargetMode="External"/><Relationship Id="rId1" Type="http://schemas.openxmlformats.org/officeDocument/2006/relationships/printerSettings" Target="../printerSettings/printerSettings3.bin"/><Relationship Id="rId233" Type="http://schemas.openxmlformats.org/officeDocument/2006/relationships/hyperlink" Target="https://www.genome.jp/entry/1.1.1.94" TargetMode="External"/><Relationship Id="rId440" Type="http://schemas.openxmlformats.org/officeDocument/2006/relationships/hyperlink" Target="https://www.genome.jp/entry/4.2.1.59" TargetMode="External"/><Relationship Id="rId678" Type="http://schemas.openxmlformats.org/officeDocument/2006/relationships/hyperlink" Target="https://www.genome.jp/entry/2.7.7.49" TargetMode="External"/><Relationship Id="rId885" Type="http://schemas.openxmlformats.org/officeDocument/2006/relationships/hyperlink" Target="https://www.genome.jp/entry/3.5.4.5" TargetMode="External"/><Relationship Id="rId1070" Type="http://schemas.openxmlformats.org/officeDocument/2006/relationships/hyperlink" Target="https://www.genome.jp/entry/3.1.3.5" TargetMode="External"/><Relationship Id="rId300" Type="http://schemas.openxmlformats.org/officeDocument/2006/relationships/hyperlink" Target="https://www.genome.jp/entry/R11029" TargetMode="External"/><Relationship Id="rId538" Type="http://schemas.openxmlformats.org/officeDocument/2006/relationships/hyperlink" Target="https://www.genome.jp/entry/R07607" TargetMode="External"/><Relationship Id="rId745" Type="http://schemas.openxmlformats.org/officeDocument/2006/relationships/hyperlink" Target="https://www.genome.jp/entry/R04206" TargetMode="External"/><Relationship Id="rId952" Type="http://schemas.openxmlformats.org/officeDocument/2006/relationships/hyperlink" Target="https://www.genome.jp/entry/R10806" TargetMode="External"/><Relationship Id="rId1168" Type="http://schemas.openxmlformats.org/officeDocument/2006/relationships/hyperlink" Target="https://www.genome.jp/entry/R03096" TargetMode="External"/><Relationship Id="rId1375" Type="http://schemas.openxmlformats.org/officeDocument/2006/relationships/hyperlink" Target="https://www.genome.jp/entry/3.2.2.23" TargetMode="External"/><Relationship Id="rId1582" Type="http://schemas.openxmlformats.org/officeDocument/2006/relationships/hyperlink" Target="https://www.genome.jp/entry/R01829" TargetMode="External"/><Relationship Id="rId81" Type="http://schemas.openxmlformats.org/officeDocument/2006/relationships/hyperlink" Target="https://www.genome.jp/entry/R01172" TargetMode="External"/><Relationship Id="rId605" Type="http://schemas.openxmlformats.org/officeDocument/2006/relationships/hyperlink" Target="https://www.genome.jp/entry/R10220" TargetMode="External"/><Relationship Id="rId812" Type="http://schemas.openxmlformats.org/officeDocument/2006/relationships/hyperlink" Target="https://www.genome.jp/entry/R07461" TargetMode="External"/><Relationship Id="rId1028" Type="http://schemas.openxmlformats.org/officeDocument/2006/relationships/hyperlink" Target="https://www.genome.jp/entry/R00124" TargetMode="External"/><Relationship Id="rId1235" Type="http://schemas.openxmlformats.org/officeDocument/2006/relationships/hyperlink" Target="https://www.genome.jp/entry/2.7.7.24" TargetMode="External"/><Relationship Id="rId1442" Type="http://schemas.openxmlformats.org/officeDocument/2006/relationships/hyperlink" Target="https://www.genome.jp/entry/R04964" TargetMode="External"/><Relationship Id="rId1302" Type="http://schemas.openxmlformats.org/officeDocument/2006/relationships/hyperlink" Target="https://www.genome.jp/entry/R01740" TargetMode="External"/><Relationship Id="rId39" Type="http://schemas.openxmlformats.org/officeDocument/2006/relationships/hyperlink" Target="https://www.genome.jp/entry/3.5.4.10" TargetMode="External"/><Relationship Id="rId1607" Type="http://schemas.openxmlformats.org/officeDocument/2006/relationships/hyperlink" Target="https://www.genome.jp/entry/R04509" TargetMode="External"/><Relationship Id="rId188" Type="http://schemas.openxmlformats.org/officeDocument/2006/relationships/hyperlink" Target="https://www.genome.jp/entry/6.1.1.4" TargetMode="External"/><Relationship Id="rId395" Type="http://schemas.openxmlformats.org/officeDocument/2006/relationships/hyperlink" Target="https://www.genome.jp/entry/1.1.1.100" TargetMode="External"/><Relationship Id="rId255" Type="http://schemas.openxmlformats.org/officeDocument/2006/relationships/hyperlink" Target="https://www.genome.jp/entry/2.1.1.182" TargetMode="External"/><Relationship Id="rId462" Type="http://schemas.openxmlformats.org/officeDocument/2006/relationships/hyperlink" Target="https://www.genome.jp/entry/2.7.1.15" TargetMode="External"/><Relationship Id="rId1092" Type="http://schemas.openxmlformats.org/officeDocument/2006/relationships/hyperlink" Target="https://www.genome.jp/entry/R03346" TargetMode="External"/><Relationship Id="rId1397" Type="http://schemas.openxmlformats.org/officeDocument/2006/relationships/hyperlink" Target="https://www.genome.jp/entry/R06012" TargetMode="External"/><Relationship Id="rId115" Type="http://schemas.openxmlformats.org/officeDocument/2006/relationships/hyperlink" Target="https://www.genome.jp/entry/R10783" TargetMode="External"/><Relationship Id="rId322" Type="http://schemas.openxmlformats.org/officeDocument/2006/relationships/hyperlink" Target="https://www.genome.jp/entry/R06100" TargetMode="External"/><Relationship Id="rId767" Type="http://schemas.openxmlformats.org/officeDocument/2006/relationships/hyperlink" Target="https://www.genome.jp/entry/7.1.2.2" TargetMode="External"/><Relationship Id="rId974" Type="http://schemas.openxmlformats.org/officeDocument/2006/relationships/hyperlink" Target="https://www.genome.jp/entry/R00921" TargetMode="External"/><Relationship Id="rId627" Type="http://schemas.openxmlformats.org/officeDocument/2006/relationships/hyperlink" Target="https://www.genome.jp/entry/2.7.7.7" TargetMode="External"/><Relationship Id="rId834" Type="http://schemas.openxmlformats.org/officeDocument/2006/relationships/hyperlink" Target="https://www.genome.jp/entry/R01843" TargetMode="External"/><Relationship Id="rId1257" Type="http://schemas.openxmlformats.org/officeDocument/2006/relationships/hyperlink" Target="https://www.genome.jp/entry/2.4.1.1" TargetMode="External"/><Relationship Id="rId1464" Type="http://schemas.openxmlformats.org/officeDocument/2006/relationships/hyperlink" Target="https://www.genome.jp/entry/R03601" TargetMode="External"/><Relationship Id="rId1671" Type="http://schemas.openxmlformats.org/officeDocument/2006/relationships/hyperlink" Target="https://www.genome.jp/entry/R00985" TargetMode="External"/><Relationship Id="rId901" Type="http://schemas.openxmlformats.org/officeDocument/2006/relationships/hyperlink" Target="https://www.genome.jp/entry/2.7.1.35" TargetMode="External"/><Relationship Id="rId1117" Type="http://schemas.openxmlformats.org/officeDocument/2006/relationships/hyperlink" Target="https://www.genome.jp/entry/2.7.1.202" TargetMode="External"/><Relationship Id="rId1324" Type="http://schemas.openxmlformats.org/officeDocument/2006/relationships/hyperlink" Target="https://www.genome.jp/entry/2.3.1.16" TargetMode="External"/><Relationship Id="rId1531" Type="http://schemas.openxmlformats.org/officeDocument/2006/relationships/hyperlink" Target="https://www.genome.jp/entry/2.7.7.7" TargetMode="External"/><Relationship Id="rId30" Type="http://schemas.openxmlformats.org/officeDocument/2006/relationships/hyperlink" Target="https://www.genome.jp/entry/R01072" TargetMode="External"/><Relationship Id="rId1629" Type="http://schemas.openxmlformats.org/officeDocument/2006/relationships/hyperlink" Target="https://www.genome.jp/entry/2.7.7.8" TargetMode="External"/><Relationship Id="rId277" Type="http://schemas.openxmlformats.org/officeDocument/2006/relationships/hyperlink" Target="https://www.genome.jp/entry/2.3.1.234" TargetMode="External"/><Relationship Id="rId484" Type="http://schemas.openxmlformats.org/officeDocument/2006/relationships/hyperlink" Target="https://www.genome.jp/entry/3.2.1.85" TargetMode="External"/><Relationship Id="rId137" Type="http://schemas.openxmlformats.org/officeDocument/2006/relationships/hyperlink" Target="https://www.genome.jp/entry/R00435" TargetMode="External"/><Relationship Id="rId344" Type="http://schemas.openxmlformats.org/officeDocument/2006/relationships/hyperlink" Target="https://www.genome.jp/entry/4.2.1.17" TargetMode="External"/><Relationship Id="rId691" Type="http://schemas.openxmlformats.org/officeDocument/2006/relationships/hyperlink" Target="https://www.genome.jp/entry/R01715" TargetMode="External"/><Relationship Id="rId789" Type="http://schemas.openxmlformats.org/officeDocument/2006/relationships/hyperlink" Target="https://www.genome.jp/entry/1.1.1.133" TargetMode="External"/><Relationship Id="rId996" Type="http://schemas.openxmlformats.org/officeDocument/2006/relationships/hyperlink" Target="https://www.genome.jp/entry/3.5.4.16" TargetMode="External"/><Relationship Id="rId551" Type="http://schemas.openxmlformats.org/officeDocument/2006/relationships/hyperlink" Target="https://www.genome.jp/entry/R12185" TargetMode="External"/><Relationship Id="rId649" Type="http://schemas.openxmlformats.org/officeDocument/2006/relationships/hyperlink" Target="https://www.genome.jp/entry/3.2.1.31" TargetMode="External"/><Relationship Id="rId856" Type="http://schemas.openxmlformats.org/officeDocument/2006/relationships/hyperlink" Target="https://www.genome.jp/entry/2.6.1.16" TargetMode="External"/><Relationship Id="rId1181" Type="http://schemas.openxmlformats.org/officeDocument/2006/relationships/hyperlink" Target="https://www.genome.jp/entry/R01863" TargetMode="External"/><Relationship Id="rId1279" Type="http://schemas.openxmlformats.org/officeDocument/2006/relationships/hyperlink" Target="https://www.genome.jp/entry/6.1.1.13" TargetMode="External"/><Relationship Id="rId1486" Type="http://schemas.openxmlformats.org/officeDocument/2006/relationships/hyperlink" Target="https://www.genome.jp/entry/2.7.4.8" TargetMode="External"/><Relationship Id="rId204" Type="http://schemas.openxmlformats.org/officeDocument/2006/relationships/hyperlink" Target="https://www.genome.jp/entry/R00377" TargetMode="External"/><Relationship Id="rId411" Type="http://schemas.openxmlformats.org/officeDocument/2006/relationships/hyperlink" Target="https://www.genome.jp/entry/R10120" TargetMode="External"/><Relationship Id="rId509" Type="http://schemas.openxmlformats.org/officeDocument/2006/relationships/hyperlink" Target="https://www.genome.jp/entry/1.17.4.1" TargetMode="External"/><Relationship Id="rId1041" Type="http://schemas.openxmlformats.org/officeDocument/2006/relationships/hyperlink" Target="https://www.genome.jp/entry/R11894" TargetMode="External"/><Relationship Id="rId1139" Type="http://schemas.openxmlformats.org/officeDocument/2006/relationships/hyperlink" Target="https://www.genome.jp/entry/R10949" TargetMode="External"/><Relationship Id="rId1346" Type="http://schemas.openxmlformats.org/officeDocument/2006/relationships/hyperlink" Target="https://www.genome.jp/entry/R04742" TargetMode="External"/><Relationship Id="rId1693" Type="http://schemas.openxmlformats.org/officeDocument/2006/relationships/hyperlink" Target="https://www.genome.jp/entry/1.17.4.2" TargetMode="External"/><Relationship Id="rId716" Type="http://schemas.openxmlformats.org/officeDocument/2006/relationships/hyperlink" Target="https://www.genome.jp/entry/R04294" TargetMode="External"/><Relationship Id="rId923" Type="http://schemas.openxmlformats.org/officeDocument/2006/relationships/hyperlink" Target="https://www.genome.jp/entry/4.1.1.112" TargetMode="External"/><Relationship Id="rId1553" Type="http://schemas.openxmlformats.org/officeDocument/2006/relationships/hyperlink" Target="https://www.genome.jp/entry/2.1.1.207" TargetMode="External"/><Relationship Id="rId52" Type="http://schemas.openxmlformats.org/officeDocument/2006/relationships/hyperlink" Target="https://www.genome.jp/entry/R01083" TargetMode="External"/><Relationship Id="rId1206" Type="http://schemas.openxmlformats.org/officeDocument/2006/relationships/hyperlink" Target="https://www.genome.jp/entry/2.7.7.85" TargetMode="External"/><Relationship Id="rId1413" Type="http://schemas.openxmlformats.org/officeDocument/2006/relationships/hyperlink" Target="https://www.genome.jp/entry/R04273" TargetMode="External"/><Relationship Id="rId1620" Type="http://schemas.openxmlformats.org/officeDocument/2006/relationships/hyperlink" Target="https://www.genome.jp/entry/R00418" TargetMode="External"/><Relationship Id="rId1718" Type="http://schemas.openxmlformats.org/officeDocument/2006/relationships/hyperlink" Target="https://www.genome.jp/entry/R00220" TargetMode="External"/><Relationship Id="rId299" Type="http://schemas.openxmlformats.org/officeDocument/2006/relationships/hyperlink" Target="https://www.genome.jp/entry/R00378" TargetMode="External"/><Relationship Id="rId159" Type="http://schemas.openxmlformats.org/officeDocument/2006/relationships/hyperlink" Target="https://www.genome.jp/entry/2.7.7.6" TargetMode="External"/><Relationship Id="rId366" Type="http://schemas.openxmlformats.org/officeDocument/2006/relationships/hyperlink" Target="https://www.genome.jp/entry/R03045" TargetMode="External"/><Relationship Id="rId573" Type="http://schemas.openxmlformats.org/officeDocument/2006/relationships/hyperlink" Target="https://www.genome.jp/entry/R05032" TargetMode="External"/><Relationship Id="rId780" Type="http://schemas.openxmlformats.org/officeDocument/2006/relationships/hyperlink" Target="https://www.genome.jp/entry/R00086" TargetMode="External"/><Relationship Id="rId226" Type="http://schemas.openxmlformats.org/officeDocument/2006/relationships/hyperlink" Target="https://www.genome.jp/entry/R13199" TargetMode="External"/><Relationship Id="rId433" Type="http://schemas.openxmlformats.org/officeDocument/2006/relationships/hyperlink" Target="https://www.genome.jp/entry/R10119" TargetMode="External"/><Relationship Id="rId878" Type="http://schemas.openxmlformats.org/officeDocument/2006/relationships/hyperlink" Target="https://www.genome.jp/entry/R01570" TargetMode="External"/><Relationship Id="rId1063" Type="http://schemas.openxmlformats.org/officeDocument/2006/relationships/hyperlink" Target="https://www.genome.jp/entry/5.3.3.2" TargetMode="External"/><Relationship Id="rId1270" Type="http://schemas.openxmlformats.org/officeDocument/2006/relationships/hyperlink" Target="https://www.genome.jp/entry/6.1.1.13" TargetMode="External"/><Relationship Id="rId640" Type="http://schemas.openxmlformats.org/officeDocument/2006/relationships/hyperlink" Target="https://www.genome.jp/entry/2.5.1.6" TargetMode="External"/><Relationship Id="rId738" Type="http://schemas.openxmlformats.org/officeDocument/2006/relationships/hyperlink" Target="https://www.genome.jp/entry/R06178" TargetMode="External"/><Relationship Id="rId945" Type="http://schemas.openxmlformats.org/officeDocument/2006/relationships/hyperlink" Target="https://www.genome.jp/entry/2.1.2.1" TargetMode="External"/><Relationship Id="rId1368" Type="http://schemas.openxmlformats.org/officeDocument/2006/relationships/hyperlink" Target="https://www.genome.jp/entry/R02112" TargetMode="External"/><Relationship Id="rId1575" Type="http://schemas.openxmlformats.org/officeDocument/2006/relationships/hyperlink" Target="https://www.genome.jp/entry/R05627" TargetMode="External"/><Relationship Id="rId74" Type="http://schemas.openxmlformats.org/officeDocument/2006/relationships/hyperlink" Target="https://www.genome.jp/entry/R00624" TargetMode="External"/><Relationship Id="rId500" Type="http://schemas.openxmlformats.org/officeDocument/2006/relationships/hyperlink" Target="https://www.genome.jp/entry/3.1.11.2" TargetMode="External"/><Relationship Id="rId805" Type="http://schemas.openxmlformats.org/officeDocument/2006/relationships/hyperlink" Target="https://www.genome.jp/entry/1.8.1.7" TargetMode="External"/><Relationship Id="rId1130" Type="http://schemas.openxmlformats.org/officeDocument/2006/relationships/hyperlink" Target="https://www.genome.jp/entry/6.3.5.5" TargetMode="External"/><Relationship Id="rId1228" Type="http://schemas.openxmlformats.org/officeDocument/2006/relationships/hyperlink" Target="https://www.genome.jp/entry/R08550" TargetMode="External"/><Relationship Id="rId1435" Type="http://schemas.openxmlformats.org/officeDocument/2006/relationships/hyperlink" Target="https://www.genome.jp/entry/R02767" TargetMode="External"/><Relationship Id="rId1642" Type="http://schemas.openxmlformats.org/officeDocument/2006/relationships/hyperlink" Target="https://www.genome.jp/entry/2.7.7.7" TargetMode="External"/><Relationship Id="rId1502" Type="http://schemas.openxmlformats.org/officeDocument/2006/relationships/hyperlink" Target="https://www.genome.jp/entry/R02016" TargetMode="External"/><Relationship Id="rId290" Type="http://schemas.openxmlformats.org/officeDocument/2006/relationships/hyperlink" Target="https://www.genome.jp/entry/2.7.7.7" TargetMode="External"/><Relationship Id="rId388" Type="http://schemas.openxmlformats.org/officeDocument/2006/relationships/hyperlink" Target="https://www.genome.jp/entry/R01626" TargetMode="External"/><Relationship Id="rId150" Type="http://schemas.openxmlformats.org/officeDocument/2006/relationships/hyperlink" Target="https://www.genome.jp/entry/2.7.7.6" TargetMode="External"/><Relationship Id="rId595" Type="http://schemas.openxmlformats.org/officeDocument/2006/relationships/hyperlink" Target="https://www.genome.jp/entry/2.7.7.7" TargetMode="External"/><Relationship Id="rId248" Type="http://schemas.openxmlformats.org/officeDocument/2006/relationships/hyperlink" Target="https://www.genome.jp/entry/R02087" TargetMode="External"/><Relationship Id="rId455" Type="http://schemas.openxmlformats.org/officeDocument/2006/relationships/hyperlink" Target="https://www.genome.jp/entry/R10121" TargetMode="External"/><Relationship Id="rId662" Type="http://schemas.openxmlformats.org/officeDocument/2006/relationships/hyperlink" Target="https://www.genome.jp/entry/R00470" TargetMode="External"/><Relationship Id="rId1085" Type="http://schemas.openxmlformats.org/officeDocument/2006/relationships/hyperlink" Target="https://www.genome.jp/entry/R00183" TargetMode="External"/><Relationship Id="rId1292" Type="http://schemas.openxmlformats.org/officeDocument/2006/relationships/hyperlink" Target="https://www.genome.jp/entry/R12873" TargetMode="External"/><Relationship Id="rId108" Type="http://schemas.openxmlformats.org/officeDocument/2006/relationships/hyperlink" Target="https://www.genome.jp/entry/R05234" TargetMode="External"/><Relationship Id="rId315" Type="http://schemas.openxmlformats.org/officeDocument/2006/relationships/hyperlink" Target="https://www.genome.jp/entry/R00801" TargetMode="External"/><Relationship Id="rId522" Type="http://schemas.openxmlformats.org/officeDocument/2006/relationships/hyperlink" Target="https://www.genome.jp/entry/1.17.4.1" TargetMode="External"/><Relationship Id="rId967" Type="http://schemas.openxmlformats.org/officeDocument/2006/relationships/hyperlink" Target="https://www.genome.jp/entry/R02142" TargetMode="External"/><Relationship Id="rId1152" Type="http://schemas.openxmlformats.org/officeDocument/2006/relationships/hyperlink" Target="https://www.genome.jp/entry/R02617" TargetMode="External"/><Relationship Id="rId1597" Type="http://schemas.openxmlformats.org/officeDocument/2006/relationships/hyperlink" Target="https://www.genome.jp/entry/R00435" TargetMode="External"/><Relationship Id="rId96" Type="http://schemas.openxmlformats.org/officeDocument/2006/relationships/hyperlink" Target="https://www.genome.jp/entry/1.1.1.1" TargetMode="External"/><Relationship Id="rId827" Type="http://schemas.openxmlformats.org/officeDocument/2006/relationships/hyperlink" Target="https://www.genome.jp/entry/2.7.1.11" TargetMode="External"/><Relationship Id="rId1012" Type="http://schemas.openxmlformats.org/officeDocument/2006/relationships/hyperlink" Target="https://www.genome.jp/entry/2.7.4.6" TargetMode="External"/><Relationship Id="rId1457" Type="http://schemas.openxmlformats.org/officeDocument/2006/relationships/hyperlink" Target="https://www.genome.jp/entry/2.7.13.3" TargetMode="External"/><Relationship Id="rId1664" Type="http://schemas.openxmlformats.org/officeDocument/2006/relationships/hyperlink" Target="https://www.genome.jp/entry/2.6.1.85" TargetMode="External"/><Relationship Id="rId1317" Type="http://schemas.openxmlformats.org/officeDocument/2006/relationships/hyperlink" Target="https://www.genome.jp/entry/2.3.1.16" TargetMode="External"/><Relationship Id="rId1524" Type="http://schemas.openxmlformats.org/officeDocument/2006/relationships/hyperlink" Target="https://www.genome.jp/entry/R06590" TargetMode="External"/><Relationship Id="rId1731" Type="http://schemas.openxmlformats.org/officeDocument/2006/relationships/hyperlink" Target="https://www.genome.jp/entry/R11099" TargetMode="External"/><Relationship Id="rId23" Type="http://schemas.openxmlformats.org/officeDocument/2006/relationships/hyperlink" Target="https://www.genome.jp/entry/2.3.1.274" TargetMode="External"/><Relationship Id="rId172" Type="http://schemas.openxmlformats.org/officeDocument/2006/relationships/hyperlink" Target="https://www.genome.jp/entry/2.7.2.1" TargetMode="External"/><Relationship Id="rId477" Type="http://schemas.openxmlformats.org/officeDocument/2006/relationships/hyperlink" Target="https://www.genome.jp/entry/R06237" TargetMode="External"/><Relationship Id="rId684" Type="http://schemas.openxmlformats.org/officeDocument/2006/relationships/hyperlink" Target="https://www.genome.jp/entry/4.1.2.40" TargetMode="External"/><Relationship Id="rId337" Type="http://schemas.openxmlformats.org/officeDocument/2006/relationships/hyperlink" Target="https://www.genome.jp/entry/2.7.8.7" TargetMode="External"/><Relationship Id="rId891" Type="http://schemas.openxmlformats.org/officeDocument/2006/relationships/hyperlink" Target="https://www.genome.jp/entry/4.1.1.36" TargetMode="External"/><Relationship Id="rId989" Type="http://schemas.openxmlformats.org/officeDocument/2006/relationships/hyperlink" Target="https://www.genome.jp/entry/4.1.2.25" TargetMode="External"/><Relationship Id="rId544" Type="http://schemas.openxmlformats.org/officeDocument/2006/relationships/hyperlink" Target="https://www.genome.jp/entry/2.1.3.3" TargetMode="External"/><Relationship Id="rId751" Type="http://schemas.openxmlformats.org/officeDocument/2006/relationships/hyperlink" Target="https://www.genome.jp/entry/2.7.7.27" TargetMode="External"/><Relationship Id="rId849" Type="http://schemas.openxmlformats.org/officeDocument/2006/relationships/hyperlink" Target="https://www.genome.jp/entry/R00572" TargetMode="External"/><Relationship Id="rId1174" Type="http://schemas.openxmlformats.org/officeDocument/2006/relationships/hyperlink" Target="https://www.genome.jp/entry/2.4.2.10" TargetMode="External"/><Relationship Id="rId1381" Type="http://schemas.openxmlformats.org/officeDocument/2006/relationships/hyperlink" Target="https://www.genome.jp/entry/3.2.1.18" TargetMode="External"/><Relationship Id="rId1479" Type="http://schemas.openxmlformats.org/officeDocument/2006/relationships/hyperlink" Target="https://www.genome.jp/entry/R00444" TargetMode="External"/><Relationship Id="rId1686" Type="http://schemas.openxmlformats.org/officeDocument/2006/relationships/hyperlink" Target="https://www.genome.jp/entry/R01251" TargetMode="External"/><Relationship Id="rId404" Type="http://schemas.openxmlformats.org/officeDocument/2006/relationships/hyperlink" Target="https://www.genome.jp/entry/R04536" TargetMode="External"/><Relationship Id="rId611" Type="http://schemas.openxmlformats.org/officeDocument/2006/relationships/hyperlink" Target="https://www.genome.jp/entry/R03038" TargetMode="External"/><Relationship Id="rId1034" Type="http://schemas.openxmlformats.org/officeDocument/2006/relationships/hyperlink" Target="https://www.genome.jp/entry/R01137" TargetMode="External"/><Relationship Id="rId1241" Type="http://schemas.openxmlformats.org/officeDocument/2006/relationships/hyperlink" Target="https://www.genome.jp/entry/R04378" TargetMode="External"/><Relationship Id="rId1339" Type="http://schemas.openxmlformats.org/officeDocument/2006/relationships/hyperlink" Target="https://www.genome.jp/entry/R00238" TargetMode="External"/><Relationship Id="rId709" Type="http://schemas.openxmlformats.org/officeDocument/2006/relationships/hyperlink" Target="https://www.genome.jp/entry/1.17.4.1" TargetMode="External"/><Relationship Id="rId916" Type="http://schemas.openxmlformats.org/officeDocument/2006/relationships/hyperlink" Target="https://www.genome.jp/entry/R00362" TargetMode="External"/><Relationship Id="rId1101" Type="http://schemas.openxmlformats.org/officeDocument/2006/relationships/hyperlink" Target="https://www.genome.jp/entry/R05635" TargetMode="External"/><Relationship Id="rId1546" Type="http://schemas.openxmlformats.org/officeDocument/2006/relationships/hyperlink" Target="https://www.genome.jp/entry/R00966" TargetMode="External"/><Relationship Id="rId45" Type="http://schemas.openxmlformats.org/officeDocument/2006/relationships/hyperlink" Target="https://www.genome.jp/entry/5.4.99.18" TargetMode="External"/><Relationship Id="rId1406" Type="http://schemas.openxmlformats.org/officeDocument/2006/relationships/hyperlink" Target="https://www.genome.jp/entry/1.8.4.11" TargetMode="External"/><Relationship Id="rId1613" Type="http://schemas.openxmlformats.org/officeDocument/2006/relationships/hyperlink" Target="https://www.genome.jp/entry/R01092" TargetMode="External"/><Relationship Id="rId194" Type="http://schemas.openxmlformats.org/officeDocument/2006/relationships/hyperlink" Target="https://www.genome.jp/entry/7.6.2.9" TargetMode="External"/><Relationship Id="rId261" Type="http://schemas.openxmlformats.org/officeDocument/2006/relationships/hyperlink" Target="https://www.genome.jp/entry/2.7.2.3" TargetMode="External"/><Relationship Id="rId499" Type="http://schemas.openxmlformats.org/officeDocument/2006/relationships/hyperlink" Target="https://www.genome.jp/entry/R03654" TargetMode="External"/><Relationship Id="rId359" Type="http://schemas.openxmlformats.org/officeDocument/2006/relationships/hyperlink" Target="https://www.genome.jp/entry/4.2.1.17" TargetMode="External"/><Relationship Id="rId566" Type="http://schemas.openxmlformats.org/officeDocument/2006/relationships/hyperlink" Target="https://www.genome.jp/entry/2.4.1.227" TargetMode="External"/><Relationship Id="rId773" Type="http://schemas.openxmlformats.org/officeDocument/2006/relationships/hyperlink" Target="https://www.genome.jp/entry/7.1.2.2" TargetMode="External"/><Relationship Id="rId1196" Type="http://schemas.openxmlformats.org/officeDocument/2006/relationships/hyperlink" Target="https://www.genome.jp/entry/R01056" TargetMode="External"/><Relationship Id="rId121" Type="http://schemas.openxmlformats.org/officeDocument/2006/relationships/hyperlink" Target="https://www.genome.jp/entry/4.2.3.1" TargetMode="External"/><Relationship Id="rId219" Type="http://schemas.openxmlformats.org/officeDocument/2006/relationships/hyperlink" Target="https://www.genome.jp/entry/5.3.1.9" TargetMode="External"/><Relationship Id="rId426" Type="http://schemas.openxmlformats.org/officeDocument/2006/relationships/hyperlink" Target="https://www.genome.jp/entry/R04952" TargetMode="External"/><Relationship Id="rId633" Type="http://schemas.openxmlformats.org/officeDocument/2006/relationships/hyperlink" Target="https://www.genome.jp/entry/6.3.4.15" TargetMode="External"/><Relationship Id="rId980" Type="http://schemas.openxmlformats.org/officeDocument/2006/relationships/hyperlink" Target="https://www.genome.jp/entry/R00138" TargetMode="External"/><Relationship Id="rId1056" Type="http://schemas.openxmlformats.org/officeDocument/2006/relationships/hyperlink" Target="https://www.genome.jp/entry/R11765" TargetMode="External"/><Relationship Id="rId1263" Type="http://schemas.openxmlformats.org/officeDocument/2006/relationships/hyperlink" Target="https://www.genome.jp/entry/6.1.1.13" TargetMode="External"/><Relationship Id="rId840" Type="http://schemas.openxmlformats.org/officeDocument/2006/relationships/hyperlink" Target="https://www.genome.jp/entry/2.7.1.40" TargetMode="External"/><Relationship Id="rId938" Type="http://schemas.openxmlformats.org/officeDocument/2006/relationships/hyperlink" Target="https://www.genome.jp/entry/R00703" TargetMode="External"/><Relationship Id="rId1470" Type="http://schemas.openxmlformats.org/officeDocument/2006/relationships/hyperlink" Target="https://www.genome.jp/entry/2.1.1.176" TargetMode="External"/><Relationship Id="rId1568" Type="http://schemas.openxmlformats.org/officeDocument/2006/relationships/hyperlink" Target="https://www.genome.jp/entry/2.8.1.7" TargetMode="External"/><Relationship Id="rId67" Type="http://schemas.openxmlformats.org/officeDocument/2006/relationships/hyperlink" Target="https://www.genome.jp/entry/R06917" TargetMode="External"/><Relationship Id="rId700" Type="http://schemas.openxmlformats.org/officeDocument/2006/relationships/hyperlink" Target="https://www.genome.jp/entry/R04294" TargetMode="External"/><Relationship Id="rId1123" Type="http://schemas.openxmlformats.org/officeDocument/2006/relationships/hyperlink" Target="https://www.genome.jp/entry/R02071" TargetMode="External"/><Relationship Id="rId1330" Type="http://schemas.openxmlformats.org/officeDocument/2006/relationships/hyperlink" Target="https://www.genome.jp/entry/2.3.1.16" TargetMode="External"/><Relationship Id="rId1428" Type="http://schemas.openxmlformats.org/officeDocument/2006/relationships/hyperlink" Target="https://www.genome.jp/entry/1.1.1.100" TargetMode="External"/><Relationship Id="rId1635" Type="http://schemas.openxmlformats.org/officeDocument/2006/relationships/hyperlink" Target="https://www.genome.jp/entry/R00439" TargetMode="External"/><Relationship Id="rId1702" Type="http://schemas.openxmlformats.org/officeDocument/2006/relationships/hyperlink" Target="https://www.genome.jp/entry/6.1.1.19" TargetMode="External"/><Relationship Id="rId283" Type="http://schemas.openxmlformats.org/officeDocument/2006/relationships/hyperlink" Target="https://www.genome.jp/entry/2.7.13.3" TargetMode="External"/><Relationship Id="rId490" Type="http://schemas.openxmlformats.org/officeDocument/2006/relationships/hyperlink" Target="https://www.genome.jp/entry/2.7.1.15" TargetMode="External"/><Relationship Id="rId143" Type="http://schemas.openxmlformats.org/officeDocument/2006/relationships/hyperlink" Target="https://www.genome.jp/entry/R05634" TargetMode="External"/><Relationship Id="rId350" Type="http://schemas.openxmlformats.org/officeDocument/2006/relationships/hyperlink" Target="https://www.genome.jp/entry/4.2.1.17" TargetMode="External"/><Relationship Id="rId588" Type="http://schemas.openxmlformats.org/officeDocument/2006/relationships/hyperlink" Target="https://www.genome.jp/entry/R04573" TargetMode="External"/><Relationship Id="rId795" Type="http://schemas.openxmlformats.org/officeDocument/2006/relationships/hyperlink" Target="https://www.genome.jp/entry/R00418" TargetMode="External"/><Relationship Id="rId9" Type="http://schemas.openxmlformats.org/officeDocument/2006/relationships/hyperlink" Target="https://www.genome.jp/entry/R00379" TargetMode="External"/><Relationship Id="rId210" Type="http://schemas.openxmlformats.org/officeDocument/2006/relationships/hyperlink" Target="https://www.genome.jp/entry/3.5.4.33" TargetMode="External"/><Relationship Id="rId448" Type="http://schemas.openxmlformats.org/officeDocument/2006/relationships/hyperlink" Target="https://www.genome.jp/entry/R04535" TargetMode="External"/><Relationship Id="rId655" Type="http://schemas.openxmlformats.org/officeDocument/2006/relationships/hyperlink" Target="https://www.genome.jp/entry/R04979" TargetMode="External"/><Relationship Id="rId862" Type="http://schemas.openxmlformats.org/officeDocument/2006/relationships/hyperlink" Target="https://www.genome.jp/entry/2.7.7.2" TargetMode="External"/><Relationship Id="rId1078" Type="http://schemas.openxmlformats.org/officeDocument/2006/relationships/hyperlink" Target="https://www.genome.jp/entry/3.1.3.5" TargetMode="External"/><Relationship Id="rId1285" Type="http://schemas.openxmlformats.org/officeDocument/2006/relationships/hyperlink" Target="https://www.genome.jp/entry/6.1.1.13" TargetMode="External"/><Relationship Id="rId1492" Type="http://schemas.openxmlformats.org/officeDocument/2006/relationships/hyperlink" Target="https://www.genome.jp/entry/R01291" TargetMode="External"/><Relationship Id="rId308" Type="http://schemas.openxmlformats.org/officeDocument/2006/relationships/hyperlink" Target="https://www.genome.jp/entry/3.2.1.26" TargetMode="External"/><Relationship Id="rId515" Type="http://schemas.openxmlformats.org/officeDocument/2006/relationships/hyperlink" Target="https://www.genome.jp/entry/R02018" TargetMode="External"/><Relationship Id="rId722" Type="http://schemas.openxmlformats.org/officeDocument/2006/relationships/hyperlink" Target="https://www.genome.jp/entry/R08364" TargetMode="External"/><Relationship Id="rId1145" Type="http://schemas.openxmlformats.org/officeDocument/2006/relationships/hyperlink" Target="https://www.genome.jp/entry/3.4.23.36" TargetMode="External"/><Relationship Id="rId1352" Type="http://schemas.openxmlformats.org/officeDocument/2006/relationships/hyperlink" Target="https://www.genome.jp/entry/R07899" TargetMode="External"/><Relationship Id="rId89" Type="http://schemas.openxmlformats.org/officeDocument/2006/relationships/hyperlink" Target="https://www.genome.jp/entry/1.1.1.1" TargetMode="External"/><Relationship Id="rId1005" Type="http://schemas.openxmlformats.org/officeDocument/2006/relationships/hyperlink" Target="https://www.genome.jp/entry/2.7.1.39" TargetMode="External"/><Relationship Id="rId1212" Type="http://schemas.openxmlformats.org/officeDocument/2006/relationships/hyperlink" Target="https://www.genome.jp/entry/R00256" TargetMode="External"/><Relationship Id="rId1657" Type="http://schemas.openxmlformats.org/officeDocument/2006/relationships/hyperlink" Target="https://www.genome.jp/entry/3.2.1.70" TargetMode="External"/><Relationship Id="rId1517" Type="http://schemas.openxmlformats.org/officeDocument/2006/relationships/hyperlink" Target="https://www.genome.jp/entry/2.2.1.1" TargetMode="External"/><Relationship Id="rId1724" Type="http://schemas.openxmlformats.org/officeDocument/2006/relationships/hyperlink" Target="https://www.genome.jp/entry/4.3.1.17" TargetMode="External"/><Relationship Id="rId16" Type="http://schemas.openxmlformats.org/officeDocument/2006/relationships/hyperlink" Target="https://www.genome.jp/entry/R01229" TargetMode="External"/><Relationship Id="rId165" Type="http://schemas.openxmlformats.org/officeDocument/2006/relationships/hyperlink" Target="https://www.genome.jp/entry/R00435" TargetMode="External"/><Relationship Id="rId372" Type="http://schemas.openxmlformats.org/officeDocument/2006/relationships/hyperlink" Target="https://www.genome.jp/entry/R04744" TargetMode="External"/><Relationship Id="rId677" Type="http://schemas.openxmlformats.org/officeDocument/2006/relationships/hyperlink" Target="https://www.genome.jp/entry/R00379" TargetMode="External"/><Relationship Id="rId232" Type="http://schemas.openxmlformats.org/officeDocument/2006/relationships/hyperlink" Target="https://www.genome.jp/entry/1.1.1.94" TargetMode="External"/><Relationship Id="rId884" Type="http://schemas.openxmlformats.org/officeDocument/2006/relationships/hyperlink" Target="https://www.genome.jp/entry/R01066" TargetMode="External"/><Relationship Id="rId537" Type="http://schemas.openxmlformats.org/officeDocument/2006/relationships/hyperlink" Target="https://www.genome.jp/entry/1.8.4.12" TargetMode="External"/><Relationship Id="rId744" Type="http://schemas.openxmlformats.org/officeDocument/2006/relationships/hyperlink" Target="https://www.genome.jp/entry/4.2.1.11" TargetMode="External"/><Relationship Id="rId951" Type="http://schemas.openxmlformats.org/officeDocument/2006/relationships/hyperlink" Target="https://www.genome.jp/entry/2.1.1.297" TargetMode="External"/><Relationship Id="rId1167" Type="http://schemas.openxmlformats.org/officeDocument/2006/relationships/hyperlink" Target="https://www.genome.jp/entry/R02540" TargetMode="External"/><Relationship Id="rId1374" Type="http://schemas.openxmlformats.org/officeDocument/2006/relationships/hyperlink" Target="https://www.genome.jp/entry/R00130" TargetMode="External"/><Relationship Id="rId1581" Type="http://schemas.openxmlformats.org/officeDocument/2006/relationships/hyperlink" Target="https://www.genome.jp/entry/R01070" TargetMode="External"/><Relationship Id="rId1679" Type="http://schemas.openxmlformats.org/officeDocument/2006/relationships/hyperlink" Target="https://www.genome.jp/entry/R01135" TargetMode="External"/><Relationship Id="rId80" Type="http://schemas.openxmlformats.org/officeDocument/2006/relationships/hyperlink" Target="https://www.genome.jp/entry/R00228" TargetMode="External"/><Relationship Id="rId604" Type="http://schemas.openxmlformats.org/officeDocument/2006/relationships/hyperlink" Target="https://www.genome.jp/entry/2.4.99.17" TargetMode="External"/><Relationship Id="rId811" Type="http://schemas.openxmlformats.org/officeDocument/2006/relationships/hyperlink" Target="https://www.genome.jp/entry/R03923" TargetMode="External"/><Relationship Id="rId1027" Type="http://schemas.openxmlformats.org/officeDocument/2006/relationships/hyperlink" Target="https://www.genome.jp/entry/R00331" TargetMode="External"/><Relationship Id="rId1234" Type="http://schemas.openxmlformats.org/officeDocument/2006/relationships/hyperlink" Target="https://www.genome.jp/entry/R02328" TargetMode="External"/><Relationship Id="rId1441" Type="http://schemas.openxmlformats.org/officeDocument/2006/relationships/hyperlink" Target="https://www.genome.jp/entry/R04953" TargetMode="External"/><Relationship Id="rId909" Type="http://schemas.openxmlformats.org/officeDocument/2006/relationships/hyperlink" Target="https://www.genome.jp/entry/2.4.2.52" TargetMode="External"/><Relationship Id="rId1301" Type="http://schemas.openxmlformats.org/officeDocument/2006/relationships/hyperlink" Target="https://www.genome.jp/entry/1.1.1.69" TargetMode="External"/><Relationship Id="rId1539" Type="http://schemas.openxmlformats.org/officeDocument/2006/relationships/hyperlink" Target="https://www.genome.jp/entry/R00378" TargetMode="External"/><Relationship Id="rId38" Type="http://schemas.openxmlformats.org/officeDocument/2006/relationships/hyperlink" Target="https://www.genome.jp/entry/R04560" TargetMode="External"/><Relationship Id="rId1606" Type="http://schemas.openxmlformats.org/officeDocument/2006/relationships/hyperlink" Target="https://www.genome.jp/entry/2.7.4.7" TargetMode="External"/><Relationship Id="rId187" Type="http://schemas.openxmlformats.org/officeDocument/2006/relationships/hyperlink" Target="https://www.genome.jp/entry/R12579" TargetMode="External"/><Relationship Id="rId394" Type="http://schemas.openxmlformats.org/officeDocument/2006/relationships/hyperlink" Target="https://www.genome.jp/entry/1.1.1.100" TargetMode="External"/><Relationship Id="rId254" Type="http://schemas.openxmlformats.org/officeDocument/2006/relationships/hyperlink" Target="https://www.genome.jp/entry/3.1.26.8" TargetMode="External"/><Relationship Id="rId699" Type="http://schemas.openxmlformats.org/officeDocument/2006/relationships/hyperlink" Target="https://www.genome.jp/entry/1.17.4.1" TargetMode="External"/><Relationship Id="rId1091" Type="http://schemas.openxmlformats.org/officeDocument/2006/relationships/hyperlink" Target="https://www.genome.jp/entry/R02719" TargetMode="External"/><Relationship Id="rId114" Type="http://schemas.openxmlformats.org/officeDocument/2006/relationships/hyperlink" Target="https://www.genome.jp/entry/R08558" TargetMode="External"/><Relationship Id="rId461" Type="http://schemas.openxmlformats.org/officeDocument/2006/relationships/hyperlink" Target="https://www.genome.jp/entry/R08218" TargetMode="External"/><Relationship Id="rId559" Type="http://schemas.openxmlformats.org/officeDocument/2006/relationships/hyperlink" Target="https://www.genome.jp/entry/2.7.1.2" TargetMode="External"/><Relationship Id="rId766" Type="http://schemas.openxmlformats.org/officeDocument/2006/relationships/hyperlink" Target="https://www.genome.jp/entry/R06185" TargetMode="External"/><Relationship Id="rId1189" Type="http://schemas.openxmlformats.org/officeDocument/2006/relationships/hyperlink" Target="https://www.genome.jp/entry/R02295" TargetMode="External"/><Relationship Id="rId1396" Type="http://schemas.openxmlformats.org/officeDocument/2006/relationships/hyperlink" Target="https://www.genome.jp/entry/R05999" TargetMode="External"/><Relationship Id="rId321" Type="http://schemas.openxmlformats.org/officeDocument/2006/relationships/hyperlink" Target="https://www.genome.jp/entry/R06088" TargetMode="External"/><Relationship Id="rId419" Type="http://schemas.openxmlformats.org/officeDocument/2006/relationships/hyperlink" Target="https://www.genome.jp/entry/2.3.1.179" TargetMode="External"/><Relationship Id="rId626" Type="http://schemas.openxmlformats.org/officeDocument/2006/relationships/hyperlink" Target="https://www.genome.jp/entry/2.7.7.7" TargetMode="External"/><Relationship Id="rId973" Type="http://schemas.openxmlformats.org/officeDocument/2006/relationships/hyperlink" Target="https://www.genome.jp/entry/R00230" TargetMode="External"/><Relationship Id="rId1049" Type="http://schemas.openxmlformats.org/officeDocument/2006/relationships/hyperlink" Target="https://www.genome.jp/entry/1.5.1.3" TargetMode="External"/><Relationship Id="rId1256" Type="http://schemas.openxmlformats.org/officeDocument/2006/relationships/hyperlink" Target="https://www.genome.jp/entry/2.4.1.1" TargetMode="External"/><Relationship Id="rId833" Type="http://schemas.openxmlformats.org/officeDocument/2006/relationships/hyperlink" Target="https://www.genome.jp/entry/R00770" TargetMode="External"/><Relationship Id="rId1116" Type="http://schemas.openxmlformats.org/officeDocument/2006/relationships/hyperlink" Target="https://www.genome.jp/entry/R09386" TargetMode="External"/><Relationship Id="rId1463" Type="http://schemas.openxmlformats.org/officeDocument/2006/relationships/hyperlink" Target="https://www.genome.jp/entry/R00897" TargetMode="External"/><Relationship Id="rId1670" Type="http://schemas.openxmlformats.org/officeDocument/2006/relationships/hyperlink" Target="https://www.genome.jp/entry/R00986" TargetMode="External"/><Relationship Id="rId900" Type="http://schemas.openxmlformats.org/officeDocument/2006/relationships/hyperlink" Target="https://www.genome.jp/entry/2.7.1.35" TargetMode="External"/><Relationship Id="rId1323" Type="http://schemas.openxmlformats.org/officeDocument/2006/relationships/hyperlink" Target="https://www.genome.jp/entry/2.3.1.16" TargetMode="External"/><Relationship Id="rId1530" Type="http://schemas.openxmlformats.org/officeDocument/2006/relationships/hyperlink" Target="https://www.genome.jp/entry/R00379" TargetMode="External"/><Relationship Id="rId1628" Type="http://schemas.openxmlformats.org/officeDocument/2006/relationships/hyperlink" Target="https://www.genome.jp/entry/2.7.7.8" TargetMode="External"/><Relationship Id="rId276" Type="http://schemas.openxmlformats.org/officeDocument/2006/relationships/hyperlink" Target="https://www.genome.jp/entry/R10813" TargetMode="External"/><Relationship Id="rId483" Type="http://schemas.openxmlformats.org/officeDocument/2006/relationships/hyperlink" Target="https://www.genome.jp/entry/3.2.1.85" TargetMode="External"/><Relationship Id="rId690" Type="http://schemas.openxmlformats.org/officeDocument/2006/relationships/hyperlink" Target="https://www.genome.jp/entry/5.4.99.5" TargetMode="External"/><Relationship Id="rId136" Type="http://schemas.openxmlformats.org/officeDocument/2006/relationships/hyperlink" Target="https://www.genome.jp/entry/R00444" TargetMode="External"/><Relationship Id="rId343" Type="http://schemas.openxmlformats.org/officeDocument/2006/relationships/hyperlink" Target="https://www.genome.jp/entry/4.2.1.17" TargetMode="External"/><Relationship Id="rId550" Type="http://schemas.openxmlformats.org/officeDocument/2006/relationships/hyperlink" Target="https://www.genome.jp/entry/R01395" TargetMode="External"/><Relationship Id="rId788" Type="http://schemas.openxmlformats.org/officeDocument/2006/relationships/hyperlink" Target="https://www.genome.jp/entry/3.6.4.12" TargetMode="External"/><Relationship Id="rId995" Type="http://schemas.openxmlformats.org/officeDocument/2006/relationships/hyperlink" Target="https://www.genome.jp/entry/3.5.4.16" TargetMode="External"/><Relationship Id="rId1180" Type="http://schemas.openxmlformats.org/officeDocument/2006/relationships/hyperlink" Target="https://www.genome.jp/entry/R0156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="116" workbookViewId="0">
      <selection activeCell="B1" sqref="B1"/>
    </sheetView>
  </sheetViews>
  <sheetFormatPr defaultRowHeight="14.25" x14ac:dyDescent="0.45"/>
  <cols>
    <col min="1" max="1" width="24.33203125" customWidth="1"/>
    <col min="2" max="2" width="17.19921875" customWidth="1"/>
    <col min="3" max="3" width="17.59765625" customWidth="1"/>
  </cols>
  <sheetData>
    <row r="1" spans="1:3" ht="14.65" thickBot="1" x14ac:dyDescent="0.5">
      <c r="A1" s="2" t="s">
        <v>1061</v>
      </c>
      <c r="B1" s="6" t="s">
        <v>8371</v>
      </c>
    </row>
    <row r="2" spans="1:3" ht="14.65" thickBot="1" x14ac:dyDescent="0.5">
      <c r="A2" s="46" t="s">
        <v>1056</v>
      </c>
      <c r="B2" s="2" t="s">
        <v>8372</v>
      </c>
    </row>
    <row r="3" spans="1:3" x14ac:dyDescent="0.45">
      <c r="A3" s="46" t="s">
        <v>1057</v>
      </c>
      <c r="B3" s="46" t="s">
        <v>8373</v>
      </c>
      <c r="C3" s="1"/>
    </row>
    <row r="4" spans="1:3" ht="14.65" thickBot="1" x14ac:dyDescent="0.5">
      <c r="A4" s="47" t="s">
        <v>1058</v>
      </c>
      <c r="B4" s="51" t="s">
        <v>10448</v>
      </c>
    </row>
    <row r="5" spans="1:3" ht="14.65" thickBot="1" x14ac:dyDescent="0.5">
      <c r="A5" s="3" t="s">
        <v>1059</v>
      </c>
      <c r="B5" s="2" t="s">
        <v>8374</v>
      </c>
    </row>
    <row r="6" spans="1:3" x14ac:dyDescent="0.45">
      <c r="A6" s="4" t="s">
        <v>1060</v>
      </c>
      <c r="B6" s="5" t="s">
        <v>13</v>
      </c>
    </row>
    <row r="7" spans="1:3" x14ac:dyDescent="0.45">
      <c r="A7" s="7"/>
      <c r="B7" s="16" t="s">
        <v>3012</v>
      </c>
      <c r="C7" s="16" t="s">
        <v>3013</v>
      </c>
    </row>
    <row r="8" spans="1:3" x14ac:dyDescent="0.45">
      <c r="A8" s="7" t="s">
        <v>2999</v>
      </c>
      <c r="B8" s="16" t="s">
        <v>8375</v>
      </c>
      <c r="C8" s="16" t="s">
        <v>8375</v>
      </c>
    </row>
    <row r="9" spans="1:3" x14ac:dyDescent="0.45">
      <c r="A9" s="7" t="s">
        <v>3000</v>
      </c>
      <c r="B9" s="16" t="s">
        <v>8375</v>
      </c>
      <c r="C9" s="16" t="s">
        <v>8375</v>
      </c>
    </row>
    <row r="10" spans="1:3" x14ac:dyDescent="0.45">
      <c r="A10" s="7" t="s">
        <v>3001</v>
      </c>
      <c r="B10" s="16">
        <v>2</v>
      </c>
      <c r="C10" s="16">
        <v>2</v>
      </c>
    </row>
    <row r="11" spans="1:3" x14ac:dyDescent="0.45">
      <c r="A11" s="7" t="s">
        <v>3002</v>
      </c>
      <c r="B11" s="16">
        <v>2</v>
      </c>
      <c r="C11" s="16">
        <v>2</v>
      </c>
    </row>
    <row r="12" spans="1:3" x14ac:dyDescent="0.45">
      <c r="A12" s="7" t="s">
        <v>3003</v>
      </c>
      <c r="B12" s="16" t="s">
        <v>3014</v>
      </c>
      <c r="C12" s="16" t="s">
        <v>3014</v>
      </c>
    </row>
    <row r="13" spans="1:3" x14ac:dyDescent="0.45">
      <c r="A13" s="7" t="s">
        <v>3004</v>
      </c>
      <c r="B13" s="16">
        <v>1</v>
      </c>
      <c r="C13" s="16">
        <v>1</v>
      </c>
    </row>
    <row r="14" spans="1:3" x14ac:dyDescent="0.45">
      <c r="A14" s="7" t="s">
        <v>3005</v>
      </c>
      <c r="B14" s="16">
        <v>2</v>
      </c>
      <c r="C14" s="16">
        <v>2</v>
      </c>
    </row>
    <row r="15" spans="1:3" x14ac:dyDescent="0.45">
      <c r="A15" s="7" t="s">
        <v>3006</v>
      </c>
      <c r="B15" s="16" t="s">
        <v>8375</v>
      </c>
      <c r="C15" s="16" t="s">
        <v>8375</v>
      </c>
    </row>
    <row r="16" spans="1:3" x14ac:dyDescent="0.45">
      <c r="A16" s="7" t="s">
        <v>3007</v>
      </c>
      <c r="B16" s="16">
        <v>1</v>
      </c>
      <c r="C16" s="16">
        <v>1</v>
      </c>
    </row>
    <row r="17" spans="1:3" x14ac:dyDescent="0.45">
      <c r="A17" s="7" t="s">
        <v>3008</v>
      </c>
      <c r="B17" s="16">
        <v>41.5</v>
      </c>
      <c r="C17" s="16">
        <v>41.5</v>
      </c>
    </row>
    <row r="18" spans="1:3" x14ac:dyDescent="0.45">
      <c r="A18" s="7" t="s">
        <v>2997</v>
      </c>
      <c r="B18" s="17" t="s">
        <v>2998</v>
      </c>
      <c r="C18" s="17" t="s">
        <v>2998</v>
      </c>
    </row>
    <row r="19" spans="1:3" x14ac:dyDescent="0.45">
      <c r="A19" s="7" t="s">
        <v>3009</v>
      </c>
      <c r="B19" s="18">
        <v>2063</v>
      </c>
      <c r="C19" s="18">
        <v>2030</v>
      </c>
    </row>
    <row r="20" spans="1:3" x14ac:dyDescent="0.45">
      <c r="A20" s="7" t="s">
        <v>3010</v>
      </c>
      <c r="B20" s="18">
        <v>1932</v>
      </c>
      <c r="C20" s="18">
        <v>1933</v>
      </c>
    </row>
    <row r="21" spans="1:3" x14ac:dyDescent="0.45">
      <c r="B21" s="16"/>
      <c r="C21" s="16"/>
    </row>
    <row r="22" spans="1:3" x14ac:dyDescent="0.45">
      <c r="A22" s="7" t="s">
        <v>3011</v>
      </c>
      <c r="B22" s="16" t="s">
        <v>8376</v>
      </c>
      <c r="C22" s="16" t="s">
        <v>3601</v>
      </c>
    </row>
    <row r="23" spans="1:3" x14ac:dyDescent="0.45">
      <c r="B23" s="16"/>
      <c r="C23" s="16"/>
    </row>
    <row r="24" spans="1:3" x14ac:dyDescent="0.45">
      <c r="B24" s="16"/>
      <c r="C24" s="16"/>
    </row>
    <row r="25" spans="1:3" x14ac:dyDescent="0.45">
      <c r="A25" s="48" t="s">
        <v>3015</v>
      </c>
      <c r="B25" s="49"/>
      <c r="C25" s="16"/>
    </row>
    <row r="26" spans="1:3" x14ac:dyDescent="0.45">
      <c r="A26" s="48" t="s">
        <v>3016</v>
      </c>
      <c r="B26" s="50">
        <v>0.96289999999999998</v>
      </c>
      <c r="C26" s="16"/>
    </row>
    <row r="27" spans="1:3" x14ac:dyDescent="0.45">
      <c r="A27" s="48" t="s">
        <v>3017</v>
      </c>
      <c r="B27" s="50">
        <v>2.3999999999999998E-3</v>
      </c>
      <c r="C27" s="16"/>
    </row>
  </sheetData>
  <customSheetViews>
    <customSheetView guid="{F9B45C10-3ABA-4AFD-861C-93BE5D0D4A37}">
      <selection activeCell="B1" sqref="B1"/>
      <pageMargins left="0.7" right="0.7" top="0.75" bottom="0.75" header="0.3" footer="0.3"/>
      <pageSetup paperSize="9" orientation="portrait" r:id="rId1"/>
    </customSheetView>
  </customSheetViews>
  <hyperlinks>
    <hyperlink ref="B6" r:id="rId2" display="https://www.ncbi.nlm.nih.gov/nuccore/NC_006814.3/" xr:uid="{00000000-0004-0000-0000-000000000000}"/>
    <hyperlink ref="B1" r:id="rId3" xr:uid="{00000000-0004-0000-0000-000001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64"/>
  <sheetViews>
    <sheetView zoomScale="75" workbookViewId="0">
      <selection activeCell="K1" sqref="K1"/>
    </sheetView>
  </sheetViews>
  <sheetFormatPr defaultRowHeight="14.25" x14ac:dyDescent="0.45"/>
  <cols>
    <col min="1" max="1" width="19.265625" customWidth="1"/>
    <col min="2" max="3" width="9.1328125" bestFit="1" customWidth="1"/>
    <col min="6" max="6" width="35.265625" customWidth="1"/>
    <col min="8" max="8" width="9.73046875" bestFit="1" customWidth="1"/>
    <col min="12" max="12" width="7.6640625" customWidth="1"/>
    <col min="13" max="13" width="12.332031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3601</v>
      </c>
      <c r="B2">
        <v>1</v>
      </c>
      <c r="C2">
        <v>1353</v>
      </c>
      <c r="E2" t="s">
        <v>14</v>
      </c>
      <c r="F2" t="s">
        <v>15</v>
      </c>
      <c r="G2" t="s">
        <v>16</v>
      </c>
      <c r="H2">
        <v>83703832</v>
      </c>
      <c r="I2" t="s">
        <v>17</v>
      </c>
      <c r="K2" t="s">
        <v>3602</v>
      </c>
      <c r="L2">
        <v>450</v>
      </c>
      <c r="M2" t="s">
        <v>3603</v>
      </c>
    </row>
    <row r="3" spans="1:13" x14ac:dyDescent="0.45">
      <c r="A3" t="s">
        <v>3601</v>
      </c>
      <c r="B3">
        <v>1510</v>
      </c>
      <c r="C3">
        <v>2646</v>
      </c>
      <c r="E3" t="s">
        <v>14</v>
      </c>
      <c r="F3" t="s">
        <v>18</v>
      </c>
      <c r="G3" t="s">
        <v>19</v>
      </c>
      <c r="H3">
        <v>83703833</v>
      </c>
      <c r="I3" t="s">
        <v>17</v>
      </c>
      <c r="K3" t="s">
        <v>3604</v>
      </c>
      <c r="L3">
        <v>378</v>
      </c>
      <c r="M3" t="s">
        <v>3605</v>
      </c>
    </row>
    <row r="4" spans="1:13" x14ac:dyDescent="0.45">
      <c r="A4" t="s">
        <v>3601</v>
      </c>
      <c r="B4">
        <v>2724</v>
      </c>
      <c r="C4">
        <v>2921</v>
      </c>
      <c r="E4" t="s">
        <v>14</v>
      </c>
      <c r="F4" t="s">
        <v>1004</v>
      </c>
      <c r="H4">
        <v>83703834</v>
      </c>
      <c r="I4" t="s">
        <v>17</v>
      </c>
      <c r="K4" t="s">
        <v>3606</v>
      </c>
      <c r="L4">
        <v>65</v>
      </c>
      <c r="M4" t="s">
        <v>3607</v>
      </c>
    </row>
    <row r="5" spans="1:13" x14ac:dyDescent="0.45">
      <c r="A5" t="s">
        <v>3601</v>
      </c>
      <c r="B5">
        <v>3045</v>
      </c>
      <c r="C5">
        <v>3407</v>
      </c>
      <c r="E5" t="s">
        <v>14</v>
      </c>
      <c r="F5" t="s">
        <v>139</v>
      </c>
      <c r="H5">
        <v>83703835</v>
      </c>
      <c r="I5" t="s">
        <v>17</v>
      </c>
      <c r="K5" t="s">
        <v>3608</v>
      </c>
      <c r="L5">
        <v>120</v>
      </c>
      <c r="M5" t="s">
        <v>3609</v>
      </c>
    </row>
    <row r="6" spans="1:13" x14ac:dyDescent="0.45">
      <c r="A6" t="s">
        <v>3601</v>
      </c>
      <c r="B6">
        <v>3491</v>
      </c>
      <c r="C6">
        <v>4606</v>
      </c>
      <c r="E6" t="s">
        <v>14</v>
      </c>
      <c r="F6" t="s">
        <v>1002</v>
      </c>
      <c r="G6" t="s">
        <v>1003</v>
      </c>
      <c r="H6">
        <v>83703836</v>
      </c>
      <c r="I6" t="s">
        <v>17</v>
      </c>
      <c r="K6" t="s">
        <v>3610</v>
      </c>
      <c r="L6">
        <v>371</v>
      </c>
      <c r="M6" t="s">
        <v>3611</v>
      </c>
    </row>
    <row r="7" spans="1:13" x14ac:dyDescent="0.45">
      <c r="A7" t="s">
        <v>3601</v>
      </c>
      <c r="B7">
        <v>4765</v>
      </c>
      <c r="C7">
        <v>5334</v>
      </c>
      <c r="E7" t="s">
        <v>14</v>
      </c>
      <c r="F7" t="s">
        <v>156</v>
      </c>
      <c r="G7" t="s">
        <v>157</v>
      </c>
      <c r="H7">
        <v>83703837</v>
      </c>
      <c r="I7" t="s">
        <v>17</v>
      </c>
      <c r="K7" t="s">
        <v>3612</v>
      </c>
      <c r="L7">
        <v>189</v>
      </c>
      <c r="M7" t="s">
        <v>3613</v>
      </c>
    </row>
    <row r="8" spans="1:13" x14ac:dyDescent="0.45">
      <c r="A8" t="s">
        <v>3601</v>
      </c>
      <c r="B8">
        <v>5337</v>
      </c>
      <c r="C8">
        <v>8831</v>
      </c>
      <c r="E8" t="s">
        <v>14</v>
      </c>
      <c r="F8" t="s">
        <v>158</v>
      </c>
      <c r="G8" t="s">
        <v>159</v>
      </c>
      <c r="H8">
        <v>83703838</v>
      </c>
      <c r="I8" t="s">
        <v>17</v>
      </c>
      <c r="K8" t="s">
        <v>3614</v>
      </c>
      <c r="L8">
        <v>1164</v>
      </c>
      <c r="M8" t="s">
        <v>3615</v>
      </c>
    </row>
    <row r="9" spans="1:13" x14ac:dyDescent="0.45">
      <c r="A9" t="s">
        <v>3601</v>
      </c>
      <c r="B9">
        <v>8800</v>
      </c>
      <c r="C9">
        <v>10311</v>
      </c>
      <c r="E9" t="s">
        <v>14</v>
      </c>
      <c r="F9" t="s">
        <v>386</v>
      </c>
      <c r="H9">
        <v>83703839</v>
      </c>
      <c r="I9" t="s">
        <v>17</v>
      </c>
      <c r="K9" t="s">
        <v>3616</v>
      </c>
      <c r="L9">
        <v>503</v>
      </c>
      <c r="M9" t="s">
        <v>3617</v>
      </c>
    </row>
    <row r="10" spans="1:13" x14ac:dyDescent="0.45">
      <c r="A10" t="s">
        <v>3601</v>
      </c>
      <c r="B10">
        <v>10342</v>
      </c>
      <c r="C10">
        <v>10614</v>
      </c>
      <c r="E10" t="s">
        <v>14</v>
      </c>
      <c r="F10" t="s">
        <v>160</v>
      </c>
      <c r="H10">
        <v>83703840</v>
      </c>
      <c r="I10" t="s">
        <v>17</v>
      </c>
      <c r="K10" t="s">
        <v>3618</v>
      </c>
      <c r="L10">
        <v>90</v>
      </c>
      <c r="M10" t="s">
        <v>3619</v>
      </c>
    </row>
    <row r="11" spans="1:13" x14ac:dyDescent="0.45">
      <c r="A11" t="s">
        <v>3601</v>
      </c>
      <c r="B11">
        <v>10601</v>
      </c>
      <c r="C11">
        <v>10972</v>
      </c>
      <c r="E11" t="s">
        <v>14</v>
      </c>
      <c r="F11" t="s">
        <v>3620</v>
      </c>
      <c r="H11">
        <v>83703841</v>
      </c>
      <c r="I11" t="s">
        <v>17</v>
      </c>
      <c r="K11" t="s">
        <v>3621</v>
      </c>
      <c r="L11">
        <v>123</v>
      </c>
      <c r="M11" t="s">
        <v>3622</v>
      </c>
    </row>
    <row r="12" spans="1:13" x14ac:dyDescent="0.45">
      <c r="A12" t="s">
        <v>3601</v>
      </c>
      <c r="B12">
        <v>10982</v>
      </c>
      <c r="C12">
        <v>11101</v>
      </c>
      <c r="E12" t="s">
        <v>14</v>
      </c>
      <c r="F12" t="s">
        <v>3623</v>
      </c>
      <c r="H12">
        <v>83705877</v>
      </c>
      <c r="I12" t="s">
        <v>17</v>
      </c>
      <c r="K12" t="s">
        <v>3624</v>
      </c>
      <c r="L12">
        <v>39</v>
      </c>
      <c r="M12" t="s">
        <v>3625</v>
      </c>
    </row>
    <row r="13" spans="1:13" x14ac:dyDescent="0.45">
      <c r="A13" t="s">
        <v>3601</v>
      </c>
      <c r="B13">
        <v>11114</v>
      </c>
      <c r="C13">
        <v>12400</v>
      </c>
      <c r="E13" t="s">
        <v>14</v>
      </c>
      <c r="F13" t="s">
        <v>678</v>
      </c>
      <c r="H13">
        <v>83703842</v>
      </c>
      <c r="I13" t="s">
        <v>17</v>
      </c>
      <c r="K13" t="s">
        <v>3626</v>
      </c>
      <c r="L13">
        <v>428</v>
      </c>
      <c r="M13" t="s">
        <v>3627</v>
      </c>
    </row>
    <row r="14" spans="1:13" x14ac:dyDescent="0.45">
      <c r="A14" t="s">
        <v>3601</v>
      </c>
      <c r="B14">
        <v>12397</v>
      </c>
      <c r="C14">
        <v>13680</v>
      </c>
      <c r="E14" t="s">
        <v>14</v>
      </c>
      <c r="F14" t="s">
        <v>162</v>
      </c>
      <c r="G14" t="s">
        <v>163</v>
      </c>
      <c r="H14">
        <v>83703843</v>
      </c>
      <c r="I14" t="s">
        <v>17</v>
      </c>
      <c r="K14" t="s">
        <v>3628</v>
      </c>
      <c r="L14">
        <v>427</v>
      </c>
      <c r="M14" t="s">
        <v>3629</v>
      </c>
    </row>
    <row r="15" spans="1:13" x14ac:dyDescent="0.45">
      <c r="A15" t="s">
        <v>3601</v>
      </c>
      <c r="B15">
        <v>13685</v>
      </c>
      <c r="C15">
        <v>14227</v>
      </c>
      <c r="E15" t="s">
        <v>14</v>
      </c>
      <c r="F15" t="s">
        <v>423</v>
      </c>
      <c r="G15" t="s">
        <v>424</v>
      </c>
      <c r="H15">
        <v>83703844</v>
      </c>
      <c r="I15" t="s">
        <v>17</v>
      </c>
      <c r="K15" t="s">
        <v>3630</v>
      </c>
      <c r="L15">
        <v>180</v>
      </c>
      <c r="M15" t="s">
        <v>3631</v>
      </c>
    </row>
    <row r="16" spans="1:13" x14ac:dyDescent="0.45">
      <c r="A16" t="s">
        <v>3601</v>
      </c>
      <c r="B16">
        <v>14249</v>
      </c>
      <c r="C16">
        <v>16222</v>
      </c>
      <c r="E16" t="s">
        <v>14</v>
      </c>
      <c r="F16" t="s">
        <v>164</v>
      </c>
      <c r="G16" t="s">
        <v>165</v>
      </c>
      <c r="H16">
        <v>83703845</v>
      </c>
      <c r="I16" t="s">
        <v>17</v>
      </c>
      <c r="K16" t="s">
        <v>3632</v>
      </c>
      <c r="L16">
        <v>657</v>
      </c>
      <c r="M16" t="s">
        <v>3633</v>
      </c>
    </row>
    <row r="17" spans="1:13" x14ac:dyDescent="0.45">
      <c r="A17" t="s">
        <v>3601</v>
      </c>
      <c r="B17">
        <v>16381</v>
      </c>
      <c r="C17">
        <v>17775</v>
      </c>
      <c r="E17" t="s">
        <v>14</v>
      </c>
      <c r="F17" t="s">
        <v>148</v>
      </c>
      <c r="H17">
        <v>83703846</v>
      </c>
      <c r="I17" t="s">
        <v>17</v>
      </c>
      <c r="K17" t="s">
        <v>3634</v>
      </c>
      <c r="L17">
        <v>464</v>
      </c>
      <c r="M17" t="s">
        <v>3635</v>
      </c>
    </row>
    <row r="18" spans="1:13" x14ac:dyDescent="0.45">
      <c r="A18" t="s">
        <v>3601</v>
      </c>
      <c r="B18">
        <v>18031</v>
      </c>
      <c r="C18">
        <v>19579</v>
      </c>
      <c r="E18" t="s">
        <v>14</v>
      </c>
      <c r="F18" t="s">
        <v>64</v>
      </c>
      <c r="H18">
        <v>83703847</v>
      </c>
      <c r="I18" t="s">
        <v>65</v>
      </c>
      <c r="M18" t="s">
        <v>3636</v>
      </c>
    </row>
    <row r="19" spans="1:13" x14ac:dyDescent="0.45">
      <c r="A19" t="s">
        <v>3601</v>
      </c>
      <c r="B19">
        <v>19635</v>
      </c>
      <c r="C19">
        <v>19707</v>
      </c>
      <c r="E19" t="s">
        <v>14</v>
      </c>
      <c r="F19" t="s">
        <v>349</v>
      </c>
      <c r="H19">
        <v>83703848</v>
      </c>
      <c r="I19" t="s">
        <v>44</v>
      </c>
      <c r="M19" t="s">
        <v>3637</v>
      </c>
    </row>
    <row r="20" spans="1:13" x14ac:dyDescent="0.45">
      <c r="A20" t="s">
        <v>3601</v>
      </c>
      <c r="B20">
        <v>20018</v>
      </c>
      <c r="C20">
        <v>22917</v>
      </c>
      <c r="E20" t="s">
        <v>14</v>
      </c>
      <c r="F20" t="s">
        <v>66</v>
      </c>
      <c r="H20">
        <v>83703849</v>
      </c>
      <c r="I20" t="s">
        <v>65</v>
      </c>
      <c r="M20" t="s">
        <v>3638</v>
      </c>
    </row>
    <row r="21" spans="1:13" x14ac:dyDescent="0.45">
      <c r="A21" t="s">
        <v>3601</v>
      </c>
      <c r="B21">
        <v>23002</v>
      </c>
      <c r="C21">
        <v>23117</v>
      </c>
      <c r="E21" t="s">
        <v>14</v>
      </c>
      <c r="F21" t="s">
        <v>67</v>
      </c>
      <c r="G21" t="s">
        <v>68</v>
      </c>
      <c r="H21">
        <v>83703850</v>
      </c>
      <c r="I21" t="s">
        <v>65</v>
      </c>
      <c r="M21" t="s">
        <v>3639</v>
      </c>
    </row>
    <row r="22" spans="1:13" x14ac:dyDescent="0.45">
      <c r="A22" t="s">
        <v>3601</v>
      </c>
      <c r="B22">
        <v>23132</v>
      </c>
      <c r="C22">
        <v>23204</v>
      </c>
      <c r="E22" t="s">
        <v>14</v>
      </c>
      <c r="F22" t="s">
        <v>350</v>
      </c>
      <c r="H22">
        <v>83703851</v>
      </c>
      <c r="I22" t="s">
        <v>44</v>
      </c>
      <c r="M22" t="s">
        <v>3640</v>
      </c>
    </row>
    <row r="23" spans="1:13" x14ac:dyDescent="0.45">
      <c r="A23" t="s">
        <v>3601</v>
      </c>
      <c r="B23">
        <v>23218</v>
      </c>
      <c r="C23">
        <v>23290</v>
      </c>
      <c r="E23" t="s">
        <v>14</v>
      </c>
      <c r="F23" t="s">
        <v>354</v>
      </c>
      <c r="H23">
        <v>83703852</v>
      </c>
      <c r="I23" t="s">
        <v>44</v>
      </c>
      <c r="M23" t="s">
        <v>3641</v>
      </c>
    </row>
    <row r="24" spans="1:13" x14ac:dyDescent="0.45">
      <c r="A24" t="s">
        <v>3601</v>
      </c>
      <c r="B24">
        <v>23294</v>
      </c>
      <c r="C24">
        <v>23366</v>
      </c>
      <c r="E24" t="s">
        <v>14</v>
      </c>
      <c r="F24" t="s">
        <v>73</v>
      </c>
      <c r="H24">
        <v>83703853</v>
      </c>
      <c r="I24" t="s">
        <v>44</v>
      </c>
      <c r="M24" t="s">
        <v>3642</v>
      </c>
    </row>
    <row r="25" spans="1:13" x14ac:dyDescent="0.45">
      <c r="A25" t="s">
        <v>3601</v>
      </c>
      <c r="B25">
        <v>23372</v>
      </c>
      <c r="C25">
        <v>23453</v>
      </c>
      <c r="E25" t="s">
        <v>14</v>
      </c>
      <c r="F25" t="s">
        <v>351</v>
      </c>
      <c r="H25">
        <v>83703854</v>
      </c>
      <c r="I25" t="s">
        <v>44</v>
      </c>
      <c r="M25" t="s">
        <v>3643</v>
      </c>
    </row>
    <row r="26" spans="1:13" x14ac:dyDescent="0.45">
      <c r="A26" t="s">
        <v>3601</v>
      </c>
      <c r="B26">
        <v>23462</v>
      </c>
      <c r="C26">
        <v>23534</v>
      </c>
      <c r="E26" t="s">
        <v>14</v>
      </c>
      <c r="F26" t="s">
        <v>43</v>
      </c>
      <c r="H26">
        <v>83703855</v>
      </c>
      <c r="I26" t="s">
        <v>44</v>
      </c>
      <c r="M26" t="s">
        <v>3644</v>
      </c>
    </row>
    <row r="27" spans="1:13" x14ac:dyDescent="0.45">
      <c r="A27" t="s">
        <v>3601</v>
      </c>
      <c r="B27">
        <v>23546</v>
      </c>
      <c r="C27">
        <v>23617</v>
      </c>
      <c r="E27" t="s">
        <v>14</v>
      </c>
      <c r="F27" t="s">
        <v>116</v>
      </c>
      <c r="H27">
        <v>83703856</v>
      </c>
      <c r="I27" t="s">
        <v>44</v>
      </c>
      <c r="M27" t="s">
        <v>3645</v>
      </c>
    </row>
    <row r="28" spans="1:13" x14ac:dyDescent="0.45">
      <c r="A28" t="s">
        <v>3601</v>
      </c>
      <c r="B28">
        <v>23626</v>
      </c>
      <c r="C28">
        <v>23710</v>
      </c>
      <c r="E28" t="s">
        <v>14</v>
      </c>
      <c r="F28" t="s">
        <v>351</v>
      </c>
      <c r="H28">
        <v>83703857</v>
      </c>
      <c r="I28" t="s">
        <v>44</v>
      </c>
      <c r="M28" t="s">
        <v>3646</v>
      </c>
    </row>
    <row r="29" spans="1:13" x14ac:dyDescent="0.45">
      <c r="A29" t="s">
        <v>3601</v>
      </c>
      <c r="B29">
        <v>23725</v>
      </c>
      <c r="C29">
        <v>23798</v>
      </c>
      <c r="E29" t="s">
        <v>14</v>
      </c>
      <c r="F29" t="s">
        <v>352</v>
      </c>
      <c r="H29">
        <v>83703858</v>
      </c>
      <c r="I29" t="s">
        <v>44</v>
      </c>
      <c r="M29" t="s">
        <v>3647</v>
      </c>
    </row>
    <row r="30" spans="1:13" x14ac:dyDescent="0.45">
      <c r="A30" t="s">
        <v>3601</v>
      </c>
      <c r="B30">
        <v>23805</v>
      </c>
      <c r="C30">
        <v>23878</v>
      </c>
      <c r="E30" t="s">
        <v>14</v>
      </c>
      <c r="F30" t="s">
        <v>172</v>
      </c>
      <c r="H30">
        <v>83703859</v>
      </c>
      <c r="I30" t="s">
        <v>44</v>
      </c>
      <c r="M30" t="s">
        <v>3648</v>
      </c>
    </row>
    <row r="31" spans="1:13" x14ac:dyDescent="0.45">
      <c r="A31" t="s">
        <v>3601</v>
      </c>
      <c r="B31">
        <v>23889</v>
      </c>
      <c r="C31">
        <v>23962</v>
      </c>
      <c r="E31" t="s">
        <v>14</v>
      </c>
      <c r="F31" t="s">
        <v>353</v>
      </c>
      <c r="H31">
        <v>83703860</v>
      </c>
      <c r="I31" t="s">
        <v>44</v>
      </c>
      <c r="M31" t="s">
        <v>3649</v>
      </c>
    </row>
    <row r="32" spans="1:13" x14ac:dyDescent="0.45">
      <c r="A32" t="s">
        <v>3601</v>
      </c>
      <c r="B32">
        <v>23983</v>
      </c>
      <c r="C32">
        <v>24056</v>
      </c>
      <c r="E32" t="s">
        <v>14</v>
      </c>
      <c r="F32" t="s">
        <v>348</v>
      </c>
      <c r="H32">
        <v>83703861</v>
      </c>
      <c r="I32" t="s">
        <v>44</v>
      </c>
      <c r="M32" t="s">
        <v>3650</v>
      </c>
    </row>
    <row r="33" spans="1:13" x14ac:dyDescent="0.45">
      <c r="A33" t="s">
        <v>3601</v>
      </c>
      <c r="B33">
        <v>24064</v>
      </c>
      <c r="C33">
        <v>24153</v>
      </c>
      <c r="E33" t="s">
        <v>14</v>
      </c>
      <c r="F33" t="s">
        <v>356</v>
      </c>
      <c r="H33">
        <v>83703862</v>
      </c>
      <c r="I33" t="s">
        <v>44</v>
      </c>
      <c r="M33" t="s">
        <v>3651</v>
      </c>
    </row>
    <row r="34" spans="1:13" x14ac:dyDescent="0.45">
      <c r="A34" t="s">
        <v>3601</v>
      </c>
      <c r="B34">
        <v>24165</v>
      </c>
      <c r="C34">
        <v>24238</v>
      </c>
      <c r="E34" t="s">
        <v>14</v>
      </c>
      <c r="F34" t="s">
        <v>353</v>
      </c>
      <c r="H34">
        <v>83703863</v>
      </c>
      <c r="I34" t="s">
        <v>44</v>
      </c>
      <c r="M34" t="s">
        <v>3652</v>
      </c>
    </row>
    <row r="35" spans="1:13" x14ac:dyDescent="0.45">
      <c r="A35" t="s">
        <v>3601</v>
      </c>
      <c r="B35">
        <v>24263</v>
      </c>
      <c r="C35">
        <v>24335</v>
      </c>
      <c r="E35" t="s">
        <v>14</v>
      </c>
      <c r="F35" t="s">
        <v>355</v>
      </c>
      <c r="H35">
        <v>83703864</v>
      </c>
      <c r="I35" t="s">
        <v>44</v>
      </c>
      <c r="M35" t="s">
        <v>3653</v>
      </c>
    </row>
    <row r="36" spans="1:13" x14ac:dyDescent="0.45">
      <c r="A36" t="s">
        <v>3601</v>
      </c>
      <c r="B36">
        <v>24341</v>
      </c>
      <c r="C36">
        <v>24411</v>
      </c>
      <c r="E36" t="s">
        <v>14</v>
      </c>
      <c r="F36" t="s">
        <v>116</v>
      </c>
      <c r="H36">
        <v>83703865</v>
      </c>
      <c r="I36" t="s">
        <v>44</v>
      </c>
      <c r="M36" t="s">
        <v>3654</v>
      </c>
    </row>
    <row r="37" spans="1:13" x14ac:dyDescent="0.45">
      <c r="A37" t="s">
        <v>3601</v>
      </c>
      <c r="B37">
        <v>24441</v>
      </c>
      <c r="C37">
        <v>24514</v>
      </c>
      <c r="E37" t="s">
        <v>14</v>
      </c>
      <c r="F37" t="s">
        <v>348</v>
      </c>
      <c r="H37">
        <v>83703866</v>
      </c>
      <c r="I37" t="s">
        <v>44</v>
      </c>
      <c r="M37" t="s">
        <v>3655</v>
      </c>
    </row>
    <row r="38" spans="1:13" x14ac:dyDescent="0.45">
      <c r="A38" t="s">
        <v>3601</v>
      </c>
      <c r="B38">
        <v>24524</v>
      </c>
      <c r="C38">
        <v>24611</v>
      </c>
      <c r="E38" t="s">
        <v>14</v>
      </c>
      <c r="F38" t="s">
        <v>356</v>
      </c>
      <c r="H38">
        <v>83703867</v>
      </c>
      <c r="I38" t="s">
        <v>44</v>
      </c>
      <c r="M38" t="s">
        <v>3656</v>
      </c>
    </row>
    <row r="39" spans="1:13" x14ac:dyDescent="0.45">
      <c r="A39" t="s">
        <v>3601</v>
      </c>
      <c r="B39">
        <v>24634</v>
      </c>
      <c r="C39">
        <v>25485</v>
      </c>
      <c r="E39" t="s">
        <v>14</v>
      </c>
      <c r="F39" t="s">
        <v>549</v>
      </c>
      <c r="G39" t="s">
        <v>550</v>
      </c>
      <c r="H39">
        <v>83703868</v>
      </c>
      <c r="I39" t="s">
        <v>17</v>
      </c>
      <c r="K39" t="s">
        <v>3657</v>
      </c>
      <c r="L39">
        <v>283</v>
      </c>
      <c r="M39" t="s">
        <v>3658</v>
      </c>
    </row>
    <row r="40" spans="1:13" x14ac:dyDescent="0.45">
      <c r="A40" t="s">
        <v>3601</v>
      </c>
      <c r="B40">
        <v>25488</v>
      </c>
      <c r="C40">
        <v>25991</v>
      </c>
      <c r="E40" t="s">
        <v>14</v>
      </c>
      <c r="F40" t="s">
        <v>551</v>
      </c>
      <c r="G40" t="s">
        <v>552</v>
      </c>
      <c r="H40">
        <v>83703869</v>
      </c>
      <c r="I40" t="s">
        <v>17</v>
      </c>
      <c r="K40" t="s">
        <v>3659</v>
      </c>
      <c r="L40">
        <v>167</v>
      </c>
      <c r="M40" t="s">
        <v>3660</v>
      </c>
    </row>
    <row r="41" spans="1:13" x14ac:dyDescent="0.45">
      <c r="A41" t="s">
        <v>3601</v>
      </c>
      <c r="B41">
        <v>26087</v>
      </c>
      <c r="C41">
        <v>27265</v>
      </c>
      <c r="E41" t="s">
        <v>14</v>
      </c>
      <c r="F41" t="s">
        <v>3661</v>
      </c>
      <c r="G41" t="s">
        <v>3662</v>
      </c>
      <c r="H41">
        <v>83703870</v>
      </c>
      <c r="I41" t="s">
        <v>17</v>
      </c>
      <c r="K41" t="s">
        <v>3663</v>
      </c>
      <c r="L41">
        <v>392</v>
      </c>
      <c r="M41" t="s">
        <v>3664</v>
      </c>
    </row>
    <row r="42" spans="1:13" x14ac:dyDescent="0.45">
      <c r="A42" t="s">
        <v>3601</v>
      </c>
      <c r="B42">
        <v>27370</v>
      </c>
      <c r="C42">
        <v>28332</v>
      </c>
      <c r="E42" t="s">
        <v>14</v>
      </c>
      <c r="F42" t="s">
        <v>93</v>
      </c>
      <c r="H42">
        <v>83703871</v>
      </c>
      <c r="I42" t="s">
        <v>17</v>
      </c>
      <c r="K42" t="s">
        <v>3665</v>
      </c>
      <c r="L42">
        <v>320</v>
      </c>
      <c r="M42" t="s">
        <v>3666</v>
      </c>
    </row>
    <row r="43" spans="1:13" x14ac:dyDescent="0.45">
      <c r="A43" t="s">
        <v>3601</v>
      </c>
      <c r="B43">
        <v>28691</v>
      </c>
      <c r="C43">
        <v>29461</v>
      </c>
      <c r="E43" t="s">
        <v>14</v>
      </c>
      <c r="F43" t="s">
        <v>741</v>
      </c>
      <c r="G43" t="s">
        <v>742</v>
      </c>
      <c r="H43">
        <v>83703872</v>
      </c>
      <c r="I43" t="s">
        <v>17</v>
      </c>
      <c r="K43" t="s">
        <v>3667</v>
      </c>
      <c r="L43">
        <v>256</v>
      </c>
      <c r="M43" t="s">
        <v>3668</v>
      </c>
    </row>
    <row r="44" spans="1:13" x14ac:dyDescent="0.45">
      <c r="A44" t="s">
        <v>3601</v>
      </c>
      <c r="B44">
        <v>29577</v>
      </c>
      <c r="C44">
        <v>30584</v>
      </c>
      <c r="E44" t="s">
        <v>14</v>
      </c>
      <c r="F44" t="s">
        <v>819</v>
      </c>
      <c r="G44" t="s">
        <v>820</v>
      </c>
      <c r="H44">
        <v>83703873</v>
      </c>
      <c r="I44" t="s">
        <v>17</v>
      </c>
      <c r="K44" t="s">
        <v>3669</v>
      </c>
      <c r="L44">
        <v>335</v>
      </c>
      <c r="M44" t="s">
        <v>3670</v>
      </c>
    </row>
    <row r="45" spans="1:13" x14ac:dyDescent="0.45">
      <c r="A45" t="s">
        <v>3601</v>
      </c>
      <c r="B45">
        <v>30577</v>
      </c>
      <c r="C45">
        <v>30825</v>
      </c>
      <c r="E45" t="s">
        <v>14</v>
      </c>
      <c r="F45" t="s">
        <v>3671</v>
      </c>
      <c r="H45">
        <v>83703874</v>
      </c>
      <c r="I45" t="s">
        <v>17</v>
      </c>
      <c r="K45" t="s">
        <v>3672</v>
      </c>
      <c r="L45">
        <v>82</v>
      </c>
      <c r="M45" t="s">
        <v>3673</v>
      </c>
    </row>
    <row r="46" spans="1:13" x14ac:dyDescent="0.45">
      <c r="A46" t="s">
        <v>3601</v>
      </c>
      <c r="B46">
        <v>30973</v>
      </c>
      <c r="C46">
        <v>31683</v>
      </c>
      <c r="E46" t="s">
        <v>14</v>
      </c>
      <c r="F46" t="s">
        <v>946</v>
      </c>
      <c r="G46" t="s">
        <v>947</v>
      </c>
      <c r="H46">
        <v>83703875</v>
      </c>
      <c r="I46" t="s">
        <v>17</v>
      </c>
      <c r="K46" t="s">
        <v>3674</v>
      </c>
      <c r="L46">
        <v>236</v>
      </c>
      <c r="M46" t="s">
        <v>3675</v>
      </c>
    </row>
    <row r="47" spans="1:13" x14ac:dyDescent="0.45">
      <c r="A47" t="s">
        <v>3601</v>
      </c>
      <c r="B47">
        <v>31862</v>
      </c>
      <c r="C47">
        <v>35602</v>
      </c>
      <c r="E47" t="s">
        <v>14</v>
      </c>
      <c r="F47" t="s">
        <v>3676</v>
      </c>
      <c r="H47">
        <v>83703876</v>
      </c>
      <c r="I47" t="s">
        <v>17</v>
      </c>
      <c r="K47" t="s">
        <v>3677</v>
      </c>
      <c r="L47">
        <v>1246</v>
      </c>
      <c r="M47" t="s">
        <v>3678</v>
      </c>
    </row>
    <row r="48" spans="1:13" x14ac:dyDescent="0.45">
      <c r="A48" t="s">
        <v>3601</v>
      </c>
      <c r="B48">
        <v>35721</v>
      </c>
      <c r="C48">
        <v>37178</v>
      </c>
      <c r="E48" t="s">
        <v>14</v>
      </c>
      <c r="F48" t="s">
        <v>944</v>
      </c>
      <c r="G48" t="s">
        <v>945</v>
      </c>
      <c r="H48">
        <v>83703877</v>
      </c>
      <c r="I48" t="s">
        <v>17</v>
      </c>
      <c r="K48" t="s">
        <v>3679</v>
      </c>
      <c r="L48">
        <v>485</v>
      </c>
      <c r="M48" t="s">
        <v>3680</v>
      </c>
    </row>
    <row r="49" spans="1:13" x14ac:dyDescent="0.45">
      <c r="A49" t="s">
        <v>3601</v>
      </c>
      <c r="B49">
        <v>37235</v>
      </c>
      <c r="C49">
        <v>38257</v>
      </c>
      <c r="E49" t="s">
        <v>14</v>
      </c>
      <c r="F49" t="s">
        <v>942</v>
      </c>
      <c r="G49" t="s">
        <v>943</v>
      </c>
      <c r="H49">
        <v>83703878</v>
      </c>
      <c r="I49" t="s">
        <v>17</v>
      </c>
      <c r="K49" t="s">
        <v>3681</v>
      </c>
      <c r="L49">
        <v>340</v>
      </c>
      <c r="M49" t="s">
        <v>3682</v>
      </c>
    </row>
    <row r="50" spans="1:13" x14ac:dyDescent="0.45">
      <c r="A50" t="s">
        <v>3601</v>
      </c>
      <c r="B50">
        <v>38254</v>
      </c>
      <c r="C50">
        <v>38811</v>
      </c>
      <c r="E50" t="s">
        <v>14</v>
      </c>
      <c r="F50" t="s">
        <v>940</v>
      </c>
      <c r="G50" t="s">
        <v>941</v>
      </c>
      <c r="H50">
        <v>83703879</v>
      </c>
      <c r="I50" t="s">
        <v>17</v>
      </c>
      <c r="K50" t="s">
        <v>3683</v>
      </c>
      <c r="L50">
        <v>185</v>
      </c>
      <c r="M50" t="s">
        <v>3684</v>
      </c>
    </row>
    <row r="51" spans="1:13" x14ac:dyDescent="0.45">
      <c r="A51" t="s">
        <v>3601</v>
      </c>
      <c r="B51">
        <v>38958</v>
      </c>
      <c r="C51">
        <v>40505</v>
      </c>
      <c r="E51" t="s">
        <v>14</v>
      </c>
      <c r="F51" t="s">
        <v>938</v>
      </c>
      <c r="G51" t="s">
        <v>939</v>
      </c>
      <c r="H51">
        <v>83703880</v>
      </c>
      <c r="I51" t="s">
        <v>17</v>
      </c>
      <c r="K51" t="s">
        <v>3685</v>
      </c>
      <c r="L51">
        <v>515</v>
      </c>
      <c r="M51" t="s">
        <v>3686</v>
      </c>
    </row>
    <row r="52" spans="1:13" x14ac:dyDescent="0.45">
      <c r="A52" t="s">
        <v>3601</v>
      </c>
      <c r="B52">
        <v>40684</v>
      </c>
      <c r="C52">
        <v>41943</v>
      </c>
      <c r="E52" t="s">
        <v>42</v>
      </c>
      <c r="F52" t="s">
        <v>3687</v>
      </c>
      <c r="H52">
        <v>83703881</v>
      </c>
      <c r="I52" t="s">
        <v>17</v>
      </c>
      <c r="K52" t="s">
        <v>3688</v>
      </c>
      <c r="L52">
        <v>419</v>
      </c>
      <c r="M52" t="s">
        <v>3689</v>
      </c>
    </row>
    <row r="53" spans="1:13" x14ac:dyDescent="0.45">
      <c r="A53" t="s">
        <v>3601</v>
      </c>
      <c r="B53">
        <v>42306</v>
      </c>
      <c r="C53">
        <v>43460</v>
      </c>
      <c r="E53" t="s">
        <v>42</v>
      </c>
      <c r="F53" t="s">
        <v>1038</v>
      </c>
      <c r="H53">
        <v>83703882</v>
      </c>
      <c r="I53" t="s">
        <v>17</v>
      </c>
      <c r="K53" t="s">
        <v>3690</v>
      </c>
      <c r="L53">
        <v>384</v>
      </c>
      <c r="M53" t="s">
        <v>3691</v>
      </c>
    </row>
    <row r="54" spans="1:13" x14ac:dyDescent="0.45">
      <c r="A54" t="s">
        <v>3601</v>
      </c>
      <c r="B54">
        <v>43816</v>
      </c>
      <c r="C54">
        <v>45114</v>
      </c>
      <c r="E54" t="s">
        <v>14</v>
      </c>
      <c r="F54" t="s">
        <v>936</v>
      </c>
      <c r="G54" t="s">
        <v>937</v>
      </c>
      <c r="H54">
        <v>83703883</v>
      </c>
      <c r="I54" t="s">
        <v>17</v>
      </c>
      <c r="K54" t="s">
        <v>3692</v>
      </c>
      <c r="L54">
        <v>432</v>
      </c>
      <c r="M54" t="s">
        <v>3693</v>
      </c>
    </row>
    <row r="55" spans="1:13" x14ac:dyDescent="0.45">
      <c r="A55" t="s">
        <v>3601</v>
      </c>
      <c r="B55">
        <v>45306</v>
      </c>
      <c r="C55">
        <v>45794</v>
      </c>
      <c r="E55" t="s">
        <v>14</v>
      </c>
      <c r="F55" t="s">
        <v>950</v>
      </c>
      <c r="G55" t="s">
        <v>951</v>
      </c>
      <c r="H55">
        <v>83703884</v>
      </c>
      <c r="I55" t="s">
        <v>17</v>
      </c>
      <c r="K55" t="s">
        <v>3694</v>
      </c>
      <c r="L55">
        <v>162</v>
      </c>
      <c r="M55" t="s">
        <v>3695</v>
      </c>
    </row>
    <row r="56" spans="1:13" x14ac:dyDescent="0.45">
      <c r="A56" t="s">
        <v>3601</v>
      </c>
      <c r="B56">
        <v>45781</v>
      </c>
      <c r="C56">
        <v>46872</v>
      </c>
      <c r="E56" t="s">
        <v>14</v>
      </c>
      <c r="F56" t="s">
        <v>948</v>
      </c>
      <c r="G56" t="s">
        <v>949</v>
      </c>
      <c r="H56">
        <v>83703885</v>
      </c>
      <c r="I56" t="s">
        <v>17</v>
      </c>
      <c r="K56" t="s">
        <v>3696</v>
      </c>
      <c r="L56">
        <v>363</v>
      </c>
      <c r="M56" t="s">
        <v>3697</v>
      </c>
    </row>
    <row r="57" spans="1:13" x14ac:dyDescent="0.45">
      <c r="A57" t="s">
        <v>3601</v>
      </c>
      <c r="B57">
        <v>46882</v>
      </c>
      <c r="C57">
        <v>47106</v>
      </c>
      <c r="E57" t="s">
        <v>14</v>
      </c>
      <c r="F57" t="s">
        <v>45</v>
      </c>
      <c r="H57">
        <v>83703886</v>
      </c>
      <c r="I57" t="s">
        <v>17</v>
      </c>
      <c r="K57" t="s">
        <v>3698</v>
      </c>
      <c r="L57">
        <v>74</v>
      </c>
      <c r="M57" t="s">
        <v>3699</v>
      </c>
    </row>
    <row r="58" spans="1:13" x14ac:dyDescent="0.45">
      <c r="A58" t="s">
        <v>3601</v>
      </c>
      <c r="B58">
        <v>47149</v>
      </c>
      <c r="C58">
        <v>47421</v>
      </c>
      <c r="E58" t="s">
        <v>14</v>
      </c>
      <c r="F58" t="s">
        <v>45</v>
      </c>
      <c r="H58">
        <v>301046570</v>
      </c>
      <c r="I58" t="s">
        <v>17</v>
      </c>
      <c r="K58" t="s">
        <v>3700</v>
      </c>
      <c r="L58">
        <v>90</v>
      </c>
      <c r="M58" t="s">
        <v>3701</v>
      </c>
    </row>
    <row r="59" spans="1:13" x14ac:dyDescent="0.45">
      <c r="A59" t="s">
        <v>3601</v>
      </c>
      <c r="B59">
        <v>47560</v>
      </c>
      <c r="C59">
        <v>48852</v>
      </c>
      <c r="E59" t="s">
        <v>14</v>
      </c>
      <c r="F59" t="s">
        <v>1017</v>
      </c>
      <c r="G59" t="s">
        <v>1018</v>
      </c>
      <c r="H59">
        <v>83703887</v>
      </c>
      <c r="I59" t="s">
        <v>17</v>
      </c>
      <c r="K59" t="s">
        <v>3702</v>
      </c>
      <c r="L59">
        <v>430</v>
      </c>
      <c r="M59" t="s">
        <v>3703</v>
      </c>
    </row>
    <row r="60" spans="1:13" x14ac:dyDescent="0.45">
      <c r="A60" t="s">
        <v>3601</v>
      </c>
      <c r="B60">
        <v>49149</v>
      </c>
      <c r="C60">
        <v>50063</v>
      </c>
      <c r="E60" t="s">
        <v>14</v>
      </c>
      <c r="F60" t="s">
        <v>139</v>
      </c>
      <c r="H60">
        <v>83703888</v>
      </c>
      <c r="I60" t="s">
        <v>17</v>
      </c>
      <c r="K60" t="s">
        <v>3704</v>
      </c>
      <c r="L60">
        <v>304</v>
      </c>
      <c r="M60" t="s">
        <v>3705</v>
      </c>
    </row>
    <row r="61" spans="1:13" x14ac:dyDescent="0.45">
      <c r="A61" t="s">
        <v>3601</v>
      </c>
      <c r="B61">
        <v>50146</v>
      </c>
      <c r="C61">
        <v>50244</v>
      </c>
      <c r="E61" t="s">
        <v>14</v>
      </c>
      <c r="F61" t="s">
        <v>3706</v>
      </c>
      <c r="H61">
        <v>301046571</v>
      </c>
      <c r="I61" t="s">
        <v>17</v>
      </c>
      <c r="K61" t="s">
        <v>3707</v>
      </c>
      <c r="L61">
        <v>32</v>
      </c>
      <c r="M61" t="s">
        <v>3708</v>
      </c>
    </row>
    <row r="62" spans="1:13" x14ac:dyDescent="0.45">
      <c r="A62" t="s">
        <v>3601</v>
      </c>
      <c r="B62">
        <v>50278</v>
      </c>
      <c r="C62">
        <v>51279</v>
      </c>
      <c r="E62" t="s">
        <v>14</v>
      </c>
      <c r="F62" t="s">
        <v>325</v>
      </c>
      <c r="G62" t="s">
        <v>326</v>
      </c>
      <c r="H62">
        <v>83703889</v>
      </c>
      <c r="I62" t="s">
        <v>17</v>
      </c>
      <c r="K62" t="s">
        <v>3709</v>
      </c>
      <c r="L62">
        <v>333</v>
      </c>
      <c r="M62" t="s">
        <v>3710</v>
      </c>
    </row>
    <row r="63" spans="1:13" x14ac:dyDescent="0.45">
      <c r="A63" t="s">
        <v>3601</v>
      </c>
      <c r="B63">
        <v>51572</v>
      </c>
      <c r="C63">
        <v>52030</v>
      </c>
      <c r="E63" t="s">
        <v>14</v>
      </c>
      <c r="F63" t="s">
        <v>501</v>
      </c>
      <c r="H63">
        <v>83703890</v>
      </c>
      <c r="I63" t="s">
        <v>17</v>
      </c>
      <c r="K63" t="s">
        <v>3711</v>
      </c>
      <c r="L63">
        <v>152</v>
      </c>
      <c r="M63" t="s">
        <v>3712</v>
      </c>
    </row>
    <row r="64" spans="1:13" x14ac:dyDescent="0.45">
      <c r="A64" t="s">
        <v>3601</v>
      </c>
      <c r="B64">
        <v>52036</v>
      </c>
      <c r="C64">
        <v>52437</v>
      </c>
      <c r="E64" t="s">
        <v>14</v>
      </c>
      <c r="F64" t="s">
        <v>3713</v>
      </c>
      <c r="H64">
        <v>83703891</v>
      </c>
      <c r="I64" t="s">
        <v>17</v>
      </c>
      <c r="K64" t="s">
        <v>3714</v>
      </c>
      <c r="L64">
        <v>133</v>
      </c>
      <c r="M64" t="s">
        <v>3715</v>
      </c>
    </row>
    <row r="65" spans="1:13" x14ac:dyDescent="0.45">
      <c r="A65" t="s">
        <v>3601</v>
      </c>
      <c r="B65">
        <v>52434</v>
      </c>
      <c r="C65">
        <v>54215</v>
      </c>
      <c r="E65" t="s">
        <v>14</v>
      </c>
      <c r="F65" t="s">
        <v>1012</v>
      </c>
      <c r="H65">
        <v>83703892</v>
      </c>
      <c r="I65" t="s">
        <v>17</v>
      </c>
      <c r="K65" t="s">
        <v>3716</v>
      </c>
      <c r="L65">
        <v>593</v>
      </c>
      <c r="M65" t="s">
        <v>3717</v>
      </c>
    </row>
    <row r="66" spans="1:13" x14ac:dyDescent="0.45">
      <c r="A66" t="s">
        <v>3601</v>
      </c>
      <c r="B66">
        <v>54636</v>
      </c>
      <c r="C66">
        <v>57278</v>
      </c>
      <c r="E66" t="s">
        <v>14</v>
      </c>
      <c r="F66" t="s">
        <v>373</v>
      </c>
      <c r="G66" t="s">
        <v>374</v>
      </c>
      <c r="H66">
        <v>83703893</v>
      </c>
      <c r="I66" t="s">
        <v>17</v>
      </c>
      <c r="K66" t="s">
        <v>3718</v>
      </c>
      <c r="L66">
        <v>880</v>
      </c>
      <c r="M66" t="s">
        <v>3719</v>
      </c>
    </row>
    <row r="67" spans="1:13" x14ac:dyDescent="0.45">
      <c r="A67" t="s">
        <v>3601</v>
      </c>
      <c r="B67">
        <v>57773</v>
      </c>
      <c r="C67">
        <v>58825</v>
      </c>
      <c r="E67" t="s">
        <v>14</v>
      </c>
      <c r="F67" t="s">
        <v>3720</v>
      </c>
      <c r="H67">
        <v>83703894</v>
      </c>
      <c r="I67" t="s">
        <v>17</v>
      </c>
      <c r="K67" t="s">
        <v>3721</v>
      </c>
      <c r="L67">
        <v>350</v>
      </c>
      <c r="M67" t="s">
        <v>3722</v>
      </c>
    </row>
    <row r="68" spans="1:13" x14ac:dyDescent="0.45">
      <c r="A68" t="s">
        <v>3601</v>
      </c>
      <c r="B68">
        <v>59028</v>
      </c>
      <c r="C68">
        <v>60044</v>
      </c>
      <c r="E68" t="s">
        <v>14</v>
      </c>
      <c r="F68" t="s">
        <v>3723</v>
      </c>
      <c r="G68" t="s">
        <v>3724</v>
      </c>
      <c r="H68">
        <v>83703895</v>
      </c>
      <c r="I68" t="s">
        <v>17</v>
      </c>
      <c r="K68" t="s">
        <v>3725</v>
      </c>
      <c r="L68">
        <v>338</v>
      </c>
      <c r="M68" t="s">
        <v>3726</v>
      </c>
    </row>
    <row r="69" spans="1:13" x14ac:dyDescent="0.45">
      <c r="A69" t="s">
        <v>3601</v>
      </c>
      <c r="B69">
        <v>60745</v>
      </c>
      <c r="C69">
        <v>62337</v>
      </c>
      <c r="E69" t="s">
        <v>14</v>
      </c>
      <c r="F69" t="s">
        <v>55</v>
      </c>
      <c r="H69">
        <v>83703896</v>
      </c>
      <c r="I69" t="s">
        <v>17</v>
      </c>
      <c r="K69" t="s">
        <v>3727</v>
      </c>
      <c r="L69">
        <v>530</v>
      </c>
      <c r="M69" t="s">
        <v>3728</v>
      </c>
    </row>
    <row r="70" spans="1:13" x14ac:dyDescent="0.45">
      <c r="A70" t="s">
        <v>3601</v>
      </c>
      <c r="B70">
        <v>62508</v>
      </c>
      <c r="C70">
        <v>62963</v>
      </c>
      <c r="E70" t="s">
        <v>14</v>
      </c>
      <c r="F70" t="s">
        <v>45</v>
      </c>
      <c r="H70">
        <v>83703897</v>
      </c>
      <c r="I70" t="s">
        <v>17</v>
      </c>
      <c r="K70" t="s">
        <v>3729</v>
      </c>
      <c r="L70">
        <v>151</v>
      </c>
      <c r="M70" t="s">
        <v>3730</v>
      </c>
    </row>
    <row r="71" spans="1:13" x14ac:dyDescent="0.45">
      <c r="A71" t="s">
        <v>3601</v>
      </c>
      <c r="B71">
        <v>62947</v>
      </c>
      <c r="C71">
        <v>63810</v>
      </c>
      <c r="E71" t="s">
        <v>42</v>
      </c>
      <c r="F71" t="s">
        <v>139</v>
      </c>
      <c r="H71">
        <v>83703898</v>
      </c>
      <c r="I71" t="s">
        <v>17</v>
      </c>
      <c r="K71" t="s">
        <v>3731</v>
      </c>
      <c r="L71">
        <v>287</v>
      </c>
      <c r="M71" t="s">
        <v>3732</v>
      </c>
    </row>
    <row r="72" spans="1:13" x14ac:dyDescent="0.45">
      <c r="A72" t="s">
        <v>3601</v>
      </c>
      <c r="B72">
        <v>64456</v>
      </c>
      <c r="C72">
        <v>64722</v>
      </c>
      <c r="E72" t="s">
        <v>14</v>
      </c>
      <c r="F72" t="s">
        <v>45</v>
      </c>
      <c r="H72">
        <v>83703899</v>
      </c>
      <c r="I72" t="s">
        <v>17</v>
      </c>
      <c r="K72" t="s">
        <v>3733</v>
      </c>
      <c r="L72">
        <v>88</v>
      </c>
      <c r="M72" t="s">
        <v>3734</v>
      </c>
    </row>
    <row r="73" spans="1:13" x14ac:dyDescent="0.45">
      <c r="A73" t="s">
        <v>3601</v>
      </c>
      <c r="B73">
        <v>64912</v>
      </c>
      <c r="C73">
        <v>66396</v>
      </c>
      <c r="E73" t="s">
        <v>14</v>
      </c>
      <c r="F73" t="s">
        <v>755</v>
      </c>
      <c r="G73" t="s">
        <v>756</v>
      </c>
      <c r="H73">
        <v>83703900</v>
      </c>
      <c r="I73" t="s">
        <v>17</v>
      </c>
      <c r="K73" t="s">
        <v>3735</v>
      </c>
      <c r="L73">
        <v>494</v>
      </c>
      <c r="M73" t="s">
        <v>3736</v>
      </c>
    </row>
    <row r="74" spans="1:13" x14ac:dyDescent="0.45">
      <c r="A74" t="s">
        <v>3601</v>
      </c>
      <c r="B74">
        <v>66436</v>
      </c>
      <c r="C74">
        <v>67737</v>
      </c>
      <c r="E74" t="s">
        <v>14</v>
      </c>
      <c r="F74" t="s">
        <v>955</v>
      </c>
      <c r="H74">
        <v>83703901</v>
      </c>
      <c r="I74" t="s">
        <v>17</v>
      </c>
      <c r="K74" t="s">
        <v>3737</v>
      </c>
      <c r="L74">
        <v>433</v>
      </c>
      <c r="M74" t="s">
        <v>3738</v>
      </c>
    </row>
    <row r="75" spans="1:13" x14ac:dyDescent="0.45">
      <c r="A75" t="s">
        <v>3601</v>
      </c>
      <c r="B75">
        <v>67940</v>
      </c>
      <c r="C75">
        <v>68893</v>
      </c>
      <c r="E75" t="s">
        <v>42</v>
      </c>
      <c r="F75" t="s">
        <v>3739</v>
      </c>
      <c r="H75">
        <v>83703902</v>
      </c>
      <c r="I75" t="s">
        <v>17</v>
      </c>
      <c r="K75" t="s">
        <v>3740</v>
      </c>
      <c r="L75">
        <v>317</v>
      </c>
      <c r="M75" t="s">
        <v>3741</v>
      </c>
    </row>
    <row r="76" spans="1:13" x14ac:dyDescent="0.45">
      <c r="A76" t="s">
        <v>3601</v>
      </c>
      <c r="B76">
        <v>69203</v>
      </c>
      <c r="C76">
        <v>69511</v>
      </c>
      <c r="E76" t="s">
        <v>14</v>
      </c>
      <c r="F76" t="s">
        <v>184</v>
      </c>
      <c r="G76" t="s">
        <v>185</v>
      </c>
      <c r="H76">
        <v>83703903</v>
      </c>
      <c r="I76" t="s">
        <v>17</v>
      </c>
      <c r="K76" t="s">
        <v>3742</v>
      </c>
      <c r="L76">
        <v>102</v>
      </c>
      <c r="M76" t="s">
        <v>3743</v>
      </c>
    </row>
    <row r="77" spans="1:13" x14ac:dyDescent="0.45">
      <c r="A77" t="s">
        <v>3601</v>
      </c>
      <c r="B77">
        <v>69809</v>
      </c>
      <c r="C77">
        <v>70435</v>
      </c>
      <c r="E77" t="s">
        <v>14</v>
      </c>
      <c r="F77" t="s">
        <v>186</v>
      </c>
      <c r="G77" t="s">
        <v>187</v>
      </c>
      <c r="H77">
        <v>83703904</v>
      </c>
      <c r="I77" t="s">
        <v>17</v>
      </c>
      <c r="K77" t="s">
        <v>3744</v>
      </c>
      <c r="L77">
        <v>208</v>
      </c>
      <c r="M77" t="s">
        <v>3745</v>
      </c>
    </row>
    <row r="78" spans="1:13" x14ac:dyDescent="0.45">
      <c r="A78" t="s">
        <v>3601</v>
      </c>
      <c r="B78">
        <v>70460</v>
      </c>
      <c r="C78">
        <v>71083</v>
      </c>
      <c r="E78" t="s">
        <v>14</v>
      </c>
      <c r="F78" t="s">
        <v>188</v>
      </c>
      <c r="G78" t="s">
        <v>189</v>
      </c>
      <c r="H78">
        <v>83703905</v>
      </c>
      <c r="I78" t="s">
        <v>17</v>
      </c>
      <c r="K78" t="s">
        <v>3746</v>
      </c>
      <c r="L78">
        <v>207</v>
      </c>
      <c r="M78" t="s">
        <v>3747</v>
      </c>
    </row>
    <row r="79" spans="1:13" x14ac:dyDescent="0.45">
      <c r="A79" t="s">
        <v>3601</v>
      </c>
      <c r="B79">
        <v>71083</v>
      </c>
      <c r="C79">
        <v>71379</v>
      </c>
      <c r="E79" t="s">
        <v>14</v>
      </c>
      <c r="F79" t="s">
        <v>190</v>
      </c>
      <c r="H79">
        <v>83703906</v>
      </c>
      <c r="I79" t="s">
        <v>17</v>
      </c>
      <c r="K79" t="s">
        <v>3748</v>
      </c>
      <c r="L79">
        <v>98</v>
      </c>
      <c r="M79" t="s">
        <v>3749</v>
      </c>
    </row>
    <row r="80" spans="1:13" x14ac:dyDescent="0.45">
      <c r="A80" t="s">
        <v>3601</v>
      </c>
      <c r="B80">
        <v>71397</v>
      </c>
      <c r="C80">
        <v>72230</v>
      </c>
      <c r="E80" t="s">
        <v>14</v>
      </c>
      <c r="F80" t="s">
        <v>191</v>
      </c>
      <c r="G80" t="s">
        <v>192</v>
      </c>
      <c r="H80">
        <v>83703907</v>
      </c>
      <c r="I80" t="s">
        <v>17</v>
      </c>
      <c r="K80" t="s">
        <v>3750</v>
      </c>
      <c r="L80">
        <v>277</v>
      </c>
      <c r="M80" t="s">
        <v>3751</v>
      </c>
    </row>
    <row r="81" spans="1:13" x14ac:dyDescent="0.45">
      <c r="A81" t="s">
        <v>3601</v>
      </c>
      <c r="B81">
        <v>72342</v>
      </c>
      <c r="C81">
        <v>72620</v>
      </c>
      <c r="E81" t="s">
        <v>14</v>
      </c>
      <c r="F81" t="s">
        <v>3752</v>
      </c>
      <c r="G81" t="s">
        <v>193</v>
      </c>
      <c r="H81">
        <v>83703908</v>
      </c>
      <c r="I81" t="s">
        <v>17</v>
      </c>
      <c r="K81" t="s">
        <v>3753</v>
      </c>
      <c r="L81">
        <v>92</v>
      </c>
      <c r="M81" t="s">
        <v>3754</v>
      </c>
    </row>
    <row r="82" spans="1:13" x14ac:dyDescent="0.45">
      <c r="A82" t="s">
        <v>3601</v>
      </c>
      <c r="B82">
        <v>72636</v>
      </c>
      <c r="C82">
        <v>72980</v>
      </c>
      <c r="E82" t="s">
        <v>14</v>
      </c>
      <c r="F82" t="s">
        <v>194</v>
      </c>
      <c r="G82" t="s">
        <v>195</v>
      </c>
      <c r="H82">
        <v>83703909</v>
      </c>
      <c r="I82" t="s">
        <v>17</v>
      </c>
      <c r="K82" t="s">
        <v>3755</v>
      </c>
      <c r="L82">
        <v>114</v>
      </c>
      <c r="M82" t="s">
        <v>3756</v>
      </c>
    </row>
    <row r="83" spans="1:13" x14ac:dyDescent="0.45">
      <c r="A83" t="s">
        <v>3601</v>
      </c>
      <c r="B83">
        <v>72993</v>
      </c>
      <c r="C83">
        <v>73646</v>
      </c>
      <c r="E83" t="s">
        <v>14</v>
      </c>
      <c r="F83" t="s">
        <v>196</v>
      </c>
      <c r="G83" t="s">
        <v>197</v>
      </c>
      <c r="H83">
        <v>83703910</v>
      </c>
      <c r="I83" t="s">
        <v>17</v>
      </c>
      <c r="K83" t="s">
        <v>3757</v>
      </c>
      <c r="L83">
        <v>217</v>
      </c>
      <c r="M83" t="s">
        <v>3758</v>
      </c>
    </row>
    <row r="84" spans="1:13" x14ac:dyDescent="0.45">
      <c r="A84" t="s">
        <v>3601</v>
      </c>
      <c r="B84">
        <v>73650</v>
      </c>
      <c r="C84">
        <v>74063</v>
      </c>
      <c r="E84" t="s">
        <v>14</v>
      </c>
      <c r="F84" t="s">
        <v>198</v>
      </c>
      <c r="G84" t="s">
        <v>199</v>
      </c>
      <c r="H84">
        <v>83703911</v>
      </c>
      <c r="I84" t="s">
        <v>17</v>
      </c>
      <c r="K84" t="s">
        <v>3759</v>
      </c>
      <c r="L84">
        <v>137</v>
      </c>
      <c r="M84" t="s">
        <v>3760</v>
      </c>
    </row>
    <row r="85" spans="1:13" x14ac:dyDescent="0.45">
      <c r="A85" t="s">
        <v>3601</v>
      </c>
      <c r="B85">
        <v>74073</v>
      </c>
      <c r="C85">
        <v>74279</v>
      </c>
      <c r="E85" t="s">
        <v>14</v>
      </c>
      <c r="F85" t="s">
        <v>200</v>
      </c>
      <c r="G85" t="s">
        <v>201</v>
      </c>
      <c r="H85">
        <v>83703912</v>
      </c>
      <c r="I85" t="s">
        <v>17</v>
      </c>
      <c r="K85" t="s">
        <v>3761</v>
      </c>
      <c r="L85">
        <v>68</v>
      </c>
      <c r="M85" t="s">
        <v>3762</v>
      </c>
    </row>
    <row r="86" spans="1:13" x14ac:dyDescent="0.45">
      <c r="A86" t="s">
        <v>3601</v>
      </c>
      <c r="B86">
        <v>74304</v>
      </c>
      <c r="C86">
        <v>74567</v>
      </c>
      <c r="E86" t="s">
        <v>14</v>
      </c>
      <c r="F86" t="s">
        <v>202</v>
      </c>
      <c r="G86" t="s">
        <v>203</v>
      </c>
      <c r="H86">
        <v>83703913</v>
      </c>
      <c r="I86" t="s">
        <v>17</v>
      </c>
      <c r="K86" t="s">
        <v>3763</v>
      </c>
      <c r="L86">
        <v>87</v>
      </c>
      <c r="M86" t="s">
        <v>3764</v>
      </c>
    </row>
    <row r="87" spans="1:13" x14ac:dyDescent="0.45">
      <c r="A87" t="s">
        <v>3601</v>
      </c>
      <c r="B87">
        <v>74592</v>
      </c>
      <c r="C87">
        <v>74960</v>
      </c>
      <c r="E87" t="s">
        <v>14</v>
      </c>
      <c r="F87" t="s">
        <v>204</v>
      </c>
      <c r="G87" t="s">
        <v>205</v>
      </c>
      <c r="H87">
        <v>83703914</v>
      </c>
      <c r="I87" t="s">
        <v>17</v>
      </c>
      <c r="K87" t="s">
        <v>3765</v>
      </c>
      <c r="L87">
        <v>122</v>
      </c>
      <c r="M87" t="s">
        <v>3766</v>
      </c>
    </row>
    <row r="88" spans="1:13" x14ac:dyDescent="0.45">
      <c r="A88" t="s">
        <v>3601</v>
      </c>
      <c r="B88">
        <v>75044</v>
      </c>
      <c r="C88">
        <v>75349</v>
      </c>
      <c r="E88" t="s">
        <v>14</v>
      </c>
      <c r="F88" t="s">
        <v>206</v>
      </c>
      <c r="G88" t="s">
        <v>207</v>
      </c>
      <c r="H88">
        <v>83703915</v>
      </c>
      <c r="I88" t="s">
        <v>17</v>
      </c>
      <c r="K88" t="s">
        <v>3767</v>
      </c>
      <c r="L88">
        <v>101</v>
      </c>
      <c r="M88" t="s">
        <v>3768</v>
      </c>
    </row>
    <row r="89" spans="1:13" x14ac:dyDescent="0.45">
      <c r="A89" t="s">
        <v>3601</v>
      </c>
      <c r="B89">
        <v>75373</v>
      </c>
      <c r="C89">
        <v>75915</v>
      </c>
      <c r="E89" t="s">
        <v>14</v>
      </c>
      <c r="F89" t="s">
        <v>208</v>
      </c>
      <c r="G89" t="s">
        <v>209</v>
      </c>
      <c r="H89">
        <v>83703916</v>
      </c>
      <c r="I89" t="s">
        <v>17</v>
      </c>
      <c r="K89" t="s">
        <v>3769</v>
      </c>
      <c r="L89">
        <v>180</v>
      </c>
      <c r="M89" t="s">
        <v>3770</v>
      </c>
    </row>
    <row r="90" spans="1:13" x14ac:dyDescent="0.45">
      <c r="A90" t="s">
        <v>3601</v>
      </c>
      <c r="B90">
        <v>75931</v>
      </c>
      <c r="C90">
        <v>76116</v>
      </c>
      <c r="E90" t="s">
        <v>14</v>
      </c>
      <c r="F90" t="s">
        <v>210</v>
      </c>
      <c r="H90">
        <v>83703917</v>
      </c>
      <c r="I90" t="s">
        <v>17</v>
      </c>
      <c r="K90" t="s">
        <v>3771</v>
      </c>
      <c r="L90">
        <v>61</v>
      </c>
      <c r="M90" t="s">
        <v>3772</v>
      </c>
    </row>
    <row r="91" spans="1:13" x14ac:dyDescent="0.45">
      <c r="A91" t="s">
        <v>3601</v>
      </c>
      <c r="B91">
        <v>76489</v>
      </c>
      <c r="C91">
        <v>76887</v>
      </c>
      <c r="E91" t="s">
        <v>14</v>
      </c>
      <c r="F91" t="s">
        <v>211</v>
      </c>
      <c r="G91" t="s">
        <v>212</v>
      </c>
      <c r="H91">
        <v>83703918</v>
      </c>
      <c r="I91" t="s">
        <v>17</v>
      </c>
      <c r="K91" t="s">
        <v>3773</v>
      </c>
      <c r="L91">
        <v>132</v>
      </c>
      <c r="M91" t="s">
        <v>3774</v>
      </c>
    </row>
    <row r="92" spans="1:13" x14ac:dyDescent="0.45">
      <c r="A92" t="s">
        <v>3601</v>
      </c>
      <c r="B92">
        <v>77210</v>
      </c>
      <c r="C92">
        <v>77746</v>
      </c>
      <c r="E92" t="s">
        <v>14</v>
      </c>
      <c r="F92" t="s">
        <v>213</v>
      </c>
      <c r="G92" t="s">
        <v>214</v>
      </c>
      <c r="H92">
        <v>83703919</v>
      </c>
      <c r="I92" t="s">
        <v>17</v>
      </c>
      <c r="K92" t="s">
        <v>3775</v>
      </c>
      <c r="L92">
        <v>178</v>
      </c>
      <c r="M92" t="s">
        <v>3776</v>
      </c>
    </row>
    <row r="93" spans="1:13" x14ac:dyDescent="0.45">
      <c r="A93" t="s">
        <v>3601</v>
      </c>
      <c r="B93">
        <v>77849</v>
      </c>
      <c r="C93">
        <v>78205</v>
      </c>
      <c r="E93" t="s">
        <v>14</v>
      </c>
      <c r="F93" t="s">
        <v>215</v>
      </c>
      <c r="G93" t="s">
        <v>216</v>
      </c>
      <c r="H93">
        <v>83703920</v>
      </c>
      <c r="I93" t="s">
        <v>17</v>
      </c>
      <c r="K93" t="s">
        <v>3777</v>
      </c>
      <c r="L93">
        <v>118</v>
      </c>
      <c r="M93" t="s">
        <v>3778</v>
      </c>
    </row>
    <row r="94" spans="1:13" x14ac:dyDescent="0.45">
      <c r="A94" t="s">
        <v>3601</v>
      </c>
      <c r="B94">
        <v>78224</v>
      </c>
      <c r="C94">
        <v>78718</v>
      </c>
      <c r="E94" t="s">
        <v>14</v>
      </c>
      <c r="F94" t="s">
        <v>217</v>
      </c>
      <c r="G94" t="s">
        <v>218</v>
      </c>
      <c r="H94">
        <v>83703921</v>
      </c>
      <c r="I94" t="s">
        <v>17</v>
      </c>
      <c r="K94" t="s">
        <v>3779</v>
      </c>
      <c r="L94">
        <v>164</v>
      </c>
      <c r="M94" t="s">
        <v>3780</v>
      </c>
    </row>
    <row r="95" spans="1:13" x14ac:dyDescent="0.45">
      <c r="A95" t="s">
        <v>3601</v>
      </c>
      <c r="B95">
        <v>78733</v>
      </c>
      <c r="C95">
        <v>78915</v>
      </c>
      <c r="E95" t="s">
        <v>14</v>
      </c>
      <c r="F95" t="s">
        <v>219</v>
      </c>
      <c r="G95" t="s">
        <v>220</v>
      </c>
      <c r="H95">
        <v>83703922</v>
      </c>
      <c r="I95" t="s">
        <v>17</v>
      </c>
      <c r="K95" t="s">
        <v>3781</v>
      </c>
      <c r="L95">
        <v>60</v>
      </c>
      <c r="M95" t="s">
        <v>3782</v>
      </c>
    </row>
    <row r="96" spans="1:13" x14ac:dyDescent="0.45">
      <c r="A96" t="s">
        <v>3601</v>
      </c>
      <c r="B96">
        <v>79116</v>
      </c>
      <c r="C96">
        <v>79556</v>
      </c>
      <c r="E96" t="s">
        <v>14</v>
      </c>
      <c r="F96" t="s">
        <v>221</v>
      </c>
      <c r="G96" t="s">
        <v>222</v>
      </c>
      <c r="H96">
        <v>83703923</v>
      </c>
      <c r="I96" t="s">
        <v>17</v>
      </c>
      <c r="K96" t="s">
        <v>3783</v>
      </c>
      <c r="L96">
        <v>146</v>
      </c>
      <c r="M96" t="s">
        <v>3784</v>
      </c>
    </row>
    <row r="97" spans="1:13" x14ac:dyDescent="0.45">
      <c r="A97" t="s">
        <v>3601</v>
      </c>
      <c r="B97">
        <v>79573</v>
      </c>
      <c r="C97">
        <v>80877</v>
      </c>
      <c r="E97" t="s">
        <v>14</v>
      </c>
      <c r="F97" t="s">
        <v>223</v>
      </c>
      <c r="G97" t="s">
        <v>224</v>
      </c>
      <c r="H97">
        <v>83703924</v>
      </c>
      <c r="I97" t="s">
        <v>17</v>
      </c>
      <c r="K97" t="s">
        <v>3785</v>
      </c>
      <c r="L97">
        <v>434</v>
      </c>
      <c r="M97" t="s">
        <v>3786</v>
      </c>
    </row>
    <row r="98" spans="1:13" x14ac:dyDescent="0.45">
      <c r="A98" t="s">
        <v>3601</v>
      </c>
      <c r="B98">
        <v>81029</v>
      </c>
      <c r="C98">
        <v>81670</v>
      </c>
      <c r="E98" t="s">
        <v>14</v>
      </c>
      <c r="F98" t="s">
        <v>225</v>
      </c>
      <c r="H98">
        <v>83703925</v>
      </c>
      <c r="I98" t="s">
        <v>17</v>
      </c>
      <c r="K98" t="s">
        <v>3787</v>
      </c>
      <c r="L98">
        <v>213</v>
      </c>
      <c r="M98" t="s">
        <v>3788</v>
      </c>
    </row>
    <row r="99" spans="1:13" x14ac:dyDescent="0.45">
      <c r="A99" t="s">
        <v>3601</v>
      </c>
      <c r="B99">
        <v>81788</v>
      </c>
      <c r="C99">
        <v>82006</v>
      </c>
      <c r="E99" t="s">
        <v>14</v>
      </c>
      <c r="F99" t="s">
        <v>226</v>
      </c>
      <c r="G99" t="s">
        <v>227</v>
      </c>
      <c r="H99">
        <v>83703926</v>
      </c>
      <c r="I99" t="s">
        <v>17</v>
      </c>
      <c r="K99" t="s">
        <v>3789</v>
      </c>
      <c r="L99">
        <v>72</v>
      </c>
      <c r="M99" t="s">
        <v>3790</v>
      </c>
    </row>
    <row r="100" spans="1:13" x14ac:dyDescent="0.45">
      <c r="A100" t="s">
        <v>3601</v>
      </c>
      <c r="B100">
        <v>82032</v>
      </c>
      <c r="C100">
        <v>82148</v>
      </c>
      <c r="E100" t="s">
        <v>14</v>
      </c>
      <c r="F100" t="s">
        <v>228</v>
      </c>
      <c r="G100" t="s">
        <v>229</v>
      </c>
      <c r="H100">
        <v>83703927</v>
      </c>
      <c r="I100" t="s">
        <v>17</v>
      </c>
      <c r="K100" t="s">
        <v>3791</v>
      </c>
      <c r="L100">
        <v>38</v>
      </c>
      <c r="M100" t="s">
        <v>3792</v>
      </c>
    </row>
    <row r="101" spans="1:13" x14ac:dyDescent="0.45">
      <c r="A101" t="s">
        <v>3601</v>
      </c>
      <c r="B101">
        <v>82166</v>
      </c>
      <c r="C101">
        <v>82531</v>
      </c>
      <c r="E101" t="s">
        <v>14</v>
      </c>
      <c r="F101" t="s">
        <v>230</v>
      </c>
      <c r="G101" t="s">
        <v>231</v>
      </c>
      <c r="H101">
        <v>83703928</v>
      </c>
      <c r="I101" t="s">
        <v>17</v>
      </c>
      <c r="K101" t="s">
        <v>3793</v>
      </c>
      <c r="L101">
        <v>121</v>
      </c>
      <c r="M101" t="s">
        <v>3794</v>
      </c>
    </row>
    <row r="102" spans="1:13" x14ac:dyDescent="0.45">
      <c r="A102" t="s">
        <v>3601</v>
      </c>
      <c r="B102">
        <v>82549</v>
      </c>
      <c r="C102">
        <v>82932</v>
      </c>
      <c r="E102" t="s">
        <v>14</v>
      </c>
      <c r="F102" t="s">
        <v>232</v>
      </c>
      <c r="G102" t="s">
        <v>233</v>
      </c>
      <c r="H102">
        <v>83703929</v>
      </c>
      <c r="I102" t="s">
        <v>17</v>
      </c>
      <c r="K102" t="s">
        <v>3795</v>
      </c>
      <c r="L102">
        <v>127</v>
      </c>
      <c r="M102" t="s">
        <v>3796</v>
      </c>
    </row>
    <row r="103" spans="1:13" x14ac:dyDescent="0.45">
      <c r="A103" t="s">
        <v>3601</v>
      </c>
      <c r="B103">
        <v>82979</v>
      </c>
      <c r="C103">
        <v>83917</v>
      </c>
      <c r="E103" t="s">
        <v>14</v>
      </c>
      <c r="F103" t="s">
        <v>234</v>
      </c>
      <c r="H103">
        <v>83703930</v>
      </c>
      <c r="I103" t="s">
        <v>17</v>
      </c>
      <c r="K103" t="s">
        <v>3797</v>
      </c>
      <c r="L103">
        <v>312</v>
      </c>
      <c r="M103" t="s">
        <v>3798</v>
      </c>
    </row>
    <row r="104" spans="1:13" x14ac:dyDescent="0.45">
      <c r="A104" t="s">
        <v>3601</v>
      </c>
      <c r="B104">
        <v>83932</v>
      </c>
      <c r="C104">
        <v>84318</v>
      </c>
      <c r="E104" t="s">
        <v>14</v>
      </c>
      <c r="F104" t="s">
        <v>235</v>
      </c>
      <c r="G104" t="s">
        <v>236</v>
      </c>
      <c r="H104">
        <v>83703931</v>
      </c>
      <c r="I104" t="s">
        <v>17</v>
      </c>
      <c r="K104" t="s">
        <v>3799</v>
      </c>
      <c r="L104">
        <v>128</v>
      </c>
      <c r="M104" t="s">
        <v>3800</v>
      </c>
    </row>
    <row r="105" spans="1:13" x14ac:dyDescent="0.45">
      <c r="A105" t="s">
        <v>3601</v>
      </c>
      <c r="B105">
        <v>84552</v>
      </c>
      <c r="C105">
        <v>84784</v>
      </c>
      <c r="E105" t="s">
        <v>42</v>
      </c>
      <c r="F105" t="s">
        <v>51</v>
      </c>
      <c r="H105">
        <v>83703932</v>
      </c>
      <c r="I105" t="s">
        <v>52</v>
      </c>
      <c r="M105" t="s">
        <v>3801</v>
      </c>
    </row>
    <row r="106" spans="1:13" x14ac:dyDescent="0.45">
      <c r="A106" t="s">
        <v>3601</v>
      </c>
      <c r="B106">
        <v>85648</v>
      </c>
      <c r="C106">
        <v>87213</v>
      </c>
      <c r="E106" t="s">
        <v>14</v>
      </c>
      <c r="F106" t="s">
        <v>45</v>
      </c>
      <c r="H106">
        <v>83703933</v>
      </c>
      <c r="I106" t="s">
        <v>17</v>
      </c>
      <c r="K106" t="s">
        <v>3802</v>
      </c>
      <c r="L106">
        <v>521</v>
      </c>
      <c r="M106" t="s">
        <v>3803</v>
      </c>
    </row>
    <row r="107" spans="1:13" x14ac:dyDescent="0.45">
      <c r="A107" t="s">
        <v>3601</v>
      </c>
      <c r="B107">
        <v>87203</v>
      </c>
      <c r="C107">
        <v>88078</v>
      </c>
      <c r="E107" t="s">
        <v>14</v>
      </c>
      <c r="F107" t="s">
        <v>45</v>
      </c>
      <c r="H107">
        <v>83703934</v>
      </c>
      <c r="I107" t="s">
        <v>17</v>
      </c>
      <c r="K107" t="s">
        <v>3804</v>
      </c>
      <c r="L107">
        <v>291</v>
      </c>
      <c r="M107" t="s">
        <v>3805</v>
      </c>
    </row>
    <row r="108" spans="1:13" x14ac:dyDescent="0.45">
      <c r="A108" t="s">
        <v>3601</v>
      </c>
      <c r="B108">
        <v>88099</v>
      </c>
      <c r="C108">
        <v>88392</v>
      </c>
      <c r="E108" t="s">
        <v>14</v>
      </c>
      <c r="F108" t="s">
        <v>3806</v>
      </c>
      <c r="H108">
        <v>83703935</v>
      </c>
      <c r="I108" t="s">
        <v>17</v>
      </c>
      <c r="K108" t="s">
        <v>3807</v>
      </c>
      <c r="L108">
        <v>97</v>
      </c>
      <c r="M108" t="s">
        <v>3808</v>
      </c>
    </row>
    <row r="109" spans="1:13" x14ac:dyDescent="0.45">
      <c r="A109" t="s">
        <v>3601</v>
      </c>
      <c r="B109">
        <v>88837</v>
      </c>
      <c r="C109">
        <v>90385</v>
      </c>
      <c r="E109" t="s">
        <v>14</v>
      </c>
      <c r="F109" t="s">
        <v>64</v>
      </c>
      <c r="H109">
        <v>83703936</v>
      </c>
      <c r="I109" t="s">
        <v>65</v>
      </c>
      <c r="M109" t="s">
        <v>3809</v>
      </c>
    </row>
    <row r="110" spans="1:13" x14ac:dyDescent="0.45">
      <c r="A110" t="s">
        <v>3601</v>
      </c>
      <c r="B110">
        <v>90441</v>
      </c>
      <c r="C110">
        <v>90513</v>
      </c>
      <c r="E110" t="s">
        <v>14</v>
      </c>
      <c r="F110" t="s">
        <v>349</v>
      </c>
      <c r="H110">
        <v>83703937</v>
      </c>
      <c r="I110" t="s">
        <v>44</v>
      </c>
      <c r="M110" t="s">
        <v>3810</v>
      </c>
    </row>
    <row r="111" spans="1:13" x14ac:dyDescent="0.45">
      <c r="A111" t="s">
        <v>3601</v>
      </c>
      <c r="B111">
        <v>90824</v>
      </c>
      <c r="C111">
        <v>93723</v>
      </c>
      <c r="E111" t="s">
        <v>14</v>
      </c>
      <c r="F111" t="s">
        <v>66</v>
      </c>
      <c r="H111">
        <v>83703938</v>
      </c>
      <c r="I111" t="s">
        <v>65</v>
      </c>
      <c r="M111" t="s">
        <v>3811</v>
      </c>
    </row>
    <row r="112" spans="1:13" x14ac:dyDescent="0.45">
      <c r="A112" t="s">
        <v>3601</v>
      </c>
      <c r="B112">
        <v>93808</v>
      </c>
      <c r="C112">
        <v>93923</v>
      </c>
      <c r="E112" t="s">
        <v>14</v>
      </c>
      <c r="F112" t="s">
        <v>67</v>
      </c>
      <c r="G112" t="s">
        <v>68</v>
      </c>
      <c r="H112">
        <v>83703939</v>
      </c>
      <c r="I112" t="s">
        <v>65</v>
      </c>
      <c r="M112" t="s">
        <v>3812</v>
      </c>
    </row>
    <row r="113" spans="1:13" x14ac:dyDescent="0.45">
      <c r="A113" t="s">
        <v>3601</v>
      </c>
      <c r="B113">
        <v>93938</v>
      </c>
      <c r="C113">
        <v>94010</v>
      </c>
      <c r="E113" t="s">
        <v>14</v>
      </c>
      <c r="F113" t="s">
        <v>350</v>
      </c>
      <c r="H113">
        <v>83703940</v>
      </c>
      <c r="I113" t="s">
        <v>44</v>
      </c>
      <c r="M113" t="s">
        <v>3813</v>
      </c>
    </row>
    <row r="114" spans="1:13" x14ac:dyDescent="0.45">
      <c r="A114" t="s">
        <v>3601</v>
      </c>
      <c r="B114">
        <v>94016</v>
      </c>
      <c r="C114">
        <v>94086</v>
      </c>
      <c r="E114" t="s">
        <v>14</v>
      </c>
      <c r="F114" t="s">
        <v>116</v>
      </c>
      <c r="H114">
        <v>83703941</v>
      </c>
      <c r="I114" t="s">
        <v>44</v>
      </c>
      <c r="M114" t="s">
        <v>3814</v>
      </c>
    </row>
    <row r="115" spans="1:13" x14ac:dyDescent="0.45">
      <c r="A115" t="s">
        <v>3601</v>
      </c>
      <c r="B115">
        <v>94116</v>
      </c>
      <c r="C115">
        <v>94189</v>
      </c>
      <c r="E115" t="s">
        <v>14</v>
      </c>
      <c r="F115" t="s">
        <v>348</v>
      </c>
      <c r="H115">
        <v>83703942</v>
      </c>
      <c r="I115" t="s">
        <v>44</v>
      </c>
      <c r="M115" t="s">
        <v>3815</v>
      </c>
    </row>
    <row r="116" spans="1:13" x14ac:dyDescent="0.45">
      <c r="A116" t="s">
        <v>3601</v>
      </c>
      <c r="B116">
        <v>94202</v>
      </c>
      <c r="C116">
        <v>94273</v>
      </c>
      <c r="E116" t="s">
        <v>14</v>
      </c>
      <c r="F116" t="s">
        <v>357</v>
      </c>
      <c r="H116">
        <v>83703943</v>
      </c>
      <c r="I116" t="s">
        <v>44</v>
      </c>
      <c r="M116" t="s">
        <v>3816</v>
      </c>
    </row>
    <row r="117" spans="1:13" x14ac:dyDescent="0.45">
      <c r="A117" t="s">
        <v>3601</v>
      </c>
      <c r="B117">
        <v>94284</v>
      </c>
      <c r="C117">
        <v>94373</v>
      </c>
      <c r="E117" t="s">
        <v>14</v>
      </c>
      <c r="F117" t="s">
        <v>356</v>
      </c>
      <c r="H117">
        <v>83703944</v>
      </c>
      <c r="I117" t="s">
        <v>44</v>
      </c>
      <c r="M117" t="s">
        <v>3817</v>
      </c>
    </row>
    <row r="118" spans="1:13" x14ac:dyDescent="0.45">
      <c r="A118" t="s">
        <v>3601</v>
      </c>
      <c r="B118">
        <v>94385</v>
      </c>
      <c r="C118">
        <v>94458</v>
      </c>
      <c r="E118" t="s">
        <v>14</v>
      </c>
      <c r="F118" t="s">
        <v>353</v>
      </c>
      <c r="H118">
        <v>83703945</v>
      </c>
      <c r="I118" t="s">
        <v>44</v>
      </c>
      <c r="M118" t="s">
        <v>3818</v>
      </c>
    </row>
    <row r="119" spans="1:13" x14ac:dyDescent="0.45">
      <c r="A119" t="s">
        <v>3601</v>
      </c>
      <c r="B119">
        <v>94483</v>
      </c>
      <c r="C119">
        <v>94555</v>
      </c>
      <c r="E119" t="s">
        <v>14</v>
      </c>
      <c r="F119" t="s">
        <v>355</v>
      </c>
      <c r="H119">
        <v>83703946</v>
      </c>
      <c r="I119" t="s">
        <v>44</v>
      </c>
      <c r="M119" t="s">
        <v>3819</v>
      </c>
    </row>
    <row r="120" spans="1:13" x14ac:dyDescent="0.45">
      <c r="A120" t="s">
        <v>3601</v>
      </c>
      <c r="B120">
        <v>94575</v>
      </c>
      <c r="C120">
        <v>94655</v>
      </c>
      <c r="E120" t="s">
        <v>14</v>
      </c>
      <c r="F120" t="s">
        <v>358</v>
      </c>
      <c r="H120">
        <v>83703947</v>
      </c>
      <c r="I120" t="s">
        <v>44</v>
      </c>
      <c r="M120" t="s">
        <v>3820</v>
      </c>
    </row>
    <row r="121" spans="1:13" x14ac:dyDescent="0.45">
      <c r="A121" t="s">
        <v>3601</v>
      </c>
      <c r="B121">
        <v>94662</v>
      </c>
      <c r="C121">
        <v>94732</v>
      </c>
      <c r="E121" t="s">
        <v>14</v>
      </c>
      <c r="F121" t="s">
        <v>359</v>
      </c>
      <c r="H121">
        <v>83703948</v>
      </c>
      <c r="I121" t="s">
        <v>44</v>
      </c>
      <c r="M121" t="s">
        <v>3821</v>
      </c>
    </row>
    <row r="122" spans="1:13" x14ac:dyDescent="0.45">
      <c r="A122" t="s">
        <v>3601</v>
      </c>
      <c r="B122">
        <v>94744</v>
      </c>
      <c r="C122">
        <v>94816</v>
      </c>
      <c r="E122" t="s">
        <v>14</v>
      </c>
      <c r="F122" t="s">
        <v>360</v>
      </c>
      <c r="H122">
        <v>83703949</v>
      </c>
      <c r="I122" t="s">
        <v>44</v>
      </c>
      <c r="M122" t="s">
        <v>3822</v>
      </c>
    </row>
    <row r="123" spans="1:13" x14ac:dyDescent="0.45">
      <c r="A123" t="s">
        <v>3601</v>
      </c>
      <c r="B123">
        <v>94825</v>
      </c>
      <c r="C123">
        <v>94896</v>
      </c>
      <c r="E123" t="s">
        <v>14</v>
      </c>
      <c r="F123" t="s">
        <v>361</v>
      </c>
      <c r="H123">
        <v>83703950</v>
      </c>
      <c r="I123" t="s">
        <v>44</v>
      </c>
      <c r="M123" t="s">
        <v>3823</v>
      </c>
    </row>
    <row r="124" spans="1:13" x14ac:dyDescent="0.45">
      <c r="A124" t="s">
        <v>3601</v>
      </c>
      <c r="B124">
        <v>94915</v>
      </c>
      <c r="C124">
        <v>94998</v>
      </c>
      <c r="E124" t="s">
        <v>14</v>
      </c>
      <c r="F124" t="s">
        <v>351</v>
      </c>
      <c r="H124">
        <v>83703951</v>
      </c>
      <c r="I124" t="s">
        <v>44</v>
      </c>
      <c r="M124" t="s">
        <v>3824</v>
      </c>
    </row>
    <row r="125" spans="1:13" x14ac:dyDescent="0.45">
      <c r="A125" t="s">
        <v>3601</v>
      </c>
      <c r="B125">
        <v>95085</v>
      </c>
      <c r="C125">
        <v>96218</v>
      </c>
      <c r="E125" t="s">
        <v>42</v>
      </c>
      <c r="F125" t="s">
        <v>379</v>
      </c>
      <c r="H125">
        <v>83703952</v>
      </c>
      <c r="I125" t="s">
        <v>17</v>
      </c>
      <c r="K125" t="s">
        <v>3825</v>
      </c>
      <c r="L125">
        <v>377</v>
      </c>
      <c r="M125" t="s">
        <v>3826</v>
      </c>
    </row>
    <row r="126" spans="1:13" x14ac:dyDescent="0.45">
      <c r="A126" t="s">
        <v>3601</v>
      </c>
      <c r="B126">
        <v>96208</v>
      </c>
      <c r="C126">
        <v>96414</v>
      </c>
      <c r="E126" t="s">
        <v>42</v>
      </c>
      <c r="F126" t="s">
        <v>3827</v>
      </c>
      <c r="H126">
        <v>83703953</v>
      </c>
      <c r="I126" t="s">
        <v>17</v>
      </c>
      <c r="K126" t="s">
        <v>3828</v>
      </c>
      <c r="L126">
        <v>68</v>
      </c>
      <c r="M126" t="s">
        <v>3829</v>
      </c>
    </row>
    <row r="127" spans="1:13" x14ac:dyDescent="0.45">
      <c r="A127" t="s">
        <v>3601</v>
      </c>
      <c r="B127">
        <v>96471</v>
      </c>
      <c r="C127">
        <v>97487</v>
      </c>
      <c r="E127" t="s">
        <v>42</v>
      </c>
      <c r="F127" t="s">
        <v>3830</v>
      </c>
      <c r="H127">
        <v>83703954</v>
      </c>
      <c r="I127" t="s">
        <v>17</v>
      </c>
      <c r="K127" t="s">
        <v>3831</v>
      </c>
      <c r="L127">
        <v>338</v>
      </c>
      <c r="M127" t="s">
        <v>3832</v>
      </c>
    </row>
    <row r="128" spans="1:13" x14ac:dyDescent="0.45">
      <c r="A128" t="s">
        <v>3601</v>
      </c>
      <c r="B128">
        <v>97492</v>
      </c>
      <c r="C128">
        <v>97911</v>
      </c>
      <c r="E128" t="s">
        <v>42</v>
      </c>
      <c r="F128" t="s">
        <v>45</v>
      </c>
      <c r="H128">
        <v>83703955</v>
      </c>
      <c r="I128" t="s">
        <v>17</v>
      </c>
      <c r="K128" t="s">
        <v>3833</v>
      </c>
      <c r="L128">
        <v>139</v>
      </c>
      <c r="M128" t="s">
        <v>3834</v>
      </c>
    </row>
    <row r="129" spans="1:13" x14ac:dyDescent="0.45">
      <c r="A129" t="s">
        <v>3601</v>
      </c>
      <c r="B129">
        <v>98189</v>
      </c>
      <c r="C129">
        <v>99286</v>
      </c>
      <c r="E129" t="s">
        <v>42</v>
      </c>
      <c r="F129" t="s">
        <v>3835</v>
      </c>
      <c r="H129">
        <v>83703956</v>
      </c>
      <c r="I129" t="s">
        <v>17</v>
      </c>
      <c r="K129" t="s">
        <v>3836</v>
      </c>
      <c r="L129">
        <v>365</v>
      </c>
      <c r="M129" t="s">
        <v>3837</v>
      </c>
    </row>
    <row r="130" spans="1:13" x14ac:dyDescent="0.45">
      <c r="A130" t="s">
        <v>3601</v>
      </c>
      <c r="B130">
        <v>99516</v>
      </c>
      <c r="C130">
        <v>99764</v>
      </c>
      <c r="E130" t="s">
        <v>42</v>
      </c>
      <c r="F130" t="s">
        <v>45</v>
      </c>
      <c r="H130">
        <v>83703957</v>
      </c>
      <c r="I130" t="s">
        <v>17</v>
      </c>
      <c r="K130" t="s">
        <v>3838</v>
      </c>
      <c r="L130">
        <v>82</v>
      </c>
      <c r="M130" t="s">
        <v>3839</v>
      </c>
    </row>
    <row r="131" spans="1:13" x14ac:dyDescent="0.45">
      <c r="A131" t="s">
        <v>3601</v>
      </c>
      <c r="B131">
        <v>99819</v>
      </c>
      <c r="C131">
        <v>100139</v>
      </c>
      <c r="E131" t="s">
        <v>42</v>
      </c>
      <c r="F131" t="s">
        <v>45</v>
      </c>
      <c r="H131">
        <v>83703958</v>
      </c>
      <c r="I131" t="s">
        <v>17</v>
      </c>
      <c r="K131" t="s">
        <v>3840</v>
      </c>
      <c r="L131">
        <v>106</v>
      </c>
      <c r="M131" t="s">
        <v>3841</v>
      </c>
    </row>
    <row r="132" spans="1:13" x14ac:dyDescent="0.45">
      <c r="A132" t="s">
        <v>3601</v>
      </c>
      <c r="B132">
        <v>100266</v>
      </c>
      <c r="C132">
        <v>100751</v>
      </c>
      <c r="E132" t="s">
        <v>42</v>
      </c>
      <c r="F132" t="s">
        <v>45</v>
      </c>
      <c r="H132">
        <v>83703959</v>
      </c>
      <c r="I132" t="s">
        <v>17</v>
      </c>
      <c r="K132" t="s">
        <v>3842</v>
      </c>
      <c r="L132">
        <v>161</v>
      </c>
      <c r="M132" t="s">
        <v>3843</v>
      </c>
    </row>
    <row r="133" spans="1:13" x14ac:dyDescent="0.45">
      <c r="A133" t="s">
        <v>3601</v>
      </c>
      <c r="B133">
        <v>101023</v>
      </c>
      <c r="C133">
        <v>102216</v>
      </c>
      <c r="E133" t="s">
        <v>42</v>
      </c>
      <c r="F133" t="s">
        <v>3844</v>
      </c>
      <c r="H133">
        <v>83703960</v>
      </c>
      <c r="I133" t="s">
        <v>17</v>
      </c>
      <c r="K133" t="s">
        <v>3845</v>
      </c>
      <c r="L133">
        <v>397</v>
      </c>
      <c r="M133" t="s">
        <v>3846</v>
      </c>
    </row>
    <row r="134" spans="1:13" x14ac:dyDescent="0.45">
      <c r="A134" t="s">
        <v>3601</v>
      </c>
      <c r="B134">
        <v>102239</v>
      </c>
      <c r="C134">
        <v>102446</v>
      </c>
      <c r="E134" t="s">
        <v>42</v>
      </c>
      <c r="F134" t="s">
        <v>51</v>
      </c>
      <c r="H134">
        <v>301046572</v>
      </c>
      <c r="I134" t="s">
        <v>52</v>
      </c>
      <c r="M134" t="s">
        <v>3847</v>
      </c>
    </row>
    <row r="135" spans="1:13" x14ac:dyDescent="0.45">
      <c r="A135" t="s">
        <v>3601</v>
      </c>
      <c r="B135">
        <v>102589</v>
      </c>
      <c r="C135">
        <v>103785</v>
      </c>
      <c r="E135" t="s">
        <v>42</v>
      </c>
      <c r="F135" t="s">
        <v>106</v>
      </c>
      <c r="H135">
        <v>83703961</v>
      </c>
      <c r="I135" t="s">
        <v>17</v>
      </c>
      <c r="K135" t="s">
        <v>3848</v>
      </c>
      <c r="L135">
        <v>398</v>
      </c>
      <c r="M135" t="s">
        <v>3849</v>
      </c>
    </row>
    <row r="136" spans="1:13" x14ac:dyDescent="0.45">
      <c r="A136" t="s">
        <v>3601</v>
      </c>
      <c r="B136">
        <v>103766</v>
      </c>
      <c r="C136">
        <v>104110</v>
      </c>
      <c r="E136" t="s">
        <v>42</v>
      </c>
      <c r="F136" t="s">
        <v>45</v>
      </c>
      <c r="H136">
        <v>83703962</v>
      </c>
      <c r="I136" t="s">
        <v>17</v>
      </c>
      <c r="K136" t="s">
        <v>3850</v>
      </c>
      <c r="L136">
        <v>114</v>
      </c>
      <c r="M136" t="s">
        <v>3851</v>
      </c>
    </row>
    <row r="137" spans="1:13" x14ac:dyDescent="0.45">
      <c r="A137" t="s">
        <v>3601</v>
      </c>
      <c r="B137">
        <v>104275</v>
      </c>
      <c r="C137">
        <v>105330</v>
      </c>
      <c r="E137" t="s">
        <v>14</v>
      </c>
      <c r="F137" t="s">
        <v>3852</v>
      </c>
      <c r="H137">
        <v>83705878</v>
      </c>
      <c r="I137" t="s">
        <v>17</v>
      </c>
      <c r="K137" t="s">
        <v>3853</v>
      </c>
      <c r="L137">
        <v>351</v>
      </c>
      <c r="M137" t="s">
        <v>3854</v>
      </c>
    </row>
    <row r="138" spans="1:13" x14ac:dyDescent="0.45">
      <c r="A138" t="s">
        <v>3601</v>
      </c>
      <c r="B138">
        <v>105425</v>
      </c>
      <c r="C138">
        <v>106276</v>
      </c>
      <c r="E138" t="s">
        <v>14</v>
      </c>
      <c r="F138" t="s">
        <v>49</v>
      </c>
      <c r="H138">
        <v>83703963</v>
      </c>
      <c r="I138" t="s">
        <v>17</v>
      </c>
      <c r="K138" t="s">
        <v>3855</v>
      </c>
      <c r="L138">
        <v>283</v>
      </c>
      <c r="M138" t="s">
        <v>3856</v>
      </c>
    </row>
    <row r="139" spans="1:13" x14ac:dyDescent="0.45">
      <c r="A139" t="s">
        <v>3601</v>
      </c>
      <c r="B139">
        <v>106800</v>
      </c>
      <c r="C139">
        <v>107324</v>
      </c>
      <c r="E139" t="s">
        <v>14</v>
      </c>
      <c r="F139" t="s">
        <v>571</v>
      </c>
      <c r="H139">
        <v>83703964</v>
      </c>
      <c r="I139" t="s">
        <v>17</v>
      </c>
      <c r="K139" t="s">
        <v>3857</v>
      </c>
      <c r="L139">
        <v>174</v>
      </c>
      <c r="M139" t="s">
        <v>3858</v>
      </c>
    </row>
    <row r="140" spans="1:13" x14ac:dyDescent="0.45">
      <c r="A140" t="s">
        <v>3601</v>
      </c>
      <c r="B140">
        <v>107538</v>
      </c>
      <c r="C140">
        <v>108389</v>
      </c>
      <c r="E140" t="s">
        <v>14</v>
      </c>
      <c r="F140" t="s">
        <v>3859</v>
      </c>
      <c r="G140" t="s">
        <v>3860</v>
      </c>
      <c r="H140">
        <v>83703965</v>
      </c>
      <c r="I140" t="s">
        <v>17</v>
      </c>
      <c r="K140" t="s">
        <v>3861</v>
      </c>
      <c r="L140">
        <v>283</v>
      </c>
      <c r="M140" t="s">
        <v>3862</v>
      </c>
    </row>
    <row r="141" spans="1:13" x14ac:dyDescent="0.45">
      <c r="A141" t="s">
        <v>3601</v>
      </c>
      <c r="B141">
        <v>108459</v>
      </c>
      <c r="C141">
        <v>108902</v>
      </c>
      <c r="E141" t="s">
        <v>14</v>
      </c>
      <c r="F141" t="s">
        <v>3863</v>
      </c>
      <c r="H141">
        <v>83703966</v>
      </c>
      <c r="I141" t="s">
        <v>17</v>
      </c>
      <c r="K141" t="s">
        <v>3864</v>
      </c>
      <c r="L141">
        <v>147</v>
      </c>
      <c r="M141" t="s">
        <v>3865</v>
      </c>
    </row>
    <row r="142" spans="1:13" x14ac:dyDescent="0.45">
      <c r="A142" t="s">
        <v>3601</v>
      </c>
      <c r="B142">
        <v>108906</v>
      </c>
      <c r="C142">
        <v>109625</v>
      </c>
      <c r="E142" t="s">
        <v>14</v>
      </c>
      <c r="F142" t="s">
        <v>3866</v>
      </c>
      <c r="H142">
        <v>83703967</v>
      </c>
      <c r="I142" t="s">
        <v>17</v>
      </c>
      <c r="K142" t="s">
        <v>3867</v>
      </c>
      <c r="L142">
        <v>239</v>
      </c>
      <c r="M142" t="s">
        <v>3868</v>
      </c>
    </row>
    <row r="143" spans="1:13" x14ac:dyDescent="0.45">
      <c r="A143" t="s">
        <v>3601</v>
      </c>
      <c r="B143">
        <v>109618</v>
      </c>
      <c r="C143">
        <v>110427</v>
      </c>
      <c r="E143" t="s">
        <v>14</v>
      </c>
      <c r="F143" t="s">
        <v>996</v>
      </c>
      <c r="H143">
        <v>83703968</v>
      </c>
      <c r="I143" t="s">
        <v>17</v>
      </c>
      <c r="K143" t="s">
        <v>3869</v>
      </c>
      <c r="L143">
        <v>269</v>
      </c>
      <c r="M143" t="s">
        <v>3870</v>
      </c>
    </row>
    <row r="144" spans="1:13" x14ac:dyDescent="0.45">
      <c r="A144" t="s">
        <v>3601</v>
      </c>
      <c r="B144">
        <v>110610</v>
      </c>
      <c r="C144">
        <v>111866</v>
      </c>
      <c r="E144" t="s">
        <v>42</v>
      </c>
      <c r="F144" t="s">
        <v>109</v>
      </c>
      <c r="G144" t="s">
        <v>110</v>
      </c>
      <c r="H144">
        <v>83703969</v>
      </c>
      <c r="I144" t="s">
        <v>17</v>
      </c>
      <c r="K144" t="s">
        <v>3871</v>
      </c>
      <c r="L144">
        <v>418</v>
      </c>
      <c r="M144" t="s">
        <v>3872</v>
      </c>
    </row>
    <row r="145" spans="1:13" x14ac:dyDescent="0.45">
      <c r="A145" t="s">
        <v>3601</v>
      </c>
      <c r="B145">
        <v>111971</v>
      </c>
      <c r="C145">
        <v>114271</v>
      </c>
      <c r="E145" t="s">
        <v>14</v>
      </c>
      <c r="F145" t="s">
        <v>3873</v>
      </c>
      <c r="G145" t="s">
        <v>3874</v>
      </c>
      <c r="H145">
        <v>83703970</v>
      </c>
      <c r="I145" t="s">
        <v>17</v>
      </c>
      <c r="K145" t="s">
        <v>3875</v>
      </c>
      <c r="L145">
        <v>766</v>
      </c>
      <c r="M145" t="s">
        <v>3876</v>
      </c>
    </row>
    <row r="146" spans="1:13" x14ac:dyDescent="0.45">
      <c r="A146" t="s">
        <v>3601</v>
      </c>
      <c r="B146">
        <v>114534</v>
      </c>
      <c r="C146">
        <v>118100</v>
      </c>
      <c r="E146" t="s">
        <v>14</v>
      </c>
      <c r="F146" t="s">
        <v>175</v>
      </c>
      <c r="G146" t="s">
        <v>3877</v>
      </c>
      <c r="H146">
        <v>83703971</v>
      </c>
      <c r="I146" t="s">
        <v>17</v>
      </c>
      <c r="K146" t="s">
        <v>3878</v>
      </c>
      <c r="L146">
        <v>1188</v>
      </c>
      <c r="M146" t="s">
        <v>3879</v>
      </c>
    </row>
    <row r="147" spans="1:13" x14ac:dyDescent="0.45">
      <c r="A147" t="s">
        <v>3601</v>
      </c>
      <c r="B147">
        <v>118191</v>
      </c>
      <c r="C147">
        <v>121826</v>
      </c>
      <c r="E147" t="s">
        <v>14</v>
      </c>
      <c r="F147" t="s">
        <v>176</v>
      </c>
      <c r="G147" t="s">
        <v>177</v>
      </c>
      <c r="H147">
        <v>83703972</v>
      </c>
      <c r="I147" t="s">
        <v>17</v>
      </c>
      <c r="K147" t="s">
        <v>3880</v>
      </c>
      <c r="L147">
        <v>1211</v>
      </c>
      <c r="M147" t="s">
        <v>3881</v>
      </c>
    </row>
    <row r="148" spans="1:13" x14ac:dyDescent="0.45">
      <c r="A148" t="s">
        <v>3601</v>
      </c>
      <c r="B148">
        <v>121871</v>
      </c>
      <c r="C148">
        <v>122059</v>
      </c>
      <c r="E148" t="s">
        <v>42</v>
      </c>
      <c r="F148" t="s">
        <v>51</v>
      </c>
      <c r="H148">
        <v>83703973</v>
      </c>
      <c r="I148" t="s">
        <v>52</v>
      </c>
      <c r="M148" t="s">
        <v>3882</v>
      </c>
    </row>
    <row r="149" spans="1:13" x14ac:dyDescent="0.45">
      <c r="A149" t="s">
        <v>3601</v>
      </c>
      <c r="B149">
        <v>122346</v>
      </c>
      <c r="C149">
        <v>122900</v>
      </c>
      <c r="E149" t="s">
        <v>14</v>
      </c>
      <c r="F149" t="s">
        <v>45</v>
      </c>
      <c r="H149">
        <v>83703974</v>
      </c>
      <c r="I149" t="s">
        <v>17</v>
      </c>
      <c r="K149" t="s">
        <v>3883</v>
      </c>
      <c r="L149">
        <v>184</v>
      </c>
      <c r="M149" t="s">
        <v>3884</v>
      </c>
    </row>
    <row r="150" spans="1:13" x14ac:dyDescent="0.45">
      <c r="A150" t="s">
        <v>3601</v>
      </c>
      <c r="B150">
        <v>123464</v>
      </c>
      <c r="C150">
        <v>124510</v>
      </c>
      <c r="E150" t="s">
        <v>14</v>
      </c>
      <c r="F150" t="s">
        <v>1012</v>
      </c>
      <c r="H150">
        <v>83703975</v>
      </c>
      <c r="I150" t="s">
        <v>17</v>
      </c>
      <c r="K150" t="s">
        <v>3885</v>
      </c>
      <c r="L150">
        <v>348</v>
      </c>
      <c r="M150" t="s">
        <v>3886</v>
      </c>
    </row>
    <row r="151" spans="1:13" x14ac:dyDescent="0.45">
      <c r="A151" t="s">
        <v>3601</v>
      </c>
      <c r="B151">
        <v>124571</v>
      </c>
      <c r="C151">
        <v>124936</v>
      </c>
      <c r="E151" t="s">
        <v>14</v>
      </c>
      <c r="F151" t="s">
        <v>3887</v>
      </c>
      <c r="H151">
        <v>83703976</v>
      </c>
      <c r="I151" t="s">
        <v>17</v>
      </c>
      <c r="K151" t="s">
        <v>3888</v>
      </c>
      <c r="L151">
        <v>121</v>
      </c>
      <c r="M151" t="s">
        <v>3889</v>
      </c>
    </row>
    <row r="152" spans="1:13" x14ac:dyDescent="0.45">
      <c r="A152" t="s">
        <v>3601</v>
      </c>
      <c r="B152">
        <v>125473</v>
      </c>
      <c r="C152">
        <v>127476</v>
      </c>
      <c r="E152" t="s">
        <v>14</v>
      </c>
      <c r="F152" t="s">
        <v>51</v>
      </c>
      <c r="H152">
        <v>83703977</v>
      </c>
      <c r="I152" t="s">
        <v>52</v>
      </c>
      <c r="M152" t="s">
        <v>3890</v>
      </c>
    </row>
    <row r="153" spans="1:13" x14ac:dyDescent="0.45">
      <c r="A153" t="s">
        <v>3601</v>
      </c>
      <c r="B153">
        <v>127478</v>
      </c>
      <c r="C153">
        <v>128125</v>
      </c>
      <c r="E153" t="s">
        <v>14</v>
      </c>
      <c r="F153" t="s">
        <v>55</v>
      </c>
      <c r="H153">
        <v>83703978</v>
      </c>
      <c r="I153" t="s">
        <v>17</v>
      </c>
      <c r="K153" t="s">
        <v>3891</v>
      </c>
      <c r="L153">
        <v>215</v>
      </c>
      <c r="M153" t="s">
        <v>3892</v>
      </c>
    </row>
    <row r="154" spans="1:13" x14ac:dyDescent="0.45">
      <c r="A154" t="s">
        <v>3601</v>
      </c>
      <c r="B154">
        <v>128306</v>
      </c>
      <c r="C154">
        <v>129244</v>
      </c>
      <c r="E154" t="s">
        <v>14</v>
      </c>
      <c r="F154" t="s">
        <v>504</v>
      </c>
      <c r="G154" t="s">
        <v>505</v>
      </c>
      <c r="H154">
        <v>83703979</v>
      </c>
      <c r="I154" t="s">
        <v>17</v>
      </c>
      <c r="K154" t="s">
        <v>3893</v>
      </c>
      <c r="L154">
        <v>312</v>
      </c>
      <c r="M154" t="s">
        <v>3894</v>
      </c>
    </row>
    <row r="155" spans="1:13" x14ac:dyDescent="0.45">
      <c r="A155" t="s">
        <v>3601</v>
      </c>
      <c r="B155">
        <v>129177</v>
      </c>
      <c r="C155">
        <v>130211</v>
      </c>
      <c r="E155" t="s">
        <v>14</v>
      </c>
      <c r="F155" t="s">
        <v>3895</v>
      </c>
      <c r="G155" t="s">
        <v>3896</v>
      </c>
      <c r="H155">
        <v>83703980</v>
      </c>
      <c r="I155" t="s">
        <v>17</v>
      </c>
      <c r="K155" t="s">
        <v>3897</v>
      </c>
      <c r="L155">
        <v>344</v>
      </c>
      <c r="M155" t="s">
        <v>3898</v>
      </c>
    </row>
    <row r="156" spans="1:13" x14ac:dyDescent="0.45">
      <c r="A156" t="s">
        <v>3601</v>
      </c>
      <c r="B156">
        <v>130212</v>
      </c>
      <c r="C156">
        <v>130535</v>
      </c>
      <c r="E156" t="s">
        <v>14</v>
      </c>
      <c r="F156" t="s">
        <v>506</v>
      </c>
      <c r="G156" t="s">
        <v>507</v>
      </c>
      <c r="H156">
        <v>83703981</v>
      </c>
      <c r="I156" t="s">
        <v>17</v>
      </c>
      <c r="K156" t="s">
        <v>3899</v>
      </c>
      <c r="L156">
        <v>107</v>
      </c>
      <c r="M156" t="s">
        <v>3900</v>
      </c>
    </row>
    <row r="157" spans="1:13" x14ac:dyDescent="0.45">
      <c r="A157" t="s">
        <v>3601</v>
      </c>
      <c r="B157">
        <v>130513</v>
      </c>
      <c r="C157">
        <v>130938</v>
      </c>
      <c r="E157" t="s">
        <v>14</v>
      </c>
      <c r="F157" t="s">
        <v>3901</v>
      </c>
      <c r="G157" t="s">
        <v>3902</v>
      </c>
      <c r="H157">
        <v>83703982</v>
      </c>
      <c r="I157" t="s">
        <v>17</v>
      </c>
      <c r="K157" t="s">
        <v>3903</v>
      </c>
      <c r="L157">
        <v>141</v>
      </c>
      <c r="M157" t="s">
        <v>3904</v>
      </c>
    </row>
    <row r="158" spans="1:13" x14ac:dyDescent="0.45">
      <c r="A158" t="s">
        <v>3601</v>
      </c>
      <c r="B158">
        <v>130943</v>
      </c>
      <c r="C158">
        <v>131185</v>
      </c>
      <c r="E158" t="s">
        <v>14</v>
      </c>
      <c r="F158" t="s">
        <v>3905</v>
      </c>
      <c r="G158" t="s">
        <v>3906</v>
      </c>
      <c r="H158">
        <v>83703983</v>
      </c>
      <c r="I158" t="s">
        <v>17</v>
      </c>
      <c r="K158" t="s">
        <v>3907</v>
      </c>
      <c r="L158">
        <v>80</v>
      </c>
      <c r="M158" t="s">
        <v>3908</v>
      </c>
    </row>
    <row r="159" spans="1:13" x14ac:dyDescent="0.45">
      <c r="A159" t="s">
        <v>3601</v>
      </c>
      <c r="B159">
        <v>131172</v>
      </c>
      <c r="C159">
        <v>131606</v>
      </c>
      <c r="E159" t="s">
        <v>14</v>
      </c>
      <c r="F159" t="s">
        <v>3909</v>
      </c>
      <c r="G159" t="s">
        <v>3910</v>
      </c>
      <c r="H159">
        <v>83703984</v>
      </c>
      <c r="I159" t="s">
        <v>17</v>
      </c>
      <c r="K159" t="s">
        <v>3911</v>
      </c>
      <c r="L159">
        <v>144</v>
      </c>
      <c r="M159" t="s">
        <v>3912</v>
      </c>
    </row>
    <row r="160" spans="1:13" x14ac:dyDescent="0.45">
      <c r="A160" t="s">
        <v>3601</v>
      </c>
      <c r="B160">
        <v>131584</v>
      </c>
      <c r="C160">
        <v>131946</v>
      </c>
      <c r="E160" t="s">
        <v>14</v>
      </c>
      <c r="F160" t="s">
        <v>3913</v>
      </c>
      <c r="G160" t="s">
        <v>3914</v>
      </c>
      <c r="H160">
        <v>83703985</v>
      </c>
      <c r="I160" t="s">
        <v>17</v>
      </c>
      <c r="K160" t="s">
        <v>3915</v>
      </c>
      <c r="L160">
        <v>120</v>
      </c>
      <c r="M160" t="s">
        <v>3916</v>
      </c>
    </row>
    <row r="161" spans="1:13" x14ac:dyDescent="0.45">
      <c r="A161" t="s">
        <v>3601</v>
      </c>
      <c r="B161">
        <v>132008</v>
      </c>
      <c r="C161">
        <v>132961</v>
      </c>
      <c r="E161" t="s">
        <v>14</v>
      </c>
      <c r="F161" t="s">
        <v>508</v>
      </c>
      <c r="H161">
        <v>83703986</v>
      </c>
      <c r="I161" t="s">
        <v>17</v>
      </c>
      <c r="K161" t="s">
        <v>3917</v>
      </c>
      <c r="L161">
        <v>317</v>
      </c>
      <c r="M161" t="s">
        <v>3918</v>
      </c>
    </row>
    <row r="162" spans="1:13" x14ac:dyDescent="0.45">
      <c r="A162" t="s">
        <v>3601</v>
      </c>
      <c r="B162">
        <v>133021</v>
      </c>
      <c r="C162">
        <v>134220</v>
      </c>
      <c r="E162" t="s">
        <v>14</v>
      </c>
      <c r="F162" t="s">
        <v>377</v>
      </c>
      <c r="H162">
        <v>83703987</v>
      </c>
      <c r="I162" t="s">
        <v>17</v>
      </c>
      <c r="K162" t="s">
        <v>3919</v>
      </c>
      <c r="L162">
        <v>399</v>
      </c>
      <c r="M162" t="s">
        <v>3920</v>
      </c>
    </row>
    <row r="163" spans="1:13" x14ac:dyDescent="0.45">
      <c r="A163" t="s">
        <v>3601</v>
      </c>
      <c r="B163">
        <v>134831</v>
      </c>
      <c r="C163">
        <v>135013</v>
      </c>
      <c r="E163" t="s">
        <v>42</v>
      </c>
      <c r="F163" t="s">
        <v>3921</v>
      </c>
      <c r="H163">
        <v>83703988</v>
      </c>
      <c r="I163" t="s">
        <v>17</v>
      </c>
      <c r="K163" t="s">
        <v>3922</v>
      </c>
      <c r="L163">
        <v>60</v>
      </c>
      <c r="M163" t="s">
        <v>3923</v>
      </c>
    </row>
    <row r="164" spans="1:13" x14ac:dyDescent="0.45">
      <c r="A164" t="s">
        <v>3601</v>
      </c>
      <c r="B164">
        <v>135031</v>
      </c>
      <c r="C164">
        <v>135282</v>
      </c>
      <c r="E164" t="s">
        <v>42</v>
      </c>
      <c r="F164" t="s">
        <v>1000</v>
      </c>
      <c r="H164">
        <v>83703989</v>
      </c>
      <c r="I164" t="s">
        <v>17</v>
      </c>
      <c r="K164" t="s">
        <v>3924</v>
      </c>
      <c r="L164">
        <v>83</v>
      </c>
      <c r="M164" t="s">
        <v>3925</v>
      </c>
    </row>
    <row r="165" spans="1:13" x14ac:dyDescent="0.45">
      <c r="A165" t="s">
        <v>3601</v>
      </c>
      <c r="B165">
        <v>135796</v>
      </c>
      <c r="C165">
        <v>137838</v>
      </c>
      <c r="E165" t="s">
        <v>14</v>
      </c>
      <c r="F165" t="s">
        <v>3926</v>
      </c>
      <c r="H165">
        <v>83703990</v>
      </c>
      <c r="I165" t="s">
        <v>17</v>
      </c>
      <c r="K165" t="s">
        <v>3927</v>
      </c>
      <c r="L165">
        <v>680</v>
      </c>
      <c r="M165" t="s">
        <v>3928</v>
      </c>
    </row>
    <row r="166" spans="1:13" x14ac:dyDescent="0.45">
      <c r="A166" t="s">
        <v>3601</v>
      </c>
      <c r="B166">
        <v>137840</v>
      </c>
      <c r="C166">
        <v>138127</v>
      </c>
      <c r="E166" t="s">
        <v>14</v>
      </c>
      <c r="F166" t="s">
        <v>605</v>
      </c>
      <c r="H166">
        <v>83703991</v>
      </c>
      <c r="I166" t="s">
        <v>17</v>
      </c>
      <c r="K166" t="s">
        <v>3929</v>
      </c>
      <c r="L166">
        <v>95</v>
      </c>
      <c r="M166" t="s">
        <v>3930</v>
      </c>
    </row>
    <row r="167" spans="1:13" x14ac:dyDescent="0.45">
      <c r="A167" t="s">
        <v>3601</v>
      </c>
      <c r="B167">
        <v>138140</v>
      </c>
      <c r="C167">
        <v>139483</v>
      </c>
      <c r="E167" t="s">
        <v>14</v>
      </c>
      <c r="F167" t="s">
        <v>3931</v>
      </c>
      <c r="H167">
        <v>83703992</v>
      </c>
      <c r="I167" t="s">
        <v>17</v>
      </c>
      <c r="K167" t="s">
        <v>3932</v>
      </c>
      <c r="L167">
        <v>447</v>
      </c>
      <c r="M167" t="s">
        <v>3933</v>
      </c>
    </row>
    <row r="168" spans="1:13" x14ac:dyDescent="0.45">
      <c r="A168" t="s">
        <v>3601</v>
      </c>
      <c r="B168">
        <v>139486</v>
      </c>
      <c r="C168">
        <v>140343</v>
      </c>
      <c r="E168" t="s">
        <v>14</v>
      </c>
      <c r="F168" t="s">
        <v>889</v>
      </c>
      <c r="H168">
        <v>83703993</v>
      </c>
      <c r="I168" t="s">
        <v>17</v>
      </c>
      <c r="K168" t="s">
        <v>3934</v>
      </c>
      <c r="L168">
        <v>285</v>
      </c>
      <c r="M168" t="s">
        <v>3935</v>
      </c>
    </row>
    <row r="169" spans="1:13" x14ac:dyDescent="0.45">
      <c r="A169" t="s">
        <v>3601</v>
      </c>
      <c r="B169">
        <v>140340</v>
      </c>
      <c r="C169">
        <v>141272</v>
      </c>
      <c r="E169" t="s">
        <v>14</v>
      </c>
      <c r="F169" t="s">
        <v>3936</v>
      </c>
      <c r="H169">
        <v>83703994</v>
      </c>
      <c r="I169" t="s">
        <v>17</v>
      </c>
      <c r="K169" t="s">
        <v>3937</v>
      </c>
      <c r="L169">
        <v>310</v>
      </c>
      <c r="M169" t="s">
        <v>3938</v>
      </c>
    </row>
    <row r="170" spans="1:13" x14ac:dyDescent="0.45">
      <c r="A170" t="s">
        <v>3601</v>
      </c>
      <c r="B170">
        <v>141823</v>
      </c>
      <c r="C170">
        <v>143718</v>
      </c>
      <c r="E170" t="s">
        <v>14</v>
      </c>
      <c r="F170" t="s">
        <v>799</v>
      </c>
      <c r="H170">
        <v>83703995</v>
      </c>
      <c r="I170" t="s">
        <v>17</v>
      </c>
      <c r="K170" t="s">
        <v>3939</v>
      </c>
      <c r="L170">
        <v>631</v>
      </c>
      <c r="M170" t="s">
        <v>3940</v>
      </c>
    </row>
    <row r="171" spans="1:13" x14ac:dyDescent="0.45">
      <c r="A171" t="s">
        <v>3601</v>
      </c>
      <c r="B171">
        <v>143919</v>
      </c>
      <c r="C171">
        <v>144959</v>
      </c>
      <c r="E171" t="s">
        <v>42</v>
      </c>
      <c r="F171" t="s">
        <v>794</v>
      </c>
      <c r="G171" t="s">
        <v>795</v>
      </c>
      <c r="H171">
        <v>83703996</v>
      </c>
      <c r="I171" t="s">
        <v>17</v>
      </c>
      <c r="K171" t="s">
        <v>3941</v>
      </c>
      <c r="L171">
        <v>346</v>
      </c>
      <c r="M171" t="s">
        <v>3942</v>
      </c>
    </row>
    <row r="172" spans="1:13" x14ac:dyDescent="0.45">
      <c r="A172" t="s">
        <v>3601</v>
      </c>
      <c r="B172">
        <v>145127</v>
      </c>
      <c r="C172">
        <v>145897</v>
      </c>
      <c r="E172" t="s">
        <v>42</v>
      </c>
      <c r="F172" t="s">
        <v>796</v>
      </c>
      <c r="G172" t="s">
        <v>797</v>
      </c>
      <c r="H172">
        <v>83703997</v>
      </c>
      <c r="I172" t="s">
        <v>17</v>
      </c>
      <c r="K172" t="s">
        <v>3943</v>
      </c>
      <c r="L172">
        <v>256</v>
      </c>
      <c r="M172" t="s">
        <v>3944</v>
      </c>
    </row>
    <row r="173" spans="1:13" x14ac:dyDescent="0.45">
      <c r="A173" t="s">
        <v>3601</v>
      </c>
      <c r="B173">
        <v>146357</v>
      </c>
      <c r="C173">
        <v>147889</v>
      </c>
      <c r="E173" t="s">
        <v>42</v>
      </c>
      <c r="F173" t="s">
        <v>3945</v>
      </c>
      <c r="G173" t="s">
        <v>3946</v>
      </c>
      <c r="H173">
        <v>83703998</v>
      </c>
      <c r="I173" t="s">
        <v>17</v>
      </c>
      <c r="K173" t="s">
        <v>3947</v>
      </c>
      <c r="L173">
        <v>510</v>
      </c>
      <c r="M173" t="s">
        <v>3948</v>
      </c>
    </row>
    <row r="174" spans="1:13" x14ac:dyDescent="0.45">
      <c r="A174" t="s">
        <v>3601</v>
      </c>
      <c r="B174">
        <v>147910</v>
      </c>
      <c r="C174">
        <v>148470</v>
      </c>
      <c r="E174" t="s">
        <v>42</v>
      </c>
      <c r="F174" t="s">
        <v>3949</v>
      </c>
      <c r="G174" t="s">
        <v>3950</v>
      </c>
      <c r="H174">
        <v>83703999</v>
      </c>
      <c r="I174" t="s">
        <v>17</v>
      </c>
      <c r="K174" t="s">
        <v>3951</v>
      </c>
      <c r="L174">
        <v>186</v>
      </c>
      <c r="M174" t="s">
        <v>3952</v>
      </c>
    </row>
    <row r="175" spans="1:13" x14ac:dyDescent="0.45">
      <c r="A175" t="s">
        <v>3601</v>
      </c>
      <c r="B175">
        <v>148819</v>
      </c>
      <c r="C175">
        <v>148889</v>
      </c>
      <c r="E175" t="s">
        <v>14</v>
      </c>
      <c r="F175" t="s">
        <v>362</v>
      </c>
      <c r="H175">
        <v>83704000</v>
      </c>
      <c r="I175" t="s">
        <v>44</v>
      </c>
      <c r="M175" t="s">
        <v>3953</v>
      </c>
    </row>
    <row r="176" spans="1:13" x14ac:dyDescent="0.45">
      <c r="A176" t="s">
        <v>3601</v>
      </c>
      <c r="B176">
        <v>149102</v>
      </c>
      <c r="C176">
        <v>149305</v>
      </c>
      <c r="E176" t="s">
        <v>14</v>
      </c>
      <c r="F176" t="s">
        <v>3954</v>
      </c>
      <c r="H176">
        <v>83704001</v>
      </c>
      <c r="I176" t="s">
        <v>17</v>
      </c>
      <c r="K176" t="s">
        <v>3955</v>
      </c>
      <c r="L176">
        <v>67</v>
      </c>
      <c r="M176" t="s">
        <v>3956</v>
      </c>
    </row>
    <row r="177" spans="1:13" x14ac:dyDescent="0.45">
      <c r="A177" t="s">
        <v>3601</v>
      </c>
      <c r="B177">
        <v>149477</v>
      </c>
      <c r="C177">
        <v>149938</v>
      </c>
      <c r="E177" t="s">
        <v>14</v>
      </c>
      <c r="F177" t="s">
        <v>3957</v>
      </c>
      <c r="H177">
        <v>83704002</v>
      </c>
      <c r="I177" t="s">
        <v>17</v>
      </c>
      <c r="K177" t="s">
        <v>3958</v>
      </c>
      <c r="L177">
        <v>153</v>
      </c>
      <c r="M177" t="s">
        <v>3959</v>
      </c>
    </row>
    <row r="178" spans="1:13" x14ac:dyDescent="0.45">
      <c r="A178" t="s">
        <v>3601</v>
      </c>
      <c r="B178">
        <v>149938</v>
      </c>
      <c r="C178">
        <v>152379</v>
      </c>
      <c r="E178" t="s">
        <v>14</v>
      </c>
      <c r="F178" t="s">
        <v>174</v>
      </c>
      <c r="H178">
        <v>83704003</v>
      </c>
      <c r="I178" t="s">
        <v>17</v>
      </c>
      <c r="K178" t="s">
        <v>3960</v>
      </c>
      <c r="L178">
        <v>813</v>
      </c>
      <c r="M178" t="s">
        <v>3961</v>
      </c>
    </row>
    <row r="179" spans="1:13" x14ac:dyDescent="0.45">
      <c r="A179" t="s">
        <v>3601</v>
      </c>
      <c r="B179">
        <v>152720</v>
      </c>
      <c r="C179">
        <v>152865</v>
      </c>
      <c r="E179" t="s">
        <v>42</v>
      </c>
      <c r="F179" t="s">
        <v>51</v>
      </c>
      <c r="H179">
        <v>90427711</v>
      </c>
      <c r="I179" t="s">
        <v>52</v>
      </c>
      <c r="M179" t="s">
        <v>3962</v>
      </c>
    </row>
    <row r="180" spans="1:13" x14ac:dyDescent="0.45">
      <c r="A180" t="s">
        <v>3601</v>
      </c>
      <c r="B180">
        <v>153146</v>
      </c>
      <c r="C180">
        <v>153577</v>
      </c>
      <c r="E180" t="s">
        <v>14</v>
      </c>
      <c r="F180" t="s">
        <v>45</v>
      </c>
      <c r="H180">
        <v>83704005</v>
      </c>
      <c r="I180" t="s">
        <v>17</v>
      </c>
      <c r="K180" t="s">
        <v>3963</v>
      </c>
      <c r="L180">
        <v>143</v>
      </c>
      <c r="M180" t="s">
        <v>3964</v>
      </c>
    </row>
    <row r="181" spans="1:13" x14ac:dyDescent="0.45">
      <c r="A181" t="s">
        <v>3601</v>
      </c>
      <c r="B181">
        <v>153579</v>
      </c>
      <c r="C181">
        <v>154868</v>
      </c>
      <c r="E181" t="s">
        <v>14</v>
      </c>
      <c r="F181" t="s">
        <v>3965</v>
      </c>
      <c r="H181">
        <v>83704006</v>
      </c>
      <c r="I181" t="s">
        <v>17</v>
      </c>
      <c r="K181" t="s">
        <v>3966</v>
      </c>
      <c r="L181">
        <v>429</v>
      </c>
      <c r="M181" t="s">
        <v>3967</v>
      </c>
    </row>
    <row r="182" spans="1:13" x14ac:dyDescent="0.45">
      <c r="A182" t="s">
        <v>3601</v>
      </c>
      <c r="B182">
        <v>154850</v>
      </c>
      <c r="C182">
        <v>155242</v>
      </c>
      <c r="E182" t="s">
        <v>14</v>
      </c>
      <c r="F182" t="s">
        <v>45</v>
      </c>
      <c r="H182">
        <v>83704007</v>
      </c>
      <c r="I182" t="s">
        <v>17</v>
      </c>
      <c r="K182" t="s">
        <v>3968</v>
      </c>
      <c r="L182">
        <v>130</v>
      </c>
      <c r="M182" t="s">
        <v>3969</v>
      </c>
    </row>
    <row r="183" spans="1:13" x14ac:dyDescent="0.45">
      <c r="A183" t="s">
        <v>3601</v>
      </c>
      <c r="B183">
        <v>155223</v>
      </c>
      <c r="C183">
        <v>155513</v>
      </c>
      <c r="E183" t="s">
        <v>14</v>
      </c>
      <c r="F183" t="s">
        <v>45</v>
      </c>
      <c r="H183">
        <v>83704008</v>
      </c>
      <c r="I183" t="s">
        <v>17</v>
      </c>
      <c r="K183" t="s">
        <v>3970</v>
      </c>
      <c r="L183">
        <v>96</v>
      </c>
      <c r="M183" t="s">
        <v>3971</v>
      </c>
    </row>
    <row r="184" spans="1:13" x14ac:dyDescent="0.45">
      <c r="A184" t="s">
        <v>3601</v>
      </c>
      <c r="B184">
        <v>155812</v>
      </c>
      <c r="C184">
        <v>156099</v>
      </c>
      <c r="E184" t="s">
        <v>14</v>
      </c>
      <c r="F184" t="s">
        <v>315</v>
      </c>
      <c r="G184" t="s">
        <v>316</v>
      </c>
      <c r="H184">
        <v>83704009</v>
      </c>
      <c r="I184" t="s">
        <v>17</v>
      </c>
      <c r="K184" t="s">
        <v>3972</v>
      </c>
      <c r="L184">
        <v>95</v>
      </c>
      <c r="M184" t="s">
        <v>3973</v>
      </c>
    </row>
    <row r="185" spans="1:13" x14ac:dyDescent="0.45">
      <c r="A185" t="s">
        <v>3601</v>
      </c>
      <c r="B185">
        <v>156167</v>
      </c>
      <c r="C185">
        <v>157792</v>
      </c>
      <c r="E185" t="s">
        <v>14</v>
      </c>
      <c r="F185" t="s">
        <v>317</v>
      </c>
      <c r="G185" t="s">
        <v>318</v>
      </c>
      <c r="H185">
        <v>83704010</v>
      </c>
      <c r="I185" t="s">
        <v>17</v>
      </c>
      <c r="K185" t="s">
        <v>3974</v>
      </c>
      <c r="L185">
        <v>541</v>
      </c>
      <c r="M185" t="s">
        <v>3975</v>
      </c>
    </row>
    <row r="186" spans="1:13" x14ac:dyDescent="0.45">
      <c r="A186" t="s">
        <v>3601</v>
      </c>
      <c r="B186">
        <v>158127</v>
      </c>
      <c r="C186">
        <v>158597</v>
      </c>
      <c r="E186" t="s">
        <v>42</v>
      </c>
      <c r="F186" t="s">
        <v>732</v>
      </c>
      <c r="H186">
        <v>83704011</v>
      </c>
      <c r="I186" t="s">
        <v>17</v>
      </c>
      <c r="K186" t="s">
        <v>3976</v>
      </c>
      <c r="L186">
        <v>156</v>
      </c>
      <c r="M186" t="s">
        <v>3977</v>
      </c>
    </row>
    <row r="187" spans="1:13" x14ac:dyDescent="0.45">
      <c r="A187" t="s">
        <v>3601</v>
      </c>
      <c r="B187">
        <v>158833</v>
      </c>
      <c r="C187">
        <v>159696</v>
      </c>
      <c r="E187" t="s">
        <v>14</v>
      </c>
      <c r="F187" t="s">
        <v>139</v>
      </c>
      <c r="H187">
        <v>83704012</v>
      </c>
      <c r="I187" t="s">
        <v>17</v>
      </c>
      <c r="K187" t="s">
        <v>3978</v>
      </c>
      <c r="L187">
        <v>287</v>
      </c>
      <c r="M187" t="s">
        <v>3979</v>
      </c>
    </row>
    <row r="188" spans="1:13" x14ac:dyDescent="0.45">
      <c r="A188" t="s">
        <v>3601</v>
      </c>
      <c r="B188">
        <v>160033</v>
      </c>
      <c r="C188">
        <v>160326</v>
      </c>
      <c r="E188" t="s">
        <v>14</v>
      </c>
      <c r="F188" t="s">
        <v>3980</v>
      </c>
      <c r="H188">
        <v>83704013</v>
      </c>
      <c r="I188" t="s">
        <v>17</v>
      </c>
      <c r="K188" t="s">
        <v>3981</v>
      </c>
      <c r="L188">
        <v>97</v>
      </c>
      <c r="M188" t="s">
        <v>3982</v>
      </c>
    </row>
    <row r="189" spans="1:13" x14ac:dyDescent="0.45">
      <c r="A189" t="s">
        <v>3601</v>
      </c>
      <c r="B189">
        <v>160336</v>
      </c>
      <c r="C189">
        <v>161475</v>
      </c>
      <c r="E189" t="s">
        <v>14</v>
      </c>
      <c r="F189" t="s">
        <v>45</v>
      </c>
      <c r="H189">
        <v>83704014</v>
      </c>
      <c r="I189" t="s">
        <v>17</v>
      </c>
      <c r="K189" t="s">
        <v>3983</v>
      </c>
      <c r="L189">
        <v>379</v>
      </c>
      <c r="M189" t="s">
        <v>3984</v>
      </c>
    </row>
    <row r="190" spans="1:13" x14ac:dyDescent="0.45">
      <c r="A190" t="s">
        <v>3601</v>
      </c>
      <c r="B190">
        <v>161472</v>
      </c>
      <c r="C190">
        <v>161954</v>
      </c>
      <c r="E190" t="s">
        <v>14</v>
      </c>
      <c r="F190" t="s">
        <v>3985</v>
      </c>
      <c r="H190">
        <v>83704015</v>
      </c>
      <c r="I190" t="s">
        <v>17</v>
      </c>
      <c r="K190" t="s">
        <v>3986</v>
      </c>
      <c r="L190">
        <v>160</v>
      </c>
      <c r="M190" t="s">
        <v>3987</v>
      </c>
    </row>
    <row r="191" spans="1:13" x14ac:dyDescent="0.45">
      <c r="A191" t="s">
        <v>3601</v>
      </c>
      <c r="B191">
        <v>161951</v>
      </c>
      <c r="C191">
        <v>162538</v>
      </c>
      <c r="E191" t="s">
        <v>14</v>
      </c>
      <c r="F191" t="s">
        <v>72</v>
      </c>
      <c r="H191">
        <v>83704016</v>
      </c>
      <c r="I191" t="s">
        <v>17</v>
      </c>
      <c r="K191" t="s">
        <v>3988</v>
      </c>
      <c r="L191">
        <v>195</v>
      </c>
      <c r="M191" t="s">
        <v>3989</v>
      </c>
    </row>
    <row r="192" spans="1:13" x14ac:dyDescent="0.45">
      <c r="A192" t="s">
        <v>3601</v>
      </c>
      <c r="B192">
        <v>162535</v>
      </c>
      <c r="C192">
        <v>163017</v>
      </c>
      <c r="E192" t="s">
        <v>14</v>
      </c>
      <c r="F192" t="s">
        <v>45</v>
      </c>
      <c r="H192">
        <v>83704017</v>
      </c>
      <c r="I192" t="s">
        <v>17</v>
      </c>
      <c r="K192" t="s">
        <v>3990</v>
      </c>
      <c r="L192">
        <v>160</v>
      </c>
      <c r="M192" t="s">
        <v>3991</v>
      </c>
    </row>
    <row r="193" spans="1:13" x14ac:dyDescent="0.45">
      <c r="A193" t="s">
        <v>3601</v>
      </c>
      <c r="B193">
        <v>163042</v>
      </c>
      <c r="C193">
        <v>163557</v>
      </c>
      <c r="E193" t="s">
        <v>14</v>
      </c>
      <c r="F193" t="s">
        <v>45</v>
      </c>
      <c r="H193">
        <v>83704018</v>
      </c>
      <c r="I193" t="s">
        <v>17</v>
      </c>
      <c r="K193" t="s">
        <v>3992</v>
      </c>
      <c r="L193">
        <v>171</v>
      </c>
      <c r="M193" t="s">
        <v>3993</v>
      </c>
    </row>
    <row r="194" spans="1:13" x14ac:dyDescent="0.45">
      <c r="A194" t="s">
        <v>3601</v>
      </c>
      <c r="B194">
        <v>164192</v>
      </c>
      <c r="C194">
        <v>165826</v>
      </c>
      <c r="E194" t="s">
        <v>14</v>
      </c>
      <c r="F194" t="s">
        <v>976</v>
      </c>
      <c r="H194">
        <v>83704019</v>
      </c>
      <c r="I194" t="s">
        <v>17</v>
      </c>
      <c r="K194" t="s">
        <v>3994</v>
      </c>
      <c r="L194">
        <v>544</v>
      </c>
      <c r="M194" t="s">
        <v>3995</v>
      </c>
    </row>
    <row r="195" spans="1:13" x14ac:dyDescent="0.45">
      <c r="A195" t="s">
        <v>3601</v>
      </c>
      <c r="B195">
        <v>165967</v>
      </c>
      <c r="C195">
        <v>166860</v>
      </c>
      <c r="E195" t="s">
        <v>42</v>
      </c>
      <c r="F195" t="s">
        <v>442</v>
      </c>
      <c r="H195">
        <v>83704020</v>
      </c>
      <c r="I195" t="s">
        <v>17</v>
      </c>
      <c r="K195" t="s">
        <v>3996</v>
      </c>
      <c r="L195">
        <v>297</v>
      </c>
      <c r="M195" t="s">
        <v>3997</v>
      </c>
    </row>
    <row r="196" spans="1:13" x14ac:dyDescent="0.45">
      <c r="A196" t="s">
        <v>3601</v>
      </c>
      <c r="B196">
        <v>166844</v>
      </c>
      <c r="C196">
        <v>167035</v>
      </c>
      <c r="E196" t="s">
        <v>42</v>
      </c>
      <c r="F196" t="s">
        <v>45</v>
      </c>
      <c r="H196">
        <v>83704021</v>
      </c>
      <c r="I196" t="s">
        <v>17</v>
      </c>
      <c r="K196" t="s">
        <v>3998</v>
      </c>
      <c r="L196">
        <v>63</v>
      </c>
      <c r="M196" t="s">
        <v>3999</v>
      </c>
    </row>
    <row r="197" spans="1:13" x14ac:dyDescent="0.45">
      <c r="A197" t="s">
        <v>3601</v>
      </c>
      <c r="B197">
        <v>167270</v>
      </c>
      <c r="C197">
        <v>169051</v>
      </c>
      <c r="E197" t="s">
        <v>14</v>
      </c>
      <c r="F197" t="s">
        <v>4000</v>
      </c>
      <c r="H197">
        <v>83704022</v>
      </c>
      <c r="I197" t="s">
        <v>17</v>
      </c>
      <c r="K197" t="s">
        <v>4001</v>
      </c>
      <c r="L197">
        <v>593</v>
      </c>
      <c r="M197" t="s">
        <v>4002</v>
      </c>
    </row>
    <row r="198" spans="1:13" x14ac:dyDescent="0.45">
      <c r="A198" t="s">
        <v>3601</v>
      </c>
      <c r="B198">
        <v>169192</v>
      </c>
      <c r="C198">
        <v>169572</v>
      </c>
      <c r="E198" t="s">
        <v>14</v>
      </c>
      <c r="F198" t="s">
        <v>4003</v>
      </c>
      <c r="H198">
        <v>83704023</v>
      </c>
      <c r="I198" t="s">
        <v>17</v>
      </c>
      <c r="K198" t="s">
        <v>4004</v>
      </c>
      <c r="L198">
        <v>126</v>
      </c>
      <c r="M198" t="s">
        <v>4005</v>
      </c>
    </row>
    <row r="199" spans="1:13" x14ac:dyDescent="0.45">
      <c r="A199" t="s">
        <v>3601</v>
      </c>
      <c r="B199">
        <v>169610</v>
      </c>
      <c r="C199">
        <v>171931</v>
      </c>
      <c r="E199" t="s">
        <v>14</v>
      </c>
      <c r="F199" t="s">
        <v>4006</v>
      </c>
      <c r="G199" t="s">
        <v>4007</v>
      </c>
      <c r="H199">
        <v>83704024</v>
      </c>
      <c r="I199" t="s">
        <v>17</v>
      </c>
      <c r="K199" t="s">
        <v>4008</v>
      </c>
      <c r="L199">
        <v>773</v>
      </c>
      <c r="M199" t="s">
        <v>4009</v>
      </c>
    </row>
    <row r="200" spans="1:13" x14ac:dyDescent="0.45">
      <c r="A200" t="s">
        <v>3601</v>
      </c>
      <c r="B200">
        <v>171980</v>
      </c>
      <c r="C200">
        <v>172132</v>
      </c>
      <c r="E200" t="s">
        <v>14</v>
      </c>
      <c r="F200" t="s">
        <v>261</v>
      </c>
      <c r="G200" t="s">
        <v>262</v>
      </c>
      <c r="H200">
        <v>83704025</v>
      </c>
      <c r="I200" t="s">
        <v>17</v>
      </c>
      <c r="K200" t="s">
        <v>4010</v>
      </c>
      <c r="L200">
        <v>50</v>
      </c>
      <c r="M200" t="s">
        <v>4011</v>
      </c>
    </row>
    <row r="201" spans="1:13" x14ac:dyDescent="0.45">
      <c r="A201" t="s">
        <v>3601</v>
      </c>
      <c r="B201">
        <v>172144</v>
      </c>
      <c r="C201">
        <v>172320</v>
      </c>
      <c r="E201" t="s">
        <v>14</v>
      </c>
      <c r="F201" t="s">
        <v>263</v>
      </c>
      <c r="G201" t="s">
        <v>264</v>
      </c>
      <c r="H201">
        <v>83704026</v>
      </c>
      <c r="I201" t="s">
        <v>17</v>
      </c>
      <c r="K201" t="s">
        <v>4012</v>
      </c>
      <c r="L201">
        <v>58</v>
      </c>
      <c r="M201" t="s">
        <v>4013</v>
      </c>
    </row>
    <row r="202" spans="1:13" x14ac:dyDescent="0.45">
      <c r="A202" t="s">
        <v>3601</v>
      </c>
      <c r="B202">
        <v>172711</v>
      </c>
      <c r="C202">
        <v>173256</v>
      </c>
      <c r="E202" t="s">
        <v>14</v>
      </c>
      <c r="F202" t="s">
        <v>265</v>
      </c>
      <c r="G202" t="s">
        <v>266</v>
      </c>
      <c r="H202">
        <v>83704027</v>
      </c>
      <c r="I202" t="s">
        <v>17</v>
      </c>
      <c r="K202" t="s">
        <v>4014</v>
      </c>
      <c r="L202">
        <v>181</v>
      </c>
      <c r="M202" t="s">
        <v>4015</v>
      </c>
    </row>
    <row r="203" spans="1:13" x14ac:dyDescent="0.45">
      <c r="A203" t="s">
        <v>3601</v>
      </c>
      <c r="B203">
        <v>173734</v>
      </c>
      <c r="C203">
        <v>174840</v>
      </c>
      <c r="E203" t="s">
        <v>14</v>
      </c>
      <c r="F203" t="s">
        <v>49</v>
      </c>
      <c r="H203">
        <v>83705879</v>
      </c>
      <c r="I203" t="s">
        <v>17</v>
      </c>
      <c r="K203" t="s">
        <v>4016</v>
      </c>
      <c r="L203">
        <v>368</v>
      </c>
      <c r="M203" t="s">
        <v>4017</v>
      </c>
    </row>
    <row r="204" spans="1:13" x14ac:dyDescent="0.45">
      <c r="A204" t="s">
        <v>3601</v>
      </c>
      <c r="B204">
        <v>175603</v>
      </c>
      <c r="C204">
        <v>177120</v>
      </c>
      <c r="E204" t="s">
        <v>14</v>
      </c>
      <c r="F204" t="s">
        <v>139</v>
      </c>
      <c r="H204">
        <v>83704028</v>
      </c>
      <c r="I204" t="s">
        <v>17</v>
      </c>
      <c r="K204" t="s">
        <v>4018</v>
      </c>
      <c r="L204">
        <v>505</v>
      </c>
      <c r="M204" t="s">
        <v>4019</v>
      </c>
    </row>
    <row r="205" spans="1:13" x14ac:dyDescent="0.45">
      <c r="A205" t="s">
        <v>3601</v>
      </c>
      <c r="B205">
        <v>177295</v>
      </c>
      <c r="C205">
        <v>178497</v>
      </c>
      <c r="E205" t="s">
        <v>14</v>
      </c>
      <c r="F205" t="s">
        <v>49</v>
      </c>
      <c r="H205">
        <v>83704029</v>
      </c>
      <c r="I205" t="s">
        <v>17</v>
      </c>
      <c r="K205" t="s">
        <v>4020</v>
      </c>
      <c r="L205">
        <v>400</v>
      </c>
      <c r="M205" t="s">
        <v>4021</v>
      </c>
    </row>
    <row r="206" spans="1:13" x14ac:dyDescent="0.45">
      <c r="A206" t="s">
        <v>3601</v>
      </c>
      <c r="B206">
        <v>179085</v>
      </c>
      <c r="C206">
        <v>181586</v>
      </c>
      <c r="E206" t="s">
        <v>14</v>
      </c>
      <c r="F206" t="s">
        <v>969</v>
      </c>
      <c r="G206" t="s">
        <v>970</v>
      </c>
      <c r="H206">
        <v>83704030</v>
      </c>
      <c r="I206" t="s">
        <v>17</v>
      </c>
      <c r="K206" t="s">
        <v>4022</v>
      </c>
      <c r="L206">
        <v>833</v>
      </c>
      <c r="M206" t="s">
        <v>4023</v>
      </c>
    </row>
    <row r="207" spans="1:13" x14ac:dyDescent="0.45">
      <c r="A207" t="s">
        <v>3601</v>
      </c>
      <c r="B207">
        <v>181761</v>
      </c>
      <c r="C207">
        <v>182294</v>
      </c>
      <c r="E207" t="s">
        <v>14</v>
      </c>
      <c r="F207" t="s">
        <v>45</v>
      </c>
      <c r="H207">
        <v>83704031</v>
      </c>
      <c r="I207" t="s">
        <v>17</v>
      </c>
      <c r="K207" t="s">
        <v>4024</v>
      </c>
      <c r="L207">
        <v>177</v>
      </c>
      <c r="M207" t="s">
        <v>4025</v>
      </c>
    </row>
    <row r="208" spans="1:13" x14ac:dyDescent="0.45">
      <c r="A208" t="s">
        <v>3601</v>
      </c>
      <c r="B208">
        <v>182589</v>
      </c>
      <c r="C208">
        <v>184022</v>
      </c>
      <c r="E208" t="s">
        <v>14</v>
      </c>
      <c r="F208" t="s">
        <v>132</v>
      </c>
      <c r="H208">
        <v>83704032</v>
      </c>
      <c r="I208" t="s">
        <v>17</v>
      </c>
      <c r="K208" t="s">
        <v>4026</v>
      </c>
      <c r="L208">
        <v>477</v>
      </c>
      <c r="M208" t="s">
        <v>4027</v>
      </c>
    </row>
    <row r="209" spans="1:13" x14ac:dyDescent="0.45">
      <c r="A209" t="s">
        <v>3601</v>
      </c>
      <c r="B209">
        <v>184137</v>
      </c>
      <c r="C209">
        <v>184415</v>
      </c>
      <c r="E209" t="s">
        <v>14</v>
      </c>
      <c r="F209" t="s">
        <v>605</v>
      </c>
      <c r="H209">
        <v>83704033</v>
      </c>
      <c r="I209" t="s">
        <v>17</v>
      </c>
      <c r="K209" t="s">
        <v>4028</v>
      </c>
      <c r="L209">
        <v>92</v>
      </c>
      <c r="M209" t="s">
        <v>4029</v>
      </c>
    </row>
    <row r="210" spans="1:13" x14ac:dyDescent="0.45">
      <c r="A210" t="s">
        <v>3601</v>
      </c>
      <c r="B210">
        <v>184631</v>
      </c>
      <c r="C210">
        <v>185116</v>
      </c>
      <c r="E210" t="s">
        <v>14</v>
      </c>
      <c r="F210" t="s">
        <v>98</v>
      </c>
      <c r="H210">
        <v>83704034</v>
      </c>
      <c r="I210" t="s">
        <v>17</v>
      </c>
      <c r="K210" t="s">
        <v>4030</v>
      </c>
      <c r="L210">
        <v>161</v>
      </c>
      <c r="M210" t="s">
        <v>4031</v>
      </c>
    </row>
    <row r="211" spans="1:13" x14ac:dyDescent="0.45">
      <c r="A211" t="s">
        <v>3601</v>
      </c>
      <c r="B211">
        <v>185214</v>
      </c>
      <c r="C211">
        <v>185876</v>
      </c>
      <c r="E211" t="s">
        <v>14</v>
      </c>
      <c r="F211" t="s">
        <v>4032</v>
      </c>
      <c r="H211">
        <v>83704035</v>
      </c>
      <c r="I211" t="s">
        <v>17</v>
      </c>
      <c r="K211" t="s">
        <v>4033</v>
      </c>
      <c r="L211">
        <v>220</v>
      </c>
      <c r="M211" t="s">
        <v>4034</v>
      </c>
    </row>
    <row r="212" spans="1:13" x14ac:dyDescent="0.45">
      <c r="A212" t="s">
        <v>3601</v>
      </c>
      <c r="B212">
        <v>185881</v>
      </c>
      <c r="C212">
        <v>186744</v>
      </c>
      <c r="E212" t="s">
        <v>14</v>
      </c>
      <c r="F212" t="s">
        <v>4035</v>
      </c>
      <c r="H212">
        <v>83704036</v>
      </c>
      <c r="I212" t="s">
        <v>17</v>
      </c>
      <c r="K212" t="s">
        <v>4036</v>
      </c>
      <c r="L212">
        <v>287</v>
      </c>
      <c r="M212" t="s">
        <v>4037</v>
      </c>
    </row>
    <row r="213" spans="1:13" x14ac:dyDescent="0.45">
      <c r="A213" t="s">
        <v>3601</v>
      </c>
      <c r="B213">
        <v>186744</v>
      </c>
      <c r="C213">
        <v>187460</v>
      </c>
      <c r="E213" t="s">
        <v>14</v>
      </c>
      <c r="F213" t="s">
        <v>4038</v>
      </c>
      <c r="H213">
        <v>83704037</v>
      </c>
      <c r="I213" t="s">
        <v>17</v>
      </c>
      <c r="K213" t="s">
        <v>4039</v>
      </c>
      <c r="L213">
        <v>238</v>
      </c>
      <c r="M213" t="s">
        <v>4040</v>
      </c>
    </row>
    <row r="214" spans="1:13" x14ac:dyDescent="0.45">
      <c r="A214" t="s">
        <v>3601</v>
      </c>
      <c r="B214">
        <v>187762</v>
      </c>
      <c r="C214">
        <v>189408</v>
      </c>
      <c r="E214" t="s">
        <v>14</v>
      </c>
      <c r="F214" t="s">
        <v>3926</v>
      </c>
      <c r="H214">
        <v>83704038</v>
      </c>
      <c r="I214" t="s">
        <v>17</v>
      </c>
      <c r="K214" t="s">
        <v>4041</v>
      </c>
      <c r="L214">
        <v>548</v>
      </c>
      <c r="M214" t="s">
        <v>4042</v>
      </c>
    </row>
    <row r="215" spans="1:13" x14ac:dyDescent="0.45">
      <c r="A215" t="s">
        <v>3601</v>
      </c>
      <c r="B215">
        <v>189604</v>
      </c>
      <c r="C215">
        <v>190695</v>
      </c>
      <c r="E215" t="s">
        <v>14</v>
      </c>
      <c r="F215" t="s">
        <v>4043</v>
      </c>
      <c r="G215" t="s">
        <v>4044</v>
      </c>
      <c r="H215">
        <v>83704039</v>
      </c>
      <c r="I215" t="s">
        <v>17</v>
      </c>
      <c r="K215" t="s">
        <v>4045</v>
      </c>
      <c r="L215">
        <v>363</v>
      </c>
      <c r="M215" t="s">
        <v>4046</v>
      </c>
    </row>
    <row r="216" spans="1:13" x14ac:dyDescent="0.45">
      <c r="A216" t="s">
        <v>3601</v>
      </c>
      <c r="B216">
        <v>190792</v>
      </c>
      <c r="C216">
        <v>191004</v>
      </c>
      <c r="E216" t="s">
        <v>14</v>
      </c>
      <c r="F216" t="s">
        <v>45</v>
      </c>
      <c r="H216">
        <v>83704040</v>
      </c>
      <c r="I216" t="s">
        <v>17</v>
      </c>
      <c r="K216" t="s">
        <v>4047</v>
      </c>
      <c r="L216">
        <v>70</v>
      </c>
      <c r="M216" t="s">
        <v>4048</v>
      </c>
    </row>
    <row r="217" spans="1:13" x14ac:dyDescent="0.45">
      <c r="A217" t="s">
        <v>3601</v>
      </c>
      <c r="B217">
        <v>191202</v>
      </c>
      <c r="C217">
        <v>192398</v>
      </c>
      <c r="E217" t="s">
        <v>14</v>
      </c>
      <c r="F217" t="s">
        <v>4049</v>
      </c>
      <c r="H217">
        <v>83704041</v>
      </c>
      <c r="I217" t="s">
        <v>17</v>
      </c>
      <c r="K217" t="s">
        <v>4050</v>
      </c>
      <c r="L217">
        <v>398</v>
      </c>
      <c r="M217" t="s">
        <v>4051</v>
      </c>
    </row>
    <row r="218" spans="1:13" x14ac:dyDescent="0.45">
      <c r="A218" t="s">
        <v>3601</v>
      </c>
      <c r="B218">
        <v>192416</v>
      </c>
      <c r="C218">
        <v>194146</v>
      </c>
      <c r="E218" t="s">
        <v>14</v>
      </c>
      <c r="F218" t="s">
        <v>4052</v>
      </c>
      <c r="H218">
        <v>83704042</v>
      </c>
      <c r="I218" t="s">
        <v>17</v>
      </c>
      <c r="K218" t="s">
        <v>4053</v>
      </c>
      <c r="L218">
        <v>576</v>
      </c>
      <c r="M218" t="s">
        <v>4054</v>
      </c>
    </row>
    <row r="219" spans="1:13" x14ac:dyDescent="0.45">
      <c r="A219" t="s">
        <v>3601</v>
      </c>
      <c r="B219">
        <v>194547</v>
      </c>
      <c r="C219">
        <v>197189</v>
      </c>
      <c r="E219" t="s">
        <v>14</v>
      </c>
      <c r="F219" t="s">
        <v>934</v>
      </c>
      <c r="G219" t="s">
        <v>935</v>
      </c>
      <c r="H219">
        <v>83704043</v>
      </c>
      <c r="I219" t="s">
        <v>17</v>
      </c>
      <c r="K219" t="s">
        <v>4055</v>
      </c>
      <c r="L219">
        <v>880</v>
      </c>
      <c r="M219" t="s">
        <v>4056</v>
      </c>
    </row>
    <row r="220" spans="1:13" x14ac:dyDescent="0.45">
      <c r="A220" t="s">
        <v>3601</v>
      </c>
      <c r="B220">
        <v>197610</v>
      </c>
      <c r="C220">
        <v>198062</v>
      </c>
      <c r="E220" t="s">
        <v>14</v>
      </c>
      <c r="F220" t="s">
        <v>4057</v>
      </c>
      <c r="H220">
        <v>83704044</v>
      </c>
      <c r="I220" t="s">
        <v>17</v>
      </c>
      <c r="K220" t="s">
        <v>4058</v>
      </c>
      <c r="L220">
        <v>150</v>
      </c>
      <c r="M220" t="s">
        <v>4059</v>
      </c>
    </row>
    <row r="221" spans="1:13" x14ac:dyDescent="0.45">
      <c r="A221" t="s">
        <v>3601</v>
      </c>
      <c r="B221">
        <v>198099</v>
      </c>
      <c r="C221">
        <v>198572</v>
      </c>
      <c r="E221" t="s">
        <v>14</v>
      </c>
      <c r="F221" t="s">
        <v>4060</v>
      </c>
      <c r="G221" t="s">
        <v>4061</v>
      </c>
      <c r="H221">
        <v>83704045</v>
      </c>
      <c r="I221" t="s">
        <v>17</v>
      </c>
      <c r="K221" t="s">
        <v>4062</v>
      </c>
      <c r="L221">
        <v>157</v>
      </c>
      <c r="M221" t="s">
        <v>4063</v>
      </c>
    </row>
    <row r="222" spans="1:13" x14ac:dyDescent="0.45">
      <c r="A222" t="s">
        <v>3601</v>
      </c>
      <c r="B222">
        <v>198931</v>
      </c>
      <c r="C222">
        <v>200607</v>
      </c>
      <c r="E222" t="s">
        <v>14</v>
      </c>
      <c r="F222" t="s">
        <v>4064</v>
      </c>
      <c r="H222">
        <v>83705880</v>
      </c>
      <c r="I222" t="s">
        <v>17</v>
      </c>
      <c r="K222" t="s">
        <v>4065</v>
      </c>
      <c r="L222">
        <v>558</v>
      </c>
      <c r="M222" t="s">
        <v>4066</v>
      </c>
    </row>
    <row r="223" spans="1:13" x14ac:dyDescent="0.45">
      <c r="A223" t="s">
        <v>3601</v>
      </c>
      <c r="B223">
        <v>200742</v>
      </c>
      <c r="C223">
        <v>204701</v>
      </c>
      <c r="E223" t="s">
        <v>14</v>
      </c>
      <c r="F223" t="s">
        <v>4067</v>
      </c>
      <c r="H223">
        <v>83704046</v>
      </c>
      <c r="I223" t="s">
        <v>17</v>
      </c>
      <c r="K223" t="s">
        <v>4068</v>
      </c>
      <c r="L223">
        <v>1319</v>
      </c>
      <c r="M223" t="s">
        <v>4069</v>
      </c>
    </row>
    <row r="224" spans="1:13" x14ac:dyDescent="0.45">
      <c r="A224" t="s">
        <v>3601</v>
      </c>
      <c r="B224">
        <v>204897</v>
      </c>
      <c r="C224">
        <v>205742</v>
      </c>
      <c r="E224" t="s">
        <v>42</v>
      </c>
      <c r="F224" t="s">
        <v>1026</v>
      </c>
      <c r="H224">
        <v>83704047</v>
      </c>
      <c r="I224" t="s">
        <v>17</v>
      </c>
      <c r="K224" t="s">
        <v>4070</v>
      </c>
      <c r="L224">
        <v>281</v>
      </c>
      <c r="M224" t="s">
        <v>4071</v>
      </c>
    </row>
    <row r="225" spans="1:13" x14ac:dyDescent="0.45">
      <c r="A225" t="s">
        <v>3601</v>
      </c>
      <c r="B225">
        <v>205963</v>
      </c>
      <c r="C225">
        <v>207105</v>
      </c>
      <c r="E225" t="s">
        <v>14</v>
      </c>
      <c r="F225" t="s">
        <v>4072</v>
      </c>
      <c r="G225" t="s">
        <v>4073</v>
      </c>
      <c r="H225">
        <v>83704048</v>
      </c>
      <c r="I225" t="s">
        <v>17</v>
      </c>
      <c r="K225" t="s">
        <v>4074</v>
      </c>
      <c r="L225">
        <v>380</v>
      </c>
      <c r="M225" t="s">
        <v>4075</v>
      </c>
    </row>
    <row r="226" spans="1:13" x14ac:dyDescent="0.45">
      <c r="A226" t="s">
        <v>3601</v>
      </c>
      <c r="B226">
        <v>207535</v>
      </c>
      <c r="C226">
        <v>208626</v>
      </c>
      <c r="E226" t="s">
        <v>14</v>
      </c>
      <c r="F226" t="s">
        <v>49</v>
      </c>
      <c r="H226">
        <v>83704049</v>
      </c>
      <c r="I226" t="s">
        <v>17</v>
      </c>
      <c r="K226" t="s">
        <v>4076</v>
      </c>
      <c r="L226">
        <v>363</v>
      </c>
      <c r="M226" t="s">
        <v>4077</v>
      </c>
    </row>
    <row r="227" spans="1:13" x14ac:dyDescent="0.45">
      <c r="A227" t="s">
        <v>3601</v>
      </c>
      <c r="B227">
        <v>208969</v>
      </c>
      <c r="C227">
        <v>209145</v>
      </c>
      <c r="E227" t="s">
        <v>14</v>
      </c>
      <c r="F227" t="s">
        <v>143</v>
      </c>
      <c r="H227">
        <v>83705881</v>
      </c>
      <c r="I227" t="s">
        <v>17</v>
      </c>
      <c r="K227" t="s">
        <v>4078</v>
      </c>
      <c r="L227">
        <v>58</v>
      </c>
      <c r="M227" t="s">
        <v>4079</v>
      </c>
    </row>
    <row r="228" spans="1:13" x14ac:dyDescent="0.45">
      <c r="A228" t="s">
        <v>3601</v>
      </c>
      <c r="B228">
        <v>209479</v>
      </c>
      <c r="C228">
        <v>209616</v>
      </c>
      <c r="E228" t="s">
        <v>14</v>
      </c>
      <c r="F228" t="s">
        <v>143</v>
      </c>
      <c r="H228">
        <v>83705882</v>
      </c>
      <c r="I228" t="s">
        <v>17</v>
      </c>
      <c r="K228" t="s">
        <v>4080</v>
      </c>
      <c r="L228">
        <v>45</v>
      </c>
      <c r="M228" t="s">
        <v>4081</v>
      </c>
    </row>
    <row r="229" spans="1:13" x14ac:dyDescent="0.45">
      <c r="A229" t="s">
        <v>3601</v>
      </c>
      <c r="B229">
        <v>210003</v>
      </c>
      <c r="C229">
        <v>210314</v>
      </c>
      <c r="E229" t="s">
        <v>14</v>
      </c>
      <c r="F229" t="s">
        <v>4082</v>
      </c>
      <c r="H229">
        <v>83704050</v>
      </c>
      <c r="I229" t="s">
        <v>17</v>
      </c>
      <c r="K229" t="s">
        <v>4083</v>
      </c>
      <c r="L229">
        <v>103</v>
      </c>
      <c r="M229" t="s">
        <v>4084</v>
      </c>
    </row>
    <row r="230" spans="1:13" x14ac:dyDescent="0.45">
      <c r="A230" t="s">
        <v>3601</v>
      </c>
      <c r="B230">
        <v>210318</v>
      </c>
      <c r="C230">
        <v>210857</v>
      </c>
      <c r="E230" t="s">
        <v>14</v>
      </c>
      <c r="F230" t="s">
        <v>4085</v>
      </c>
      <c r="H230">
        <v>83704051</v>
      </c>
      <c r="I230" t="s">
        <v>17</v>
      </c>
      <c r="K230" t="s">
        <v>4086</v>
      </c>
      <c r="L230">
        <v>179</v>
      </c>
      <c r="M230" t="s">
        <v>4087</v>
      </c>
    </row>
    <row r="231" spans="1:13" x14ac:dyDescent="0.45">
      <c r="A231" t="s">
        <v>3601</v>
      </c>
      <c r="B231">
        <v>210956</v>
      </c>
      <c r="C231">
        <v>211738</v>
      </c>
      <c r="E231" t="s">
        <v>14</v>
      </c>
      <c r="F231" t="s">
        <v>76</v>
      </c>
      <c r="H231">
        <v>83704052</v>
      </c>
      <c r="I231" t="s">
        <v>17</v>
      </c>
      <c r="K231" t="s">
        <v>4088</v>
      </c>
      <c r="L231">
        <v>260</v>
      </c>
      <c r="M231" t="s">
        <v>4089</v>
      </c>
    </row>
    <row r="232" spans="1:13" x14ac:dyDescent="0.45">
      <c r="A232" t="s">
        <v>3601</v>
      </c>
      <c r="B232">
        <v>211735</v>
      </c>
      <c r="C232">
        <v>212229</v>
      </c>
      <c r="E232" t="s">
        <v>14</v>
      </c>
      <c r="F232" t="s">
        <v>283</v>
      </c>
      <c r="G232" t="s">
        <v>284</v>
      </c>
      <c r="H232">
        <v>83704053</v>
      </c>
      <c r="I232" t="s">
        <v>17</v>
      </c>
      <c r="K232" t="s">
        <v>4090</v>
      </c>
      <c r="L232">
        <v>164</v>
      </c>
      <c r="M232" t="s">
        <v>4091</v>
      </c>
    </row>
    <row r="233" spans="1:13" x14ac:dyDescent="0.45">
      <c r="A233" t="s">
        <v>3601</v>
      </c>
      <c r="B233">
        <v>212339</v>
      </c>
      <c r="C233">
        <v>213559</v>
      </c>
      <c r="E233" t="s">
        <v>42</v>
      </c>
      <c r="F233" t="s">
        <v>4000</v>
      </c>
      <c r="H233">
        <v>83704054</v>
      </c>
      <c r="I233" t="s">
        <v>17</v>
      </c>
      <c r="K233" t="s">
        <v>4092</v>
      </c>
      <c r="L233">
        <v>406</v>
      </c>
      <c r="M233" t="s">
        <v>4093</v>
      </c>
    </row>
    <row r="234" spans="1:13" x14ac:dyDescent="0.45">
      <c r="A234" t="s">
        <v>3601</v>
      </c>
      <c r="B234">
        <v>213759</v>
      </c>
      <c r="C234">
        <v>213854</v>
      </c>
      <c r="E234" t="s">
        <v>14</v>
      </c>
      <c r="F234" t="s">
        <v>285</v>
      </c>
      <c r="G234" t="s">
        <v>286</v>
      </c>
      <c r="H234">
        <v>83704055</v>
      </c>
      <c r="I234" t="s">
        <v>287</v>
      </c>
      <c r="M234" t="s">
        <v>4094</v>
      </c>
    </row>
    <row r="235" spans="1:13" x14ac:dyDescent="0.45">
      <c r="A235" t="s">
        <v>3601</v>
      </c>
      <c r="B235">
        <v>213895</v>
      </c>
      <c r="C235">
        <v>214515</v>
      </c>
      <c r="E235" t="s">
        <v>14</v>
      </c>
      <c r="F235" t="s">
        <v>45</v>
      </c>
      <c r="H235">
        <v>83704056</v>
      </c>
      <c r="I235" t="s">
        <v>17</v>
      </c>
      <c r="K235" t="s">
        <v>4095</v>
      </c>
      <c r="L235">
        <v>206</v>
      </c>
      <c r="M235" t="s">
        <v>4096</v>
      </c>
    </row>
    <row r="236" spans="1:13" x14ac:dyDescent="0.45">
      <c r="A236" t="s">
        <v>3601</v>
      </c>
      <c r="B236">
        <v>214893</v>
      </c>
      <c r="C236">
        <v>216146</v>
      </c>
      <c r="E236" t="s">
        <v>14</v>
      </c>
      <c r="F236" t="s">
        <v>801</v>
      </c>
      <c r="H236">
        <v>83704057</v>
      </c>
      <c r="I236" t="s">
        <v>17</v>
      </c>
      <c r="K236" t="s">
        <v>4097</v>
      </c>
      <c r="L236">
        <v>417</v>
      </c>
      <c r="M236" t="s">
        <v>4098</v>
      </c>
    </row>
    <row r="237" spans="1:13" x14ac:dyDescent="0.45">
      <c r="A237" t="s">
        <v>3601</v>
      </c>
      <c r="B237">
        <v>216404</v>
      </c>
      <c r="C237">
        <v>217609</v>
      </c>
      <c r="E237" t="s">
        <v>14</v>
      </c>
      <c r="F237" t="s">
        <v>4099</v>
      </c>
      <c r="H237">
        <v>83704058</v>
      </c>
      <c r="I237" t="s">
        <v>17</v>
      </c>
      <c r="K237" t="s">
        <v>4100</v>
      </c>
      <c r="L237">
        <v>401</v>
      </c>
      <c r="M237" t="s">
        <v>4101</v>
      </c>
    </row>
    <row r="238" spans="1:13" x14ac:dyDescent="0.45">
      <c r="A238" t="s">
        <v>3601</v>
      </c>
      <c r="B238">
        <v>217659</v>
      </c>
      <c r="C238">
        <v>218561</v>
      </c>
      <c r="E238" t="s">
        <v>14</v>
      </c>
      <c r="F238" t="s">
        <v>429</v>
      </c>
      <c r="G238" t="s">
        <v>430</v>
      </c>
      <c r="H238">
        <v>83704059</v>
      </c>
      <c r="I238" t="s">
        <v>17</v>
      </c>
      <c r="K238" t="s">
        <v>4102</v>
      </c>
      <c r="L238">
        <v>300</v>
      </c>
      <c r="M238" t="s">
        <v>4103</v>
      </c>
    </row>
    <row r="239" spans="1:13" x14ac:dyDescent="0.45">
      <c r="A239" t="s">
        <v>3601</v>
      </c>
      <c r="B239">
        <v>218728</v>
      </c>
      <c r="C239">
        <v>220107</v>
      </c>
      <c r="E239" t="s">
        <v>14</v>
      </c>
      <c r="F239" t="s">
        <v>129</v>
      </c>
      <c r="G239" t="s">
        <v>130</v>
      </c>
      <c r="H239">
        <v>83704060</v>
      </c>
      <c r="I239" t="s">
        <v>17</v>
      </c>
      <c r="K239" t="s">
        <v>4104</v>
      </c>
      <c r="L239">
        <v>459</v>
      </c>
      <c r="M239" t="s">
        <v>4105</v>
      </c>
    </row>
    <row r="240" spans="1:13" x14ac:dyDescent="0.45">
      <c r="A240" t="s">
        <v>3601</v>
      </c>
      <c r="B240">
        <v>220284</v>
      </c>
      <c r="C240">
        <v>221633</v>
      </c>
      <c r="E240" t="s">
        <v>14</v>
      </c>
      <c r="F240" t="s">
        <v>512</v>
      </c>
      <c r="H240">
        <v>83704061</v>
      </c>
      <c r="I240" t="s">
        <v>17</v>
      </c>
      <c r="K240" t="s">
        <v>4106</v>
      </c>
      <c r="L240">
        <v>449</v>
      </c>
      <c r="M240" t="s">
        <v>4107</v>
      </c>
    </row>
    <row r="241" spans="1:13" x14ac:dyDescent="0.45">
      <c r="A241" t="s">
        <v>3601</v>
      </c>
      <c r="B241">
        <v>222177</v>
      </c>
      <c r="C241">
        <v>222977</v>
      </c>
      <c r="E241" t="s">
        <v>14</v>
      </c>
      <c r="F241" t="s">
        <v>642</v>
      </c>
      <c r="H241">
        <v>83704062</v>
      </c>
      <c r="I241" t="s">
        <v>17</v>
      </c>
      <c r="K241" t="s">
        <v>4108</v>
      </c>
      <c r="L241">
        <v>266</v>
      </c>
      <c r="M241" t="s">
        <v>4109</v>
      </c>
    </row>
    <row r="242" spans="1:13" x14ac:dyDescent="0.45">
      <c r="A242" t="s">
        <v>3601</v>
      </c>
      <c r="B242">
        <v>223000</v>
      </c>
      <c r="C242">
        <v>224868</v>
      </c>
      <c r="E242" t="s">
        <v>14</v>
      </c>
      <c r="F242" t="s">
        <v>3926</v>
      </c>
      <c r="H242">
        <v>83704063</v>
      </c>
      <c r="I242" t="s">
        <v>17</v>
      </c>
      <c r="K242" t="s">
        <v>4110</v>
      </c>
      <c r="L242">
        <v>622</v>
      </c>
      <c r="M242" t="s">
        <v>4111</v>
      </c>
    </row>
    <row r="243" spans="1:13" x14ac:dyDescent="0.45">
      <c r="A243" t="s">
        <v>3601</v>
      </c>
      <c r="B243">
        <v>224868</v>
      </c>
      <c r="C243">
        <v>225329</v>
      </c>
      <c r="E243" t="s">
        <v>14</v>
      </c>
      <c r="F243" t="s">
        <v>4112</v>
      </c>
      <c r="H243">
        <v>83704064</v>
      </c>
      <c r="I243" t="s">
        <v>17</v>
      </c>
      <c r="K243" t="s">
        <v>4113</v>
      </c>
      <c r="L243">
        <v>153</v>
      </c>
      <c r="M243" t="s">
        <v>4114</v>
      </c>
    </row>
    <row r="244" spans="1:13" x14ac:dyDescent="0.45">
      <c r="A244" t="s">
        <v>3601</v>
      </c>
      <c r="B244">
        <v>225477</v>
      </c>
      <c r="C244">
        <v>226022</v>
      </c>
      <c r="E244" t="s">
        <v>14</v>
      </c>
      <c r="F244" t="s">
        <v>4115</v>
      </c>
      <c r="G244" t="s">
        <v>4116</v>
      </c>
      <c r="H244">
        <v>83704065</v>
      </c>
      <c r="I244" t="s">
        <v>17</v>
      </c>
      <c r="K244" t="s">
        <v>4117</v>
      </c>
      <c r="L244">
        <v>181</v>
      </c>
      <c r="M244" t="s">
        <v>4118</v>
      </c>
    </row>
    <row r="245" spans="1:13" x14ac:dyDescent="0.45">
      <c r="A245" t="s">
        <v>3601</v>
      </c>
      <c r="B245">
        <v>226038</v>
      </c>
      <c r="C245">
        <v>227027</v>
      </c>
      <c r="E245" t="s">
        <v>14</v>
      </c>
      <c r="F245" t="s">
        <v>4119</v>
      </c>
      <c r="G245" t="s">
        <v>4120</v>
      </c>
      <c r="H245">
        <v>83704066</v>
      </c>
      <c r="I245" t="s">
        <v>17</v>
      </c>
      <c r="K245" t="s">
        <v>4121</v>
      </c>
      <c r="L245">
        <v>329</v>
      </c>
      <c r="M245" t="s">
        <v>4122</v>
      </c>
    </row>
    <row r="246" spans="1:13" x14ac:dyDescent="0.45">
      <c r="A246" t="s">
        <v>3601</v>
      </c>
      <c r="B246">
        <v>227059</v>
      </c>
      <c r="C246">
        <v>227424</v>
      </c>
      <c r="E246" t="s">
        <v>14</v>
      </c>
      <c r="F246" t="s">
        <v>443</v>
      </c>
      <c r="H246">
        <v>83704067</v>
      </c>
      <c r="I246" t="s">
        <v>17</v>
      </c>
      <c r="K246" t="s">
        <v>4123</v>
      </c>
      <c r="L246">
        <v>121</v>
      </c>
      <c r="M246" t="s">
        <v>4124</v>
      </c>
    </row>
    <row r="247" spans="1:13" x14ac:dyDescent="0.45">
      <c r="A247" t="s">
        <v>3601</v>
      </c>
      <c r="B247">
        <v>227847</v>
      </c>
      <c r="C247">
        <v>229373</v>
      </c>
      <c r="E247" t="s">
        <v>14</v>
      </c>
      <c r="F247" t="s">
        <v>1024</v>
      </c>
      <c r="H247">
        <v>83704068</v>
      </c>
      <c r="I247" t="s">
        <v>17</v>
      </c>
      <c r="K247" t="s">
        <v>4125</v>
      </c>
      <c r="L247">
        <v>508</v>
      </c>
      <c r="M247" t="s">
        <v>4126</v>
      </c>
    </row>
    <row r="248" spans="1:13" x14ac:dyDescent="0.45">
      <c r="A248" t="s">
        <v>3601</v>
      </c>
      <c r="B248">
        <v>229526</v>
      </c>
      <c r="C248">
        <v>230812</v>
      </c>
      <c r="E248" t="s">
        <v>14</v>
      </c>
      <c r="F248" t="s">
        <v>248</v>
      </c>
      <c r="H248">
        <v>83704069</v>
      </c>
      <c r="I248" t="s">
        <v>17</v>
      </c>
      <c r="K248" t="s">
        <v>4127</v>
      </c>
      <c r="L248">
        <v>428</v>
      </c>
      <c r="M248" t="s">
        <v>4128</v>
      </c>
    </row>
    <row r="249" spans="1:13" x14ac:dyDescent="0.45">
      <c r="A249" t="s">
        <v>3601</v>
      </c>
      <c r="B249">
        <v>230819</v>
      </c>
      <c r="C249">
        <v>231454</v>
      </c>
      <c r="E249" t="s">
        <v>14</v>
      </c>
      <c r="F249" t="s">
        <v>4129</v>
      </c>
      <c r="H249">
        <v>83704070</v>
      </c>
      <c r="I249" t="s">
        <v>17</v>
      </c>
      <c r="K249" t="s">
        <v>4130</v>
      </c>
      <c r="L249">
        <v>211</v>
      </c>
      <c r="M249" t="s">
        <v>4131</v>
      </c>
    </row>
    <row r="250" spans="1:13" x14ac:dyDescent="0.45">
      <c r="A250" t="s">
        <v>3601</v>
      </c>
      <c r="B250">
        <v>231877</v>
      </c>
      <c r="C250">
        <v>232845</v>
      </c>
      <c r="E250" t="s">
        <v>42</v>
      </c>
      <c r="F250" t="s">
        <v>49</v>
      </c>
      <c r="H250">
        <v>83704071</v>
      </c>
      <c r="I250" t="s">
        <v>17</v>
      </c>
      <c r="K250" t="s">
        <v>4132</v>
      </c>
      <c r="L250">
        <v>322</v>
      </c>
      <c r="M250" t="s">
        <v>4133</v>
      </c>
    </row>
    <row r="251" spans="1:13" x14ac:dyDescent="0.45">
      <c r="A251" t="s">
        <v>3601</v>
      </c>
      <c r="B251">
        <v>233505</v>
      </c>
      <c r="C251">
        <v>234032</v>
      </c>
      <c r="E251" t="s">
        <v>14</v>
      </c>
      <c r="F251" t="s">
        <v>897</v>
      </c>
      <c r="H251">
        <v>83704072</v>
      </c>
      <c r="I251" t="s">
        <v>17</v>
      </c>
      <c r="K251" t="s">
        <v>4134</v>
      </c>
      <c r="L251">
        <v>175</v>
      </c>
      <c r="M251" t="s">
        <v>4135</v>
      </c>
    </row>
    <row r="252" spans="1:13" x14ac:dyDescent="0.45">
      <c r="A252" t="s">
        <v>3601</v>
      </c>
      <c r="B252">
        <v>234029</v>
      </c>
      <c r="C252">
        <v>234712</v>
      </c>
      <c r="E252" t="s">
        <v>14</v>
      </c>
      <c r="F252" t="s">
        <v>896</v>
      </c>
      <c r="H252">
        <v>83704073</v>
      </c>
      <c r="I252" t="s">
        <v>17</v>
      </c>
      <c r="K252" t="s">
        <v>4136</v>
      </c>
      <c r="L252">
        <v>227</v>
      </c>
      <c r="M252" t="s">
        <v>4137</v>
      </c>
    </row>
    <row r="253" spans="1:13" x14ac:dyDescent="0.45">
      <c r="A253" t="s">
        <v>3601</v>
      </c>
      <c r="B253">
        <v>234997</v>
      </c>
      <c r="C253">
        <v>235905</v>
      </c>
      <c r="E253" t="s">
        <v>42</v>
      </c>
      <c r="F253" t="s">
        <v>429</v>
      </c>
      <c r="G253" t="s">
        <v>430</v>
      </c>
      <c r="H253">
        <v>83704074</v>
      </c>
      <c r="I253" t="s">
        <v>17</v>
      </c>
      <c r="K253" t="s">
        <v>4138</v>
      </c>
      <c r="L253">
        <v>302</v>
      </c>
      <c r="M253" t="s">
        <v>4139</v>
      </c>
    </row>
    <row r="254" spans="1:13" x14ac:dyDescent="0.45">
      <c r="A254" t="s">
        <v>3601</v>
      </c>
      <c r="B254">
        <v>235931</v>
      </c>
      <c r="C254">
        <v>236950</v>
      </c>
      <c r="E254" t="s">
        <v>42</v>
      </c>
      <c r="F254" t="s">
        <v>463</v>
      </c>
      <c r="H254">
        <v>83704075</v>
      </c>
      <c r="I254" t="s">
        <v>17</v>
      </c>
      <c r="K254" t="s">
        <v>4140</v>
      </c>
      <c r="L254">
        <v>339</v>
      </c>
      <c r="M254" t="s">
        <v>4141</v>
      </c>
    </row>
    <row r="255" spans="1:13" x14ac:dyDescent="0.45">
      <c r="A255" t="s">
        <v>3601</v>
      </c>
      <c r="B255">
        <v>237160</v>
      </c>
      <c r="C255">
        <v>237609</v>
      </c>
      <c r="E255" t="s">
        <v>14</v>
      </c>
      <c r="F255" t="s">
        <v>702</v>
      </c>
      <c r="H255">
        <v>83704076</v>
      </c>
      <c r="I255" t="s">
        <v>17</v>
      </c>
      <c r="K255" t="s">
        <v>4142</v>
      </c>
      <c r="L255">
        <v>149</v>
      </c>
      <c r="M255" t="s">
        <v>4143</v>
      </c>
    </row>
    <row r="256" spans="1:13" x14ac:dyDescent="0.45">
      <c r="A256" t="s">
        <v>3601</v>
      </c>
      <c r="B256">
        <v>237602</v>
      </c>
      <c r="C256">
        <v>239311</v>
      </c>
      <c r="E256" t="s">
        <v>14</v>
      </c>
      <c r="F256" t="s">
        <v>72</v>
      </c>
      <c r="H256">
        <v>83704077</v>
      </c>
      <c r="I256" t="s">
        <v>17</v>
      </c>
      <c r="K256" t="s">
        <v>4144</v>
      </c>
      <c r="L256">
        <v>569</v>
      </c>
      <c r="M256" t="s">
        <v>4145</v>
      </c>
    </row>
    <row r="257" spans="1:13" x14ac:dyDescent="0.45">
      <c r="A257" t="s">
        <v>3601</v>
      </c>
      <c r="B257">
        <v>239311</v>
      </c>
      <c r="C257">
        <v>241107</v>
      </c>
      <c r="E257" t="s">
        <v>14</v>
      </c>
      <c r="F257" t="s">
        <v>72</v>
      </c>
      <c r="H257">
        <v>83704078</v>
      </c>
      <c r="I257" t="s">
        <v>17</v>
      </c>
      <c r="K257" t="s">
        <v>4146</v>
      </c>
      <c r="L257">
        <v>598</v>
      </c>
      <c r="M257" t="s">
        <v>4147</v>
      </c>
    </row>
    <row r="258" spans="1:13" x14ac:dyDescent="0.45">
      <c r="A258" t="s">
        <v>3601</v>
      </c>
      <c r="B258">
        <v>241258</v>
      </c>
      <c r="C258">
        <v>242025</v>
      </c>
      <c r="E258" t="s">
        <v>14</v>
      </c>
      <c r="F258" t="s">
        <v>4148</v>
      </c>
      <c r="H258">
        <v>83704079</v>
      </c>
      <c r="I258" t="s">
        <v>17</v>
      </c>
      <c r="K258" t="s">
        <v>4149</v>
      </c>
      <c r="L258">
        <v>255</v>
      </c>
      <c r="M258" t="s">
        <v>4150</v>
      </c>
    </row>
    <row r="259" spans="1:13" x14ac:dyDescent="0.45">
      <c r="A259" t="s">
        <v>3601</v>
      </c>
      <c r="B259">
        <v>242224</v>
      </c>
      <c r="C259">
        <v>242670</v>
      </c>
      <c r="E259" t="s">
        <v>14</v>
      </c>
      <c r="F259" t="s">
        <v>251</v>
      </c>
      <c r="H259">
        <v>83704080</v>
      </c>
      <c r="I259" t="s">
        <v>17</v>
      </c>
      <c r="K259" t="s">
        <v>4151</v>
      </c>
      <c r="L259">
        <v>148</v>
      </c>
      <c r="M259" t="s">
        <v>4152</v>
      </c>
    </row>
    <row r="260" spans="1:13" x14ac:dyDescent="0.45">
      <c r="A260" t="s">
        <v>3601</v>
      </c>
      <c r="B260">
        <v>242736</v>
      </c>
      <c r="C260">
        <v>244097</v>
      </c>
      <c r="E260" t="s">
        <v>14</v>
      </c>
      <c r="F260" t="s">
        <v>252</v>
      </c>
      <c r="G260" t="s">
        <v>253</v>
      </c>
      <c r="H260">
        <v>83704081</v>
      </c>
      <c r="I260" t="s">
        <v>17</v>
      </c>
      <c r="K260" t="s">
        <v>4153</v>
      </c>
      <c r="L260">
        <v>453</v>
      </c>
      <c r="M260" t="s">
        <v>4154</v>
      </c>
    </row>
    <row r="261" spans="1:13" x14ac:dyDescent="0.45">
      <c r="A261" t="s">
        <v>3601</v>
      </c>
      <c r="B261">
        <v>244258</v>
      </c>
      <c r="C261">
        <v>244536</v>
      </c>
      <c r="E261" t="s">
        <v>42</v>
      </c>
      <c r="F261" t="s">
        <v>45</v>
      </c>
      <c r="H261">
        <v>83704082</v>
      </c>
      <c r="I261" t="s">
        <v>17</v>
      </c>
      <c r="K261" t="s">
        <v>4155</v>
      </c>
      <c r="L261">
        <v>92</v>
      </c>
      <c r="M261" t="s">
        <v>4156</v>
      </c>
    </row>
    <row r="262" spans="1:13" x14ac:dyDescent="0.45">
      <c r="A262" t="s">
        <v>3601</v>
      </c>
      <c r="B262">
        <v>244871</v>
      </c>
      <c r="C262">
        <v>245377</v>
      </c>
      <c r="E262" t="s">
        <v>14</v>
      </c>
      <c r="F262" t="s">
        <v>4157</v>
      </c>
      <c r="H262">
        <v>83704083</v>
      </c>
      <c r="I262" t="s">
        <v>17</v>
      </c>
      <c r="K262" t="s">
        <v>4158</v>
      </c>
      <c r="L262">
        <v>168</v>
      </c>
      <c r="M262" t="s">
        <v>4159</v>
      </c>
    </row>
    <row r="263" spans="1:13" x14ac:dyDescent="0.45">
      <c r="A263" t="s">
        <v>3601</v>
      </c>
      <c r="B263">
        <v>245505</v>
      </c>
      <c r="C263">
        <v>246218</v>
      </c>
      <c r="E263" t="s">
        <v>14</v>
      </c>
      <c r="F263" t="s">
        <v>1046</v>
      </c>
      <c r="H263">
        <v>83704084</v>
      </c>
      <c r="I263" t="s">
        <v>17</v>
      </c>
      <c r="K263" t="s">
        <v>4160</v>
      </c>
      <c r="L263">
        <v>237</v>
      </c>
      <c r="M263" t="s">
        <v>4161</v>
      </c>
    </row>
    <row r="264" spans="1:13" x14ac:dyDescent="0.45">
      <c r="A264" t="s">
        <v>3601</v>
      </c>
      <c r="B264">
        <v>246974</v>
      </c>
      <c r="C264">
        <v>248419</v>
      </c>
      <c r="E264" t="s">
        <v>14</v>
      </c>
      <c r="F264" t="s">
        <v>254</v>
      </c>
      <c r="G264" t="s">
        <v>255</v>
      </c>
      <c r="H264">
        <v>83704085</v>
      </c>
      <c r="I264" t="s">
        <v>17</v>
      </c>
      <c r="K264" t="s">
        <v>4162</v>
      </c>
      <c r="L264">
        <v>481</v>
      </c>
      <c r="M264" t="s">
        <v>4163</v>
      </c>
    </row>
    <row r="265" spans="1:13" x14ac:dyDescent="0.45">
      <c r="A265" t="s">
        <v>3601</v>
      </c>
      <c r="B265">
        <v>248868</v>
      </c>
      <c r="C265">
        <v>250214</v>
      </c>
      <c r="E265" t="s">
        <v>14</v>
      </c>
      <c r="F265" t="s">
        <v>421</v>
      </c>
      <c r="H265">
        <v>83704086</v>
      </c>
      <c r="I265" t="s">
        <v>17</v>
      </c>
      <c r="K265" t="s">
        <v>4164</v>
      </c>
      <c r="L265">
        <v>448</v>
      </c>
      <c r="M265" t="s">
        <v>4165</v>
      </c>
    </row>
    <row r="266" spans="1:13" x14ac:dyDescent="0.45">
      <c r="A266" t="s">
        <v>3601</v>
      </c>
      <c r="B266">
        <v>250226</v>
      </c>
      <c r="C266">
        <v>251524</v>
      </c>
      <c r="E266" t="s">
        <v>14</v>
      </c>
      <c r="F266" t="s">
        <v>4166</v>
      </c>
      <c r="H266">
        <v>83704087</v>
      </c>
      <c r="I266" t="s">
        <v>17</v>
      </c>
      <c r="K266" t="s">
        <v>4167</v>
      </c>
      <c r="L266">
        <v>432</v>
      </c>
      <c r="M266" t="s">
        <v>4168</v>
      </c>
    </row>
    <row r="267" spans="1:13" x14ac:dyDescent="0.45">
      <c r="A267" t="s">
        <v>3601</v>
      </c>
      <c r="B267">
        <v>251528</v>
      </c>
      <c r="C267">
        <v>252268</v>
      </c>
      <c r="E267" t="s">
        <v>14</v>
      </c>
      <c r="F267" t="s">
        <v>511</v>
      </c>
      <c r="H267">
        <v>83704088</v>
      </c>
      <c r="I267" t="s">
        <v>17</v>
      </c>
      <c r="K267" t="s">
        <v>4169</v>
      </c>
      <c r="L267">
        <v>246</v>
      </c>
      <c r="M267" t="s">
        <v>4170</v>
      </c>
    </row>
    <row r="268" spans="1:13" x14ac:dyDescent="0.45">
      <c r="A268" t="s">
        <v>3601</v>
      </c>
      <c r="B268">
        <v>253101</v>
      </c>
      <c r="C268">
        <v>253310</v>
      </c>
      <c r="E268" t="s">
        <v>14</v>
      </c>
      <c r="F268" t="s">
        <v>45</v>
      </c>
      <c r="H268">
        <v>83704089</v>
      </c>
      <c r="I268" t="s">
        <v>17</v>
      </c>
      <c r="K268" t="s">
        <v>4171</v>
      </c>
      <c r="L268">
        <v>69</v>
      </c>
      <c r="M268" t="s">
        <v>4172</v>
      </c>
    </row>
    <row r="269" spans="1:13" x14ac:dyDescent="0.45">
      <c r="A269" t="s">
        <v>3601</v>
      </c>
      <c r="B269">
        <v>253461</v>
      </c>
      <c r="C269">
        <v>254168</v>
      </c>
      <c r="E269" t="s">
        <v>14</v>
      </c>
      <c r="F269" t="s">
        <v>72</v>
      </c>
      <c r="H269">
        <v>83704090</v>
      </c>
      <c r="I269" t="s">
        <v>17</v>
      </c>
      <c r="K269" t="s">
        <v>4173</v>
      </c>
      <c r="L269">
        <v>235</v>
      </c>
      <c r="M269" t="s">
        <v>4174</v>
      </c>
    </row>
    <row r="270" spans="1:13" x14ac:dyDescent="0.45">
      <c r="A270" t="s">
        <v>3601</v>
      </c>
      <c r="B270">
        <v>254173</v>
      </c>
      <c r="C270">
        <v>255522</v>
      </c>
      <c r="E270" t="s">
        <v>14</v>
      </c>
      <c r="F270" t="s">
        <v>45</v>
      </c>
      <c r="H270">
        <v>83704091</v>
      </c>
      <c r="I270" t="s">
        <v>17</v>
      </c>
      <c r="K270" t="s">
        <v>4175</v>
      </c>
      <c r="L270">
        <v>449</v>
      </c>
      <c r="M270" t="s">
        <v>4176</v>
      </c>
    </row>
    <row r="271" spans="1:13" x14ac:dyDescent="0.45">
      <c r="A271" t="s">
        <v>3601</v>
      </c>
      <c r="B271">
        <v>255524</v>
      </c>
      <c r="C271">
        <v>255802</v>
      </c>
      <c r="E271" t="s">
        <v>14</v>
      </c>
      <c r="F271" t="s">
        <v>45</v>
      </c>
      <c r="H271">
        <v>83704092</v>
      </c>
      <c r="I271" t="s">
        <v>17</v>
      </c>
      <c r="K271" t="s">
        <v>4177</v>
      </c>
      <c r="L271">
        <v>92</v>
      </c>
      <c r="M271" t="s">
        <v>4178</v>
      </c>
    </row>
    <row r="272" spans="1:13" x14ac:dyDescent="0.45">
      <c r="A272" t="s">
        <v>3601</v>
      </c>
      <c r="B272">
        <v>255799</v>
      </c>
      <c r="C272">
        <v>256164</v>
      </c>
      <c r="E272" t="s">
        <v>14</v>
      </c>
      <c r="F272" t="s">
        <v>4179</v>
      </c>
      <c r="H272">
        <v>83704093</v>
      </c>
      <c r="I272" t="s">
        <v>17</v>
      </c>
      <c r="K272" t="s">
        <v>4180</v>
      </c>
      <c r="L272">
        <v>121</v>
      </c>
      <c r="M272" t="s">
        <v>4181</v>
      </c>
    </row>
    <row r="273" spans="1:13" x14ac:dyDescent="0.45">
      <c r="A273" t="s">
        <v>3601</v>
      </c>
      <c r="B273">
        <v>256161</v>
      </c>
      <c r="C273">
        <v>256664</v>
      </c>
      <c r="E273" t="s">
        <v>14</v>
      </c>
      <c r="F273" t="s">
        <v>4182</v>
      </c>
      <c r="H273">
        <v>83704094</v>
      </c>
      <c r="I273" t="s">
        <v>17</v>
      </c>
      <c r="K273" t="s">
        <v>4183</v>
      </c>
      <c r="L273">
        <v>167</v>
      </c>
      <c r="M273" t="s">
        <v>4184</v>
      </c>
    </row>
    <row r="274" spans="1:13" x14ac:dyDescent="0.45">
      <c r="A274" t="s">
        <v>3601</v>
      </c>
      <c r="B274">
        <v>256895</v>
      </c>
      <c r="C274">
        <v>257254</v>
      </c>
      <c r="E274" t="s">
        <v>14</v>
      </c>
      <c r="F274" t="s">
        <v>1052</v>
      </c>
      <c r="G274" t="s">
        <v>1053</v>
      </c>
      <c r="H274">
        <v>83704095</v>
      </c>
      <c r="I274" t="s">
        <v>17</v>
      </c>
      <c r="K274" t="s">
        <v>4185</v>
      </c>
      <c r="L274">
        <v>119</v>
      </c>
      <c r="M274" t="s">
        <v>4186</v>
      </c>
    </row>
    <row r="275" spans="1:13" x14ac:dyDescent="0.45">
      <c r="A275" t="s">
        <v>3601</v>
      </c>
      <c r="B275">
        <v>257220</v>
      </c>
      <c r="C275">
        <v>258047</v>
      </c>
      <c r="E275" t="s">
        <v>14</v>
      </c>
      <c r="F275" t="s">
        <v>4187</v>
      </c>
      <c r="H275">
        <v>83704096</v>
      </c>
      <c r="I275" t="s">
        <v>17</v>
      </c>
      <c r="K275" t="s">
        <v>4188</v>
      </c>
      <c r="L275">
        <v>275</v>
      </c>
      <c r="M275" t="s">
        <v>4189</v>
      </c>
    </row>
    <row r="276" spans="1:13" x14ac:dyDescent="0.45">
      <c r="A276" t="s">
        <v>3601</v>
      </c>
      <c r="B276">
        <v>258059</v>
      </c>
      <c r="C276">
        <v>258958</v>
      </c>
      <c r="E276" t="s">
        <v>14</v>
      </c>
      <c r="F276" t="s">
        <v>4190</v>
      </c>
      <c r="G276" t="s">
        <v>4191</v>
      </c>
      <c r="H276">
        <v>83704097</v>
      </c>
      <c r="I276" t="s">
        <v>17</v>
      </c>
      <c r="K276" t="s">
        <v>4192</v>
      </c>
      <c r="L276">
        <v>299</v>
      </c>
      <c r="M276" t="s">
        <v>4193</v>
      </c>
    </row>
    <row r="277" spans="1:13" x14ac:dyDescent="0.45">
      <c r="A277" t="s">
        <v>3601</v>
      </c>
      <c r="B277">
        <v>259799</v>
      </c>
      <c r="C277">
        <v>260407</v>
      </c>
      <c r="E277" t="s">
        <v>14</v>
      </c>
      <c r="F277" t="s">
        <v>4194</v>
      </c>
      <c r="H277">
        <v>83705856</v>
      </c>
      <c r="I277" t="s">
        <v>17</v>
      </c>
      <c r="K277" t="s">
        <v>4195</v>
      </c>
      <c r="L277">
        <v>202</v>
      </c>
      <c r="M277" t="s">
        <v>4196</v>
      </c>
    </row>
    <row r="278" spans="1:13" x14ac:dyDescent="0.45">
      <c r="A278" t="s">
        <v>3601</v>
      </c>
      <c r="B278">
        <v>260452</v>
      </c>
      <c r="C278">
        <v>261759</v>
      </c>
      <c r="E278" t="s">
        <v>14</v>
      </c>
      <c r="F278" t="s">
        <v>4197</v>
      </c>
      <c r="H278">
        <v>83705857</v>
      </c>
      <c r="I278" t="s">
        <v>17</v>
      </c>
      <c r="K278" t="s">
        <v>4198</v>
      </c>
      <c r="L278">
        <v>435</v>
      </c>
      <c r="M278" t="s">
        <v>4199</v>
      </c>
    </row>
    <row r="279" spans="1:13" x14ac:dyDescent="0.45">
      <c r="A279" t="s">
        <v>3601</v>
      </c>
      <c r="B279">
        <v>261760</v>
      </c>
      <c r="C279">
        <v>262083</v>
      </c>
      <c r="E279" t="s">
        <v>14</v>
      </c>
      <c r="F279" t="s">
        <v>4200</v>
      </c>
      <c r="H279">
        <v>83704098</v>
      </c>
      <c r="I279" t="s">
        <v>17</v>
      </c>
      <c r="K279" t="s">
        <v>4201</v>
      </c>
      <c r="L279">
        <v>107</v>
      </c>
      <c r="M279" t="s">
        <v>4202</v>
      </c>
    </row>
    <row r="280" spans="1:13" x14ac:dyDescent="0.45">
      <c r="A280" t="s">
        <v>3601</v>
      </c>
      <c r="B280">
        <v>262105</v>
      </c>
      <c r="C280">
        <v>262527</v>
      </c>
      <c r="E280" t="s">
        <v>14</v>
      </c>
      <c r="F280" t="s">
        <v>45</v>
      </c>
      <c r="H280">
        <v>83704099</v>
      </c>
      <c r="I280" t="s">
        <v>17</v>
      </c>
      <c r="K280" t="s">
        <v>4203</v>
      </c>
      <c r="L280">
        <v>140</v>
      </c>
      <c r="M280" t="s">
        <v>4204</v>
      </c>
    </row>
    <row r="281" spans="1:13" x14ac:dyDescent="0.45">
      <c r="A281" t="s">
        <v>3601</v>
      </c>
      <c r="B281">
        <v>262705</v>
      </c>
      <c r="C281">
        <v>263745</v>
      </c>
      <c r="E281" t="s">
        <v>14</v>
      </c>
      <c r="F281" t="s">
        <v>45</v>
      </c>
      <c r="H281">
        <v>83705858</v>
      </c>
      <c r="I281" t="s">
        <v>17</v>
      </c>
      <c r="K281" t="s">
        <v>4205</v>
      </c>
      <c r="L281">
        <v>346</v>
      </c>
      <c r="M281" t="s">
        <v>4206</v>
      </c>
    </row>
    <row r="282" spans="1:13" x14ac:dyDescent="0.45">
      <c r="A282" t="s">
        <v>3601</v>
      </c>
      <c r="B282">
        <v>263760</v>
      </c>
      <c r="C282">
        <v>264020</v>
      </c>
      <c r="E282" t="s">
        <v>14</v>
      </c>
      <c r="F282" t="s">
        <v>45</v>
      </c>
      <c r="H282">
        <v>83704100</v>
      </c>
      <c r="I282" t="s">
        <v>17</v>
      </c>
      <c r="K282" t="s">
        <v>4207</v>
      </c>
      <c r="L282">
        <v>86</v>
      </c>
      <c r="M282" t="s">
        <v>4208</v>
      </c>
    </row>
    <row r="283" spans="1:13" x14ac:dyDescent="0.45">
      <c r="A283" t="s">
        <v>3601</v>
      </c>
      <c r="B283">
        <v>264343</v>
      </c>
      <c r="C283">
        <v>264732</v>
      </c>
      <c r="E283" t="s">
        <v>14</v>
      </c>
      <c r="F283" t="s">
        <v>45</v>
      </c>
      <c r="H283">
        <v>83704101</v>
      </c>
      <c r="I283" t="s">
        <v>17</v>
      </c>
      <c r="K283" t="s">
        <v>4209</v>
      </c>
      <c r="L283">
        <v>129</v>
      </c>
      <c r="M283" t="s">
        <v>4210</v>
      </c>
    </row>
    <row r="284" spans="1:13" x14ac:dyDescent="0.45">
      <c r="A284" t="s">
        <v>3601</v>
      </c>
      <c r="B284">
        <v>264742</v>
      </c>
      <c r="C284">
        <v>265164</v>
      </c>
      <c r="E284" t="s">
        <v>14</v>
      </c>
      <c r="F284" t="s">
        <v>45</v>
      </c>
      <c r="H284">
        <v>83704102</v>
      </c>
      <c r="I284" t="s">
        <v>17</v>
      </c>
      <c r="K284" t="s">
        <v>4211</v>
      </c>
      <c r="L284">
        <v>140</v>
      </c>
      <c r="M284" t="s">
        <v>4212</v>
      </c>
    </row>
    <row r="285" spans="1:13" x14ac:dyDescent="0.45">
      <c r="A285" t="s">
        <v>3601</v>
      </c>
      <c r="B285">
        <v>265695</v>
      </c>
      <c r="C285">
        <v>266405</v>
      </c>
      <c r="E285" t="s">
        <v>14</v>
      </c>
      <c r="F285" t="s">
        <v>4213</v>
      </c>
      <c r="H285">
        <v>83704103</v>
      </c>
      <c r="I285" t="s">
        <v>17</v>
      </c>
      <c r="K285" t="s">
        <v>4214</v>
      </c>
      <c r="L285">
        <v>236</v>
      </c>
      <c r="M285" t="s">
        <v>4215</v>
      </c>
    </row>
    <row r="286" spans="1:13" x14ac:dyDescent="0.45">
      <c r="A286" t="s">
        <v>3601</v>
      </c>
      <c r="B286">
        <v>266410</v>
      </c>
      <c r="C286">
        <v>267921</v>
      </c>
      <c r="E286" t="s">
        <v>14</v>
      </c>
      <c r="F286" t="s">
        <v>426</v>
      </c>
      <c r="H286">
        <v>83704104</v>
      </c>
      <c r="I286" t="s">
        <v>17</v>
      </c>
      <c r="K286" t="s">
        <v>4216</v>
      </c>
      <c r="L286">
        <v>503</v>
      </c>
      <c r="M286" t="s">
        <v>4217</v>
      </c>
    </row>
    <row r="287" spans="1:13" x14ac:dyDescent="0.45">
      <c r="A287" t="s">
        <v>3601</v>
      </c>
      <c r="B287">
        <v>267923</v>
      </c>
      <c r="C287">
        <v>268438</v>
      </c>
      <c r="E287" t="s">
        <v>14</v>
      </c>
      <c r="F287" t="s">
        <v>98</v>
      </c>
      <c r="H287">
        <v>83704105</v>
      </c>
      <c r="I287" t="s">
        <v>17</v>
      </c>
      <c r="K287" t="s">
        <v>4218</v>
      </c>
      <c r="L287">
        <v>171</v>
      </c>
      <c r="M287" t="s">
        <v>4219</v>
      </c>
    </row>
    <row r="288" spans="1:13" x14ac:dyDescent="0.45">
      <c r="A288" t="s">
        <v>3601</v>
      </c>
      <c r="B288">
        <v>268838</v>
      </c>
      <c r="C288">
        <v>269110</v>
      </c>
      <c r="E288" t="s">
        <v>14</v>
      </c>
      <c r="F288" t="s">
        <v>45</v>
      </c>
      <c r="H288">
        <v>83704106</v>
      </c>
      <c r="I288" t="s">
        <v>17</v>
      </c>
      <c r="K288" t="s">
        <v>4220</v>
      </c>
      <c r="L288">
        <v>90</v>
      </c>
      <c r="M288" t="s">
        <v>4221</v>
      </c>
    </row>
    <row r="289" spans="1:13" x14ac:dyDescent="0.45">
      <c r="A289" t="s">
        <v>3601</v>
      </c>
      <c r="B289">
        <v>269207</v>
      </c>
      <c r="C289">
        <v>269464</v>
      </c>
      <c r="E289" t="s">
        <v>14</v>
      </c>
      <c r="F289" t="s">
        <v>4222</v>
      </c>
      <c r="H289">
        <v>83704107</v>
      </c>
      <c r="I289" t="s">
        <v>17</v>
      </c>
      <c r="K289" t="s">
        <v>4223</v>
      </c>
      <c r="L289">
        <v>85</v>
      </c>
      <c r="M289" t="s">
        <v>4224</v>
      </c>
    </row>
    <row r="290" spans="1:13" x14ac:dyDescent="0.45">
      <c r="A290" t="s">
        <v>3601</v>
      </c>
      <c r="B290">
        <v>269831</v>
      </c>
      <c r="C290">
        <v>270322</v>
      </c>
      <c r="E290" t="s">
        <v>14</v>
      </c>
      <c r="F290" t="s">
        <v>45</v>
      </c>
      <c r="H290">
        <v>83704108</v>
      </c>
      <c r="I290" t="s">
        <v>17</v>
      </c>
      <c r="K290" t="s">
        <v>4225</v>
      </c>
      <c r="L290">
        <v>163</v>
      </c>
      <c r="M290" t="s">
        <v>4226</v>
      </c>
    </row>
    <row r="291" spans="1:13" x14ac:dyDescent="0.45">
      <c r="A291" t="s">
        <v>3601</v>
      </c>
      <c r="B291">
        <v>270331</v>
      </c>
      <c r="C291">
        <v>271821</v>
      </c>
      <c r="E291" t="s">
        <v>14</v>
      </c>
      <c r="F291" t="s">
        <v>4227</v>
      </c>
      <c r="H291">
        <v>83704109</v>
      </c>
      <c r="I291" t="s">
        <v>17</v>
      </c>
      <c r="K291" t="s">
        <v>4228</v>
      </c>
      <c r="L291">
        <v>496</v>
      </c>
      <c r="M291" t="s">
        <v>4229</v>
      </c>
    </row>
    <row r="292" spans="1:13" x14ac:dyDescent="0.45">
      <c r="A292" t="s">
        <v>3601</v>
      </c>
      <c r="B292">
        <v>272167</v>
      </c>
      <c r="C292">
        <v>272601</v>
      </c>
      <c r="E292" t="s">
        <v>14</v>
      </c>
      <c r="F292" t="s">
        <v>45</v>
      </c>
      <c r="H292">
        <v>83704110</v>
      </c>
      <c r="I292" t="s">
        <v>17</v>
      </c>
      <c r="K292" t="s">
        <v>4230</v>
      </c>
      <c r="L292">
        <v>144</v>
      </c>
      <c r="M292" t="s">
        <v>4231</v>
      </c>
    </row>
    <row r="293" spans="1:13" x14ac:dyDescent="0.45">
      <c r="A293" t="s">
        <v>3601</v>
      </c>
      <c r="B293">
        <v>272588</v>
      </c>
      <c r="C293">
        <v>273043</v>
      </c>
      <c r="E293" t="s">
        <v>14</v>
      </c>
      <c r="F293" t="s">
        <v>45</v>
      </c>
      <c r="H293">
        <v>83704111</v>
      </c>
      <c r="I293" t="s">
        <v>17</v>
      </c>
      <c r="K293" t="s">
        <v>4232</v>
      </c>
      <c r="L293">
        <v>151</v>
      </c>
      <c r="M293" t="s">
        <v>4233</v>
      </c>
    </row>
    <row r="294" spans="1:13" x14ac:dyDescent="0.45">
      <c r="A294" t="s">
        <v>3601</v>
      </c>
      <c r="B294">
        <v>273027</v>
      </c>
      <c r="C294">
        <v>274028</v>
      </c>
      <c r="E294" t="s">
        <v>14</v>
      </c>
      <c r="F294" t="s">
        <v>45</v>
      </c>
      <c r="H294">
        <v>83704112</v>
      </c>
      <c r="I294" t="s">
        <v>17</v>
      </c>
      <c r="K294" t="s">
        <v>4234</v>
      </c>
      <c r="L294">
        <v>333</v>
      </c>
      <c r="M294" t="s">
        <v>4235</v>
      </c>
    </row>
    <row r="295" spans="1:13" x14ac:dyDescent="0.45">
      <c r="A295" t="s">
        <v>3601</v>
      </c>
      <c r="B295">
        <v>274041</v>
      </c>
      <c r="C295">
        <v>274475</v>
      </c>
      <c r="E295" t="s">
        <v>14</v>
      </c>
      <c r="F295" t="s">
        <v>45</v>
      </c>
      <c r="H295">
        <v>83704113</v>
      </c>
      <c r="I295" t="s">
        <v>17</v>
      </c>
      <c r="K295" t="s">
        <v>4236</v>
      </c>
      <c r="L295">
        <v>144</v>
      </c>
      <c r="M295" t="s">
        <v>4237</v>
      </c>
    </row>
    <row r="296" spans="1:13" x14ac:dyDescent="0.45">
      <c r="A296" t="s">
        <v>3601</v>
      </c>
      <c r="B296">
        <v>274477</v>
      </c>
      <c r="C296">
        <v>275316</v>
      </c>
      <c r="E296" t="s">
        <v>14</v>
      </c>
      <c r="F296" t="s">
        <v>45</v>
      </c>
      <c r="H296">
        <v>83704114</v>
      </c>
      <c r="I296" t="s">
        <v>17</v>
      </c>
      <c r="K296" t="s">
        <v>4238</v>
      </c>
      <c r="L296">
        <v>279</v>
      </c>
      <c r="M296" t="s">
        <v>4239</v>
      </c>
    </row>
    <row r="297" spans="1:13" x14ac:dyDescent="0.45">
      <c r="A297" t="s">
        <v>3601</v>
      </c>
      <c r="B297">
        <v>275348</v>
      </c>
      <c r="C297">
        <v>276227</v>
      </c>
      <c r="E297" t="s">
        <v>14</v>
      </c>
      <c r="F297" t="s">
        <v>51</v>
      </c>
      <c r="H297">
        <v>83704115</v>
      </c>
      <c r="I297" t="s">
        <v>52</v>
      </c>
      <c r="M297" t="s">
        <v>4240</v>
      </c>
    </row>
    <row r="298" spans="1:13" x14ac:dyDescent="0.45">
      <c r="A298" t="s">
        <v>3601</v>
      </c>
      <c r="B298">
        <v>276346</v>
      </c>
      <c r="C298">
        <v>276624</v>
      </c>
      <c r="E298" t="s">
        <v>14</v>
      </c>
      <c r="F298" t="s">
        <v>45</v>
      </c>
      <c r="H298">
        <v>83704116</v>
      </c>
      <c r="I298" t="s">
        <v>17</v>
      </c>
      <c r="K298" t="s">
        <v>4241</v>
      </c>
      <c r="L298">
        <v>92</v>
      </c>
      <c r="M298" t="s">
        <v>4242</v>
      </c>
    </row>
    <row r="299" spans="1:13" x14ac:dyDescent="0.45">
      <c r="A299" t="s">
        <v>3601</v>
      </c>
      <c r="B299">
        <v>277043</v>
      </c>
      <c r="C299">
        <v>277378</v>
      </c>
      <c r="E299" t="s">
        <v>14</v>
      </c>
      <c r="F299" t="s">
        <v>45</v>
      </c>
      <c r="H299">
        <v>83704117</v>
      </c>
      <c r="I299" t="s">
        <v>17</v>
      </c>
      <c r="K299" t="s">
        <v>4243</v>
      </c>
      <c r="L299">
        <v>111</v>
      </c>
      <c r="M299" t="s">
        <v>4244</v>
      </c>
    </row>
    <row r="300" spans="1:13" x14ac:dyDescent="0.45">
      <c r="A300" t="s">
        <v>3601</v>
      </c>
      <c r="B300">
        <v>277371</v>
      </c>
      <c r="C300">
        <v>277709</v>
      </c>
      <c r="E300" t="s">
        <v>14</v>
      </c>
      <c r="F300" t="s">
        <v>45</v>
      </c>
      <c r="H300">
        <v>83704118</v>
      </c>
      <c r="I300" t="s">
        <v>17</v>
      </c>
      <c r="K300" t="s">
        <v>4245</v>
      </c>
      <c r="L300">
        <v>112</v>
      </c>
      <c r="M300" t="s">
        <v>4246</v>
      </c>
    </row>
    <row r="301" spans="1:13" x14ac:dyDescent="0.45">
      <c r="A301" t="s">
        <v>3601</v>
      </c>
      <c r="B301">
        <v>277721</v>
      </c>
      <c r="C301">
        <v>278509</v>
      </c>
      <c r="E301" t="s">
        <v>14</v>
      </c>
      <c r="F301" t="s">
        <v>686</v>
      </c>
      <c r="H301">
        <v>83704119</v>
      </c>
      <c r="I301" t="s">
        <v>17</v>
      </c>
      <c r="K301" t="s">
        <v>4247</v>
      </c>
      <c r="L301">
        <v>262</v>
      </c>
      <c r="M301" t="s">
        <v>4248</v>
      </c>
    </row>
    <row r="302" spans="1:13" x14ac:dyDescent="0.45">
      <c r="A302" t="s">
        <v>3601</v>
      </c>
      <c r="B302">
        <v>278538</v>
      </c>
      <c r="C302">
        <v>278990</v>
      </c>
      <c r="E302" t="s">
        <v>14</v>
      </c>
      <c r="F302" t="s">
        <v>45</v>
      </c>
      <c r="H302">
        <v>83704120</v>
      </c>
      <c r="I302" t="s">
        <v>17</v>
      </c>
      <c r="K302" t="s">
        <v>4249</v>
      </c>
      <c r="L302">
        <v>150</v>
      </c>
      <c r="M302" t="s">
        <v>4250</v>
      </c>
    </row>
    <row r="303" spans="1:13" x14ac:dyDescent="0.45">
      <c r="A303" t="s">
        <v>3601</v>
      </c>
      <c r="B303">
        <v>279013</v>
      </c>
      <c r="C303">
        <v>281307</v>
      </c>
      <c r="E303" t="s">
        <v>14</v>
      </c>
      <c r="F303" t="s">
        <v>4251</v>
      </c>
      <c r="G303" t="s">
        <v>4252</v>
      </c>
      <c r="H303">
        <v>83704121</v>
      </c>
      <c r="I303" t="s">
        <v>17</v>
      </c>
      <c r="K303" t="s">
        <v>4253</v>
      </c>
      <c r="L303">
        <v>764</v>
      </c>
      <c r="M303" t="s">
        <v>4254</v>
      </c>
    </row>
    <row r="304" spans="1:13" x14ac:dyDescent="0.45">
      <c r="A304" t="s">
        <v>3601</v>
      </c>
      <c r="B304">
        <v>281437</v>
      </c>
      <c r="C304">
        <v>281697</v>
      </c>
      <c r="E304" t="s">
        <v>14</v>
      </c>
      <c r="F304" t="s">
        <v>45</v>
      </c>
      <c r="H304">
        <v>83704122</v>
      </c>
      <c r="I304" t="s">
        <v>17</v>
      </c>
      <c r="K304" t="s">
        <v>4255</v>
      </c>
      <c r="L304">
        <v>86</v>
      </c>
      <c r="M304" t="s">
        <v>4256</v>
      </c>
    </row>
    <row r="305" spans="1:13" x14ac:dyDescent="0.45">
      <c r="A305" t="s">
        <v>3601</v>
      </c>
      <c r="B305">
        <v>281710</v>
      </c>
      <c r="C305">
        <v>283614</v>
      </c>
      <c r="E305" t="s">
        <v>14</v>
      </c>
      <c r="F305" t="s">
        <v>4257</v>
      </c>
      <c r="H305">
        <v>90427712</v>
      </c>
      <c r="I305" t="s">
        <v>17</v>
      </c>
      <c r="K305" t="s">
        <v>4258</v>
      </c>
      <c r="L305">
        <v>634</v>
      </c>
      <c r="M305" t="s">
        <v>4259</v>
      </c>
    </row>
    <row r="306" spans="1:13" x14ac:dyDescent="0.45">
      <c r="A306" t="s">
        <v>3601</v>
      </c>
      <c r="B306">
        <v>283605</v>
      </c>
      <c r="C306">
        <v>285392</v>
      </c>
      <c r="E306" t="s">
        <v>14</v>
      </c>
      <c r="F306" t="s">
        <v>4260</v>
      </c>
      <c r="H306">
        <v>90427713</v>
      </c>
      <c r="I306" t="s">
        <v>17</v>
      </c>
      <c r="K306" t="s">
        <v>4261</v>
      </c>
      <c r="L306">
        <v>595</v>
      </c>
      <c r="M306" t="s">
        <v>4262</v>
      </c>
    </row>
    <row r="307" spans="1:13" x14ac:dyDescent="0.45">
      <c r="A307" t="s">
        <v>3601</v>
      </c>
      <c r="B307">
        <v>285511</v>
      </c>
      <c r="C307">
        <v>287259</v>
      </c>
      <c r="E307" t="s">
        <v>14</v>
      </c>
      <c r="F307" t="s">
        <v>4263</v>
      </c>
      <c r="H307">
        <v>83704124</v>
      </c>
      <c r="I307" t="s">
        <v>17</v>
      </c>
      <c r="K307" t="s">
        <v>4264</v>
      </c>
      <c r="L307">
        <v>582</v>
      </c>
      <c r="M307" t="s">
        <v>4265</v>
      </c>
    </row>
    <row r="308" spans="1:13" x14ac:dyDescent="0.45">
      <c r="A308" t="s">
        <v>3601</v>
      </c>
      <c r="B308">
        <v>287246</v>
      </c>
      <c r="C308">
        <v>289057</v>
      </c>
      <c r="E308" t="s">
        <v>14</v>
      </c>
      <c r="F308" t="s">
        <v>248</v>
      </c>
      <c r="H308">
        <v>83704125</v>
      </c>
      <c r="I308" t="s">
        <v>17</v>
      </c>
      <c r="K308" t="s">
        <v>4266</v>
      </c>
      <c r="L308">
        <v>603</v>
      </c>
      <c r="M308" t="s">
        <v>4267</v>
      </c>
    </row>
    <row r="309" spans="1:13" x14ac:dyDescent="0.45">
      <c r="A309" t="s">
        <v>3601</v>
      </c>
      <c r="B309">
        <v>289132</v>
      </c>
      <c r="C309">
        <v>289479</v>
      </c>
      <c r="E309" t="s">
        <v>14</v>
      </c>
      <c r="F309" t="s">
        <v>4268</v>
      </c>
      <c r="H309">
        <v>83704126</v>
      </c>
      <c r="I309" t="s">
        <v>17</v>
      </c>
      <c r="K309" t="s">
        <v>4269</v>
      </c>
      <c r="L309">
        <v>115</v>
      </c>
      <c r="M309" t="s">
        <v>4270</v>
      </c>
    </row>
    <row r="310" spans="1:13" x14ac:dyDescent="0.45">
      <c r="A310" t="s">
        <v>3601</v>
      </c>
      <c r="B310">
        <v>289491</v>
      </c>
      <c r="C310">
        <v>290531</v>
      </c>
      <c r="E310" t="s">
        <v>14</v>
      </c>
      <c r="F310" t="s">
        <v>45</v>
      </c>
      <c r="H310">
        <v>83704127</v>
      </c>
      <c r="I310" t="s">
        <v>17</v>
      </c>
      <c r="K310" t="s">
        <v>4271</v>
      </c>
      <c r="L310">
        <v>346</v>
      </c>
      <c r="M310" t="s">
        <v>4272</v>
      </c>
    </row>
    <row r="311" spans="1:13" x14ac:dyDescent="0.45">
      <c r="A311" t="s">
        <v>3601</v>
      </c>
      <c r="B311">
        <v>290546</v>
      </c>
      <c r="C311">
        <v>292891</v>
      </c>
      <c r="E311" t="s">
        <v>14</v>
      </c>
      <c r="F311" t="s">
        <v>992</v>
      </c>
      <c r="H311">
        <v>83704128</v>
      </c>
      <c r="I311" t="s">
        <v>17</v>
      </c>
      <c r="K311" t="s">
        <v>4273</v>
      </c>
      <c r="L311">
        <v>781</v>
      </c>
      <c r="M311" t="s">
        <v>4274</v>
      </c>
    </row>
    <row r="312" spans="1:13" x14ac:dyDescent="0.45">
      <c r="A312" t="s">
        <v>3601</v>
      </c>
      <c r="B312">
        <v>292976</v>
      </c>
      <c r="C312">
        <v>293674</v>
      </c>
      <c r="E312" t="s">
        <v>14</v>
      </c>
      <c r="F312" t="s">
        <v>49</v>
      </c>
      <c r="H312">
        <v>83704129</v>
      </c>
      <c r="I312" t="s">
        <v>17</v>
      </c>
      <c r="K312" t="s">
        <v>4275</v>
      </c>
      <c r="L312">
        <v>232</v>
      </c>
      <c r="M312" t="s">
        <v>4276</v>
      </c>
    </row>
    <row r="313" spans="1:13" x14ac:dyDescent="0.45">
      <c r="A313" t="s">
        <v>3601</v>
      </c>
      <c r="B313">
        <v>293727</v>
      </c>
      <c r="C313">
        <v>297776</v>
      </c>
      <c r="E313" t="s">
        <v>14</v>
      </c>
      <c r="F313" t="s">
        <v>4277</v>
      </c>
      <c r="H313">
        <v>83704130</v>
      </c>
      <c r="I313" t="s">
        <v>17</v>
      </c>
      <c r="K313" t="s">
        <v>4278</v>
      </c>
      <c r="L313">
        <v>1349</v>
      </c>
      <c r="M313" t="s">
        <v>4279</v>
      </c>
    </row>
    <row r="314" spans="1:13" x14ac:dyDescent="0.45">
      <c r="A314" t="s">
        <v>3601</v>
      </c>
      <c r="B314">
        <v>297961</v>
      </c>
      <c r="C314">
        <v>298392</v>
      </c>
      <c r="E314" t="s">
        <v>14</v>
      </c>
      <c r="F314" t="s">
        <v>30</v>
      </c>
      <c r="H314">
        <v>83704131</v>
      </c>
      <c r="I314" t="s">
        <v>17</v>
      </c>
      <c r="K314" t="s">
        <v>4280</v>
      </c>
      <c r="L314">
        <v>143</v>
      </c>
      <c r="M314" t="s">
        <v>4281</v>
      </c>
    </row>
    <row r="315" spans="1:13" x14ac:dyDescent="0.45">
      <c r="A315" t="s">
        <v>3601</v>
      </c>
      <c r="B315">
        <v>298462</v>
      </c>
      <c r="C315">
        <v>299730</v>
      </c>
      <c r="E315" t="s">
        <v>14</v>
      </c>
      <c r="F315" t="s">
        <v>4282</v>
      </c>
      <c r="H315">
        <v>83704132</v>
      </c>
      <c r="I315" t="s">
        <v>17</v>
      </c>
      <c r="K315" t="s">
        <v>4283</v>
      </c>
      <c r="L315">
        <v>422</v>
      </c>
      <c r="M315" t="s">
        <v>4284</v>
      </c>
    </row>
    <row r="316" spans="1:13" x14ac:dyDescent="0.45">
      <c r="A316" t="s">
        <v>3601</v>
      </c>
      <c r="B316">
        <v>299748</v>
      </c>
      <c r="C316">
        <v>300047</v>
      </c>
      <c r="E316" t="s">
        <v>14</v>
      </c>
      <c r="F316" t="s">
        <v>45</v>
      </c>
      <c r="H316">
        <v>83704133</v>
      </c>
      <c r="I316" t="s">
        <v>17</v>
      </c>
      <c r="K316" t="s">
        <v>4285</v>
      </c>
      <c r="L316">
        <v>99</v>
      </c>
      <c r="M316" t="s">
        <v>4286</v>
      </c>
    </row>
    <row r="317" spans="1:13" x14ac:dyDescent="0.45">
      <c r="A317" t="s">
        <v>3601</v>
      </c>
      <c r="B317">
        <v>300430</v>
      </c>
      <c r="C317">
        <v>303519</v>
      </c>
      <c r="E317" t="s">
        <v>14</v>
      </c>
      <c r="F317" t="s">
        <v>4287</v>
      </c>
      <c r="H317">
        <v>83704134</v>
      </c>
      <c r="I317" t="s">
        <v>17</v>
      </c>
      <c r="K317" t="s">
        <v>4288</v>
      </c>
      <c r="L317">
        <v>1029</v>
      </c>
      <c r="M317" t="s">
        <v>4289</v>
      </c>
    </row>
    <row r="318" spans="1:13" x14ac:dyDescent="0.45">
      <c r="A318" t="s">
        <v>3601</v>
      </c>
      <c r="B318">
        <v>303626</v>
      </c>
      <c r="C318">
        <v>304135</v>
      </c>
      <c r="E318" t="s">
        <v>14</v>
      </c>
      <c r="F318" t="s">
        <v>45</v>
      </c>
      <c r="H318">
        <v>83704135</v>
      </c>
      <c r="I318" t="s">
        <v>17</v>
      </c>
      <c r="K318" t="s">
        <v>4290</v>
      </c>
      <c r="L318">
        <v>169</v>
      </c>
      <c r="M318" t="s">
        <v>4291</v>
      </c>
    </row>
    <row r="319" spans="1:13" x14ac:dyDescent="0.45">
      <c r="A319" t="s">
        <v>3601</v>
      </c>
      <c r="B319">
        <v>304261</v>
      </c>
      <c r="C319">
        <v>306351</v>
      </c>
      <c r="E319" t="s">
        <v>14</v>
      </c>
      <c r="F319" t="s">
        <v>4292</v>
      </c>
      <c r="H319">
        <v>83704136</v>
      </c>
      <c r="I319" t="s">
        <v>17</v>
      </c>
      <c r="K319" t="s">
        <v>4293</v>
      </c>
      <c r="L319">
        <v>696</v>
      </c>
      <c r="M319" t="s">
        <v>4294</v>
      </c>
    </row>
    <row r="320" spans="1:13" x14ac:dyDescent="0.45">
      <c r="A320" t="s">
        <v>3601</v>
      </c>
      <c r="B320">
        <v>306355</v>
      </c>
      <c r="C320">
        <v>306639</v>
      </c>
      <c r="E320" t="s">
        <v>14</v>
      </c>
      <c r="F320" t="s">
        <v>4295</v>
      </c>
      <c r="H320">
        <v>83704137</v>
      </c>
      <c r="I320" t="s">
        <v>17</v>
      </c>
      <c r="K320" t="s">
        <v>4296</v>
      </c>
      <c r="L320">
        <v>94</v>
      </c>
      <c r="M320" t="s">
        <v>4297</v>
      </c>
    </row>
    <row r="321" spans="1:13" x14ac:dyDescent="0.45">
      <c r="A321" t="s">
        <v>3601</v>
      </c>
      <c r="B321">
        <v>306727</v>
      </c>
      <c r="C321">
        <v>307038</v>
      </c>
      <c r="E321" t="s">
        <v>14</v>
      </c>
      <c r="F321" t="s">
        <v>4298</v>
      </c>
      <c r="H321">
        <v>83704138</v>
      </c>
      <c r="I321" t="s">
        <v>17</v>
      </c>
      <c r="K321" t="s">
        <v>4299</v>
      </c>
      <c r="L321">
        <v>103</v>
      </c>
      <c r="M321" t="s">
        <v>4300</v>
      </c>
    </row>
    <row r="322" spans="1:13" x14ac:dyDescent="0.45">
      <c r="A322" t="s">
        <v>3601</v>
      </c>
      <c r="B322">
        <v>307028</v>
      </c>
      <c r="C322">
        <v>307675</v>
      </c>
      <c r="E322" t="s">
        <v>14</v>
      </c>
      <c r="F322" t="s">
        <v>45</v>
      </c>
      <c r="H322">
        <v>83704139</v>
      </c>
      <c r="I322" t="s">
        <v>17</v>
      </c>
      <c r="K322" t="s">
        <v>4301</v>
      </c>
      <c r="L322">
        <v>215</v>
      </c>
      <c r="M322" t="s">
        <v>4302</v>
      </c>
    </row>
    <row r="323" spans="1:13" x14ac:dyDescent="0.45">
      <c r="A323" t="s">
        <v>3601</v>
      </c>
      <c r="B323">
        <v>307685</v>
      </c>
      <c r="C323">
        <v>309637</v>
      </c>
      <c r="E323" t="s">
        <v>14</v>
      </c>
      <c r="F323" t="s">
        <v>4303</v>
      </c>
      <c r="H323">
        <v>83704140</v>
      </c>
      <c r="I323" t="s">
        <v>17</v>
      </c>
      <c r="K323" t="s">
        <v>4304</v>
      </c>
      <c r="L323">
        <v>650</v>
      </c>
      <c r="M323" t="s">
        <v>4305</v>
      </c>
    </row>
    <row r="324" spans="1:13" x14ac:dyDescent="0.45">
      <c r="A324" t="s">
        <v>3601</v>
      </c>
      <c r="B324">
        <v>309656</v>
      </c>
      <c r="C324">
        <v>309904</v>
      </c>
      <c r="E324" t="s">
        <v>14</v>
      </c>
      <c r="F324" t="s">
        <v>45</v>
      </c>
      <c r="H324">
        <v>83704141</v>
      </c>
      <c r="I324" t="s">
        <v>17</v>
      </c>
      <c r="K324" t="s">
        <v>4306</v>
      </c>
      <c r="L324">
        <v>82</v>
      </c>
      <c r="M324" t="s">
        <v>4307</v>
      </c>
    </row>
    <row r="325" spans="1:13" x14ac:dyDescent="0.45">
      <c r="A325" t="s">
        <v>3601</v>
      </c>
      <c r="B325">
        <v>309914</v>
      </c>
      <c r="C325">
        <v>311224</v>
      </c>
      <c r="E325" t="s">
        <v>14</v>
      </c>
      <c r="F325" t="s">
        <v>1038</v>
      </c>
      <c r="H325">
        <v>83704142</v>
      </c>
      <c r="I325" t="s">
        <v>17</v>
      </c>
      <c r="K325" t="s">
        <v>4308</v>
      </c>
      <c r="L325">
        <v>436</v>
      </c>
      <c r="M325" t="s">
        <v>4309</v>
      </c>
    </row>
    <row r="326" spans="1:13" x14ac:dyDescent="0.45">
      <c r="A326" t="s">
        <v>3601</v>
      </c>
      <c r="B326">
        <v>311240</v>
      </c>
      <c r="C326">
        <v>311827</v>
      </c>
      <c r="E326" t="s">
        <v>14</v>
      </c>
      <c r="F326" t="s">
        <v>45</v>
      </c>
      <c r="H326">
        <v>83704143</v>
      </c>
      <c r="I326" t="s">
        <v>17</v>
      </c>
      <c r="K326" t="s">
        <v>4310</v>
      </c>
      <c r="L326">
        <v>195</v>
      </c>
      <c r="M326" t="s">
        <v>4311</v>
      </c>
    </row>
    <row r="327" spans="1:13" x14ac:dyDescent="0.45">
      <c r="A327" t="s">
        <v>3601</v>
      </c>
      <c r="B327">
        <v>311982</v>
      </c>
      <c r="C327">
        <v>312806</v>
      </c>
      <c r="E327" t="s">
        <v>14</v>
      </c>
      <c r="F327" t="s">
        <v>4312</v>
      </c>
      <c r="H327">
        <v>83704144</v>
      </c>
      <c r="I327" t="s">
        <v>17</v>
      </c>
      <c r="K327" t="s">
        <v>4313</v>
      </c>
      <c r="L327">
        <v>274</v>
      </c>
      <c r="M327" t="s">
        <v>4314</v>
      </c>
    </row>
    <row r="328" spans="1:13" x14ac:dyDescent="0.45">
      <c r="A328" t="s">
        <v>3601</v>
      </c>
      <c r="B328">
        <v>312799</v>
      </c>
      <c r="C328">
        <v>313062</v>
      </c>
      <c r="E328" t="s">
        <v>14</v>
      </c>
      <c r="F328" t="s">
        <v>45</v>
      </c>
      <c r="H328">
        <v>83704145</v>
      </c>
      <c r="I328" t="s">
        <v>17</v>
      </c>
      <c r="K328" t="s">
        <v>4315</v>
      </c>
      <c r="L328">
        <v>87</v>
      </c>
      <c r="M328" t="s">
        <v>4316</v>
      </c>
    </row>
    <row r="329" spans="1:13" x14ac:dyDescent="0.45">
      <c r="A329" t="s">
        <v>3601</v>
      </c>
      <c r="B329">
        <v>313066</v>
      </c>
      <c r="C329">
        <v>313380</v>
      </c>
      <c r="E329" t="s">
        <v>14</v>
      </c>
      <c r="F329" t="s">
        <v>45</v>
      </c>
      <c r="H329">
        <v>83704146</v>
      </c>
      <c r="I329" t="s">
        <v>17</v>
      </c>
      <c r="K329" t="s">
        <v>4317</v>
      </c>
      <c r="L329">
        <v>104</v>
      </c>
      <c r="M329" t="s">
        <v>4318</v>
      </c>
    </row>
    <row r="330" spans="1:13" x14ac:dyDescent="0.45">
      <c r="A330" t="s">
        <v>3601</v>
      </c>
      <c r="B330">
        <v>313524</v>
      </c>
      <c r="C330">
        <v>314837</v>
      </c>
      <c r="E330" t="s">
        <v>14</v>
      </c>
      <c r="F330" t="s">
        <v>4319</v>
      </c>
      <c r="H330">
        <v>83704147</v>
      </c>
      <c r="I330" t="s">
        <v>17</v>
      </c>
      <c r="K330" t="s">
        <v>4320</v>
      </c>
      <c r="L330">
        <v>437</v>
      </c>
      <c r="M330" t="s">
        <v>4321</v>
      </c>
    </row>
    <row r="331" spans="1:13" x14ac:dyDescent="0.45">
      <c r="A331" t="s">
        <v>3601</v>
      </c>
      <c r="B331">
        <v>315284</v>
      </c>
      <c r="C331">
        <v>315418</v>
      </c>
      <c r="E331" t="s">
        <v>14</v>
      </c>
      <c r="F331" t="s">
        <v>1054</v>
      </c>
      <c r="G331" t="s">
        <v>1055</v>
      </c>
      <c r="H331">
        <v>83704148</v>
      </c>
      <c r="I331" t="s">
        <v>17</v>
      </c>
      <c r="K331" t="s">
        <v>4322</v>
      </c>
      <c r="L331">
        <v>44</v>
      </c>
      <c r="M331" t="s">
        <v>4323</v>
      </c>
    </row>
    <row r="332" spans="1:13" x14ac:dyDescent="0.45">
      <c r="A332" t="s">
        <v>3601</v>
      </c>
      <c r="B332">
        <v>315705</v>
      </c>
      <c r="C332">
        <v>316430</v>
      </c>
      <c r="E332" t="s">
        <v>14</v>
      </c>
      <c r="F332" t="s">
        <v>4213</v>
      </c>
      <c r="H332">
        <v>83704149</v>
      </c>
      <c r="I332" t="s">
        <v>17</v>
      </c>
      <c r="K332" t="s">
        <v>4324</v>
      </c>
      <c r="L332">
        <v>241</v>
      </c>
      <c r="M332" t="s">
        <v>4325</v>
      </c>
    </row>
    <row r="333" spans="1:13" x14ac:dyDescent="0.45">
      <c r="A333" t="s">
        <v>3601</v>
      </c>
      <c r="B333">
        <v>316449</v>
      </c>
      <c r="C333">
        <v>317765</v>
      </c>
      <c r="E333" t="s">
        <v>14</v>
      </c>
      <c r="F333" t="s">
        <v>495</v>
      </c>
      <c r="H333">
        <v>83704150</v>
      </c>
      <c r="I333" t="s">
        <v>17</v>
      </c>
      <c r="K333" t="s">
        <v>4326</v>
      </c>
      <c r="L333">
        <v>438</v>
      </c>
      <c r="M333" t="s">
        <v>4327</v>
      </c>
    </row>
    <row r="334" spans="1:13" x14ac:dyDescent="0.45">
      <c r="A334" t="s">
        <v>3601</v>
      </c>
      <c r="B334">
        <v>317866</v>
      </c>
      <c r="C334">
        <v>318753</v>
      </c>
      <c r="E334" t="s">
        <v>14</v>
      </c>
      <c r="F334" t="s">
        <v>382</v>
      </c>
      <c r="H334">
        <v>83704151</v>
      </c>
      <c r="I334" t="s">
        <v>17</v>
      </c>
      <c r="K334" t="s">
        <v>4328</v>
      </c>
      <c r="L334">
        <v>295</v>
      </c>
      <c r="M334" t="s">
        <v>4329</v>
      </c>
    </row>
    <row r="335" spans="1:13" x14ac:dyDescent="0.45">
      <c r="A335" t="s">
        <v>3601</v>
      </c>
      <c r="B335">
        <v>318766</v>
      </c>
      <c r="C335">
        <v>319596</v>
      </c>
      <c r="E335" t="s">
        <v>14</v>
      </c>
      <c r="F335" t="s">
        <v>382</v>
      </c>
      <c r="H335">
        <v>83704152</v>
      </c>
      <c r="I335" t="s">
        <v>17</v>
      </c>
      <c r="K335" t="s">
        <v>4330</v>
      </c>
      <c r="L335">
        <v>276</v>
      </c>
      <c r="M335" t="s">
        <v>4331</v>
      </c>
    </row>
    <row r="336" spans="1:13" x14ac:dyDescent="0.45">
      <c r="A336" t="s">
        <v>3601</v>
      </c>
      <c r="B336">
        <v>319612</v>
      </c>
      <c r="C336">
        <v>320067</v>
      </c>
      <c r="E336" t="s">
        <v>14</v>
      </c>
      <c r="F336" t="s">
        <v>4332</v>
      </c>
      <c r="H336">
        <v>83704153</v>
      </c>
      <c r="I336" t="s">
        <v>17</v>
      </c>
      <c r="K336" t="s">
        <v>4333</v>
      </c>
      <c r="L336">
        <v>151</v>
      </c>
      <c r="M336" t="s">
        <v>4334</v>
      </c>
    </row>
    <row r="337" spans="1:13" x14ac:dyDescent="0.45">
      <c r="A337" t="s">
        <v>3601</v>
      </c>
      <c r="B337">
        <v>320092</v>
      </c>
      <c r="C337">
        <v>320742</v>
      </c>
      <c r="E337" t="s">
        <v>14</v>
      </c>
      <c r="F337" t="s">
        <v>4335</v>
      </c>
      <c r="H337">
        <v>83704154</v>
      </c>
      <c r="I337" t="s">
        <v>17</v>
      </c>
      <c r="K337" t="s">
        <v>4336</v>
      </c>
      <c r="L337">
        <v>216</v>
      </c>
      <c r="M337" t="s">
        <v>4337</v>
      </c>
    </row>
    <row r="338" spans="1:13" x14ac:dyDescent="0.45">
      <c r="A338" t="s">
        <v>3601</v>
      </c>
      <c r="B338">
        <v>320771</v>
      </c>
      <c r="C338">
        <v>321691</v>
      </c>
      <c r="E338" t="s">
        <v>14</v>
      </c>
      <c r="F338" t="s">
        <v>4338</v>
      </c>
      <c r="H338">
        <v>83704155</v>
      </c>
      <c r="I338" t="s">
        <v>17</v>
      </c>
      <c r="K338" t="s">
        <v>4339</v>
      </c>
      <c r="L338">
        <v>306</v>
      </c>
      <c r="M338" t="s">
        <v>4340</v>
      </c>
    </row>
    <row r="339" spans="1:13" x14ac:dyDescent="0.45">
      <c r="A339" t="s">
        <v>3601</v>
      </c>
      <c r="B339">
        <v>321706</v>
      </c>
      <c r="C339">
        <v>322590</v>
      </c>
      <c r="E339" t="s">
        <v>14</v>
      </c>
      <c r="F339" t="s">
        <v>39</v>
      </c>
      <c r="H339">
        <v>83704156</v>
      </c>
      <c r="I339" t="s">
        <v>17</v>
      </c>
      <c r="K339" t="s">
        <v>4341</v>
      </c>
      <c r="L339">
        <v>294</v>
      </c>
      <c r="M339" t="s">
        <v>4342</v>
      </c>
    </row>
    <row r="340" spans="1:13" x14ac:dyDescent="0.45">
      <c r="A340" t="s">
        <v>3601</v>
      </c>
      <c r="B340">
        <v>322590</v>
      </c>
      <c r="C340">
        <v>323558</v>
      </c>
      <c r="E340" t="s">
        <v>14</v>
      </c>
      <c r="F340" t="s">
        <v>683</v>
      </c>
      <c r="H340">
        <v>83704157</v>
      </c>
      <c r="I340" t="s">
        <v>17</v>
      </c>
      <c r="K340" t="s">
        <v>4343</v>
      </c>
      <c r="L340">
        <v>322</v>
      </c>
      <c r="M340" t="s">
        <v>4344</v>
      </c>
    </row>
    <row r="341" spans="1:13" x14ac:dyDescent="0.45">
      <c r="A341" t="s">
        <v>3601</v>
      </c>
      <c r="B341">
        <v>323759</v>
      </c>
      <c r="C341">
        <v>324583</v>
      </c>
      <c r="E341" t="s">
        <v>42</v>
      </c>
      <c r="F341" t="s">
        <v>131</v>
      </c>
      <c r="H341">
        <v>83704158</v>
      </c>
      <c r="I341" t="s">
        <v>17</v>
      </c>
      <c r="K341" t="s">
        <v>4345</v>
      </c>
      <c r="L341">
        <v>274</v>
      </c>
      <c r="M341" t="s">
        <v>4346</v>
      </c>
    </row>
    <row r="342" spans="1:13" x14ac:dyDescent="0.45">
      <c r="A342" t="s">
        <v>3601</v>
      </c>
      <c r="B342">
        <v>324813</v>
      </c>
      <c r="C342">
        <v>325586</v>
      </c>
      <c r="E342" t="s">
        <v>14</v>
      </c>
      <c r="F342" t="s">
        <v>121</v>
      </c>
      <c r="H342">
        <v>83704159</v>
      </c>
      <c r="I342" t="s">
        <v>17</v>
      </c>
      <c r="K342" t="s">
        <v>4347</v>
      </c>
      <c r="L342">
        <v>257</v>
      </c>
      <c r="M342" t="s">
        <v>4348</v>
      </c>
    </row>
    <row r="343" spans="1:13" x14ac:dyDescent="0.45">
      <c r="A343" t="s">
        <v>3601</v>
      </c>
      <c r="B343">
        <v>325558</v>
      </c>
      <c r="C343">
        <v>326154</v>
      </c>
      <c r="E343" t="s">
        <v>14</v>
      </c>
      <c r="F343" t="s">
        <v>122</v>
      </c>
      <c r="G343" t="s">
        <v>123</v>
      </c>
      <c r="H343">
        <v>83704160</v>
      </c>
      <c r="I343" t="s">
        <v>17</v>
      </c>
      <c r="K343" t="s">
        <v>4349</v>
      </c>
      <c r="L343">
        <v>198</v>
      </c>
      <c r="M343" t="s">
        <v>4350</v>
      </c>
    </row>
    <row r="344" spans="1:13" x14ac:dyDescent="0.45">
      <c r="A344" t="s">
        <v>3601</v>
      </c>
      <c r="B344">
        <v>326225</v>
      </c>
      <c r="C344">
        <v>326647</v>
      </c>
      <c r="E344" t="s">
        <v>42</v>
      </c>
      <c r="F344" t="s">
        <v>960</v>
      </c>
      <c r="H344">
        <v>83704161</v>
      </c>
      <c r="I344" t="s">
        <v>17</v>
      </c>
      <c r="K344" t="s">
        <v>4351</v>
      </c>
      <c r="L344">
        <v>140</v>
      </c>
      <c r="M344" t="s">
        <v>4352</v>
      </c>
    </row>
    <row r="345" spans="1:13" x14ac:dyDescent="0.45">
      <c r="A345" t="s">
        <v>3601</v>
      </c>
      <c r="B345">
        <v>326644</v>
      </c>
      <c r="C345">
        <v>326892</v>
      </c>
      <c r="E345" t="s">
        <v>42</v>
      </c>
      <c r="F345" t="s">
        <v>45</v>
      </c>
      <c r="H345">
        <v>83704162</v>
      </c>
      <c r="I345" t="s">
        <v>17</v>
      </c>
      <c r="K345" t="s">
        <v>4353</v>
      </c>
      <c r="L345">
        <v>82</v>
      </c>
      <c r="M345" t="s">
        <v>4354</v>
      </c>
    </row>
    <row r="346" spans="1:13" x14ac:dyDescent="0.45">
      <c r="A346" t="s">
        <v>3601</v>
      </c>
      <c r="B346">
        <v>327531</v>
      </c>
      <c r="C346">
        <v>328403</v>
      </c>
      <c r="E346" t="s">
        <v>14</v>
      </c>
      <c r="F346" t="s">
        <v>124</v>
      </c>
      <c r="G346" t="s">
        <v>125</v>
      </c>
      <c r="H346">
        <v>83704163</v>
      </c>
      <c r="I346" t="s">
        <v>17</v>
      </c>
      <c r="K346" t="s">
        <v>4355</v>
      </c>
      <c r="L346">
        <v>290</v>
      </c>
      <c r="M346" t="s">
        <v>4356</v>
      </c>
    </row>
    <row r="347" spans="1:13" x14ac:dyDescent="0.45">
      <c r="A347" t="s">
        <v>3601</v>
      </c>
      <c r="B347">
        <v>328564</v>
      </c>
      <c r="C347">
        <v>329436</v>
      </c>
      <c r="E347" t="s">
        <v>14</v>
      </c>
      <c r="F347" t="s">
        <v>830</v>
      </c>
      <c r="G347" t="s">
        <v>831</v>
      </c>
      <c r="H347">
        <v>83704164</v>
      </c>
      <c r="I347" t="s">
        <v>17</v>
      </c>
      <c r="K347" t="s">
        <v>4357</v>
      </c>
      <c r="L347">
        <v>290</v>
      </c>
      <c r="M347" t="s">
        <v>4358</v>
      </c>
    </row>
    <row r="348" spans="1:13" x14ac:dyDescent="0.45">
      <c r="A348" t="s">
        <v>3601</v>
      </c>
      <c r="B348">
        <v>329445</v>
      </c>
      <c r="C348">
        <v>330107</v>
      </c>
      <c r="E348" t="s">
        <v>14</v>
      </c>
      <c r="F348" t="s">
        <v>828</v>
      </c>
      <c r="G348" t="s">
        <v>829</v>
      </c>
      <c r="H348">
        <v>83704165</v>
      </c>
      <c r="I348" t="s">
        <v>17</v>
      </c>
      <c r="K348" t="s">
        <v>4359</v>
      </c>
      <c r="L348">
        <v>220</v>
      </c>
      <c r="M348" t="s">
        <v>4360</v>
      </c>
    </row>
    <row r="349" spans="1:13" x14ac:dyDescent="0.45">
      <c r="A349" t="s">
        <v>3601</v>
      </c>
      <c r="B349">
        <v>330100</v>
      </c>
      <c r="C349">
        <v>330732</v>
      </c>
      <c r="E349" t="s">
        <v>14</v>
      </c>
      <c r="F349" t="s">
        <v>827</v>
      </c>
      <c r="H349">
        <v>83704166</v>
      </c>
      <c r="I349" t="s">
        <v>17</v>
      </c>
      <c r="K349" t="s">
        <v>4361</v>
      </c>
      <c r="L349">
        <v>210</v>
      </c>
      <c r="M349" t="s">
        <v>4362</v>
      </c>
    </row>
    <row r="350" spans="1:13" x14ac:dyDescent="0.45">
      <c r="A350" t="s">
        <v>3601</v>
      </c>
      <c r="B350">
        <v>330734</v>
      </c>
      <c r="C350">
        <v>332005</v>
      </c>
      <c r="E350" t="s">
        <v>14</v>
      </c>
      <c r="F350" t="s">
        <v>4363</v>
      </c>
      <c r="G350" t="s">
        <v>4364</v>
      </c>
      <c r="H350">
        <v>83704167</v>
      </c>
      <c r="I350" t="s">
        <v>17</v>
      </c>
      <c r="K350" t="s">
        <v>4365</v>
      </c>
      <c r="L350">
        <v>423</v>
      </c>
      <c r="M350" t="s">
        <v>4366</v>
      </c>
    </row>
    <row r="351" spans="1:13" x14ac:dyDescent="0.45">
      <c r="A351" t="s">
        <v>3601</v>
      </c>
      <c r="B351">
        <v>331995</v>
      </c>
      <c r="C351">
        <v>332933</v>
      </c>
      <c r="E351" t="s">
        <v>14</v>
      </c>
      <c r="F351" t="s">
        <v>4367</v>
      </c>
      <c r="H351">
        <v>83704168</v>
      </c>
      <c r="I351" t="s">
        <v>17</v>
      </c>
      <c r="K351" t="s">
        <v>4368</v>
      </c>
      <c r="L351">
        <v>312</v>
      </c>
      <c r="M351" t="s">
        <v>4369</v>
      </c>
    </row>
    <row r="352" spans="1:13" x14ac:dyDescent="0.45">
      <c r="A352" t="s">
        <v>3601</v>
      </c>
      <c r="B352">
        <v>333033</v>
      </c>
      <c r="C352">
        <v>333848</v>
      </c>
      <c r="E352" t="s">
        <v>14</v>
      </c>
      <c r="F352" t="s">
        <v>127</v>
      </c>
      <c r="G352" t="s">
        <v>128</v>
      </c>
      <c r="H352">
        <v>83704169</v>
      </c>
      <c r="I352" t="s">
        <v>17</v>
      </c>
      <c r="K352" t="s">
        <v>4370</v>
      </c>
      <c r="L352">
        <v>271</v>
      </c>
      <c r="M352" t="s">
        <v>4371</v>
      </c>
    </row>
    <row r="353" spans="1:13" x14ac:dyDescent="0.45">
      <c r="A353" t="s">
        <v>3601</v>
      </c>
      <c r="B353">
        <v>333885</v>
      </c>
      <c r="C353">
        <v>336389</v>
      </c>
      <c r="E353" t="s">
        <v>14</v>
      </c>
      <c r="F353" t="s">
        <v>380</v>
      </c>
      <c r="H353">
        <v>83704170</v>
      </c>
      <c r="I353" t="s">
        <v>17</v>
      </c>
      <c r="K353" t="s">
        <v>4372</v>
      </c>
      <c r="L353">
        <v>834</v>
      </c>
      <c r="M353" t="s">
        <v>4373</v>
      </c>
    </row>
    <row r="354" spans="1:13" x14ac:dyDescent="0.45">
      <c r="A354" t="s">
        <v>3601</v>
      </c>
      <c r="B354">
        <v>336572</v>
      </c>
      <c r="C354">
        <v>336985</v>
      </c>
      <c r="E354" t="s">
        <v>14</v>
      </c>
      <c r="F354" t="s">
        <v>178</v>
      </c>
      <c r="G354" t="s">
        <v>179</v>
      </c>
      <c r="H354">
        <v>83704171</v>
      </c>
      <c r="I354" t="s">
        <v>17</v>
      </c>
      <c r="K354" t="s">
        <v>4374</v>
      </c>
      <c r="L354">
        <v>137</v>
      </c>
      <c r="M354" t="s">
        <v>4375</v>
      </c>
    </row>
    <row r="355" spans="1:13" x14ac:dyDescent="0.45">
      <c r="A355" t="s">
        <v>3601</v>
      </c>
      <c r="B355">
        <v>337006</v>
      </c>
      <c r="C355">
        <v>337476</v>
      </c>
      <c r="E355" t="s">
        <v>14</v>
      </c>
      <c r="F355" t="s">
        <v>180</v>
      </c>
      <c r="G355" t="s">
        <v>181</v>
      </c>
      <c r="H355">
        <v>83704172</v>
      </c>
      <c r="I355" t="s">
        <v>17</v>
      </c>
      <c r="K355" t="s">
        <v>4376</v>
      </c>
      <c r="L355">
        <v>156</v>
      </c>
      <c r="M355" t="s">
        <v>4377</v>
      </c>
    </row>
    <row r="356" spans="1:13" x14ac:dyDescent="0.45">
      <c r="A356" t="s">
        <v>3601</v>
      </c>
      <c r="B356">
        <v>338019</v>
      </c>
      <c r="C356">
        <v>340097</v>
      </c>
      <c r="E356" t="s">
        <v>14</v>
      </c>
      <c r="F356" t="s">
        <v>182</v>
      </c>
      <c r="G356" t="s">
        <v>183</v>
      </c>
      <c r="H356">
        <v>83704173</v>
      </c>
      <c r="I356" t="s">
        <v>17</v>
      </c>
      <c r="K356" t="s">
        <v>4378</v>
      </c>
      <c r="L356">
        <v>692</v>
      </c>
      <c r="M356" t="s">
        <v>4379</v>
      </c>
    </row>
    <row r="357" spans="1:13" x14ac:dyDescent="0.45">
      <c r="A357" t="s">
        <v>3601</v>
      </c>
      <c r="B357">
        <v>340478</v>
      </c>
      <c r="C357">
        <v>341488</v>
      </c>
      <c r="E357" t="s">
        <v>14</v>
      </c>
      <c r="F357" t="s">
        <v>482</v>
      </c>
      <c r="G357" t="s">
        <v>483</v>
      </c>
      <c r="H357">
        <v>83704174</v>
      </c>
      <c r="I357" t="s">
        <v>17</v>
      </c>
      <c r="K357" t="s">
        <v>4380</v>
      </c>
      <c r="L357">
        <v>336</v>
      </c>
      <c r="M357" t="s">
        <v>4381</v>
      </c>
    </row>
    <row r="358" spans="1:13" x14ac:dyDescent="0.45">
      <c r="A358" t="s">
        <v>3601</v>
      </c>
      <c r="B358">
        <v>342029</v>
      </c>
      <c r="C358">
        <v>342883</v>
      </c>
      <c r="E358" t="s">
        <v>14</v>
      </c>
      <c r="F358" t="s">
        <v>4382</v>
      </c>
      <c r="H358">
        <v>83704175</v>
      </c>
      <c r="I358" t="s">
        <v>17</v>
      </c>
      <c r="K358" t="s">
        <v>4383</v>
      </c>
      <c r="L358">
        <v>284</v>
      </c>
      <c r="M358" t="s">
        <v>4384</v>
      </c>
    </row>
    <row r="359" spans="1:13" x14ac:dyDescent="0.45">
      <c r="A359" t="s">
        <v>3601</v>
      </c>
      <c r="B359">
        <v>343093</v>
      </c>
      <c r="C359">
        <v>344289</v>
      </c>
      <c r="E359" t="s">
        <v>14</v>
      </c>
      <c r="F359" t="s">
        <v>484</v>
      </c>
      <c r="H359">
        <v>83704176</v>
      </c>
      <c r="I359" t="s">
        <v>17</v>
      </c>
      <c r="K359" t="s">
        <v>4385</v>
      </c>
      <c r="L359">
        <v>398</v>
      </c>
      <c r="M359" t="s">
        <v>4386</v>
      </c>
    </row>
    <row r="360" spans="1:13" x14ac:dyDescent="0.45">
      <c r="A360" t="s">
        <v>3601</v>
      </c>
      <c r="B360">
        <v>344717</v>
      </c>
      <c r="C360">
        <v>345238</v>
      </c>
      <c r="E360" t="s">
        <v>14</v>
      </c>
      <c r="F360" t="s">
        <v>4387</v>
      </c>
      <c r="H360">
        <v>83704177</v>
      </c>
      <c r="I360" t="s">
        <v>17</v>
      </c>
      <c r="K360" t="s">
        <v>4388</v>
      </c>
      <c r="L360">
        <v>173</v>
      </c>
      <c r="M360" t="s">
        <v>4389</v>
      </c>
    </row>
    <row r="361" spans="1:13" x14ac:dyDescent="0.45">
      <c r="A361" t="s">
        <v>3601</v>
      </c>
      <c r="B361">
        <v>345314</v>
      </c>
      <c r="C361">
        <v>345685</v>
      </c>
      <c r="E361" t="s">
        <v>14</v>
      </c>
      <c r="F361" t="s">
        <v>95</v>
      </c>
      <c r="H361">
        <v>83704178</v>
      </c>
      <c r="I361" t="s">
        <v>17</v>
      </c>
      <c r="K361" t="s">
        <v>4390</v>
      </c>
      <c r="L361">
        <v>123</v>
      </c>
      <c r="M361" t="s">
        <v>4391</v>
      </c>
    </row>
    <row r="362" spans="1:13" x14ac:dyDescent="0.45">
      <c r="A362" t="s">
        <v>3601</v>
      </c>
      <c r="B362">
        <v>345722</v>
      </c>
      <c r="C362">
        <v>347068</v>
      </c>
      <c r="E362" t="s">
        <v>14</v>
      </c>
      <c r="F362" t="s">
        <v>890</v>
      </c>
      <c r="G362" t="s">
        <v>891</v>
      </c>
      <c r="H362">
        <v>83704179</v>
      </c>
      <c r="I362" t="s">
        <v>17</v>
      </c>
      <c r="K362" t="s">
        <v>4392</v>
      </c>
      <c r="L362">
        <v>448</v>
      </c>
      <c r="M362" t="s">
        <v>4393</v>
      </c>
    </row>
    <row r="363" spans="1:13" x14ac:dyDescent="0.45">
      <c r="A363" t="s">
        <v>3601</v>
      </c>
      <c r="B363">
        <v>347301</v>
      </c>
      <c r="C363">
        <v>348959</v>
      </c>
      <c r="E363" t="s">
        <v>14</v>
      </c>
      <c r="F363" t="s">
        <v>111</v>
      </c>
      <c r="H363">
        <v>83704180</v>
      </c>
      <c r="I363" t="s">
        <v>17</v>
      </c>
      <c r="K363" t="s">
        <v>4394</v>
      </c>
      <c r="L363">
        <v>552</v>
      </c>
      <c r="M363" t="s">
        <v>4395</v>
      </c>
    </row>
    <row r="364" spans="1:13" x14ac:dyDescent="0.45">
      <c r="A364" t="s">
        <v>3601</v>
      </c>
      <c r="B364">
        <v>349127</v>
      </c>
      <c r="C364">
        <v>350041</v>
      </c>
      <c r="E364" t="s">
        <v>14</v>
      </c>
      <c r="F364" t="s">
        <v>113</v>
      </c>
      <c r="H364">
        <v>83704181</v>
      </c>
      <c r="I364" t="s">
        <v>17</v>
      </c>
      <c r="K364" t="s">
        <v>4396</v>
      </c>
      <c r="L364">
        <v>304</v>
      </c>
      <c r="M364" t="s">
        <v>4397</v>
      </c>
    </row>
    <row r="365" spans="1:13" x14ac:dyDescent="0.45">
      <c r="A365" t="s">
        <v>3601</v>
      </c>
      <c r="B365">
        <v>350051</v>
      </c>
      <c r="C365">
        <v>351082</v>
      </c>
      <c r="E365" t="s">
        <v>14</v>
      </c>
      <c r="F365" t="s">
        <v>113</v>
      </c>
      <c r="H365">
        <v>83704182</v>
      </c>
      <c r="I365" t="s">
        <v>17</v>
      </c>
      <c r="K365" t="s">
        <v>4398</v>
      </c>
      <c r="L365">
        <v>343</v>
      </c>
      <c r="M365" t="s">
        <v>4399</v>
      </c>
    </row>
    <row r="366" spans="1:13" x14ac:dyDescent="0.45">
      <c r="A366" t="s">
        <v>3601</v>
      </c>
      <c r="B366">
        <v>351095</v>
      </c>
      <c r="C366">
        <v>352141</v>
      </c>
      <c r="E366" t="s">
        <v>14</v>
      </c>
      <c r="F366" t="s">
        <v>72</v>
      </c>
      <c r="H366">
        <v>83704183</v>
      </c>
      <c r="I366" t="s">
        <v>17</v>
      </c>
      <c r="K366" t="s">
        <v>4400</v>
      </c>
      <c r="L366">
        <v>348</v>
      </c>
      <c r="M366" t="s">
        <v>4401</v>
      </c>
    </row>
    <row r="367" spans="1:13" x14ac:dyDescent="0.45">
      <c r="A367" t="s">
        <v>3601</v>
      </c>
      <c r="B367">
        <v>352141</v>
      </c>
      <c r="C367">
        <v>353076</v>
      </c>
      <c r="E367" t="s">
        <v>14</v>
      </c>
      <c r="F367" t="s">
        <v>72</v>
      </c>
      <c r="H367">
        <v>83704184</v>
      </c>
      <c r="I367" t="s">
        <v>17</v>
      </c>
      <c r="K367" t="s">
        <v>4402</v>
      </c>
      <c r="L367">
        <v>311</v>
      </c>
      <c r="M367" t="s">
        <v>4403</v>
      </c>
    </row>
    <row r="368" spans="1:13" x14ac:dyDescent="0.45">
      <c r="A368" t="s">
        <v>3601</v>
      </c>
      <c r="B368">
        <v>353706</v>
      </c>
      <c r="C368">
        <v>355388</v>
      </c>
      <c r="E368" t="s">
        <v>42</v>
      </c>
      <c r="F368" t="s">
        <v>4404</v>
      </c>
      <c r="G368" t="s">
        <v>4405</v>
      </c>
      <c r="H368">
        <v>83704185</v>
      </c>
      <c r="I368" t="s">
        <v>17</v>
      </c>
      <c r="K368" t="s">
        <v>4406</v>
      </c>
      <c r="L368">
        <v>560</v>
      </c>
      <c r="M368" t="s">
        <v>4407</v>
      </c>
    </row>
    <row r="369" spans="1:13" x14ac:dyDescent="0.45">
      <c r="A369" t="s">
        <v>3601</v>
      </c>
      <c r="B369">
        <v>355390</v>
      </c>
      <c r="C369">
        <v>355620</v>
      </c>
      <c r="E369" t="s">
        <v>42</v>
      </c>
      <c r="F369" t="s">
        <v>578</v>
      </c>
      <c r="H369">
        <v>83704186</v>
      </c>
      <c r="I369" t="s">
        <v>17</v>
      </c>
      <c r="K369" t="s">
        <v>4408</v>
      </c>
      <c r="L369">
        <v>76</v>
      </c>
      <c r="M369" t="s">
        <v>4409</v>
      </c>
    </row>
    <row r="370" spans="1:13" x14ac:dyDescent="0.45">
      <c r="A370" t="s">
        <v>3601</v>
      </c>
      <c r="B370">
        <v>355905</v>
      </c>
      <c r="C370">
        <v>356603</v>
      </c>
      <c r="E370" t="s">
        <v>14</v>
      </c>
      <c r="F370" t="s">
        <v>301</v>
      </c>
      <c r="G370" t="s">
        <v>302</v>
      </c>
      <c r="H370">
        <v>83704187</v>
      </c>
      <c r="I370" t="s">
        <v>17</v>
      </c>
      <c r="K370" t="s">
        <v>4410</v>
      </c>
      <c r="L370">
        <v>232</v>
      </c>
      <c r="M370" t="s">
        <v>4411</v>
      </c>
    </row>
    <row r="371" spans="1:13" x14ac:dyDescent="0.45">
      <c r="A371" t="s">
        <v>3601</v>
      </c>
      <c r="B371">
        <v>356606</v>
      </c>
      <c r="C371">
        <v>357031</v>
      </c>
      <c r="E371" t="s">
        <v>14</v>
      </c>
      <c r="F371" t="s">
        <v>303</v>
      </c>
      <c r="G371" t="s">
        <v>304</v>
      </c>
      <c r="H371">
        <v>83704188</v>
      </c>
      <c r="I371" t="s">
        <v>17</v>
      </c>
      <c r="K371" t="s">
        <v>4412</v>
      </c>
      <c r="L371">
        <v>141</v>
      </c>
      <c r="M371" t="s">
        <v>4413</v>
      </c>
    </row>
    <row r="372" spans="1:13" x14ac:dyDescent="0.45">
      <c r="A372" t="s">
        <v>3601</v>
      </c>
      <c r="B372">
        <v>357021</v>
      </c>
      <c r="C372">
        <v>358037</v>
      </c>
      <c r="E372" t="s">
        <v>14</v>
      </c>
      <c r="F372" t="s">
        <v>305</v>
      </c>
      <c r="G372" t="s">
        <v>306</v>
      </c>
      <c r="H372">
        <v>83704189</v>
      </c>
      <c r="I372" t="s">
        <v>17</v>
      </c>
      <c r="K372" t="s">
        <v>4414</v>
      </c>
      <c r="L372">
        <v>338</v>
      </c>
      <c r="M372" t="s">
        <v>4415</v>
      </c>
    </row>
    <row r="373" spans="1:13" x14ac:dyDescent="0.45">
      <c r="A373" t="s">
        <v>3601</v>
      </c>
      <c r="B373">
        <v>358059</v>
      </c>
      <c r="C373">
        <v>359087</v>
      </c>
      <c r="E373" t="s">
        <v>14</v>
      </c>
      <c r="F373" t="s">
        <v>1039</v>
      </c>
      <c r="H373">
        <v>83704190</v>
      </c>
      <c r="I373" t="s">
        <v>17</v>
      </c>
      <c r="K373" t="s">
        <v>4416</v>
      </c>
      <c r="L373">
        <v>342</v>
      </c>
      <c r="M373" t="s">
        <v>4417</v>
      </c>
    </row>
    <row r="374" spans="1:13" x14ac:dyDescent="0.45">
      <c r="A374" t="s">
        <v>3601</v>
      </c>
      <c r="B374">
        <v>359480</v>
      </c>
      <c r="C374">
        <v>359749</v>
      </c>
      <c r="E374" t="s">
        <v>42</v>
      </c>
      <c r="F374" t="s">
        <v>4418</v>
      </c>
      <c r="G374" t="s">
        <v>4419</v>
      </c>
      <c r="H374">
        <v>83704191</v>
      </c>
      <c r="I374" t="s">
        <v>17</v>
      </c>
      <c r="K374" t="s">
        <v>4420</v>
      </c>
      <c r="L374">
        <v>89</v>
      </c>
      <c r="M374" t="s">
        <v>4421</v>
      </c>
    </row>
    <row r="375" spans="1:13" x14ac:dyDescent="0.45">
      <c r="A375" t="s">
        <v>3601</v>
      </c>
      <c r="B375">
        <v>359946</v>
      </c>
      <c r="C375">
        <v>361115</v>
      </c>
      <c r="E375" t="s">
        <v>42</v>
      </c>
      <c r="F375" t="s">
        <v>347</v>
      </c>
      <c r="H375">
        <v>83704192</v>
      </c>
      <c r="I375" t="s">
        <v>17</v>
      </c>
      <c r="K375" t="s">
        <v>4422</v>
      </c>
      <c r="L375">
        <v>389</v>
      </c>
      <c r="M375" t="s">
        <v>4423</v>
      </c>
    </row>
    <row r="376" spans="1:13" x14ac:dyDescent="0.45">
      <c r="A376" t="s">
        <v>3601</v>
      </c>
      <c r="B376">
        <v>361241</v>
      </c>
      <c r="C376">
        <v>361771</v>
      </c>
      <c r="E376" t="s">
        <v>14</v>
      </c>
      <c r="F376" t="s">
        <v>4424</v>
      </c>
      <c r="H376">
        <v>83704193</v>
      </c>
      <c r="I376" t="s">
        <v>17</v>
      </c>
      <c r="K376" t="s">
        <v>4425</v>
      </c>
      <c r="L376">
        <v>176</v>
      </c>
      <c r="M376" t="s">
        <v>4426</v>
      </c>
    </row>
    <row r="377" spans="1:13" x14ac:dyDescent="0.45">
      <c r="A377" t="s">
        <v>3601</v>
      </c>
      <c r="B377">
        <v>361816</v>
      </c>
      <c r="C377">
        <v>362406</v>
      </c>
      <c r="E377" t="s">
        <v>14</v>
      </c>
      <c r="F377" t="s">
        <v>492</v>
      </c>
      <c r="H377">
        <v>83704194</v>
      </c>
      <c r="I377" t="s">
        <v>17</v>
      </c>
      <c r="K377" t="s">
        <v>4427</v>
      </c>
      <c r="L377">
        <v>196</v>
      </c>
      <c r="M377" t="s">
        <v>4428</v>
      </c>
    </row>
    <row r="378" spans="1:13" x14ac:dyDescent="0.45">
      <c r="A378" t="s">
        <v>3601</v>
      </c>
      <c r="B378">
        <v>362497</v>
      </c>
      <c r="C378">
        <v>363219</v>
      </c>
      <c r="E378" t="s">
        <v>14</v>
      </c>
      <c r="F378" t="s">
        <v>95</v>
      </c>
      <c r="H378">
        <v>83704195</v>
      </c>
      <c r="I378" t="s">
        <v>17</v>
      </c>
      <c r="K378" t="s">
        <v>4429</v>
      </c>
      <c r="L378">
        <v>240</v>
      </c>
      <c r="M378" t="s">
        <v>4430</v>
      </c>
    </row>
    <row r="379" spans="1:13" x14ac:dyDescent="0.45">
      <c r="A379" t="s">
        <v>3601</v>
      </c>
      <c r="B379">
        <v>363261</v>
      </c>
      <c r="C379">
        <v>363560</v>
      </c>
      <c r="E379" t="s">
        <v>42</v>
      </c>
      <c r="F379" t="s">
        <v>290</v>
      </c>
      <c r="H379">
        <v>83704196</v>
      </c>
      <c r="I379" t="s">
        <v>17</v>
      </c>
      <c r="K379" t="s">
        <v>4431</v>
      </c>
      <c r="L379">
        <v>99</v>
      </c>
      <c r="M379" t="s">
        <v>4432</v>
      </c>
    </row>
    <row r="380" spans="1:13" x14ac:dyDescent="0.45">
      <c r="A380" t="s">
        <v>3601</v>
      </c>
      <c r="B380">
        <v>363955</v>
      </c>
      <c r="C380">
        <v>364407</v>
      </c>
      <c r="E380" t="s">
        <v>14</v>
      </c>
      <c r="F380" t="s">
        <v>45</v>
      </c>
      <c r="H380">
        <v>83704197</v>
      </c>
      <c r="I380" t="s">
        <v>17</v>
      </c>
      <c r="K380" t="s">
        <v>4433</v>
      </c>
      <c r="L380">
        <v>150</v>
      </c>
      <c r="M380" t="s">
        <v>4434</v>
      </c>
    </row>
    <row r="381" spans="1:13" x14ac:dyDescent="0.45">
      <c r="A381" t="s">
        <v>3601</v>
      </c>
      <c r="B381">
        <v>364547</v>
      </c>
      <c r="C381">
        <v>365233</v>
      </c>
      <c r="E381" t="s">
        <v>14</v>
      </c>
      <c r="F381" t="s">
        <v>511</v>
      </c>
      <c r="H381">
        <v>83704198</v>
      </c>
      <c r="I381" t="s">
        <v>17</v>
      </c>
      <c r="K381" t="s">
        <v>4435</v>
      </c>
      <c r="L381">
        <v>228</v>
      </c>
      <c r="M381" t="s">
        <v>4436</v>
      </c>
    </row>
    <row r="382" spans="1:13" x14ac:dyDescent="0.45">
      <c r="A382" t="s">
        <v>3601</v>
      </c>
      <c r="B382">
        <v>365235</v>
      </c>
      <c r="C382">
        <v>366278</v>
      </c>
      <c r="E382" t="s">
        <v>14</v>
      </c>
      <c r="F382" t="s">
        <v>4437</v>
      </c>
      <c r="H382">
        <v>83704199</v>
      </c>
      <c r="I382" t="s">
        <v>17</v>
      </c>
      <c r="K382" t="s">
        <v>4438</v>
      </c>
      <c r="L382">
        <v>347</v>
      </c>
      <c r="M382" t="s">
        <v>4439</v>
      </c>
    </row>
    <row r="383" spans="1:13" x14ac:dyDescent="0.45">
      <c r="A383" t="s">
        <v>3601</v>
      </c>
      <c r="B383">
        <v>366656</v>
      </c>
      <c r="C383">
        <v>368296</v>
      </c>
      <c r="E383" t="s">
        <v>42</v>
      </c>
      <c r="F383" t="s">
        <v>4440</v>
      </c>
      <c r="H383">
        <v>83704200</v>
      </c>
      <c r="I383" t="s">
        <v>17</v>
      </c>
      <c r="K383" t="s">
        <v>4441</v>
      </c>
      <c r="L383">
        <v>546</v>
      </c>
      <c r="M383" t="s">
        <v>4442</v>
      </c>
    </row>
    <row r="384" spans="1:13" x14ac:dyDescent="0.45">
      <c r="A384" t="s">
        <v>3601</v>
      </c>
      <c r="B384">
        <v>368550</v>
      </c>
      <c r="C384">
        <v>370061</v>
      </c>
      <c r="E384" t="s">
        <v>14</v>
      </c>
      <c r="F384" t="s">
        <v>139</v>
      </c>
      <c r="H384">
        <v>83704201</v>
      </c>
      <c r="I384" t="s">
        <v>17</v>
      </c>
      <c r="K384" t="s">
        <v>4443</v>
      </c>
      <c r="L384">
        <v>503</v>
      </c>
      <c r="M384" t="s">
        <v>4444</v>
      </c>
    </row>
    <row r="385" spans="1:13" x14ac:dyDescent="0.45">
      <c r="A385" t="s">
        <v>3601</v>
      </c>
      <c r="B385">
        <v>370378</v>
      </c>
      <c r="C385">
        <v>371055</v>
      </c>
      <c r="E385" t="s">
        <v>14</v>
      </c>
      <c r="F385" t="s">
        <v>4445</v>
      </c>
      <c r="H385">
        <v>83704202</v>
      </c>
      <c r="I385" t="s">
        <v>17</v>
      </c>
      <c r="K385" t="s">
        <v>4446</v>
      </c>
      <c r="L385">
        <v>225</v>
      </c>
      <c r="M385" t="s">
        <v>4447</v>
      </c>
    </row>
    <row r="386" spans="1:13" x14ac:dyDescent="0.45">
      <c r="A386" t="s">
        <v>3601</v>
      </c>
      <c r="B386">
        <v>371377</v>
      </c>
      <c r="C386">
        <v>371745</v>
      </c>
      <c r="E386" t="s">
        <v>42</v>
      </c>
      <c r="F386" t="s">
        <v>139</v>
      </c>
      <c r="H386">
        <v>83704203</v>
      </c>
      <c r="I386" t="s">
        <v>17</v>
      </c>
      <c r="K386" t="s">
        <v>4448</v>
      </c>
      <c r="L386">
        <v>122</v>
      </c>
      <c r="M386" t="s">
        <v>4449</v>
      </c>
    </row>
    <row r="387" spans="1:13" x14ac:dyDescent="0.45">
      <c r="A387" t="s">
        <v>3601</v>
      </c>
      <c r="B387">
        <v>371924</v>
      </c>
      <c r="C387">
        <v>372145</v>
      </c>
      <c r="E387" t="s">
        <v>14</v>
      </c>
      <c r="F387" t="s">
        <v>139</v>
      </c>
      <c r="H387">
        <v>83704204</v>
      </c>
      <c r="I387" t="s">
        <v>17</v>
      </c>
      <c r="K387" t="s">
        <v>4450</v>
      </c>
      <c r="L387">
        <v>73</v>
      </c>
      <c r="M387" t="s">
        <v>4451</v>
      </c>
    </row>
    <row r="388" spans="1:13" x14ac:dyDescent="0.45">
      <c r="A388" t="s">
        <v>3601</v>
      </c>
      <c r="B388">
        <v>372330</v>
      </c>
      <c r="C388">
        <v>372722</v>
      </c>
      <c r="E388" t="s">
        <v>14</v>
      </c>
      <c r="F388" t="s">
        <v>995</v>
      </c>
      <c r="H388">
        <v>83704205</v>
      </c>
      <c r="I388" t="s">
        <v>17</v>
      </c>
      <c r="K388" t="s">
        <v>4452</v>
      </c>
      <c r="L388">
        <v>130</v>
      </c>
      <c r="M388" t="s">
        <v>4453</v>
      </c>
    </row>
    <row r="389" spans="1:13" x14ac:dyDescent="0.45">
      <c r="A389" t="s">
        <v>3601</v>
      </c>
      <c r="B389">
        <v>372850</v>
      </c>
      <c r="C389">
        <v>375150</v>
      </c>
      <c r="E389" t="s">
        <v>42</v>
      </c>
      <c r="F389" t="s">
        <v>863</v>
      </c>
      <c r="H389">
        <v>83704206</v>
      </c>
      <c r="I389" t="s">
        <v>17</v>
      </c>
      <c r="K389" t="s">
        <v>4454</v>
      </c>
      <c r="L389">
        <v>766</v>
      </c>
      <c r="M389" t="s">
        <v>4455</v>
      </c>
    </row>
    <row r="390" spans="1:13" x14ac:dyDescent="0.45">
      <c r="A390" t="s">
        <v>3601</v>
      </c>
      <c r="B390">
        <v>375171</v>
      </c>
      <c r="C390">
        <v>375830</v>
      </c>
      <c r="E390" t="s">
        <v>42</v>
      </c>
      <c r="F390" t="s">
        <v>402</v>
      </c>
      <c r="H390">
        <v>83704207</v>
      </c>
      <c r="I390" t="s">
        <v>17</v>
      </c>
      <c r="K390" t="s">
        <v>4456</v>
      </c>
      <c r="L390">
        <v>219</v>
      </c>
      <c r="M390" t="s">
        <v>4457</v>
      </c>
    </row>
    <row r="391" spans="1:13" x14ac:dyDescent="0.45">
      <c r="A391" t="s">
        <v>3601</v>
      </c>
      <c r="B391">
        <v>375999</v>
      </c>
      <c r="C391">
        <v>377198</v>
      </c>
      <c r="E391" t="s">
        <v>14</v>
      </c>
      <c r="F391" t="s">
        <v>106</v>
      </c>
      <c r="H391">
        <v>83704208</v>
      </c>
      <c r="I391" t="s">
        <v>17</v>
      </c>
      <c r="K391" t="s">
        <v>4458</v>
      </c>
      <c r="L391">
        <v>399</v>
      </c>
      <c r="M391" t="s">
        <v>4459</v>
      </c>
    </row>
    <row r="392" spans="1:13" x14ac:dyDescent="0.45">
      <c r="A392" t="s">
        <v>3601</v>
      </c>
      <c r="B392">
        <v>377218</v>
      </c>
      <c r="C392">
        <v>377670</v>
      </c>
      <c r="E392" t="s">
        <v>14</v>
      </c>
      <c r="F392" t="s">
        <v>99</v>
      </c>
      <c r="H392">
        <v>83704209</v>
      </c>
      <c r="I392" t="s">
        <v>17</v>
      </c>
      <c r="K392" t="s">
        <v>4460</v>
      </c>
      <c r="L392">
        <v>150</v>
      </c>
      <c r="M392" t="s">
        <v>4461</v>
      </c>
    </row>
    <row r="393" spans="1:13" x14ac:dyDescent="0.45">
      <c r="A393" t="s">
        <v>3601</v>
      </c>
      <c r="B393">
        <v>377771</v>
      </c>
      <c r="C393">
        <v>378619</v>
      </c>
      <c r="E393" t="s">
        <v>14</v>
      </c>
      <c r="F393" t="s">
        <v>4462</v>
      </c>
      <c r="G393" t="s">
        <v>4463</v>
      </c>
      <c r="H393">
        <v>83704210</v>
      </c>
      <c r="I393" t="s">
        <v>17</v>
      </c>
      <c r="K393" t="s">
        <v>4464</v>
      </c>
      <c r="L393">
        <v>282</v>
      </c>
      <c r="M393" t="s">
        <v>4465</v>
      </c>
    </row>
    <row r="394" spans="1:13" x14ac:dyDescent="0.45">
      <c r="A394" t="s">
        <v>3601</v>
      </c>
      <c r="B394">
        <v>379109</v>
      </c>
      <c r="C394">
        <v>379861</v>
      </c>
      <c r="E394" t="s">
        <v>14</v>
      </c>
      <c r="F394" t="s">
        <v>4466</v>
      </c>
      <c r="H394">
        <v>83704211</v>
      </c>
      <c r="I394" t="s">
        <v>17</v>
      </c>
      <c r="K394" t="s">
        <v>4467</v>
      </c>
      <c r="L394">
        <v>250</v>
      </c>
      <c r="M394" t="s">
        <v>4468</v>
      </c>
    </row>
    <row r="395" spans="1:13" x14ac:dyDescent="0.45">
      <c r="A395" t="s">
        <v>3601</v>
      </c>
      <c r="B395">
        <v>379858</v>
      </c>
      <c r="C395">
        <v>380799</v>
      </c>
      <c r="E395" t="s">
        <v>14</v>
      </c>
      <c r="F395" t="s">
        <v>62</v>
      </c>
      <c r="H395">
        <v>83704212</v>
      </c>
      <c r="I395" t="s">
        <v>17</v>
      </c>
      <c r="K395" t="s">
        <v>4469</v>
      </c>
      <c r="L395">
        <v>313</v>
      </c>
      <c r="M395" t="s">
        <v>4470</v>
      </c>
    </row>
    <row r="396" spans="1:13" x14ac:dyDescent="0.45">
      <c r="A396" t="s">
        <v>3601</v>
      </c>
      <c r="B396">
        <v>380963</v>
      </c>
      <c r="C396">
        <v>381241</v>
      </c>
      <c r="E396" t="s">
        <v>42</v>
      </c>
      <c r="F396" t="s">
        <v>45</v>
      </c>
      <c r="H396">
        <v>83704213</v>
      </c>
      <c r="I396" t="s">
        <v>17</v>
      </c>
      <c r="K396" t="s">
        <v>4471</v>
      </c>
      <c r="L396">
        <v>92</v>
      </c>
      <c r="M396" t="s">
        <v>4472</v>
      </c>
    </row>
    <row r="397" spans="1:13" x14ac:dyDescent="0.45">
      <c r="A397" t="s">
        <v>3601</v>
      </c>
      <c r="B397">
        <v>381534</v>
      </c>
      <c r="C397">
        <v>383858</v>
      </c>
      <c r="E397" t="s">
        <v>42</v>
      </c>
      <c r="F397" t="s">
        <v>4473</v>
      </c>
      <c r="G397" t="s">
        <v>4474</v>
      </c>
      <c r="H397">
        <v>83704214</v>
      </c>
      <c r="I397" t="s">
        <v>17</v>
      </c>
      <c r="K397" t="s">
        <v>4475</v>
      </c>
      <c r="L397">
        <v>774</v>
      </c>
      <c r="M397" t="s">
        <v>4476</v>
      </c>
    </row>
    <row r="398" spans="1:13" x14ac:dyDescent="0.45">
      <c r="A398" t="s">
        <v>3601</v>
      </c>
      <c r="B398">
        <v>384067</v>
      </c>
      <c r="C398">
        <v>385170</v>
      </c>
      <c r="E398" t="s">
        <v>14</v>
      </c>
      <c r="F398" t="s">
        <v>329</v>
      </c>
      <c r="G398" t="s">
        <v>330</v>
      </c>
      <c r="H398">
        <v>83704215</v>
      </c>
      <c r="I398" t="s">
        <v>17</v>
      </c>
      <c r="K398" t="s">
        <v>4477</v>
      </c>
      <c r="L398">
        <v>367</v>
      </c>
      <c r="M398" t="s">
        <v>4478</v>
      </c>
    </row>
    <row r="399" spans="1:13" x14ac:dyDescent="0.45">
      <c r="A399" t="s">
        <v>3601</v>
      </c>
      <c r="B399">
        <v>385246</v>
      </c>
      <c r="C399">
        <v>386594</v>
      </c>
      <c r="E399" t="s">
        <v>14</v>
      </c>
      <c r="F399" t="s">
        <v>425</v>
      </c>
      <c r="H399">
        <v>83704216</v>
      </c>
      <c r="I399" t="s">
        <v>17</v>
      </c>
      <c r="K399" t="s">
        <v>4479</v>
      </c>
      <c r="L399">
        <v>449</v>
      </c>
      <c r="M399" t="s">
        <v>4480</v>
      </c>
    </row>
    <row r="400" spans="1:13" x14ac:dyDescent="0.45">
      <c r="A400" t="s">
        <v>3601</v>
      </c>
      <c r="B400">
        <v>386749</v>
      </c>
      <c r="C400">
        <v>387234</v>
      </c>
      <c r="E400" t="s">
        <v>42</v>
      </c>
      <c r="F400" t="s">
        <v>45</v>
      </c>
      <c r="H400">
        <v>83704217</v>
      </c>
      <c r="I400" t="s">
        <v>17</v>
      </c>
      <c r="K400" t="s">
        <v>4481</v>
      </c>
      <c r="L400">
        <v>161</v>
      </c>
      <c r="M400" t="s">
        <v>4482</v>
      </c>
    </row>
    <row r="401" spans="1:13" x14ac:dyDescent="0.45">
      <c r="A401" t="s">
        <v>3601</v>
      </c>
      <c r="B401">
        <v>387330</v>
      </c>
      <c r="C401">
        <v>389729</v>
      </c>
      <c r="E401" t="s">
        <v>42</v>
      </c>
      <c r="F401" t="s">
        <v>4483</v>
      </c>
      <c r="G401" t="s">
        <v>4484</v>
      </c>
      <c r="H401">
        <v>83704218</v>
      </c>
      <c r="I401" t="s">
        <v>17</v>
      </c>
      <c r="K401" t="s">
        <v>4485</v>
      </c>
      <c r="L401">
        <v>799</v>
      </c>
      <c r="M401" t="s">
        <v>4486</v>
      </c>
    </row>
    <row r="402" spans="1:13" x14ac:dyDescent="0.45">
      <c r="A402" t="s">
        <v>3601</v>
      </c>
      <c r="B402">
        <v>389958</v>
      </c>
      <c r="C402">
        <v>390557</v>
      </c>
      <c r="E402" t="s">
        <v>42</v>
      </c>
      <c r="F402" t="s">
        <v>1025</v>
      </c>
      <c r="G402" t="s">
        <v>728</v>
      </c>
      <c r="H402">
        <v>83704219</v>
      </c>
      <c r="I402" t="s">
        <v>17</v>
      </c>
      <c r="K402" t="s">
        <v>4487</v>
      </c>
      <c r="L402">
        <v>199</v>
      </c>
      <c r="M402" t="s">
        <v>4488</v>
      </c>
    </row>
    <row r="403" spans="1:13" x14ac:dyDescent="0.45">
      <c r="A403" t="s">
        <v>3601</v>
      </c>
      <c r="B403">
        <v>390582</v>
      </c>
      <c r="C403">
        <v>391490</v>
      </c>
      <c r="E403" t="s">
        <v>42</v>
      </c>
      <c r="F403" t="s">
        <v>4489</v>
      </c>
      <c r="G403" t="s">
        <v>4490</v>
      </c>
      <c r="H403">
        <v>83704220</v>
      </c>
      <c r="I403" t="s">
        <v>17</v>
      </c>
      <c r="K403" t="s">
        <v>4491</v>
      </c>
      <c r="L403">
        <v>302</v>
      </c>
      <c r="M403" t="s">
        <v>4492</v>
      </c>
    </row>
    <row r="404" spans="1:13" x14ac:dyDescent="0.45">
      <c r="A404" t="s">
        <v>3601</v>
      </c>
      <c r="B404">
        <v>391608</v>
      </c>
      <c r="C404">
        <v>391919</v>
      </c>
      <c r="E404" t="s">
        <v>14</v>
      </c>
      <c r="F404" t="s">
        <v>45</v>
      </c>
      <c r="H404">
        <v>83704221</v>
      </c>
      <c r="I404" t="s">
        <v>17</v>
      </c>
      <c r="K404" t="s">
        <v>4493</v>
      </c>
      <c r="L404">
        <v>103</v>
      </c>
      <c r="M404" t="s">
        <v>4494</v>
      </c>
    </row>
    <row r="405" spans="1:13" x14ac:dyDescent="0.45">
      <c r="A405" t="s">
        <v>3601</v>
      </c>
      <c r="B405">
        <v>391919</v>
      </c>
      <c r="C405">
        <v>392464</v>
      </c>
      <c r="E405" t="s">
        <v>14</v>
      </c>
      <c r="F405" t="s">
        <v>1008</v>
      </c>
      <c r="H405">
        <v>83704222</v>
      </c>
      <c r="I405" t="s">
        <v>17</v>
      </c>
      <c r="K405" t="s">
        <v>4495</v>
      </c>
      <c r="L405">
        <v>181</v>
      </c>
      <c r="M405" t="s">
        <v>4496</v>
      </c>
    </row>
    <row r="406" spans="1:13" x14ac:dyDescent="0.45">
      <c r="A406" t="s">
        <v>3601</v>
      </c>
      <c r="B406">
        <v>392538</v>
      </c>
      <c r="C406">
        <v>394874</v>
      </c>
      <c r="E406" t="s">
        <v>14</v>
      </c>
      <c r="F406" t="s">
        <v>337</v>
      </c>
      <c r="H406">
        <v>83704223</v>
      </c>
      <c r="I406" t="s">
        <v>17</v>
      </c>
      <c r="K406" t="s">
        <v>4497</v>
      </c>
      <c r="L406">
        <v>778</v>
      </c>
      <c r="M406" t="s">
        <v>4498</v>
      </c>
    </row>
    <row r="407" spans="1:13" x14ac:dyDescent="0.45">
      <c r="A407" t="s">
        <v>3601</v>
      </c>
      <c r="B407">
        <v>395205</v>
      </c>
      <c r="C407">
        <v>396524</v>
      </c>
      <c r="E407" t="s">
        <v>42</v>
      </c>
      <c r="F407" t="s">
        <v>4499</v>
      </c>
      <c r="H407">
        <v>83704224</v>
      </c>
      <c r="I407" t="s">
        <v>17</v>
      </c>
      <c r="K407" t="s">
        <v>4500</v>
      </c>
      <c r="L407">
        <v>439</v>
      </c>
      <c r="M407" t="s">
        <v>4501</v>
      </c>
    </row>
    <row r="408" spans="1:13" x14ac:dyDescent="0.45">
      <c r="A408" t="s">
        <v>3601</v>
      </c>
      <c r="B408">
        <v>396705</v>
      </c>
      <c r="C408">
        <v>397019</v>
      </c>
      <c r="E408" t="s">
        <v>14</v>
      </c>
      <c r="F408" t="s">
        <v>338</v>
      </c>
      <c r="G408" t="s">
        <v>339</v>
      </c>
      <c r="H408">
        <v>83704225</v>
      </c>
      <c r="I408" t="s">
        <v>17</v>
      </c>
      <c r="K408" t="s">
        <v>4502</v>
      </c>
      <c r="L408">
        <v>104</v>
      </c>
      <c r="M408" t="s">
        <v>4503</v>
      </c>
    </row>
    <row r="409" spans="1:13" x14ac:dyDescent="0.45">
      <c r="A409" t="s">
        <v>3601</v>
      </c>
      <c r="B409">
        <v>397263</v>
      </c>
      <c r="C409">
        <v>397679</v>
      </c>
      <c r="E409" t="s">
        <v>42</v>
      </c>
      <c r="F409" t="s">
        <v>49</v>
      </c>
      <c r="H409">
        <v>83705859</v>
      </c>
      <c r="I409" t="s">
        <v>17</v>
      </c>
      <c r="K409" t="s">
        <v>4504</v>
      </c>
      <c r="L409">
        <v>138</v>
      </c>
      <c r="M409" t="s">
        <v>4505</v>
      </c>
    </row>
    <row r="410" spans="1:13" x14ac:dyDescent="0.45">
      <c r="A410" t="s">
        <v>3601</v>
      </c>
      <c r="B410">
        <v>397799</v>
      </c>
      <c r="C410">
        <v>398185</v>
      </c>
      <c r="E410" t="s">
        <v>42</v>
      </c>
      <c r="F410" t="s">
        <v>45</v>
      </c>
      <c r="H410">
        <v>83705860</v>
      </c>
      <c r="I410" t="s">
        <v>17</v>
      </c>
      <c r="K410" t="s">
        <v>4506</v>
      </c>
      <c r="L410">
        <v>128</v>
      </c>
      <c r="M410" t="s">
        <v>4507</v>
      </c>
    </row>
    <row r="411" spans="1:13" x14ac:dyDescent="0.45">
      <c r="A411" t="s">
        <v>3601</v>
      </c>
      <c r="B411">
        <v>398403</v>
      </c>
      <c r="C411">
        <v>398687</v>
      </c>
      <c r="E411" t="s">
        <v>42</v>
      </c>
      <c r="F411" t="s">
        <v>45</v>
      </c>
      <c r="H411">
        <v>83704226</v>
      </c>
      <c r="I411" t="s">
        <v>17</v>
      </c>
      <c r="K411" t="s">
        <v>4508</v>
      </c>
      <c r="L411">
        <v>94</v>
      </c>
      <c r="M411" t="s">
        <v>4509</v>
      </c>
    </row>
    <row r="412" spans="1:13" x14ac:dyDescent="0.45">
      <c r="A412" t="s">
        <v>3601</v>
      </c>
      <c r="B412">
        <v>398976</v>
      </c>
      <c r="C412">
        <v>400124</v>
      </c>
      <c r="E412" t="s">
        <v>42</v>
      </c>
      <c r="F412" t="s">
        <v>4510</v>
      </c>
      <c r="G412" t="s">
        <v>4511</v>
      </c>
      <c r="H412">
        <v>83704227</v>
      </c>
      <c r="I412" t="s">
        <v>17</v>
      </c>
      <c r="K412" t="s">
        <v>4512</v>
      </c>
      <c r="L412">
        <v>382</v>
      </c>
      <c r="M412" t="s">
        <v>4513</v>
      </c>
    </row>
    <row r="413" spans="1:13" x14ac:dyDescent="0.45">
      <c r="A413" t="s">
        <v>3601</v>
      </c>
      <c r="B413">
        <v>401501</v>
      </c>
      <c r="C413">
        <v>401791</v>
      </c>
      <c r="E413" t="s">
        <v>14</v>
      </c>
      <c r="F413" t="s">
        <v>28</v>
      </c>
      <c r="G413" t="s">
        <v>29</v>
      </c>
      <c r="H413">
        <v>83704228</v>
      </c>
      <c r="I413" t="s">
        <v>17</v>
      </c>
      <c r="K413" t="s">
        <v>4514</v>
      </c>
      <c r="L413">
        <v>96</v>
      </c>
      <c r="M413" t="s">
        <v>4515</v>
      </c>
    </row>
    <row r="414" spans="1:13" x14ac:dyDescent="0.45">
      <c r="A414" t="s">
        <v>3601</v>
      </c>
      <c r="B414">
        <v>401810</v>
      </c>
      <c r="C414">
        <v>402298</v>
      </c>
      <c r="E414" t="s">
        <v>14</v>
      </c>
      <c r="F414" t="s">
        <v>30</v>
      </c>
      <c r="H414">
        <v>83704229</v>
      </c>
      <c r="I414" t="s">
        <v>17</v>
      </c>
      <c r="K414" t="s">
        <v>4516</v>
      </c>
      <c r="L414">
        <v>162</v>
      </c>
      <c r="M414" t="s">
        <v>4517</v>
      </c>
    </row>
    <row r="415" spans="1:13" x14ac:dyDescent="0.45">
      <c r="A415" t="s">
        <v>3601</v>
      </c>
      <c r="B415">
        <v>402457</v>
      </c>
      <c r="C415">
        <v>402696</v>
      </c>
      <c r="E415" t="s">
        <v>14</v>
      </c>
      <c r="F415" t="s">
        <v>31</v>
      </c>
      <c r="G415" t="s">
        <v>32</v>
      </c>
      <c r="H415">
        <v>83704230</v>
      </c>
      <c r="I415" t="s">
        <v>17</v>
      </c>
      <c r="K415" t="s">
        <v>4518</v>
      </c>
      <c r="L415">
        <v>79</v>
      </c>
      <c r="M415" t="s">
        <v>4519</v>
      </c>
    </row>
    <row r="416" spans="1:13" x14ac:dyDescent="0.45">
      <c r="A416" t="s">
        <v>3601</v>
      </c>
      <c r="B416">
        <v>402963</v>
      </c>
      <c r="C416">
        <v>403613</v>
      </c>
      <c r="E416" t="s">
        <v>42</v>
      </c>
      <c r="F416" t="s">
        <v>1001</v>
      </c>
      <c r="H416">
        <v>83704231</v>
      </c>
      <c r="I416" t="s">
        <v>17</v>
      </c>
      <c r="K416" t="s">
        <v>4520</v>
      </c>
      <c r="L416">
        <v>216</v>
      </c>
      <c r="M416" t="s">
        <v>4521</v>
      </c>
    </row>
    <row r="417" spans="1:13" x14ac:dyDescent="0.45">
      <c r="A417" t="s">
        <v>3601</v>
      </c>
      <c r="B417">
        <v>403868</v>
      </c>
      <c r="C417">
        <v>404812</v>
      </c>
      <c r="E417" t="s">
        <v>42</v>
      </c>
      <c r="F417" t="s">
        <v>977</v>
      </c>
      <c r="H417">
        <v>83704232</v>
      </c>
      <c r="I417" t="s">
        <v>17</v>
      </c>
      <c r="K417" t="s">
        <v>4522</v>
      </c>
      <c r="L417">
        <v>314</v>
      </c>
      <c r="M417" t="s">
        <v>4523</v>
      </c>
    </row>
    <row r="418" spans="1:13" x14ac:dyDescent="0.45">
      <c r="A418" t="s">
        <v>3601</v>
      </c>
      <c r="B418">
        <v>405008</v>
      </c>
      <c r="C418">
        <v>407830</v>
      </c>
      <c r="E418" t="s">
        <v>14</v>
      </c>
      <c r="F418" t="s">
        <v>476</v>
      </c>
      <c r="G418" t="s">
        <v>477</v>
      </c>
      <c r="H418">
        <v>83704233</v>
      </c>
      <c r="I418" t="s">
        <v>17</v>
      </c>
      <c r="K418" t="s">
        <v>4524</v>
      </c>
      <c r="L418">
        <v>940</v>
      </c>
      <c r="M418" t="s">
        <v>4525</v>
      </c>
    </row>
    <row r="419" spans="1:13" x14ac:dyDescent="0.45">
      <c r="A419" t="s">
        <v>3601</v>
      </c>
      <c r="B419">
        <v>408120</v>
      </c>
      <c r="C419">
        <v>409196</v>
      </c>
      <c r="E419" t="s">
        <v>14</v>
      </c>
      <c r="F419" t="s">
        <v>4526</v>
      </c>
      <c r="H419">
        <v>83704234</v>
      </c>
      <c r="I419" t="s">
        <v>17</v>
      </c>
      <c r="K419" t="s">
        <v>4527</v>
      </c>
      <c r="L419">
        <v>358</v>
      </c>
      <c r="M419" t="s">
        <v>4528</v>
      </c>
    </row>
    <row r="420" spans="1:13" x14ac:dyDescent="0.45">
      <c r="A420" t="s">
        <v>3601</v>
      </c>
      <c r="B420">
        <v>409240</v>
      </c>
      <c r="C420">
        <v>409701</v>
      </c>
      <c r="E420" t="s">
        <v>14</v>
      </c>
      <c r="F420" t="s">
        <v>4529</v>
      </c>
      <c r="H420">
        <v>83704235</v>
      </c>
      <c r="I420" t="s">
        <v>17</v>
      </c>
      <c r="K420" t="s">
        <v>4530</v>
      </c>
      <c r="L420">
        <v>153</v>
      </c>
      <c r="M420" t="s">
        <v>4531</v>
      </c>
    </row>
    <row r="421" spans="1:13" x14ac:dyDescent="0.45">
      <c r="A421" t="s">
        <v>3601</v>
      </c>
      <c r="B421">
        <v>409795</v>
      </c>
      <c r="C421">
        <v>410352</v>
      </c>
      <c r="E421" t="s">
        <v>14</v>
      </c>
      <c r="F421" t="s">
        <v>854</v>
      </c>
      <c r="G421" t="s">
        <v>855</v>
      </c>
      <c r="H421">
        <v>83704236</v>
      </c>
      <c r="I421" t="s">
        <v>17</v>
      </c>
      <c r="K421" t="s">
        <v>4532</v>
      </c>
      <c r="L421">
        <v>185</v>
      </c>
      <c r="M421" t="s">
        <v>4533</v>
      </c>
    </row>
    <row r="422" spans="1:13" x14ac:dyDescent="0.45">
      <c r="A422" t="s">
        <v>3601</v>
      </c>
      <c r="B422">
        <v>410395</v>
      </c>
      <c r="C422">
        <v>410784</v>
      </c>
      <c r="E422" t="s">
        <v>14</v>
      </c>
      <c r="F422" t="s">
        <v>824</v>
      </c>
      <c r="H422">
        <v>83704237</v>
      </c>
      <c r="I422" t="s">
        <v>17</v>
      </c>
      <c r="K422" t="s">
        <v>4534</v>
      </c>
      <c r="L422">
        <v>129</v>
      </c>
      <c r="M422" t="s">
        <v>4535</v>
      </c>
    </row>
    <row r="423" spans="1:13" x14ac:dyDescent="0.45">
      <c r="A423" t="s">
        <v>3601</v>
      </c>
      <c r="B423">
        <v>410777</v>
      </c>
      <c r="C423">
        <v>411229</v>
      </c>
      <c r="E423" t="s">
        <v>14</v>
      </c>
      <c r="F423" t="s">
        <v>852</v>
      </c>
      <c r="G423" t="s">
        <v>853</v>
      </c>
      <c r="H423">
        <v>83704238</v>
      </c>
      <c r="I423" t="s">
        <v>17</v>
      </c>
      <c r="K423" t="s">
        <v>4536</v>
      </c>
      <c r="L423">
        <v>150</v>
      </c>
      <c r="M423" t="s">
        <v>4537</v>
      </c>
    </row>
    <row r="424" spans="1:13" x14ac:dyDescent="0.45">
      <c r="A424" t="s">
        <v>3601</v>
      </c>
      <c r="B424">
        <v>411463</v>
      </c>
      <c r="C424">
        <v>411744</v>
      </c>
      <c r="E424" t="s">
        <v>14</v>
      </c>
      <c r="F424" t="s">
        <v>4538</v>
      </c>
      <c r="H424">
        <v>83704239</v>
      </c>
      <c r="I424" t="s">
        <v>17</v>
      </c>
      <c r="K424" t="s">
        <v>4539</v>
      </c>
      <c r="L424">
        <v>93</v>
      </c>
      <c r="M424" t="s">
        <v>4540</v>
      </c>
    </row>
    <row r="425" spans="1:13" x14ac:dyDescent="0.45">
      <c r="A425" t="s">
        <v>3601</v>
      </c>
      <c r="B425">
        <v>411726</v>
      </c>
      <c r="C425">
        <v>412100</v>
      </c>
      <c r="E425" t="s">
        <v>14</v>
      </c>
      <c r="F425" t="s">
        <v>45</v>
      </c>
      <c r="H425">
        <v>83704240</v>
      </c>
      <c r="I425" t="s">
        <v>17</v>
      </c>
      <c r="K425" t="s">
        <v>4541</v>
      </c>
      <c r="L425">
        <v>124</v>
      </c>
      <c r="M425" t="s">
        <v>4542</v>
      </c>
    </row>
    <row r="426" spans="1:13" x14ac:dyDescent="0.45">
      <c r="A426" t="s">
        <v>3601</v>
      </c>
      <c r="B426">
        <v>412091</v>
      </c>
      <c r="C426">
        <v>412228</v>
      </c>
      <c r="E426" t="s">
        <v>14</v>
      </c>
      <c r="F426" t="s">
        <v>45</v>
      </c>
      <c r="H426">
        <v>301046573</v>
      </c>
      <c r="I426" t="s">
        <v>17</v>
      </c>
      <c r="K426" t="s">
        <v>4543</v>
      </c>
      <c r="L426">
        <v>45</v>
      </c>
      <c r="M426" t="s">
        <v>4544</v>
      </c>
    </row>
    <row r="427" spans="1:13" x14ac:dyDescent="0.45">
      <c r="A427" t="s">
        <v>3601</v>
      </c>
      <c r="B427">
        <v>412428</v>
      </c>
      <c r="C427">
        <v>413501</v>
      </c>
      <c r="E427" t="s">
        <v>14</v>
      </c>
      <c r="F427" t="s">
        <v>4545</v>
      </c>
      <c r="H427">
        <v>83704241</v>
      </c>
      <c r="I427" t="s">
        <v>17</v>
      </c>
      <c r="K427" t="s">
        <v>4546</v>
      </c>
      <c r="L427">
        <v>357</v>
      </c>
      <c r="M427" t="s">
        <v>4547</v>
      </c>
    </row>
    <row r="428" spans="1:13" x14ac:dyDescent="0.45">
      <c r="A428" t="s">
        <v>3601</v>
      </c>
      <c r="B428">
        <v>413498</v>
      </c>
      <c r="C428">
        <v>413998</v>
      </c>
      <c r="E428" t="s">
        <v>14</v>
      </c>
      <c r="F428" t="s">
        <v>45</v>
      </c>
      <c r="H428">
        <v>83704242</v>
      </c>
      <c r="I428" t="s">
        <v>17</v>
      </c>
      <c r="K428" t="s">
        <v>4548</v>
      </c>
      <c r="L428">
        <v>166</v>
      </c>
      <c r="M428" t="s">
        <v>4549</v>
      </c>
    </row>
    <row r="429" spans="1:13" x14ac:dyDescent="0.45">
      <c r="A429" t="s">
        <v>3601</v>
      </c>
      <c r="B429">
        <v>414373</v>
      </c>
      <c r="C429">
        <v>415338</v>
      </c>
      <c r="E429" t="s">
        <v>42</v>
      </c>
      <c r="F429" t="s">
        <v>312</v>
      </c>
      <c r="H429">
        <v>83704243</v>
      </c>
      <c r="I429" t="s">
        <v>17</v>
      </c>
      <c r="K429" t="s">
        <v>4550</v>
      </c>
      <c r="L429">
        <v>321</v>
      </c>
      <c r="M429" t="s">
        <v>4551</v>
      </c>
    </row>
    <row r="430" spans="1:13" x14ac:dyDescent="0.45">
      <c r="A430" t="s">
        <v>3601</v>
      </c>
      <c r="B430">
        <v>415343</v>
      </c>
      <c r="C430">
        <v>416782</v>
      </c>
      <c r="E430" t="s">
        <v>42</v>
      </c>
      <c r="F430" t="s">
        <v>313</v>
      </c>
      <c r="H430">
        <v>83704244</v>
      </c>
      <c r="I430" t="s">
        <v>17</v>
      </c>
      <c r="K430" t="s">
        <v>4552</v>
      </c>
      <c r="L430">
        <v>479</v>
      </c>
      <c r="M430" t="s">
        <v>4553</v>
      </c>
    </row>
    <row r="431" spans="1:13" x14ac:dyDescent="0.45">
      <c r="A431" t="s">
        <v>3601</v>
      </c>
      <c r="B431">
        <v>417060</v>
      </c>
      <c r="C431">
        <v>418943</v>
      </c>
      <c r="E431" t="s">
        <v>14</v>
      </c>
      <c r="F431" t="s">
        <v>314</v>
      </c>
      <c r="H431">
        <v>83704245</v>
      </c>
      <c r="I431" t="s">
        <v>17</v>
      </c>
      <c r="K431" t="s">
        <v>4554</v>
      </c>
      <c r="L431">
        <v>627</v>
      </c>
      <c r="M431" t="s">
        <v>4555</v>
      </c>
    </row>
    <row r="432" spans="1:13" x14ac:dyDescent="0.45">
      <c r="A432" t="s">
        <v>3601</v>
      </c>
      <c r="B432">
        <v>419173</v>
      </c>
      <c r="C432">
        <v>421680</v>
      </c>
      <c r="E432" t="s">
        <v>14</v>
      </c>
      <c r="F432" t="s">
        <v>4556</v>
      </c>
      <c r="H432">
        <v>83704246</v>
      </c>
      <c r="I432" t="s">
        <v>17</v>
      </c>
      <c r="K432" t="s">
        <v>4557</v>
      </c>
      <c r="L432">
        <v>835</v>
      </c>
      <c r="M432" t="s">
        <v>4558</v>
      </c>
    </row>
    <row r="433" spans="1:13" x14ac:dyDescent="0.45">
      <c r="A433" t="s">
        <v>3601</v>
      </c>
      <c r="B433">
        <v>421987</v>
      </c>
      <c r="C433">
        <v>422871</v>
      </c>
      <c r="E433" t="s">
        <v>14</v>
      </c>
      <c r="F433" t="s">
        <v>4559</v>
      </c>
      <c r="G433" t="s">
        <v>4560</v>
      </c>
      <c r="H433">
        <v>83704247</v>
      </c>
      <c r="I433" t="s">
        <v>17</v>
      </c>
      <c r="K433" t="s">
        <v>4561</v>
      </c>
      <c r="L433">
        <v>294</v>
      </c>
      <c r="M433" t="s">
        <v>4562</v>
      </c>
    </row>
    <row r="434" spans="1:13" x14ac:dyDescent="0.45">
      <c r="A434" t="s">
        <v>3601</v>
      </c>
      <c r="B434">
        <v>422988</v>
      </c>
      <c r="C434">
        <v>423932</v>
      </c>
      <c r="E434" t="s">
        <v>14</v>
      </c>
      <c r="F434" t="s">
        <v>4563</v>
      </c>
      <c r="G434" t="s">
        <v>4564</v>
      </c>
      <c r="H434">
        <v>83704248</v>
      </c>
      <c r="I434" t="s">
        <v>17</v>
      </c>
      <c r="K434" t="s">
        <v>4565</v>
      </c>
      <c r="L434">
        <v>314</v>
      </c>
      <c r="M434" t="s">
        <v>4566</v>
      </c>
    </row>
    <row r="435" spans="1:13" x14ac:dyDescent="0.45">
      <c r="A435" t="s">
        <v>3601</v>
      </c>
      <c r="B435">
        <v>424308</v>
      </c>
      <c r="C435">
        <v>426836</v>
      </c>
      <c r="E435" t="s">
        <v>14</v>
      </c>
      <c r="F435" t="s">
        <v>455</v>
      </c>
      <c r="G435" t="s">
        <v>456</v>
      </c>
      <c r="H435">
        <v>83704249</v>
      </c>
      <c r="I435" t="s">
        <v>17</v>
      </c>
      <c r="K435" t="s">
        <v>4567</v>
      </c>
      <c r="L435">
        <v>842</v>
      </c>
      <c r="M435" t="s">
        <v>4568</v>
      </c>
    </row>
    <row r="436" spans="1:13" x14ac:dyDescent="0.45">
      <c r="A436" t="s">
        <v>3601</v>
      </c>
      <c r="B436">
        <v>426950</v>
      </c>
      <c r="C436">
        <v>427306</v>
      </c>
      <c r="E436" t="s">
        <v>14</v>
      </c>
      <c r="F436" t="s">
        <v>151</v>
      </c>
      <c r="G436" t="s">
        <v>152</v>
      </c>
      <c r="H436">
        <v>83704250</v>
      </c>
      <c r="I436" t="s">
        <v>17</v>
      </c>
      <c r="K436" t="s">
        <v>4569</v>
      </c>
      <c r="L436">
        <v>118</v>
      </c>
      <c r="M436" t="s">
        <v>4570</v>
      </c>
    </row>
    <row r="437" spans="1:13" x14ac:dyDescent="0.45">
      <c r="A437" t="s">
        <v>3601</v>
      </c>
      <c r="B437">
        <v>427303</v>
      </c>
      <c r="C437">
        <v>428403</v>
      </c>
      <c r="E437" t="s">
        <v>14</v>
      </c>
      <c r="F437" t="s">
        <v>153</v>
      </c>
      <c r="G437" t="s">
        <v>154</v>
      </c>
      <c r="H437">
        <v>83704251</v>
      </c>
      <c r="I437" t="s">
        <v>17</v>
      </c>
      <c r="K437" t="s">
        <v>4571</v>
      </c>
      <c r="L437">
        <v>366</v>
      </c>
      <c r="M437" t="s">
        <v>4572</v>
      </c>
    </row>
    <row r="438" spans="1:13" x14ac:dyDescent="0.45">
      <c r="A438" t="s">
        <v>3601</v>
      </c>
      <c r="B438">
        <v>428673</v>
      </c>
      <c r="C438">
        <v>430088</v>
      </c>
      <c r="E438" t="s">
        <v>14</v>
      </c>
      <c r="F438" t="s">
        <v>1038</v>
      </c>
      <c r="H438">
        <v>83704252</v>
      </c>
      <c r="I438" t="s">
        <v>17</v>
      </c>
      <c r="K438" t="s">
        <v>4573</v>
      </c>
      <c r="L438">
        <v>471</v>
      </c>
      <c r="M438" t="s">
        <v>4574</v>
      </c>
    </row>
    <row r="439" spans="1:13" x14ac:dyDescent="0.45">
      <c r="A439" t="s">
        <v>3601</v>
      </c>
      <c r="B439">
        <v>430289</v>
      </c>
      <c r="C439">
        <v>434038</v>
      </c>
      <c r="E439" t="s">
        <v>14</v>
      </c>
      <c r="F439" t="s">
        <v>4575</v>
      </c>
      <c r="H439">
        <v>83704253</v>
      </c>
      <c r="I439" t="s">
        <v>17</v>
      </c>
      <c r="K439" t="s">
        <v>4576</v>
      </c>
      <c r="L439">
        <v>1249</v>
      </c>
      <c r="M439" t="s">
        <v>4577</v>
      </c>
    </row>
    <row r="440" spans="1:13" x14ac:dyDescent="0.45">
      <c r="A440" t="s">
        <v>3601</v>
      </c>
      <c r="B440">
        <v>434291</v>
      </c>
      <c r="C440">
        <v>435172</v>
      </c>
      <c r="E440" t="s">
        <v>14</v>
      </c>
      <c r="F440" t="s">
        <v>4578</v>
      </c>
      <c r="H440">
        <v>83704254</v>
      </c>
      <c r="I440" t="s">
        <v>17</v>
      </c>
      <c r="K440" t="s">
        <v>4579</v>
      </c>
      <c r="L440">
        <v>293</v>
      </c>
      <c r="M440" t="s">
        <v>4580</v>
      </c>
    </row>
    <row r="441" spans="1:13" x14ac:dyDescent="0.45">
      <c r="A441" t="s">
        <v>3601</v>
      </c>
      <c r="B441">
        <v>435156</v>
      </c>
      <c r="C441">
        <v>436040</v>
      </c>
      <c r="E441" t="s">
        <v>14</v>
      </c>
      <c r="F441" t="s">
        <v>4581</v>
      </c>
      <c r="G441" t="s">
        <v>4582</v>
      </c>
      <c r="H441">
        <v>83704255</v>
      </c>
      <c r="I441" t="s">
        <v>17</v>
      </c>
      <c r="K441" t="s">
        <v>4583</v>
      </c>
      <c r="L441">
        <v>294</v>
      </c>
      <c r="M441" t="s">
        <v>4584</v>
      </c>
    </row>
    <row r="442" spans="1:13" x14ac:dyDescent="0.45">
      <c r="A442" t="s">
        <v>3601</v>
      </c>
      <c r="B442">
        <v>436042</v>
      </c>
      <c r="C442">
        <v>437064</v>
      </c>
      <c r="E442" t="s">
        <v>14</v>
      </c>
      <c r="F442" t="s">
        <v>4585</v>
      </c>
      <c r="H442">
        <v>83704256</v>
      </c>
      <c r="I442" t="s">
        <v>17</v>
      </c>
      <c r="K442" t="s">
        <v>4586</v>
      </c>
      <c r="L442">
        <v>340</v>
      </c>
      <c r="M442" t="s">
        <v>4587</v>
      </c>
    </row>
    <row r="443" spans="1:13" x14ac:dyDescent="0.45">
      <c r="A443" t="s">
        <v>3601</v>
      </c>
      <c r="B443">
        <v>437061</v>
      </c>
      <c r="C443">
        <v>437843</v>
      </c>
      <c r="E443" t="s">
        <v>14</v>
      </c>
      <c r="F443" t="s">
        <v>72</v>
      </c>
      <c r="H443">
        <v>83704257</v>
      </c>
      <c r="I443" t="s">
        <v>17</v>
      </c>
      <c r="K443" t="s">
        <v>4588</v>
      </c>
      <c r="L443">
        <v>260</v>
      </c>
      <c r="M443" t="s">
        <v>4589</v>
      </c>
    </row>
    <row r="444" spans="1:13" x14ac:dyDescent="0.45">
      <c r="A444" t="s">
        <v>3601</v>
      </c>
      <c r="B444">
        <v>437889</v>
      </c>
      <c r="C444">
        <v>439652</v>
      </c>
      <c r="E444" t="s">
        <v>14</v>
      </c>
      <c r="F444" t="s">
        <v>1040</v>
      </c>
      <c r="H444">
        <v>83704258</v>
      </c>
      <c r="I444" t="s">
        <v>17</v>
      </c>
      <c r="K444" t="s">
        <v>4590</v>
      </c>
      <c r="L444">
        <v>587</v>
      </c>
      <c r="M444" t="s">
        <v>4591</v>
      </c>
    </row>
    <row r="445" spans="1:13" x14ac:dyDescent="0.45">
      <c r="A445" t="s">
        <v>3601</v>
      </c>
      <c r="B445">
        <v>439645</v>
      </c>
      <c r="C445">
        <v>441327</v>
      </c>
      <c r="E445" t="s">
        <v>14</v>
      </c>
      <c r="F445" t="s">
        <v>72</v>
      </c>
      <c r="H445">
        <v>83704259</v>
      </c>
      <c r="I445" t="s">
        <v>17</v>
      </c>
      <c r="K445" t="s">
        <v>4592</v>
      </c>
      <c r="L445">
        <v>560</v>
      </c>
      <c r="M445" t="s">
        <v>4593</v>
      </c>
    </row>
    <row r="446" spans="1:13" x14ac:dyDescent="0.45">
      <c r="A446" t="s">
        <v>3601</v>
      </c>
      <c r="B446">
        <v>441308</v>
      </c>
      <c r="C446">
        <v>441901</v>
      </c>
      <c r="E446" t="s">
        <v>14</v>
      </c>
      <c r="F446" t="s">
        <v>4594</v>
      </c>
      <c r="H446">
        <v>83704260</v>
      </c>
      <c r="I446" t="s">
        <v>17</v>
      </c>
      <c r="K446" t="s">
        <v>4595</v>
      </c>
      <c r="L446">
        <v>197</v>
      </c>
      <c r="M446" t="s">
        <v>4596</v>
      </c>
    </row>
    <row r="447" spans="1:13" x14ac:dyDescent="0.45">
      <c r="A447" t="s">
        <v>3601</v>
      </c>
      <c r="B447">
        <v>441898</v>
      </c>
      <c r="C447">
        <v>442578</v>
      </c>
      <c r="E447" t="s">
        <v>14</v>
      </c>
      <c r="F447" t="s">
        <v>81</v>
      </c>
      <c r="H447">
        <v>83704261</v>
      </c>
      <c r="I447" t="s">
        <v>17</v>
      </c>
      <c r="K447" t="s">
        <v>4597</v>
      </c>
      <c r="L447">
        <v>226</v>
      </c>
      <c r="M447" t="s">
        <v>4598</v>
      </c>
    </row>
    <row r="448" spans="1:13" x14ac:dyDescent="0.45">
      <c r="A448" t="s">
        <v>3601</v>
      </c>
      <c r="B448">
        <v>442515</v>
      </c>
      <c r="C448">
        <v>443969</v>
      </c>
      <c r="E448" t="s">
        <v>14</v>
      </c>
      <c r="F448" t="s">
        <v>72</v>
      </c>
      <c r="H448">
        <v>83704262</v>
      </c>
      <c r="I448" t="s">
        <v>17</v>
      </c>
      <c r="K448" t="s">
        <v>4599</v>
      </c>
      <c r="L448">
        <v>484</v>
      </c>
      <c r="M448" t="s">
        <v>4600</v>
      </c>
    </row>
    <row r="449" spans="1:13" x14ac:dyDescent="0.45">
      <c r="A449" t="s">
        <v>3601</v>
      </c>
      <c r="B449">
        <v>444332</v>
      </c>
      <c r="C449">
        <v>446347</v>
      </c>
      <c r="E449" t="s">
        <v>14</v>
      </c>
      <c r="F449" t="s">
        <v>821</v>
      </c>
      <c r="G449" t="s">
        <v>822</v>
      </c>
      <c r="H449">
        <v>83704263</v>
      </c>
      <c r="I449" t="s">
        <v>17</v>
      </c>
      <c r="K449" t="s">
        <v>4601</v>
      </c>
      <c r="L449">
        <v>671</v>
      </c>
      <c r="M449" t="s">
        <v>4602</v>
      </c>
    </row>
    <row r="450" spans="1:13" x14ac:dyDescent="0.45">
      <c r="A450" t="s">
        <v>3601</v>
      </c>
      <c r="B450">
        <v>446466</v>
      </c>
      <c r="C450">
        <v>447431</v>
      </c>
      <c r="E450" t="s">
        <v>42</v>
      </c>
      <c r="F450" t="s">
        <v>984</v>
      </c>
      <c r="H450">
        <v>83704264</v>
      </c>
      <c r="I450" t="s">
        <v>17</v>
      </c>
      <c r="K450" t="s">
        <v>4603</v>
      </c>
      <c r="L450">
        <v>321</v>
      </c>
      <c r="M450" t="s">
        <v>4604</v>
      </c>
    </row>
    <row r="451" spans="1:13" x14ac:dyDescent="0.45">
      <c r="A451" t="s">
        <v>3601</v>
      </c>
      <c r="B451">
        <v>447503</v>
      </c>
      <c r="C451">
        <v>448891</v>
      </c>
      <c r="E451" t="s">
        <v>14</v>
      </c>
      <c r="F451" t="s">
        <v>58</v>
      </c>
      <c r="H451">
        <v>83704265</v>
      </c>
      <c r="I451" t="s">
        <v>17</v>
      </c>
      <c r="K451" t="s">
        <v>4605</v>
      </c>
      <c r="L451">
        <v>462</v>
      </c>
      <c r="M451" t="s">
        <v>4606</v>
      </c>
    </row>
    <row r="452" spans="1:13" x14ac:dyDescent="0.45">
      <c r="A452" t="s">
        <v>3601</v>
      </c>
      <c r="B452">
        <v>449178</v>
      </c>
      <c r="C452">
        <v>449630</v>
      </c>
      <c r="E452" t="s">
        <v>42</v>
      </c>
      <c r="F452" t="s">
        <v>99</v>
      </c>
      <c r="H452">
        <v>83704266</v>
      </c>
      <c r="I452" t="s">
        <v>17</v>
      </c>
      <c r="K452" t="s">
        <v>4607</v>
      </c>
      <c r="L452">
        <v>150</v>
      </c>
      <c r="M452" t="s">
        <v>4608</v>
      </c>
    </row>
    <row r="453" spans="1:13" x14ac:dyDescent="0.45">
      <c r="A453" t="s">
        <v>3601</v>
      </c>
      <c r="B453">
        <v>449906</v>
      </c>
      <c r="C453">
        <v>451120</v>
      </c>
      <c r="E453" t="s">
        <v>14</v>
      </c>
      <c r="F453" t="s">
        <v>4609</v>
      </c>
      <c r="H453">
        <v>83704267</v>
      </c>
      <c r="I453" t="s">
        <v>17</v>
      </c>
      <c r="K453" t="s">
        <v>4610</v>
      </c>
      <c r="L453">
        <v>404</v>
      </c>
      <c r="M453" t="s">
        <v>4611</v>
      </c>
    </row>
    <row r="454" spans="1:13" x14ac:dyDescent="0.45">
      <c r="A454" t="s">
        <v>3601</v>
      </c>
      <c r="B454">
        <v>451292</v>
      </c>
      <c r="C454">
        <v>452074</v>
      </c>
      <c r="E454" t="s">
        <v>14</v>
      </c>
      <c r="F454" t="s">
        <v>4612</v>
      </c>
      <c r="G454" t="s">
        <v>4613</v>
      </c>
      <c r="H454">
        <v>83704268</v>
      </c>
      <c r="I454" t="s">
        <v>17</v>
      </c>
      <c r="K454" t="s">
        <v>4614</v>
      </c>
      <c r="L454">
        <v>260</v>
      </c>
      <c r="M454" t="s">
        <v>4615</v>
      </c>
    </row>
    <row r="455" spans="1:13" x14ac:dyDescent="0.45">
      <c r="A455" t="s">
        <v>3601</v>
      </c>
      <c r="B455">
        <v>452702</v>
      </c>
      <c r="C455">
        <v>453259</v>
      </c>
      <c r="E455" t="s">
        <v>14</v>
      </c>
      <c r="F455" t="s">
        <v>4616</v>
      </c>
      <c r="H455">
        <v>83704269</v>
      </c>
      <c r="I455" t="s">
        <v>17</v>
      </c>
      <c r="K455" t="s">
        <v>4617</v>
      </c>
      <c r="L455">
        <v>185</v>
      </c>
      <c r="M455" t="s">
        <v>4618</v>
      </c>
    </row>
    <row r="456" spans="1:13" x14ac:dyDescent="0.45">
      <c r="A456" t="s">
        <v>3601</v>
      </c>
      <c r="B456">
        <v>453734</v>
      </c>
      <c r="C456">
        <v>454036</v>
      </c>
      <c r="E456" t="s">
        <v>14</v>
      </c>
      <c r="F456" t="s">
        <v>393</v>
      </c>
      <c r="G456" t="s">
        <v>394</v>
      </c>
      <c r="H456">
        <v>83704270</v>
      </c>
      <c r="I456" t="s">
        <v>17</v>
      </c>
      <c r="K456" t="s">
        <v>4619</v>
      </c>
      <c r="L456">
        <v>100</v>
      </c>
      <c r="M456" t="s">
        <v>4620</v>
      </c>
    </row>
    <row r="457" spans="1:13" x14ac:dyDescent="0.45">
      <c r="A457" t="s">
        <v>3601</v>
      </c>
      <c r="B457">
        <v>454036</v>
      </c>
      <c r="C457">
        <v>455502</v>
      </c>
      <c r="E457" t="s">
        <v>14</v>
      </c>
      <c r="F457" t="s">
        <v>395</v>
      </c>
      <c r="G457" t="s">
        <v>396</v>
      </c>
      <c r="H457">
        <v>83704271</v>
      </c>
      <c r="I457" t="s">
        <v>17</v>
      </c>
      <c r="K457" t="s">
        <v>4621</v>
      </c>
      <c r="L457">
        <v>488</v>
      </c>
      <c r="M457" t="s">
        <v>4622</v>
      </c>
    </row>
    <row r="458" spans="1:13" x14ac:dyDescent="0.45">
      <c r="A458" t="s">
        <v>3601</v>
      </c>
      <c r="B458">
        <v>455502</v>
      </c>
      <c r="C458">
        <v>456941</v>
      </c>
      <c r="E458" t="s">
        <v>14</v>
      </c>
      <c r="F458" t="s">
        <v>397</v>
      </c>
      <c r="G458" t="s">
        <v>398</v>
      </c>
      <c r="H458">
        <v>83704272</v>
      </c>
      <c r="I458" t="s">
        <v>17</v>
      </c>
      <c r="K458" t="s">
        <v>4623</v>
      </c>
      <c r="L458">
        <v>479</v>
      </c>
      <c r="M458" t="s">
        <v>4624</v>
      </c>
    </row>
    <row r="459" spans="1:13" x14ac:dyDescent="0.45">
      <c r="A459" t="s">
        <v>3601</v>
      </c>
      <c r="B459">
        <v>457170</v>
      </c>
      <c r="C459">
        <v>458114</v>
      </c>
      <c r="E459" t="s">
        <v>14</v>
      </c>
      <c r="F459" t="s">
        <v>1016</v>
      </c>
      <c r="H459">
        <v>83704273</v>
      </c>
      <c r="I459" t="s">
        <v>17</v>
      </c>
      <c r="K459" t="s">
        <v>4625</v>
      </c>
      <c r="L459">
        <v>314</v>
      </c>
      <c r="M459" t="s">
        <v>4626</v>
      </c>
    </row>
    <row r="460" spans="1:13" x14ac:dyDescent="0.45">
      <c r="A460" t="s">
        <v>3601</v>
      </c>
      <c r="B460">
        <v>458165</v>
      </c>
      <c r="C460">
        <v>458404</v>
      </c>
      <c r="E460" t="s">
        <v>14</v>
      </c>
      <c r="F460" t="s">
        <v>41</v>
      </c>
      <c r="H460">
        <v>83704274</v>
      </c>
      <c r="I460" t="s">
        <v>17</v>
      </c>
      <c r="K460" t="s">
        <v>4627</v>
      </c>
      <c r="L460">
        <v>79</v>
      </c>
      <c r="M460" t="s">
        <v>4628</v>
      </c>
    </row>
    <row r="461" spans="1:13" x14ac:dyDescent="0.45">
      <c r="A461" t="s">
        <v>3601</v>
      </c>
      <c r="B461">
        <v>458625</v>
      </c>
      <c r="C461">
        <v>459848</v>
      </c>
      <c r="E461" t="s">
        <v>14</v>
      </c>
      <c r="F461" t="s">
        <v>4629</v>
      </c>
      <c r="H461">
        <v>83704275</v>
      </c>
      <c r="I461" t="s">
        <v>17</v>
      </c>
      <c r="K461" t="s">
        <v>4630</v>
      </c>
      <c r="L461">
        <v>407</v>
      </c>
      <c r="M461" t="s">
        <v>4631</v>
      </c>
    </row>
    <row r="462" spans="1:13" x14ac:dyDescent="0.45">
      <c r="A462" t="s">
        <v>3601</v>
      </c>
      <c r="B462">
        <v>460113</v>
      </c>
      <c r="C462">
        <v>460379</v>
      </c>
      <c r="E462" t="s">
        <v>14</v>
      </c>
      <c r="F462" t="s">
        <v>4632</v>
      </c>
      <c r="H462">
        <v>83704276</v>
      </c>
      <c r="I462" t="s">
        <v>17</v>
      </c>
      <c r="K462" t="s">
        <v>4633</v>
      </c>
      <c r="L462">
        <v>88</v>
      </c>
      <c r="M462" t="s">
        <v>4634</v>
      </c>
    </row>
    <row r="463" spans="1:13" x14ac:dyDescent="0.45">
      <c r="A463" t="s">
        <v>3601</v>
      </c>
      <c r="B463">
        <v>460394</v>
      </c>
      <c r="C463">
        <v>461731</v>
      </c>
      <c r="E463" t="s">
        <v>14</v>
      </c>
      <c r="F463" t="s">
        <v>4635</v>
      </c>
      <c r="H463">
        <v>83704277</v>
      </c>
      <c r="I463" t="s">
        <v>17</v>
      </c>
      <c r="K463" t="s">
        <v>4636</v>
      </c>
      <c r="L463">
        <v>445</v>
      </c>
      <c r="M463" t="s">
        <v>4637</v>
      </c>
    </row>
    <row r="464" spans="1:13" x14ac:dyDescent="0.45">
      <c r="A464" t="s">
        <v>3601</v>
      </c>
      <c r="B464">
        <v>461806</v>
      </c>
      <c r="C464">
        <v>462513</v>
      </c>
      <c r="E464" t="s">
        <v>14</v>
      </c>
      <c r="F464" t="s">
        <v>246</v>
      </c>
      <c r="H464">
        <v>83704278</v>
      </c>
      <c r="I464" t="s">
        <v>17</v>
      </c>
      <c r="K464" t="s">
        <v>4638</v>
      </c>
      <c r="L464">
        <v>235</v>
      </c>
      <c r="M464" t="s">
        <v>4639</v>
      </c>
    </row>
    <row r="465" spans="1:13" x14ac:dyDescent="0.45">
      <c r="A465" t="s">
        <v>3601</v>
      </c>
      <c r="B465">
        <v>462503</v>
      </c>
      <c r="C465">
        <v>463246</v>
      </c>
      <c r="E465" t="s">
        <v>14</v>
      </c>
      <c r="F465" t="s">
        <v>4640</v>
      </c>
      <c r="H465">
        <v>83704279</v>
      </c>
      <c r="I465" t="s">
        <v>17</v>
      </c>
      <c r="K465" t="s">
        <v>4641</v>
      </c>
      <c r="L465">
        <v>247</v>
      </c>
      <c r="M465" t="s">
        <v>4642</v>
      </c>
    </row>
    <row r="466" spans="1:13" x14ac:dyDescent="0.45">
      <c r="A466" t="s">
        <v>3601</v>
      </c>
      <c r="B466">
        <v>463243</v>
      </c>
      <c r="C466">
        <v>463815</v>
      </c>
      <c r="E466" t="s">
        <v>14</v>
      </c>
      <c r="F466" t="s">
        <v>4643</v>
      </c>
      <c r="H466">
        <v>83704280</v>
      </c>
      <c r="I466" t="s">
        <v>17</v>
      </c>
      <c r="K466" t="s">
        <v>4644</v>
      </c>
      <c r="L466">
        <v>190</v>
      </c>
      <c r="M466" t="s">
        <v>4645</v>
      </c>
    </row>
    <row r="467" spans="1:13" x14ac:dyDescent="0.45">
      <c r="A467" t="s">
        <v>3601</v>
      </c>
      <c r="B467">
        <v>464265</v>
      </c>
      <c r="C467">
        <v>465299</v>
      </c>
      <c r="E467" t="s">
        <v>14</v>
      </c>
      <c r="F467" t="s">
        <v>775</v>
      </c>
      <c r="G467" t="s">
        <v>776</v>
      </c>
      <c r="H467">
        <v>83704281</v>
      </c>
      <c r="I467" t="s">
        <v>17</v>
      </c>
      <c r="K467" t="s">
        <v>4646</v>
      </c>
      <c r="L467">
        <v>344</v>
      </c>
      <c r="M467" t="s">
        <v>4647</v>
      </c>
    </row>
    <row r="468" spans="1:13" x14ac:dyDescent="0.45">
      <c r="A468" t="s">
        <v>3601</v>
      </c>
      <c r="B468">
        <v>465344</v>
      </c>
      <c r="C468">
        <v>465913</v>
      </c>
      <c r="E468" t="s">
        <v>14</v>
      </c>
      <c r="F468" t="s">
        <v>773</v>
      </c>
      <c r="G468" t="s">
        <v>774</v>
      </c>
      <c r="H468">
        <v>83704282</v>
      </c>
      <c r="I468" t="s">
        <v>17</v>
      </c>
      <c r="K468" t="s">
        <v>4648</v>
      </c>
      <c r="L468">
        <v>189</v>
      </c>
      <c r="M468" t="s">
        <v>4649</v>
      </c>
    </row>
    <row r="469" spans="1:13" x14ac:dyDescent="0.45">
      <c r="A469" t="s">
        <v>3601</v>
      </c>
      <c r="B469">
        <v>466318</v>
      </c>
      <c r="C469">
        <v>468147</v>
      </c>
      <c r="E469" t="s">
        <v>14</v>
      </c>
      <c r="F469" t="s">
        <v>771</v>
      </c>
      <c r="G469" t="s">
        <v>772</v>
      </c>
      <c r="H469">
        <v>83704283</v>
      </c>
      <c r="I469" t="s">
        <v>17</v>
      </c>
      <c r="K469" t="s">
        <v>4650</v>
      </c>
      <c r="L469">
        <v>609</v>
      </c>
      <c r="M469" t="s">
        <v>4651</v>
      </c>
    </row>
    <row r="470" spans="1:13" x14ac:dyDescent="0.45">
      <c r="A470" t="s">
        <v>3601</v>
      </c>
      <c r="B470">
        <v>468304</v>
      </c>
      <c r="C470">
        <v>469440</v>
      </c>
      <c r="E470" t="s">
        <v>14</v>
      </c>
      <c r="F470" t="s">
        <v>769</v>
      </c>
      <c r="G470" t="s">
        <v>770</v>
      </c>
      <c r="H470">
        <v>83704284</v>
      </c>
      <c r="I470" t="s">
        <v>17</v>
      </c>
      <c r="K470" t="s">
        <v>4652</v>
      </c>
      <c r="L470">
        <v>378</v>
      </c>
      <c r="M470" t="s">
        <v>4653</v>
      </c>
    </row>
    <row r="471" spans="1:13" x14ac:dyDescent="0.45">
      <c r="A471" t="s">
        <v>3601</v>
      </c>
      <c r="B471">
        <v>469767</v>
      </c>
      <c r="C471">
        <v>470558</v>
      </c>
      <c r="E471" t="s">
        <v>14</v>
      </c>
      <c r="F471" t="s">
        <v>4654</v>
      </c>
      <c r="H471">
        <v>83704285</v>
      </c>
      <c r="I471" t="s">
        <v>17</v>
      </c>
      <c r="K471" t="s">
        <v>4655</v>
      </c>
      <c r="L471">
        <v>263</v>
      </c>
      <c r="M471" t="s">
        <v>4656</v>
      </c>
    </row>
    <row r="472" spans="1:13" x14ac:dyDescent="0.45">
      <c r="A472" t="s">
        <v>3601</v>
      </c>
      <c r="B472">
        <v>470638</v>
      </c>
      <c r="C472">
        <v>471072</v>
      </c>
      <c r="E472" t="s">
        <v>14</v>
      </c>
      <c r="F472" t="s">
        <v>4657</v>
      </c>
      <c r="G472" t="s">
        <v>4658</v>
      </c>
      <c r="H472">
        <v>83704286</v>
      </c>
      <c r="I472" t="s">
        <v>17</v>
      </c>
      <c r="K472" t="s">
        <v>4659</v>
      </c>
      <c r="L472">
        <v>144</v>
      </c>
      <c r="M472" t="s">
        <v>4660</v>
      </c>
    </row>
    <row r="473" spans="1:13" x14ac:dyDescent="0.45">
      <c r="A473" t="s">
        <v>3601</v>
      </c>
      <c r="B473">
        <v>471072</v>
      </c>
      <c r="C473">
        <v>472046</v>
      </c>
      <c r="E473" t="s">
        <v>14</v>
      </c>
      <c r="F473" t="s">
        <v>4661</v>
      </c>
      <c r="H473">
        <v>83704287</v>
      </c>
      <c r="I473" t="s">
        <v>17</v>
      </c>
      <c r="K473" t="s">
        <v>4662</v>
      </c>
      <c r="L473">
        <v>324</v>
      </c>
      <c r="M473" t="s">
        <v>4663</v>
      </c>
    </row>
    <row r="474" spans="1:13" x14ac:dyDescent="0.45">
      <c r="A474" t="s">
        <v>3601</v>
      </c>
      <c r="B474">
        <v>472104</v>
      </c>
      <c r="C474">
        <v>472328</v>
      </c>
      <c r="E474" t="s">
        <v>14</v>
      </c>
      <c r="F474" t="s">
        <v>818</v>
      </c>
      <c r="H474">
        <v>83704288</v>
      </c>
      <c r="I474" t="s">
        <v>17</v>
      </c>
      <c r="K474" t="s">
        <v>4664</v>
      </c>
      <c r="L474">
        <v>74</v>
      </c>
      <c r="M474" t="s">
        <v>4665</v>
      </c>
    </row>
    <row r="475" spans="1:13" x14ac:dyDescent="0.45">
      <c r="A475" t="s">
        <v>3601</v>
      </c>
      <c r="B475">
        <v>472523</v>
      </c>
      <c r="C475">
        <v>473509</v>
      </c>
      <c r="E475" t="s">
        <v>14</v>
      </c>
      <c r="F475" t="s">
        <v>4666</v>
      </c>
      <c r="G475" t="s">
        <v>4667</v>
      </c>
      <c r="H475">
        <v>83704289</v>
      </c>
      <c r="I475" t="s">
        <v>17</v>
      </c>
      <c r="K475" t="s">
        <v>4668</v>
      </c>
      <c r="L475">
        <v>328</v>
      </c>
      <c r="M475" t="s">
        <v>4669</v>
      </c>
    </row>
    <row r="476" spans="1:13" x14ac:dyDescent="0.45">
      <c r="A476" t="s">
        <v>3601</v>
      </c>
      <c r="B476">
        <v>473522</v>
      </c>
      <c r="C476">
        <v>474442</v>
      </c>
      <c r="E476" t="s">
        <v>14</v>
      </c>
      <c r="F476" t="s">
        <v>4670</v>
      </c>
      <c r="G476" t="s">
        <v>4671</v>
      </c>
      <c r="H476">
        <v>83704290</v>
      </c>
      <c r="I476" t="s">
        <v>17</v>
      </c>
      <c r="K476" t="s">
        <v>4672</v>
      </c>
      <c r="L476">
        <v>306</v>
      </c>
      <c r="M476" t="s">
        <v>4673</v>
      </c>
    </row>
    <row r="477" spans="1:13" x14ac:dyDescent="0.45">
      <c r="A477" t="s">
        <v>3601</v>
      </c>
      <c r="B477">
        <v>474459</v>
      </c>
      <c r="C477">
        <v>475193</v>
      </c>
      <c r="E477" t="s">
        <v>14</v>
      </c>
      <c r="F477" t="s">
        <v>4674</v>
      </c>
      <c r="G477" t="s">
        <v>4675</v>
      </c>
      <c r="H477">
        <v>83704291</v>
      </c>
      <c r="I477" t="s">
        <v>17</v>
      </c>
      <c r="K477" t="s">
        <v>4676</v>
      </c>
      <c r="L477">
        <v>244</v>
      </c>
      <c r="M477" t="s">
        <v>4677</v>
      </c>
    </row>
    <row r="478" spans="1:13" x14ac:dyDescent="0.45">
      <c r="A478" t="s">
        <v>3601</v>
      </c>
      <c r="B478">
        <v>475209</v>
      </c>
      <c r="C478">
        <v>476441</v>
      </c>
      <c r="E478" t="s">
        <v>14</v>
      </c>
      <c r="F478" t="s">
        <v>4678</v>
      </c>
      <c r="G478" t="s">
        <v>4679</v>
      </c>
      <c r="H478">
        <v>83704292</v>
      </c>
      <c r="I478" t="s">
        <v>17</v>
      </c>
      <c r="K478" t="s">
        <v>4680</v>
      </c>
      <c r="L478">
        <v>410</v>
      </c>
      <c r="M478" t="s">
        <v>4681</v>
      </c>
    </row>
    <row r="479" spans="1:13" x14ac:dyDescent="0.45">
      <c r="A479" t="s">
        <v>3601</v>
      </c>
      <c r="B479">
        <v>476443</v>
      </c>
      <c r="C479">
        <v>476916</v>
      </c>
      <c r="E479" t="s">
        <v>14</v>
      </c>
      <c r="F479" t="s">
        <v>4682</v>
      </c>
      <c r="G479" t="s">
        <v>4683</v>
      </c>
      <c r="H479">
        <v>83704293</v>
      </c>
      <c r="I479" t="s">
        <v>17</v>
      </c>
      <c r="K479" t="s">
        <v>4684</v>
      </c>
      <c r="L479">
        <v>157</v>
      </c>
      <c r="M479" t="s">
        <v>4685</v>
      </c>
    </row>
    <row r="480" spans="1:13" x14ac:dyDescent="0.45">
      <c r="A480" t="s">
        <v>3601</v>
      </c>
      <c r="B480">
        <v>476913</v>
      </c>
      <c r="C480">
        <v>477335</v>
      </c>
      <c r="E480" t="s">
        <v>14</v>
      </c>
      <c r="F480" t="s">
        <v>4686</v>
      </c>
      <c r="G480" t="s">
        <v>4687</v>
      </c>
      <c r="H480">
        <v>83704294</v>
      </c>
      <c r="I480" t="s">
        <v>17</v>
      </c>
      <c r="K480" t="s">
        <v>4688</v>
      </c>
      <c r="L480">
        <v>140</v>
      </c>
      <c r="M480" t="s">
        <v>4689</v>
      </c>
    </row>
    <row r="481" spans="1:13" x14ac:dyDescent="0.45">
      <c r="A481" t="s">
        <v>3601</v>
      </c>
      <c r="B481">
        <v>477370</v>
      </c>
      <c r="C481">
        <v>478734</v>
      </c>
      <c r="E481" t="s">
        <v>14</v>
      </c>
      <c r="F481" t="s">
        <v>4690</v>
      </c>
      <c r="H481">
        <v>83704295</v>
      </c>
      <c r="I481" t="s">
        <v>17</v>
      </c>
      <c r="K481" t="s">
        <v>4691</v>
      </c>
      <c r="L481">
        <v>454</v>
      </c>
      <c r="M481" t="s">
        <v>4692</v>
      </c>
    </row>
    <row r="482" spans="1:13" x14ac:dyDescent="0.45">
      <c r="A482" t="s">
        <v>3601</v>
      </c>
      <c r="B482">
        <v>478743</v>
      </c>
      <c r="C482">
        <v>479609</v>
      </c>
      <c r="E482" t="s">
        <v>14</v>
      </c>
      <c r="F482" t="s">
        <v>4693</v>
      </c>
      <c r="G482" t="s">
        <v>4694</v>
      </c>
      <c r="H482">
        <v>83704296</v>
      </c>
      <c r="I482" t="s">
        <v>17</v>
      </c>
      <c r="K482" t="s">
        <v>4695</v>
      </c>
      <c r="L482">
        <v>288</v>
      </c>
      <c r="M482" t="s">
        <v>4696</v>
      </c>
    </row>
    <row r="483" spans="1:13" x14ac:dyDescent="0.45">
      <c r="A483" t="s">
        <v>3601</v>
      </c>
      <c r="B483">
        <v>479606</v>
      </c>
      <c r="C483">
        <v>480376</v>
      </c>
      <c r="E483" t="s">
        <v>14</v>
      </c>
      <c r="F483" t="s">
        <v>4697</v>
      </c>
      <c r="H483">
        <v>83704297</v>
      </c>
      <c r="I483" t="s">
        <v>17</v>
      </c>
      <c r="K483" t="s">
        <v>4698</v>
      </c>
      <c r="L483">
        <v>256</v>
      </c>
      <c r="M483" t="s">
        <v>4699</v>
      </c>
    </row>
    <row r="484" spans="1:13" x14ac:dyDescent="0.45">
      <c r="A484" t="s">
        <v>3601</v>
      </c>
      <c r="B484">
        <v>480606</v>
      </c>
      <c r="C484">
        <v>481883</v>
      </c>
      <c r="E484" t="s">
        <v>42</v>
      </c>
      <c r="F484" t="s">
        <v>973</v>
      </c>
      <c r="G484" t="s">
        <v>974</v>
      </c>
      <c r="H484">
        <v>83704298</v>
      </c>
      <c r="I484" t="s">
        <v>17</v>
      </c>
      <c r="K484" t="s">
        <v>4700</v>
      </c>
      <c r="L484">
        <v>425</v>
      </c>
      <c r="M484" t="s">
        <v>4701</v>
      </c>
    </row>
    <row r="485" spans="1:13" x14ac:dyDescent="0.45">
      <c r="A485" t="s">
        <v>3601</v>
      </c>
      <c r="B485">
        <v>482483</v>
      </c>
      <c r="C485">
        <v>483535</v>
      </c>
      <c r="E485" t="s">
        <v>14</v>
      </c>
      <c r="F485" t="s">
        <v>4702</v>
      </c>
      <c r="H485">
        <v>83704299</v>
      </c>
      <c r="I485" t="s">
        <v>17</v>
      </c>
      <c r="K485" t="s">
        <v>4703</v>
      </c>
      <c r="L485">
        <v>350</v>
      </c>
      <c r="M485" t="s">
        <v>4704</v>
      </c>
    </row>
    <row r="486" spans="1:13" x14ac:dyDescent="0.45">
      <c r="A486" t="s">
        <v>3601</v>
      </c>
      <c r="B486">
        <v>483702</v>
      </c>
      <c r="C486">
        <v>484085</v>
      </c>
      <c r="E486" t="s">
        <v>42</v>
      </c>
      <c r="F486" t="s">
        <v>372</v>
      </c>
      <c r="H486">
        <v>83704300</v>
      </c>
      <c r="I486" t="s">
        <v>17</v>
      </c>
      <c r="K486" t="s">
        <v>4705</v>
      </c>
      <c r="L486">
        <v>127</v>
      </c>
      <c r="M486" t="s">
        <v>4706</v>
      </c>
    </row>
    <row r="487" spans="1:13" x14ac:dyDescent="0.45">
      <c r="A487" t="s">
        <v>3601</v>
      </c>
      <c r="B487">
        <v>484220</v>
      </c>
      <c r="C487">
        <v>485131</v>
      </c>
      <c r="E487" t="s">
        <v>42</v>
      </c>
      <c r="F487" t="s">
        <v>371</v>
      </c>
      <c r="H487">
        <v>83704301</v>
      </c>
      <c r="I487" t="s">
        <v>17</v>
      </c>
      <c r="K487" t="s">
        <v>4707</v>
      </c>
      <c r="L487">
        <v>303</v>
      </c>
      <c r="M487" t="s">
        <v>4708</v>
      </c>
    </row>
    <row r="488" spans="1:13" x14ac:dyDescent="0.45">
      <c r="A488" t="s">
        <v>3601</v>
      </c>
      <c r="B488">
        <v>485147</v>
      </c>
      <c r="C488">
        <v>485956</v>
      </c>
      <c r="E488" t="s">
        <v>42</v>
      </c>
      <c r="F488" t="s">
        <v>370</v>
      </c>
      <c r="H488">
        <v>83704302</v>
      </c>
      <c r="I488" t="s">
        <v>17</v>
      </c>
      <c r="K488" t="s">
        <v>4709</v>
      </c>
      <c r="L488">
        <v>269</v>
      </c>
      <c r="M488" t="s">
        <v>4710</v>
      </c>
    </row>
    <row r="489" spans="1:13" x14ac:dyDescent="0.45">
      <c r="A489" t="s">
        <v>3601</v>
      </c>
      <c r="B489">
        <v>486124</v>
      </c>
      <c r="C489">
        <v>487116</v>
      </c>
      <c r="E489" t="s">
        <v>42</v>
      </c>
      <c r="F489" t="s">
        <v>605</v>
      </c>
      <c r="H489">
        <v>83704303</v>
      </c>
      <c r="I489" t="s">
        <v>17</v>
      </c>
      <c r="K489" t="s">
        <v>4711</v>
      </c>
      <c r="L489">
        <v>330</v>
      </c>
      <c r="M489" t="s">
        <v>4712</v>
      </c>
    </row>
    <row r="490" spans="1:13" x14ac:dyDescent="0.45">
      <c r="A490" t="s">
        <v>3601</v>
      </c>
      <c r="B490">
        <v>487468</v>
      </c>
      <c r="C490">
        <v>488280</v>
      </c>
      <c r="E490" t="s">
        <v>42</v>
      </c>
      <c r="F490" t="s">
        <v>4713</v>
      </c>
      <c r="H490">
        <v>83704304</v>
      </c>
      <c r="I490" t="s">
        <v>17</v>
      </c>
      <c r="K490" t="s">
        <v>4714</v>
      </c>
      <c r="L490">
        <v>270</v>
      </c>
      <c r="M490" t="s">
        <v>4715</v>
      </c>
    </row>
    <row r="491" spans="1:13" x14ac:dyDescent="0.45">
      <c r="A491" t="s">
        <v>3601</v>
      </c>
      <c r="B491">
        <v>488536</v>
      </c>
      <c r="C491">
        <v>489996</v>
      </c>
      <c r="E491" t="s">
        <v>14</v>
      </c>
      <c r="F491" t="s">
        <v>1044</v>
      </c>
      <c r="H491">
        <v>83704305</v>
      </c>
      <c r="I491" t="s">
        <v>17</v>
      </c>
      <c r="K491" t="s">
        <v>4716</v>
      </c>
      <c r="L491">
        <v>486</v>
      </c>
      <c r="M491" t="s">
        <v>4717</v>
      </c>
    </row>
    <row r="492" spans="1:13" x14ac:dyDescent="0.45">
      <c r="A492" t="s">
        <v>3601</v>
      </c>
      <c r="B492">
        <v>490363</v>
      </c>
      <c r="C492">
        <v>490806</v>
      </c>
      <c r="E492" t="s">
        <v>14</v>
      </c>
      <c r="F492" t="s">
        <v>490</v>
      </c>
      <c r="G492" t="s">
        <v>491</v>
      </c>
      <c r="H492">
        <v>83704306</v>
      </c>
      <c r="I492" t="s">
        <v>17</v>
      </c>
      <c r="K492" t="s">
        <v>4718</v>
      </c>
      <c r="L492">
        <v>147</v>
      </c>
      <c r="M492" t="s">
        <v>4719</v>
      </c>
    </row>
    <row r="493" spans="1:13" x14ac:dyDescent="0.45">
      <c r="A493" t="s">
        <v>3601</v>
      </c>
      <c r="B493">
        <v>490799</v>
      </c>
      <c r="C493">
        <v>491326</v>
      </c>
      <c r="E493" t="s">
        <v>14</v>
      </c>
      <c r="F493" t="s">
        <v>144</v>
      </c>
      <c r="H493">
        <v>83704307</v>
      </c>
      <c r="I493" t="s">
        <v>17</v>
      </c>
      <c r="K493" t="s">
        <v>4720</v>
      </c>
      <c r="L493">
        <v>175</v>
      </c>
      <c r="M493" t="s">
        <v>4721</v>
      </c>
    </row>
    <row r="494" spans="1:13" x14ac:dyDescent="0.45">
      <c r="A494" t="s">
        <v>3601</v>
      </c>
      <c r="B494">
        <v>491327</v>
      </c>
      <c r="C494">
        <v>492589</v>
      </c>
      <c r="E494" t="s">
        <v>14</v>
      </c>
      <c r="F494" t="s">
        <v>4722</v>
      </c>
      <c r="G494" t="s">
        <v>4723</v>
      </c>
      <c r="H494">
        <v>83704308</v>
      </c>
      <c r="I494" t="s">
        <v>17</v>
      </c>
      <c r="K494" t="s">
        <v>4724</v>
      </c>
      <c r="L494">
        <v>420</v>
      </c>
      <c r="M494" t="s">
        <v>4725</v>
      </c>
    </row>
    <row r="495" spans="1:13" x14ac:dyDescent="0.45">
      <c r="A495" t="s">
        <v>3601</v>
      </c>
      <c r="B495">
        <v>492759</v>
      </c>
      <c r="C495">
        <v>493055</v>
      </c>
      <c r="E495" t="s">
        <v>42</v>
      </c>
      <c r="F495" t="s">
        <v>45</v>
      </c>
      <c r="H495">
        <v>83704309</v>
      </c>
      <c r="I495" t="s">
        <v>17</v>
      </c>
      <c r="K495" t="s">
        <v>4726</v>
      </c>
      <c r="L495">
        <v>98</v>
      </c>
      <c r="M495" t="s">
        <v>4727</v>
      </c>
    </row>
    <row r="496" spans="1:13" x14ac:dyDescent="0.45">
      <c r="A496" t="s">
        <v>3601</v>
      </c>
      <c r="B496">
        <v>493052</v>
      </c>
      <c r="C496">
        <v>493471</v>
      </c>
      <c r="E496" t="s">
        <v>42</v>
      </c>
      <c r="F496" t="s">
        <v>682</v>
      </c>
      <c r="H496">
        <v>83704310</v>
      </c>
      <c r="I496" t="s">
        <v>17</v>
      </c>
      <c r="K496" t="s">
        <v>4728</v>
      </c>
      <c r="L496">
        <v>139</v>
      </c>
      <c r="M496" t="s">
        <v>4729</v>
      </c>
    </row>
    <row r="497" spans="1:13" x14ac:dyDescent="0.45">
      <c r="A497" t="s">
        <v>3601</v>
      </c>
      <c r="B497">
        <v>493928</v>
      </c>
      <c r="C497">
        <v>494236</v>
      </c>
      <c r="E497" t="s">
        <v>42</v>
      </c>
      <c r="F497" t="s">
        <v>45</v>
      </c>
      <c r="H497">
        <v>83704311</v>
      </c>
      <c r="I497" t="s">
        <v>17</v>
      </c>
      <c r="K497" t="s">
        <v>4730</v>
      </c>
      <c r="L497">
        <v>102</v>
      </c>
      <c r="M497" t="s">
        <v>4731</v>
      </c>
    </row>
    <row r="498" spans="1:13" x14ac:dyDescent="0.45">
      <c r="A498" t="s">
        <v>3601</v>
      </c>
      <c r="B498">
        <v>494773</v>
      </c>
      <c r="C498">
        <v>495498</v>
      </c>
      <c r="E498" t="s">
        <v>14</v>
      </c>
      <c r="F498" t="s">
        <v>72</v>
      </c>
      <c r="H498">
        <v>83704312</v>
      </c>
      <c r="I498" t="s">
        <v>17</v>
      </c>
      <c r="K498" t="s">
        <v>4732</v>
      </c>
      <c r="L498">
        <v>241</v>
      </c>
      <c r="M498" t="s">
        <v>4733</v>
      </c>
    </row>
    <row r="499" spans="1:13" x14ac:dyDescent="0.45">
      <c r="A499" t="s">
        <v>3601</v>
      </c>
      <c r="B499">
        <v>495502</v>
      </c>
      <c r="C499">
        <v>496536</v>
      </c>
      <c r="E499" t="s">
        <v>14</v>
      </c>
      <c r="F499" t="s">
        <v>113</v>
      </c>
      <c r="H499">
        <v>83704313</v>
      </c>
      <c r="I499" t="s">
        <v>17</v>
      </c>
      <c r="K499" t="s">
        <v>4734</v>
      </c>
      <c r="L499">
        <v>344</v>
      </c>
      <c r="M499" t="s">
        <v>4735</v>
      </c>
    </row>
    <row r="500" spans="1:13" x14ac:dyDescent="0.45">
      <c r="A500" t="s">
        <v>3601</v>
      </c>
      <c r="B500">
        <v>496599</v>
      </c>
      <c r="C500">
        <v>497390</v>
      </c>
      <c r="E500" t="s">
        <v>14</v>
      </c>
      <c r="F500" t="s">
        <v>4736</v>
      </c>
      <c r="G500" t="s">
        <v>4737</v>
      </c>
      <c r="H500">
        <v>83704314</v>
      </c>
      <c r="I500" t="s">
        <v>17</v>
      </c>
      <c r="K500" t="s">
        <v>4738</v>
      </c>
      <c r="L500">
        <v>263</v>
      </c>
      <c r="M500" t="s">
        <v>4739</v>
      </c>
    </row>
    <row r="501" spans="1:13" x14ac:dyDescent="0.45">
      <c r="A501" t="s">
        <v>3601</v>
      </c>
      <c r="B501">
        <v>497390</v>
      </c>
      <c r="C501">
        <v>498025</v>
      </c>
      <c r="E501" t="s">
        <v>14</v>
      </c>
      <c r="F501" t="s">
        <v>961</v>
      </c>
      <c r="G501" t="s">
        <v>962</v>
      </c>
      <c r="H501">
        <v>83704315</v>
      </c>
      <c r="I501" t="s">
        <v>17</v>
      </c>
      <c r="K501" t="s">
        <v>4740</v>
      </c>
      <c r="L501">
        <v>211</v>
      </c>
      <c r="M501" t="s">
        <v>4741</v>
      </c>
    </row>
    <row r="502" spans="1:13" x14ac:dyDescent="0.45">
      <c r="A502" t="s">
        <v>3601</v>
      </c>
      <c r="B502">
        <v>498085</v>
      </c>
      <c r="C502">
        <v>498171</v>
      </c>
      <c r="E502" t="s">
        <v>14</v>
      </c>
      <c r="F502" t="s">
        <v>356</v>
      </c>
      <c r="H502">
        <v>83704316</v>
      </c>
      <c r="I502" t="s">
        <v>44</v>
      </c>
      <c r="M502" t="s">
        <v>4742</v>
      </c>
    </row>
    <row r="503" spans="1:13" x14ac:dyDescent="0.45">
      <c r="A503" t="s">
        <v>3601</v>
      </c>
      <c r="B503">
        <v>499531</v>
      </c>
      <c r="C503">
        <v>500013</v>
      </c>
      <c r="E503" t="s">
        <v>14</v>
      </c>
      <c r="F503" t="s">
        <v>783</v>
      </c>
      <c r="G503" t="s">
        <v>784</v>
      </c>
      <c r="H503">
        <v>83704317</v>
      </c>
      <c r="I503" t="s">
        <v>17</v>
      </c>
      <c r="K503" t="s">
        <v>4743</v>
      </c>
      <c r="L503">
        <v>160</v>
      </c>
      <c r="M503" t="s">
        <v>4744</v>
      </c>
    </row>
    <row r="504" spans="1:13" x14ac:dyDescent="0.45">
      <c r="A504" t="s">
        <v>3601</v>
      </c>
      <c r="B504">
        <v>500123</v>
      </c>
      <c r="C504">
        <v>501277</v>
      </c>
      <c r="E504" t="s">
        <v>14</v>
      </c>
      <c r="F504" t="s">
        <v>781</v>
      </c>
      <c r="G504" t="s">
        <v>782</v>
      </c>
      <c r="H504">
        <v>83704318</v>
      </c>
      <c r="I504" t="s">
        <v>17</v>
      </c>
      <c r="K504" t="s">
        <v>4745</v>
      </c>
      <c r="L504">
        <v>384</v>
      </c>
      <c r="M504" t="s">
        <v>4746</v>
      </c>
    </row>
    <row r="505" spans="1:13" x14ac:dyDescent="0.45">
      <c r="A505" t="s">
        <v>3601</v>
      </c>
      <c r="B505">
        <v>501293</v>
      </c>
      <c r="C505">
        <v>501589</v>
      </c>
      <c r="E505" t="s">
        <v>14</v>
      </c>
      <c r="F505" t="s">
        <v>4747</v>
      </c>
      <c r="G505" t="s">
        <v>4748</v>
      </c>
      <c r="H505">
        <v>83704319</v>
      </c>
      <c r="I505" t="s">
        <v>17</v>
      </c>
      <c r="K505" t="s">
        <v>4749</v>
      </c>
      <c r="L505">
        <v>98</v>
      </c>
      <c r="M505" t="s">
        <v>4750</v>
      </c>
    </row>
    <row r="506" spans="1:13" x14ac:dyDescent="0.45">
      <c r="A506" t="s">
        <v>3601</v>
      </c>
      <c r="B506">
        <v>501582</v>
      </c>
      <c r="C506">
        <v>501884</v>
      </c>
      <c r="E506" t="s">
        <v>14</v>
      </c>
      <c r="F506" t="s">
        <v>4751</v>
      </c>
      <c r="H506">
        <v>83704320</v>
      </c>
      <c r="I506" t="s">
        <v>17</v>
      </c>
      <c r="K506" t="s">
        <v>4752</v>
      </c>
      <c r="L506">
        <v>100</v>
      </c>
      <c r="M506" t="s">
        <v>4753</v>
      </c>
    </row>
    <row r="507" spans="1:13" x14ac:dyDescent="0.45">
      <c r="A507" t="s">
        <v>3601</v>
      </c>
      <c r="B507">
        <v>501904</v>
      </c>
      <c r="C507">
        <v>502699</v>
      </c>
      <c r="E507" t="s">
        <v>14</v>
      </c>
      <c r="F507" t="s">
        <v>51</v>
      </c>
      <c r="H507">
        <v>301046574</v>
      </c>
      <c r="I507" t="s">
        <v>52</v>
      </c>
      <c r="M507" t="s">
        <v>4754</v>
      </c>
    </row>
    <row r="508" spans="1:13" x14ac:dyDescent="0.45">
      <c r="A508" t="s">
        <v>3601</v>
      </c>
      <c r="B508">
        <v>502768</v>
      </c>
      <c r="C508">
        <v>504783</v>
      </c>
      <c r="E508" t="s">
        <v>14</v>
      </c>
      <c r="F508" t="s">
        <v>779</v>
      </c>
      <c r="G508" t="s">
        <v>780</v>
      </c>
      <c r="H508">
        <v>83704321</v>
      </c>
      <c r="I508" t="s">
        <v>17</v>
      </c>
      <c r="K508" t="s">
        <v>4755</v>
      </c>
      <c r="L508">
        <v>671</v>
      </c>
      <c r="M508" t="s">
        <v>4756</v>
      </c>
    </row>
    <row r="509" spans="1:13" x14ac:dyDescent="0.45">
      <c r="A509" t="s">
        <v>3601</v>
      </c>
      <c r="B509">
        <v>504973</v>
      </c>
      <c r="C509">
        <v>505323</v>
      </c>
      <c r="E509" t="s">
        <v>14</v>
      </c>
      <c r="F509" t="s">
        <v>4757</v>
      </c>
      <c r="G509" t="s">
        <v>4758</v>
      </c>
      <c r="H509">
        <v>83704322</v>
      </c>
      <c r="I509" t="s">
        <v>17</v>
      </c>
      <c r="K509" t="s">
        <v>4759</v>
      </c>
      <c r="L509">
        <v>116</v>
      </c>
      <c r="M509" t="s">
        <v>4760</v>
      </c>
    </row>
    <row r="510" spans="1:13" x14ac:dyDescent="0.45">
      <c r="A510" t="s">
        <v>3601</v>
      </c>
      <c r="B510">
        <v>505395</v>
      </c>
      <c r="C510">
        <v>506426</v>
      </c>
      <c r="E510" t="s">
        <v>42</v>
      </c>
      <c r="F510" t="s">
        <v>4761</v>
      </c>
      <c r="H510">
        <v>83704323</v>
      </c>
      <c r="I510" t="s">
        <v>17</v>
      </c>
      <c r="K510" t="s">
        <v>4762</v>
      </c>
      <c r="L510">
        <v>343</v>
      </c>
      <c r="M510" t="s">
        <v>4763</v>
      </c>
    </row>
    <row r="511" spans="1:13" x14ac:dyDescent="0.45">
      <c r="A511" t="s">
        <v>3601</v>
      </c>
      <c r="B511">
        <v>506656</v>
      </c>
      <c r="C511">
        <v>507090</v>
      </c>
      <c r="E511" t="s">
        <v>14</v>
      </c>
      <c r="F511" t="s">
        <v>1045</v>
      </c>
      <c r="H511">
        <v>83704324</v>
      </c>
      <c r="I511" t="s">
        <v>17</v>
      </c>
      <c r="K511" t="s">
        <v>4764</v>
      </c>
      <c r="L511">
        <v>144</v>
      </c>
      <c r="M511" t="s">
        <v>4765</v>
      </c>
    </row>
    <row r="512" spans="1:13" x14ac:dyDescent="0.45">
      <c r="A512" t="s">
        <v>3601</v>
      </c>
      <c r="B512">
        <v>507090</v>
      </c>
      <c r="C512">
        <v>509321</v>
      </c>
      <c r="E512" t="s">
        <v>14</v>
      </c>
      <c r="F512" t="s">
        <v>401</v>
      </c>
      <c r="H512">
        <v>83704325</v>
      </c>
      <c r="I512" t="s">
        <v>17</v>
      </c>
      <c r="K512" t="s">
        <v>4766</v>
      </c>
      <c r="L512">
        <v>743</v>
      </c>
      <c r="M512" t="s">
        <v>4767</v>
      </c>
    </row>
    <row r="513" spans="1:13" x14ac:dyDescent="0.45">
      <c r="A513" t="s">
        <v>3601</v>
      </c>
      <c r="B513">
        <v>510191</v>
      </c>
      <c r="C513">
        <v>511141</v>
      </c>
      <c r="E513" t="s">
        <v>14</v>
      </c>
      <c r="F513" t="s">
        <v>4768</v>
      </c>
      <c r="H513">
        <v>83704326</v>
      </c>
      <c r="I513" t="s">
        <v>17</v>
      </c>
      <c r="K513" t="s">
        <v>4769</v>
      </c>
      <c r="L513">
        <v>316</v>
      </c>
      <c r="M513" t="s">
        <v>4770</v>
      </c>
    </row>
    <row r="514" spans="1:13" x14ac:dyDescent="0.45">
      <c r="A514" t="s">
        <v>3601</v>
      </c>
      <c r="B514">
        <v>511154</v>
      </c>
      <c r="C514">
        <v>511705</v>
      </c>
      <c r="E514" t="s">
        <v>14</v>
      </c>
      <c r="F514" t="s">
        <v>85</v>
      </c>
      <c r="H514">
        <v>83704327</v>
      </c>
      <c r="I514" t="s">
        <v>17</v>
      </c>
      <c r="K514" t="s">
        <v>4771</v>
      </c>
      <c r="L514">
        <v>183</v>
      </c>
      <c r="M514" t="s">
        <v>4772</v>
      </c>
    </row>
    <row r="515" spans="1:13" x14ac:dyDescent="0.45">
      <c r="A515" t="s">
        <v>3601</v>
      </c>
      <c r="B515">
        <v>512121</v>
      </c>
      <c r="C515">
        <v>512903</v>
      </c>
      <c r="E515" t="s">
        <v>42</v>
      </c>
      <c r="F515" t="s">
        <v>420</v>
      </c>
      <c r="H515">
        <v>83704328</v>
      </c>
      <c r="I515" t="s">
        <v>17</v>
      </c>
      <c r="K515" t="s">
        <v>4773</v>
      </c>
      <c r="L515">
        <v>260</v>
      </c>
      <c r="M515" t="s">
        <v>4774</v>
      </c>
    </row>
    <row r="516" spans="1:13" x14ac:dyDescent="0.45">
      <c r="A516" t="s">
        <v>3601</v>
      </c>
      <c r="B516">
        <v>513105</v>
      </c>
      <c r="C516">
        <v>513530</v>
      </c>
      <c r="E516" t="s">
        <v>14</v>
      </c>
      <c r="F516" t="s">
        <v>4775</v>
      </c>
      <c r="G516" t="s">
        <v>4776</v>
      </c>
      <c r="H516">
        <v>83704329</v>
      </c>
      <c r="I516" t="s">
        <v>17</v>
      </c>
      <c r="K516" t="s">
        <v>4777</v>
      </c>
      <c r="L516">
        <v>141</v>
      </c>
      <c r="M516" t="s">
        <v>4778</v>
      </c>
    </row>
    <row r="517" spans="1:13" x14ac:dyDescent="0.45">
      <c r="A517" t="s">
        <v>3601</v>
      </c>
      <c r="B517">
        <v>513546</v>
      </c>
      <c r="C517">
        <v>514061</v>
      </c>
      <c r="E517" t="s">
        <v>14</v>
      </c>
      <c r="F517" t="s">
        <v>4779</v>
      </c>
      <c r="G517" t="s">
        <v>4780</v>
      </c>
      <c r="H517">
        <v>83704330</v>
      </c>
      <c r="I517" t="s">
        <v>17</v>
      </c>
      <c r="K517" t="s">
        <v>4781</v>
      </c>
      <c r="L517">
        <v>171</v>
      </c>
      <c r="M517" t="s">
        <v>4782</v>
      </c>
    </row>
    <row r="518" spans="1:13" x14ac:dyDescent="0.45">
      <c r="A518" t="s">
        <v>3601</v>
      </c>
      <c r="B518">
        <v>514070</v>
      </c>
      <c r="C518">
        <v>515002</v>
      </c>
      <c r="E518" t="s">
        <v>14</v>
      </c>
      <c r="F518" t="s">
        <v>4783</v>
      </c>
      <c r="H518">
        <v>83704331</v>
      </c>
      <c r="I518" t="s">
        <v>17</v>
      </c>
      <c r="K518" t="s">
        <v>4784</v>
      </c>
      <c r="L518">
        <v>310</v>
      </c>
      <c r="M518" t="s">
        <v>4785</v>
      </c>
    </row>
    <row r="519" spans="1:13" x14ac:dyDescent="0.45">
      <c r="A519" t="s">
        <v>3601</v>
      </c>
      <c r="B519">
        <v>515004</v>
      </c>
      <c r="C519">
        <v>515996</v>
      </c>
      <c r="E519" t="s">
        <v>14</v>
      </c>
      <c r="F519" t="s">
        <v>4786</v>
      </c>
      <c r="G519" t="s">
        <v>4787</v>
      </c>
      <c r="H519">
        <v>83704332</v>
      </c>
      <c r="I519" t="s">
        <v>17</v>
      </c>
      <c r="K519" t="s">
        <v>4788</v>
      </c>
      <c r="L519">
        <v>330</v>
      </c>
      <c r="M519" t="s">
        <v>4789</v>
      </c>
    </row>
    <row r="520" spans="1:13" x14ac:dyDescent="0.45">
      <c r="A520" t="s">
        <v>3601</v>
      </c>
      <c r="B520">
        <v>516294</v>
      </c>
      <c r="C520">
        <v>517124</v>
      </c>
      <c r="E520" t="s">
        <v>14</v>
      </c>
      <c r="F520" t="s">
        <v>502</v>
      </c>
      <c r="H520">
        <v>83704333</v>
      </c>
      <c r="I520" t="s">
        <v>17</v>
      </c>
      <c r="K520" t="s">
        <v>4790</v>
      </c>
      <c r="L520">
        <v>276</v>
      </c>
      <c r="M520" t="s">
        <v>4791</v>
      </c>
    </row>
    <row r="521" spans="1:13" x14ac:dyDescent="0.45">
      <c r="A521" t="s">
        <v>3601</v>
      </c>
      <c r="B521">
        <v>517135</v>
      </c>
      <c r="C521">
        <v>517446</v>
      </c>
      <c r="E521" t="s">
        <v>14</v>
      </c>
      <c r="F521" t="s">
        <v>4792</v>
      </c>
      <c r="G521" t="s">
        <v>4793</v>
      </c>
      <c r="H521">
        <v>83704334</v>
      </c>
      <c r="I521" t="s">
        <v>17</v>
      </c>
      <c r="K521" t="s">
        <v>4794</v>
      </c>
      <c r="L521">
        <v>103</v>
      </c>
      <c r="M521" t="s">
        <v>4795</v>
      </c>
    </row>
    <row r="522" spans="1:13" x14ac:dyDescent="0.45">
      <c r="A522" t="s">
        <v>3601</v>
      </c>
      <c r="B522">
        <v>517450</v>
      </c>
      <c r="C522">
        <v>519132</v>
      </c>
      <c r="E522" t="s">
        <v>14</v>
      </c>
      <c r="F522" t="s">
        <v>4796</v>
      </c>
      <c r="H522">
        <v>83704335</v>
      </c>
      <c r="I522" t="s">
        <v>17</v>
      </c>
      <c r="K522" t="s">
        <v>4797</v>
      </c>
      <c r="L522">
        <v>560</v>
      </c>
      <c r="M522" t="s">
        <v>4798</v>
      </c>
    </row>
    <row r="523" spans="1:13" x14ac:dyDescent="0.45">
      <c r="A523" t="s">
        <v>3601</v>
      </c>
      <c r="B523">
        <v>519142</v>
      </c>
      <c r="C523">
        <v>520551</v>
      </c>
      <c r="E523" t="s">
        <v>14</v>
      </c>
      <c r="F523" t="s">
        <v>4799</v>
      </c>
      <c r="G523" t="s">
        <v>4800</v>
      </c>
      <c r="H523">
        <v>83704336</v>
      </c>
      <c r="I523" t="s">
        <v>17</v>
      </c>
      <c r="K523" t="s">
        <v>4801</v>
      </c>
      <c r="L523">
        <v>469</v>
      </c>
      <c r="M523" t="s">
        <v>4802</v>
      </c>
    </row>
    <row r="524" spans="1:13" x14ac:dyDescent="0.45">
      <c r="A524" t="s">
        <v>3601</v>
      </c>
      <c r="B524">
        <v>520762</v>
      </c>
      <c r="C524">
        <v>521637</v>
      </c>
      <c r="E524" t="s">
        <v>14</v>
      </c>
      <c r="F524" t="s">
        <v>4803</v>
      </c>
      <c r="H524">
        <v>83704337</v>
      </c>
      <c r="I524" t="s">
        <v>17</v>
      </c>
      <c r="K524" t="s">
        <v>4804</v>
      </c>
      <c r="L524">
        <v>291</v>
      </c>
      <c r="M524" t="s">
        <v>4805</v>
      </c>
    </row>
    <row r="525" spans="1:13" x14ac:dyDescent="0.45">
      <c r="A525" t="s">
        <v>3601</v>
      </c>
      <c r="B525">
        <v>521798</v>
      </c>
      <c r="C525">
        <v>522412</v>
      </c>
      <c r="E525" t="s">
        <v>14</v>
      </c>
      <c r="F525" t="s">
        <v>4806</v>
      </c>
      <c r="H525">
        <v>83704338</v>
      </c>
      <c r="I525" t="s">
        <v>17</v>
      </c>
      <c r="K525" t="s">
        <v>4807</v>
      </c>
      <c r="L525">
        <v>204</v>
      </c>
      <c r="M525" t="s">
        <v>4808</v>
      </c>
    </row>
    <row r="526" spans="1:13" x14ac:dyDescent="0.45">
      <c r="A526" t="s">
        <v>3601</v>
      </c>
      <c r="B526">
        <v>522417</v>
      </c>
      <c r="C526">
        <v>523241</v>
      </c>
      <c r="E526" t="s">
        <v>14</v>
      </c>
      <c r="F526" t="s">
        <v>58</v>
      </c>
      <c r="H526">
        <v>83704339</v>
      </c>
      <c r="I526" t="s">
        <v>17</v>
      </c>
      <c r="K526" t="s">
        <v>4809</v>
      </c>
      <c r="L526">
        <v>274</v>
      </c>
      <c r="M526" t="s">
        <v>4810</v>
      </c>
    </row>
    <row r="527" spans="1:13" x14ac:dyDescent="0.45">
      <c r="A527" t="s">
        <v>3601</v>
      </c>
      <c r="B527">
        <v>523652</v>
      </c>
      <c r="C527">
        <v>524209</v>
      </c>
      <c r="E527" t="s">
        <v>42</v>
      </c>
      <c r="F527" t="s">
        <v>94</v>
      </c>
      <c r="H527">
        <v>83704340</v>
      </c>
      <c r="I527" t="s">
        <v>17</v>
      </c>
      <c r="K527" t="s">
        <v>4811</v>
      </c>
      <c r="L527">
        <v>185</v>
      </c>
      <c r="M527" t="s">
        <v>4812</v>
      </c>
    </row>
    <row r="528" spans="1:13" x14ac:dyDescent="0.45">
      <c r="A528" t="s">
        <v>3601</v>
      </c>
      <c r="B528">
        <v>524341</v>
      </c>
      <c r="C528">
        <v>525183</v>
      </c>
      <c r="E528" t="s">
        <v>14</v>
      </c>
      <c r="F528" t="s">
        <v>38</v>
      </c>
      <c r="H528">
        <v>83704341</v>
      </c>
      <c r="I528" t="s">
        <v>17</v>
      </c>
      <c r="K528" t="s">
        <v>4813</v>
      </c>
      <c r="L528">
        <v>280</v>
      </c>
      <c r="M528" t="s">
        <v>4814</v>
      </c>
    </row>
    <row r="529" spans="1:13" x14ac:dyDescent="0.45">
      <c r="A529" t="s">
        <v>3601</v>
      </c>
      <c r="B529">
        <v>525454</v>
      </c>
      <c r="C529">
        <v>526437</v>
      </c>
      <c r="E529" t="s">
        <v>14</v>
      </c>
      <c r="F529" t="s">
        <v>312</v>
      </c>
      <c r="H529">
        <v>83704342</v>
      </c>
      <c r="I529" t="s">
        <v>17</v>
      </c>
      <c r="K529" t="s">
        <v>4815</v>
      </c>
      <c r="L529">
        <v>327</v>
      </c>
      <c r="M529" t="s">
        <v>4816</v>
      </c>
    </row>
    <row r="530" spans="1:13" x14ac:dyDescent="0.45">
      <c r="A530" t="s">
        <v>3601</v>
      </c>
      <c r="B530">
        <v>526430</v>
      </c>
      <c r="C530">
        <v>527341</v>
      </c>
      <c r="E530" t="s">
        <v>14</v>
      </c>
      <c r="F530" t="s">
        <v>413</v>
      </c>
      <c r="G530" t="s">
        <v>414</v>
      </c>
      <c r="H530">
        <v>83704343</v>
      </c>
      <c r="I530" t="s">
        <v>17</v>
      </c>
      <c r="K530" t="s">
        <v>4817</v>
      </c>
      <c r="L530">
        <v>303</v>
      </c>
      <c r="M530" t="s">
        <v>4818</v>
      </c>
    </row>
    <row r="531" spans="1:13" x14ac:dyDescent="0.45">
      <c r="A531" t="s">
        <v>3601</v>
      </c>
      <c r="B531">
        <v>527316</v>
      </c>
      <c r="C531">
        <v>527714</v>
      </c>
      <c r="E531" t="s">
        <v>14</v>
      </c>
      <c r="F531" t="s">
        <v>887</v>
      </c>
      <c r="G531" t="s">
        <v>888</v>
      </c>
      <c r="H531">
        <v>83704344</v>
      </c>
      <c r="I531" t="s">
        <v>17</v>
      </c>
      <c r="K531" t="s">
        <v>4819</v>
      </c>
      <c r="L531">
        <v>132</v>
      </c>
      <c r="M531" t="s">
        <v>4820</v>
      </c>
    </row>
    <row r="532" spans="1:13" x14ac:dyDescent="0.45">
      <c r="A532" t="s">
        <v>3601</v>
      </c>
      <c r="B532">
        <v>527730</v>
      </c>
      <c r="C532">
        <v>529208</v>
      </c>
      <c r="E532" t="s">
        <v>14</v>
      </c>
      <c r="F532" t="s">
        <v>886</v>
      </c>
      <c r="H532">
        <v>83704345</v>
      </c>
      <c r="I532" t="s">
        <v>17</v>
      </c>
      <c r="K532" t="s">
        <v>4821</v>
      </c>
      <c r="L532">
        <v>492</v>
      </c>
      <c r="M532" t="s">
        <v>4822</v>
      </c>
    </row>
    <row r="533" spans="1:13" x14ac:dyDescent="0.45">
      <c r="A533" t="s">
        <v>3601</v>
      </c>
      <c r="B533">
        <v>529210</v>
      </c>
      <c r="C533">
        <v>530151</v>
      </c>
      <c r="E533" t="s">
        <v>14</v>
      </c>
      <c r="F533" t="s">
        <v>4823</v>
      </c>
      <c r="H533">
        <v>83704346</v>
      </c>
      <c r="I533" t="s">
        <v>17</v>
      </c>
      <c r="K533" t="s">
        <v>4824</v>
      </c>
      <c r="L533">
        <v>313</v>
      </c>
      <c r="M533" t="s">
        <v>4825</v>
      </c>
    </row>
    <row r="534" spans="1:13" x14ac:dyDescent="0.45">
      <c r="A534" t="s">
        <v>3601</v>
      </c>
      <c r="B534">
        <v>530166</v>
      </c>
      <c r="C534">
        <v>531134</v>
      </c>
      <c r="E534" t="s">
        <v>14</v>
      </c>
      <c r="F534" t="s">
        <v>343</v>
      </c>
      <c r="H534">
        <v>83704347</v>
      </c>
      <c r="I534" t="s">
        <v>17</v>
      </c>
      <c r="K534" t="s">
        <v>4826</v>
      </c>
      <c r="L534">
        <v>322</v>
      </c>
      <c r="M534" t="s">
        <v>4827</v>
      </c>
    </row>
    <row r="535" spans="1:13" x14ac:dyDescent="0.45">
      <c r="A535" t="s">
        <v>3601</v>
      </c>
      <c r="B535">
        <v>531562</v>
      </c>
      <c r="C535">
        <v>533132</v>
      </c>
      <c r="E535" t="s">
        <v>42</v>
      </c>
      <c r="F535" t="s">
        <v>425</v>
      </c>
      <c r="H535">
        <v>83704348</v>
      </c>
      <c r="I535" t="s">
        <v>17</v>
      </c>
      <c r="K535" t="s">
        <v>4828</v>
      </c>
      <c r="L535">
        <v>523</v>
      </c>
      <c r="M535" t="s">
        <v>4829</v>
      </c>
    </row>
    <row r="536" spans="1:13" x14ac:dyDescent="0.45">
      <c r="A536" t="s">
        <v>3601</v>
      </c>
      <c r="B536">
        <v>533433</v>
      </c>
      <c r="C536">
        <v>534179</v>
      </c>
      <c r="E536" t="s">
        <v>42</v>
      </c>
      <c r="F536" t="s">
        <v>45</v>
      </c>
      <c r="H536">
        <v>83704349</v>
      </c>
      <c r="I536" t="s">
        <v>17</v>
      </c>
      <c r="K536" t="s">
        <v>4830</v>
      </c>
      <c r="L536">
        <v>248</v>
      </c>
      <c r="M536" t="s">
        <v>4831</v>
      </c>
    </row>
    <row r="537" spans="1:13" x14ac:dyDescent="0.45">
      <c r="A537" t="s">
        <v>3601</v>
      </c>
      <c r="B537">
        <v>534370</v>
      </c>
      <c r="C537">
        <v>536001</v>
      </c>
      <c r="E537" t="s">
        <v>14</v>
      </c>
      <c r="F537" t="s">
        <v>4832</v>
      </c>
      <c r="H537">
        <v>83704350</v>
      </c>
      <c r="I537" t="s">
        <v>17</v>
      </c>
      <c r="K537" t="s">
        <v>4833</v>
      </c>
      <c r="L537">
        <v>543</v>
      </c>
      <c r="M537" t="s">
        <v>4834</v>
      </c>
    </row>
    <row r="538" spans="1:13" x14ac:dyDescent="0.45">
      <c r="A538" t="s">
        <v>3601</v>
      </c>
      <c r="B538">
        <v>536118</v>
      </c>
      <c r="C538">
        <v>537266</v>
      </c>
      <c r="E538" t="s">
        <v>14</v>
      </c>
      <c r="F538" t="s">
        <v>96</v>
      </c>
      <c r="G538" t="s">
        <v>97</v>
      </c>
      <c r="H538">
        <v>83704351</v>
      </c>
      <c r="I538" t="s">
        <v>17</v>
      </c>
      <c r="K538" t="s">
        <v>4835</v>
      </c>
      <c r="L538">
        <v>382</v>
      </c>
      <c r="M538" t="s">
        <v>4836</v>
      </c>
    </row>
    <row r="539" spans="1:13" x14ac:dyDescent="0.45">
      <c r="A539" t="s">
        <v>3601</v>
      </c>
      <c r="B539">
        <v>537353</v>
      </c>
      <c r="C539">
        <v>538192</v>
      </c>
      <c r="E539" t="s">
        <v>14</v>
      </c>
      <c r="F539" t="s">
        <v>405</v>
      </c>
      <c r="H539">
        <v>83704352</v>
      </c>
      <c r="I539" t="s">
        <v>17</v>
      </c>
      <c r="K539" t="s">
        <v>4837</v>
      </c>
      <c r="L539">
        <v>279</v>
      </c>
      <c r="M539" t="s">
        <v>4838</v>
      </c>
    </row>
    <row r="540" spans="1:13" x14ac:dyDescent="0.45">
      <c r="A540" t="s">
        <v>3601</v>
      </c>
      <c r="B540">
        <v>538243</v>
      </c>
      <c r="C540">
        <v>538446</v>
      </c>
      <c r="E540" t="s">
        <v>14</v>
      </c>
      <c r="F540" t="s">
        <v>45</v>
      </c>
      <c r="H540">
        <v>83704353</v>
      </c>
      <c r="I540" t="s">
        <v>17</v>
      </c>
      <c r="K540" t="s">
        <v>4839</v>
      </c>
      <c r="L540">
        <v>67</v>
      </c>
      <c r="M540" t="s">
        <v>4840</v>
      </c>
    </row>
    <row r="541" spans="1:13" x14ac:dyDescent="0.45">
      <c r="A541" t="s">
        <v>3601</v>
      </c>
      <c r="B541">
        <v>538713</v>
      </c>
      <c r="C541">
        <v>539246</v>
      </c>
      <c r="E541" t="s">
        <v>14</v>
      </c>
      <c r="F541" t="s">
        <v>4841</v>
      </c>
      <c r="H541">
        <v>83704354</v>
      </c>
      <c r="I541" t="s">
        <v>17</v>
      </c>
      <c r="K541" t="s">
        <v>4842</v>
      </c>
      <c r="L541">
        <v>177</v>
      </c>
      <c r="M541" t="s">
        <v>4843</v>
      </c>
    </row>
    <row r="542" spans="1:13" x14ac:dyDescent="0.45">
      <c r="A542" t="s">
        <v>3601</v>
      </c>
      <c r="B542">
        <v>539634</v>
      </c>
      <c r="C542">
        <v>540545</v>
      </c>
      <c r="E542" t="s">
        <v>14</v>
      </c>
      <c r="F542" t="s">
        <v>739</v>
      </c>
      <c r="G542" t="s">
        <v>740</v>
      </c>
      <c r="H542">
        <v>83704355</v>
      </c>
      <c r="I542" t="s">
        <v>17</v>
      </c>
      <c r="K542" t="s">
        <v>4844</v>
      </c>
      <c r="L542">
        <v>303</v>
      </c>
      <c r="M542" t="s">
        <v>4845</v>
      </c>
    </row>
    <row r="543" spans="1:13" x14ac:dyDescent="0.45">
      <c r="A543" t="s">
        <v>3601</v>
      </c>
      <c r="B543">
        <v>540911</v>
      </c>
      <c r="C543">
        <v>542950</v>
      </c>
      <c r="E543" t="s">
        <v>14</v>
      </c>
      <c r="F543" t="s">
        <v>737</v>
      </c>
      <c r="G543" t="s">
        <v>738</v>
      </c>
      <c r="H543">
        <v>83704356</v>
      </c>
      <c r="I543" t="s">
        <v>17</v>
      </c>
      <c r="K543" t="s">
        <v>4846</v>
      </c>
      <c r="L543">
        <v>679</v>
      </c>
      <c r="M543" t="s">
        <v>4847</v>
      </c>
    </row>
    <row r="544" spans="1:13" x14ac:dyDescent="0.45">
      <c r="A544" t="s">
        <v>3601</v>
      </c>
      <c r="B544">
        <v>543488</v>
      </c>
      <c r="C544">
        <v>543745</v>
      </c>
      <c r="E544" t="s">
        <v>14</v>
      </c>
      <c r="F544" t="s">
        <v>4848</v>
      </c>
      <c r="H544">
        <v>83704357</v>
      </c>
      <c r="I544" t="s">
        <v>17</v>
      </c>
      <c r="K544" t="s">
        <v>4849</v>
      </c>
      <c r="L544">
        <v>85</v>
      </c>
      <c r="M544" t="s">
        <v>4850</v>
      </c>
    </row>
    <row r="545" spans="1:13" x14ac:dyDescent="0.45">
      <c r="A545" t="s">
        <v>3601</v>
      </c>
      <c r="B545">
        <v>544277</v>
      </c>
      <c r="C545">
        <v>544441</v>
      </c>
      <c r="E545" t="s">
        <v>14</v>
      </c>
      <c r="F545" t="s">
        <v>4851</v>
      </c>
      <c r="H545">
        <v>83704358</v>
      </c>
      <c r="I545" t="s">
        <v>17</v>
      </c>
      <c r="K545" t="s">
        <v>4852</v>
      </c>
      <c r="L545">
        <v>54</v>
      </c>
      <c r="M545" t="s">
        <v>4853</v>
      </c>
    </row>
    <row r="546" spans="1:13" x14ac:dyDescent="0.45">
      <c r="A546" t="s">
        <v>3601</v>
      </c>
      <c r="B546">
        <v>544669</v>
      </c>
      <c r="C546">
        <v>545619</v>
      </c>
      <c r="E546" t="s">
        <v>14</v>
      </c>
      <c r="F546" t="s">
        <v>4854</v>
      </c>
      <c r="H546">
        <v>83704359</v>
      </c>
      <c r="I546" t="s">
        <v>17</v>
      </c>
      <c r="K546" t="s">
        <v>4855</v>
      </c>
      <c r="L546">
        <v>316</v>
      </c>
      <c r="M546" t="s">
        <v>4856</v>
      </c>
    </row>
    <row r="547" spans="1:13" x14ac:dyDescent="0.45">
      <c r="A547" t="s">
        <v>3601</v>
      </c>
      <c r="B547">
        <v>545616</v>
      </c>
      <c r="C547">
        <v>546680</v>
      </c>
      <c r="E547" t="s">
        <v>14</v>
      </c>
      <c r="F547" t="s">
        <v>4857</v>
      </c>
      <c r="H547">
        <v>83704360</v>
      </c>
      <c r="I547" t="s">
        <v>17</v>
      </c>
      <c r="K547" t="s">
        <v>4858</v>
      </c>
      <c r="L547">
        <v>354</v>
      </c>
      <c r="M547" t="s">
        <v>4859</v>
      </c>
    </row>
    <row r="548" spans="1:13" x14ac:dyDescent="0.45">
      <c r="A548" t="s">
        <v>3601</v>
      </c>
      <c r="B548">
        <v>546693</v>
      </c>
      <c r="C548">
        <v>548051</v>
      </c>
      <c r="E548" t="s">
        <v>14</v>
      </c>
      <c r="F548" t="s">
        <v>4860</v>
      </c>
      <c r="H548">
        <v>83704361</v>
      </c>
      <c r="I548" t="s">
        <v>17</v>
      </c>
      <c r="K548" t="s">
        <v>4861</v>
      </c>
      <c r="L548">
        <v>452</v>
      </c>
      <c r="M548" t="s">
        <v>4862</v>
      </c>
    </row>
    <row r="549" spans="1:13" x14ac:dyDescent="0.45">
      <c r="A549" t="s">
        <v>3601</v>
      </c>
      <c r="B549">
        <v>548026</v>
      </c>
      <c r="C549">
        <v>548697</v>
      </c>
      <c r="E549" t="s">
        <v>14</v>
      </c>
      <c r="F549" t="s">
        <v>80</v>
      </c>
      <c r="H549">
        <v>83704362</v>
      </c>
      <c r="I549" t="s">
        <v>17</v>
      </c>
      <c r="K549" t="s">
        <v>4863</v>
      </c>
      <c r="L549">
        <v>223</v>
      </c>
      <c r="M549" t="s">
        <v>4864</v>
      </c>
    </row>
    <row r="550" spans="1:13" x14ac:dyDescent="0.45">
      <c r="A550" t="s">
        <v>3601</v>
      </c>
      <c r="B550">
        <v>548694</v>
      </c>
      <c r="C550">
        <v>549380</v>
      </c>
      <c r="E550" t="s">
        <v>14</v>
      </c>
      <c r="F550" t="s">
        <v>4865</v>
      </c>
      <c r="H550">
        <v>83704363</v>
      </c>
      <c r="I550" t="s">
        <v>17</v>
      </c>
      <c r="K550" t="s">
        <v>4866</v>
      </c>
      <c r="L550">
        <v>228</v>
      </c>
      <c r="M550" t="s">
        <v>4867</v>
      </c>
    </row>
    <row r="551" spans="1:13" x14ac:dyDescent="0.45">
      <c r="A551" t="s">
        <v>3601</v>
      </c>
      <c r="B551">
        <v>549403</v>
      </c>
      <c r="C551">
        <v>550326</v>
      </c>
      <c r="E551" t="s">
        <v>14</v>
      </c>
      <c r="F551" t="s">
        <v>72</v>
      </c>
      <c r="H551">
        <v>83704364</v>
      </c>
      <c r="I551" t="s">
        <v>17</v>
      </c>
      <c r="K551" t="s">
        <v>4868</v>
      </c>
      <c r="L551">
        <v>307</v>
      </c>
      <c r="M551" t="s">
        <v>4869</v>
      </c>
    </row>
    <row r="552" spans="1:13" x14ac:dyDescent="0.45">
      <c r="A552" t="s">
        <v>3601</v>
      </c>
      <c r="B552">
        <v>550335</v>
      </c>
      <c r="C552">
        <v>551462</v>
      </c>
      <c r="E552" t="s">
        <v>14</v>
      </c>
      <c r="F552" t="s">
        <v>4870</v>
      </c>
      <c r="H552">
        <v>83704365</v>
      </c>
      <c r="I552" t="s">
        <v>17</v>
      </c>
      <c r="K552" t="s">
        <v>4871</v>
      </c>
      <c r="L552">
        <v>375</v>
      </c>
      <c r="M552" t="s">
        <v>4872</v>
      </c>
    </row>
    <row r="553" spans="1:13" x14ac:dyDescent="0.45">
      <c r="A553" t="s">
        <v>3601</v>
      </c>
      <c r="B553">
        <v>551459</v>
      </c>
      <c r="C553">
        <v>552577</v>
      </c>
      <c r="E553" t="s">
        <v>14</v>
      </c>
      <c r="F553" t="s">
        <v>113</v>
      </c>
      <c r="H553">
        <v>83704366</v>
      </c>
      <c r="I553" t="s">
        <v>17</v>
      </c>
      <c r="K553" t="s">
        <v>4873</v>
      </c>
      <c r="L553">
        <v>372</v>
      </c>
      <c r="M553" t="s">
        <v>4874</v>
      </c>
    </row>
    <row r="554" spans="1:13" x14ac:dyDescent="0.45">
      <c r="A554" t="s">
        <v>3601</v>
      </c>
      <c r="B554">
        <v>552710</v>
      </c>
      <c r="C554">
        <v>553990</v>
      </c>
      <c r="E554" t="s">
        <v>42</v>
      </c>
      <c r="F554" t="s">
        <v>4440</v>
      </c>
      <c r="H554">
        <v>83704367</v>
      </c>
      <c r="I554" t="s">
        <v>17</v>
      </c>
      <c r="K554" t="s">
        <v>4875</v>
      </c>
      <c r="L554">
        <v>426</v>
      </c>
      <c r="M554" t="s">
        <v>4876</v>
      </c>
    </row>
    <row r="555" spans="1:13" x14ac:dyDescent="0.45">
      <c r="A555" t="s">
        <v>3601</v>
      </c>
      <c r="B555">
        <v>554300</v>
      </c>
      <c r="C555">
        <v>556243</v>
      </c>
      <c r="E555" t="s">
        <v>42</v>
      </c>
      <c r="F555" t="s">
        <v>4440</v>
      </c>
      <c r="H555">
        <v>83704368</v>
      </c>
      <c r="I555" t="s">
        <v>17</v>
      </c>
      <c r="K555" t="s">
        <v>4877</v>
      </c>
      <c r="L555">
        <v>647</v>
      </c>
      <c r="M555" t="s">
        <v>4878</v>
      </c>
    </row>
    <row r="556" spans="1:13" x14ac:dyDescent="0.45">
      <c r="A556" t="s">
        <v>3601</v>
      </c>
      <c r="B556">
        <v>556637</v>
      </c>
      <c r="C556">
        <v>557722</v>
      </c>
      <c r="E556" t="s">
        <v>42</v>
      </c>
      <c r="F556" t="s">
        <v>45</v>
      </c>
      <c r="H556">
        <v>83704369</v>
      </c>
      <c r="I556" t="s">
        <v>17</v>
      </c>
      <c r="K556" t="s">
        <v>4879</v>
      </c>
      <c r="L556">
        <v>361</v>
      </c>
      <c r="M556" t="s">
        <v>4880</v>
      </c>
    </row>
    <row r="557" spans="1:13" x14ac:dyDescent="0.45">
      <c r="A557" t="s">
        <v>3601</v>
      </c>
      <c r="B557">
        <v>558178</v>
      </c>
      <c r="C557">
        <v>558807</v>
      </c>
      <c r="E557" t="s">
        <v>42</v>
      </c>
      <c r="F557" t="s">
        <v>4881</v>
      </c>
      <c r="H557">
        <v>83704370</v>
      </c>
      <c r="I557" t="s">
        <v>17</v>
      </c>
      <c r="K557" t="s">
        <v>4882</v>
      </c>
      <c r="L557">
        <v>209</v>
      </c>
      <c r="M557" t="s">
        <v>4883</v>
      </c>
    </row>
    <row r="558" spans="1:13" x14ac:dyDescent="0.45">
      <c r="A558" t="s">
        <v>3601</v>
      </c>
      <c r="B558">
        <v>559018</v>
      </c>
      <c r="C558">
        <v>559572</v>
      </c>
      <c r="E558" t="s">
        <v>14</v>
      </c>
      <c r="F558" t="s">
        <v>144</v>
      </c>
      <c r="H558">
        <v>83704371</v>
      </c>
      <c r="I558" t="s">
        <v>17</v>
      </c>
      <c r="K558" t="s">
        <v>4884</v>
      </c>
      <c r="L558">
        <v>184</v>
      </c>
      <c r="M558" t="s">
        <v>4885</v>
      </c>
    </row>
    <row r="559" spans="1:13" x14ac:dyDescent="0.45">
      <c r="A559" t="s">
        <v>3601</v>
      </c>
      <c r="B559">
        <v>560030</v>
      </c>
      <c r="C559">
        <v>560542</v>
      </c>
      <c r="E559" t="s">
        <v>14</v>
      </c>
      <c r="F559" t="s">
        <v>145</v>
      </c>
      <c r="H559">
        <v>83704372</v>
      </c>
      <c r="I559" t="s">
        <v>17</v>
      </c>
      <c r="K559" t="s">
        <v>4886</v>
      </c>
      <c r="L559">
        <v>170</v>
      </c>
      <c r="M559" t="s">
        <v>4887</v>
      </c>
    </row>
    <row r="560" spans="1:13" x14ac:dyDescent="0.45">
      <c r="A560" t="s">
        <v>3601</v>
      </c>
      <c r="B560">
        <v>560546</v>
      </c>
      <c r="C560">
        <v>560899</v>
      </c>
      <c r="E560" t="s">
        <v>14</v>
      </c>
      <c r="F560" t="s">
        <v>862</v>
      </c>
      <c r="H560">
        <v>83704373</v>
      </c>
      <c r="I560" t="s">
        <v>17</v>
      </c>
      <c r="K560" t="s">
        <v>4888</v>
      </c>
      <c r="L560">
        <v>117</v>
      </c>
      <c r="M560" t="s">
        <v>4889</v>
      </c>
    </row>
    <row r="561" spans="1:13" x14ac:dyDescent="0.45">
      <c r="A561" t="s">
        <v>3601</v>
      </c>
      <c r="B561">
        <v>560977</v>
      </c>
      <c r="C561">
        <v>561804</v>
      </c>
      <c r="E561" t="s">
        <v>42</v>
      </c>
      <c r="F561" t="s">
        <v>59</v>
      </c>
      <c r="H561">
        <v>83704374</v>
      </c>
      <c r="I561" t="s">
        <v>17</v>
      </c>
      <c r="K561" t="s">
        <v>4890</v>
      </c>
      <c r="L561">
        <v>275</v>
      </c>
      <c r="M561" t="s">
        <v>4891</v>
      </c>
    </row>
    <row r="562" spans="1:13" x14ac:dyDescent="0.45">
      <c r="A562" t="s">
        <v>3601</v>
      </c>
      <c r="B562">
        <v>562157</v>
      </c>
      <c r="C562">
        <v>567061</v>
      </c>
      <c r="E562" t="s">
        <v>14</v>
      </c>
      <c r="F562" t="s">
        <v>899</v>
      </c>
      <c r="H562">
        <v>83704375</v>
      </c>
      <c r="I562" t="s">
        <v>17</v>
      </c>
      <c r="K562" t="s">
        <v>4892</v>
      </c>
      <c r="L562">
        <v>1634</v>
      </c>
      <c r="M562" t="s">
        <v>4893</v>
      </c>
    </row>
    <row r="563" spans="1:13" x14ac:dyDescent="0.45">
      <c r="A563" t="s">
        <v>3601</v>
      </c>
      <c r="B563">
        <v>567236</v>
      </c>
      <c r="C563">
        <v>568915</v>
      </c>
      <c r="E563" t="s">
        <v>14</v>
      </c>
      <c r="F563" t="s">
        <v>45</v>
      </c>
      <c r="H563">
        <v>83704376</v>
      </c>
      <c r="I563" t="s">
        <v>17</v>
      </c>
      <c r="K563" t="s">
        <v>4894</v>
      </c>
      <c r="L563">
        <v>559</v>
      </c>
      <c r="M563" t="s">
        <v>4895</v>
      </c>
    </row>
    <row r="564" spans="1:13" x14ac:dyDescent="0.45">
      <c r="A564" t="s">
        <v>3601</v>
      </c>
      <c r="B564">
        <v>569450</v>
      </c>
      <c r="C564">
        <v>570730</v>
      </c>
      <c r="E564" t="s">
        <v>14</v>
      </c>
      <c r="F564" t="s">
        <v>4896</v>
      </c>
      <c r="H564">
        <v>83704377</v>
      </c>
      <c r="I564" t="s">
        <v>17</v>
      </c>
      <c r="K564" t="s">
        <v>4897</v>
      </c>
      <c r="L564">
        <v>426</v>
      </c>
      <c r="M564" t="s">
        <v>4898</v>
      </c>
    </row>
    <row r="565" spans="1:13" x14ac:dyDescent="0.45">
      <c r="A565" t="s">
        <v>3601</v>
      </c>
      <c r="B565">
        <v>571116</v>
      </c>
      <c r="C565">
        <v>571814</v>
      </c>
      <c r="E565" t="s">
        <v>14</v>
      </c>
      <c r="F565" t="s">
        <v>698</v>
      </c>
      <c r="H565">
        <v>83704378</v>
      </c>
      <c r="I565" t="s">
        <v>17</v>
      </c>
      <c r="K565" t="s">
        <v>4899</v>
      </c>
      <c r="L565">
        <v>232</v>
      </c>
      <c r="M565" t="s">
        <v>4900</v>
      </c>
    </row>
    <row r="566" spans="1:13" x14ac:dyDescent="0.45">
      <c r="A566" t="s">
        <v>3601</v>
      </c>
      <c r="B566">
        <v>572034</v>
      </c>
      <c r="C566">
        <v>574037</v>
      </c>
      <c r="E566" t="s">
        <v>14</v>
      </c>
      <c r="F566" t="s">
        <v>119</v>
      </c>
      <c r="G566" t="s">
        <v>120</v>
      </c>
      <c r="H566">
        <v>83704379</v>
      </c>
      <c r="I566" t="s">
        <v>17</v>
      </c>
      <c r="K566" t="s">
        <v>4901</v>
      </c>
      <c r="L566">
        <v>667</v>
      </c>
      <c r="M566" t="s">
        <v>4902</v>
      </c>
    </row>
    <row r="567" spans="1:13" x14ac:dyDescent="0.45">
      <c r="A567" t="s">
        <v>3601</v>
      </c>
      <c r="B567">
        <v>574595</v>
      </c>
      <c r="C567">
        <v>575488</v>
      </c>
      <c r="E567" t="s">
        <v>14</v>
      </c>
      <c r="F567" t="s">
        <v>139</v>
      </c>
      <c r="H567">
        <v>83704380</v>
      </c>
      <c r="I567" t="s">
        <v>17</v>
      </c>
      <c r="K567" t="s">
        <v>4903</v>
      </c>
      <c r="L567">
        <v>297</v>
      </c>
      <c r="M567" t="s">
        <v>4904</v>
      </c>
    </row>
    <row r="568" spans="1:13" x14ac:dyDescent="0.45">
      <c r="A568" t="s">
        <v>3601</v>
      </c>
      <c r="B568">
        <v>575841</v>
      </c>
      <c r="C568">
        <v>575981</v>
      </c>
      <c r="E568" t="s">
        <v>14</v>
      </c>
      <c r="F568" t="s">
        <v>45</v>
      </c>
      <c r="H568">
        <v>83704381</v>
      </c>
      <c r="I568" t="s">
        <v>17</v>
      </c>
      <c r="K568" t="s">
        <v>4905</v>
      </c>
      <c r="L568">
        <v>46</v>
      </c>
      <c r="M568" t="s">
        <v>4906</v>
      </c>
    </row>
    <row r="569" spans="1:13" x14ac:dyDescent="0.45">
      <c r="A569" t="s">
        <v>3601</v>
      </c>
      <c r="B569">
        <v>576094</v>
      </c>
      <c r="C569">
        <v>576252</v>
      </c>
      <c r="E569" t="s">
        <v>14</v>
      </c>
      <c r="F569" t="s">
        <v>45</v>
      </c>
      <c r="H569">
        <v>83704382</v>
      </c>
      <c r="I569" t="s">
        <v>17</v>
      </c>
      <c r="K569" t="s">
        <v>4907</v>
      </c>
      <c r="L569">
        <v>52</v>
      </c>
      <c r="M569" t="s">
        <v>4908</v>
      </c>
    </row>
    <row r="570" spans="1:13" x14ac:dyDescent="0.45">
      <c r="A570" t="s">
        <v>3601</v>
      </c>
      <c r="B570">
        <v>576266</v>
      </c>
      <c r="C570">
        <v>576412</v>
      </c>
      <c r="E570" t="s">
        <v>14</v>
      </c>
      <c r="F570" t="s">
        <v>45</v>
      </c>
      <c r="H570">
        <v>83704383</v>
      </c>
      <c r="I570" t="s">
        <v>17</v>
      </c>
      <c r="K570" t="s">
        <v>4909</v>
      </c>
      <c r="L570">
        <v>48</v>
      </c>
      <c r="M570" t="s">
        <v>4910</v>
      </c>
    </row>
    <row r="571" spans="1:13" x14ac:dyDescent="0.45">
      <c r="A571" t="s">
        <v>3601</v>
      </c>
      <c r="B571">
        <v>576435</v>
      </c>
      <c r="C571">
        <v>576602</v>
      </c>
      <c r="E571" t="s">
        <v>14</v>
      </c>
      <c r="F571" t="s">
        <v>3921</v>
      </c>
      <c r="H571">
        <v>83704384</v>
      </c>
      <c r="I571" t="s">
        <v>17</v>
      </c>
      <c r="K571" t="s">
        <v>4911</v>
      </c>
      <c r="L571">
        <v>55</v>
      </c>
      <c r="M571" t="s">
        <v>4912</v>
      </c>
    </row>
    <row r="572" spans="1:13" x14ac:dyDescent="0.45">
      <c r="A572" t="s">
        <v>3601</v>
      </c>
      <c r="B572">
        <v>576829</v>
      </c>
      <c r="C572">
        <v>578982</v>
      </c>
      <c r="E572" t="s">
        <v>14</v>
      </c>
      <c r="F572" t="s">
        <v>4913</v>
      </c>
      <c r="G572" t="s">
        <v>4914</v>
      </c>
      <c r="H572">
        <v>83704385</v>
      </c>
      <c r="I572" t="s">
        <v>17</v>
      </c>
      <c r="K572" t="s">
        <v>4915</v>
      </c>
      <c r="L572">
        <v>717</v>
      </c>
      <c r="M572" t="s">
        <v>4916</v>
      </c>
    </row>
    <row r="573" spans="1:13" x14ac:dyDescent="0.45">
      <c r="A573" t="s">
        <v>3601</v>
      </c>
      <c r="B573">
        <v>578997</v>
      </c>
      <c r="C573">
        <v>580364</v>
      </c>
      <c r="E573" t="s">
        <v>14</v>
      </c>
      <c r="F573" t="s">
        <v>4917</v>
      </c>
      <c r="H573">
        <v>83704386</v>
      </c>
      <c r="I573" t="s">
        <v>17</v>
      </c>
      <c r="K573" t="s">
        <v>4918</v>
      </c>
      <c r="L573">
        <v>455</v>
      </c>
      <c r="M573" t="s">
        <v>4919</v>
      </c>
    </row>
    <row r="574" spans="1:13" x14ac:dyDescent="0.45">
      <c r="A574" t="s">
        <v>3601</v>
      </c>
      <c r="B574">
        <v>580873</v>
      </c>
      <c r="C574">
        <v>581109</v>
      </c>
      <c r="E574" t="s">
        <v>14</v>
      </c>
      <c r="F574" t="s">
        <v>45</v>
      </c>
      <c r="H574">
        <v>83704387</v>
      </c>
      <c r="I574" t="s">
        <v>17</v>
      </c>
      <c r="K574" t="s">
        <v>4920</v>
      </c>
      <c r="L574">
        <v>78</v>
      </c>
      <c r="M574" t="s">
        <v>4921</v>
      </c>
    </row>
    <row r="575" spans="1:13" x14ac:dyDescent="0.45">
      <c r="A575" t="s">
        <v>3601</v>
      </c>
      <c r="B575">
        <v>581567</v>
      </c>
      <c r="C575">
        <v>582580</v>
      </c>
      <c r="E575" t="s">
        <v>14</v>
      </c>
      <c r="F575" t="s">
        <v>4922</v>
      </c>
      <c r="G575" t="s">
        <v>4923</v>
      </c>
      <c r="H575">
        <v>83704388</v>
      </c>
      <c r="I575" t="s">
        <v>17</v>
      </c>
      <c r="K575" t="s">
        <v>4924</v>
      </c>
      <c r="L575">
        <v>337</v>
      </c>
      <c r="M575" t="s">
        <v>4925</v>
      </c>
    </row>
    <row r="576" spans="1:13" x14ac:dyDescent="0.45">
      <c r="A576" t="s">
        <v>3601</v>
      </c>
      <c r="B576">
        <v>582582</v>
      </c>
      <c r="C576">
        <v>582989</v>
      </c>
      <c r="E576" t="s">
        <v>14</v>
      </c>
      <c r="F576" t="s">
        <v>990</v>
      </c>
      <c r="G576" t="s">
        <v>991</v>
      </c>
      <c r="H576">
        <v>83704389</v>
      </c>
      <c r="I576" t="s">
        <v>17</v>
      </c>
      <c r="K576" t="s">
        <v>4926</v>
      </c>
      <c r="L576">
        <v>135</v>
      </c>
      <c r="M576" t="s">
        <v>4927</v>
      </c>
    </row>
    <row r="577" spans="1:13" x14ac:dyDescent="0.45">
      <c r="A577" t="s">
        <v>3601</v>
      </c>
      <c r="B577">
        <v>583036</v>
      </c>
      <c r="C577">
        <v>585207</v>
      </c>
      <c r="E577" t="s">
        <v>14</v>
      </c>
      <c r="F577" t="s">
        <v>4928</v>
      </c>
      <c r="G577" t="s">
        <v>4929</v>
      </c>
      <c r="H577">
        <v>83704390</v>
      </c>
      <c r="I577" t="s">
        <v>17</v>
      </c>
      <c r="K577" t="s">
        <v>4930</v>
      </c>
      <c r="L577">
        <v>723</v>
      </c>
      <c r="M577" t="s">
        <v>4931</v>
      </c>
    </row>
    <row r="578" spans="1:13" x14ac:dyDescent="0.45">
      <c r="A578" t="s">
        <v>3601</v>
      </c>
      <c r="B578">
        <v>585733</v>
      </c>
      <c r="C578">
        <v>587076</v>
      </c>
      <c r="E578" t="s">
        <v>14</v>
      </c>
      <c r="F578" t="s">
        <v>680</v>
      </c>
      <c r="G578" t="s">
        <v>681</v>
      </c>
      <c r="H578">
        <v>83704391</v>
      </c>
      <c r="I578" t="s">
        <v>17</v>
      </c>
      <c r="K578" t="s">
        <v>4932</v>
      </c>
      <c r="L578">
        <v>447</v>
      </c>
      <c r="M578" t="s">
        <v>4933</v>
      </c>
    </row>
    <row r="579" spans="1:13" x14ac:dyDescent="0.45">
      <c r="A579" t="s">
        <v>3601</v>
      </c>
      <c r="B579">
        <v>587577</v>
      </c>
      <c r="C579">
        <v>587873</v>
      </c>
      <c r="E579" t="s">
        <v>14</v>
      </c>
      <c r="F579" t="s">
        <v>4934</v>
      </c>
      <c r="H579">
        <v>83704392</v>
      </c>
      <c r="I579" t="s">
        <v>17</v>
      </c>
      <c r="K579" t="s">
        <v>4935</v>
      </c>
      <c r="L579">
        <v>98</v>
      </c>
      <c r="M579" t="s">
        <v>4936</v>
      </c>
    </row>
    <row r="580" spans="1:13" x14ac:dyDescent="0.45">
      <c r="A580" t="s">
        <v>3601</v>
      </c>
      <c r="B580">
        <v>587943</v>
      </c>
      <c r="C580">
        <v>591131</v>
      </c>
      <c r="E580" t="s">
        <v>14</v>
      </c>
      <c r="F580" t="s">
        <v>4937</v>
      </c>
      <c r="G580" t="s">
        <v>4938</v>
      </c>
      <c r="H580">
        <v>83704393</v>
      </c>
      <c r="I580" t="s">
        <v>17</v>
      </c>
      <c r="K580" t="s">
        <v>4939</v>
      </c>
      <c r="L580">
        <v>1062</v>
      </c>
      <c r="M580" t="s">
        <v>4940</v>
      </c>
    </row>
    <row r="581" spans="1:13" x14ac:dyDescent="0.45">
      <c r="A581" t="s">
        <v>3601</v>
      </c>
      <c r="B581">
        <v>591142</v>
      </c>
      <c r="C581">
        <v>591621</v>
      </c>
      <c r="E581" t="s">
        <v>14</v>
      </c>
      <c r="F581" t="s">
        <v>4941</v>
      </c>
      <c r="H581">
        <v>83704394</v>
      </c>
      <c r="I581" t="s">
        <v>17</v>
      </c>
      <c r="K581" t="s">
        <v>4942</v>
      </c>
      <c r="L581">
        <v>159</v>
      </c>
      <c r="M581" t="s">
        <v>4943</v>
      </c>
    </row>
    <row r="582" spans="1:13" x14ac:dyDescent="0.45">
      <c r="A582" t="s">
        <v>3601</v>
      </c>
      <c r="B582">
        <v>591938</v>
      </c>
      <c r="C582">
        <v>592180</v>
      </c>
      <c r="E582" t="s">
        <v>14</v>
      </c>
      <c r="F582" t="s">
        <v>4944</v>
      </c>
      <c r="H582">
        <v>83704395</v>
      </c>
      <c r="I582" t="s">
        <v>17</v>
      </c>
      <c r="K582" t="s">
        <v>4945</v>
      </c>
      <c r="L582">
        <v>80</v>
      </c>
      <c r="M582" t="s">
        <v>4946</v>
      </c>
    </row>
    <row r="583" spans="1:13" x14ac:dyDescent="0.45">
      <c r="A583" t="s">
        <v>3601</v>
      </c>
      <c r="B583">
        <v>592183</v>
      </c>
      <c r="C583">
        <v>593340</v>
      </c>
      <c r="E583" t="s">
        <v>14</v>
      </c>
      <c r="F583" t="s">
        <v>4947</v>
      </c>
      <c r="G583" t="s">
        <v>4948</v>
      </c>
      <c r="H583">
        <v>83704396</v>
      </c>
      <c r="I583" t="s">
        <v>17</v>
      </c>
      <c r="K583" t="s">
        <v>4949</v>
      </c>
      <c r="L583">
        <v>385</v>
      </c>
      <c r="M583" t="s">
        <v>4950</v>
      </c>
    </row>
    <row r="584" spans="1:13" x14ac:dyDescent="0.45">
      <c r="A584" t="s">
        <v>3601</v>
      </c>
      <c r="B584">
        <v>593352</v>
      </c>
      <c r="C584">
        <v>597728</v>
      </c>
      <c r="E584" t="s">
        <v>14</v>
      </c>
      <c r="F584" t="s">
        <v>4951</v>
      </c>
      <c r="G584" t="s">
        <v>4952</v>
      </c>
      <c r="H584">
        <v>83704397</v>
      </c>
      <c r="I584" t="s">
        <v>17</v>
      </c>
      <c r="K584" t="s">
        <v>4953</v>
      </c>
      <c r="L584">
        <v>1458</v>
      </c>
      <c r="M584" t="s">
        <v>4954</v>
      </c>
    </row>
    <row r="585" spans="1:13" x14ac:dyDescent="0.45">
      <c r="A585" t="s">
        <v>3601</v>
      </c>
      <c r="B585">
        <v>597741</v>
      </c>
      <c r="C585">
        <v>598070</v>
      </c>
      <c r="E585" t="s">
        <v>14</v>
      </c>
      <c r="F585" t="s">
        <v>3806</v>
      </c>
      <c r="H585">
        <v>83704398</v>
      </c>
      <c r="I585" t="s">
        <v>17</v>
      </c>
      <c r="K585" t="s">
        <v>4955</v>
      </c>
      <c r="L585">
        <v>109</v>
      </c>
      <c r="M585" t="s">
        <v>4956</v>
      </c>
    </row>
    <row r="586" spans="1:13" x14ac:dyDescent="0.45">
      <c r="A586" t="s">
        <v>3601</v>
      </c>
      <c r="B586">
        <v>598074</v>
      </c>
      <c r="C586">
        <v>598508</v>
      </c>
      <c r="E586" t="s">
        <v>14</v>
      </c>
      <c r="F586" t="s">
        <v>4957</v>
      </c>
      <c r="H586">
        <v>83704399</v>
      </c>
      <c r="I586" t="s">
        <v>17</v>
      </c>
      <c r="K586" t="s">
        <v>4958</v>
      </c>
      <c r="L586">
        <v>144</v>
      </c>
      <c r="M586" t="s">
        <v>4959</v>
      </c>
    </row>
    <row r="587" spans="1:13" x14ac:dyDescent="0.45">
      <c r="A587" t="s">
        <v>3601</v>
      </c>
      <c r="B587">
        <v>598510</v>
      </c>
      <c r="C587">
        <v>598794</v>
      </c>
      <c r="E587" t="s">
        <v>14</v>
      </c>
      <c r="F587" t="s">
        <v>4538</v>
      </c>
      <c r="H587">
        <v>83704400</v>
      </c>
      <c r="I587" t="s">
        <v>17</v>
      </c>
      <c r="K587" t="s">
        <v>4960</v>
      </c>
      <c r="L587">
        <v>94</v>
      </c>
      <c r="M587" t="s">
        <v>4961</v>
      </c>
    </row>
    <row r="588" spans="1:13" x14ac:dyDescent="0.45">
      <c r="A588" t="s">
        <v>3601</v>
      </c>
      <c r="B588">
        <v>598804</v>
      </c>
      <c r="C588">
        <v>599358</v>
      </c>
      <c r="E588" t="s">
        <v>14</v>
      </c>
      <c r="F588" t="s">
        <v>51</v>
      </c>
      <c r="H588">
        <v>90427714</v>
      </c>
      <c r="I588" t="s">
        <v>52</v>
      </c>
      <c r="M588" t="s">
        <v>4962</v>
      </c>
    </row>
    <row r="589" spans="1:13" x14ac:dyDescent="0.45">
      <c r="A589" t="s">
        <v>3601</v>
      </c>
      <c r="B589">
        <v>599464</v>
      </c>
      <c r="C589">
        <v>600726</v>
      </c>
      <c r="E589" t="s">
        <v>14</v>
      </c>
      <c r="F589" t="s">
        <v>45</v>
      </c>
      <c r="H589">
        <v>83704401</v>
      </c>
      <c r="I589" t="s">
        <v>17</v>
      </c>
      <c r="K589" t="s">
        <v>4963</v>
      </c>
      <c r="L589">
        <v>420</v>
      </c>
      <c r="M589" t="s">
        <v>4964</v>
      </c>
    </row>
    <row r="590" spans="1:13" x14ac:dyDescent="0.45">
      <c r="A590" t="s">
        <v>3601</v>
      </c>
      <c r="B590">
        <v>600708</v>
      </c>
      <c r="C590">
        <v>601097</v>
      </c>
      <c r="E590" t="s">
        <v>14</v>
      </c>
      <c r="F590" t="s">
        <v>45</v>
      </c>
      <c r="H590">
        <v>83704402</v>
      </c>
      <c r="I590" t="s">
        <v>17</v>
      </c>
      <c r="K590" t="s">
        <v>4965</v>
      </c>
      <c r="L590">
        <v>129</v>
      </c>
      <c r="M590" t="s">
        <v>4966</v>
      </c>
    </row>
    <row r="591" spans="1:13" x14ac:dyDescent="0.45">
      <c r="A591" t="s">
        <v>3601</v>
      </c>
      <c r="B591">
        <v>601107</v>
      </c>
      <c r="C591">
        <v>601529</v>
      </c>
      <c r="E591" t="s">
        <v>14</v>
      </c>
      <c r="F591" t="s">
        <v>45</v>
      </c>
      <c r="H591">
        <v>83704403</v>
      </c>
      <c r="I591" t="s">
        <v>17</v>
      </c>
      <c r="K591" t="s">
        <v>4967</v>
      </c>
      <c r="L591">
        <v>140</v>
      </c>
      <c r="M591" t="s">
        <v>4968</v>
      </c>
    </row>
    <row r="592" spans="1:13" x14ac:dyDescent="0.45">
      <c r="A592" t="s">
        <v>3601</v>
      </c>
      <c r="B592">
        <v>601599</v>
      </c>
      <c r="C592">
        <v>603020</v>
      </c>
      <c r="E592" t="s">
        <v>14</v>
      </c>
      <c r="F592" t="s">
        <v>45</v>
      </c>
      <c r="H592">
        <v>83705862</v>
      </c>
      <c r="I592" t="s">
        <v>17</v>
      </c>
      <c r="K592" t="s">
        <v>4969</v>
      </c>
      <c r="L592">
        <v>473</v>
      </c>
      <c r="M592" t="s">
        <v>4970</v>
      </c>
    </row>
    <row r="593" spans="1:13" x14ac:dyDescent="0.45">
      <c r="A593" t="s">
        <v>3601</v>
      </c>
      <c r="B593">
        <v>603013</v>
      </c>
      <c r="C593">
        <v>603444</v>
      </c>
      <c r="E593" t="s">
        <v>14</v>
      </c>
      <c r="F593" t="s">
        <v>45</v>
      </c>
      <c r="H593">
        <v>83704404</v>
      </c>
      <c r="I593" t="s">
        <v>17</v>
      </c>
      <c r="K593" t="s">
        <v>4971</v>
      </c>
      <c r="L593">
        <v>143</v>
      </c>
      <c r="M593" t="s">
        <v>4972</v>
      </c>
    </row>
    <row r="594" spans="1:13" x14ac:dyDescent="0.45">
      <c r="A594" t="s">
        <v>3601</v>
      </c>
      <c r="B594">
        <v>603455</v>
      </c>
      <c r="C594">
        <v>604303</v>
      </c>
      <c r="E594" t="s">
        <v>14</v>
      </c>
      <c r="F594" t="s">
        <v>4973</v>
      </c>
      <c r="H594">
        <v>83704405</v>
      </c>
      <c r="I594" t="s">
        <v>17</v>
      </c>
      <c r="K594" t="s">
        <v>4974</v>
      </c>
      <c r="L594">
        <v>282</v>
      </c>
      <c r="M594" t="s">
        <v>4975</v>
      </c>
    </row>
    <row r="595" spans="1:13" x14ac:dyDescent="0.45">
      <c r="A595" t="s">
        <v>3601</v>
      </c>
      <c r="B595">
        <v>604344</v>
      </c>
      <c r="C595">
        <v>605657</v>
      </c>
      <c r="E595" t="s">
        <v>14</v>
      </c>
      <c r="F595" t="s">
        <v>4197</v>
      </c>
      <c r="H595">
        <v>83704406</v>
      </c>
      <c r="I595" t="s">
        <v>17</v>
      </c>
      <c r="K595" t="s">
        <v>4976</v>
      </c>
      <c r="L595">
        <v>437</v>
      </c>
      <c r="M595" t="s">
        <v>4977</v>
      </c>
    </row>
    <row r="596" spans="1:13" x14ac:dyDescent="0.45">
      <c r="A596" t="s">
        <v>3601</v>
      </c>
      <c r="B596">
        <v>605647</v>
      </c>
      <c r="C596">
        <v>605970</v>
      </c>
      <c r="E596" t="s">
        <v>14</v>
      </c>
      <c r="F596" t="s">
        <v>4200</v>
      </c>
      <c r="H596">
        <v>83704407</v>
      </c>
      <c r="I596" t="s">
        <v>17</v>
      </c>
      <c r="K596" t="s">
        <v>4978</v>
      </c>
      <c r="L596">
        <v>107</v>
      </c>
      <c r="M596" t="s">
        <v>4979</v>
      </c>
    </row>
    <row r="597" spans="1:13" x14ac:dyDescent="0.45">
      <c r="A597" t="s">
        <v>3601</v>
      </c>
      <c r="B597">
        <v>606004</v>
      </c>
      <c r="C597">
        <v>606291</v>
      </c>
      <c r="E597" t="s">
        <v>14</v>
      </c>
      <c r="F597" t="s">
        <v>45</v>
      </c>
      <c r="H597">
        <v>83704408</v>
      </c>
      <c r="I597" t="s">
        <v>17</v>
      </c>
      <c r="K597" t="s">
        <v>4980</v>
      </c>
      <c r="L597">
        <v>95</v>
      </c>
      <c r="M597" t="s">
        <v>4981</v>
      </c>
    </row>
    <row r="598" spans="1:13" x14ac:dyDescent="0.45">
      <c r="A598" t="s">
        <v>3601</v>
      </c>
      <c r="B598">
        <v>606293</v>
      </c>
      <c r="C598">
        <v>606715</v>
      </c>
      <c r="E598" t="s">
        <v>14</v>
      </c>
      <c r="F598" t="s">
        <v>45</v>
      </c>
      <c r="H598">
        <v>83704409</v>
      </c>
      <c r="I598" t="s">
        <v>17</v>
      </c>
      <c r="K598" t="s">
        <v>4982</v>
      </c>
      <c r="L598">
        <v>140</v>
      </c>
      <c r="M598" t="s">
        <v>4983</v>
      </c>
    </row>
    <row r="599" spans="1:13" x14ac:dyDescent="0.45">
      <c r="A599" t="s">
        <v>3601</v>
      </c>
      <c r="B599">
        <v>607204</v>
      </c>
      <c r="C599">
        <v>607446</v>
      </c>
      <c r="E599" t="s">
        <v>14</v>
      </c>
      <c r="F599" t="s">
        <v>45</v>
      </c>
      <c r="H599">
        <v>83704410</v>
      </c>
      <c r="I599" t="s">
        <v>17</v>
      </c>
      <c r="K599" t="s">
        <v>4984</v>
      </c>
      <c r="L599">
        <v>80</v>
      </c>
      <c r="M599" t="s">
        <v>4985</v>
      </c>
    </row>
    <row r="600" spans="1:13" x14ac:dyDescent="0.45">
      <c r="A600" t="s">
        <v>3601</v>
      </c>
      <c r="B600">
        <v>607461</v>
      </c>
      <c r="C600">
        <v>607721</v>
      </c>
      <c r="E600" t="s">
        <v>14</v>
      </c>
      <c r="F600" t="s">
        <v>45</v>
      </c>
      <c r="H600">
        <v>83704411</v>
      </c>
      <c r="I600" t="s">
        <v>17</v>
      </c>
      <c r="K600" t="s">
        <v>4986</v>
      </c>
      <c r="L600">
        <v>86</v>
      </c>
      <c r="M600" t="s">
        <v>4987</v>
      </c>
    </row>
    <row r="601" spans="1:13" x14ac:dyDescent="0.45">
      <c r="A601" t="s">
        <v>3601</v>
      </c>
      <c r="B601">
        <v>608044</v>
      </c>
      <c r="C601">
        <v>608526</v>
      </c>
      <c r="E601" t="s">
        <v>14</v>
      </c>
      <c r="F601" t="s">
        <v>45</v>
      </c>
      <c r="H601">
        <v>83705863</v>
      </c>
      <c r="I601" t="s">
        <v>17</v>
      </c>
      <c r="K601" t="s">
        <v>4988</v>
      </c>
      <c r="L601">
        <v>160</v>
      </c>
      <c r="M601" t="s">
        <v>4989</v>
      </c>
    </row>
    <row r="602" spans="1:13" x14ac:dyDescent="0.45">
      <c r="A602" t="s">
        <v>3601</v>
      </c>
      <c r="B602">
        <v>608979</v>
      </c>
      <c r="C602">
        <v>610264</v>
      </c>
      <c r="E602" t="s">
        <v>42</v>
      </c>
      <c r="F602" t="s">
        <v>51</v>
      </c>
      <c r="H602">
        <v>83704412</v>
      </c>
      <c r="I602" t="s">
        <v>52</v>
      </c>
      <c r="M602" t="s">
        <v>4990</v>
      </c>
    </row>
    <row r="603" spans="1:13" x14ac:dyDescent="0.45">
      <c r="A603" t="s">
        <v>3601</v>
      </c>
      <c r="B603">
        <v>610654</v>
      </c>
      <c r="C603">
        <v>611364</v>
      </c>
      <c r="E603" t="s">
        <v>14</v>
      </c>
      <c r="F603" t="s">
        <v>4991</v>
      </c>
      <c r="G603" t="s">
        <v>4992</v>
      </c>
      <c r="H603">
        <v>83704413</v>
      </c>
      <c r="I603" t="s">
        <v>17</v>
      </c>
      <c r="K603" t="s">
        <v>4993</v>
      </c>
      <c r="L603">
        <v>236</v>
      </c>
      <c r="M603" t="s">
        <v>4994</v>
      </c>
    </row>
    <row r="604" spans="1:13" x14ac:dyDescent="0.45">
      <c r="A604" t="s">
        <v>3601</v>
      </c>
      <c r="B604">
        <v>611378</v>
      </c>
      <c r="C604">
        <v>612028</v>
      </c>
      <c r="E604" t="s">
        <v>14</v>
      </c>
      <c r="F604" t="s">
        <v>4995</v>
      </c>
      <c r="H604">
        <v>83704414</v>
      </c>
      <c r="I604" t="s">
        <v>17</v>
      </c>
      <c r="K604" t="s">
        <v>4996</v>
      </c>
      <c r="L604">
        <v>216</v>
      </c>
      <c r="M604" t="s">
        <v>4997</v>
      </c>
    </row>
    <row r="605" spans="1:13" x14ac:dyDescent="0.45">
      <c r="A605" t="s">
        <v>3601</v>
      </c>
      <c r="B605">
        <v>612046</v>
      </c>
      <c r="C605">
        <v>613158</v>
      </c>
      <c r="E605" t="s">
        <v>14</v>
      </c>
      <c r="F605" t="s">
        <v>864</v>
      </c>
      <c r="G605" t="s">
        <v>865</v>
      </c>
      <c r="H605">
        <v>83704415</v>
      </c>
      <c r="I605" t="s">
        <v>17</v>
      </c>
      <c r="K605" t="s">
        <v>4998</v>
      </c>
      <c r="L605">
        <v>370</v>
      </c>
      <c r="M605" t="s">
        <v>4999</v>
      </c>
    </row>
    <row r="606" spans="1:13" x14ac:dyDescent="0.45">
      <c r="A606" t="s">
        <v>3601</v>
      </c>
      <c r="B606">
        <v>613426</v>
      </c>
      <c r="C606">
        <v>614166</v>
      </c>
      <c r="E606" t="s">
        <v>14</v>
      </c>
      <c r="F606" t="s">
        <v>511</v>
      </c>
      <c r="H606">
        <v>83704416</v>
      </c>
      <c r="I606" t="s">
        <v>17</v>
      </c>
      <c r="K606" t="s">
        <v>5000</v>
      </c>
      <c r="L606">
        <v>246</v>
      </c>
      <c r="M606" t="s">
        <v>5001</v>
      </c>
    </row>
    <row r="607" spans="1:13" x14ac:dyDescent="0.45">
      <c r="A607" t="s">
        <v>3601</v>
      </c>
      <c r="B607">
        <v>614163</v>
      </c>
      <c r="C607">
        <v>615881</v>
      </c>
      <c r="E607" t="s">
        <v>14</v>
      </c>
      <c r="F607" t="s">
        <v>5002</v>
      </c>
      <c r="H607">
        <v>83704417</v>
      </c>
      <c r="I607" t="s">
        <v>17</v>
      </c>
      <c r="K607" t="s">
        <v>5003</v>
      </c>
      <c r="L607">
        <v>572</v>
      </c>
      <c r="M607" t="s">
        <v>5004</v>
      </c>
    </row>
    <row r="608" spans="1:13" x14ac:dyDescent="0.45">
      <c r="A608" t="s">
        <v>3601</v>
      </c>
      <c r="B608">
        <v>615921</v>
      </c>
      <c r="C608">
        <v>617009</v>
      </c>
      <c r="E608" t="s">
        <v>14</v>
      </c>
      <c r="F608" t="s">
        <v>5005</v>
      </c>
      <c r="H608">
        <v>83704418</v>
      </c>
      <c r="I608" t="s">
        <v>17</v>
      </c>
      <c r="K608" t="s">
        <v>5006</v>
      </c>
      <c r="L608">
        <v>362</v>
      </c>
      <c r="M608" t="s">
        <v>5007</v>
      </c>
    </row>
    <row r="609" spans="1:13" x14ac:dyDescent="0.45">
      <c r="A609" t="s">
        <v>3601</v>
      </c>
      <c r="B609">
        <v>617024</v>
      </c>
      <c r="C609">
        <v>617728</v>
      </c>
      <c r="E609" t="s">
        <v>14</v>
      </c>
      <c r="F609" t="s">
        <v>5008</v>
      </c>
      <c r="H609">
        <v>83704419</v>
      </c>
      <c r="I609" t="s">
        <v>17</v>
      </c>
      <c r="K609" t="s">
        <v>5009</v>
      </c>
      <c r="L609">
        <v>234</v>
      </c>
      <c r="M609" t="s">
        <v>5010</v>
      </c>
    </row>
    <row r="610" spans="1:13" x14ac:dyDescent="0.45">
      <c r="A610" t="s">
        <v>3601</v>
      </c>
      <c r="B610">
        <v>617988</v>
      </c>
      <c r="C610">
        <v>618476</v>
      </c>
      <c r="E610" t="s">
        <v>14</v>
      </c>
      <c r="F610" t="s">
        <v>5011</v>
      </c>
      <c r="H610">
        <v>83704420</v>
      </c>
      <c r="I610" t="s">
        <v>17</v>
      </c>
      <c r="K610" t="s">
        <v>5012</v>
      </c>
      <c r="L610">
        <v>162</v>
      </c>
      <c r="M610" t="s">
        <v>5013</v>
      </c>
    </row>
    <row r="611" spans="1:13" x14ac:dyDescent="0.45">
      <c r="A611" t="s">
        <v>3601</v>
      </c>
      <c r="B611">
        <v>618987</v>
      </c>
      <c r="C611">
        <v>619460</v>
      </c>
      <c r="E611" t="s">
        <v>42</v>
      </c>
      <c r="F611" t="s">
        <v>5014</v>
      </c>
      <c r="H611">
        <v>83704421</v>
      </c>
      <c r="I611" t="s">
        <v>17</v>
      </c>
      <c r="K611" t="s">
        <v>5015</v>
      </c>
      <c r="L611">
        <v>157</v>
      </c>
      <c r="M611" t="s">
        <v>5016</v>
      </c>
    </row>
    <row r="612" spans="1:13" x14ac:dyDescent="0.45">
      <c r="A612" t="s">
        <v>3601</v>
      </c>
      <c r="B612">
        <v>619601</v>
      </c>
      <c r="C612">
        <v>620281</v>
      </c>
      <c r="E612" t="s">
        <v>14</v>
      </c>
      <c r="F612" t="s">
        <v>402</v>
      </c>
      <c r="H612">
        <v>83704422</v>
      </c>
      <c r="I612" t="s">
        <v>17</v>
      </c>
      <c r="K612" t="s">
        <v>5017</v>
      </c>
      <c r="L612">
        <v>226</v>
      </c>
      <c r="M612" t="s">
        <v>5018</v>
      </c>
    </row>
    <row r="613" spans="1:13" x14ac:dyDescent="0.45">
      <c r="A613" t="s">
        <v>3601</v>
      </c>
      <c r="B613">
        <v>620550</v>
      </c>
      <c r="C613">
        <v>621785</v>
      </c>
      <c r="E613" t="s">
        <v>14</v>
      </c>
      <c r="F613" t="s">
        <v>5019</v>
      </c>
      <c r="G613" t="s">
        <v>5020</v>
      </c>
      <c r="H613">
        <v>83704423</v>
      </c>
      <c r="I613" t="s">
        <v>17</v>
      </c>
      <c r="K613" t="s">
        <v>5021</v>
      </c>
      <c r="L613">
        <v>411</v>
      </c>
      <c r="M613" t="s">
        <v>5022</v>
      </c>
    </row>
    <row r="614" spans="1:13" x14ac:dyDescent="0.45">
      <c r="A614" t="s">
        <v>3601</v>
      </c>
      <c r="B614">
        <v>621795</v>
      </c>
      <c r="C614">
        <v>622226</v>
      </c>
      <c r="E614" t="s">
        <v>14</v>
      </c>
      <c r="F614" t="s">
        <v>144</v>
      </c>
      <c r="H614">
        <v>83704424</v>
      </c>
      <c r="I614" t="s">
        <v>17</v>
      </c>
      <c r="K614" t="s">
        <v>5023</v>
      </c>
      <c r="L614">
        <v>143</v>
      </c>
      <c r="M614" t="s">
        <v>5024</v>
      </c>
    </row>
    <row r="615" spans="1:13" x14ac:dyDescent="0.45">
      <c r="A615" t="s">
        <v>3601</v>
      </c>
      <c r="B615">
        <v>622241</v>
      </c>
      <c r="C615">
        <v>623254</v>
      </c>
      <c r="E615" t="s">
        <v>14</v>
      </c>
      <c r="F615" t="s">
        <v>5025</v>
      </c>
      <c r="G615" t="s">
        <v>5026</v>
      </c>
      <c r="H615">
        <v>83704425</v>
      </c>
      <c r="I615" t="s">
        <v>17</v>
      </c>
      <c r="K615" t="s">
        <v>5027</v>
      </c>
      <c r="L615">
        <v>337</v>
      </c>
      <c r="M615" t="s">
        <v>5028</v>
      </c>
    </row>
    <row r="616" spans="1:13" x14ac:dyDescent="0.45">
      <c r="A616" t="s">
        <v>3601</v>
      </c>
      <c r="B616">
        <v>623417</v>
      </c>
      <c r="C616">
        <v>624910</v>
      </c>
      <c r="E616" t="s">
        <v>14</v>
      </c>
      <c r="F616" t="s">
        <v>5029</v>
      </c>
      <c r="H616">
        <v>83704426</v>
      </c>
      <c r="I616" t="s">
        <v>17</v>
      </c>
      <c r="K616" t="s">
        <v>5030</v>
      </c>
      <c r="L616">
        <v>497</v>
      </c>
      <c r="M616" t="s">
        <v>5031</v>
      </c>
    </row>
    <row r="617" spans="1:13" x14ac:dyDescent="0.45">
      <c r="A617" t="s">
        <v>3601</v>
      </c>
      <c r="B617">
        <v>624927</v>
      </c>
      <c r="C617">
        <v>626258</v>
      </c>
      <c r="E617" t="s">
        <v>14</v>
      </c>
      <c r="F617" t="s">
        <v>5032</v>
      </c>
      <c r="H617">
        <v>83704427</v>
      </c>
      <c r="I617" t="s">
        <v>17</v>
      </c>
      <c r="K617" t="s">
        <v>5033</v>
      </c>
      <c r="L617">
        <v>443</v>
      </c>
      <c r="M617" t="s">
        <v>5034</v>
      </c>
    </row>
    <row r="618" spans="1:13" x14ac:dyDescent="0.45">
      <c r="A618" t="s">
        <v>3601</v>
      </c>
      <c r="B618">
        <v>626276</v>
      </c>
      <c r="C618">
        <v>627226</v>
      </c>
      <c r="E618" t="s">
        <v>14</v>
      </c>
      <c r="F618" t="s">
        <v>5035</v>
      </c>
      <c r="G618" t="s">
        <v>5036</v>
      </c>
      <c r="H618">
        <v>83704428</v>
      </c>
      <c r="I618" t="s">
        <v>17</v>
      </c>
      <c r="K618" t="s">
        <v>5037</v>
      </c>
      <c r="L618">
        <v>316</v>
      </c>
      <c r="M618" t="s">
        <v>5038</v>
      </c>
    </row>
    <row r="619" spans="1:13" x14ac:dyDescent="0.45">
      <c r="A619" t="s">
        <v>3601</v>
      </c>
      <c r="B619">
        <v>627446</v>
      </c>
      <c r="C619">
        <v>628438</v>
      </c>
      <c r="E619" t="s">
        <v>14</v>
      </c>
      <c r="F619" t="s">
        <v>1021</v>
      </c>
      <c r="G619" t="s">
        <v>1022</v>
      </c>
      <c r="H619">
        <v>83704429</v>
      </c>
      <c r="I619" t="s">
        <v>17</v>
      </c>
      <c r="K619" t="s">
        <v>5039</v>
      </c>
      <c r="L619">
        <v>330</v>
      </c>
      <c r="M619" t="s">
        <v>5040</v>
      </c>
    </row>
    <row r="620" spans="1:13" x14ac:dyDescent="0.45">
      <c r="A620" t="s">
        <v>3601</v>
      </c>
      <c r="B620">
        <v>628607</v>
      </c>
      <c r="C620">
        <v>629146</v>
      </c>
      <c r="E620" t="s">
        <v>14</v>
      </c>
      <c r="F620" t="s">
        <v>583</v>
      </c>
      <c r="G620" t="s">
        <v>584</v>
      </c>
      <c r="H620">
        <v>83704430</v>
      </c>
      <c r="I620" t="s">
        <v>17</v>
      </c>
      <c r="K620" t="s">
        <v>5041</v>
      </c>
      <c r="L620">
        <v>179</v>
      </c>
      <c r="M620" t="s">
        <v>5042</v>
      </c>
    </row>
    <row r="621" spans="1:13" x14ac:dyDescent="0.45">
      <c r="A621" t="s">
        <v>3601</v>
      </c>
      <c r="B621">
        <v>629136</v>
      </c>
      <c r="C621">
        <v>629636</v>
      </c>
      <c r="E621" t="s">
        <v>14</v>
      </c>
      <c r="F621" t="s">
        <v>585</v>
      </c>
      <c r="G621" t="s">
        <v>586</v>
      </c>
      <c r="H621">
        <v>83704431</v>
      </c>
      <c r="I621" t="s">
        <v>17</v>
      </c>
      <c r="K621" t="s">
        <v>5043</v>
      </c>
      <c r="L621">
        <v>166</v>
      </c>
      <c r="M621" t="s">
        <v>5044</v>
      </c>
    </row>
    <row r="622" spans="1:13" x14ac:dyDescent="0.45">
      <c r="A622" t="s">
        <v>3601</v>
      </c>
      <c r="B622">
        <v>629614</v>
      </c>
      <c r="C622">
        <v>630651</v>
      </c>
      <c r="E622" t="s">
        <v>14</v>
      </c>
      <c r="F622" t="s">
        <v>587</v>
      </c>
      <c r="H622">
        <v>83704432</v>
      </c>
      <c r="I622" t="s">
        <v>17</v>
      </c>
      <c r="K622" t="s">
        <v>5045</v>
      </c>
      <c r="L622">
        <v>345</v>
      </c>
      <c r="M622" t="s">
        <v>5046</v>
      </c>
    </row>
    <row r="623" spans="1:13" x14ac:dyDescent="0.45">
      <c r="A623" t="s">
        <v>3601</v>
      </c>
      <c r="B623">
        <v>630955</v>
      </c>
      <c r="C623">
        <v>632214</v>
      </c>
      <c r="E623" t="s">
        <v>42</v>
      </c>
      <c r="F623" t="s">
        <v>3687</v>
      </c>
      <c r="H623">
        <v>83704433</v>
      </c>
      <c r="I623" t="s">
        <v>17</v>
      </c>
      <c r="K623" t="s">
        <v>5047</v>
      </c>
      <c r="L623">
        <v>419</v>
      </c>
      <c r="M623" t="s">
        <v>5048</v>
      </c>
    </row>
    <row r="624" spans="1:13" x14ac:dyDescent="0.45">
      <c r="A624" t="s">
        <v>3601</v>
      </c>
      <c r="B624">
        <v>632694</v>
      </c>
      <c r="C624">
        <v>633308</v>
      </c>
      <c r="E624" t="s">
        <v>14</v>
      </c>
      <c r="F624" t="s">
        <v>344</v>
      </c>
      <c r="H624">
        <v>83704434</v>
      </c>
      <c r="I624" t="s">
        <v>17</v>
      </c>
      <c r="K624" t="s">
        <v>5049</v>
      </c>
      <c r="L624">
        <v>204</v>
      </c>
      <c r="M624" t="s">
        <v>5050</v>
      </c>
    </row>
    <row r="625" spans="1:13" x14ac:dyDescent="0.45">
      <c r="A625" t="s">
        <v>3601</v>
      </c>
      <c r="B625">
        <v>633312</v>
      </c>
      <c r="C625">
        <v>634394</v>
      </c>
      <c r="E625" t="s">
        <v>14</v>
      </c>
      <c r="F625" t="s">
        <v>5051</v>
      </c>
      <c r="G625" t="s">
        <v>5052</v>
      </c>
      <c r="H625">
        <v>83704435</v>
      </c>
      <c r="I625" t="s">
        <v>17</v>
      </c>
      <c r="K625" t="s">
        <v>5053</v>
      </c>
      <c r="L625">
        <v>360</v>
      </c>
      <c r="M625" t="s">
        <v>5054</v>
      </c>
    </row>
    <row r="626" spans="1:13" x14ac:dyDescent="0.45">
      <c r="A626" t="s">
        <v>3601</v>
      </c>
      <c r="B626">
        <v>634817</v>
      </c>
      <c r="C626">
        <v>635314</v>
      </c>
      <c r="E626" t="s">
        <v>42</v>
      </c>
      <c r="F626" t="s">
        <v>5055</v>
      </c>
      <c r="H626">
        <v>83704436</v>
      </c>
      <c r="I626" t="s">
        <v>17</v>
      </c>
      <c r="K626" t="s">
        <v>5056</v>
      </c>
      <c r="L626">
        <v>165</v>
      </c>
      <c r="M626" t="s">
        <v>5057</v>
      </c>
    </row>
    <row r="627" spans="1:13" x14ac:dyDescent="0.45">
      <c r="A627" t="s">
        <v>3601</v>
      </c>
      <c r="B627">
        <v>635666</v>
      </c>
      <c r="C627">
        <v>636196</v>
      </c>
      <c r="E627" t="s">
        <v>14</v>
      </c>
      <c r="F627" t="s">
        <v>5058</v>
      </c>
      <c r="H627">
        <v>83704437</v>
      </c>
      <c r="I627" t="s">
        <v>17</v>
      </c>
      <c r="K627" t="s">
        <v>5059</v>
      </c>
      <c r="L627">
        <v>176</v>
      </c>
      <c r="M627" t="s">
        <v>5060</v>
      </c>
    </row>
    <row r="628" spans="1:13" x14ac:dyDescent="0.45">
      <c r="A628" t="s">
        <v>3601</v>
      </c>
      <c r="B628">
        <v>636569</v>
      </c>
      <c r="C628">
        <v>636802</v>
      </c>
      <c r="E628" t="s">
        <v>14</v>
      </c>
      <c r="F628" t="s">
        <v>895</v>
      </c>
      <c r="H628">
        <v>83704438</v>
      </c>
      <c r="I628" t="s">
        <v>17</v>
      </c>
      <c r="K628" t="s">
        <v>5061</v>
      </c>
      <c r="L628">
        <v>77</v>
      </c>
      <c r="M628" t="s">
        <v>5062</v>
      </c>
    </row>
    <row r="629" spans="1:13" x14ac:dyDescent="0.45">
      <c r="A629" t="s">
        <v>3601</v>
      </c>
      <c r="B629">
        <v>636777</v>
      </c>
      <c r="C629">
        <v>637748</v>
      </c>
      <c r="E629" t="s">
        <v>14</v>
      </c>
      <c r="F629" t="s">
        <v>5063</v>
      </c>
      <c r="H629">
        <v>83704439</v>
      </c>
      <c r="I629" t="s">
        <v>17</v>
      </c>
      <c r="K629" t="s">
        <v>5064</v>
      </c>
      <c r="L629">
        <v>323</v>
      </c>
      <c r="M629" t="s">
        <v>5065</v>
      </c>
    </row>
    <row r="630" spans="1:13" x14ac:dyDescent="0.45">
      <c r="A630" t="s">
        <v>3601</v>
      </c>
      <c r="B630">
        <v>637758</v>
      </c>
      <c r="C630">
        <v>638138</v>
      </c>
      <c r="E630" t="s">
        <v>14</v>
      </c>
      <c r="F630" t="s">
        <v>894</v>
      </c>
      <c r="H630">
        <v>83704440</v>
      </c>
      <c r="I630" t="s">
        <v>17</v>
      </c>
      <c r="K630" t="s">
        <v>5066</v>
      </c>
      <c r="L630">
        <v>126</v>
      </c>
      <c r="M630" t="s">
        <v>5067</v>
      </c>
    </row>
    <row r="631" spans="1:13" x14ac:dyDescent="0.45">
      <c r="A631" t="s">
        <v>3601</v>
      </c>
      <c r="B631">
        <v>638534</v>
      </c>
      <c r="C631">
        <v>640375</v>
      </c>
      <c r="E631" t="s">
        <v>14</v>
      </c>
      <c r="F631" t="s">
        <v>580</v>
      </c>
      <c r="G631" t="s">
        <v>581</v>
      </c>
      <c r="H631">
        <v>83704441</v>
      </c>
      <c r="I631" t="s">
        <v>17</v>
      </c>
      <c r="K631" t="s">
        <v>5068</v>
      </c>
      <c r="L631">
        <v>613</v>
      </c>
      <c r="M631" t="s">
        <v>5069</v>
      </c>
    </row>
    <row r="632" spans="1:13" x14ac:dyDescent="0.45">
      <c r="A632" t="s">
        <v>3601</v>
      </c>
      <c r="B632">
        <v>640457</v>
      </c>
      <c r="C632">
        <v>640705</v>
      </c>
      <c r="E632" t="s">
        <v>14</v>
      </c>
      <c r="F632" t="s">
        <v>5070</v>
      </c>
      <c r="H632">
        <v>83704442</v>
      </c>
      <c r="I632" t="s">
        <v>17</v>
      </c>
      <c r="K632" t="s">
        <v>5071</v>
      </c>
      <c r="L632">
        <v>82</v>
      </c>
      <c r="M632" t="s">
        <v>5072</v>
      </c>
    </row>
    <row r="633" spans="1:13" x14ac:dyDescent="0.45">
      <c r="A633" t="s">
        <v>3601</v>
      </c>
      <c r="B633">
        <v>640858</v>
      </c>
      <c r="C633">
        <v>642219</v>
      </c>
      <c r="E633" t="s">
        <v>14</v>
      </c>
      <c r="F633" t="s">
        <v>561</v>
      </c>
      <c r="G633" t="s">
        <v>562</v>
      </c>
      <c r="H633">
        <v>83704443</v>
      </c>
      <c r="I633" t="s">
        <v>17</v>
      </c>
      <c r="K633" t="s">
        <v>5073</v>
      </c>
      <c r="L633">
        <v>453</v>
      </c>
      <c r="M633" t="s">
        <v>5074</v>
      </c>
    </row>
    <row r="634" spans="1:13" x14ac:dyDescent="0.45">
      <c r="A634" t="s">
        <v>3601</v>
      </c>
      <c r="B634">
        <v>642216</v>
      </c>
      <c r="C634">
        <v>643298</v>
      </c>
      <c r="E634" t="s">
        <v>14</v>
      </c>
      <c r="F634" t="s">
        <v>5075</v>
      </c>
      <c r="H634">
        <v>83704444</v>
      </c>
      <c r="I634" t="s">
        <v>17</v>
      </c>
      <c r="K634" t="s">
        <v>5076</v>
      </c>
      <c r="L634">
        <v>360</v>
      </c>
      <c r="M634" t="s">
        <v>5077</v>
      </c>
    </row>
    <row r="635" spans="1:13" x14ac:dyDescent="0.45">
      <c r="A635" t="s">
        <v>3601</v>
      </c>
      <c r="B635">
        <v>643299</v>
      </c>
      <c r="C635">
        <v>644489</v>
      </c>
      <c r="E635" t="s">
        <v>14</v>
      </c>
      <c r="F635" t="s">
        <v>5078</v>
      </c>
      <c r="H635">
        <v>83704445</v>
      </c>
      <c r="I635" t="s">
        <v>17</v>
      </c>
      <c r="K635" t="s">
        <v>5079</v>
      </c>
      <c r="L635">
        <v>396</v>
      </c>
      <c r="M635" t="s">
        <v>5080</v>
      </c>
    </row>
    <row r="636" spans="1:13" x14ac:dyDescent="0.45">
      <c r="A636" t="s">
        <v>3601</v>
      </c>
      <c r="B636">
        <v>644701</v>
      </c>
      <c r="C636">
        <v>646065</v>
      </c>
      <c r="E636" t="s">
        <v>14</v>
      </c>
      <c r="F636" t="s">
        <v>563</v>
      </c>
      <c r="G636" t="s">
        <v>564</v>
      </c>
      <c r="H636">
        <v>83704446</v>
      </c>
      <c r="I636" t="s">
        <v>17</v>
      </c>
      <c r="K636" t="s">
        <v>5081</v>
      </c>
      <c r="L636">
        <v>454</v>
      </c>
      <c r="M636" t="s">
        <v>5082</v>
      </c>
    </row>
    <row r="637" spans="1:13" x14ac:dyDescent="0.45">
      <c r="A637" t="s">
        <v>3601</v>
      </c>
      <c r="B637">
        <v>646089</v>
      </c>
      <c r="C637">
        <v>647417</v>
      </c>
      <c r="E637" t="s">
        <v>14</v>
      </c>
      <c r="F637" t="s">
        <v>565</v>
      </c>
      <c r="G637" t="s">
        <v>566</v>
      </c>
      <c r="H637">
        <v>83704447</v>
      </c>
      <c r="I637" t="s">
        <v>17</v>
      </c>
      <c r="K637" t="s">
        <v>5083</v>
      </c>
      <c r="L637">
        <v>442</v>
      </c>
      <c r="M637" t="s">
        <v>5084</v>
      </c>
    </row>
    <row r="638" spans="1:13" x14ac:dyDescent="0.45">
      <c r="A638" t="s">
        <v>3601</v>
      </c>
      <c r="B638">
        <v>647420</v>
      </c>
      <c r="C638">
        <v>648091</v>
      </c>
      <c r="E638" t="s">
        <v>14</v>
      </c>
      <c r="F638" t="s">
        <v>5085</v>
      </c>
      <c r="H638">
        <v>83704448</v>
      </c>
      <c r="I638" t="s">
        <v>17</v>
      </c>
      <c r="K638" t="s">
        <v>5086</v>
      </c>
      <c r="L638">
        <v>223</v>
      </c>
      <c r="M638" t="s">
        <v>5087</v>
      </c>
    </row>
    <row r="639" spans="1:13" x14ac:dyDescent="0.45">
      <c r="A639" t="s">
        <v>3601</v>
      </c>
      <c r="B639">
        <v>648104</v>
      </c>
      <c r="C639">
        <v>648766</v>
      </c>
      <c r="E639" t="s">
        <v>14</v>
      </c>
      <c r="F639" t="s">
        <v>567</v>
      </c>
      <c r="H639">
        <v>83704449</v>
      </c>
      <c r="I639" t="s">
        <v>17</v>
      </c>
      <c r="K639" t="s">
        <v>5088</v>
      </c>
      <c r="L639">
        <v>220</v>
      </c>
      <c r="M639" t="s">
        <v>5089</v>
      </c>
    </row>
    <row r="640" spans="1:13" x14ac:dyDescent="0.45">
      <c r="A640" t="s">
        <v>3601</v>
      </c>
      <c r="B640">
        <v>648771</v>
      </c>
      <c r="C640">
        <v>649028</v>
      </c>
      <c r="E640" t="s">
        <v>14</v>
      </c>
      <c r="F640" t="s">
        <v>5090</v>
      </c>
      <c r="H640">
        <v>83704450</v>
      </c>
      <c r="I640" t="s">
        <v>17</v>
      </c>
      <c r="K640" t="s">
        <v>5091</v>
      </c>
      <c r="L640">
        <v>85</v>
      </c>
      <c r="M640" t="s">
        <v>5092</v>
      </c>
    </row>
    <row r="641" spans="1:13" x14ac:dyDescent="0.45">
      <c r="A641" t="s">
        <v>3601</v>
      </c>
      <c r="B641">
        <v>649025</v>
      </c>
      <c r="C641">
        <v>649819</v>
      </c>
      <c r="E641" t="s">
        <v>14</v>
      </c>
      <c r="F641" t="s">
        <v>5093</v>
      </c>
      <c r="H641">
        <v>83704451</v>
      </c>
      <c r="I641" t="s">
        <v>17</v>
      </c>
      <c r="K641" t="s">
        <v>5094</v>
      </c>
      <c r="L641">
        <v>264</v>
      </c>
      <c r="M641" t="s">
        <v>5095</v>
      </c>
    </row>
    <row r="642" spans="1:13" x14ac:dyDescent="0.45">
      <c r="A642" t="s">
        <v>3601</v>
      </c>
      <c r="B642">
        <v>649829</v>
      </c>
      <c r="C642">
        <v>650584</v>
      </c>
      <c r="E642" t="s">
        <v>14</v>
      </c>
      <c r="F642" t="s">
        <v>568</v>
      </c>
      <c r="H642">
        <v>83704452</v>
      </c>
      <c r="I642" t="s">
        <v>17</v>
      </c>
      <c r="K642" t="s">
        <v>5096</v>
      </c>
      <c r="L642">
        <v>251</v>
      </c>
      <c r="M642" t="s">
        <v>5097</v>
      </c>
    </row>
    <row r="643" spans="1:13" x14ac:dyDescent="0.45">
      <c r="A643" t="s">
        <v>3601</v>
      </c>
      <c r="B643">
        <v>650855</v>
      </c>
      <c r="C643">
        <v>653653</v>
      </c>
      <c r="E643" t="s">
        <v>14</v>
      </c>
      <c r="F643" t="s">
        <v>569</v>
      </c>
      <c r="G643" t="s">
        <v>570</v>
      </c>
      <c r="H643">
        <v>83704453</v>
      </c>
      <c r="I643" t="s">
        <v>17</v>
      </c>
      <c r="K643" t="s">
        <v>5098</v>
      </c>
      <c r="L643">
        <v>932</v>
      </c>
      <c r="M643" t="s">
        <v>5099</v>
      </c>
    </row>
    <row r="644" spans="1:13" x14ac:dyDescent="0.45">
      <c r="A644" t="s">
        <v>3601</v>
      </c>
      <c r="B644">
        <v>654311</v>
      </c>
      <c r="C644">
        <v>654613</v>
      </c>
      <c r="E644" t="s">
        <v>42</v>
      </c>
      <c r="F644" t="s">
        <v>435</v>
      </c>
      <c r="H644">
        <v>83704454</v>
      </c>
      <c r="I644" t="s">
        <v>17</v>
      </c>
      <c r="K644" t="s">
        <v>5100</v>
      </c>
      <c r="L644">
        <v>100</v>
      </c>
      <c r="M644" t="s">
        <v>5101</v>
      </c>
    </row>
    <row r="645" spans="1:13" x14ac:dyDescent="0.45">
      <c r="A645" t="s">
        <v>3601</v>
      </c>
      <c r="B645">
        <v>654675</v>
      </c>
      <c r="C645">
        <v>655121</v>
      </c>
      <c r="E645" t="s">
        <v>42</v>
      </c>
      <c r="F645" t="s">
        <v>571</v>
      </c>
      <c r="H645">
        <v>83704455</v>
      </c>
      <c r="I645" t="s">
        <v>17</v>
      </c>
      <c r="K645" t="s">
        <v>5102</v>
      </c>
      <c r="L645">
        <v>148</v>
      </c>
      <c r="M645" t="s">
        <v>5103</v>
      </c>
    </row>
    <row r="646" spans="1:13" x14ac:dyDescent="0.45">
      <c r="A646" t="s">
        <v>3601</v>
      </c>
      <c r="B646">
        <v>655269</v>
      </c>
      <c r="C646">
        <v>657524</v>
      </c>
      <c r="E646" t="s">
        <v>42</v>
      </c>
      <c r="F646" t="s">
        <v>174</v>
      </c>
      <c r="H646">
        <v>83704456</v>
      </c>
      <c r="I646" t="s">
        <v>17</v>
      </c>
      <c r="K646" t="s">
        <v>5104</v>
      </c>
      <c r="L646">
        <v>751</v>
      </c>
      <c r="M646" t="s">
        <v>5105</v>
      </c>
    </row>
    <row r="647" spans="1:13" x14ac:dyDescent="0.45">
      <c r="A647" t="s">
        <v>3601</v>
      </c>
      <c r="B647">
        <v>657807</v>
      </c>
      <c r="C647">
        <v>658037</v>
      </c>
      <c r="E647" t="s">
        <v>14</v>
      </c>
      <c r="F647" t="s">
        <v>5106</v>
      </c>
      <c r="H647">
        <v>83704457</v>
      </c>
      <c r="I647" t="s">
        <v>17</v>
      </c>
      <c r="K647" t="s">
        <v>5107</v>
      </c>
      <c r="L647">
        <v>76</v>
      </c>
      <c r="M647" t="s">
        <v>5108</v>
      </c>
    </row>
    <row r="648" spans="1:13" x14ac:dyDescent="0.45">
      <c r="A648" t="s">
        <v>3601</v>
      </c>
      <c r="B648">
        <v>658482</v>
      </c>
      <c r="C648">
        <v>659492</v>
      </c>
      <c r="E648" t="s">
        <v>42</v>
      </c>
      <c r="F648" t="s">
        <v>49</v>
      </c>
      <c r="H648">
        <v>83704458</v>
      </c>
      <c r="I648" t="s">
        <v>17</v>
      </c>
      <c r="K648" t="s">
        <v>5109</v>
      </c>
      <c r="L648">
        <v>336</v>
      </c>
      <c r="M648" t="s">
        <v>5110</v>
      </c>
    </row>
    <row r="649" spans="1:13" x14ac:dyDescent="0.45">
      <c r="A649" t="s">
        <v>3601</v>
      </c>
      <c r="B649">
        <v>659839</v>
      </c>
      <c r="C649">
        <v>660522</v>
      </c>
      <c r="E649" t="s">
        <v>14</v>
      </c>
      <c r="F649" t="s">
        <v>411</v>
      </c>
      <c r="H649">
        <v>83704459</v>
      </c>
      <c r="I649" t="s">
        <v>17</v>
      </c>
      <c r="K649" t="s">
        <v>5111</v>
      </c>
      <c r="L649">
        <v>227</v>
      </c>
      <c r="M649" t="s">
        <v>5112</v>
      </c>
    </row>
    <row r="650" spans="1:13" x14ac:dyDescent="0.45">
      <c r="A650" t="s">
        <v>3601</v>
      </c>
      <c r="B650">
        <v>660524</v>
      </c>
      <c r="C650">
        <v>661261</v>
      </c>
      <c r="E650" t="s">
        <v>14</v>
      </c>
      <c r="F650" t="s">
        <v>86</v>
      </c>
      <c r="H650">
        <v>83704460</v>
      </c>
      <c r="I650" t="s">
        <v>17</v>
      </c>
      <c r="K650" t="s">
        <v>5113</v>
      </c>
      <c r="L650">
        <v>245</v>
      </c>
      <c r="M650" t="s">
        <v>5114</v>
      </c>
    </row>
    <row r="651" spans="1:13" x14ac:dyDescent="0.45">
      <c r="A651" t="s">
        <v>3601</v>
      </c>
      <c r="B651">
        <v>661721</v>
      </c>
      <c r="C651">
        <v>663415</v>
      </c>
      <c r="E651" t="s">
        <v>14</v>
      </c>
      <c r="F651" t="s">
        <v>473</v>
      </c>
      <c r="H651">
        <v>83704461</v>
      </c>
      <c r="I651" t="s">
        <v>17</v>
      </c>
      <c r="K651" t="s">
        <v>5115</v>
      </c>
      <c r="L651">
        <v>564</v>
      </c>
      <c r="M651" t="s">
        <v>5116</v>
      </c>
    </row>
    <row r="652" spans="1:13" x14ac:dyDescent="0.45">
      <c r="A652" t="s">
        <v>3601</v>
      </c>
      <c r="B652">
        <v>663527</v>
      </c>
      <c r="C652">
        <v>664381</v>
      </c>
      <c r="E652" t="s">
        <v>14</v>
      </c>
      <c r="F652" t="s">
        <v>851</v>
      </c>
      <c r="H652">
        <v>83704462</v>
      </c>
      <c r="I652" t="s">
        <v>17</v>
      </c>
      <c r="K652" t="s">
        <v>5117</v>
      </c>
      <c r="L652">
        <v>284</v>
      </c>
      <c r="M652" t="s">
        <v>5118</v>
      </c>
    </row>
    <row r="653" spans="1:13" x14ac:dyDescent="0.45">
      <c r="A653" t="s">
        <v>3601</v>
      </c>
      <c r="B653">
        <v>664378</v>
      </c>
      <c r="C653">
        <v>665232</v>
      </c>
      <c r="E653" t="s">
        <v>14</v>
      </c>
      <c r="F653" t="s">
        <v>967</v>
      </c>
      <c r="H653">
        <v>83704463</v>
      </c>
      <c r="I653" t="s">
        <v>17</v>
      </c>
      <c r="K653" t="s">
        <v>5119</v>
      </c>
      <c r="L653">
        <v>284</v>
      </c>
      <c r="M653" t="s">
        <v>5120</v>
      </c>
    </row>
    <row r="654" spans="1:13" x14ac:dyDescent="0.45">
      <c r="A654" t="s">
        <v>3601</v>
      </c>
      <c r="B654">
        <v>665515</v>
      </c>
      <c r="C654">
        <v>666855</v>
      </c>
      <c r="E654" t="s">
        <v>14</v>
      </c>
      <c r="F654" t="s">
        <v>849</v>
      </c>
      <c r="G654" t="s">
        <v>850</v>
      </c>
      <c r="H654">
        <v>83704464</v>
      </c>
      <c r="I654" t="s">
        <v>17</v>
      </c>
      <c r="K654" t="s">
        <v>5121</v>
      </c>
      <c r="L654">
        <v>446</v>
      </c>
      <c r="M654" t="s">
        <v>5122</v>
      </c>
    </row>
    <row r="655" spans="1:13" x14ac:dyDescent="0.45">
      <c r="A655" t="s">
        <v>3601</v>
      </c>
      <c r="B655">
        <v>666833</v>
      </c>
      <c r="C655">
        <v>667048</v>
      </c>
      <c r="E655" t="s">
        <v>14</v>
      </c>
      <c r="F655" t="s">
        <v>848</v>
      </c>
      <c r="H655">
        <v>83704465</v>
      </c>
      <c r="I655" t="s">
        <v>17</v>
      </c>
      <c r="K655" t="s">
        <v>5123</v>
      </c>
      <c r="L655">
        <v>71</v>
      </c>
      <c r="M655" t="s">
        <v>5124</v>
      </c>
    </row>
    <row r="656" spans="1:13" x14ac:dyDescent="0.45">
      <c r="A656" t="s">
        <v>3601</v>
      </c>
      <c r="B656">
        <v>667048</v>
      </c>
      <c r="C656">
        <v>667917</v>
      </c>
      <c r="E656" t="s">
        <v>14</v>
      </c>
      <c r="F656" t="s">
        <v>847</v>
      </c>
      <c r="H656">
        <v>83704466</v>
      </c>
      <c r="I656" t="s">
        <v>17</v>
      </c>
      <c r="K656" t="s">
        <v>5125</v>
      </c>
      <c r="L656">
        <v>289</v>
      </c>
      <c r="M656" t="s">
        <v>5126</v>
      </c>
    </row>
    <row r="657" spans="1:13" x14ac:dyDescent="0.45">
      <c r="A657" t="s">
        <v>3601</v>
      </c>
      <c r="B657">
        <v>667910</v>
      </c>
      <c r="C657">
        <v>668737</v>
      </c>
      <c r="E657" t="s">
        <v>14</v>
      </c>
      <c r="F657" t="s">
        <v>5127</v>
      </c>
      <c r="H657">
        <v>83704467</v>
      </c>
      <c r="I657" t="s">
        <v>17</v>
      </c>
      <c r="K657" t="s">
        <v>5128</v>
      </c>
      <c r="L657">
        <v>275</v>
      </c>
      <c r="M657" t="s">
        <v>5129</v>
      </c>
    </row>
    <row r="658" spans="1:13" x14ac:dyDescent="0.45">
      <c r="A658" t="s">
        <v>3601</v>
      </c>
      <c r="B658">
        <v>668724</v>
      </c>
      <c r="C658">
        <v>669194</v>
      </c>
      <c r="E658" t="s">
        <v>14</v>
      </c>
      <c r="F658" t="s">
        <v>5014</v>
      </c>
      <c r="H658">
        <v>83704468</v>
      </c>
      <c r="I658" t="s">
        <v>17</v>
      </c>
      <c r="K658" t="s">
        <v>5130</v>
      </c>
      <c r="L658">
        <v>156</v>
      </c>
      <c r="M658" t="s">
        <v>5131</v>
      </c>
    </row>
    <row r="659" spans="1:13" x14ac:dyDescent="0.45">
      <c r="A659" t="s">
        <v>3601</v>
      </c>
      <c r="B659">
        <v>669212</v>
      </c>
      <c r="C659">
        <v>670873</v>
      </c>
      <c r="E659" t="s">
        <v>14</v>
      </c>
      <c r="F659" t="s">
        <v>845</v>
      </c>
      <c r="G659" t="s">
        <v>846</v>
      </c>
      <c r="H659">
        <v>83704469</v>
      </c>
      <c r="I659" t="s">
        <v>17</v>
      </c>
      <c r="K659" t="s">
        <v>5132</v>
      </c>
      <c r="L659">
        <v>553</v>
      </c>
      <c r="M659" t="s">
        <v>5133</v>
      </c>
    </row>
    <row r="660" spans="1:13" x14ac:dyDescent="0.45">
      <c r="A660" t="s">
        <v>3601</v>
      </c>
      <c r="B660">
        <v>671090</v>
      </c>
      <c r="C660">
        <v>671962</v>
      </c>
      <c r="E660" t="s">
        <v>14</v>
      </c>
      <c r="F660" t="s">
        <v>5134</v>
      </c>
      <c r="H660">
        <v>83704470</v>
      </c>
      <c r="I660" t="s">
        <v>17</v>
      </c>
      <c r="K660" t="s">
        <v>5135</v>
      </c>
      <c r="L660">
        <v>290</v>
      </c>
      <c r="M660" t="s">
        <v>5136</v>
      </c>
    </row>
    <row r="661" spans="1:13" x14ac:dyDescent="0.45">
      <c r="A661" t="s">
        <v>3601</v>
      </c>
      <c r="B661">
        <v>672111</v>
      </c>
      <c r="C661">
        <v>672950</v>
      </c>
      <c r="E661" t="s">
        <v>14</v>
      </c>
      <c r="F661" t="s">
        <v>38</v>
      </c>
      <c r="H661">
        <v>83704471</v>
      </c>
      <c r="I661" t="s">
        <v>17</v>
      </c>
      <c r="K661" t="s">
        <v>5137</v>
      </c>
      <c r="L661">
        <v>279</v>
      </c>
      <c r="M661" t="s">
        <v>5138</v>
      </c>
    </row>
    <row r="662" spans="1:13" x14ac:dyDescent="0.45">
      <c r="A662" t="s">
        <v>3601</v>
      </c>
      <c r="B662">
        <v>672943</v>
      </c>
      <c r="C662">
        <v>673785</v>
      </c>
      <c r="E662" t="s">
        <v>14</v>
      </c>
      <c r="F662" t="s">
        <v>54</v>
      </c>
      <c r="H662">
        <v>83704472</v>
      </c>
      <c r="I662" t="s">
        <v>17</v>
      </c>
      <c r="K662" t="s">
        <v>5139</v>
      </c>
      <c r="L662">
        <v>280</v>
      </c>
      <c r="M662" t="s">
        <v>5140</v>
      </c>
    </row>
    <row r="663" spans="1:13" x14ac:dyDescent="0.45">
      <c r="A663" t="s">
        <v>3601</v>
      </c>
      <c r="B663">
        <v>673763</v>
      </c>
      <c r="C663">
        <v>674350</v>
      </c>
      <c r="E663" t="s">
        <v>14</v>
      </c>
      <c r="F663" t="s">
        <v>5141</v>
      </c>
      <c r="H663">
        <v>83704473</v>
      </c>
      <c r="I663" t="s">
        <v>17</v>
      </c>
      <c r="K663" t="s">
        <v>5142</v>
      </c>
      <c r="L663">
        <v>195</v>
      </c>
      <c r="M663" t="s">
        <v>5143</v>
      </c>
    </row>
    <row r="664" spans="1:13" x14ac:dyDescent="0.45">
      <c r="A664" t="s">
        <v>3601</v>
      </c>
      <c r="B664">
        <v>674448</v>
      </c>
      <c r="C664">
        <v>674723</v>
      </c>
      <c r="E664" t="s">
        <v>14</v>
      </c>
      <c r="F664" t="s">
        <v>662</v>
      </c>
      <c r="H664">
        <v>83704474</v>
      </c>
      <c r="I664" t="s">
        <v>17</v>
      </c>
      <c r="K664" t="s">
        <v>5144</v>
      </c>
      <c r="L664">
        <v>91</v>
      </c>
      <c r="M664" t="s">
        <v>5145</v>
      </c>
    </row>
    <row r="665" spans="1:13" x14ac:dyDescent="0.45">
      <c r="A665" t="s">
        <v>3601</v>
      </c>
      <c r="B665">
        <v>674784</v>
      </c>
      <c r="C665">
        <v>675572</v>
      </c>
      <c r="E665" t="s">
        <v>42</v>
      </c>
      <c r="F665" t="s">
        <v>5146</v>
      </c>
      <c r="H665">
        <v>83704475</v>
      </c>
      <c r="I665" t="s">
        <v>17</v>
      </c>
      <c r="K665" t="s">
        <v>5147</v>
      </c>
      <c r="L665">
        <v>262</v>
      </c>
      <c r="M665" t="s">
        <v>5148</v>
      </c>
    </row>
    <row r="666" spans="1:13" x14ac:dyDescent="0.45">
      <c r="A666" t="s">
        <v>3601</v>
      </c>
      <c r="B666">
        <v>675799</v>
      </c>
      <c r="C666">
        <v>676266</v>
      </c>
      <c r="E666" t="s">
        <v>42</v>
      </c>
      <c r="F666" t="s">
        <v>51</v>
      </c>
      <c r="H666">
        <v>83704476</v>
      </c>
      <c r="I666" t="s">
        <v>52</v>
      </c>
      <c r="M666" t="s">
        <v>5149</v>
      </c>
    </row>
    <row r="667" spans="1:13" x14ac:dyDescent="0.45">
      <c r="A667" t="s">
        <v>3601</v>
      </c>
      <c r="B667">
        <v>676247</v>
      </c>
      <c r="C667">
        <v>676507</v>
      </c>
      <c r="E667" t="s">
        <v>42</v>
      </c>
      <c r="F667" t="s">
        <v>139</v>
      </c>
      <c r="H667">
        <v>83704477</v>
      </c>
      <c r="I667" t="s">
        <v>17</v>
      </c>
      <c r="K667" t="s">
        <v>5150</v>
      </c>
      <c r="L667">
        <v>86</v>
      </c>
      <c r="M667" t="s">
        <v>5151</v>
      </c>
    </row>
    <row r="668" spans="1:13" x14ac:dyDescent="0.45">
      <c r="A668" t="s">
        <v>3601</v>
      </c>
      <c r="B668">
        <v>676878</v>
      </c>
      <c r="C668">
        <v>677051</v>
      </c>
      <c r="E668" t="s">
        <v>14</v>
      </c>
      <c r="F668" t="s">
        <v>45</v>
      </c>
      <c r="H668">
        <v>83704478</v>
      </c>
      <c r="I668" t="s">
        <v>17</v>
      </c>
      <c r="K668" t="s">
        <v>5152</v>
      </c>
      <c r="L668">
        <v>57</v>
      </c>
      <c r="M668" t="s">
        <v>5153</v>
      </c>
    </row>
    <row r="669" spans="1:13" x14ac:dyDescent="0.45">
      <c r="A669" t="s">
        <v>3601</v>
      </c>
      <c r="B669">
        <v>677099</v>
      </c>
      <c r="C669">
        <v>678034</v>
      </c>
      <c r="E669" t="s">
        <v>42</v>
      </c>
      <c r="F669" t="s">
        <v>5154</v>
      </c>
      <c r="H669">
        <v>83704479</v>
      </c>
      <c r="I669" t="s">
        <v>17</v>
      </c>
      <c r="K669" t="s">
        <v>5155</v>
      </c>
      <c r="L669">
        <v>311</v>
      </c>
      <c r="M669" t="s">
        <v>5156</v>
      </c>
    </row>
    <row r="670" spans="1:13" x14ac:dyDescent="0.45">
      <c r="A670" t="s">
        <v>3601</v>
      </c>
      <c r="B670">
        <v>678277</v>
      </c>
      <c r="C670">
        <v>678972</v>
      </c>
      <c r="E670" t="s">
        <v>14</v>
      </c>
      <c r="F670" t="s">
        <v>5157</v>
      </c>
      <c r="H670">
        <v>83704480</v>
      </c>
      <c r="I670" t="s">
        <v>17</v>
      </c>
      <c r="K670" t="s">
        <v>5158</v>
      </c>
      <c r="L670">
        <v>231</v>
      </c>
      <c r="M670" t="s">
        <v>5159</v>
      </c>
    </row>
    <row r="671" spans="1:13" x14ac:dyDescent="0.45">
      <c r="A671" t="s">
        <v>3601</v>
      </c>
      <c r="B671">
        <v>679081</v>
      </c>
      <c r="C671">
        <v>679602</v>
      </c>
      <c r="E671" t="s">
        <v>14</v>
      </c>
      <c r="F671" t="s">
        <v>5160</v>
      </c>
      <c r="H671">
        <v>83704481</v>
      </c>
      <c r="I671" t="s">
        <v>17</v>
      </c>
      <c r="K671" t="s">
        <v>5161</v>
      </c>
      <c r="L671">
        <v>173</v>
      </c>
      <c r="M671" t="s">
        <v>5162</v>
      </c>
    </row>
    <row r="672" spans="1:13" x14ac:dyDescent="0.45">
      <c r="A672" t="s">
        <v>3601</v>
      </c>
      <c r="B672">
        <v>679995</v>
      </c>
      <c r="C672">
        <v>680534</v>
      </c>
      <c r="E672" t="s">
        <v>14</v>
      </c>
      <c r="F672" t="s">
        <v>45</v>
      </c>
      <c r="H672">
        <v>83704482</v>
      </c>
      <c r="I672" t="s">
        <v>17</v>
      </c>
      <c r="K672" t="s">
        <v>5163</v>
      </c>
      <c r="L672">
        <v>179</v>
      </c>
      <c r="M672" t="s">
        <v>5164</v>
      </c>
    </row>
    <row r="673" spans="1:13" x14ac:dyDescent="0.45">
      <c r="A673" t="s">
        <v>3601</v>
      </c>
      <c r="B673">
        <v>680688</v>
      </c>
      <c r="C673">
        <v>681806</v>
      </c>
      <c r="E673" t="s">
        <v>14</v>
      </c>
      <c r="F673" t="s">
        <v>5165</v>
      </c>
      <c r="H673">
        <v>83704483</v>
      </c>
      <c r="I673" t="s">
        <v>17</v>
      </c>
      <c r="K673" t="s">
        <v>5166</v>
      </c>
      <c r="L673">
        <v>372</v>
      </c>
      <c r="M673" t="s">
        <v>5167</v>
      </c>
    </row>
    <row r="674" spans="1:13" x14ac:dyDescent="0.45">
      <c r="A674" t="s">
        <v>3601</v>
      </c>
      <c r="B674">
        <v>681949</v>
      </c>
      <c r="C674">
        <v>682719</v>
      </c>
      <c r="E674" t="s">
        <v>14</v>
      </c>
      <c r="F674" t="s">
        <v>5168</v>
      </c>
      <c r="H674">
        <v>83704484</v>
      </c>
      <c r="I674" t="s">
        <v>17</v>
      </c>
      <c r="K674" t="s">
        <v>5169</v>
      </c>
      <c r="L674">
        <v>256</v>
      </c>
      <c r="M674" t="s">
        <v>5170</v>
      </c>
    </row>
    <row r="675" spans="1:13" x14ac:dyDescent="0.45">
      <c r="A675" t="s">
        <v>3601</v>
      </c>
      <c r="B675">
        <v>682831</v>
      </c>
      <c r="C675">
        <v>684885</v>
      </c>
      <c r="E675" t="s">
        <v>14</v>
      </c>
      <c r="F675" t="s">
        <v>5171</v>
      </c>
      <c r="G675" t="s">
        <v>5172</v>
      </c>
      <c r="H675">
        <v>83704485</v>
      </c>
      <c r="I675" t="s">
        <v>17</v>
      </c>
      <c r="K675" t="s">
        <v>5173</v>
      </c>
      <c r="L675">
        <v>684</v>
      </c>
      <c r="M675" t="s">
        <v>5174</v>
      </c>
    </row>
    <row r="676" spans="1:13" x14ac:dyDescent="0.45">
      <c r="A676" t="s">
        <v>3601</v>
      </c>
      <c r="B676">
        <v>684897</v>
      </c>
      <c r="C676">
        <v>685493</v>
      </c>
      <c r="E676" t="s">
        <v>14</v>
      </c>
      <c r="F676" t="s">
        <v>291</v>
      </c>
      <c r="G676" t="s">
        <v>292</v>
      </c>
      <c r="H676">
        <v>83704486</v>
      </c>
      <c r="I676" t="s">
        <v>17</v>
      </c>
      <c r="K676" t="s">
        <v>5175</v>
      </c>
      <c r="L676">
        <v>198</v>
      </c>
      <c r="M676" t="s">
        <v>5176</v>
      </c>
    </row>
    <row r="677" spans="1:13" x14ac:dyDescent="0.45">
      <c r="A677" t="s">
        <v>3601</v>
      </c>
      <c r="B677">
        <v>685641</v>
      </c>
      <c r="C677">
        <v>686687</v>
      </c>
      <c r="E677" t="s">
        <v>14</v>
      </c>
      <c r="F677" t="s">
        <v>5177</v>
      </c>
      <c r="H677">
        <v>83704487</v>
      </c>
      <c r="I677" t="s">
        <v>17</v>
      </c>
      <c r="K677" t="s">
        <v>5178</v>
      </c>
      <c r="L677">
        <v>348</v>
      </c>
      <c r="M677" t="s">
        <v>5179</v>
      </c>
    </row>
    <row r="678" spans="1:13" x14ac:dyDescent="0.45">
      <c r="A678" t="s">
        <v>3601</v>
      </c>
      <c r="B678">
        <v>686926</v>
      </c>
      <c r="C678">
        <v>688311</v>
      </c>
      <c r="E678" t="s">
        <v>14</v>
      </c>
      <c r="F678" t="s">
        <v>150</v>
      </c>
      <c r="H678">
        <v>83704488</v>
      </c>
      <c r="I678" t="s">
        <v>17</v>
      </c>
      <c r="K678" t="s">
        <v>5180</v>
      </c>
      <c r="L678">
        <v>461</v>
      </c>
      <c r="M678" t="s">
        <v>5181</v>
      </c>
    </row>
    <row r="679" spans="1:13" x14ac:dyDescent="0.45">
      <c r="A679" t="s">
        <v>3601</v>
      </c>
      <c r="B679">
        <v>688395</v>
      </c>
      <c r="C679">
        <v>689090</v>
      </c>
      <c r="E679" t="s">
        <v>14</v>
      </c>
      <c r="F679" t="s">
        <v>5182</v>
      </c>
      <c r="H679">
        <v>83704489</v>
      </c>
      <c r="I679" t="s">
        <v>17</v>
      </c>
      <c r="K679" t="s">
        <v>5183</v>
      </c>
      <c r="L679">
        <v>231</v>
      </c>
      <c r="M679" t="s">
        <v>5184</v>
      </c>
    </row>
    <row r="680" spans="1:13" x14ac:dyDescent="0.45">
      <c r="A680" t="s">
        <v>3601</v>
      </c>
      <c r="B680">
        <v>689259</v>
      </c>
      <c r="C680">
        <v>690803</v>
      </c>
      <c r="E680" t="s">
        <v>14</v>
      </c>
      <c r="F680" t="s">
        <v>434</v>
      </c>
      <c r="H680">
        <v>83704490</v>
      </c>
      <c r="I680" t="s">
        <v>17</v>
      </c>
      <c r="K680" t="s">
        <v>5185</v>
      </c>
      <c r="L680">
        <v>514</v>
      </c>
      <c r="M680" t="s">
        <v>5186</v>
      </c>
    </row>
    <row r="681" spans="1:13" x14ac:dyDescent="0.45">
      <c r="A681" t="s">
        <v>3601</v>
      </c>
      <c r="B681">
        <v>690947</v>
      </c>
      <c r="C681">
        <v>691090</v>
      </c>
      <c r="E681" t="s">
        <v>42</v>
      </c>
      <c r="F681" t="s">
        <v>45</v>
      </c>
      <c r="H681">
        <v>83704491</v>
      </c>
      <c r="I681" t="s">
        <v>17</v>
      </c>
      <c r="K681" t="s">
        <v>5187</v>
      </c>
      <c r="L681">
        <v>47</v>
      </c>
      <c r="M681" t="s">
        <v>5188</v>
      </c>
    </row>
    <row r="682" spans="1:13" x14ac:dyDescent="0.45">
      <c r="A682" t="s">
        <v>3601</v>
      </c>
      <c r="B682">
        <v>691210</v>
      </c>
      <c r="C682">
        <v>692826</v>
      </c>
      <c r="E682" t="s">
        <v>14</v>
      </c>
      <c r="F682" t="s">
        <v>61</v>
      </c>
      <c r="H682">
        <v>83704492</v>
      </c>
      <c r="I682" t="s">
        <v>17</v>
      </c>
      <c r="K682" t="s">
        <v>5189</v>
      </c>
      <c r="L682">
        <v>538</v>
      </c>
      <c r="M682" t="s">
        <v>5190</v>
      </c>
    </row>
    <row r="683" spans="1:13" x14ac:dyDescent="0.45">
      <c r="A683" t="s">
        <v>3601</v>
      </c>
      <c r="B683">
        <v>692953</v>
      </c>
      <c r="C683">
        <v>694956</v>
      </c>
      <c r="E683" t="s">
        <v>14</v>
      </c>
      <c r="F683" t="s">
        <v>417</v>
      </c>
      <c r="H683">
        <v>83704493</v>
      </c>
      <c r="I683" t="s">
        <v>17</v>
      </c>
      <c r="K683" t="s">
        <v>5191</v>
      </c>
      <c r="L683">
        <v>667</v>
      </c>
      <c r="M683" t="s">
        <v>5192</v>
      </c>
    </row>
    <row r="684" spans="1:13" x14ac:dyDescent="0.45">
      <c r="A684" t="s">
        <v>3601</v>
      </c>
      <c r="B684">
        <v>695173</v>
      </c>
      <c r="C684">
        <v>695454</v>
      </c>
      <c r="E684" t="s">
        <v>42</v>
      </c>
      <c r="F684" t="s">
        <v>798</v>
      </c>
      <c r="H684">
        <v>83704494</v>
      </c>
      <c r="I684" t="s">
        <v>17</v>
      </c>
      <c r="K684" t="s">
        <v>5193</v>
      </c>
      <c r="L684">
        <v>93</v>
      </c>
      <c r="M684" t="s">
        <v>5194</v>
      </c>
    </row>
    <row r="685" spans="1:13" x14ac:dyDescent="0.45">
      <c r="A685" t="s">
        <v>3601</v>
      </c>
      <c r="B685">
        <v>695487</v>
      </c>
      <c r="C685">
        <v>696254</v>
      </c>
      <c r="E685" t="s">
        <v>42</v>
      </c>
      <c r="F685" t="s">
        <v>5195</v>
      </c>
      <c r="H685">
        <v>83704495</v>
      </c>
      <c r="I685" t="s">
        <v>17</v>
      </c>
      <c r="K685" t="s">
        <v>5196</v>
      </c>
      <c r="L685">
        <v>255</v>
      </c>
      <c r="M685" t="s">
        <v>5197</v>
      </c>
    </row>
    <row r="686" spans="1:13" x14ac:dyDescent="0.45">
      <c r="A686" t="s">
        <v>3601</v>
      </c>
      <c r="B686">
        <v>696372</v>
      </c>
      <c r="C686">
        <v>697112</v>
      </c>
      <c r="E686" t="s">
        <v>14</v>
      </c>
      <c r="F686" t="s">
        <v>71</v>
      </c>
      <c r="H686">
        <v>83704496</v>
      </c>
      <c r="I686" t="s">
        <v>17</v>
      </c>
      <c r="K686" t="s">
        <v>5198</v>
      </c>
      <c r="L686">
        <v>246</v>
      </c>
      <c r="M686" t="s">
        <v>5199</v>
      </c>
    </row>
    <row r="687" spans="1:13" x14ac:dyDescent="0.45">
      <c r="A687" t="s">
        <v>3601</v>
      </c>
      <c r="B687">
        <v>697428</v>
      </c>
      <c r="C687">
        <v>698105</v>
      </c>
      <c r="E687" t="s">
        <v>14</v>
      </c>
      <c r="F687" t="s">
        <v>588</v>
      </c>
      <c r="H687">
        <v>83704497</v>
      </c>
      <c r="I687" t="s">
        <v>17</v>
      </c>
      <c r="K687" t="s">
        <v>5200</v>
      </c>
      <c r="L687">
        <v>225</v>
      </c>
      <c r="M687" t="s">
        <v>5201</v>
      </c>
    </row>
    <row r="688" spans="1:13" x14ac:dyDescent="0.45">
      <c r="A688" t="s">
        <v>3601</v>
      </c>
      <c r="B688">
        <v>698086</v>
      </c>
      <c r="C688">
        <v>700329</v>
      </c>
      <c r="E688" t="s">
        <v>14</v>
      </c>
      <c r="F688" t="s">
        <v>589</v>
      </c>
      <c r="H688">
        <v>83704498</v>
      </c>
      <c r="I688" t="s">
        <v>17</v>
      </c>
      <c r="K688" t="s">
        <v>5202</v>
      </c>
      <c r="L688">
        <v>747</v>
      </c>
      <c r="M688" t="s">
        <v>5203</v>
      </c>
    </row>
    <row r="689" spans="1:13" x14ac:dyDescent="0.45">
      <c r="A689" t="s">
        <v>3601</v>
      </c>
      <c r="B689">
        <v>700442</v>
      </c>
      <c r="C689">
        <v>701503</v>
      </c>
      <c r="E689" t="s">
        <v>14</v>
      </c>
      <c r="F689" t="s">
        <v>295</v>
      </c>
      <c r="G689" t="s">
        <v>590</v>
      </c>
      <c r="H689">
        <v>83704499</v>
      </c>
      <c r="I689" t="s">
        <v>17</v>
      </c>
      <c r="K689" t="s">
        <v>5204</v>
      </c>
      <c r="L689">
        <v>353</v>
      </c>
      <c r="M689" t="s">
        <v>5205</v>
      </c>
    </row>
    <row r="690" spans="1:13" x14ac:dyDescent="0.45">
      <c r="A690" t="s">
        <v>3601</v>
      </c>
      <c r="B690">
        <v>701581</v>
      </c>
      <c r="C690">
        <v>702186</v>
      </c>
      <c r="E690" t="s">
        <v>14</v>
      </c>
      <c r="F690" t="s">
        <v>5206</v>
      </c>
      <c r="G690" t="s">
        <v>5207</v>
      </c>
      <c r="H690">
        <v>83704500</v>
      </c>
      <c r="I690" t="s">
        <v>17</v>
      </c>
      <c r="K690" t="s">
        <v>5208</v>
      </c>
      <c r="L690">
        <v>201</v>
      </c>
      <c r="M690" t="s">
        <v>5209</v>
      </c>
    </row>
    <row r="691" spans="1:13" x14ac:dyDescent="0.45">
      <c r="A691" t="s">
        <v>3601</v>
      </c>
      <c r="B691">
        <v>702464</v>
      </c>
      <c r="C691">
        <v>703681</v>
      </c>
      <c r="E691" t="s">
        <v>42</v>
      </c>
      <c r="F691" t="s">
        <v>5210</v>
      </c>
      <c r="H691">
        <v>83704501</v>
      </c>
      <c r="I691" t="s">
        <v>17</v>
      </c>
      <c r="K691" t="s">
        <v>5211</v>
      </c>
      <c r="L691">
        <v>405</v>
      </c>
      <c r="M691" t="s">
        <v>5212</v>
      </c>
    </row>
    <row r="692" spans="1:13" x14ac:dyDescent="0.45">
      <c r="A692" t="s">
        <v>3601</v>
      </c>
      <c r="B692">
        <v>703691</v>
      </c>
      <c r="C692">
        <v>704719</v>
      </c>
      <c r="E692" t="s">
        <v>42</v>
      </c>
      <c r="F692" t="s">
        <v>5213</v>
      </c>
      <c r="G692" t="s">
        <v>5214</v>
      </c>
      <c r="H692">
        <v>83704502</v>
      </c>
      <c r="I692" t="s">
        <v>17</v>
      </c>
      <c r="K692" t="s">
        <v>5215</v>
      </c>
      <c r="L692">
        <v>342</v>
      </c>
      <c r="M692" t="s">
        <v>5216</v>
      </c>
    </row>
    <row r="693" spans="1:13" x14ac:dyDescent="0.45">
      <c r="A693" t="s">
        <v>3601</v>
      </c>
      <c r="B693">
        <v>704987</v>
      </c>
      <c r="C693">
        <v>705691</v>
      </c>
      <c r="E693" t="s">
        <v>14</v>
      </c>
      <c r="F693" t="s">
        <v>1041</v>
      </c>
      <c r="G693" t="s">
        <v>1042</v>
      </c>
      <c r="H693">
        <v>83704503</v>
      </c>
      <c r="I693" t="s">
        <v>17</v>
      </c>
      <c r="K693" t="s">
        <v>5217</v>
      </c>
      <c r="L693">
        <v>234</v>
      </c>
      <c r="M693" t="s">
        <v>5218</v>
      </c>
    </row>
    <row r="694" spans="1:13" x14ac:dyDescent="0.45">
      <c r="A694" t="s">
        <v>3601</v>
      </c>
      <c r="B694">
        <v>705863</v>
      </c>
      <c r="C694">
        <v>706579</v>
      </c>
      <c r="E694" t="s">
        <v>14</v>
      </c>
      <c r="F694" t="s">
        <v>546</v>
      </c>
      <c r="H694">
        <v>83704504</v>
      </c>
      <c r="I694" t="s">
        <v>17</v>
      </c>
      <c r="K694" t="s">
        <v>5219</v>
      </c>
      <c r="L694">
        <v>238</v>
      </c>
      <c r="M694" t="s">
        <v>5220</v>
      </c>
    </row>
    <row r="695" spans="1:13" x14ac:dyDescent="0.45">
      <c r="A695" t="s">
        <v>3601</v>
      </c>
      <c r="B695">
        <v>706671</v>
      </c>
      <c r="C695">
        <v>707648</v>
      </c>
      <c r="E695" t="s">
        <v>14</v>
      </c>
      <c r="F695" t="s">
        <v>5221</v>
      </c>
      <c r="H695">
        <v>83704505</v>
      </c>
      <c r="I695" t="s">
        <v>17</v>
      </c>
      <c r="K695" t="s">
        <v>5222</v>
      </c>
      <c r="L695">
        <v>325</v>
      </c>
      <c r="M695" t="s">
        <v>5223</v>
      </c>
    </row>
    <row r="696" spans="1:13" x14ac:dyDescent="0.45">
      <c r="A696" t="s">
        <v>3601</v>
      </c>
      <c r="B696">
        <v>707638</v>
      </c>
      <c r="C696">
        <v>709440</v>
      </c>
      <c r="E696" t="s">
        <v>14</v>
      </c>
      <c r="F696" t="s">
        <v>993</v>
      </c>
      <c r="G696" t="s">
        <v>994</v>
      </c>
      <c r="H696">
        <v>83704506</v>
      </c>
      <c r="I696" t="s">
        <v>17</v>
      </c>
      <c r="K696" t="s">
        <v>5224</v>
      </c>
      <c r="L696">
        <v>600</v>
      </c>
      <c r="M696" t="s">
        <v>5225</v>
      </c>
    </row>
    <row r="697" spans="1:13" x14ac:dyDescent="0.45">
      <c r="A697" t="s">
        <v>3601</v>
      </c>
      <c r="B697">
        <v>709640</v>
      </c>
      <c r="C697">
        <v>710197</v>
      </c>
      <c r="E697" t="s">
        <v>14</v>
      </c>
      <c r="F697" t="s">
        <v>144</v>
      </c>
      <c r="H697">
        <v>83704507</v>
      </c>
      <c r="I697" t="s">
        <v>17</v>
      </c>
      <c r="K697" t="s">
        <v>5226</v>
      </c>
      <c r="L697">
        <v>185</v>
      </c>
      <c r="M697" t="s">
        <v>5227</v>
      </c>
    </row>
    <row r="698" spans="1:13" x14ac:dyDescent="0.45">
      <c r="A698" t="s">
        <v>3601</v>
      </c>
      <c r="B698">
        <v>710187</v>
      </c>
      <c r="C698">
        <v>710822</v>
      </c>
      <c r="E698" t="s">
        <v>14</v>
      </c>
      <c r="F698" t="s">
        <v>5228</v>
      </c>
      <c r="H698">
        <v>83704508</v>
      </c>
      <c r="I698" t="s">
        <v>17</v>
      </c>
      <c r="K698" t="s">
        <v>5229</v>
      </c>
      <c r="L698">
        <v>211</v>
      </c>
      <c r="M698" t="s">
        <v>5230</v>
      </c>
    </row>
    <row r="699" spans="1:13" x14ac:dyDescent="0.45">
      <c r="A699" t="s">
        <v>3601</v>
      </c>
      <c r="B699">
        <v>710869</v>
      </c>
      <c r="C699">
        <v>711507</v>
      </c>
      <c r="E699" t="s">
        <v>14</v>
      </c>
      <c r="F699" t="s">
        <v>4713</v>
      </c>
      <c r="H699">
        <v>83704509</v>
      </c>
      <c r="I699" t="s">
        <v>17</v>
      </c>
      <c r="K699" t="s">
        <v>5231</v>
      </c>
      <c r="L699">
        <v>212</v>
      </c>
      <c r="M699" t="s">
        <v>5232</v>
      </c>
    </row>
    <row r="700" spans="1:13" x14ac:dyDescent="0.45">
      <c r="A700" t="s">
        <v>3601</v>
      </c>
      <c r="B700">
        <v>711590</v>
      </c>
      <c r="C700">
        <v>712297</v>
      </c>
      <c r="E700" t="s">
        <v>14</v>
      </c>
      <c r="F700" t="s">
        <v>5233</v>
      </c>
      <c r="H700">
        <v>83704510</v>
      </c>
      <c r="I700" t="s">
        <v>17</v>
      </c>
      <c r="K700" t="s">
        <v>5234</v>
      </c>
      <c r="L700">
        <v>235</v>
      </c>
      <c r="M700" t="s">
        <v>5235</v>
      </c>
    </row>
    <row r="701" spans="1:13" x14ac:dyDescent="0.45">
      <c r="A701" t="s">
        <v>3601</v>
      </c>
      <c r="B701">
        <v>712360</v>
      </c>
      <c r="C701">
        <v>713361</v>
      </c>
      <c r="E701" t="s">
        <v>14</v>
      </c>
      <c r="F701" t="s">
        <v>963</v>
      </c>
      <c r="G701" t="s">
        <v>5236</v>
      </c>
      <c r="H701">
        <v>83704511</v>
      </c>
      <c r="I701" t="s">
        <v>17</v>
      </c>
      <c r="K701" t="s">
        <v>5237</v>
      </c>
      <c r="L701">
        <v>333</v>
      </c>
      <c r="M701" t="s">
        <v>5238</v>
      </c>
    </row>
    <row r="702" spans="1:13" x14ac:dyDescent="0.45">
      <c r="A702" t="s">
        <v>3601</v>
      </c>
      <c r="B702">
        <v>713717</v>
      </c>
      <c r="C702">
        <v>716335</v>
      </c>
      <c r="E702" t="s">
        <v>14</v>
      </c>
      <c r="F702" t="s">
        <v>331</v>
      </c>
      <c r="G702" t="s">
        <v>332</v>
      </c>
      <c r="H702">
        <v>83704512</v>
      </c>
      <c r="I702" t="s">
        <v>17</v>
      </c>
      <c r="K702" t="s">
        <v>5239</v>
      </c>
      <c r="L702">
        <v>872</v>
      </c>
      <c r="M702" t="s">
        <v>5240</v>
      </c>
    </row>
    <row r="703" spans="1:13" x14ac:dyDescent="0.45">
      <c r="A703" t="s">
        <v>3601</v>
      </c>
      <c r="B703">
        <v>716458</v>
      </c>
      <c r="C703">
        <v>717621</v>
      </c>
      <c r="E703" t="s">
        <v>42</v>
      </c>
      <c r="F703" t="s">
        <v>686</v>
      </c>
      <c r="H703">
        <v>83704513</v>
      </c>
      <c r="I703" t="s">
        <v>17</v>
      </c>
      <c r="K703" t="s">
        <v>5241</v>
      </c>
      <c r="L703">
        <v>387</v>
      </c>
      <c r="M703" t="s">
        <v>5242</v>
      </c>
    </row>
    <row r="704" spans="1:13" x14ac:dyDescent="0.45">
      <c r="A704" t="s">
        <v>3601</v>
      </c>
      <c r="B704">
        <v>718043</v>
      </c>
      <c r="C704">
        <v>719329</v>
      </c>
      <c r="E704" t="s">
        <v>14</v>
      </c>
      <c r="F704" t="s">
        <v>5243</v>
      </c>
      <c r="H704">
        <v>83704514</v>
      </c>
      <c r="I704" t="s">
        <v>17</v>
      </c>
      <c r="K704" t="s">
        <v>5244</v>
      </c>
      <c r="L704">
        <v>428</v>
      </c>
      <c r="M704" t="s">
        <v>5245</v>
      </c>
    </row>
    <row r="705" spans="1:13" x14ac:dyDescent="0.45">
      <c r="A705" t="s">
        <v>3601</v>
      </c>
      <c r="B705">
        <v>719599</v>
      </c>
      <c r="C705">
        <v>720681</v>
      </c>
      <c r="E705" t="s">
        <v>42</v>
      </c>
      <c r="F705" t="s">
        <v>61</v>
      </c>
      <c r="H705">
        <v>83704515</v>
      </c>
      <c r="I705" t="s">
        <v>17</v>
      </c>
      <c r="K705" t="s">
        <v>5246</v>
      </c>
      <c r="L705">
        <v>360</v>
      </c>
      <c r="M705" t="s">
        <v>5247</v>
      </c>
    </row>
    <row r="706" spans="1:13" x14ac:dyDescent="0.45">
      <c r="A706" t="s">
        <v>3601</v>
      </c>
      <c r="B706">
        <v>720777</v>
      </c>
      <c r="C706">
        <v>721403</v>
      </c>
      <c r="E706" t="s">
        <v>14</v>
      </c>
      <c r="F706" t="s">
        <v>409</v>
      </c>
      <c r="G706" t="s">
        <v>410</v>
      </c>
      <c r="H706">
        <v>83704516</v>
      </c>
      <c r="I706" t="s">
        <v>17</v>
      </c>
      <c r="K706" t="s">
        <v>5248</v>
      </c>
      <c r="L706">
        <v>208</v>
      </c>
      <c r="M706" t="s">
        <v>5249</v>
      </c>
    </row>
    <row r="707" spans="1:13" x14ac:dyDescent="0.45">
      <c r="A707" t="s">
        <v>3601</v>
      </c>
      <c r="B707">
        <v>721426</v>
      </c>
      <c r="C707">
        <v>721698</v>
      </c>
      <c r="E707" t="s">
        <v>14</v>
      </c>
      <c r="F707" t="s">
        <v>5250</v>
      </c>
      <c r="H707">
        <v>83704517</v>
      </c>
      <c r="I707" t="s">
        <v>17</v>
      </c>
      <c r="K707" t="s">
        <v>5251</v>
      </c>
      <c r="L707">
        <v>90</v>
      </c>
      <c r="M707" t="s">
        <v>5252</v>
      </c>
    </row>
    <row r="708" spans="1:13" x14ac:dyDescent="0.45">
      <c r="A708" t="s">
        <v>3601</v>
      </c>
      <c r="B708">
        <v>721892</v>
      </c>
      <c r="C708">
        <v>722707</v>
      </c>
      <c r="E708" t="s">
        <v>42</v>
      </c>
      <c r="F708" t="s">
        <v>5253</v>
      </c>
      <c r="H708">
        <v>83704518</v>
      </c>
      <c r="I708" t="s">
        <v>17</v>
      </c>
      <c r="K708" t="s">
        <v>5254</v>
      </c>
      <c r="L708">
        <v>271</v>
      </c>
      <c r="M708" t="s">
        <v>5255</v>
      </c>
    </row>
    <row r="709" spans="1:13" x14ac:dyDescent="0.45">
      <c r="A709" t="s">
        <v>3601</v>
      </c>
      <c r="B709">
        <v>722843</v>
      </c>
      <c r="C709">
        <v>723340</v>
      </c>
      <c r="E709" t="s">
        <v>14</v>
      </c>
      <c r="F709" t="s">
        <v>173</v>
      </c>
      <c r="H709">
        <v>83704519</v>
      </c>
      <c r="I709" t="s">
        <v>17</v>
      </c>
      <c r="K709" t="s">
        <v>5256</v>
      </c>
      <c r="L709">
        <v>165</v>
      </c>
      <c r="M709" t="s">
        <v>5257</v>
      </c>
    </row>
    <row r="710" spans="1:13" x14ac:dyDescent="0.45">
      <c r="A710" t="s">
        <v>3601</v>
      </c>
      <c r="B710">
        <v>723340</v>
      </c>
      <c r="C710">
        <v>725016</v>
      </c>
      <c r="E710" t="s">
        <v>14</v>
      </c>
      <c r="F710" t="s">
        <v>288</v>
      </c>
      <c r="G710" t="s">
        <v>289</v>
      </c>
      <c r="H710">
        <v>83704520</v>
      </c>
      <c r="I710" t="s">
        <v>17</v>
      </c>
      <c r="K710" t="s">
        <v>5258</v>
      </c>
      <c r="L710">
        <v>558</v>
      </c>
      <c r="M710" t="s">
        <v>5259</v>
      </c>
    </row>
    <row r="711" spans="1:13" x14ac:dyDescent="0.45">
      <c r="A711" t="s">
        <v>3601</v>
      </c>
      <c r="B711">
        <v>725397</v>
      </c>
      <c r="C711">
        <v>725600</v>
      </c>
      <c r="E711" t="s">
        <v>14</v>
      </c>
      <c r="F711" t="s">
        <v>5260</v>
      </c>
      <c r="H711">
        <v>83704521</v>
      </c>
      <c r="I711" t="s">
        <v>17</v>
      </c>
      <c r="K711" t="s">
        <v>5261</v>
      </c>
      <c r="L711">
        <v>67</v>
      </c>
      <c r="M711" t="s">
        <v>5262</v>
      </c>
    </row>
    <row r="712" spans="1:13" x14ac:dyDescent="0.45">
      <c r="A712" t="s">
        <v>3601</v>
      </c>
      <c r="B712">
        <v>725575</v>
      </c>
      <c r="C712">
        <v>726516</v>
      </c>
      <c r="E712" t="s">
        <v>42</v>
      </c>
      <c r="F712" t="s">
        <v>5263</v>
      </c>
      <c r="G712" t="s">
        <v>5264</v>
      </c>
      <c r="H712">
        <v>83704522</v>
      </c>
      <c r="I712" t="s">
        <v>17</v>
      </c>
      <c r="K712" t="s">
        <v>5265</v>
      </c>
      <c r="L712">
        <v>313</v>
      </c>
      <c r="M712" t="s">
        <v>5266</v>
      </c>
    </row>
    <row r="713" spans="1:13" x14ac:dyDescent="0.45">
      <c r="A713" t="s">
        <v>3601</v>
      </c>
      <c r="B713">
        <v>727028</v>
      </c>
      <c r="C713">
        <v>728425</v>
      </c>
      <c r="E713" t="s">
        <v>42</v>
      </c>
      <c r="F713" t="s">
        <v>5267</v>
      </c>
      <c r="H713">
        <v>83704523</v>
      </c>
      <c r="I713" t="s">
        <v>17</v>
      </c>
      <c r="K713" t="s">
        <v>5268</v>
      </c>
      <c r="L713">
        <v>465</v>
      </c>
      <c r="M713" t="s">
        <v>5269</v>
      </c>
    </row>
    <row r="714" spans="1:13" x14ac:dyDescent="0.45">
      <c r="A714" t="s">
        <v>3601</v>
      </c>
      <c r="B714">
        <v>728616</v>
      </c>
      <c r="C714">
        <v>730853</v>
      </c>
      <c r="E714" t="s">
        <v>14</v>
      </c>
      <c r="F714" t="s">
        <v>5270</v>
      </c>
      <c r="H714">
        <v>83704524</v>
      </c>
      <c r="I714" t="s">
        <v>17</v>
      </c>
      <c r="K714" t="s">
        <v>5271</v>
      </c>
      <c r="L714">
        <v>745</v>
      </c>
      <c r="M714" t="s">
        <v>5272</v>
      </c>
    </row>
    <row r="715" spans="1:13" x14ac:dyDescent="0.45">
      <c r="A715" t="s">
        <v>3601</v>
      </c>
      <c r="B715">
        <v>731196</v>
      </c>
      <c r="C715">
        <v>732401</v>
      </c>
      <c r="E715" t="s">
        <v>14</v>
      </c>
      <c r="F715" t="s">
        <v>971</v>
      </c>
      <c r="G715" t="s">
        <v>972</v>
      </c>
      <c r="H715">
        <v>83704525</v>
      </c>
      <c r="I715" t="s">
        <v>17</v>
      </c>
      <c r="K715" t="s">
        <v>5273</v>
      </c>
      <c r="L715">
        <v>401</v>
      </c>
      <c r="M715" t="s">
        <v>5274</v>
      </c>
    </row>
    <row r="716" spans="1:13" x14ac:dyDescent="0.45">
      <c r="A716" t="s">
        <v>3601</v>
      </c>
      <c r="B716">
        <v>732717</v>
      </c>
      <c r="C716">
        <v>733976</v>
      </c>
      <c r="E716" t="s">
        <v>14</v>
      </c>
      <c r="F716" t="s">
        <v>138</v>
      </c>
      <c r="H716">
        <v>83704526</v>
      </c>
      <c r="I716" t="s">
        <v>17</v>
      </c>
      <c r="K716" t="s">
        <v>5275</v>
      </c>
      <c r="L716">
        <v>419</v>
      </c>
      <c r="M716" t="s">
        <v>5276</v>
      </c>
    </row>
    <row r="717" spans="1:13" x14ac:dyDescent="0.45">
      <c r="A717" t="s">
        <v>3601</v>
      </c>
      <c r="B717">
        <v>734402</v>
      </c>
      <c r="C717">
        <v>735946</v>
      </c>
      <c r="E717" t="s">
        <v>14</v>
      </c>
      <c r="F717" t="s">
        <v>106</v>
      </c>
      <c r="H717">
        <v>83704527</v>
      </c>
      <c r="I717" t="s">
        <v>17</v>
      </c>
      <c r="K717" t="s">
        <v>5277</v>
      </c>
      <c r="L717">
        <v>514</v>
      </c>
      <c r="M717" t="s">
        <v>5278</v>
      </c>
    </row>
    <row r="718" spans="1:13" x14ac:dyDescent="0.45">
      <c r="A718" t="s">
        <v>3601</v>
      </c>
      <c r="B718">
        <v>736032</v>
      </c>
      <c r="C718">
        <v>737060</v>
      </c>
      <c r="E718" t="s">
        <v>14</v>
      </c>
      <c r="F718" t="s">
        <v>5279</v>
      </c>
      <c r="H718">
        <v>83704528</v>
      </c>
      <c r="I718" t="s">
        <v>17</v>
      </c>
      <c r="K718" t="s">
        <v>5280</v>
      </c>
      <c r="L718">
        <v>342</v>
      </c>
      <c r="M718" t="s">
        <v>5281</v>
      </c>
    </row>
    <row r="719" spans="1:13" x14ac:dyDescent="0.45">
      <c r="A719" t="s">
        <v>3601</v>
      </c>
      <c r="B719">
        <v>737081</v>
      </c>
      <c r="C719">
        <v>738871</v>
      </c>
      <c r="E719" t="s">
        <v>14</v>
      </c>
      <c r="F719" t="s">
        <v>5282</v>
      </c>
      <c r="G719" t="s">
        <v>5283</v>
      </c>
      <c r="H719">
        <v>83704529</v>
      </c>
      <c r="I719" t="s">
        <v>17</v>
      </c>
      <c r="K719" t="s">
        <v>5284</v>
      </c>
      <c r="L719">
        <v>596</v>
      </c>
      <c r="M719" t="s">
        <v>5285</v>
      </c>
    </row>
    <row r="720" spans="1:13" x14ac:dyDescent="0.45">
      <c r="A720" t="s">
        <v>3601</v>
      </c>
      <c r="B720">
        <v>738913</v>
      </c>
      <c r="C720">
        <v>739584</v>
      </c>
      <c r="E720" t="s">
        <v>14</v>
      </c>
      <c r="F720" t="s">
        <v>5286</v>
      </c>
      <c r="H720">
        <v>83704530</v>
      </c>
      <c r="I720" t="s">
        <v>17</v>
      </c>
      <c r="K720" t="s">
        <v>5287</v>
      </c>
      <c r="L720">
        <v>223</v>
      </c>
      <c r="M720" t="s">
        <v>5288</v>
      </c>
    </row>
    <row r="721" spans="1:13" x14ac:dyDescent="0.45">
      <c r="A721" t="s">
        <v>3601</v>
      </c>
      <c r="B721">
        <v>739777</v>
      </c>
      <c r="C721">
        <v>740394</v>
      </c>
      <c r="E721" t="s">
        <v>14</v>
      </c>
      <c r="F721" t="s">
        <v>5289</v>
      </c>
      <c r="H721">
        <v>83704531</v>
      </c>
      <c r="I721" t="s">
        <v>17</v>
      </c>
      <c r="K721" t="s">
        <v>5290</v>
      </c>
      <c r="L721">
        <v>205</v>
      </c>
      <c r="M721" t="s">
        <v>5291</v>
      </c>
    </row>
    <row r="722" spans="1:13" x14ac:dyDescent="0.45">
      <c r="A722" t="s">
        <v>3601</v>
      </c>
      <c r="B722">
        <v>740425</v>
      </c>
      <c r="C722">
        <v>741822</v>
      </c>
      <c r="E722" t="s">
        <v>14</v>
      </c>
      <c r="F722" t="s">
        <v>5292</v>
      </c>
      <c r="G722" t="s">
        <v>5293</v>
      </c>
      <c r="H722">
        <v>83704532</v>
      </c>
      <c r="I722" t="s">
        <v>17</v>
      </c>
      <c r="K722" t="s">
        <v>5294</v>
      </c>
      <c r="L722">
        <v>465</v>
      </c>
      <c r="M722" t="s">
        <v>5295</v>
      </c>
    </row>
    <row r="723" spans="1:13" x14ac:dyDescent="0.45">
      <c r="A723" t="s">
        <v>3601</v>
      </c>
      <c r="B723">
        <v>742077</v>
      </c>
      <c r="C723">
        <v>743171</v>
      </c>
      <c r="E723" t="s">
        <v>14</v>
      </c>
      <c r="F723" t="s">
        <v>5296</v>
      </c>
      <c r="H723">
        <v>83704533</v>
      </c>
      <c r="I723" t="s">
        <v>17</v>
      </c>
      <c r="K723" t="s">
        <v>5297</v>
      </c>
      <c r="L723">
        <v>364</v>
      </c>
      <c r="M723" t="s">
        <v>5298</v>
      </c>
    </row>
    <row r="724" spans="1:13" x14ac:dyDescent="0.45">
      <c r="A724" t="s">
        <v>3601</v>
      </c>
      <c r="B724">
        <v>743186</v>
      </c>
      <c r="C724">
        <v>744025</v>
      </c>
      <c r="E724" t="s">
        <v>14</v>
      </c>
      <c r="F724" t="s">
        <v>642</v>
      </c>
      <c r="H724">
        <v>83704534</v>
      </c>
      <c r="I724" t="s">
        <v>17</v>
      </c>
      <c r="K724" t="s">
        <v>5299</v>
      </c>
      <c r="L724">
        <v>279</v>
      </c>
      <c r="M724" t="s">
        <v>5300</v>
      </c>
    </row>
    <row r="725" spans="1:13" x14ac:dyDescent="0.45">
      <c r="A725" t="s">
        <v>3601</v>
      </c>
      <c r="B725">
        <v>744291</v>
      </c>
      <c r="C725">
        <v>745094</v>
      </c>
      <c r="E725" t="s">
        <v>14</v>
      </c>
      <c r="F725" t="s">
        <v>4713</v>
      </c>
      <c r="H725">
        <v>83704535</v>
      </c>
      <c r="I725" t="s">
        <v>17</v>
      </c>
      <c r="K725" t="s">
        <v>5301</v>
      </c>
      <c r="L725">
        <v>267</v>
      </c>
      <c r="M725" t="s">
        <v>5302</v>
      </c>
    </row>
    <row r="726" spans="1:13" x14ac:dyDescent="0.45">
      <c r="A726" t="s">
        <v>3601</v>
      </c>
      <c r="B726">
        <v>745218</v>
      </c>
      <c r="C726">
        <v>747008</v>
      </c>
      <c r="E726" t="s">
        <v>14</v>
      </c>
      <c r="F726" t="s">
        <v>5303</v>
      </c>
      <c r="H726">
        <v>83704536</v>
      </c>
      <c r="I726" t="s">
        <v>17</v>
      </c>
      <c r="K726" t="s">
        <v>5304</v>
      </c>
      <c r="L726">
        <v>596</v>
      </c>
      <c r="M726" t="s">
        <v>5305</v>
      </c>
    </row>
    <row r="727" spans="1:13" x14ac:dyDescent="0.45">
      <c r="A727" t="s">
        <v>3601</v>
      </c>
      <c r="B727">
        <v>747568</v>
      </c>
      <c r="C727">
        <v>748869</v>
      </c>
      <c r="E727" t="s">
        <v>14</v>
      </c>
      <c r="F727" t="s">
        <v>5306</v>
      </c>
      <c r="H727">
        <v>83704537</v>
      </c>
      <c r="I727" t="s">
        <v>17</v>
      </c>
      <c r="K727" t="s">
        <v>5307</v>
      </c>
      <c r="L727">
        <v>433</v>
      </c>
      <c r="M727" t="s">
        <v>5308</v>
      </c>
    </row>
    <row r="728" spans="1:13" x14ac:dyDescent="0.45">
      <c r="A728" t="s">
        <v>3601</v>
      </c>
      <c r="B728">
        <v>749163</v>
      </c>
      <c r="C728">
        <v>749717</v>
      </c>
      <c r="E728" t="s">
        <v>14</v>
      </c>
      <c r="F728" t="s">
        <v>144</v>
      </c>
      <c r="H728">
        <v>83704538</v>
      </c>
      <c r="I728" t="s">
        <v>17</v>
      </c>
      <c r="K728" t="s">
        <v>5309</v>
      </c>
      <c r="L728">
        <v>184</v>
      </c>
      <c r="M728" t="s">
        <v>5310</v>
      </c>
    </row>
    <row r="729" spans="1:13" x14ac:dyDescent="0.45">
      <c r="A729" t="s">
        <v>3601</v>
      </c>
      <c r="B729">
        <v>749710</v>
      </c>
      <c r="C729">
        <v>750993</v>
      </c>
      <c r="E729" t="s">
        <v>14</v>
      </c>
      <c r="F729" t="s">
        <v>5311</v>
      </c>
      <c r="G729" t="s">
        <v>5312</v>
      </c>
      <c r="H729">
        <v>83704539</v>
      </c>
      <c r="I729" t="s">
        <v>17</v>
      </c>
      <c r="K729" t="s">
        <v>5313</v>
      </c>
      <c r="L729">
        <v>427</v>
      </c>
      <c r="M729" t="s">
        <v>5314</v>
      </c>
    </row>
    <row r="730" spans="1:13" x14ac:dyDescent="0.45">
      <c r="A730" t="s">
        <v>3601</v>
      </c>
      <c r="B730">
        <v>751010</v>
      </c>
      <c r="C730">
        <v>751870</v>
      </c>
      <c r="E730" t="s">
        <v>14</v>
      </c>
      <c r="F730" t="s">
        <v>5315</v>
      </c>
      <c r="H730">
        <v>83704540</v>
      </c>
      <c r="I730" t="s">
        <v>17</v>
      </c>
      <c r="K730" t="s">
        <v>5316</v>
      </c>
      <c r="L730">
        <v>286</v>
      </c>
      <c r="M730" t="s">
        <v>5317</v>
      </c>
    </row>
    <row r="731" spans="1:13" x14ac:dyDescent="0.45">
      <c r="A731" t="s">
        <v>3601</v>
      </c>
      <c r="B731">
        <v>751872</v>
      </c>
      <c r="C731">
        <v>752810</v>
      </c>
      <c r="E731" t="s">
        <v>14</v>
      </c>
      <c r="F731" t="s">
        <v>428</v>
      </c>
      <c r="H731">
        <v>83704541</v>
      </c>
      <c r="I731" t="s">
        <v>17</v>
      </c>
      <c r="K731" t="s">
        <v>5318</v>
      </c>
      <c r="L731">
        <v>312</v>
      </c>
      <c r="M731" t="s">
        <v>5319</v>
      </c>
    </row>
    <row r="732" spans="1:13" x14ac:dyDescent="0.45">
      <c r="A732" t="s">
        <v>3601</v>
      </c>
      <c r="B732">
        <v>752944</v>
      </c>
      <c r="C732">
        <v>754227</v>
      </c>
      <c r="E732" t="s">
        <v>14</v>
      </c>
      <c r="F732" t="s">
        <v>5320</v>
      </c>
      <c r="G732" t="s">
        <v>5321</v>
      </c>
      <c r="H732">
        <v>83704542</v>
      </c>
      <c r="I732" t="s">
        <v>17</v>
      </c>
      <c r="K732" t="s">
        <v>5322</v>
      </c>
      <c r="L732">
        <v>427</v>
      </c>
      <c r="M732" t="s">
        <v>5323</v>
      </c>
    </row>
    <row r="733" spans="1:13" x14ac:dyDescent="0.45">
      <c r="A733" t="s">
        <v>3601</v>
      </c>
      <c r="B733">
        <v>754220</v>
      </c>
      <c r="C733">
        <v>754714</v>
      </c>
      <c r="E733" t="s">
        <v>14</v>
      </c>
      <c r="F733" t="s">
        <v>5324</v>
      </c>
      <c r="H733">
        <v>83704543</v>
      </c>
      <c r="I733" t="s">
        <v>17</v>
      </c>
      <c r="K733" t="s">
        <v>5325</v>
      </c>
      <c r="L733">
        <v>164</v>
      </c>
      <c r="M733" t="s">
        <v>5326</v>
      </c>
    </row>
    <row r="734" spans="1:13" x14ac:dyDescent="0.45">
      <c r="A734" t="s">
        <v>3601</v>
      </c>
      <c r="B734">
        <v>754912</v>
      </c>
      <c r="C734">
        <v>756342</v>
      </c>
      <c r="E734" t="s">
        <v>14</v>
      </c>
      <c r="F734" t="s">
        <v>107</v>
      </c>
      <c r="H734">
        <v>83704544</v>
      </c>
      <c r="I734" t="s">
        <v>17</v>
      </c>
      <c r="K734" t="s">
        <v>5327</v>
      </c>
      <c r="L734">
        <v>476</v>
      </c>
      <c r="M734" t="s">
        <v>5328</v>
      </c>
    </row>
    <row r="735" spans="1:13" x14ac:dyDescent="0.45">
      <c r="A735" t="s">
        <v>3601</v>
      </c>
      <c r="B735">
        <v>756420</v>
      </c>
      <c r="C735">
        <v>758051</v>
      </c>
      <c r="E735" t="s">
        <v>14</v>
      </c>
      <c r="F735" t="s">
        <v>399</v>
      </c>
      <c r="G735" t="s">
        <v>400</v>
      </c>
      <c r="H735">
        <v>83704545</v>
      </c>
      <c r="I735" t="s">
        <v>17</v>
      </c>
      <c r="K735" t="s">
        <v>5329</v>
      </c>
      <c r="L735">
        <v>543</v>
      </c>
      <c r="M735" t="s">
        <v>5330</v>
      </c>
    </row>
    <row r="736" spans="1:13" x14ac:dyDescent="0.45">
      <c r="A736" t="s">
        <v>3601</v>
      </c>
      <c r="B736">
        <v>758071</v>
      </c>
      <c r="C736">
        <v>758352</v>
      </c>
      <c r="E736" t="s">
        <v>14</v>
      </c>
      <c r="F736" t="s">
        <v>5331</v>
      </c>
      <c r="H736">
        <v>83704546</v>
      </c>
      <c r="I736" t="s">
        <v>17</v>
      </c>
      <c r="K736" t="s">
        <v>5332</v>
      </c>
      <c r="L736">
        <v>93</v>
      </c>
      <c r="M736" t="s">
        <v>5333</v>
      </c>
    </row>
    <row r="737" spans="1:13" x14ac:dyDescent="0.45">
      <c r="A737" t="s">
        <v>3601</v>
      </c>
      <c r="B737">
        <v>758430</v>
      </c>
      <c r="C737">
        <v>759467</v>
      </c>
      <c r="E737" t="s">
        <v>14</v>
      </c>
      <c r="F737" t="s">
        <v>5334</v>
      </c>
      <c r="H737">
        <v>83704547</v>
      </c>
      <c r="I737" t="s">
        <v>17</v>
      </c>
      <c r="K737" t="s">
        <v>5335</v>
      </c>
      <c r="L737">
        <v>345</v>
      </c>
      <c r="M737" t="s">
        <v>5336</v>
      </c>
    </row>
    <row r="738" spans="1:13" x14ac:dyDescent="0.45">
      <c r="A738" t="s">
        <v>3601</v>
      </c>
      <c r="B738">
        <v>759467</v>
      </c>
      <c r="C738">
        <v>759952</v>
      </c>
      <c r="E738" t="s">
        <v>14</v>
      </c>
      <c r="F738" t="s">
        <v>5337</v>
      </c>
      <c r="H738">
        <v>83704548</v>
      </c>
      <c r="I738" t="s">
        <v>17</v>
      </c>
      <c r="K738" t="s">
        <v>5338</v>
      </c>
      <c r="L738">
        <v>161</v>
      </c>
      <c r="M738" t="s">
        <v>5339</v>
      </c>
    </row>
    <row r="739" spans="1:13" x14ac:dyDescent="0.45">
      <c r="A739" t="s">
        <v>3601</v>
      </c>
      <c r="B739">
        <v>759949</v>
      </c>
      <c r="C739">
        <v>761217</v>
      </c>
      <c r="E739" t="s">
        <v>14</v>
      </c>
      <c r="F739" t="s">
        <v>51</v>
      </c>
      <c r="H739">
        <v>83704549</v>
      </c>
      <c r="I739" t="s">
        <v>52</v>
      </c>
      <c r="M739" t="s">
        <v>5340</v>
      </c>
    </row>
    <row r="740" spans="1:13" x14ac:dyDescent="0.45">
      <c r="A740" t="s">
        <v>3601</v>
      </c>
      <c r="B740">
        <v>761715</v>
      </c>
      <c r="C740">
        <v>761879</v>
      </c>
      <c r="E740" t="s">
        <v>14</v>
      </c>
      <c r="F740" t="s">
        <v>45</v>
      </c>
      <c r="H740">
        <v>83704550</v>
      </c>
      <c r="I740" t="s">
        <v>17</v>
      </c>
      <c r="K740" t="s">
        <v>5341</v>
      </c>
      <c r="L740">
        <v>54</v>
      </c>
      <c r="M740" t="s">
        <v>5342</v>
      </c>
    </row>
    <row r="741" spans="1:13" x14ac:dyDescent="0.45">
      <c r="A741" t="s">
        <v>3601</v>
      </c>
      <c r="B741">
        <v>762026</v>
      </c>
      <c r="C741">
        <v>763936</v>
      </c>
      <c r="E741" t="s">
        <v>14</v>
      </c>
      <c r="F741" t="s">
        <v>5343</v>
      </c>
      <c r="G741" t="s">
        <v>5344</v>
      </c>
      <c r="H741">
        <v>83704551</v>
      </c>
      <c r="I741" t="s">
        <v>17</v>
      </c>
      <c r="K741" t="s">
        <v>5345</v>
      </c>
      <c r="L741">
        <v>636</v>
      </c>
      <c r="M741" t="s">
        <v>5346</v>
      </c>
    </row>
    <row r="742" spans="1:13" x14ac:dyDescent="0.45">
      <c r="A742" t="s">
        <v>3601</v>
      </c>
      <c r="B742">
        <v>764040</v>
      </c>
      <c r="C742">
        <v>764552</v>
      </c>
      <c r="E742" t="s">
        <v>14</v>
      </c>
      <c r="F742" t="s">
        <v>51</v>
      </c>
      <c r="H742">
        <v>83704552</v>
      </c>
      <c r="I742" t="s">
        <v>52</v>
      </c>
      <c r="M742" t="s">
        <v>5347</v>
      </c>
    </row>
    <row r="743" spans="1:13" x14ac:dyDescent="0.45">
      <c r="A743" t="s">
        <v>3601</v>
      </c>
      <c r="B743">
        <v>764716</v>
      </c>
      <c r="C743">
        <v>765027</v>
      </c>
      <c r="E743" t="s">
        <v>14</v>
      </c>
      <c r="F743" t="s">
        <v>30</v>
      </c>
      <c r="H743">
        <v>83704553</v>
      </c>
      <c r="I743" t="s">
        <v>17</v>
      </c>
      <c r="K743" t="s">
        <v>5348</v>
      </c>
      <c r="L743">
        <v>103</v>
      </c>
      <c r="M743" t="s">
        <v>5349</v>
      </c>
    </row>
    <row r="744" spans="1:13" x14ac:dyDescent="0.45">
      <c r="A744" t="s">
        <v>3601</v>
      </c>
      <c r="B744">
        <v>765031</v>
      </c>
      <c r="C744">
        <v>765246</v>
      </c>
      <c r="E744" t="s">
        <v>14</v>
      </c>
      <c r="F744" t="s">
        <v>5350</v>
      </c>
      <c r="H744">
        <v>83704554</v>
      </c>
      <c r="I744" t="s">
        <v>17</v>
      </c>
      <c r="K744" t="s">
        <v>5351</v>
      </c>
      <c r="L744">
        <v>71</v>
      </c>
      <c r="M744" t="s">
        <v>5352</v>
      </c>
    </row>
    <row r="745" spans="1:13" x14ac:dyDescent="0.45">
      <c r="A745" t="s">
        <v>3601</v>
      </c>
      <c r="B745">
        <v>765266</v>
      </c>
      <c r="C745">
        <v>766132</v>
      </c>
      <c r="E745" t="s">
        <v>14</v>
      </c>
      <c r="F745" t="s">
        <v>5353</v>
      </c>
      <c r="H745">
        <v>83704555</v>
      </c>
      <c r="I745" t="s">
        <v>17</v>
      </c>
      <c r="K745" t="s">
        <v>5354</v>
      </c>
      <c r="L745">
        <v>288</v>
      </c>
      <c r="M745" t="s">
        <v>5355</v>
      </c>
    </row>
    <row r="746" spans="1:13" x14ac:dyDescent="0.45">
      <c r="A746" t="s">
        <v>3601</v>
      </c>
      <c r="B746">
        <v>766152</v>
      </c>
      <c r="C746">
        <v>766415</v>
      </c>
      <c r="E746" t="s">
        <v>14</v>
      </c>
      <c r="F746" t="s">
        <v>5356</v>
      </c>
      <c r="H746">
        <v>83704556</v>
      </c>
      <c r="I746" t="s">
        <v>17</v>
      </c>
      <c r="K746" t="s">
        <v>5357</v>
      </c>
      <c r="L746">
        <v>87</v>
      </c>
      <c r="M746" t="s">
        <v>5358</v>
      </c>
    </row>
    <row r="747" spans="1:13" x14ac:dyDescent="0.45">
      <c r="A747" t="s">
        <v>3601</v>
      </c>
      <c r="B747">
        <v>766419</v>
      </c>
      <c r="C747">
        <v>766808</v>
      </c>
      <c r="E747" t="s">
        <v>14</v>
      </c>
      <c r="F747" t="s">
        <v>5359</v>
      </c>
      <c r="H747">
        <v>83704557</v>
      </c>
      <c r="I747" t="s">
        <v>17</v>
      </c>
      <c r="K747" t="s">
        <v>5360</v>
      </c>
      <c r="L747">
        <v>129</v>
      </c>
      <c r="M747" t="s">
        <v>5361</v>
      </c>
    </row>
    <row r="748" spans="1:13" x14ac:dyDescent="0.45">
      <c r="A748" t="s">
        <v>3601</v>
      </c>
      <c r="B748">
        <v>766720</v>
      </c>
      <c r="C748">
        <v>769149</v>
      </c>
      <c r="E748" t="s">
        <v>14</v>
      </c>
      <c r="F748" t="s">
        <v>5362</v>
      </c>
      <c r="H748">
        <v>83704558</v>
      </c>
      <c r="I748" t="s">
        <v>17</v>
      </c>
      <c r="K748" t="s">
        <v>5363</v>
      </c>
      <c r="L748">
        <v>809</v>
      </c>
      <c r="M748" t="s">
        <v>5364</v>
      </c>
    </row>
    <row r="749" spans="1:13" x14ac:dyDescent="0.45">
      <c r="A749" t="s">
        <v>3601</v>
      </c>
      <c r="B749">
        <v>769153</v>
      </c>
      <c r="C749">
        <v>771276</v>
      </c>
      <c r="E749" t="s">
        <v>14</v>
      </c>
      <c r="F749" t="s">
        <v>1038</v>
      </c>
      <c r="H749">
        <v>83704559</v>
      </c>
      <c r="I749" t="s">
        <v>17</v>
      </c>
      <c r="K749" t="s">
        <v>5365</v>
      </c>
      <c r="L749">
        <v>707</v>
      </c>
      <c r="M749" t="s">
        <v>5366</v>
      </c>
    </row>
    <row r="750" spans="1:13" x14ac:dyDescent="0.45">
      <c r="A750" t="s">
        <v>3601</v>
      </c>
      <c r="B750">
        <v>771289</v>
      </c>
      <c r="C750">
        <v>771528</v>
      </c>
      <c r="E750" t="s">
        <v>14</v>
      </c>
      <c r="F750" t="s">
        <v>45</v>
      </c>
      <c r="H750">
        <v>83704560</v>
      </c>
      <c r="I750" t="s">
        <v>17</v>
      </c>
      <c r="K750" t="s">
        <v>5367</v>
      </c>
      <c r="L750">
        <v>79</v>
      </c>
      <c r="M750" t="s">
        <v>5368</v>
      </c>
    </row>
    <row r="751" spans="1:13" x14ac:dyDescent="0.45">
      <c r="A751" t="s">
        <v>3601</v>
      </c>
      <c r="B751">
        <v>771503</v>
      </c>
      <c r="C751">
        <v>773056</v>
      </c>
      <c r="E751" t="s">
        <v>14</v>
      </c>
      <c r="F751" t="s">
        <v>5369</v>
      </c>
      <c r="H751">
        <v>83704561</v>
      </c>
      <c r="I751" t="s">
        <v>17</v>
      </c>
      <c r="K751" t="s">
        <v>5370</v>
      </c>
      <c r="L751">
        <v>517</v>
      </c>
      <c r="M751" t="s">
        <v>5371</v>
      </c>
    </row>
    <row r="752" spans="1:13" x14ac:dyDescent="0.45">
      <c r="A752" t="s">
        <v>3601</v>
      </c>
      <c r="B752">
        <v>773151</v>
      </c>
      <c r="C752">
        <v>774857</v>
      </c>
      <c r="E752" t="s">
        <v>14</v>
      </c>
      <c r="F752" t="s">
        <v>5372</v>
      </c>
      <c r="H752">
        <v>83704562</v>
      </c>
      <c r="I752" t="s">
        <v>17</v>
      </c>
      <c r="K752" t="s">
        <v>5373</v>
      </c>
      <c r="L752">
        <v>568</v>
      </c>
      <c r="M752" t="s">
        <v>5374</v>
      </c>
    </row>
    <row r="753" spans="1:13" x14ac:dyDescent="0.45">
      <c r="A753" t="s">
        <v>3601</v>
      </c>
      <c r="B753">
        <v>774933</v>
      </c>
      <c r="C753">
        <v>776330</v>
      </c>
      <c r="E753" t="s">
        <v>42</v>
      </c>
      <c r="F753" t="s">
        <v>5267</v>
      </c>
      <c r="H753">
        <v>83704563</v>
      </c>
      <c r="I753" t="s">
        <v>17</v>
      </c>
      <c r="K753" t="s">
        <v>5268</v>
      </c>
      <c r="L753">
        <v>465</v>
      </c>
      <c r="M753" t="s">
        <v>5375</v>
      </c>
    </row>
    <row r="754" spans="1:13" x14ac:dyDescent="0.45">
      <c r="A754" t="s">
        <v>3601</v>
      </c>
      <c r="B754">
        <v>776513</v>
      </c>
      <c r="C754">
        <v>776692</v>
      </c>
      <c r="E754" t="s">
        <v>14</v>
      </c>
      <c r="F754" t="s">
        <v>46</v>
      </c>
      <c r="H754">
        <v>83704564</v>
      </c>
      <c r="I754" t="s">
        <v>17</v>
      </c>
      <c r="K754" t="s">
        <v>5376</v>
      </c>
      <c r="L754">
        <v>59</v>
      </c>
      <c r="M754" t="s">
        <v>5377</v>
      </c>
    </row>
    <row r="755" spans="1:13" x14ac:dyDescent="0.45">
      <c r="A755" t="s">
        <v>3601</v>
      </c>
      <c r="B755">
        <v>776710</v>
      </c>
      <c r="C755">
        <v>778161</v>
      </c>
      <c r="E755" t="s">
        <v>14</v>
      </c>
      <c r="F755" t="s">
        <v>5378</v>
      </c>
      <c r="H755">
        <v>83704565</v>
      </c>
      <c r="I755" t="s">
        <v>17</v>
      </c>
      <c r="K755" t="s">
        <v>5379</v>
      </c>
      <c r="L755">
        <v>483</v>
      </c>
      <c r="M755" t="s">
        <v>5380</v>
      </c>
    </row>
    <row r="756" spans="1:13" x14ac:dyDescent="0.45">
      <c r="A756" t="s">
        <v>3601</v>
      </c>
      <c r="B756">
        <v>778335</v>
      </c>
      <c r="C756">
        <v>787055</v>
      </c>
      <c r="E756" t="s">
        <v>14</v>
      </c>
      <c r="F756" t="s">
        <v>453</v>
      </c>
      <c r="H756">
        <v>83704566</v>
      </c>
      <c r="I756" t="s">
        <v>17</v>
      </c>
      <c r="K756" t="s">
        <v>5381</v>
      </c>
      <c r="L756">
        <v>2906</v>
      </c>
      <c r="M756" t="s">
        <v>5382</v>
      </c>
    </row>
    <row r="757" spans="1:13" x14ac:dyDescent="0.45">
      <c r="A757" t="s">
        <v>3601</v>
      </c>
      <c r="B757">
        <v>787097</v>
      </c>
      <c r="C757">
        <v>787756</v>
      </c>
      <c r="E757" t="s">
        <v>14</v>
      </c>
      <c r="F757" t="s">
        <v>5383</v>
      </c>
      <c r="H757">
        <v>83704567</v>
      </c>
      <c r="I757" t="s">
        <v>17</v>
      </c>
      <c r="K757" t="s">
        <v>5384</v>
      </c>
      <c r="L757">
        <v>219</v>
      </c>
      <c r="M757" t="s">
        <v>5385</v>
      </c>
    </row>
    <row r="758" spans="1:13" x14ac:dyDescent="0.45">
      <c r="A758" t="s">
        <v>3601</v>
      </c>
      <c r="B758">
        <v>788215</v>
      </c>
      <c r="C758">
        <v>790368</v>
      </c>
      <c r="E758" t="s">
        <v>14</v>
      </c>
      <c r="F758" t="s">
        <v>999</v>
      </c>
      <c r="H758">
        <v>83704568</v>
      </c>
      <c r="I758" t="s">
        <v>17</v>
      </c>
      <c r="K758" t="s">
        <v>5386</v>
      </c>
      <c r="L758">
        <v>717</v>
      </c>
      <c r="M758" t="s">
        <v>5387</v>
      </c>
    </row>
    <row r="759" spans="1:13" x14ac:dyDescent="0.45">
      <c r="A759" t="s">
        <v>3601</v>
      </c>
      <c r="B759">
        <v>790400</v>
      </c>
      <c r="C759">
        <v>790561</v>
      </c>
      <c r="E759" t="s">
        <v>14</v>
      </c>
      <c r="F759" t="s">
        <v>5388</v>
      </c>
      <c r="H759">
        <v>83704569</v>
      </c>
      <c r="I759" t="s">
        <v>17</v>
      </c>
      <c r="K759" t="s">
        <v>5389</v>
      </c>
      <c r="L759">
        <v>53</v>
      </c>
      <c r="M759" t="s">
        <v>5390</v>
      </c>
    </row>
    <row r="760" spans="1:13" x14ac:dyDescent="0.45">
      <c r="A760" t="s">
        <v>3601</v>
      </c>
      <c r="B760">
        <v>790561</v>
      </c>
      <c r="C760">
        <v>791874</v>
      </c>
      <c r="E760" t="s">
        <v>14</v>
      </c>
      <c r="F760" t="s">
        <v>421</v>
      </c>
      <c r="H760">
        <v>83704570</v>
      </c>
      <c r="I760" t="s">
        <v>17</v>
      </c>
      <c r="K760" t="s">
        <v>5391</v>
      </c>
      <c r="L760">
        <v>437</v>
      </c>
      <c r="M760" t="s">
        <v>5392</v>
      </c>
    </row>
    <row r="761" spans="1:13" x14ac:dyDescent="0.45">
      <c r="A761" t="s">
        <v>3601</v>
      </c>
      <c r="B761">
        <v>791874</v>
      </c>
      <c r="C761">
        <v>792623</v>
      </c>
      <c r="E761" t="s">
        <v>14</v>
      </c>
      <c r="F761" t="s">
        <v>511</v>
      </c>
      <c r="H761">
        <v>83704571</v>
      </c>
      <c r="I761" t="s">
        <v>17</v>
      </c>
      <c r="K761" t="s">
        <v>5393</v>
      </c>
      <c r="L761">
        <v>249</v>
      </c>
      <c r="M761" t="s">
        <v>5394</v>
      </c>
    </row>
    <row r="762" spans="1:13" x14ac:dyDescent="0.45">
      <c r="A762" t="s">
        <v>3601</v>
      </c>
      <c r="B762">
        <v>792965</v>
      </c>
      <c r="C762">
        <v>793492</v>
      </c>
      <c r="E762" t="s">
        <v>14</v>
      </c>
      <c r="F762" t="s">
        <v>5395</v>
      </c>
      <c r="H762">
        <v>83704572</v>
      </c>
      <c r="I762" t="s">
        <v>17</v>
      </c>
      <c r="K762" t="s">
        <v>5396</v>
      </c>
      <c r="L762">
        <v>175</v>
      </c>
      <c r="M762" t="s">
        <v>5397</v>
      </c>
    </row>
    <row r="763" spans="1:13" x14ac:dyDescent="0.45">
      <c r="A763" t="s">
        <v>3601</v>
      </c>
      <c r="B763">
        <v>794268</v>
      </c>
      <c r="C763">
        <v>794405</v>
      </c>
      <c r="E763" t="s">
        <v>14</v>
      </c>
      <c r="F763" t="s">
        <v>51</v>
      </c>
      <c r="H763">
        <v>301046575</v>
      </c>
      <c r="I763" t="s">
        <v>52</v>
      </c>
      <c r="M763" t="s">
        <v>5398</v>
      </c>
    </row>
    <row r="764" spans="1:13" x14ac:dyDescent="0.45">
      <c r="A764" t="s">
        <v>3601</v>
      </c>
      <c r="B764">
        <v>794742</v>
      </c>
      <c r="C764">
        <v>794972</v>
      </c>
      <c r="E764" t="s">
        <v>14</v>
      </c>
      <c r="F764" t="s">
        <v>5399</v>
      </c>
      <c r="H764">
        <v>83704573</v>
      </c>
      <c r="I764" t="s">
        <v>17</v>
      </c>
      <c r="K764" t="s">
        <v>5400</v>
      </c>
      <c r="L764">
        <v>76</v>
      </c>
      <c r="M764" t="s">
        <v>5401</v>
      </c>
    </row>
    <row r="765" spans="1:13" x14ac:dyDescent="0.45">
      <c r="A765" t="s">
        <v>3601</v>
      </c>
      <c r="B765">
        <v>795516</v>
      </c>
      <c r="C765">
        <v>795677</v>
      </c>
      <c r="E765" t="s">
        <v>14</v>
      </c>
      <c r="F765" t="s">
        <v>45</v>
      </c>
      <c r="H765">
        <v>83704574</v>
      </c>
      <c r="I765" t="s">
        <v>17</v>
      </c>
      <c r="K765" t="s">
        <v>5402</v>
      </c>
      <c r="L765">
        <v>53</v>
      </c>
      <c r="M765" t="s">
        <v>5403</v>
      </c>
    </row>
    <row r="766" spans="1:13" x14ac:dyDescent="0.45">
      <c r="A766" t="s">
        <v>3601</v>
      </c>
      <c r="B766">
        <v>796635</v>
      </c>
      <c r="C766">
        <v>797966</v>
      </c>
      <c r="E766" t="s">
        <v>42</v>
      </c>
      <c r="F766" t="s">
        <v>5404</v>
      </c>
      <c r="H766">
        <v>83704575</v>
      </c>
      <c r="I766" t="s">
        <v>17</v>
      </c>
      <c r="K766" t="s">
        <v>5405</v>
      </c>
      <c r="L766">
        <v>443</v>
      </c>
      <c r="M766" t="s">
        <v>5406</v>
      </c>
    </row>
    <row r="767" spans="1:13" x14ac:dyDescent="0.45">
      <c r="A767" t="s">
        <v>3601</v>
      </c>
      <c r="B767">
        <v>797972</v>
      </c>
      <c r="C767">
        <v>798322</v>
      </c>
      <c r="E767" t="s">
        <v>42</v>
      </c>
      <c r="F767" t="s">
        <v>5407</v>
      </c>
      <c r="H767">
        <v>83704576</v>
      </c>
      <c r="I767" t="s">
        <v>17</v>
      </c>
      <c r="K767" t="s">
        <v>5408</v>
      </c>
      <c r="L767">
        <v>116</v>
      </c>
      <c r="M767" t="s">
        <v>5409</v>
      </c>
    </row>
    <row r="768" spans="1:13" x14ac:dyDescent="0.45">
      <c r="A768" t="s">
        <v>3601</v>
      </c>
      <c r="B768">
        <v>798626</v>
      </c>
      <c r="C768">
        <v>799525</v>
      </c>
      <c r="E768" t="s">
        <v>14</v>
      </c>
      <c r="F768" t="s">
        <v>79</v>
      </c>
      <c r="H768">
        <v>83704577</v>
      </c>
      <c r="I768" t="s">
        <v>17</v>
      </c>
      <c r="K768" t="s">
        <v>5410</v>
      </c>
      <c r="L768">
        <v>299</v>
      </c>
      <c r="M768" t="s">
        <v>5411</v>
      </c>
    </row>
    <row r="769" spans="1:13" x14ac:dyDescent="0.45">
      <c r="A769" t="s">
        <v>3601</v>
      </c>
      <c r="B769">
        <v>799590</v>
      </c>
      <c r="C769">
        <v>800204</v>
      </c>
      <c r="E769" t="s">
        <v>14</v>
      </c>
      <c r="F769" t="s">
        <v>51</v>
      </c>
      <c r="H769">
        <v>83704578</v>
      </c>
      <c r="I769" t="s">
        <v>52</v>
      </c>
      <c r="M769" t="s">
        <v>5412</v>
      </c>
    </row>
    <row r="770" spans="1:13" x14ac:dyDescent="0.45">
      <c r="A770" t="s">
        <v>3601</v>
      </c>
      <c r="B770">
        <v>800217</v>
      </c>
      <c r="C770">
        <v>800768</v>
      </c>
      <c r="E770" t="s">
        <v>14</v>
      </c>
      <c r="F770" t="s">
        <v>5413</v>
      </c>
      <c r="H770">
        <v>83704579</v>
      </c>
      <c r="I770" t="s">
        <v>17</v>
      </c>
      <c r="K770" t="s">
        <v>5414</v>
      </c>
      <c r="L770">
        <v>183</v>
      </c>
      <c r="M770" t="s">
        <v>5415</v>
      </c>
    </row>
    <row r="771" spans="1:13" x14ac:dyDescent="0.45">
      <c r="A771" t="s">
        <v>3601</v>
      </c>
      <c r="B771">
        <v>800884</v>
      </c>
      <c r="C771">
        <v>802770</v>
      </c>
      <c r="E771" t="s">
        <v>14</v>
      </c>
      <c r="F771" t="s">
        <v>5343</v>
      </c>
      <c r="G771" t="s">
        <v>5344</v>
      </c>
      <c r="H771">
        <v>83704580</v>
      </c>
      <c r="I771" t="s">
        <v>17</v>
      </c>
      <c r="K771" t="s">
        <v>5416</v>
      </c>
      <c r="L771">
        <v>628</v>
      </c>
      <c r="M771" t="s">
        <v>5417</v>
      </c>
    </row>
    <row r="772" spans="1:13" x14ac:dyDescent="0.45">
      <c r="A772" t="s">
        <v>3601</v>
      </c>
      <c r="B772">
        <v>802874</v>
      </c>
      <c r="C772">
        <v>803383</v>
      </c>
      <c r="E772" t="s">
        <v>14</v>
      </c>
      <c r="F772" t="s">
        <v>51</v>
      </c>
      <c r="H772">
        <v>83704581</v>
      </c>
      <c r="I772" t="s">
        <v>52</v>
      </c>
      <c r="M772" t="s">
        <v>5418</v>
      </c>
    </row>
    <row r="773" spans="1:13" x14ac:dyDescent="0.45">
      <c r="A773" t="s">
        <v>3601</v>
      </c>
      <c r="B773">
        <v>803464</v>
      </c>
      <c r="C773">
        <v>804012</v>
      </c>
      <c r="E773" t="s">
        <v>14</v>
      </c>
      <c r="F773" t="s">
        <v>5419</v>
      </c>
      <c r="H773">
        <v>83704582</v>
      </c>
      <c r="I773" t="s">
        <v>17</v>
      </c>
      <c r="K773" t="s">
        <v>5420</v>
      </c>
      <c r="L773">
        <v>182</v>
      </c>
      <c r="M773" t="s">
        <v>5421</v>
      </c>
    </row>
    <row r="774" spans="1:13" x14ac:dyDescent="0.45">
      <c r="A774" t="s">
        <v>3601</v>
      </c>
      <c r="B774">
        <v>804059</v>
      </c>
      <c r="C774">
        <v>804277</v>
      </c>
      <c r="E774" t="s">
        <v>14</v>
      </c>
      <c r="F774" t="s">
        <v>45</v>
      </c>
      <c r="H774">
        <v>83704583</v>
      </c>
      <c r="I774" t="s">
        <v>17</v>
      </c>
      <c r="K774" t="s">
        <v>5422</v>
      </c>
      <c r="L774">
        <v>72</v>
      </c>
      <c r="M774" t="s">
        <v>5423</v>
      </c>
    </row>
    <row r="775" spans="1:13" x14ac:dyDescent="0.45">
      <c r="A775" t="s">
        <v>3601</v>
      </c>
      <c r="B775">
        <v>804337</v>
      </c>
      <c r="C775">
        <v>804978</v>
      </c>
      <c r="E775" t="s">
        <v>14</v>
      </c>
      <c r="F775" t="s">
        <v>51</v>
      </c>
      <c r="H775">
        <v>90427715</v>
      </c>
      <c r="I775" t="s">
        <v>52</v>
      </c>
      <c r="M775" t="s">
        <v>5424</v>
      </c>
    </row>
    <row r="776" spans="1:13" x14ac:dyDescent="0.45">
      <c r="A776" t="s">
        <v>3601</v>
      </c>
      <c r="B776">
        <v>805117</v>
      </c>
      <c r="C776">
        <v>805491</v>
      </c>
      <c r="E776" t="s">
        <v>14</v>
      </c>
      <c r="F776" t="s">
        <v>45</v>
      </c>
      <c r="H776">
        <v>83704584</v>
      </c>
      <c r="I776" t="s">
        <v>17</v>
      </c>
      <c r="K776" t="s">
        <v>5425</v>
      </c>
      <c r="L776">
        <v>124</v>
      </c>
      <c r="M776" t="s">
        <v>5426</v>
      </c>
    </row>
    <row r="777" spans="1:13" x14ac:dyDescent="0.45">
      <c r="A777" t="s">
        <v>3601</v>
      </c>
      <c r="B777">
        <v>805668</v>
      </c>
      <c r="C777">
        <v>806873</v>
      </c>
      <c r="E777" t="s">
        <v>14</v>
      </c>
      <c r="F777" t="s">
        <v>92</v>
      </c>
      <c r="H777">
        <v>83704585</v>
      </c>
      <c r="I777" t="s">
        <v>17</v>
      </c>
      <c r="K777" t="s">
        <v>5427</v>
      </c>
      <c r="L777">
        <v>401</v>
      </c>
      <c r="M777" t="s">
        <v>5428</v>
      </c>
    </row>
    <row r="778" spans="1:13" x14ac:dyDescent="0.45">
      <c r="A778" t="s">
        <v>3601</v>
      </c>
      <c r="B778">
        <v>807111</v>
      </c>
      <c r="C778">
        <v>807368</v>
      </c>
      <c r="E778" t="s">
        <v>14</v>
      </c>
      <c r="F778" t="s">
        <v>51</v>
      </c>
      <c r="H778">
        <v>83704586</v>
      </c>
      <c r="I778" t="s">
        <v>52</v>
      </c>
      <c r="M778" t="s">
        <v>5429</v>
      </c>
    </row>
    <row r="779" spans="1:13" x14ac:dyDescent="0.45">
      <c r="A779" t="s">
        <v>3601</v>
      </c>
      <c r="B779">
        <v>807709</v>
      </c>
      <c r="C779">
        <v>808353</v>
      </c>
      <c r="E779" t="s">
        <v>42</v>
      </c>
      <c r="F779" t="s">
        <v>246</v>
      </c>
      <c r="H779">
        <v>83704587</v>
      </c>
      <c r="I779" t="s">
        <v>17</v>
      </c>
      <c r="K779" t="s">
        <v>5430</v>
      </c>
      <c r="L779">
        <v>214</v>
      </c>
      <c r="M779" t="s">
        <v>5431</v>
      </c>
    </row>
    <row r="780" spans="1:13" x14ac:dyDescent="0.45">
      <c r="A780" t="s">
        <v>3601</v>
      </c>
      <c r="B780">
        <v>808372</v>
      </c>
      <c r="C780">
        <v>808737</v>
      </c>
      <c r="E780" t="s">
        <v>42</v>
      </c>
      <c r="F780" t="s">
        <v>5432</v>
      </c>
      <c r="H780">
        <v>83704588</v>
      </c>
      <c r="I780" t="s">
        <v>17</v>
      </c>
      <c r="K780" t="s">
        <v>5433</v>
      </c>
      <c r="L780">
        <v>121</v>
      </c>
      <c r="M780" t="s">
        <v>5434</v>
      </c>
    </row>
    <row r="781" spans="1:13" x14ac:dyDescent="0.45">
      <c r="A781" t="s">
        <v>3601</v>
      </c>
      <c r="B781">
        <v>808734</v>
      </c>
      <c r="C781">
        <v>809213</v>
      </c>
      <c r="E781" t="s">
        <v>42</v>
      </c>
      <c r="F781" t="s">
        <v>5435</v>
      </c>
      <c r="H781">
        <v>83704589</v>
      </c>
      <c r="I781" t="s">
        <v>17</v>
      </c>
      <c r="K781" t="s">
        <v>5436</v>
      </c>
      <c r="L781">
        <v>159</v>
      </c>
      <c r="M781" t="s">
        <v>5437</v>
      </c>
    </row>
    <row r="782" spans="1:13" x14ac:dyDescent="0.45">
      <c r="A782" t="s">
        <v>3601</v>
      </c>
      <c r="B782">
        <v>809374</v>
      </c>
      <c r="C782">
        <v>809937</v>
      </c>
      <c r="E782" t="s">
        <v>42</v>
      </c>
      <c r="F782" t="s">
        <v>5438</v>
      </c>
      <c r="G782" t="s">
        <v>5439</v>
      </c>
      <c r="H782">
        <v>83704590</v>
      </c>
      <c r="I782" t="s">
        <v>17</v>
      </c>
      <c r="K782" t="s">
        <v>5440</v>
      </c>
      <c r="L782">
        <v>187</v>
      </c>
      <c r="M782" t="s">
        <v>5441</v>
      </c>
    </row>
    <row r="783" spans="1:13" x14ac:dyDescent="0.45">
      <c r="A783" t="s">
        <v>3601</v>
      </c>
      <c r="B783">
        <v>810409</v>
      </c>
      <c r="C783">
        <v>811275</v>
      </c>
      <c r="E783" t="s">
        <v>42</v>
      </c>
      <c r="F783" t="s">
        <v>5442</v>
      </c>
      <c r="H783">
        <v>83704591</v>
      </c>
      <c r="I783" t="s">
        <v>17</v>
      </c>
      <c r="K783" t="s">
        <v>5443</v>
      </c>
      <c r="L783">
        <v>288</v>
      </c>
      <c r="M783" t="s">
        <v>5444</v>
      </c>
    </row>
    <row r="784" spans="1:13" x14ac:dyDescent="0.45">
      <c r="A784" t="s">
        <v>3601</v>
      </c>
      <c r="B784">
        <v>811492</v>
      </c>
      <c r="C784">
        <v>811995</v>
      </c>
      <c r="E784" t="s">
        <v>14</v>
      </c>
      <c r="F784" t="s">
        <v>45</v>
      </c>
      <c r="H784">
        <v>83704592</v>
      </c>
      <c r="I784" t="s">
        <v>17</v>
      </c>
      <c r="K784" t="s">
        <v>5445</v>
      </c>
      <c r="L784">
        <v>167</v>
      </c>
      <c r="M784" t="s">
        <v>5446</v>
      </c>
    </row>
    <row r="785" spans="1:13" x14ac:dyDescent="0.45">
      <c r="A785" t="s">
        <v>3601</v>
      </c>
      <c r="B785">
        <v>812206</v>
      </c>
      <c r="C785">
        <v>813399</v>
      </c>
      <c r="E785" t="s">
        <v>42</v>
      </c>
      <c r="F785" t="s">
        <v>106</v>
      </c>
      <c r="H785">
        <v>83704593</v>
      </c>
      <c r="I785" t="s">
        <v>17</v>
      </c>
      <c r="K785" t="s">
        <v>5447</v>
      </c>
      <c r="L785">
        <v>397</v>
      </c>
      <c r="M785" t="s">
        <v>5448</v>
      </c>
    </row>
    <row r="786" spans="1:13" x14ac:dyDescent="0.45">
      <c r="A786" t="s">
        <v>3601</v>
      </c>
      <c r="B786">
        <v>813898</v>
      </c>
      <c r="C786">
        <v>814401</v>
      </c>
      <c r="E786" t="s">
        <v>42</v>
      </c>
      <c r="F786" t="s">
        <v>5449</v>
      </c>
      <c r="H786">
        <v>83704594</v>
      </c>
      <c r="I786" t="s">
        <v>17</v>
      </c>
      <c r="K786" t="s">
        <v>5450</v>
      </c>
      <c r="L786">
        <v>167</v>
      </c>
      <c r="M786" t="s">
        <v>5451</v>
      </c>
    </row>
    <row r="787" spans="1:13" x14ac:dyDescent="0.45">
      <c r="A787" t="s">
        <v>3601</v>
      </c>
      <c r="B787">
        <v>814394</v>
      </c>
      <c r="C787">
        <v>816193</v>
      </c>
      <c r="E787" t="s">
        <v>42</v>
      </c>
      <c r="F787" t="s">
        <v>993</v>
      </c>
      <c r="G787" t="s">
        <v>994</v>
      </c>
      <c r="H787">
        <v>83704595</v>
      </c>
      <c r="I787" t="s">
        <v>17</v>
      </c>
      <c r="K787" t="s">
        <v>5452</v>
      </c>
      <c r="L787">
        <v>599</v>
      </c>
      <c r="M787" t="s">
        <v>5453</v>
      </c>
    </row>
    <row r="788" spans="1:13" x14ac:dyDescent="0.45">
      <c r="A788" t="s">
        <v>3601</v>
      </c>
      <c r="B788">
        <v>816391</v>
      </c>
      <c r="C788">
        <v>819174</v>
      </c>
      <c r="E788" t="s">
        <v>14</v>
      </c>
      <c r="F788" t="s">
        <v>687</v>
      </c>
      <c r="G788" t="s">
        <v>688</v>
      </c>
      <c r="H788">
        <v>83704596</v>
      </c>
      <c r="I788" t="s">
        <v>17</v>
      </c>
      <c r="K788" t="s">
        <v>5454</v>
      </c>
      <c r="L788">
        <v>927</v>
      </c>
      <c r="M788" t="s">
        <v>5455</v>
      </c>
    </row>
    <row r="789" spans="1:13" x14ac:dyDescent="0.45">
      <c r="A789" t="s">
        <v>3601</v>
      </c>
      <c r="B789">
        <v>819382</v>
      </c>
      <c r="C789">
        <v>820662</v>
      </c>
      <c r="E789" t="s">
        <v>14</v>
      </c>
      <c r="F789" t="s">
        <v>5456</v>
      </c>
      <c r="G789" t="s">
        <v>5457</v>
      </c>
      <c r="H789">
        <v>83704597</v>
      </c>
      <c r="I789" t="s">
        <v>17</v>
      </c>
      <c r="K789" t="s">
        <v>5458</v>
      </c>
      <c r="L789">
        <v>426</v>
      </c>
      <c r="M789" t="s">
        <v>5459</v>
      </c>
    </row>
    <row r="790" spans="1:13" x14ac:dyDescent="0.45">
      <c r="A790" t="s">
        <v>3601</v>
      </c>
      <c r="B790">
        <v>821009</v>
      </c>
      <c r="C790">
        <v>821869</v>
      </c>
      <c r="E790" t="s">
        <v>14</v>
      </c>
      <c r="F790" t="s">
        <v>604</v>
      </c>
      <c r="H790">
        <v>83704598</v>
      </c>
      <c r="I790" t="s">
        <v>17</v>
      </c>
      <c r="K790" t="s">
        <v>5460</v>
      </c>
      <c r="L790">
        <v>286</v>
      </c>
      <c r="M790" t="s">
        <v>5461</v>
      </c>
    </row>
    <row r="791" spans="1:13" x14ac:dyDescent="0.45">
      <c r="A791" t="s">
        <v>3601</v>
      </c>
      <c r="B791">
        <v>821920</v>
      </c>
      <c r="C791">
        <v>822060</v>
      </c>
      <c r="E791" t="s">
        <v>14</v>
      </c>
      <c r="F791" t="s">
        <v>5462</v>
      </c>
      <c r="H791">
        <v>83704599</v>
      </c>
      <c r="I791" t="s">
        <v>17</v>
      </c>
      <c r="K791" t="s">
        <v>5463</v>
      </c>
      <c r="L791">
        <v>46</v>
      </c>
      <c r="M791" t="s">
        <v>5464</v>
      </c>
    </row>
    <row r="792" spans="1:13" x14ac:dyDescent="0.45">
      <c r="A792" t="s">
        <v>3601</v>
      </c>
      <c r="B792">
        <v>822133</v>
      </c>
      <c r="C792">
        <v>823239</v>
      </c>
      <c r="E792" t="s">
        <v>14</v>
      </c>
      <c r="F792" t="s">
        <v>5465</v>
      </c>
      <c r="H792">
        <v>83704600</v>
      </c>
      <c r="I792" t="s">
        <v>17</v>
      </c>
      <c r="K792" t="s">
        <v>5466</v>
      </c>
      <c r="L792">
        <v>368</v>
      </c>
      <c r="M792" t="s">
        <v>5467</v>
      </c>
    </row>
    <row r="793" spans="1:13" x14ac:dyDescent="0.45">
      <c r="A793" t="s">
        <v>3601</v>
      </c>
      <c r="B793">
        <v>823193</v>
      </c>
      <c r="C793">
        <v>824278</v>
      </c>
      <c r="E793" t="s">
        <v>14</v>
      </c>
      <c r="F793" t="s">
        <v>5468</v>
      </c>
      <c r="H793">
        <v>83704601</v>
      </c>
      <c r="I793" t="s">
        <v>17</v>
      </c>
      <c r="K793" t="s">
        <v>5469</v>
      </c>
      <c r="L793">
        <v>361</v>
      </c>
      <c r="M793" t="s">
        <v>5470</v>
      </c>
    </row>
    <row r="794" spans="1:13" x14ac:dyDescent="0.45">
      <c r="A794" t="s">
        <v>3601</v>
      </c>
      <c r="B794">
        <v>824265</v>
      </c>
      <c r="C794">
        <v>824525</v>
      </c>
      <c r="E794" t="s">
        <v>14</v>
      </c>
      <c r="F794" t="s">
        <v>45</v>
      </c>
      <c r="H794">
        <v>83704602</v>
      </c>
      <c r="I794" t="s">
        <v>17</v>
      </c>
      <c r="K794" t="s">
        <v>5471</v>
      </c>
      <c r="L794">
        <v>86</v>
      </c>
      <c r="M794" t="s">
        <v>5472</v>
      </c>
    </row>
    <row r="795" spans="1:13" x14ac:dyDescent="0.45">
      <c r="A795" t="s">
        <v>3601</v>
      </c>
      <c r="B795">
        <v>824518</v>
      </c>
      <c r="C795">
        <v>825417</v>
      </c>
      <c r="E795" t="s">
        <v>14</v>
      </c>
      <c r="F795" t="s">
        <v>72</v>
      </c>
      <c r="H795">
        <v>83704603</v>
      </c>
      <c r="I795" t="s">
        <v>17</v>
      </c>
      <c r="K795" t="s">
        <v>5473</v>
      </c>
      <c r="L795">
        <v>299</v>
      </c>
      <c r="M795" t="s">
        <v>5474</v>
      </c>
    </row>
    <row r="796" spans="1:13" x14ac:dyDescent="0.45">
      <c r="A796" t="s">
        <v>3601</v>
      </c>
      <c r="B796">
        <v>825407</v>
      </c>
      <c r="C796">
        <v>826147</v>
      </c>
      <c r="E796" t="s">
        <v>14</v>
      </c>
      <c r="F796" t="s">
        <v>113</v>
      </c>
      <c r="H796">
        <v>83704604</v>
      </c>
      <c r="I796" t="s">
        <v>17</v>
      </c>
      <c r="K796" t="s">
        <v>5475</v>
      </c>
      <c r="L796">
        <v>246</v>
      </c>
      <c r="M796" t="s">
        <v>5476</v>
      </c>
    </row>
    <row r="797" spans="1:13" x14ac:dyDescent="0.45">
      <c r="A797" t="s">
        <v>3601</v>
      </c>
      <c r="B797">
        <v>826140</v>
      </c>
      <c r="C797">
        <v>826718</v>
      </c>
      <c r="E797" t="s">
        <v>14</v>
      </c>
      <c r="F797" t="s">
        <v>45</v>
      </c>
      <c r="H797">
        <v>83704605</v>
      </c>
      <c r="I797" t="s">
        <v>17</v>
      </c>
      <c r="K797" t="s">
        <v>5477</v>
      </c>
      <c r="L797">
        <v>192</v>
      </c>
      <c r="M797" t="s">
        <v>5478</v>
      </c>
    </row>
    <row r="798" spans="1:13" x14ac:dyDescent="0.45">
      <c r="A798" t="s">
        <v>3601</v>
      </c>
      <c r="B798">
        <v>826990</v>
      </c>
      <c r="C798">
        <v>828546</v>
      </c>
      <c r="E798" t="s">
        <v>14</v>
      </c>
      <c r="F798" t="s">
        <v>55</v>
      </c>
      <c r="H798">
        <v>83704606</v>
      </c>
      <c r="I798" t="s">
        <v>17</v>
      </c>
      <c r="K798" t="s">
        <v>5479</v>
      </c>
      <c r="L798">
        <v>518</v>
      </c>
      <c r="M798" t="s">
        <v>5480</v>
      </c>
    </row>
    <row r="799" spans="1:13" x14ac:dyDescent="0.45">
      <c r="A799" t="s">
        <v>3601</v>
      </c>
      <c r="B799">
        <v>828556</v>
      </c>
      <c r="C799">
        <v>830118</v>
      </c>
      <c r="E799" t="s">
        <v>14</v>
      </c>
      <c r="F799" t="s">
        <v>55</v>
      </c>
      <c r="H799">
        <v>83704607</v>
      </c>
      <c r="I799" t="s">
        <v>17</v>
      </c>
      <c r="K799" t="s">
        <v>5481</v>
      </c>
      <c r="L799">
        <v>520</v>
      </c>
      <c r="M799" t="s">
        <v>5482</v>
      </c>
    </row>
    <row r="800" spans="1:13" x14ac:dyDescent="0.45">
      <c r="A800" t="s">
        <v>3601</v>
      </c>
      <c r="B800">
        <v>830501</v>
      </c>
      <c r="C800">
        <v>831602</v>
      </c>
      <c r="E800" t="s">
        <v>14</v>
      </c>
      <c r="F800" t="s">
        <v>457</v>
      </c>
      <c r="G800" t="s">
        <v>458</v>
      </c>
      <c r="H800">
        <v>83704608</v>
      </c>
      <c r="I800" t="s">
        <v>17</v>
      </c>
      <c r="K800" t="s">
        <v>5483</v>
      </c>
      <c r="L800">
        <v>366</v>
      </c>
      <c r="M800" t="s">
        <v>5484</v>
      </c>
    </row>
    <row r="801" spans="1:13" x14ac:dyDescent="0.45">
      <c r="A801" t="s">
        <v>3601</v>
      </c>
      <c r="B801">
        <v>831653</v>
      </c>
      <c r="C801">
        <v>832345</v>
      </c>
      <c r="E801" t="s">
        <v>14</v>
      </c>
      <c r="F801" t="s">
        <v>5485</v>
      </c>
      <c r="G801" t="s">
        <v>5486</v>
      </c>
      <c r="H801">
        <v>83704609</v>
      </c>
      <c r="I801" t="s">
        <v>17</v>
      </c>
      <c r="K801" t="s">
        <v>5487</v>
      </c>
      <c r="L801">
        <v>230</v>
      </c>
      <c r="M801" t="s">
        <v>5488</v>
      </c>
    </row>
    <row r="802" spans="1:13" x14ac:dyDescent="0.45">
      <c r="A802" t="s">
        <v>3601</v>
      </c>
      <c r="B802">
        <v>832338</v>
      </c>
      <c r="C802">
        <v>833267</v>
      </c>
      <c r="E802" t="s">
        <v>14</v>
      </c>
      <c r="F802" t="s">
        <v>5489</v>
      </c>
      <c r="G802" t="s">
        <v>5490</v>
      </c>
      <c r="H802">
        <v>83704610</v>
      </c>
      <c r="I802" t="s">
        <v>17</v>
      </c>
      <c r="K802" t="s">
        <v>5491</v>
      </c>
      <c r="L802">
        <v>309</v>
      </c>
      <c r="M802" t="s">
        <v>5492</v>
      </c>
    </row>
    <row r="803" spans="1:13" x14ac:dyDescent="0.45">
      <c r="A803" t="s">
        <v>3601</v>
      </c>
      <c r="B803">
        <v>833804</v>
      </c>
      <c r="C803">
        <v>834445</v>
      </c>
      <c r="E803" t="s">
        <v>42</v>
      </c>
      <c r="F803" t="s">
        <v>76</v>
      </c>
      <c r="H803">
        <v>83704611</v>
      </c>
      <c r="I803" t="s">
        <v>17</v>
      </c>
      <c r="K803" t="s">
        <v>5493</v>
      </c>
      <c r="L803">
        <v>213</v>
      </c>
      <c r="M803" t="s">
        <v>5494</v>
      </c>
    </row>
    <row r="804" spans="1:13" x14ac:dyDescent="0.45">
      <c r="A804" t="s">
        <v>3601</v>
      </c>
      <c r="B804">
        <v>834782</v>
      </c>
      <c r="C804">
        <v>837259</v>
      </c>
      <c r="E804" t="s">
        <v>14</v>
      </c>
      <c r="F804" t="s">
        <v>5495</v>
      </c>
      <c r="H804">
        <v>83704612</v>
      </c>
      <c r="I804" t="s">
        <v>17</v>
      </c>
      <c r="K804" t="s">
        <v>5496</v>
      </c>
      <c r="L804">
        <v>825</v>
      </c>
      <c r="M804" t="s">
        <v>5497</v>
      </c>
    </row>
    <row r="805" spans="1:13" x14ac:dyDescent="0.45">
      <c r="A805" t="s">
        <v>3601</v>
      </c>
      <c r="B805">
        <v>837371</v>
      </c>
      <c r="C805">
        <v>837760</v>
      </c>
      <c r="E805" t="s">
        <v>14</v>
      </c>
      <c r="F805" t="s">
        <v>5498</v>
      </c>
      <c r="H805">
        <v>83704613</v>
      </c>
      <c r="I805" t="s">
        <v>17</v>
      </c>
      <c r="K805" t="s">
        <v>5499</v>
      </c>
      <c r="L805">
        <v>129</v>
      </c>
      <c r="M805" t="s">
        <v>5500</v>
      </c>
    </row>
    <row r="806" spans="1:13" x14ac:dyDescent="0.45">
      <c r="A806" t="s">
        <v>3601</v>
      </c>
      <c r="B806">
        <v>837757</v>
      </c>
      <c r="C806">
        <v>838968</v>
      </c>
      <c r="E806" t="s">
        <v>14</v>
      </c>
      <c r="F806" t="s">
        <v>4609</v>
      </c>
      <c r="H806">
        <v>83704614</v>
      </c>
      <c r="I806" t="s">
        <v>17</v>
      </c>
      <c r="K806" t="s">
        <v>5501</v>
      </c>
      <c r="L806">
        <v>403</v>
      </c>
      <c r="M806" t="s">
        <v>5502</v>
      </c>
    </row>
    <row r="807" spans="1:13" x14ac:dyDescent="0.45">
      <c r="A807" t="s">
        <v>3601</v>
      </c>
      <c r="B807">
        <v>838981</v>
      </c>
      <c r="C807">
        <v>840327</v>
      </c>
      <c r="E807" t="s">
        <v>14</v>
      </c>
      <c r="F807" t="s">
        <v>5503</v>
      </c>
      <c r="G807" t="s">
        <v>717</v>
      </c>
      <c r="H807">
        <v>83704615</v>
      </c>
      <c r="I807" t="s">
        <v>17</v>
      </c>
      <c r="K807" t="s">
        <v>5504</v>
      </c>
      <c r="L807">
        <v>448</v>
      </c>
      <c r="M807" t="s">
        <v>5505</v>
      </c>
    </row>
    <row r="808" spans="1:13" x14ac:dyDescent="0.45">
      <c r="A808" t="s">
        <v>3601</v>
      </c>
      <c r="B808">
        <v>840625</v>
      </c>
      <c r="C808">
        <v>841647</v>
      </c>
      <c r="E808" t="s">
        <v>14</v>
      </c>
      <c r="F808" t="s">
        <v>49</v>
      </c>
      <c r="H808">
        <v>83704616</v>
      </c>
      <c r="I808" t="s">
        <v>17</v>
      </c>
      <c r="K808" t="s">
        <v>5506</v>
      </c>
      <c r="L808">
        <v>340</v>
      </c>
      <c r="M808" t="s">
        <v>5507</v>
      </c>
    </row>
    <row r="809" spans="1:13" x14ac:dyDescent="0.45">
      <c r="A809" t="s">
        <v>3601</v>
      </c>
      <c r="B809">
        <v>842175</v>
      </c>
      <c r="C809">
        <v>843065</v>
      </c>
      <c r="E809" t="s">
        <v>14</v>
      </c>
      <c r="F809" t="s">
        <v>478</v>
      </c>
      <c r="G809" t="s">
        <v>479</v>
      </c>
      <c r="H809">
        <v>83704617</v>
      </c>
      <c r="I809" t="s">
        <v>17</v>
      </c>
      <c r="K809" t="s">
        <v>5508</v>
      </c>
      <c r="L809">
        <v>296</v>
      </c>
      <c r="M809" t="s">
        <v>5509</v>
      </c>
    </row>
    <row r="810" spans="1:13" x14ac:dyDescent="0.45">
      <c r="A810" t="s">
        <v>3601</v>
      </c>
      <c r="B810">
        <v>843062</v>
      </c>
      <c r="C810">
        <v>844039</v>
      </c>
      <c r="E810" t="s">
        <v>14</v>
      </c>
      <c r="F810" t="s">
        <v>5510</v>
      </c>
      <c r="H810">
        <v>83704618</v>
      </c>
      <c r="I810" t="s">
        <v>17</v>
      </c>
      <c r="K810" t="s">
        <v>5511</v>
      </c>
      <c r="L810">
        <v>325</v>
      </c>
      <c r="M810" t="s">
        <v>5512</v>
      </c>
    </row>
    <row r="811" spans="1:13" x14ac:dyDescent="0.45">
      <c r="A811" t="s">
        <v>3601</v>
      </c>
      <c r="B811">
        <v>844036</v>
      </c>
      <c r="C811">
        <v>844947</v>
      </c>
      <c r="E811" t="s">
        <v>14</v>
      </c>
      <c r="F811" t="s">
        <v>480</v>
      </c>
      <c r="G811" t="s">
        <v>481</v>
      </c>
      <c r="H811">
        <v>83704619</v>
      </c>
      <c r="I811" t="s">
        <v>17</v>
      </c>
      <c r="K811" t="s">
        <v>5513</v>
      </c>
      <c r="L811">
        <v>303</v>
      </c>
      <c r="M811" t="s">
        <v>5514</v>
      </c>
    </row>
    <row r="812" spans="1:13" x14ac:dyDescent="0.45">
      <c r="A812" t="s">
        <v>3601</v>
      </c>
      <c r="B812">
        <v>845309</v>
      </c>
      <c r="C812">
        <v>846706</v>
      </c>
      <c r="E812" t="s">
        <v>14</v>
      </c>
      <c r="F812" t="s">
        <v>48</v>
      </c>
      <c r="H812">
        <v>83704620</v>
      </c>
      <c r="I812" t="s">
        <v>17</v>
      </c>
      <c r="K812" t="s">
        <v>5515</v>
      </c>
      <c r="L812">
        <v>465</v>
      </c>
      <c r="M812" t="s">
        <v>5516</v>
      </c>
    </row>
    <row r="813" spans="1:13" x14ac:dyDescent="0.45">
      <c r="A813" t="s">
        <v>3601</v>
      </c>
      <c r="B813">
        <v>846931</v>
      </c>
      <c r="C813">
        <v>848481</v>
      </c>
      <c r="E813" t="s">
        <v>14</v>
      </c>
      <c r="F813" t="s">
        <v>5517</v>
      </c>
      <c r="H813">
        <v>83704621</v>
      </c>
      <c r="I813" t="s">
        <v>17</v>
      </c>
      <c r="K813" t="s">
        <v>5518</v>
      </c>
      <c r="L813">
        <v>516</v>
      </c>
      <c r="M813" t="s">
        <v>5519</v>
      </c>
    </row>
    <row r="814" spans="1:13" x14ac:dyDescent="0.45">
      <c r="A814" t="s">
        <v>3601</v>
      </c>
      <c r="B814">
        <v>848752</v>
      </c>
      <c r="C814">
        <v>849480</v>
      </c>
      <c r="E814" t="s">
        <v>14</v>
      </c>
      <c r="F814" t="s">
        <v>309</v>
      </c>
      <c r="H814">
        <v>83704622</v>
      </c>
      <c r="I814" t="s">
        <v>17</v>
      </c>
      <c r="K814" t="s">
        <v>5520</v>
      </c>
      <c r="L814">
        <v>242</v>
      </c>
      <c r="M814" t="s">
        <v>5521</v>
      </c>
    </row>
    <row r="815" spans="1:13" x14ac:dyDescent="0.45">
      <c r="A815" t="s">
        <v>3601</v>
      </c>
      <c r="B815">
        <v>849492</v>
      </c>
      <c r="C815">
        <v>850667</v>
      </c>
      <c r="E815" t="s">
        <v>14</v>
      </c>
      <c r="F815" t="s">
        <v>5522</v>
      </c>
      <c r="H815">
        <v>83704623</v>
      </c>
      <c r="I815" t="s">
        <v>17</v>
      </c>
      <c r="K815" t="s">
        <v>5523</v>
      </c>
      <c r="L815">
        <v>391</v>
      </c>
      <c r="M815" t="s">
        <v>5524</v>
      </c>
    </row>
    <row r="816" spans="1:13" x14ac:dyDescent="0.45">
      <c r="A816" t="s">
        <v>3601</v>
      </c>
      <c r="B816">
        <v>850677</v>
      </c>
      <c r="C816">
        <v>851672</v>
      </c>
      <c r="E816" t="s">
        <v>14</v>
      </c>
      <c r="F816" t="s">
        <v>4786</v>
      </c>
      <c r="G816" t="s">
        <v>4787</v>
      </c>
      <c r="H816">
        <v>83704624</v>
      </c>
      <c r="I816" t="s">
        <v>17</v>
      </c>
      <c r="K816" t="s">
        <v>5525</v>
      </c>
      <c r="L816">
        <v>331</v>
      </c>
      <c r="M816" t="s">
        <v>5526</v>
      </c>
    </row>
    <row r="817" spans="1:13" x14ac:dyDescent="0.45">
      <c r="A817" t="s">
        <v>3601</v>
      </c>
      <c r="B817">
        <v>851714</v>
      </c>
      <c r="C817">
        <v>852433</v>
      </c>
      <c r="E817" t="s">
        <v>42</v>
      </c>
      <c r="F817" t="s">
        <v>309</v>
      </c>
      <c r="H817">
        <v>83704625</v>
      </c>
      <c r="I817" t="s">
        <v>17</v>
      </c>
      <c r="K817" t="s">
        <v>5527</v>
      </c>
      <c r="L817">
        <v>239</v>
      </c>
      <c r="M817" t="s">
        <v>5528</v>
      </c>
    </row>
    <row r="818" spans="1:13" x14ac:dyDescent="0.45">
      <c r="A818" t="s">
        <v>3601</v>
      </c>
      <c r="B818">
        <v>852573</v>
      </c>
      <c r="C818">
        <v>854357</v>
      </c>
      <c r="E818" t="s">
        <v>14</v>
      </c>
      <c r="F818" t="s">
        <v>5529</v>
      </c>
      <c r="H818">
        <v>83704626</v>
      </c>
      <c r="I818" t="s">
        <v>17</v>
      </c>
      <c r="K818" t="s">
        <v>5530</v>
      </c>
      <c r="L818">
        <v>594</v>
      </c>
      <c r="M818" t="s">
        <v>5531</v>
      </c>
    </row>
    <row r="819" spans="1:13" x14ac:dyDescent="0.45">
      <c r="A819" t="s">
        <v>3601</v>
      </c>
      <c r="B819">
        <v>854354</v>
      </c>
      <c r="C819">
        <v>854839</v>
      </c>
      <c r="E819" t="s">
        <v>14</v>
      </c>
      <c r="F819" t="s">
        <v>5532</v>
      </c>
      <c r="H819">
        <v>83704627</v>
      </c>
      <c r="I819" t="s">
        <v>17</v>
      </c>
      <c r="K819" t="s">
        <v>5533</v>
      </c>
      <c r="L819">
        <v>161</v>
      </c>
      <c r="M819" t="s">
        <v>5534</v>
      </c>
    </row>
    <row r="820" spans="1:13" x14ac:dyDescent="0.45">
      <c r="A820" t="s">
        <v>3601</v>
      </c>
      <c r="B820">
        <v>854885</v>
      </c>
      <c r="C820">
        <v>855766</v>
      </c>
      <c r="E820" t="s">
        <v>14</v>
      </c>
      <c r="F820" t="s">
        <v>5535</v>
      </c>
      <c r="H820">
        <v>83704628</v>
      </c>
      <c r="I820" t="s">
        <v>17</v>
      </c>
      <c r="K820" t="s">
        <v>5536</v>
      </c>
      <c r="L820">
        <v>293</v>
      </c>
      <c r="M820" t="s">
        <v>5537</v>
      </c>
    </row>
    <row r="821" spans="1:13" x14ac:dyDescent="0.45">
      <c r="A821" t="s">
        <v>3601</v>
      </c>
      <c r="B821">
        <v>855753</v>
      </c>
      <c r="C821">
        <v>856571</v>
      </c>
      <c r="E821" t="s">
        <v>14</v>
      </c>
      <c r="F821" t="s">
        <v>371</v>
      </c>
      <c r="H821">
        <v>83704629</v>
      </c>
      <c r="I821" t="s">
        <v>17</v>
      </c>
      <c r="K821" t="s">
        <v>5538</v>
      </c>
      <c r="L821">
        <v>272</v>
      </c>
      <c r="M821" t="s">
        <v>5539</v>
      </c>
    </row>
    <row r="822" spans="1:13" x14ac:dyDescent="0.45">
      <c r="A822" t="s">
        <v>3601</v>
      </c>
      <c r="B822">
        <v>856575</v>
      </c>
      <c r="C822">
        <v>856976</v>
      </c>
      <c r="E822" t="s">
        <v>14</v>
      </c>
      <c r="F822" t="s">
        <v>98</v>
      </c>
      <c r="H822">
        <v>83704630</v>
      </c>
      <c r="I822" t="s">
        <v>17</v>
      </c>
      <c r="K822" t="s">
        <v>5540</v>
      </c>
      <c r="L822">
        <v>133</v>
      </c>
      <c r="M822" t="s">
        <v>5541</v>
      </c>
    </row>
    <row r="823" spans="1:13" x14ac:dyDescent="0.45">
      <c r="A823" t="s">
        <v>3601</v>
      </c>
      <c r="B823">
        <v>857083</v>
      </c>
      <c r="C823">
        <v>857343</v>
      </c>
      <c r="E823" t="s">
        <v>42</v>
      </c>
      <c r="F823" t="s">
        <v>149</v>
      </c>
      <c r="H823">
        <v>83704631</v>
      </c>
      <c r="I823" t="s">
        <v>17</v>
      </c>
      <c r="K823" t="s">
        <v>5542</v>
      </c>
      <c r="L823">
        <v>86</v>
      </c>
      <c r="M823" t="s">
        <v>5543</v>
      </c>
    </row>
    <row r="824" spans="1:13" x14ac:dyDescent="0.45">
      <c r="A824" t="s">
        <v>3601</v>
      </c>
      <c r="B824">
        <v>857468</v>
      </c>
      <c r="C824">
        <v>858400</v>
      </c>
      <c r="E824" t="s">
        <v>42</v>
      </c>
      <c r="F824" t="s">
        <v>33</v>
      </c>
      <c r="H824">
        <v>83704632</v>
      </c>
      <c r="I824" t="s">
        <v>17</v>
      </c>
      <c r="K824" t="s">
        <v>5544</v>
      </c>
      <c r="L824">
        <v>310</v>
      </c>
      <c r="M824" t="s">
        <v>5545</v>
      </c>
    </row>
    <row r="825" spans="1:13" x14ac:dyDescent="0.45">
      <c r="A825" t="s">
        <v>3601</v>
      </c>
      <c r="B825">
        <v>858410</v>
      </c>
      <c r="C825">
        <v>858838</v>
      </c>
      <c r="E825" t="s">
        <v>42</v>
      </c>
      <c r="F825" t="s">
        <v>144</v>
      </c>
      <c r="H825">
        <v>83704633</v>
      </c>
      <c r="I825" t="s">
        <v>17</v>
      </c>
      <c r="K825" t="s">
        <v>5546</v>
      </c>
      <c r="L825">
        <v>142</v>
      </c>
      <c r="M825" t="s">
        <v>5547</v>
      </c>
    </row>
    <row r="826" spans="1:13" x14ac:dyDescent="0.45">
      <c r="A826" t="s">
        <v>3601</v>
      </c>
      <c r="B826">
        <v>859095</v>
      </c>
      <c r="C826">
        <v>860120</v>
      </c>
      <c r="E826" t="s">
        <v>14</v>
      </c>
      <c r="F826" t="s">
        <v>917</v>
      </c>
      <c r="G826" t="s">
        <v>918</v>
      </c>
      <c r="H826">
        <v>83704634</v>
      </c>
      <c r="I826" t="s">
        <v>17</v>
      </c>
      <c r="K826" t="s">
        <v>5548</v>
      </c>
      <c r="L826">
        <v>341</v>
      </c>
      <c r="M826" t="s">
        <v>5549</v>
      </c>
    </row>
    <row r="827" spans="1:13" x14ac:dyDescent="0.45">
      <c r="A827" t="s">
        <v>3601</v>
      </c>
      <c r="B827">
        <v>860181</v>
      </c>
      <c r="C827">
        <v>860627</v>
      </c>
      <c r="E827" t="s">
        <v>14</v>
      </c>
      <c r="F827" t="s">
        <v>677</v>
      </c>
      <c r="H827">
        <v>83704635</v>
      </c>
      <c r="I827" t="s">
        <v>17</v>
      </c>
      <c r="K827" t="s">
        <v>5550</v>
      </c>
      <c r="L827">
        <v>148</v>
      </c>
      <c r="M827" t="s">
        <v>5551</v>
      </c>
    </row>
    <row r="828" spans="1:13" x14ac:dyDescent="0.45">
      <c r="A828" t="s">
        <v>3601</v>
      </c>
      <c r="B828">
        <v>860950</v>
      </c>
      <c r="C828">
        <v>861243</v>
      </c>
      <c r="E828" t="s">
        <v>14</v>
      </c>
      <c r="F828" t="s">
        <v>5552</v>
      </c>
      <c r="H828">
        <v>83704636</v>
      </c>
      <c r="I828" t="s">
        <v>17</v>
      </c>
      <c r="K828" t="s">
        <v>5553</v>
      </c>
      <c r="L828">
        <v>97</v>
      </c>
      <c r="M828" t="s">
        <v>5554</v>
      </c>
    </row>
    <row r="829" spans="1:13" x14ac:dyDescent="0.45">
      <c r="A829" t="s">
        <v>3601</v>
      </c>
      <c r="B829">
        <v>861224</v>
      </c>
      <c r="C829">
        <v>862456</v>
      </c>
      <c r="E829" t="s">
        <v>14</v>
      </c>
      <c r="F829" t="s">
        <v>5555</v>
      </c>
      <c r="H829">
        <v>83704637</v>
      </c>
      <c r="I829" t="s">
        <v>17</v>
      </c>
      <c r="K829" t="s">
        <v>5556</v>
      </c>
      <c r="L829">
        <v>410</v>
      </c>
      <c r="M829" t="s">
        <v>5557</v>
      </c>
    </row>
    <row r="830" spans="1:13" x14ac:dyDescent="0.45">
      <c r="A830" t="s">
        <v>3601</v>
      </c>
      <c r="B830">
        <v>862602</v>
      </c>
      <c r="C830">
        <v>862949</v>
      </c>
      <c r="E830" t="s">
        <v>14</v>
      </c>
      <c r="F830" t="s">
        <v>802</v>
      </c>
      <c r="G830" t="s">
        <v>803</v>
      </c>
      <c r="H830">
        <v>83704638</v>
      </c>
      <c r="I830" t="s">
        <v>17</v>
      </c>
      <c r="K830" t="s">
        <v>5558</v>
      </c>
      <c r="L830">
        <v>115</v>
      </c>
      <c r="M830" t="s">
        <v>5559</v>
      </c>
    </row>
    <row r="831" spans="1:13" x14ac:dyDescent="0.45">
      <c r="A831" t="s">
        <v>3601</v>
      </c>
      <c r="B831">
        <v>863472</v>
      </c>
      <c r="C831">
        <v>863543</v>
      </c>
      <c r="E831" t="s">
        <v>14</v>
      </c>
      <c r="F831" t="s">
        <v>352</v>
      </c>
      <c r="H831">
        <v>83704639</v>
      </c>
      <c r="I831" t="s">
        <v>44</v>
      </c>
      <c r="M831" t="s">
        <v>5560</v>
      </c>
    </row>
    <row r="832" spans="1:13" x14ac:dyDescent="0.45">
      <c r="A832" t="s">
        <v>3601</v>
      </c>
      <c r="B832">
        <v>863694</v>
      </c>
      <c r="C832">
        <v>864953</v>
      </c>
      <c r="E832" t="s">
        <v>42</v>
      </c>
      <c r="F832" t="s">
        <v>3687</v>
      </c>
      <c r="H832">
        <v>83704640</v>
      </c>
      <c r="I832" t="s">
        <v>17</v>
      </c>
      <c r="K832" t="s">
        <v>3688</v>
      </c>
      <c r="L832">
        <v>419</v>
      </c>
      <c r="M832" t="s">
        <v>5561</v>
      </c>
    </row>
    <row r="833" spans="1:13" x14ac:dyDescent="0.45">
      <c r="A833" t="s">
        <v>3601</v>
      </c>
      <c r="B833">
        <v>865085</v>
      </c>
      <c r="C833">
        <v>865843</v>
      </c>
      <c r="E833" t="s">
        <v>42</v>
      </c>
      <c r="F833" t="s">
        <v>686</v>
      </c>
      <c r="H833">
        <v>83704641</v>
      </c>
      <c r="I833" t="s">
        <v>17</v>
      </c>
      <c r="K833" t="s">
        <v>5562</v>
      </c>
      <c r="L833">
        <v>252</v>
      </c>
      <c r="M833" t="s">
        <v>5563</v>
      </c>
    </row>
    <row r="834" spans="1:13" x14ac:dyDescent="0.45">
      <c r="A834" t="s">
        <v>3601</v>
      </c>
      <c r="B834">
        <v>866009</v>
      </c>
      <c r="C834">
        <v>866221</v>
      </c>
      <c r="E834" t="s">
        <v>14</v>
      </c>
      <c r="F834" t="s">
        <v>45</v>
      </c>
      <c r="H834">
        <v>301046576</v>
      </c>
      <c r="I834" t="s">
        <v>17</v>
      </c>
      <c r="K834" t="s">
        <v>5564</v>
      </c>
      <c r="L834">
        <v>70</v>
      </c>
      <c r="M834" t="s">
        <v>5565</v>
      </c>
    </row>
    <row r="835" spans="1:13" x14ac:dyDescent="0.45">
      <c r="A835" t="s">
        <v>3601</v>
      </c>
      <c r="B835">
        <v>866503</v>
      </c>
      <c r="C835">
        <v>866718</v>
      </c>
      <c r="E835" t="s">
        <v>14</v>
      </c>
      <c r="F835" t="s">
        <v>79</v>
      </c>
      <c r="H835">
        <v>83704642</v>
      </c>
      <c r="I835" t="s">
        <v>17</v>
      </c>
      <c r="K835" t="s">
        <v>5566</v>
      </c>
      <c r="L835">
        <v>71</v>
      </c>
      <c r="M835" t="s">
        <v>5567</v>
      </c>
    </row>
    <row r="836" spans="1:13" x14ac:dyDescent="0.45">
      <c r="A836" t="s">
        <v>3601</v>
      </c>
      <c r="B836">
        <v>866715</v>
      </c>
      <c r="C836">
        <v>867491</v>
      </c>
      <c r="E836" t="s">
        <v>14</v>
      </c>
      <c r="F836" t="s">
        <v>5568</v>
      </c>
      <c r="H836">
        <v>83704643</v>
      </c>
      <c r="I836" t="s">
        <v>17</v>
      </c>
      <c r="K836" t="s">
        <v>5569</v>
      </c>
      <c r="L836">
        <v>258</v>
      </c>
      <c r="M836" t="s">
        <v>5570</v>
      </c>
    </row>
    <row r="837" spans="1:13" x14ac:dyDescent="0.45">
      <c r="A837" t="s">
        <v>3601</v>
      </c>
      <c r="B837">
        <v>867560</v>
      </c>
      <c r="C837">
        <v>868816</v>
      </c>
      <c r="E837" t="s">
        <v>42</v>
      </c>
      <c r="F837" t="s">
        <v>5555</v>
      </c>
      <c r="H837">
        <v>83704644</v>
      </c>
      <c r="I837" t="s">
        <v>17</v>
      </c>
      <c r="K837" t="s">
        <v>5571</v>
      </c>
      <c r="L837">
        <v>418</v>
      </c>
      <c r="M837" t="s">
        <v>5572</v>
      </c>
    </row>
    <row r="838" spans="1:13" x14ac:dyDescent="0.45">
      <c r="A838" t="s">
        <v>3601</v>
      </c>
      <c r="B838">
        <v>868901</v>
      </c>
      <c r="C838">
        <v>869860</v>
      </c>
      <c r="E838" t="s">
        <v>42</v>
      </c>
      <c r="F838" t="s">
        <v>4922</v>
      </c>
      <c r="G838" t="s">
        <v>4923</v>
      </c>
      <c r="H838">
        <v>83704645</v>
      </c>
      <c r="I838" t="s">
        <v>17</v>
      </c>
      <c r="K838" t="s">
        <v>5573</v>
      </c>
      <c r="L838">
        <v>319</v>
      </c>
      <c r="M838" t="s">
        <v>5574</v>
      </c>
    </row>
    <row r="839" spans="1:13" x14ac:dyDescent="0.45">
      <c r="A839" t="s">
        <v>3601</v>
      </c>
      <c r="B839">
        <v>870033</v>
      </c>
      <c r="C839">
        <v>872192</v>
      </c>
      <c r="E839" t="s">
        <v>42</v>
      </c>
      <c r="F839" t="s">
        <v>4928</v>
      </c>
      <c r="G839" t="s">
        <v>4929</v>
      </c>
      <c r="H839">
        <v>83704646</v>
      </c>
      <c r="I839" t="s">
        <v>17</v>
      </c>
      <c r="K839" t="s">
        <v>5575</v>
      </c>
      <c r="L839">
        <v>719</v>
      </c>
      <c r="M839" t="s">
        <v>5576</v>
      </c>
    </row>
    <row r="840" spans="1:13" x14ac:dyDescent="0.45">
      <c r="A840" t="s">
        <v>3601</v>
      </c>
      <c r="B840">
        <v>872213</v>
      </c>
      <c r="C840">
        <v>872431</v>
      </c>
      <c r="E840" t="s">
        <v>42</v>
      </c>
      <c r="F840" t="s">
        <v>5577</v>
      </c>
      <c r="G840" t="s">
        <v>5578</v>
      </c>
      <c r="H840">
        <v>83704647</v>
      </c>
      <c r="I840" t="s">
        <v>17</v>
      </c>
      <c r="K840" t="s">
        <v>5579</v>
      </c>
      <c r="L840">
        <v>72</v>
      </c>
      <c r="M840" t="s">
        <v>5580</v>
      </c>
    </row>
    <row r="841" spans="1:13" x14ac:dyDescent="0.45">
      <c r="A841" t="s">
        <v>3601</v>
      </c>
      <c r="B841">
        <v>872854</v>
      </c>
      <c r="C841">
        <v>873117</v>
      </c>
      <c r="E841" t="s">
        <v>14</v>
      </c>
      <c r="F841" t="s">
        <v>436</v>
      </c>
      <c r="H841">
        <v>83704648</v>
      </c>
      <c r="I841" t="s">
        <v>17</v>
      </c>
      <c r="K841" t="s">
        <v>5581</v>
      </c>
      <c r="L841">
        <v>87</v>
      </c>
      <c r="M841" t="s">
        <v>5582</v>
      </c>
    </row>
    <row r="842" spans="1:13" x14ac:dyDescent="0.45">
      <c r="A842" t="s">
        <v>3601</v>
      </c>
      <c r="B842">
        <v>873122</v>
      </c>
      <c r="C842">
        <v>874855</v>
      </c>
      <c r="E842" t="s">
        <v>14</v>
      </c>
      <c r="F842" t="s">
        <v>437</v>
      </c>
      <c r="G842" t="s">
        <v>438</v>
      </c>
      <c r="H842">
        <v>83704649</v>
      </c>
      <c r="I842" t="s">
        <v>17</v>
      </c>
      <c r="K842" t="s">
        <v>5583</v>
      </c>
      <c r="L842">
        <v>577</v>
      </c>
      <c r="M842" t="s">
        <v>5584</v>
      </c>
    </row>
    <row r="843" spans="1:13" x14ac:dyDescent="0.45">
      <c r="A843" t="s">
        <v>3601</v>
      </c>
      <c r="B843">
        <v>875057</v>
      </c>
      <c r="C843">
        <v>876484</v>
      </c>
      <c r="E843" t="s">
        <v>14</v>
      </c>
      <c r="F843" t="s">
        <v>5585</v>
      </c>
      <c r="H843">
        <v>83704650</v>
      </c>
      <c r="I843" t="s">
        <v>17</v>
      </c>
      <c r="K843" t="s">
        <v>5586</v>
      </c>
      <c r="L843">
        <v>475</v>
      </c>
      <c r="M843" t="s">
        <v>5587</v>
      </c>
    </row>
    <row r="844" spans="1:13" x14ac:dyDescent="0.45">
      <c r="A844" t="s">
        <v>3601</v>
      </c>
      <c r="B844">
        <v>877137</v>
      </c>
      <c r="C844">
        <v>878351</v>
      </c>
      <c r="E844" t="s">
        <v>14</v>
      </c>
      <c r="F844" t="s">
        <v>537</v>
      </c>
      <c r="H844">
        <v>83704651</v>
      </c>
      <c r="I844" t="s">
        <v>17</v>
      </c>
      <c r="K844" t="s">
        <v>5588</v>
      </c>
      <c r="L844">
        <v>404</v>
      </c>
      <c r="M844" t="s">
        <v>5589</v>
      </c>
    </row>
    <row r="845" spans="1:13" x14ac:dyDescent="0.45">
      <c r="A845" t="s">
        <v>3601</v>
      </c>
      <c r="B845">
        <v>878456</v>
      </c>
      <c r="C845">
        <v>879016</v>
      </c>
      <c r="E845" t="s">
        <v>14</v>
      </c>
      <c r="F845" t="s">
        <v>5228</v>
      </c>
      <c r="H845">
        <v>83704652</v>
      </c>
      <c r="I845" t="s">
        <v>17</v>
      </c>
      <c r="K845" t="s">
        <v>5590</v>
      </c>
      <c r="L845">
        <v>186</v>
      </c>
      <c r="M845" t="s">
        <v>5591</v>
      </c>
    </row>
    <row r="846" spans="1:13" x14ac:dyDescent="0.45">
      <c r="A846" t="s">
        <v>3601</v>
      </c>
      <c r="B846">
        <v>879017</v>
      </c>
      <c r="C846">
        <v>880969</v>
      </c>
      <c r="E846" t="s">
        <v>14</v>
      </c>
      <c r="F846" t="s">
        <v>24</v>
      </c>
      <c r="G846" t="s">
        <v>25</v>
      </c>
      <c r="H846">
        <v>83704653</v>
      </c>
      <c r="I846" t="s">
        <v>17</v>
      </c>
      <c r="K846" t="s">
        <v>5592</v>
      </c>
      <c r="L846">
        <v>650</v>
      </c>
      <c r="M846" t="s">
        <v>5593</v>
      </c>
    </row>
    <row r="847" spans="1:13" x14ac:dyDescent="0.45">
      <c r="A847" t="s">
        <v>3601</v>
      </c>
      <c r="B847">
        <v>881118</v>
      </c>
      <c r="C847">
        <v>882842</v>
      </c>
      <c r="E847" t="s">
        <v>14</v>
      </c>
      <c r="F847" t="s">
        <v>541</v>
      </c>
      <c r="G847" t="s">
        <v>542</v>
      </c>
      <c r="H847">
        <v>83704654</v>
      </c>
      <c r="I847" t="s">
        <v>17</v>
      </c>
      <c r="K847" t="s">
        <v>5594</v>
      </c>
      <c r="L847">
        <v>574</v>
      </c>
      <c r="M847" t="s">
        <v>5595</v>
      </c>
    </row>
    <row r="848" spans="1:13" x14ac:dyDescent="0.45">
      <c r="A848" t="s">
        <v>3601</v>
      </c>
      <c r="B848">
        <v>883194</v>
      </c>
      <c r="C848">
        <v>883493</v>
      </c>
      <c r="E848" t="s">
        <v>14</v>
      </c>
      <c r="F848" t="s">
        <v>45</v>
      </c>
      <c r="H848">
        <v>83704655</v>
      </c>
      <c r="I848" t="s">
        <v>17</v>
      </c>
      <c r="K848" t="s">
        <v>5596</v>
      </c>
      <c r="L848">
        <v>99</v>
      </c>
      <c r="M848" t="s">
        <v>5597</v>
      </c>
    </row>
    <row r="849" spans="1:13" x14ac:dyDescent="0.45">
      <c r="A849" t="s">
        <v>3601</v>
      </c>
      <c r="B849">
        <v>883678</v>
      </c>
      <c r="C849">
        <v>884151</v>
      </c>
      <c r="E849" t="s">
        <v>42</v>
      </c>
      <c r="F849" t="s">
        <v>5598</v>
      </c>
      <c r="H849">
        <v>83704656</v>
      </c>
      <c r="I849" t="s">
        <v>17</v>
      </c>
      <c r="K849" t="s">
        <v>5599</v>
      </c>
      <c r="L849">
        <v>157</v>
      </c>
      <c r="M849" t="s">
        <v>5600</v>
      </c>
    </row>
    <row r="850" spans="1:13" x14ac:dyDescent="0.45">
      <c r="A850" t="s">
        <v>3601</v>
      </c>
      <c r="B850">
        <v>884365</v>
      </c>
      <c r="C850">
        <v>885672</v>
      </c>
      <c r="E850" t="s">
        <v>14</v>
      </c>
      <c r="F850" t="s">
        <v>5601</v>
      </c>
      <c r="G850" t="s">
        <v>610</v>
      </c>
      <c r="H850">
        <v>83704657</v>
      </c>
      <c r="I850" t="s">
        <v>17</v>
      </c>
      <c r="K850" t="s">
        <v>5602</v>
      </c>
      <c r="L850">
        <v>435</v>
      </c>
      <c r="M850" t="s">
        <v>5603</v>
      </c>
    </row>
    <row r="851" spans="1:13" x14ac:dyDescent="0.45">
      <c r="A851" t="s">
        <v>3601</v>
      </c>
      <c r="B851">
        <v>885911</v>
      </c>
      <c r="C851">
        <v>886000</v>
      </c>
      <c r="E851" t="s">
        <v>14</v>
      </c>
      <c r="F851" t="s">
        <v>5604</v>
      </c>
      <c r="H851">
        <v>83704658</v>
      </c>
      <c r="I851" t="s">
        <v>17</v>
      </c>
      <c r="K851" t="s">
        <v>5605</v>
      </c>
      <c r="L851">
        <v>29</v>
      </c>
      <c r="M851" t="s">
        <v>5606</v>
      </c>
    </row>
    <row r="852" spans="1:13" x14ac:dyDescent="0.45">
      <c r="A852" t="s">
        <v>3601</v>
      </c>
      <c r="B852">
        <v>886599</v>
      </c>
      <c r="C852">
        <v>888169</v>
      </c>
      <c r="E852" t="s">
        <v>14</v>
      </c>
      <c r="F852" t="s">
        <v>425</v>
      </c>
      <c r="H852">
        <v>83704659</v>
      </c>
      <c r="I852" t="s">
        <v>17</v>
      </c>
      <c r="K852" t="s">
        <v>4828</v>
      </c>
      <c r="L852">
        <v>523</v>
      </c>
      <c r="M852" t="s">
        <v>5607</v>
      </c>
    </row>
    <row r="853" spans="1:13" x14ac:dyDescent="0.45">
      <c r="A853" t="s">
        <v>3601</v>
      </c>
      <c r="B853">
        <v>888614</v>
      </c>
      <c r="C853">
        <v>889243</v>
      </c>
      <c r="E853" t="s">
        <v>14</v>
      </c>
      <c r="F853" t="s">
        <v>4713</v>
      </c>
      <c r="H853">
        <v>83704660</v>
      </c>
      <c r="I853" t="s">
        <v>17</v>
      </c>
      <c r="K853" t="s">
        <v>5608</v>
      </c>
      <c r="L853">
        <v>209</v>
      </c>
      <c r="M853" t="s">
        <v>5609</v>
      </c>
    </row>
    <row r="854" spans="1:13" x14ac:dyDescent="0.45">
      <c r="A854" t="s">
        <v>3601</v>
      </c>
      <c r="B854">
        <v>889709</v>
      </c>
      <c r="C854">
        <v>892489</v>
      </c>
      <c r="E854" t="s">
        <v>14</v>
      </c>
      <c r="F854" t="s">
        <v>5610</v>
      </c>
      <c r="H854">
        <v>83704661</v>
      </c>
      <c r="I854" t="s">
        <v>17</v>
      </c>
      <c r="K854" t="s">
        <v>5611</v>
      </c>
      <c r="L854">
        <v>926</v>
      </c>
      <c r="M854" t="s">
        <v>5612</v>
      </c>
    </row>
    <row r="855" spans="1:13" x14ac:dyDescent="0.45">
      <c r="A855" t="s">
        <v>3601</v>
      </c>
      <c r="B855">
        <v>892918</v>
      </c>
      <c r="C855">
        <v>893055</v>
      </c>
      <c r="E855" t="s">
        <v>42</v>
      </c>
      <c r="F855" t="s">
        <v>143</v>
      </c>
      <c r="H855">
        <v>83705883</v>
      </c>
      <c r="I855" t="s">
        <v>17</v>
      </c>
      <c r="K855" t="s">
        <v>5613</v>
      </c>
      <c r="L855">
        <v>45</v>
      </c>
      <c r="M855" t="s">
        <v>5614</v>
      </c>
    </row>
    <row r="856" spans="1:13" x14ac:dyDescent="0.45">
      <c r="A856" t="s">
        <v>3601</v>
      </c>
      <c r="B856">
        <v>893403</v>
      </c>
      <c r="C856">
        <v>893909</v>
      </c>
      <c r="E856" t="s">
        <v>14</v>
      </c>
      <c r="F856" t="s">
        <v>5615</v>
      </c>
      <c r="H856">
        <v>83704662</v>
      </c>
      <c r="I856" t="s">
        <v>17</v>
      </c>
      <c r="K856" t="s">
        <v>5616</v>
      </c>
      <c r="L856">
        <v>168</v>
      </c>
      <c r="M856" t="s">
        <v>5617</v>
      </c>
    </row>
    <row r="857" spans="1:13" x14ac:dyDescent="0.45">
      <c r="A857" t="s">
        <v>3601</v>
      </c>
      <c r="B857">
        <v>894002</v>
      </c>
      <c r="C857">
        <v>895960</v>
      </c>
      <c r="E857" t="s">
        <v>14</v>
      </c>
      <c r="F857" t="s">
        <v>391</v>
      </c>
      <c r="G857" t="s">
        <v>392</v>
      </c>
      <c r="H857">
        <v>83704663</v>
      </c>
      <c r="I857" t="s">
        <v>17</v>
      </c>
      <c r="K857" t="s">
        <v>5618</v>
      </c>
      <c r="L857">
        <v>652</v>
      </c>
      <c r="M857" t="s">
        <v>5619</v>
      </c>
    </row>
    <row r="858" spans="1:13" x14ac:dyDescent="0.45">
      <c r="A858" t="s">
        <v>3601</v>
      </c>
      <c r="B858">
        <v>895973</v>
      </c>
      <c r="C858">
        <v>896995</v>
      </c>
      <c r="E858" t="s">
        <v>14</v>
      </c>
      <c r="F858" t="s">
        <v>5620</v>
      </c>
      <c r="H858">
        <v>83704664</v>
      </c>
      <c r="I858" t="s">
        <v>17</v>
      </c>
      <c r="K858" t="s">
        <v>5621</v>
      </c>
      <c r="L858">
        <v>340</v>
      </c>
      <c r="M858" t="s">
        <v>5622</v>
      </c>
    </row>
    <row r="859" spans="1:13" x14ac:dyDescent="0.45">
      <c r="A859" t="s">
        <v>3601</v>
      </c>
      <c r="B859">
        <v>897004</v>
      </c>
      <c r="C859">
        <v>899304</v>
      </c>
      <c r="E859" t="s">
        <v>14</v>
      </c>
      <c r="F859" t="s">
        <v>986</v>
      </c>
      <c r="G859" t="s">
        <v>987</v>
      </c>
      <c r="H859">
        <v>83704665</v>
      </c>
      <c r="I859" t="s">
        <v>17</v>
      </c>
      <c r="K859" t="s">
        <v>5623</v>
      </c>
      <c r="L859">
        <v>766</v>
      </c>
      <c r="M859" t="s">
        <v>5624</v>
      </c>
    </row>
    <row r="860" spans="1:13" x14ac:dyDescent="0.45">
      <c r="A860" t="s">
        <v>3601</v>
      </c>
      <c r="B860">
        <v>899451</v>
      </c>
      <c r="C860">
        <v>901331</v>
      </c>
      <c r="E860" t="s">
        <v>14</v>
      </c>
      <c r="F860" t="s">
        <v>5625</v>
      </c>
      <c r="G860" t="s">
        <v>5626</v>
      </c>
      <c r="H860">
        <v>83704666</v>
      </c>
      <c r="I860" t="s">
        <v>17</v>
      </c>
      <c r="K860" t="s">
        <v>5627</v>
      </c>
      <c r="L860">
        <v>626</v>
      </c>
      <c r="M860" t="s">
        <v>5628</v>
      </c>
    </row>
    <row r="861" spans="1:13" x14ac:dyDescent="0.45">
      <c r="A861" t="s">
        <v>3601</v>
      </c>
      <c r="B861">
        <v>901398</v>
      </c>
      <c r="C861">
        <v>902537</v>
      </c>
      <c r="E861" t="s">
        <v>14</v>
      </c>
      <c r="F861" t="s">
        <v>466</v>
      </c>
      <c r="H861">
        <v>83704667</v>
      </c>
      <c r="I861" t="s">
        <v>17</v>
      </c>
      <c r="K861" t="s">
        <v>5629</v>
      </c>
      <c r="L861">
        <v>379</v>
      </c>
      <c r="M861" t="s">
        <v>5630</v>
      </c>
    </row>
    <row r="862" spans="1:13" x14ac:dyDescent="0.45">
      <c r="A862" t="s">
        <v>3601</v>
      </c>
      <c r="B862">
        <v>902527</v>
      </c>
      <c r="C862">
        <v>903660</v>
      </c>
      <c r="E862" t="s">
        <v>14</v>
      </c>
      <c r="F862" t="s">
        <v>467</v>
      </c>
      <c r="G862" t="s">
        <v>468</v>
      </c>
      <c r="H862">
        <v>83704668</v>
      </c>
      <c r="I862" t="s">
        <v>17</v>
      </c>
      <c r="K862" t="s">
        <v>5631</v>
      </c>
      <c r="L862">
        <v>377</v>
      </c>
      <c r="M862" t="s">
        <v>5632</v>
      </c>
    </row>
    <row r="863" spans="1:13" x14ac:dyDescent="0.45">
      <c r="A863" t="s">
        <v>3601</v>
      </c>
      <c r="B863">
        <v>903657</v>
      </c>
      <c r="C863">
        <v>905087</v>
      </c>
      <c r="E863" t="s">
        <v>14</v>
      </c>
      <c r="F863" t="s">
        <v>469</v>
      </c>
      <c r="G863" t="s">
        <v>470</v>
      </c>
      <c r="H863">
        <v>83704669</v>
      </c>
      <c r="I863" t="s">
        <v>17</v>
      </c>
      <c r="K863" t="s">
        <v>5633</v>
      </c>
      <c r="L863">
        <v>476</v>
      </c>
      <c r="M863" t="s">
        <v>5634</v>
      </c>
    </row>
    <row r="864" spans="1:13" x14ac:dyDescent="0.45">
      <c r="A864" t="s">
        <v>3601</v>
      </c>
      <c r="B864">
        <v>905106</v>
      </c>
      <c r="C864">
        <v>907502</v>
      </c>
      <c r="E864" t="s">
        <v>14</v>
      </c>
      <c r="F864" t="s">
        <v>471</v>
      </c>
      <c r="H864">
        <v>83704670</v>
      </c>
      <c r="I864" t="s">
        <v>17</v>
      </c>
      <c r="K864" t="s">
        <v>5635</v>
      </c>
      <c r="L864">
        <v>798</v>
      </c>
      <c r="M864" t="s">
        <v>5636</v>
      </c>
    </row>
    <row r="865" spans="1:13" x14ac:dyDescent="0.45">
      <c r="A865" t="s">
        <v>3601</v>
      </c>
      <c r="B865">
        <v>907843</v>
      </c>
      <c r="C865">
        <v>908040</v>
      </c>
      <c r="E865" t="s">
        <v>14</v>
      </c>
      <c r="F865" t="s">
        <v>523</v>
      </c>
      <c r="H865">
        <v>83704671</v>
      </c>
      <c r="I865" t="s">
        <v>17</v>
      </c>
      <c r="K865" t="s">
        <v>5637</v>
      </c>
      <c r="L865">
        <v>65</v>
      </c>
      <c r="M865" t="s">
        <v>5638</v>
      </c>
    </row>
    <row r="866" spans="1:13" x14ac:dyDescent="0.45">
      <c r="A866" t="s">
        <v>3601</v>
      </c>
      <c r="B866">
        <v>908074</v>
      </c>
      <c r="C866">
        <v>908790</v>
      </c>
      <c r="E866" t="s">
        <v>14</v>
      </c>
      <c r="F866" t="s">
        <v>521</v>
      </c>
      <c r="G866" t="s">
        <v>522</v>
      </c>
      <c r="H866">
        <v>83704672</v>
      </c>
      <c r="I866" t="s">
        <v>17</v>
      </c>
      <c r="K866" t="s">
        <v>5639</v>
      </c>
      <c r="L866">
        <v>238</v>
      </c>
      <c r="M866" t="s">
        <v>5640</v>
      </c>
    </row>
    <row r="867" spans="1:13" x14ac:dyDescent="0.45">
      <c r="A867" t="s">
        <v>3601</v>
      </c>
      <c r="B867">
        <v>908808</v>
      </c>
      <c r="C867">
        <v>909302</v>
      </c>
      <c r="E867" t="s">
        <v>14</v>
      </c>
      <c r="F867" t="s">
        <v>524</v>
      </c>
      <c r="G867" t="s">
        <v>525</v>
      </c>
      <c r="H867">
        <v>83704673</v>
      </c>
      <c r="I867" t="s">
        <v>17</v>
      </c>
      <c r="K867" t="s">
        <v>5641</v>
      </c>
      <c r="L867">
        <v>164</v>
      </c>
      <c r="M867" t="s">
        <v>5642</v>
      </c>
    </row>
    <row r="868" spans="1:13" x14ac:dyDescent="0.45">
      <c r="A868" t="s">
        <v>3601</v>
      </c>
      <c r="B868">
        <v>909302</v>
      </c>
      <c r="C868">
        <v>909838</v>
      </c>
      <c r="E868" t="s">
        <v>14</v>
      </c>
      <c r="F868" t="s">
        <v>526</v>
      </c>
      <c r="H868">
        <v>83704674</v>
      </c>
      <c r="I868" t="s">
        <v>17</v>
      </c>
      <c r="K868" t="s">
        <v>5643</v>
      </c>
      <c r="L868">
        <v>178</v>
      </c>
      <c r="M868" t="s">
        <v>5644</v>
      </c>
    </row>
    <row r="869" spans="1:13" x14ac:dyDescent="0.45">
      <c r="A869" t="s">
        <v>3601</v>
      </c>
      <c r="B869">
        <v>909854</v>
      </c>
      <c r="C869">
        <v>911359</v>
      </c>
      <c r="E869" t="s">
        <v>14</v>
      </c>
      <c r="F869" t="s">
        <v>527</v>
      </c>
      <c r="G869" t="s">
        <v>528</v>
      </c>
      <c r="H869">
        <v>83704675</v>
      </c>
      <c r="I869" t="s">
        <v>17</v>
      </c>
      <c r="K869" t="s">
        <v>5645</v>
      </c>
      <c r="L869">
        <v>501</v>
      </c>
      <c r="M869" t="s">
        <v>5646</v>
      </c>
    </row>
    <row r="870" spans="1:13" x14ac:dyDescent="0.45">
      <c r="A870" t="s">
        <v>3601</v>
      </c>
      <c r="B870">
        <v>911377</v>
      </c>
      <c r="C870">
        <v>912252</v>
      </c>
      <c r="E870" t="s">
        <v>14</v>
      </c>
      <c r="F870" t="s">
        <v>529</v>
      </c>
      <c r="H870">
        <v>83704676</v>
      </c>
      <c r="I870" t="s">
        <v>17</v>
      </c>
      <c r="K870" t="s">
        <v>5647</v>
      </c>
      <c r="L870">
        <v>291</v>
      </c>
      <c r="M870" t="s">
        <v>5648</v>
      </c>
    </row>
    <row r="871" spans="1:13" x14ac:dyDescent="0.45">
      <c r="A871" t="s">
        <v>3601</v>
      </c>
      <c r="B871">
        <v>912420</v>
      </c>
      <c r="C871">
        <v>913826</v>
      </c>
      <c r="E871" t="s">
        <v>14</v>
      </c>
      <c r="F871" t="s">
        <v>530</v>
      </c>
      <c r="G871" t="s">
        <v>531</v>
      </c>
      <c r="H871">
        <v>83704677</v>
      </c>
      <c r="I871" t="s">
        <v>17</v>
      </c>
      <c r="K871" t="s">
        <v>5649</v>
      </c>
      <c r="L871">
        <v>468</v>
      </c>
      <c r="M871" t="s">
        <v>5650</v>
      </c>
    </row>
    <row r="872" spans="1:13" x14ac:dyDescent="0.45">
      <c r="A872" t="s">
        <v>3601</v>
      </c>
      <c r="B872">
        <v>913839</v>
      </c>
      <c r="C872">
        <v>914255</v>
      </c>
      <c r="E872" t="s">
        <v>14</v>
      </c>
      <c r="F872" t="s">
        <v>532</v>
      </c>
      <c r="H872">
        <v>83704678</v>
      </c>
      <c r="I872" t="s">
        <v>17</v>
      </c>
      <c r="K872" t="s">
        <v>5651</v>
      </c>
      <c r="L872">
        <v>138</v>
      </c>
      <c r="M872" t="s">
        <v>5652</v>
      </c>
    </row>
    <row r="873" spans="1:13" x14ac:dyDescent="0.45">
      <c r="A873" t="s">
        <v>3601</v>
      </c>
      <c r="B873">
        <v>914389</v>
      </c>
      <c r="C873">
        <v>914625</v>
      </c>
      <c r="E873" t="s">
        <v>14</v>
      </c>
      <c r="F873" t="s">
        <v>533</v>
      </c>
      <c r="H873">
        <v>83704679</v>
      </c>
      <c r="I873" t="s">
        <v>17</v>
      </c>
      <c r="K873" t="s">
        <v>5653</v>
      </c>
      <c r="L873">
        <v>78</v>
      </c>
      <c r="M873" t="s">
        <v>5654</v>
      </c>
    </row>
    <row r="874" spans="1:13" x14ac:dyDescent="0.45">
      <c r="A874" t="s">
        <v>3601</v>
      </c>
      <c r="B874">
        <v>914690</v>
      </c>
      <c r="C874">
        <v>915961</v>
      </c>
      <c r="E874" t="s">
        <v>14</v>
      </c>
      <c r="F874" t="s">
        <v>138</v>
      </c>
      <c r="G874" t="s">
        <v>5655</v>
      </c>
      <c r="H874">
        <v>83704680</v>
      </c>
      <c r="I874" t="s">
        <v>17</v>
      </c>
      <c r="K874" t="s">
        <v>5656</v>
      </c>
      <c r="L874">
        <v>423</v>
      </c>
      <c r="M874" t="s">
        <v>5657</v>
      </c>
    </row>
    <row r="875" spans="1:13" x14ac:dyDescent="0.45">
      <c r="A875" t="s">
        <v>3601</v>
      </c>
      <c r="B875">
        <v>915965</v>
      </c>
      <c r="C875">
        <v>916153</v>
      </c>
      <c r="E875" t="s">
        <v>14</v>
      </c>
      <c r="F875" t="s">
        <v>175</v>
      </c>
      <c r="H875">
        <v>83704681</v>
      </c>
      <c r="I875" t="s">
        <v>17</v>
      </c>
      <c r="K875" t="s">
        <v>5658</v>
      </c>
      <c r="L875">
        <v>62</v>
      </c>
      <c r="M875" t="s">
        <v>5659</v>
      </c>
    </row>
    <row r="876" spans="1:13" x14ac:dyDescent="0.45">
      <c r="A876" t="s">
        <v>3601</v>
      </c>
      <c r="B876">
        <v>916185</v>
      </c>
      <c r="C876">
        <v>917063</v>
      </c>
      <c r="E876" t="s">
        <v>14</v>
      </c>
      <c r="F876" t="s">
        <v>686</v>
      </c>
      <c r="H876">
        <v>83704682</v>
      </c>
      <c r="I876" t="s">
        <v>17</v>
      </c>
      <c r="K876" t="s">
        <v>5660</v>
      </c>
      <c r="L876">
        <v>292</v>
      </c>
      <c r="M876" t="s">
        <v>5661</v>
      </c>
    </row>
    <row r="877" spans="1:13" x14ac:dyDescent="0.45">
      <c r="A877" t="s">
        <v>3601</v>
      </c>
      <c r="B877">
        <v>917077</v>
      </c>
      <c r="C877">
        <v>917235</v>
      </c>
      <c r="E877" t="s">
        <v>14</v>
      </c>
      <c r="F877" t="s">
        <v>45</v>
      </c>
      <c r="H877">
        <v>83704683</v>
      </c>
      <c r="I877" t="s">
        <v>17</v>
      </c>
      <c r="K877" t="s">
        <v>5662</v>
      </c>
      <c r="L877">
        <v>52</v>
      </c>
      <c r="M877" t="s">
        <v>5663</v>
      </c>
    </row>
    <row r="878" spans="1:13" x14ac:dyDescent="0.45">
      <c r="A878" t="s">
        <v>3601</v>
      </c>
      <c r="B878">
        <v>917972</v>
      </c>
      <c r="C878">
        <v>919015</v>
      </c>
      <c r="E878" t="s">
        <v>14</v>
      </c>
      <c r="F878" t="s">
        <v>902</v>
      </c>
      <c r="G878" t="s">
        <v>903</v>
      </c>
      <c r="H878">
        <v>83704684</v>
      </c>
      <c r="I878" t="s">
        <v>17</v>
      </c>
      <c r="K878" t="s">
        <v>5664</v>
      </c>
      <c r="L878">
        <v>347</v>
      </c>
      <c r="M878" t="s">
        <v>5665</v>
      </c>
    </row>
    <row r="879" spans="1:13" x14ac:dyDescent="0.45">
      <c r="A879" t="s">
        <v>3601</v>
      </c>
      <c r="B879">
        <v>919050</v>
      </c>
      <c r="C879">
        <v>919211</v>
      </c>
      <c r="E879" t="s">
        <v>14</v>
      </c>
      <c r="F879" t="s">
        <v>45</v>
      </c>
      <c r="H879">
        <v>83704685</v>
      </c>
      <c r="I879" t="s">
        <v>17</v>
      </c>
      <c r="K879" t="s">
        <v>5666</v>
      </c>
      <c r="L879">
        <v>53</v>
      </c>
      <c r="M879" t="s">
        <v>5667</v>
      </c>
    </row>
    <row r="880" spans="1:13" x14ac:dyDescent="0.45">
      <c r="A880" t="s">
        <v>3601</v>
      </c>
      <c r="B880">
        <v>919205</v>
      </c>
      <c r="C880">
        <v>921610</v>
      </c>
      <c r="E880" t="s">
        <v>14</v>
      </c>
      <c r="F880" t="s">
        <v>900</v>
      </c>
      <c r="G880" t="s">
        <v>901</v>
      </c>
      <c r="H880">
        <v>83704686</v>
      </c>
      <c r="I880" t="s">
        <v>17</v>
      </c>
      <c r="K880" t="s">
        <v>5668</v>
      </c>
      <c r="L880">
        <v>801</v>
      </c>
      <c r="M880" t="s">
        <v>5669</v>
      </c>
    </row>
    <row r="881" spans="1:13" x14ac:dyDescent="0.45">
      <c r="A881" t="s">
        <v>3601</v>
      </c>
      <c r="B881">
        <v>921847</v>
      </c>
      <c r="C881">
        <v>922923</v>
      </c>
      <c r="E881" t="s">
        <v>14</v>
      </c>
      <c r="F881" t="s">
        <v>113</v>
      </c>
      <c r="H881">
        <v>83704687</v>
      </c>
      <c r="I881" t="s">
        <v>17</v>
      </c>
      <c r="K881" t="s">
        <v>5670</v>
      </c>
      <c r="L881">
        <v>358</v>
      </c>
      <c r="M881" t="s">
        <v>5671</v>
      </c>
    </row>
    <row r="882" spans="1:13" x14ac:dyDescent="0.45">
      <c r="A882" t="s">
        <v>3601</v>
      </c>
      <c r="B882">
        <v>922933</v>
      </c>
      <c r="C882">
        <v>923622</v>
      </c>
      <c r="E882" t="s">
        <v>14</v>
      </c>
      <c r="F882" t="s">
        <v>72</v>
      </c>
      <c r="H882">
        <v>83704688</v>
      </c>
      <c r="I882" t="s">
        <v>17</v>
      </c>
      <c r="K882" t="s">
        <v>5672</v>
      </c>
      <c r="L882">
        <v>229</v>
      </c>
      <c r="M882" t="s">
        <v>5673</v>
      </c>
    </row>
    <row r="883" spans="1:13" x14ac:dyDescent="0.45">
      <c r="A883" t="s">
        <v>3601</v>
      </c>
      <c r="B883">
        <v>923962</v>
      </c>
      <c r="C883">
        <v>925110</v>
      </c>
      <c r="E883" t="s">
        <v>14</v>
      </c>
      <c r="F883" t="s">
        <v>5306</v>
      </c>
      <c r="H883">
        <v>83704689</v>
      </c>
      <c r="I883" t="s">
        <v>17</v>
      </c>
      <c r="K883" t="s">
        <v>5674</v>
      </c>
      <c r="L883">
        <v>382</v>
      </c>
      <c r="M883" t="s">
        <v>5675</v>
      </c>
    </row>
    <row r="884" spans="1:13" x14ac:dyDescent="0.45">
      <c r="A884" t="s">
        <v>3601</v>
      </c>
      <c r="B884">
        <v>925272</v>
      </c>
      <c r="C884">
        <v>925847</v>
      </c>
      <c r="E884" t="s">
        <v>42</v>
      </c>
      <c r="F884" t="s">
        <v>94</v>
      </c>
      <c r="H884">
        <v>83704690</v>
      </c>
      <c r="I884" t="s">
        <v>17</v>
      </c>
      <c r="K884" t="s">
        <v>5676</v>
      </c>
      <c r="L884">
        <v>191</v>
      </c>
      <c r="M884" t="s">
        <v>5677</v>
      </c>
    </row>
    <row r="885" spans="1:13" x14ac:dyDescent="0.45">
      <c r="A885" t="s">
        <v>3601</v>
      </c>
      <c r="B885">
        <v>925934</v>
      </c>
      <c r="C885">
        <v>927904</v>
      </c>
      <c r="E885" t="s">
        <v>14</v>
      </c>
      <c r="F885" t="s">
        <v>5678</v>
      </c>
      <c r="H885">
        <v>83704691</v>
      </c>
      <c r="I885" t="s">
        <v>17</v>
      </c>
      <c r="K885" t="s">
        <v>5679</v>
      </c>
      <c r="L885">
        <v>656</v>
      </c>
      <c r="M885" t="s">
        <v>5680</v>
      </c>
    </row>
    <row r="886" spans="1:13" x14ac:dyDescent="0.45">
      <c r="A886" t="s">
        <v>3601</v>
      </c>
      <c r="B886">
        <v>927921</v>
      </c>
      <c r="C886">
        <v>929351</v>
      </c>
      <c r="E886" t="s">
        <v>14</v>
      </c>
      <c r="F886" t="s">
        <v>5681</v>
      </c>
      <c r="H886">
        <v>83704692</v>
      </c>
      <c r="I886" t="s">
        <v>17</v>
      </c>
      <c r="K886" t="s">
        <v>5682</v>
      </c>
      <c r="L886">
        <v>476</v>
      </c>
      <c r="M886" t="s">
        <v>5683</v>
      </c>
    </row>
    <row r="887" spans="1:13" x14ac:dyDescent="0.45">
      <c r="A887" t="s">
        <v>3601</v>
      </c>
      <c r="B887">
        <v>929431</v>
      </c>
      <c r="C887">
        <v>930240</v>
      </c>
      <c r="E887" t="s">
        <v>14</v>
      </c>
      <c r="F887" t="s">
        <v>5684</v>
      </c>
      <c r="H887">
        <v>83704693</v>
      </c>
      <c r="I887" t="s">
        <v>17</v>
      </c>
      <c r="K887" t="s">
        <v>5685</v>
      </c>
      <c r="L887">
        <v>269</v>
      </c>
      <c r="M887" t="s">
        <v>5686</v>
      </c>
    </row>
    <row r="888" spans="1:13" x14ac:dyDescent="0.45">
      <c r="A888" t="s">
        <v>3601</v>
      </c>
      <c r="B888">
        <v>930552</v>
      </c>
      <c r="C888">
        <v>931730</v>
      </c>
      <c r="E888" t="s">
        <v>14</v>
      </c>
      <c r="F888" t="s">
        <v>5687</v>
      </c>
      <c r="H888">
        <v>83704694</v>
      </c>
      <c r="I888" t="s">
        <v>17</v>
      </c>
      <c r="K888" t="s">
        <v>5688</v>
      </c>
      <c r="L888">
        <v>392</v>
      </c>
      <c r="M888" t="s">
        <v>5689</v>
      </c>
    </row>
    <row r="889" spans="1:13" x14ac:dyDescent="0.45">
      <c r="A889" t="s">
        <v>3601</v>
      </c>
      <c r="B889">
        <v>932309</v>
      </c>
      <c r="C889">
        <v>933409</v>
      </c>
      <c r="E889" t="s">
        <v>14</v>
      </c>
      <c r="F889" t="s">
        <v>49</v>
      </c>
      <c r="H889">
        <v>83704695</v>
      </c>
      <c r="I889" t="s">
        <v>17</v>
      </c>
      <c r="K889" t="s">
        <v>5690</v>
      </c>
      <c r="L889">
        <v>366</v>
      </c>
      <c r="M889" t="s">
        <v>5691</v>
      </c>
    </row>
    <row r="890" spans="1:13" x14ac:dyDescent="0.45">
      <c r="A890" t="s">
        <v>3601</v>
      </c>
      <c r="B890">
        <v>933876</v>
      </c>
      <c r="C890">
        <v>937598</v>
      </c>
      <c r="E890" t="s">
        <v>14</v>
      </c>
      <c r="F890" t="s">
        <v>5692</v>
      </c>
      <c r="H890">
        <v>83704696</v>
      </c>
      <c r="I890" t="s">
        <v>17</v>
      </c>
      <c r="K890" t="s">
        <v>5693</v>
      </c>
      <c r="L890">
        <v>1240</v>
      </c>
      <c r="M890" t="s">
        <v>5694</v>
      </c>
    </row>
    <row r="891" spans="1:13" x14ac:dyDescent="0.45">
      <c r="A891" t="s">
        <v>3601</v>
      </c>
      <c r="B891">
        <v>937837</v>
      </c>
      <c r="C891">
        <v>938343</v>
      </c>
      <c r="E891" t="s">
        <v>14</v>
      </c>
      <c r="F891" t="s">
        <v>5695</v>
      </c>
      <c r="H891">
        <v>83704697</v>
      </c>
      <c r="I891" t="s">
        <v>17</v>
      </c>
      <c r="K891" t="s">
        <v>5696</v>
      </c>
      <c r="L891">
        <v>168</v>
      </c>
      <c r="M891" t="s">
        <v>5697</v>
      </c>
    </row>
    <row r="892" spans="1:13" x14ac:dyDescent="0.45">
      <c r="A892" t="s">
        <v>3601</v>
      </c>
      <c r="B892">
        <v>938333</v>
      </c>
      <c r="C892">
        <v>938968</v>
      </c>
      <c r="E892" t="s">
        <v>14</v>
      </c>
      <c r="F892" t="s">
        <v>5698</v>
      </c>
      <c r="H892">
        <v>83704698</v>
      </c>
      <c r="I892" t="s">
        <v>17</v>
      </c>
      <c r="K892" t="s">
        <v>5699</v>
      </c>
      <c r="L892">
        <v>211</v>
      </c>
      <c r="M892" t="s">
        <v>5700</v>
      </c>
    </row>
    <row r="893" spans="1:13" x14ac:dyDescent="0.45">
      <c r="A893" t="s">
        <v>3601</v>
      </c>
      <c r="B893">
        <v>939096</v>
      </c>
      <c r="C893">
        <v>939791</v>
      </c>
      <c r="E893" t="s">
        <v>14</v>
      </c>
      <c r="F893" t="s">
        <v>5701</v>
      </c>
      <c r="H893">
        <v>83704699</v>
      </c>
      <c r="I893" t="s">
        <v>17</v>
      </c>
      <c r="K893" t="s">
        <v>5702</v>
      </c>
      <c r="L893">
        <v>231</v>
      </c>
      <c r="M893" t="s">
        <v>5703</v>
      </c>
    </row>
    <row r="894" spans="1:13" x14ac:dyDescent="0.45">
      <c r="A894" t="s">
        <v>3601</v>
      </c>
      <c r="B894">
        <v>939805</v>
      </c>
      <c r="C894">
        <v>940482</v>
      </c>
      <c r="E894" t="s">
        <v>14</v>
      </c>
      <c r="F894" t="s">
        <v>5704</v>
      </c>
      <c r="H894">
        <v>83704700</v>
      </c>
      <c r="I894" t="s">
        <v>17</v>
      </c>
      <c r="K894" t="s">
        <v>5705</v>
      </c>
      <c r="L894">
        <v>225</v>
      </c>
      <c r="M894" t="s">
        <v>5706</v>
      </c>
    </row>
    <row r="895" spans="1:13" x14ac:dyDescent="0.45">
      <c r="A895" t="s">
        <v>3601</v>
      </c>
      <c r="B895">
        <v>940488</v>
      </c>
      <c r="C895">
        <v>941921</v>
      </c>
      <c r="E895" t="s">
        <v>14</v>
      </c>
      <c r="F895" t="s">
        <v>5707</v>
      </c>
      <c r="H895">
        <v>83704701</v>
      </c>
      <c r="I895" t="s">
        <v>17</v>
      </c>
      <c r="K895" t="s">
        <v>5708</v>
      </c>
      <c r="L895">
        <v>477</v>
      </c>
      <c r="M895" t="s">
        <v>5709</v>
      </c>
    </row>
    <row r="896" spans="1:13" x14ac:dyDescent="0.45">
      <c r="A896" t="s">
        <v>3601</v>
      </c>
      <c r="B896">
        <v>941928</v>
      </c>
      <c r="C896">
        <v>944069</v>
      </c>
      <c r="E896" t="s">
        <v>14</v>
      </c>
      <c r="F896" t="s">
        <v>45</v>
      </c>
      <c r="H896">
        <v>83704702</v>
      </c>
      <c r="I896" t="s">
        <v>17</v>
      </c>
      <c r="K896" t="s">
        <v>5710</v>
      </c>
      <c r="L896">
        <v>713</v>
      </c>
      <c r="M896" t="s">
        <v>5711</v>
      </c>
    </row>
    <row r="897" spans="1:13" x14ac:dyDescent="0.45">
      <c r="A897" t="s">
        <v>3601</v>
      </c>
      <c r="B897">
        <v>944070</v>
      </c>
      <c r="C897">
        <v>944192</v>
      </c>
      <c r="E897" t="s">
        <v>14</v>
      </c>
      <c r="F897" t="s">
        <v>45</v>
      </c>
      <c r="H897">
        <v>83705884</v>
      </c>
      <c r="I897" t="s">
        <v>17</v>
      </c>
      <c r="K897" t="s">
        <v>5712</v>
      </c>
      <c r="L897">
        <v>40</v>
      </c>
      <c r="M897" t="s">
        <v>5713</v>
      </c>
    </row>
    <row r="898" spans="1:13" x14ac:dyDescent="0.45">
      <c r="A898" t="s">
        <v>3601</v>
      </c>
      <c r="B898">
        <v>944216</v>
      </c>
      <c r="C898">
        <v>945610</v>
      </c>
      <c r="E898" t="s">
        <v>14</v>
      </c>
      <c r="F898" t="s">
        <v>801</v>
      </c>
      <c r="H898">
        <v>83704703</v>
      </c>
      <c r="I898" t="s">
        <v>17</v>
      </c>
      <c r="K898" t="s">
        <v>5714</v>
      </c>
      <c r="L898">
        <v>464</v>
      </c>
      <c r="M898" t="s">
        <v>5715</v>
      </c>
    </row>
    <row r="899" spans="1:13" x14ac:dyDescent="0.45">
      <c r="A899" t="s">
        <v>3601</v>
      </c>
      <c r="B899">
        <v>945819</v>
      </c>
      <c r="C899">
        <v>949040</v>
      </c>
      <c r="E899" t="s">
        <v>14</v>
      </c>
      <c r="F899" t="s">
        <v>5716</v>
      </c>
      <c r="G899" t="s">
        <v>5717</v>
      </c>
      <c r="H899">
        <v>83704704</v>
      </c>
      <c r="I899" t="s">
        <v>17</v>
      </c>
      <c r="K899" t="s">
        <v>5718</v>
      </c>
      <c r="L899">
        <v>1073</v>
      </c>
      <c r="M899" t="s">
        <v>5719</v>
      </c>
    </row>
    <row r="900" spans="1:13" x14ac:dyDescent="0.45">
      <c r="A900" t="s">
        <v>3601</v>
      </c>
      <c r="B900">
        <v>949030</v>
      </c>
      <c r="C900">
        <v>952671</v>
      </c>
      <c r="E900" t="s">
        <v>14</v>
      </c>
      <c r="F900" t="s">
        <v>718</v>
      </c>
      <c r="G900" t="s">
        <v>719</v>
      </c>
      <c r="H900">
        <v>83704705</v>
      </c>
      <c r="I900" t="s">
        <v>17</v>
      </c>
      <c r="K900" t="s">
        <v>5720</v>
      </c>
      <c r="L900">
        <v>1213</v>
      </c>
      <c r="M900" t="s">
        <v>5721</v>
      </c>
    </row>
    <row r="901" spans="1:13" x14ac:dyDescent="0.45">
      <c r="A901" t="s">
        <v>3601</v>
      </c>
      <c r="B901">
        <v>952860</v>
      </c>
      <c r="C901">
        <v>953813</v>
      </c>
      <c r="E901" t="s">
        <v>42</v>
      </c>
      <c r="F901" t="s">
        <v>3739</v>
      </c>
      <c r="H901">
        <v>83704706</v>
      </c>
      <c r="I901" t="s">
        <v>17</v>
      </c>
      <c r="K901" t="s">
        <v>3740</v>
      </c>
      <c r="L901">
        <v>317</v>
      </c>
      <c r="M901" t="s">
        <v>5722</v>
      </c>
    </row>
    <row r="902" spans="1:13" x14ac:dyDescent="0.45">
      <c r="A902" t="s">
        <v>3601</v>
      </c>
      <c r="B902">
        <v>954019</v>
      </c>
      <c r="C902">
        <v>955134</v>
      </c>
      <c r="E902" t="s">
        <v>14</v>
      </c>
      <c r="F902" t="s">
        <v>5723</v>
      </c>
      <c r="H902">
        <v>83704707</v>
      </c>
      <c r="I902" t="s">
        <v>17</v>
      </c>
      <c r="K902" t="s">
        <v>5724</v>
      </c>
      <c r="L902">
        <v>371</v>
      </c>
      <c r="M902" t="s">
        <v>5725</v>
      </c>
    </row>
    <row r="903" spans="1:13" x14ac:dyDescent="0.45">
      <c r="A903" t="s">
        <v>3601</v>
      </c>
      <c r="B903">
        <v>955202</v>
      </c>
      <c r="C903">
        <v>956014</v>
      </c>
      <c r="E903" t="s">
        <v>14</v>
      </c>
      <c r="F903" t="s">
        <v>408</v>
      </c>
      <c r="H903">
        <v>83704708</v>
      </c>
      <c r="I903" t="s">
        <v>17</v>
      </c>
      <c r="K903" t="s">
        <v>5726</v>
      </c>
      <c r="L903">
        <v>270</v>
      </c>
      <c r="M903" t="s">
        <v>5727</v>
      </c>
    </row>
    <row r="904" spans="1:13" x14ac:dyDescent="0.45">
      <c r="A904" t="s">
        <v>3601</v>
      </c>
      <c r="B904">
        <v>956180</v>
      </c>
      <c r="C904">
        <v>956356</v>
      </c>
      <c r="E904" t="s">
        <v>14</v>
      </c>
      <c r="F904" t="s">
        <v>748</v>
      </c>
      <c r="G904" t="s">
        <v>749</v>
      </c>
      <c r="H904">
        <v>83704709</v>
      </c>
      <c r="I904" t="s">
        <v>17</v>
      </c>
      <c r="K904" t="s">
        <v>5728</v>
      </c>
      <c r="L904">
        <v>58</v>
      </c>
      <c r="M904" t="s">
        <v>5729</v>
      </c>
    </row>
    <row r="905" spans="1:13" x14ac:dyDescent="0.45">
      <c r="A905" t="s">
        <v>3601</v>
      </c>
      <c r="B905">
        <v>956582</v>
      </c>
      <c r="C905">
        <v>956956</v>
      </c>
      <c r="E905" t="s">
        <v>42</v>
      </c>
      <c r="F905" t="s">
        <v>5730</v>
      </c>
      <c r="G905" t="s">
        <v>340</v>
      </c>
      <c r="H905">
        <v>83704710</v>
      </c>
      <c r="I905" t="s">
        <v>17</v>
      </c>
      <c r="K905" t="s">
        <v>5731</v>
      </c>
      <c r="L905">
        <v>124</v>
      </c>
      <c r="M905" t="s">
        <v>5732</v>
      </c>
    </row>
    <row r="906" spans="1:13" x14ac:dyDescent="0.45">
      <c r="A906" t="s">
        <v>3601</v>
      </c>
      <c r="B906">
        <v>957203</v>
      </c>
      <c r="C906">
        <v>959017</v>
      </c>
      <c r="E906" t="s">
        <v>14</v>
      </c>
      <c r="F906" t="s">
        <v>735</v>
      </c>
      <c r="G906" t="s">
        <v>736</v>
      </c>
      <c r="H906">
        <v>83704711</v>
      </c>
      <c r="I906" t="s">
        <v>17</v>
      </c>
      <c r="K906" t="s">
        <v>5733</v>
      </c>
      <c r="L906">
        <v>604</v>
      </c>
      <c r="M906" t="s">
        <v>5734</v>
      </c>
    </row>
    <row r="907" spans="1:13" x14ac:dyDescent="0.45">
      <c r="A907" t="s">
        <v>3601</v>
      </c>
      <c r="B907">
        <v>959026</v>
      </c>
      <c r="C907">
        <v>960135</v>
      </c>
      <c r="E907" t="s">
        <v>14</v>
      </c>
      <c r="F907" t="s">
        <v>733</v>
      </c>
      <c r="G907" t="s">
        <v>734</v>
      </c>
      <c r="H907">
        <v>83704712</v>
      </c>
      <c r="I907" t="s">
        <v>17</v>
      </c>
      <c r="K907" t="s">
        <v>5735</v>
      </c>
      <c r="L907">
        <v>369</v>
      </c>
      <c r="M907" t="s">
        <v>5736</v>
      </c>
    </row>
    <row r="908" spans="1:13" x14ac:dyDescent="0.45">
      <c r="A908" t="s">
        <v>3601</v>
      </c>
      <c r="B908">
        <v>960534</v>
      </c>
      <c r="C908">
        <v>960872</v>
      </c>
      <c r="E908" t="s">
        <v>14</v>
      </c>
      <c r="F908" t="s">
        <v>876</v>
      </c>
      <c r="H908">
        <v>83704713</v>
      </c>
      <c r="I908" t="s">
        <v>17</v>
      </c>
      <c r="K908" t="s">
        <v>5737</v>
      </c>
      <c r="L908">
        <v>112</v>
      </c>
      <c r="M908" t="s">
        <v>5738</v>
      </c>
    </row>
    <row r="909" spans="1:13" x14ac:dyDescent="0.45">
      <c r="A909" t="s">
        <v>3601</v>
      </c>
      <c r="B909">
        <v>961013</v>
      </c>
      <c r="C909">
        <v>961861</v>
      </c>
      <c r="E909" t="s">
        <v>14</v>
      </c>
      <c r="F909" t="s">
        <v>5739</v>
      </c>
      <c r="G909" t="s">
        <v>5740</v>
      </c>
      <c r="H909">
        <v>83704714</v>
      </c>
      <c r="I909" t="s">
        <v>17</v>
      </c>
      <c r="K909" t="s">
        <v>5741</v>
      </c>
      <c r="L909">
        <v>282</v>
      </c>
      <c r="M909" t="s">
        <v>5742</v>
      </c>
    </row>
    <row r="910" spans="1:13" x14ac:dyDescent="0.45">
      <c r="A910" t="s">
        <v>3601</v>
      </c>
      <c r="B910">
        <v>961986</v>
      </c>
      <c r="C910">
        <v>963140</v>
      </c>
      <c r="E910" t="s">
        <v>14</v>
      </c>
      <c r="F910" t="s">
        <v>5743</v>
      </c>
      <c r="G910" t="s">
        <v>5744</v>
      </c>
      <c r="H910">
        <v>83704715</v>
      </c>
      <c r="I910" t="s">
        <v>17</v>
      </c>
      <c r="K910" t="s">
        <v>5745</v>
      </c>
      <c r="L910">
        <v>384</v>
      </c>
      <c r="M910" t="s">
        <v>5746</v>
      </c>
    </row>
    <row r="911" spans="1:13" x14ac:dyDescent="0.45">
      <c r="A911" t="s">
        <v>3601</v>
      </c>
      <c r="B911">
        <v>963130</v>
      </c>
      <c r="C911">
        <v>964065</v>
      </c>
      <c r="E911" t="s">
        <v>14</v>
      </c>
      <c r="F911" t="s">
        <v>801</v>
      </c>
      <c r="H911">
        <v>83704716</v>
      </c>
      <c r="I911" t="s">
        <v>17</v>
      </c>
      <c r="K911" t="s">
        <v>5747</v>
      </c>
      <c r="L911">
        <v>311</v>
      </c>
      <c r="M911" t="s">
        <v>5748</v>
      </c>
    </row>
    <row r="912" spans="1:13" x14ac:dyDescent="0.45">
      <c r="A912" t="s">
        <v>3601</v>
      </c>
      <c r="B912">
        <v>964065</v>
      </c>
      <c r="C912">
        <v>964868</v>
      </c>
      <c r="E912" t="s">
        <v>14</v>
      </c>
      <c r="F912" t="s">
        <v>113</v>
      </c>
      <c r="H912">
        <v>83704717</v>
      </c>
      <c r="I912" t="s">
        <v>17</v>
      </c>
      <c r="K912" t="s">
        <v>5749</v>
      </c>
      <c r="L912">
        <v>267</v>
      </c>
      <c r="M912" t="s">
        <v>5750</v>
      </c>
    </row>
    <row r="913" spans="1:13" x14ac:dyDescent="0.45">
      <c r="A913" t="s">
        <v>3601</v>
      </c>
      <c r="B913">
        <v>964868</v>
      </c>
      <c r="C913">
        <v>966076</v>
      </c>
      <c r="E913" t="s">
        <v>14</v>
      </c>
      <c r="F913" t="s">
        <v>72</v>
      </c>
      <c r="H913">
        <v>83704718</v>
      </c>
      <c r="I913" t="s">
        <v>17</v>
      </c>
      <c r="K913" t="s">
        <v>5751</v>
      </c>
      <c r="L913">
        <v>402</v>
      </c>
      <c r="M913" t="s">
        <v>5752</v>
      </c>
    </row>
    <row r="914" spans="1:13" x14ac:dyDescent="0.45">
      <c r="A914" t="s">
        <v>3601</v>
      </c>
      <c r="B914">
        <v>966097</v>
      </c>
      <c r="C914">
        <v>967104</v>
      </c>
      <c r="E914" t="s">
        <v>14</v>
      </c>
      <c r="F914" t="s">
        <v>801</v>
      </c>
      <c r="H914">
        <v>83704719</v>
      </c>
      <c r="I914" t="s">
        <v>17</v>
      </c>
      <c r="K914" t="s">
        <v>5753</v>
      </c>
      <c r="L914">
        <v>335</v>
      </c>
      <c r="M914" t="s">
        <v>5754</v>
      </c>
    </row>
    <row r="915" spans="1:13" x14ac:dyDescent="0.45">
      <c r="A915" t="s">
        <v>3601</v>
      </c>
      <c r="B915">
        <v>967101</v>
      </c>
      <c r="C915">
        <v>968846</v>
      </c>
      <c r="E915" t="s">
        <v>14</v>
      </c>
      <c r="F915" t="s">
        <v>5755</v>
      </c>
      <c r="H915">
        <v>83704720</v>
      </c>
      <c r="I915" t="s">
        <v>17</v>
      </c>
      <c r="K915" t="s">
        <v>5756</v>
      </c>
      <c r="L915">
        <v>581</v>
      </c>
      <c r="M915" t="s">
        <v>5757</v>
      </c>
    </row>
    <row r="916" spans="1:13" x14ac:dyDescent="0.45">
      <c r="A916" t="s">
        <v>3601</v>
      </c>
      <c r="B916">
        <v>968876</v>
      </c>
      <c r="C916">
        <v>969565</v>
      </c>
      <c r="E916" t="s">
        <v>14</v>
      </c>
      <c r="F916" t="s">
        <v>801</v>
      </c>
      <c r="H916">
        <v>83704721</v>
      </c>
      <c r="I916" t="s">
        <v>17</v>
      </c>
      <c r="K916" t="s">
        <v>5758</v>
      </c>
      <c r="L916">
        <v>229</v>
      </c>
      <c r="M916" t="s">
        <v>5759</v>
      </c>
    </row>
    <row r="917" spans="1:13" x14ac:dyDescent="0.45">
      <c r="A917" t="s">
        <v>3601</v>
      </c>
      <c r="B917">
        <v>969570</v>
      </c>
      <c r="C917">
        <v>969926</v>
      </c>
      <c r="E917" t="s">
        <v>14</v>
      </c>
      <c r="F917" t="s">
        <v>5760</v>
      </c>
      <c r="H917">
        <v>83704722</v>
      </c>
      <c r="I917" t="s">
        <v>17</v>
      </c>
      <c r="K917" t="s">
        <v>5761</v>
      </c>
      <c r="L917">
        <v>118</v>
      </c>
      <c r="M917" t="s">
        <v>5762</v>
      </c>
    </row>
    <row r="918" spans="1:13" x14ac:dyDescent="0.45">
      <c r="A918" t="s">
        <v>3601</v>
      </c>
      <c r="B918">
        <v>969910</v>
      </c>
      <c r="C918">
        <v>971151</v>
      </c>
      <c r="E918" t="s">
        <v>14</v>
      </c>
      <c r="F918" t="s">
        <v>5763</v>
      </c>
      <c r="H918">
        <v>83704723</v>
      </c>
      <c r="I918" t="s">
        <v>17</v>
      </c>
      <c r="K918" t="s">
        <v>5764</v>
      </c>
      <c r="L918">
        <v>413</v>
      </c>
      <c r="M918" t="s">
        <v>5765</v>
      </c>
    </row>
    <row r="919" spans="1:13" x14ac:dyDescent="0.45">
      <c r="A919" t="s">
        <v>3601</v>
      </c>
      <c r="B919">
        <v>971155</v>
      </c>
      <c r="C919">
        <v>972639</v>
      </c>
      <c r="E919" t="s">
        <v>14</v>
      </c>
      <c r="F919" t="s">
        <v>5766</v>
      </c>
      <c r="H919">
        <v>83704724</v>
      </c>
      <c r="I919" t="s">
        <v>17</v>
      </c>
      <c r="K919" t="s">
        <v>5767</v>
      </c>
      <c r="L919">
        <v>494</v>
      </c>
      <c r="M919" t="s">
        <v>5768</v>
      </c>
    </row>
    <row r="920" spans="1:13" x14ac:dyDescent="0.45">
      <c r="A920" t="s">
        <v>3601</v>
      </c>
      <c r="B920">
        <v>972653</v>
      </c>
      <c r="C920">
        <v>973816</v>
      </c>
      <c r="E920" t="s">
        <v>14</v>
      </c>
      <c r="F920" t="s">
        <v>363</v>
      </c>
      <c r="H920">
        <v>83704725</v>
      </c>
      <c r="I920" t="s">
        <v>17</v>
      </c>
      <c r="K920" t="s">
        <v>5769</v>
      </c>
      <c r="L920">
        <v>387</v>
      </c>
      <c r="M920" t="s">
        <v>5770</v>
      </c>
    </row>
    <row r="921" spans="1:13" x14ac:dyDescent="0.45">
      <c r="A921" t="s">
        <v>3601</v>
      </c>
      <c r="B921">
        <v>973905</v>
      </c>
      <c r="C921">
        <v>976265</v>
      </c>
      <c r="E921" t="s">
        <v>14</v>
      </c>
      <c r="F921" t="s">
        <v>108</v>
      </c>
      <c r="H921">
        <v>83704726</v>
      </c>
      <c r="I921" t="s">
        <v>17</v>
      </c>
      <c r="K921" t="s">
        <v>5771</v>
      </c>
      <c r="L921">
        <v>786</v>
      </c>
      <c r="M921" t="s">
        <v>5772</v>
      </c>
    </row>
    <row r="922" spans="1:13" x14ac:dyDescent="0.45">
      <c r="A922" t="s">
        <v>3601</v>
      </c>
      <c r="B922">
        <v>976333</v>
      </c>
      <c r="C922">
        <v>977352</v>
      </c>
      <c r="E922" t="s">
        <v>14</v>
      </c>
      <c r="F922" t="s">
        <v>884</v>
      </c>
      <c r="G922" t="s">
        <v>885</v>
      </c>
      <c r="H922">
        <v>83704727</v>
      </c>
      <c r="I922" t="s">
        <v>17</v>
      </c>
      <c r="K922" t="s">
        <v>5773</v>
      </c>
      <c r="L922">
        <v>339</v>
      </c>
      <c r="M922" t="s">
        <v>5774</v>
      </c>
    </row>
    <row r="923" spans="1:13" x14ac:dyDescent="0.45">
      <c r="A923" t="s">
        <v>3601</v>
      </c>
      <c r="B923">
        <v>977522</v>
      </c>
      <c r="C923">
        <v>978745</v>
      </c>
      <c r="E923" t="s">
        <v>14</v>
      </c>
      <c r="F923" t="s">
        <v>729</v>
      </c>
      <c r="G923" t="s">
        <v>730</v>
      </c>
      <c r="H923">
        <v>83704728</v>
      </c>
      <c r="I923" t="s">
        <v>17</v>
      </c>
      <c r="K923" t="s">
        <v>5775</v>
      </c>
      <c r="L923">
        <v>407</v>
      </c>
      <c r="M923" t="s">
        <v>5776</v>
      </c>
    </row>
    <row r="924" spans="1:13" x14ac:dyDescent="0.45">
      <c r="A924" t="s">
        <v>3601</v>
      </c>
      <c r="B924">
        <v>978790</v>
      </c>
      <c r="C924">
        <v>979278</v>
      </c>
      <c r="E924" t="s">
        <v>14</v>
      </c>
      <c r="F924" t="s">
        <v>5777</v>
      </c>
      <c r="H924">
        <v>83704729</v>
      </c>
      <c r="I924" t="s">
        <v>17</v>
      </c>
      <c r="K924" t="s">
        <v>5778</v>
      </c>
      <c r="L924">
        <v>162</v>
      </c>
      <c r="M924" t="s">
        <v>5779</v>
      </c>
    </row>
    <row r="925" spans="1:13" x14ac:dyDescent="0.45">
      <c r="A925" t="s">
        <v>3601</v>
      </c>
      <c r="B925">
        <v>979265</v>
      </c>
      <c r="C925">
        <v>979462</v>
      </c>
      <c r="E925" t="s">
        <v>42</v>
      </c>
      <c r="F925" t="s">
        <v>5780</v>
      </c>
      <c r="H925">
        <v>83704730</v>
      </c>
      <c r="I925" t="s">
        <v>17</v>
      </c>
      <c r="K925" t="s">
        <v>5781</v>
      </c>
      <c r="L925">
        <v>65</v>
      </c>
      <c r="M925" t="s">
        <v>5782</v>
      </c>
    </row>
    <row r="926" spans="1:13" x14ac:dyDescent="0.45">
      <c r="A926" t="s">
        <v>3601</v>
      </c>
      <c r="B926">
        <v>979511</v>
      </c>
      <c r="C926">
        <v>980020</v>
      </c>
      <c r="E926" t="s">
        <v>14</v>
      </c>
      <c r="F926" t="s">
        <v>655</v>
      </c>
      <c r="H926">
        <v>83704731</v>
      </c>
      <c r="I926" t="s">
        <v>17</v>
      </c>
      <c r="K926" t="s">
        <v>5783</v>
      </c>
      <c r="L926">
        <v>169</v>
      </c>
      <c r="M926" t="s">
        <v>5784</v>
      </c>
    </row>
    <row r="927" spans="1:13" x14ac:dyDescent="0.45">
      <c r="A927" t="s">
        <v>3601</v>
      </c>
      <c r="B927">
        <v>980035</v>
      </c>
      <c r="C927">
        <v>980715</v>
      </c>
      <c r="E927" t="s">
        <v>14</v>
      </c>
      <c r="F927" t="s">
        <v>656</v>
      </c>
      <c r="G927" t="s">
        <v>657</v>
      </c>
      <c r="H927">
        <v>83704732</v>
      </c>
      <c r="I927" t="s">
        <v>17</v>
      </c>
      <c r="K927" t="s">
        <v>5785</v>
      </c>
      <c r="L927">
        <v>226</v>
      </c>
      <c r="M927" t="s">
        <v>5786</v>
      </c>
    </row>
    <row r="928" spans="1:13" x14ac:dyDescent="0.45">
      <c r="A928" t="s">
        <v>3601</v>
      </c>
      <c r="B928">
        <v>980876</v>
      </c>
      <c r="C928">
        <v>981406</v>
      </c>
      <c r="E928" t="s">
        <v>14</v>
      </c>
      <c r="F928" t="s">
        <v>923</v>
      </c>
      <c r="G928" t="s">
        <v>924</v>
      </c>
      <c r="H928">
        <v>83704733</v>
      </c>
      <c r="I928" t="s">
        <v>17</v>
      </c>
      <c r="K928" t="s">
        <v>5787</v>
      </c>
      <c r="L928">
        <v>176</v>
      </c>
      <c r="M928" t="s">
        <v>5788</v>
      </c>
    </row>
    <row r="929" spans="1:13" x14ac:dyDescent="0.45">
      <c r="A929" t="s">
        <v>3601</v>
      </c>
      <c r="B929">
        <v>981446</v>
      </c>
      <c r="C929">
        <v>981643</v>
      </c>
      <c r="E929" t="s">
        <v>14</v>
      </c>
      <c r="F929" t="s">
        <v>921</v>
      </c>
      <c r="G929" t="s">
        <v>922</v>
      </c>
      <c r="H929">
        <v>83704734</v>
      </c>
      <c r="I929" t="s">
        <v>17</v>
      </c>
      <c r="K929" t="s">
        <v>5789</v>
      </c>
      <c r="L929">
        <v>65</v>
      </c>
      <c r="M929" t="s">
        <v>5790</v>
      </c>
    </row>
    <row r="930" spans="1:13" x14ac:dyDescent="0.45">
      <c r="A930" t="s">
        <v>3601</v>
      </c>
      <c r="B930">
        <v>981703</v>
      </c>
      <c r="C930">
        <v>982062</v>
      </c>
      <c r="E930" t="s">
        <v>14</v>
      </c>
      <c r="F930" t="s">
        <v>919</v>
      </c>
      <c r="G930" t="s">
        <v>920</v>
      </c>
      <c r="H930">
        <v>83704735</v>
      </c>
      <c r="I930" t="s">
        <v>17</v>
      </c>
      <c r="K930" t="s">
        <v>5791</v>
      </c>
      <c r="L930">
        <v>119</v>
      </c>
      <c r="M930" t="s">
        <v>5792</v>
      </c>
    </row>
    <row r="931" spans="1:13" x14ac:dyDescent="0.45">
      <c r="A931" t="s">
        <v>3601</v>
      </c>
      <c r="B931">
        <v>982605</v>
      </c>
      <c r="C931">
        <v>983285</v>
      </c>
      <c r="E931" t="s">
        <v>14</v>
      </c>
      <c r="F931" t="s">
        <v>49</v>
      </c>
      <c r="H931">
        <v>83704736</v>
      </c>
      <c r="I931" t="s">
        <v>17</v>
      </c>
      <c r="K931" t="s">
        <v>5793</v>
      </c>
      <c r="L931">
        <v>226</v>
      </c>
      <c r="M931" t="s">
        <v>5794</v>
      </c>
    </row>
    <row r="932" spans="1:13" x14ac:dyDescent="0.45">
      <c r="A932" t="s">
        <v>3601</v>
      </c>
      <c r="B932">
        <v>983397</v>
      </c>
      <c r="C932">
        <v>985583</v>
      </c>
      <c r="E932" t="s">
        <v>42</v>
      </c>
      <c r="F932" t="s">
        <v>108</v>
      </c>
      <c r="H932">
        <v>83704737</v>
      </c>
      <c r="I932" t="s">
        <v>17</v>
      </c>
      <c r="K932" t="s">
        <v>5795</v>
      </c>
      <c r="L932">
        <v>728</v>
      </c>
      <c r="M932" t="s">
        <v>5796</v>
      </c>
    </row>
    <row r="933" spans="1:13" x14ac:dyDescent="0.45">
      <c r="A933" t="s">
        <v>3601</v>
      </c>
      <c r="B933">
        <v>985731</v>
      </c>
      <c r="C933">
        <v>986894</v>
      </c>
      <c r="E933" t="s">
        <v>14</v>
      </c>
      <c r="F933" t="s">
        <v>5797</v>
      </c>
      <c r="H933">
        <v>83704738</v>
      </c>
      <c r="I933" t="s">
        <v>17</v>
      </c>
      <c r="K933" t="s">
        <v>5798</v>
      </c>
      <c r="L933">
        <v>387</v>
      </c>
      <c r="M933" t="s">
        <v>5799</v>
      </c>
    </row>
    <row r="934" spans="1:13" x14ac:dyDescent="0.45">
      <c r="A934" t="s">
        <v>3601</v>
      </c>
      <c r="B934">
        <v>986891</v>
      </c>
      <c r="C934">
        <v>987571</v>
      </c>
      <c r="E934" t="s">
        <v>14</v>
      </c>
      <c r="F934" t="s">
        <v>5800</v>
      </c>
      <c r="G934" t="s">
        <v>5801</v>
      </c>
      <c r="H934">
        <v>83704739</v>
      </c>
      <c r="I934" t="s">
        <v>17</v>
      </c>
      <c r="K934" t="s">
        <v>5802</v>
      </c>
      <c r="L934">
        <v>226</v>
      </c>
      <c r="M934" t="s">
        <v>5803</v>
      </c>
    </row>
    <row r="935" spans="1:13" x14ac:dyDescent="0.45">
      <c r="A935" t="s">
        <v>3601</v>
      </c>
      <c r="B935">
        <v>987687</v>
      </c>
      <c r="C935">
        <v>988853</v>
      </c>
      <c r="E935" t="s">
        <v>14</v>
      </c>
      <c r="F935" t="s">
        <v>5804</v>
      </c>
      <c r="G935" t="s">
        <v>5805</v>
      </c>
      <c r="H935">
        <v>83704740</v>
      </c>
      <c r="I935" t="s">
        <v>17</v>
      </c>
      <c r="K935" t="s">
        <v>5806</v>
      </c>
      <c r="L935">
        <v>388</v>
      </c>
      <c r="M935" t="s">
        <v>5807</v>
      </c>
    </row>
    <row r="936" spans="1:13" x14ac:dyDescent="0.45">
      <c r="A936" t="s">
        <v>3601</v>
      </c>
      <c r="B936">
        <v>988914</v>
      </c>
      <c r="C936">
        <v>989255</v>
      </c>
      <c r="E936" t="s">
        <v>14</v>
      </c>
      <c r="F936" t="s">
        <v>5808</v>
      </c>
      <c r="H936">
        <v>83704741</v>
      </c>
      <c r="I936" t="s">
        <v>17</v>
      </c>
      <c r="K936" t="s">
        <v>5809</v>
      </c>
      <c r="L936">
        <v>113</v>
      </c>
      <c r="M936" t="s">
        <v>5810</v>
      </c>
    </row>
    <row r="937" spans="1:13" x14ac:dyDescent="0.45">
      <c r="A937" t="s">
        <v>3601</v>
      </c>
      <c r="B937">
        <v>989449</v>
      </c>
      <c r="C937">
        <v>990801</v>
      </c>
      <c r="E937" t="s">
        <v>14</v>
      </c>
      <c r="F937" t="s">
        <v>5811</v>
      </c>
      <c r="G937" t="s">
        <v>5812</v>
      </c>
      <c r="H937">
        <v>83704742</v>
      </c>
      <c r="I937" t="s">
        <v>17</v>
      </c>
      <c r="K937" t="s">
        <v>5813</v>
      </c>
      <c r="L937">
        <v>450</v>
      </c>
      <c r="M937" t="s">
        <v>5814</v>
      </c>
    </row>
    <row r="938" spans="1:13" x14ac:dyDescent="0.45">
      <c r="A938" t="s">
        <v>3601</v>
      </c>
      <c r="B938">
        <v>990872</v>
      </c>
      <c r="C938">
        <v>991312</v>
      </c>
      <c r="E938" t="s">
        <v>42</v>
      </c>
      <c r="F938" t="s">
        <v>5815</v>
      </c>
      <c r="H938">
        <v>83704743</v>
      </c>
      <c r="I938" t="s">
        <v>17</v>
      </c>
      <c r="K938" t="s">
        <v>5816</v>
      </c>
      <c r="L938">
        <v>146</v>
      </c>
      <c r="M938" t="s">
        <v>5817</v>
      </c>
    </row>
    <row r="939" spans="1:13" x14ac:dyDescent="0.45">
      <c r="A939" t="s">
        <v>3601</v>
      </c>
      <c r="B939">
        <v>991551</v>
      </c>
      <c r="C939">
        <v>992693</v>
      </c>
      <c r="E939" t="s">
        <v>14</v>
      </c>
      <c r="F939" t="s">
        <v>543</v>
      </c>
      <c r="H939">
        <v>83704744</v>
      </c>
      <c r="I939" t="s">
        <v>17</v>
      </c>
      <c r="K939" t="s">
        <v>5818</v>
      </c>
      <c r="L939">
        <v>380</v>
      </c>
      <c r="M939" t="s">
        <v>5819</v>
      </c>
    </row>
    <row r="940" spans="1:13" x14ac:dyDescent="0.45">
      <c r="A940" t="s">
        <v>3601</v>
      </c>
      <c r="B940">
        <v>992695</v>
      </c>
      <c r="C940">
        <v>993909</v>
      </c>
      <c r="E940" t="s">
        <v>14</v>
      </c>
      <c r="F940" t="s">
        <v>544</v>
      </c>
      <c r="G940" t="s">
        <v>545</v>
      </c>
      <c r="H940">
        <v>83704745</v>
      </c>
      <c r="I940" t="s">
        <v>17</v>
      </c>
      <c r="K940" t="s">
        <v>5820</v>
      </c>
      <c r="L940">
        <v>404</v>
      </c>
      <c r="M940" t="s">
        <v>5821</v>
      </c>
    </row>
    <row r="941" spans="1:13" x14ac:dyDescent="0.45">
      <c r="A941" t="s">
        <v>3601</v>
      </c>
      <c r="B941">
        <v>994031</v>
      </c>
      <c r="C941">
        <v>994288</v>
      </c>
      <c r="E941" t="s">
        <v>42</v>
      </c>
      <c r="F941" t="s">
        <v>45</v>
      </c>
      <c r="H941">
        <v>83704746</v>
      </c>
      <c r="I941" t="s">
        <v>17</v>
      </c>
      <c r="K941" t="s">
        <v>5822</v>
      </c>
      <c r="L941">
        <v>85</v>
      </c>
      <c r="M941" t="s">
        <v>5823</v>
      </c>
    </row>
    <row r="942" spans="1:13" x14ac:dyDescent="0.45">
      <c r="A942" t="s">
        <v>3601</v>
      </c>
      <c r="B942">
        <v>994685</v>
      </c>
      <c r="C942">
        <v>995026</v>
      </c>
      <c r="E942" t="s">
        <v>42</v>
      </c>
      <c r="F942" t="s">
        <v>45</v>
      </c>
      <c r="H942">
        <v>83704747</v>
      </c>
      <c r="I942" t="s">
        <v>17</v>
      </c>
      <c r="K942" t="s">
        <v>5824</v>
      </c>
      <c r="L942">
        <v>113</v>
      </c>
      <c r="M942" t="s">
        <v>5825</v>
      </c>
    </row>
    <row r="943" spans="1:13" x14ac:dyDescent="0.45">
      <c r="A943" t="s">
        <v>3601</v>
      </c>
      <c r="B943">
        <v>995586</v>
      </c>
      <c r="C943">
        <v>996674</v>
      </c>
      <c r="E943" t="s">
        <v>42</v>
      </c>
      <c r="F943" t="s">
        <v>379</v>
      </c>
      <c r="H943">
        <v>83704748</v>
      </c>
      <c r="I943" t="s">
        <v>17</v>
      </c>
      <c r="K943" t="s">
        <v>5826</v>
      </c>
      <c r="L943">
        <v>362</v>
      </c>
      <c r="M943" t="s">
        <v>5827</v>
      </c>
    </row>
    <row r="944" spans="1:13" x14ac:dyDescent="0.45">
      <c r="A944" t="s">
        <v>3601</v>
      </c>
      <c r="B944">
        <v>996798</v>
      </c>
      <c r="C944">
        <v>997655</v>
      </c>
      <c r="E944" t="s">
        <v>42</v>
      </c>
      <c r="F944" t="s">
        <v>378</v>
      </c>
      <c r="H944">
        <v>83704749</v>
      </c>
      <c r="I944" t="s">
        <v>17</v>
      </c>
      <c r="K944" t="s">
        <v>5828</v>
      </c>
      <c r="L944">
        <v>285</v>
      </c>
      <c r="M944" t="s">
        <v>5829</v>
      </c>
    </row>
    <row r="945" spans="1:13" x14ac:dyDescent="0.45">
      <c r="A945" t="s">
        <v>3601</v>
      </c>
      <c r="B945">
        <v>997713</v>
      </c>
      <c r="C945">
        <v>999365</v>
      </c>
      <c r="E945" t="s">
        <v>42</v>
      </c>
      <c r="F945" t="s">
        <v>248</v>
      </c>
      <c r="H945">
        <v>83704750</v>
      </c>
      <c r="I945" t="s">
        <v>17</v>
      </c>
      <c r="K945" t="s">
        <v>5830</v>
      </c>
      <c r="L945">
        <v>550</v>
      </c>
      <c r="M945" t="s">
        <v>5831</v>
      </c>
    </row>
    <row r="946" spans="1:13" x14ac:dyDescent="0.45">
      <c r="A946" t="s">
        <v>3601</v>
      </c>
      <c r="B946">
        <v>999375</v>
      </c>
      <c r="C946">
        <v>999758</v>
      </c>
      <c r="E946" t="s">
        <v>42</v>
      </c>
      <c r="F946" t="s">
        <v>5832</v>
      </c>
      <c r="H946">
        <v>83704751</v>
      </c>
      <c r="I946" t="s">
        <v>17</v>
      </c>
      <c r="K946" t="s">
        <v>5833</v>
      </c>
      <c r="L946">
        <v>127</v>
      </c>
      <c r="M946" t="s">
        <v>5834</v>
      </c>
    </row>
    <row r="947" spans="1:13" x14ac:dyDescent="0.45">
      <c r="A947" t="s">
        <v>3601</v>
      </c>
      <c r="B947">
        <v>999742</v>
      </c>
      <c r="C947">
        <v>1000083</v>
      </c>
      <c r="E947" t="s">
        <v>42</v>
      </c>
      <c r="F947" t="s">
        <v>139</v>
      </c>
      <c r="H947">
        <v>83704752</v>
      </c>
      <c r="I947" t="s">
        <v>17</v>
      </c>
      <c r="K947" t="s">
        <v>5835</v>
      </c>
      <c r="L947">
        <v>113</v>
      </c>
      <c r="M947" t="s">
        <v>5836</v>
      </c>
    </row>
    <row r="948" spans="1:13" x14ac:dyDescent="0.45">
      <c r="A948" t="s">
        <v>3601</v>
      </c>
      <c r="B948">
        <v>1000280</v>
      </c>
      <c r="C948">
        <v>1000492</v>
      </c>
      <c r="E948" t="s">
        <v>14</v>
      </c>
      <c r="F948" t="s">
        <v>79</v>
      </c>
      <c r="H948">
        <v>83704753</v>
      </c>
      <c r="I948" t="s">
        <v>17</v>
      </c>
      <c r="K948" t="s">
        <v>5837</v>
      </c>
      <c r="L948">
        <v>70</v>
      </c>
      <c r="M948" t="s">
        <v>5838</v>
      </c>
    </row>
    <row r="949" spans="1:13" x14ac:dyDescent="0.45">
      <c r="A949" t="s">
        <v>3601</v>
      </c>
      <c r="B949">
        <v>1000609</v>
      </c>
      <c r="C949">
        <v>1000899</v>
      </c>
      <c r="E949" t="s">
        <v>14</v>
      </c>
      <c r="F949" t="s">
        <v>95</v>
      </c>
      <c r="H949">
        <v>83704754</v>
      </c>
      <c r="I949" t="s">
        <v>17</v>
      </c>
      <c r="K949" t="s">
        <v>5839</v>
      </c>
      <c r="L949">
        <v>96</v>
      </c>
      <c r="M949" t="s">
        <v>5840</v>
      </c>
    </row>
    <row r="950" spans="1:13" x14ac:dyDescent="0.45">
      <c r="A950" t="s">
        <v>3601</v>
      </c>
      <c r="B950">
        <v>1000901</v>
      </c>
      <c r="C950">
        <v>1001086</v>
      </c>
      <c r="E950" t="s">
        <v>14</v>
      </c>
      <c r="F950" t="s">
        <v>45</v>
      </c>
      <c r="H950">
        <v>83704755</v>
      </c>
      <c r="I950" t="s">
        <v>17</v>
      </c>
      <c r="K950" t="s">
        <v>5841</v>
      </c>
      <c r="L950">
        <v>61</v>
      </c>
      <c r="M950" t="s">
        <v>5842</v>
      </c>
    </row>
    <row r="951" spans="1:13" x14ac:dyDescent="0.45">
      <c r="A951" t="s">
        <v>3601</v>
      </c>
      <c r="B951">
        <v>1001180</v>
      </c>
      <c r="C951">
        <v>1001449</v>
      </c>
      <c r="E951" t="s">
        <v>14</v>
      </c>
      <c r="F951" t="s">
        <v>418</v>
      </c>
      <c r="H951">
        <v>83704756</v>
      </c>
      <c r="I951" t="s">
        <v>17</v>
      </c>
      <c r="K951" t="s">
        <v>5843</v>
      </c>
      <c r="L951">
        <v>89</v>
      </c>
      <c r="M951" t="s">
        <v>5844</v>
      </c>
    </row>
    <row r="952" spans="1:13" x14ac:dyDescent="0.45">
      <c r="A952" t="s">
        <v>3601</v>
      </c>
      <c r="B952">
        <v>1001589</v>
      </c>
      <c r="C952">
        <v>1001972</v>
      </c>
      <c r="E952" t="s">
        <v>14</v>
      </c>
      <c r="F952" t="s">
        <v>5845</v>
      </c>
      <c r="H952">
        <v>83704757</v>
      </c>
      <c r="I952" t="s">
        <v>17</v>
      </c>
      <c r="K952" t="s">
        <v>5846</v>
      </c>
      <c r="L952">
        <v>127</v>
      </c>
      <c r="M952" t="s">
        <v>5847</v>
      </c>
    </row>
    <row r="953" spans="1:13" x14ac:dyDescent="0.45">
      <c r="A953" t="s">
        <v>3601</v>
      </c>
      <c r="B953">
        <v>1001953</v>
      </c>
      <c r="C953">
        <v>1002186</v>
      </c>
      <c r="E953" t="s">
        <v>14</v>
      </c>
      <c r="F953" t="s">
        <v>45</v>
      </c>
      <c r="H953">
        <v>83704758</v>
      </c>
      <c r="I953" t="s">
        <v>17</v>
      </c>
      <c r="K953" t="s">
        <v>5848</v>
      </c>
      <c r="L953">
        <v>77</v>
      </c>
      <c r="M953" t="s">
        <v>5849</v>
      </c>
    </row>
    <row r="954" spans="1:13" x14ac:dyDescent="0.45">
      <c r="A954" t="s">
        <v>3601</v>
      </c>
      <c r="B954">
        <v>1002183</v>
      </c>
      <c r="C954">
        <v>1002323</v>
      </c>
      <c r="E954" t="s">
        <v>14</v>
      </c>
      <c r="F954" t="s">
        <v>45</v>
      </c>
      <c r="H954">
        <v>83704759</v>
      </c>
      <c r="I954" t="s">
        <v>17</v>
      </c>
      <c r="K954" t="s">
        <v>5850</v>
      </c>
      <c r="L954">
        <v>46</v>
      </c>
      <c r="M954" t="s">
        <v>5851</v>
      </c>
    </row>
    <row r="955" spans="1:13" x14ac:dyDescent="0.45">
      <c r="A955" t="s">
        <v>3601</v>
      </c>
      <c r="B955">
        <v>1002332</v>
      </c>
      <c r="C955">
        <v>1002538</v>
      </c>
      <c r="E955" t="s">
        <v>14</v>
      </c>
      <c r="F955" t="s">
        <v>45</v>
      </c>
      <c r="H955">
        <v>83704760</v>
      </c>
      <c r="I955" t="s">
        <v>17</v>
      </c>
      <c r="K955" t="s">
        <v>5852</v>
      </c>
      <c r="L955">
        <v>68</v>
      </c>
      <c r="M955" t="s">
        <v>5853</v>
      </c>
    </row>
    <row r="956" spans="1:13" x14ac:dyDescent="0.45">
      <c r="A956" t="s">
        <v>3601</v>
      </c>
      <c r="B956">
        <v>1002700</v>
      </c>
      <c r="C956">
        <v>1003617</v>
      </c>
      <c r="E956" t="s">
        <v>14</v>
      </c>
      <c r="F956" t="s">
        <v>5854</v>
      </c>
      <c r="H956">
        <v>83704761</v>
      </c>
      <c r="I956" t="s">
        <v>17</v>
      </c>
      <c r="K956" t="s">
        <v>5855</v>
      </c>
      <c r="L956">
        <v>305</v>
      </c>
      <c r="M956" t="s">
        <v>5856</v>
      </c>
    </row>
    <row r="957" spans="1:13" x14ac:dyDescent="0.45">
      <c r="A957" t="s">
        <v>3601</v>
      </c>
      <c r="B957">
        <v>1003614</v>
      </c>
      <c r="C957">
        <v>1003814</v>
      </c>
      <c r="E957" t="s">
        <v>14</v>
      </c>
      <c r="F957" t="s">
        <v>45</v>
      </c>
      <c r="H957">
        <v>83704762</v>
      </c>
      <c r="I957" t="s">
        <v>17</v>
      </c>
      <c r="K957" t="s">
        <v>5857</v>
      </c>
      <c r="L957">
        <v>66</v>
      </c>
      <c r="M957" t="s">
        <v>5858</v>
      </c>
    </row>
    <row r="958" spans="1:13" x14ac:dyDescent="0.45">
      <c r="A958" t="s">
        <v>3601</v>
      </c>
      <c r="B958">
        <v>1003807</v>
      </c>
      <c r="C958">
        <v>1004604</v>
      </c>
      <c r="E958" t="s">
        <v>14</v>
      </c>
      <c r="F958" t="s">
        <v>5859</v>
      </c>
      <c r="H958">
        <v>83704763</v>
      </c>
      <c r="I958" t="s">
        <v>17</v>
      </c>
      <c r="K958" t="s">
        <v>5860</v>
      </c>
      <c r="L958">
        <v>265</v>
      </c>
      <c r="M958" t="s">
        <v>5861</v>
      </c>
    </row>
    <row r="959" spans="1:13" x14ac:dyDescent="0.45">
      <c r="A959" t="s">
        <v>3601</v>
      </c>
      <c r="B959">
        <v>1004782</v>
      </c>
      <c r="C959">
        <v>1005123</v>
      </c>
      <c r="E959" t="s">
        <v>14</v>
      </c>
      <c r="F959" t="s">
        <v>45</v>
      </c>
      <c r="H959">
        <v>83704764</v>
      </c>
      <c r="I959" t="s">
        <v>17</v>
      </c>
      <c r="K959" t="s">
        <v>5862</v>
      </c>
      <c r="L959">
        <v>113</v>
      </c>
      <c r="M959" t="s">
        <v>5863</v>
      </c>
    </row>
    <row r="960" spans="1:13" x14ac:dyDescent="0.45">
      <c r="A960" t="s">
        <v>3601</v>
      </c>
      <c r="B960">
        <v>1005120</v>
      </c>
      <c r="C960">
        <v>1005632</v>
      </c>
      <c r="E960" t="s">
        <v>14</v>
      </c>
      <c r="F960" t="s">
        <v>5864</v>
      </c>
      <c r="H960">
        <v>83704765</v>
      </c>
      <c r="I960" t="s">
        <v>17</v>
      </c>
      <c r="K960" t="s">
        <v>5865</v>
      </c>
      <c r="L960">
        <v>170</v>
      </c>
      <c r="M960" t="s">
        <v>5866</v>
      </c>
    </row>
    <row r="961" spans="1:13" x14ac:dyDescent="0.45">
      <c r="A961" t="s">
        <v>3601</v>
      </c>
      <c r="B961">
        <v>1005619</v>
      </c>
      <c r="C961">
        <v>1005813</v>
      </c>
      <c r="E961" t="s">
        <v>14</v>
      </c>
      <c r="F961" t="s">
        <v>45</v>
      </c>
      <c r="H961">
        <v>83705865</v>
      </c>
      <c r="I961" t="s">
        <v>17</v>
      </c>
      <c r="K961" t="s">
        <v>5867</v>
      </c>
      <c r="L961">
        <v>64</v>
      </c>
      <c r="M961" t="s">
        <v>5868</v>
      </c>
    </row>
    <row r="962" spans="1:13" x14ac:dyDescent="0.45">
      <c r="A962" t="s">
        <v>3601</v>
      </c>
      <c r="B962">
        <v>1005932</v>
      </c>
      <c r="C962">
        <v>1006513</v>
      </c>
      <c r="E962" t="s">
        <v>14</v>
      </c>
      <c r="F962" t="s">
        <v>5869</v>
      </c>
      <c r="H962">
        <v>83704766</v>
      </c>
      <c r="I962" t="s">
        <v>17</v>
      </c>
      <c r="K962" t="s">
        <v>5870</v>
      </c>
      <c r="L962">
        <v>193</v>
      </c>
      <c r="M962" t="s">
        <v>5871</v>
      </c>
    </row>
    <row r="963" spans="1:13" x14ac:dyDescent="0.45">
      <c r="A963" t="s">
        <v>3601</v>
      </c>
      <c r="B963">
        <v>1006510</v>
      </c>
      <c r="C963">
        <v>1006677</v>
      </c>
      <c r="E963" t="s">
        <v>14</v>
      </c>
      <c r="F963" t="s">
        <v>45</v>
      </c>
      <c r="H963">
        <v>83704767</v>
      </c>
      <c r="I963" t="s">
        <v>17</v>
      </c>
      <c r="K963" t="s">
        <v>5872</v>
      </c>
      <c r="L963">
        <v>55</v>
      </c>
      <c r="M963" t="s">
        <v>5873</v>
      </c>
    </row>
    <row r="964" spans="1:13" x14ac:dyDescent="0.45">
      <c r="A964" t="s">
        <v>3601</v>
      </c>
      <c r="B964">
        <v>1006674</v>
      </c>
      <c r="C964">
        <v>1007054</v>
      </c>
      <c r="E964" t="s">
        <v>14</v>
      </c>
      <c r="F964" t="s">
        <v>45</v>
      </c>
      <c r="H964">
        <v>83704768</v>
      </c>
      <c r="I964" t="s">
        <v>17</v>
      </c>
      <c r="K964" t="s">
        <v>5874</v>
      </c>
      <c r="L964">
        <v>126</v>
      </c>
      <c r="M964" t="s">
        <v>5875</v>
      </c>
    </row>
    <row r="965" spans="1:13" x14ac:dyDescent="0.45">
      <c r="A965" t="s">
        <v>3601</v>
      </c>
      <c r="B965">
        <v>1007246</v>
      </c>
      <c r="C965">
        <v>1007683</v>
      </c>
      <c r="E965" t="s">
        <v>14</v>
      </c>
      <c r="F965" t="s">
        <v>5876</v>
      </c>
      <c r="H965">
        <v>83704769</v>
      </c>
      <c r="I965" t="s">
        <v>17</v>
      </c>
      <c r="K965" t="s">
        <v>5877</v>
      </c>
      <c r="L965">
        <v>145</v>
      </c>
      <c r="M965" t="s">
        <v>5878</v>
      </c>
    </row>
    <row r="966" spans="1:13" x14ac:dyDescent="0.45">
      <c r="A966" t="s">
        <v>3601</v>
      </c>
      <c r="B966">
        <v>1007853</v>
      </c>
      <c r="C966">
        <v>1008086</v>
      </c>
      <c r="E966" t="s">
        <v>14</v>
      </c>
      <c r="F966" t="s">
        <v>5879</v>
      </c>
      <c r="G966" t="s">
        <v>5880</v>
      </c>
      <c r="H966">
        <v>83704770</v>
      </c>
      <c r="I966" t="s">
        <v>17</v>
      </c>
      <c r="K966" t="s">
        <v>5881</v>
      </c>
      <c r="L966">
        <v>77</v>
      </c>
      <c r="M966" t="s">
        <v>5882</v>
      </c>
    </row>
    <row r="967" spans="1:13" x14ac:dyDescent="0.45">
      <c r="A967" t="s">
        <v>3601</v>
      </c>
      <c r="B967">
        <v>1008083</v>
      </c>
      <c r="C967">
        <v>1008340</v>
      </c>
      <c r="E967" t="s">
        <v>14</v>
      </c>
      <c r="F967" t="s">
        <v>5883</v>
      </c>
      <c r="H967">
        <v>83704771</v>
      </c>
      <c r="I967" t="s">
        <v>17</v>
      </c>
      <c r="K967" t="s">
        <v>5884</v>
      </c>
      <c r="L967">
        <v>85</v>
      </c>
      <c r="M967" t="s">
        <v>5885</v>
      </c>
    </row>
    <row r="968" spans="1:13" x14ac:dyDescent="0.45">
      <c r="A968" t="s">
        <v>3601</v>
      </c>
      <c r="B968">
        <v>1008398</v>
      </c>
      <c r="C968">
        <v>1008751</v>
      </c>
      <c r="E968" t="s">
        <v>14</v>
      </c>
      <c r="F968" t="s">
        <v>5886</v>
      </c>
      <c r="H968">
        <v>83704772</v>
      </c>
      <c r="I968" t="s">
        <v>17</v>
      </c>
      <c r="K968" t="s">
        <v>5887</v>
      </c>
      <c r="L968">
        <v>117</v>
      </c>
      <c r="M968" t="s">
        <v>5888</v>
      </c>
    </row>
    <row r="969" spans="1:13" x14ac:dyDescent="0.45">
      <c r="A969" t="s">
        <v>3601</v>
      </c>
      <c r="B969">
        <v>1008741</v>
      </c>
      <c r="C969">
        <v>1010015</v>
      </c>
      <c r="E969" t="s">
        <v>14</v>
      </c>
      <c r="F969" t="s">
        <v>5889</v>
      </c>
      <c r="H969">
        <v>83704773</v>
      </c>
      <c r="I969" t="s">
        <v>17</v>
      </c>
      <c r="K969" t="s">
        <v>5890</v>
      </c>
      <c r="L969">
        <v>424</v>
      </c>
      <c r="M969" t="s">
        <v>5891</v>
      </c>
    </row>
    <row r="970" spans="1:13" x14ac:dyDescent="0.45">
      <c r="A970" t="s">
        <v>3601</v>
      </c>
      <c r="B970">
        <v>1010015</v>
      </c>
      <c r="C970">
        <v>1011316</v>
      </c>
      <c r="E970" t="s">
        <v>14</v>
      </c>
      <c r="F970" t="s">
        <v>404</v>
      </c>
      <c r="H970">
        <v>83704774</v>
      </c>
      <c r="I970" t="s">
        <v>17</v>
      </c>
      <c r="K970" t="s">
        <v>5892</v>
      </c>
      <c r="L970">
        <v>433</v>
      </c>
      <c r="M970" t="s">
        <v>5893</v>
      </c>
    </row>
    <row r="971" spans="1:13" x14ac:dyDescent="0.45">
      <c r="A971" t="s">
        <v>3601</v>
      </c>
      <c r="B971">
        <v>1011309</v>
      </c>
      <c r="C971">
        <v>1012217</v>
      </c>
      <c r="E971" t="s">
        <v>14</v>
      </c>
      <c r="F971" t="s">
        <v>5894</v>
      </c>
      <c r="H971">
        <v>83704775</v>
      </c>
      <c r="I971" t="s">
        <v>17</v>
      </c>
      <c r="K971" t="s">
        <v>5895</v>
      </c>
      <c r="L971">
        <v>302</v>
      </c>
      <c r="M971" t="s">
        <v>5896</v>
      </c>
    </row>
    <row r="972" spans="1:13" x14ac:dyDescent="0.45">
      <c r="A972" t="s">
        <v>3601</v>
      </c>
      <c r="B972">
        <v>1012545</v>
      </c>
      <c r="C972">
        <v>1013114</v>
      </c>
      <c r="E972" t="s">
        <v>14</v>
      </c>
      <c r="F972" t="s">
        <v>5897</v>
      </c>
      <c r="H972">
        <v>83704776</v>
      </c>
      <c r="I972" t="s">
        <v>17</v>
      </c>
      <c r="K972" t="s">
        <v>5898</v>
      </c>
      <c r="L972">
        <v>189</v>
      </c>
      <c r="M972" t="s">
        <v>5899</v>
      </c>
    </row>
    <row r="973" spans="1:13" x14ac:dyDescent="0.45">
      <c r="A973" t="s">
        <v>3601</v>
      </c>
      <c r="B973">
        <v>1013134</v>
      </c>
      <c r="C973">
        <v>1014024</v>
      </c>
      <c r="E973" t="s">
        <v>14</v>
      </c>
      <c r="F973" t="s">
        <v>612</v>
      </c>
      <c r="H973">
        <v>83704777</v>
      </c>
      <c r="I973" t="s">
        <v>17</v>
      </c>
      <c r="K973" t="s">
        <v>5900</v>
      </c>
      <c r="L973">
        <v>296</v>
      </c>
      <c r="M973" t="s">
        <v>5901</v>
      </c>
    </row>
    <row r="974" spans="1:13" x14ac:dyDescent="0.45">
      <c r="A974" t="s">
        <v>3601</v>
      </c>
      <c r="B974">
        <v>1014038</v>
      </c>
      <c r="C974">
        <v>1014331</v>
      </c>
      <c r="E974" t="s">
        <v>14</v>
      </c>
      <c r="F974" t="s">
        <v>5902</v>
      </c>
      <c r="H974">
        <v>83704778</v>
      </c>
      <c r="I974" t="s">
        <v>17</v>
      </c>
      <c r="K974" t="s">
        <v>5903</v>
      </c>
      <c r="L974">
        <v>97</v>
      </c>
      <c r="M974" t="s">
        <v>5904</v>
      </c>
    </row>
    <row r="975" spans="1:13" x14ac:dyDescent="0.45">
      <c r="A975" t="s">
        <v>3601</v>
      </c>
      <c r="B975">
        <v>1014345</v>
      </c>
      <c r="C975">
        <v>1014689</v>
      </c>
      <c r="E975" t="s">
        <v>14</v>
      </c>
      <c r="F975" t="s">
        <v>5905</v>
      </c>
      <c r="H975">
        <v>83704779</v>
      </c>
      <c r="I975" t="s">
        <v>17</v>
      </c>
      <c r="K975" t="s">
        <v>5906</v>
      </c>
      <c r="L975">
        <v>114</v>
      </c>
      <c r="M975" t="s">
        <v>5907</v>
      </c>
    </row>
    <row r="976" spans="1:13" x14ac:dyDescent="0.45">
      <c r="A976" t="s">
        <v>3601</v>
      </c>
      <c r="B976">
        <v>1014686</v>
      </c>
      <c r="C976">
        <v>1014997</v>
      </c>
      <c r="E976" t="s">
        <v>14</v>
      </c>
      <c r="F976" t="s">
        <v>45</v>
      </c>
      <c r="H976">
        <v>83704780</v>
      </c>
      <c r="I976" t="s">
        <v>17</v>
      </c>
      <c r="K976" t="s">
        <v>5908</v>
      </c>
      <c r="L976">
        <v>103</v>
      </c>
      <c r="M976" t="s">
        <v>5909</v>
      </c>
    </row>
    <row r="977" spans="1:13" x14ac:dyDescent="0.45">
      <c r="A977" t="s">
        <v>3601</v>
      </c>
      <c r="B977">
        <v>1014994</v>
      </c>
      <c r="C977">
        <v>1015389</v>
      </c>
      <c r="E977" t="s">
        <v>14</v>
      </c>
      <c r="F977" t="s">
        <v>45</v>
      </c>
      <c r="H977">
        <v>83704781</v>
      </c>
      <c r="I977" t="s">
        <v>17</v>
      </c>
      <c r="K977" t="s">
        <v>5910</v>
      </c>
      <c r="L977">
        <v>131</v>
      </c>
      <c r="M977" t="s">
        <v>5911</v>
      </c>
    </row>
    <row r="978" spans="1:13" x14ac:dyDescent="0.45">
      <c r="A978" t="s">
        <v>3601</v>
      </c>
      <c r="B978">
        <v>1015391</v>
      </c>
      <c r="C978">
        <v>1015801</v>
      </c>
      <c r="E978" t="s">
        <v>14</v>
      </c>
      <c r="F978" t="s">
        <v>5912</v>
      </c>
      <c r="H978">
        <v>83704782</v>
      </c>
      <c r="I978" t="s">
        <v>17</v>
      </c>
      <c r="K978" t="s">
        <v>5913</v>
      </c>
      <c r="L978">
        <v>136</v>
      </c>
      <c r="M978" t="s">
        <v>5914</v>
      </c>
    </row>
    <row r="979" spans="1:13" x14ac:dyDescent="0.45">
      <c r="A979" t="s">
        <v>3601</v>
      </c>
      <c r="B979">
        <v>1015814</v>
      </c>
      <c r="C979">
        <v>1016320</v>
      </c>
      <c r="E979" t="s">
        <v>14</v>
      </c>
      <c r="F979" t="s">
        <v>5915</v>
      </c>
      <c r="H979">
        <v>83704783</v>
      </c>
      <c r="I979" t="s">
        <v>17</v>
      </c>
      <c r="K979" t="s">
        <v>5916</v>
      </c>
      <c r="L979">
        <v>168</v>
      </c>
      <c r="M979" t="s">
        <v>5917</v>
      </c>
    </row>
    <row r="980" spans="1:13" x14ac:dyDescent="0.45">
      <c r="A980" t="s">
        <v>3601</v>
      </c>
      <c r="B980">
        <v>1016332</v>
      </c>
      <c r="C980">
        <v>1016649</v>
      </c>
      <c r="E980" t="s">
        <v>14</v>
      </c>
      <c r="F980" t="s">
        <v>45</v>
      </c>
      <c r="H980">
        <v>83704784</v>
      </c>
      <c r="I980" t="s">
        <v>17</v>
      </c>
      <c r="K980" t="s">
        <v>5918</v>
      </c>
      <c r="L980">
        <v>105</v>
      </c>
      <c r="M980" t="s">
        <v>5919</v>
      </c>
    </row>
    <row r="981" spans="1:13" x14ac:dyDescent="0.45">
      <c r="A981" t="s">
        <v>3601</v>
      </c>
      <c r="B981">
        <v>1016622</v>
      </c>
      <c r="C981">
        <v>1017080</v>
      </c>
      <c r="E981" t="s">
        <v>14</v>
      </c>
      <c r="F981" t="s">
        <v>45</v>
      </c>
      <c r="H981">
        <v>83704785</v>
      </c>
      <c r="I981" t="s">
        <v>17</v>
      </c>
      <c r="K981" t="s">
        <v>5920</v>
      </c>
      <c r="L981">
        <v>152</v>
      </c>
      <c r="M981" t="s">
        <v>5921</v>
      </c>
    </row>
    <row r="982" spans="1:13" x14ac:dyDescent="0.45">
      <c r="A982" t="s">
        <v>3601</v>
      </c>
      <c r="B982">
        <v>1017073</v>
      </c>
      <c r="C982">
        <v>1018878</v>
      </c>
      <c r="E982" t="s">
        <v>14</v>
      </c>
      <c r="F982" t="s">
        <v>5922</v>
      </c>
      <c r="H982">
        <v>83704786</v>
      </c>
      <c r="I982" t="s">
        <v>17</v>
      </c>
      <c r="K982" t="s">
        <v>5923</v>
      </c>
      <c r="L982">
        <v>601</v>
      </c>
      <c r="M982" t="s">
        <v>5924</v>
      </c>
    </row>
    <row r="983" spans="1:13" x14ac:dyDescent="0.45">
      <c r="A983" t="s">
        <v>3601</v>
      </c>
      <c r="B983">
        <v>1018879</v>
      </c>
      <c r="C983">
        <v>1020360</v>
      </c>
      <c r="E983" t="s">
        <v>14</v>
      </c>
      <c r="F983" t="s">
        <v>5925</v>
      </c>
      <c r="H983">
        <v>83704787</v>
      </c>
      <c r="I983" t="s">
        <v>17</v>
      </c>
      <c r="K983" t="s">
        <v>5926</v>
      </c>
      <c r="L983">
        <v>493</v>
      </c>
      <c r="M983" t="s">
        <v>5927</v>
      </c>
    </row>
    <row r="984" spans="1:13" x14ac:dyDescent="0.45">
      <c r="A984" t="s">
        <v>3601</v>
      </c>
      <c r="B984">
        <v>1020361</v>
      </c>
      <c r="C984">
        <v>1023792</v>
      </c>
      <c r="E984" t="s">
        <v>14</v>
      </c>
      <c r="F984" t="s">
        <v>5922</v>
      </c>
      <c r="H984">
        <v>83704788</v>
      </c>
      <c r="I984" t="s">
        <v>17</v>
      </c>
      <c r="K984" t="s">
        <v>5928</v>
      </c>
      <c r="L984">
        <v>1143</v>
      </c>
      <c r="M984" t="s">
        <v>5929</v>
      </c>
    </row>
    <row r="985" spans="1:13" x14ac:dyDescent="0.45">
      <c r="A985" t="s">
        <v>3601</v>
      </c>
      <c r="B985">
        <v>1023797</v>
      </c>
      <c r="C985">
        <v>1025653</v>
      </c>
      <c r="E985" t="s">
        <v>14</v>
      </c>
      <c r="F985" t="s">
        <v>5930</v>
      </c>
      <c r="H985">
        <v>83704789</v>
      </c>
      <c r="I985" t="s">
        <v>17</v>
      </c>
      <c r="K985" t="s">
        <v>5931</v>
      </c>
      <c r="L985">
        <v>618</v>
      </c>
      <c r="M985" t="s">
        <v>5932</v>
      </c>
    </row>
    <row r="986" spans="1:13" x14ac:dyDescent="0.45">
      <c r="A986" t="s">
        <v>3601</v>
      </c>
      <c r="B986">
        <v>1025664</v>
      </c>
      <c r="C986">
        <v>1026014</v>
      </c>
      <c r="E986" t="s">
        <v>14</v>
      </c>
      <c r="F986" t="s">
        <v>5933</v>
      </c>
      <c r="H986">
        <v>83704790</v>
      </c>
      <c r="I986" t="s">
        <v>17</v>
      </c>
      <c r="K986" t="s">
        <v>5934</v>
      </c>
      <c r="L986">
        <v>116</v>
      </c>
      <c r="M986" t="s">
        <v>5935</v>
      </c>
    </row>
    <row r="987" spans="1:13" x14ac:dyDescent="0.45">
      <c r="A987" t="s">
        <v>3601</v>
      </c>
      <c r="B987">
        <v>1026028</v>
      </c>
      <c r="C987">
        <v>1026150</v>
      </c>
      <c r="E987" t="s">
        <v>14</v>
      </c>
      <c r="F987" t="s">
        <v>45</v>
      </c>
      <c r="H987">
        <v>83705885</v>
      </c>
      <c r="I987" t="s">
        <v>17</v>
      </c>
      <c r="K987" t="s">
        <v>5936</v>
      </c>
      <c r="L987">
        <v>40</v>
      </c>
      <c r="M987" t="s">
        <v>5937</v>
      </c>
    </row>
    <row r="988" spans="1:13" x14ac:dyDescent="0.45">
      <c r="A988" t="s">
        <v>3601</v>
      </c>
      <c r="B988">
        <v>1026163</v>
      </c>
      <c r="C988">
        <v>1026462</v>
      </c>
      <c r="E988" t="s">
        <v>14</v>
      </c>
      <c r="F988" t="s">
        <v>45</v>
      </c>
      <c r="H988">
        <v>83704791</v>
      </c>
      <c r="I988" t="s">
        <v>17</v>
      </c>
      <c r="K988" t="s">
        <v>5938</v>
      </c>
      <c r="L988">
        <v>99</v>
      </c>
      <c r="M988" t="s">
        <v>5939</v>
      </c>
    </row>
    <row r="989" spans="1:13" x14ac:dyDescent="0.45">
      <c r="A989" t="s">
        <v>3601</v>
      </c>
      <c r="B989">
        <v>1026464</v>
      </c>
      <c r="C989">
        <v>1026799</v>
      </c>
      <c r="E989" t="s">
        <v>14</v>
      </c>
      <c r="F989" t="s">
        <v>5940</v>
      </c>
      <c r="H989">
        <v>83704792</v>
      </c>
      <c r="I989" t="s">
        <v>17</v>
      </c>
      <c r="K989" t="s">
        <v>5941</v>
      </c>
      <c r="L989">
        <v>111</v>
      </c>
      <c r="M989" t="s">
        <v>5942</v>
      </c>
    </row>
    <row r="990" spans="1:13" x14ac:dyDescent="0.45">
      <c r="A990" t="s">
        <v>3601</v>
      </c>
      <c r="B990">
        <v>1026801</v>
      </c>
      <c r="C990">
        <v>1027565</v>
      </c>
      <c r="E990" t="s">
        <v>14</v>
      </c>
      <c r="F990" t="s">
        <v>1038</v>
      </c>
      <c r="H990">
        <v>83704793</v>
      </c>
      <c r="I990" t="s">
        <v>17</v>
      </c>
      <c r="K990" t="s">
        <v>5943</v>
      </c>
      <c r="L990">
        <v>254</v>
      </c>
      <c r="M990" t="s">
        <v>5944</v>
      </c>
    </row>
    <row r="991" spans="1:13" x14ac:dyDescent="0.45">
      <c r="A991" t="s">
        <v>3601</v>
      </c>
      <c r="B991">
        <v>1027577</v>
      </c>
      <c r="C991">
        <v>1028179</v>
      </c>
      <c r="E991" t="s">
        <v>14</v>
      </c>
      <c r="F991" t="s">
        <v>45</v>
      </c>
      <c r="H991">
        <v>83704794</v>
      </c>
      <c r="I991" t="s">
        <v>17</v>
      </c>
      <c r="K991" t="s">
        <v>5945</v>
      </c>
      <c r="L991">
        <v>200</v>
      </c>
      <c r="M991" t="s">
        <v>5946</v>
      </c>
    </row>
    <row r="992" spans="1:13" x14ac:dyDescent="0.45">
      <c r="A992" t="s">
        <v>3601</v>
      </c>
      <c r="B992">
        <v>1028190</v>
      </c>
      <c r="C992">
        <v>1028963</v>
      </c>
      <c r="E992" t="s">
        <v>14</v>
      </c>
      <c r="F992" t="s">
        <v>45</v>
      </c>
      <c r="H992">
        <v>83704795</v>
      </c>
      <c r="I992" t="s">
        <v>17</v>
      </c>
      <c r="K992" t="s">
        <v>5947</v>
      </c>
      <c r="L992">
        <v>257</v>
      </c>
      <c r="M992" t="s">
        <v>5948</v>
      </c>
    </row>
    <row r="993" spans="1:13" x14ac:dyDescent="0.45">
      <c r="A993" t="s">
        <v>3601</v>
      </c>
      <c r="B993">
        <v>1028973</v>
      </c>
      <c r="C993">
        <v>1029404</v>
      </c>
      <c r="E993" t="s">
        <v>14</v>
      </c>
      <c r="F993" t="s">
        <v>5949</v>
      </c>
      <c r="H993">
        <v>83704796</v>
      </c>
      <c r="I993" t="s">
        <v>17</v>
      </c>
      <c r="K993" t="s">
        <v>5950</v>
      </c>
      <c r="L993">
        <v>143</v>
      </c>
      <c r="M993" t="s">
        <v>5951</v>
      </c>
    </row>
    <row r="994" spans="1:13" x14ac:dyDescent="0.45">
      <c r="A994" t="s">
        <v>3601</v>
      </c>
      <c r="B994">
        <v>1029406</v>
      </c>
      <c r="C994">
        <v>1030020</v>
      </c>
      <c r="E994" t="s">
        <v>14</v>
      </c>
      <c r="F994" t="s">
        <v>45</v>
      </c>
      <c r="H994">
        <v>83704797</v>
      </c>
      <c r="I994" t="s">
        <v>17</v>
      </c>
      <c r="K994" t="s">
        <v>5952</v>
      </c>
      <c r="L994">
        <v>204</v>
      </c>
      <c r="M994" t="s">
        <v>5953</v>
      </c>
    </row>
    <row r="995" spans="1:13" x14ac:dyDescent="0.45">
      <c r="A995" t="s">
        <v>3601</v>
      </c>
      <c r="B995">
        <v>1030220</v>
      </c>
      <c r="C995">
        <v>1031425</v>
      </c>
      <c r="E995" t="s">
        <v>14</v>
      </c>
      <c r="F995" t="s">
        <v>699</v>
      </c>
      <c r="H995">
        <v>83704798</v>
      </c>
      <c r="I995" t="s">
        <v>17</v>
      </c>
      <c r="K995" t="s">
        <v>5954</v>
      </c>
      <c r="L995">
        <v>401</v>
      </c>
      <c r="M995" t="s">
        <v>5955</v>
      </c>
    </row>
    <row r="996" spans="1:13" x14ac:dyDescent="0.45">
      <c r="A996" t="s">
        <v>3601</v>
      </c>
      <c r="B996">
        <v>1031941</v>
      </c>
      <c r="C996">
        <v>1032517</v>
      </c>
      <c r="E996" t="s">
        <v>14</v>
      </c>
      <c r="F996" t="s">
        <v>51</v>
      </c>
      <c r="H996">
        <v>83704799</v>
      </c>
      <c r="I996" t="s">
        <v>52</v>
      </c>
      <c r="M996" t="s">
        <v>5956</v>
      </c>
    </row>
    <row r="997" spans="1:13" x14ac:dyDescent="0.45">
      <c r="A997" t="s">
        <v>3601</v>
      </c>
      <c r="B997">
        <v>1032865</v>
      </c>
      <c r="C997">
        <v>1033053</v>
      </c>
      <c r="E997" t="s">
        <v>14</v>
      </c>
      <c r="F997" t="s">
        <v>5957</v>
      </c>
      <c r="H997">
        <v>83704800</v>
      </c>
      <c r="I997" t="s">
        <v>17</v>
      </c>
      <c r="K997" t="s">
        <v>5958</v>
      </c>
      <c r="L997">
        <v>62</v>
      </c>
      <c r="M997" t="s">
        <v>5959</v>
      </c>
    </row>
    <row r="998" spans="1:13" x14ac:dyDescent="0.45">
      <c r="A998" t="s">
        <v>3601</v>
      </c>
      <c r="B998">
        <v>1033206</v>
      </c>
      <c r="C998">
        <v>1033557</v>
      </c>
      <c r="E998" t="s">
        <v>42</v>
      </c>
      <c r="F998" t="s">
        <v>509</v>
      </c>
      <c r="G998" t="s">
        <v>510</v>
      </c>
      <c r="H998">
        <v>83704801</v>
      </c>
      <c r="I998" t="s">
        <v>287</v>
      </c>
      <c r="M998" t="s">
        <v>5960</v>
      </c>
    </row>
    <row r="999" spans="1:13" x14ac:dyDescent="0.45">
      <c r="A999" t="s">
        <v>3601</v>
      </c>
      <c r="B999">
        <v>1033648</v>
      </c>
      <c r="C999">
        <v>1034259</v>
      </c>
      <c r="E999" t="s">
        <v>14</v>
      </c>
      <c r="F999" t="s">
        <v>975</v>
      </c>
      <c r="H999">
        <v>83704802</v>
      </c>
      <c r="I999" t="s">
        <v>17</v>
      </c>
      <c r="K999" t="s">
        <v>5961</v>
      </c>
      <c r="L999">
        <v>203</v>
      </c>
      <c r="M999" t="s">
        <v>5962</v>
      </c>
    </row>
    <row r="1000" spans="1:13" x14ac:dyDescent="0.45">
      <c r="A1000" t="s">
        <v>3601</v>
      </c>
      <c r="B1000">
        <v>1034306</v>
      </c>
      <c r="C1000">
        <v>1035100</v>
      </c>
      <c r="E1000" t="s">
        <v>42</v>
      </c>
      <c r="F1000" t="s">
        <v>113</v>
      </c>
      <c r="H1000">
        <v>83704803</v>
      </c>
      <c r="I1000" t="s">
        <v>17</v>
      </c>
      <c r="K1000" t="s">
        <v>5963</v>
      </c>
      <c r="L1000">
        <v>264</v>
      </c>
      <c r="M1000" t="s">
        <v>5964</v>
      </c>
    </row>
    <row r="1001" spans="1:13" x14ac:dyDescent="0.45">
      <c r="A1001" t="s">
        <v>3601</v>
      </c>
      <c r="B1001">
        <v>1035110</v>
      </c>
      <c r="C1001">
        <v>1035808</v>
      </c>
      <c r="E1001" t="s">
        <v>42</v>
      </c>
      <c r="F1001" t="s">
        <v>72</v>
      </c>
      <c r="H1001">
        <v>83704804</v>
      </c>
      <c r="I1001" t="s">
        <v>17</v>
      </c>
      <c r="K1001" t="s">
        <v>5965</v>
      </c>
      <c r="L1001">
        <v>232</v>
      </c>
      <c r="M1001" t="s">
        <v>5966</v>
      </c>
    </row>
    <row r="1002" spans="1:13" x14ac:dyDescent="0.45">
      <c r="A1002" t="s">
        <v>3601</v>
      </c>
      <c r="B1002">
        <v>1035808</v>
      </c>
      <c r="C1002">
        <v>1036179</v>
      </c>
      <c r="E1002" t="s">
        <v>42</v>
      </c>
      <c r="F1002" t="s">
        <v>309</v>
      </c>
      <c r="H1002">
        <v>83704805</v>
      </c>
      <c r="I1002" t="s">
        <v>17</v>
      </c>
      <c r="K1002" t="s">
        <v>5967</v>
      </c>
      <c r="L1002">
        <v>123</v>
      </c>
      <c r="M1002" t="s">
        <v>5968</v>
      </c>
    </row>
    <row r="1003" spans="1:13" x14ac:dyDescent="0.45">
      <c r="A1003" t="s">
        <v>3601</v>
      </c>
      <c r="B1003">
        <v>1036421</v>
      </c>
      <c r="C1003">
        <v>1039531</v>
      </c>
      <c r="E1003" t="s">
        <v>14</v>
      </c>
      <c r="F1003" t="s">
        <v>645</v>
      </c>
      <c r="H1003">
        <v>83704806</v>
      </c>
      <c r="I1003" t="s">
        <v>17</v>
      </c>
      <c r="K1003" t="s">
        <v>5969</v>
      </c>
      <c r="L1003">
        <v>1036</v>
      </c>
      <c r="M1003" t="s">
        <v>5970</v>
      </c>
    </row>
    <row r="1004" spans="1:13" x14ac:dyDescent="0.45">
      <c r="A1004" t="s">
        <v>3601</v>
      </c>
      <c r="B1004">
        <v>1039611</v>
      </c>
      <c r="C1004">
        <v>1040624</v>
      </c>
      <c r="E1004" t="s">
        <v>14</v>
      </c>
      <c r="F1004" t="s">
        <v>646</v>
      </c>
      <c r="G1004" t="s">
        <v>647</v>
      </c>
      <c r="H1004">
        <v>83704807</v>
      </c>
      <c r="I1004" t="s">
        <v>17</v>
      </c>
      <c r="K1004" t="s">
        <v>5971</v>
      </c>
      <c r="L1004">
        <v>337</v>
      </c>
      <c r="M1004" t="s">
        <v>5972</v>
      </c>
    </row>
    <row r="1005" spans="1:13" x14ac:dyDescent="0.45">
      <c r="A1005" t="s">
        <v>3601</v>
      </c>
      <c r="B1005">
        <v>1040686</v>
      </c>
      <c r="C1005">
        <v>1042188</v>
      </c>
      <c r="E1005" t="s">
        <v>14</v>
      </c>
      <c r="F1005" t="s">
        <v>648</v>
      </c>
      <c r="G1005" t="s">
        <v>649</v>
      </c>
      <c r="H1005">
        <v>83704808</v>
      </c>
      <c r="I1005" t="s">
        <v>17</v>
      </c>
      <c r="K1005" t="s">
        <v>5973</v>
      </c>
      <c r="L1005">
        <v>500</v>
      </c>
      <c r="M1005" t="s">
        <v>5974</v>
      </c>
    </row>
    <row r="1006" spans="1:13" x14ac:dyDescent="0.45">
      <c r="A1006" t="s">
        <v>3601</v>
      </c>
      <c r="B1006">
        <v>1042317</v>
      </c>
      <c r="C1006">
        <v>1042874</v>
      </c>
      <c r="E1006" t="s">
        <v>14</v>
      </c>
      <c r="F1006" t="s">
        <v>1025</v>
      </c>
      <c r="G1006" t="s">
        <v>728</v>
      </c>
      <c r="H1006">
        <v>83704809</v>
      </c>
      <c r="I1006" t="s">
        <v>17</v>
      </c>
      <c r="K1006" t="s">
        <v>5975</v>
      </c>
      <c r="L1006">
        <v>185</v>
      </c>
      <c r="M1006" t="s">
        <v>5976</v>
      </c>
    </row>
    <row r="1007" spans="1:13" x14ac:dyDescent="0.45">
      <c r="A1007" t="s">
        <v>3601</v>
      </c>
      <c r="B1007">
        <v>1043051</v>
      </c>
      <c r="C1007">
        <v>1044862</v>
      </c>
      <c r="E1007" t="s">
        <v>14</v>
      </c>
      <c r="F1007" t="s">
        <v>375</v>
      </c>
      <c r="G1007" t="s">
        <v>376</v>
      </c>
      <c r="H1007">
        <v>83704810</v>
      </c>
      <c r="I1007" t="s">
        <v>17</v>
      </c>
      <c r="K1007" t="s">
        <v>5977</v>
      </c>
      <c r="L1007">
        <v>603</v>
      </c>
      <c r="M1007" t="s">
        <v>5978</v>
      </c>
    </row>
    <row r="1008" spans="1:13" x14ac:dyDescent="0.45">
      <c r="A1008" t="s">
        <v>3601</v>
      </c>
      <c r="B1008">
        <v>1045045</v>
      </c>
      <c r="C1008">
        <v>1045380</v>
      </c>
      <c r="E1008" t="s">
        <v>14</v>
      </c>
      <c r="F1008" t="s">
        <v>5979</v>
      </c>
      <c r="H1008">
        <v>83704811</v>
      </c>
      <c r="I1008" t="s">
        <v>17</v>
      </c>
      <c r="K1008" t="s">
        <v>5980</v>
      </c>
      <c r="L1008">
        <v>111</v>
      </c>
      <c r="M1008" t="s">
        <v>5981</v>
      </c>
    </row>
    <row r="1009" spans="1:13" x14ac:dyDescent="0.45">
      <c r="A1009" t="s">
        <v>3601</v>
      </c>
      <c r="B1009">
        <v>1045487</v>
      </c>
      <c r="C1009">
        <v>1046128</v>
      </c>
      <c r="E1009" t="s">
        <v>14</v>
      </c>
      <c r="F1009" t="s">
        <v>411</v>
      </c>
      <c r="H1009">
        <v>83704812</v>
      </c>
      <c r="I1009" t="s">
        <v>17</v>
      </c>
      <c r="K1009" t="s">
        <v>5982</v>
      </c>
      <c r="L1009">
        <v>213</v>
      </c>
      <c r="M1009" t="s">
        <v>5983</v>
      </c>
    </row>
    <row r="1010" spans="1:13" x14ac:dyDescent="0.45">
      <c r="A1010" t="s">
        <v>3601</v>
      </c>
      <c r="B1010">
        <v>1046138</v>
      </c>
      <c r="C1010">
        <v>1046767</v>
      </c>
      <c r="E1010" t="s">
        <v>14</v>
      </c>
      <c r="F1010" t="s">
        <v>86</v>
      </c>
      <c r="H1010">
        <v>83704813</v>
      </c>
      <c r="I1010" t="s">
        <v>17</v>
      </c>
      <c r="K1010" t="s">
        <v>5984</v>
      </c>
      <c r="L1010">
        <v>209</v>
      </c>
      <c r="M1010" t="s">
        <v>5985</v>
      </c>
    </row>
    <row r="1011" spans="1:13" x14ac:dyDescent="0.45">
      <c r="A1011" t="s">
        <v>3601</v>
      </c>
      <c r="B1011">
        <v>1046784</v>
      </c>
      <c r="C1011">
        <v>1047620</v>
      </c>
      <c r="E1011" t="s">
        <v>14</v>
      </c>
      <c r="F1011" t="s">
        <v>983</v>
      </c>
      <c r="H1011">
        <v>83704814</v>
      </c>
      <c r="I1011" t="s">
        <v>17</v>
      </c>
      <c r="K1011" t="s">
        <v>5986</v>
      </c>
      <c r="L1011">
        <v>278</v>
      </c>
      <c r="M1011" t="s">
        <v>5987</v>
      </c>
    </row>
    <row r="1012" spans="1:13" x14ac:dyDescent="0.45">
      <c r="A1012" t="s">
        <v>3601</v>
      </c>
      <c r="B1012">
        <v>1047737</v>
      </c>
      <c r="C1012">
        <v>1048975</v>
      </c>
      <c r="E1012" t="s">
        <v>42</v>
      </c>
      <c r="F1012" t="s">
        <v>247</v>
      </c>
      <c r="H1012">
        <v>83704815</v>
      </c>
      <c r="I1012" t="s">
        <v>17</v>
      </c>
      <c r="K1012" t="s">
        <v>5988</v>
      </c>
      <c r="L1012">
        <v>412</v>
      </c>
      <c r="M1012" t="s">
        <v>5989</v>
      </c>
    </row>
    <row r="1013" spans="1:13" x14ac:dyDescent="0.45">
      <c r="A1013" t="s">
        <v>3601</v>
      </c>
      <c r="B1013">
        <v>1049078</v>
      </c>
      <c r="C1013">
        <v>1050412</v>
      </c>
      <c r="E1013" t="s">
        <v>42</v>
      </c>
      <c r="F1013" t="s">
        <v>5990</v>
      </c>
      <c r="H1013">
        <v>83704816</v>
      </c>
      <c r="I1013" t="s">
        <v>17</v>
      </c>
      <c r="K1013" t="s">
        <v>5991</v>
      </c>
      <c r="L1013">
        <v>444</v>
      </c>
      <c r="M1013" t="s">
        <v>5992</v>
      </c>
    </row>
    <row r="1014" spans="1:13" x14ac:dyDescent="0.45">
      <c r="A1014" t="s">
        <v>3601</v>
      </c>
      <c r="B1014">
        <v>1050873</v>
      </c>
      <c r="C1014">
        <v>1052270</v>
      </c>
      <c r="E1014" t="s">
        <v>42</v>
      </c>
      <c r="F1014" t="s">
        <v>5267</v>
      </c>
      <c r="H1014">
        <v>83704817</v>
      </c>
      <c r="I1014" t="s">
        <v>17</v>
      </c>
      <c r="K1014" t="s">
        <v>5993</v>
      </c>
      <c r="L1014">
        <v>465</v>
      </c>
      <c r="M1014" t="s">
        <v>5994</v>
      </c>
    </row>
    <row r="1015" spans="1:13" x14ac:dyDescent="0.45">
      <c r="A1015" t="s">
        <v>3601</v>
      </c>
      <c r="B1015">
        <v>1052464</v>
      </c>
      <c r="C1015">
        <v>1054755</v>
      </c>
      <c r="E1015" t="s">
        <v>14</v>
      </c>
      <c r="F1015" t="s">
        <v>389</v>
      </c>
      <c r="G1015" t="s">
        <v>390</v>
      </c>
      <c r="H1015">
        <v>83704818</v>
      </c>
      <c r="I1015" t="s">
        <v>17</v>
      </c>
      <c r="K1015" t="s">
        <v>5995</v>
      </c>
      <c r="L1015">
        <v>763</v>
      </c>
      <c r="M1015" t="s">
        <v>5996</v>
      </c>
    </row>
    <row r="1016" spans="1:13" x14ac:dyDescent="0.45">
      <c r="A1016" t="s">
        <v>3601</v>
      </c>
      <c r="B1016">
        <v>1055166</v>
      </c>
      <c r="C1016">
        <v>1055411</v>
      </c>
      <c r="E1016" t="s">
        <v>14</v>
      </c>
      <c r="F1016" t="s">
        <v>41</v>
      </c>
      <c r="H1016">
        <v>83704819</v>
      </c>
      <c r="I1016" t="s">
        <v>17</v>
      </c>
      <c r="K1016" t="s">
        <v>5997</v>
      </c>
      <c r="L1016">
        <v>81</v>
      </c>
      <c r="M1016" t="s">
        <v>5998</v>
      </c>
    </row>
    <row r="1017" spans="1:13" x14ac:dyDescent="0.45">
      <c r="A1017" t="s">
        <v>3601</v>
      </c>
      <c r="B1017">
        <v>1055459</v>
      </c>
      <c r="C1017">
        <v>1056040</v>
      </c>
      <c r="E1017" t="s">
        <v>14</v>
      </c>
      <c r="F1017" t="s">
        <v>5999</v>
      </c>
      <c r="G1017" t="s">
        <v>6000</v>
      </c>
      <c r="H1017">
        <v>83704820</v>
      </c>
      <c r="I1017" t="s">
        <v>17</v>
      </c>
      <c r="K1017" t="s">
        <v>6001</v>
      </c>
      <c r="L1017">
        <v>193</v>
      </c>
      <c r="M1017" t="s">
        <v>6002</v>
      </c>
    </row>
    <row r="1018" spans="1:13" x14ac:dyDescent="0.45">
      <c r="A1018" t="s">
        <v>3601</v>
      </c>
      <c r="B1018">
        <v>1056050</v>
      </c>
      <c r="C1018">
        <v>1056238</v>
      </c>
      <c r="E1018" t="s">
        <v>14</v>
      </c>
      <c r="F1018" t="s">
        <v>6003</v>
      </c>
      <c r="H1018">
        <v>83704821</v>
      </c>
      <c r="I1018" t="s">
        <v>17</v>
      </c>
      <c r="K1018" t="s">
        <v>6004</v>
      </c>
      <c r="L1018">
        <v>62</v>
      </c>
      <c r="M1018" t="s">
        <v>6005</v>
      </c>
    </row>
    <row r="1019" spans="1:13" x14ac:dyDescent="0.45">
      <c r="A1019" t="s">
        <v>3601</v>
      </c>
      <c r="B1019">
        <v>1056251</v>
      </c>
      <c r="C1019">
        <v>1056790</v>
      </c>
      <c r="E1019" t="s">
        <v>14</v>
      </c>
      <c r="F1019" t="s">
        <v>824</v>
      </c>
      <c r="H1019">
        <v>83704822</v>
      </c>
      <c r="I1019" t="s">
        <v>17</v>
      </c>
      <c r="K1019" t="s">
        <v>6006</v>
      </c>
      <c r="L1019">
        <v>179</v>
      </c>
      <c r="M1019" t="s">
        <v>6007</v>
      </c>
    </row>
    <row r="1020" spans="1:13" x14ac:dyDescent="0.45">
      <c r="A1020" t="s">
        <v>3601</v>
      </c>
      <c r="B1020">
        <v>1056828</v>
      </c>
      <c r="C1020">
        <v>1057025</v>
      </c>
      <c r="E1020" t="s">
        <v>14</v>
      </c>
      <c r="F1020" t="s">
        <v>40</v>
      </c>
      <c r="H1020">
        <v>83704823</v>
      </c>
      <c r="I1020" t="s">
        <v>17</v>
      </c>
      <c r="K1020" t="s">
        <v>6008</v>
      </c>
      <c r="L1020">
        <v>65</v>
      </c>
      <c r="M1020" t="s">
        <v>6009</v>
      </c>
    </row>
    <row r="1021" spans="1:13" x14ac:dyDescent="0.45">
      <c r="A1021" t="s">
        <v>3601</v>
      </c>
      <c r="B1021">
        <v>1057035</v>
      </c>
      <c r="C1021">
        <v>1057523</v>
      </c>
      <c r="E1021" t="s">
        <v>14</v>
      </c>
      <c r="F1021" t="s">
        <v>824</v>
      </c>
      <c r="H1021">
        <v>83704824</v>
      </c>
      <c r="I1021" t="s">
        <v>17</v>
      </c>
      <c r="K1021" t="s">
        <v>6010</v>
      </c>
      <c r="L1021">
        <v>162</v>
      </c>
      <c r="M1021" t="s">
        <v>6011</v>
      </c>
    </row>
    <row r="1022" spans="1:13" x14ac:dyDescent="0.45">
      <c r="A1022" t="s">
        <v>3601</v>
      </c>
      <c r="B1022">
        <v>1057670</v>
      </c>
      <c r="C1022">
        <v>1059067</v>
      </c>
      <c r="E1022" t="s">
        <v>42</v>
      </c>
      <c r="F1022" t="s">
        <v>5267</v>
      </c>
      <c r="H1022">
        <v>83704825</v>
      </c>
      <c r="I1022" t="s">
        <v>17</v>
      </c>
      <c r="K1022" t="s">
        <v>5268</v>
      </c>
      <c r="L1022">
        <v>465</v>
      </c>
      <c r="M1022" t="s">
        <v>6012</v>
      </c>
    </row>
    <row r="1023" spans="1:13" x14ac:dyDescent="0.45">
      <c r="A1023" t="s">
        <v>3601</v>
      </c>
      <c r="B1023">
        <v>1059251</v>
      </c>
      <c r="C1023">
        <v>1059892</v>
      </c>
      <c r="E1023" t="s">
        <v>14</v>
      </c>
      <c r="F1023" t="s">
        <v>6013</v>
      </c>
      <c r="H1023">
        <v>83704826</v>
      </c>
      <c r="I1023" t="s">
        <v>17</v>
      </c>
      <c r="K1023" t="s">
        <v>6014</v>
      </c>
      <c r="L1023">
        <v>213</v>
      </c>
      <c r="M1023" t="s">
        <v>6015</v>
      </c>
    </row>
    <row r="1024" spans="1:13" x14ac:dyDescent="0.45">
      <c r="A1024" t="s">
        <v>3601</v>
      </c>
      <c r="B1024">
        <v>1060009</v>
      </c>
      <c r="C1024">
        <v>1060557</v>
      </c>
      <c r="E1024" t="s">
        <v>42</v>
      </c>
      <c r="F1024" t="s">
        <v>94</v>
      </c>
      <c r="H1024">
        <v>83704827</v>
      </c>
      <c r="I1024" t="s">
        <v>17</v>
      </c>
      <c r="K1024" t="s">
        <v>6016</v>
      </c>
      <c r="L1024">
        <v>182</v>
      </c>
      <c r="M1024" t="s">
        <v>6017</v>
      </c>
    </row>
    <row r="1025" spans="1:13" x14ac:dyDescent="0.45">
      <c r="A1025" t="s">
        <v>3601</v>
      </c>
      <c r="B1025">
        <v>1060680</v>
      </c>
      <c r="C1025">
        <v>1061381</v>
      </c>
      <c r="E1025" t="s">
        <v>14</v>
      </c>
      <c r="F1025" t="s">
        <v>72</v>
      </c>
      <c r="H1025">
        <v>83704828</v>
      </c>
      <c r="I1025" t="s">
        <v>17</v>
      </c>
      <c r="K1025" t="s">
        <v>6018</v>
      </c>
      <c r="L1025">
        <v>233</v>
      </c>
      <c r="M1025" t="s">
        <v>6019</v>
      </c>
    </row>
    <row r="1026" spans="1:13" x14ac:dyDescent="0.45">
      <c r="A1026" t="s">
        <v>3601</v>
      </c>
      <c r="B1026">
        <v>1061393</v>
      </c>
      <c r="C1026">
        <v>1064032</v>
      </c>
      <c r="E1026" t="s">
        <v>14</v>
      </c>
      <c r="F1026" t="s">
        <v>113</v>
      </c>
      <c r="H1026">
        <v>83704829</v>
      </c>
      <c r="I1026" t="s">
        <v>17</v>
      </c>
      <c r="K1026" t="s">
        <v>6020</v>
      </c>
      <c r="L1026">
        <v>879</v>
      </c>
      <c r="M1026" t="s">
        <v>6021</v>
      </c>
    </row>
    <row r="1027" spans="1:13" x14ac:dyDescent="0.45">
      <c r="A1027" t="s">
        <v>3601</v>
      </c>
      <c r="B1027">
        <v>1064108</v>
      </c>
      <c r="C1027">
        <v>1064704</v>
      </c>
      <c r="E1027" t="s">
        <v>14</v>
      </c>
      <c r="F1027" t="s">
        <v>6022</v>
      </c>
      <c r="H1027">
        <v>83704830</v>
      </c>
      <c r="I1027" t="s">
        <v>17</v>
      </c>
      <c r="K1027" t="s">
        <v>6023</v>
      </c>
      <c r="L1027">
        <v>198</v>
      </c>
      <c r="M1027" t="s">
        <v>6024</v>
      </c>
    </row>
    <row r="1028" spans="1:13" x14ac:dyDescent="0.45">
      <c r="A1028" t="s">
        <v>3601</v>
      </c>
      <c r="B1028">
        <v>1064714</v>
      </c>
      <c r="C1028">
        <v>1065676</v>
      </c>
      <c r="E1028" t="s">
        <v>14</v>
      </c>
      <c r="F1028" t="s">
        <v>6025</v>
      </c>
      <c r="H1028">
        <v>83704831</v>
      </c>
      <c r="I1028" t="s">
        <v>17</v>
      </c>
      <c r="K1028" t="s">
        <v>6026</v>
      </c>
      <c r="L1028">
        <v>320</v>
      </c>
      <c r="M1028" t="s">
        <v>6027</v>
      </c>
    </row>
    <row r="1029" spans="1:13" x14ac:dyDescent="0.45">
      <c r="A1029" t="s">
        <v>3601</v>
      </c>
      <c r="B1029">
        <v>1065773</v>
      </c>
      <c r="C1029">
        <v>1067110</v>
      </c>
      <c r="E1029" t="s">
        <v>14</v>
      </c>
      <c r="F1029" t="s">
        <v>6028</v>
      </c>
      <c r="H1029">
        <v>83704832</v>
      </c>
      <c r="I1029" t="s">
        <v>17</v>
      </c>
      <c r="K1029" t="s">
        <v>6029</v>
      </c>
      <c r="L1029">
        <v>445</v>
      </c>
      <c r="M1029" t="s">
        <v>6030</v>
      </c>
    </row>
    <row r="1030" spans="1:13" x14ac:dyDescent="0.45">
      <c r="A1030" t="s">
        <v>3601</v>
      </c>
      <c r="B1030">
        <v>1067219</v>
      </c>
      <c r="C1030">
        <v>1068100</v>
      </c>
      <c r="E1030" t="s">
        <v>14</v>
      </c>
      <c r="F1030" t="s">
        <v>777</v>
      </c>
      <c r="G1030" t="s">
        <v>778</v>
      </c>
      <c r="H1030">
        <v>83704833</v>
      </c>
      <c r="I1030" t="s">
        <v>17</v>
      </c>
      <c r="K1030" t="s">
        <v>6031</v>
      </c>
      <c r="L1030">
        <v>293</v>
      </c>
      <c r="M1030" t="s">
        <v>6032</v>
      </c>
    </row>
    <row r="1031" spans="1:13" x14ac:dyDescent="0.45">
      <c r="A1031" t="s">
        <v>3601</v>
      </c>
      <c r="B1031">
        <v>1068114</v>
      </c>
      <c r="C1031">
        <v>1069046</v>
      </c>
      <c r="E1031" t="s">
        <v>14</v>
      </c>
      <c r="F1031" t="s">
        <v>6033</v>
      </c>
      <c r="H1031">
        <v>83704834</v>
      </c>
      <c r="I1031" t="s">
        <v>17</v>
      </c>
      <c r="K1031" t="s">
        <v>6034</v>
      </c>
      <c r="L1031">
        <v>310</v>
      </c>
      <c r="M1031" t="s">
        <v>6035</v>
      </c>
    </row>
    <row r="1032" spans="1:13" x14ac:dyDescent="0.45">
      <c r="A1032" t="s">
        <v>3601</v>
      </c>
      <c r="B1032">
        <v>1069089</v>
      </c>
      <c r="C1032">
        <v>1069493</v>
      </c>
      <c r="E1032" t="s">
        <v>14</v>
      </c>
      <c r="F1032" t="s">
        <v>6036</v>
      </c>
      <c r="H1032">
        <v>83704835</v>
      </c>
      <c r="I1032" t="s">
        <v>17</v>
      </c>
      <c r="K1032" t="s">
        <v>6037</v>
      </c>
      <c r="L1032">
        <v>134</v>
      </c>
      <c r="M1032" t="s">
        <v>6038</v>
      </c>
    </row>
    <row r="1033" spans="1:13" x14ac:dyDescent="0.45">
      <c r="A1033" t="s">
        <v>3601</v>
      </c>
      <c r="B1033">
        <v>1069495</v>
      </c>
      <c r="C1033">
        <v>1069773</v>
      </c>
      <c r="E1033" t="s">
        <v>14</v>
      </c>
      <c r="F1033" t="s">
        <v>6039</v>
      </c>
      <c r="H1033">
        <v>83704836</v>
      </c>
      <c r="I1033" t="s">
        <v>17</v>
      </c>
      <c r="K1033" t="s">
        <v>6040</v>
      </c>
      <c r="L1033">
        <v>92</v>
      </c>
      <c r="M1033" t="s">
        <v>6041</v>
      </c>
    </row>
    <row r="1034" spans="1:13" x14ac:dyDescent="0.45">
      <c r="A1034" t="s">
        <v>3601</v>
      </c>
      <c r="B1034">
        <v>1069763</v>
      </c>
      <c r="C1034">
        <v>1070539</v>
      </c>
      <c r="E1034" t="s">
        <v>14</v>
      </c>
      <c r="F1034" t="s">
        <v>6042</v>
      </c>
      <c r="H1034">
        <v>83704837</v>
      </c>
      <c r="I1034" t="s">
        <v>17</v>
      </c>
      <c r="K1034" t="s">
        <v>6043</v>
      </c>
      <c r="L1034">
        <v>258</v>
      </c>
      <c r="M1034" t="s">
        <v>6044</v>
      </c>
    </row>
    <row r="1035" spans="1:13" x14ac:dyDescent="0.45">
      <c r="A1035" t="s">
        <v>3601</v>
      </c>
      <c r="B1035">
        <v>1070556</v>
      </c>
      <c r="C1035">
        <v>1071863</v>
      </c>
      <c r="E1035" t="s">
        <v>14</v>
      </c>
      <c r="F1035" t="s">
        <v>727</v>
      </c>
      <c r="H1035">
        <v>83704838</v>
      </c>
      <c r="I1035" t="s">
        <v>17</v>
      </c>
      <c r="K1035" t="s">
        <v>6045</v>
      </c>
      <c r="L1035">
        <v>435</v>
      </c>
      <c r="M1035" t="s">
        <v>6046</v>
      </c>
    </row>
    <row r="1036" spans="1:13" x14ac:dyDescent="0.45">
      <c r="A1036" t="s">
        <v>3601</v>
      </c>
      <c r="B1036">
        <v>1072001</v>
      </c>
      <c r="C1036">
        <v>1072867</v>
      </c>
      <c r="E1036" t="s">
        <v>14</v>
      </c>
      <c r="F1036" t="s">
        <v>6047</v>
      </c>
      <c r="H1036">
        <v>83704839</v>
      </c>
      <c r="I1036" t="s">
        <v>17</v>
      </c>
      <c r="K1036" t="s">
        <v>6048</v>
      </c>
      <c r="L1036">
        <v>288</v>
      </c>
      <c r="M1036" t="s">
        <v>6049</v>
      </c>
    </row>
    <row r="1037" spans="1:13" x14ac:dyDescent="0.45">
      <c r="A1037" t="s">
        <v>3601</v>
      </c>
      <c r="B1037">
        <v>1072878</v>
      </c>
      <c r="C1037">
        <v>1073813</v>
      </c>
      <c r="E1037" t="s">
        <v>14</v>
      </c>
      <c r="F1037" t="s">
        <v>271</v>
      </c>
      <c r="G1037" t="s">
        <v>272</v>
      </c>
      <c r="H1037">
        <v>83704840</v>
      </c>
      <c r="I1037" t="s">
        <v>17</v>
      </c>
      <c r="K1037" t="s">
        <v>6050</v>
      </c>
      <c r="L1037">
        <v>311</v>
      </c>
      <c r="M1037" t="s">
        <v>6051</v>
      </c>
    </row>
    <row r="1038" spans="1:13" x14ac:dyDescent="0.45">
      <c r="A1038" t="s">
        <v>3601</v>
      </c>
      <c r="B1038">
        <v>1073803</v>
      </c>
      <c r="C1038">
        <v>1074690</v>
      </c>
      <c r="E1038" t="s">
        <v>14</v>
      </c>
      <c r="F1038" t="s">
        <v>273</v>
      </c>
      <c r="G1038" t="s">
        <v>274</v>
      </c>
      <c r="H1038">
        <v>83704841</v>
      </c>
      <c r="I1038" t="s">
        <v>17</v>
      </c>
      <c r="K1038" t="s">
        <v>6052</v>
      </c>
      <c r="L1038">
        <v>295</v>
      </c>
      <c r="M1038" t="s">
        <v>6053</v>
      </c>
    </row>
    <row r="1039" spans="1:13" x14ac:dyDescent="0.45">
      <c r="A1039" t="s">
        <v>3601</v>
      </c>
      <c r="B1039">
        <v>1074707</v>
      </c>
      <c r="C1039">
        <v>1075510</v>
      </c>
      <c r="E1039" t="s">
        <v>14</v>
      </c>
      <c r="F1039" t="s">
        <v>275</v>
      </c>
      <c r="G1039" t="s">
        <v>276</v>
      </c>
      <c r="H1039">
        <v>83704842</v>
      </c>
      <c r="I1039" t="s">
        <v>17</v>
      </c>
      <c r="K1039" t="s">
        <v>6054</v>
      </c>
      <c r="L1039">
        <v>267</v>
      </c>
      <c r="M1039" t="s">
        <v>6055</v>
      </c>
    </row>
    <row r="1040" spans="1:13" x14ac:dyDescent="0.45">
      <c r="A1040" t="s">
        <v>3601</v>
      </c>
      <c r="B1040">
        <v>1075524</v>
      </c>
      <c r="C1040">
        <v>1076282</v>
      </c>
      <c r="E1040" t="s">
        <v>14</v>
      </c>
      <c r="F1040" t="s">
        <v>275</v>
      </c>
      <c r="G1040" t="s">
        <v>276</v>
      </c>
      <c r="H1040">
        <v>83704843</v>
      </c>
      <c r="I1040" t="s">
        <v>17</v>
      </c>
      <c r="K1040" t="s">
        <v>6056</v>
      </c>
      <c r="L1040">
        <v>252</v>
      </c>
      <c r="M1040" t="s">
        <v>6057</v>
      </c>
    </row>
    <row r="1041" spans="1:13" x14ac:dyDescent="0.45">
      <c r="A1041" t="s">
        <v>3601</v>
      </c>
      <c r="B1041">
        <v>1076353</v>
      </c>
      <c r="C1041">
        <v>1077006</v>
      </c>
      <c r="E1041" t="s">
        <v>14</v>
      </c>
      <c r="F1041" t="s">
        <v>277</v>
      </c>
      <c r="G1041" t="s">
        <v>278</v>
      </c>
      <c r="H1041">
        <v>83704844</v>
      </c>
      <c r="I1041" t="s">
        <v>17</v>
      </c>
      <c r="K1041" t="s">
        <v>6058</v>
      </c>
      <c r="L1041">
        <v>217</v>
      </c>
      <c r="M1041" t="s">
        <v>6059</v>
      </c>
    </row>
    <row r="1042" spans="1:13" x14ac:dyDescent="0.45">
      <c r="A1042" t="s">
        <v>3601</v>
      </c>
      <c r="B1042">
        <v>1077240</v>
      </c>
      <c r="C1042">
        <v>1079777</v>
      </c>
      <c r="E1042" t="s">
        <v>14</v>
      </c>
      <c r="F1042" t="s">
        <v>954</v>
      </c>
      <c r="H1042">
        <v>83704845</v>
      </c>
      <c r="I1042" t="s">
        <v>17</v>
      </c>
      <c r="K1042" t="s">
        <v>6060</v>
      </c>
      <c r="L1042">
        <v>845</v>
      </c>
      <c r="M1042" t="s">
        <v>6061</v>
      </c>
    </row>
    <row r="1043" spans="1:13" x14ac:dyDescent="0.45">
      <c r="A1043" t="s">
        <v>3601</v>
      </c>
      <c r="B1043">
        <v>1080198</v>
      </c>
      <c r="C1043">
        <v>1080872</v>
      </c>
      <c r="E1043" t="s">
        <v>14</v>
      </c>
      <c r="F1043" t="s">
        <v>511</v>
      </c>
      <c r="H1043">
        <v>83704846</v>
      </c>
      <c r="I1043" t="s">
        <v>17</v>
      </c>
      <c r="K1043" t="s">
        <v>6062</v>
      </c>
      <c r="L1043">
        <v>224</v>
      </c>
      <c r="M1043" t="s">
        <v>6063</v>
      </c>
    </row>
    <row r="1044" spans="1:13" x14ac:dyDescent="0.45">
      <c r="A1044" t="s">
        <v>3601</v>
      </c>
      <c r="B1044">
        <v>1080865</v>
      </c>
      <c r="C1044">
        <v>1082175</v>
      </c>
      <c r="E1044" t="s">
        <v>14</v>
      </c>
      <c r="F1044" t="s">
        <v>4437</v>
      </c>
      <c r="H1044">
        <v>83704847</v>
      </c>
      <c r="I1044" t="s">
        <v>17</v>
      </c>
      <c r="K1044" t="s">
        <v>6064</v>
      </c>
      <c r="L1044">
        <v>436</v>
      </c>
      <c r="M1044" t="s">
        <v>6065</v>
      </c>
    </row>
    <row r="1045" spans="1:13" x14ac:dyDescent="0.45">
      <c r="A1045" t="s">
        <v>3601</v>
      </c>
      <c r="B1045">
        <v>1082559</v>
      </c>
      <c r="C1045">
        <v>1082987</v>
      </c>
      <c r="E1045" t="s">
        <v>14</v>
      </c>
      <c r="F1045" t="s">
        <v>45</v>
      </c>
      <c r="H1045">
        <v>83704848</v>
      </c>
      <c r="I1045" t="s">
        <v>17</v>
      </c>
      <c r="K1045" t="s">
        <v>6066</v>
      </c>
      <c r="L1045">
        <v>142</v>
      </c>
      <c r="M1045" t="s">
        <v>6067</v>
      </c>
    </row>
    <row r="1046" spans="1:13" x14ac:dyDescent="0.45">
      <c r="A1046" t="s">
        <v>3601</v>
      </c>
      <c r="B1046">
        <v>1083214</v>
      </c>
      <c r="C1046">
        <v>1083609</v>
      </c>
      <c r="E1046" t="s">
        <v>14</v>
      </c>
      <c r="F1046" t="s">
        <v>6068</v>
      </c>
      <c r="H1046">
        <v>83704849</v>
      </c>
      <c r="I1046" t="s">
        <v>17</v>
      </c>
      <c r="K1046" t="s">
        <v>6069</v>
      </c>
      <c r="L1046">
        <v>131</v>
      </c>
      <c r="M1046" t="s">
        <v>6070</v>
      </c>
    </row>
    <row r="1047" spans="1:13" x14ac:dyDescent="0.45">
      <c r="A1047" t="s">
        <v>3601</v>
      </c>
      <c r="B1047">
        <v>1083609</v>
      </c>
      <c r="C1047">
        <v>1083854</v>
      </c>
      <c r="E1047" t="s">
        <v>14</v>
      </c>
      <c r="F1047" t="s">
        <v>45</v>
      </c>
      <c r="H1047">
        <v>83704850</v>
      </c>
      <c r="I1047" t="s">
        <v>17</v>
      </c>
      <c r="K1047" t="s">
        <v>6071</v>
      </c>
      <c r="L1047">
        <v>81</v>
      </c>
      <c r="M1047" t="s">
        <v>6072</v>
      </c>
    </row>
    <row r="1048" spans="1:13" x14ac:dyDescent="0.45">
      <c r="A1048" t="s">
        <v>3601</v>
      </c>
      <c r="B1048">
        <v>1083873</v>
      </c>
      <c r="C1048">
        <v>1084271</v>
      </c>
      <c r="E1048" t="s">
        <v>14</v>
      </c>
      <c r="F1048" t="s">
        <v>45</v>
      </c>
      <c r="H1048">
        <v>83704851</v>
      </c>
      <c r="I1048" t="s">
        <v>17</v>
      </c>
      <c r="K1048" t="s">
        <v>6073</v>
      </c>
      <c r="L1048">
        <v>132</v>
      </c>
      <c r="M1048" t="s">
        <v>6074</v>
      </c>
    </row>
    <row r="1049" spans="1:13" x14ac:dyDescent="0.45">
      <c r="A1049" t="s">
        <v>3601</v>
      </c>
      <c r="B1049">
        <v>1084274</v>
      </c>
      <c r="C1049">
        <v>1085467</v>
      </c>
      <c r="E1049" t="s">
        <v>14</v>
      </c>
      <c r="F1049" t="s">
        <v>45</v>
      </c>
      <c r="H1049">
        <v>83704852</v>
      </c>
      <c r="I1049" t="s">
        <v>17</v>
      </c>
      <c r="K1049" t="s">
        <v>6075</v>
      </c>
      <c r="L1049">
        <v>397</v>
      </c>
      <c r="M1049" t="s">
        <v>6076</v>
      </c>
    </row>
    <row r="1050" spans="1:13" x14ac:dyDescent="0.45">
      <c r="A1050" t="s">
        <v>3601</v>
      </c>
      <c r="B1050">
        <v>1085464</v>
      </c>
      <c r="C1050">
        <v>1085856</v>
      </c>
      <c r="E1050" t="s">
        <v>14</v>
      </c>
      <c r="F1050" t="s">
        <v>45</v>
      </c>
      <c r="H1050">
        <v>83704853</v>
      </c>
      <c r="I1050" t="s">
        <v>17</v>
      </c>
      <c r="K1050" t="s">
        <v>6077</v>
      </c>
      <c r="L1050">
        <v>130</v>
      </c>
      <c r="M1050" t="s">
        <v>6078</v>
      </c>
    </row>
    <row r="1051" spans="1:13" x14ac:dyDescent="0.45">
      <c r="A1051" t="s">
        <v>3601</v>
      </c>
      <c r="B1051">
        <v>1085872</v>
      </c>
      <c r="C1051">
        <v>1086156</v>
      </c>
      <c r="E1051" t="s">
        <v>14</v>
      </c>
      <c r="F1051" t="s">
        <v>45</v>
      </c>
      <c r="H1051">
        <v>83704854</v>
      </c>
      <c r="I1051" t="s">
        <v>17</v>
      </c>
      <c r="K1051" t="s">
        <v>6079</v>
      </c>
      <c r="L1051">
        <v>94</v>
      </c>
      <c r="M1051" t="s">
        <v>6080</v>
      </c>
    </row>
    <row r="1052" spans="1:13" x14ac:dyDescent="0.45">
      <c r="A1052" t="s">
        <v>3601</v>
      </c>
      <c r="B1052">
        <v>1086354</v>
      </c>
      <c r="C1052">
        <v>1086602</v>
      </c>
      <c r="E1052" t="s">
        <v>42</v>
      </c>
      <c r="F1052" t="s">
        <v>591</v>
      </c>
      <c r="G1052" t="s">
        <v>592</v>
      </c>
      <c r="H1052">
        <v>83704855</v>
      </c>
      <c r="I1052" t="s">
        <v>17</v>
      </c>
      <c r="K1052" t="s">
        <v>6081</v>
      </c>
      <c r="L1052">
        <v>82</v>
      </c>
      <c r="M1052" t="s">
        <v>6082</v>
      </c>
    </row>
    <row r="1053" spans="1:13" x14ac:dyDescent="0.45">
      <c r="A1053" t="s">
        <v>3601</v>
      </c>
      <c r="B1053">
        <v>1086656</v>
      </c>
      <c r="C1053">
        <v>1087576</v>
      </c>
      <c r="E1053" t="s">
        <v>42</v>
      </c>
      <c r="F1053" t="s">
        <v>981</v>
      </c>
      <c r="G1053" t="s">
        <v>982</v>
      </c>
      <c r="H1053">
        <v>83704856</v>
      </c>
      <c r="I1053" t="s">
        <v>17</v>
      </c>
      <c r="K1053" t="s">
        <v>6083</v>
      </c>
      <c r="L1053">
        <v>306</v>
      </c>
      <c r="M1053" t="s">
        <v>6084</v>
      </c>
    </row>
    <row r="1054" spans="1:13" x14ac:dyDescent="0.45">
      <c r="A1054" t="s">
        <v>3601</v>
      </c>
      <c r="B1054">
        <v>1087843</v>
      </c>
      <c r="C1054">
        <v>1088439</v>
      </c>
      <c r="E1054" t="s">
        <v>14</v>
      </c>
      <c r="F1054" t="s">
        <v>508</v>
      </c>
      <c r="H1054">
        <v>83704857</v>
      </c>
      <c r="I1054" t="s">
        <v>17</v>
      </c>
      <c r="K1054" t="s">
        <v>6085</v>
      </c>
      <c r="L1054">
        <v>198</v>
      </c>
      <c r="M1054" t="s">
        <v>6086</v>
      </c>
    </row>
    <row r="1055" spans="1:13" x14ac:dyDescent="0.45">
      <c r="A1055" t="s">
        <v>3601</v>
      </c>
      <c r="B1055">
        <v>1088538</v>
      </c>
      <c r="C1055">
        <v>1089815</v>
      </c>
      <c r="E1055" t="s">
        <v>14</v>
      </c>
      <c r="F1055" t="s">
        <v>6087</v>
      </c>
      <c r="H1055">
        <v>83704858</v>
      </c>
      <c r="I1055" t="s">
        <v>17</v>
      </c>
      <c r="K1055" t="s">
        <v>6088</v>
      </c>
      <c r="L1055">
        <v>425</v>
      </c>
      <c r="M1055" t="s">
        <v>6089</v>
      </c>
    </row>
    <row r="1056" spans="1:13" x14ac:dyDescent="0.45">
      <c r="A1056" t="s">
        <v>3601</v>
      </c>
      <c r="B1056">
        <v>1089829</v>
      </c>
      <c r="C1056">
        <v>1090491</v>
      </c>
      <c r="E1056" t="s">
        <v>14</v>
      </c>
      <c r="F1056" t="s">
        <v>307</v>
      </c>
      <c r="G1056" t="s">
        <v>308</v>
      </c>
      <c r="H1056">
        <v>83704859</v>
      </c>
      <c r="I1056" t="s">
        <v>17</v>
      </c>
      <c r="K1056" t="s">
        <v>6090</v>
      </c>
      <c r="L1056">
        <v>220</v>
      </c>
      <c r="M1056" t="s">
        <v>6091</v>
      </c>
    </row>
    <row r="1057" spans="1:13" x14ac:dyDescent="0.45">
      <c r="A1057" t="s">
        <v>3601</v>
      </c>
      <c r="B1057">
        <v>1090478</v>
      </c>
      <c r="C1057">
        <v>1090867</v>
      </c>
      <c r="E1057" t="s">
        <v>14</v>
      </c>
      <c r="F1057" t="s">
        <v>6092</v>
      </c>
      <c r="H1057">
        <v>83704860</v>
      </c>
      <c r="I1057" t="s">
        <v>17</v>
      </c>
      <c r="K1057" t="s">
        <v>6093</v>
      </c>
      <c r="L1057">
        <v>129</v>
      </c>
      <c r="M1057" t="s">
        <v>6094</v>
      </c>
    </row>
    <row r="1058" spans="1:13" x14ac:dyDescent="0.45">
      <c r="A1058" t="s">
        <v>3601</v>
      </c>
      <c r="B1058">
        <v>1090958</v>
      </c>
      <c r="C1058">
        <v>1092010</v>
      </c>
      <c r="E1058" t="s">
        <v>14</v>
      </c>
      <c r="F1058" t="s">
        <v>6095</v>
      </c>
      <c r="H1058">
        <v>83704861</v>
      </c>
      <c r="I1058" t="s">
        <v>17</v>
      </c>
      <c r="K1058" t="s">
        <v>6096</v>
      </c>
      <c r="L1058">
        <v>350</v>
      </c>
      <c r="M1058" t="s">
        <v>6097</v>
      </c>
    </row>
    <row r="1059" spans="1:13" x14ac:dyDescent="0.45">
      <c r="A1059" t="s">
        <v>3601</v>
      </c>
      <c r="B1059">
        <v>1092137</v>
      </c>
      <c r="C1059">
        <v>1093669</v>
      </c>
      <c r="E1059" t="s">
        <v>14</v>
      </c>
      <c r="F1059" t="s">
        <v>72</v>
      </c>
      <c r="H1059">
        <v>83704862</v>
      </c>
      <c r="I1059" t="s">
        <v>17</v>
      </c>
      <c r="K1059" t="s">
        <v>6098</v>
      </c>
      <c r="L1059">
        <v>510</v>
      </c>
      <c r="M1059" t="s">
        <v>6099</v>
      </c>
    </row>
    <row r="1060" spans="1:13" x14ac:dyDescent="0.45">
      <c r="A1060" t="s">
        <v>3601</v>
      </c>
      <c r="B1060">
        <v>1093662</v>
      </c>
      <c r="C1060">
        <v>1094726</v>
      </c>
      <c r="E1060" t="s">
        <v>14</v>
      </c>
      <c r="F1060" t="s">
        <v>113</v>
      </c>
      <c r="H1060">
        <v>83704863</v>
      </c>
      <c r="I1060" t="s">
        <v>17</v>
      </c>
      <c r="K1060" t="s">
        <v>6100</v>
      </c>
      <c r="L1060">
        <v>354</v>
      </c>
      <c r="M1060" t="s">
        <v>6101</v>
      </c>
    </row>
    <row r="1061" spans="1:13" x14ac:dyDescent="0.45">
      <c r="A1061" t="s">
        <v>3601</v>
      </c>
      <c r="B1061">
        <v>1094728</v>
      </c>
      <c r="C1061">
        <v>1095684</v>
      </c>
      <c r="E1061" t="s">
        <v>14</v>
      </c>
      <c r="F1061" t="s">
        <v>113</v>
      </c>
      <c r="H1061">
        <v>83704864</v>
      </c>
      <c r="I1061" t="s">
        <v>17</v>
      </c>
      <c r="K1061" t="s">
        <v>6102</v>
      </c>
      <c r="L1061">
        <v>318</v>
      </c>
      <c r="M1061" t="s">
        <v>6103</v>
      </c>
    </row>
    <row r="1062" spans="1:13" x14ac:dyDescent="0.45">
      <c r="A1062" t="s">
        <v>3601</v>
      </c>
      <c r="B1062">
        <v>1096214</v>
      </c>
      <c r="C1062">
        <v>1097929</v>
      </c>
      <c r="E1062" t="s">
        <v>42</v>
      </c>
      <c r="F1062" t="s">
        <v>473</v>
      </c>
      <c r="H1062">
        <v>83704865</v>
      </c>
      <c r="I1062" t="s">
        <v>17</v>
      </c>
      <c r="K1062" t="s">
        <v>6104</v>
      </c>
      <c r="L1062">
        <v>571</v>
      </c>
      <c r="M1062" t="s">
        <v>6105</v>
      </c>
    </row>
    <row r="1063" spans="1:13" x14ac:dyDescent="0.45">
      <c r="A1063" t="s">
        <v>3601</v>
      </c>
      <c r="B1063">
        <v>1098108</v>
      </c>
      <c r="C1063">
        <v>1098680</v>
      </c>
      <c r="E1063" t="s">
        <v>42</v>
      </c>
      <c r="F1063" t="s">
        <v>50</v>
      </c>
      <c r="H1063">
        <v>83704866</v>
      </c>
      <c r="I1063" t="s">
        <v>17</v>
      </c>
      <c r="K1063" t="s">
        <v>6106</v>
      </c>
      <c r="L1063">
        <v>190</v>
      </c>
      <c r="M1063" t="s">
        <v>6107</v>
      </c>
    </row>
    <row r="1064" spans="1:13" x14ac:dyDescent="0.45">
      <c r="A1064" t="s">
        <v>3601</v>
      </c>
      <c r="B1064">
        <v>1098737</v>
      </c>
      <c r="C1064">
        <v>1099282</v>
      </c>
      <c r="E1064" t="s">
        <v>42</v>
      </c>
      <c r="F1064" t="s">
        <v>6108</v>
      </c>
      <c r="G1064" t="s">
        <v>6109</v>
      </c>
      <c r="H1064">
        <v>83704867</v>
      </c>
      <c r="I1064" t="s">
        <v>17</v>
      </c>
      <c r="K1064" t="s">
        <v>6110</v>
      </c>
      <c r="L1064">
        <v>181</v>
      </c>
      <c r="M1064" t="s">
        <v>6111</v>
      </c>
    </row>
    <row r="1065" spans="1:13" x14ac:dyDescent="0.45">
      <c r="A1065" t="s">
        <v>3601</v>
      </c>
      <c r="B1065">
        <v>1099275</v>
      </c>
      <c r="C1065">
        <v>1099961</v>
      </c>
      <c r="E1065" t="s">
        <v>42</v>
      </c>
      <c r="F1065" t="s">
        <v>6112</v>
      </c>
      <c r="H1065">
        <v>83704868</v>
      </c>
      <c r="I1065" t="s">
        <v>17</v>
      </c>
      <c r="K1065" t="s">
        <v>6113</v>
      </c>
      <c r="L1065">
        <v>228</v>
      </c>
      <c r="M1065" t="s">
        <v>6114</v>
      </c>
    </row>
    <row r="1066" spans="1:13" x14ac:dyDescent="0.45">
      <c r="A1066" t="s">
        <v>3601</v>
      </c>
      <c r="B1066">
        <v>1100165</v>
      </c>
      <c r="C1066">
        <v>1101835</v>
      </c>
      <c r="E1066" t="s">
        <v>14</v>
      </c>
      <c r="F1066" t="s">
        <v>706</v>
      </c>
      <c r="H1066">
        <v>83704869</v>
      </c>
      <c r="I1066" t="s">
        <v>17</v>
      </c>
      <c r="K1066" t="s">
        <v>6115</v>
      </c>
      <c r="L1066">
        <v>556</v>
      </c>
      <c r="M1066" t="s">
        <v>6116</v>
      </c>
    </row>
    <row r="1067" spans="1:13" x14ac:dyDescent="0.45">
      <c r="A1067" t="s">
        <v>3601</v>
      </c>
      <c r="B1067">
        <v>1102148</v>
      </c>
      <c r="C1067">
        <v>1105504</v>
      </c>
      <c r="E1067" t="s">
        <v>14</v>
      </c>
      <c r="F1067" t="s">
        <v>899</v>
      </c>
      <c r="H1067">
        <v>83705886</v>
      </c>
      <c r="I1067" t="s">
        <v>17</v>
      </c>
      <c r="K1067" t="s">
        <v>6117</v>
      </c>
      <c r="L1067">
        <v>1118</v>
      </c>
      <c r="M1067" t="s">
        <v>6118</v>
      </c>
    </row>
    <row r="1068" spans="1:13" x14ac:dyDescent="0.45">
      <c r="A1068" t="s">
        <v>3601</v>
      </c>
      <c r="B1068">
        <v>1105718</v>
      </c>
      <c r="C1068">
        <v>1107295</v>
      </c>
      <c r="E1068" t="s">
        <v>14</v>
      </c>
      <c r="F1068" t="s">
        <v>88</v>
      </c>
      <c r="G1068" t="s">
        <v>89</v>
      </c>
      <c r="H1068">
        <v>83704870</v>
      </c>
      <c r="I1068" t="s">
        <v>17</v>
      </c>
      <c r="K1068" t="s">
        <v>6119</v>
      </c>
      <c r="L1068">
        <v>525</v>
      </c>
      <c r="M1068" t="s">
        <v>6120</v>
      </c>
    </row>
    <row r="1069" spans="1:13" x14ac:dyDescent="0.45">
      <c r="A1069" t="s">
        <v>3601</v>
      </c>
      <c r="B1069">
        <v>1107931</v>
      </c>
      <c r="C1069">
        <v>1109019</v>
      </c>
      <c r="E1069" t="s">
        <v>14</v>
      </c>
      <c r="F1069" t="s">
        <v>603</v>
      </c>
      <c r="H1069">
        <v>83704871</v>
      </c>
      <c r="I1069" t="s">
        <v>17</v>
      </c>
      <c r="K1069" t="s">
        <v>6121</v>
      </c>
      <c r="L1069">
        <v>362</v>
      </c>
      <c r="M1069" t="s">
        <v>6122</v>
      </c>
    </row>
    <row r="1070" spans="1:13" x14ac:dyDescent="0.45">
      <c r="A1070" t="s">
        <v>3601</v>
      </c>
      <c r="B1070">
        <v>1109119</v>
      </c>
      <c r="C1070">
        <v>1109457</v>
      </c>
      <c r="E1070" t="s">
        <v>14</v>
      </c>
      <c r="F1070" t="s">
        <v>6123</v>
      </c>
      <c r="H1070">
        <v>83704872</v>
      </c>
      <c r="I1070" t="s">
        <v>17</v>
      </c>
      <c r="K1070" t="s">
        <v>6124</v>
      </c>
      <c r="L1070">
        <v>112</v>
      </c>
      <c r="M1070" t="s">
        <v>6125</v>
      </c>
    </row>
    <row r="1071" spans="1:13" x14ac:dyDescent="0.45">
      <c r="A1071" t="s">
        <v>3601</v>
      </c>
      <c r="B1071">
        <v>1109493</v>
      </c>
      <c r="C1071">
        <v>1110764</v>
      </c>
      <c r="E1071" t="s">
        <v>42</v>
      </c>
      <c r="F1071" t="s">
        <v>6126</v>
      </c>
      <c r="H1071">
        <v>83704873</v>
      </c>
      <c r="I1071" t="s">
        <v>17</v>
      </c>
      <c r="K1071" t="s">
        <v>6127</v>
      </c>
      <c r="L1071">
        <v>423</v>
      </c>
      <c r="M1071" t="s">
        <v>6128</v>
      </c>
    </row>
    <row r="1072" spans="1:13" x14ac:dyDescent="0.45">
      <c r="A1072" t="s">
        <v>3601</v>
      </c>
      <c r="B1072">
        <v>1110856</v>
      </c>
      <c r="C1072">
        <v>1111725</v>
      </c>
      <c r="E1072" t="s">
        <v>14</v>
      </c>
      <c r="F1072" t="s">
        <v>6129</v>
      </c>
      <c r="H1072">
        <v>83704874</v>
      </c>
      <c r="I1072" t="s">
        <v>17</v>
      </c>
      <c r="K1072" t="s">
        <v>6130</v>
      </c>
      <c r="L1072">
        <v>289</v>
      </c>
      <c r="M1072" t="s">
        <v>6131</v>
      </c>
    </row>
    <row r="1073" spans="1:13" x14ac:dyDescent="0.45">
      <c r="A1073" t="s">
        <v>3601</v>
      </c>
      <c r="B1073">
        <v>1111703</v>
      </c>
      <c r="C1073">
        <v>1112263</v>
      </c>
      <c r="E1073" t="s">
        <v>14</v>
      </c>
      <c r="F1073" t="s">
        <v>50</v>
      </c>
      <c r="H1073">
        <v>83704875</v>
      </c>
      <c r="I1073" t="s">
        <v>17</v>
      </c>
      <c r="K1073" t="s">
        <v>6132</v>
      </c>
      <c r="L1073">
        <v>186</v>
      </c>
      <c r="M1073" t="s">
        <v>6133</v>
      </c>
    </row>
    <row r="1074" spans="1:13" x14ac:dyDescent="0.45">
      <c r="A1074" t="s">
        <v>3601</v>
      </c>
      <c r="B1074">
        <v>1112935</v>
      </c>
      <c r="C1074">
        <v>1114485</v>
      </c>
      <c r="E1074" t="s">
        <v>14</v>
      </c>
      <c r="F1074" t="s">
        <v>310</v>
      </c>
      <c r="H1074">
        <v>83704876</v>
      </c>
      <c r="I1074" t="s">
        <v>17</v>
      </c>
      <c r="K1074" t="s">
        <v>6134</v>
      </c>
      <c r="L1074">
        <v>516</v>
      </c>
      <c r="M1074" t="s">
        <v>6135</v>
      </c>
    </row>
    <row r="1075" spans="1:13" x14ac:dyDescent="0.45">
      <c r="A1075" t="s">
        <v>3601</v>
      </c>
      <c r="B1075">
        <v>1114906</v>
      </c>
      <c r="C1075">
        <v>1115181</v>
      </c>
      <c r="E1075" t="s">
        <v>14</v>
      </c>
      <c r="F1075" t="s">
        <v>45</v>
      </c>
      <c r="H1075">
        <v>83704877</v>
      </c>
      <c r="I1075" t="s">
        <v>17</v>
      </c>
      <c r="K1075" t="s">
        <v>6136</v>
      </c>
      <c r="L1075">
        <v>91</v>
      </c>
      <c r="M1075" t="s">
        <v>6137</v>
      </c>
    </row>
    <row r="1076" spans="1:13" x14ac:dyDescent="0.45">
      <c r="A1076" t="s">
        <v>3601</v>
      </c>
      <c r="B1076">
        <v>1115514</v>
      </c>
      <c r="C1076">
        <v>1116419</v>
      </c>
      <c r="E1076" t="s">
        <v>42</v>
      </c>
      <c r="F1076" t="s">
        <v>6138</v>
      </c>
      <c r="H1076">
        <v>83704878</v>
      </c>
      <c r="I1076" t="s">
        <v>17</v>
      </c>
      <c r="K1076" t="s">
        <v>6139</v>
      </c>
      <c r="L1076">
        <v>301</v>
      </c>
      <c r="M1076" t="s">
        <v>6140</v>
      </c>
    </row>
    <row r="1077" spans="1:13" x14ac:dyDescent="0.45">
      <c r="A1077" t="s">
        <v>3601</v>
      </c>
      <c r="B1077">
        <v>1116529</v>
      </c>
      <c r="C1077">
        <v>1117179</v>
      </c>
      <c r="E1077" t="s">
        <v>42</v>
      </c>
      <c r="F1077" t="s">
        <v>6141</v>
      </c>
      <c r="G1077" t="s">
        <v>6142</v>
      </c>
      <c r="H1077">
        <v>83704879</v>
      </c>
      <c r="I1077" t="s">
        <v>17</v>
      </c>
      <c r="K1077" t="s">
        <v>6143</v>
      </c>
      <c r="L1077">
        <v>216</v>
      </c>
      <c r="M1077" t="s">
        <v>6144</v>
      </c>
    </row>
    <row r="1078" spans="1:13" x14ac:dyDescent="0.45">
      <c r="A1078" t="s">
        <v>3601</v>
      </c>
      <c r="B1078">
        <v>1117163</v>
      </c>
      <c r="C1078">
        <v>1117618</v>
      </c>
      <c r="E1078" t="s">
        <v>42</v>
      </c>
      <c r="F1078" t="s">
        <v>6145</v>
      </c>
      <c r="H1078">
        <v>83704880</v>
      </c>
      <c r="I1078" t="s">
        <v>17</v>
      </c>
      <c r="K1078" t="s">
        <v>6146</v>
      </c>
      <c r="L1078">
        <v>151</v>
      </c>
      <c r="M1078" t="s">
        <v>6147</v>
      </c>
    </row>
    <row r="1079" spans="1:13" x14ac:dyDescent="0.45">
      <c r="A1079" t="s">
        <v>3601</v>
      </c>
      <c r="B1079">
        <v>1117878</v>
      </c>
      <c r="C1079">
        <v>1118633</v>
      </c>
      <c r="E1079" t="s">
        <v>14</v>
      </c>
      <c r="F1079" t="s">
        <v>508</v>
      </c>
      <c r="H1079">
        <v>83704881</v>
      </c>
      <c r="I1079" t="s">
        <v>17</v>
      </c>
      <c r="K1079" t="s">
        <v>6148</v>
      </c>
      <c r="L1079">
        <v>251</v>
      </c>
      <c r="M1079" t="s">
        <v>6149</v>
      </c>
    </row>
    <row r="1080" spans="1:13" x14ac:dyDescent="0.45">
      <c r="A1080" t="s">
        <v>3601</v>
      </c>
      <c r="B1080">
        <v>1118721</v>
      </c>
      <c r="C1080">
        <v>1120736</v>
      </c>
      <c r="E1080" t="s">
        <v>14</v>
      </c>
      <c r="F1080" t="s">
        <v>6150</v>
      </c>
      <c r="H1080">
        <v>83704882</v>
      </c>
      <c r="I1080" t="s">
        <v>17</v>
      </c>
      <c r="K1080" t="s">
        <v>6151</v>
      </c>
      <c r="L1080">
        <v>671</v>
      </c>
      <c r="M1080" t="s">
        <v>6152</v>
      </c>
    </row>
    <row r="1081" spans="1:13" x14ac:dyDescent="0.45">
      <c r="A1081" t="s">
        <v>3601</v>
      </c>
      <c r="B1081">
        <v>1120738</v>
      </c>
      <c r="C1081">
        <v>1121370</v>
      </c>
      <c r="E1081" t="s">
        <v>14</v>
      </c>
      <c r="F1081" t="s">
        <v>72</v>
      </c>
      <c r="H1081">
        <v>83704883</v>
      </c>
      <c r="I1081" t="s">
        <v>17</v>
      </c>
      <c r="K1081" t="s">
        <v>6153</v>
      </c>
      <c r="L1081">
        <v>210</v>
      </c>
      <c r="M1081" t="s">
        <v>6154</v>
      </c>
    </row>
    <row r="1082" spans="1:13" x14ac:dyDescent="0.45">
      <c r="A1082" t="s">
        <v>3601</v>
      </c>
      <c r="B1082">
        <v>1121777</v>
      </c>
      <c r="C1082">
        <v>1122013</v>
      </c>
      <c r="E1082" t="s">
        <v>14</v>
      </c>
      <c r="F1082" t="s">
        <v>51</v>
      </c>
      <c r="H1082">
        <v>83705867</v>
      </c>
      <c r="I1082" t="s">
        <v>52</v>
      </c>
      <c r="M1082" t="s">
        <v>6155</v>
      </c>
    </row>
    <row r="1083" spans="1:13" x14ac:dyDescent="0.45">
      <c r="A1083" t="s">
        <v>3601</v>
      </c>
      <c r="B1083">
        <v>1122382</v>
      </c>
      <c r="C1083">
        <v>1123239</v>
      </c>
      <c r="E1083" t="s">
        <v>14</v>
      </c>
      <c r="F1083" t="s">
        <v>666</v>
      </c>
      <c r="G1083" t="s">
        <v>667</v>
      </c>
      <c r="H1083">
        <v>83704884</v>
      </c>
      <c r="I1083" t="s">
        <v>17</v>
      </c>
      <c r="K1083" t="s">
        <v>6156</v>
      </c>
      <c r="L1083">
        <v>285</v>
      </c>
      <c r="M1083" t="s">
        <v>6157</v>
      </c>
    </row>
    <row r="1084" spans="1:13" x14ac:dyDescent="0.45">
      <c r="A1084" t="s">
        <v>3601</v>
      </c>
      <c r="B1084">
        <v>1123220</v>
      </c>
      <c r="C1084">
        <v>1124002</v>
      </c>
      <c r="E1084" t="s">
        <v>14</v>
      </c>
      <c r="F1084" t="s">
        <v>668</v>
      </c>
      <c r="H1084">
        <v>83704885</v>
      </c>
      <c r="I1084" t="s">
        <v>17</v>
      </c>
      <c r="K1084" t="s">
        <v>6158</v>
      </c>
      <c r="L1084">
        <v>260</v>
      </c>
      <c r="M1084" t="s">
        <v>6159</v>
      </c>
    </row>
    <row r="1085" spans="1:13" x14ac:dyDescent="0.45">
      <c r="A1085" t="s">
        <v>3601</v>
      </c>
      <c r="B1085">
        <v>1124260</v>
      </c>
      <c r="C1085">
        <v>1125105</v>
      </c>
      <c r="E1085" t="s">
        <v>14</v>
      </c>
      <c r="F1085" t="s">
        <v>669</v>
      </c>
      <c r="G1085" t="s">
        <v>670</v>
      </c>
      <c r="H1085">
        <v>83704886</v>
      </c>
      <c r="I1085" t="s">
        <v>17</v>
      </c>
      <c r="K1085" t="s">
        <v>6160</v>
      </c>
      <c r="L1085">
        <v>281</v>
      </c>
      <c r="M1085" t="s">
        <v>6161</v>
      </c>
    </row>
    <row r="1086" spans="1:13" x14ac:dyDescent="0.45">
      <c r="A1086" t="s">
        <v>3601</v>
      </c>
      <c r="B1086">
        <v>1125192</v>
      </c>
      <c r="C1086">
        <v>1126589</v>
      </c>
      <c r="E1086" t="s">
        <v>42</v>
      </c>
      <c r="F1086" t="s">
        <v>5267</v>
      </c>
      <c r="H1086">
        <v>83704887</v>
      </c>
      <c r="I1086" t="s">
        <v>17</v>
      </c>
      <c r="K1086" t="s">
        <v>5268</v>
      </c>
      <c r="L1086">
        <v>465</v>
      </c>
      <c r="M1086" t="s">
        <v>6162</v>
      </c>
    </row>
    <row r="1087" spans="1:13" x14ac:dyDescent="0.45">
      <c r="A1087" t="s">
        <v>3601</v>
      </c>
      <c r="B1087">
        <v>1126776</v>
      </c>
      <c r="C1087">
        <v>1128908</v>
      </c>
      <c r="E1087" t="s">
        <v>14</v>
      </c>
      <c r="F1087" t="s">
        <v>671</v>
      </c>
      <c r="G1087" t="s">
        <v>672</v>
      </c>
      <c r="H1087">
        <v>83704888</v>
      </c>
      <c r="I1087" t="s">
        <v>17</v>
      </c>
      <c r="K1087" t="s">
        <v>6163</v>
      </c>
      <c r="L1087">
        <v>710</v>
      </c>
      <c r="M1087" t="s">
        <v>6164</v>
      </c>
    </row>
    <row r="1088" spans="1:13" x14ac:dyDescent="0.45">
      <c r="A1088" t="s">
        <v>3601</v>
      </c>
      <c r="B1088">
        <v>1129023</v>
      </c>
      <c r="C1088">
        <v>1129670</v>
      </c>
      <c r="E1088" t="s">
        <v>14</v>
      </c>
      <c r="F1088" t="s">
        <v>6165</v>
      </c>
      <c r="H1088">
        <v>83704889</v>
      </c>
      <c r="I1088" t="s">
        <v>17</v>
      </c>
      <c r="K1088" t="s">
        <v>6166</v>
      </c>
      <c r="L1088">
        <v>215</v>
      </c>
      <c r="M1088" t="s">
        <v>6167</v>
      </c>
    </row>
    <row r="1089" spans="1:13" x14ac:dyDescent="0.45">
      <c r="A1089" t="s">
        <v>3601</v>
      </c>
      <c r="B1089">
        <v>1129691</v>
      </c>
      <c r="C1089">
        <v>1130404</v>
      </c>
      <c r="E1089" t="s">
        <v>14</v>
      </c>
      <c r="F1089" t="s">
        <v>6168</v>
      </c>
      <c r="H1089">
        <v>83704890</v>
      </c>
      <c r="I1089" t="s">
        <v>17</v>
      </c>
      <c r="K1089" t="s">
        <v>6169</v>
      </c>
      <c r="L1089">
        <v>237</v>
      </c>
      <c r="M1089" t="s">
        <v>6170</v>
      </c>
    </row>
    <row r="1090" spans="1:13" x14ac:dyDescent="0.45">
      <c r="A1090" t="s">
        <v>3601</v>
      </c>
      <c r="B1090">
        <v>1130964</v>
      </c>
      <c r="C1090">
        <v>1132298</v>
      </c>
      <c r="E1090" t="s">
        <v>14</v>
      </c>
      <c r="F1090" t="s">
        <v>673</v>
      </c>
      <c r="G1090" t="s">
        <v>674</v>
      </c>
      <c r="H1090">
        <v>83704891</v>
      </c>
      <c r="I1090" t="s">
        <v>17</v>
      </c>
      <c r="K1090" t="s">
        <v>6171</v>
      </c>
      <c r="L1090">
        <v>444</v>
      </c>
      <c r="M1090" t="s">
        <v>6172</v>
      </c>
    </row>
    <row r="1091" spans="1:13" x14ac:dyDescent="0.45">
      <c r="A1091" t="s">
        <v>3601</v>
      </c>
      <c r="B1091">
        <v>1132342</v>
      </c>
      <c r="C1091">
        <v>1133391</v>
      </c>
      <c r="E1091" t="s">
        <v>42</v>
      </c>
      <c r="F1091" t="s">
        <v>618</v>
      </c>
      <c r="G1091" t="s">
        <v>619</v>
      </c>
      <c r="H1091">
        <v>83704892</v>
      </c>
      <c r="I1091" t="s">
        <v>17</v>
      </c>
      <c r="K1091" t="s">
        <v>6173</v>
      </c>
      <c r="L1091">
        <v>349</v>
      </c>
      <c r="M1091" t="s">
        <v>6174</v>
      </c>
    </row>
    <row r="1092" spans="1:13" x14ac:dyDescent="0.45">
      <c r="A1092" t="s">
        <v>3601</v>
      </c>
      <c r="B1092">
        <v>1133658</v>
      </c>
      <c r="C1092">
        <v>1134719</v>
      </c>
      <c r="E1092" t="s">
        <v>14</v>
      </c>
      <c r="F1092" t="s">
        <v>6175</v>
      </c>
      <c r="H1092">
        <v>83704893</v>
      </c>
      <c r="I1092" t="s">
        <v>17</v>
      </c>
      <c r="K1092" t="s">
        <v>6176</v>
      </c>
      <c r="L1092">
        <v>353</v>
      </c>
      <c r="M1092" t="s">
        <v>6177</v>
      </c>
    </row>
    <row r="1093" spans="1:13" x14ac:dyDescent="0.45">
      <c r="A1093" t="s">
        <v>3601</v>
      </c>
      <c r="B1093">
        <v>1134805</v>
      </c>
      <c r="C1093">
        <v>1135689</v>
      </c>
      <c r="E1093" t="s">
        <v>42</v>
      </c>
      <c r="F1093" t="s">
        <v>761</v>
      </c>
      <c r="G1093" t="s">
        <v>762</v>
      </c>
      <c r="H1093">
        <v>83704894</v>
      </c>
      <c r="I1093" t="s">
        <v>17</v>
      </c>
      <c r="K1093" t="s">
        <v>6178</v>
      </c>
      <c r="L1093">
        <v>294</v>
      </c>
      <c r="M1093" t="s">
        <v>6179</v>
      </c>
    </row>
    <row r="1094" spans="1:13" x14ac:dyDescent="0.45">
      <c r="A1094" t="s">
        <v>3601</v>
      </c>
      <c r="B1094">
        <v>1135682</v>
      </c>
      <c r="C1094">
        <v>1136377</v>
      </c>
      <c r="E1094" t="s">
        <v>42</v>
      </c>
      <c r="F1094" t="s">
        <v>309</v>
      </c>
      <c r="H1094">
        <v>83704895</v>
      </c>
      <c r="I1094" t="s">
        <v>17</v>
      </c>
      <c r="K1094" t="s">
        <v>6180</v>
      </c>
      <c r="L1094">
        <v>231</v>
      </c>
      <c r="M1094" t="s">
        <v>6181</v>
      </c>
    </row>
    <row r="1095" spans="1:13" x14ac:dyDescent="0.45">
      <c r="A1095" t="s">
        <v>3601</v>
      </c>
      <c r="B1095">
        <v>1136527</v>
      </c>
      <c r="C1095">
        <v>1137930</v>
      </c>
      <c r="E1095" t="s">
        <v>42</v>
      </c>
      <c r="F1095" t="s">
        <v>6182</v>
      </c>
      <c r="H1095">
        <v>83704896</v>
      </c>
      <c r="I1095" t="s">
        <v>17</v>
      </c>
      <c r="K1095" t="s">
        <v>6183</v>
      </c>
      <c r="L1095">
        <v>467</v>
      </c>
      <c r="M1095" t="s">
        <v>6184</v>
      </c>
    </row>
    <row r="1096" spans="1:13" x14ac:dyDescent="0.45">
      <c r="A1096" t="s">
        <v>3601</v>
      </c>
      <c r="B1096">
        <v>1138312</v>
      </c>
      <c r="C1096">
        <v>1138656</v>
      </c>
      <c r="E1096" t="s">
        <v>14</v>
      </c>
      <c r="F1096" t="s">
        <v>45</v>
      </c>
      <c r="H1096">
        <v>83704897</v>
      </c>
      <c r="I1096" t="s">
        <v>17</v>
      </c>
      <c r="K1096" t="s">
        <v>6185</v>
      </c>
      <c r="L1096">
        <v>114</v>
      </c>
      <c r="M1096" t="s">
        <v>6186</v>
      </c>
    </row>
    <row r="1097" spans="1:13" x14ac:dyDescent="0.45">
      <c r="A1097" t="s">
        <v>3601</v>
      </c>
      <c r="B1097">
        <v>1138674</v>
      </c>
      <c r="C1097">
        <v>1139063</v>
      </c>
      <c r="E1097" t="s">
        <v>14</v>
      </c>
      <c r="F1097" t="s">
        <v>6187</v>
      </c>
      <c r="H1097">
        <v>83704898</v>
      </c>
      <c r="I1097" t="s">
        <v>17</v>
      </c>
      <c r="K1097" t="s">
        <v>6188</v>
      </c>
      <c r="L1097">
        <v>129</v>
      </c>
      <c r="M1097" t="s">
        <v>6189</v>
      </c>
    </row>
    <row r="1098" spans="1:13" x14ac:dyDescent="0.45">
      <c r="A1098" t="s">
        <v>3601</v>
      </c>
      <c r="B1098">
        <v>1139114</v>
      </c>
      <c r="C1098">
        <v>1140235</v>
      </c>
      <c r="E1098" t="s">
        <v>14</v>
      </c>
      <c r="F1098" t="s">
        <v>6190</v>
      </c>
      <c r="H1098">
        <v>83704899</v>
      </c>
      <c r="I1098" t="s">
        <v>17</v>
      </c>
      <c r="K1098" t="s">
        <v>6191</v>
      </c>
      <c r="L1098">
        <v>373</v>
      </c>
      <c r="M1098" t="s">
        <v>6192</v>
      </c>
    </row>
    <row r="1099" spans="1:13" x14ac:dyDescent="0.45">
      <c r="A1099" t="s">
        <v>3601</v>
      </c>
      <c r="B1099">
        <v>1140250</v>
      </c>
      <c r="C1099">
        <v>1140384</v>
      </c>
      <c r="E1099" t="s">
        <v>14</v>
      </c>
      <c r="F1099" t="s">
        <v>6193</v>
      </c>
      <c r="H1099">
        <v>83705887</v>
      </c>
      <c r="I1099" t="s">
        <v>17</v>
      </c>
      <c r="K1099" t="s">
        <v>6194</v>
      </c>
      <c r="L1099">
        <v>44</v>
      </c>
      <c r="M1099" t="s">
        <v>6195</v>
      </c>
    </row>
    <row r="1100" spans="1:13" x14ac:dyDescent="0.45">
      <c r="A1100" t="s">
        <v>3601</v>
      </c>
      <c r="B1100">
        <v>1140417</v>
      </c>
      <c r="C1100">
        <v>1140725</v>
      </c>
      <c r="E1100" t="s">
        <v>14</v>
      </c>
      <c r="F1100" t="s">
        <v>620</v>
      </c>
      <c r="G1100" t="s">
        <v>621</v>
      </c>
      <c r="H1100">
        <v>83704900</v>
      </c>
      <c r="I1100" t="s">
        <v>17</v>
      </c>
      <c r="K1100" t="s">
        <v>6196</v>
      </c>
      <c r="L1100">
        <v>102</v>
      </c>
      <c r="M1100" t="s">
        <v>6197</v>
      </c>
    </row>
    <row r="1101" spans="1:13" x14ac:dyDescent="0.45">
      <c r="A1101" t="s">
        <v>3601</v>
      </c>
      <c r="B1101">
        <v>1140713</v>
      </c>
      <c r="C1101">
        <v>1141600</v>
      </c>
      <c r="E1101" t="s">
        <v>14</v>
      </c>
      <c r="F1101" t="s">
        <v>622</v>
      </c>
      <c r="G1101" t="s">
        <v>623</v>
      </c>
      <c r="H1101">
        <v>83704901</v>
      </c>
      <c r="I1101" t="s">
        <v>17</v>
      </c>
      <c r="K1101" t="s">
        <v>6198</v>
      </c>
      <c r="L1101">
        <v>295</v>
      </c>
      <c r="M1101" t="s">
        <v>6199</v>
      </c>
    </row>
    <row r="1102" spans="1:13" x14ac:dyDescent="0.45">
      <c r="A1102" t="s">
        <v>3601</v>
      </c>
      <c r="B1102">
        <v>1141602</v>
      </c>
      <c r="C1102">
        <v>1143134</v>
      </c>
      <c r="E1102" t="s">
        <v>14</v>
      </c>
      <c r="F1102" t="s">
        <v>624</v>
      </c>
      <c r="G1102" t="s">
        <v>625</v>
      </c>
      <c r="H1102">
        <v>83704902</v>
      </c>
      <c r="I1102" t="s">
        <v>17</v>
      </c>
      <c r="K1102" t="s">
        <v>6200</v>
      </c>
      <c r="L1102">
        <v>510</v>
      </c>
      <c r="M1102" t="s">
        <v>6201</v>
      </c>
    </row>
    <row r="1103" spans="1:13" x14ac:dyDescent="0.45">
      <c r="A1103" t="s">
        <v>3601</v>
      </c>
      <c r="B1103">
        <v>1143127</v>
      </c>
      <c r="C1103">
        <v>1143687</v>
      </c>
      <c r="E1103" t="s">
        <v>14</v>
      </c>
      <c r="F1103" t="s">
        <v>757</v>
      </c>
      <c r="G1103" t="s">
        <v>758</v>
      </c>
      <c r="H1103">
        <v>83704903</v>
      </c>
      <c r="I1103" t="s">
        <v>17</v>
      </c>
      <c r="K1103" t="s">
        <v>6202</v>
      </c>
      <c r="L1103">
        <v>186</v>
      </c>
      <c r="M1103" t="s">
        <v>6203</v>
      </c>
    </row>
    <row r="1104" spans="1:13" x14ac:dyDescent="0.45">
      <c r="A1104" t="s">
        <v>3601</v>
      </c>
      <c r="B1104">
        <v>1143718</v>
      </c>
      <c r="C1104">
        <v>1145109</v>
      </c>
      <c r="E1104" t="s">
        <v>14</v>
      </c>
      <c r="F1104" t="s">
        <v>6204</v>
      </c>
      <c r="H1104">
        <v>83704904</v>
      </c>
      <c r="I1104" t="s">
        <v>17</v>
      </c>
      <c r="K1104" t="s">
        <v>6205</v>
      </c>
      <c r="L1104">
        <v>463</v>
      </c>
      <c r="M1104" t="s">
        <v>6206</v>
      </c>
    </row>
    <row r="1105" spans="1:13" x14ac:dyDescent="0.45">
      <c r="A1105" t="s">
        <v>3601</v>
      </c>
      <c r="B1105">
        <v>1145376</v>
      </c>
      <c r="C1105">
        <v>1145855</v>
      </c>
      <c r="E1105" t="s">
        <v>42</v>
      </c>
      <c r="F1105" t="s">
        <v>6207</v>
      </c>
      <c r="H1105">
        <v>83704905</v>
      </c>
      <c r="I1105" t="s">
        <v>17</v>
      </c>
      <c r="K1105" t="s">
        <v>6208</v>
      </c>
      <c r="L1105">
        <v>159</v>
      </c>
      <c r="M1105" t="s">
        <v>6209</v>
      </c>
    </row>
    <row r="1106" spans="1:13" x14ac:dyDescent="0.45">
      <c r="A1106" t="s">
        <v>3601</v>
      </c>
      <c r="B1106">
        <v>1146186</v>
      </c>
      <c r="C1106">
        <v>1146938</v>
      </c>
      <c r="E1106" t="s">
        <v>14</v>
      </c>
      <c r="F1106" t="s">
        <v>72</v>
      </c>
      <c r="H1106">
        <v>83704906</v>
      </c>
      <c r="I1106" t="s">
        <v>17</v>
      </c>
      <c r="K1106" t="s">
        <v>6210</v>
      </c>
      <c r="L1106">
        <v>250</v>
      </c>
      <c r="M1106" t="s">
        <v>6211</v>
      </c>
    </row>
    <row r="1107" spans="1:13" x14ac:dyDescent="0.45">
      <c r="A1107" t="s">
        <v>3601</v>
      </c>
      <c r="B1107">
        <v>1146941</v>
      </c>
      <c r="C1107">
        <v>1148896</v>
      </c>
      <c r="E1107" t="s">
        <v>14</v>
      </c>
      <c r="F1107" t="s">
        <v>113</v>
      </c>
      <c r="H1107">
        <v>83704907</v>
      </c>
      <c r="I1107" t="s">
        <v>17</v>
      </c>
      <c r="K1107" t="s">
        <v>6212</v>
      </c>
      <c r="L1107">
        <v>651</v>
      </c>
      <c r="M1107" t="s">
        <v>6213</v>
      </c>
    </row>
    <row r="1108" spans="1:13" x14ac:dyDescent="0.45">
      <c r="A1108" t="s">
        <v>3601</v>
      </c>
      <c r="B1108">
        <v>1148940</v>
      </c>
      <c r="C1108">
        <v>1149605</v>
      </c>
      <c r="E1108" t="s">
        <v>14</v>
      </c>
      <c r="F1108" t="s">
        <v>511</v>
      </c>
      <c r="H1108">
        <v>83704908</v>
      </c>
      <c r="I1108" t="s">
        <v>17</v>
      </c>
      <c r="K1108" t="s">
        <v>6214</v>
      </c>
      <c r="L1108">
        <v>221</v>
      </c>
      <c r="M1108" t="s">
        <v>6215</v>
      </c>
    </row>
    <row r="1109" spans="1:13" x14ac:dyDescent="0.45">
      <c r="A1109" t="s">
        <v>3601</v>
      </c>
      <c r="B1109">
        <v>1149602</v>
      </c>
      <c r="C1109">
        <v>1150589</v>
      </c>
      <c r="E1109" t="s">
        <v>14</v>
      </c>
      <c r="F1109" t="s">
        <v>51</v>
      </c>
      <c r="H1109">
        <v>83704909</v>
      </c>
      <c r="I1109" t="s">
        <v>52</v>
      </c>
      <c r="M1109" t="s">
        <v>6216</v>
      </c>
    </row>
    <row r="1110" spans="1:13" x14ac:dyDescent="0.45">
      <c r="A1110" t="s">
        <v>3601</v>
      </c>
      <c r="B1110">
        <v>1150701</v>
      </c>
      <c r="C1110">
        <v>1151771</v>
      </c>
      <c r="E1110" t="s">
        <v>42</v>
      </c>
      <c r="F1110" t="s">
        <v>700</v>
      </c>
      <c r="G1110" t="s">
        <v>701</v>
      </c>
      <c r="H1110">
        <v>83704910</v>
      </c>
      <c r="I1110" t="s">
        <v>17</v>
      </c>
      <c r="K1110" t="s">
        <v>6217</v>
      </c>
      <c r="L1110">
        <v>356</v>
      </c>
      <c r="M1110" t="s">
        <v>6218</v>
      </c>
    </row>
    <row r="1111" spans="1:13" x14ac:dyDescent="0.45">
      <c r="A1111" t="s">
        <v>3601</v>
      </c>
      <c r="B1111">
        <v>1151917</v>
      </c>
      <c r="C1111">
        <v>1152354</v>
      </c>
      <c r="E1111" t="s">
        <v>42</v>
      </c>
      <c r="F1111" t="s">
        <v>427</v>
      </c>
      <c r="H1111">
        <v>83704911</v>
      </c>
      <c r="I1111" t="s">
        <v>17</v>
      </c>
      <c r="K1111" t="s">
        <v>6219</v>
      </c>
      <c r="L1111">
        <v>145</v>
      </c>
      <c r="M1111" t="s">
        <v>6220</v>
      </c>
    </row>
    <row r="1112" spans="1:13" x14ac:dyDescent="0.45">
      <c r="A1112" t="s">
        <v>3601</v>
      </c>
      <c r="B1112">
        <v>1152547</v>
      </c>
      <c r="C1112">
        <v>1153239</v>
      </c>
      <c r="E1112" t="s">
        <v>14</v>
      </c>
      <c r="F1112" t="s">
        <v>6221</v>
      </c>
      <c r="H1112">
        <v>83704912</v>
      </c>
      <c r="I1112" t="s">
        <v>17</v>
      </c>
      <c r="K1112" t="s">
        <v>6222</v>
      </c>
      <c r="L1112">
        <v>230</v>
      </c>
      <c r="M1112" t="s">
        <v>6223</v>
      </c>
    </row>
    <row r="1113" spans="1:13" x14ac:dyDescent="0.45">
      <c r="A1113" t="s">
        <v>3601</v>
      </c>
      <c r="B1113">
        <v>1153591</v>
      </c>
      <c r="C1113">
        <v>1154316</v>
      </c>
      <c r="E1113" t="s">
        <v>42</v>
      </c>
      <c r="F1113" t="s">
        <v>45</v>
      </c>
      <c r="H1113">
        <v>83704913</v>
      </c>
      <c r="I1113" t="s">
        <v>17</v>
      </c>
      <c r="K1113" t="s">
        <v>6224</v>
      </c>
      <c r="L1113">
        <v>241</v>
      </c>
      <c r="M1113" t="s">
        <v>6225</v>
      </c>
    </row>
    <row r="1114" spans="1:13" x14ac:dyDescent="0.45">
      <c r="A1114" t="s">
        <v>3601</v>
      </c>
      <c r="B1114">
        <v>1154598</v>
      </c>
      <c r="C1114">
        <v>1156160</v>
      </c>
      <c r="E1114" t="s">
        <v>42</v>
      </c>
      <c r="F1114" t="s">
        <v>141</v>
      </c>
      <c r="G1114" t="s">
        <v>142</v>
      </c>
      <c r="H1114">
        <v>83704914</v>
      </c>
      <c r="I1114" t="s">
        <v>17</v>
      </c>
      <c r="K1114" t="s">
        <v>6226</v>
      </c>
      <c r="L1114">
        <v>520</v>
      </c>
      <c r="M1114" t="s">
        <v>6227</v>
      </c>
    </row>
    <row r="1115" spans="1:13" x14ac:dyDescent="0.45">
      <c r="A1115" t="s">
        <v>3601</v>
      </c>
      <c r="B1115">
        <v>1156434</v>
      </c>
      <c r="C1115">
        <v>1157132</v>
      </c>
      <c r="E1115" t="s">
        <v>14</v>
      </c>
      <c r="F1115" t="s">
        <v>309</v>
      </c>
      <c r="H1115">
        <v>83704915</v>
      </c>
      <c r="I1115" t="s">
        <v>17</v>
      </c>
      <c r="K1115" t="s">
        <v>6228</v>
      </c>
      <c r="L1115">
        <v>232</v>
      </c>
      <c r="M1115" t="s">
        <v>6229</v>
      </c>
    </row>
    <row r="1116" spans="1:13" x14ac:dyDescent="0.45">
      <c r="A1116" t="s">
        <v>3601</v>
      </c>
      <c r="B1116">
        <v>1157365</v>
      </c>
      <c r="C1116">
        <v>1157697</v>
      </c>
      <c r="E1116" t="s">
        <v>14</v>
      </c>
      <c r="F1116" t="s">
        <v>6230</v>
      </c>
      <c r="H1116">
        <v>83704916</v>
      </c>
      <c r="I1116" t="s">
        <v>17</v>
      </c>
      <c r="K1116" t="s">
        <v>6231</v>
      </c>
      <c r="L1116">
        <v>110</v>
      </c>
      <c r="M1116" t="s">
        <v>6232</v>
      </c>
    </row>
    <row r="1117" spans="1:13" x14ac:dyDescent="0.45">
      <c r="A1117" t="s">
        <v>3601</v>
      </c>
      <c r="B1117">
        <v>1157712</v>
      </c>
      <c r="C1117">
        <v>1159283</v>
      </c>
      <c r="E1117" t="s">
        <v>14</v>
      </c>
      <c r="F1117" t="s">
        <v>810</v>
      </c>
      <c r="G1117" t="s">
        <v>811</v>
      </c>
      <c r="H1117">
        <v>83704917</v>
      </c>
      <c r="I1117" t="s">
        <v>17</v>
      </c>
      <c r="K1117" t="s">
        <v>6233</v>
      </c>
      <c r="L1117">
        <v>523</v>
      </c>
      <c r="M1117" t="s">
        <v>6234</v>
      </c>
    </row>
    <row r="1118" spans="1:13" x14ac:dyDescent="0.45">
      <c r="A1118" t="s">
        <v>3601</v>
      </c>
      <c r="B1118">
        <v>1159436</v>
      </c>
      <c r="C1118">
        <v>1160659</v>
      </c>
      <c r="E1118" t="s">
        <v>42</v>
      </c>
      <c r="F1118" t="s">
        <v>6235</v>
      </c>
      <c r="H1118">
        <v>83704918</v>
      </c>
      <c r="I1118" t="s">
        <v>17</v>
      </c>
      <c r="K1118" t="s">
        <v>6236</v>
      </c>
      <c r="L1118">
        <v>407</v>
      </c>
      <c r="M1118" t="s">
        <v>6237</v>
      </c>
    </row>
    <row r="1119" spans="1:13" x14ac:dyDescent="0.45">
      <c r="A1119" t="s">
        <v>3601</v>
      </c>
      <c r="B1119">
        <v>1160874</v>
      </c>
      <c r="C1119">
        <v>1161848</v>
      </c>
      <c r="E1119" t="s">
        <v>42</v>
      </c>
      <c r="F1119" t="s">
        <v>91</v>
      </c>
      <c r="H1119">
        <v>83704919</v>
      </c>
      <c r="I1119" t="s">
        <v>17</v>
      </c>
      <c r="K1119" t="s">
        <v>6238</v>
      </c>
      <c r="L1119">
        <v>324</v>
      </c>
      <c r="M1119" t="s">
        <v>6239</v>
      </c>
    </row>
    <row r="1120" spans="1:13" x14ac:dyDescent="0.45">
      <c r="A1120" t="s">
        <v>3601</v>
      </c>
      <c r="B1120">
        <v>1162147</v>
      </c>
      <c r="C1120">
        <v>1162587</v>
      </c>
      <c r="E1120" t="s">
        <v>42</v>
      </c>
      <c r="F1120" t="s">
        <v>6240</v>
      </c>
      <c r="H1120">
        <v>83704920</v>
      </c>
      <c r="I1120" t="s">
        <v>17</v>
      </c>
      <c r="K1120" t="s">
        <v>6241</v>
      </c>
      <c r="L1120">
        <v>146</v>
      </c>
      <c r="M1120" t="s">
        <v>6242</v>
      </c>
    </row>
    <row r="1121" spans="1:13" x14ac:dyDescent="0.45">
      <c r="A1121" t="s">
        <v>3601</v>
      </c>
      <c r="B1121">
        <v>1162584</v>
      </c>
      <c r="C1121">
        <v>1163519</v>
      </c>
      <c r="E1121" t="s">
        <v>42</v>
      </c>
      <c r="F1121" t="s">
        <v>6243</v>
      </c>
      <c r="H1121">
        <v>83704921</v>
      </c>
      <c r="I1121" t="s">
        <v>17</v>
      </c>
      <c r="K1121" t="s">
        <v>6244</v>
      </c>
      <c r="L1121">
        <v>311</v>
      </c>
      <c r="M1121" t="s">
        <v>6245</v>
      </c>
    </row>
    <row r="1122" spans="1:13" x14ac:dyDescent="0.45">
      <c r="A1122" t="s">
        <v>3601</v>
      </c>
      <c r="B1122">
        <v>1163974</v>
      </c>
      <c r="C1122">
        <v>1164387</v>
      </c>
      <c r="E1122" t="s">
        <v>42</v>
      </c>
      <c r="F1122" t="s">
        <v>6246</v>
      </c>
      <c r="G1122" t="s">
        <v>6247</v>
      </c>
      <c r="H1122">
        <v>83704922</v>
      </c>
      <c r="I1122" t="s">
        <v>17</v>
      </c>
      <c r="K1122" t="s">
        <v>6248</v>
      </c>
      <c r="L1122">
        <v>137</v>
      </c>
      <c r="M1122" t="s">
        <v>6249</v>
      </c>
    </row>
    <row r="1123" spans="1:13" x14ac:dyDescent="0.45">
      <c r="A1123" t="s">
        <v>3601</v>
      </c>
      <c r="B1123">
        <v>1164485</v>
      </c>
      <c r="C1123">
        <v>1165240</v>
      </c>
      <c r="E1123" t="s">
        <v>42</v>
      </c>
      <c r="F1123" t="s">
        <v>766</v>
      </c>
      <c r="H1123">
        <v>83704923</v>
      </c>
      <c r="I1123" t="s">
        <v>17</v>
      </c>
      <c r="K1123" t="s">
        <v>6250</v>
      </c>
      <c r="L1123">
        <v>251</v>
      </c>
      <c r="M1123" t="s">
        <v>6251</v>
      </c>
    </row>
    <row r="1124" spans="1:13" x14ac:dyDescent="0.45">
      <c r="A1124" t="s">
        <v>3601</v>
      </c>
      <c r="B1124">
        <v>1165245</v>
      </c>
      <c r="C1124">
        <v>1167740</v>
      </c>
      <c r="E1124" t="s">
        <v>42</v>
      </c>
      <c r="F1124" t="s">
        <v>26</v>
      </c>
      <c r="G1124" t="s">
        <v>27</v>
      </c>
      <c r="H1124">
        <v>83704924</v>
      </c>
      <c r="I1124" t="s">
        <v>17</v>
      </c>
      <c r="K1124" t="s">
        <v>6252</v>
      </c>
      <c r="L1124">
        <v>831</v>
      </c>
      <c r="M1124" t="s">
        <v>6253</v>
      </c>
    </row>
    <row r="1125" spans="1:13" x14ac:dyDescent="0.45">
      <c r="A1125" t="s">
        <v>3601</v>
      </c>
      <c r="B1125">
        <v>1167932</v>
      </c>
      <c r="C1125">
        <v>1168915</v>
      </c>
      <c r="E1125" t="s">
        <v>14</v>
      </c>
      <c r="F1125" t="s">
        <v>155</v>
      </c>
      <c r="H1125">
        <v>83704925</v>
      </c>
      <c r="I1125" t="s">
        <v>17</v>
      </c>
      <c r="K1125" t="s">
        <v>6254</v>
      </c>
      <c r="L1125">
        <v>327</v>
      </c>
      <c r="M1125" t="s">
        <v>6255</v>
      </c>
    </row>
    <row r="1126" spans="1:13" x14ac:dyDescent="0.45">
      <c r="A1126" t="s">
        <v>3601</v>
      </c>
      <c r="B1126">
        <v>1169280</v>
      </c>
      <c r="C1126">
        <v>1169660</v>
      </c>
      <c r="E1126" t="s">
        <v>42</v>
      </c>
      <c r="F1126" t="s">
        <v>51</v>
      </c>
      <c r="G1126" t="s">
        <v>6256</v>
      </c>
      <c r="H1126">
        <v>83704926</v>
      </c>
      <c r="I1126" t="s">
        <v>52</v>
      </c>
      <c r="M1126" t="s">
        <v>6257</v>
      </c>
    </row>
    <row r="1127" spans="1:13" x14ac:dyDescent="0.45">
      <c r="A1127" t="s">
        <v>3601</v>
      </c>
      <c r="B1127">
        <v>1169891</v>
      </c>
      <c r="C1127">
        <v>1171258</v>
      </c>
      <c r="E1127" t="s">
        <v>42</v>
      </c>
      <c r="F1127" t="s">
        <v>6258</v>
      </c>
      <c r="G1127" t="s">
        <v>6259</v>
      </c>
      <c r="H1127">
        <v>83704927</v>
      </c>
      <c r="I1127" t="s">
        <v>17</v>
      </c>
      <c r="K1127" t="s">
        <v>6260</v>
      </c>
      <c r="L1127">
        <v>455</v>
      </c>
      <c r="M1127" t="s">
        <v>6261</v>
      </c>
    </row>
    <row r="1128" spans="1:13" x14ac:dyDescent="0.45">
      <c r="A1128" t="s">
        <v>3601</v>
      </c>
      <c r="B1128">
        <v>1171509</v>
      </c>
      <c r="C1128">
        <v>1172111</v>
      </c>
      <c r="E1128" t="s">
        <v>42</v>
      </c>
      <c r="F1128" t="s">
        <v>6262</v>
      </c>
      <c r="H1128">
        <v>83704928</v>
      </c>
      <c r="I1128" t="s">
        <v>17</v>
      </c>
      <c r="K1128" t="s">
        <v>6263</v>
      </c>
      <c r="L1128">
        <v>200</v>
      </c>
      <c r="M1128" t="s">
        <v>6264</v>
      </c>
    </row>
    <row r="1129" spans="1:13" x14ac:dyDescent="0.45">
      <c r="A1129" t="s">
        <v>3601</v>
      </c>
      <c r="B1129">
        <v>1172112</v>
      </c>
      <c r="C1129">
        <v>1173089</v>
      </c>
      <c r="E1129" t="s">
        <v>42</v>
      </c>
      <c r="F1129" t="s">
        <v>6265</v>
      </c>
      <c r="H1129">
        <v>83704929</v>
      </c>
      <c r="I1129" t="s">
        <v>17</v>
      </c>
      <c r="K1129" t="s">
        <v>6266</v>
      </c>
      <c r="L1129">
        <v>325</v>
      </c>
      <c r="M1129" t="s">
        <v>6267</v>
      </c>
    </row>
    <row r="1130" spans="1:13" x14ac:dyDescent="0.45">
      <c r="A1130" t="s">
        <v>3601</v>
      </c>
      <c r="B1130">
        <v>1173092</v>
      </c>
      <c r="C1130">
        <v>1174351</v>
      </c>
      <c r="E1130" t="s">
        <v>42</v>
      </c>
      <c r="F1130" t="s">
        <v>146</v>
      </c>
      <c r="G1130" t="s">
        <v>147</v>
      </c>
      <c r="H1130">
        <v>83704930</v>
      </c>
      <c r="I1130" t="s">
        <v>17</v>
      </c>
      <c r="K1130" t="s">
        <v>6268</v>
      </c>
      <c r="L1130">
        <v>419</v>
      </c>
      <c r="M1130" t="s">
        <v>6269</v>
      </c>
    </row>
    <row r="1131" spans="1:13" x14ac:dyDescent="0.45">
      <c r="A1131" t="s">
        <v>3601</v>
      </c>
      <c r="B1131">
        <v>1174363</v>
      </c>
      <c r="C1131">
        <v>1174794</v>
      </c>
      <c r="E1131" t="s">
        <v>42</v>
      </c>
      <c r="F1131" t="s">
        <v>144</v>
      </c>
      <c r="H1131">
        <v>83704931</v>
      </c>
      <c r="I1131" t="s">
        <v>17</v>
      </c>
      <c r="K1131" t="s">
        <v>6270</v>
      </c>
      <c r="L1131">
        <v>143</v>
      </c>
      <c r="M1131" t="s">
        <v>6271</v>
      </c>
    </row>
    <row r="1132" spans="1:13" x14ac:dyDescent="0.45">
      <c r="A1132" t="s">
        <v>3601</v>
      </c>
      <c r="B1132">
        <v>1174808</v>
      </c>
      <c r="C1132">
        <v>1175401</v>
      </c>
      <c r="E1132" t="s">
        <v>42</v>
      </c>
      <c r="F1132" t="s">
        <v>518</v>
      </c>
      <c r="H1132">
        <v>83704932</v>
      </c>
      <c r="I1132" t="s">
        <v>17</v>
      </c>
      <c r="K1132" t="s">
        <v>6272</v>
      </c>
      <c r="L1132">
        <v>197</v>
      </c>
      <c r="M1132" t="s">
        <v>6273</v>
      </c>
    </row>
    <row r="1133" spans="1:13" x14ac:dyDescent="0.45">
      <c r="A1133" t="s">
        <v>3601</v>
      </c>
      <c r="B1133">
        <v>1175373</v>
      </c>
      <c r="C1133">
        <v>1176221</v>
      </c>
      <c r="E1133" t="s">
        <v>42</v>
      </c>
      <c r="F1133" t="s">
        <v>516</v>
      </c>
      <c r="G1133" t="s">
        <v>517</v>
      </c>
      <c r="H1133">
        <v>83704933</v>
      </c>
      <c r="I1133" t="s">
        <v>17</v>
      </c>
      <c r="K1133" t="s">
        <v>6274</v>
      </c>
      <c r="L1133">
        <v>282</v>
      </c>
      <c r="M1133" t="s">
        <v>6275</v>
      </c>
    </row>
    <row r="1134" spans="1:13" x14ac:dyDescent="0.45">
      <c r="A1134" t="s">
        <v>3601</v>
      </c>
      <c r="B1134">
        <v>1176218</v>
      </c>
      <c r="C1134">
        <v>1177300</v>
      </c>
      <c r="E1134" t="s">
        <v>42</v>
      </c>
      <c r="F1134" t="s">
        <v>514</v>
      </c>
      <c r="G1134" t="s">
        <v>515</v>
      </c>
      <c r="H1134">
        <v>83704934</v>
      </c>
      <c r="I1134" t="s">
        <v>17</v>
      </c>
      <c r="K1134" t="s">
        <v>6276</v>
      </c>
      <c r="L1134">
        <v>360</v>
      </c>
      <c r="M1134" t="s">
        <v>6277</v>
      </c>
    </row>
    <row r="1135" spans="1:13" x14ac:dyDescent="0.45">
      <c r="A1135" t="s">
        <v>3601</v>
      </c>
      <c r="B1135">
        <v>1177342</v>
      </c>
      <c r="C1135">
        <v>1177911</v>
      </c>
      <c r="E1135" t="s">
        <v>42</v>
      </c>
      <c r="F1135" t="s">
        <v>513</v>
      </c>
      <c r="H1135">
        <v>83704935</v>
      </c>
      <c r="I1135" t="s">
        <v>17</v>
      </c>
      <c r="K1135" t="s">
        <v>6278</v>
      </c>
      <c r="L1135">
        <v>189</v>
      </c>
      <c r="M1135" t="s">
        <v>6279</v>
      </c>
    </row>
    <row r="1136" spans="1:13" x14ac:dyDescent="0.45">
      <c r="A1136" t="s">
        <v>3601</v>
      </c>
      <c r="B1136">
        <v>1178100</v>
      </c>
      <c r="C1136">
        <v>1178285</v>
      </c>
      <c r="E1136" t="s">
        <v>14</v>
      </c>
      <c r="F1136" t="s">
        <v>6280</v>
      </c>
      <c r="H1136">
        <v>83704936</v>
      </c>
      <c r="I1136" t="s">
        <v>17</v>
      </c>
      <c r="K1136" t="s">
        <v>6281</v>
      </c>
      <c r="L1136">
        <v>61</v>
      </c>
      <c r="M1136" t="s">
        <v>6282</v>
      </c>
    </row>
    <row r="1137" spans="1:13" x14ac:dyDescent="0.45">
      <c r="A1137" t="s">
        <v>3601</v>
      </c>
      <c r="B1137">
        <v>1178340</v>
      </c>
      <c r="C1137">
        <v>1179281</v>
      </c>
      <c r="E1137" t="s">
        <v>14</v>
      </c>
      <c r="F1137" t="s">
        <v>1009</v>
      </c>
      <c r="H1137">
        <v>83704937</v>
      </c>
      <c r="I1137" t="s">
        <v>17</v>
      </c>
      <c r="K1137" t="s">
        <v>6283</v>
      </c>
      <c r="L1137">
        <v>313</v>
      </c>
      <c r="M1137" t="s">
        <v>6284</v>
      </c>
    </row>
    <row r="1138" spans="1:13" x14ac:dyDescent="0.45">
      <c r="A1138" t="s">
        <v>3601</v>
      </c>
      <c r="B1138">
        <v>1179562</v>
      </c>
      <c r="C1138">
        <v>1180143</v>
      </c>
      <c r="E1138" t="s">
        <v>42</v>
      </c>
      <c r="F1138" t="s">
        <v>140</v>
      </c>
      <c r="H1138">
        <v>83704938</v>
      </c>
      <c r="I1138" t="s">
        <v>17</v>
      </c>
      <c r="K1138" t="s">
        <v>6285</v>
      </c>
      <c r="L1138">
        <v>193</v>
      </c>
      <c r="M1138" t="s">
        <v>6286</v>
      </c>
    </row>
    <row r="1139" spans="1:13" x14ac:dyDescent="0.45">
      <c r="A1139" t="s">
        <v>3601</v>
      </c>
      <c r="B1139">
        <v>1180329</v>
      </c>
      <c r="C1139">
        <v>1181312</v>
      </c>
      <c r="E1139" t="s">
        <v>42</v>
      </c>
      <c r="F1139" t="s">
        <v>1020</v>
      </c>
      <c r="G1139" t="s">
        <v>6287</v>
      </c>
      <c r="H1139">
        <v>83704939</v>
      </c>
      <c r="I1139" t="s">
        <v>17</v>
      </c>
      <c r="K1139" t="s">
        <v>6288</v>
      </c>
      <c r="L1139">
        <v>327</v>
      </c>
      <c r="M1139" t="s">
        <v>6289</v>
      </c>
    </row>
    <row r="1140" spans="1:13" x14ac:dyDescent="0.45">
      <c r="A1140" t="s">
        <v>3601</v>
      </c>
      <c r="B1140">
        <v>1181674</v>
      </c>
      <c r="C1140">
        <v>1183206</v>
      </c>
      <c r="E1140" t="s">
        <v>42</v>
      </c>
      <c r="F1140" t="s">
        <v>6290</v>
      </c>
      <c r="H1140">
        <v>83704940</v>
      </c>
      <c r="I1140" t="s">
        <v>17</v>
      </c>
      <c r="K1140" t="s">
        <v>6291</v>
      </c>
      <c r="L1140">
        <v>510</v>
      </c>
      <c r="M1140" t="s">
        <v>6292</v>
      </c>
    </row>
    <row r="1141" spans="1:13" x14ac:dyDescent="0.45">
      <c r="A1141" t="s">
        <v>3601</v>
      </c>
      <c r="B1141">
        <v>1183199</v>
      </c>
      <c r="C1141">
        <v>1183927</v>
      </c>
      <c r="E1141" t="s">
        <v>42</v>
      </c>
      <c r="F1141" t="s">
        <v>72</v>
      </c>
      <c r="H1141">
        <v>83704941</v>
      </c>
      <c r="I1141" t="s">
        <v>17</v>
      </c>
      <c r="K1141" t="s">
        <v>6293</v>
      </c>
      <c r="L1141">
        <v>242</v>
      </c>
      <c r="M1141" t="s">
        <v>6294</v>
      </c>
    </row>
    <row r="1142" spans="1:13" x14ac:dyDescent="0.45">
      <c r="A1142" t="s">
        <v>3601</v>
      </c>
      <c r="B1142">
        <v>1184182</v>
      </c>
      <c r="C1142">
        <v>1184868</v>
      </c>
      <c r="E1142" t="s">
        <v>14</v>
      </c>
      <c r="F1142" t="s">
        <v>6295</v>
      </c>
      <c r="H1142">
        <v>83704942</v>
      </c>
      <c r="I1142" t="s">
        <v>17</v>
      </c>
      <c r="K1142" t="s">
        <v>6296</v>
      </c>
      <c r="L1142">
        <v>228</v>
      </c>
      <c r="M1142" t="s">
        <v>6297</v>
      </c>
    </row>
    <row r="1143" spans="1:13" x14ac:dyDescent="0.45">
      <c r="A1143" t="s">
        <v>3601</v>
      </c>
      <c r="B1143">
        <v>1184972</v>
      </c>
      <c r="C1143">
        <v>1185730</v>
      </c>
      <c r="E1143" t="s">
        <v>42</v>
      </c>
      <c r="F1143" t="s">
        <v>446</v>
      </c>
      <c r="H1143">
        <v>83704943</v>
      </c>
      <c r="I1143" t="s">
        <v>17</v>
      </c>
      <c r="K1143" t="s">
        <v>6298</v>
      </c>
      <c r="L1143">
        <v>252</v>
      </c>
      <c r="M1143" t="s">
        <v>6299</v>
      </c>
    </row>
    <row r="1144" spans="1:13" x14ac:dyDescent="0.45">
      <c r="A1144" t="s">
        <v>3601</v>
      </c>
      <c r="B1144">
        <v>1185830</v>
      </c>
      <c r="C1144">
        <v>1186831</v>
      </c>
      <c r="E1144" t="s">
        <v>42</v>
      </c>
      <c r="F1144" t="s">
        <v>488</v>
      </c>
      <c r="G1144" t="s">
        <v>489</v>
      </c>
      <c r="H1144">
        <v>83704944</v>
      </c>
      <c r="I1144" t="s">
        <v>17</v>
      </c>
      <c r="K1144" t="s">
        <v>6300</v>
      </c>
      <c r="L1144">
        <v>333</v>
      </c>
      <c r="M1144" t="s">
        <v>6301</v>
      </c>
    </row>
    <row r="1145" spans="1:13" x14ac:dyDescent="0.45">
      <c r="A1145" t="s">
        <v>3601</v>
      </c>
      <c r="B1145">
        <v>1186842</v>
      </c>
      <c r="C1145">
        <v>1187738</v>
      </c>
      <c r="E1145" t="s">
        <v>42</v>
      </c>
      <c r="F1145" t="s">
        <v>442</v>
      </c>
      <c r="H1145">
        <v>83704945</v>
      </c>
      <c r="I1145" t="s">
        <v>17</v>
      </c>
      <c r="K1145" t="s">
        <v>6302</v>
      </c>
      <c r="L1145">
        <v>298</v>
      </c>
      <c r="M1145" t="s">
        <v>6303</v>
      </c>
    </row>
    <row r="1146" spans="1:13" x14ac:dyDescent="0.45">
      <c r="A1146" t="s">
        <v>3601</v>
      </c>
      <c r="B1146">
        <v>1187735</v>
      </c>
      <c r="C1146">
        <v>1188571</v>
      </c>
      <c r="E1146" t="s">
        <v>42</v>
      </c>
      <c r="F1146" t="s">
        <v>441</v>
      </c>
      <c r="H1146">
        <v>83704946</v>
      </c>
      <c r="I1146" t="s">
        <v>17</v>
      </c>
      <c r="K1146" t="s">
        <v>6304</v>
      </c>
      <c r="L1146">
        <v>278</v>
      </c>
      <c r="M1146" t="s">
        <v>6305</v>
      </c>
    </row>
    <row r="1147" spans="1:13" x14ac:dyDescent="0.45">
      <c r="A1147" t="s">
        <v>3601</v>
      </c>
      <c r="B1147">
        <v>1188546</v>
      </c>
      <c r="C1147">
        <v>1189217</v>
      </c>
      <c r="E1147" t="s">
        <v>42</v>
      </c>
      <c r="F1147" t="s">
        <v>878</v>
      </c>
      <c r="H1147">
        <v>83704947</v>
      </c>
      <c r="I1147" t="s">
        <v>17</v>
      </c>
      <c r="K1147" t="s">
        <v>6306</v>
      </c>
      <c r="L1147">
        <v>223</v>
      </c>
      <c r="M1147" t="s">
        <v>6307</v>
      </c>
    </row>
    <row r="1148" spans="1:13" x14ac:dyDescent="0.45">
      <c r="A1148" t="s">
        <v>3601</v>
      </c>
      <c r="B1148">
        <v>1189312</v>
      </c>
      <c r="C1148">
        <v>1189884</v>
      </c>
      <c r="E1148" t="s">
        <v>14</v>
      </c>
      <c r="F1148" t="s">
        <v>440</v>
      </c>
      <c r="H1148">
        <v>83704948</v>
      </c>
      <c r="I1148" t="s">
        <v>17</v>
      </c>
      <c r="K1148" t="s">
        <v>6308</v>
      </c>
      <c r="L1148">
        <v>190</v>
      </c>
      <c r="M1148" t="s">
        <v>6309</v>
      </c>
    </row>
    <row r="1149" spans="1:13" x14ac:dyDescent="0.45">
      <c r="A1149" t="s">
        <v>3601</v>
      </c>
      <c r="B1149">
        <v>1190019</v>
      </c>
      <c r="C1149">
        <v>1190993</v>
      </c>
      <c r="E1149" t="s">
        <v>14</v>
      </c>
      <c r="F1149" t="s">
        <v>93</v>
      </c>
      <c r="H1149">
        <v>83704949</v>
      </c>
      <c r="I1149" t="s">
        <v>17</v>
      </c>
      <c r="K1149" t="s">
        <v>6310</v>
      </c>
      <c r="L1149">
        <v>324</v>
      </c>
      <c r="M1149" t="s">
        <v>6311</v>
      </c>
    </row>
    <row r="1150" spans="1:13" x14ac:dyDescent="0.45">
      <c r="A1150" t="s">
        <v>3601</v>
      </c>
      <c r="B1150">
        <v>1190996</v>
      </c>
      <c r="C1150">
        <v>1192123</v>
      </c>
      <c r="E1150" t="s">
        <v>14</v>
      </c>
      <c r="F1150" t="s">
        <v>543</v>
      </c>
      <c r="H1150">
        <v>83704950</v>
      </c>
      <c r="I1150" t="s">
        <v>17</v>
      </c>
      <c r="K1150" t="s">
        <v>6312</v>
      </c>
      <c r="L1150">
        <v>375</v>
      </c>
      <c r="M1150" t="s">
        <v>6313</v>
      </c>
    </row>
    <row r="1151" spans="1:13" x14ac:dyDescent="0.45">
      <c r="A1151" t="s">
        <v>3601</v>
      </c>
      <c r="B1151">
        <v>1192113</v>
      </c>
      <c r="C1151">
        <v>1192460</v>
      </c>
      <c r="E1151" t="s">
        <v>14</v>
      </c>
      <c r="F1151" t="s">
        <v>573</v>
      </c>
      <c r="H1151">
        <v>83704951</v>
      </c>
      <c r="I1151" t="s">
        <v>17</v>
      </c>
      <c r="K1151" t="s">
        <v>6314</v>
      </c>
      <c r="L1151">
        <v>115</v>
      </c>
      <c r="M1151" t="s">
        <v>6315</v>
      </c>
    </row>
    <row r="1152" spans="1:13" x14ac:dyDescent="0.45">
      <c r="A1152" t="s">
        <v>3601</v>
      </c>
      <c r="B1152">
        <v>1192745</v>
      </c>
      <c r="C1152">
        <v>1193389</v>
      </c>
      <c r="E1152" t="s">
        <v>14</v>
      </c>
      <c r="F1152" t="s">
        <v>311</v>
      </c>
      <c r="H1152">
        <v>83704952</v>
      </c>
      <c r="I1152" t="s">
        <v>17</v>
      </c>
      <c r="K1152" t="s">
        <v>6316</v>
      </c>
      <c r="L1152">
        <v>214</v>
      </c>
      <c r="M1152" t="s">
        <v>6317</v>
      </c>
    </row>
    <row r="1153" spans="1:13" x14ac:dyDescent="0.45">
      <c r="A1153" t="s">
        <v>3601</v>
      </c>
      <c r="B1153">
        <v>1193401</v>
      </c>
      <c r="C1153">
        <v>1194096</v>
      </c>
      <c r="E1153" t="s">
        <v>14</v>
      </c>
      <c r="F1153" t="s">
        <v>1023</v>
      </c>
      <c r="H1153">
        <v>83704953</v>
      </c>
      <c r="I1153" t="s">
        <v>17</v>
      </c>
      <c r="K1153" t="s">
        <v>6318</v>
      </c>
      <c r="L1153">
        <v>231</v>
      </c>
      <c r="M1153" t="s">
        <v>6319</v>
      </c>
    </row>
    <row r="1154" spans="1:13" x14ac:dyDescent="0.45">
      <c r="A1154" t="s">
        <v>3601</v>
      </c>
      <c r="B1154">
        <v>1194098</v>
      </c>
      <c r="C1154">
        <v>1194775</v>
      </c>
      <c r="E1154" t="s">
        <v>42</v>
      </c>
      <c r="F1154" t="s">
        <v>6320</v>
      </c>
      <c r="G1154" t="s">
        <v>548</v>
      </c>
      <c r="H1154">
        <v>83704954</v>
      </c>
      <c r="I1154" t="s">
        <v>17</v>
      </c>
      <c r="K1154" t="s">
        <v>6321</v>
      </c>
      <c r="L1154">
        <v>225</v>
      </c>
      <c r="M1154" t="s">
        <v>6322</v>
      </c>
    </row>
    <row r="1155" spans="1:13" x14ac:dyDescent="0.45">
      <c r="A1155" t="s">
        <v>3601</v>
      </c>
      <c r="B1155">
        <v>1194942</v>
      </c>
      <c r="C1155">
        <v>1196069</v>
      </c>
      <c r="E1155" t="s">
        <v>42</v>
      </c>
      <c r="F1155" t="s">
        <v>53</v>
      </c>
      <c r="H1155">
        <v>83704955</v>
      </c>
      <c r="I1155" t="s">
        <v>17</v>
      </c>
      <c r="K1155" t="s">
        <v>6323</v>
      </c>
      <c r="L1155">
        <v>375</v>
      </c>
      <c r="M1155" t="s">
        <v>6324</v>
      </c>
    </row>
    <row r="1156" spans="1:13" x14ac:dyDescent="0.45">
      <c r="A1156" t="s">
        <v>3601</v>
      </c>
      <c r="B1156">
        <v>1196379</v>
      </c>
      <c r="C1156">
        <v>1196993</v>
      </c>
      <c r="E1156" t="s">
        <v>42</v>
      </c>
      <c r="F1156" t="s">
        <v>54</v>
      </c>
      <c r="H1156">
        <v>83704956</v>
      </c>
      <c r="I1156" t="s">
        <v>17</v>
      </c>
      <c r="K1156" t="s">
        <v>6325</v>
      </c>
      <c r="L1156">
        <v>204</v>
      </c>
      <c r="M1156" t="s">
        <v>6326</v>
      </c>
    </row>
    <row r="1157" spans="1:13" x14ac:dyDescent="0.45">
      <c r="A1157" t="s">
        <v>3601</v>
      </c>
      <c r="B1157">
        <v>1197197</v>
      </c>
      <c r="C1157">
        <v>1198729</v>
      </c>
      <c r="E1157" t="s">
        <v>42</v>
      </c>
      <c r="F1157" t="s">
        <v>875</v>
      </c>
      <c r="H1157">
        <v>83704957</v>
      </c>
      <c r="I1157" t="s">
        <v>17</v>
      </c>
      <c r="K1157" t="s">
        <v>6327</v>
      </c>
      <c r="L1157">
        <v>510</v>
      </c>
      <c r="M1157" t="s">
        <v>6328</v>
      </c>
    </row>
    <row r="1158" spans="1:13" x14ac:dyDescent="0.45">
      <c r="A1158" t="s">
        <v>3601</v>
      </c>
      <c r="B1158">
        <v>1198888</v>
      </c>
      <c r="C1158">
        <v>1199961</v>
      </c>
      <c r="E1158" t="s">
        <v>42</v>
      </c>
      <c r="F1158" t="s">
        <v>495</v>
      </c>
      <c r="H1158">
        <v>83704958</v>
      </c>
      <c r="I1158" t="s">
        <v>17</v>
      </c>
      <c r="K1158" t="s">
        <v>6329</v>
      </c>
      <c r="L1158">
        <v>357</v>
      </c>
      <c r="M1158" t="s">
        <v>6330</v>
      </c>
    </row>
    <row r="1159" spans="1:13" x14ac:dyDescent="0.45">
      <c r="A1159" t="s">
        <v>3601</v>
      </c>
      <c r="B1159">
        <v>1199954</v>
      </c>
      <c r="C1159">
        <v>1200730</v>
      </c>
      <c r="E1159" t="s">
        <v>42</v>
      </c>
      <c r="F1159" t="s">
        <v>113</v>
      </c>
      <c r="H1159">
        <v>83704959</v>
      </c>
      <c r="I1159" t="s">
        <v>17</v>
      </c>
      <c r="K1159" t="s">
        <v>6331</v>
      </c>
      <c r="L1159">
        <v>258</v>
      </c>
      <c r="M1159" t="s">
        <v>6332</v>
      </c>
    </row>
    <row r="1160" spans="1:13" x14ac:dyDescent="0.45">
      <c r="A1160" t="s">
        <v>3601</v>
      </c>
      <c r="B1160">
        <v>1200727</v>
      </c>
      <c r="C1160">
        <v>1201521</v>
      </c>
      <c r="E1160" t="s">
        <v>42</v>
      </c>
      <c r="F1160" t="s">
        <v>113</v>
      </c>
      <c r="H1160">
        <v>83704960</v>
      </c>
      <c r="I1160" t="s">
        <v>17</v>
      </c>
      <c r="K1160" t="s">
        <v>6333</v>
      </c>
      <c r="L1160">
        <v>264</v>
      </c>
      <c r="M1160" t="s">
        <v>6334</v>
      </c>
    </row>
    <row r="1161" spans="1:13" x14ac:dyDescent="0.45">
      <c r="A1161" t="s">
        <v>3601</v>
      </c>
      <c r="B1161">
        <v>1201505</v>
      </c>
      <c r="C1161">
        <v>1202659</v>
      </c>
      <c r="E1161" t="s">
        <v>42</v>
      </c>
      <c r="F1161" t="s">
        <v>72</v>
      </c>
      <c r="H1161">
        <v>83704961</v>
      </c>
      <c r="I1161" t="s">
        <v>17</v>
      </c>
      <c r="K1161" t="s">
        <v>6335</v>
      </c>
      <c r="L1161">
        <v>384</v>
      </c>
      <c r="M1161" t="s">
        <v>6336</v>
      </c>
    </row>
    <row r="1162" spans="1:13" x14ac:dyDescent="0.45">
      <c r="A1162" t="s">
        <v>3601</v>
      </c>
      <c r="B1162">
        <v>1202705</v>
      </c>
      <c r="C1162">
        <v>1203592</v>
      </c>
      <c r="E1162" t="s">
        <v>42</v>
      </c>
      <c r="F1162" t="s">
        <v>493</v>
      </c>
      <c r="G1162" t="s">
        <v>494</v>
      </c>
      <c r="H1162">
        <v>83704962</v>
      </c>
      <c r="I1162" t="s">
        <v>17</v>
      </c>
      <c r="K1162" t="s">
        <v>6337</v>
      </c>
      <c r="L1162">
        <v>295</v>
      </c>
      <c r="M1162" t="s">
        <v>6338</v>
      </c>
    </row>
    <row r="1163" spans="1:13" x14ac:dyDescent="0.45">
      <c r="A1163" t="s">
        <v>3601</v>
      </c>
      <c r="B1163">
        <v>1203688</v>
      </c>
      <c r="C1163">
        <v>1204194</v>
      </c>
      <c r="E1163" t="s">
        <v>42</v>
      </c>
      <c r="F1163" t="s">
        <v>6339</v>
      </c>
      <c r="G1163" t="s">
        <v>6340</v>
      </c>
      <c r="H1163">
        <v>83704963</v>
      </c>
      <c r="I1163" t="s">
        <v>17</v>
      </c>
      <c r="K1163" t="s">
        <v>6341</v>
      </c>
      <c r="L1163">
        <v>168</v>
      </c>
      <c r="M1163" t="s">
        <v>6342</v>
      </c>
    </row>
    <row r="1164" spans="1:13" x14ac:dyDescent="0.45">
      <c r="A1164" t="s">
        <v>3601</v>
      </c>
      <c r="B1164">
        <v>1204191</v>
      </c>
      <c r="C1164">
        <v>1204550</v>
      </c>
      <c r="E1164" t="s">
        <v>42</v>
      </c>
      <c r="F1164" t="s">
        <v>6343</v>
      </c>
      <c r="G1164" t="s">
        <v>6344</v>
      </c>
      <c r="H1164">
        <v>83704964</v>
      </c>
      <c r="I1164" t="s">
        <v>17</v>
      </c>
      <c r="K1164" t="s">
        <v>6345</v>
      </c>
      <c r="L1164">
        <v>119</v>
      </c>
      <c r="M1164" t="s">
        <v>6346</v>
      </c>
    </row>
    <row r="1165" spans="1:13" x14ac:dyDescent="0.45">
      <c r="A1165" t="s">
        <v>3601</v>
      </c>
      <c r="B1165">
        <v>1204557</v>
      </c>
      <c r="C1165">
        <v>1205357</v>
      </c>
      <c r="E1165" t="s">
        <v>42</v>
      </c>
      <c r="F1165" t="s">
        <v>6347</v>
      </c>
      <c r="G1165" t="s">
        <v>6348</v>
      </c>
      <c r="H1165">
        <v>83704965</v>
      </c>
      <c r="I1165" t="s">
        <v>17</v>
      </c>
      <c r="K1165" t="s">
        <v>6349</v>
      </c>
      <c r="L1165">
        <v>266</v>
      </c>
      <c r="M1165" t="s">
        <v>6350</v>
      </c>
    </row>
    <row r="1166" spans="1:13" x14ac:dyDescent="0.45">
      <c r="A1166" t="s">
        <v>3601</v>
      </c>
      <c r="B1166">
        <v>1205365</v>
      </c>
      <c r="C1166">
        <v>1205931</v>
      </c>
      <c r="E1166" t="s">
        <v>42</v>
      </c>
      <c r="F1166" t="s">
        <v>6351</v>
      </c>
      <c r="G1166" t="s">
        <v>6352</v>
      </c>
      <c r="H1166">
        <v>83704966</v>
      </c>
      <c r="I1166" t="s">
        <v>17</v>
      </c>
      <c r="K1166" t="s">
        <v>6353</v>
      </c>
      <c r="L1166">
        <v>188</v>
      </c>
      <c r="M1166" t="s">
        <v>6354</v>
      </c>
    </row>
    <row r="1167" spans="1:13" x14ac:dyDescent="0.45">
      <c r="A1167" t="s">
        <v>3601</v>
      </c>
      <c r="B1167">
        <v>1205988</v>
      </c>
      <c r="C1167">
        <v>1207247</v>
      </c>
      <c r="E1167" t="s">
        <v>42</v>
      </c>
      <c r="F1167" t="s">
        <v>6355</v>
      </c>
      <c r="H1167">
        <v>83704967</v>
      </c>
      <c r="I1167" t="s">
        <v>17</v>
      </c>
      <c r="K1167" t="s">
        <v>6356</v>
      </c>
      <c r="L1167">
        <v>419</v>
      </c>
      <c r="M1167" t="s">
        <v>6357</v>
      </c>
    </row>
    <row r="1168" spans="1:13" x14ac:dyDescent="0.45">
      <c r="A1168" t="s">
        <v>3601</v>
      </c>
      <c r="B1168">
        <v>1207430</v>
      </c>
      <c r="C1168">
        <v>1208290</v>
      </c>
      <c r="E1168" t="s">
        <v>42</v>
      </c>
      <c r="F1168" t="s">
        <v>752</v>
      </c>
      <c r="G1168" t="s">
        <v>753</v>
      </c>
      <c r="H1168">
        <v>83704968</v>
      </c>
      <c r="I1168" t="s">
        <v>17</v>
      </c>
      <c r="K1168" t="s">
        <v>6358</v>
      </c>
      <c r="L1168">
        <v>286</v>
      </c>
      <c r="M1168" t="s">
        <v>6359</v>
      </c>
    </row>
    <row r="1169" spans="1:13" x14ac:dyDescent="0.45">
      <c r="A1169" t="s">
        <v>3601</v>
      </c>
      <c r="B1169">
        <v>1208292</v>
      </c>
      <c r="C1169">
        <v>1209575</v>
      </c>
      <c r="E1169" t="s">
        <v>42</v>
      </c>
      <c r="F1169" t="s">
        <v>754</v>
      </c>
      <c r="H1169">
        <v>83704969</v>
      </c>
      <c r="I1169" t="s">
        <v>17</v>
      </c>
      <c r="K1169" t="s">
        <v>6360</v>
      </c>
      <c r="L1169">
        <v>427</v>
      </c>
      <c r="M1169" t="s">
        <v>6361</v>
      </c>
    </row>
    <row r="1170" spans="1:13" x14ac:dyDescent="0.45">
      <c r="A1170" t="s">
        <v>3601</v>
      </c>
      <c r="B1170">
        <v>1209746</v>
      </c>
      <c r="C1170">
        <v>1210711</v>
      </c>
      <c r="E1170" t="s">
        <v>14</v>
      </c>
      <c r="F1170" t="s">
        <v>5243</v>
      </c>
      <c r="H1170">
        <v>83704970</v>
      </c>
      <c r="I1170" t="s">
        <v>17</v>
      </c>
      <c r="K1170" t="s">
        <v>6362</v>
      </c>
      <c r="L1170">
        <v>321</v>
      </c>
      <c r="M1170" t="s">
        <v>6363</v>
      </c>
    </row>
    <row r="1171" spans="1:13" x14ac:dyDescent="0.45">
      <c r="A1171" t="s">
        <v>3601</v>
      </c>
      <c r="B1171">
        <v>1211013</v>
      </c>
      <c r="C1171">
        <v>1211819</v>
      </c>
      <c r="E1171" t="s">
        <v>42</v>
      </c>
      <c r="F1171" t="s">
        <v>686</v>
      </c>
      <c r="H1171">
        <v>83704971</v>
      </c>
      <c r="I1171" t="s">
        <v>17</v>
      </c>
      <c r="K1171" t="s">
        <v>6364</v>
      </c>
      <c r="L1171">
        <v>268</v>
      </c>
      <c r="M1171" t="s">
        <v>6365</v>
      </c>
    </row>
    <row r="1172" spans="1:13" x14ac:dyDescent="0.45">
      <c r="A1172" t="s">
        <v>3601</v>
      </c>
      <c r="B1172">
        <v>1212313</v>
      </c>
      <c r="C1172">
        <v>1212732</v>
      </c>
      <c r="E1172" t="s">
        <v>42</v>
      </c>
      <c r="F1172" t="s">
        <v>6366</v>
      </c>
      <c r="G1172" t="s">
        <v>6367</v>
      </c>
      <c r="H1172">
        <v>83704972</v>
      </c>
      <c r="I1172" t="s">
        <v>17</v>
      </c>
      <c r="K1172" t="s">
        <v>6368</v>
      </c>
      <c r="L1172">
        <v>139</v>
      </c>
      <c r="M1172" t="s">
        <v>6369</v>
      </c>
    </row>
    <row r="1173" spans="1:13" x14ac:dyDescent="0.45">
      <c r="A1173" t="s">
        <v>3601</v>
      </c>
      <c r="B1173">
        <v>1213103</v>
      </c>
      <c r="C1173">
        <v>1215196</v>
      </c>
      <c r="E1173" t="s">
        <v>14</v>
      </c>
      <c r="F1173" t="s">
        <v>248</v>
      </c>
      <c r="H1173">
        <v>83704973</v>
      </c>
      <c r="I1173" t="s">
        <v>17</v>
      </c>
      <c r="K1173" t="s">
        <v>6370</v>
      </c>
      <c r="L1173">
        <v>697</v>
      </c>
      <c r="M1173" t="s">
        <v>6371</v>
      </c>
    </row>
    <row r="1174" spans="1:13" x14ac:dyDescent="0.45">
      <c r="A1174" t="s">
        <v>3601</v>
      </c>
      <c r="B1174">
        <v>1215386</v>
      </c>
      <c r="C1174">
        <v>1218388</v>
      </c>
      <c r="E1174" t="s">
        <v>42</v>
      </c>
      <c r="F1174" t="s">
        <v>6372</v>
      </c>
      <c r="G1174" t="s">
        <v>6373</v>
      </c>
      <c r="H1174">
        <v>83704974</v>
      </c>
      <c r="I1174" t="s">
        <v>17</v>
      </c>
      <c r="K1174" t="s">
        <v>6374</v>
      </c>
      <c r="L1174">
        <v>1000</v>
      </c>
      <c r="M1174" t="s">
        <v>6375</v>
      </c>
    </row>
    <row r="1175" spans="1:13" x14ac:dyDescent="0.45">
      <c r="A1175" t="s">
        <v>3601</v>
      </c>
      <c r="B1175">
        <v>1218761</v>
      </c>
      <c r="C1175">
        <v>1219360</v>
      </c>
      <c r="E1175" t="s">
        <v>42</v>
      </c>
      <c r="F1175" t="s">
        <v>600</v>
      </c>
      <c r="G1175" t="s">
        <v>601</v>
      </c>
      <c r="H1175">
        <v>83704975</v>
      </c>
      <c r="I1175" t="s">
        <v>17</v>
      </c>
      <c r="K1175" t="s">
        <v>6376</v>
      </c>
      <c r="L1175">
        <v>199</v>
      </c>
      <c r="M1175" t="s">
        <v>6377</v>
      </c>
    </row>
    <row r="1176" spans="1:13" x14ac:dyDescent="0.45">
      <c r="A1176" t="s">
        <v>3601</v>
      </c>
      <c r="B1176">
        <v>1219370</v>
      </c>
      <c r="C1176">
        <v>1220599</v>
      </c>
      <c r="E1176" t="s">
        <v>42</v>
      </c>
      <c r="F1176" t="s">
        <v>598</v>
      </c>
      <c r="G1176" t="s">
        <v>599</v>
      </c>
      <c r="H1176">
        <v>83704976</v>
      </c>
      <c r="I1176" t="s">
        <v>17</v>
      </c>
      <c r="K1176" t="s">
        <v>6378</v>
      </c>
      <c r="L1176">
        <v>409</v>
      </c>
      <c r="M1176" t="s">
        <v>6379</v>
      </c>
    </row>
    <row r="1177" spans="1:13" x14ac:dyDescent="0.45">
      <c r="A1177" t="s">
        <v>3601</v>
      </c>
      <c r="B1177">
        <v>1220635</v>
      </c>
      <c r="C1177">
        <v>1220805</v>
      </c>
      <c r="E1177" t="s">
        <v>42</v>
      </c>
      <c r="F1177" t="s">
        <v>45</v>
      </c>
      <c r="H1177">
        <v>83704977</v>
      </c>
      <c r="I1177" t="s">
        <v>17</v>
      </c>
      <c r="K1177" t="s">
        <v>6380</v>
      </c>
      <c r="L1177">
        <v>56</v>
      </c>
      <c r="M1177" t="s">
        <v>6381</v>
      </c>
    </row>
    <row r="1178" spans="1:13" x14ac:dyDescent="0.45">
      <c r="A1178" t="s">
        <v>3601</v>
      </c>
      <c r="B1178">
        <v>1220825</v>
      </c>
      <c r="C1178">
        <v>1221322</v>
      </c>
      <c r="E1178" t="s">
        <v>42</v>
      </c>
      <c r="F1178" t="s">
        <v>614</v>
      </c>
      <c r="H1178">
        <v>83704978</v>
      </c>
      <c r="I1178" t="s">
        <v>17</v>
      </c>
      <c r="K1178" t="s">
        <v>6382</v>
      </c>
      <c r="L1178">
        <v>165</v>
      </c>
      <c r="M1178" t="s">
        <v>6383</v>
      </c>
    </row>
    <row r="1179" spans="1:13" x14ac:dyDescent="0.45">
      <c r="A1179" t="s">
        <v>3601</v>
      </c>
      <c r="B1179">
        <v>1221403</v>
      </c>
      <c r="C1179">
        <v>1222242</v>
      </c>
      <c r="E1179" t="s">
        <v>42</v>
      </c>
      <c r="F1179" t="s">
        <v>613</v>
      </c>
      <c r="H1179">
        <v>83704979</v>
      </c>
      <c r="I1179" t="s">
        <v>17</v>
      </c>
      <c r="K1179" t="s">
        <v>6384</v>
      </c>
      <c r="L1179">
        <v>279</v>
      </c>
      <c r="M1179" t="s">
        <v>6385</v>
      </c>
    </row>
    <row r="1180" spans="1:13" x14ac:dyDescent="0.45">
      <c r="A1180" t="s">
        <v>3601</v>
      </c>
      <c r="B1180">
        <v>1222427</v>
      </c>
      <c r="C1180">
        <v>1223602</v>
      </c>
      <c r="E1180" t="s">
        <v>14</v>
      </c>
      <c r="F1180" t="s">
        <v>431</v>
      </c>
      <c r="H1180">
        <v>83704980</v>
      </c>
      <c r="I1180" t="s">
        <v>17</v>
      </c>
      <c r="K1180" t="s">
        <v>6386</v>
      </c>
      <c r="L1180">
        <v>391</v>
      </c>
      <c r="M1180" t="s">
        <v>6387</v>
      </c>
    </row>
    <row r="1181" spans="1:13" x14ac:dyDescent="0.45">
      <c r="A1181" t="s">
        <v>3601</v>
      </c>
      <c r="B1181">
        <v>1223589</v>
      </c>
      <c r="C1181">
        <v>1224872</v>
      </c>
      <c r="E1181" t="s">
        <v>14</v>
      </c>
      <c r="F1181" t="s">
        <v>6388</v>
      </c>
      <c r="H1181">
        <v>83704981</v>
      </c>
      <c r="I1181" t="s">
        <v>17</v>
      </c>
      <c r="K1181" t="s">
        <v>6389</v>
      </c>
      <c r="L1181">
        <v>427</v>
      </c>
      <c r="M1181" t="s">
        <v>6390</v>
      </c>
    </row>
    <row r="1182" spans="1:13" x14ac:dyDescent="0.45">
      <c r="A1182" t="s">
        <v>3601</v>
      </c>
      <c r="B1182">
        <v>1225157</v>
      </c>
      <c r="C1182">
        <v>1226149</v>
      </c>
      <c r="E1182" t="s">
        <v>42</v>
      </c>
      <c r="F1182" t="s">
        <v>725</v>
      </c>
      <c r="G1182" t="s">
        <v>726</v>
      </c>
      <c r="H1182">
        <v>83704982</v>
      </c>
      <c r="I1182" t="s">
        <v>17</v>
      </c>
      <c r="K1182" t="s">
        <v>6391</v>
      </c>
      <c r="L1182">
        <v>330</v>
      </c>
      <c r="M1182" t="s">
        <v>6392</v>
      </c>
    </row>
    <row r="1183" spans="1:13" x14ac:dyDescent="0.45">
      <c r="A1183" t="s">
        <v>3601</v>
      </c>
      <c r="B1183">
        <v>1226152</v>
      </c>
      <c r="C1183">
        <v>1227150</v>
      </c>
      <c r="E1183" t="s">
        <v>42</v>
      </c>
      <c r="F1183" t="s">
        <v>724</v>
      </c>
      <c r="H1183">
        <v>83704983</v>
      </c>
      <c r="I1183" t="s">
        <v>17</v>
      </c>
      <c r="K1183" t="s">
        <v>6393</v>
      </c>
      <c r="L1183">
        <v>332</v>
      </c>
      <c r="M1183" t="s">
        <v>6394</v>
      </c>
    </row>
    <row r="1184" spans="1:13" x14ac:dyDescent="0.45">
      <c r="A1184" t="s">
        <v>3601</v>
      </c>
      <c r="B1184">
        <v>1227143</v>
      </c>
      <c r="C1184">
        <v>1228087</v>
      </c>
      <c r="E1184" t="s">
        <v>42</v>
      </c>
      <c r="F1184" t="s">
        <v>722</v>
      </c>
      <c r="G1184" t="s">
        <v>723</v>
      </c>
      <c r="H1184">
        <v>83704984</v>
      </c>
      <c r="I1184" t="s">
        <v>17</v>
      </c>
      <c r="K1184" t="s">
        <v>6395</v>
      </c>
      <c r="L1184">
        <v>314</v>
      </c>
      <c r="M1184" t="s">
        <v>6396</v>
      </c>
    </row>
    <row r="1185" spans="1:13" x14ac:dyDescent="0.45">
      <c r="A1185" t="s">
        <v>3601</v>
      </c>
      <c r="B1185">
        <v>1228069</v>
      </c>
      <c r="C1185">
        <v>1228947</v>
      </c>
      <c r="E1185" t="s">
        <v>42</v>
      </c>
      <c r="F1185" t="s">
        <v>720</v>
      </c>
      <c r="G1185" t="s">
        <v>721</v>
      </c>
      <c r="H1185">
        <v>83704985</v>
      </c>
      <c r="I1185" t="s">
        <v>17</v>
      </c>
      <c r="K1185" t="s">
        <v>6397</v>
      </c>
      <c r="L1185">
        <v>292</v>
      </c>
      <c r="M1185" t="s">
        <v>6398</v>
      </c>
    </row>
    <row r="1186" spans="1:13" x14ac:dyDescent="0.45">
      <c r="A1186" t="s">
        <v>3601</v>
      </c>
      <c r="B1186">
        <v>1229483</v>
      </c>
      <c r="C1186">
        <v>1231234</v>
      </c>
      <c r="E1186" t="s">
        <v>42</v>
      </c>
      <c r="F1186" t="s">
        <v>72</v>
      </c>
      <c r="H1186">
        <v>83704986</v>
      </c>
      <c r="I1186" t="s">
        <v>17</v>
      </c>
      <c r="K1186" t="s">
        <v>6399</v>
      </c>
      <c r="L1186">
        <v>583</v>
      </c>
      <c r="M1186" t="s">
        <v>6400</v>
      </c>
    </row>
    <row r="1187" spans="1:13" x14ac:dyDescent="0.45">
      <c r="A1187" t="s">
        <v>3601</v>
      </c>
      <c r="B1187">
        <v>1231236</v>
      </c>
      <c r="C1187">
        <v>1232957</v>
      </c>
      <c r="E1187" t="s">
        <v>42</v>
      </c>
      <c r="F1187" t="s">
        <v>72</v>
      </c>
      <c r="H1187">
        <v>83704987</v>
      </c>
      <c r="I1187" t="s">
        <v>17</v>
      </c>
      <c r="K1187" t="s">
        <v>6401</v>
      </c>
      <c r="L1187">
        <v>573</v>
      </c>
      <c r="M1187" t="s">
        <v>6402</v>
      </c>
    </row>
    <row r="1188" spans="1:13" x14ac:dyDescent="0.45">
      <c r="A1188" t="s">
        <v>3601</v>
      </c>
      <c r="B1188">
        <v>1233407</v>
      </c>
      <c r="C1188">
        <v>1235413</v>
      </c>
      <c r="E1188" t="s">
        <v>14</v>
      </c>
      <c r="F1188" t="s">
        <v>6403</v>
      </c>
      <c r="H1188">
        <v>83704988</v>
      </c>
      <c r="I1188" t="s">
        <v>17</v>
      </c>
      <c r="K1188" t="s">
        <v>6404</v>
      </c>
      <c r="L1188">
        <v>668</v>
      </c>
      <c r="M1188" t="s">
        <v>6405</v>
      </c>
    </row>
    <row r="1189" spans="1:13" x14ac:dyDescent="0.45">
      <c r="A1189" t="s">
        <v>3601</v>
      </c>
      <c r="B1189">
        <v>1235606</v>
      </c>
      <c r="C1189">
        <v>1236016</v>
      </c>
      <c r="E1189" t="s">
        <v>42</v>
      </c>
      <c r="F1189" t="s">
        <v>63</v>
      </c>
      <c r="H1189">
        <v>83704989</v>
      </c>
      <c r="I1189" t="s">
        <v>17</v>
      </c>
      <c r="K1189" t="s">
        <v>6406</v>
      </c>
      <c r="L1189">
        <v>136</v>
      </c>
      <c r="M1189" t="s">
        <v>6407</v>
      </c>
    </row>
    <row r="1190" spans="1:13" x14ac:dyDescent="0.45">
      <c r="A1190" t="s">
        <v>3601</v>
      </c>
      <c r="B1190">
        <v>1236148</v>
      </c>
      <c r="C1190">
        <v>1237497</v>
      </c>
      <c r="E1190" t="s">
        <v>42</v>
      </c>
      <c r="F1190" t="s">
        <v>6408</v>
      </c>
      <c r="G1190" t="s">
        <v>6409</v>
      </c>
      <c r="H1190">
        <v>83704990</v>
      </c>
      <c r="I1190" t="s">
        <v>17</v>
      </c>
      <c r="K1190" t="s">
        <v>6410</v>
      </c>
      <c r="L1190">
        <v>449</v>
      </c>
      <c r="M1190" t="s">
        <v>6411</v>
      </c>
    </row>
    <row r="1191" spans="1:13" x14ac:dyDescent="0.45">
      <c r="A1191" t="s">
        <v>3601</v>
      </c>
      <c r="B1191">
        <v>1237638</v>
      </c>
      <c r="C1191">
        <v>1239410</v>
      </c>
      <c r="E1191" t="s">
        <v>42</v>
      </c>
      <c r="F1191" t="s">
        <v>72</v>
      </c>
      <c r="H1191">
        <v>83704991</v>
      </c>
      <c r="I1191" t="s">
        <v>17</v>
      </c>
      <c r="K1191" t="s">
        <v>6412</v>
      </c>
      <c r="L1191">
        <v>590</v>
      </c>
      <c r="M1191" t="s">
        <v>6413</v>
      </c>
    </row>
    <row r="1192" spans="1:13" x14ac:dyDescent="0.45">
      <c r="A1192" t="s">
        <v>3601</v>
      </c>
      <c r="B1192">
        <v>1239410</v>
      </c>
      <c r="C1192">
        <v>1241155</v>
      </c>
      <c r="E1192" t="s">
        <v>42</v>
      </c>
      <c r="F1192" t="s">
        <v>72</v>
      </c>
      <c r="H1192">
        <v>83704992</v>
      </c>
      <c r="I1192" t="s">
        <v>17</v>
      </c>
      <c r="K1192" t="s">
        <v>6414</v>
      </c>
      <c r="L1192">
        <v>581</v>
      </c>
      <c r="M1192" t="s">
        <v>6415</v>
      </c>
    </row>
    <row r="1193" spans="1:13" x14ac:dyDescent="0.45">
      <c r="A1193" t="s">
        <v>3601</v>
      </c>
      <c r="B1193">
        <v>1241260</v>
      </c>
      <c r="C1193">
        <v>1243128</v>
      </c>
      <c r="E1193" t="s">
        <v>42</v>
      </c>
      <c r="F1193" t="s">
        <v>310</v>
      </c>
      <c r="H1193">
        <v>83704993</v>
      </c>
      <c r="I1193" t="s">
        <v>17</v>
      </c>
      <c r="K1193" t="s">
        <v>6416</v>
      </c>
      <c r="L1193">
        <v>622</v>
      </c>
      <c r="M1193" t="s">
        <v>6417</v>
      </c>
    </row>
    <row r="1194" spans="1:13" x14ac:dyDescent="0.45">
      <c r="A1194" t="s">
        <v>3601</v>
      </c>
      <c r="B1194">
        <v>1243121</v>
      </c>
      <c r="C1194">
        <v>1244332</v>
      </c>
      <c r="E1194" t="s">
        <v>42</v>
      </c>
      <c r="F1194" t="s">
        <v>664</v>
      </c>
      <c r="H1194">
        <v>83704994</v>
      </c>
      <c r="I1194" t="s">
        <v>17</v>
      </c>
      <c r="K1194" t="s">
        <v>6418</v>
      </c>
      <c r="L1194">
        <v>403</v>
      </c>
      <c r="M1194" t="s">
        <v>6419</v>
      </c>
    </row>
    <row r="1195" spans="1:13" x14ac:dyDescent="0.45">
      <c r="A1195" t="s">
        <v>3601</v>
      </c>
      <c r="B1195">
        <v>1244436</v>
      </c>
      <c r="C1195">
        <v>1245284</v>
      </c>
      <c r="E1195" t="s">
        <v>42</v>
      </c>
      <c r="F1195" t="s">
        <v>38</v>
      </c>
      <c r="H1195">
        <v>83704995</v>
      </c>
      <c r="I1195" t="s">
        <v>17</v>
      </c>
      <c r="K1195" t="s">
        <v>6420</v>
      </c>
      <c r="L1195">
        <v>282</v>
      </c>
      <c r="M1195" t="s">
        <v>6421</v>
      </c>
    </row>
    <row r="1196" spans="1:13" x14ac:dyDescent="0.45">
      <c r="A1196" t="s">
        <v>3601</v>
      </c>
      <c r="B1196">
        <v>1245284</v>
      </c>
      <c r="C1196">
        <v>1245664</v>
      </c>
      <c r="E1196" t="s">
        <v>42</v>
      </c>
      <c r="F1196" t="s">
        <v>445</v>
      </c>
      <c r="H1196">
        <v>83704996</v>
      </c>
      <c r="I1196" t="s">
        <v>17</v>
      </c>
      <c r="K1196" t="s">
        <v>6422</v>
      </c>
      <c r="L1196">
        <v>126</v>
      </c>
      <c r="M1196" t="s">
        <v>6423</v>
      </c>
    </row>
    <row r="1197" spans="1:13" x14ac:dyDescent="0.45">
      <c r="A1197" t="s">
        <v>3601</v>
      </c>
      <c r="B1197">
        <v>1245892</v>
      </c>
      <c r="C1197">
        <v>1246605</v>
      </c>
      <c r="E1197" t="s">
        <v>42</v>
      </c>
      <c r="F1197" t="s">
        <v>388</v>
      </c>
      <c r="H1197">
        <v>83704997</v>
      </c>
      <c r="I1197" t="s">
        <v>17</v>
      </c>
      <c r="K1197" t="s">
        <v>6424</v>
      </c>
      <c r="L1197">
        <v>237</v>
      </c>
      <c r="M1197" t="s">
        <v>6425</v>
      </c>
    </row>
    <row r="1198" spans="1:13" x14ac:dyDescent="0.45">
      <c r="A1198" t="s">
        <v>3601</v>
      </c>
      <c r="B1198">
        <v>1246992</v>
      </c>
      <c r="C1198">
        <v>1247600</v>
      </c>
      <c r="E1198" t="s">
        <v>42</v>
      </c>
      <c r="F1198" t="s">
        <v>6426</v>
      </c>
      <c r="H1198">
        <v>83704998</v>
      </c>
      <c r="I1198" t="s">
        <v>17</v>
      </c>
      <c r="K1198" t="s">
        <v>6427</v>
      </c>
      <c r="L1198">
        <v>202</v>
      </c>
      <c r="M1198" t="s">
        <v>6428</v>
      </c>
    </row>
    <row r="1199" spans="1:13" x14ac:dyDescent="0.45">
      <c r="A1199" t="s">
        <v>3601</v>
      </c>
      <c r="B1199">
        <v>1247651</v>
      </c>
      <c r="C1199">
        <v>1248217</v>
      </c>
      <c r="E1199" t="s">
        <v>42</v>
      </c>
      <c r="F1199" t="s">
        <v>6429</v>
      </c>
      <c r="H1199">
        <v>83704999</v>
      </c>
      <c r="I1199" t="s">
        <v>17</v>
      </c>
      <c r="K1199" t="s">
        <v>6430</v>
      </c>
      <c r="L1199">
        <v>188</v>
      </c>
      <c r="M1199" t="s">
        <v>6431</v>
      </c>
    </row>
    <row r="1200" spans="1:13" x14ac:dyDescent="0.45">
      <c r="A1200" t="s">
        <v>3601</v>
      </c>
      <c r="B1200">
        <v>1248210</v>
      </c>
      <c r="C1200">
        <v>1248758</v>
      </c>
      <c r="E1200" t="s">
        <v>42</v>
      </c>
      <c r="F1200" t="s">
        <v>51</v>
      </c>
      <c r="H1200">
        <v>83705000</v>
      </c>
      <c r="I1200" t="s">
        <v>52</v>
      </c>
      <c r="M1200" t="s">
        <v>6432</v>
      </c>
    </row>
    <row r="1201" spans="1:13" x14ac:dyDescent="0.45">
      <c r="A1201" t="s">
        <v>3601</v>
      </c>
      <c r="B1201">
        <v>1248845</v>
      </c>
      <c r="C1201">
        <v>1249444</v>
      </c>
      <c r="E1201" t="s">
        <v>42</v>
      </c>
      <c r="F1201" t="s">
        <v>388</v>
      </c>
      <c r="H1201">
        <v>83705001</v>
      </c>
      <c r="I1201" t="s">
        <v>17</v>
      </c>
      <c r="K1201" t="s">
        <v>6433</v>
      </c>
      <c r="L1201">
        <v>199</v>
      </c>
      <c r="M1201" t="s">
        <v>6434</v>
      </c>
    </row>
    <row r="1202" spans="1:13" x14ac:dyDescent="0.45">
      <c r="A1202" t="s">
        <v>3601</v>
      </c>
      <c r="B1202">
        <v>1250027</v>
      </c>
      <c r="C1202">
        <v>1251973</v>
      </c>
      <c r="E1202" t="s">
        <v>42</v>
      </c>
      <c r="F1202" t="s">
        <v>6435</v>
      </c>
      <c r="H1202">
        <v>83705002</v>
      </c>
      <c r="I1202" t="s">
        <v>17</v>
      </c>
      <c r="K1202" t="s">
        <v>6436</v>
      </c>
      <c r="L1202">
        <v>648</v>
      </c>
      <c r="M1202" t="s">
        <v>6437</v>
      </c>
    </row>
    <row r="1203" spans="1:13" x14ac:dyDescent="0.45">
      <c r="A1203" t="s">
        <v>3601</v>
      </c>
      <c r="B1203">
        <v>1251970</v>
      </c>
      <c r="C1203">
        <v>1252881</v>
      </c>
      <c r="E1203" t="s">
        <v>42</v>
      </c>
      <c r="F1203" t="s">
        <v>997</v>
      </c>
      <c r="G1203" t="s">
        <v>998</v>
      </c>
      <c r="H1203">
        <v>83705003</v>
      </c>
      <c r="I1203" t="s">
        <v>17</v>
      </c>
      <c r="K1203" t="s">
        <v>6438</v>
      </c>
      <c r="L1203">
        <v>303</v>
      </c>
      <c r="M1203" t="s">
        <v>6439</v>
      </c>
    </row>
    <row r="1204" spans="1:13" x14ac:dyDescent="0.45">
      <c r="A1204" t="s">
        <v>3601</v>
      </c>
      <c r="B1204">
        <v>1252878</v>
      </c>
      <c r="C1204">
        <v>1253594</v>
      </c>
      <c r="E1204" t="s">
        <v>42</v>
      </c>
      <c r="F1204" t="s">
        <v>420</v>
      </c>
      <c r="H1204">
        <v>83705004</v>
      </c>
      <c r="I1204" t="s">
        <v>17</v>
      </c>
      <c r="K1204" t="s">
        <v>6440</v>
      </c>
      <c r="L1204">
        <v>238</v>
      </c>
      <c r="M1204" t="s">
        <v>6441</v>
      </c>
    </row>
    <row r="1205" spans="1:13" x14ac:dyDescent="0.45">
      <c r="A1205" t="s">
        <v>3601</v>
      </c>
      <c r="B1205">
        <v>1254004</v>
      </c>
      <c r="C1205">
        <v>1254927</v>
      </c>
      <c r="E1205" t="s">
        <v>42</v>
      </c>
      <c r="F1205" t="s">
        <v>6442</v>
      </c>
      <c r="H1205">
        <v>83705005</v>
      </c>
      <c r="I1205" t="s">
        <v>17</v>
      </c>
      <c r="K1205" t="s">
        <v>6443</v>
      </c>
      <c r="L1205">
        <v>307</v>
      </c>
      <c r="M1205" t="s">
        <v>6444</v>
      </c>
    </row>
    <row r="1206" spans="1:13" x14ac:dyDescent="0.45">
      <c r="A1206" t="s">
        <v>3601</v>
      </c>
      <c r="B1206">
        <v>1254939</v>
      </c>
      <c r="C1206">
        <v>1255997</v>
      </c>
      <c r="E1206" t="s">
        <v>42</v>
      </c>
      <c r="F1206" t="s">
        <v>6445</v>
      </c>
      <c r="H1206">
        <v>83705006</v>
      </c>
      <c r="I1206" t="s">
        <v>17</v>
      </c>
      <c r="K1206" t="s">
        <v>6446</v>
      </c>
      <c r="L1206">
        <v>352</v>
      </c>
      <c r="M1206" t="s">
        <v>6447</v>
      </c>
    </row>
    <row r="1207" spans="1:13" x14ac:dyDescent="0.45">
      <c r="A1207" t="s">
        <v>3601</v>
      </c>
      <c r="B1207">
        <v>1256129</v>
      </c>
      <c r="C1207">
        <v>1257121</v>
      </c>
      <c r="E1207" t="s">
        <v>42</v>
      </c>
      <c r="F1207" t="s">
        <v>347</v>
      </c>
      <c r="H1207">
        <v>83705007</v>
      </c>
      <c r="I1207" t="s">
        <v>17</v>
      </c>
      <c r="K1207" t="s">
        <v>6448</v>
      </c>
      <c r="L1207">
        <v>330</v>
      </c>
      <c r="M1207" t="s">
        <v>6449</v>
      </c>
    </row>
    <row r="1208" spans="1:13" x14ac:dyDescent="0.45">
      <c r="A1208" t="s">
        <v>3601</v>
      </c>
      <c r="B1208">
        <v>1257121</v>
      </c>
      <c r="C1208">
        <v>1257852</v>
      </c>
      <c r="E1208" t="s">
        <v>42</v>
      </c>
      <c r="F1208" t="s">
        <v>804</v>
      </c>
      <c r="G1208" t="s">
        <v>805</v>
      </c>
      <c r="H1208">
        <v>83705008</v>
      </c>
      <c r="I1208" t="s">
        <v>17</v>
      </c>
      <c r="K1208" t="s">
        <v>6450</v>
      </c>
      <c r="L1208">
        <v>243</v>
      </c>
      <c r="M1208" t="s">
        <v>6451</v>
      </c>
    </row>
    <row r="1209" spans="1:13" x14ac:dyDescent="0.45">
      <c r="A1209" t="s">
        <v>3601</v>
      </c>
      <c r="B1209">
        <v>1257842</v>
      </c>
      <c r="C1209">
        <v>1258360</v>
      </c>
      <c r="E1209" t="s">
        <v>42</v>
      </c>
      <c r="F1209" t="s">
        <v>806</v>
      </c>
      <c r="G1209" t="s">
        <v>807</v>
      </c>
      <c r="H1209">
        <v>83705009</v>
      </c>
      <c r="I1209" t="s">
        <v>17</v>
      </c>
      <c r="K1209" t="s">
        <v>6452</v>
      </c>
      <c r="L1209">
        <v>172</v>
      </c>
      <c r="M1209" t="s">
        <v>6453</v>
      </c>
    </row>
    <row r="1210" spans="1:13" x14ac:dyDescent="0.45">
      <c r="A1210" t="s">
        <v>3601</v>
      </c>
      <c r="B1210">
        <v>1259139</v>
      </c>
      <c r="C1210">
        <v>1262594</v>
      </c>
      <c r="E1210" t="s">
        <v>42</v>
      </c>
      <c r="F1210" t="s">
        <v>6454</v>
      </c>
      <c r="H1210">
        <v>83705010</v>
      </c>
      <c r="I1210" t="s">
        <v>17</v>
      </c>
      <c r="K1210" t="s">
        <v>6455</v>
      </c>
      <c r="L1210">
        <v>1151</v>
      </c>
      <c r="M1210" t="s">
        <v>6456</v>
      </c>
    </row>
    <row r="1211" spans="1:13" x14ac:dyDescent="0.45">
      <c r="A1211" t="s">
        <v>3601</v>
      </c>
      <c r="B1211">
        <v>1262832</v>
      </c>
      <c r="C1211">
        <v>1263470</v>
      </c>
      <c r="E1211" t="s">
        <v>42</v>
      </c>
      <c r="F1211" t="s">
        <v>6457</v>
      </c>
      <c r="H1211">
        <v>83705011</v>
      </c>
      <c r="I1211" t="s">
        <v>17</v>
      </c>
      <c r="K1211" t="s">
        <v>6458</v>
      </c>
      <c r="L1211">
        <v>212</v>
      </c>
      <c r="M1211" t="s">
        <v>6459</v>
      </c>
    </row>
    <row r="1212" spans="1:13" x14ac:dyDescent="0.45">
      <c r="A1212" t="s">
        <v>3601</v>
      </c>
      <c r="B1212">
        <v>1263637</v>
      </c>
      <c r="C1212">
        <v>1263876</v>
      </c>
      <c r="E1212" t="s">
        <v>42</v>
      </c>
      <c r="F1212" t="s">
        <v>6460</v>
      </c>
      <c r="H1212">
        <v>83705012</v>
      </c>
      <c r="I1212" t="s">
        <v>17</v>
      </c>
      <c r="K1212" t="s">
        <v>6461</v>
      </c>
      <c r="L1212">
        <v>79</v>
      </c>
      <c r="M1212" t="s">
        <v>6462</v>
      </c>
    </row>
    <row r="1213" spans="1:13" x14ac:dyDescent="0.45">
      <c r="A1213" t="s">
        <v>3601</v>
      </c>
      <c r="B1213">
        <v>1263886</v>
      </c>
      <c r="C1213">
        <v>1264158</v>
      </c>
      <c r="E1213" t="s">
        <v>42</v>
      </c>
      <c r="F1213" t="s">
        <v>808</v>
      </c>
      <c r="G1213" t="s">
        <v>809</v>
      </c>
      <c r="H1213">
        <v>83705013</v>
      </c>
      <c r="I1213" t="s">
        <v>17</v>
      </c>
      <c r="K1213" t="s">
        <v>6463</v>
      </c>
      <c r="L1213">
        <v>90</v>
      </c>
      <c r="M1213" t="s">
        <v>6464</v>
      </c>
    </row>
    <row r="1214" spans="1:13" x14ac:dyDescent="0.45">
      <c r="A1214" t="s">
        <v>3601</v>
      </c>
      <c r="B1214">
        <v>1264407</v>
      </c>
      <c r="C1214">
        <v>1264553</v>
      </c>
      <c r="E1214" t="s">
        <v>42</v>
      </c>
      <c r="F1214" t="s">
        <v>45</v>
      </c>
      <c r="H1214">
        <v>83705014</v>
      </c>
      <c r="I1214" t="s">
        <v>17</v>
      </c>
      <c r="K1214" t="s">
        <v>6465</v>
      </c>
      <c r="L1214">
        <v>48</v>
      </c>
      <c r="M1214" t="s">
        <v>6466</v>
      </c>
    </row>
    <row r="1215" spans="1:13" x14ac:dyDescent="0.45">
      <c r="A1215" t="s">
        <v>3601</v>
      </c>
      <c r="B1215">
        <v>1264605</v>
      </c>
      <c r="C1215">
        <v>1265222</v>
      </c>
      <c r="E1215" t="s">
        <v>42</v>
      </c>
      <c r="F1215" t="s">
        <v>975</v>
      </c>
      <c r="H1215">
        <v>83705015</v>
      </c>
      <c r="I1215" t="s">
        <v>17</v>
      </c>
      <c r="K1215" t="s">
        <v>6467</v>
      </c>
      <c r="L1215">
        <v>205</v>
      </c>
      <c r="M1215" t="s">
        <v>6468</v>
      </c>
    </row>
    <row r="1216" spans="1:13" x14ac:dyDescent="0.45">
      <c r="A1216" t="s">
        <v>3601</v>
      </c>
      <c r="B1216">
        <v>1265215</v>
      </c>
      <c r="C1216">
        <v>1266438</v>
      </c>
      <c r="E1216" t="s">
        <v>42</v>
      </c>
      <c r="F1216" t="s">
        <v>113</v>
      </c>
      <c r="H1216">
        <v>83705016</v>
      </c>
      <c r="I1216" t="s">
        <v>17</v>
      </c>
      <c r="K1216" t="s">
        <v>6469</v>
      </c>
      <c r="L1216">
        <v>407</v>
      </c>
      <c r="M1216" t="s">
        <v>6470</v>
      </c>
    </row>
    <row r="1217" spans="1:13" x14ac:dyDescent="0.45">
      <c r="A1217" t="s">
        <v>3601</v>
      </c>
      <c r="B1217">
        <v>1266450</v>
      </c>
      <c r="C1217">
        <v>1267160</v>
      </c>
      <c r="E1217" t="s">
        <v>42</v>
      </c>
      <c r="F1217" t="s">
        <v>72</v>
      </c>
      <c r="H1217">
        <v>83705017</v>
      </c>
      <c r="I1217" t="s">
        <v>17</v>
      </c>
      <c r="K1217" t="s">
        <v>6471</v>
      </c>
      <c r="L1217">
        <v>236</v>
      </c>
      <c r="M1217" t="s">
        <v>6472</v>
      </c>
    </row>
    <row r="1218" spans="1:13" x14ac:dyDescent="0.45">
      <c r="A1218" t="s">
        <v>3601</v>
      </c>
      <c r="B1218">
        <v>1267160</v>
      </c>
      <c r="C1218">
        <v>1268422</v>
      </c>
      <c r="E1218" t="s">
        <v>42</v>
      </c>
      <c r="F1218" t="s">
        <v>6473</v>
      </c>
      <c r="H1218">
        <v>83705018</v>
      </c>
      <c r="I1218" t="s">
        <v>17</v>
      </c>
      <c r="K1218" t="s">
        <v>6474</v>
      </c>
      <c r="L1218">
        <v>420</v>
      </c>
      <c r="M1218" t="s">
        <v>6475</v>
      </c>
    </row>
    <row r="1219" spans="1:13" x14ac:dyDescent="0.45">
      <c r="A1219" t="s">
        <v>3601</v>
      </c>
      <c r="B1219">
        <v>1268737</v>
      </c>
      <c r="C1219">
        <v>1271913</v>
      </c>
      <c r="E1219" t="s">
        <v>42</v>
      </c>
      <c r="F1219" t="s">
        <v>866</v>
      </c>
      <c r="G1219" t="s">
        <v>867</v>
      </c>
      <c r="H1219">
        <v>83705019</v>
      </c>
      <c r="I1219" t="s">
        <v>17</v>
      </c>
      <c r="K1219" t="s">
        <v>6476</v>
      </c>
      <c r="L1219">
        <v>1058</v>
      </c>
      <c r="M1219" t="s">
        <v>6477</v>
      </c>
    </row>
    <row r="1220" spans="1:13" x14ac:dyDescent="0.45">
      <c r="A1220" t="s">
        <v>3601</v>
      </c>
      <c r="B1220">
        <v>1272331</v>
      </c>
      <c r="C1220">
        <v>1273422</v>
      </c>
      <c r="E1220" t="s">
        <v>42</v>
      </c>
      <c r="F1220" t="s">
        <v>703</v>
      </c>
      <c r="H1220">
        <v>83705020</v>
      </c>
      <c r="I1220" t="s">
        <v>17</v>
      </c>
      <c r="K1220" t="s">
        <v>6478</v>
      </c>
      <c r="L1220">
        <v>363</v>
      </c>
      <c r="M1220" t="s">
        <v>6479</v>
      </c>
    </row>
    <row r="1221" spans="1:13" x14ac:dyDescent="0.45">
      <c r="A1221" t="s">
        <v>3601</v>
      </c>
      <c r="B1221">
        <v>1273445</v>
      </c>
      <c r="C1221">
        <v>1274380</v>
      </c>
      <c r="E1221" t="s">
        <v>42</v>
      </c>
      <c r="F1221" t="s">
        <v>869</v>
      </c>
      <c r="H1221">
        <v>83705021</v>
      </c>
      <c r="I1221" t="s">
        <v>17</v>
      </c>
      <c r="K1221" t="s">
        <v>6480</v>
      </c>
      <c r="L1221">
        <v>311</v>
      </c>
      <c r="M1221" t="s">
        <v>6481</v>
      </c>
    </row>
    <row r="1222" spans="1:13" x14ac:dyDescent="0.45">
      <c r="A1222" t="s">
        <v>3601</v>
      </c>
      <c r="B1222">
        <v>1274438</v>
      </c>
      <c r="C1222">
        <v>1275697</v>
      </c>
      <c r="E1222" t="s">
        <v>42</v>
      </c>
      <c r="F1222" t="s">
        <v>6482</v>
      </c>
      <c r="H1222">
        <v>83705022</v>
      </c>
      <c r="I1222" t="s">
        <v>17</v>
      </c>
      <c r="K1222" t="s">
        <v>6483</v>
      </c>
      <c r="L1222">
        <v>419</v>
      </c>
      <c r="M1222" t="s">
        <v>6484</v>
      </c>
    </row>
    <row r="1223" spans="1:13" x14ac:dyDescent="0.45">
      <c r="A1223" t="s">
        <v>3601</v>
      </c>
      <c r="B1223">
        <v>1275713</v>
      </c>
      <c r="C1223">
        <v>1276234</v>
      </c>
      <c r="E1223" t="s">
        <v>42</v>
      </c>
      <c r="F1223" t="s">
        <v>406</v>
      </c>
      <c r="G1223" t="s">
        <v>407</v>
      </c>
      <c r="H1223">
        <v>83705023</v>
      </c>
      <c r="I1223" t="s">
        <v>17</v>
      </c>
      <c r="K1223" t="s">
        <v>6485</v>
      </c>
      <c r="L1223">
        <v>173</v>
      </c>
      <c r="M1223" t="s">
        <v>6486</v>
      </c>
    </row>
    <row r="1224" spans="1:13" x14ac:dyDescent="0.45">
      <c r="A1224" t="s">
        <v>3601</v>
      </c>
      <c r="B1224">
        <v>1276591</v>
      </c>
      <c r="C1224">
        <v>1277208</v>
      </c>
      <c r="E1224" t="s">
        <v>14</v>
      </c>
      <c r="F1224" t="s">
        <v>975</v>
      </c>
      <c r="H1224">
        <v>83705024</v>
      </c>
      <c r="I1224" t="s">
        <v>17</v>
      </c>
      <c r="K1224" t="s">
        <v>6487</v>
      </c>
      <c r="L1224">
        <v>205</v>
      </c>
      <c r="M1224" t="s">
        <v>6488</v>
      </c>
    </row>
    <row r="1225" spans="1:13" x14ac:dyDescent="0.45">
      <c r="A1225" t="s">
        <v>3601</v>
      </c>
      <c r="B1225">
        <v>1277290</v>
      </c>
      <c r="C1225">
        <v>1278180</v>
      </c>
      <c r="E1225" t="s">
        <v>42</v>
      </c>
      <c r="F1225" t="s">
        <v>442</v>
      </c>
      <c r="H1225">
        <v>83705025</v>
      </c>
      <c r="I1225" t="s">
        <v>17</v>
      </c>
      <c r="K1225" t="s">
        <v>6489</v>
      </c>
      <c r="L1225">
        <v>296</v>
      </c>
      <c r="M1225" t="s">
        <v>6490</v>
      </c>
    </row>
    <row r="1226" spans="1:13" x14ac:dyDescent="0.45">
      <c r="A1226" t="s">
        <v>3601</v>
      </c>
      <c r="B1226">
        <v>1278170</v>
      </c>
      <c r="C1226">
        <v>1278628</v>
      </c>
      <c r="E1226" t="s">
        <v>42</v>
      </c>
      <c r="F1226" t="s">
        <v>704</v>
      </c>
      <c r="G1226" t="s">
        <v>705</v>
      </c>
      <c r="H1226">
        <v>83705026</v>
      </c>
      <c r="I1226" t="s">
        <v>17</v>
      </c>
      <c r="K1226" t="s">
        <v>6491</v>
      </c>
      <c r="L1226">
        <v>152</v>
      </c>
      <c r="M1226" t="s">
        <v>6492</v>
      </c>
    </row>
    <row r="1227" spans="1:13" x14ac:dyDescent="0.45">
      <c r="A1227" t="s">
        <v>3601</v>
      </c>
      <c r="B1227">
        <v>1278878</v>
      </c>
      <c r="C1227">
        <v>1279786</v>
      </c>
      <c r="E1227" t="s">
        <v>42</v>
      </c>
      <c r="F1227" t="s">
        <v>70</v>
      </c>
      <c r="H1227">
        <v>83705027</v>
      </c>
      <c r="I1227" t="s">
        <v>17</v>
      </c>
      <c r="K1227" t="s">
        <v>6493</v>
      </c>
      <c r="L1227">
        <v>302</v>
      </c>
      <c r="M1227" t="s">
        <v>6494</v>
      </c>
    </row>
    <row r="1228" spans="1:13" x14ac:dyDescent="0.45">
      <c r="A1228" t="s">
        <v>3601</v>
      </c>
      <c r="B1228">
        <v>1280192</v>
      </c>
      <c r="C1228">
        <v>1280485</v>
      </c>
      <c r="E1228" t="s">
        <v>42</v>
      </c>
      <c r="F1228" t="s">
        <v>856</v>
      </c>
      <c r="G1228" t="s">
        <v>857</v>
      </c>
      <c r="H1228">
        <v>83705028</v>
      </c>
      <c r="I1228" t="s">
        <v>17</v>
      </c>
      <c r="K1228" t="s">
        <v>6495</v>
      </c>
      <c r="L1228">
        <v>97</v>
      </c>
      <c r="M1228" t="s">
        <v>6496</v>
      </c>
    </row>
    <row r="1229" spans="1:13" x14ac:dyDescent="0.45">
      <c r="A1229" t="s">
        <v>3601</v>
      </c>
      <c r="B1229">
        <v>1280507</v>
      </c>
      <c r="C1229">
        <v>1280839</v>
      </c>
      <c r="E1229" t="s">
        <v>42</v>
      </c>
      <c r="F1229" t="s">
        <v>6497</v>
      </c>
      <c r="H1229">
        <v>83705029</v>
      </c>
      <c r="I1229" t="s">
        <v>17</v>
      </c>
      <c r="K1229" t="s">
        <v>6498</v>
      </c>
      <c r="L1229">
        <v>110</v>
      </c>
      <c r="M1229" t="s">
        <v>6499</v>
      </c>
    </row>
    <row r="1230" spans="1:13" x14ac:dyDescent="0.45">
      <c r="A1230" t="s">
        <v>3601</v>
      </c>
      <c r="B1230">
        <v>1280852</v>
      </c>
      <c r="C1230">
        <v>1281166</v>
      </c>
      <c r="E1230" t="s">
        <v>42</v>
      </c>
      <c r="F1230" t="s">
        <v>858</v>
      </c>
      <c r="G1230" t="s">
        <v>859</v>
      </c>
      <c r="H1230">
        <v>83705030</v>
      </c>
      <c r="I1230" t="s">
        <v>17</v>
      </c>
      <c r="K1230" t="s">
        <v>6500</v>
      </c>
      <c r="L1230">
        <v>104</v>
      </c>
      <c r="M1230" t="s">
        <v>6501</v>
      </c>
    </row>
    <row r="1231" spans="1:13" x14ac:dyDescent="0.45">
      <c r="A1231" t="s">
        <v>3601</v>
      </c>
      <c r="B1231">
        <v>1281396</v>
      </c>
      <c r="C1231">
        <v>1282589</v>
      </c>
      <c r="E1231" t="s">
        <v>42</v>
      </c>
      <c r="F1231" t="s">
        <v>6502</v>
      </c>
      <c r="H1231">
        <v>83705031</v>
      </c>
      <c r="I1231" t="s">
        <v>17</v>
      </c>
      <c r="K1231" t="s">
        <v>6503</v>
      </c>
      <c r="L1231">
        <v>397</v>
      </c>
      <c r="M1231" t="s">
        <v>6504</v>
      </c>
    </row>
    <row r="1232" spans="1:13" x14ac:dyDescent="0.45">
      <c r="A1232" t="s">
        <v>3601</v>
      </c>
      <c r="B1232">
        <v>1282855</v>
      </c>
      <c r="C1232">
        <v>1283472</v>
      </c>
      <c r="E1232" t="s">
        <v>14</v>
      </c>
      <c r="F1232" t="s">
        <v>6505</v>
      </c>
      <c r="H1232">
        <v>83705032</v>
      </c>
      <c r="I1232" t="s">
        <v>17</v>
      </c>
      <c r="K1232" t="s">
        <v>6506</v>
      </c>
      <c r="L1232">
        <v>205</v>
      </c>
      <c r="M1232" t="s">
        <v>6507</v>
      </c>
    </row>
    <row r="1233" spans="1:13" x14ac:dyDescent="0.45">
      <c r="A1233" t="s">
        <v>3601</v>
      </c>
      <c r="B1233">
        <v>1283764</v>
      </c>
      <c r="C1233">
        <v>1284984</v>
      </c>
      <c r="E1233" t="s">
        <v>42</v>
      </c>
      <c r="F1233" t="s">
        <v>106</v>
      </c>
      <c r="H1233">
        <v>83705033</v>
      </c>
      <c r="I1233" t="s">
        <v>17</v>
      </c>
      <c r="K1233" t="s">
        <v>6508</v>
      </c>
      <c r="L1233">
        <v>406</v>
      </c>
      <c r="M1233" t="s">
        <v>6509</v>
      </c>
    </row>
    <row r="1234" spans="1:13" x14ac:dyDescent="0.45">
      <c r="A1234" t="s">
        <v>3601</v>
      </c>
      <c r="B1234">
        <v>1285056</v>
      </c>
      <c r="C1234">
        <v>1285241</v>
      </c>
      <c r="E1234" t="s">
        <v>42</v>
      </c>
      <c r="F1234" t="s">
        <v>45</v>
      </c>
      <c r="H1234">
        <v>83705034</v>
      </c>
      <c r="I1234" t="s">
        <v>17</v>
      </c>
      <c r="K1234" t="s">
        <v>6510</v>
      </c>
      <c r="L1234">
        <v>61</v>
      </c>
      <c r="M1234" t="s">
        <v>6511</v>
      </c>
    </row>
    <row r="1235" spans="1:13" x14ac:dyDescent="0.45">
      <c r="A1235" t="s">
        <v>3601</v>
      </c>
      <c r="B1235">
        <v>1285560</v>
      </c>
      <c r="C1235">
        <v>1286426</v>
      </c>
      <c r="E1235" t="s">
        <v>42</v>
      </c>
      <c r="F1235" t="s">
        <v>139</v>
      </c>
      <c r="H1235">
        <v>83705035</v>
      </c>
      <c r="I1235" t="s">
        <v>17</v>
      </c>
      <c r="K1235" t="s">
        <v>6512</v>
      </c>
      <c r="L1235">
        <v>288</v>
      </c>
      <c r="M1235" t="s">
        <v>6513</v>
      </c>
    </row>
    <row r="1236" spans="1:13" x14ac:dyDescent="0.45">
      <c r="A1236" t="s">
        <v>3601</v>
      </c>
      <c r="B1236">
        <v>1286698</v>
      </c>
      <c r="C1236">
        <v>1288047</v>
      </c>
      <c r="E1236" t="s">
        <v>14</v>
      </c>
      <c r="F1236" t="s">
        <v>51</v>
      </c>
      <c r="H1236">
        <v>83705036</v>
      </c>
      <c r="I1236" t="s">
        <v>52</v>
      </c>
      <c r="M1236" t="s">
        <v>6514</v>
      </c>
    </row>
    <row r="1237" spans="1:13" x14ac:dyDescent="0.45">
      <c r="A1237" t="s">
        <v>3601</v>
      </c>
      <c r="B1237">
        <v>1288105</v>
      </c>
      <c r="C1237">
        <v>1288176</v>
      </c>
      <c r="E1237" t="s">
        <v>42</v>
      </c>
      <c r="F1237" t="s">
        <v>352</v>
      </c>
      <c r="H1237">
        <v>83705037</v>
      </c>
      <c r="I1237" t="s">
        <v>44</v>
      </c>
      <c r="M1237" t="s">
        <v>6515</v>
      </c>
    </row>
    <row r="1238" spans="1:13" x14ac:dyDescent="0.45">
      <c r="A1238" t="s">
        <v>3601</v>
      </c>
      <c r="B1238">
        <v>1288492</v>
      </c>
      <c r="C1238">
        <v>1289694</v>
      </c>
      <c r="E1238" t="s">
        <v>42</v>
      </c>
      <c r="F1238" t="s">
        <v>658</v>
      </c>
      <c r="G1238" t="s">
        <v>659</v>
      </c>
      <c r="H1238">
        <v>83705038</v>
      </c>
      <c r="I1238" t="s">
        <v>17</v>
      </c>
      <c r="K1238" t="s">
        <v>6516</v>
      </c>
      <c r="L1238">
        <v>400</v>
      </c>
      <c r="M1238" t="s">
        <v>6517</v>
      </c>
    </row>
    <row r="1239" spans="1:13" x14ac:dyDescent="0.45">
      <c r="A1239" t="s">
        <v>3601</v>
      </c>
      <c r="B1239">
        <v>1289822</v>
      </c>
      <c r="C1239">
        <v>1289893</v>
      </c>
      <c r="E1239" t="s">
        <v>42</v>
      </c>
      <c r="F1239" t="s">
        <v>361</v>
      </c>
      <c r="H1239">
        <v>83705039</v>
      </c>
      <c r="I1239" t="s">
        <v>44</v>
      </c>
      <c r="M1239" t="s">
        <v>6518</v>
      </c>
    </row>
    <row r="1240" spans="1:13" x14ac:dyDescent="0.45">
      <c r="A1240" t="s">
        <v>3601</v>
      </c>
      <c r="B1240">
        <v>1289932</v>
      </c>
      <c r="C1240">
        <v>1290012</v>
      </c>
      <c r="E1240" t="s">
        <v>42</v>
      </c>
      <c r="F1240" t="s">
        <v>358</v>
      </c>
      <c r="H1240">
        <v>83705040</v>
      </c>
      <c r="I1240" t="s">
        <v>44</v>
      </c>
      <c r="M1240" t="s">
        <v>6519</v>
      </c>
    </row>
    <row r="1241" spans="1:13" x14ac:dyDescent="0.45">
      <c r="A1241" t="s">
        <v>3601</v>
      </c>
      <c r="B1241">
        <v>1290073</v>
      </c>
      <c r="C1241">
        <v>1290303</v>
      </c>
      <c r="E1241" t="s">
        <v>42</v>
      </c>
      <c r="F1241" t="s">
        <v>536</v>
      </c>
      <c r="H1241">
        <v>83705041</v>
      </c>
      <c r="I1241" t="s">
        <v>17</v>
      </c>
      <c r="K1241" t="s">
        <v>6520</v>
      </c>
      <c r="L1241">
        <v>76</v>
      </c>
      <c r="M1241" t="s">
        <v>6521</v>
      </c>
    </row>
    <row r="1242" spans="1:13" x14ac:dyDescent="0.45">
      <c r="A1242" t="s">
        <v>3601</v>
      </c>
      <c r="B1242">
        <v>1290371</v>
      </c>
      <c r="C1242">
        <v>1291399</v>
      </c>
      <c r="E1242" t="s">
        <v>42</v>
      </c>
      <c r="F1242" t="s">
        <v>51</v>
      </c>
      <c r="H1242">
        <v>83705042</v>
      </c>
      <c r="I1242" t="s">
        <v>52</v>
      </c>
      <c r="M1242" t="s">
        <v>6522</v>
      </c>
    </row>
    <row r="1243" spans="1:13" x14ac:dyDescent="0.45">
      <c r="A1243" t="s">
        <v>3601</v>
      </c>
      <c r="B1243">
        <v>1291494</v>
      </c>
      <c r="C1243">
        <v>1293953</v>
      </c>
      <c r="E1243" t="s">
        <v>42</v>
      </c>
      <c r="F1243" t="s">
        <v>694</v>
      </c>
      <c r="G1243" t="s">
        <v>695</v>
      </c>
      <c r="H1243">
        <v>83705043</v>
      </c>
      <c r="I1243" t="s">
        <v>17</v>
      </c>
      <c r="K1243" t="s">
        <v>6523</v>
      </c>
      <c r="L1243">
        <v>819</v>
      </c>
      <c r="M1243" t="s">
        <v>6524</v>
      </c>
    </row>
    <row r="1244" spans="1:13" x14ac:dyDescent="0.45">
      <c r="A1244" t="s">
        <v>3601</v>
      </c>
      <c r="B1244">
        <v>1294429</v>
      </c>
      <c r="C1244">
        <v>1295244</v>
      </c>
      <c r="E1244" t="s">
        <v>42</v>
      </c>
      <c r="F1244" t="s">
        <v>45</v>
      </c>
      <c r="H1244">
        <v>83705044</v>
      </c>
      <c r="I1244" t="s">
        <v>17</v>
      </c>
      <c r="K1244" t="s">
        <v>6525</v>
      </c>
      <c r="L1244">
        <v>271</v>
      </c>
      <c r="M1244" t="s">
        <v>6526</v>
      </c>
    </row>
    <row r="1245" spans="1:13" x14ac:dyDescent="0.45">
      <c r="A1245" t="s">
        <v>3601</v>
      </c>
      <c r="B1245">
        <v>1295346</v>
      </c>
      <c r="C1245">
        <v>1297295</v>
      </c>
      <c r="E1245" t="s">
        <v>42</v>
      </c>
      <c r="F1245" t="s">
        <v>692</v>
      </c>
      <c r="G1245" t="s">
        <v>693</v>
      </c>
      <c r="H1245">
        <v>83705045</v>
      </c>
      <c r="I1245" t="s">
        <v>17</v>
      </c>
      <c r="K1245" t="s">
        <v>6527</v>
      </c>
      <c r="L1245">
        <v>649</v>
      </c>
      <c r="M1245" t="s">
        <v>6528</v>
      </c>
    </row>
    <row r="1246" spans="1:13" x14ac:dyDescent="0.45">
      <c r="A1246" t="s">
        <v>3601</v>
      </c>
      <c r="B1246">
        <v>1297428</v>
      </c>
      <c r="C1246">
        <v>1298075</v>
      </c>
      <c r="E1246" t="s">
        <v>14</v>
      </c>
      <c r="F1246" t="s">
        <v>690</v>
      </c>
      <c r="G1246" t="s">
        <v>691</v>
      </c>
      <c r="H1246">
        <v>83705046</v>
      </c>
      <c r="I1246" t="s">
        <v>17</v>
      </c>
      <c r="K1246" t="s">
        <v>6529</v>
      </c>
      <c r="L1246">
        <v>215</v>
      </c>
      <c r="M1246" t="s">
        <v>6530</v>
      </c>
    </row>
    <row r="1247" spans="1:13" x14ac:dyDescent="0.45">
      <c r="A1247" t="s">
        <v>3601</v>
      </c>
      <c r="B1247">
        <v>1298129</v>
      </c>
      <c r="C1247">
        <v>1299403</v>
      </c>
      <c r="E1247" t="s">
        <v>42</v>
      </c>
      <c r="F1247" t="s">
        <v>868</v>
      </c>
      <c r="H1247">
        <v>83705047</v>
      </c>
      <c r="I1247" t="s">
        <v>17</v>
      </c>
      <c r="K1247" t="s">
        <v>6531</v>
      </c>
      <c r="L1247">
        <v>424</v>
      </c>
      <c r="M1247" t="s">
        <v>6532</v>
      </c>
    </row>
    <row r="1248" spans="1:13" x14ac:dyDescent="0.45">
      <c r="A1248" t="s">
        <v>3601</v>
      </c>
      <c r="B1248">
        <v>1299636</v>
      </c>
      <c r="C1248">
        <v>1300289</v>
      </c>
      <c r="E1248" t="s">
        <v>42</v>
      </c>
      <c r="F1248" t="s">
        <v>487</v>
      </c>
      <c r="H1248">
        <v>83705048</v>
      </c>
      <c r="I1248" t="s">
        <v>17</v>
      </c>
      <c r="K1248" t="s">
        <v>6533</v>
      </c>
      <c r="L1248">
        <v>217</v>
      </c>
      <c r="M1248" t="s">
        <v>6534</v>
      </c>
    </row>
    <row r="1249" spans="1:13" x14ac:dyDescent="0.45">
      <c r="A1249" t="s">
        <v>3601</v>
      </c>
      <c r="B1249">
        <v>1300301</v>
      </c>
      <c r="C1249">
        <v>1300708</v>
      </c>
      <c r="E1249" t="s">
        <v>42</v>
      </c>
      <c r="F1249" t="s">
        <v>144</v>
      </c>
      <c r="H1249">
        <v>83705049</v>
      </c>
      <c r="I1249" t="s">
        <v>17</v>
      </c>
      <c r="K1249" t="s">
        <v>6535</v>
      </c>
      <c r="L1249">
        <v>135</v>
      </c>
      <c r="M1249" t="s">
        <v>6536</v>
      </c>
    </row>
    <row r="1250" spans="1:13" x14ac:dyDescent="0.45">
      <c r="A1250" t="s">
        <v>3601</v>
      </c>
      <c r="B1250">
        <v>1300839</v>
      </c>
      <c r="C1250">
        <v>1301492</v>
      </c>
      <c r="E1250" t="s">
        <v>42</v>
      </c>
      <c r="F1250" t="s">
        <v>411</v>
      </c>
      <c r="H1250">
        <v>83705050</v>
      </c>
      <c r="I1250" t="s">
        <v>17</v>
      </c>
      <c r="K1250" t="s">
        <v>6537</v>
      </c>
      <c r="L1250">
        <v>217</v>
      </c>
      <c r="M1250" t="s">
        <v>6538</v>
      </c>
    </row>
    <row r="1251" spans="1:13" x14ac:dyDescent="0.45">
      <c r="A1251" t="s">
        <v>3601</v>
      </c>
      <c r="B1251">
        <v>1301520</v>
      </c>
      <c r="C1251">
        <v>1302386</v>
      </c>
      <c r="E1251" t="s">
        <v>42</v>
      </c>
      <c r="F1251" t="s">
        <v>408</v>
      </c>
      <c r="H1251">
        <v>83705051</v>
      </c>
      <c r="I1251" t="s">
        <v>17</v>
      </c>
      <c r="K1251" t="s">
        <v>6539</v>
      </c>
      <c r="L1251">
        <v>288</v>
      </c>
      <c r="M1251" t="s">
        <v>6540</v>
      </c>
    </row>
    <row r="1252" spans="1:13" x14ac:dyDescent="0.45">
      <c r="A1252" t="s">
        <v>3601</v>
      </c>
      <c r="B1252">
        <v>1302506</v>
      </c>
      <c r="C1252">
        <v>1303963</v>
      </c>
      <c r="E1252" t="s">
        <v>42</v>
      </c>
      <c r="F1252" t="s">
        <v>6541</v>
      </c>
      <c r="H1252">
        <v>83705052</v>
      </c>
      <c r="I1252" t="s">
        <v>17</v>
      </c>
      <c r="K1252" t="s">
        <v>6542</v>
      </c>
      <c r="L1252">
        <v>485</v>
      </c>
      <c r="M1252" t="s">
        <v>6543</v>
      </c>
    </row>
    <row r="1253" spans="1:13" x14ac:dyDescent="0.45">
      <c r="A1253" t="s">
        <v>3601</v>
      </c>
      <c r="B1253">
        <v>1304192</v>
      </c>
      <c r="C1253">
        <v>1304935</v>
      </c>
      <c r="E1253" t="s">
        <v>42</v>
      </c>
      <c r="F1253" t="s">
        <v>144</v>
      </c>
      <c r="H1253">
        <v>83705053</v>
      </c>
      <c r="I1253" t="s">
        <v>17</v>
      </c>
      <c r="K1253" t="s">
        <v>6544</v>
      </c>
      <c r="L1253">
        <v>247</v>
      </c>
      <c r="M1253" t="s">
        <v>6545</v>
      </c>
    </row>
    <row r="1254" spans="1:13" x14ac:dyDescent="0.45">
      <c r="A1254" t="s">
        <v>3601</v>
      </c>
      <c r="B1254">
        <v>1304987</v>
      </c>
      <c r="C1254">
        <v>1305622</v>
      </c>
      <c r="E1254" t="s">
        <v>42</v>
      </c>
      <c r="F1254" t="s">
        <v>872</v>
      </c>
      <c r="G1254" t="s">
        <v>873</v>
      </c>
      <c r="H1254">
        <v>83705054</v>
      </c>
      <c r="I1254" t="s">
        <v>17</v>
      </c>
      <c r="K1254" t="s">
        <v>6546</v>
      </c>
      <c r="L1254">
        <v>211</v>
      </c>
      <c r="M1254" t="s">
        <v>6547</v>
      </c>
    </row>
    <row r="1255" spans="1:13" x14ac:dyDescent="0.45">
      <c r="A1255" t="s">
        <v>3601</v>
      </c>
      <c r="B1255">
        <v>1305682</v>
      </c>
      <c r="C1255">
        <v>1306374</v>
      </c>
      <c r="E1255" t="s">
        <v>42</v>
      </c>
      <c r="F1255" t="s">
        <v>870</v>
      </c>
      <c r="G1255" t="s">
        <v>871</v>
      </c>
      <c r="H1255">
        <v>83705055</v>
      </c>
      <c r="I1255" t="s">
        <v>17</v>
      </c>
      <c r="K1255" t="s">
        <v>6548</v>
      </c>
      <c r="L1255">
        <v>230</v>
      </c>
      <c r="M1255" t="s">
        <v>6549</v>
      </c>
    </row>
    <row r="1256" spans="1:13" x14ac:dyDescent="0.45">
      <c r="A1256" t="s">
        <v>3601</v>
      </c>
      <c r="B1256">
        <v>1306813</v>
      </c>
      <c r="C1256">
        <v>1307253</v>
      </c>
      <c r="E1256" t="s">
        <v>42</v>
      </c>
      <c r="F1256" t="s">
        <v>51</v>
      </c>
      <c r="H1256">
        <v>83705056</v>
      </c>
      <c r="I1256" t="s">
        <v>52</v>
      </c>
      <c r="M1256" t="s">
        <v>6550</v>
      </c>
    </row>
    <row r="1257" spans="1:13" x14ac:dyDescent="0.45">
      <c r="A1257" t="s">
        <v>3601</v>
      </c>
      <c r="B1257">
        <v>1307594</v>
      </c>
      <c r="C1257">
        <v>1308502</v>
      </c>
      <c r="E1257" t="s">
        <v>14</v>
      </c>
      <c r="F1257" t="s">
        <v>70</v>
      </c>
      <c r="H1257">
        <v>83705057</v>
      </c>
      <c r="I1257" t="s">
        <v>17</v>
      </c>
      <c r="K1257" t="s">
        <v>6551</v>
      </c>
      <c r="L1257">
        <v>302</v>
      </c>
      <c r="M1257" t="s">
        <v>6552</v>
      </c>
    </row>
    <row r="1258" spans="1:13" x14ac:dyDescent="0.45">
      <c r="A1258" t="s">
        <v>3601</v>
      </c>
      <c r="B1258">
        <v>1308633</v>
      </c>
      <c r="C1258">
        <v>1309418</v>
      </c>
      <c r="E1258" t="s">
        <v>42</v>
      </c>
      <c r="F1258" t="s">
        <v>45</v>
      </c>
      <c r="H1258">
        <v>83705058</v>
      </c>
      <c r="I1258" t="s">
        <v>17</v>
      </c>
      <c r="K1258" t="s">
        <v>6553</v>
      </c>
      <c r="L1258">
        <v>261</v>
      </c>
      <c r="M1258" t="s">
        <v>6554</v>
      </c>
    </row>
    <row r="1259" spans="1:13" x14ac:dyDescent="0.45">
      <c r="A1259" t="s">
        <v>3601</v>
      </c>
      <c r="B1259">
        <v>1309509</v>
      </c>
      <c r="C1259">
        <v>1310318</v>
      </c>
      <c r="E1259" t="s">
        <v>42</v>
      </c>
      <c r="F1259" t="s">
        <v>6555</v>
      </c>
      <c r="H1259">
        <v>83705059</v>
      </c>
      <c r="I1259" t="s">
        <v>17</v>
      </c>
      <c r="K1259" t="s">
        <v>6556</v>
      </c>
      <c r="L1259">
        <v>269</v>
      </c>
      <c r="M1259" t="s">
        <v>6557</v>
      </c>
    </row>
    <row r="1260" spans="1:13" x14ac:dyDescent="0.45">
      <c r="A1260" t="s">
        <v>3601</v>
      </c>
      <c r="B1260">
        <v>1310532</v>
      </c>
      <c r="C1260">
        <v>1311743</v>
      </c>
      <c r="E1260" t="s">
        <v>42</v>
      </c>
      <c r="F1260" t="s">
        <v>6558</v>
      </c>
      <c r="H1260">
        <v>83705060</v>
      </c>
      <c r="I1260" t="s">
        <v>17</v>
      </c>
      <c r="K1260" t="s">
        <v>6559</v>
      </c>
      <c r="L1260">
        <v>403</v>
      </c>
      <c r="M1260" t="s">
        <v>6560</v>
      </c>
    </row>
    <row r="1261" spans="1:13" x14ac:dyDescent="0.45">
      <c r="A1261" t="s">
        <v>3601</v>
      </c>
      <c r="B1261">
        <v>1311821</v>
      </c>
      <c r="C1261">
        <v>1312504</v>
      </c>
      <c r="E1261" t="s">
        <v>42</v>
      </c>
      <c r="F1261" t="s">
        <v>415</v>
      </c>
      <c r="G1261" t="s">
        <v>416</v>
      </c>
      <c r="H1261">
        <v>83705061</v>
      </c>
      <c r="I1261" t="s">
        <v>17</v>
      </c>
      <c r="K1261" t="s">
        <v>6561</v>
      </c>
      <c r="L1261">
        <v>227</v>
      </c>
      <c r="M1261" t="s">
        <v>6562</v>
      </c>
    </row>
    <row r="1262" spans="1:13" x14ac:dyDescent="0.45">
      <c r="A1262" t="s">
        <v>3601</v>
      </c>
      <c r="B1262">
        <v>1312939</v>
      </c>
      <c r="C1262">
        <v>1313253</v>
      </c>
      <c r="E1262" t="s">
        <v>42</v>
      </c>
      <c r="F1262" t="s">
        <v>3806</v>
      </c>
      <c r="H1262">
        <v>83705062</v>
      </c>
      <c r="I1262" t="s">
        <v>17</v>
      </c>
      <c r="K1262" t="s">
        <v>6563</v>
      </c>
      <c r="L1262">
        <v>104</v>
      </c>
      <c r="M1262" t="s">
        <v>6564</v>
      </c>
    </row>
    <row r="1263" spans="1:13" x14ac:dyDescent="0.45">
      <c r="A1263" t="s">
        <v>3601</v>
      </c>
      <c r="B1263">
        <v>1313260</v>
      </c>
      <c r="C1263">
        <v>1313925</v>
      </c>
      <c r="E1263" t="s">
        <v>42</v>
      </c>
      <c r="F1263" t="s">
        <v>45</v>
      </c>
      <c r="H1263">
        <v>83705063</v>
      </c>
      <c r="I1263" t="s">
        <v>17</v>
      </c>
      <c r="K1263" t="s">
        <v>6565</v>
      </c>
      <c r="L1263">
        <v>221</v>
      </c>
      <c r="M1263" t="s">
        <v>6566</v>
      </c>
    </row>
    <row r="1264" spans="1:13" x14ac:dyDescent="0.45">
      <c r="A1264" t="s">
        <v>3601</v>
      </c>
      <c r="B1264">
        <v>1313947</v>
      </c>
      <c r="C1264">
        <v>1314642</v>
      </c>
      <c r="E1264" t="s">
        <v>42</v>
      </c>
      <c r="F1264" t="s">
        <v>45</v>
      </c>
      <c r="H1264">
        <v>83705064</v>
      </c>
      <c r="I1264" t="s">
        <v>17</v>
      </c>
      <c r="K1264" t="s">
        <v>6567</v>
      </c>
      <c r="L1264">
        <v>231</v>
      </c>
      <c r="M1264" t="s">
        <v>6568</v>
      </c>
    </row>
    <row r="1265" spans="1:13" x14ac:dyDescent="0.45">
      <c r="A1265" t="s">
        <v>3601</v>
      </c>
      <c r="B1265">
        <v>1314664</v>
      </c>
      <c r="C1265">
        <v>1315350</v>
      </c>
      <c r="E1265" t="s">
        <v>42</v>
      </c>
      <c r="F1265" t="s">
        <v>45</v>
      </c>
      <c r="H1265">
        <v>83705065</v>
      </c>
      <c r="I1265" t="s">
        <v>17</v>
      </c>
      <c r="K1265" t="s">
        <v>6569</v>
      </c>
      <c r="L1265">
        <v>228</v>
      </c>
      <c r="M1265" t="s">
        <v>6570</v>
      </c>
    </row>
    <row r="1266" spans="1:13" x14ac:dyDescent="0.45">
      <c r="A1266" t="s">
        <v>3601</v>
      </c>
      <c r="B1266">
        <v>1315344</v>
      </c>
      <c r="C1266">
        <v>1316951</v>
      </c>
      <c r="E1266" t="s">
        <v>42</v>
      </c>
      <c r="F1266" t="s">
        <v>4194</v>
      </c>
      <c r="H1266">
        <v>83705066</v>
      </c>
      <c r="I1266" t="s">
        <v>17</v>
      </c>
      <c r="K1266" t="s">
        <v>6571</v>
      </c>
      <c r="L1266">
        <v>535</v>
      </c>
      <c r="M1266" t="s">
        <v>6572</v>
      </c>
    </row>
    <row r="1267" spans="1:13" x14ac:dyDescent="0.45">
      <c r="A1267" t="s">
        <v>3601</v>
      </c>
      <c r="B1267">
        <v>1316941</v>
      </c>
      <c r="C1267">
        <v>1317291</v>
      </c>
      <c r="E1267" t="s">
        <v>42</v>
      </c>
      <c r="F1267" t="s">
        <v>45</v>
      </c>
      <c r="H1267">
        <v>83705067</v>
      </c>
      <c r="I1267" t="s">
        <v>17</v>
      </c>
      <c r="K1267" t="s">
        <v>6573</v>
      </c>
      <c r="L1267">
        <v>116</v>
      </c>
      <c r="M1267" t="s">
        <v>6574</v>
      </c>
    </row>
    <row r="1268" spans="1:13" x14ac:dyDescent="0.45">
      <c r="A1268" t="s">
        <v>3601</v>
      </c>
      <c r="B1268">
        <v>1317278</v>
      </c>
      <c r="C1268">
        <v>1317592</v>
      </c>
      <c r="E1268" t="s">
        <v>42</v>
      </c>
      <c r="F1268" t="s">
        <v>4538</v>
      </c>
      <c r="H1268">
        <v>83705068</v>
      </c>
      <c r="I1268" t="s">
        <v>17</v>
      </c>
      <c r="K1268" t="s">
        <v>6575</v>
      </c>
      <c r="L1268">
        <v>104</v>
      </c>
      <c r="M1268" t="s">
        <v>6576</v>
      </c>
    </row>
    <row r="1269" spans="1:13" x14ac:dyDescent="0.45">
      <c r="A1269" t="s">
        <v>3601</v>
      </c>
      <c r="B1269">
        <v>1318238</v>
      </c>
      <c r="C1269">
        <v>1318804</v>
      </c>
      <c r="E1269" t="s">
        <v>42</v>
      </c>
      <c r="F1269" t="s">
        <v>45</v>
      </c>
      <c r="H1269">
        <v>83705069</v>
      </c>
      <c r="I1269" t="s">
        <v>17</v>
      </c>
      <c r="K1269" t="s">
        <v>6577</v>
      </c>
      <c r="L1269">
        <v>188</v>
      </c>
      <c r="M1269" t="s">
        <v>6578</v>
      </c>
    </row>
    <row r="1270" spans="1:13" x14ac:dyDescent="0.45">
      <c r="A1270" t="s">
        <v>3601</v>
      </c>
      <c r="B1270">
        <v>1318801</v>
      </c>
      <c r="C1270">
        <v>1318995</v>
      </c>
      <c r="E1270" t="s">
        <v>42</v>
      </c>
      <c r="F1270" t="s">
        <v>45</v>
      </c>
      <c r="H1270">
        <v>83705070</v>
      </c>
      <c r="I1270" t="s">
        <v>17</v>
      </c>
      <c r="K1270" t="s">
        <v>6579</v>
      </c>
      <c r="L1270">
        <v>64</v>
      </c>
      <c r="M1270" t="s">
        <v>6580</v>
      </c>
    </row>
    <row r="1271" spans="1:13" x14ac:dyDescent="0.45">
      <c r="A1271" t="s">
        <v>3601</v>
      </c>
      <c r="B1271">
        <v>1319488</v>
      </c>
      <c r="C1271">
        <v>1320864</v>
      </c>
      <c r="E1271" t="s">
        <v>14</v>
      </c>
      <c r="F1271" t="s">
        <v>1050</v>
      </c>
      <c r="G1271" t="s">
        <v>1051</v>
      </c>
      <c r="H1271">
        <v>83705071</v>
      </c>
      <c r="I1271" t="s">
        <v>17</v>
      </c>
      <c r="K1271" t="s">
        <v>6581</v>
      </c>
      <c r="L1271">
        <v>458</v>
      </c>
      <c r="M1271" t="s">
        <v>6582</v>
      </c>
    </row>
    <row r="1272" spans="1:13" x14ac:dyDescent="0.45">
      <c r="A1272" t="s">
        <v>3601</v>
      </c>
      <c r="B1272">
        <v>1321129</v>
      </c>
      <c r="C1272">
        <v>1322538</v>
      </c>
      <c r="E1272" t="s">
        <v>42</v>
      </c>
      <c r="F1272" t="s">
        <v>675</v>
      </c>
      <c r="G1272" t="s">
        <v>676</v>
      </c>
      <c r="H1272">
        <v>83705072</v>
      </c>
      <c r="I1272" t="s">
        <v>17</v>
      </c>
      <c r="K1272" t="s">
        <v>6583</v>
      </c>
      <c r="L1272">
        <v>469</v>
      </c>
      <c r="M1272" t="s">
        <v>6584</v>
      </c>
    </row>
    <row r="1273" spans="1:13" x14ac:dyDescent="0.45">
      <c r="A1273" t="s">
        <v>3601</v>
      </c>
      <c r="B1273">
        <v>1322618</v>
      </c>
      <c r="C1273">
        <v>1323220</v>
      </c>
      <c r="E1273" t="s">
        <v>42</v>
      </c>
      <c r="F1273" t="s">
        <v>609</v>
      </c>
      <c r="H1273">
        <v>83705073</v>
      </c>
      <c r="I1273" t="s">
        <v>17</v>
      </c>
      <c r="K1273" t="s">
        <v>6585</v>
      </c>
      <c r="L1273">
        <v>200</v>
      </c>
      <c r="M1273" t="s">
        <v>6586</v>
      </c>
    </row>
    <row r="1274" spans="1:13" x14ac:dyDescent="0.45">
      <c r="A1274" t="s">
        <v>3601</v>
      </c>
      <c r="B1274">
        <v>1323348</v>
      </c>
      <c r="C1274">
        <v>1325132</v>
      </c>
      <c r="E1274" t="s">
        <v>42</v>
      </c>
      <c r="F1274" t="s">
        <v>636</v>
      </c>
      <c r="G1274" t="s">
        <v>637</v>
      </c>
      <c r="H1274">
        <v>83705074</v>
      </c>
      <c r="I1274" t="s">
        <v>17</v>
      </c>
      <c r="K1274" t="s">
        <v>6587</v>
      </c>
      <c r="L1274">
        <v>594</v>
      </c>
      <c r="M1274" t="s">
        <v>6588</v>
      </c>
    </row>
    <row r="1275" spans="1:13" x14ac:dyDescent="0.45">
      <c r="A1275" t="s">
        <v>3601</v>
      </c>
      <c r="B1275">
        <v>1325385</v>
      </c>
      <c r="C1275">
        <v>1326395</v>
      </c>
      <c r="E1275" t="s">
        <v>42</v>
      </c>
      <c r="F1275" t="s">
        <v>412</v>
      </c>
      <c r="H1275">
        <v>83705075</v>
      </c>
      <c r="I1275" t="s">
        <v>17</v>
      </c>
      <c r="K1275" t="s">
        <v>6589</v>
      </c>
      <c r="L1275">
        <v>336</v>
      </c>
      <c r="M1275" t="s">
        <v>6590</v>
      </c>
    </row>
    <row r="1276" spans="1:13" x14ac:dyDescent="0.45">
      <c r="A1276" t="s">
        <v>3601</v>
      </c>
      <c r="B1276">
        <v>1326419</v>
      </c>
      <c r="C1276">
        <v>1327204</v>
      </c>
      <c r="E1276" t="s">
        <v>42</v>
      </c>
      <c r="F1276" t="s">
        <v>82</v>
      </c>
      <c r="H1276">
        <v>83705076</v>
      </c>
      <c r="I1276" t="s">
        <v>17</v>
      </c>
      <c r="K1276" t="s">
        <v>6591</v>
      </c>
      <c r="L1276">
        <v>261</v>
      </c>
      <c r="M1276" t="s">
        <v>6592</v>
      </c>
    </row>
    <row r="1277" spans="1:13" x14ac:dyDescent="0.45">
      <c r="A1277" t="s">
        <v>3601</v>
      </c>
      <c r="B1277">
        <v>1327208</v>
      </c>
      <c r="C1277">
        <v>1328842</v>
      </c>
      <c r="E1277" t="s">
        <v>42</v>
      </c>
      <c r="F1277" t="s">
        <v>4437</v>
      </c>
      <c r="H1277">
        <v>83705077</v>
      </c>
      <c r="I1277" t="s">
        <v>17</v>
      </c>
      <c r="K1277" t="s">
        <v>6593</v>
      </c>
      <c r="L1277">
        <v>544</v>
      </c>
      <c r="M1277" t="s">
        <v>6594</v>
      </c>
    </row>
    <row r="1278" spans="1:13" x14ac:dyDescent="0.45">
      <c r="A1278" t="s">
        <v>3601</v>
      </c>
      <c r="B1278">
        <v>1329013</v>
      </c>
      <c r="C1278">
        <v>1329840</v>
      </c>
      <c r="E1278" t="s">
        <v>42</v>
      </c>
      <c r="F1278" t="s">
        <v>371</v>
      </c>
      <c r="H1278">
        <v>83705078</v>
      </c>
      <c r="I1278" t="s">
        <v>17</v>
      </c>
      <c r="K1278" t="s">
        <v>6595</v>
      </c>
      <c r="L1278">
        <v>275</v>
      </c>
      <c r="M1278" t="s">
        <v>6596</v>
      </c>
    </row>
    <row r="1279" spans="1:13" x14ac:dyDescent="0.45">
      <c r="A1279" t="s">
        <v>3601</v>
      </c>
      <c r="B1279">
        <v>1329837</v>
      </c>
      <c r="C1279">
        <v>1330646</v>
      </c>
      <c r="E1279" t="s">
        <v>42</v>
      </c>
      <c r="F1279" t="s">
        <v>5535</v>
      </c>
      <c r="H1279">
        <v>83705079</v>
      </c>
      <c r="I1279" t="s">
        <v>17</v>
      </c>
      <c r="K1279" t="s">
        <v>6597</v>
      </c>
      <c r="L1279">
        <v>269</v>
      </c>
      <c r="M1279" t="s">
        <v>6598</v>
      </c>
    </row>
    <row r="1280" spans="1:13" x14ac:dyDescent="0.45">
      <c r="A1280" t="s">
        <v>3601</v>
      </c>
      <c r="B1280">
        <v>1330664</v>
      </c>
      <c r="C1280">
        <v>1331155</v>
      </c>
      <c r="E1280" t="s">
        <v>42</v>
      </c>
      <c r="F1280" t="s">
        <v>5532</v>
      </c>
      <c r="H1280">
        <v>83705080</v>
      </c>
      <c r="I1280" t="s">
        <v>17</v>
      </c>
      <c r="K1280" t="s">
        <v>6599</v>
      </c>
      <c r="L1280">
        <v>163</v>
      </c>
      <c r="M1280" t="s">
        <v>6600</v>
      </c>
    </row>
    <row r="1281" spans="1:13" x14ac:dyDescent="0.45">
      <c r="A1281" t="s">
        <v>3601</v>
      </c>
      <c r="B1281">
        <v>1331170</v>
      </c>
      <c r="C1281">
        <v>1331595</v>
      </c>
      <c r="E1281" t="s">
        <v>42</v>
      </c>
      <c r="F1281" t="s">
        <v>98</v>
      </c>
      <c r="H1281">
        <v>83705081</v>
      </c>
      <c r="I1281" t="s">
        <v>17</v>
      </c>
      <c r="K1281" t="s">
        <v>6601</v>
      </c>
      <c r="L1281">
        <v>141</v>
      </c>
      <c r="M1281" t="s">
        <v>6602</v>
      </c>
    </row>
    <row r="1282" spans="1:13" x14ac:dyDescent="0.45">
      <c r="A1282" t="s">
        <v>3601</v>
      </c>
      <c r="B1282">
        <v>1331939</v>
      </c>
      <c r="C1282">
        <v>1332958</v>
      </c>
      <c r="E1282" t="s">
        <v>42</v>
      </c>
      <c r="F1282" t="s">
        <v>6603</v>
      </c>
      <c r="H1282">
        <v>83705082</v>
      </c>
      <c r="I1282" t="s">
        <v>17</v>
      </c>
      <c r="K1282" t="s">
        <v>6604</v>
      </c>
      <c r="L1282">
        <v>339</v>
      </c>
      <c r="M1282" t="s">
        <v>6605</v>
      </c>
    </row>
    <row r="1283" spans="1:13" x14ac:dyDescent="0.45">
      <c r="A1283" t="s">
        <v>3601</v>
      </c>
      <c r="B1283">
        <v>1333245</v>
      </c>
      <c r="C1283">
        <v>1333682</v>
      </c>
      <c r="E1283" t="s">
        <v>42</v>
      </c>
      <c r="F1283" t="s">
        <v>864</v>
      </c>
      <c r="G1283" t="s">
        <v>865</v>
      </c>
      <c r="H1283">
        <v>83705083</v>
      </c>
      <c r="I1283" t="s">
        <v>17</v>
      </c>
      <c r="K1283" t="s">
        <v>6606</v>
      </c>
      <c r="L1283">
        <v>145</v>
      </c>
      <c r="M1283" t="s">
        <v>6607</v>
      </c>
    </row>
    <row r="1284" spans="1:13" x14ac:dyDescent="0.45">
      <c r="A1284" t="s">
        <v>3601</v>
      </c>
      <c r="B1284">
        <v>1334206</v>
      </c>
      <c r="C1284">
        <v>1336038</v>
      </c>
      <c r="E1284" t="s">
        <v>42</v>
      </c>
      <c r="F1284" t="s">
        <v>767</v>
      </c>
      <c r="G1284" t="s">
        <v>768</v>
      </c>
      <c r="H1284">
        <v>83705084</v>
      </c>
      <c r="I1284" t="s">
        <v>17</v>
      </c>
      <c r="K1284" t="s">
        <v>6608</v>
      </c>
      <c r="L1284">
        <v>610</v>
      </c>
      <c r="M1284" t="s">
        <v>6609</v>
      </c>
    </row>
    <row r="1285" spans="1:13" x14ac:dyDescent="0.45">
      <c r="A1285" t="s">
        <v>3601</v>
      </c>
      <c r="B1285">
        <v>1337124</v>
      </c>
      <c r="C1285">
        <v>1337417</v>
      </c>
      <c r="E1285" t="s">
        <v>42</v>
      </c>
      <c r="F1285" t="s">
        <v>419</v>
      </c>
      <c r="H1285">
        <v>83705085</v>
      </c>
      <c r="I1285" t="s">
        <v>17</v>
      </c>
      <c r="K1285" t="s">
        <v>6610</v>
      </c>
      <c r="L1285">
        <v>97</v>
      </c>
      <c r="M1285" t="s">
        <v>6611</v>
      </c>
    </row>
    <row r="1286" spans="1:13" x14ac:dyDescent="0.45">
      <c r="A1286" t="s">
        <v>3601</v>
      </c>
      <c r="B1286">
        <v>1337883</v>
      </c>
      <c r="C1286">
        <v>1338341</v>
      </c>
      <c r="E1286" t="s">
        <v>14</v>
      </c>
      <c r="F1286" t="s">
        <v>51</v>
      </c>
      <c r="H1286">
        <v>83705086</v>
      </c>
      <c r="I1286" t="s">
        <v>52</v>
      </c>
      <c r="M1286" t="s">
        <v>6612</v>
      </c>
    </row>
    <row r="1287" spans="1:13" x14ac:dyDescent="0.45">
      <c r="A1287" t="s">
        <v>3601</v>
      </c>
      <c r="B1287">
        <v>1338352</v>
      </c>
      <c r="C1287">
        <v>1339710</v>
      </c>
      <c r="E1287" t="s">
        <v>14</v>
      </c>
      <c r="F1287" t="s">
        <v>51</v>
      </c>
      <c r="H1287">
        <v>83705087</v>
      </c>
      <c r="I1287" t="s">
        <v>52</v>
      </c>
      <c r="M1287" t="s">
        <v>6613</v>
      </c>
    </row>
    <row r="1288" spans="1:13" x14ac:dyDescent="0.45">
      <c r="A1288" t="s">
        <v>3601</v>
      </c>
      <c r="B1288">
        <v>1339804</v>
      </c>
      <c r="C1288">
        <v>1339959</v>
      </c>
      <c r="E1288" t="s">
        <v>14</v>
      </c>
      <c r="F1288" t="s">
        <v>6614</v>
      </c>
      <c r="H1288">
        <v>83705088</v>
      </c>
      <c r="I1288" t="s">
        <v>17</v>
      </c>
      <c r="K1288" t="s">
        <v>6615</v>
      </c>
      <c r="L1288">
        <v>51</v>
      </c>
      <c r="M1288" t="s">
        <v>6616</v>
      </c>
    </row>
    <row r="1289" spans="1:13" x14ac:dyDescent="0.45">
      <c r="A1289" t="s">
        <v>3601</v>
      </c>
      <c r="B1289">
        <v>1340141</v>
      </c>
      <c r="C1289">
        <v>1340552</v>
      </c>
      <c r="E1289" t="s">
        <v>42</v>
      </c>
      <c r="F1289" t="s">
        <v>51</v>
      </c>
      <c r="G1289" t="s">
        <v>6256</v>
      </c>
      <c r="H1289">
        <v>83705089</v>
      </c>
      <c r="I1289" t="s">
        <v>52</v>
      </c>
      <c r="M1289" t="s">
        <v>6617</v>
      </c>
    </row>
    <row r="1290" spans="1:13" x14ac:dyDescent="0.45">
      <c r="A1290" t="s">
        <v>3601</v>
      </c>
      <c r="B1290">
        <v>1340980</v>
      </c>
      <c r="C1290">
        <v>1341366</v>
      </c>
      <c r="E1290" t="s">
        <v>42</v>
      </c>
      <c r="F1290" t="s">
        <v>51</v>
      </c>
      <c r="G1290" t="s">
        <v>6256</v>
      </c>
      <c r="H1290">
        <v>83705090</v>
      </c>
      <c r="I1290" t="s">
        <v>52</v>
      </c>
      <c r="M1290" t="s">
        <v>6618</v>
      </c>
    </row>
    <row r="1291" spans="1:13" x14ac:dyDescent="0.45">
      <c r="A1291" t="s">
        <v>3601</v>
      </c>
      <c r="B1291">
        <v>1341421</v>
      </c>
      <c r="C1291">
        <v>1341600</v>
      </c>
      <c r="E1291" t="s">
        <v>14</v>
      </c>
      <c r="F1291" t="s">
        <v>45</v>
      </c>
      <c r="H1291">
        <v>83705091</v>
      </c>
      <c r="I1291" t="s">
        <v>17</v>
      </c>
      <c r="K1291" t="s">
        <v>6619</v>
      </c>
      <c r="L1291">
        <v>59</v>
      </c>
      <c r="M1291" t="s">
        <v>6620</v>
      </c>
    </row>
    <row r="1292" spans="1:13" x14ac:dyDescent="0.45">
      <c r="A1292" t="s">
        <v>3601</v>
      </c>
      <c r="B1292">
        <v>1341644</v>
      </c>
      <c r="C1292">
        <v>1342009</v>
      </c>
      <c r="E1292" t="s">
        <v>42</v>
      </c>
      <c r="F1292" t="s">
        <v>281</v>
      </c>
      <c r="G1292" t="s">
        <v>282</v>
      </c>
      <c r="H1292">
        <v>83705092</v>
      </c>
      <c r="I1292" t="s">
        <v>17</v>
      </c>
      <c r="K1292" t="s">
        <v>6621</v>
      </c>
      <c r="L1292">
        <v>121</v>
      </c>
      <c r="M1292" t="s">
        <v>6622</v>
      </c>
    </row>
    <row r="1293" spans="1:13" x14ac:dyDescent="0.45">
      <c r="A1293" t="s">
        <v>3601</v>
      </c>
      <c r="B1293">
        <v>1342074</v>
      </c>
      <c r="C1293">
        <v>1342574</v>
      </c>
      <c r="E1293" t="s">
        <v>42</v>
      </c>
      <c r="F1293" t="s">
        <v>279</v>
      </c>
      <c r="G1293" t="s">
        <v>280</v>
      </c>
      <c r="H1293">
        <v>83705093</v>
      </c>
      <c r="I1293" t="s">
        <v>17</v>
      </c>
      <c r="K1293" t="s">
        <v>6623</v>
      </c>
      <c r="L1293">
        <v>166</v>
      </c>
      <c r="M1293" t="s">
        <v>6624</v>
      </c>
    </row>
    <row r="1294" spans="1:13" x14ac:dyDescent="0.45">
      <c r="A1294" t="s">
        <v>3601</v>
      </c>
      <c r="B1294">
        <v>1342870</v>
      </c>
      <c r="C1294">
        <v>1343511</v>
      </c>
      <c r="E1294" t="s">
        <v>42</v>
      </c>
      <c r="F1294" t="s">
        <v>346</v>
      </c>
      <c r="H1294">
        <v>83705094</v>
      </c>
      <c r="I1294" t="s">
        <v>17</v>
      </c>
      <c r="K1294" t="s">
        <v>6625</v>
      </c>
      <c r="L1294">
        <v>213</v>
      </c>
      <c r="M1294" t="s">
        <v>6626</v>
      </c>
    </row>
    <row r="1295" spans="1:13" x14ac:dyDescent="0.45">
      <c r="A1295" t="s">
        <v>3601</v>
      </c>
      <c r="B1295">
        <v>1343508</v>
      </c>
      <c r="C1295">
        <v>1344275</v>
      </c>
      <c r="E1295" t="s">
        <v>42</v>
      </c>
      <c r="F1295" t="s">
        <v>345</v>
      </c>
      <c r="H1295">
        <v>83705095</v>
      </c>
      <c r="I1295" t="s">
        <v>17</v>
      </c>
      <c r="K1295" t="s">
        <v>6627</v>
      </c>
      <c r="L1295">
        <v>255</v>
      </c>
      <c r="M1295" t="s">
        <v>6628</v>
      </c>
    </row>
    <row r="1296" spans="1:13" x14ac:dyDescent="0.45">
      <c r="A1296" t="s">
        <v>3601</v>
      </c>
      <c r="B1296">
        <v>1344275</v>
      </c>
      <c r="C1296">
        <v>1345027</v>
      </c>
      <c r="E1296" t="s">
        <v>42</v>
      </c>
      <c r="F1296" t="s">
        <v>300</v>
      </c>
      <c r="H1296">
        <v>83705096</v>
      </c>
      <c r="I1296" t="s">
        <v>17</v>
      </c>
      <c r="K1296" t="s">
        <v>6629</v>
      </c>
      <c r="L1296">
        <v>250</v>
      </c>
      <c r="M1296" t="s">
        <v>6630</v>
      </c>
    </row>
    <row r="1297" spans="1:13" x14ac:dyDescent="0.45">
      <c r="A1297" t="s">
        <v>3601</v>
      </c>
      <c r="B1297">
        <v>1345038</v>
      </c>
      <c r="C1297">
        <v>1346168</v>
      </c>
      <c r="E1297" t="s">
        <v>42</v>
      </c>
      <c r="F1297" t="s">
        <v>6631</v>
      </c>
      <c r="G1297" t="s">
        <v>6632</v>
      </c>
      <c r="H1297">
        <v>83705097</v>
      </c>
      <c r="I1297" t="s">
        <v>17</v>
      </c>
      <c r="K1297" t="s">
        <v>6633</v>
      </c>
      <c r="L1297">
        <v>376</v>
      </c>
      <c r="M1297" t="s">
        <v>6634</v>
      </c>
    </row>
    <row r="1298" spans="1:13" x14ac:dyDescent="0.45">
      <c r="A1298" t="s">
        <v>3601</v>
      </c>
      <c r="B1298">
        <v>1346235</v>
      </c>
      <c r="C1298">
        <v>1346888</v>
      </c>
      <c r="E1298" t="s">
        <v>42</v>
      </c>
      <c r="F1298" t="s">
        <v>6635</v>
      </c>
      <c r="H1298">
        <v>83705098</v>
      </c>
      <c r="I1298" t="s">
        <v>17</v>
      </c>
      <c r="K1298" t="s">
        <v>6636</v>
      </c>
      <c r="L1298">
        <v>217</v>
      </c>
      <c r="M1298" t="s">
        <v>6637</v>
      </c>
    </row>
    <row r="1299" spans="1:13" x14ac:dyDescent="0.45">
      <c r="A1299" t="s">
        <v>3601</v>
      </c>
      <c r="B1299">
        <v>1346955</v>
      </c>
      <c r="C1299">
        <v>1348307</v>
      </c>
      <c r="E1299" t="s">
        <v>42</v>
      </c>
      <c r="F1299" t="s">
        <v>499</v>
      </c>
      <c r="G1299" t="s">
        <v>500</v>
      </c>
      <c r="H1299">
        <v>83705099</v>
      </c>
      <c r="I1299" t="s">
        <v>17</v>
      </c>
      <c r="K1299" t="s">
        <v>6638</v>
      </c>
      <c r="L1299">
        <v>450</v>
      </c>
      <c r="M1299" t="s">
        <v>6639</v>
      </c>
    </row>
    <row r="1300" spans="1:13" x14ac:dyDescent="0.45">
      <c r="A1300" t="s">
        <v>3601</v>
      </c>
      <c r="B1300">
        <v>1348360</v>
      </c>
      <c r="C1300">
        <v>1349316</v>
      </c>
      <c r="E1300" t="s">
        <v>42</v>
      </c>
      <c r="F1300" t="s">
        <v>498</v>
      </c>
      <c r="H1300">
        <v>83705100</v>
      </c>
      <c r="I1300" t="s">
        <v>17</v>
      </c>
      <c r="K1300" t="s">
        <v>6640</v>
      </c>
      <c r="L1300">
        <v>318</v>
      </c>
      <c r="M1300" t="s">
        <v>6641</v>
      </c>
    </row>
    <row r="1301" spans="1:13" x14ac:dyDescent="0.45">
      <c r="A1301" t="s">
        <v>3601</v>
      </c>
      <c r="B1301">
        <v>1349313</v>
      </c>
      <c r="C1301">
        <v>1350164</v>
      </c>
      <c r="E1301" t="s">
        <v>42</v>
      </c>
      <c r="F1301" t="s">
        <v>496</v>
      </c>
      <c r="G1301" t="s">
        <v>497</v>
      </c>
      <c r="H1301">
        <v>83705101</v>
      </c>
      <c r="I1301" t="s">
        <v>17</v>
      </c>
      <c r="K1301" t="s">
        <v>6642</v>
      </c>
      <c r="L1301">
        <v>283</v>
      </c>
      <c r="M1301" t="s">
        <v>6643</v>
      </c>
    </row>
    <row r="1302" spans="1:13" x14ac:dyDescent="0.45">
      <c r="A1302" t="s">
        <v>3601</v>
      </c>
      <c r="B1302">
        <v>1350266</v>
      </c>
      <c r="C1302">
        <v>1351609</v>
      </c>
      <c r="E1302" t="s">
        <v>14</v>
      </c>
      <c r="F1302" t="s">
        <v>6644</v>
      </c>
      <c r="G1302" t="s">
        <v>6645</v>
      </c>
      <c r="H1302">
        <v>83705102</v>
      </c>
      <c r="I1302" t="s">
        <v>17</v>
      </c>
      <c r="K1302" t="s">
        <v>6646</v>
      </c>
      <c r="L1302">
        <v>447</v>
      </c>
      <c r="M1302" t="s">
        <v>6647</v>
      </c>
    </row>
    <row r="1303" spans="1:13" x14ac:dyDescent="0.45">
      <c r="A1303" t="s">
        <v>3601</v>
      </c>
      <c r="B1303">
        <v>1351609</v>
      </c>
      <c r="C1303">
        <v>1352397</v>
      </c>
      <c r="E1303" t="s">
        <v>14</v>
      </c>
      <c r="F1303" t="s">
        <v>6648</v>
      </c>
      <c r="G1303" t="s">
        <v>6649</v>
      </c>
      <c r="H1303">
        <v>83705103</v>
      </c>
      <c r="I1303" t="s">
        <v>17</v>
      </c>
      <c r="K1303" t="s">
        <v>6650</v>
      </c>
      <c r="L1303">
        <v>262</v>
      </c>
      <c r="M1303" t="s">
        <v>6651</v>
      </c>
    </row>
    <row r="1304" spans="1:13" x14ac:dyDescent="0.45">
      <c r="A1304" t="s">
        <v>3601</v>
      </c>
      <c r="B1304">
        <v>1352845</v>
      </c>
      <c r="C1304">
        <v>1353834</v>
      </c>
      <c r="E1304" t="s">
        <v>42</v>
      </c>
      <c r="F1304" t="s">
        <v>6652</v>
      </c>
      <c r="H1304">
        <v>83705104</v>
      </c>
      <c r="I1304" t="s">
        <v>17</v>
      </c>
      <c r="K1304" t="s">
        <v>6653</v>
      </c>
      <c r="L1304">
        <v>329</v>
      </c>
      <c r="M1304" t="s">
        <v>6654</v>
      </c>
    </row>
    <row r="1305" spans="1:13" x14ac:dyDescent="0.45">
      <c r="A1305" t="s">
        <v>3601</v>
      </c>
      <c r="B1305">
        <v>1354076</v>
      </c>
      <c r="C1305">
        <v>1355845</v>
      </c>
      <c r="E1305" t="s">
        <v>42</v>
      </c>
      <c r="F1305" t="s">
        <v>6655</v>
      </c>
      <c r="G1305" t="s">
        <v>6656</v>
      </c>
      <c r="H1305">
        <v>83705105</v>
      </c>
      <c r="I1305" t="s">
        <v>17</v>
      </c>
      <c r="K1305" t="s">
        <v>6657</v>
      </c>
      <c r="L1305">
        <v>589</v>
      </c>
      <c r="M1305" t="s">
        <v>6658</v>
      </c>
    </row>
    <row r="1306" spans="1:13" x14ac:dyDescent="0.45">
      <c r="A1306" t="s">
        <v>3601</v>
      </c>
      <c r="B1306">
        <v>1356054</v>
      </c>
      <c r="C1306">
        <v>1357460</v>
      </c>
      <c r="E1306" t="s">
        <v>42</v>
      </c>
      <c r="F1306" t="s">
        <v>6659</v>
      </c>
      <c r="H1306">
        <v>83705106</v>
      </c>
      <c r="I1306" t="s">
        <v>17</v>
      </c>
      <c r="K1306" t="s">
        <v>6660</v>
      </c>
      <c r="L1306">
        <v>468</v>
      </c>
      <c r="M1306" t="s">
        <v>6661</v>
      </c>
    </row>
    <row r="1307" spans="1:13" x14ac:dyDescent="0.45">
      <c r="A1307" t="s">
        <v>3601</v>
      </c>
      <c r="B1307">
        <v>1357584</v>
      </c>
      <c r="C1307">
        <v>1358582</v>
      </c>
      <c r="E1307" t="s">
        <v>42</v>
      </c>
      <c r="F1307" t="s">
        <v>6662</v>
      </c>
      <c r="H1307">
        <v>83705107</v>
      </c>
      <c r="I1307" t="s">
        <v>17</v>
      </c>
      <c r="K1307" t="s">
        <v>6663</v>
      </c>
      <c r="L1307">
        <v>332</v>
      </c>
      <c r="M1307" t="s">
        <v>6664</v>
      </c>
    </row>
    <row r="1308" spans="1:13" x14ac:dyDescent="0.45">
      <c r="A1308" t="s">
        <v>3601</v>
      </c>
      <c r="B1308">
        <v>1358662</v>
      </c>
      <c r="C1308">
        <v>1359630</v>
      </c>
      <c r="E1308" t="s">
        <v>42</v>
      </c>
      <c r="F1308" t="s">
        <v>6665</v>
      </c>
      <c r="H1308">
        <v>83705108</v>
      </c>
      <c r="I1308" t="s">
        <v>17</v>
      </c>
      <c r="K1308" t="s">
        <v>6666</v>
      </c>
      <c r="L1308">
        <v>322</v>
      </c>
      <c r="M1308" t="s">
        <v>6667</v>
      </c>
    </row>
    <row r="1309" spans="1:13" x14ac:dyDescent="0.45">
      <c r="A1309" t="s">
        <v>3601</v>
      </c>
      <c r="B1309">
        <v>1360118</v>
      </c>
      <c r="C1309">
        <v>1362028</v>
      </c>
      <c r="E1309" t="s">
        <v>42</v>
      </c>
      <c r="F1309" t="s">
        <v>6668</v>
      </c>
      <c r="G1309" t="s">
        <v>6669</v>
      </c>
      <c r="H1309">
        <v>83705109</v>
      </c>
      <c r="I1309" t="s">
        <v>17</v>
      </c>
      <c r="K1309" t="s">
        <v>6670</v>
      </c>
      <c r="L1309">
        <v>636</v>
      </c>
      <c r="M1309" t="s">
        <v>6671</v>
      </c>
    </row>
    <row r="1310" spans="1:13" x14ac:dyDescent="0.45">
      <c r="A1310" t="s">
        <v>3601</v>
      </c>
      <c r="B1310">
        <v>1362448</v>
      </c>
      <c r="C1310">
        <v>1363233</v>
      </c>
      <c r="E1310" t="s">
        <v>42</v>
      </c>
      <c r="F1310" t="s">
        <v>90</v>
      </c>
      <c r="H1310">
        <v>83705110</v>
      </c>
      <c r="I1310" t="s">
        <v>17</v>
      </c>
      <c r="K1310" t="s">
        <v>6672</v>
      </c>
      <c r="L1310">
        <v>261</v>
      </c>
      <c r="M1310" t="s">
        <v>6673</v>
      </c>
    </row>
    <row r="1311" spans="1:13" x14ac:dyDescent="0.45">
      <c r="A1311" t="s">
        <v>3601</v>
      </c>
      <c r="B1311">
        <v>1363339</v>
      </c>
      <c r="C1311">
        <v>1365000</v>
      </c>
      <c r="E1311" t="s">
        <v>42</v>
      </c>
      <c r="F1311" t="s">
        <v>577</v>
      </c>
      <c r="H1311">
        <v>83705111</v>
      </c>
      <c r="I1311" t="s">
        <v>17</v>
      </c>
      <c r="K1311" t="s">
        <v>6674</v>
      </c>
      <c r="L1311">
        <v>553</v>
      </c>
      <c r="M1311" t="s">
        <v>6675</v>
      </c>
    </row>
    <row r="1312" spans="1:13" x14ac:dyDescent="0.45">
      <c r="A1312" t="s">
        <v>3601</v>
      </c>
      <c r="B1312">
        <v>1365210</v>
      </c>
      <c r="C1312">
        <v>1365968</v>
      </c>
      <c r="E1312" t="s">
        <v>42</v>
      </c>
      <c r="F1312" t="s">
        <v>72</v>
      </c>
      <c r="H1312">
        <v>83705112</v>
      </c>
      <c r="I1312" t="s">
        <v>17</v>
      </c>
      <c r="K1312" t="s">
        <v>6676</v>
      </c>
      <c r="L1312">
        <v>252</v>
      </c>
      <c r="M1312" t="s">
        <v>6677</v>
      </c>
    </row>
    <row r="1313" spans="1:13" x14ac:dyDescent="0.45">
      <c r="A1313" t="s">
        <v>3601</v>
      </c>
      <c r="B1313">
        <v>1365965</v>
      </c>
      <c r="C1313">
        <v>1366834</v>
      </c>
      <c r="E1313" t="s">
        <v>42</v>
      </c>
      <c r="F1313" t="s">
        <v>113</v>
      </c>
      <c r="H1313">
        <v>83705113</v>
      </c>
      <c r="I1313" t="s">
        <v>17</v>
      </c>
      <c r="K1313" t="s">
        <v>6678</v>
      </c>
      <c r="L1313">
        <v>289</v>
      </c>
      <c r="M1313" t="s">
        <v>6679</v>
      </c>
    </row>
    <row r="1314" spans="1:13" x14ac:dyDescent="0.45">
      <c r="A1314" t="s">
        <v>3601</v>
      </c>
      <c r="B1314">
        <v>1366848</v>
      </c>
      <c r="C1314">
        <v>1367843</v>
      </c>
      <c r="E1314" t="s">
        <v>42</v>
      </c>
      <c r="F1314" t="s">
        <v>56</v>
      </c>
      <c r="G1314" t="s">
        <v>57</v>
      </c>
      <c r="H1314">
        <v>83705114</v>
      </c>
      <c r="I1314" t="s">
        <v>17</v>
      </c>
      <c r="K1314" t="s">
        <v>6680</v>
      </c>
      <c r="L1314">
        <v>331</v>
      </c>
      <c r="M1314" t="s">
        <v>6681</v>
      </c>
    </row>
    <row r="1315" spans="1:13" x14ac:dyDescent="0.45">
      <c r="A1315" t="s">
        <v>3601</v>
      </c>
      <c r="B1315">
        <v>1368195</v>
      </c>
      <c r="C1315">
        <v>1369865</v>
      </c>
      <c r="E1315" t="s">
        <v>14</v>
      </c>
      <c r="F1315" t="s">
        <v>6682</v>
      </c>
      <c r="H1315">
        <v>83705115</v>
      </c>
      <c r="I1315" t="s">
        <v>17</v>
      </c>
      <c r="K1315" t="s">
        <v>6683</v>
      </c>
      <c r="L1315">
        <v>556</v>
      </c>
      <c r="M1315" t="s">
        <v>6684</v>
      </c>
    </row>
    <row r="1316" spans="1:13" x14ac:dyDescent="0.45">
      <c r="A1316" t="s">
        <v>3601</v>
      </c>
      <c r="B1316">
        <v>1369943</v>
      </c>
      <c r="C1316">
        <v>1371181</v>
      </c>
      <c r="E1316" t="s">
        <v>42</v>
      </c>
      <c r="F1316" t="s">
        <v>576</v>
      </c>
      <c r="H1316">
        <v>83705116</v>
      </c>
      <c r="I1316" t="s">
        <v>17</v>
      </c>
      <c r="K1316" t="s">
        <v>6685</v>
      </c>
      <c r="L1316">
        <v>412</v>
      </c>
      <c r="M1316" t="s">
        <v>6686</v>
      </c>
    </row>
    <row r="1317" spans="1:13" x14ac:dyDescent="0.45">
      <c r="A1317" t="s">
        <v>3601</v>
      </c>
      <c r="B1317">
        <v>1371171</v>
      </c>
      <c r="C1317">
        <v>1372352</v>
      </c>
      <c r="E1317" t="s">
        <v>42</v>
      </c>
      <c r="F1317" t="s">
        <v>53</v>
      </c>
      <c r="H1317">
        <v>83705117</v>
      </c>
      <c r="I1317" t="s">
        <v>17</v>
      </c>
      <c r="K1317" t="s">
        <v>6687</v>
      </c>
      <c r="L1317">
        <v>393</v>
      </c>
      <c r="M1317" t="s">
        <v>6688</v>
      </c>
    </row>
    <row r="1318" spans="1:13" x14ac:dyDescent="0.45">
      <c r="A1318" t="s">
        <v>3601</v>
      </c>
      <c r="B1318">
        <v>1372415</v>
      </c>
      <c r="C1318">
        <v>1372891</v>
      </c>
      <c r="E1318" t="s">
        <v>42</v>
      </c>
      <c r="F1318" t="s">
        <v>571</v>
      </c>
      <c r="H1318">
        <v>83705118</v>
      </c>
      <c r="I1318" t="s">
        <v>17</v>
      </c>
      <c r="K1318" t="s">
        <v>6689</v>
      </c>
      <c r="L1318">
        <v>158</v>
      </c>
      <c r="M1318" t="s">
        <v>6690</v>
      </c>
    </row>
    <row r="1319" spans="1:13" x14ac:dyDescent="0.45">
      <c r="A1319" t="s">
        <v>3601</v>
      </c>
      <c r="B1319">
        <v>1373069</v>
      </c>
      <c r="C1319">
        <v>1374115</v>
      </c>
      <c r="E1319" t="s">
        <v>42</v>
      </c>
      <c r="F1319" t="s">
        <v>6691</v>
      </c>
      <c r="G1319" t="s">
        <v>6692</v>
      </c>
      <c r="H1319">
        <v>83705119</v>
      </c>
      <c r="I1319" t="s">
        <v>17</v>
      </c>
      <c r="K1319" t="s">
        <v>6693</v>
      </c>
      <c r="L1319">
        <v>348</v>
      </c>
      <c r="M1319" t="s">
        <v>6694</v>
      </c>
    </row>
    <row r="1320" spans="1:13" x14ac:dyDescent="0.45">
      <c r="A1320" t="s">
        <v>3601</v>
      </c>
      <c r="B1320">
        <v>1374307</v>
      </c>
      <c r="C1320">
        <v>1374903</v>
      </c>
      <c r="E1320" t="s">
        <v>42</v>
      </c>
      <c r="F1320" t="s">
        <v>6695</v>
      </c>
      <c r="H1320">
        <v>83705120</v>
      </c>
      <c r="I1320" t="s">
        <v>17</v>
      </c>
      <c r="K1320" t="s">
        <v>6696</v>
      </c>
      <c r="L1320">
        <v>198</v>
      </c>
      <c r="M1320" t="s">
        <v>6697</v>
      </c>
    </row>
    <row r="1321" spans="1:13" x14ac:dyDescent="0.45">
      <c r="A1321" t="s">
        <v>3601</v>
      </c>
      <c r="B1321">
        <v>1374903</v>
      </c>
      <c r="C1321">
        <v>1375772</v>
      </c>
      <c r="E1321" t="s">
        <v>42</v>
      </c>
      <c r="F1321" t="s">
        <v>6698</v>
      </c>
      <c r="G1321" t="s">
        <v>6699</v>
      </c>
      <c r="H1321">
        <v>83705121</v>
      </c>
      <c r="I1321" t="s">
        <v>17</v>
      </c>
      <c r="K1321" t="s">
        <v>6700</v>
      </c>
      <c r="L1321">
        <v>289</v>
      </c>
      <c r="M1321" t="s">
        <v>6701</v>
      </c>
    </row>
    <row r="1322" spans="1:13" x14ac:dyDescent="0.45">
      <c r="A1322" t="s">
        <v>3601</v>
      </c>
      <c r="B1322">
        <v>1375829</v>
      </c>
      <c r="C1322">
        <v>1376938</v>
      </c>
      <c r="E1322" t="s">
        <v>42</v>
      </c>
      <c r="F1322" t="s">
        <v>347</v>
      </c>
      <c r="H1322">
        <v>83705122</v>
      </c>
      <c r="I1322" t="s">
        <v>17</v>
      </c>
      <c r="K1322" t="s">
        <v>6702</v>
      </c>
      <c r="L1322">
        <v>369</v>
      </c>
      <c r="M1322" t="s">
        <v>6703</v>
      </c>
    </row>
    <row r="1323" spans="1:13" x14ac:dyDescent="0.45">
      <c r="A1323" t="s">
        <v>3601</v>
      </c>
      <c r="B1323">
        <v>1376993</v>
      </c>
      <c r="C1323">
        <v>1377781</v>
      </c>
      <c r="E1323" t="s">
        <v>42</v>
      </c>
      <c r="F1323" t="s">
        <v>731</v>
      </c>
      <c r="H1323">
        <v>83705123</v>
      </c>
      <c r="I1323" t="s">
        <v>17</v>
      </c>
      <c r="K1323" t="s">
        <v>6704</v>
      </c>
      <c r="L1323">
        <v>262</v>
      </c>
      <c r="M1323" t="s">
        <v>6705</v>
      </c>
    </row>
    <row r="1324" spans="1:13" x14ac:dyDescent="0.45">
      <c r="A1324" t="s">
        <v>3601</v>
      </c>
      <c r="B1324">
        <v>1377771</v>
      </c>
      <c r="C1324">
        <v>1378457</v>
      </c>
      <c r="E1324" t="s">
        <v>42</v>
      </c>
      <c r="F1324" t="s">
        <v>6706</v>
      </c>
      <c r="H1324">
        <v>83705124</v>
      </c>
      <c r="I1324" t="s">
        <v>17</v>
      </c>
      <c r="K1324" t="s">
        <v>6707</v>
      </c>
      <c r="L1324">
        <v>228</v>
      </c>
      <c r="M1324" t="s">
        <v>6708</v>
      </c>
    </row>
    <row r="1325" spans="1:13" x14ac:dyDescent="0.45">
      <c r="A1325" t="s">
        <v>3601</v>
      </c>
      <c r="B1325">
        <v>1378531</v>
      </c>
      <c r="C1325">
        <v>1379193</v>
      </c>
      <c r="E1325" t="s">
        <v>42</v>
      </c>
      <c r="F1325" t="s">
        <v>714</v>
      </c>
      <c r="G1325" t="s">
        <v>715</v>
      </c>
      <c r="H1325">
        <v>83705125</v>
      </c>
      <c r="I1325" t="s">
        <v>17</v>
      </c>
      <c r="K1325" t="s">
        <v>6709</v>
      </c>
      <c r="L1325">
        <v>220</v>
      </c>
      <c r="M1325" t="s">
        <v>6710</v>
      </c>
    </row>
    <row r="1326" spans="1:13" x14ac:dyDescent="0.45">
      <c r="A1326" t="s">
        <v>3601</v>
      </c>
      <c r="B1326">
        <v>1379193</v>
      </c>
      <c r="C1326">
        <v>1379870</v>
      </c>
      <c r="E1326" t="s">
        <v>42</v>
      </c>
      <c r="F1326" t="s">
        <v>5845</v>
      </c>
      <c r="H1326">
        <v>83705126</v>
      </c>
      <c r="I1326" t="s">
        <v>17</v>
      </c>
      <c r="K1326" t="s">
        <v>6711</v>
      </c>
      <c r="L1326">
        <v>225</v>
      </c>
      <c r="M1326" t="s">
        <v>6712</v>
      </c>
    </row>
    <row r="1327" spans="1:13" x14ac:dyDescent="0.45">
      <c r="A1327" t="s">
        <v>3601</v>
      </c>
      <c r="B1327">
        <v>1379937</v>
      </c>
      <c r="C1327">
        <v>1380455</v>
      </c>
      <c r="E1327" t="s">
        <v>42</v>
      </c>
      <c r="F1327" t="s">
        <v>763</v>
      </c>
      <c r="H1327">
        <v>83705127</v>
      </c>
      <c r="I1327" t="s">
        <v>17</v>
      </c>
      <c r="K1327" t="s">
        <v>6713</v>
      </c>
      <c r="L1327">
        <v>172</v>
      </c>
      <c r="M1327" t="s">
        <v>6714</v>
      </c>
    </row>
    <row r="1328" spans="1:13" x14ac:dyDescent="0.45">
      <c r="A1328" t="s">
        <v>3601</v>
      </c>
      <c r="B1328">
        <v>1380535</v>
      </c>
      <c r="C1328">
        <v>1380903</v>
      </c>
      <c r="E1328" t="s">
        <v>42</v>
      </c>
      <c r="F1328" t="s">
        <v>6715</v>
      </c>
      <c r="H1328">
        <v>83705128</v>
      </c>
      <c r="I1328" t="s">
        <v>17</v>
      </c>
      <c r="K1328" t="s">
        <v>6716</v>
      </c>
      <c r="L1328">
        <v>122</v>
      </c>
      <c r="M1328" t="s">
        <v>6717</v>
      </c>
    </row>
    <row r="1329" spans="1:13" x14ac:dyDescent="0.45">
      <c r="A1329" t="s">
        <v>3601</v>
      </c>
      <c r="B1329">
        <v>1380912</v>
      </c>
      <c r="C1329">
        <v>1383122</v>
      </c>
      <c r="E1329" t="s">
        <v>42</v>
      </c>
      <c r="F1329" t="s">
        <v>764</v>
      </c>
      <c r="G1329" t="s">
        <v>765</v>
      </c>
      <c r="H1329">
        <v>83705129</v>
      </c>
      <c r="I1329" t="s">
        <v>17</v>
      </c>
      <c r="K1329" t="s">
        <v>6718</v>
      </c>
      <c r="L1329">
        <v>736</v>
      </c>
      <c r="M1329" t="s">
        <v>6719</v>
      </c>
    </row>
    <row r="1330" spans="1:13" x14ac:dyDescent="0.45">
      <c r="A1330" t="s">
        <v>3601</v>
      </c>
      <c r="B1330">
        <v>1383119</v>
      </c>
      <c r="C1330">
        <v>1383883</v>
      </c>
      <c r="E1330" t="s">
        <v>42</v>
      </c>
      <c r="F1330" t="s">
        <v>446</v>
      </c>
      <c r="H1330">
        <v>83705130</v>
      </c>
      <c r="I1330" t="s">
        <v>17</v>
      </c>
      <c r="K1330" t="s">
        <v>6720</v>
      </c>
      <c r="L1330">
        <v>254</v>
      </c>
      <c r="M1330" t="s">
        <v>6721</v>
      </c>
    </row>
    <row r="1331" spans="1:13" x14ac:dyDescent="0.45">
      <c r="A1331" t="s">
        <v>3601</v>
      </c>
      <c r="B1331">
        <v>1383883</v>
      </c>
      <c r="C1331">
        <v>1384812</v>
      </c>
      <c r="E1331" t="s">
        <v>42</v>
      </c>
      <c r="F1331" t="s">
        <v>640</v>
      </c>
      <c r="G1331" t="s">
        <v>641</v>
      </c>
      <c r="H1331">
        <v>83705131</v>
      </c>
      <c r="I1331" t="s">
        <v>17</v>
      </c>
      <c r="K1331" t="s">
        <v>6722</v>
      </c>
      <c r="L1331">
        <v>309</v>
      </c>
      <c r="M1331" t="s">
        <v>6723</v>
      </c>
    </row>
    <row r="1332" spans="1:13" x14ac:dyDescent="0.45">
      <c r="A1332" t="s">
        <v>3601</v>
      </c>
      <c r="B1332">
        <v>1384827</v>
      </c>
      <c r="C1332">
        <v>1385465</v>
      </c>
      <c r="E1332" t="s">
        <v>42</v>
      </c>
      <c r="F1332" t="s">
        <v>6724</v>
      </c>
      <c r="H1332">
        <v>83705132</v>
      </c>
      <c r="I1332" t="s">
        <v>17</v>
      </c>
      <c r="K1332" t="s">
        <v>6725</v>
      </c>
      <c r="L1332">
        <v>212</v>
      </c>
      <c r="M1332" t="s">
        <v>6726</v>
      </c>
    </row>
    <row r="1333" spans="1:13" x14ac:dyDescent="0.45">
      <c r="A1333" t="s">
        <v>3601</v>
      </c>
      <c r="B1333">
        <v>1385458</v>
      </c>
      <c r="C1333">
        <v>1386696</v>
      </c>
      <c r="E1333" t="s">
        <v>42</v>
      </c>
      <c r="F1333" t="s">
        <v>988</v>
      </c>
      <c r="G1333" t="s">
        <v>989</v>
      </c>
      <c r="H1333">
        <v>83705133</v>
      </c>
      <c r="I1333" t="s">
        <v>17</v>
      </c>
      <c r="K1333" t="s">
        <v>6727</v>
      </c>
      <c r="L1333">
        <v>412</v>
      </c>
      <c r="M1333" t="s">
        <v>6728</v>
      </c>
    </row>
    <row r="1334" spans="1:13" x14ac:dyDescent="0.45">
      <c r="A1334" t="s">
        <v>3601</v>
      </c>
      <c r="B1334">
        <v>1386779</v>
      </c>
      <c r="C1334">
        <v>1387669</v>
      </c>
      <c r="E1334" t="s">
        <v>42</v>
      </c>
      <c r="F1334" t="s">
        <v>892</v>
      </c>
      <c r="G1334" t="s">
        <v>893</v>
      </c>
      <c r="H1334">
        <v>83705134</v>
      </c>
      <c r="I1334" t="s">
        <v>17</v>
      </c>
      <c r="K1334" t="s">
        <v>6729</v>
      </c>
      <c r="L1334">
        <v>296</v>
      </c>
      <c r="M1334" t="s">
        <v>6730</v>
      </c>
    </row>
    <row r="1335" spans="1:13" x14ac:dyDescent="0.45">
      <c r="A1335" t="s">
        <v>3601</v>
      </c>
      <c r="B1335">
        <v>1387802</v>
      </c>
      <c r="C1335">
        <v>1387978</v>
      </c>
      <c r="E1335" t="s">
        <v>14</v>
      </c>
      <c r="F1335" t="s">
        <v>6731</v>
      </c>
      <c r="H1335">
        <v>83705135</v>
      </c>
      <c r="I1335" t="s">
        <v>17</v>
      </c>
      <c r="K1335" t="s">
        <v>6732</v>
      </c>
      <c r="L1335">
        <v>58</v>
      </c>
      <c r="M1335" t="s">
        <v>6733</v>
      </c>
    </row>
    <row r="1336" spans="1:13" x14ac:dyDescent="0.45">
      <c r="A1336" t="s">
        <v>3601</v>
      </c>
      <c r="B1336">
        <v>1388133</v>
      </c>
      <c r="C1336">
        <v>1388780</v>
      </c>
      <c r="E1336" t="s">
        <v>42</v>
      </c>
      <c r="F1336" t="s">
        <v>6734</v>
      </c>
      <c r="H1336">
        <v>83705136</v>
      </c>
      <c r="I1336" t="s">
        <v>17</v>
      </c>
      <c r="K1336" t="s">
        <v>6735</v>
      </c>
      <c r="L1336">
        <v>215</v>
      </c>
      <c r="M1336" t="s">
        <v>6736</v>
      </c>
    </row>
    <row r="1337" spans="1:13" x14ac:dyDescent="0.45">
      <c r="A1337" t="s">
        <v>3601</v>
      </c>
      <c r="B1337">
        <v>1388947</v>
      </c>
      <c r="C1337">
        <v>1391211</v>
      </c>
      <c r="E1337" t="s">
        <v>42</v>
      </c>
      <c r="F1337" t="s">
        <v>6737</v>
      </c>
      <c r="G1337" t="s">
        <v>6738</v>
      </c>
      <c r="H1337">
        <v>83705137</v>
      </c>
      <c r="I1337" t="s">
        <v>17</v>
      </c>
      <c r="K1337" t="s">
        <v>6739</v>
      </c>
      <c r="L1337">
        <v>754</v>
      </c>
      <c r="M1337" t="s">
        <v>6740</v>
      </c>
    </row>
    <row r="1338" spans="1:13" x14ac:dyDescent="0.45">
      <c r="A1338" t="s">
        <v>3601</v>
      </c>
      <c r="B1338">
        <v>1391237</v>
      </c>
      <c r="C1338">
        <v>1392745</v>
      </c>
      <c r="E1338" t="s">
        <v>42</v>
      </c>
      <c r="F1338" t="s">
        <v>51</v>
      </c>
      <c r="G1338" t="s">
        <v>6741</v>
      </c>
      <c r="H1338">
        <v>83705138</v>
      </c>
      <c r="I1338" t="s">
        <v>52</v>
      </c>
      <c r="M1338" t="s">
        <v>6742</v>
      </c>
    </row>
    <row r="1339" spans="1:13" x14ac:dyDescent="0.45">
      <c r="A1339" t="s">
        <v>3601</v>
      </c>
      <c r="B1339">
        <v>1392945</v>
      </c>
      <c r="C1339">
        <v>1393967</v>
      </c>
      <c r="E1339" t="s">
        <v>42</v>
      </c>
      <c r="F1339" t="s">
        <v>312</v>
      </c>
      <c r="H1339">
        <v>83705139</v>
      </c>
      <c r="I1339" t="s">
        <v>17</v>
      </c>
      <c r="K1339" t="s">
        <v>6743</v>
      </c>
      <c r="L1339">
        <v>340</v>
      </c>
      <c r="M1339" t="s">
        <v>6744</v>
      </c>
    </row>
    <row r="1340" spans="1:13" x14ac:dyDescent="0.45">
      <c r="A1340" t="s">
        <v>3601</v>
      </c>
      <c r="B1340">
        <v>1394216</v>
      </c>
      <c r="C1340">
        <v>1395469</v>
      </c>
      <c r="E1340" t="s">
        <v>14</v>
      </c>
      <c r="F1340" t="s">
        <v>412</v>
      </c>
      <c r="H1340">
        <v>83705140</v>
      </c>
      <c r="I1340" t="s">
        <v>17</v>
      </c>
      <c r="K1340" t="s">
        <v>6745</v>
      </c>
      <c r="L1340">
        <v>417</v>
      </c>
      <c r="M1340" t="s">
        <v>6746</v>
      </c>
    </row>
    <row r="1341" spans="1:13" x14ac:dyDescent="0.45">
      <c r="A1341" t="s">
        <v>3601</v>
      </c>
      <c r="B1341">
        <v>1395769</v>
      </c>
      <c r="C1341">
        <v>1397130</v>
      </c>
      <c r="E1341" t="s">
        <v>14</v>
      </c>
      <c r="F1341" t="s">
        <v>382</v>
      </c>
      <c r="H1341">
        <v>83705141</v>
      </c>
      <c r="I1341" t="s">
        <v>17</v>
      </c>
      <c r="K1341" t="s">
        <v>6747</v>
      </c>
      <c r="L1341">
        <v>453</v>
      </c>
      <c r="M1341" t="s">
        <v>6748</v>
      </c>
    </row>
    <row r="1342" spans="1:13" x14ac:dyDescent="0.45">
      <c r="A1342" t="s">
        <v>3601</v>
      </c>
      <c r="B1342">
        <v>1397130</v>
      </c>
      <c r="C1342">
        <v>1397966</v>
      </c>
      <c r="E1342" t="s">
        <v>14</v>
      </c>
      <c r="F1342" t="s">
        <v>381</v>
      </c>
      <c r="H1342">
        <v>83705142</v>
      </c>
      <c r="I1342" t="s">
        <v>17</v>
      </c>
      <c r="K1342" t="s">
        <v>6749</v>
      </c>
      <c r="L1342">
        <v>278</v>
      </c>
      <c r="M1342" t="s">
        <v>6750</v>
      </c>
    </row>
    <row r="1343" spans="1:13" x14ac:dyDescent="0.45">
      <c r="A1343" t="s">
        <v>3601</v>
      </c>
      <c r="B1343">
        <v>1398040</v>
      </c>
      <c r="C1343">
        <v>1398870</v>
      </c>
      <c r="E1343" t="s">
        <v>42</v>
      </c>
      <c r="F1343" t="s">
        <v>6751</v>
      </c>
      <c r="H1343">
        <v>83705143</v>
      </c>
      <c r="I1343" t="s">
        <v>17</v>
      </c>
      <c r="K1343" t="s">
        <v>6752</v>
      </c>
      <c r="L1343">
        <v>276</v>
      </c>
      <c r="M1343" t="s">
        <v>6753</v>
      </c>
    </row>
    <row r="1344" spans="1:13" x14ac:dyDescent="0.45">
      <c r="A1344" t="s">
        <v>3601</v>
      </c>
      <c r="B1344">
        <v>1398895</v>
      </c>
      <c r="C1344">
        <v>1399755</v>
      </c>
      <c r="E1344" t="s">
        <v>42</v>
      </c>
      <c r="F1344" t="s">
        <v>381</v>
      </c>
      <c r="H1344">
        <v>83705144</v>
      </c>
      <c r="I1344" t="s">
        <v>17</v>
      </c>
      <c r="K1344" t="s">
        <v>6754</v>
      </c>
      <c r="L1344">
        <v>286</v>
      </c>
      <c r="M1344" t="s">
        <v>6755</v>
      </c>
    </row>
    <row r="1345" spans="1:13" x14ac:dyDescent="0.45">
      <c r="A1345" t="s">
        <v>3601</v>
      </c>
      <c r="B1345">
        <v>1399756</v>
      </c>
      <c r="C1345">
        <v>1401060</v>
      </c>
      <c r="E1345" t="s">
        <v>42</v>
      </c>
      <c r="F1345" t="s">
        <v>382</v>
      </c>
      <c r="H1345">
        <v>83705145</v>
      </c>
      <c r="I1345" t="s">
        <v>17</v>
      </c>
      <c r="K1345" t="s">
        <v>6756</v>
      </c>
      <c r="L1345">
        <v>434</v>
      </c>
      <c r="M1345" t="s">
        <v>6757</v>
      </c>
    </row>
    <row r="1346" spans="1:13" x14ac:dyDescent="0.45">
      <c r="A1346" t="s">
        <v>3601</v>
      </c>
      <c r="B1346">
        <v>1401136</v>
      </c>
      <c r="C1346">
        <v>1403268</v>
      </c>
      <c r="E1346" t="s">
        <v>42</v>
      </c>
      <c r="F1346" t="s">
        <v>6758</v>
      </c>
      <c r="H1346">
        <v>83705146</v>
      </c>
      <c r="I1346" t="s">
        <v>17</v>
      </c>
      <c r="K1346" t="s">
        <v>6759</v>
      </c>
      <c r="L1346">
        <v>710</v>
      </c>
      <c r="M1346" t="s">
        <v>6760</v>
      </c>
    </row>
    <row r="1347" spans="1:13" x14ac:dyDescent="0.45">
      <c r="A1347" t="s">
        <v>3601</v>
      </c>
      <c r="B1347">
        <v>1403297</v>
      </c>
      <c r="C1347">
        <v>1404997</v>
      </c>
      <c r="E1347" t="s">
        <v>42</v>
      </c>
      <c r="F1347" t="s">
        <v>472</v>
      </c>
      <c r="H1347">
        <v>83705147</v>
      </c>
      <c r="I1347" t="s">
        <v>17</v>
      </c>
      <c r="K1347" t="s">
        <v>6761</v>
      </c>
      <c r="L1347">
        <v>566</v>
      </c>
      <c r="M1347" t="s">
        <v>6762</v>
      </c>
    </row>
    <row r="1348" spans="1:13" x14ac:dyDescent="0.45">
      <c r="A1348" t="s">
        <v>3601</v>
      </c>
      <c r="B1348">
        <v>1405170</v>
      </c>
      <c r="C1348">
        <v>1406429</v>
      </c>
      <c r="E1348" t="s">
        <v>42</v>
      </c>
      <c r="F1348" t="s">
        <v>412</v>
      </c>
      <c r="H1348">
        <v>83705148</v>
      </c>
      <c r="I1348" t="s">
        <v>17</v>
      </c>
      <c r="K1348" t="s">
        <v>6763</v>
      </c>
      <c r="L1348">
        <v>419</v>
      </c>
      <c r="M1348" t="s">
        <v>6764</v>
      </c>
    </row>
    <row r="1349" spans="1:13" x14ac:dyDescent="0.45">
      <c r="A1349" t="s">
        <v>3601</v>
      </c>
      <c r="B1349">
        <v>1406970</v>
      </c>
      <c r="C1349">
        <v>1407938</v>
      </c>
      <c r="E1349" t="s">
        <v>42</v>
      </c>
      <c r="F1349" t="s">
        <v>90</v>
      </c>
      <c r="H1349">
        <v>83705149</v>
      </c>
      <c r="I1349" t="s">
        <v>17</v>
      </c>
      <c r="K1349" t="s">
        <v>6765</v>
      </c>
      <c r="L1349">
        <v>322</v>
      </c>
      <c r="M1349" t="s">
        <v>6766</v>
      </c>
    </row>
    <row r="1350" spans="1:13" x14ac:dyDescent="0.45">
      <c r="A1350" t="s">
        <v>3601</v>
      </c>
      <c r="B1350">
        <v>1407978</v>
      </c>
      <c r="C1350">
        <v>1409231</v>
      </c>
      <c r="E1350" t="s">
        <v>42</v>
      </c>
      <c r="F1350" t="s">
        <v>1027</v>
      </c>
      <c r="G1350" t="s">
        <v>1028</v>
      </c>
      <c r="H1350">
        <v>83705150</v>
      </c>
      <c r="I1350" t="s">
        <v>17</v>
      </c>
      <c r="K1350" t="s">
        <v>6767</v>
      </c>
      <c r="L1350">
        <v>417</v>
      </c>
      <c r="M1350" t="s">
        <v>6768</v>
      </c>
    </row>
    <row r="1351" spans="1:13" x14ac:dyDescent="0.45">
      <c r="A1351" t="s">
        <v>3601</v>
      </c>
      <c r="B1351">
        <v>1409224</v>
      </c>
      <c r="C1351">
        <v>1409463</v>
      </c>
      <c r="E1351" t="s">
        <v>42</v>
      </c>
      <c r="F1351" t="s">
        <v>1029</v>
      </c>
      <c r="G1351" t="s">
        <v>1030</v>
      </c>
      <c r="H1351">
        <v>83705151</v>
      </c>
      <c r="I1351" t="s">
        <v>17</v>
      </c>
      <c r="K1351" t="s">
        <v>6769</v>
      </c>
      <c r="L1351">
        <v>79</v>
      </c>
      <c r="M1351" t="s">
        <v>6770</v>
      </c>
    </row>
    <row r="1352" spans="1:13" x14ac:dyDescent="0.45">
      <c r="A1352" t="s">
        <v>3601</v>
      </c>
      <c r="B1352">
        <v>1409481</v>
      </c>
      <c r="C1352">
        <v>1410740</v>
      </c>
      <c r="E1352" t="s">
        <v>42</v>
      </c>
      <c r="F1352" t="s">
        <v>1031</v>
      </c>
      <c r="G1352" t="s">
        <v>1032</v>
      </c>
      <c r="H1352">
        <v>83705152</v>
      </c>
      <c r="I1352" t="s">
        <v>17</v>
      </c>
      <c r="K1352" t="s">
        <v>6771</v>
      </c>
      <c r="L1352">
        <v>419</v>
      </c>
      <c r="M1352" t="s">
        <v>6772</v>
      </c>
    </row>
    <row r="1353" spans="1:13" x14ac:dyDescent="0.45">
      <c r="A1353" t="s">
        <v>3601</v>
      </c>
      <c r="B1353">
        <v>1410737</v>
      </c>
      <c r="C1353">
        <v>1412275</v>
      </c>
      <c r="E1353" t="s">
        <v>42</v>
      </c>
      <c r="F1353" t="s">
        <v>1033</v>
      </c>
      <c r="G1353" t="s">
        <v>1034</v>
      </c>
      <c r="H1353">
        <v>83705153</v>
      </c>
      <c r="I1353" t="s">
        <v>17</v>
      </c>
      <c r="K1353" t="s">
        <v>6773</v>
      </c>
      <c r="L1353">
        <v>512</v>
      </c>
      <c r="M1353" t="s">
        <v>6774</v>
      </c>
    </row>
    <row r="1354" spans="1:13" x14ac:dyDescent="0.45">
      <c r="A1354" t="s">
        <v>3601</v>
      </c>
      <c r="B1354">
        <v>1412287</v>
      </c>
      <c r="C1354">
        <v>1412430</v>
      </c>
      <c r="E1354" t="s">
        <v>42</v>
      </c>
      <c r="F1354" t="s">
        <v>1035</v>
      </c>
      <c r="H1354">
        <v>83705154</v>
      </c>
      <c r="I1354" t="s">
        <v>17</v>
      </c>
      <c r="K1354" t="s">
        <v>6775</v>
      </c>
      <c r="L1354">
        <v>47</v>
      </c>
      <c r="M1354" t="s">
        <v>6776</v>
      </c>
    </row>
    <row r="1355" spans="1:13" x14ac:dyDescent="0.45">
      <c r="A1355" t="s">
        <v>3601</v>
      </c>
      <c r="B1355">
        <v>1412769</v>
      </c>
      <c r="C1355">
        <v>1414760</v>
      </c>
      <c r="E1355" t="s">
        <v>42</v>
      </c>
      <c r="F1355" t="s">
        <v>474</v>
      </c>
      <c r="G1355" t="s">
        <v>475</v>
      </c>
      <c r="H1355">
        <v>83705155</v>
      </c>
      <c r="I1355" t="s">
        <v>17</v>
      </c>
      <c r="K1355" t="s">
        <v>6777</v>
      </c>
      <c r="L1355">
        <v>663</v>
      </c>
      <c r="M1355" t="s">
        <v>6778</v>
      </c>
    </row>
    <row r="1356" spans="1:13" x14ac:dyDescent="0.45">
      <c r="A1356" t="s">
        <v>3601</v>
      </c>
      <c r="B1356">
        <v>1414946</v>
      </c>
      <c r="C1356">
        <v>1417111</v>
      </c>
      <c r="E1356" t="s">
        <v>14</v>
      </c>
      <c r="F1356" t="s">
        <v>87</v>
      </c>
      <c r="H1356">
        <v>83705156</v>
      </c>
      <c r="I1356" t="s">
        <v>17</v>
      </c>
      <c r="K1356" t="s">
        <v>6779</v>
      </c>
      <c r="L1356">
        <v>721</v>
      </c>
      <c r="M1356" t="s">
        <v>6780</v>
      </c>
    </row>
    <row r="1357" spans="1:13" x14ac:dyDescent="0.45">
      <c r="A1357" t="s">
        <v>3601</v>
      </c>
      <c r="B1357">
        <v>1417111</v>
      </c>
      <c r="C1357">
        <v>1417851</v>
      </c>
      <c r="E1357" t="s">
        <v>14</v>
      </c>
      <c r="F1357" t="s">
        <v>86</v>
      </c>
      <c r="H1357">
        <v>83705157</v>
      </c>
      <c r="I1357" t="s">
        <v>17</v>
      </c>
      <c r="K1357" t="s">
        <v>6781</v>
      </c>
      <c r="L1357">
        <v>246</v>
      </c>
      <c r="M1357" t="s">
        <v>6782</v>
      </c>
    </row>
    <row r="1358" spans="1:13" x14ac:dyDescent="0.45">
      <c r="A1358" t="s">
        <v>3601</v>
      </c>
      <c r="B1358">
        <v>1418008</v>
      </c>
      <c r="C1358">
        <v>1418160</v>
      </c>
      <c r="E1358" t="s">
        <v>42</v>
      </c>
      <c r="F1358" t="s">
        <v>45</v>
      </c>
      <c r="H1358">
        <v>83705158</v>
      </c>
      <c r="I1358" t="s">
        <v>17</v>
      </c>
      <c r="K1358" t="s">
        <v>6783</v>
      </c>
      <c r="L1358">
        <v>50</v>
      </c>
      <c r="M1358" t="s">
        <v>6784</v>
      </c>
    </row>
    <row r="1359" spans="1:13" x14ac:dyDescent="0.45">
      <c r="A1359" t="s">
        <v>3601</v>
      </c>
      <c r="B1359">
        <v>1418157</v>
      </c>
      <c r="C1359">
        <v>1419536</v>
      </c>
      <c r="E1359" t="s">
        <v>42</v>
      </c>
      <c r="F1359" t="s">
        <v>132</v>
      </c>
      <c r="H1359">
        <v>83705159</v>
      </c>
      <c r="I1359" t="s">
        <v>17</v>
      </c>
      <c r="K1359" t="s">
        <v>6785</v>
      </c>
      <c r="L1359">
        <v>459</v>
      </c>
      <c r="M1359" t="s">
        <v>6786</v>
      </c>
    </row>
    <row r="1360" spans="1:13" x14ac:dyDescent="0.45">
      <c r="A1360" t="s">
        <v>3601</v>
      </c>
      <c r="B1360">
        <v>1419608</v>
      </c>
      <c r="C1360">
        <v>1420042</v>
      </c>
      <c r="E1360" t="s">
        <v>42</v>
      </c>
      <c r="F1360" t="s">
        <v>607</v>
      </c>
      <c r="H1360">
        <v>83705160</v>
      </c>
      <c r="I1360" t="s">
        <v>17</v>
      </c>
      <c r="K1360" t="s">
        <v>6787</v>
      </c>
      <c r="L1360">
        <v>144</v>
      </c>
      <c r="M1360" t="s">
        <v>6788</v>
      </c>
    </row>
    <row r="1361" spans="1:13" x14ac:dyDescent="0.45">
      <c r="A1361" t="s">
        <v>3601</v>
      </c>
      <c r="B1361">
        <v>1420042</v>
      </c>
      <c r="C1361">
        <v>1420377</v>
      </c>
      <c r="E1361" t="s">
        <v>42</v>
      </c>
      <c r="F1361" t="s">
        <v>606</v>
      </c>
      <c r="H1361">
        <v>83705161</v>
      </c>
      <c r="I1361" t="s">
        <v>17</v>
      </c>
      <c r="K1361" t="s">
        <v>6789</v>
      </c>
      <c r="L1361">
        <v>111</v>
      </c>
      <c r="M1361" t="s">
        <v>6790</v>
      </c>
    </row>
    <row r="1362" spans="1:13" x14ac:dyDescent="0.45">
      <c r="A1362" t="s">
        <v>3601</v>
      </c>
      <c r="B1362">
        <v>1420374</v>
      </c>
      <c r="C1362">
        <v>1420691</v>
      </c>
      <c r="E1362" t="s">
        <v>42</v>
      </c>
      <c r="F1362" t="s">
        <v>605</v>
      </c>
      <c r="H1362">
        <v>83705162</v>
      </c>
      <c r="I1362" t="s">
        <v>17</v>
      </c>
      <c r="K1362" t="s">
        <v>6791</v>
      </c>
      <c r="L1362">
        <v>105</v>
      </c>
      <c r="M1362" t="s">
        <v>6792</v>
      </c>
    </row>
    <row r="1363" spans="1:13" x14ac:dyDescent="0.45">
      <c r="A1363" t="s">
        <v>3601</v>
      </c>
      <c r="B1363">
        <v>1420705</v>
      </c>
      <c r="C1363">
        <v>1422699</v>
      </c>
      <c r="E1363" t="s">
        <v>42</v>
      </c>
      <c r="F1363" t="s">
        <v>3926</v>
      </c>
      <c r="H1363">
        <v>83705163</v>
      </c>
      <c r="I1363" t="s">
        <v>17</v>
      </c>
      <c r="K1363" t="s">
        <v>6793</v>
      </c>
      <c r="L1363">
        <v>664</v>
      </c>
      <c r="M1363" t="s">
        <v>6794</v>
      </c>
    </row>
    <row r="1364" spans="1:13" x14ac:dyDescent="0.45">
      <c r="A1364" t="s">
        <v>3601</v>
      </c>
      <c r="B1364">
        <v>1422805</v>
      </c>
      <c r="C1364">
        <v>1423899</v>
      </c>
      <c r="E1364" t="s">
        <v>42</v>
      </c>
      <c r="F1364" t="s">
        <v>6795</v>
      </c>
      <c r="H1364">
        <v>83705164</v>
      </c>
      <c r="I1364" t="s">
        <v>17</v>
      </c>
      <c r="K1364" t="s">
        <v>6796</v>
      </c>
      <c r="L1364">
        <v>364</v>
      </c>
      <c r="M1364" t="s">
        <v>6797</v>
      </c>
    </row>
    <row r="1365" spans="1:13" x14ac:dyDescent="0.45">
      <c r="A1365" t="s">
        <v>3601</v>
      </c>
      <c r="B1365">
        <v>1423909</v>
      </c>
      <c r="C1365">
        <v>1425309</v>
      </c>
      <c r="E1365" t="s">
        <v>42</v>
      </c>
      <c r="F1365" t="s">
        <v>608</v>
      </c>
      <c r="H1365">
        <v>83705165</v>
      </c>
      <c r="I1365" t="s">
        <v>17</v>
      </c>
      <c r="K1365" t="s">
        <v>6798</v>
      </c>
      <c r="L1365">
        <v>466</v>
      </c>
      <c r="M1365" t="s">
        <v>6799</v>
      </c>
    </row>
    <row r="1366" spans="1:13" x14ac:dyDescent="0.45">
      <c r="A1366" t="s">
        <v>3601</v>
      </c>
      <c r="B1366">
        <v>1425885</v>
      </c>
      <c r="C1366">
        <v>1426589</v>
      </c>
      <c r="E1366" t="s">
        <v>14</v>
      </c>
      <c r="F1366" t="s">
        <v>978</v>
      </c>
      <c r="G1366" t="s">
        <v>979</v>
      </c>
      <c r="H1366">
        <v>83705166</v>
      </c>
      <c r="I1366" t="s">
        <v>17</v>
      </c>
      <c r="K1366" t="s">
        <v>6800</v>
      </c>
      <c r="L1366">
        <v>234</v>
      </c>
      <c r="M1366" t="s">
        <v>6801</v>
      </c>
    </row>
    <row r="1367" spans="1:13" x14ac:dyDescent="0.45">
      <c r="A1367" t="s">
        <v>3601</v>
      </c>
      <c r="B1367">
        <v>1426642</v>
      </c>
      <c r="C1367">
        <v>1426800</v>
      </c>
      <c r="E1367" t="s">
        <v>42</v>
      </c>
      <c r="F1367" t="s">
        <v>45</v>
      </c>
      <c r="H1367">
        <v>83705167</v>
      </c>
      <c r="I1367" t="s">
        <v>17</v>
      </c>
      <c r="K1367" t="s">
        <v>6802</v>
      </c>
      <c r="L1367">
        <v>52</v>
      </c>
      <c r="M1367" t="s">
        <v>6803</v>
      </c>
    </row>
    <row r="1368" spans="1:13" x14ac:dyDescent="0.45">
      <c r="A1368" t="s">
        <v>3601</v>
      </c>
      <c r="B1368">
        <v>1426921</v>
      </c>
      <c r="C1368">
        <v>1428234</v>
      </c>
      <c r="E1368" t="s">
        <v>42</v>
      </c>
      <c r="F1368" t="s">
        <v>638</v>
      </c>
      <c r="G1368" t="s">
        <v>639</v>
      </c>
      <c r="H1368">
        <v>83705168</v>
      </c>
      <c r="I1368" t="s">
        <v>17</v>
      </c>
      <c r="K1368" t="s">
        <v>6804</v>
      </c>
      <c r="L1368">
        <v>437</v>
      </c>
      <c r="M1368" t="s">
        <v>6805</v>
      </c>
    </row>
    <row r="1369" spans="1:13" x14ac:dyDescent="0.45">
      <c r="A1369" t="s">
        <v>3601</v>
      </c>
      <c r="B1369">
        <v>1428288</v>
      </c>
      <c r="C1369">
        <v>1428416</v>
      </c>
      <c r="E1369" t="s">
        <v>42</v>
      </c>
      <c r="F1369" t="s">
        <v>553</v>
      </c>
      <c r="H1369">
        <v>83705169</v>
      </c>
      <c r="I1369" t="s">
        <v>17</v>
      </c>
      <c r="K1369" t="s">
        <v>6806</v>
      </c>
      <c r="L1369">
        <v>42</v>
      </c>
      <c r="M1369" t="s">
        <v>6807</v>
      </c>
    </row>
    <row r="1370" spans="1:13" x14ac:dyDescent="0.45">
      <c r="A1370" t="s">
        <v>3601</v>
      </c>
      <c r="B1370">
        <v>1428676</v>
      </c>
      <c r="C1370">
        <v>1429917</v>
      </c>
      <c r="E1370" t="s">
        <v>14</v>
      </c>
      <c r="F1370" t="s">
        <v>6808</v>
      </c>
      <c r="H1370">
        <v>83705170</v>
      </c>
      <c r="I1370" t="s">
        <v>17</v>
      </c>
      <c r="K1370" t="s">
        <v>6809</v>
      </c>
      <c r="L1370">
        <v>413</v>
      </c>
      <c r="M1370" t="s">
        <v>6810</v>
      </c>
    </row>
    <row r="1371" spans="1:13" x14ac:dyDescent="0.45">
      <c r="A1371" t="s">
        <v>3601</v>
      </c>
      <c r="B1371">
        <v>1429996</v>
      </c>
      <c r="C1371">
        <v>1430709</v>
      </c>
      <c r="E1371" t="s">
        <v>42</v>
      </c>
      <c r="F1371" t="s">
        <v>546</v>
      </c>
      <c r="H1371">
        <v>83705171</v>
      </c>
      <c r="I1371" t="s">
        <v>17</v>
      </c>
      <c r="K1371" t="s">
        <v>6811</v>
      </c>
      <c r="L1371">
        <v>237</v>
      </c>
      <c r="M1371" t="s">
        <v>6812</v>
      </c>
    </row>
    <row r="1372" spans="1:13" x14ac:dyDescent="0.45">
      <c r="A1372" t="s">
        <v>3601</v>
      </c>
      <c r="B1372">
        <v>1430874</v>
      </c>
      <c r="C1372">
        <v>1431233</v>
      </c>
      <c r="E1372" t="s">
        <v>14</v>
      </c>
      <c r="F1372" t="s">
        <v>6813</v>
      </c>
      <c r="H1372">
        <v>83705172</v>
      </c>
      <c r="I1372" t="s">
        <v>17</v>
      </c>
      <c r="K1372" t="s">
        <v>6814</v>
      </c>
      <c r="L1372">
        <v>119</v>
      </c>
      <c r="M1372" t="s">
        <v>6815</v>
      </c>
    </row>
    <row r="1373" spans="1:13" x14ac:dyDescent="0.45">
      <c r="A1373" t="s">
        <v>3601</v>
      </c>
      <c r="B1373">
        <v>1431323</v>
      </c>
      <c r="C1373">
        <v>1432546</v>
      </c>
      <c r="E1373" t="s">
        <v>42</v>
      </c>
      <c r="F1373" t="s">
        <v>106</v>
      </c>
      <c r="H1373">
        <v>83705173</v>
      </c>
      <c r="I1373" t="s">
        <v>17</v>
      </c>
      <c r="K1373" t="s">
        <v>6816</v>
      </c>
      <c r="L1373">
        <v>407</v>
      </c>
      <c r="M1373" t="s">
        <v>6817</v>
      </c>
    </row>
    <row r="1374" spans="1:13" x14ac:dyDescent="0.45">
      <c r="A1374" t="s">
        <v>3601</v>
      </c>
      <c r="B1374">
        <v>1432905</v>
      </c>
      <c r="C1374">
        <v>1434389</v>
      </c>
      <c r="E1374" t="s">
        <v>14</v>
      </c>
      <c r="F1374" t="s">
        <v>6818</v>
      </c>
      <c r="H1374">
        <v>83705174</v>
      </c>
      <c r="I1374" t="s">
        <v>17</v>
      </c>
      <c r="K1374" t="s">
        <v>6819</v>
      </c>
      <c r="L1374">
        <v>494</v>
      </c>
      <c r="M1374" t="s">
        <v>6820</v>
      </c>
    </row>
    <row r="1375" spans="1:13" x14ac:dyDescent="0.45">
      <c r="A1375" t="s">
        <v>3601</v>
      </c>
      <c r="B1375">
        <v>1434445</v>
      </c>
      <c r="C1375">
        <v>1434849</v>
      </c>
      <c r="E1375" t="s">
        <v>42</v>
      </c>
      <c r="F1375" t="s">
        <v>6821</v>
      </c>
      <c r="H1375">
        <v>83705175</v>
      </c>
      <c r="I1375" t="s">
        <v>17</v>
      </c>
      <c r="K1375" t="s">
        <v>6822</v>
      </c>
      <c r="L1375">
        <v>134</v>
      </c>
      <c r="M1375" t="s">
        <v>6823</v>
      </c>
    </row>
    <row r="1376" spans="1:13" x14ac:dyDescent="0.45">
      <c r="A1376" t="s">
        <v>3601</v>
      </c>
      <c r="B1376">
        <v>1435712</v>
      </c>
      <c r="C1376">
        <v>1436221</v>
      </c>
      <c r="E1376" t="s">
        <v>42</v>
      </c>
      <c r="F1376" t="s">
        <v>144</v>
      </c>
      <c r="H1376">
        <v>83705176</v>
      </c>
      <c r="I1376" t="s">
        <v>17</v>
      </c>
      <c r="K1376" t="s">
        <v>6824</v>
      </c>
      <c r="L1376">
        <v>169</v>
      </c>
      <c r="M1376" t="s">
        <v>6825</v>
      </c>
    </row>
    <row r="1377" spans="1:13" x14ac:dyDescent="0.45">
      <c r="A1377" t="s">
        <v>3601</v>
      </c>
      <c r="B1377">
        <v>1436443</v>
      </c>
      <c r="C1377">
        <v>1437081</v>
      </c>
      <c r="E1377" t="s">
        <v>42</v>
      </c>
      <c r="F1377" t="s">
        <v>4713</v>
      </c>
      <c r="H1377">
        <v>83705177</v>
      </c>
      <c r="I1377" t="s">
        <v>17</v>
      </c>
      <c r="K1377" t="s">
        <v>6826</v>
      </c>
      <c r="L1377">
        <v>212</v>
      </c>
      <c r="M1377" t="s">
        <v>6827</v>
      </c>
    </row>
    <row r="1378" spans="1:13" x14ac:dyDescent="0.45">
      <c r="A1378" t="s">
        <v>3601</v>
      </c>
      <c r="B1378">
        <v>1437300</v>
      </c>
      <c r="C1378">
        <v>1437671</v>
      </c>
      <c r="E1378" t="s">
        <v>14</v>
      </c>
      <c r="F1378" t="s">
        <v>45</v>
      </c>
      <c r="H1378">
        <v>83705178</v>
      </c>
      <c r="I1378" t="s">
        <v>17</v>
      </c>
      <c r="K1378" t="s">
        <v>6828</v>
      </c>
      <c r="L1378">
        <v>123</v>
      </c>
      <c r="M1378" t="s">
        <v>6829</v>
      </c>
    </row>
    <row r="1379" spans="1:13" x14ac:dyDescent="0.45">
      <c r="A1379" t="s">
        <v>3601</v>
      </c>
      <c r="B1379">
        <v>1437848</v>
      </c>
      <c r="C1379">
        <v>1441027</v>
      </c>
      <c r="E1379" t="s">
        <v>42</v>
      </c>
      <c r="F1379" t="s">
        <v>6830</v>
      </c>
      <c r="G1379" t="s">
        <v>6831</v>
      </c>
      <c r="H1379">
        <v>83705179</v>
      </c>
      <c r="I1379" t="s">
        <v>17</v>
      </c>
      <c r="K1379" t="s">
        <v>6832</v>
      </c>
      <c r="L1379">
        <v>1059</v>
      </c>
      <c r="M1379" t="s">
        <v>6833</v>
      </c>
    </row>
    <row r="1380" spans="1:13" x14ac:dyDescent="0.45">
      <c r="A1380" t="s">
        <v>3601</v>
      </c>
      <c r="B1380">
        <v>1441067</v>
      </c>
      <c r="C1380">
        <v>1441696</v>
      </c>
      <c r="E1380" t="s">
        <v>42</v>
      </c>
      <c r="F1380" t="s">
        <v>5289</v>
      </c>
      <c r="H1380">
        <v>83705180</v>
      </c>
      <c r="I1380" t="s">
        <v>17</v>
      </c>
      <c r="K1380" t="s">
        <v>6834</v>
      </c>
      <c r="L1380">
        <v>209</v>
      </c>
      <c r="M1380" t="s">
        <v>6835</v>
      </c>
    </row>
    <row r="1381" spans="1:13" x14ac:dyDescent="0.45">
      <c r="A1381" t="s">
        <v>3601</v>
      </c>
      <c r="B1381">
        <v>1441698</v>
      </c>
      <c r="C1381">
        <v>1442699</v>
      </c>
      <c r="E1381" t="s">
        <v>42</v>
      </c>
      <c r="F1381" t="s">
        <v>5279</v>
      </c>
      <c r="H1381">
        <v>83705181</v>
      </c>
      <c r="I1381" t="s">
        <v>17</v>
      </c>
      <c r="K1381" t="s">
        <v>6836</v>
      </c>
      <c r="L1381">
        <v>333</v>
      </c>
      <c r="M1381" t="s">
        <v>6837</v>
      </c>
    </row>
    <row r="1382" spans="1:13" x14ac:dyDescent="0.45">
      <c r="A1382" t="s">
        <v>3601</v>
      </c>
      <c r="B1382">
        <v>1442732</v>
      </c>
      <c r="C1382">
        <v>1443373</v>
      </c>
      <c r="E1382" t="s">
        <v>42</v>
      </c>
      <c r="F1382" t="s">
        <v>6838</v>
      </c>
      <c r="H1382">
        <v>83705182</v>
      </c>
      <c r="I1382" t="s">
        <v>17</v>
      </c>
      <c r="K1382" t="s">
        <v>6839</v>
      </c>
      <c r="L1382">
        <v>213</v>
      </c>
      <c r="M1382" t="s">
        <v>6840</v>
      </c>
    </row>
    <row r="1383" spans="1:13" x14ac:dyDescent="0.45">
      <c r="A1383" t="s">
        <v>3601</v>
      </c>
      <c r="B1383">
        <v>1443408</v>
      </c>
      <c r="C1383">
        <v>1444202</v>
      </c>
      <c r="E1383" t="s">
        <v>42</v>
      </c>
      <c r="F1383" t="s">
        <v>6841</v>
      </c>
      <c r="H1383">
        <v>83705183</v>
      </c>
      <c r="I1383" t="s">
        <v>17</v>
      </c>
      <c r="K1383" t="s">
        <v>6842</v>
      </c>
      <c r="L1383">
        <v>264</v>
      </c>
      <c r="M1383" t="s">
        <v>6843</v>
      </c>
    </row>
    <row r="1384" spans="1:13" x14ac:dyDescent="0.45">
      <c r="A1384" t="s">
        <v>3601</v>
      </c>
      <c r="B1384">
        <v>1444511</v>
      </c>
      <c r="C1384">
        <v>1444945</v>
      </c>
      <c r="E1384" t="s">
        <v>14</v>
      </c>
      <c r="F1384" t="s">
        <v>98</v>
      </c>
      <c r="H1384">
        <v>83705184</v>
      </c>
      <c r="I1384" t="s">
        <v>17</v>
      </c>
      <c r="K1384" t="s">
        <v>6844</v>
      </c>
      <c r="L1384">
        <v>144</v>
      </c>
      <c r="M1384" t="s">
        <v>6845</v>
      </c>
    </row>
    <row r="1385" spans="1:13" x14ac:dyDescent="0.45">
      <c r="A1385" t="s">
        <v>3601</v>
      </c>
      <c r="B1385">
        <v>1444945</v>
      </c>
      <c r="C1385">
        <v>1446144</v>
      </c>
      <c r="E1385" t="s">
        <v>14</v>
      </c>
      <c r="F1385" t="s">
        <v>6846</v>
      </c>
      <c r="H1385">
        <v>83705185</v>
      </c>
      <c r="I1385" t="s">
        <v>17</v>
      </c>
      <c r="K1385" t="s">
        <v>6847</v>
      </c>
      <c r="L1385">
        <v>399</v>
      </c>
      <c r="M1385" t="s">
        <v>6848</v>
      </c>
    </row>
    <row r="1386" spans="1:13" x14ac:dyDescent="0.45">
      <c r="A1386" t="s">
        <v>3601</v>
      </c>
      <c r="B1386">
        <v>1446190</v>
      </c>
      <c r="C1386">
        <v>1446678</v>
      </c>
      <c r="E1386" t="s">
        <v>14</v>
      </c>
      <c r="F1386" t="s">
        <v>605</v>
      </c>
      <c r="H1386">
        <v>83705186</v>
      </c>
      <c r="I1386" t="s">
        <v>17</v>
      </c>
      <c r="K1386" t="s">
        <v>6849</v>
      </c>
      <c r="L1386">
        <v>162</v>
      </c>
      <c r="M1386" t="s">
        <v>6850</v>
      </c>
    </row>
    <row r="1387" spans="1:13" x14ac:dyDescent="0.45">
      <c r="A1387" t="s">
        <v>3601</v>
      </c>
      <c r="B1387">
        <v>1446693</v>
      </c>
      <c r="C1387">
        <v>1447472</v>
      </c>
      <c r="E1387" t="s">
        <v>14</v>
      </c>
      <c r="F1387" t="s">
        <v>5535</v>
      </c>
      <c r="H1387">
        <v>83705187</v>
      </c>
      <c r="I1387" t="s">
        <v>17</v>
      </c>
      <c r="K1387" t="s">
        <v>6851</v>
      </c>
      <c r="L1387">
        <v>259</v>
      </c>
      <c r="M1387" t="s">
        <v>6852</v>
      </c>
    </row>
    <row r="1388" spans="1:13" x14ac:dyDescent="0.45">
      <c r="A1388" t="s">
        <v>3601</v>
      </c>
      <c r="B1388">
        <v>1447459</v>
      </c>
      <c r="C1388">
        <v>1448280</v>
      </c>
      <c r="E1388" t="s">
        <v>14</v>
      </c>
      <c r="F1388" t="s">
        <v>371</v>
      </c>
      <c r="H1388">
        <v>83705188</v>
      </c>
      <c r="I1388" t="s">
        <v>17</v>
      </c>
      <c r="K1388" t="s">
        <v>6853</v>
      </c>
      <c r="L1388">
        <v>273</v>
      </c>
      <c r="M1388" t="s">
        <v>6854</v>
      </c>
    </row>
    <row r="1389" spans="1:13" x14ac:dyDescent="0.45">
      <c r="A1389" t="s">
        <v>3601</v>
      </c>
      <c r="B1389">
        <v>1448680</v>
      </c>
      <c r="C1389">
        <v>1449681</v>
      </c>
      <c r="E1389" t="s">
        <v>14</v>
      </c>
      <c r="F1389" t="s">
        <v>312</v>
      </c>
      <c r="H1389">
        <v>83705189</v>
      </c>
      <c r="I1389" t="s">
        <v>17</v>
      </c>
      <c r="K1389" t="s">
        <v>6855</v>
      </c>
      <c r="L1389">
        <v>333</v>
      </c>
      <c r="M1389" t="s">
        <v>6856</v>
      </c>
    </row>
    <row r="1390" spans="1:13" x14ac:dyDescent="0.45">
      <c r="A1390" t="s">
        <v>3601</v>
      </c>
      <c r="B1390">
        <v>1450271</v>
      </c>
      <c r="C1390">
        <v>1450552</v>
      </c>
      <c r="E1390" t="s">
        <v>14</v>
      </c>
      <c r="F1390" t="s">
        <v>45</v>
      </c>
      <c r="H1390">
        <v>83705190</v>
      </c>
      <c r="I1390" t="s">
        <v>17</v>
      </c>
      <c r="K1390" t="s">
        <v>6857</v>
      </c>
      <c r="L1390">
        <v>93</v>
      </c>
      <c r="M1390" t="s">
        <v>6858</v>
      </c>
    </row>
    <row r="1391" spans="1:13" x14ac:dyDescent="0.45">
      <c r="A1391" t="s">
        <v>3601</v>
      </c>
      <c r="B1391">
        <v>1450534</v>
      </c>
      <c r="C1391">
        <v>1450908</v>
      </c>
      <c r="E1391" t="s">
        <v>14</v>
      </c>
      <c r="F1391" t="s">
        <v>45</v>
      </c>
      <c r="H1391">
        <v>83705191</v>
      </c>
      <c r="I1391" t="s">
        <v>17</v>
      </c>
      <c r="K1391" t="s">
        <v>6859</v>
      </c>
      <c r="L1391">
        <v>124</v>
      </c>
      <c r="M1391" t="s">
        <v>6860</v>
      </c>
    </row>
    <row r="1392" spans="1:13" x14ac:dyDescent="0.45">
      <c r="A1392" t="s">
        <v>3601</v>
      </c>
      <c r="B1392">
        <v>1450899</v>
      </c>
      <c r="C1392">
        <v>1452308</v>
      </c>
      <c r="E1392" t="s">
        <v>14</v>
      </c>
      <c r="F1392" t="s">
        <v>4545</v>
      </c>
      <c r="H1392">
        <v>83705192</v>
      </c>
      <c r="I1392" t="s">
        <v>17</v>
      </c>
      <c r="K1392" t="s">
        <v>6861</v>
      </c>
      <c r="L1392">
        <v>469</v>
      </c>
      <c r="M1392" t="s">
        <v>6862</v>
      </c>
    </row>
    <row r="1393" spans="1:13" x14ac:dyDescent="0.45">
      <c r="A1393" t="s">
        <v>3601</v>
      </c>
      <c r="B1393">
        <v>1452305</v>
      </c>
      <c r="C1393">
        <v>1452805</v>
      </c>
      <c r="E1393" t="s">
        <v>14</v>
      </c>
      <c r="F1393" t="s">
        <v>45</v>
      </c>
      <c r="H1393">
        <v>83705193</v>
      </c>
      <c r="I1393" t="s">
        <v>17</v>
      </c>
      <c r="K1393" t="s">
        <v>6863</v>
      </c>
      <c r="L1393">
        <v>166</v>
      </c>
      <c r="M1393" t="s">
        <v>6864</v>
      </c>
    </row>
    <row r="1394" spans="1:13" x14ac:dyDescent="0.45">
      <c r="A1394" t="s">
        <v>3601</v>
      </c>
      <c r="B1394">
        <v>1453004</v>
      </c>
      <c r="C1394">
        <v>1455685</v>
      </c>
      <c r="E1394" t="s">
        <v>42</v>
      </c>
      <c r="F1394" t="s">
        <v>874</v>
      </c>
      <c r="H1394">
        <v>83705194</v>
      </c>
      <c r="I1394" t="s">
        <v>17</v>
      </c>
      <c r="K1394" t="s">
        <v>6865</v>
      </c>
      <c r="L1394">
        <v>893</v>
      </c>
      <c r="M1394" t="s">
        <v>6866</v>
      </c>
    </row>
    <row r="1395" spans="1:13" x14ac:dyDescent="0.45">
      <c r="A1395" t="s">
        <v>3601</v>
      </c>
      <c r="B1395">
        <v>1456035</v>
      </c>
      <c r="C1395">
        <v>1456421</v>
      </c>
      <c r="E1395" t="s">
        <v>42</v>
      </c>
      <c r="F1395" t="s">
        <v>134</v>
      </c>
      <c r="H1395">
        <v>83705195</v>
      </c>
      <c r="I1395" t="s">
        <v>17</v>
      </c>
      <c r="K1395" t="s">
        <v>6867</v>
      </c>
      <c r="L1395">
        <v>128</v>
      </c>
      <c r="M1395" t="s">
        <v>6868</v>
      </c>
    </row>
    <row r="1396" spans="1:13" x14ac:dyDescent="0.45">
      <c r="A1396" t="s">
        <v>3601</v>
      </c>
      <c r="B1396">
        <v>1456502</v>
      </c>
      <c r="C1396">
        <v>1457803</v>
      </c>
      <c r="E1396" t="s">
        <v>14</v>
      </c>
      <c r="F1396" t="s">
        <v>133</v>
      </c>
      <c r="H1396">
        <v>83705196</v>
      </c>
      <c r="I1396" t="s">
        <v>17</v>
      </c>
      <c r="K1396" t="s">
        <v>6869</v>
      </c>
      <c r="L1396">
        <v>433</v>
      </c>
      <c r="M1396" t="s">
        <v>6870</v>
      </c>
    </row>
    <row r="1397" spans="1:13" x14ac:dyDescent="0.45">
      <c r="A1397" t="s">
        <v>3601</v>
      </c>
      <c r="B1397">
        <v>1458028</v>
      </c>
      <c r="C1397">
        <v>1458837</v>
      </c>
      <c r="E1397" t="s">
        <v>14</v>
      </c>
      <c r="F1397" t="s">
        <v>634</v>
      </c>
      <c r="G1397" t="s">
        <v>635</v>
      </c>
      <c r="H1397">
        <v>83705197</v>
      </c>
      <c r="I1397" t="s">
        <v>17</v>
      </c>
      <c r="K1397" t="s">
        <v>6871</v>
      </c>
      <c r="L1397">
        <v>269</v>
      </c>
      <c r="M1397" t="s">
        <v>6872</v>
      </c>
    </row>
    <row r="1398" spans="1:13" x14ac:dyDescent="0.45">
      <c r="A1398" t="s">
        <v>3601</v>
      </c>
      <c r="B1398">
        <v>1458837</v>
      </c>
      <c r="C1398">
        <v>1460051</v>
      </c>
      <c r="E1398" t="s">
        <v>14</v>
      </c>
      <c r="F1398" t="s">
        <v>6235</v>
      </c>
      <c r="H1398">
        <v>83705198</v>
      </c>
      <c r="I1398" t="s">
        <v>17</v>
      </c>
      <c r="K1398" t="s">
        <v>6873</v>
      </c>
      <c r="L1398">
        <v>404</v>
      </c>
      <c r="M1398" t="s">
        <v>6874</v>
      </c>
    </row>
    <row r="1399" spans="1:13" x14ac:dyDescent="0.45">
      <c r="A1399" t="s">
        <v>3601</v>
      </c>
      <c r="B1399">
        <v>1460051</v>
      </c>
      <c r="C1399">
        <v>1461286</v>
      </c>
      <c r="E1399" t="s">
        <v>14</v>
      </c>
      <c r="F1399" t="s">
        <v>6235</v>
      </c>
      <c r="H1399">
        <v>83705199</v>
      </c>
      <c r="I1399" t="s">
        <v>17</v>
      </c>
      <c r="K1399" t="s">
        <v>6875</v>
      </c>
      <c r="L1399">
        <v>411</v>
      </c>
      <c r="M1399" t="s">
        <v>6876</v>
      </c>
    </row>
    <row r="1400" spans="1:13" x14ac:dyDescent="0.45">
      <c r="A1400" t="s">
        <v>3601</v>
      </c>
      <c r="B1400">
        <v>1461495</v>
      </c>
      <c r="C1400">
        <v>1462253</v>
      </c>
      <c r="E1400" t="s">
        <v>42</v>
      </c>
      <c r="F1400" t="s">
        <v>485</v>
      </c>
      <c r="G1400" t="s">
        <v>486</v>
      </c>
      <c r="H1400">
        <v>83705200</v>
      </c>
      <c r="I1400" t="s">
        <v>17</v>
      </c>
      <c r="K1400" t="s">
        <v>6877</v>
      </c>
      <c r="L1400">
        <v>252</v>
      </c>
      <c r="M1400" t="s">
        <v>6878</v>
      </c>
    </row>
    <row r="1401" spans="1:13" x14ac:dyDescent="0.45">
      <c r="A1401" t="s">
        <v>3601</v>
      </c>
      <c r="B1401">
        <v>1462519</v>
      </c>
      <c r="C1401">
        <v>1463715</v>
      </c>
      <c r="E1401" t="s">
        <v>42</v>
      </c>
      <c r="F1401" t="s">
        <v>594</v>
      </c>
      <c r="G1401" t="s">
        <v>595</v>
      </c>
      <c r="H1401">
        <v>83705201</v>
      </c>
      <c r="I1401" t="s">
        <v>17</v>
      </c>
      <c r="K1401" t="s">
        <v>6879</v>
      </c>
      <c r="L1401">
        <v>398</v>
      </c>
      <c r="M1401" t="s">
        <v>6880</v>
      </c>
    </row>
    <row r="1402" spans="1:13" x14ac:dyDescent="0.45">
      <c r="A1402" t="s">
        <v>3601</v>
      </c>
      <c r="B1402">
        <v>1464666</v>
      </c>
      <c r="C1402">
        <v>1467812</v>
      </c>
      <c r="E1402" t="s">
        <v>14</v>
      </c>
      <c r="F1402" t="s">
        <v>6881</v>
      </c>
      <c r="H1402">
        <v>83705202</v>
      </c>
      <c r="I1402" t="s">
        <v>17</v>
      </c>
      <c r="K1402" t="s">
        <v>6882</v>
      </c>
      <c r="L1402">
        <v>1048</v>
      </c>
      <c r="M1402" t="s">
        <v>6883</v>
      </c>
    </row>
    <row r="1403" spans="1:13" x14ac:dyDescent="0.45">
      <c r="A1403" t="s">
        <v>3601</v>
      </c>
      <c r="B1403">
        <v>1468102</v>
      </c>
      <c r="C1403">
        <v>1469190</v>
      </c>
      <c r="E1403" t="s">
        <v>42</v>
      </c>
      <c r="F1403" t="s">
        <v>6884</v>
      </c>
      <c r="H1403">
        <v>83705203</v>
      </c>
      <c r="I1403" t="s">
        <v>17</v>
      </c>
      <c r="K1403" t="s">
        <v>6885</v>
      </c>
      <c r="L1403">
        <v>362</v>
      </c>
      <c r="M1403" t="s">
        <v>6886</v>
      </c>
    </row>
    <row r="1404" spans="1:13" x14ac:dyDescent="0.45">
      <c r="A1404" t="s">
        <v>3601</v>
      </c>
      <c r="B1404">
        <v>1469174</v>
      </c>
      <c r="C1404">
        <v>1469644</v>
      </c>
      <c r="E1404" t="s">
        <v>42</v>
      </c>
      <c r="F1404" t="s">
        <v>5695</v>
      </c>
      <c r="H1404">
        <v>83705204</v>
      </c>
      <c r="I1404" t="s">
        <v>17</v>
      </c>
      <c r="K1404" t="s">
        <v>6887</v>
      </c>
      <c r="L1404">
        <v>156</v>
      </c>
      <c r="M1404" t="s">
        <v>6888</v>
      </c>
    </row>
    <row r="1405" spans="1:13" x14ac:dyDescent="0.45">
      <c r="A1405" t="s">
        <v>3601</v>
      </c>
      <c r="B1405">
        <v>1469875</v>
      </c>
      <c r="C1405">
        <v>1470087</v>
      </c>
      <c r="E1405" t="s">
        <v>14</v>
      </c>
      <c r="F1405" t="s">
        <v>45</v>
      </c>
      <c r="H1405">
        <v>83705205</v>
      </c>
      <c r="I1405" t="s">
        <v>17</v>
      </c>
      <c r="K1405" t="s">
        <v>6889</v>
      </c>
      <c r="L1405">
        <v>70</v>
      </c>
      <c r="M1405" t="s">
        <v>6890</v>
      </c>
    </row>
    <row r="1406" spans="1:13" x14ac:dyDescent="0.45">
      <c r="A1406" t="s">
        <v>3601</v>
      </c>
      <c r="B1406">
        <v>1470030</v>
      </c>
      <c r="C1406">
        <v>1470209</v>
      </c>
      <c r="E1406" t="s">
        <v>14</v>
      </c>
      <c r="F1406" t="s">
        <v>139</v>
      </c>
      <c r="H1406">
        <v>83705206</v>
      </c>
      <c r="I1406" t="s">
        <v>17</v>
      </c>
      <c r="K1406" t="s">
        <v>6891</v>
      </c>
      <c r="L1406">
        <v>59</v>
      </c>
      <c r="M1406" t="s">
        <v>6892</v>
      </c>
    </row>
    <row r="1407" spans="1:13" x14ac:dyDescent="0.45">
      <c r="A1407" t="s">
        <v>3601</v>
      </c>
      <c r="B1407">
        <v>1470842</v>
      </c>
      <c r="C1407">
        <v>1471165</v>
      </c>
      <c r="E1407" t="s">
        <v>42</v>
      </c>
      <c r="F1407" t="s">
        <v>4200</v>
      </c>
      <c r="H1407">
        <v>83705207</v>
      </c>
      <c r="I1407" t="s">
        <v>17</v>
      </c>
      <c r="K1407" t="s">
        <v>6893</v>
      </c>
      <c r="L1407">
        <v>107</v>
      </c>
      <c r="M1407" t="s">
        <v>6894</v>
      </c>
    </row>
    <row r="1408" spans="1:13" x14ac:dyDescent="0.45">
      <c r="A1408" t="s">
        <v>3601</v>
      </c>
      <c r="B1408">
        <v>1471229</v>
      </c>
      <c r="C1408">
        <v>1471828</v>
      </c>
      <c r="E1408" t="s">
        <v>42</v>
      </c>
      <c r="F1408" t="s">
        <v>4197</v>
      </c>
      <c r="H1408">
        <v>83705208</v>
      </c>
      <c r="I1408" t="s">
        <v>17</v>
      </c>
      <c r="K1408" t="s">
        <v>6895</v>
      </c>
      <c r="L1408">
        <v>199</v>
      </c>
      <c r="M1408" t="s">
        <v>6896</v>
      </c>
    </row>
    <row r="1409" spans="1:13" x14ac:dyDescent="0.45">
      <c r="A1409" t="s">
        <v>3601</v>
      </c>
      <c r="B1409">
        <v>1471858</v>
      </c>
      <c r="C1409">
        <v>1472604</v>
      </c>
      <c r="E1409" t="s">
        <v>42</v>
      </c>
      <c r="F1409" t="s">
        <v>6897</v>
      </c>
      <c r="H1409">
        <v>83705209</v>
      </c>
      <c r="I1409" t="s">
        <v>17</v>
      </c>
      <c r="K1409" t="s">
        <v>6898</v>
      </c>
      <c r="L1409">
        <v>248</v>
      </c>
      <c r="M1409" t="s">
        <v>6899</v>
      </c>
    </row>
    <row r="1410" spans="1:13" x14ac:dyDescent="0.45">
      <c r="A1410" t="s">
        <v>3601</v>
      </c>
      <c r="B1410">
        <v>1472619</v>
      </c>
      <c r="C1410">
        <v>1473731</v>
      </c>
      <c r="E1410" t="s">
        <v>42</v>
      </c>
      <c r="F1410" t="s">
        <v>45</v>
      </c>
      <c r="H1410">
        <v>83705869</v>
      </c>
      <c r="I1410" t="s">
        <v>17</v>
      </c>
      <c r="K1410" t="s">
        <v>6900</v>
      </c>
      <c r="L1410">
        <v>370</v>
      </c>
      <c r="M1410" t="s">
        <v>6901</v>
      </c>
    </row>
    <row r="1411" spans="1:13" x14ac:dyDescent="0.45">
      <c r="A1411" t="s">
        <v>3601</v>
      </c>
      <c r="B1411">
        <v>1473922</v>
      </c>
      <c r="C1411">
        <v>1474344</v>
      </c>
      <c r="E1411" t="s">
        <v>42</v>
      </c>
      <c r="F1411" t="s">
        <v>45</v>
      </c>
      <c r="H1411">
        <v>83705210</v>
      </c>
      <c r="I1411" t="s">
        <v>17</v>
      </c>
      <c r="K1411" t="s">
        <v>6902</v>
      </c>
      <c r="L1411">
        <v>140</v>
      </c>
      <c r="M1411" t="s">
        <v>6903</v>
      </c>
    </row>
    <row r="1412" spans="1:13" x14ac:dyDescent="0.45">
      <c r="A1412" t="s">
        <v>3601</v>
      </c>
      <c r="B1412">
        <v>1474326</v>
      </c>
      <c r="C1412">
        <v>1476359</v>
      </c>
      <c r="E1412" t="s">
        <v>42</v>
      </c>
      <c r="F1412" t="s">
        <v>4194</v>
      </c>
      <c r="H1412">
        <v>83705211</v>
      </c>
      <c r="I1412" t="s">
        <v>17</v>
      </c>
      <c r="K1412" t="s">
        <v>6904</v>
      </c>
      <c r="L1412">
        <v>677</v>
      </c>
      <c r="M1412" t="s">
        <v>6905</v>
      </c>
    </row>
    <row r="1413" spans="1:13" x14ac:dyDescent="0.45">
      <c r="A1413" t="s">
        <v>3601</v>
      </c>
      <c r="B1413">
        <v>1476977</v>
      </c>
      <c r="C1413">
        <v>1477882</v>
      </c>
      <c r="E1413" t="s">
        <v>42</v>
      </c>
      <c r="F1413" t="s">
        <v>4713</v>
      </c>
      <c r="H1413">
        <v>83705212</v>
      </c>
      <c r="I1413" t="s">
        <v>17</v>
      </c>
      <c r="K1413" t="s">
        <v>6906</v>
      </c>
      <c r="L1413">
        <v>301</v>
      </c>
      <c r="M1413" t="s">
        <v>6907</v>
      </c>
    </row>
    <row r="1414" spans="1:13" x14ac:dyDescent="0.45">
      <c r="A1414" t="s">
        <v>3601</v>
      </c>
      <c r="B1414">
        <v>1478194</v>
      </c>
      <c r="C1414">
        <v>1479672</v>
      </c>
      <c r="E1414" t="s">
        <v>42</v>
      </c>
      <c r="F1414" t="s">
        <v>879</v>
      </c>
      <c r="H1414">
        <v>83705213</v>
      </c>
      <c r="I1414" t="s">
        <v>17</v>
      </c>
      <c r="K1414" t="s">
        <v>6908</v>
      </c>
      <c r="L1414">
        <v>492</v>
      </c>
      <c r="M1414" t="s">
        <v>6909</v>
      </c>
    </row>
    <row r="1415" spans="1:13" x14ac:dyDescent="0.45">
      <c r="A1415" t="s">
        <v>3601</v>
      </c>
      <c r="B1415">
        <v>1480014</v>
      </c>
      <c r="C1415">
        <v>1481507</v>
      </c>
      <c r="E1415" t="s">
        <v>14</v>
      </c>
      <c r="F1415" t="s">
        <v>170</v>
      </c>
      <c r="G1415" t="s">
        <v>171</v>
      </c>
      <c r="H1415">
        <v>83705214</v>
      </c>
      <c r="I1415" t="s">
        <v>17</v>
      </c>
      <c r="K1415" t="s">
        <v>6910</v>
      </c>
      <c r="L1415">
        <v>497</v>
      </c>
      <c r="M1415" t="s">
        <v>6911</v>
      </c>
    </row>
    <row r="1416" spans="1:13" x14ac:dyDescent="0.45">
      <c r="A1416" t="s">
        <v>3601</v>
      </c>
      <c r="B1416">
        <v>1481784</v>
      </c>
      <c r="C1416">
        <v>1481924</v>
      </c>
      <c r="E1416" t="s">
        <v>14</v>
      </c>
      <c r="F1416" t="s">
        <v>45</v>
      </c>
      <c r="H1416">
        <v>83705215</v>
      </c>
      <c r="I1416" t="s">
        <v>17</v>
      </c>
      <c r="K1416" t="s">
        <v>6912</v>
      </c>
      <c r="L1416">
        <v>46</v>
      </c>
      <c r="M1416" t="s">
        <v>6913</v>
      </c>
    </row>
    <row r="1417" spans="1:13" x14ac:dyDescent="0.45">
      <c r="A1417" t="s">
        <v>3601</v>
      </c>
      <c r="B1417">
        <v>1482793</v>
      </c>
      <c r="C1417">
        <v>1483005</v>
      </c>
      <c r="E1417" t="s">
        <v>42</v>
      </c>
      <c r="F1417" t="s">
        <v>6914</v>
      </c>
      <c r="H1417">
        <v>83705216</v>
      </c>
      <c r="I1417" t="s">
        <v>17</v>
      </c>
      <c r="K1417" t="s">
        <v>6915</v>
      </c>
      <c r="L1417">
        <v>70</v>
      </c>
      <c r="M1417" t="s">
        <v>6916</v>
      </c>
    </row>
    <row r="1418" spans="1:13" x14ac:dyDescent="0.45">
      <c r="A1418" t="s">
        <v>3601</v>
      </c>
      <c r="B1418">
        <v>1483140</v>
      </c>
      <c r="C1418">
        <v>1483466</v>
      </c>
      <c r="E1418" t="s">
        <v>14</v>
      </c>
      <c r="F1418" t="s">
        <v>45</v>
      </c>
      <c r="H1418">
        <v>83705217</v>
      </c>
      <c r="I1418" t="s">
        <v>17</v>
      </c>
      <c r="K1418" t="s">
        <v>6917</v>
      </c>
      <c r="L1418">
        <v>108</v>
      </c>
      <c r="M1418" t="s">
        <v>6918</v>
      </c>
    </row>
    <row r="1419" spans="1:13" x14ac:dyDescent="0.45">
      <c r="A1419" t="s">
        <v>3601</v>
      </c>
      <c r="B1419">
        <v>1483562</v>
      </c>
      <c r="C1419">
        <v>1484848</v>
      </c>
      <c r="E1419" t="s">
        <v>42</v>
      </c>
      <c r="F1419" t="s">
        <v>6919</v>
      </c>
      <c r="H1419">
        <v>83705218</v>
      </c>
      <c r="I1419" t="s">
        <v>17</v>
      </c>
      <c r="K1419" t="s">
        <v>6920</v>
      </c>
      <c r="L1419">
        <v>428</v>
      </c>
      <c r="M1419" t="s">
        <v>6921</v>
      </c>
    </row>
    <row r="1420" spans="1:13" x14ac:dyDescent="0.45">
      <c r="A1420" t="s">
        <v>3601</v>
      </c>
      <c r="B1420">
        <v>1484956</v>
      </c>
      <c r="C1420">
        <v>1485882</v>
      </c>
      <c r="E1420" t="s">
        <v>42</v>
      </c>
      <c r="F1420" t="s">
        <v>6919</v>
      </c>
      <c r="H1420">
        <v>83705219</v>
      </c>
      <c r="I1420" t="s">
        <v>17</v>
      </c>
      <c r="K1420" t="s">
        <v>6922</v>
      </c>
      <c r="L1420">
        <v>308</v>
      </c>
      <c r="M1420" t="s">
        <v>6923</v>
      </c>
    </row>
    <row r="1421" spans="1:13" x14ac:dyDescent="0.45">
      <c r="A1421" t="s">
        <v>3601</v>
      </c>
      <c r="B1421">
        <v>1486044</v>
      </c>
      <c r="C1421">
        <v>1486319</v>
      </c>
      <c r="E1421" t="s">
        <v>14</v>
      </c>
      <c r="F1421" t="s">
        <v>6924</v>
      </c>
      <c r="H1421">
        <v>83705220</v>
      </c>
      <c r="I1421" t="s">
        <v>17</v>
      </c>
      <c r="K1421" t="s">
        <v>6925</v>
      </c>
      <c r="L1421">
        <v>91</v>
      </c>
      <c r="M1421" t="s">
        <v>6926</v>
      </c>
    </row>
    <row r="1422" spans="1:13" x14ac:dyDescent="0.45">
      <c r="A1422" t="s">
        <v>3601</v>
      </c>
      <c r="B1422">
        <v>1486451</v>
      </c>
      <c r="C1422">
        <v>1486870</v>
      </c>
      <c r="E1422" t="s">
        <v>42</v>
      </c>
      <c r="F1422" t="s">
        <v>6927</v>
      </c>
      <c r="H1422">
        <v>83705221</v>
      </c>
      <c r="I1422" t="s">
        <v>17</v>
      </c>
      <c r="K1422" t="s">
        <v>6928</v>
      </c>
      <c r="L1422">
        <v>139</v>
      </c>
      <c r="M1422" t="s">
        <v>6929</v>
      </c>
    </row>
    <row r="1423" spans="1:13" x14ac:dyDescent="0.45">
      <c r="A1423" t="s">
        <v>3601</v>
      </c>
      <c r="B1423">
        <v>1486867</v>
      </c>
      <c r="C1423">
        <v>1487271</v>
      </c>
      <c r="E1423" t="s">
        <v>42</v>
      </c>
      <c r="F1423" t="s">
        <v>342</v>
      </c>
      <c r="H1423">
        <v>83705222</v>
      </c>
      <c r="I1423" t="s">
        <v>17</v>
      </c>
      <c r="K1423" t="s">
        <v>6930</v>
      </c>
      <c r="L1423">
        <v>134</v>
      </c>
      <c r="M1423" t="s">
        <v>6931</v>
      </c>
    </row>
    <row r="1424" spans="1:13" x14ac:dyDescent="0.45">
      <c r="A1424" t="s">
        <v>3601</v>
      </c>
      <c r="B1424">
        <v>1487293</v>
      </c>
      <c r="C1424">
        <v>1488072</v>
      </c>
      <c r="E1424" t="s">
        <v>42</v>
      </c>
      <c r="F1424" t="s">
        <v>461</v>
      </c>
      <c r="G1424" t="s">
        <v>462</v>
      </c>
      <c r="H1424">
        <v>83705223</v>
      </c>
      <c r="I1424" t="s">
        <v>17</v>
      </c>
      <c r="K1424" t="s">
        <v>6932</v>
      </c>
      <c r="L1424">
        <v>259</v>
      </c>
      <c r="M1424" t="s">
        <v>6933</v>
      </c>
    </row>
    <row r="1425" spans="1:13" x14ac:dyDescent="0.45">
      <c r="A1425" t="s">
        <v>3601</v>
      </c>
      <c r="B1425">
        <v>1488069</v>
      </c>
      <c r="C1425">
        <v>1489001</v>
      </c>
      <c r="E1425" t="s">
        <v>42</v>
      </c>
      <c r="F1425" t="s">
        <v>459</v>
      </c>
      <c r="G1425" t="s">
        <v>460</v>
      </c>
      <c r="H1425">
        <v>83705224</v>
      </c>
      <c r="I1425" t="s">
        <v>17</v>
      </c>
      <c r="K1425" t="s">
        <v>6934</v>
      </c>
      <c r="L1425">
        <v>310</v>
      </c>
      <c r="M1425" t="s">
        <v>6935</v>
      </c>
    </row>
    <row r="1426" spans="1:13" x14ac:dyDescent="0.45">
      <c r="A1426" t="s">
        <v>3601</v>
      </c>
      <c r="B1426">
        <v>1489278</v>
      </c>
      <c r="C1426">
        <v>1489550</v>
      </c>
      <c r="E1426" t="s">
        <v>42</v>
      </c>
      <c r="F1426" t="s">
        <v>968</v>
      </c>
      <c r="H1426">
        <v>83705225</v>
      </c>
      <c r="I1426" t="s">
        <v>17</v>
      </c>
      <c r="K1426" t="s">
        <v>6936</v>
      </c>
      <c r="L1426">
        <v>90</v>
      </c>
      <c r="M1426" t="s">
        <v>6937</v>
      </c>
    </row>
    <row r="1427" spans="1:13" x14ac:dyDescent="0.45">
      <c r="A1427" t="s">
        <v>3601</v>
      </c>
      <c r="B1427">
        <v>1489614</v>
      </c>
      <c r="C1427">
        <v>1490051</v>
      </c>
      <c r="E1427" t="s">
        <v>42</v>
      </c>
      <c r="F1427" t="s">
        <v>387</v>
      </c>
      <c r="H1427">
        <v>83705226</v>
      </c>
      <c r="I1427" t="s">
        <v>17</v>
      </c>
      <c r="K1427" t="s">
        <v>6938</v>
      </c>
      <c r="L1427">
        <v>145</v>
      </c>
      <c r="M1427" t="s">
        <v>6939</v>
      </c>
    </row>
    <row r="1428" spans="1:13" x14ac:dyDescent="0.45">
      <c r="A1428" t="s">
        <v>3601</v>
      </c>
      <c r="B1428">
        <v>1490038</v>
      </c>
      <c r="C1428">
        <v>1492170</v>
      </c>
      <c r="E1428" t="s">
        <v>42</v>
      </c>
      <c r="F1428" t="s">
        <v>6940</v>
      </c>
      <c r="H1428">
        <v>83705227</v>
      </c>
      <c r="I1428" t="s">
        <v>17</v>
      </c>
      <c r="K1428" t="s">
        <v>6941</v>
      </c>
      <c r="L1428">
        <v>710</v>
      </c>
      <c r="M1428" t="s">
        <v>6942</v>
      </c>
    </row>
    <row r="1429" spans="1:13" x14ac:dyDescent="0.45">
      <c r="A1429" t="s">
        <v>3601</v>
      </c>
      <c r="B1429">
        <v>1492338</v>
      </c>
      <c r="C1429">
        <v>1492658</v>
      </c>
      <c r="E1429" t="s">
        <v>42</v>
      </c>
      <c r="F1429" t="s">
        <v>45</v>
      </c>
      <c r="H1429">
        <v>83705228</v>
      </c>
      <c r="I1429" t="s">
        <v>17</v>
      </c>
      <c r="K1429" t="s">
        <v>6943</v>
      </c>
      <c r="L1429">
        <v>106</v>
      </c>
      <c r="M1429" t="s">
        <v>6944</v>
      </c>
    </row>
    <row r="1430" spans="1:13" x14ac:dyDescent="0.45">
      <c r="A1430" t="s">
        <v>3601</v>
      </c>
      <c r="B1430">
        <v>1492928</v>
      </c>
      <c r="C1430">
        <v>1493680</v>
      </c>
      <c r="E1430" t="s">
        <v>42</v>
      </c>
      <c r="F1430" t="s">
        <v>275</v>
      </c>
      <c r="G1430" t="s">
        <v>276</v>
      </c>
      <c r="H1430">
        <v>83705229</v>
      </c>
      <c r="I1430" t="s">
        <v>17</v>
      </c>
      <c r="K1430" t="s">
        <v>6945</v>
      </c>
      <c r="L1430">
        <v>250</v>
      </c>
      <c r="M1430" t="s">
        <v>6946</v>
      </c>
    </row>
    <row r="1431" spans="1:13" x14ac:dyDescent="0.45">
      <c r="A1431" t="s">
        <v>3601</v>
      </c>
      <c r="B1431">
        <v>1493682</v>
      </c>
      <c r="C1431">
        <v>1494497</v>
      </c>
      <c r="E1431" t="s">
        <v>42</v>
      </c>
      <c r="F1431" t="s">
        <v>273</v>
      </c>
      <c r="G1431" t="s">
        <v>274</v>
      </c>
      <c r="H1431">
        <v>83705230</v>
      </c>
      <c r="I1431" t="s">
        <v>17</v>
      </c>
      <c r="K1431" t="s">
        <v>6947</v>
      </c>
      <c r="L1431">
        <v>271</v>
      </c>
      <c r="M1431" t="s">
        <v>6948</v>
      </c>
    </row>
    <row r="1432" spans="1:13" x14ac:dyDescent="0.45">
      <c r="A1432" t="s">
        <v>3601</v>
      </c>
      <c r="B1432">
        <v>1494490</v>
      </c>
      <c r="C1432">
        <v>1495353</v>
      </c>
      <c r="E1432" t="s">
        <v>42</v>
      </c>
      <c r="F1432" t="s">
        <v>271</v>
      </c>
      <c r="G1432" t="s">
        <v>272</v>
      </c>
      <c r="H1432">
        <v>83705231</v>
      </c>
      <c r="I1432" t="s">
        <v>17</v>
      </c>
      <c r="K1432" t="s">
        <v>6949</v>
      </c>
      <c r="L1432">
        <v>287</v>
      </c>
      <c r="M1432" t="s">
        <v>6950</v>
      </c>
    </row>
    <row r="1433" spans="1:13" x14ac:dyDescent="0.45">
      <c r="A1433" t="s">
        <v>3601</v>
      </c>
      <c r="B1433">
        <v>1495423</v>
      </c>
      <c r="C1433">
        <v>1496295</v>
      </c>
      <c r="E1433" t="s">
        <v>42</v>
      </c>
      <c r="F1433" t="s">
        <v>343</v>
      </c>
      <c r="H1433">
        <v>83705232</v>
      </c>
      <c r="I1433" t="s">
        <v>17</v>
      </c>
      <c r="K1433" t="s">
        <v>6951</v>
      </c>
      <c r="L1433">
        <v>290</v>
      </c>
      <c r="M1433" t="s">
        <v>6952</v>
      </c>
    </row>
    <row r="1434" spans="1:13" x14ac:dyDescent="0.45">
      <c r="A1434" t="s">
        <v>3601</v>
      </c>
      <c r="B1434">
        <v>1496454</v>
      </c>
      <c r="C1434">
        <v>1497779</v>
      </c>
      <c r="E1434" t="s">
        <v>42</v>
      </c>
      <c r="F1434" t="s">
        <v>6953</v>
      </c>
      <c r="G1434" t="s">
        <v>6954</v>
      </c>
      <c r="H1434">
        <v>83705233</v>
      </c>
      <c r="I1434" t="s">
        <v>17</v>
      </c>
      <c r="K1434" t="s">
        <v>6955</v>
      </c>
      <c r="L1434">
        <v>441</v>
      </c>
      <c r="M1434" t="s">
        <v>6956</v>
      </c>
    </row>
    <row r="1435" spans="1:13" x14ac:dyDescent="0.45">
      <c r="A1435" t="s">
        <v>3601</v>
      </c>
      <c r="B1435">
        <v>1497763</v>
      </c>
      <c r="C1435">
        <v>1498485</v>
      </c>
      <c r="E1435" t="s">
        <v>42</v>
      </c>
      <c r="F1435" t="s">
        <v>511</v>
      </c>
      <c r="H1435">
        <v>83705234</v>
      </c>
      <c r="I1435" t="s">
        <v>17</v>
      </c>
      <c r="K1435" t="s">
        <v>6957</v>
      </c>
      <c r="L1435">
        <v>240</v>
      </c>
      <c r="M1435" t="s">
        <v>6958</v>
      </c>
    </row>
    <row r="1436" spans="1:13" x14ac:dyDescent="0.45">
      <c r="A1436" t="s">
        <v>3601</v>
      </c>
      <c r="B1436">
        <v>1498896</v>
      </c>
      <c r="C1436">
        <v>1499051</v>
      </c>
      <c r="E1436" t="s">
        <v>14</v>
      </c>
      <c r="F1436" t="s">
        <v>1047</v>
      </c>
      <c r="H1436">
        <v>83705235</v>
      </c>
      <c r="I1436" t="s">
        <v>17</v>
      </c>
      <c r="K1436" t="s">
        <v>6959</v>
      </c>
      <c r="L1436">
        <v>51</v>
      </c>
      <c r="M1436" t="s">
        <v>6960</v>
      </c>
    </row>
    <row r="1437" spans="1:13" x14ac:dyDescent="0.45">
      <c r="A1437" t="s">
        <v>3601</v>
      </c>
      <c r="B1437">
        <v>1499092</v>
      </c>
      <c r="C1437">
        <v>1499994</v>
      </c>
      <c r="E1437" t="s">
        <v>14</v>
      </c>
      <c r="F1437" t="s">
        <v>6961</v>
      </c>
      <c r="H1437">
        <v>83705236</v>
      </c>
      <c r="I1437" t="s">
        <v>17</v>
      </c>
      <c r="K1437" t="s">
        <v>6962</v>
      </c>
      <c r="L1437">
        <v>300</v>
      </c>
      <c r="M1437" t="s">
        <v>6963</v>
      </c>
    </row>
    <row r="1438" spans="1:13" x14ac:dyDescent="0.45">
      <c r="A1438" t="s">
        <v>3601</v>
      </c>
      <c r="B1438">
        <v>1499994</v>
      </c>
      <c r="C1438">
        <v>1500809</v>
      </c>
      <c r="E1438" t="s">
        <v>14</v>
      </c>
      <c r="F1438" t="s">
        <v>6964</v>
      </c>
      <c r="H1438">
        <v>83705237</v>
      </c>
      <c r="I1438" t="s">
        <v>17</v>
      </c>
      <c r="K1438" t="s">
        <v>6965</v>
      </c>
      <c r="L1438">
        <v>271</v>
      </c>
      <c r="M1438" t="s">
        <v>6966</v>
      </c>
    </row>
    <row r="1439" spans="1:13" x14ac:dyDescent="0.45">
      <c r="A1439" t="s">
        <v>3601</v>
      </c>
      <c r="B1439">
        <v>1500995</v>
      </c>
      <c r="C1439">
        <v>1502416</v>
      </c>
      <c r="E1439" t="s">
        <v>42</v>
      </c>
      <c r="F1439" t="s">
        <v>608</v>
      </c>
      <c r="H1439">
        <v>83705238</v>
      </c>
      <c r="I1439" t="s">
        <v>17</v>
      </c>
      <c r="K1439" t="s">
        <v>6967</v>
      </c>
      <c r="L1439">
        <v>473</v>
      </c>
      <c r="M1439" t="s">
        <v>6968</v>
      </c>
    </row>
    <row r="1440" spans="1:13" x14ac:dyDescent="0.45">
      <c r="A1440" t="s">
        <v>3601</v>
      </c>
      <c r="B1440">
        <v>1502443</v>
      </c>
      <c r="C1440">
        <v>1504305</v>
      </c>
      <c r="E1440" t="s">
        <v>42</v>
      </c>
      <c r="F1440" t="s">
        <v>985</v>
      </c>
      <c r="H1440">
        <v>83705239</v>
      </c>
      <c r="I1440" t="s">
        <v>17</v>
      </c>
      <c r="K1440" t="s">
        <v>6969</v>
      </c>
      <c r="L1440">
        <v>620</v>
      </c>
      <c r="M1440" t="s">
        <v>6970</v>
      </c>
    </row>
    <row r="1441" spans="1:13" x14ac:dyDescent="0.45">
      <c r="A1441" t="s">
        <v>3601</v>
      </c>
      <c r="B1441">
        <v>1504310</v>
      </c>
      <c r="C1441">
        <v>1505149</v>
      </c>
      <c r="E1441" t="s">
        <v>42</v>
      </c>
      <c r="F1441" t="s">
        <v>6971</v>
      </c>
      <c r="G1441" t="s">
        <v>6972</v>
      </c>
      <c r="H1441">
        <v>83705240</v>
      </c>
      <c r="I1441" t="s">
        <v>17</v>
      </c>
      <c r="K1441" t="s">
        <v>6973</v>
      </c>
      <c r="L1441">
        <v>279</v>
      </c>
      <c r="M1441" t="s">
        <v>6974</v>
      </c>
    </row>
    <row r="1442" spans="1:13" x14ac:dyDescent="0.45">
      <c r="A1442" t="s">
        <v>3601</v>
      </c>
      <c r="B1442">
        <v>1505438</v>
      </c>
      <c r="C1442">
        <v>1506898</v>
      </c>
      <c r="E1442" t="s">
        <v>42</v>
      </c>
      <c r="F1442" t="s">
        <v>812</v>
      </c>
      <c r="G1442" t="s">
        <v>813</v>
      </c>
      <c r="H1442">
        <v>83705241</v>
      </c>
      <c r="I1442" t="s">
        <v>17</v>
      </c>
      <c r="K1442" t="s">
        <v>6975</v>
      </c>
      <c r="L1442">
        <v>486</v>
      </c>
      <c r="M1442" t="s">
        <v>6976</v>
      </c>
    </row>
    <row r="1443" spans="1:13" x14ac:dyDescent="0.45">
      <c r="A1443" t="s">
        <v>3601</v>
      </c>
      <c r="B1443">
        <v>1506898</v>
      </c>
      <c r="C1443">
        <v>1507725</v>
      </c>
      <c r="E1443" t="s">
        <v>42</v>
      </c>
      <c r="F1443" t="s">
        <v>58</v>
      </c>
      <c r="H1443">
        <v>83705242</v>
      </c>
      <c r="I1443" t="s">
        <v>17</v>
      </c>
      <c r="K1443" t="s">
        <v>6977</v>
      </c>
      <c r="L1443">
        <v>275</v>
      </c>
      <c r="M1443" t="s">
        <v>6978</v>
      </c>
    </row>
    <row r="1444" spans="1:13" x14ac:dyDescent="0.45">
      <c r="A1444" t="s">
        <v>3601</v>
      </c>
      <c r="B1444">
        <v>1507726</v>
      </c>
      <c r="C1444">
        <v>1508523</v>
      </c>
      <c r="E1444" t="s">
        <v>42</v>
      </c>
      <c r="F1444" t="s">
        <v>58</v>
      </c>
      <c r="H1444">
        <v>83705243</v>
      </c>
      <c r="I1444" t="s">
        <v>17</v>
      </c>
      <c r="K1444" t="s">
        <v>6979</v>
      </c>
      <c r="L1444">
        <v>265</v>
      </c>
      <c r="M1444" t="s">
        <v>6980</v>
      </c>
    </row>
    <row r="1445" spans="1:13" x14ac:dyDescent="0.45">
      <c r="A1445" t="s">
        <v>3601</v>
      </c>
      <c r="B1445">
        <v>1509272</v>
      </c>
      <c r="C1445">
        <v>1509781</v>
      </c>
      <c r="E1445" t="s">
        <v>42</v>
      </c>
      <c r="F1445" t="s">
        <v>45</v>
      </c>
      <c r="H1445">
        <v>83705244</v>
      </c>
      <c r="I1445" t="s">
        <v>17</v>
      </c>
      <c r="K1445" t="s">
        <v>6981</v>
      </c>
      <c r="L1445">
        <v>169</v>
      </c>
      <c r="M1445" t="s">
        <v>6982</v>
      </c>
    </row>
    <row r="1446" spans="1:13" x14ac:dyDescent="0.45">
      <c r="A1446" t="s">
        <v>3601</v>
      </c>
      <c r="B1446">
        <v>1509778</v>
      </c>
      <c r="C1446">
        <v>1510401</v>
      </c>
      <c r="E1446" t="s">
        <v>42</v>
      </c>
      <c r="F1446" t="s">
        <v>55</v>
      </c>
      <c r="H1446">
        <v>83705245</v>
      </c>
      <c r="I1446" t="s">
        <v>17</v>
      </c>
      <c r="K1446" t="s">
        <v>6983</v>
      </c>
      <c r="L1446">
        <v>207</v>
      </c>
      <c r="M1446" t="s">
        <v>6984</v>
      </c>
    </row>
    <row r="1447" spans="1:13" x14ac:dyDescent="0.45">
      <c r="A1447" t="s">
        <v>3601</v>
      </c>
      <c r="B1447">
        <v>1510401</v>
      </c>
      <c r="C1447">
        <v>1512383</v>
      </c>
      <c r="E1447" t="s">
        <v>42</v>
      </c>
      <c r="F1447" t="s">
        <v>113</v>
      </c>
      <c r="H1447">
        <v>83705246</v>
      </c>
      <c r="I1447" t="s">
        <v>17</v>
      </c>
      <c r="K1447" t="s">
        <v>6985</v>
      </c>
      <c r="L1447">
        <v>660</v>
      </c>
      <c r="M1447" t="s">
        <v>6986</v>
      </c>
    </row>
    <row r="1448" spans="1:13" x14ac:dyDescent="0.45">
      <c r="A1448" t="s">
        <v>3601</v>
      </c>
      <c r="B1448">
        <v>1512450</v>
      </c>
      <c r="C1448">
        <v>1512755</v>
      </c>
      <c r="E1448" t="s">
        <v>42</v>
      </c>
      <c r="F1448" t="s">
        <v>45</v>
      </c>
      <c r="H1448">
        <v>83705247</v>
      </c>
      <c r="I1448" t="s">
        <v>17</v>
      </c>
      <c r="K1448" t="s">
        <v>6987</v>
      </c>
      <c r="L1448">
        <v>101</v>
      </c>
      <c r="M1448" t="s">
        <v>6988</v>
      </c>
    </row>
    <row r="1449" spans="1:13" x14ac:dyDescent="0.45">
      <c r="A1449" t="s">
        <v>3601</v>
      </c>
      <c r="B1449">
        <v>1512922</v>
      </c>
      <c r="C1449">
        <v>1513239</v>
      </c>
      <c r="E1449" t="s">
        <v>42</v>
      </c>
      <c r="F1449" t="s">
        <v>45</v>
      </c>
      <c r="H1449">
        <v>83705248</v>
      </c>
      <c r="I1449" t="s">
        <v>17</v>
      </c>
      <c r="K1449" t="s">
        <v>6989</v>
      </c>
      <c r="L1449">
        <v>105</v>
      </c>
      <c r="M1449" t="s">
        <v>6990</v>
      </c>
    </row>
    <row r="1450" spans="1:13" x14ac:dyDescent="0.45">
      <c r="A1450" t="s">
        <v>3601</v>
      </c>
      <c r="B1450">
        <v>1513221</v>
      </c>
      <c r="C1450">
        <v>1514525</v>
      </c>
      <c r="E1450" t="s">
        <v>42</v>
      </c>
      <c r="F1450" t="s">
        <v>45</v>
      </c>
      <c r="H1450">
        <v>83705249</v>
      </c>
      <c r="I1450" t="s">
        <v>17</v>
      </c>
      <c r="K1450" t="s">
        <v>6991</v>
      </c>
      <c r="L1450">
        <v>434</v>
      </c>
      <c r="M1450" t="s">
        <v>6992</v>
      </c>
    </row>
    <row r="1451" spans="1:13" x14ac:dyDescent="0.45">
      <c r="A1451" t="s">
        <v>3601</v>
      </c>
      <c r="B1451">
        <v>1514522</v>
      </c>
      <c r="C1451">
        <v>1514944</v>
      </c>
      <c r="E1451" t="s">
        <v>42</v>
      </c>
      <c r="F1451" t="s">
        <v>45</v>
      </c>
      <c r="H1451">
        <v>83705250</v>
      </c>
      <c r="I1451" t="s">
        <v>17</v>
      </c>
      <c r="K1451" t="s">
        <v>6993</v>
      </c>
      <c r="L1451">
        <v>140</v>
      </c>
      <c r="M1451" t="s">
        <v>6994</v>
      </c>
    </row>
    <row r="1452" spans="1:13" x14ac:dyDescent="0.45">
      <c r="A1452" t="s">
        <v>3601</v>
      </c>
      <c r="B1452">
        <v>1515079</v>
      </c>
      <c r="C1452">
        <v>1515458</v>
      </c>
      <c r="E1452" t="s">
        <v>42</v>
      </c>
      <c r="F1452" t="s">
        <v>51</v>
      </c>
      <c r="H1452">
        <v>83705251</v>
      </c>
      <c r="I1452" t="s">
        <v>52</v>
      </c>
      <c r="M1452" t="s">
        <v>6995</v>
      </c>
    </row>
    <row r="1453" spans="1:13" x14ac:dyDescent="0.45">
      <c r="A1453" t="s">
        <v>3601</v>
      </c>
      <c r="B1453">
        <v>1515888</v>
      </c>
      <c r="C1453">
        <v>1519439</v>
      </c>
      <c r="E1453" t="s">
        <v>42</v>
      </c>
      <c r="F1453" t="s">
        <v>814</v>
      </c>
      <c r="G1453" t="s">
        <v>815</v>
      </c>
      <c r="H1453">
        <v>83705252</v>
      </c>
      <c r="I1453" t="s">
        <v>17</v>
      </c>
      <c r="K1453" t="s">
        <v>6996</v>
      </c>
      <c r="L1453">
        <v>1183</v>
      </c>
      <c r="M1453" t="s">
        <v>6997</v>
      </c>
    </row>
    <row r="1454" spans="1:13" x14ac:dyDescent="0.45">
      <c r="A1454" t="s">
        <v>3601</v>
      </c>
      <c r="B1454">
        <v>1519440</v>
      </c>
      <c r="C1454">
        <v>1520132</v>
      </c>
      <c r="E1454" t="s">
        <v>42</v>
      </c>
      <c r="F1454" t="s">
        <v>816</v>
      </c>
      <c r="G1454" t="s">
        <v>817</v>
      </c>
      <c r="H1454">
        <v>83705253</v>
      </c>
      <c r="I1454" t="s">
        <v>17</v>
      </c>
      <c r="K1454" t="s">
        <v>6998</v>
      </c>
      <c r="L1454">
        <v>230</v>
      </c>
      <c r="M1454" t="s">
        <v>6999</v>
      </c>
    </row>
    <row r="1455" spans="1:13" x14ac:dyDescent="0.45">
      <c r="A1455" t="s">
        <v>3601</v>
      </c>
      <c r="B1455">
        <v>1520391</v>
      </c>
      <c r="C1455">
        <v>1521905</v>
      </c>
      <c r="E1455" t="s">
        <v>42</v>
      </c>
      <c r="F1455" t="s">
        <v>139</v>
      </c>
      <c r="H1455">
        <v>83705254</v>
      </c>
      <c r="I1455" t="s">
        <v>17</v>
      </c>
      <c r="K1455" t="s">
        <v>7000</v>
      </c>
      <c r="L1455">
        <v>504</v>
      </c>
      <c r="M1455" t="s">
        <v>7001</v>
      </c>
    </row>
    <row r="1456" spans="1:13" x14ac:dyDescent="0.45">
      <c r="A1456" t="s">
        <v>3601</v>
      </c>
      <c r="B1456">
        <v>1522953</v>
      </c>
      <c r="C1456">
        <v>1524884</v>
      </c>
      <c r="E1456" t="s">
        <v>14</v>
      </c>
      <c r="F1456" t="s">
        <v>7002</v>
      </c>
      <c r="H1456">
        <v>83705255</v>
      </c>
      <c r="I1456" t="s">
        <v>17</v>
      </c>
      <c r="K1456" t="s">
        <v>7003</v>
      </c>
      <c r="L1456">
        <v>643</v>
      </c>
      <c r="M1456" t="s">
        <v>7004</v>
      </c>
    </row>
    <row r="1457" spans="1:13" x14ac:dyDescent="0.45">
      <c r="A1457" t="s">
        <v>3601</v>
      </c>
      <c r="B1457">
        <v>1524905</v>
      </c>
      <c r="C1457">
        <v>1526647</v>
      </c>
      <c r="E1457" t="s">
        <v>42</v>
      </c>
      <c r="F1457" t="s">
        <v>7005</v>
      </c>
      <c r="H1457">
        <v>83705256</v>
      </c>
      <c r="I1457" t="s">
        <v>17</v>
      </c>
      <c r="K1457" t="s">
        <v>7006</v>
      </c>
      <c r="L1457">
        <v>580</v>
      </c>
      <c r="M1457" t="s">
        <v>7007</v>
      </c>
    </row>
    <row r="1458" spans="1:13" x14ac:dyDescent="0.45">
      <c r="A1458" t="s">
        <v>3601</v>
      </c>
      <c r="B1458">
        <v>1526838</v>
      </c>
      <c r="C1458">
        <v>1527647</v>
      </c>
      <c r="E1458" t="s">
        <v>42</v>
      </c>
      <c r="F1458" t="s">
        <v>76</v>
      </c>
      <c r="H1458">
        <v>83705257</v>
      </c>
      <c r="I1458" t="s">
        <v>17</v>
      </c>
      <c r="K1458" t="s">
        <v>7008</v>
      </c>
      <c r="L1458">
        <v>269</v>
      </c>
      <c r="M1458" t="s">
        <v>7009</v>
      </c>
    </row>
    <row r="1459" spans="1:13" x14ac:dyDescent="0.45">
      <c r="A1459" t="s">
        <v>3601</v>
      </c>
      <c r="B1459">
        <v>1527651</v>
      </c>
      <c r="C1459">
        <v>1529003</v>
      </c>
      <c r="E1459" t="s">
        <v>42</v>
      </c>
      <c r="F1459" t="s">
        <v>7010</v>
      </c>
      <c r="G1459" t="s">
        <v>7011</v>
      </c>
      <c r="H1459">
        <v>83705258</v>
      </c>
      <c r="I1459" t="s">
        <v>17</v>
      </c>
      <c r="K1459" t="s">
        <v>7012</v>
      </c>
      <c r="L1459">
        <v>450</v>
      </c>
      <c r="M1459" t="s">
        <v>7013</v>
      </c>
    </row>
    <row r="1460" spans="1:13" x14ac:dyDescent="0.45">
      <c r="A1460" t="s">
        <v>3601</v>
      </c>
      <c r="B1460">
        <v>1528996</v>
      </c>
      <c r="C1460">
        <v>1529706</v>
      </c>
      <c r="E1460" t="s">
        <v>42</v>
      </c>
      <c r="F1460" t="s">
        <v>74</v>
      </c>
      <c r="G1460" t="s">
        <v>75</v>
      </c>
      <c r="H1460">
        <v>83705259</v>
      </c>
      <c r="I1460" t="s">
        <v>17</v>
      </c>
      <c r="K1460" t="s">
        <v>7014</v>
      </c>
      <c r="L1460">
        <v>236</v>
      </c>
      <c r="M1460" t="s">
        <v>7015</v>
      </c>
    </row>
    <row r="1461" spans="1:13" x14ac:dyDescent="0.45">
      <c r="A1461" t="s">
        <v>3601</v>
      </c>
      <c r="B1461">
        <v>1529915</v>
      </c>
      <c r="C1461">
        <v>1530931</v>
      </c>
      <c r="E1461" t="s">
        <v>42</v>
      </c>
      <c r="F1461" t="s">
        <v>5210</v>
      </c>
      <c r="H1461">
        <v>83705260</v>
      </c>
      <c r="I1461" t="s">
        <v>17</v>
      </c>
      <c r="K1461" t="s">
        <v>7016</v>
      </c>
      <c r="L1461">
        <v>338</v>
      </c>
      <c r="M1461" t="s">
        <v>7017</v>
      </c>
    </row>
    <row r="1462" spans="1:13" x14ac:dyDescent="0.45">
      <c r="A1462" t="s">
        <v>3601</v>
      </c>
      <c r="B1462">
        <v>1530977</v>
      </c>
      <c r="C1462">
        <v>1532239</v>
      </c>
      <c r="E1462" t="s">
        <v>42</v>
      </c>
      <c r="F1462" t="s">
        <v>7018</v>
      </c>
      <c r="H1462">
        <v>83705261</v>
      </c>
      <c r="I1462" t="s">
        <v>17</v>
      </c>
      <c r="K1462" t="s">
        <v>7019</v>
      </c>
      <c r="L1462">
        <v>420</v>
      </c>
      <c r="M1462" t="s">
        <v>7020</v>
      </c>
    </row>
    <row r="1463" spans="1:13" x14ac:dyDescent="0.45">
      <c r="A1463" t="s">
        <v>3601</v>
      </c>
      <c r="B1463">
        <v>1532229</v>
      </c>
      <c r="C1463">
        <v>1533344</v>
      </c>
      <c r="E1463" t="s">
        <v>42</v>
      </c>
      <c r="F1463" t="s">
        <v>7021</v>
      </c>
      <c r="H1463">
        <v>83705262</v>
      </c>
      <c r="I1463" t="s">
        <v>17</v>
      </c>
      <c r="K1463" t="s">
        <v>7022</v>
      </c>
      <c r="L1463">
        <v>371</v>
      </c>
      <c r="M1463" t="s">
        <v>7023</v>
      </c>
    </row>
    <row r="1464" spans="1:13" x14ac:dyDescent="0.45">
      <c r="A1464" t="s">
        <v>3601</v>
      </c>
      <c r="B1464">
        <v>1533341</v>
      </c>
      <c r="C1464">
        <v>1533880</v>
      </c>
      <c r="E1464" t="s">
        <v>42</v>
      </c>
      <c r="F1464" t="s">
        <v>45</v>
      </c>
      <c r="H1464">
        <v>83705263</v>
      </c>
      <c r="I1464" t="s">
        <v>17</v>
      </c>
      <c r="K1464" t="s">
        <v>7024</v>
      </c>
      <c r="L1464">
        <v>179</v>
      </c>
      <c r="M1464" t="s">
        <v>7025</v>
      </c>
    </row>
    <row r="1465" spans="1:13" x14ac:dyDescent="0.45">
      <c r="A1465" t="s">
        <v>3601</v>
      </c>
      <c r="B1465">
        <v>1534033</v>
      </c>
      <c r="C1465">
        <v>1534161</v>
      </c>
      <c r="E1465" t="s">
        <v>42</v>
      </c>
      <c r="F1465" t="s">
        <v>51</v>
      </c>
      <c r="H1465">
        <v>83705264</v>
      </c>
      <c r="I1465" t="s">
        <v>52</v>
      </c>
      <c r="M1465" t="s">
        <v>7026</v>
      </c>
    </row>
    <row r="1466" spans="1:13" x14ac:dyDescent="0.45">
      <c r="A1466" t="s">
        <v>3601</v>
      </c>
      <c r="B1466">
        <v>1534379</v>
      </c>
      <c r="C1466">
        <v>1535164</v>
      </c>
      <c r="E1466" t="s">
        <v>42</v>
      </c>
      <c r="F1466" t="s">
        <v>113</v>
      </c>
      <c r="H1466">
        <v>83705265</v>
      </c>
      <c r="I1466" t="s">
        <v>17</v>
      </c>
      <c r="K1466" t="s">
        <v>7027</v>
      </c>
      <c r="L1466">
        <v>261</v>
      </c>
      <c r="M1466" t="s">
        <v>7028</v>
      </c>
    </row>
    <row r="1467" spans="1:13" x14ac:dyDescent="0.45">
      <c r="A1467" t="s">
        <v>3601</v>
      </c>
      <c r="B1467">
        <v>1535166</v>
      </c>
      <c r="C1467">
        <v>1535984</v>
      </c>
      <c r="E1467" t="s">
        <v>42</v>
      </c>
      <c r="F1467" t="s">
        <v>113</v>
      </c>
      <c r="H1467">
        <v>83705266</v>
      </c>
      <c r="I1467" t="s">
        <v>17</v>
      </c>
      <c r="K1467" t="s">
        <v>7029</v>
      </c>
      <c r="L1467">
        <v>272</v>
      </c>
      <c r="M1467" t="s">
        <v>7030</v>
      </c>
    </row>
    <row r="1468" spans="1:13" x14ac:dyDescent="0.45">
      <c r="A1468" t="s">
        <v>3601</v>
      </c>
      <c r="B1468">
        <v>1535986</v>
      </c>
      <c r="C1468">
        <v>1536978</v>
      </c>
      <c r="E1468" t="s">
        <v>42</v>
      </c>
      <c r="F1468" t="s">
        <v>72</v>
      </c>
      <c r="H1468">
        <v>83705267</v>
      </c>
      <c r="I1468" t="s">
        <v>17</v>
      </c>
      <c r="K1468" t="s">
        <v>7031</v>
      </c>
      <c r="L1468">
        <v>330</v>
      </c>
      <c r="M1468" t="s">
        <v>7032</v>
      </c>
    </row>
    <row r="1469" spans="1:13" x14ac:dyDescent="0.45">
      <c r="A1469" t="s">
        <v>3601</v>
      </c>
      <c r="B1469">
        <v>1537413</v>
      </c>
      <c r="C1469">
        <v>1538099</v>
      </c>
      <c r="E1469" t="s">
        <v>42</v>
      </c>
      <c r="F1469" t="s">
        <v>45</v>
      </c>
      <c r="H1469">
        <v>83705268</v>
      </c>
      <c r="I1469" t="s">
        <v>17</v>
      </c>
      <c r="K1469" t="s">
        <v>7033</v>
      </c>
      <c r="L1469">
        <v>228</v>
      </c>
      <c r="M1469" t="s">
        <v>7034</v>
      </c>
    </row>
    <row r="1470" spans="1:13" x14ac:dyDescent="0.45">
      <c r="A1470" t="s">
        <v>3601</v>
      </c>
      <c r="B1470">
        <v>1538077</v>
      </c>
      <c r="C1470">
        <v>1538817</v>
      </c>
      <c r="E1470" t="s">
        <v>42</v>
      </c>
      <c r="F1470" t="s">
        <v>7035</v>
      </c>
      <c r="H1470">
        <v>83705269</v>
      </c>
      <c r="I1470" t="s">
        <v>17</v>
      </c>
      <c r="K1470" t="s">
        <v>7036</v>
      </c>
      <c r="L1470">
        <v>246</v>
      </c>
      <c r="M1470" t="s">
        <v>7037</v>
      </c>
    </row>
    <row r="1471" spans="1:13" x14ac:dyDescent="0.45">
      <c r="A1471" t="s">
        <v>3601</v>
      </c>
      <c r="B1471">
        <v>1538819</v>
      </c>
      <c r="C1471">
        <v>1539502</v>
      </c>
      <c r="E1471" t="s">
        <v>42</v>
      </c>
      <c r="F1471" t="s">
        <v>55</v>
      </c>
      <c r="H1471">
        <v>83705270</v>
      </c>
      <c r="I1471" t="s">
        <v>17</v>
      </c>
      <c r="K1471" t="s">
        <v>7038</v>
      </c>
      <c r="L1471">
        <v>227</v>
      </c>
      <c r="M1471" t="s">
        <v>7039</v>
      </c>
    </row>
    <row r="1472" spans="1:13" x14ac:dyDescent="0.45">
      <c r="A1472" t="s">
        <v>3601</v>
      </c>
      <c r="B1472">
        <v>1539985</v>
      </c>
      <c r="C1472">
        <v>1541337</v>
      </c>
      <c r="E1472" t="s">
        <v>42</v>
      </c>
      <c r="F1472" t="s">
        <v>4437</v>
      </c>
      <c r="H1472">
        <v>83705271</v>
      </c>
      <c r="I1472" t="s">
        <v>17</v>
      </c>
      <c r="K1472" t="s">
        <v>7040</v>
      </c>
      <c r="L1472">
        <v>450</v>
      </c>
      <c r="M1472" t="s">
        <v>7041</v>
      </c>
    </row>
    <row r="1473" spans="1:13" x14ac:dyDescent="0.45">
      <c r="A1473" t="s">
        <v>3601</v>
      </c>
      <c r="B1473">
        <v>1541330</v>
      </c>
      <c r="C1473">
        <v>1542013</v>
      </c>
      <c r="E1473" t="s">
        <v>42</v>
      </c>
      <c r="F1473" t="s">
        <v>511</v>
      </c>
      <c r="H1473">
        <v>83705272</v>
      </c>
      <c r="I1473" t="s">
        <v>17</v>
      </c>
      <c r="K1473" t="s">
        <v>7042</v>
      </c>
      <c r="L1473">
        <v>227</v>
      </c>
      <c r="M1473" t="s">
        <v>7043</v>
      </c>
    </row>
    <row r="1474" spans="1:13" x14ac:dyDescent="0.45">
      <c r="A1474" t="s">
        <v>3601</v>
      </c>
      <c r="B1474">
        <v>1542050</v>
      </c>
      <c r="C1474">
        <v>1543417</v>
      </c>
      <c r="E1474" t="s">
        <v>42</v>
      </c>
      <c r="F1474" t="s">
        <v>7044</v>
      </c>
      <c r="H1474">
        <v>83705273</v>
      </c>
      <c r="I1474" t="s">
        <v>17</v>
      </c>
      <c r="K1474" t="s">
        <v>7045</v>
      </c>
      <c r="L1474">
        <v>455</v>
      </c>
      <c r="M1474" t="s">
        <v>7046</v>
      </c>
    </row>
    <row r="1475" spans="1:13" x14ac:dyDescent="0.45">
      <c r="A1475" t="s">
        <v>3601</v>
      </c>
      <c r="B1475">
        <v>1543576</v>
      </c>
      <c r="C1475">
        <v>1543725</v>
      </c>
      <c r="E1475" t="s">
        <v>42</v>
      </c>
      <c r="F1475" t="s">
        <v>45</v>
      </c>
      <c r="H1475">
        <v>83705274</v>
      </c>
      <c r="I1475" t="s">
        <v>17</v>
      </c>
      <c r="K1475" t="s">
        <v>7047</v>
      </c>
      <c r="L1475">
        <v>49</v>
      </c>
      <c r="M1475" t="s">
        <v>7048</v>
      </c>
    </row>
    <row r="1476" spans="1:13" x14ac:dyDescent="0.45">
      <c r="A1476" t="s">
        <v>3601</v>
      </c>
      <c r="B1476">
        <v>1544151</v>
      </c>
      <c r="C1476">
        <v>1544381</v>
      </c>
      <c r="E1476" t="s">
        <v>42</v>
      </c>
      <c r="F1476" t="s">
        <v>45</v>
      </c>
      <c r="H1476">
        <v>83705275</v>
      </c>
      <c r="I1476" t="s">
        <v>17</v>
      </c>
      <c r="K1476" t="s">
        <v>7049</v>
      </c>
      <c r="L1476">
        <v>76</v>
      </c>
      <c r="M1476" t="s">
        <v>7050</v>
      </c>
    </row>
    <row r="1477" spans="1:13" x14ac:dyDescent="0.45">
      <c r="A1477" t="s">
        <v>3601</v>
      </c>
      <c r="B1477">
        <v>1544732</v>
      </c>
      <c r="C1477">
        <v>1546678</v>
      </c>
      <c r="E1477" t="s">
        <v>42</v>
      </c>
      <c r="F1477" t="s">
        <v>925</v>
      </c>
      <c r="G1477" t="s">
        <v>926</v>
      </c>
      <c r="H1477">
        <v>83705276</v>
      </c>
      <c r="I1477" t="s">
        <v>17</v>
      </c>
      <c r="K1477" t="s">
        <v>7051</v>
      </c>
      <c r="L1477">
        <v>648</v>
      </c>
      <c r="M1477" t="s">
        <v>7052</v>
      </c>
    </row>
    <row r="1478" spans="1:13" x14ac:dyDescent="0.45">
      <c r="A1478" t="s">
        <v>3601</v>
      </c>
      <c r="B1478">
        <v>1547269</v>
      </c>
      <c r="C1478">
        <v>1548603</v>
      </c>
      <c r="E1478" t="s">
        <v>42</v>
      </c>
      <c r="F1478" t="s">
        <v>363</v>
      </c>
      <c r="H1478">
        <v>83705277</v>
      </c>
      <c r="I1478" t="s">
        <v>17</v>
      </c>
      <c r="K1478" t="s">
        <v>7053</v>
      </c>
      <c r="L1478">
        <v>444</v>
      </c>
      <c r="M1478" t="s">
        <v>7054</v>
      </c>
    </row>
    <row r="1479" spans="1:13" x14ac:dyDescent="0.45">
      <c r="A1479" t="s">
        <v>3601</v>
      </c>
      <c r="B1479">
        <v>1548605</v>
      </c>
      <c r="C1479">
        <v>1549603</v>
      </c>
      <c r="E1479" t="s">
        <v>42</v>
      </c>
      <c r="F1479" t="s">
        <v>363</v>
      </c>
      <c r="H1479">
        <v>83705278</v>
      </c>
      <c r="I1479" t="s">
        <v>17</v>
      </c>
      <c r="K1479" t="s">
        <v>7055</v>
      </c>
      <c r="L1479">
        <v>332</v>
      </c>
      <c r="M1479" t="s">
        <v>7056</v>
      </c>
    </row>
    <row r="1480" spans="1:13" x14ac:dyDescent="0.45">
      <c r="A1480" t="s">
        <v>3601</v>
      </c>
      <c r="B1480">
        <v>1549900</v>
      </c>
      <c r="C1480">
        <v>1551375</v>
      </c>
      <c r="E1480" t="s">
        <v>42</v>
      </c>
      <c r="F1480" t="s">
        <v>7057</v>
      </c>
      <c r="H1480">
        <v>83705279</v>
      </c>
      <c r="I1480" t="s">
        <v>17</v>
      </c>
      <c r="K1480" t="s">
        <v>7058</v>
      </c>
      <c r="L1480">
        <v>491</v>
      </c>
      <c r="M1480" t="s">
        <v>7059</v>
      </c>
    </row>
    <row r="1481" spans="1:13" x14ac:dyDescent="0.45">
      <c r="A1481" t="s">
        <v>3601</v>
      </c>
      <c r="B1481">
        <v>1551445</v>
      </c>
      <c r="C1481">
        <v>1552446</v>
      </c>
      <c r="E1481" t="s">
        <v>42</v>
      </c>
      <c r="F1481" t="s">
        <v>7060</v>
      </c>
      <c r="G1481" t="s">
        <v>7061</v>
      </c>
      <c r="H1481">
        <v>83705280</v>
      </c>
      <c r="I1481" t="s">
        <v>17</v>
      </c>
      <c r="K1481" t="s">
        <v>7062</v>
      </c>
      <c r="L1481">
        <v>333</v>
      </c>
      <c r="M1481" t="s">
        <v>7063</v>
      </c>
    </row>
    <row r="1482" spans="1:13" x14ac:dyDescent="0.45">
      <c r="A1482" t="s">
        <v>3601</v>
      </c>
      <c r="B1482">
        <v>1552620</v>
      </c>
      <c r="C1482">
        <v>1553705</v>
      </c>
      <c r="E1482" t="s">
        <v>14</v>
      </c>
      <c r="F1482" t="s">
        <v>4526</v>
      </c>
      <c r="H1482">
        <v>83705281</v>
      </c>
      <c r="I1482" t="s">
        <v>17</v>
      </c>
      <c r="K1482" t="s">
        <v>7064</v>
      </c>
      <c r="L1482">
        <v>361</v>
      </c>
      <c r="M1482" t="s">
        <v>7065</v>
      </c>
    </row>
    <row r="1483" spans="1:13" x14ac:dyDescent="0.45">
      <c r="A1483" t="s">
        <v>3601</v>
      </c>
      <c r="B1483">
        <v>1553879</v>
      </c>
      <c r="C1483">
        <v>1555462</v>
      </c>
      <c r="E1483" t="s">
        <v>42</v>
      </c>
      <c r="F1483" t="s">
        <v>55</v>
      </c>
      <c r="H1483">
        <v>83705282</v>
      </c>
      <c r="I1483" t="s">
        <v>17</v>
      </c>
      <c r="K1483" t="s">
        <v>7066</v>
      </c>
      <c r="L1483">
        <v>527</v>
      </c>
      <c r="M1483" t="s">
        <v>7067</v>
      </c>
    </row>
    <row r="1484" spans="1:13" x14ac:dyDescent="0.45">
      <c r="A1484" t="s">
        <v>3601</v>
      </c>
      <c r="B1484">
        <v>1555486</v>
      </c>
      <c r="C1484">
        <v>1555620</v>
      </c>
      <c r="E1484" t="s">
        <v>42</v>
      </c>
      <c r="F1484" t="s">
        <v>45</v>
      </c>
      <c r="H1484">
        <v>83705888</v>
      </c>
      <c r="I1484" t="s">
        <v>17</v>
      </c>
      <c r="K1484" t="s">
        <v>7068</v>
      </c>
      <c r="L1484">
        <v>44</v>
      </c>
      <c r="M1484" t="s">
        <v>7069</v>
      </c>
    </row>
    <row r="1485" spans="1:13" x14ac:dyDescent="0.45">
      <c r="A1485" t="s">
        <v>3601</v>
      </c>
      <c r="B1485">
        <v>1555700</v>
      </c>
      <c r="C1485">
        <v>1556551</v>
      </c>
      <c r="E1485" t="s">
        <v>14</v>
      </c>
      <c r="F1485" t="s">
        <v>139</v>
      </c>
      <c r="H1485">
        <v>83705283</v>
      </c>
      <c r="I1485" t="s">
        <v>17</v>
      </c>
      <c r="K1485" t="s">
        <v>7070</v>
      </c>
      <c r="L1485">
        <v>283</v>
      </c>
      <c r="M1485" t="s">
        <v>7071</v>
      </c>
    </row>
    <row r="1486" spans="1:13" x14ac:dyDescent="0.45">
      <c r="A1486" t="s">
        <v>3601</v>
      </c>
      <c r="B1486">
        <v>1556812</v>
      </c>
      <c r="C1486">
        <v>1557480</v>
      </c>
      <c r="E1486" t="s">
        <v>14</v>
      </c>
      <c r="F1486" t="s">
        <v>1010</v>
      </c>
      <c r="H1486">
        <v>83705284</v>
      </c>
      <c r="I1486" t="s">
        <v>17</v>
      </c>
      <c r="K1486" t="s">
        <v>7072</v>
      </c>
      <c r="L1486">
        <v>222</v>
      </c>
      <c r="M1486" t="s">
        <v>7073</v>
      </c>
    </row>
    <row r="1487" spans="1:13" x14ac:dyDescent="0.45">
      <c r="A1487" t="s">
        <v>3601</v>
      </c>
      <c r="B1487">
        <v>1557595</v>
      </c>
      <c r="C1487">
        <v>1558521</v>
      </c>
      <c r="E1487" t="s">
        <v>14</v>
      </c>
      <c r="F1487" t="s">
        <v>801</v>
      </c>
      <c r="H1487">
        <v>83705285</v>
      </c>
      <c r="I1487" t="s">
        <v>17</v>
      </c>
      <c r="K1487" t="s">
        <v>7074</v>
      </c>
      <c r="L1487">
        <v>308</v>
      </c>
      <c r="M1487" t="s">
        <v>7075</v>
      </c>
    </row>
    <row r="1488" spans="1:13" x14ac:dyDescent="0.45">
      <c r="A1488" t="s">
        <v>3601</v>
      </c>
      <c r="B1488">
        <v>1558808</v>
      </c>
      <c r="C1488">
        <v>1559275</v>
      </c>
      <c r="E1488" t="s">
        <v>42</v>
      </c>
      <c r="F1488" t="s">
        <v>368</v>
      </c>
      <c r="G1488" t="s">
        <v>369</v>
      </c>
      <c r="H1488">
        <v>83705286</v>
      </c>
      <c r="I1488" t="s">
        <v>17</v>
      </c>
      <c r="K1488" t="s">
        <v>7076</v>
      </c>
      <c r="L1488">
        <v>155</v>
      </c>
      <c r="M1488" t="s">
        <v>7077</v>
      </c>
    </row>
    <row r="1489" spans="1:13" x14ac:dyDescent="0.45">
      <c r="A1489" t="s">
        <v>3601</v>
      </c>
      <c r="B1489">
        <v>1559278</v>
      </c>
      <c r="C1489">
        <v>1561602</v>
      </c>
      <c r="E1489" t="s">
        <v>42</v>
      </c>
      <c r="F1489" t="s">
        <v>366</v>
      </c>
      <c r="G1489" t="s">
        <v>367</v>
      </c>
      <c r="H1489">
        <v>83705287</v>
      </c>
      <c r="I1489" t="s">
        <v>17</v>
      </c>
      <c r="K1489" t="s">
        <v>7078</v>
      </c>
      <c r="L1489">
        <v>774</v>
      </c>
      <c r="M1489" t="s">
        <v>7079</v>
      </c>
    </row>
    <row r="1490" spans="1:13" x14ac:dyDescent="0.45">
      <c r="A1490" t="s">
        <v>3601</v>
      </c>
      <c r="B1490">
        <v>1561689</v>
      </c>
      <c r="C1490">
        <v>1561925</v>
      </c>
      <c r="E1490" t="s">
        <v>42</v>
      </c>
      <c r="F1490" t="s">
        <v>364</v>
      </c>
      <c r="G1490" t="s">
        <v>365</v>
      </c>
      <c r="H1490">
        <v>83705288</v>
      </c>
      <c r="I1490" t="s">
        <v>17</v>
      </c>
      <c r="K1490" t="s">
        <v>7080</v>
      </c>
      <c r="L1490">
        <v>78</v>
      </c>
      <c r="M1490" t="s">
        <v>7081</v>
      </c>
    </row>
    <row r="1491" spans="1:13" x14ac:dyDescent="0.45">
      <c r="A1491" t="s">
        <v>3601</v>
      </c>
      <c r="B1491">
        <v>1561971</v>
      </c>
      <c r="C1491">
        <v>1562117</v>
      </c>
      <c r="E1491" t="s">
        <v>42</v>
      </c>
      <c r="F1491" t="s">
        <v>261</v>
      </c>
      <c r="G1491" t="s">
        <v>262</v>
      </c>
      <c r="H1491">
        <v>83705289</v>
      </c>
      <c r="I1491" t="s">
        <v>17</v>
      </c>
      <c r="K1491" t="s">
        <v>7082</v>
      </c>
      <c r="L1491">
        <v>48</v>
      </c>
      <c r="M1491" t="s">
        <v>7083</v>
      </c>
    </row>
    <row r="1492" spans="1:13" x14ac:dyDescent="0.45">
      <c r="A1492" t="s">
        <v>3601</v>
      </c>
      <c r="B1492">
        <v>1562614</v>
      </c>
      <c r="C1492">
        <v>1564437</v>
      </c>
      <c r="E1492" t="s">
        <v>14</v>
      </c>
      <c r="F1492" t="s">
        <v>4440</v>
      </c>
      <c r="H1492">
        <v>83705290</v>
      </c>
      <c r="I1492" t="s">
        <v>17</v>
      </c>
      <c r="K1492" t="s">
        <v>7084</v>
      </c>
      <c r="L1492">
        <v>607</v>
      </c>
      <c r="M1492" t="s">
        <v>7085</v>
      </c>
    </row>
    <row r="1493" spans="1:13" x14ac:dyDescent="0.45">
      <c r="A1493" t="s">
        <v>3601</v>
      </c>
      <c r="B1493">
        <v>1564546</v>
      </c>
      <c r="C1493">
        <v>1566116</v>
      </c>
      <c r="E1493" t="s">
        <v>42</v>
      </c>
      <c r="F1493" t="s">
        <v>425</v>
      </c>
      <c r="H1493">
        <v>83705291</v>
      </c>
      <c r="I1493" t="s">
        <v>17</v>
      </c>
      <c r="K1493" t="s">
        <v>4828</v>
      </c>
      <c r="L1493">
        <v>523</v>
      </c>
      <c r="M1493" t="s">
        <v>7086</v>
      </c>
    </row>
    <row r="1494" spans="1:13" x14ac:dyDescent="0.45">
      <c r="A1494" t="s">
        <v>3601</v>
      </c>
      <c r="B1494">
        <v>1566436</v>
      </c>
      <c r="C1494">
        <v>1567965</v>
      </c>
      <c r="E1494" t="s">
        <v>14</v>
      </c>
      <c r="F1494" t="s">
        <v>4440</v>
      </c>
      <c r="H1494">
        <v>83705292</v>
      </c>
      <c r="I1494" t="s">
        <v>17</v>
      </c>
      <c r="K1494" t="s">
        <v>7087</v>
      </c>
      <c r="L1494">
        <v>509</v>
      </c>
      <c r="M1494" t="s">
        <v>7088</v>
      </c>
    </row>
    <row r="1495" spans="1:13" x14ac:dyDescent="0.45">
      <c r="A1495" t="s">
        <v>3601</v>
      </c>
      <c r="B1495">
        <v>1567965</v>
      </c>
      <c r="C1495">
        <v>1568039</v>
      </c>
      <c r="E1495" t="s">
        <v>14</v>
      </c>
      <c r="F1495" t="s">
        <v>49</v>
      </c>
      <c r="H1495">
        <v>83705870</v>
      </c>
      <c r="I1495" t="s">
        <v>17</v>
      </c>
      <c r="K1495" t="s">
        <v>7089</v>
      </c>
      <c r="L1495">
        <v>24</v>
      </c>
      <c r="M1495" t="s">
        <v>7090</v>
      </c>
    </row>
    <row r="1496" spans="1:13" x14ac:dyDescent="0.45">
      <c r="A1496" t="s">
        <v>3601</v>
      </c>
      <c r="B1496">
        <v>1568220</v>
      </c>
      <c r="C1496">
        <v>1568813</v>
      </c>
      <c r="E1496" t="s">
        <v>42</v>
      </c>
      <c r="F1496" t="s">
        <v>931</v>
      </c>
      <c r="G1496" t="s">
        <v>932</v>
      </c>
      <c r="H1496">
        <v>83705293</v>
      </c>
      <c r="I1496" t="s">
        <v>17</v>
      </c>
      <c r="K1496" t="s">
        <v>7091</v>
      </c>
      <c r="L1496">
        <v>197</v>
      </c>
      <c r="M1496" t="s">
        <v>7092</v>
      </c>
    </row>
    <row r="1497" spans="1:13" x14ac:dyDescent="0.45">
      <c r="A1497" t="s">
        <v>3601</v>
      </c>
      <c r="B1497">
        <v>1568813</v>
      </c>
      <c r="C1497">
        <v>1569631</v>
      </c>
      <c r="E1497" t="s">
        <v>42</v>
      </c>
      <c r="F1497" t="s">
        <v>7093</v>
      </c>
      <c r="G1497" t="s">
        <v>933</v>
      </c>
      <c r="H1497">
        <v>83705294</v>
      </c>
      <c r="I1497" t="s">
        <v>17</v>
      </c>
      <c r="K1497" t="s">
        <v>7094</v>
      </c>
      <c r="L1497">
        <v>272</v>
      </c>
      <c r="M1497" t="s">
        <v>7095</v>
      </c>
    </row>
    <row r="1498" spans="1:13" x14ac:dyDescent="0.45">
      <c r="A1498" t="s">
        <v>3601</v>
      </c>
      <c r="B1498">
        <v>1570106</v>
      </c>
      <c r="C1498">
        <v>1571905</v>
      </c>
      <c r="E1498" t="s">
        <v>42</v>
      </c>
      <c r="F1498" t="s">
        <v>5529</v>
      </c>
      <c r="H1498">
        <v>83705295</v>
      </c>
      <c r="I1498" t="s">
        <v>17</v>
      </c>
      <c r="K1498" t="s">
        <v>7096</v>
      </c>
      <c r="L1498">
        <v>599</v>
      </c>
      <c r="M1498" t="s">
        <v>7097</v>
      </c>
    </row>
    <row r="1499" spans="1:13" x14ac:dyDescent="0.45">
      <c r="A1499" t="s">
        <v>3601</v>
      </c>
      <c r="B1499">
        <v>1572031</v>
      </c>
      <c r="C1499">
        <v>1576671</v>
      </c>
      <c r="E1499" t="s">
        <v>42</v>
      </c>
      <c r="F1499" t="s">
        <v>7098</v>
      </c>
      <c r="H1499">
        <v>83705296</v>
      </c>
      <c r="I1499" t="s">
        <v>17</v>
      </c>
      <c r="K1499" t="s">
        <v>7099</v>
      </c>
      <c r="L1499">
        <v>1546</v>
      </c>
      <c r="M1499" t="s">
        <v>7100</v>
      </c>
    </row>
    <row r="1500" spans="1:13" x14ac:dyDescent="0.45">
      <c r="A1500" t="s">
        <v>3601</v>
      </c>
      <c r="B1500">
        <v>1576844</v>
      </c>
      <c r="C1500">
        <v>1578202</v>
      </c>
      <c r="E1500" t="s">
        <v>42</v>
      </c>
      <c r="F1500" t="s">
        <v>132</v>
      </c>
      <c r="H1500">
        <v>83705297</v>
      </c>
      <c r="I1500" t="s">
        <v>17</v>
      </c>
      <c r="K1500" t="s">
        <v>7101</v>
      </c>
      <c r="L1500">
        <v>452</v>
      </c>
      <c r="M1500" t="s">
        <v>7102</v>
      </c>
    </row>
    <row r="1501" spans="1:13" x14ac:dyDescent="0.45">
      <c r="A1501" t="s">
        <v>3601</v>
      </c>
      <c r="B1501">
        <v>1578267</v>
      </c>
      <c r="C1501">
        <v>1579583</v>
      </c>
      <c r="E1501" t="s">
        <v>42</v>
      </c>
      <c r="F1501" t="s">
        <v>132</v>
      </c>
      <c r="H1501">
        <v>83705298</v>
      </c>
      <c r="I1501" t="s">
        <v>17</v>
      </c>
      <c r="K1501" t="s">
        <v>7103</v>
      </c>
      <c r="L1501">
        <v>438</v>
      </c>
      <c r="M1501" t="s">
        <v>7104</v>
      </c>
    </row>
    <row r="1502" spans="1:13" x14ac:dyDescent="0.45">
      <c r="A1502" t="s">
        <v>3601</v>
      </c>
      <c r="B1502">
        <v>1579576</v>
      </c>
      <c r="C1502">
        <v>1579908</v>
      </c>
      <c r="E1502" t="s">
        <v>42</v>
      </c>
      <c r="F1502" t="s">
        <v>606</v>
      </c>
      <c r="H1502">
        <v>83705299</v>
      </c>
      <c r="I1502" t="s">
        <v>17</v>
      </c>
      <c r="K1502" t="s">
        <v>7105</v>
      </c>
      <c r="L1502">
        <v>110</v>
      </c>
      <c r="M1502" t="s">
        <v>7106</v>
      </c>
    </row>
    <row r="1503" spans="1:13" x14ac:dyDescent="0.45">
      <c r="A1503" t="s">
        <v>3601</v>
      </c>
      <c r="B1503">
        <v>1579918</v>
      </c>
      <c r="C1503">
        <v>1580235</v>
      </c>
      <c r="E1503" t="s">
        <v>42</v>
      </c>
      <c r="F1503" t="s">
        <v>605</v>
      </c>
      <c r="H1503">
        <v>83705300</v>
      </c>
      <c r="I1503" t="s">
        <v>17</v>
      </c>
      <c r="K1503" t="s">
        <v>7107</v>
      </c>
      <c r="L1503">
        <v>105</v>
      </c>
      <c r="M1503" t="s">
        <v>7108</v>
      </c>
    </row>
    <row r="1504" spans="1:13" x14ac:dyDescent="0.45">
      <c r="A1504" t="s">
        <v>3601</v>
      </c>
      <c r="B1504">
        <v>1580259</v>
      </c>
      <c r="C1504">
        <v>1581158</v>
      </c>
      <c r="E1504" t="s">
        <v>42</v>
      </c>
      <c r="F1504" t="s">
        <v>7109</v>
      </c>
      <c r="H1504">
        <v>83705301</v>
      </c>
      <c r="I1504" t="s">
        <v>17</v>
      </c>
      <c r="K1504" t="s">
        <v>7110</v>
      </c>
      <c r="L1504">
        <v>299</v>
      </c>
      <c r="M1504" t="s">
        <v>7111</v>
      </c>
    </row>
    <row r="1505" spans="1:13" x14ac:dyDescent="0.45">
      <c r="A1505" t="s">
        <v>3601</v>
      </c>
      <c r="B1505">
        <v>1581338</v>
      </c>
      <c r="C1505">
        <v>1582540</v>
      </c>
      <c r="E1505" t="s">
        <v>14</v>
      </c>
      <c r="F1505" t="s">
        <v>7112</v>
      </c>
      <c r="H1505">
        <v>83705302</v>
      </c>
      <c r="I1505" t="s">
        <v>17</v>
      </c>
      <c r="K1505" t="s">
        <v>7113</v>
      </c>
      <c r="L1505">
        <v>400</v>
      </c>
      <c r="M1505" t="s">
        <v>7114</v>
      </c>
    </row>
    <row r="1506" spans="1:13" x14ac:dyDescent="0.45">
      <c r="A1506" t="s">
        <v>3601</v>
      </c>
      <c r="B1506">
        <v>1582708</v>
      </c>
      <c r="C1506">
        <v>1583184</v>
      </c>
      <c r="E1506" t="s">
        <v>42</v>
      </c>
      <c r="F1506" t="s">
        <v>571</v>
      </c>
      <c r="H1506">
        <v>83705303</v>
      </c>
      <c r="I1506" t="s">
        <v>17</v>
      </c>
      <c r="K1506" t="s">
        <v>7115</v>
      </c>
      <c r="L1506">
        <v>158</v>
      </c>
      <c r="M1506" t="s">
        <v>7116</v>
      </c>
    </row>
    <row r="1507" spans="1:13" x14ac:dyDescent="0.45">
      <c r="A1507" t="s">
        <v>3601</v>
      </c>
      <c r="B1507">
        <v>1583485</v>
      </c>
      <c r="C1507">
        <v>1584816</v>
      </c>
      <c r="E1507" t="s">
        <v>42</v>
      </c>
      <c r="F1507" t="s">
        <v>7117</v>
      </c>
      <c r="H1507">
        <v>83705304</v>
      </c>
      <c r="I1507" t="s">
        <v>17</v>
      </c>
      <c r="K1507" t="s">
        <v>7118</v>
      </c>
      <c r="L1507">
        <v>443</v>
      </c>
      <c r="M1507" t="s">
        <v>7119</v>
      </c>
    </row>
    <row r="1508" spans="1:13" x14ac:dyDescent="0.45">
      <c r="A1508" t="s">
        <v>3601</v>
      </c>
      <c r="B1508">
        <v>1584907</v>
      </c>
      <c r="C1508">
        <v>1585680</v>
      </c>
      <c r="E1508" t="s">
        <v>42</v>
      </c>
      <c r="F1508" t="s">
        <v>7120</v>
      </c>
      <c r="H1508">
        <v>83705305</v>
      </c>
      <c r="I1508" t="s">
        <v>17</v>
      </c>
      <c r="K1508" t="s">
        <v>7121</v>
      </c>
      <c r="L1508">
        <v>257</v>
      </c>
      <c r="M1508" t="s">
        <v>7122</v>
      </c>
    </row>
    <row r="1509" spans="1:13" x14ac:dyDescent="0.45">
      <c r="A1509" t="s">
        <v>3601</v>
      </c>
      <c r="B1509">
        <v>1585716</v>
      </c>
      <c r="C1509">
        <v>1586360</v>
      </c>
      <c r="E1509" t="s">
        <v>42</v>
      </c>
      <c r="F1509" t="s">
        <v>7123</v>
      </c>
      <c r="H1509">
        <v>83705306</v>
      </c>
      <c r="I1509" t="s">
        <v>17</v>
      </c>
      <c r="K1509" t="s">
        <v>7124</v>
      </c>
      <c r="L1509">
        <v>214</v>
      </c>
      <c r="M1509" t="s">
        <v>7125</v>
      </c>
    </row>
    <row r="1510" spans="1:13" x14ac:dyDescent="0.45">
      <c r="A1510" t="s">
        <v>3601</v>
      </c>
      <c r="B1510">
        <v>1586366</v>
      </c>
      <c r="C1510">
        <v>1587016</v>
      </c>
      <c r="E1510" t="s">
        <v>42</v>
      </c>
      <c r="F1510" t="s">
        <v>7126</v>
      </c>
      <c r="H1510">
        <v>83705307</v>
      </c>
      <c r="I1510" t="s">
        <v>17</v>
      </c>
      <c r="K1510" t="s">
        <v>7127</v>
      </c>
      <c r="L1510">
        <v>216</v>
      </c>
      <c r="M1510" t="s">
        <v>7128</v>
      </c>
    </row>
    <row r="1511" spans="1:13" x14ac:dyDescent="0.45">
      <c r="A1511" t="s">
        <v>3601</v>
      </c>
      <c r="B1511">
        <v>1587031</v>
      </c>
      <c r="C1511">
        <v>1588221</v>
      </c>
      <c r="E1511" t="s">
        <v>42</v>
      </c>
      <c r="F1511" t="s">
        <v>7129</v>
      </c>
      <c r="H1511">
        <v>83705308</v>
      </c>
      <c r="I1511" t="s">
        <v>17</v>
      </c>
      <c r="K1511" t="s">
        <v>7130</v>
      </c>
      <c r="L1511">
        <v>396</v>
      </c>
      <c r="M1511" t="s">
        <v>7131</v>
      </c>
    </row>
    <row r="1512" spans="1:13" x14ac:dyDescent="0.45">
      <c r="A1512" t="s">
        <v>3601</v>
      </c>
      <c r="B1512">
        <v>1588413</v>
      </c>
      <c r="C1512">
        <v>1589315</v>
      </c>
      <c r="E1512" t="s">
        <v>14</v>
      </c>
      <c r="F1512" t="s">
        <v>70</v>
      </c>
      <c r="H1512">
        <v>83705309</v>
      </c>
      <c r="I1512" t="s">
        <v>17</v>
      </c>
      <c r="K1512" t="s">
        <v>7132</v>
      </c>
      <c r="L1512">
        <v>300</v>
      </c>
      <c r="M1512" t="s">
        <v>7133</v>
      </c>
    </row>
    <row r="1513" spans="1:13" x14ac:dyDescent="0.45">
      <c r="A1513" t="s">
        <v>3601</v>
      </c>
      <c r="B1513">
        <v>1590196</v>
      </c>
      <c r="C1513">
        <v>1590582</v>
      </c>
      <c r="E1513" t="s">
        <v>42</v>
      </c>
      <c r="F1513" t="s">
        <v>45</v>
      </c>
      <c r="H1513">
        <v>83705310</v>
      </c>
      <c r="I1513" t="s">
        <v>17</v>
      </c>
      <c r="K1513" t="s">
        <v>7134</v>
      </c>
      <c r="L1513">
        <v>128</v>
      </c>
      <c r="M1513" t="s">
        <v>7135</v>
      </c>
    </row>
    <row r="1514" spans="1:13" x14ac:dyDescent="0.45">
      <c r="A1514" t="s">
        <v>3601</v>
      </c>
      <c r="B1514">
        <v>1591274</v>
      </c>
      <c r="C1514">
        <v>1592170</v>
      </c>
      <c r="E1514" t="s">
        <v>42</v>
      </c>
      <c r="F1514" t="s">
        <v>743</v>
      </c>
      <c r="G1514" t="s">
        <v>744</v>
      </c>
      <c r="H1514">
        <v>83705311</v>
      </c>
      <c r="I1514" t="s">
        <v>17</v>
      </c>
      <c r="K1514" t="s">
        <v>7136</v>
      </c>
      <c r="L1514">
        <v>298</v>
      </c>
      <c r="M1514" t="s">
        <v>7137</v>
      </c>
    </row>
    <row r="1515" spans="1:13" x14ac:dyDescent="0.45">
      <c r="A1515" t="s">
        <v>3601</v>
      </c>
      <c r="B1515">
        <v>1592307</v>
      </c>
      <c r="C1515">
        <v>1592708</v>
      </c>
      <c r="E1515" t="s">
        <v>42</v>
      </c>
      <c r="F1515" t="s">
        <v>7138</v>
      </c>
      <c r="H1515">
        <v>83705312</v>
      </c>
      <c r="I1515" t="s">
        <v>17</v>
      </c>
      <c r="K1515" t="s">
        <v>7139</v>
      </c>
      <c r="L1515">
        <v>133</v>
      </c>
      <c r="M1515" t="s">
        <v>7140</v>
      </c>
    </row>
    <row r="1516" spans="1:13" x14ac:dyDescent="0.45">
      <c r="A1516" t="s">
        <v>3601</v>
      </c>
      <c r="B1516">
        <v>1592689</v>
      </c>
      <c r="C1516">
        <v>1593186</v>
      </c>
      <c r="E1516" t="s">
        <v>42</v>
      </c>
      <c r="F1516" t="s">
        <v>745</v>
      </c>
      <c r="G1516" t="s">
        <v>746</v>
      </c>
      <c r="H1516">
        <v>83705313</v>
      </c>
      <c r="I1516" t="s">
        <v>17</v>
      </c>
      <c r="K1516" t="s">
        <v>7141</v>
      </c>
      <c r="L1516">
        <v>165</v>
      </c>
      <c r="M1516" t="s">
        <v>7142</v>
      </c>
    </row>
    <row r="1517" spans="1:13" x14ac:dyDescent="0.45">
      <c r="A1517" t="s">
        <v>3601</v>
      </c>
      <c r="B1517">
        <v>1593527</v>
      </c>
      <c r="C1517">
        <v>1594153</v>
      </c>
      <c r="E1517" t="s">
        <v>42</v>
      </c>
      <c r="F1517" t="s">
        <v>144</v>
      </c>
      <c r="H1517">
        <v>83705314</v>
      </c>
      <c r="I1517" t="s">
        <v>17</v>
      </c>
      <c r="K1517" t="s">
        <v>7143</v>
      </c>
      <c r="L1517">
        <v>208</v>
      </c>
      <c r="M1517" t="s">
        <v>7144</v>
      </c>
    </row>
    <row r="1518" spans="1:13" x14ac:dyDescent="0.45">
      <c r="A1518" t="s">
        <v>3601</v>
      </c>
      <c r="B1518">
        <v>1594208</v>
      </c>
      <c r="C1518">
        <v>1594783</v>
      </c>
      <c r="E1518" t="s">
        <v>42</v>
      </c>
      <c r="F1518" t="s">
        <v>403</v>
      </c>
      <c r="H1518">
        <v>83705315</v>
      </c>
      <c r="I1518" t="s">
        <v>17</v>
      </c>
      <c r="K1518" t="s">
        <v>7145</v>
      </c>
      <c r="L1518">
        <v>191</v>
      </c>
      <c r="M1518" t="s">
        <v>7146</v>
      </c>
    </row>
    <row r="1519" spans="1:13" x14ac:dyDescent="0.45">
      <c r="A1519" t="s">
        <v>3601</v>
      </c>
      <c r="B1519">
        <v>1594830</v>
      </c>
      <c r="C1519">
        <v>1595930</v>
      </c>
      <c r="E1519" t="s">
        <v>42</v>
      </c>
      <c r="F1519" t="s">
        <v>747</v>
      </c>
      <c r="H1519">
        <v>83705316</v>
      </c>
      <c r="I1519" t="s">
        <v>17</v>
      </c>
      <c r="K1519" t="s">
        <v>7147</v>
      </c>
      <c r="L1519">
        <v>366</v>
      </c>
      <c r="M1519" t="s">
        <v>7148</v>
      </c>
    </row>
    <row r="1520" spans="1:13" x14ac:dyDescent="0.45">
      <c r="A1520" t="s">
        <v>3601</v>
      </c>
      <c r="B1520">
        <v>1596033</v>
      </c>
      <c r="C1520">
        <v>1596248</v>
      </c>
      <c r="E1520" t="s">
        <v>42</v>
      </c>
      <c r="F1520" t="s">
        <v>665</v>
      </c>
      <c r="H1520">
        <v>83705317</v>
      </c>
      <c r="I1520" t="s">
        <v>17</v>
      </c>
      <c r="K1520" t="s">
        <v>7149</v>
      </c>
      <c r="L1520">
        <v>71</v>
      </c>
      <c r="M1520" t="s">
        <v>7150</v>
      </c>
    </row>
    <row r="1521" spans="1:13" x14ac:dyDescent="0.45">
      <c r="A1521" t="s">
        <v>3601</v>
      </c>
      <c r="B1521">
        <v>1596245</v>
      </c>
      <c r="C1521">
        <v>1596754</v>
      </c>
      <c r="E1521" t="s">
        <v>42</v>
      </c>
      <c r="F1521" t="s">
        <v>750</v>
      </c>
      <c r="G1521" t="s">
        <v>751</v>
      </c>
      <c r="H1521">
        <v>83705318</v>
      </c>
      <c r="I1521" t="s">
        <v>17</v>
      </c>
      <c r="K1521" t="s">
        <v>7151</v>
      </c>
      <c r="L1521">
        <v>169</v>
      </c>
      <c r="M1521" t="s">
        <v>7152</v>
      </c>
    </row>
    <row r="1522" spans="1:13" x14ac:dyDescent="0.45">
      <c r="A1522" t="s">
        <v>3601</v>
      </c>
      <c r="B1522">
        <v>1597092</v>
      </c>
      <c r="C1522">
        <v>1597949</v>
      </c>
      <c r="E1522" t="s">
        <v>42</v>
      </c>
      <c r="F1522" t="s">
        <v>7153</v>
      </c>
      <c r="H1522">
        <v>83705319</v>
      </c>
      <c r="I1522" t="s">
        <v>17</v>
      </c>
      <c r="K1522" t="s">
        <v>7154</v>
      </c>
      <c r="L1522">
        <v>285</v>
      </c>
      <c r="M1522" t="s">
        <v>7155</v>
      </c>
    </row>
    <row r="1523" spans="1:13" x14ac:dyDescent="0.45">
      <c r="A1523" t="s">
        <v>3601</v>
      </c>
      <c r="B1523">
        <v>1598082</v>
      </c>
      <c r="C1523">
        <v>1598639</v>
      </c>
      <c r="E1523" t="s">
        <v>42</v>
      </c>
      <c r="F1523" t="s">
        <v>7156</v>
      </c>
      <c r="G1523" t="s">
        <v>791</v>
      </c>
      <c r="H1523">
        <v>83705320</v>
      </c>
      <c r="I1523" t="s">
        <v>17</v>
      </c>
      <c r="K1523" t="s">
        <v>7157</v>
      </c>
      <c r="L1523">
        <v>185</v>
      </c>
      <c r="M1523" t="s">
        <v>7158</v>
      </c>
    </row>
    <row r="1524" spans="1:13" x14ac:dyDescent="0.45">
      <c r="A1524" t="s">
        <v>3601</v>
      </c>
      <c r="B1524">
        <v>1598676</v>
      </c>
      <c r="C1524">
        <v>1599404</v>
      </c>
      <c r="E1524" t="s">
        <v>42</v>
      </c>
      <c r="F1524" t="s">
        <v>792</v>
      </c>
      <c r="G1524" t="s">
        <v>793</v>
      </c>
      <c r="H1524">
        <v>83705321</v>
      </c>
      <c r="I1524" t="s">
        <v>17</v>
      </c>
      <c r="K1524" t="s">
        <v>7159</v>
      </c>
      <c r="L1524">
        <v>242</v>
      </c>
      <c r="M1524" t="s">
        <v>7160</v>
      </c>
    </row>
    <row r="1525" spans="1:13" x14ac:dyDescent="0.45">
      <c r="A1525" t="s">
        <v>3601</v>
      </c>
      <c r="B1525">
        <v>1600094</v>
      </c>
      <c r="C1525">
        <v>1600774</v>
      </c>
      <c r="E1525" t="s">
        <v>42</v>
      </c>
      <c r="F1525" t="s">
        <v>72</v>
      </c>
      <c r="H1525">
        <v>83705322</v>
      </c>
      <c r="I1525" t="s">
        <v>17</v>
      </c>
      <c r="K1525" t="s">
        <v>7161</v>
      </c>
      <c r="L1525">
        <v>226</v>
      </c>
      <c r="M1525" t="s">
        <v>7162</v>
      </c>
    </row>
    <row r="1526" spans="1:13" x14ac:dyDescent="0.45">
      <c r="A1526" t="s">
        <v>3601</v>
      </c>
      <c r="B1526">
        <v>1600761</v>
      </c>
      <c r="C1526">
        <v>1601549</v>
      </c>
      <c r="E1526" t="s">
        <v>42</v>
      </c>
      <c r="F1526" t="s">
        <v>55</v>
      </c>
      <c r="H1526">
        <v>83705323</v>
      </c>
      <c r="I1526" t="s">
        <v>17</v>
      </c>
      <c r="K1526" t="s">
        <v>7163</v>
      </c>
      <c r="L1526">
        <v>262</v>
      </c>
      <c r="M1526" t="s">
        <v>7164</v>
      </c>
    </row>
    <row r="1527" spans="1:13" x14ac:dyDescent="0.45">
      <c r="A1527" t="s">
        <v>3601</v>
      </c>
      <c r="B1527">
        <v>1601537</v>
      </c>
      <c r="C1527">
        <v>1602343</v>
      </c>
      <c r="E1527" t="s">
        <v>42</v>
      </c>
      <c r="F1527" t="s">
        <v>113</v>
      </c>
      <c r="H1527">
        <v>83705324</v>
      </c>
      <c r="I1527" t="s">
        <v>17</v>
      </c>
      <c r="K1527" t="s">
        <v>7165</v>
      </c>
      <c r="L1527">
        <v>268</v>
      </c>
      <c r="M1527" t="s">
        <v>7166</v>
      </c>
    </row>
    <row r="1528" spans="1:13" x14ac:dyDescent="0.45">
      <c r="A1528" t="s">
        <v>3601</v>
      </c>
      <c r="B1528">
        <v>1602328</v>
      </c>
      <c r="C1528">
        <v>1603269</v>
      </c>
      <c r="E1528" t="s">
        <v>42</v>
      </c>
      <c r="F1528" t="s">
        <v>113</v>
      </c>
      <c r="H1528">
        <v>83705325</v>
      </c>
      <c r="I1528" t="s">
        <v>17</v>
      </c>
      <c r="K1528" t="s">
        <v>7167</v>
      </c>
      <c r="L1528">
        <v>313</v>
      </c>
      <c r="M1528" t="s">
        <v>7168</v>
      </c>
    </row>
    <row r="1529" spans="1:13" x14ac:dyDescent="0.45">
      <c r="A1529" t="s">
        <v>3601</v>
      </c>
      <c r="B1529">
        <v>1603347</v>
      </c>
      <c r="C1529">
        <v>1604969</v>
      </c>
      <c r="E1529" t="s">
        <v>42</v>
      </c>
      <c r="F1529" t="s">
        <v>7169</v>
      </c>
      <c r="G1529" t="s">
        <v>7170</v>
      </c>
      <c r="H1529">
        <v>83705326</v>
      </c>
      <c r="I1529" t="s">
        <v>17</v>
      </c>
      <c r="K1529" t="s">
        <v>7171</v>
      </c>
      <c r="L1529">
        <v>540</v>
      </c>
      <c r="M1529" t="s">
        <v>7172</v>
      </c>
    </row>
    <row r="1530" spans="1:13" x14ac:dyDescent="0.45">
      <c r="A1530" t="s">
        <v>3601</v>
      </c>
      <c r="B1530">
        <v>1605492</v>
      </c>
      <c r="C1530">
        <v>1607417</v>
      </c>
      <c r="E1530" t="s">
        <v>14</v>
      </c>
      <c r="F1530" t="s">
        <v>4440</v>
      </c>
      <c r="H1530">
        <v>83705327</v>
      </c>
      <c r="I1530" t="s">
        <v>17</v>
      </c>
      <c r="K1530" t="s">
        <v>7173</v>
      </c>
      <c r="L1530">
        <v>641</v>
      </c>
      <c r="M1530" t="s">
        <v>7174</v>
      </c>
    </row>
    <row r="1531" spans="1:13" x14ac:dyDescent="0.45">
      <c r="A1531" t="s">
        <v>3601</v>
      </c>
      <c r="B1531">
        <v>1607945</v>
      </c>
      <c r="C1531">
        <v>1608634</v>
      </c>
      <c r="E1531" t="s">
        <v>42</v>
      </c>
      <c r="F1531" t="s">
        <v>269</v>
      </c>
      <c r="G1531" t="s">
        <v>270</v>
      </c>
      <c r="H1531">
        <v>83705328</v>
      </c>
      <c r="I1531" t="s">
        <v>17</v>
      </c>
      <c r="K1531" t="s">
        <v>7175</v>
      </c>
      <c r="L1531">
        <v>229</v>
      </c>
      <c r="M1531" t="s">
        <v>7176</v>
      </c>
    </row>
    <row r="1532" spans="1:13" x14ac:dyDescent="0.45">
      <c r="A1532" t="s">
        <v>3601</v>
      </c>
      <c r="B1532">
        <v>1608740</v>
      </c>
      <c r="C1532">
        <v>1609165</v>
      </c>
      <c r="E1532" t="s">
        <v>42</v>
      </c>
      <c r="F1532" t="s">
        <v>267</v>
      </c>
      <c r="G1532" t="s">
        <v>268</v>
      </c>
      <c r="H1532">
        <v>83705329</v>
      </c>
      <c r="I1532" t="s">
        <v>17</v>
      </c>
      <c r="K1532" t="s">
        <v>7177</v>
      </c>
      <c r="L1532">
        <v>141</v>
      </c>
      <c r="M1532" t="s">
        <v>7178</v>
      </c>
    </row>
    <row r="1533" spans="1:13" x14ac:dyDescent="0.45">
      <c r="A1533" t="s">
        <v>3601</v>
      </c>
      <c r="B1533">
        <v>1609401</v>
      </c>
      <c r="C1533">
        <v>1610198</v>
      </c>
      <c r="E1533" t="s">
        <v>14</v>
      </c>
      <c r="F1533" t="s">
        <v>312</v>
      </c>
      <c r="H1533">
        <v>83705330</v>
      </c>
      <c r="I1533" t="s">
        <v>17</v>
      </c>
      <c r="K1533" t="s">
        <v>7179</v>
      </c>
      <c r="L1533">
        <v>265</v>
      </c>
      <c r="M1533" t="s">
        <v>7180</v>
      </c>
    </row>
    <row r="1534" spans="1:13" x14ac:dyDescent="0.45">
      <c r="A1534" t="s">
        <v>3601</v>
      </c>
      <c r="B1534">
        <v>1610363</v>
      </c>
      <c r="C1534">
        <v>1610713</v>
      </c>
      <c r="E1534" t="s">
        <v>14</v>
      </c>
      <c r="F1534" t="s">
        <v>554</v>
      </c>
      <c r="H1534">
        <v>83705331</v>
      </c>
      <c r="I1534" t="s">
        <v>17</v>
      </c>
      <c r="K1534" t="s">
        <v>7181</v>
      </c>
      <c r="L1534">
        <v>116</v>
      </c>
      <c r="M1534" t="s">
        <v>7182</v>
      </c>
    </row>
    <row r="1535" spans="1:13" x14ac:dyDescent="0.45">
      <c r="A1535" t="s">
        <v>3601</v>
      </c>
      <c r="B1535">
        <v>1610914</v>
      </c>
      <c r="C1535">
        <v>1612362</v>
      </c>
      <c r="E1535" t="s">
        <v>42</v>
      </c>
      <c r="F1535" t="s">
        <v>51</v>
      </c>
      <c r="H1535">
        <v>301046577</v>
      </c>
      <c r="I1535" t="s">
        <v>52</v>
      </c>
      <c r="M1535" t="s">
        <v>7183</v>
      </c>
    </row>
    <row r="1536" spans="1:13" x14ac:dyDescent="0.45">
      <c r="A1536" t="s">
        <v>3601</v>
      </c>
      <c r="B1536">
        <v>1612467</v>
      </c>
      <c r="C1536">
        <v>1613313</v>
      </c>
      <c r="E1536" t="s">
        <v>42</v>
      </c>
      <c r="F1536" t="s">
        <v>51</v>
      </c>
      <c r="H1536">
        <v>301046578</v>
      </c>
      <c r="I1536" t="s">
        <v>52</v>
      </c>
      <c r="M1536" t="s">
        <v>7184</v>
      </c>
    </row>
    <row r="1537" spans="1:13" x14ac:dyDescent="0.45">
      <c r="A1537" t="s">
        <v>3601</v>
      </c>
      <c r="B1537">
        <v>1613433</v>
      </c>
      <c r="C1537">
        <v>1613606</v>
      </c>
      <c r="E1537" t="s">
        <v>14</v>
      </c>
      <c r="F1537" t="s">
        <v>45</v>
      </c>
      <c r="H1537">
        <v>83705333</v>
      </c>
      <c r="I1537" t="s">
        <v>17</v>
      </c>
      <c r="K1537" t="s">
        <v>7185</v>
      </c>
      <c r="L1537">
        <v>57</v>
      </c>
      <c r="M1537" t="s">
        <v>7186</v>
      </c>
    </row>
    <row r="1538" spans="1:13" x14ac:dyDescent="0.45">
      <c r="A1538" t="s">
        <v>3601</v>
      </c>
      <c r="B1538">
        <v>1613692</v>
      </c>
      <c r="C1538">
        <v>1614498</v>
      </c>
      <c r="E1538" t="s">
        <v>14</v>
      </c>
      <c r="F1538" t="s">
        <v>697</v>
      </c>
      <c r="H1538">
        <v>83705334</v>
      </c>
      <c r="I1538" t="s">
        <v>17</v>
      </c>
      <c r="K1538" t="s">
        <v>7187</v>
      </c>
      <c r="L1538">
        <v>268</v>
      </c>
      <c r="M1538" t="s">
        <v>7188</v>
      </c>
    </row>
    <row r="1539" spans="1:13" x14ac:dyDescent="0.45">
      <c r="A1539" t="s">
        <v>3601</v>
      </c>
      <c r="B1539">
        <v>1614654</v>
      </c>
      <c r="C1539">
        <v>1615487</v>
      </c>
      <c r="E1539" t="s">
        <v>42</v>
      </c>
      <c r="F1539" t="s">
        <v>996</v>
      </c>
      <c r="H1539">
        <v>83705335</v>
      </c>
      <c r="I1539" t="s">
        <v>17</v>
      </c>
      <c r="K1539" t="s">
        <v>7189</v>
      </c>
      <c r="L1539">
        <v>277</v>
      </c>
      <c r="M1539" t="s">
        <v>7190</v>
      </c>
    </row>
    <row r="1540" spans="1:13" x14ac:dyDescent="0.45">
      <c r="A1540" t="s">
        <v>3601</v>
      </c>
      <c r="B1540">
        <v>1615488</v>
      </c>
      <c r="C1540">
        <v>1616213</v>
      </c>
      <c r="E1540" t="s">
        <v>42</v>
      </c>
      <c r="F1540" t="s">
        <v>3866</v>
      </c>
      <c r="H1540">
        <v>83705336</v>
      </c>
      <c r="I1540" t="s">
        <v>17</v>
      </c>
      <c r="K1540" t="s">
        <v>7191</v>
      </c>
      <c r="L1540">
        <v>241</v>
      </c>
      <c r="M1540" t="s">
        <v>7192</v>
      </c>
    </row>
    <row r="1541" spans="1:13" x14ac:dyDescent="0.45">
      <c r="A1541" t="s">
        <v>3601</v>
      </c>
      <c r="B1541">
        <v>1616273</v>
      </c>
      <c r="C1541">
        <v>1617205</v>
      </c>
      <c r="E1541" t="s">
        <v>42</v>
      </c>
      <c r="F1541" t="s">
        <v>7193</v>
      </c>
      <c r="H1541">
        <v>83705337</v>
      </c>
      <c r="I1541" t="s">
        <v>17</v>
      </c>
      <c r="K1541" t="s">
        <v>7194</v>
      </c>
      <c r="L1541">
        <v>310</v>
      </c>
      <c r="M1541" t="s">
        <v>7195</v>
      </c>
    </row>
    <row r="1542" spans="1:13" x14ac:dyDescent="0.45">
      <c r="A1542" t="s">
        <v>3601</v>
      </c>
      <c r="B1542">
        <v>1617351</v>
      </c>
      <c r="C1542">
        <v>1617998</v>
      </c>
      <c r="E1542" t="s">
        <v>14</v>
      </c>
      <c r="F1542" t="s">
        <v>7196</v>
      </c>
      <c r="H1542">
        <v>83705338</v>
      </c>
      <c r="I1542" t="s">
        <v>17</v>
      </c>
      <c r="K1542" t="s">
        <v>7197</v>
      </c>
      <c r="L1542">
        <v>215</v>
      </c>
      <c r="M1542" t="s">
        <v>7198</v>
      </c>
    </row>
    <row r="1543" spans="1:13" x14ac:dyDescent="0.45">
      <c r="A1543" t="s">
        <v>3601</v>
      </c>
      <c r="B1543">
        <v>1618048</v>
      </c>
      <c r="C1543">
        <v>1618749</v>
      </c>
      <c r="E1543" t="s">
        <v>42</v>
      </c>
      <c r="F1543" t="s">
        <v>572</v>
      </c>
      <c r="H1543">
        <v>83705339</v>
      </c>
      <c r="I1543" t="s">
        <v>17</v>
      </c>
      <c r="K1543" t="s">
        <v>7199</v>
      </c>
      <c r="L1543">
        <v>233</v>
      </c>
      <c r="M1543" t="s">
        <v>7200</v>
      </c>
    </row>
    <row r="1544" spans="1:13" x14ac:dyDescent="0.45">
      <c r="A1544" t="s">
        <v>3601</v>
      </c>
      <c r="B1544">
        <v>1618771</v>
      </c>
      <c r="C1544">
        <v>1619019</v>
      </c>
      <c r="E1544" t="s">
        <v>42</v>
      </c>
      <c r="F1544" t="s">
        <v>7201</v>
      </c>
      <c r="G1544" t="s">
        <v>7202</v>
      </c>
      <c r="H1544">
        <v>83705340</v>
      </c>
      <c r="I1544" t="s">
        <v>17</v>
      </c>
      <c r="K1544" t="s">
        <v>7203</v>
      </c>
      <c r="L1544">
        <v>82</v>
      </c>
      <c r="M1544" t="s">
        <v>7204</v>
      </c>
    </row>
    <row r="1545" spans="1:13" x14ac:dyDescent="0.45">
      <c r="A1545" t="s">
        <v>3601</v>
      </c>
      <c r="B1545">
        <v>1619019</v>
      </c>
      <c r="C1545">
        <v>1619573</v>
      </c>
      <c r="E1545" t="s">
        <v>42</v>
      </c>
      <c r="F1545" t="s">
        <v>7205</v>
      </c>
      <c r="H1545">
        <v>83705341</v>
      </c>
      <c r="I1545" t="s">
        <v>17</v>
      </c>
      <c r="K1545" t="s">
        <v>7206</v>
      </c>
      <c r="L1545">
        <v>184</v>
      </c>
      <c r="M1545" t="s">
        <v>7207</v>
      </c>
    </row>
    <row r="1546" spans="1:13" x14ac:dyDescent="0.45">
      <c r="A1546" t="s">
        <v>3601</v>
      </c>
      <c r="B1546">
        <v>1619604</v>
      </c>
      <c r="C1546">
        <v>1620986</v>
      </c>
      <c r="E1546" t="s">
        <v>42</v>
      </c>
      <c r="F1546" t="s">
        <v>129</v>
      </c>
      <c r="G1546" t="s">
        <v>130</v>
      </c>
      <c r="H1546">
        <v>83705342</v>
      </c>
      <c r="I1546" t="s">
        <v>17</v>
      </c>
      <c r="K1546" t="s">
        <v>7208</v>
      </c>
      <c r="L1546">
        <v>460</v>
      </c>
      <c r="M1546" t="s">
        <v>7209</v>
      </c>
    </row>
    <row r="1547" spans="1:13" x14ac:dyDescent="0.45">
      <c r="A1547" t="s">
        <v>3601</v>
      </c>
      <c r="B1547">
        <v>1621344</v>
      </c>
      <c r="C1547">
        <v>1622318</v>
      </c>
      <c r="E1547" t="s">
        <v>42</v>
      </c>
      <c r="F1547" t="s">
        <v>7210</v>
      </c>
      <c r="H1547">
        <v>83705343</v>
      </c>
      <c r="I1547" t="s">
        <v>17</v>
      </c>
      <c r="K1547" t="s">
        <v>7211</v>
      </c>
      <c r="L1547">
        <v>324</v>
      </c>
      <c r="M1547" t="s">
        <v>7212</v>
      </c>
    </row>
    <row r="1548" spans="1:13" x14ac:dyDescent="0.45">
      <c r="A1548" t="s">
        <v>3601</v>
      </c>
      <c r="B1548">
        <v>1622319</v>
      </c>
      <c r="C1548">
        <v>1622777</v>
      </c>
      <c r="E1548" t="s">
        <v>42</v>
      </c>
      <c r="F1548" t="s">
        <v>844</v>
      </c>
      <c r="H1548">
        <v>83705344</v>
      </c>
      <c r="I1548" t="s">
        <v>17</v>
      </c>
      <c r="K1548" t="s">
        <v>7213</v>
      </c>
      <c r="L1548">
        <v>152</v>
      </c>
      <c r="M1548" t="s">
        <v>7214</v>
      </c>
    </row>
    <row r="1549" spans="1:13" x14ac:dyDescent="0.45">
      <c r="A1549" t="s">
        <v>3601</v>
      </c>
      <c r="B1549">
        <v>1622977</v>
      </c>
      <c r="C1549">
        <v>1623675</v>
      </c>
      <c r="E1549" t="s">
        <v>42</v>
      </c>
      <c r="F1549" t="s">
        <v>7215</v>
      </c>
      <c r="H1549">
        <v>83705345</v>
      </c>
      <c r="I1549" t="s">
        <v>17</v>
      </c>
      <c r="K1549" t="s">
        <v>7216</v>
      </c>
      <c r="L1549">
        <v>232</v>
      </c>
      <c r="M1549" t="s">
        <v>7217</v>
      </c>
    </row>
    <row r="1550" spans="1:13" x14ac:dyDescent="0.45">
      <c r="A1550" t="s">
        <v>3601</v>
      </c>
      <c r="B1550">
        <v>1623668</v>
      </c>
      <c r="C1550">
        <v>1623904</v>
      </c>
      <c r="E1550" t="s">
        <v>42</v>
      </c>
      <c r="F1550" t="s">
        <v>7218</v>
      </c>
      <c r="H1550">
        <v>83705346</v>
      </c>
      <c r="I1550" t="s">
        <v>17</v>
      </c>
      <c r="K1550" t="s">
        <v>7219</v>
      </c>
      <c r="L1550">
        <v>78</v>
      </c>
      <c r="M1550" t="s">
        <v>7220</v>
      </c>
    </row>
    <row r="1551" spans="1:13" x14ac:dyDescent="0.45">
      <c r="A1551" t="s">
        <v>3601</v>
      </c>
      <c r="B1551">
        <v>1624210</v>
      </c>
      <c r="C1551">
        <v>1625037</v>
      </c>
      <c r="E1551" t="s">
        <v>14</v>
      </c>
      <c r="F1551" t="s">
        <v>45</v>
      </c>
      <c r="H1551">
        <v>83705347</v>
      </c>
      <c r="I1551" t="s">
        <v>17</v>
      </c>
      <c r="K1551" t="s">
        <v>7221</v>
      </c>
      <c r="L1551">
        <v>275</v>
      </c>
      <c r="M1551" t="s">
        <v>7222</v>
      </c>
    </row>
    <row r="1552" spans="1:13" x14ac:dyDescent="0.45">
      <c r="A1552" t="s">
        <v>3601</v>
      </c>
      <c r="B1552">
        <v>1625251</v>
      </c>
      <c r="C1552">
        <v>1625856</v>
      </c>
      <c r="E1552" t="s">
        <v>42</v>
      </c>
      <c r="F1552" t="s">
        <v>7223</v>
      </c>
      <c r="H1552">
        <v>83705348</v>
      </c>
      <c r="I1552" t="s">
        <v>17</v>
      </c>
      <c r="K1552" t="s">
        <v>7224</v>
      </c>
      <c r="L1552">
        <v>201</v>
      </c>
      <c r="M1552" t="s">
        <v>7225</v>
      </c>
    </row>
    <row r="1553" spans="1:13" x14ac:dyDescent="0.45">
      <c r="A1553" t="s">
        <v>3601</v>
      </c>
      <c r="B1553">
        <v>1625949</v>
      </c>
      <c r="C1553">
        <v>1628600</v>
      </c>
      <c r="E1553" t="s">
        <v>42</v>
      </c>
      <c r="F1553" t="s">
        <v>547</v>
      </c>
      <c r="H1553">
        <v>83705349</v>
      </c>
      <c r="I1553" t="s">
        <v>17</v>
      </c>
      <c r="K1553" t="s">
        <v>7226</v>
      </c>
      <c r="L1553">
        <v>883</v>
      </c>
      <c r="M1553" t="s">
        <v>7227</v>
      </c>
    </row>
    <row r="1554" spans="1:13" x14ac:dyDescent="0.45">
      <c r="A1554" t="s">
        <v>3601</v>
      </c>
      <c r="B1554">
        <v>1628613</v>
      </c>
      <c r="C1554">
        <v>1629176</v>
      </c>
      <c r="E1554" t="s">
        <v>42</v>
      </c>
      <c r="F1554" t="s">
        <v>45</v>
      </c>
      <c r="H1554">
        <v>83705350</v>
      </c>
      <c r="I1554" t="s">
        <v>17</v>
      </c>
      <c r="K1554" t="s">
        <v>7228</v>
      </c>
      <c r="L1554">
        <v>187</v>
      </c>
      <c r="M1554" t="s">
        <v>7229</v>
      </c>
    </row>
    <row r="1555" spans="1:13" x14ac:dyDescent="0.45">
      <c r="A1555" t="s">
        <v>3601</v>
      </c>
      <c r="B1555">
        <v>1629376</v>
      </c>
      <c r="C1555">
        <v>1629960</v>
      </c>
      <c r="E1555" t="s">
        <v>42</v>
      </c>
      <c r="F1555" t="s">
        <v>144</v>
      </c>
      <c r="H1555">
        <v>83705351</v>
      </c>
      <c r="I1555" t="s">
        <v>17</v>
      </c>
      <c r="K1555" t="s">
        <v>7230</v>
      </c>
      <c r="L1555">
        <v>194</v>
      </c>
      <c r="M1555" t="s">
        <v>7231</v>
      </c>
    </row>
    <row r="1556" spans="1:13" x14ac:dyDescent="0.45">
      <c r="A1556" t="s">
        <v>3601</v>
      </c>
      <c r="B1556">
        <v>1629957</v>
      </c>
      <c r="C1556">
        <v>1630181</v>
      </c>
      <c r="E1556" t="s">
        <v>42</v>
      </c>
      <c r="F1556" t="s">
        <v>45</v>
      </c>
      <c r="H1556">
        <v>83705352</v>
      </c>
      <c r="I1556" t="s">
        <v>17</v>
      </c>
      <c r="K1556" t="s">
        <v>7232</v>
      </c>
      <c r="L1556">
        <v>74</v>
      </c>
      <c r="M1556" t="s">
        <v>7233</v>
      </c>
    </row>
    <row r="1557" spans="1:13" x14ac:dyDescent="0.45">
      <c r="A1557" t="s">
        <v>3601</v>
      </c>
      <c r="B1557">
        <v>1630220</v>
      </c>
      <c r="C1557">
        <v>1630720</v>
      </c>
      <c r="E1557" t="s">
        <v>42</v>
      </c>
      <c r="F1557" t="s">
        <v>45</v>
      </c>
      <c r="H1557">
        <v>83705353</v>
      </c>
      <c r="I1557" t="s">
        <v>17</v>
      </c>
      <c r="K1557" t="s">
        <v>7234</v>
      </c>
      <c r="L1557">
        <v>166</v>
      </c>
      <c r="M1557" t="s">
        <v>7235</v>
      </c>
    </row>
    <row r="1558" spans="1:13" x14ac:dyDescent="0.45">
      <c r="A1558" t="s">
        <v>3601</v>
      </c>
      <c r="B1558">
        <v>1630742</v>
      </c>
      <c r="C1558">
        <v>1630996</v>
      </c>
      <c r="E1558" t="s">
        <v>42</v>
      </c>
      <c r="F1558" t="s">
        <v>7236</v>
      </c>
      <c r="H1558">
        <v>83705354</v>
      </c>
      <c r="I1558" t="s">
        <v>17</v>
      </c>
      <c r="K1558" t="s">
        <v>7237</v>
      </c>
      <c r="L1558">
        <v>84</v>
      </c>
      <c r="M1558" t="s">
        <v>7238</v>
      </c>
    </row>
    <row r="1559" spans="1:13" x14ac:dyDescent="0.45">
      <c r="A1559" t="s">
        <v>3601</v>
      </c>
      <c r="B1559">
        <v>1631364</v>
      </c>
      <c r="C1559">
        <v>1631434</v>
      </c>
      <c r="E1559" t="s">
        <v>42</v>
      </c>
      <c r="F1559" t="s">
        <v>43</v>
      </c>
      <c r="H1559">
        <v>83705355</v>
      </c>
      <c r="I1559" t="s">
        <v>44</v>
      </c>
      <c r="M1559" t="s">
        <v>7239</v>
      </c>
    </row>
    <row r="1560" spans="1:13" x14ac:dyDescent="0.45">
      <c r="A1560" t="s">
        <v>3601</v>
      </c>
      <c r="B1560">
        <v>1631708</v>
      </c>
      <c r="C1560">
        <v>1631878</v>
      </c>
      <c r="E1560" t="s">
        <v>42</v>
      </c>
      <c r="F1560" t="s">
        <v>45</v>
      </c>
      <c r="H1560">
        <v>83705356</v>
      </c>
      <c r="I1560" t="s">
        <v>17</v>
      </c>
      <c r="K1560" t="s">
        <v>7240</v>
      </c>
      <c r="L1560">
        <v>56</v>
      </c>
      <c r="M1560" t="s">
        <v>7241</v>
      </c>
    </row>
    <row r="1561" spans="1:13" x14ac:dyDescent="0.45">
      <c r="A1561" t="s">
        <v>3601</v>
      </c>
      <c r="B1561">
        <v>1632310</v>
      </c>
      <c r="C1561">
        <v>1633065</v>
      </c>
      <c r="E1561" t="s">
        <v>14</v>
      </c>
      <c r="F1561" t="s">
        <v>7242</v>
      </c>
      <c r="H1561">
        <v>83705357</v>
      </c>
      <c r="I1561" t="s">
        <v>17</v>
      </c>
      <c r="K1561" t="s">
        <v>7243</v>
      </c>
      <c r="L1561">
        <v>251</v>
      </c>
      <c r="M1561" t="s">
        <v>7244</v>
      </c>
    </row>
    <row r="1562" spans="1:13" x14ac:dyDescent="0.45">
      <c r="A1562" t="s">
        <v>3601</v>
      </c>
      <c r="B1562">
        <v>1633124</v>
      </c>
      <c r="C1562">
        <v>1634206</v>
      </c>
      <c r="E1562" t="s">
        <v>14</v>
      </c>
      <c r="F1562" t="s">
        <v>7245</v>
      </c>
      <c r="G1562" t="s">
        <v>7246</v>
      </c>
      <c r="H1562">
        <v>83705358</v>
      </c>
      <c r="I1562" t="s">
        <v>17</v>
      </c>
      <c r="K1562" t="s">
        <v>7247</v>
      </c>
      <c r="L1562">
        <v>360</v>
      </c>
      <c r="M1562" t="s">
        <v>7248</v>
      </c>
    </row>
    <row r="1563" spans="1:13" x14ac:dyDescent="0.45">
      <c r="A1563" t="s">
        <v>3601</v>
      </c>
      <c r="B1563">
        <v>1634537</v>
      </c>
      <c r="C1563">
        <v>1635310</v>
      </c>
      <c r="E1563" t="s">
        <v>42</v>
      </c>
      <c r="F1563" t="s">
        <v>684</v>
      </c>
      <c r="H1563">
        <v>83705359</v>
      </c>
      <c r="I1563" t="s">
        <v>17</v>
      </c>
      <c r="K1563" t="s">
        <v>7249</v>
      </c>
      <c r="L1563">
        <v>257</v>
      </c>
      <c r="M1563" t="s">
        <v>7250</v>
      </c>
    </row>
    <row r="1564" spans="1:13" x14ac:dyDescent="0.45">
      <c r="A1564" t="s">
        <v>3601</v>
      </c>
      <c r="B1564">
        <v>1635436</v>
      </c>
      <c r="C1564">
        <v>1636320</v>
      </c>
      <c r="E1564" t="s">
        <v>42</v>
      </c>
      <c r="F1564" t="s">
        <v>7251</v>
      </c>
      <c r="H1564">
        <v>83705360</v>
      </c>
      <c r="I1564" t="s">
        <v>17</v>
      </c>
      <c r="K1564" t="s">
        <v>7252</v>
      </c>
      <c r="L1564">
        <v>294</v>
      </c>
      <c r="M1564" t="s">
        <v>7253</v>
      </c>
    </row>
    <row r="1565" spans="1:13" x14ac:dyDescent="0.45">
      <c r="A1565" t="s">
        <v>3601</v>
      </c>
      <c r="B1565">
        <v>1636471</v>
      </c>
      <c r="C1565">
        <v>1639914</v>
      </c>
      <c r="E1565" t="s">
        <v>42</v>
      </c>
      <c r="F1565" t="s">
        <v>883</v>
      </c>
      <c r="H1565">
        <v>83705361</v>
      </c>
      <c r="I1565" t="s">
        <v>17</v>
      </c>
      <c r="K1565" t="s">
        <v>7254</v>
      </c>
      <c r="L1565">
        <v>1147</v>
      </c>
      <c r="M1565" t="s">
        <v>7255</v>
      </c>
    </row>
    <row r="1566" spans="1:13" x14ac:dyDescent="0.45">
      <c r="A1566" t="s">
        <v>3601</v>
      </c>
      <c r="B1566">
        <v>1639928</v>
      </c>
      <c r="C1566">
        <v>1641412</v>
      </c>
      <c r="E1566" t="s">
        <v>42</v>
      </c>
      <c r="F1566" t="s">
        <v>511</v>
      </c>
      <c r="H1566">
        <v>83705362</v>
      </c>
      <c r="I1566" t="s">
        <v>17</v>
      </c>
      <c r="K1566" t="s">
        <v>7256</v>
      </c>
      <c r="L1566">
        <v>494</v>
      </c>
      <c r="M1566" t="s">
        <v>7257</v>
      </c>
    </row>
    <row r="1567" spans="1:13" x14ac:dyDescent="0.45">
      <c r="A1567" t="s">
        <v>3601</v>
      </c>
      <c r="B1567">
        <v>1641412</v>
      </c>
      <c r="C1567">
        <v>1643136</v>
      </c>
      <c r="E1567" t="s">
        <v>42</v>
      </c>
      <c r="F1567" t="s">
        <v>4437</v>
      </c>
      <c r="H1567">
        <v>83705363</v>
      </c>
      <c r="I1567" t="s">
        <v>17</v>
      </c>
      <c r="K1567" t="s">
        <v>7258</v>
      </c>
      <c r="L1567">
        <v>574</v>
      </c>
      <c r="M1567" t="s">
        <v>7259</v>
      </c>
    </row>
    <row r="1568" spans="1:13" x14ac:dyDescent="0.45">
      <c r="A1568" t="s">
        <v>3601</v>
      </c>
      <c r="B1568">
        <v>1643126</v>
      </c>
      <c r="C1568">
        <v>1643731</v>
      </c>
      <c r="E1568" t="s">
        <v>42</v>
      </c>
      <c r="F1568" t="s">
        <v>4335</v>
      </c>
      <c r="H1568">
        <v>83705364</v>
      </c>
      <c r="I1568" t="s">
        <v>17</v>
      </c>
      <c r="K1568" t="s">
        <v>7260</v>
      </c>
      <c r="L1568">
        <v>201</v>
      </c>
      <c r="M1568" t="s">
        <v>7261</v>
      </c>
    </row>
    <row r="1569" spans="1:13" x14ac:dyDescent="0.45">
      <c r="A1569" t="s">
        <v>3601</v>
      </c>
      <c r="B1569">
        <v>1644079</v>
      </c>
      <c r="C1569">
        <v>1645524</v>
      </c>
      <c r="E1569" t="s">
        <v>42</v>
      </c>
      <c r="F1569" t="s">
        <v>495</v>
      </c>
      <c r="H1569">
        <v>83705365</v>
      </c>
      <c r="I1569" t="s">
        <v>17</v>
      </c>
      <c r="K1569" t="s">
        <v>7262</v>
      </c>
      <c r="L1569">
        <v>481</v>
      </c>
      <c r="M1569" t="s">
        <v>7263</v>
      </c>
    </row>
    <row r="1570" spans="1:13" x14ac:dyDescent="0.45">
      <c r="A1570" t="s">
        <v>3601</v>
      </c>
      <c r="B1570">
        <v>1645608</v>
      </c>
      <c r="C1570">
        <v>1646534</v>
      </c>
      <c r="E1570" t="s">
        <v>42</v>
      </c>
      <c r="F1570" t="s">
        <v>382</v>
      </c>
      <c r="H1570">
        <v>83705366</v>
      </c>
      <c r="I1570" t="s">
        <v>17</v>
      </c>
      <c r="K1570" t="s">
        <v>7264</v>
      </c>
      <c r="L1570">
        <v>308</v>
      </c>
      <c r="M1570" t="s">
        <v>7265</v>
      </c>
    </row>
    <row r="1571" spans="1:13" x14ac:dyDescent="0.45">
      <c r="A1571" t="s">
        <v>3601</v>
      </c>
      <c r="B1571">
        <v>1646544</v>
      </c>
      <c r="C1571">
        <v>1647494</v>
      </c>
      <c r="E1571" t="s">
        <v>42</v>
      </c>
      <c r="F1571" t="s">
        <v>113</v>
      </c>
      <c r="H1571">
        <v>83705367</v>
      </c>
      <c r="I1571" t="s">
        <v>17</v>
      </c>
      <c r="K1571" t="s">
        <v>7266</v>
      </c>
      <c r="L1571">
        <v>316</v>
      </c>
      <c r="M1571" t="s">
        <v>7267</v>
      </c>
    </row>
    <row r="1572" spans="1:13" x14ac:dyDescent="0.45">
      <c r="A1572" t="s">
        <v>3601</v>
      </c>
      <c r="B1572">
        <v>1647706</v>
      </c>
      <c r="C1572">
        <v>1648599</v>
      </c>
      <c r="E1572" t="s">
        <v>14</v>
      </c>
      <c r="F1572" t="s">
        <v>39</v>
      </c>
      <c r="H1572">
        <v>83705368</v>
      </c>
      <c r="I1572" t="s">
        <v>17</v>
      </c>
      <c r="K1572" t="s">
        <v>7268</v>
      </c>
      <c r="L1572">
        <v>297</v>
      </c>
      <c r="M1572" t="s">
        <v>7269</v>
      </c>
    </row>
    <row r="1573" spans="1:13" x14ac:dyDescent="0.45">
      <c r="A1573" t="s">
        <v>3601</v>
      </c>
      <c r="B1573">
        <v>1648587</v>
      </c>
      <c r="C1573">
        <v>1650761</v>
      </c>
      <c r="E1573" t="s">
        <v>14</v>
      </c>
      <c r="F1573" t="s">
        <v>7270</v>
      </c>
      <c r="H1573">
        <v>83705369</v>
      </c>
      <c r="I1573" t="s">
        <v>17</v>
      </c>
      <c r="K1573" t="s">
        <v>7271</v>
      </c>
      <c r="L1573">
        <v>724</v>
      </c>
      <c r="M1573" t="s">
        <v>7272</v>
      </c>
    </row>
    <row r="1574" spans="1:13" x14ac:dyDescent="0.45">
      <c r="A1574" t="s">
        <v>3601</v>
      </c>
      <c r="B1574">
        <v>1651081</v>
      </c>
      <c r="C1574">
        <v>1652472</v>
      </c>
      <c r="E1574" t="s">
        <v>42</v>
      </c>
      <c r="F1574" t="s">
        <v>608</v>
      </c>
      <c r="H1574">
        <v>83705370</v>
      </c>
      <c r="I1574" t="s">
        <v>17</v>
      </c>
      <c r="K1574" t="s">
        <v>7273</v>
      </c>
      <c r="L1574">
        <v>463</v>
      </c>
      <c r="M1574" t="s">
        <v>7274</v>
      </c>
    </row>
    <row r="1575" spans="1:13" x14ac:dyDescent="0.45">
      <c r="A1575" t="s">
        <v>3601</v>
      </c>
      <c r="B1575">
        <v>1652498</v>
      </c>
      <c r="C1575">
        <v>1654192</v>
      </c>
      <c r="E1575" t="s">
        <v>42</v>
      </c>
      <c r="F1575" t="s">
        <v>7275</v>
      </c>
      <c r="H1575">
        <v>83705371</v>
      </c>
      <c r="I1575" t="s">
        <v>17</v>
      </c>
      <c r="K1575" t="s">
        <v>7276</v>
      </c>
      <c r="L1575">
        <v>564</v>
      </c>
      <c r="M1575" t="s">
        <v>7277</v>
      </c>
    </row>
    <row r="1576" spans="1:13" x14ac:dyDescent="0.45">
      <c r="A1576" t="s">
        <v>3601</v>
      </c>
      <c r="B1576">
        <v>1654207</v>
      </c>
      <c r="C1576">
        <v>1655265</v>
      </c>
      <c r="E1576" t="s">
        <v>42</v>
      </c>
      <c r="F1576" t="s">
        <v>309</v>
      </c>
      <c r="H1576">
        <v>83705372</v>
      </c>
      <c r="I1576" t="s">
        <v>17</v>
      </c>
      <c r="K1576" t="s">
        <v>7278</v>
      </c>
      <c r="L1576">
        <v>352</v>
      </c>
      <c r="M1576" t="s">
        <v>7279</v>
      </c>
    </row>
    <row r="1577" spans="1:13" x14ac:dyDescent="0.45">
      <c r="A1577" t="s">
        <v>3601</v>
      </c>
      <c r="B1577">
        <v>1655398</v>
      </c>
      <c r="C1577">
        <v>1656684</v>
      </c>
      <c r="E1577" t="s">
        <v>14</v>
      </c>
      <c r="F1577" t="s">
        <v>7280</v>
      </c>
      <c r="H1577">
        <v>83705373</v>
      </c>
      <c r="I1577" t="s">
        <v>17</v>
      </c>
      <c r="K1577" t="s">
        <v>7281</v>
      </c>
      <c r="L1577">
        <v>428</v>
      </c>
      <c r="M1577" t="s">
        <v>7282</v>
      </c>
    </row>
    <row r="1578" spans="1:13" x14ac:dyDescent="0.45">
      <c r="A1578" t="s">
        <v>3601</v>
      </c>
      <c r="B1578">
        <v>1656699</v>
      </c>
      <c r="C1578">
        <v>1659419</v>
      </c>
      <c r="E1578" t="s">
        <v>14</v>
      </c>
      <c r="F1578" t="s">
        <v>7283</v>
      </c>
      <c r="H1578">
        <v>83705374</v>
      </c>
      <c r="I1578" t="s">
        <v>17</v>
      </c>
      <c r="K1578" t="s">
        <v>7284</v>
      </c>
      <c r="L1578">
        <v>906</v>
      </c>
      <c r="M1578" t="s">
        <v>7285</v>
      </c>
    </row>
    <row r="1579" spans="1:13" x14ac:dyDescent="0.45">
      <c r="A1579" t="s">
        <v>3601</v>
      </c>
      <c r="B1579">
        <v>1659608</v>
      </c>
      <c r="C1579">
        <v>1660216</v>
      </c>
      <c r="E1579" t="s">
        <v>42</v>
      </c>
      <c r="F1579" t="s">
        <v>55</v>
      </c>
      <c r="H1579">
        <v>83705375</v>
      </c>
      <c r="I1579" t="s">
        <v>17</v>
      </c>
      <c r="K1579" t="s">
        <v>7286</v>
      </c>
      <c r="L1579">
        <v>202</v>
      </c>
      <c r="M1579" t="s">
        <v>7287</v>
      </c>
    </row>
    <row r="1580" spans="1:13" x14ac:dyDescent="0.45">
      <c r="A1580" t="s">
        <v>3601</v>
      </c>
      <c r="B1580">
        <v>1660213</v>
      </c>
      <c r="C1580">
        <v>1660686</v>
      </c>
      <c r="E1580" t="s">
        <v>42</v>
      </c>
      <c r="F1580" t="s">
        <v>45</v>
      </c>
      <c r="H1580">
        <v>83705871</v>
      </c>
      <c r="I1580" t="s">
        <v>17</v>
      </c>
      <c r="K1580" t="s">
        <v>7288</v>
      </c>
      <c r="L1580">
        <v>157</v>
      </c>
      <c r="M1580" t="s">
        <v>7289</v>
      </c>
    </row>
    <row r="1581" spans="1:13" x14ac:dyDescent="0.45">
      <c r="A1581" t="s">
        <v>3601</v>
      </c>
      <c r="B1581">
        <v>1660738</v>
      </c>
      <c r="C1581">
        <v>1662216</v>
      </c>
      <c r="E1581" t="s">
        <v>42</v>
      </c>
      <c r="F1581" t="s">
        <v>113</v>
      </c>
      <c r="H1581">
        <v>83705376</v>
      </c>
      <c r="I1581" t="s">
        <v>17</v>
      </c>
      <c r="K1581" t="s">
        <v>7290</v>
      </c>
      <c r="L1581">
        <v>492</v>
      </c>
      <c r="M1581" t="s">
        <v>7291</v>
      </c>
    </row>
    <row r="1582" spans="1:13" x14ac:dyDescent="0.45">
      <c r="A1582" t="s">
        <v>3601</v>
      </c>
      <c r="B1582">
        <v>1662285</v>
      </c>
      <c r="C1582">
        <v>1662410</v>
      </c>
      <c r="E1582" t="s">
        <v>42</v>
      </c>
      <c r="F1582" t="s">
        <v>45</v>
      </c>
      <c r="H1582">
        <v>83705889</v>
      </c>
      <c r="I1582" t="s">
        <v>17</v>
      </c>
      <c r="K1582" t="s">
        <v>7292</v>
      </c>
      <c r="L1582">
        <v>41</v>
      </c>
      <c r="M1582" t="s">
        <v>7293</v>
      </c>
    </row>
    <row r="1583" spans="1:13" x14ac:dyDescent="0.45">
      <c r="A1583" t="s">
        <v>3601</v>
      </c>
      <c r="B1583">
        <v>1662934</v>
      </c>
      <c r="C1583">
        <v>1663119</v>
      </c>
      <c r="E1583" t="s">
        <v>14</v>
      </c>
      <c r="F1583" t="s">
        <v>139</v>
      </c>
      <c r="H1583">
        <v>83705377</v>
      </c>
      <c r="I1583" t="s">
        <v>17</v>
      </c>
      <c r="K1583" t="s">
        <v>7294</v>
      </c>
      <c r="L1583">
        <v>61</v>
      </c>
      <c r="M1583" t="s">
        <v>7295</v>
      </c>
    </row>
    <row r="1584" spans="1:13" x14ac:dyDescent="0.45">
      <c r="A1584" t="s">
        <v>3601</v>
      </c>
      <c r="B1584">
        <v>1663221</v>
      </c>
      <c r="C1584">
        <v>1663802</v>
      </c>
      <c r="E1584" t="s">
        <v>42</v>
      </c>
      <c r="F1584" t="s">
        <v>144</v>
      </c>
      <c r="H1584">
        <v>83705378</v>
      </c>
      <c r="I1584" t="s">
        <v>17</v>
      </c>
      <c r="K1584" t="s">
        <v>7296</v>
      </c>
      <c r="L1584">
        <v>193</v>
      </c>
      <c r="M1584" t="s">
        <v>7297</v>
      </c>
    </row>
    <row r="1585" spans="1:13" x14ac:dyDescent="0.45">
      <c r="A1585" t="s">
        <v>3601</v>
      </c>
      <c r="B1585">
        <v>1664053</v>
      </c>
      <c r="C1585">
        <v>1664454</v>
      </c>
      <c r="E1585" t="s">
        <v>42</v>
      </c>
      <c r="F1585" t="s">
        <v>419</v>
      </c>
      <c r="H1585">
        <v>83705379</v>
      </c>
      <c r="I1585" t="s">
        <v>17</v>
      </c>
      <c r="K1585" t="s">
        <v>7298</v>
      </c>
      <c r="L1585">
        <v>133</v>
      </c>
      <c r="M1585" t="s">
        <v>7299</v>
      </c>
    </row>
    <row r="1586" spans="1:13" x14ac:dyDescent="0.45">
      <c r="A1586" t="s">
        <v>3601</v>
      </c>
      <c r="B1586">
        <v>1664749</v>
      </c>
      <c r="C1586">
        <v>1665045</v>
      </c>
      <c r="E1586" t="s">
        <v>42</v>
      </c>
      <c r="F1586" t="s">
        <v>419</v>
      </c>
      <c r="H1586">
        <v>83705380</v>
      </c>
      <c r="I1586" t="s">
        <v>17</v>
      </c>
      <c r="K1586" t="s">
        <v>7300</v>
      </c>
      <c r="L1586">
        <v>98</v>
      </c>
      <c r="M1586" t="s">
        <v>7301</v>
      </c>
    </row>
    <row r="1587" spans="1:13" x14ac:dyDescent="0.45">
      <c r="A1587" t="s">
        <v>3601</v>
      </c>
      <c r="B1587">
        <v>1665045</v>
      </c>
      <c r="C1587">
        <v>1665233</v>
      </c>
      <c r="E1587" t="s">
        <v>42</v>
      </c>
      <c r="F1587" t="s">
        <v>7302</v>
      </c>
      <c r="H1587">
        <v>83705381</v>
      </c>
      <c r="I1587" t="s">
        <v>17</v>
      </c>
      <c r="K1587" t="s">
        <v>7303</v>
      </c>
      <c r="L1587">
        <v>62</v>
      </c>
      <c r="M1587" t="s">
        <v>7304</v>
      </c>
    </row>
    <row r="1588" spans="1:13" x14ac:dyDescent="0.45">
      <c r="A1588" t="s">
        <v>3601</v>
      </c>
      <c r="B1588">
        <v>1665992</v>
      </c>
      <c r="C1588">
        <v>1666288</v>
      </c>
      <c r="E1588" t="s">
        <v>42</v>
      </c>
      <c r="F1588" t="s">
        <v>419</v>
      </c>
      <c r="H1588">
        <v>83705382</v>
      </c>
      <c r="I1588" t="s">
        <v>17</v>
      </c>
      <c r="K1588" t="s">
        <v>7305</v>
      </c>
      <c r="L1588">
        <v>98</v>
      </c>
      <c r="M1588" t="s">
        <v>7306</v>
      </c>
    </row>
    <row r="1589" spans="1:13" x14ac:dyDescent="0.45">
      <c r="A1589" t="s">
        <v>3601</v>
      </c>
      <c r="B1589">
        <v>1666295</v>
      </c>
      <c r="C1589">
        <v>1666543</v>
      </c>
      <c r="E1589" t="s">
        <v>42</v>
      </c>
      <c r="F1589" t="s">
        <v>7307</v>
      </c>
      <c r="H1589">
        <v>83705383</v>
      </c>
      <c r="I1589" t="s">
        <v>17</v>
      </c>
      <c r="K1589" t="s">
        <v>7308</v>
      </c>
      <c r="L1589">
        <v>82</v>
      </c>
      <c r="M1589" t="s">
        <v>7309</v>
      </c>
    </row>
    <row r="1590" spans="1:13" x14ac:dyDescent="0.45">
      <c r="A1590" t="s">
        <v>3601</v>
      </c>
      <c r="B1590">
        <v>1666802</v>
      </c>
      <c r="C1590">
        <v>1668958</v>
      </c>
      <c r="E1590" t="s">
        <v>14</v>
      </c>
      <c r="F1590" t="s">
        <v>999</v>
      </c>
      <c r="H1590">
        <v>83705384</v>
      </c>
      <c r="I1590" t="s">
        <v>17</v>
      </c>
      <c r="K1590" t="s">
        <v>7310</v>
      </c>
      <c r="L1590">
        <v>718</v>
      </c>
      <c r="M1590" t="s">
        <v>7311</v>
      </c>
    </row>
    <row r="1591" spans="1:13" x14ac:dyDescent="0.45">
      <c r="A1591" t="s">
        <v>3601</v>
      </c>
      <c r="B1591">
        <v>1668969</v>
      </c>
      <c r="C1591">
        <v>1670327</v>
      </c>
      <c r="E1591" t="s">
        <v>14</v>
      </c>
      <c r="F1591" t="s">
        <v>4917</v>
      </c>
      <c r="H1591">
        <v>83705385</v>
      </c>
      <c r="I1591" t="s">
        <v>17</v>
      </c>
      <c r="K1591" t="s">
        <v>7312</v>
      </c>
      <c r="L1591">
        <v>452</v>
      </c>
      <c r="M1591" t="s">
        <v>7313</v>
      </c>
    </row>
    <row r="1592" spans="1:13" x14ac:dyDescent="0.45">
      <c r="A1592" t="s">
        <v>3601</v>
      </c>
      <c r="B1592">
        <v>1670427</v>
      </c>
      <c r="C1592">
        <v>1670561</v>
      </c>
      <c r="E1592" t="s">
        <v>14</v>
      </c>
      <c r="F1592" t="s">
        <v>6614</v>
      </c>
      <c r="H1592">
        <v>83705386</v>
      </c>
      <c r="I1592" t="s">
        <v>17</v>
      </c>
      <c r="K1592" t="s">
        <v>7314</v>
      </c>
      <c r="L1592">
        <v>44</v>
      </c>
      <c r="M1592" t="s">
        <v>7315</v>
      </c>
    </row>
    <row r="1593" spans="1:13" x14ac:dyDescent="0.45">
      <c r="A1593" t="s">
        <v>3601</v>
      </c>
      <c r="B1593">
        <v>1670680</v>
      </c>
      <c r="C1593">
        <v>1672014</v>
      </c>
      <c r="E1593" t="s">
        <v>42</v>
      </c>
      <c r="F1593" t="s">
        <v>4437</v>
      </c>
      <c r="H1593">
        <v>90427716</v>
      </c>
      <c r="I1593" t="s">
        <v>17</v>
      </c>
      <c r="K1593" t="s">
        <v>7316</v>
      </c>
      <c r="L1593">
        <v>444</v>
      </c>
      <c r="M1593" t="s">
        <v>7317</v>
      </c>
    </row>
    <row r="1594" spans="1:13" x14ac:dyDescent="0.45">
      <c r="A1594" t="s">
        <v>3601</v>
      </c>
      <c r="B1594">
        <v>1672014</v>
      </c>
      <c r="C1594">
        <v>1672763</v>
      </c>
      <c r="E1594" t="s">
        <v>42</v>
      </c>
      <c r="F1594" t="s">
        <v>7318</v>
      </c>
      <c r="H1594">
        <v>83705387</v>
      </c>
      <c r="I1594" t="s">
        <v>17</v>
      </c>
      <c r="K1594" t="s">
        <v>7319</v>
      </c>
      <c r="L1594">
        <v>249</v>
      </c>
      <c r="M1594" t="s">
        <v>7320</v>
      </c>
    </row>
    <row r="1595" spans="1:13" x14ac:dyDescent="0.45">
      <c r="A1595" t="s">
        <v>3601</v>
      </c>
      <c r="B1595">
        <v>1673395</v>
      </c>
      <c r="C1595">
        <v>1673598</v>
      </c>
      <c r="E1595" t="s">
        <v>42</v>
      </c>
      <c r="F1595" t="s">
        <v>7321</v>
      </c>
      <c r="H1595">
        <v>83705388</v>
      </c>
      <c r="I1595" t="s">
        <v>17</v>
      </c>
      <c r="K1595" t="s">
        <v>7322</v>
      </c>
      <c r="L1595">
        <v>67</v>
      </c>
      <c r="M1595" t="s">
        <v>7323</v>
      </c>
    </row>
    <row r="1596" spans="1:13" x14ac:dyDescent="0.45">
      <c r="A1596" t="s">
        <v>3601</v>
      </c>
      <c r="B1596">
        <v>1673615</v>
      </c>
      <c r="C1596">
        <v>1673872</v>
      </c>
      <c r="E1596" t="s">
        <v>42</v>
      </c>
      <c r="F1596" t="s">
        <v>5399</v>
      </c>
      <c r="H1596">
        <v>83705389</v>
      </c>
      <c r="I1596" t="s">
        <v>17</v>
      </c>
      <c r="K1596" t="s">
        <v>7324</v>
      </c>
      <c r="L1596">
        <v>85</v>
      </c>
      <c r="M1596" t="s">
        <v>7325</v>
      </c>
    </row>
    <row r="1597" spans="1:13" x14ac:dyDescent="0.45">
      <c r="A1597" t="s">
        <v>3601</v>
      </c>
      <c r="B1597">
        <v>1674348</v>
      </c>
      <c r="C1597">
        <v>1674629</v>
      </c>
      <c r="E1597" t="s">
        <v>42</v>
      </c>
      <c r="F1597" t="s">
        <v>45</v>
      </c>
      <c r="H1597">
        <v>83705390</v>
      </c>
      <c r="I1597" t="s">
        <v>17</v>
      </c>
      <c r="K1597" t="s">
        <v>7326</v>
      </c>
      <c r="L1597">
        <v>93</v>
      </c>
      <c r="M1597" t="s">
        <v>7327</v>
      </c>
    </row>
    <row r="1598" spans="1:13" x14ac:dyDescent="0.45">
      <c r="A1598" t="s">
        <v>3601</v>
      </c>
      <c r="B1598">
        <v>1674645</v>
      </c>
      <c r="C1598">
        <v>1675970</v>
      </c>
      <c r="E1598" t="s">
        <v>42</v>
      </c>
      <c r="F1598" t="s">
        <v>7328</v>
      </c>
      <c r="H1598">
        <v>83705391</v>
      </c>
      <c r="I1598" t="s">
        <v>17</v>
      </c>
      <c r="K1598" t="s">
        <v>7329</v>
      </c>
      <c r="L1598">
        <v>441</v>
      </c>
      <c r="M1598" t="s">
        <v>7330</v>
      </c>
    </row>
    <row r="1599" spans="1:13" x14ac:dyDescent="0.45">
      <c r="A1599" t="s">
        <v>3601</v>
      </c>
      <c r="B1599">
        <v>1675990</v>
      </c>
      <c r="C1599">
        <v>1677540</v>
      </c>
      <c r="E1599" t="s">
        <v>42</v>
      </c>
      <c r="F1599" t="s">
        <v>426</v>
      </c>
      <c r="H1599">
        <v>83705392</v>
      </c>
      <c r="I1599" t="s">
        <v>17</v>
      </c>
      <c r="K1599" t="s">
        <v>7331</v>
      </c>
      <c r="L1599">
        <v>516</v>
      </c>
      <c r="M1599" t="s">
        <v>7332</v>
      </c>
    </row>
    <row r="1600" spans="1:13" x14ac:dyDescent="0.45">
      <c r="A1600" t="s">
        <v>3601</v>
      </c>
      <c r="B1600">
        <v>1677556</v>
      </c>
      <c r="C1600">
        <v>1678344</v>
      </c>
      <c r="E1600" t="s">
        <v>42</v>
      </c>
      <c r="F1600" t="s">
        <v>7333</v>
      </c>
      <c r="H1600">
        <v>83705393</v>
      </c>
      <c r="I1600" t="s">
        <v>17</v>
      </c>
      <c r="K1600" t="s">
        <v>7334</v>
      </c>
      <c r="L1600">
        <v>262</v>
      </c>
      <c r="M1600" t="s">
        <v>7335</v>
      </c>
    </row>
    <row r="1601" spans="1:13" x14ac:dyDescent="0.45">
      <c r="A1601" t="s">
        <v>3601</v>
      </c>
      <c r="B1601">
        <v>1678503</v>
      </c>
      <c r="C1601">
        <v>1679219</v>
      </c>
      <c r="E1601" t="s">
        <v>14</v>
      </c>
      <c r="F1601" t="s">
        <v>131</v>
      </c>
      <c r="H1601">
        <v>83705394</v>
      </c>
      <c r="I1601" t="s">
        <v>17</v>
      </c>
      <c r="K1601" t="s">
        <v>7336</v>
      </c>
      <c r="L1601">
        <v>238</v>
      </c>
      <c r="M1601" t="s">
        <v>7337</v>
      </c>
    </row>
    <row r="1602" spans="1:13" x14ac:dyDescent="0.45">
      <c r="A1602" t="s">
        <v>3601</v>
      </c>
      <c r="B1602">
        <v>1679568</v>
      </c>
      <c r="C1602">
        <v>1679804</v>
      </c>
      <c r="E1602" t="s">
        <v>14</v>
      </c>
      <c r="F1602" t="s">
        <v>51</v>
      </c>
      <c r="H1602">
        <v>83705395</v>
      </c>
      <c r="I1602" t="s">
        <v>52</v>
      </c>
      <c r="M1602" t="s">
        <v>7338</v>
      </c>
    </row>
    <row r="1603" spans="1:13" x14ac:dyDescent="0.45">
      <c r="A1603" t="s">
        <v>3601</v>
      </c>
      <c r="B1603">
        <v>1680033</v>
      </c>
      <c r="C1603">
        <v>1681391</v>
      </c>
      <c r="E1603" t="s">
        <v>42</v>
      </c>
      <c r="F1603" t="s">
        <v>399</v>
      </c>
      <c r="G1603" t="s">
        <v>400</v>
      </c>
      <c r="H1603">
        <v>83705396</v>
      </c>
      <c r="I1603" t="s">
        <v>17</v>
      </c>
      <c r="K1603" t="s">
        <v>7339</v>
      </c>
      <c r="L1603">
        <v>452</v>
      </c>
      <c r="M1603" t="s">
        <v>7340</v>
      </c>
    </row>
    <row r="1604" spans="1:13" x14ac:dyDescent="0.45">
      <c r="A1604" t="s">
        <v>3601</v>
      </c>
      <c r="B1604">
        <v>1681388</v>
      </c>
      <c r="C1604">
        <v>1682356</v>
      </c>
      <c r="E1604" t="s">
        <v>42</v>
      </c>
      <c r="F1604" t="s">
        <v>588</v>
      </c>
      <c r="H1604">
        <v>83705397</v>
      </c>
      <c r="I1604" t="s">
        <v>17</v>
      </c>
      <c r="K1604" t="s">
        <v>7341</v>
      </c>
      <c r="L1604">
        <v>322</v>
      </c>
      <c r="M1604" t="s">
        <v>7342</v>
      </c>
    </row>
    <row r="1605" spans="1:13" x14ac:dyDescent="0.45">
      <c r="A1605" t="s">
        <v>3601</v>
      </c>
      <c r="B1605">
        <v>1682420</v>
      </c>
      <c r="C1605">
        <v>1683196</v>
      </c>
      <c r="E1605" t="s">
        <v>14</v>
      </c>
      <c r="F1605" t="s">
        <v>432</v>
      </c>
      <c r="G1605" t="s">
        <v>433</v>
      </c>
      <c r="H1605">
        <v>83705398</v>
      </c>
      <c r="I1605" t="s">
        <v>17</v>
      </c>
      <c r="K1605" t="s">
        <v>7343</v>
      </c>
      <c r="L1605">
        <v>258</v>
      </c>
      <c r="M1605" t="s">
        <v>7344</v>
      </c>
    </row>
    <row r="1606" spans="1:13" x14ac:dyDescent="0.45">
      <c r="A1606" t="s">
        <v>3601</v>
      </c>
      <c r="B1606">
        <v>1683429</v>
      </c>
      <c r="C1606">
        <v>1683962</v>
      </c>
      <c r="E1606" t="s">
        <v>14</v>
      </c>
      <c r="F1606" t="s">
        <v>7345</v>
      </c>
      <c r="G1606" t="s">
        <v>7346</v>
      </c>
      <c r="H1606">
        <v>83705399</v>
      </c>
      <c r="I1606" t="s">
        <v>17</v>
      </c>
      <c r="K1606" t="s">
        <v>7347</v>
      </c>
      <c r="L1606">
        <v>177</v>
      </c>
      <c r="M1606" t="s">
        <v>7348</v>
      </c>
    </row>
    <row r="1607" spans="1:13" x14ac:dyDescent="0.45">
      <c r="A1607" t="s">
        <v>3601</v>
      </c>
      <c r="B1607">
        <v>1684212</v>
      </c>
      <c r="C1607">
        <v>1684523</v>
      </c>
      <c r="E1607" t="s">
        <v>14</v>
      </c>
      <c r="F1607" t="s">
        <v>7349</v>
      </c>
      <c r="H1607">
        <v>83705400</v>
      </c>
      <c r="I1607" t="s">
        <v>17</v>
      </c>
      <c r="K1607" t="s">
        <v>7350</v>
      </c>
      <c r="L1607">
        <v>103</v>
      </c>
      <c r="M1607" t="s">
        <v>7351</v>
      </c>
    </row>
    <row r="1608" spans="1:13" x14ac:dyDescent="0.45">
      <c r="A1608" t="s">
        <v>3601</v>
      </c>
      <c r="B1608">
        <v>1685183</v>
      </c>
      <c r="C1608">
        <v>1685572</v>
      </c>
      <c r="E1608" t="s">
        <v>14</v>
      </c>
      <c r="F1608" t="s">
        <v>45</v>
      </c>
      <c r="H1608">
        <v>83705401</v>
      </c>
      <c r="I1608" t="s">
        <v>17</v>
      </c>
      <c r="K1608" t="s">
        <v>7352</v>
      </c>
      <c r="L1608">
        <v>129</v>
      </c>
      <c r="M1608" t="s">
        <v>7353</v>
      </c>
    </row>
    <row r="1609" spans="1:13" x14ac:dyDescent="0.45">
      <c r="A1609" t="s">
        <v>3601</v>
      </c>
      <c r="B1609">
        <v>1685589</v>
      </c>
      <c r="C1609">
        <v>1685660</v>
      </c>
      <c r="E1609" t="s">
        <v>42</v>
      </c>
      <c r="F1609" t="s">
        <v>357</v>
      </c>
      <c r="H1609">
        <v>83705402</v>
      </c>
      <c r="I1609" t="s">
        <v>44</v>
      </c>
      <c r="M1609" t="s">
        <v>7354</v>
      </c>
    </row>
    <row r="1610" spans="1:13" x14ac:dyDescent="0.45">
      <c r="A1610" t="s">
        <v>3601</v>
      </c>
      <c r="B1610">
        <v>1685673</v>
      </c>
      <c r="C1610">
        <v>1685746</v>
      </c>
      <c r="E1610" t="s">
        <v>42</v>
      </c>
      <c r="F1610" t="s">
        <v>348</v>
      </c>
      <c r="H1610">
        <v>83705403</v>
      </c>
      <c r="I1610" t="s">
        <v>44</v>
      </c>
      <c r="M1610" t="s">
        <v>7355</v>
      </c>
    </row>
    <row r="1611" spans="1:13" x14ac:dyDescent="0.45">
      <c r="A1611" t="s">
        <v>3601</v>
      </c>
      <c r="B1611">
        <v>1685792</v>
      </c>
      <c r="C1611">
        <v>1685864</v>
      </c>
      <c r="E1611" t="s">
        <v>42</v>
      </c>
      <c r="F1611" t="s">
        <v>43</v>
      </c>
      <c r="H1611">
        <v>83705404</v>
      </c>
      <c r="I1611" t="s">
        <v>44</v>
      </c>
      <c r="M1611" t="s">
        <v>7356</v>
      </c>
    </row>
    <row r="1612" spans="1:13" x14ac:dyDescent="0.45">
      <c r="A1612" t="s">
        <v>3601</v>
      </c>
      <c r="B1612">
        <v>1685873</v>
      </c>
      <c r="C1612">
        <v>1685954</v>
      </c>
      <c r="E1612" t="s">
        <v>42</v>
      </c>
      <c r="F1612" t="s">
        <v>351</v>
      </c>
      <c r="H1612">
        <v>83705405</v>
      </c>
      <c r="I1612" t="s">
        <v>44</v>
      </c>
      <c r="M1612" t="s">
        <v>7357</v>
      </c>
    </row>
    <row r="1613" spans="1:13" x14ac:dyDescent="0.45">
      <c r="A1613" t="s">
        <v>3601</v>
      </c>
      <c r="B1613">
        <v>1685960</v>
      </c>
      <c r="C1613">
        <v>1686032</v>
      </c>
      <c r="E1613" t="s">
        <v>42</v>
      </c>
      <c r="F1613" t="s">
        <v>73</v>
      </c>
      <c r="H1613">
        <v>83705406</v>
      </c>
      <c r="I1613" t="s">
        <v>44</v>
      </c>
      <c r="M1613" t="s">
        <v>7358</v>
      </c>
    </row>
    <row r="1614" spans="1:13" x14ac:dyDescent="0.45">
      <c r="A1614" t="s">
        <v>3601</v>
      </c>
      <c r="B1614">
        <v>1686036</v>
      </c>
      <c r="C1614">
        <v>1686108</v>
      </c>
      <c r="E1614" t="s">
        <v>42</v>
      </c>
      <c r="F1614" t="s">
        <v>354</v>
      </c>
      <c r="H1614">
        <v>83705407</v>
      </c>
      <c r="I1614" t="s">
        <v>44</v>
      </c>
      <c r="M1614" t="s">
        <v>7359</v>
      </c>
    </row>
    <row r="1615" spans="1:13" x14ac:dyDescent="0.45">
      <c r="A1615" t="s">
        <v>3601</v>
      </c>
      <c r="B1615">
        <v>1686122</v>
      </c>
      <c r="C1615">
        <v>1686194</v>
      </c>
      <c r="E1615" t="s">
        <v>42</v>
      </c>
      <c r="F1615" t="s">
        <v>350</v>
      </c>
      <c r="H1615">
        <v>83705408</v>
      </c>
      <c r="I1615" t="s">
        <v>44</v>
      </c>
      <c r="M1615" t="s">
        <v>7360</v>
      </c>
    </row>
    <row r="1616" spans="1:13" x14ac:dyDescent="0.45">
      <c r="A1616" t="s">
        <v>3601</v>
      </c>
      <c r="B1616">
        <v>1686209</v>
      </c>
      <c r="C1616">
        <v>1686324</v>
      </c>
      <c r="E1616" t="s">
        <v>42</v>
      </c>
      <c r="F1616" t="s">
        <v>67</v>
      </c>
      <c r="G1616" t="s">
        <v>68</v>
      </c>
      <c r="H1616">
        <v>83705409</v>
      </c>
      <c r="I1616" t="s">
        <v>65</v>
      </c>
      <c r="M1616" t="s">
        <v>7361</v>
      </c>
    </row>
    <row r="1617" spans="1:13" x14ac:dyDescent="0.45">
      <c r="A1617" t="s">
        <v>3601</v>
      </c>
      <c r="B1617">
        <v>1686409</v>
      </c>
      <c r="C1617">
        <v>1689308</v>
      </c>
      <c r="E1617" t="s">
        <v>42</v>
      </c>
      <c r="F1617" t="s">
        <v>66</v>
      </c>
      <c r="H1617">
        <v>83705410</v>
      </c>
      <c r="I1617" t="s">
        <v>65</v>
      </c>
      <c r="M1617" t="s">
        <v>7362</v>
      </c>
    </row>
    <row r="1618" spans="1:13" x14ac:dyDescent="0.45">
      <c r="A1618" t="s">
        <v>3601</v>
      </c>
      <c r="B1618">
        <v>1689619</v>
      </c>
      <c r="C1618">
        <v>1689691</v>
      </c>
      <c r="E1618" t="s">
        <v>42</v>
      </c>
      <c r="F1618" t="s">
        <v>349</v>
      </c>
      <c r="H1618">
        <v>83705411</v>
      </c>
      <c r="I1618" t="s">
        <v>44</v>
      </c>
      <c r="M1618" t="s">
        <v>7363</v>
      </c>
    </row>
    <row r="1619" spans="1:13" x14ac:dyDescent="0.45">
      <c r="A1619" t="s">
        <v>3601</v>
      </c>
      <c r="B1619">
        <v>1689747</v>
      </c>
      <c r="C1619">
        <v>1691295</v>
      </c>
      <c r="E1619" t="s">
        <v>42</v>
      </c>
      <c r="F1619" t="s">
        <v>64</v>
      </c>
      <c r="H1619">
        <v>83705412</v>
      </c>
      <c r="I1619" t="s">
        <v>65</v>
      </c>
      <c r="M1619" t="s">
        <v>7364</v>
      </c>
    </row>
    <row r="1620" spans="1:13" x14ac:dyDescent="0.45">
      <c r="A1620" t="s">
        <v>3601</v>
      </c>
      <c r="B1620">
        <v>1691579</v>
      </c>
      <c r="C1620">
        <v>1692127</v>
      </c>
      <c r="E1620" t="s">
        <v>42</v>
      </c>
      <c r="F1620" t="s">
        <v>7365</v>
      </c>
      <c r="G1620" t="s">
        <v>7366</v>
      </c>
      <c r="H1620">
        <v>83705413</v>
      </c>
      <c r="I1620" t="s">
        <v>17</v>
      </c>
      <c r="K1620" t="s">
        <v>7367</v>
      </c>
      <c r="L1620">
        <v>182</v>
      </c>
      <c r="M1620" t="s">
        <v>7368</v>
      </c>
    </row>
    <row r="1621" spans="1:13" x14ac:dyDescent="0.45">
      <c r="A1621" t="s">
        <v>3601</v>
      </c>
      <c r="B1621">
        <v>1692203</v>
      </c>
      <c r="C1621">
        <v>1692784</v>
      </c>
      <c r="E1621" t="s">
        <v>42</v>
      </c>
      <c r="F1621" t="s">
        <v>454</v>
      </c>
      <c r="H1621">
        <v>83705414</v>
      </c>
      <c r="I1621" t="s">
        <v>17</v>
      </c>
      <c r="K1621" t="s">
        <v>7369</v>
      </c>
      <c r="L1621">
        <v>193</v>
      </c>
      <c r="M1621" t="s">
        <v>7370</v>
      </c>
    </row>
    <row r="1622" spans="1:13" x14ac:dyDescent="0.45">
      <c r="A1622" t="s">
        <v>3601</v>
      </c>
      <c r="B1622">
        <v>1692843</v>
      </c>
      <c r="C1622">
        <v>1694165</v>
      </c>
      <c r="E1622" t="s">
        <v>42</v>
      </c>
      <c r="F1622" t="s">
        <v>61</v>
      </c>
      <c r="H1622">
        <v>83705415</v>
      </c>
      <c r="I1622" t="s">
        <v>17</v>
      </c>
      <c r="K1622" t="s">
        <v>7371</v>
      </c>
      <c r="L1622">
        <v>440</v>
      </c>
      <c r="M1622" t="s">
        <v>7372</v>
      </c>
    </row>
    <row r="1623" spans="1:13" x14ac:dyDescent="0.45">
      <c r="A1623" t="s">
        <v>3601</v>
      </c>
      <c r="B1623">
        <v>1694221</v>
      </c>
      <c r="C1623">
        <v>1694862</v>
      </c>
      <c r="E1623" t="s">
        <v>14</v>
      </c>
      <c r="F1623" t="s">
        <v>452</v>
      </c>
      <c r="H1623">
        <v>83705416</v>
      </c>
      <c r="I1623" t="s">
        <v>17</v>
      </c>
      <c r="K1623" t="s">
        <v>7373</v>
      </c>
      <c r="L1623">
        <v>213</v>
      </c>
      <c r="M1623" t="s">
        <v>7374</v>
      </c>
    </row>
    <row r="1624" spans="1:13" x14ac:dyDescent="0.45">
      <c r="A1624" t="s">
        <v>3601</v>
      </c>
      <c r="B1624">
        <v>1694983</v>
      </c>
      <c r="C1624">
        <v>1695909</v>
      </c>
      <c r="E1624" t="s">
        <v>14</v>
      </c>
      <c r="F1624" t="s">
        <v>759</v>
      </c>
      <c r="G1624" t="s">
        <v>760</v>
      </c>
      <c r="H1624">
        <v>83705417</v>
      </c>
      <c r="I1624" t="s">
        <v>17</v>
      </c>
      <c r="K1624" t="s">
        <v>7375</v>
      </c>
      <c r="L1624">
        <v>308</v>
      </c>
      <c r="M1624" t="s">
        <v>7376</v>
      </c>
    </row>
    <row r="1625" spans="1:13" x14ac:dyDescent="0.45">
      <c r="A1625" t="s">
        <v>3601</v>
      </c>
      <c r="B1625">
        <v>1696325</v>
      </c>
      <c r="C1625">
        <v>1696687</v>
      </c>
      <c r="E1625" t="s">
        <v>42</v>
      </c>
      <c r="F1625" t="s">
        <v>161</v>
      </c>
      <c r="H1625">
        <v>83705418</v>
      </c>
      <c r="I1625" t="s">
        <v>17</v>
      </c>
      <c r="K1625" t="s">
        <v>7377</v>
      </c>
      <c r="L1625">
        <v>120</v>
      </c>
      <c r="M1625" t="s">
        <v>7378</v>
      </c>
    </row>
    <row r="1626" spans="1:13" x14ac:dyDescent="0.45">
      <c r="A1626" t="s">
        <v>3601</v>
      </c>
      <c r="B1626">
        <v>1696687</v>
      </c>
      <c r="C1626">
        <v>1698087</v>
      </c>
      <c r="E1626" t="s">
        <v>42</v>
      </c>
      <c r="F1626" t="s">
        <v>7379</v>
      </c>
      <c r="H1626">
        <v>83705419</v>
      </c>
      <c r="I1626" t="s">
        <v>17</v>
      </c>
      <c r="K1626" t="s">
        <v>7380</v>
      </c>
      <c r="L1626">
        <v>466</v>
      </c>
      <c r="M1626" t="s">
        <v>7381</v>
      </c>
    </row>
    <row r="1627" spans="1:13" x14ac:dyDescent="0.45">
      <c r="A1627" t="s">
        <v>3601</v>
      </c>
      <c r="B1627">
        <v>1698121</v>
      </c>
      <c r="C1627">
        <v>1698762</v>
      </c>
      <c r="E1627" t="s">
        <v>42</v>
      </c>
      <c r="F1627" t="s">
        <v>7382</v>
      </c>
      <c r="H1627">
        <v>83705420</v>
      </c>
      <c r="I1627" t="s">
        <v>17</v>
      </c>
      <c r="K1627" t="s">
        <v>7383</v>
      </c>
      <c r="L1627">
        <v>213</v>
      </c>
      <c r="M1627" t="s">
        <v>7384</v>
      </c>
    </row>
    <row r="1628" spans="1:13" x14ac:dyDescent="0.45">
      <c r="A1628" t="s">
        <v>3601</v>
      </c>
      <c r="B1628">
        <v>1698755</v>
      </c>
      <c r="C1628">
        <v>1699759</v>
      </c>
      <c r="E1628" t="s">
        <v>42</v>
      </c>
      <c r="F1628" t="s">
        <v>4437</v>
      </c>
      <c r="H1628">
        <v>83705421</v>
      </c>
      <c r="I1628" t="s">
        <v>17</v>
      </c>
      <c r="K1628" t="s">
        <v>7385</v>
      </c>
      <c r="L1628">
        <v>334</v>
      </c>
      <c r="M1628" t="s">
        <v>7386</v>
      </c>
    </row>
    <row r="1629" spans="1:13" x14ac:dyDescent="0.45">
      <c r="A1629" t="s">
        <v>3601</v>
      </c>
      <c r="B1629">
        <v>1699756</v>
      </c>
      <c r="C1629">
        <v>1700448</v>
      </c>
      <c r="E1629" t="s">
        <v>42</v>
      </c>
      <c r="F1629" t="s">
        <v>7387</v>
      </c>
      <c r="G1629" t="s">
        <v>7388</v>
      </c>
      <c r="H1629">
        <v>83705422</v>
      </c>
      <c r="I1629" t="s">
        <v>17</v>
      </c>
      <c r="K1629" t="s">
        <v>7389</v>
      </c>
      <c r="L1629">
        <v>230</v>
      </c>
      <c r="M1629" t="s">
        <v>7390</v>
      </c>
    </row>
    <row r="1630" spans="1:13" x14ac:dyDescent="0.45">
      <c r="A1630" t="s">
        <v>3601</v>
      </c>
      <c r="B1630">
        <v>1700582</v>
      </c>
      <c r="C1630">
        <v>1702477</v>
      </c>
      <c r="E1630" t="s">
        <v>42</v>
      </c>
      <c r="F1630" t="s">
        <v>832</v>
      </c>
      <c r="G1630" t="s">
        <v>833</v>
      </c>
      <c r="H1630">
        <v>83705423</v>
      </c>
      <c r="I1630" t="s">
        <v>17</v>
      </c>
      <c r="K1630" t="s">
        <v>7391</v>
      </c>
      <c r="L1630">
        <v>631</v>
      </c>
      <c r="M1630" t="s">
        <v>7392</v>
      </c>
    </row>
    <row r="1631" spans="1:13" x14ac:dyDescent="0.45">
      <c r="A1631" t="s">
        <v>3601</v>
      </c>
      <c r="B1631">
        <v>1702474</v>
      </c>
      <c r="C1631">
        <v>1703214</v>
      </c>
      <c r="E1631" t="s">
        <v>42</v>
      </c>
      <c r="F1631" t="s">
        <v>834</v>
      </c>
      <c r="H1631">
        <v>83705424</v>
      </c>
      <c r="I1631" t="s">
        <v>17</v>
      </c>
      <c r="K1631" t="s">
        <v>7393</v>
      </c>
      <c r="L1631">
        <v>246</v>
      </c>
      <c r="M1631" t="s">
        <v>7394</v>
      </c>
    </row>
    <row r="1632" spans="1:13" x14ac:dyDescent="0.45">
      <c r="A1632" t="s">
        <v>3601</v>
      </c>
      <c r="B1632">
        <v>1703252</v>
      </c>
      <c r="C1632">
        <v>1704574</v>
      </c>
      <c r="E1632" t="s">
        <v>42</v>
      </c>
      <c r="F1632" t="s">
        <v>835</v>
      </c>
      <c r="G1632" t="s">
        <v>836</v>
      </c>
      <c r="H1632">
        <v>83705425</v>
      </c>
      <c r="I1632" t="s">
        <v>17</v>
      </c>
      <c r="K1632" t="s">
        <v>7395</v>
      </c>
      <c r="L1632">
        <v>440</v>
      </c>
      <c r="M1632" t="s">
        <v>7396</v>
      </c>
    </row>
    <row r="1633" spans="1:13" x14ac:dyDescent="0.45">
      <c r="A1633" t="s">
        <v>3601</v>
      </c>
      <c r="B1633">
        <v>1704564</v>
      </c>
      <c r="C1633">
        <v>1705499</v>
      </c>
      <c r="E1633" t="s">
        <v>42</v>
      </c>
      <c r="F1633" t="s">
        <v>837</v>
      </c>
      <c r="G1633" t="s">
        <v>838</v>
      </c>
      <c r="H1633">
        <v>83705426</v>
      </c>
      <c r="I1633" t="s">
        <v>17</v>
      </c>
      <c r="K1633" t="s">
        <v>7397</v>
      </c>
      <c r="L1633">
        <v>311</v>
      </c>
      <c r="M1633" t="s">
        <v>7398</v>
      </c>
    </row>
    <row r="1634" spans="1:13" x14ac:dyDescent="0.45">
      <c r="A1634" t="s">
        <v>3601</v>
      </c>
      <c r="B1634">
        <v>1705566</v>
      </c>
      <c r="C1634">
        <v>1707950</v>
      </c>
      <c r="E1634" t="s">
        <v>42</v>
      </c>
      <c r="F1634" t="s">
        <v>839</v>
      </c>
      <c r="H1634">
        <v>83705427</v>
      </c>
      <c r="I1634" t="s">
        <v>17</v>
      </c>
      <c r="K1634" t="s">
        <v>7399</v>
      </c>
      <c r="L1634">
        <v>794</v>
      </c>
      <c r="M1634" t="s">
        <v>7400</v>
      </c>
    </row>
    <row r="1635" spans="1:13" x14ac:dyDescent="0.45">
      <c r="A1635" t="s">
        <v>3601</v>
      </c>
      <c r="B1635">
        <v>1708014</v>
      </c>
      <c r="C1635">
        <v>1708331</v>
      </c>
      <c r="E1635" t="s">
        <v>42</v>
      </c>
      <c r="F1635" t="s">
        <v>840</v>
      </c>
      <c r="G1635" t="s">
        <v>841</v>
      </c>
      <c r="H1635">
        <v>83705428</v>
      </c>
      <c r="I1635" t="s">
        <v>17</v>
      </c>
      <c r="K1635" t="s">
        <v>7401</v>
      </c>
      <c r="L1635">
        <v>105</v>
      </c>
      <c r="M1635" t="s">
        <v>7402</v>
      </c>
    </row>
    <row r="1636" spans="1:13" x14ac:dyDescent="0.45">
      <c r="A1636" t="s">
        <v>3601</v>
      </c>
      <c r="B1636">
        <v>1708356</v>
      </c>
      <c r="C1636">
        <v>1708982</v>
      </c>
      <c r="E1636" t="s">
        <v>42</v>
      </c>
      <c r="F1636" t="s">
        <v>842</v>
      </c>
      <c r="G1636" t="s">
        <v>843</v>
      </c>
      <c r="H1636">
        <v>83705429</v>
      </c>
      <c r="I1636" t="s">
        <v>17</v>
      </c>
      <c r="K1636" t="s">
        <v>7403</v>
      </c>
      <c r="L1636">
        <v>208</v>
      </c>
      <c r="M1636" t="s">
        <v>7404</v>
      </c>
    </row>
    <row r="1637" spans="1:13" x14ac:dyDescent="0.45">
      <c r="A1637" t="s">
        <v>3601</v>
      </c>
      <c r="B1637">
        <v>1709146</v>
      </c>
      <c r="C1637">
        <v>1710756</v>
      </c>
      <c r="E1637" t="s">
        <v>42</v>
      </c>
      <c r="F1637" t="s">
        <v>451</v>
      </c>
      <c r="H1637">
        <v>83705430</v>
      </c>
      <c r="I1637" t="s">
        <v>17</v>
      </c>
      <c r="K1637" t="s">
        <v>7405</v>
      </c>
      <c r="L1637">
        <v>536</v>
      </c>
      <c r="M1637" t="s">
        <v>7406</v>
      </c>
    </row>
    <row r="1638" spans="1:13" x14ac:dyDescent="0.45">
      <c r="A1638" t="s">
        <v>3601</v>
      </c>
      <c r="B1638">
        <v>1710913</v>
      </c>
      <c r="C1638">
        <v>1711398</v>
      </c>
      <c r="E1638" t="s">
        <v>14</v>
      </c>
      <c r="F1638" t="s">
        <v>685</v>
      </c>
      <c r="H1638">
        <v>83705431</v>
      </c>
      <c r="I1638" t="s">
        <v>17</v>
      </c>
      <c r="K1638" t="s">
        <v>7407</v>
      </c>
      <c r="L1638">
        <v>161</v>
      </c>
      <c r="M1638" t="s">
        <v>7408</v>
      </c>
    </row>
    <row r="1639" spans="1:13" x14ac:dyDescent="0.45">
      <c r="A1639" t="s">
        <v>3601</v>
      </c>
      <c r="B1639">
        <v>1711545</v>
      </c>
      <c r="C1639">
        <v>1712996</v>
      </c>
      <c r="E1639" t="s">
        <v>42</v>
      </c>
      <c r="F1639" t="s">
        <v>7409</v>
      </c>
      <c r="H1639">
        <v>83705432</v>
      </c>
      <c r="I1639" t="s">
        <v>17</v>
      </c>
      <c r="K1639" t="s">
        <v>7410</v>
      </c>
      <c r="L1639">
        <v>483</v>
      </c>
      <c r="M1639" t="s">
        <v>7411</v>
      </c>
    </row>
    <row r="1640" spans="1:13" x14ac:dyDescent="0.45">
      <c r="A1640" t="s">
        <v>3601</v>
      </c>
      <c r="B1640">
        <v>1713010</v>
      </c>
      <c r="C1640">
        <v>1714164</v>
      </c>
      <c r="E1640" t="s">
        <v>42</v>
      </c>
      <c r="F1640" t="s">
        <v>7412</v>
      </c>
      <c r="H1640">
        <v>83705433</v>
      </c>
      <c r="I1640" t="s">
        <v>17</v>
      </c>
      <c r="K1640" t="s">
        <v>7413</v>
      </c>
      <c r="L1640">
        <v>384</v>
      </c>
      <c r="M1640" t="s">
        <v>7414</v>
      </c>
    </row>
    <row r="1641" spans="1:13" x14ac:dyDescent="0.45">
      <c r="A1641" t="s">
        <v>3601</v>
      </c>
      <c r="B1641">
        <v>1714228</v>
      </c>
      <c r="C1641">
        <v>1714596</v>
      </c>
      <c r="E1641" t="s">
        <v>42</v>
      </c>
      <c r="F1641" t="s">
        <v>707</v>
      </c>
      <c r="G1641" t="s">
        <v>708</v>
      </c>
      <c r="H1641">
        <v>83705434</v>
      </c>
      <c r="I1641" t="s">
        <v>709</v>
      </c>
      <c r="M1641" t="s">
        <v>7415</v>
      </c>
    </row>
    <row r="1642" spans="1:13" x14ac:dyDescent="0.45">
      <c r="A1642" t="s">
        <v>3601</v>
      </c>
      <c r="B1642">
        <v>1714609</v>
      </c>
      <c r="C1642">
        <v>1714932</v>
      </c>
      <c r="E1642" t="s">
        <v>42</v>
      </c>
      <c r="F1642" t="s">
        <v>710</v>
      </c>
      <c r="G1642" t="s">
        <v>7416</v>
      </c>
      <c r="H1642">
        <v>83705435</v>
      </c>
      <c r="I1642" t="s">
        <v>17</v>
      </c>
      <c r="K1642" t="s">
        <v>7417</v>
      </c>
      <c r="L1642">
        <v>107</v>
      </c>
      <c r="M1642" t="s">
        <v>7418</v>
      </c>
    </row>
    <row r="1643" spans="1:13" x14ac:dyDescent="0.45">
      <c r="A1643" t="s">
        <v>3601</v>
      </c>
      <c r="B1643">
        <v>1715054</v>
      </c>
      <c r="C1643">
        <v>1715569</v>
      </c>
      <c r="E1643" t="s">
        <v>42</v>
      </c>
      <c r="F1643" t="s">
        <v>711</v>
      </c>
      <c r="H1643">
        <v>83705436</v>
      </c>
      <c r="I1643" t="s">
        <v>17</v>
      </c>
      <c r="K1643" t="s">
        <v>7419</v>
      </c>
      <c r="L1643">
        <v>171</v>
      </c>
      <c r="M1643" t="s">
        <v>7420</v>
      </c>
    </row>
    <row r="1644" spans="1:13" x14ac:dyDescent="0.45">
      <c r="A1644" t="s">
        <v>3601</v>
      </c>
      <c r="B1644">
        <v>1715645</v>
      </c>
      <c r="C1644">
        <v>1716253</v>
      </c>
      <c r="E1644" t="s">
        <v>14</v>
      </c>
      <c r="F1644" t="s">
        <v>712</v>
      </c>
      <c r="G1644" t="s">
        <v>713</v>
      </c>
      <c r="H1644">
        <v>83705437</v>
      </c>
      <c r="I1644" t="s">
        <v>17</v>
      </c>
      <c r="K1644" t="s">
        <v>7421</v>
      </c>
      <c r="L1644">
        <v>202</v>
      </c>
      <c r="M1644" t="s">
        <v>7422</v>
      </c>
    </row>
    <row r="1645" spans="1:13" x14ac:dyDescent="0.45">
      <c r="A1645" t="s">
        <v>3601</v>
      </c>
      <c r="B1645">
        <v>1716240</v>
      </c>
      <c r="C1645">
        <v>1718405</v>
      </c>
      <c r="E1645" t="s">
        <v>14</v>
      </c>
      <c r="F1645" t="s">
        <v>7423</v>
      </c>
      <c r="G1645" t="s">
        <v>7424</v>
      </c>
      <c r="H1645">
        <v>83705438</v>
      </c>
      <c r="I1645" t="s">
        <v>17</v>
      </c>
      <c r="K1645" t="s">
        <v>7425</v>
      </c>
      <c r="L1645">
        <v>721</v>
      </c>
      <c r="M1645" t="s">
        <v>7426</v>
      </c>
    </row>
    <row r="1646" spans="1:13" x14ac:dyDescent="0.45">
      <c r="A1646" t="s">
        <v>3601</v>
      </c>
      <c r="B1646">
        <v>1718448</v>
      </c>
      <c r="C1646">
        <v>1719782</v>
      </c>
      <c r="E1646" t="s">
        <v>42</v>
      </c>
      <c r="F1646" t="s">
        <v>249</v>
      </c>
      <c r="G1646" t="s">
        <v>250</v>
      </c>
      <c r="H1646">
        <v>83705439</v>
      </c>
      <c r="I1646" t="s">
        <v>17</v>
      </c>
      <c r="K1646" t="s">
        <v>7427</v>
      </c>
      <c r="L1646">
        <v>444</v>
      </c>
      <c r="M1646" t="s">
        <v>7428</v>
      </c>
    </row>
    <row r="1647" spans="1:13" x14ac:dyDescent="0.45">
      <c r="A1647" t="s">
        <v>3601</v>
      </c>
      <c r="B1647">
        <v>1720457</v>
      </c>
      <c r="C1647">
        <v>1721281</v>
      </c>
      <c r="E1647" t="s">
        <v>42</v>
      </c>
      <c r="F1647" t="s">
        <v>384</v>
      </c>
      <c r="G1647" t="s">
        <v>385</v>
      </c>
      <c r="H1647">
        <v>83705440</v>
      </c>
      <c r="I1647" t="s">
        <v>17</v>
      </c>
      <c r="K1647" t="s">
        <v>7429</v>
      </c>
      <c r="L1647">
        <v>274</v>
      </c>
      <c r="M1647" t="s">
        <v>7430</v>
      </c>
    </row>
    <row r="1648" spans="1:13" x14ac:dyDescent="0.45">
      <c r="A1648" t="s">
        <v>3601</v>
      </c>
      <c r="B1648">
        <v>1721278</v>
      </c>
      <c r="C1648">
        <v>1722738</v>
      </c>
      <c r="E1648" t="s">
        <v>42</v>
      </c>
      <c r="F1648" t="s">
        <v>383</v>
      </c>
      <c r="H1648">
        <v>83705441</v>
      </c>
      <c r="I1648" t="s">
        <v>17</v>
      </c>
      <c r="K1648" t="s">
        <v>7431</v>
      </c>
      <c r="L1648">
        <v>486</v>
      </c>
      <c r="M1648" t="s">
        <v>7432</v>
      </c>
    </row>
    <row r="1649" spans="1:13" x14ac:dyDescent="0.45">
      <c r="A1649" t="s">
        <v>3601</v>
      </c>
      <c r="B1649">
        <v>1723021</v>
      </c>
      <c r="C1649">
        <v>1724406</v>
      </c>
      <c r="E1649" t="s">
        <v>42</v>
      </c>
      <c r="F1649" t="s">
        <v>60</v>
      </c>
      <c r="H1649">
        <v>83705442</v>
      </c>
      <c r="I1649" t="s">
        <v>17</v>
      </c>
      <c r="K1649" t="s">
        <v>7433</v>
      </c>
      <c r="L1649">
        <v>461</v>
      </c>
      <c r="M1649" t="s">
        <v>7434</v>
      </c>
    </row>
    <row r="1650" spans="1:13" x14ac:dyDescent="0.45">
      <c r="A1650" t="s">
        <v>3601</v>
      </c>
      <c r="B1650">
        <v>1724526</v>
      </c>
      <c r="C1650">
        <v>1725443</v>
      </c>
      <c r="E1650" t="s">
        <v>42</v>
      </c>
      <c r="F1650" t="s">
        <v>464</v>
      </c>
      <c r="G1650" t="s">
        <v>465</v>
      </c>
      <c r="H1650">
        <v>83705443</v>
      </c>
      <c r="I1650" t="s">
        <v>17</v>
      </c>
      <c r="K1650" t="s">
        <v>7435</v>
      </c>
      <c r="L1650">
        <v>305</v>
      </c>
      <c r="M1650" t="s">
        <v>7436</v>
      </c>
    </row>
    <row r="1651" spans="1:13" x14ac:dyDescent="0.45">
      <c r="A1651" t="s">
        <v>3601</v>
      </c>
      <c r="B1651">
        <v>1725503</v>
      </c>
      <c r="C1651">
        <v>1725730</v>
      </c>
      <c r="E1651" t="s">
        <v>42</v>
      </c>
      <c r="F1651" t="s">
        <v>7437</v>
      </c>
      <c r="H1651">
        <v>83705444</v>
      </c>
      <c r="I1651" t="s">
        <v>17</v>
      </c>
      <c r="K1651" t="s">
        <v>7438</v>
      </c>
      <c r="L1651">
        <v>75</v>
      </c>
      <c r="M1651" t="s">
        <v>7439</v>
      </c>
    </row>
    <row r="1652" spans="1:13" x14ac:dyDescent="0.45">
      <c r="A1652" t="s">
        <v>3601</v>
      </c>
      <c r="B1652">
        <v>1725840</v>
      </c>
      <c r="C1652">
        <v>1726583</v>
      </c>
      <c r="E1652" t="s">
        <v>42</v>
      </c>
      <c r="F1652" t="s">
        <v>86</v>
      </c>
      <c r="H1652">
        <v>83705445</v>
      </c>
      <c r="I1652" t="s">
        <v>17</v>
      </c>
      <c r="K1652" t="s">
        <v>7440</v>
      </c>
      <c r="L1652">
        <v>247</v>
      </c>
      <c r="M1652" t="s">
        <v>7441</v>
      </c>
    </row>
    <row r="1653" spans="1:13" x14ac:dyDescent="0.45">
      <c r="A1653" t="s">
        <v>3601</v>
      </c>
      <c r="B1653">
        <v>1726583</v>
      </c>
      <c r="C1653">
        <v>1727386</v>
      </c>
      <c r="E1653" t="s">
        <v>42</v>
      </c>
      <c r="F1653" t="s">
        <v>411</v>
      </c>
      <c r="H1653">
        <v>83705446</v>
      </c>
      <c r="I1653" t="s">
        <v>17</v>
      </c>
      <c r="K1653" t="s">
        <v>7442</v>
      </c>
      <c r="L1653">
        <v>267</v>
      </c>
      <c r="M1653" t="s">
        <v>7443</v>
      </c>
    </row>
    <row r="1654" spans="1:13" x14ac:dyDescent="0.45">
      <c r="A1654" t="s">
        <v>3601</v>
      </c>
      <c r="B1654">
        <v>1727750</v>
      </c>
      <c r="C1654">
        <v>1728577</v>
      </c>
      <c r="E1654" t="s">
        <v>42</v>
      </c>
      <c r="F1654" t="s">
        <v>408</v>
      </c>
      <c r="H1654">
        <v>83705447</v>
      </c>
      <c r="I1654" t="s">
        <v>17</v>
      </c>
      <c r="K1654" t="s">
        <v>7444</v>
      </c>
      <c r="L1654">
        <v>275</v>
      </c>
      <c r="M1654" t="s">
        <v>7445</v>
      </c>
    </row>
    <row r="1655" spans="1:13" x14ac:dyDescent="0.45">
      <c r="A1655" t="s">
        <v>3601</v>
      </c>
      <c r="B1655">
        <v>1729101</v>
      </c>
      <c r="C1655">
        <v>1729556</v>
      </c>
      <c r="E1655" t="s">
        <v>14</v>
      </c>
      <c r="F1655" t="s">
        <v>45</v>
      </c>
      <c r="H1655">
        <v>83705448</v>
      </c>
      <c r="I1655" t="s">
        <v>17</v>
      </c>
      <c r="K1655" t="s">
        <v>7446</v>
      </c>
      <c r="L1655">
        <v>151</v>
      </c>
      <c r="M1655" t="s">
        <v>7447</v>
      </c>
    </row>
    <row r="1656" spans="1:13" x14ac:dyDescent="0.45">
      <c r="A1656" t="s">
        <v>3601</v>
      </c>
      <c r="B1656">
        <v>1730209</v>
      </c>
      <c r="C1656">
        <v>1731552</v>
      </c>
      <c r="E1656" t="s">
        <v>42</v>
      </c>
      <c r="F1656" t="s">
        <v>61</v>
      </c>
      <c r="H1656">
        <v>83705449</v>
      </c>
      <c r="I1656" t="s">
        <v>17</v>
      </c>
      <c r="K1656" t="s">
        <v>7448</v>
      </c>
      <c r="L1656">
        <v>447</v>
      </c>
      <c r="M1656" t="s">
        <v>7449</v>
      </c>
    </row>
    <row r="1657" spans="1:13" x14ac:dyDescent="0.45">
      <c r="A1657" t="s">
        <v>3601</v>
      </c>
      <c r="B1657">
        <v>1731635</v>
      </c>
      <c r="C1657">
        <v>1732642</v>
      </c>
      <c r="E1657" t="s">
        <v>42</v>
      </c>
      <c r="F1657" t="s">
        <v>559</v>
      </c>
      <c r="G1657" t="s">
        <v>560</v>
      </c>
      <c r="H1657">
        <v>83705450</v>
      </c>
      <c r="I1657" t="s">
        <v>17</v>
      </c>
      <c r="K1657" t="s">
        <v>7450</v>
      </c>
      <c r="L1657">
        <v>335</v>
      </c>
      <c r="M1657" t="s">
        <v>7451</v>
      </c>
    </row>
    <row r="1658" spans="1:13" x14ac:dyDescent="0.45">
      <c r="A1658" t="s">
        <v>3601</v>
      </c>
      <c r="B1658">
        <v>1732644</v>
      </c>
      <c r="C1658">
        <v>1734899</v>
      </c>
      <c r="E1658" t="s">
        <v>42</v>
      </c>
      <c r="F1658" t="s">
        <v>7452</v>
      </c>
      <c r="G1658" t="s">
        <v>7453</v>
      </c>
      <c r="H1658">
        <v>83705451</v>
      </c>
      <c r="I1658" t="s">
        <v>17</v>
      </c>
      <c r="K1658" t="s">
        <v>7454</v>
      </c>
      <c r="L1658">
        <v>751</v>
      </c>
      <c r="M1658" t="s">
        <v>7455</v>
      </c>
    </row>
    <row r="1659" spans="1:13" x14ac:dyDescent="0.45">
      <c r="A1659" t="s">
        <v>3601</v>
      </c>
      <c r="B1659">
        <v>1734903</v>
      </c>
      <c r="C1659">
        <v>1735226</v>
      </c>
      <c r="E1659" t="s">
        <v>42</v>
      </c>
      <c r="F1659" t="s">
        <v>557</v>
      </c>
      <c r="G1659" t="s">
        <v>558</v>
      </c>
      <c r="H1659">
        <v>83705452</v>
      </c>
      <c r="I1659" t="s">
        <v>17</v>
      </c>
      <c r="K1659" t="s">
        <v>7456</v>
      </c>
      <c r="L1659">
        <v>107</v>
      </c>
      <c r="M1659" t="s">
        <v>7457</v>
      </c>
    </row>
    <row r="1660" spans="1:13" x14ac:dyDescent="0.45">
      <c r="A1660" t="s">
        <v>3601</v>
      </c>
      <c r="B1660">
        <v>1735230</v>
      </c>
      <c r="C1660">
        <v>1736180</v>
      </c>
      <c r="E1660" t="s">
        <v>42</v>
      </c>
      <c r="F1660" t="s">
        <v>555</v>
      </c>
      <c r="G1660" t="s">
        <v>556</v>
      </c>
      <c r="H1660">
        <v>83705453</v>
      </c>
      <c r="I1660" t="s">
        <v>17</v>
      </c>
      <c r="K1660" t="s">
        <v>7458</v>
      </c>
      <c r="L1660">
        <v>316</v>
      </c>
      <c r="M1660" t="s">
        <v>7459</v>
      </c>
    </row>
    <row r="1661" spans="1:13" x14ac:dyDescent="0.45">
      <c r="A1661" t="s">
        <v>3601</v>
      </c>
      <c r="B1661">
        <v>1736282</v>
      </c>
      <c r="C1661">
        <v>1736698</v>
      </c>
      <c r="E1661" t="s">
        <v>42</v>
      </c>
      <c r="F1661" t="s">
        <v>45</v>
      </c>
      <c r="H1661">
        <v>83705454</v>
      </c>
      <c r="I1661" t="s">
        <v>17</v>
      </c>
      <c r="K1661" t="s">
        <v>7460</v>
      </c>
      <c r="L1661">
        <v>138</v>
      </c>
      <c r="M1661" t="s">
        <v>7461</v>
      </c>
    </row>
    <row r="1662" spans="1:13" x14ac:dyDescent="0.45">
      <c r="A1662" t="s">
        <v>3601</v>
      </c>
      <c r="B1662">
        <v>1736718</v>
      </c>
      <c r="C1662">
        <v>1737965</v>
      </c>
      <c r="E1662" t="s">
        <v>42</v>
      </c>
      <c r="F1662" t="s">
        <v>7462</v>
      </c>
      <c r="H1662">
        <v>83705455</v>
      </c>
      <c r="I1662" t="s">
        <v>17</v>
      </c>
      <c r="K1662" t="s">
        <v>7463</v>
      </c>
      <c r="L1662">
        <v>415</v>
      </c>
      <c r="M1662" t="s">
        <v>7464</v>
      </c>
    </row>
    <row r="1663" spans="1:13" x14ac:dyDescent="0.45">
      <c r="A1663" t="s">
        <v>3601</v>
      </c>
      <c r="B1663">
        <v>1737965</v>
      </c>
      <c r="C1663">
        <v>1738783</v>
      </c>
      <c r="E1663" t="s">
        <v>42</v>
      </c>
      <c r="F1663" t="s">
        <v>7465</v>
      </c>
      <c r="G1663" t="s">
        <v>7466</v>
      </c>
      <c r="H1663">
        <v>83705456</v>
      </c>
      <c r="I1663" t="s">
        <v>17</v>
      </c>
      <c r="K1663" t="s">
        <v>7467</v>
      </c>
      <c r="L1663">
        <v>272</v>
      </c>
      <c r="M1663" t="s">
        <v>7468</v>
      </c>
    </row>
    <row r="1664" spans="1:13" x14ac:dyDescent="0.45">
      <c r="A1664" t="s">
        <v>3601</v>
      </c>
      <c r="B1664">
        <v>1739416</v>
      </c>
      <c r="C1664">
        <v>1740501</v>
      </c>
      <c r="E1664" t="s">
        <v>14</v>
      </c>
      <c r="F1664" t="s">
        <v>45</v>
      </c>
      <c r="H1664">
        <v>83705457</v>
      </c>
      <c r="I1664" t="s">
        <v>17</v>
      </c>
      <c r="K1664" t="s">
        <v>7469</v>
      </c>
      <c r="L1664">
        <v>361</v>
      </c>
      <c r="M1664" t="s">
        <v>7470</v>
      </c>
    </row>
    <row r="1665" spans="1:13" x14ac:dyDescent="0.45">
      <c r="A1665" t="s">
        <v>3601</v>
      </c>
      <c r="B1665">
        <v>1741091</v>
      </c>
      <c r="C1665">
        <v>1742719</v>
      </c>
      <c r="E1665" t="s">
        <v>42</v>
      </c>
      <c r="F1665" t="s">
        <v>113</v>
      </c>
      <c r="H1665">
        <v>83705458</v>
      </c>
      <c r="I1665" t="s">
        <v>17</v>
      </c>
      <c r="K1665" t="s">
        <v>7471</v>
      </c>
      <c r="L1665">
        <v>542</v>
      </c>
      <c r="M1665" t="s">
        <v>7472</v>
      </c>
    </row>
    <row r="1666" spans="1:13" x14ac:dyDescent="0.45">
      <c r="A1666" t="s">
        <v>3601</v>
      </c>
      <c r="B1666">
        <v>1742724</v>
      </c>
      <c r="C1666">
        <v>1743455</v>
      </c>
      <c r="E1666" t="s">
        <v>42</v>
      </c>
      <c r="F1666" t="s">
        <v>72</v>
      </c>
      <c r="H1666">
        <v>83705459</v>
      </c>
      <c r="I1666" t="s">
        <v>17</v>
      </c>
      <c r="K1666" t="s">
        <v>7473</v>
      </c>
      <c r="L1666">
        <v>243</v>
      </c>
      <c r="M1666" t="s">
        <v>7474</v>
      </c>
    </row>
    <row r="1667" spans="1:13" x14ac:dyDescent="0.45">
      <c r="A1667" t="s">
        <v>3601</v>
      </c>
      <c r="B1667">
        <v>1743502</v>
      </c>
      <c r="C1667">
        <v>1743759</v>
      </c>
      <c r="E1667" t="s">
        <v>42</v>
      </c>
      <c r="F1667" t="s">
        <v>419</v>
      </c>
      <c r="H1667">
        <v>83705460</v>
      </c>
      <c r="I1667" t="s">
        <v>17</v>
      </c>
      <c r="K1667" t="s">
        <v>7475</v>
      </c>
      <c r="L1667">
        <v>85</v>
      </c>
      <c r="M1667" t="s">
        <v>7476</v>
      </c>
    </row>
    <row r="1668" spans="1:13" x14ac:dyDescent="0.45">
      <c r="A1668" t="s">
        <v>3601</v>
      </c>
      <c r="B1668">
        <v>1744128</v>
      </c>
      <c r="C1668">
        <v>1745354</v>
      </c>
      <c r="E1668" t="s">
        <v>14</v>
      </c>
      <c r="F1668" t="s">
        <v>49</v>
      </c>
      <c r="H1668">
        <v>83705461</v>
      </c>
      <c r="I1668" t="s">
        <v>17</v>
      </c>
      <c r="K1668" t="s">
        <v>7477</v>
      </c>
      <c r="L1668">
        <v>408</v>
      </c>
      <c r="M1668" t="s">
        <v>7478</v>
      </c>
    </row>
    <row r="1669" spans="1:13" x14ac:dyDescent="0.45">
      <c r="A1669" t="s">
        <v>3601</v>
      </c>
      <c r="B1669">
        <v>1745550</v>
      </c>
      <c r="C1669">
        <v>1747535</v>
      </c>
      <c r="E1669" t="s">
        <v>42</v>
      </c>
      <c r="F1669" t="s">
        <v>889</v>
      </c>
      <c r="G1669" t="s">
        <v>7479</v>
      </c>
      <c r="H1669">
        <v>83705462</v>
      </c>
      <c r="I1669" t="s">
        <v>17</v>
      </c>
      <c r="K1669" t="s">
        <v>7480</v>
      </c>
      <c r="L1669">
        <v>661</v>
      </c>
      <c r="M1669" t="s">
        <v>7481</v>
      </c>
    </row>
    <row r="1670" spans="1:13" x14ac:dyDescent="0.45">
      <c r="A1670" t="s">
        <v>3601</v>
      </c>
      <c r="B1670">
        <v>1747919</v>
      </c>
      <c r="C1670">
        <v>1748563</v>
      </c>
      <c r="E1670" t="s">
        <v>42</v>
      </c>
      <c r="F1670" t="s">
        <v>7482</v>
      </c>
      <c r="G1670" t="s">
        <v>7483</v>
      </c>
      <c r="H1670">
        <v>83705463</v>
      </c>
      <c r="I1670" t="s">
        <v>17</v>
      </c>
      <c r="K1670" t="s">
        <v>7484</v>
      </c>
      <c r="L1670">
        <v>214</v>
      </c>
      <c r="M1670" t="s">
        <v>7485</v>
      </c>
    </row>
    <row r="1671" spans="1:13" x14ac:dyDescent="0.45">
      <c r="A1671" t="s">
        <v>3601</v>
      </c>
      <c r="B1671">
        <v>1748738</v>
      </c>
      <c r="C1671">
        <v>1750243</v>
      </c>
      <c r="E1671" t="s">
        <v>42</v>
      </c>
      <c r="F1671" t="s">
        <v>1013</v>
      </c>
      <c r="G1671" t="s">
        <v>1014</v>
      </c>
      <c r="H1671">
        <v>83705464</v>
      </c>
      <c r="I1671" t="s">
        <v>17</v>
      </c>
      <c r="K1671" t="s">
        <v>7486</v>
      </c>
      <c r="L1671">
        <v>501</v>
      </c>
      <c r="M1671" t="s">
        <v>7487</v>
      </c>
    </row>
    <row r="1672" spans="1:13" x14ac:dyDescent="0.45">
      <c r="A1672" t="s">
        <v>3601</v>
      </c>
      <c r="B1672">
        <v>1750577</v>
      </c>
      <c r="C1672">
        <v>1751170</v>
      </c>
      <c r="E1672" t="s">
        <v>42</v>
      </c>
      <c r="F1672" t="s">
        <v>980</v>
      </c>
      <c r="H1672">
        <v>83705465</v>
      </c>
      <c r="I1672" t="s">
        <v>17</v>
      </c>
      <c r="K1672" t="s">
        <v>7488</v>
      </c>
      <c r="L1672">
        <v>197</v>
      </c>
      <c r="M1672" t="s">
        <v>7489</v>
      </c>
    </row>
    <row r="1673" spans="1:13" x14ac:dyDescent="0.45">
      <c r="A1673" t="s">
        <v>3601</v>
      </c>
      <c r="B1673">
        <v>1751836</v>
      </c>
      <c r="C1673">
        <v>1752036</v>
      </c>
      <c r="E1673" t="s">
        <v>42</v>
      </c>
      <c r="F1673" t="s">
        <v>5388</v>
      </c>
      <c r="H1673">
        <v>83705466</v>
      </c>
      <c r="I1673" t="s">
        <v>17</v>
      </c>
      <c r="K1673" t="s">
        <v>7490</v>
      </c>
      <c r="L1673">
        <v>66</v>
      </c>
      <c r="M1673" t="s">
        <v>7491</v>
      </c>
    </row>
    <row r="1674" spans="1:13" x14ac:dyDescent="0.45">
      <c r="A1674" t="s">
        <v>3601</v>
      </c>
      <c r="B1674">
        <v>1752095</v>
      </c>
      <c r="C1674">
        <v>1752289</v>
      </c>
      <c r="E1674" t="s">
        <v>42</v>
      </c>
      <c r="F1674" t="s">
        <v>5388</v>
      </c>
      <c r="H1674">
        <v>83705467</v>
      </c>
      <c r="I1674" t="s">
        <v>17</v>
      </c>
      <c r="K1674" t="s">
        <v>7492</v>
      </c>
      <c r="L1674">
        <v>64</v>
      </c>
      <c r="M1674" t="s">
        <v>7493</v>
      </c>
    </row>
    <row r="1675" spans="1:13" x14ac:dyDescent="0.45">
      <c r="A1675" t="s">
        <v>3601</v>
      </c>
      <c r="B1675">
        <v>1752794</v>
      </c>
      <c r="C1675">
        <v>1753660</v>
      </c>
      <c r="E1675" t="s">
        <v>42</v>
      </c>
      <c r="F1675" t="s">
        <v>298</v>
      </c>
      <c r="G1675" t="s">
        <v>299</v>
      </c>
      <c r="H1675">
        <v>83705468</v>
      </c>
      <c r="I1675" t="s">
        <v>17</v>
      </c>
      <c r="K1675" t="s">
        <v>7494</v>
      </c>
      <c r="L1675">
        <v>288</v>
      </c>
      <c r="M1675" t="s">
        <v>7495</v>
      </c>
    </row>
    <row r="1676" spans="1:13" x14ac:dyDescent="0.45">
      <c r="A1676" t="s">
        <v>3601</v>
      </c>
      <c r="B1676">
        <v>1753665</v>
      </c>
      <c r="C1676">
        <v>1753988</v>
      </c>
      <c r="E1676" t="s">
        <v>42</v>
      </c>
      <c r="F1676" t="s">
        <v>296</v>
      </c>
      <c r="G1676" t="s">
        <v>297</v>
      </c>
      <c r="H1676">
        <v>83705469</v>
      </c>
      <c r="I1676" t="s">
        <v>17</v>
      </c>
      <c r="K1676" t="s">
        <v>7496</v>
      </c>
      <c r="L1676">
        <v>107</v>
      </c>
      <c r="M1676" t="s">
        <v>7497</v>
      </c>
    </row>
    <row r="1677" spans="1:13" x14ac:dyDescent="0.45">
      <c r="A1677" t="s">
        <v>3601</v>
      </c>
      <c r="B1677">
        <v>1753981</v>
      </c>
      <c r="C1677">
        <v>1754781</v>
      </c>
      <c r="E1677" t="s">
        <v>42</v>
      </c>
      <c r="F1677" t="s">
        <v>7498</v>
      </c>
      <c r="G1677" t="s">
        <v>7499</v>
      </c>
      <c r="H1677">
        <v>83705470</v>
      </c>
      <c r="I1677" t="s">
        <v>17</v>
      </c>
      <c r="K1677" t="s">
        <v>7500</v>
      </c>
      <c r="L1677">
        <v>266</v>
      </c>
      <c r="M1677" t="s">
        <v>7501</v>
      </c>
    </row>
    <row r="1678" spans="1:13" x14ac:dyDescent="0.45">
      <c r="A1678" t="s">
        <v>3601</v>
      </c>
      <c r="B1678">
        <v>1754778</v>
      </c>
      <c r="C1678">
        <v>1755653</v>
      </c>
      <c r="E1678" t="s">
        <v>42</v>
      </c>
      <c r="F1678" t="s">
        <v>7502</v>
      </c>
      <c r="H1678">
        <v>83705471</v>
      </c>
      <c r="I1678" t="s">
        <v>17</v>
      </c>
      <c r="K1678" t="s">
        <v>7503</v>
      </c>
      <c r="L1678">
        <v>291</v>
      </c>
      <c r="M1678" t="s">
        <v>7504</v>
      </c>
    </row>
    <row r="1679" spans="1:13" x14ac:dyDescent="0.45">
      <c r="A1679" t="s">
        <v>3601</v>
      </c>
      <c r="B1679">
        <v>1755667</v>
      </c>
      <c r="C1679">
        <v>1756302</v>
      </c>
      <c r="E1679" t="s">
        <v>42</v>
      </c>
      <c r="F1679" t="s">
        <v>293</v>
      </c>
      <c r="G1679" t="s">
        <v>294</v>
      </c>
      <c r="H1679">
        <v>83705472</v>
      </c>
      <c r="I1679" t="s">
        <v>17</v>
      </c>
      <c r="K1679" t="s">
        <v>7505</v>
      </c>
      <c r="L1679">
        <v>211</v>
      </c>
      <c r="M1679" t="s">
        <v>7506</v>
      </c>
    </row>
    <row r="1680" spans="1:13" x14ac:dyDescent="0.45">
      <c r="A1680" t="s">
        <v>3601</v>
      </c>
      <c r="B1680">
        <v>1756617</v>
      </c>
      <c r="C1680">
        <v>1756901</v>
      </c>
      <c r="E1680" t="s">
        <v>42</v>
      </c>
      <c r="F1680" t="s">
        <v>582</v>
      </c>
      <c r="H1680">
        <v>83705473</v>
      </c>
      <c r="I1680" t="s">
        <v>17</v>
      </c>
      <c r="K1680" t="s">
        <v>7507</v>
      </c>
      <c r="L1680">
        <v>94</v>
      </c>
      <c r="M1680" t="s">
        <v>7508</v>
      </c>
    </row>
    <row r="1681" spans="1:13" x14ac:dyDescent="0.45">
      <c r="A1681" t="s">
        <v>3601</v>
      </c>
      <c r="B1681">
        <v>1756902</v>
      </c>
      <c r="C1681">
        <v>1757348</v>
      </c>
      <c r="E1681" t="s">
        <v>42</v>
      </c>
      <c r="F1681" t="s">
        <v>964</v>
      </c>
      <c r="H1681">
        <v>83705474</v>
      </c>
      <c r="I1681" t="s">
        <v>17</v>
      </c>
      <c r="K1681" t="s">
        <v>7509</v>
      </c>
      <c r="L1681">
        <v>148</v>
      </c>
      <c r="M1681" t="s">
        <v>7510</v>
      </c>
    </row>
    <row r="1682" spans="1:13" x14ac:dyDescent="0.45">
      <c r="A1682" t="s">
        <v>3601</v>
      </c>
      <c r="B1682">
        <v>1757451</v>
      </c>
      <c r="C1682">
        <v>1758041</v>
      </c>
      <c r="E1682" t="s">
        <v>42</v>
      </c>
      <c r="F1682" t="s">
        <v>7511</v>
      </c>
      <c r="H1682">
        <v>83705475</v>
      </c>
      <c r="I1682" t="s">
        <v>17</v>
      </c>
      <c r="K1682" t="s">
        <v>7512</v>
      </c>
      <c r="L1682">
        <v>196</v>
      </c>
      <c r="M1682" t="s">
        <v>7513</v>
      </c>
    </row>
    <row r="1683" spans="1:13" x14ac:dyDescent="0.45">
      <c r="A1683" t="s">
        <v>3601</v>
      </c>
      <c r="B1683">
        <v>1758273</v>
      </c>
      <c r="C1683">
        <v>1758902</v>
      </c>
      <c r="E1683" t="s">
        <v>42</v>
      </c>
      <c r="F1683" t="s">
        <v>519</v>
      </c>
      <c r="G1683" t="s">
        <v>520</v>
      </c>
      <c r="H1683">
        <v>83705476</v>
      </c>
      <c r="I1683" t="s">
        <v>17</v>
      </c>
      <c r="K1683" t="s">
        <v>7514</v>
      </c>
      <c r="L1683">
        <v>209</v>
      </c>
      <c r="M1683" t="s">
        <v>7515</v>
      </c>
    </row>
    <row r="1684" spans="1:13" x14ac:dyDescent="0.45">
      <c r="A1684" t="s">
        <v>3601</v>
      </c>
      <c r="B1684">
        <v>1759052</v>
      </c>
      <c r="C1684">
        <v>1760683</v>
      </c>
      <c r="E1684" t="s">
        <v>42</v>
      </c>
      <c r="F1684" t="s">
        <v>7516</v>
      </c>
      <c r="H1684">
        <v>83705477</v>
      </c>
      <c r="I1684" t="s">
        <v>17</v>
      </c>
      <c r="K1684" t="s">
        <v>7517</v>
      </c>
      <c r="L1684">
        <v>543</v>
      </c>
      <c r="M1684" t="s">
        <v>7518</v>
      </c>
    </row>
    <row r="1685" spans="1:13" x14ac:dyDescent="0.45">
      <c r="A1685" t="s">
        <v>3601</v>
      </c>
      <c r="B1685">
        <v>1760769</v>
      </c>
      <c r="C1685">
        <v>1762214</v>
      </c>
      <c r="E1685" t="s">
        <v>14</v>
      </c>
      <c r="F1685" t="s">
        <v>7519</v>
      </c>
      <c r="H1685">
        <v>83705478</v>
      </c>
      <c r="I1685" t="s">
        <v>17</v>
      </c>
      <c r="K1685" t="s">
        <v>7520</v>
      </c>
      <c r="L1685">
        <v>481</v>
      </c>
      <c r="M1685" t="s">
        <v>7521</v>
      </c>
    </row>
    <row r="1686" spans="1:13" x14ac:dyDescent="0.45">
      <c r="A1686" t="s">
        <v>3601</v>
      </c>
      <c r="B1686">
        <v>1762476</v>
      </c>
      <c r="C1686">
        <v>1763255</v>
      </c>
      <c r="E1686" t="s">
        <v>14</v>
      </c>
      <c r="F1686" t="s">
        <v>72</v>
      </c>
      <c r="H1686">
        <v>83705479</v>
      </c>
      <c r="I1686" t="s">
        <v>17</v>
      </c>
      <c r="K1686" t="s">
        <v>7522</v>
      </c>
      <c r="L1686">
        <v>259</v>
      </c>
      <c r="M1686" t="s">
        <v>7523</v>
      </c>
    </row>
    <row r="1687" spans="1:13" x14ac:dyDescent="0.45">
      <c r="A1687" t="s">
        <v>3601</v>
      </c>
      <c r="B1687">
        <v>1763280</v>
      </c>
      <c r="C1687">
        <v>1764218</v>
      </c>
      <c r="E1687" t="s">
        <v>14</v>
      </c>
      <c r="F1687" t="s">
        <v>7524</v>
      </c>
      <c r="H1687">
        <v>83705480</v>
      </c>
      <c r="I1687" t="s">
        <v>17</v>
      </c>
      <c r="K1687" t="s">
        <v>7525</v>
      </c>
      <c r="L1687">
        <v>312</v>
      </c>
      <c r="M1687" t="s">
        <v>7526</v>
      </c>
    </row>
    <row r="1688" spans="1:13" x14ac:dyDescent="0.45">
      <c r="A1688" t="s">
        <v>3601</v>
      </c>
      <c r="B1688">
        <v>1764228</v>
      </c>
      <c r="C1688">
        <v>1765253</v>
      </c>
      <c r="E1688" t="s">
        <v>14</v>
      </c>
      <c r="F1688" t="s">
        <v>4585</v>
      </c>
      <c r="H1688">
        <v>83705481</v>
      </c>
      <c r="I1688" t="s">
        <v>17</v>
      </c>
      <c r="K1688" t="s">
        <v>7527</v>
      </c>
      <c r="L1688">
        <v>341</v>
      </c>
      <c r="M1688" t="s">
        <v>7528</v>
      </c>
    </row>
    <row r="1689" spans="1:13" x14ac:dyDescent="0.45">
      <c r="A1689" t="s">
        <v>3601</v>
      </c>
      <c r="B1689">
        <v>1765250</v>
      </c>
      <c r="C1689">
        <v>1766248</v>
      </c>
      <c r="E1689" t="s">
        <v>14</v>
      </c>
      <c r="F1689" t="s">
        <v>4585</v>
      </c>
      <c r="H1689">
        <v>83705482</v>
      </c>
      <c r="I1689" t="s">
        <v>17</v>
      </c>
      <c r="K1689" t="s">
        <v>7529</v>
      </c>
      <c r="L1689">
        <v>332</v>
      </c>
      <c r="M1689" t="s">
        <v>7530</v>
      </c>
    </row>
    <row r="1690" spans="1:13" x14ac:dyDescent="0.45">
      <c r="A1690" t="s">
        <v>3601</v>
      </c>
      <c r="B1690">
        <v>1766920</v>
      </c>
      <c r="C1690">
        <v>1767573</v>
      </c>
      <c r="E1690" t="s">
        <v>42</v>
      </c>
      <c r="F1690" t="s">
        <v>7531</v>
      </c>
      <c r="H1690">
        <v>83705483</v>
      </c>
      <c r="I1690" t="s">
        <v>17</v>
      </c>
      <c r="K1690" t="s">
        <v>7532</v>
      </c>
      <c r="L1690">
        <v>217</v>
      </c>
      <c r="M1690" t="s">
        <v>7533</v>
      </c>
    </row>
    <row r="1691" spans="1:13" x14ac:dyDescent="0.45">
      <c r="A1691" t="s">
        <v>3601</v>
      </c>
      <c r="B1691">
        <v>1767640</v>
      </c>
      <c r="C1691">
        <v>1768575</v>
      </c>
      <c r="E1691" t="s">
        <v>42</v>
      </c>
      <c r="F1691" t="s">
        <v>696</v>
      </c>
      <c r="H1691">
        <v>83705484</v>
      </c>
      <c r="I1691" t="s">
        <v>17</v>
      </c>
      <c r="K1691" t="s">
        <v>7534</v>
      </c>
      <c r="L1691">
        <v>311</v>
      </c>
      <c r="M1691" t="s">
        <v>7535</v>
      </c>
    </row>
    <row r="1692" spans="1:13" x14ac:dyDescent="0.45">
      <c r="A1692" t="s">
        <v>3601</v>
      </c>
      <c r="B1692">
        <v>1768928</v>
      </c>
      <c r="C1692">
        <v>1769719</v>
      </c>
      <c r="E1692" t="s">
        <v>42</v>
      </c>
      <c r="F1692" t="s">
        <v>7536</v>
      </c>
      <c r="G1692" t="s">
        <v>7537</v>
      </c>
      <c r="H1692">
        <v>83705485</v>
      </c>
      <c r="I1692" t="s">
        <v>17</v>
      </c>
      <c r="K1692" t="s">
        <v>7538</v>
      </c>
      <c r="L1692">
        <v>263</v>
      </c>
      <c r="M1692" t="s">
        <v>7539</v>
      </c>
    </row>
    <row r="1693" spans="1:13" x14ac:dyDescent="0.45">
      <c r="A1693" t="s">
        <v>3601</v>
      </c>
      <c r="B1693">
        <v>1769796</v>
      </c>
      <c r="C1693">
        <v>1771130</v>
      </c>
      <c r="E1693" t="s">
        <v>42</v>
      </c>
      <c r="F1693" t="s">
        <v>422</v>
      </c>
      <c r="H1693">
        <v>83705486</v>
      </c>
      <c r="I1693" t="s">
        <v>17</v>
      </c>
      <c r="K1693" t="s">
        <v>7540</v>
      </c>
      <c r="L1693">
        <v>444</v>
      </c>
      <c r="M1693" t="s">
        <v>7541</v>
      </c>
    </row>
    <row r="1694" spans="1:13" x14ac:dyDescent="0.45">
      <c r="A1694" t="s">
        <v>3601</v>
      </c>
      <c r="B1694">
        <v>1771258</v>
      </c>
      <c r="C1694">
        <v>1771815</v>
      </c>
      <c r="E1694" t="s">
        <v>42</v>
      </c>
      <c r="F1694" t="s">
        <v>508</v>
      </c>
      <c r="H1694">
        <v>83705487</v>
      </c>
      <c r="I1694" t="s">
        <v>17</v>
      </c>
      <c r="K1694" t="s">
        <v>7542</v>
      </c>
      <c r="L1694">
        <v>185</v>
      </c>
      <c r="M1694" t="s">
        <v>7543</v>
      </c>
    </row>
    <row r="1695" spans="1:13" x14ac:dyDescent="0.45">
      <c r="A1695" t="s">
        <v>3601</v>
      </c>
      <c r="B1695">
        <v>1771825</v>
      </c>
      <c r="C1695">
        <v>1772553</v>
      </c>
      <c r="E1695" t="s">
        <v>42</v>
      </c>
      <c r="F1695" t="s">
        <v>860</v>
      </c>
      <c r="H1695">
        <v>83705488</v>
      </c>
      <c r="I1695" t="s">
        <v>17</v>
      </c>
      <c r="K1695" t="s">
        <v>7544</v>
      </c>
      <c r="L1695">
        <v>242</v>
      </c>
      <c r="M1695" t="s">
        <v>7545</v>
      </c>
    </row>
    <row r="1696" spans="1:13" x14ac:dyDescent="0.45">
      <c r="A1696" t="s">
        <v>3601</v>
      </c>
      <c r="B1696">
        <v>1772624</v>
      </c>
      <c r="C1696">
        <v>1773547</v>
      </c>
      <c r="E1696" t="s">
        <v>42</v>
      </c>
      <c r="F1696" t="s">
        <v>7546</v>
      </c>
      <c r="H1696">
        <v>83705489</v>
      </c>
      <c r="I1696" t="s">
        <v>17</v>
      </c>
      <c r="K1696" t="s">
        <v>7547</v>
      </c>
      <c r="L1696">
        <v>307</v>
      </c>
      <c r="M1696" t="s">
        <v>7548</v>
      </c>
    </row>
    <row r="1697" spans="1:13" x14ac:dyDescent="0.45">
      <c r="A1697" t="s">
        <v>3601</v>
      </c>
      <c r="B1697">
        <v>1773737</v>
      </c>
      <c r="C1697">
        <v>1774387</v>
      </c>
      <c r="E1697" t="s">
        <v>42</v>
      </c>
      <c r="F1697" t="s">
        <v>611</v>
      </c>
      <c r="H1697">
        <v>83705490</v>
      </c>
      <c r="I1697" t="s">
        <v>17</v>
      </c>
      <c r="K1697" t="s">
        <v>7549</v>
      </c>
      <c r="L1697">
        <v>216</v>
      </c>
      <c r="M1697" t="s">
        <v>7550</v>
      </c>
    </row>
    <row r="1698" spans="1:13" x14ac:dyDescent="0.45">
      <c r="A1698" t="s">
        <v>3601</v>
      </c>
      <c r="B1698">
        <v>1774377</v>
      </c>
      <c r="C1698">
        <v>1774955</v>
      </c>
      <c r="E1698" t="s">
        <v>42</v>
      </c>
      <c r="F1698" t="s">
        <v>50</v>
      </c>
      <c r="H1698">
        <v>83705491</v>
      </c>
      <c r="I1698" t="s">
        <v>17</v>
      </c>
      <c r="K1698" t="s">
        <v>7551</v>
      </c>
      <c r="L1698">
        <v>192</v>
      </c>
      <c r="M1698" t="s">
        <v>7552</v>
      </c>
    </row>
    <row r="1699" spans="1:13" x14ac:dyDescent="0.45">
      <c r="A1699" t="s">
        <v>3601</v>
      </c>
      <c r="B1699">
        <v>1775821</v>
      </c>
      <c r="C1699">
        <v>1776105</v>
      </c>
      <c r="E1699" t="s">
        <v>42</v>
      </c>
      <c r="F1699" t="s">
        <v>45</v>
      </c>
      <c r="H1699">
        <v>83705492</v>
      </c>
      <c r="I1699" t="s">
        <v>17</v>
      </c>
      <c r="K1699" t="s">
        <v>7553</v>
      </c>
      <c r="L1699">
        <v>94</v>
      </c>
      <c r="M1699" t="s">
        <v>7554</v>
      </c>
    </row>
    <row r="1700" spans="1:13" x14ac:dyDescent="0.45">
      <c r="A1700" t="s">
        <v>3601</v>
      </c>
      <c r="B1700">
        <v>1776121</v>
      </c>
      <c r="C1700">
        <v>1776513</v>
      </c>
      <c r="E1700" t="s">
        <v>42</v>
      </c>
      <c r="F1700" t="s">
        <v>45</v>
      </c>
      <c r="H1700">
        <v>83705493</v>
      </c>
      <c r="I1700" t="s">
        <v>17</v>
      </c>
      <c r="K1700" t="s">
        <v>7555</v>
      </c>
      <c r="L1700">
        <v>130</v>
      </c>
      <c r="M1700" t="s">
        <v>7556</v>
      </c>
    </row>
    <row r="1701" spans="1:13" x14ac:dyDescent="0.45">
      <c r="A1701" t="s">
        <v>3601</v>
      </c>
      <c r="B1701">
        <v>1776510</v>
      </c>
      <c r="C1701">
        <v>1777706</v>
      </c>
      <c r="E1701" t="s">
        <v>42</v>
      </c>
      <c r="F1701" t="s">
        <v>45</v>
      </c>
      <c r="H1701">
        <v>83705494</v>
      </c>
      <c r="I1701" t="s">
        <v>17</v>
      </c>
      <c r="K1701" t="s">
        <v>7557</v>
      </c>
      <c r="L1701">
        <v>398</v>
      </c>
      <c r="M1701" t="s">
        <v>7558</v>
      </c>
    </row>
    <row r="1702" spans="1:13" x14ac:dyDescent="0.45">
      <c r="A1702" t="s">
        <v>3601</v>
      </c>
      <c r="B1702">
        <v>1777711</v>
      </c>
      <c r="C1702">
        <v>1778094</v>
      </c>
      <c r="E1702" t="s">
        <v>42</v>
      </c>
      <c r="F1702" t="s">
        <v>45</v>
      </c>
      <c r="H1702">
        <v>83705495</v>
      </c>
      <c r="I1702" t="s">
        <v>17</v>
      </c>
      <c r="K1702" t="s">
        <v>7559</v>
      </c>
      <c r="L1702">
        <v>127</v>
      </c>
      <c r="M1702" t="s">
        <v>7560</v>
      </c>
    </row>
    <row r="1703" spans="1:13" x14ac:dyDescent="0.45">
      <c r="A1703" t="s">
        <v>3601</v>
      </c>
      <c r="B1703">
        <v>1778321</v>
      </c>
      <c r="C1703">
        <v>1778750</v>
      </c>
      <c r="E1703" t="s">
        <v>42</v>
      </c>
      <c r="F1703" t="s">
        <v>51</v>
      </c>
      <c r="H1703">
        <v>83705496</v>
      </c>
      <c r="I1703" t="s">
        <v>52</v>
      </c>
      <c r="M1703" t="s">
        <v>7561</v>
      </c>
    </row>
    <row r="1704" spans="1:13" x14ac:dyDescent="0.45">
      <c r="A1704" t="s">
        <v>3601</v>
      </c>
      <c r="B1704">
        <v>1779160</v>
      </c>
      <c r="C1704">
        <v>1779411</v>
      </c>
      <c r="E1704" t="s">
        <v>42</v>
      </c>
      <c r="F1704" t="s">
        <v>45</v>
      </c>
      <c r="H1704">
        <v>83705497</v>
      </c>
      <c r="I1704" t="s">
        <v>17</v>
      </c>
      <c r="K1704" t="s">
        <v>7562</v>
      </c>
      <c r="L1704">
        <v>83</v>
      </c>
      <c r="M1704" t="s">
        <v>7563</v>
      </c>
    </row>
    <row r="1705" spans="1:13" x14ac:dyDescent="0.45">
      <c r="A1705" t="s">
        <v>3601</v>
      </c>
      <c r="B1705">
        <v>1779437</v>
      </c>
      <c r="C1705">
        <v>1779676</v>
      </c>
      <c r="E1705" t="s">
        <v>42</v>
      </c>
      <c r="F1705" t="s">
        <v>51</v>
      </c>
      <c r="H1705">
        <v>83705498</v>
      </c>
      <c r="I1705" t="s">
        <v>52</v>
      </c>
      <c r="M1705" t="s">
        <v>7564</v>
      </c>
    </row>
    <row r="1706" spans="1:13" x14ac:dyDescent="0.45">
      <c r="A1706" t="s">
        <v>3601</v>
      </c>
      <c r="B1706">
        <v>1779673</v>
      </c>
      <c r="C1706">
        <v>1780080</v>
      </c>
      <c r="E1706" t="s">
        <v>42</v>
      </c>
      <c r="F1706" t="s">
        <v>45</v>
      </c>
      <c r="H1706">
        <v>83705499</v>
      </c>
      <c r="I1706" t="s">
        <v>17</v>
      </c>
      <c r="K1706" t="s">
        <v>7565</v>
      </c>
      <c r="L1706">
        <v>135</v>
      </c>
      <c r="M1706" t="s">
        <v>7566</v>
      </c>
    </row>
    <row r="1707" spans="1:13" x14ac:dyDescent="0.45">
      <c r="A1707" t="s">
        <v>3601</v>
      </c>
      <c r="B1707">
        <v>1780462</v>
      </c>
      <c r="C1707">
        <v>1781007</v>
      </c>
      <c r="E1707" t="s">
        <v>42</v>
      </c>
      <c r="F1707" t="s">
        <v>444</v>
      </c>
      <c r="H1707">
        <v>83705500</v>
      </c>
      <c r="I1707" t="s">
        <v>17</v>
      </c>
      <c r="K1707" t="s">
        <v>7567</v>
      </c>
      <c r="L1707">
        <v>181</v>
      </c>
      <c r="M1707" t="s">
        <v>7568</v>
      </c>
    </row>
    <row r="1708" spans="1:13" x14ac:dyDescent="0.45">
      <c r="A1708" t="s">
        <v>3601</v>
      </c>
      <c r="B1708">
        <v>1781166</v>
      </c>
      <c r="C1708">
        <v>1781444</v>
      </c>
      <c r="E1708" t="s">
        <v>42</v>
      </c>
      <c r="F1708" t="s">
        <v>534</v>
      </c>
      <c r="G1708" t="s">
        <v>535</v>
      </c>
      <c r="H1708">
        <v>83705501</v>
      </c>
      <c r="I1708" t="s">
        <v>17</v>
      </c>
      <c r="K1708" t="s">
        <v>7569</v>
      </c>
      <c r="L1708">
        <v>92</v>
      </c>
      <c r="M1708" t="s">
        <v>7570</v>
      </c>
    </row>
    <row r="1709" spans="1:13" x14ac:dyDescent="0.45">
      <c r="A1709" t="s">
        <v>3601</v>
      </c>
      <c r="B1709">
        <v>1781441</v>
      </c>
      <c r="C1709">
        <v>1782163</v>
      </c>
      <c r="E1709" t="s">
        <v>42</v>
      </c>
      <c r="F1709" t="s">
        <v>546</v>
      </c>
      <c r="H1709">
        <v>83705502</v>
      </c>
      <c r="I1709" t="s">
        <v>17</v>
      </c>
      <c r="K1709" t="s">
        <v>7571</v>
      </c>
      <c r="L1709">
        <v>240</v>
      </c>
      <c r="M1709" t="s">
        <v>7572</v>
      </c>
    </row>
    <row r="1710" spans="1:13" x14ac:dyDescent="0.45">
      <c r="A1710" t="s">
        <v>3601</v>
      </c>
      <c r="B1710">
        <v>1782409</v>
      </c>
      <c r="C1710">
        <v>1782948</v>
      </c>
      <c r="E1710" t="s">
        <v>42</v>
      </c>
      <c r="F1710" t="s">
        <v>653</v>
      </c>
      <c r="G1710" t="s">
        <v>654</v>
      </c>
      <c r="H1710">
        <v>83705503</v>
      </c>
      <c r="I1710" t="s">
        <v>17</v>
      </c>
      <c r="K1710" t="s">
        <v>7573</v>
      </c>
      <c r="L1710">
        <v>179</v>
      </c>
      <c r="M1710" t="s">
        <v>7574</v>
      </c>
    </row>
    <row r="1711" spans="1:13" x14ac:dyDescent="0.45">
      <c r="A1711" t="s">
        <v>3601</v>
      </c>
      <c r="B1711">
        <v>1782945</v>
      </c>
      <c r="C1711">
        <v>1783652</v>
      </c>
      <c r="E1711" t="s">
        <v>42</v>
      </c>
      <c r="F1711" t="s">
        <v>652</v>
      </c>
      <c r="H1711">
        <v>83705504</v>
      </c>
      <c r="I1711" t="s">
        <v>17</v>
      </c>
      <c r="K1711" t="s">
        <v>7575</v>
      </c>
      <c r="L1711">
        <v>235</v>
      </c>
      <c r="M1711" t="s">
        <v>7576</v>
      </c>
    </row>
    <row r="1712" spans="1:13" x14ac:dyDescent="0.45">
      <c r="A1712" t="s">
        <v>3601</v>
      </c>
      <c r="B1712">
        <v>1783652</v>
      </c>
      <c r="C1712">
        <v>1784398</v>
      </c>
      <c r="E1712" t="s">
        <v>42</v>
      </c>
      <c r="F1712" t="s">
        <v>650</v>
      </c>
      <c r="G1712" t="s">
        <v>651</v>
      </c>
      <c r="H1712">
        <v>83705505</v>
      </c>
      <c r="I1712" t="s">
        <v>17</v>
      </c>
      <c r="K1712" t="s">
        <v>7577</v>
      </c>
      <c r="L1712">
        <v>248</v>
      </c>
      <c r="M1712" t="s">
        <v>7578</v>
      </c>
    </row>
    <row r="1713" spans="1:13" x14ac:dyDescent="0.45">
      <c r="A1713" t="s">
        <v>3601</v>
      </c>
      <c r="B1713">
        <v>1784395</v>
      </c>
      <c r="C1713">
        <v>1784856</v>
      </c>
      <c r="E1713" t="s">
        <v>42</v>
      </c>
      <c r="F1713" t="s">
        <v>1036</v>
      </c>
      <c r="G1713" t="s">
        <v>1037</v>
      </c>
      <c r="H1713">
        <v>83705506</v>
      </c>
      <c r="I1713" t="s">
        <v>17</v>
      </c>
      <c r="K1713" t="s">
        <v>7579</v>
      </c>
      <c r="L1713">
        <v>153</v>
      </c>
      <c r="M1713" t="s">
        <v>7580</v>
      </c>
    </row>
    <row r="1714" spans="1:13" x14ac:dyDescent="0.45">
      <c r="A1714" t="s">
        <v>3601</v>
      </c>
      <c r="B1714">
        <v>1784853</v>
      </c>
      <c r="C1714">
        <v>1785374</v>
      </c>
      <c r="E1714" t="s">
        <v>42</v>
      </c>
      <c r="F1714" t="s">
        <v>101</v>
      </c>
      <c r="H1714">
        <v>83705507</v>
      </c>
      <c r="I1714" t="s">
        <v>17</v>
      </c>
      <c r="K1714" t="s">
        <v>7581</v>
      </c>
      <c r="L1714">
        <v>173</v>
      </c>
      <c r="M1714" t="s">
        <v>7582</v>
      </c>
    </row>
    <row r="1715" spans="1:13" x14ac:dyDescent="0.45">
      <c r="A1715" t="s">
        <v>3601</v>
      </c>
      <c r="B1715">
        <v>1785350</v>
      </c>
      <c r="C1715">
        <v>1786339</v>
      </c>
      <c r="E1715" t="s">
        <v>42</v>
      </c>
      <c r="F1715" t="s">
        <v>7583</v>
      </c>
      <c r="H1715">
        <v>83705508</v>
      </c>
      <c r="I1715" t="s">
        <v>17</v>
      </c>
      <c r="K1715" t="s">
        <v>7584</v>
      </c>
      <c r="L1715">
        <v>329</v>
      </c>
      <c r="M1715" t="s">
        <v>7585</v>
      </c>
    </row>
    <row r="1716" spans="1:13" x14ac:dyDescent="0.45">
      <c r="A1716" t="s">
        <v>3601</v>
      </c>
      <c r="B1716">
        <v>1786336</v>
      </c>
      <c r="C1716">
        <v>1787130</v>
      </c>
      <c r="E1716" t="s">
        <v>42</v>
      </c>
      <c r="F1716" t="s">
        <v>341</v>
      </c>
      <c r="G1716" t="s">
        <v>7586</v>
      </c>
      <c r="H1716">
        <v>83705509</v>
      </c>
      <c r="I1716" t="s">
        <v>17</v>
      </c>
      <c r="K1716" t="s">
        <v>7587</v>
      </c>
      <c r="L1716">
        <v>264</v>
      </c>
      <c r="M1716" t="s">
        <v>7588</v>
      </c>
    </row>
    <row r="1717" spans="1:13" x14ac:dyDescent="0.45">
      <c r="A1717" t="s">
        <v>3601</v>
      </c>
      <c r="B1717">
        <v>1787310</v>
      </c>
      <c r="C1717">
        <v>1787552</v>
      </c>
      <c r="E1717" t="s">
        <v>42</v>
      </c>
      <c r="F1717" t="s">
        <v>800</v>
      </c>
      <c r="H1717">
        <v>83705510</v>
      </c>
      <c r="I1717" t="s">
        <v>17</v>
      </c>
      <c r="K1717" t="s">
        <v>7589</v>
      </c>
      <c r="L1717">
        <v>80</v>
      </c>
      <c r="M1717" t="s">
        <v>7590</v>
      </c>
    </row>
    <row r="1718" spans="1:13" x14ac:dyDescent="0.45">
      <c r="A1718" t="s">
        <v>3601</v>
      </c>
      <c r="B1718">
        <v>1787938</v>
      </c>
      <c r="C1718">
        <v>1788627</v>
      </c>
      <c r="E1718" t="s">
        <v>42</v>
      </c>
      <c r="F1718" t="s">
        <v>7591</v>
      </c>
      <c r="H1718">
        <v>83705511</v>
      </c>
      <c r="I1718" t="s">
        <v>17</v>
      </c>
      <c r="K1718" t="s">
        <v>7592</v>
      </c>
      <c r="L1718">
        <v>229</v>
      </c>
      <c r="M1718" t="s">
        <v>7593</v>
      </c>
    </row>
    <row r="1719" spans="1:13" x14ac:dyDescent="0.45">
      <c r="A1719" t="s">
        <v>3601</v>
      </c>
      <c r="B1719">
        <v>1788646</v>
      </c>
      <c r="C1719">
        <v>1789146</v>
      </c>
      <c r="E1719" t="s">
        <v>42</v>
      </c>
      <c r="F1719" t="s">
        <v>133</v>
      </c>
      <c r="H1719">
        <v>83705512</v>
      </c>
      <c r="I1719" t="s">
        <v>17</v>
      </c>
      <c r="K1719" t="s">
        <v>7594</v>
      </c>
      <c r="L1719">
        <v>166</v>
      </c>
      <c r="M1719" t="s">
        <v>7595</v>
      </c>
    </row>
    <row r="1720" spans="1:13" x14ac:dyDescent="0.45">
      <c r="A1720" t="s">
        <v>3601</v>
      </c>
      <c r="B1720">
        <v>1789185</v>
      </c>
      <c r="C1720">
        <v>1789922</v>
      </c>
      <c r="E1720" t="s">
        <v>42</v>
      </c>
      <c r="F1720" t="s">
        <v>7596</v>
      </c>
      <c r="H1720">
        <v>83705513</v>
      </c>
      <c r="I1720" t="s">
        <v>17</v>
      </c>
      <c r="K1720" t="s">
        <v>7597</v>
      </c>
      <c r="L1720">
        <v>245</v>
      </c>
      <c r="M1720" t="s">
        <v>7598</v>
      </c>
    </row>
    <row r="1721" spans="1:13" x14ac:dyDescent="0.45">
      <c r="A1721" t="s">
        <v>3601</v>
      </c>
      <c r="B1721">
        <v>1790215</v>
      </c>
      <c r="C1721">
        <v>1790493</v>
      </c>
      <c r="E1721" t="s">
        <v>14</v>
      </c>
      <c r="F1721" t="s">
        <v>904</v>
      </c>
      <c r="H1721">
        <v>83705514</v>
      </c>
      <c r="I1721" t="s">
        <v>17</v>
      </c>
      <c r="K1721" t="s">
        <v>7599</v>
      </c>
      <c r="L1721">
        <v>92</v>
      </c>
      <c r="M1721" t="s">
        <v>7600</v>
      </c>
    </row>
    <row r="1722" spans="1:13" x14ac:dyDescent="0.45">
      <c r="A1722" t="s">
        <v>3601</v>
      </c>
      <c r="B1722">
        <v>1790576</v>
      </c>
      <c r="C1722">
        <v>1791496</v>
      </c>
      <c r="E1722" t="s">
        <v>14</v>
      </c>
      <c r="F1722" t="s">
        <v>905</v>
      </c>
      <c r="G1722" t="s">
        <v>906</v>
      </c>
      <c r="H1722">
        <v>83705515</v>
      </c>
      <c r="I1722" t="s">
        <v>17</v>
      </c>
      <c r="K1722" t="s">
        <v>7601</v>
      </c>
      <c r="L1722">
        <v>306</v>
      </c>
      <c r="M1722" t="s">
        <v>7602</v>
      </c>
    </row>
    <row r="1723" spans="1:13" x14ac:dyDescent="0.45">
      <c r="A1723" t="s">
        <v>3601</v>
      </c>
      <c r="B1723">
        <v>1791752</v>
      </c>
      <c r="C1723">
        <v>1792234</v>
      </c>
      <c r="E1723" t="s">
        <v>42</v>
      </c>
      <c r="F1723" t="s">
        <v>114</v>
      </c>
      <c r="G1723" t="s">
        <v>115</v>
      </c>
      <c r="H1723">
        <v>83705516</v>
      </c>
      <c r="I1723" t="s">
        <v>17</v>
      </c>
      <c r="K1723" t="s">
        <v>7603</v>
      </c>
      <c r="L1723">
        <v>160</v>
      </c>
      <c r="M1723" t="s">
        <v>7604</v>
      </c>
    </row>
    <row r="1724" spans="1:13" x14ac:dyDescent="0.45">
      <c r="A1724" t="s">
        <v>3601</v>
      </c>
      <c r="B1724">
        <v>1792307</v>
      </c>
      <c r="C1724">
        <v>1793884</v>
      </c>
      <c r="E1724" t="s">
        <v>42</v>
      </c>
      <c r="F1724" t="s">
        <v>7605</v>
      </c>
      <c r="G1724" t="s">
        <v>7606</v>
      </c>
      <c r="H1724">
        <v>83705517</v>
      </c>
      <c r="I1724" t="s">
        <v>17</v>
      </c>
      <c r="K1724" t="s">
        <v>7607</v>
      </c>
      <c r="L1724">
        <v>525</v>
      </c>
      <c r="M1724" t="s">
        <v>7608</v>
      </c>
    </row>
    <row r="1725" spans="1:13" x14ac:dyDescent="0.45">
      <c r="A1725" t="s">
        <v>3601</v>
      </c>
      <c r="B1725">
        <v>1793993</v>
      </c>
      <c r="C1725">
        <v>1794475</v>
      </c>
      <c r="E1725" t="s">
        <v>42</v>
      </c>
      <c r="F1725" t="s">
        <v>144</v>
      </c>
      <c r="H1725">
        <v>83705518</v>
      </c>
      <c r="I1725" t="s">
        <v>17</v>
      </c>
      <c r="K1725" t="s">
        <v>7609</v>
      </c>
      <c r="L1725">
        <v>160</v>
      </c>
      <c r="M1725" t="s">
        <v>7610</v>
      </c>
    </row>
    <row r="1726" spans="1:13" x14ac:dyDescent="0.45">
      <c r="A1726" t="s">
        <v>3601</v>
      </c>
      <c r="B1726">
        <v>1794523</v>
      </c>
      <c r="C1726">
        <v>1795854</v>
      </c>
      <c r="E1726" t="s">
        <v>42</v>
      </c>
      <c r="F1726" t="s">
        <v>956</v>
      </c>
      <c r="G1726" t="s">
        <v>957</v>
      </c>
      <c r="H1726">
        <v>83705519</v>
      </c>
      <c r="I1726" t="s">
        <v>17</v>
      </c>
      <c r="K1726" t="s">
        <v>7611</v>
      </c>
      <c r="L1726">
        <v>443</v>
      </c>
      <c r="M1726" t="s">
        <v>7612</v>
      </c>
    </row>
    <row r="1727" spans="1:13" x14ac:dyDescent="0.45">
      <c r="A1727" t="s">
        <v>3601</v>
      </c>
      <c r="B1727">
        <v>1795898</v>
      </c>
      <c r="C1727">
        <v>1796491</v>
      </c>
      <c r="E1727" t="s">
        <v>42</v>
      </c>
      <c r="F1727" t="s">
        <v>45</v>
      </c>
      <c r="H1727">
        <v>83705520</v>
      </c>
      <c r="I1727" t="s">
        <v>17</v>
      </c>
      <c r="K1727" t="s">
        <v>7613</v>
      </c>
      <c r="L1727">
        <v>197</v>
      </c>
      <c r="M1727" t="s">
        <v>7614</v>
      </c>
    </row>
    <row r="1728" spans="1:13" x14ac:dyDescent="0.45">
      <c r="A1728" t="s">
        <v>3601</v>
      </c>
      <c r="B1728">
        <v>1796695</v>
      </c>
      <c r="C1728">
        <v>1799787</v>
      </c>
      <c r="E1728" t="s">
        <v>42</v>
      </c>
      <c r="F1728" t="s">
        <v>61</v>
      </c>
      <c r="H1728">
        <v>83705521</v>
      </c>
      <c r="I1728" t="s">
        <v>17</v>
      </c>
      <c r="K1728" t="s">
        <v>7615</v>
      </c>
      <c r="L1728">
        <v>1030</v>
      </c>
      <c r="M1728" t="s">
        <v>7616</v>
      </c>
    </row>
    <row r="1729" spans="1:13" x14ac:dyDescent="0.45">
      <c r="A1729" t="s">
        <v>3601</v>
      </c>
      <c r="B1729">
        <v>1800122</v>
      </c>
      <c r="C1729">
        <v>1801432</v>
      </c>
      <c r="E1729" t="s">
        <v>42</v>
      </c>
      <c r="F1729" t="s">
        <v>660</v>
      </c>
      <c r="G1729" t="s">
        <v>661</v>
      </c>
      <c r="H1729">
        <v>83705522</v>
      </c>
      <c r="I1729" t="s">
        <v>17</v>
      </c>
      <c r="K1729" t="s">
        <v>7617</v>
      </c>
      <c r="L1729">
        <v>436</v>
      </c>
      <c r="M1729" t="s">
        <v>7618</v>
      </c>
    </row>
    <row r="1730" spans="1:13" x14ac:dyDescent="0.45">
      <c r="A1730" t="s">
        <v>3601</v>
      </c>
      <c r="B1730">
        <v>1801471</v>
      </c>
      <c r="C1730">
        <v>1802379</v>
      </c>
      <c r="E1730" t="s">
        <v>42</v>
      </c>
      <c r="F1730" t="s">
        <v>927</v>
      </c>
      <c r="G1730" t="s">
        <v>928</v>
      </c>
      <c r="H1730">
        <v>83705523</v>
      </c>
      <c r="I1730" t="s">
        <v>17</v>
      </c>
      <c r="K1730" t="s">
        <v>7619</v>
      </c>
      <c r="L1730">
        <v>302</v>
      </c>
      <c r="M1730" t="s">
        <v>7620</v>
      </c>
    </row>
    <row r="1731" spans="1:13" x14ac:dyDescent="0.45">
      <c r="A1731" t="s">
        <v>3601</v>
      </c>
      <c r="B1731">
        <v>1802380</v>
      </c>
      <c r="C1731">
        <v>1803543</v>
      </c>
      <c r="E1731" t="s">
        <v>42</v>
      </c>
      <c r="F1731" t="s">
        <v>7621</v>
      </c>
      <c r="H1731">
        <v>83705524</v>
      </c>
      <c r="I1731" t="s">
        <v>17</v>
      </c>
      <c r="K1731" t="s">
        <v>7622</v>
      </c>
      <c r="L1731">
        <v>387</v>
      </c>
      <c r="M1731" t="s">
        <v>7623</v>
      </c>
    </row>
    <row r="1732" spans="1:13" x14ac:dyDescent="0.45">
      <c r="A1732" t="s">
        <v>3601</v>
      </c>
      <c r="B1732">
        <v>1803527</v>
      </c>
      <c r="C1732">
        <v>1804021</v>
      </c>
      <c r="E1732" t="s">
        <v>42</v>
      </c>
      <c r="F1732" t="s">
        <v>929</v>
      </c>
      <c r="G1732" t="s">
        <v>930</v>
      </c>
      <c r="H1732">
        <v>83705525</v>
      </c>
      <c r="I1732" t="s">
        <v>17</v>
      </c>
      <c r="K1732" t="s">
        <v>7624</v>
      </c>
      <c r="L1732">
        <v>164</v>
      </c>
      <c r="M1732" t="s">
        <v>7625</v>
      </c>
    </row>
    <row r="1733" spans="1:13" x14ac:dyDescent="0.45">
      <c r="A1733" t="s">
        <v>3601</v>
      </c>
      <c r="B1733">
        <v>1804211</v>
      </c>
      <c r="C1733">
        <v>1805701</v>
      </c>
      <c r="E1733" t="s">
        <v>42</v>
      </c>
      <c r="F1733" t="s">
        <v>877</v>
      </c>
      <c r="H1733">
        <v>83705526</v>
      </c>
      <c r="I1733" t="s">
        <v>17</v>
      </c>
      <c r="K1733" t="s">
        <v>7626</v>
      </c>
      <c r="L1733">
        <v>496</v>
      </c>
      <c r="M1733" t="s">
        <v>7627</v>
      </c>
    </row>
    <row r="1734" spans="1:13" x14ac:dyDescent="0.45">
      <c r="A1734" t="s">
        <v>3601</v>
      </c>
      <c r="B1734">
        <v>1805705</v>
      </c>
      <c r="C1734">
        <v>1806391</v>
      </c>
      <c r="E1734" t="s">
        <v>42</v>
      </c>
      <c r="F1734" t="s">
        <v>7628</v>
      </c>
      <c r="G1734" t="s">
        <v>7629</v>
      </c>
      <c r="H1734">
        <v>83705527</v>
      </c>
      <c r="I1734" t="s">
        <v>17</v>
      </c>
      <c r="K1734" t="s">
        <v>7630</v>
      </c>
      <c r="L1734">
        <v>228</v>
      </c>
      <c r="M1734" t="s">
        <v>7631</v>
      </c>
    </row>
    <row r="1735" spans="1:13" x14ac:dyDescent="0.45">
      <c r="A1735" t="s">
        <v>3601</v>
      </c>
      <c r="B1735">
        <v>1806575</v>
      </c>
      <c r="C1735">
        <v>1807108</v>
      </c>
      <c r="E1735" t="s">
        <v>42</v>
      </c>
      <c r="F1735" t="s">
        <v>907</v>
      </c>
      <c r="H1735">
        <v>83705528</v>
      </c>
      <c r="I1735" t="s">
        <v>17</v>
      </c>
      <c r="K1735" t="s">
        <v>7632</v>
      </c>
      <c r="L1735">
        <v>177</v>
      </c>
      <c r="M1735" t="s">
        <v>7633</v>
      </c>
    </row>
    <row r="1736" spans="1:13" x14ac:dyDescent="0.45">
      <c r="A1736" t="s">
        <v>3601</v>
      </c>
      <c r="B1736">
        <v>1807397</v>
      </c>
      <c r="C1736">
        <v>1808290</v>
      </c>
      <c r="E1736" t="s">
        <v>42</v>
      </c>
      <c r="F1736" t="s">
        <v>83</v>
      </c>
      <c r="G1736" t="s">
        <v>84</v>
      </c>
      <c r="H1736">
        <v>83705529</v>
      </c>
      <c r="I1736" t="s">
        <v>17</v>
      </c>
      <c r="K1736" t="s">
        <v>7634</v>
      </c>
      <c r="L1736">
        <v>297</v>
      </c>
      <c r="M1736" t="s">
        <v>7635</v>
      </c>
    </row>
    <row r="1737" spans="1:13" x14ac:dyDescent="0.45">
      <c r="A1737" t="s">
        <v>3601</v>
      </c>
      <c r="B1737">
        <v>1808322</v>
      </c>
      <c r="C1737">
        <v>1808879</v>
      </c>
      <c r="E1737" t="s">
        <v>42</v>
      </c>
      <c r="F1737" t="s">
        <v>85</v>
      </c>
      <c r="H1737">
        <v>83705530</v>
      </c>
      <c r="I1737" t="s">
        <v>17</v>
      </c>
      <c r="K1737" t="s">
        <v>7636</v>
      </c>
      <c r="L1737">
        <v>185</v>
      </c>
      <c r="M1737" t="s">
        <v>7637</v>
      </c>
    </row>
    <row r="1738" spans="1:13" x14ac:dyDescent="0.45">
      <c r="A1738" t="s">
        <v>3601</v>
      </c>
      <c r="B1738">
        <v>1809016</v>
      </c>
      <c r="C1738">
        <v>1809729</v>
      </c>
      <c r="E1738" t="s">
        <v>14</v>
      </c>
      <c r="F1738" t="s">
        <v>1006</v>
      </c>
      <c r="G1738" t="s">
        <v>1007</v>
      </c>
      <c r="H1738">
        <v>83705531</v>
      </c>
      <c r="I1738" t="s">
        <v>17</v>
      </c>
      <c r="K1738" t="s">
        <v>7638</v>
      </c>
      <c r="L1738">
        <v>237</v>
      </c>
      <c r="M1738" t="s">
        <v>7639</v>
      </c>
    </row>
    <row r="1739" spans="1:13" x14ac:dyDescent="0.45">
      <c r="A1739" t="s">
        <v>3601</v>
      </c>
      <c r="B1739">
        <v>1810249</v>
      </c>
      <c r="C1739">
        <v>1811625</v>
      </c>
      <c r="E1739" t="s">
        <v>14</v>
      </c>
      <c r="F1739" t="s">
        <v>7640</v>
      </c>
      <c r="G1739" t="s">
        <v>7641</v>
      </c>
      <c r="H1739">
        <v>83705532</v>
      </c>
      <c r="I1739" t="s">
        <v>17</v>
      </c>
      <c r="K1739" t="s">
        <v>7642</v>
      </c>
      <c r="L1739">
        <v>458</v>
      </c>
      <c r="M1739" t="s">
        <v>7643</v>
      </c>
    </row>
    <row r="1740" spans="1:13" x14ac:dyDescent="0.45">
      <c r="A1740" t="s">
        <v>3601</v>
      </c>
      <c r="B1740">
        <v>1811635</v>
      </c>
      <c r="C1740">
        <v>1812309</v>
      </c>
      <c r="E1740" t="s">
        <v>14</v>
      </c>
      <c r="F1740" t="s">
        <v>7644</v>
      </c>
      <c r="G1740" t="s">
        <v>7645</v>
      </c>
      <c r="H1740">
        <v>83705533</v>
      </c>
      <c r="I1740" t="s">
        <v>17</v>
      </c>
      <c r="K1740" t="s">
        <v>7646</v>
      </c>
      <c r="L1740">
        <v>224</v>
      </c>
      <c r="M1740" t="s">
        <v>7647</v>
      </c>
    </row>
    <row r="1741" spans="1:13" x14ac:dyDescent="0.45">
      <c r="A1741" t="s">
        <v>3601</v>
      </c>
      <c r="B1741">
        <v>1812511</v>
      </c>
      <c r="C1741">
        <v>1813725</v>
      </c>
      <c r="E1741" t="s">
        <v>42</v>
      </c>
      <c r="F1741" t="s">
        <v>7648</v>
      </c>
      <c r="G1741" t="s">
        <v>7649</v>
      </c>
      <c r="H1741">
        <v>83705534</v>
      </c>
      <c r="I1741" t="s">
        <v>17</v>
      </c>
      <c r="K1741" t="s">
        <v>7650</v>
      </c>
      <c r="L1741">
        <v>404</v>
      </c>
      <c r="M1741" t="s">
        <v>7651</v>
      </c>
    </row>
    <row r="1742" spans="1:13" x14ac:dyDescent="0.45">
      <c r="A1742" t="s">
        <v>3601</v>
      </c>
      <c r="B1742">
        <v>1814153</v>
      </c>
      <c r="C1742">
        <v>1815544</v>
      </c>
      <c r="E1742" t="s">
        <v>14</v>
      </c>
      <c r="F1742" t="s">
        <v>680</v>
      </c>
      <c r="G1742" t="s">
        <v>681</v>
      </c>
      <c r="H1742">
        <v>83705535</v>
      </c>
      <c r="I1742" t="s">
        <v>17</v>
      </c>
      <c r="K1742" t="s">
        <v>7652</v>
      </c>
      <c r="L1742">
        <v>463</v>
      </c>
      <c r="M1742" t="s">
        <v>7653</v>
      </c>
    </row>
    <row r="1743" spans="1:13" x14ac:dyDescent="0.45">
      <c r="A1743" t="s">
        <v>3601</v>
      </c>
      <c r="B1743">
        <v>1815583</v>
      </c>
      <c r="C1743">
        <v>1816275</v>
      </c>
      <c r="E1743" t="s">
        <v>42</v>
      </c>
      <c r="F1743" t="s">
        <v>617</v>
      </c>
      <c r="H1743">
        <v>83705536</v>
      </c>
      <c r="I1743" t="s">
        <v>17</v>
      </c>
      <c r="K1743" t="s">
        <v>7654</v>
      </c>
      <c r="L1743">
        <v>230</v>
      </c>
      <c r="M1743" t="s">
        <v>7655</v>
      </c>
    </row>
    <row r="1744" spans="1:13" x14ac:dyDescent="0.45">
      <c r="A1744" t="s">
        <v>3601</v>
      </c>
      <c r="B1744">
        <v>1816276</v>
      </c>
      <c r="C1744">
        <v>1817340</v>
      </c>
      <c r="E1744" t="s">
        <v>42</v>
      </c>
      <c r="F1744" t="s">
        <v>616</v>
      </c>
      <c r="H1744">
        <v>83705537</v>
      </c>
      <c r="I1744" t="s">
        <v>17</v>
      </c>
      <c r="K1744" t="s">
        <v>7656</v>
      </c>
      <c r="L1744">
        <v>354</v>
      </c>
      <c r="M1744" t="s">
        <v>7657</v>
      </c>
    </row>
    <row r="1745" spans="1:13" x14ac:dyDescent="0.45">
      <c r="A1745" t="s">
        <v>3601</v>
      </c>
      <c r="B1745">
        <v>1817333</v>
      </c>
      <c r="C1745">
        <v>1818706</v>
      </c>
      <c r="E1745" t="s">
        <v>42</v>
      </c>
      <c r="F1745" t="s">
        <v>7658</v>
      </c>
      <c r="H1745">
        <v>83705538</v>
      </c>
      <c r="I1745" t="s">
        <v>17</v>
      </c>
      <c r="K1745" t="s">
        <v>7659</v>
      </c>
      <c r="L1745">
        <v>457</v>
      </c>
      <c r="M1745" t="s">
        <v>7660</v>
      </c>
    </row>
    <row r="1746" spans="1:13" x14ac:dyDescent="0.45">
      <c r="A1746" t="s">
        <v>3601</v>
      </c>
      <c r="B1746">
        <v>1818782</v>
      </c>
      <c r="C1746">
        <v>1819627</v>
      </c>
      <c r="E1746" t="s">
        <v>42</v>
      </c>
      <c r="F1746" t="s">
        <v>615</v>
      </c>
      <c r="H1746">
        <v>83705539</v>
      </c>
      <c r="I1746" t="s">
        <v>17</v>
      </c>
      <c r="K1746" t="s">
        <v>7661</v>
      </c>
      <c r="L1746">
        <v>281</v>
      </c>
      <c r="M1746" t="s">
        <v>7662</v>
      </c>
    </row>
    <row r="1747" spans="1:13" x14ac:dyDescent="0.45">
      <c r="A1747" t="s">
        <v>3601</v>
      </c>
      <c r="B1747">
        <v>1820000</v>
      </c>
      <c r="C1747">
        <v>1820845</v>
      </c>
      <c r="E1747" t="s">
        <v>42</v>
      </c>
      <c r="F1747" t="s">
        <v>983</v>
      </c>
      <c r="H1747">
        <v>83705540</v>
      </c>
      <c r="I1747" t="s">
        <v>17</v>
      </c>
      <c r="K1747" t="s">
        <v>7663</v>
      </c>
      <c r="L1747">
        <v>281</v>
      </c>
      <c r="M1747" t="s">
        <v>7664</v>
      </c>
    </row>
    <row r="1748" spans="1:13" x14ac:dyDescent="0.45">
      <c r="A1748" t="s">
        <v>3601</v>
      </c>
      <c r="B1748">
        <v>1821067</v>
      </c>
      <c r="C1748">
        <v>1821783</v>
      </c>
      <c r="E1748" t="s">
        <v>42</v>
      </c>
      <c r="F1748" t="s">
        <v>503</v>
      </c>
      <c r="H1748">
        <v>83705541</v>
      </c>
      <c r="I1748" t="s">
        <v>17</v>
      </c>
      <c r="K1748" t="s">
        <v>7665</v>
      </c>
      <c r="L1748">
        <v>238</v>
      </c>
      <c r="M1748" t="s">
        <v>7666</v>
      </c>
    </row>
    <row r="1749" spans="1:13" x14ac:dyDescent="0.45">
      <c r="A1749" t="s">
        <v>3601</v>
      </c>
      <c r="B1749">
        <v>1821924</v>
      </c>
      <c r="C1749">
        <v>1822640</v>
      </c>
      <c r="E1749" t="s">
        <v>42</v>
      </c>
      <c r="F1749" t="s">
        <v>95</v>
      </c>
      <c r="H1749">
        <v>83705542</v>
      </c>
      <c r="I1749" t="s">
        <v>17</v>
      </c>
      <c r="K1749" t="s">
        <v>7667</v>
      </c>
      <c r="L1749">
        <v>238</v>
      </c>
      <c r="M1749" t="s">
        <v>7668</v>
      </c>
    </row>
    <row r="1750" spans="1:13" x14ac:dyDescent="0.45">
      <c r="A1750" t="s">
        <v>3601</v>
      </c>
      <c r="B1750">
        <v>1822995</v>
      </c>
      <c r="C1750">
        <v>1824095</v>
      </c>
      <c r="E1750" t="s">
        <v>42</v>
      </c>
      <c r="F1750" t="s">
        <v>908</v>
      </c>
      <c r="H1750">
        <v>83705543</v>
      </c>
      <c r="I1750" t="s">
        <v>17</v>
      </c>
      <c r="K1750" t="s">
        <v>7669</v>
      </c>
      <c r="L1750">
        <v>366</v>
      </c>
      <c r="M1750" t="s">
        <v>7670</v>
      </c>
    </row>
    <row r="1751" spans="1:13" x14ac:dyDescent="0.45">
      <c r="A1751" t="s">
        <v>3601</v>
      </c>
      <c r="B1751">
        <v>1824205</v>
      </c>
      <c r="C1751">
        <v>1824966</v>
      </c>
      <c r="E1751" t="s">
        <v>42</v>
      </c>
      <c r="F1751" t="s">
        <v>7671</v>
      </c>
      <c r="H1751">
        <v>83705544</v>
      </c>
      <c r="I1751" t="s">
        <v>17</v>
      </c>
      <c r="K1751" t="s">
        <v>7672</v>
      </c>
      <c r="L1751">
        <v>253</v>
      </c>
      <c r="M1751" t="s">
        <v>7673</v>
      </c>
    </row>
    <row r="1752" spans="1:13" x14ac:dyDescent="0.45">
      <c r="A1752" t="s">
        <v>3601</v>
      </c>
      <c r="B1752">
        <v>1825078</v>
      </c>
      <c r="C1752">
        <v>1825431</v>
      </c>
      <c r="E1752" t="s">
        <v>42</v>
      </c>
      <c r="F1752" t="s">
        <v>909</v>
      </c>
      <c r="G1752" t="s">
        <v>910</v>
      </c>
      <c r="H1752">
        <v>83705545</v>
      </c>
      <c r="I1752" t="s">
        <v>17</v>
      </c>
      <c r="K1752" t="s">
        <v>7674</v>
      </c>
      <c r="L1752">
        <v>117</v>
      </c>
      <c r="M1752" t="s">
        <v>7675</v>
      </c>
    </row>
    <row r="1753" spans="1:13" x14ac:dyDescent="0.45">
      <c r="A1753" t="s">
        <v>3601</v>
      </c>
      <c r="B1753">
        <v>1825433</v>
      </c>
      <c r="C1753">
        <v>1826026</v>
      </c>
      <c r="E1753" t="s">
        <v>42</v>
      </c>
      <c r="F1753" t="s">
        <v>911</v>
      </c>
      <c r="G1753" t="s">
        <v>912</v>
      </c>
      <c r="H1753">
        <v>83705546</v>
      </c>
      <c r="I1753" t="s">
        <v>17</v>
      </c>
      <c r="K1753" t="s">
        <v>7676</v>
      </c>
      <c r="L1753">
        <v>197</v>
      </c>
      <c r="M1753" t="s">
        <v>7677</v>
      </c>
    </row>
    <row r="1754" spans="1:13" x14ac:dyDescent="0.45">
      <c r="A1754" t="s">
        <v>3601</v>
      </c>
      <c r="B1754">
        <v>1826023</v>
      </c>
      <c r="C1754">
        <v>1826655</v>
      </c>
      <c r="E1754" t="s">
        <v>42</v>
      </c>
      <c r="F1754" t="s">
        <v>913</v>
      </c>
      <c r="H1754">
        <v>83705547</v>
      </c>
      <c r="I1754" t="s">
        <v>17</v>
      </c>
      <c r="K1754" t="s">
        <v>7678</v>
      </c>
      <c r="L1754">
        <v>210</v>
      </c>
      <c r="M1754" t="s">
        <v>7679</v>
      </c>
    </row>
    <row r="1755" spans="1:13" x14ac:dyDescent="0.45">
      <c r="A1755" t="s">
        <v>3601</v>
      </c>
      <c r="B1755">
        <v>1826739</v>
      </c>
      <c r="C1755">
        <v>1827047</v>
      </c>
      <c r="E1755" t="s">
        <v>42</v>
      </c>
      <c r="F1755" t="s">
        <v>7680</v>
      </c>
      <c r="G1755" t="s">
        <v>7681</v>
      </c>
      <c r="H1755">
        <v>83705548</v>
      </c>
      <c r="I1755" t="s">
        <v>17</v>
      </c>
      <c r="K1755" t="s">
        <v>7682</v>
      </c>
      <c r="L1755">
        <v>102</v>
      </c>
      <c r="M1755" t="s">
        <v>7683</v>
      </c>
    </row>
    <row r="1756" spans="1:13" x14ac:dyDescent="0.45">
      <c r="A1756" t="s">
        <v>3601</v>
      </c>
      <c r="B1756">
        <v>1827074</v>
      </c>
      <c r="C1756">
        <v>1828192</v>
      </c>
      <c r="E1756" t="s">
        <v>42</v>
      </c>
      <c r="F1756" t="s">
        <v>914</v>
      </c>
      <c r="G1756" t="s">
        <v>915</v>
      </c>
      <c r="H1756">
        <v>83705549</v>
      </c>
      <c r="I1756" t="s">
        <v>17</v>
      </c>
      <c r="K1756" t="s">
        <v>7684</v>
      </c>
      <c r="L1756">
        <v>372</v>
      </c>
      <c r="M1756" t="s">
        <v>7685</v>
      </c>
    </row>
    <row r="1757" spans="1:13" x14ac:dyDescent="0.45">
      <c r="A1757" t="s">
        <v>3601</v>
      </c>
      <c r="B1757">
        <v>1828192</v>
      </c>
      <c r="C1757">
        <v>1828719</v>
      </c>
      <c r="E1757" t="s">
        <v>42</v>
      </c>
      <c r="F1757" t="s">
        <v>916</v>
      </c>
      <c r="H1757">
        <v>83705550</v>
      </c>
      <c r="I1757" t="s">
        <v>17</v>
      </c>
      <c r="K1757" t="s">
        <v>7686</v>
      </c>
      <c r="L1757">
        <v>175</v>
      </c>
      <c r="M1757" t="s">
        <v>7687</v>
      </c>
    </row>
    <row r="1758" spans="1:13" x14ac:dyDescent="0.45">
      <c r="A1758" t="s">
        <v>3601</v>
      </c>
      <c r="B1758">
        <v>1828858</v>
      </c>
      <c r="C1758">
        <v>1829343</v>
      </c>
      <c r="E1758" t="s">
        <v>42</v>
      </c>
      <c r="F1758" t="s">
        <v>7688</v>
      </c>
      <c r="H1758">
        <v>83705551</v>
      </c>
      <c r="I1758" t="s">
        <v>17</v>
      </c>
      <c r="K1758" t="s">
        <v>7689</v>
      </c>
      <c r="L1758">
        <v>161</v>
      </c>
      <c r="M1758" t="s">
        <v>7690</v>
      </c>
    </row>
    <row r="1759" spans="1:13" x14ac:dyDescent="0.45">
      <c r="A1759" t="s">
        <v>3601</v>
      </c>
      <c r="B1759">
        <v>1829432</v>
      </c>
      <c r="C1759">
        <v>1829505</v>
      </c>
      <c r="E1759" t="s">
        <v>42</v>
      </c>
      <c r="F1759" t="s">
        <v>352</v>
      </c>
      <c r="H1759">
        <v>83705552</v>
      </c>
      <c r="I1759" t="s">
        <v>44</v>
      </c>
      <c r="M1759" t="s">
        <v>7691</v>
      </c>
    </row>
    <row r="1760" spans="1:13" x14ac:dyDescent="0.45">
      <c r="A1760" t="s">
        <v>3601</v>
      </c>
      <c r="B1760">
        <v>1829744</v>
      </c>
      <c r="C1760">
        <v>1829817</v>
      </c>
      <c r="E1760" t="s">
        <v>42</v>
      </c>
      <c r="F1760" t="s">
        <v>69</v>
      </c>
      <c r="H1760">
        <v>83705553</v>
      </c>
      <c r="I1760" t="s">
        <v>44</v>
      </c>
      <c r="M1760" t="s">
        <v>7692</v>
      </c>
    </row>
    <row r="1761" spans="1:13" x14ac:dyDescent="0.45">
      <c r="A1761" t="s">
        <v>3601</v>
      </c>
      <c r="B1761">
        <v>1829823</v>
      </c>
      <c r="C1761">
        <v>1829938</v>
      </c>
      <c r="E1761" t="s">
        <v>42</v>
      </c>
      <c r="F1761" t="s">
        <v>67</v>
      </c>
      <c r="G1761" t="s">
        <v>68</v>
      </c>
      <c r="H1761">
        <v>83705554</v>
      </c>
      <c r="I1761" t="s">
        <v>65</v>
      </c>
      <c r="M1761" t="s">
        <v>7693</v>
      </c>
    </row>
    <row r="1762" spans="1:13" x14ac:dyDescent="0.45">
      <c r="A1762" t="s">
        <v>3601</v>
      </c>
      <c r="B1762">
        <v>1830023</v>
      </c>
      <c r="C1762">
        <v>1832922</v>
      </c>
      <c r="E1762" t="s">
        <v>42</v>
      </c>
      <c r="F1762" t="s">
        <v>66</v>
      </c>
      <c r="H1762">
        <v>83705555</v>
      </c>
      <c r="I1762" t="s">
        <v>65</v>
      </c>
      <c r="M1762" t="s">
        <v>7694</v>
      </c>
    </row>
    <row r="1763" spans="1:13" x14ac:dyDescent="0.45">
      <c r="A1763" t="s">
        <v>3601</v>
      </c>
      <c r="B1763">
        <v>1833233</v>
      </c>
      <c r="C1763">
        <v>1833305</v>
      </c>
      <c r="E1763" t="s">
        <v>42</v>
      </c>
      <c r="F1763" t="s">
        <v>349</v>
      </c>
      <c r="H1763">
        <v>83705556</v>
      </c>
      <c r="I1763" t="s">
        <v>44</v>
      </c>
      <c r="M1763" t="s">
        <v>7695</v>
      </c>
    </row>
    <row r="1764" spans="1:13" x14ac:dyDescent="0.45">
      <c r="A1764" t="s">
        <v>3601</v>
      </c>
      <c r="B1764">
        <v>1833361</v>
      </c>
      <c r="C1764">
        <v>1834909</v>
      </c>
      <c r="E1764" t="s">
        <v>42</v>
      </c>
      <c r="F1764" t="s">
        <v>64</v>
      </c>
      <c r="H1764">
        <v>83705557</v>
      </c>
      <c r="I1764" t="s">
        <v>65</v>
      </c>
      <c r="M1764" t="s">
        <v>7696</v>
      </c>
    </row>
    <row r="1765" spans="1:13" x14ac:dyDescent="0.45">
      <c r="A1765" t="s">
        <v>3601</v>
      </c>
      <c r="B1765">
        <v>1835290</v>
      </c>
      <c r="C1765">
        <v>1836213</v>
      </c>
      <c r="E1765" t="s">
        <v>42</v>
      </c>
      <c r="F1765" t="s">
        <v>55</v>
      </c>
      <c r="H1765">
        <v>83705558</v>
      </c>
      <c r="I1765" t="s">
        <v>17</v>
      </c>
      <c r="K1765" t="s">
        <v>7697</v>
      </c>
      <c r="L1765">
        <v>307</v>
      </c>
      <c r="M1765" t="s">
        <v>7698</v>
      </c>
    </row>
    <row r="1766" spans="1:13" x14ac:dyDescent="0.45">
      <c r="A1766" t="s">
        <v>3601</v>
      </c>
      <c r="B1766">
        <v>1836206</v>
      </c>
      <c r="C1766">
        <v>1837276</v>
      </c>
      <c r="E1766" t="s">
        <v>42</v>
      </c>
      <c r="F1766" t="s">
        <v>72</v>
      </c>
      <c r="H1766">
        <v>83705559</v>
      </c>
      <c r="I1766" t="s">
        <v>17</v>
      </c>
      <c r="K1766" t="s">
        <v>7699</v>
      </c>
      <c r="L1766">
        <v>356</v>
      </c>
      <c r="M1766" t="s">
        <v>7700</v>
      </c>
    </row>
    <row r="1767" spans="1:13" x14ac:dyDescent="0.45">
      <c r="A1767" t="s">
        <v>3601</v>
      </c>
      <c r="B1767">
        <v>1837285</v>
      </c>
      <c r="C1767">
        <v>1838211</v>
      </c>
      <c r="E1767" t="s">
        <v>42</v>
      </c>
      <c r="F1767" t="s">
        <v>7701</v>
      </c>
      <c r="G1767" t="s">
        <v>7702</v>
      </c>
      <c r="H1767">
        <v>83705560</v>
      </c>
      <c r="I1767" t="s">
        <v>17</v>
      </c>
      <c r="K1767" t="s">
        <v>7703</v>
      </c>
      <c r="L1767">
        <v>308</v>
      </c>
      <c r="M1767" t="s">
        <v>7704</v>
      </c>
    </row>
    <row r="1768" spans="1:13" x14ac:dyDescent="0.45">
      <c r="A1768" t="s">
        <v>3601</v>
      </c>
      <c r="B1768">
        <v>1838211</v>
      </c>
      <c r="C1768">
        <v>1839710</v>
      </c>
      <c r="E1768" t="s">
        <v>42</v>
      </c>
      <c r="F1768" t="s">
        <v>113</v>
      </c>
      <c r="H1768">
        <v>83705561</v>
      </c>
      <c r="I1768" t="s">
        <v>17</v>
      </c>
      <c r="K1768" t="s">
        <v>7705</v>
      </c>
      <c r="L1768">
        <v>499</v>
      </c>
      <c r="M1768" t="s">
        <v>7706</v>
      </c>
    </row>
    <row r="1769" spans="1:13" x14ac:dyDescent="0.45">
      <c r="A1769" t="s">
        <v>3601</v>
      </c>
      <c r="B1769">
        <v>1839774</v>
      </c>
      <c r="C1769">
        <v>1841750</v>
      </c>
      <c r="E1769" t="s">
        <v>42</v>
      </c>
      <c r="F1769" t="s">
        <v>111</v>
      </c>
      <c r="H1769">
        <v>83705562</v>
      </c>
      <c r="I1769" t="s">
        <v>17</v>
      </c>
      <c r="K1769" t="s">
        <v>7707</v>
      </c>
      <c r="L1769">
        <v>658</v>
      </c>
      <c r="M1769" t="s">
        <v>7708</v>
      </c>
    </row>
    <row r="1770" spans="1:13" x14ac:dyDescent="0.45">
      <c r="A1770" t="s">
        <v>3601</v>
      </c>
      <c r="B1770">
        <v>1842059</v>
      </c>
      <c r="C1770">
        <v>1843297</v>
      </c>
      <c r="E1770" t="s">
        <v>14</v>
      </c>
      <c r="F1770" t="s">
        <v>7709</v>
      </c>
      <c r="G1770" t="s">
        <v>7710</v>
      </c>
      <c r="H1770">
        <v>83705563</v>
      </c>
      <c r="I1770" t="s">
        <v>17</v>
      </c>
      <c r="K1770" t="s">
        <v>7711</v>
      </c>
      <c r="L1770">
        <v>412</v>
      </c>
      <c r="M1770" t="s">
        <v>7712</v>
      </c>
    </row>
    <row r="1771" spans="1:13" x14ac:dyDescent="0.45">
      <c r="A1771" t="s">
        <v>3601</v>
      </c>
      <c r="B1771">
        <v>1843609</v>
      </c>
      <c r="C1771">
        <v>1844844</v>
      </c>
      <c r="E1771" t="s">
        <v>14</v>
      </c>
      <c r="F1771" t="s">
        <v>7709</v>
      </c>
      <c r="G1771" t="s">
        <v>7710</v>
      </c>
      <c r="H1771">
        <v>83705564</v>
      </c>
      <c r="I1771" t="s">
        <v>17</v>
      </c>
      <c r="K1771" t="s">
        <v>7713</v>
      </c>
      <c r="L1771">
        <v>411</v>
      </c>
      <c r="M1771" t="s">
        <v>7714</v>
      </c>
    </row>
    <row r="1772" spans="1:13" x14ac:dyDescent="0.45">
      <c r="A1772" t="s">
        <v>3601</v>
      </c>
      <c r="B1772">
        <v>1844927</v>
      </c>
      <c r="C1772">
        <v>1846108</v>
      </c>
      <c r="E1772" t="s">
        <v>14</v>
      </c>
      <c r="F1772" t="s">
        <v>7715</v>
      </c>
      <c r="H1772">
        <v>83705565</v>
      </c>
      <c r="I1772" t="s">
        <v>17</v>
      </c>
      <c r="K1772" t="s">
        <v>7716</v>
      </c>
      <c r="L1772">
        <v>393</v>
      </c>
      <c r="M1772" t="s">
        <v>7717</v>
      </c>
    </row>
    <row r="1773" spans="1:13" x14ac:dyDescent="0.45">
      <c r="A1773" t="s">
        <v>3601</v>
      </c>
      <c r="B1773">
        <v>1846268</v>
      </c>
      <c r="C1773">
        <v>1847686</v>
      </c>
      <c r="E1773" t="s">
        <v>42</v>
      </c>
      <c r="F1773" t="s">
        <v>7718</v>
      </c>
      <c r="G1773" t="s">
        <v>7719</v>
      </c>
      <c r="H1773">
        <v>83705566</v>
      </c>
      <c r="I1773" t="s">
        <v>17</v>
      </c>
      <c r="K1773" t="s">
        <v>7720</v>
      </c>
      <c r="L1773">
        <v>472</v>
      </c>
      <c r="M1773" t="s">
        <v>7721</v>
      </c>
    </row>
    <row r="1774" spans="1:13" x14ac:dyDescent="0.45">
      <c r="A1774" t="s">
        <v>3601</v>
      </c>
      <c r="B1774">
        <v>1847725</v>
      </c>
      <c r="C1774">
        <v>1848162</v>
      </c>
      <c r="E1774" t="s">
        <v>42</v>
      </c>
      <c r="F1774" t="s">
        <v>7722</v>
      </c>
      <c r="G1774" t="s">
        <v>7723</v>
      </c>
      <c r="H1774">
        <v>83705567</v>
      </c>
      <c r="I1774" t="s">
        <v>17</v>
      </c>
      <c r="K1774" t="s">
        <v>7724</v>
      </c>
      <c r="L1774">
        <v>145</v>
      </c>
      <c r="M1774" t="s">
        <v>7725</v>
      </c>
    </row>
    <row r="1775" spans="1:13" x14ac:dyDescent="0.45">
      <c r="A1775" t="s">
        <v>3601</v>
      </c>
      <c r="B1775">
        <v>1848149</v>
      </c>
      <c r="C1775">
        <v>1849375</v>
      </c>
      <c r="E1775" t="s">
        <v>42</v>
      </c>
      <c r="F1775" t="s">
        <v>7726</v>
      </c>
      <c r="H1775">
        <v>83705568</v>
      </c>
      <c r="I1775" t="s">
        <v>17</v>
      </c>
      <c r="K1775" t="s">
        <v>7727</v>
      </c>
      <c r="L1775">
        <v>408</v>
      </c>
      <c r="M1775" t="s">
        <v>7728</v>
      </c>
    </row>
    <row r="1776" spans="1:13" x14ac:dyDescent="0.45">
      <c r="A1776" t="s">
        <v>3601</v>
      </c>
      <c r="B1776">
        <v>1849402</v>
      </c>
      <c r="C1776">
        <v>1850664</v>
      </c>
      <c r="E1776" t="s">
        <v>42</v>
      </c>
      <c r="F1776" t="s">
        <v>7729</v>
      </c>
      <c r="G1776" t="s">
        <v>7730</v>
      </c>
      <c r="H1776">
        <v>83705569</v>
      </c>
      <c r="I1776" t="s">
        <v>17</v>
      </c>
      <c r="K1776" t="s">
        <v>7731</v>
      </c>
      <c r="L1776">
        <v>420</v>
      </c>
      <c r="M1776" t="s">
        <v>7732</v>
      </c>
    </row>
    <row r="1777" spans="1:13" x14ac:dyDescent="0.45">
      <c r="A1777" t="s">
        <v>3601</v>
      </c>
      <c r="B1777">
        <v>1850755</v>
      </c>
      <c r="C1777">
        <v>1851525</v>
      </c>
      <c r="E1777" t="s">
        <v>42</v>
      </c>
      <c r="F1777" t="s">
        <v>7733</v>
      </c>
      <c r="G1777" t="s">
        <v>7734</v>
      </c>
      <c r="H1777">
        <v>83705570</v>
      </c>
      <c r="I1777" t="s">
        <v>17</v>
      </c>
      <c r="K1777" t="s">
        <v>7735</v>
      </c>
      <c r="L1777">
        <v>256</v>
      </c>
      <c r="M1777" t="s">
        <v>7736</v>
      </c>
    </row>
    <row r="1778" spans="1:13" x14ac:dyDescent="0.45">
      <c r="A1778" t="s">
        <v>3601</v>
      </c>
      <c r="B1778">
        <v>1851652</v>
      </c>
      <c r="C1778">
        <v>1852809</v>
      </c>
      <c r="E1778" t="s">
        <v>42</v>
      </c>
      <c r="F1778" t="s">
        <v>363</v>
      </c>
      <c r="H1778">
        <v>83705571</v>
      </c>
      <c r="I1778" t="s">
        <v>17</v>
      </c>
      <c r="K1778" t="s">
        <v>7737</v>
      </c>
      <c r="L1778">
        <v>385</v>
      </c>
      <c r="M1778" t="s">
        <v>7738</v>
      </c>
    </row>
    <row r="1779" spans="1:13" x14ac:dyDescent="0.45">
      <c r="A1779" t="s">
        <v>3601</v>
      </c>
      <c r="B1779">
        <v>1852816</v>
      </c>
      <c r="C1779">
        <v>1853580</v>
      </c>
      <c r="E1779" t="s">
        <v>42</v>
      </c>
      <c r="F1779" t="s">
        <v>439</v>
      </c>
      <c r="G1779" t="s">
        <v>7739</v>
      </c>
      <c r="H1779">
        <v>83705572</v>
      </c>
      <c r="I1779" t="s">
        <v>17</v>
      </c>
      <c r="K1779" t="s">
        <v>7740</v>
      </c>
      <c r="L1779">
        <v>254</v>
      </c>
      <c r="M1779" t="s">
        <v>7741</v>
      </c>
    </row>
    <row r="1780" spans="1:13" x14ac:dyDescent="0.45">
      <c r="A1780" t="s">
        <v>3601</v>
      </c>
      <c r="B1780">
        <v>1853700</v>
      </c>
      <c r="C1780">
        <v>1854539</v>
      </c>
      <c r="E1780" t="s">
        <v>42</v>
      </c>
      <c r="F1780" t="s">
        <v>7742</v>
      </c>
      <c r="H1780">
        <v>83705573</v>
      </c>
      <c r="I1780" t="s">
        <v>17</v>
      </c>
      <c r="K1780" t="s">
        <v>7743</v>
      </c>
      <c r="L1780">
        <v>279</v>
      </c>
      <c r="M1780" t="s">
        <v>7744</v>
      </c>
    </row>
    <row r="1781" spans="1:13" x14ac:dyDescent="0.45">
      <c r="A1781" t="s">
        <v>3601</v>
      </c>
      <c r="B1781">
        <v>1854855</v>
      </c>
      <c r="C1781">
        <v>1856423</v>
      </c>
      <c r="E1781" t="s">
        <v>14</v>
      </c>
      <c r="F1781" t="s">
        <v>87</v>
      </c>
      <c r="H1781">
        <v>83705574</v>
      </c>
      <c r="I1781" t="s">
        <v>17</v>
      </c>
      <c r="K1781" t="s">
        <v>7745</v>
      </c>
      <c r="L1781">
        <v>522</v>
      </c>
      <c r="M1781" t="s">
        <v>7746</v>
      </c>
    </row>
    <row r="1782" spans="1:13" x14ac:dyDescent="0.45">
      <c r="A1782" t="s">
        <v>3601</v>
      </c>
      <c r="B1782">
        <v>1856416</v>
      </c>
      <c r="C1782">
        <v>1857156</v>
      </c>
      <c r="E1782" t="s">
        <v>14</v>
      </c>
      <c r="F1782" t="s">
        <v>86</v>
      </c>
      <c r="H1782">
        <v>83705575</v>
      </c>
      <c r="I1782" t="s">
        <v>17</v>
      </c>
      <c r="K1782" t="s">
        <v>7747</v>
      </c>
      <c r="L1782">
        <v>246</v>
      </c>
      <c r="M1782" t="s">
        <v>7748</v>
      </c>
    </row>
    <row r="1783" spans="1:13" x14ac:dyDescent="0.45">
      <c r="A1783" t="s">
        <v>3601</v>
      </c>
      <c r="B1783">
        <v>1857483</v>
      </c>
      <c r="C1783">
        <v>1857599</v>
      </c>
      <c r="E1783" t="s">
        <v>14</v>
      </c>
      <c r="F1783" t="s">
        <v>7749</v>
      </c>
      <c r="H1783">
        <v>83705576</v>
      </c>
      <c r="I1783" t="s">
        <v>17</v>
      </c>
      <c r="K1783" t="s">
        <v>7750</v>
      </c>
      <c r="L1783">
        <v>38</v>
      </c>
      <c r="M1783" t="s">
        <v>7751</v>
      </c>
    </row>
    <row r="1784" spans="1:13" x14ac:dyDescent="0.45">
      <c r="A1784" t="s">
        <v>3601</v>
      </c>
      <c r="B1784">
        <v>1858115</v>
      </c>
      <c r="C1784">
        <v>1859005</v>
      </c>
      <c r="E1784" t="s">
        <v>42</v>
      </c>
      <c r="F1784" t="s">
        <v>952</v>
      </c>
      <c r="H1784">
        <v>83705577</v>
      </c>
      <c r="I1784" t="s">
        <v>17</v>
      </c>
      <c r="K1784" t="s">
        <v>7752</v>
      </c>
      <c r="L1784">
        <v>296</v>
      </c>
      <c r="M1784" t="s">
        <v>7753</v>
      </c>
    </row>
    <row r="1785" spans="1:13" x14ac:dyDescent="0.45">
      <c r="A1785" t="s">
        <v>3601</v>
      </c>
      <c r="B1785">
        <v>1859269</v>
      </c>
      <c r="C1785">
        <v>1860933</v>
      </c>
      <c r="E1785" t="s">
        <v>42</v>
      </c>
      <c r="F1785" t="s">
        <v>823</v>
      </c>
      <c r="H1785">
        <v>83705578</v>
      </c>
      <c r="I1785" t="s">
        <v>17</v>
      </c>
      <c r="K1785" t="s">
        <v>7754</v>
      </c>
      <c r="L1785">
        <v>554</v>
      </c>
      <c r="M1785" t="s">
        <v>7755</v>
      </c>
    </row>
    <row r="1786" spans="1:13" x14ac:dyDescent="0.45">
      <c r="A1786" t="s">
        <v>3601</v>
      </c>
      <c r="B1786">
        <v>1860933</v>
      </c>
      <c r="C1786">
        <v>1861298</v>
      </c>
      <c r="E1786" t="s">
        <v>42</v>
      </c>
      <c r="F1786" t="s">
        <v>824</v>
      </c>
      <c r="H1786">
        <v>83705579</v>
      </c>
      <c r="I1786" t="s">
        <v>17</v>
      </c>
      <c r="K1786" t="s">
        <v>7756</v>
      </c>
      <c r="L1786">
        <v>121</v>
      </c>
      <c r="M1786" t="s">
        <v>7757</v>
      </c>
    </row>
    <row r="1787" spans="1:13" x14ac:dyDescent="0.45">
      <c r="A1787" t="s">
        <v>3601</v>
      </c>
      <c r="B1787">
        <v>1861450</v>
      </c>
      <c r="C1787">
        <v>1861638</v>
      </c>
      <c r="E1787" t="s">
        <v>42</v>
      </c>
      <c r="F1787" t="s">
        <v>825</v>
      </c>
      <c r="G1787" t="s">
        <v>826</v>
      </c>
      <c r="H1787">
        <v>83705580</v>
      </c>
      <c r="I1787" t="s">
        <v>17</v>
      </c>
      <c r="K1787" t="s">
        <v>7758</v>
      </c>
      <c r="L1787">
        <v>62</v>
      </c>
      <c r="M1787" t="s">
        <v>7759</v>
      </c>
    </row>
    <row r="1788" spans="1:13" x14ac:dyDescent="0.45">
      <c r="A1788" t="s">
        <v>3601</v>
      </c>
      <c r="B1788">
        <v>1862134</v>
      </c>
      <c r="C1788">
        <v>1862499</v>
      </c>
      <c r="E1788" t="s">
        <v>42</v>
      </c>
      <c r="F1788" t="s">
        <v>45</v>
      </c>
      <c r="H1788">
        <v>83705581</v>
      </c>
      <c r="I1788" t="s">
        <v>17</v>
      </c>
      <c r="K1788" t="s">
        <v>7760</v>
      </c>
      <c r="L1788">
        <v>121</v>
      </c>
      <c r="M1788" t="s">
        <v>7761</v>
      </c>
    </row>
    <row r="1789" spans="1:13" x14ac:dyDescent="0.45">
      <c r="A1789" t="s">
        <v>3601</v>
      </c>
      <c r="B1789">
        <v>1863094</v>
      </c>
      <c r="C1789">
        <v>1863975</v>
      </c>
      <c r="E1789" t="s">
        <v>42</v>
      </c>
      <c r="F1789" t="s">
        <v>7762</v>
      </c>
      <c r="H1789">
        <v>83705582</v>
      </c>
      <c r="I1789" t="s">
        <v>17</v>
      </c>
      <c r="K1789" t="s">
        <v>7763</v>
      </c>
      <c r="L1789">
        <v>293</v>
      </c>
      <c r="M1789" t="s">
        <v>7764</v>
      </c>
    </row>
    <row r="1790" spans="1:13" x14ac:dyDescent="0.45">
      <c r="A1790" t="s">
        <v>3601</v>
      </c>
      <c r="B1790">
        <v>1864176</v>
      </c>
      <c r="C1790">
        <v>1864261</v>
      </c>
      <c r="E1790" t="s">
        <v>42</v>
      </c>
      <c r="F1790" t="s">
        <v>351</v>
      </c>
      <c r="H1790">
        <v>83705583</v>
      </c>
      <c r="I1790" t="s">
        <v>44</v>
      </c>
      <c r="M1790" t="s">
        <v>7765</v>
      </c>
    </row>
    <row r="1791" spans="1:13" x14ac:dyDescent="0.45">
      <c r="A1791" t="s">
        <v>3601</v>
      </c>
      <c r="B1791">
        <v>1864315</v>
      </c>
      <c r="C1791">
        <v>1865241</v>
      </c>
      <c r="E1791" t="s">
        <v>42</v>
      </c>
      <c r="F1791" t="s">
        <v>90</v>
      </c>
      <c r="H1791">
        <v>83705584</v>
      </c>
      <c r="I1791" t="s">
        <v>17</v>
      </c>
      <c r="K1791" t="s">
        <v>7766</v>
      </c>
      <c r="L1791">
        <v>308</v>
      </c>
      <c r="M1791" t="s">
        <v>7767</v>
      </c>
    </row>
    <row r="1792" spans="1:13" x14ac:dyDescent="0.45">
      <c r="A1792" t="s">
        <v>3601</v>
      </c>
      <c r="B1792">
        <v>1865610</v>
      </c>
      <c r="C1792">
        <v>1867214</v>
      </c>
      <c r="E1792" t="s">
        <v>42</v>
      </c>
      <c r="F1792" t="s">
        <v>137</v>
      </c>
      <c r="H1792">
        <v>83705585</v>
      </c>
      <c r="I1792" t="s">
        <v>17</v>
      </c>
      <c r="K1792" t="s">
        <v>7768</v>
      </c>
      <c r="L1792">
        <v>534</v>
      </c>
      <c r="M1792" t="s">
        <v>7769</v>
      </c>
    </row>
    <row r="1793" spans="1:13" x14ac:dyDescent="0.45">
      <c r="A1793" t="s">
        <v>3601</v>
      </c>
      <c r="B1793">
        <v>1867488</v>
      </c>
      <c r="C1793">
        <v>1868054</v>
      </c>
      <c r="E1793" t="s">
        <v>42</v>
      </c>
      <c r="F1793" t="s">
        <v>135</v>
      </c>
      <c r="G1793" t="s">
        <v>136</v>
      </c>
      <c r="H1793">
        <v>83705586</v>
      </c>
      <c r="I1793" t="s">
        <v>17</v>
      </c>
      <c r="K1793" t="s">
        <v>7770</v>
      </c>
      <c r="L1793">
        <v>188</v>
      </c>
      <c r="M1793" t="s">
        <v>7771</v>
      </c>
    </row>
    <row r="1794" spans="1:13" x14ac:dyDescent="0.45">
      <c r="A1794" t="s">
        <v>3601</v>
      </c>
      <c r="B1794">
        <v>1868321</v>
      </c>
      <c r="C1794">
        <v>1869604</v>
      </c>
      <c r="E1794" t="s">
        <v>42</v>
      </c>
      <c r="F1794" t="s">
        <v>596</v>
      </c>
      <c r="G1794" t="s">
        <v>597</v>
      </c>
      <c r="H1794">
        <v>83705587</v>
      </c>
      <c r="I1794" t="s">
        <v>17</v>
      </c>
      <c r="K1794" t="s">
        <v>7772</v>
      </c>
      <c r="L1794">
        <v>427</v>
      </c>
      <c r="M1794" t="s">
        <v>7773</v>
      </c>
    </row>
    <row r="1795" spans="1:13" x14ac:dyDescent="0.45">
      <c r="A1795" t="s">
        <v>3601</v>
      </c>
      <c r="B1795">
        <v>1869953</v>
      </c>
      <c r="C1795">
        <v>1871362</v>
      </c>
      <c r="E1795" t="s">
        <v>42</v>
      </c>
      <c r="F1795" t="s">
        <v>7774</v>
      </c>
      <c r="H1795">
        <v>83705588</v>
      </c>
      <c r="I1795" t="s">
        <v>17</v>
      </c>
      <c r="K1795" t="s">
        <v>7775</v>
      </c>
      <c r="L1795">
        <v>469</v>
      </c>
      <c r="M1795" t="s">
        <v>7776</v>
      </c>
    </row>
    <row r="1796" spans="1:13" x14ac:dyDescent="0.45">
      <c r="A1796" t="s">
        <v>3601</v>
      </c>
      <c r="B1796">
        <v>1871813</v>
      </c>
      <c r="C1796">
        <v>1872652</v>
      </c>
      <c r="E1796" t="s">
        <v>14</v>
      </c>
      <c r="F1796" t="s">
        <v>7777</v>
      </c>
      <c r="H1796">
        <v>83705589</v>
      </c>
      <c r="I1796" t="s">
        <v>17</v>
      </c>
      <c r="K1796" t="s">
        <v>7778</v>
      </c>
      <c r="L1796">
        <v>279</v>
      </c>
      <c r="M1796" t="s">
        <v>7779</v>
      </c>
    </row>
    <row r="1797" spans="1:13" x14ac:dyDescent="0.45">
      <c r="A1797" t="s">
        <v>3601</v>
      </c>
      <c r="B1797">
        <v>1872741</v>
      </c>
      <c r="C1797">
        <v>1873301</v>
      </c>
      <c r="E1797" t="s">
        <v>42</v>
      </c>
      <c r="F1797" t="s">
        <v>7780</v>
      </c>
      <c r="H1797">
        <v>83705590</v>
      </c>
      <c r="I1797" t="s">
        <v>17</v>
      </c>
      <c r="K1797" t="s">
        <v>7781</v>
      </c>
      <c r="L1797">
        <v>186</v>
      </c>
      <c r="M1797" t="s">
        <v>7782</v>
      </c>
    </row>
    <row r="1798" spans="1:13" x14ac:dyDescent="0.45">
      <c r="A1798" t="s">
        <v>3601</v>
      </c>
      <c r="B1798">
        <v>1873314</v>
      </c>
      <c r="C1798">
        <v>1873787</v>
      </c>
      <c r="E1798" t="s">
        <v>42</v>
      </c>
      <c r="F1798" t="s">
        <v>50</v>
      </c>
      <c r="H1798">
        <v>83705591</v>
      </c>
      <c r="I1798" t="s">
        <v>17</v>
      </c>
      <c r="K1798" t="s">
        <v>7783</v>
      </c>
      <c r="L1798">
        <v>157</v>
      </c>
      <c r="M1798" t="s">
        <v>7784</v>
      </c>
    </row>
    <row r="1799" spans="1:13" x14ac:dyDescent="0.45">
      <c r="A1799" t="s">
        <v>3601</v>
      </c>
      <c r="B1799">
        <v>1873793</v>
      </c>
      <c r="C1799">
        <v>1874542</v>
      </c>
      <c r="E1799" t="s">
        <v>42</v>
      </c>
      <c r="F1799" t="s">
        <v>1015</v>
      </c>
      <c r="H1799">
        <v>83705592</v>
      </c>
      <c r="I1799" t="s">
        <v>17</v>
      </c>
      <c r="K1799" t="s">
        <v>7785</v>
      </c>
      <c r="L1799">
        <v>249</v>
      </c>
      <c r="M1799" t="s">
        <v>7786</v>
      </c>
    </row>
    <row r="1800" spans="1:13" x14ac:dyDescent="0.45">
      <c r="A1800" t="s">
        <v>3601</v>
      </c>
      <c r="B1800">
        <v>1874532</v>
      </c>
      <c r="C1800">
        <v>1875281</v>
      </c>
      <c r="E1800" t="s">
        <v>42</v>
      </c>
      <c r="F1800" t="s">
        <v>238</v>
      </c>
      <c r="G1800" t="s">
        <v>239</v>
      </c>
      <c r="H1800">
        <v>83705593</v>
      </c>
      <c r="I1800" t="s">
        <v>17</v>
      </c>
      <c r="K1800" t="s">
        <v>7787</v>
      </c>
      <c r="L1800">
        <v>249</v>
      </c>
      <c r="M1800" t="s">
        <v>7788</v>
      </c>
    </row>
    <row r="1801" spans="1:13" x14ac:dyDescent="0.45">
      <c r="A1801" t="s">
        <v>3601</v>
      </c>
      <c r="B1801">
        <v>1875468</v>
      </c>
      <c r="C1801">
        <v>1876832</v>
      </c>
      <c r="E1801" t="s">
        <v>14</v>
      </c>
      <c r="F1801" t="s">
        <v>602</v>
      </c>
      <c r="H1801">
        <v>83705594</v>
      </c>
      <c r="I1801" t="s">
        <v>17</v>
      </c>
      <c r="K1801" t="s">
        <v>7789</v>
      </c>
      <c r="L1801">
        <v>454</v>
      </c>
      <c r="M1801" t="s">
        <v>7790</v>
      </c>
    </row>
    <row r="1802" spans="1:13" x14ac:dyDescent="0.45">
      <c r="A1802" t="s">
        <v>3601</v>
      </c>
      <c r="B1802">
        <v>1877277</v>
      </c>
      <c r="C1802">
        <v>1877756</v>
      </c>
      <c r="E1802" t="s">
        <v>42</v>
      </c>
      <c r="F1802" t="s">
        <v>7688</v>
      </c>
      <c r="H1802">
        <v>83705595</v>
      </c>
      <c r="I1802" t="s">
        <v>17</v>
      </c>
      <c r="K1802" t="s">
        <v>7791</v>
      </c>
      <c r="L1802">
        <v>159</v>
      </c>
      <c r="M1802" t="s">
        <v>7792</v>
      </c>
    </row>
    <row r="1803" spans="1:13" x14ac:dyDescent="0.45">
      <c r="A1803" t="s">
        <v>3601</v>
      </c>
      <c r="B1803">
        <v>1877845</v>
      </c>
      <c r="C1803">
        <v>1877918</v>
      </c>
      <c r="E1803" t="s">
        <v>42</v>
      </c>
      <c r="F1803" t="s">
        <v>352</v>
      </c>
      <c r="H1803">
        <v>83705596</v>
      </c>
      <c r="I1803" t="s">
        <v>44</v>
      </c>
      <c r="M1803" t="s">
        <v>7793</v>
      </c>
    </row>
    <row r="1804" spans="1:13" x14ac:dyDescent="0.45">
      <c r="A1804" t="s">
        <v>3601</v>
      </c>
      <c r="B1804">
        <v>1878128</v>
      </c>
      <c r="C1804">
        <v>1879384</v>
      </c>
      <c r="E1804" t="s">
        <v>14</v>
      </c>
      <c r="F1804" t="s">
        <v>3844</v>
      </c>
      <c r="H1804">
        <v>83705597</v>
      </c>
      <c r="I1804" t="s">
        <v>17</v>
      </c>
      <c r="K1804" t="s">
        <v>7794</v>
      </c>
      <c r="L1804">
        <v>418</v>
      </c>
      <c r="M1804" t="s">
        <v>7795</v>
      </c>
    </row>
    <row r="1805" spans="1:13" x14ac:dyDescent="0.45">
      <c r="A1805" t="s">
        <v>3601</v>
      </c>
      <c r="B1805">
        <v>1879421</v>
      </c>
      <c r="C1805">
        <v>1879494</v>
      </c>
      <c r="E1805" t="s">
        <v>42</v>
      </c>
      <c r="F1805" t="s">
        <v>69</v>
      </c>
      <c r="H1805">
        <v>83705598</v>
      </c>
      <c r="I1805" t="s">
        <v>44</v>
      </c>
      <c r="M1805" t="s">
        <v>7796</v>
      </c>
    </row>
    <row r="1806" spans="1:13" x14ac:dyDescent="0.45">
      <c r="A1806" t="s">
        <v>3601</v>
      </c>
      <c r="B1806">
        <v>1879500</v>
      </c>
      <c r="C1806">
        <v>1879615</v>
      </c>
      <c r="E1806" t="s">
        <v>42</v>
      </c>
      <c r="F1806" t="s">
        <v>67</v>
      </c>
      <c r="G1806" t="s">
        <v>68</v>
      </c>
      <c r="H1806">
        <v>83705599</v>
      </c>
      <c r="I1806" t="s">
        <v>65</v>
      </c>
      <c r="M1806" t="s">
        <v>7797</v>
      </c>
    </row>
    <row r="1807" spans="1:13" x14ac:dyDescent="0.45">
      <c r="A1807" t="s">
        <v>3601</v>
      </c>
      <c r="B1807">
        <v>1879700</v>
      </c>
      <c r="C1807">
        <v>1882599</v>
      </c>
      <c r="E1807" t="s">
        <v>42</v>
      </c>
      <c r="F1807" t="s">
        <v>66</v>
      </c>
      <c r="H1807">
        <v>83705600</v>
      </c>
      <c r="I1807" t="s">
        <v>65</v>
      </c>
      <c r="M1807" t="s">
        <v>7798</v>
      </c>
    </row>
    <row r="1808" spans="1:13" x14ac:dyDescent="0.45">
      <c r="A1808" t="s">
        <v>3601</v>
      </c>
      <c r="B1808">
        <v>1882910</v>
      </c>
      <c r="C1808">
        <v>1882982</v>
      </c>
      <c r="E1808" t="s">
        <v>42</v>
      </c>
      <c r="F1808" t="s">
        <v>349</v>
      </c>
      <c r="H1808">
        <v>83705601</v>
      </c>
      <c r="I1808" t="s">
        <v>44</v>
      </c>
      <c r="M1808" t="s">
        <v>7799</v>
      </c>
    </row>
    <row r="1809" spans="1:13" x14ac:dyDescent="0.45">
      <c r="A1809" t="s">
        <v>3601</v>
      </c>
      <c r="B1809">
        <v>1883038</v>
      </c>
      <c r="C1809">
        <v>1884586</v>
      </c>
      <c r="E1809" t="s">
        <v>42</v>
      </c>
      <c r="F1809" t="s">
        <v>64</v>
      </c>
      <c r="H1809">
        <v>83705602</v>
      </c>
      <c r="I1809" t="s">
        <v>65</v>
      </c>
      <c r="M1809" t="s">
        <v>7800</v>
      </c>
    </row>
    <row r="1810" spans="1:13" x14ac:dyDescent="0.45">
      <c r="A1810" t="s">
        <v>3601</v>
      </c>
      <c r="B1810">
        <v>1884695</v>
      </c>
      <c r="C1810">
        <v>1884768</v>
      </c>
      <c r="E1810" t="s">
        <v>42</v>
      </c>
      <c r="F1810" t="s">
        <v>172</v>
      </c>
      <c r="H1810">
        <v>83705603</v>
      </c>
      <c r="I1810" t="s">
        <v>44</v>
      </c>
      <c r="M1810" t="s">
        <v>7801</v>
      </c>
    </row>
    <row r="1811" spans="1:13" x14ac:dyDescent="0.45">
      <c r="A1811" t="s">
        <v>3601</v>
      </c>
      <c r="B1811">
        <v>1884775</v>
      </c>
      <c r="C1811">
        <v>1884848</v>
      </c>
      <c r="E1811" t="s">
        <v>42</v>
      </c>
      <c r="F1811" t="s">
        <v>352</v>
      </c>
      <c r="H1811">
        <v>83705604</v>
      </c>
      <c r="I1811" t="s">
        <v>44</v>
      </c>
      <c r="M1811" t="s">
        <v>7802</v>
      </c>
    </row>
    <row r="1812" spans="1:13" x14ac:dyDescent="0.45">
      <c r="A1812" t="s">
        <v>3601</v>
      </c>
      <c r="B1812">
        <v>1884863</v>
      </c>
      <c r="C1812">
        <v>1884947</v>
      </c>
      <c r="E1812" t="s">
        <v>42</v>
      </c>
      <c r="F1812" t="s">
        <v>351</v>
      </c>
      <c r="H1812">
        <v>83705605</v>
      </c>
      <c r="I1812" t="s">
        <v>44</v>
      </c>
      <c r="M1812" t="s">
        <v>7803</v>
      </c>
    </row>
    <row r="1813" spans="1:13" x14ac:dyDescent="0.45">
      <c r="A1813" t="s">
        <v>3601</v>
      </c>
      <c r="B1813">
        <v>1884956</v>
      </c>
      <c r="C1813">
        <v>1885027</v>
      </c>
      <c r="E1813" t="s">
        <v>42</v>
      </c>
      <c r="F1813" t="s">
        <v>116</v>
      </c>
      <c r="H1813">
        <v>83705606</v>
      </c>
      <c r="I1813" t="s">
        <v>44</v>
      </c>
      <c r="M1813" t="s">
        <v>7804</v>
      </c>
    </row>
    <row r="1814" spans="1:13" x14ac:dyDescent="0.45">
      <c r="A1814" t="s">
        <v>3601</v>
      </c>
      <c r="B1814">
        <v>1885039</v>
      </c>
      <c r="C1814">
        <v>1885111</v>
      </c>
      <c r="E1814" t="s">
        <v>42</v>
      </c>
      <c r="F1814" t="s">
        <v>43</v>
      </c>
      <c r="H1814">
        <v>83705607</v>
      </c>
      <c r="I1814" t="s">
        <v>44</v>
      </c>
      <c r="M1814" t="s">
        <v>7805</v>
      </c>
    </row>
    <row r="1815" spans="1:13" x14ac:dyDescent="0.45">
      <c r="A1815" t="s">
        <v>3601</v>
      </c>
      <c r="B1815">
        <v>1885120</v>
      </c>
      <c r="C1815">
        <v>1885201</v>
      </c>
      <c r="E1815" t="s">
        <v>42</v>
      </c>
      <c r="F1815" t="s">
        <v>351</v>
      </c>
      <c r="H1815">
        <v>83705608</v>
      </c>
      <c r="I1815" t="s">
        <v>44</v>
      </c>
      <c r="M1815" t="s">
        <v>7806</v>
      </c>
    </row>
    <row r="1816" spans="1:13" x14ac:dyDescent="0.45">
      <c r="A1816" t="s">
        <v>3601</v>
      </c>
      <c r="B1816">
        <v>1885207</v>
      </c>
      <c r="C1816">
        <v>1885279</v>
      </c>
      <c r="E1816" t="s">
        <v>42</v>
      </c>
      <c r="F1816" t="s">
        <v>73</v>
      </c>
      <c r="H1816">
        <v>83705609</v>
      </c>
      <c r="I1816" t="s">
        <v>44</v>
      </c>
      <c r="M1816" t="s">
        <v>7807</v>
      </c>
    </row>
    <row r="1817" spans="1:13" x14ac:dyDescent="0.45">
      <c r="A1817" t="s">
        <v>3601</v>
      </c>
      <c r="B1817">
        <v>1885283</v>
      </c>
      <c r="C1817">
        <v>1885355</v>
      </c>
      <c r="E1817" t="s">
        <v>42</v>
      </c>
      <c r="F1817" t="s">
        <v>354</v>
      </c>
      <c r="H1817">
        <v>83705610</v>
      </c>
      <c r="I1817" t="s">
        <v>44</v>
      </c>
      <c r="M1817" t="s">
        <v>7808</v>
      </c>
    </row>
    <row r="1818" spans="1:13" x14ac:dyDescent="0.45">
      <c r="A1818" t="s">
        <v>3601</v>
      </c>
      <c r="B1818">
        <v>1885369</v>
      </c>
      <c r="C1818">
        <v>1885441</v>
      </c>
      <c r="E1818" t="s">
        <v>42</v>
      </c>
      <c r="F1818" t="s">
        <v>350</v>
      </c>
      <c r="H1818">
        <v>83705611</v>
      </c>
      <c r="I1818" t="s">
        <v>44</v>
      </c>
      <c r="M1818" t="s">
        <v>7809</v>
      </c>
    </row>
    <row r="1819" spans="1:13" x14ac:dyDescent="0.45">
      <c r="A1819" t="s">
        <v>3601</v>
      </c>
      <c r="B1819">
        <v>1885456</v>
      </c>
      <c r="C1819">
        <v>1885571</v>
      </c>
      <c r="E1819" t="s">
        <v>42</v>
      </c>
      <c r="F1819" t="s">
        <v>67</v>
      </c>
      <c r="G1819" t="s">
        <v>68</v>
      </c>
      <c r="H1819">
        <v>83705612</v>
      </c>
      <c r="I1819" t="s">
        <v>65</v>
      </c>
      <c r="M1819" t="s">
        <v>7810</v>
      </c>
    </row>
    <row r="1820" spans="1:13" x14ac:dyDescent="0.45">
      <c r="A1820" t="s">
        <v>3601</v>
      </c>
      <c r="B1820">
        <v>1885656</v>
      </c>
      <c r="C1820">
        <v>1888555</v>
      </c>
      <c r="E1820" t="s">
        <v>42</v>
      </c>
      <c r="F1820" t="s">
        <v>66</v>
      </c>
      <c r="H1820">
        <v>83705613</v>
      </c>
      <c r="I1820" t="s">
        <v>65</v>
      </c>
      <c r="M1820" t="s">
        <v>7811</v>
      </c>
    </row>
    <row r="1821" spans="1:13" x14ac:dyDescent="0.45">
      <c r="A1821" t="s">
        <v>3601</v>
      </c>
      <c r="B1821">
        <v>1888866</v>
      </c>
      <c r="C1821">
        <v>1888938</v>
      </c>
      <c r="E1821" t="s">
        <v>42</v>
      </c>
      <c r="F1821" t="s">
        <v>349</v>
      </c>
      <c r="H1821">
        <v>83705614</v>
      </c>
      <c r="I1821" t="s">
        <v>44</v>
      </c>
      <c r="M1821" t="s">
        <v>7812</v>
      </c>
    </row>
    <row r="1822" spans="1:13" x14ac:dyDescent="0.45">
      <c r="A1822" t="s">
        <v>3601</v>
      </c>
      <c r="B1822">
        <v>1888994</v>
      </c>
      <c r="C1822">
        <v>1890542</v>
      </c>
      <c r="E1822" t="s">
        <v>42</v>
      </c>
      <c r="F1822" t="s">
        <v>64</v>
      </c>
      <c r="H1822">
        <v>83705615</v>
      </c>
      <c r="I1822" t="s">
        <v>65</v>
      </c>
      <c r="M1822" t="s">
        <v>7813</v>
      </c>
    </row>
    <row r="1823" spans="1:13" x14ac:dyDescent="0.45">
      <c r="A1823" t="s">
        <v>3601</v>
      </c>
      <c r="B1823">
        <v>1891248</v>
      </c>
      <c r="C1823">
        <v>1893659</v>
      </c>
      <c r="E1823" t="s">
        <v>42</v>
      </c>
      <c r="F1823" t="s">
        <v>6240</v>
      </c>
      <c r="H1823">
        <v>83705616</v>
      </c>
      <c r="I1823" t="s">
        <v>17</v>
      </c>
      <c r="K1823" t="s">
        <v>7814</v>
      </c>
      <c r="L1823">
        <v>803</v>
      </c>
      <c r="M1823" t="s">
        <v>7815</v>
      </c>
    </row>
    <row r="1824" spans="1:13" x14ac:dyDescent="0.45">
      <c r="A1824" t="s">
        <v>3601</v>
      </c>
      <c r="B1824">
        <v>1893674</v>
      </c>
      <c r="C1824">
        <v>1894597</v>
      </c>
      <c r="E1824" t="s">
        <v>42</v>
      </c>
      <c r="F1824" t="s">
        <v>6243</v>
      </c>
      <c r="H1824">
        <v>83705617</v>
      </c>
      <c r="I1824" t="s">
        <v>17</v>
      </c>
      <c r="K1824" t="s">
        <v>7816</v>
      </c>
      <c r="L1824">
        <v>307</v>
      </c>
      <c r="M1824" t="s">
        <v>7817</v>
      </c>
    </row>
    <row r="1825" spans="1:13" x14ac:dyDescent="0.45">
      <c r="A1825" t="s">
        <v>3601</v>
      </c>
      <c r="B1825">
        <v>1894924</v>
      </c>
      <c r="C1825">
        <v>1896471</v>
      </c>
      <c r="E1825" t="s">
        <v>42</v>
      </c>
      <c r="F1825" t="s">
        <v>7818</v>
      </c>
      <c r="H1825">
        <v>83705618</v>
      </c>
      <c r="I1825" t="s">
        <v>17</v>
      </c>
      <c r="K1825" t="s">
        <v>7819</v>
      </c>
      <c r="L1825">
        <v>515</v>
      </c>
      <c r="M1825" t="s">
        <v>7820</v>
      </c>
    </row>
    <row r="1826" spans="1:13" x14ac:dyDescent="0.45">
      <c r="A1826" t="s">
        <v>3601</v>
      </c>
      <c r="B1826">
        <v>1897114</v>
      </c>
      <c r="C1826">
        <v>1897995</v>
      </c>
      <c r="E1826" t="s">
        <v>42</v>
      </c>
      <c r="F1826" t="s">
        <v>6138</v>
      </c>
      <c r="H1826">
        <v>83705619</v>
      </c>
      <c r="I1826" t="s">
        <v>17</v>
      </c>
      <c r="K1826" t="s">
        <v>7821</v>
      </c>
      <c r="L1826">
        <v>293</v>
      </c>
      <c r="M1826" t="s">
        <v>7822</v>
      </c>
    </row>
    <row r="1827" spans="1:13" x14ac:dyDescent="0.45">
      <c r="A1827" t="s">
        <v>3601</v>
      </c>
      <c r="B1827">
        <v>1898160</v>
      </c>
      <c r="C1827">
        <v>1899161</v>
      </c>
      <c r="E1827" t="s">
        <v>42</v>
      </c>
      <c r="F1827" t="s">
        <v>312</v>
      </c>
      <c r="H1827">
        <v>83705620</v>
      </c>
      <c r="I1827" t="s">
        <v>17</v>
      </c>
      <c r="K1827" t="s">
        <v>7823</v>
      </c>
      <c r="L1827">
        <v>333</v>
      </c>
      <c r="M1827" t="s">
        <v>7824</v>
      </c>
    </row>
    <row r="1828" spans="1:13" x14ac:dyDescent="0.45">
      <c r="A1828" t="s">
        <v>3601</v>
      </c>
      <c r="B1828">
        <v>1899302</v>
      </c>
      <c r="C1828">
        <v>1900474</v>
      </c>
      <c r="E1828" t="s">
        <v>14</v>
      </c>
      <c r="F1828" t="s">
        <v>882</v>
      </c>
      <c r="H1828">
        <v>83705621</v>
      </c>
      <c r="I1828" t="s">
        <v>17</v>
      </c>
      <c r="K1828" t="s">
        <v>7825</v>
      </c>
      <c r="L1828">
        <v>390</v>
      </c>
      <c r="M1828" t="s">
        <v>7826</v>
      </c>
    </row>
    <row r="1829" spans="1:13" x14ac:dyDescent="0.45">
      <c r="A1829" t="s">
        <v>3601</v>
      </c>
      <c r="B1829">
        <v>1900478</v>
      </c>
      <c r="C1829">
        <v>1901962</v>
      </c>
      <c r="E1829" t="s">
        <v>14</v>
      </c>
      <c r="F1829" t="s">
        <v>881</v>
      </c>
      <c r="G1829" t="s">
        <v>7827</v>
      </c>
      <c r="H1829">
        <v>83705622</v>
      </c>
      <c r="I1829" t="s">
        <v>17</v>
      </c>
      <c r="K1829" t="s">
        <v>7828</v>
      </c>
      <c r="L1829">
        <v>494</v>
      </c>
      <c r="M1829" t="s">
        <v>7829</v>
      </c>
    </row>
    <row r="1830" spans="1:13" x14ac:dyDescent="0.45">
      <c r="A1830" t="s">
        <v>3601</v>
      </c>
      <c r="B1830">
        <v>1901972</v>
      </c>
      <c r="C1830">
        <v>1902982</v>
      </c>
      <c r="E1830" t="s">
        <v>14</v>
      </c>
      <c r="F1830" t="s">
        <v>884</v>
      </c>
      <c r="G1830" t="s">
        <v>885</v>
      </c>
      <c r="H1830">
        <v>83705623</v>
      </c>
      <c r="I1830" t="s">
        <v>17</v>
      </c>
      <c r="K1830" t="s">
        <v>7830</v>
      </c>
      <c r="L1830">
        <v>336</v>
      </c>
      <c r="M1830" t="s">
        <v>7831</v>
      </c>
    </row>
    <row r="1831" spans="1:13" x14ac:dyDescent="0.45">
      <c r="A1831" t="s">
        <v>3601</v>
      </c>
      <c r="B1831">
        <v>1903059</v>
      </c>
      <c r="C1831">
        <v>1904102</v>
      </c>
      <c r="E1831" t="s">
        <v>14</v>
      </c>
      <c r="F1831" t="s">
        <v>880</v>
      </c>
      <c r="H1831">
        <v>83705624</v>
      </c>
      <c r="I1831" t="s">
        <v>17</v>
      </c>
      <c r="K1831" t="s">
        <v>7832</v>
      </c>
      <c r="L1831">
        <v>347</v>
      </c>
      <c r="M1831" t="s">
        <v>7833</v>
      </c>
    </row>
    <row r="1832" spans="1:13" x14ac:dyDescent="0.45">
      <c r="A1832" t="s">
        <v>3601</v>
      </c>
      <c r="B1832">
        <v>1904879</v>
      </c>
      <c r="C1832">
        <v>1905247</v>
      </c>
      <c r="E1832" t="s">
        <v>14</v>
      </c>
      <c r="F1832" t="s">
        <v>7834</v>
      </c>
      <c r="H1832">
        <v>83705625</v>
      </c>
      <c r="I1832" t="s">
        <v>17</v>
      </c>
      <c r="K1832" t="s">
        <v>7835</v>
      </c>
      <c r="L1832">
        <v>122</v>
      </c>
      <c r="M1832" t="s">
        <v>7836</v>
      </c>
    </row>
    <row r="1833" spans="1:13" x14ac:dyDescent="0.45">
      <c r="A1833" t="s">
        <v>3601</v>
      </c>
      <c r="B1833">
        <v>1905234</v>
      </c>
      <c r="C1833">
        <v>1905509</v>
      </c>
      <c r="E1833" t="s">
        <v>14</v>
      </c>
      <c r="F1833" t="s">
        <v>139</v>
      </c>
      <c r="H1833">
        <v>83705626</v>
      </c>
      <c r="I1833" t="s">
        <v>17</v>
      </c>
      <c r="K1833" t="s">
        <v>7837</v>
      </c>
      <c r="L1833">
        <v>91</v>
      </c>
      <c r="M1833" t="s">
        <v>7838</v>
      </c>
    </row>
    <row r="1834" spans="1:13" x14ac:dyDescent="0.45">
      <c r="A1834" t="s">
        <v>3601</v>
      </c>
      <c r="B1834">
        <v>1905651</v>
      </c>
      <c r="C1834">
        <v>1906907</v>
      </c>
      <c r="E1834" t="s">
        <v>14</v>
      </c>
      <c r="F1834" t="s">
        <v>3844</v>
      </c>
      <c r="H1834">
        <v>83705627</v>
      </c>
      <c r="I1834" t="s">
        <v>17</v>
      </c>
      <c r="K1834" t="s">
        <v>7839</v>
      </c>
      <c r="L1834">
        <v>418</v>
      </c>
      <c r="M1834" t="s">
        <v>7840</v>
      </c>
    </row>
    <row r="1835" spans="1:13" x14ac:dyDescent="0.45">
      <c r="A1835" t="s">
        <v>3601</v>
      </c>
      <c r="B1835">
        <v>1907118</v>
      </c>
      <c r="C1835">
        <v>1907723</v>
      </c>
      <c r="E1835" t="s">
        <v>42</v>
      </c>
      <c r="F1835" t="s">
        <v>7382</v>
      </c>
      <c r="H1835">
        <v>83705628</v>
      </c>
      <c r="I1835" t="s">
        <v>17</v>
      </c>
      <c r="K1835" t="s">
        <v>7841</v>
      </c>
      <c r="L1835">
        <v>201</v>
      </c>
      <c r="M1835" t="s">
        <v>7842</v>
      </c>
    </row>
    <row r="1836" spans="1:13" x14ac:dyDescent="0.45">
      <c r="A1836" t="s">
        <v>3601</v>
      </c>
      <c r="B1836">
        <v>1907704</v>
      </c>
      <c r="C1836">
        <v>1909266</v>
      </c>
      <c r="E1836" t="s">
        <v>42</v>
      </c>
      <c r="F1836" t="s">
        <v>421</v>
      </c>
      <c r="H1836">
        <v>83705629</v>
      </c>
      <c r="I1836" t="s">
        <v>17</v>
      </c>
      <c r="K1836" t="s">
        <v>7843</v>
      </c>
      <c r="L1836">
        <v>520</v>
      </c>
      <c r="M1836" t="s">
        <v>7844</v>
      </c>
    </row>
    <row r="1837" spans="1:13" x14ac:dyDescent="0.45">
      <c r="A1837" t="s">
        <v>3601</v>
      </c>
      <c r="B1837">
        <v>1909305</v>
      </c>
      <c r="C1837">
        <v>1911212</v>
      </c>
      <c r="E1837" t="s">
        <v>42</v>
      </c>
      <c r="F1837" t="s">
        <v>113</v>
      </c>
      <c r="H1837">
        <v>83705630</v>
      </c>
      <c r="I1837" t="s">
        <v>17</v>
      </c>
      <c r="K1837" t="s">
        <v>7845</v>
      </c>
      <c r="L1837">
        <v>635</v>
      </c>
      <c r="M1837" t="s">
        <v>7846</v>
      </c>
    </row>
    <row r="1838" spans="1:13" x14ac:dyDescent="0.45">
      <c r="A1838" t="s">
        <v>3601</v>
      </c>
      <c r="B1838">
        <v>1911214</v>
      </c>
      <c r="C1838">
        <v>1911951</v>
      </c>
      <c r="E1838" t="s">
        <v>42</v>
      </c>
      <c r="F1838" t="s">
        <v>72</v>
      </c>
      <c r="H1838">
        <v>83705631</v>
      </c>
      <c r="I1838" t="s">
        <v>17</v>
      </c>
      <c r="K1838" t="s">
        <v>7847</v>
      </c>
      <c r="L1838">
        <v>245</v>
      </c>
      <c r="M1838" t="s">
        <v>7848</v>
      </c>
    </row>
    <row r="1839" spans="1:13" x14ac:dyDescent="0.45">
      <c r="A1839" t="s">
        <v>3601</v>
      </c>
      <c r="B1839">
        <v>1911948</v>
      </c>
      <c r="C1839">
        <v>1914092</v>
      </c>
      <c r="E1839" t="s">
        <v>42</v>
      </c>
      <c r="F1839" t="s">
        <v>7849</v>
      </c>
      <c r="H1839">
        <v>83705632</v>
      </c>
      <c r="I1839" t="s">
        <v>17</v>
      </c>
      <c r="K1839" t="s">
        <v>7850</v>
      </c>
      <c r="L1839">
        <v>714</v>
      </c>
      <c r="M1839" t="s">
        <v>7851</v>
      </c>
    </row>
    <row r="1840" spans="1:13" x14ac:dyDescent="0.45">
      <c r="A1840" t="s">
        <v>3601</v>
      </c>
      <c r="B1840">
        <v>1914070</v>
      </c>
      <c r="C1840">
        <v>1916904</v>
      </c>
      <c r="E1840" t="s">
        <v>42</v>
      </c>
      <c r="F1840" t="s">
        <v>7852</v>
      </c>
      <c r="H1840">
        <v>83705633</v>
      </c>
      <c r="I1840" t="s">
        <v>17</v>
      </c>
      <c r="K1840" t="s">
        <v>7853</v>
      </c>
      <c r="L1840">
        <v>944</v>
      </c>
      <c r="M1840" t="s">
        <v>7854</v>
      </c>
    </row>
    <row r="1841" spans="1:13" x14ac:dyDescent="0.45">
      <c r="A1841" t="s">
        <v>3601</v>
      </c>
      <c r="B1841">
        <v>1916988</v>
      </c>
      <c r="C1841">
        <v>1917143</v>
      </c>
      <c r="E1841" t="s">
        <v>42</v>
      </c>
      <c r="F1841" t="s">
        <v>7855</v>
      </c>
      <c r="H1841">
        <v>83705634</v>
      </c>
      <c r="I1841" t="s">
        <v>17</v>
      </c>
      <c r="K1841" t="s">
        <v>7856</v>
      </c>
      <c r="L1841">
        <v>51</v>
      </c>
      <c r="M1841" t="s">
        <v>7857</v>
      </c>
    </row>
    <row r="1842" spans="1:13" x14ac:dyDescent="0.45">
      <c r="A1842" t="s">
        <v>3601</v>
      </c>
      <c r="B1842">
        <v>1917495</v>
      </c>
      <c r="C1842">
        <v>1918070</v>
      </c>
      <c r="E1842" t="s">
        <v>42</v>
      </c>
      <c r="F1842" t="s">
        <v>79</v>
      </c>
      <c r="H1842">
        <v>83705635</v>
      </c>
      <c r="I1842" t="s">
        <v>17</v>
      </c>
      <c r="K1842" t="s">
        <v>7858</v>
      </c>
      <c r="L1842">
        <v>191</v>
      </c>
      <c r="M1842" t="s">
        <v>7859</v>
      </c>
    </row>
    <row r="1843" spans="1:13" x14ac:dyDescent="0.45">
      <c r="A1843" t="s">
        <v>3601</v>
      </c>
      <c r="B1843">
        <v>1918222</v>
      </c>
      <c r="C1843">
        <v>1918665</v>
      </c>
      <c r="E1843" t="s">
        <v>14</v>
      </c>
      <c r="F1843" t="s">
        <v>45</v>
      </c>
      <c r="H1843">
        <v>83705636</v>
      </c>
      <c r="I1843" t="s">
        <v>17</v>
      </c>
      <c r="K1843" t="s">
        <v>7860</v>
      </c>
      <c r="L1843">
        <v>147</v>
      </c>
      <c r="M1843" t="s">
        <v>7861</v>
      </c>
    </row>
    <row r="1844" spans="1:13" x14ac:dyDescent="0.45">
      <c r="A1844" t="s">
        <v>3601</v>
      </c>
      <c r="B1844">
        <v>1918947</v>
      </c>
      <c r="C1844">
        <v>1919369</v>
      </c>
      <c r="E1844" t="s">
        <v>14</v>
      </c>
      <c r="F1844" t="s">
        <v>45</v>
      </c>
      <c r="H1844">
        <v>83705637</v>
      </c>
      <c r="I1844" t="s">
        <v>17</v>
      </c>
      <c r="K1844" t="s">
        <v>7862</v>
      </c>
      <c r="L1844">
        <v>140</v>
      </c>
      <c r="M1844" t="s">
        <v>7863</v>
      </c>
    </row>
    <row r="1845" spans="1:13" x14ac:dyDescent="0.45">
      <c r="A1845" t="s">
        <v>3601</v>
      </c>
      <c r="B1845">
        <v>1919372</v>
      </c>
      <c r="C1845">
        <v>1920400</v>
      </c>
      <c r="E1845" t="s">
        <v>14</v>
      </c>
      <c r="F1845" t="s">
        <v>3830</v>
      </c>
      <c r="H1845">
        <v>83705638</v>
      </c>
      <c r="I1845" t="s">
        <v>17</v>
      </c>
      <c r="K1845" t="s">
        <v>7864</v>
      </c>
      <c r="L1845">
        <v>342</v>
      </c>
      <c r="M1845" t="s">
        <v>7865</v>
      </c>
    </row>
    <row r="1846" spans="1:13" x14ac:dyDescent="0.45">
      <c r="A1846" t="s">
        <v>3601</v>
      </c>
      <c r="B1846">
        <v>1920460</v>
      </c>
      <c r="C1846">
        <v>1920720</v>
      </c>
      <c r="E1846" t="s">
        <v>14</v>
      </c>
      <c r="F1846" t="s">
        <v>79</v>
      </c>
      <c r="H1846">
        <v>83705639</v>
      </c>
      <c r="I1846" t="s">
        <v>17</v>
      </c>
      <c r="K1846" t="s">
        <v>7866</v>
      </c>
      <c r="L1846">
        <v>86</v>
      </c>
      <c r="M1846" t="s">
        <v>7867</v>
      </c>
    </row>
    <row r="1847" spans="1:13" x14ac:dyDescent="0.45">
      <c r="A1847" t="s">
        <v>3601</v>
      </c>
      <c r="B1847">
        <v>1920791</v>
      </c>
      <c r="C1847">
        <v>1922008</v>
      </c>
      <c r="E1847" t="s">
        <v>14</v>
      </c>
      <c r="F1847" t="s">
        <v>244</v>
      </c>
      <c r="H1847">
        <v>83705640</v>
      </c>
      <c r="I1847" t="s">
        <v>17</v>
      </c>
      <c r="K1847" t="s">
        <v>7868</v>
      </c>
      <c r="L1847">
        <v>405</v>
      </c>
      <c r="M1847" t="s">
        <v>7869</v>
      </c>
    </row>
    <row r="1848" spans="1:13" x14ac:dyDescent="0.45">
      <c r="A1848" t="s">
        <v>3601</v>
      </c>
      <c r="B1848">
        <v>1922393</v>
      </c>
      <c r="C1848">
        <v>1922614</v>
      </c>
      <c r="E1848" t="s">
        <v>14</v>
      </c>
      <c r="F1848" t="s">
        <v>46</v>
      </c>
      <c r="H1848">
        <v>83705641</v>
      </c>
      <c r="I1848" t="s">
        <v>17</v>
      </c>
      <c r="K1848" t="s">
        <v>7870</v>
      </c>
      <c r="L1848">
        <v>73</v>
      </c>
      <c r="M1848" t="s">
        <v>7871</v>
      </c>
    </row>
    <row r="1849" spans="1:13" x14ac:dyDescent="0.45">
      <c r="A1849" t="s">
        <v>3601</v>
      </c>
      <c r="B1849">
        <v>1922611</v>
      </c>
      <c r="C1849">
        <v>1923018</v>
      </c>
      <c r="E1849" t="s">
        <v>14</v>
      </c>
      <c r="F1849" t="s">
        <v>47</v>
      </c>
      <c r="H1849">
        <v>83705642</v>
      </c>
      <c r="I1849" t="s">
        <v>17</v>
      </c>
      <c r="K1849" t="s">
        <v>7872</v>
      </c>
      <c r="L1849">
        <v>135</v>
      </c>
      <c r="M1849" t="s">
        <v>7873</v>
      </c>
    </row>
    <row r="1850" spans="1:13" x14ac:dyDescent="0.45">
      <c r="A1850" t="s">
        <v>3601</v>
      </c>
      <c r="B1850">
        <v>1923384</v>
      </c>
      <c r="C1850">
        <v>1924817</v>
      </c>
      <c r="E1850" t="s">
        <v>42</v>
      </c>
      <c r="F1850" t="s">
        <v>92</v>
      </c>
      <c r="H1850">
        <v>83705643</v>
      </c>
      <c r="I1850" t="s">
        <v>17</v>
      </c>
      <c r="K1850" t="s">
        <v>7874</v>
      </c>
      <c r="L1850">
        <v>477</v>
      </c>
      <c r="M1850" t="s">
        <v>7875</v>
      </c>
    </row>
    <row r="1851" spans="1:13" x14ac:dyDescent="0.45">
      <c r="A1851" t="s">
        <v>3601</v>
      </c>
      <c r="B1851">
        <v>1924837</v>
      </c>
      <c r="C1851">
        <v>1927845</v>
      </c>
      <c r="E1851" t="s">
        <v>42</v>
      </c>
      <c r="F1851" t="s">
        <v>7876</v>
      </c>
      <c r="H1851">
        <v>83705644</v>
      </c>
      <c r="I1851" t="s">
        <v>17</v>
      </c>
      <c r="K1851" t="s">
        <v>7877</v>
      </c>
      <c r="L1851">
        <v>1002</v>
      </c>
      <c r="M1851" t="s">
        <v>7878</v>
      </c>
    </row>
    <row r="1852" spans="1:13" x14ac:dyDescent="0.45">
      <c r="A1852" t="s">
        <v>3601</v>
      </c>
      <c r="B1852">
        <v>1927859</v>
      </c>
      <c r="C1852">
        <v>1928524</v>
      </c>
      <c r="E1852" t="s">
        <v>14</v>
      </c>
      <c r="F1852" t="s">
        <v>6022</v>
      </c>
      <c r="H1852">
        <v>83705645</v>
      </c>
      <c r="I1852" t="s">
        <v>17</v>
      </c>
      <c r="K1852" t="s">
        <v>7879</v>
      </c>
      <c r="L1852">
        <v>221</v>
      </c>
      <c r="M1852" t="s">
        <v>7880</v>
      </c>
    </row>
    <row r="1853" spans="1:13" x14ac:dyDescent="0.45">
      <c r="A1853" t="s">
        <v>3601</v>
      </c>
      <c r="B1853">
        <v>1928521</v>
      </c>
      <c r="C1853">
        <v>1929027</v>
      </c>
      <c r="E1853" t="s">
        <v>42</v>
      </c>
      <c r="F1853" t="s">
        <v>6022</v>
      </c>
      <c r="H1853">
        <v>83705646</v>
      </c>
      <c r="I1853" t="s">
        <v>17</v>
      </c>
      <c r="K1853" t="s">
        <v>7881</v>
      </c>
      <c r="L1853">
        <v>168</v>
      </c>
      <c r="M1853" t="s">
        <v>7882</v>
      </c>
    </row>
    <row r="1854" spans="1:13" x14ac:dyDescent="0.45">
      <c r="A1854" t="s">
        <v>3601</v>
      </c>
      <c r="B1854">
        <v>1929017</v>
      </c>
      <c r="C1854">
        <v>1930522</v>
      </c>
      <c r="E1854" t="s">
        <v>42</v>
      </c>
      <c r="F1854" t="s">
        <v>7883</v>
      </c>
      <c r="H1854">
        <v>83705647</v>
      </c>
      <c r="I1854" t="s">
        <v>17</v>
      </c>
      <c r="K1854" t="s">
        <v>7884</v>
      </c>
      <c r="L1854">
        <v>501</v>
      </c>
      <c r="M1854" t="s">
        <v>7885</v>
      </c>
    </row>
    <row r="1855" spans="1:13" x14ac:dyDescent="0.45">
      <c r="A1855" t="s">
        <v>3601</v>
      </c>
      <c r="B1855">
        <v>1930867</v>
      </c>
      <c r="C1855">
        <v>1931223</v>
      </c>
      <c r="E1855" t="s">
        <v>42</v>
      </c>
      <c r="F1855" t="s">
        <v>45</v>
      </c>
      <c r="H1855">
        <v>83705648</v>
      </c>
      <c r="I1855" t="s">
        <v>17</v>
      </c>
      <c r="K1855" t="s">
        <v>7886</v>
      </c>
      <c r="L1855">
        <v>118</v>
      </c>
      <c r="M1855" t="s">
        <v>7887</v>
      </c>
    </row>
    <row r="1856" spans="1:13" x14ac:dyDescent="0.45">
      <c r="A1856" t="s">
        <v>3601</v>
      </c>
      <c r="B1856">
        <v>1931223</v>
      </c>
      <c r="C1856">
        <v>1931585</v>
      </c>
      <c r="E1856" t="s">
        <v>42</v>
      </c>
      <c r="F1856" t="s">
        <v>5407</v>
      </c>
      <c r="H1856">
        <v>83705649</v>
      </c>
      <c r="I1856" t="s">
        <v>17</v>
      </c>
      <c r="K1856" t="s">
        <v>7888</v>
      </c>
      <c r="L1856">
        <v>120</v>
      </c>
      <c r="M1856" t="s">
        <v>7889</v>
      </c>
    </row>
    <row r="1857" spans="1:13" x14ac:dyDescent="0.45">
      <c r="A1857" t="s">
        <v>3601</v>
      </c>
      <c r="B1857">
        <v>1931578</v>
      </c>
      <c r="C1857">
        <v>1931868</v>
      </c>
      <c r="E1857" t="s">
        <v>42</v>
      </c>
      <c r="F1857" t="s">
        <v>7890</v>
      </c>
      <c r="H1857">
        <v>83705650</v>
      </c>
      <c r="I1857" t="s">
        <v>17</v>
      </c>
      <c r="K1857" t="s">
        <v>7891</v>
      </c>
      <c r="L1857">
        <v>96</v>
      </c>
      <c r="M1857" t="s">
        <v>7892</v>
      </c>
    </row>
    <row r="1858" spans="1:13" x14ac:dyDescent="0.45">
      <c r="A1858" t="s">
        <v>3601</v>
      </c>
      <c r="B1858">
        <v>1931883</v>
      </c>
      <c r="C1858">
        <v>1932707</v>
      </c>
      <c r="E1858" t="s">
        <v>42</v>
      </c>
      <c r="F1858" t="s">
        <v>716</v>
      </c>
      <c r="H1858">
        <v>83705873</v>
      </c>
      <c r="I1858" t="s">
        <v>17</v>
      </c>
      <c r="K1858" t="s">
        <v>7893</v>
      </c>
      <c r="L1858">
        <v>274</v>
      </c>
      <c r="M1858" t="s">
        <v>7894</v>
      </c>
    </row>
    <row r="1859" spans="1:13" x14ac:dyDescent="0.45">
      <c r="A1859" t="s">
        <v>3601</v>
      </c>
      <c r="B1859">
        <v>1932716</v>
      </c>
      <c r="C1859">
        <v>1933000</v>
      </c>
      <c r="E1859" t="s">
        <v>42</v>
      </c>
      <c r="F1859" t="s">
        <v>45</v>
      </c>
      <c r="H1859">
        <v>83705651</v>
      </c>
      <c r="I1859" t="s">
        <v>17</v>
      </c>
      <c r="K1859" t="s">
        <v>7895</v>
      </c>
      <c r="L1859">
        <v>94</v>
      </c>
      <c r="M1859" t="s">
        <v>7896</v>
      </c>
    </row>
    <row r="1860" spans="1:13" x14ac:dyDescent="0.45">
      <c r="A1860" t="s">
        <v>3601</v>
      </c>
      <c r="B1860">
        <v>1933147</v>
      </c>
      <c r="C1860">
        <v>1933665</v>
      </c>
      <c r="E1860" t="s">
        <v>14</v>
      </c>
      <c r="F1860" t="s">
        <v>139</v>
      </c>
      <c r="H1860">
        <v>83705652</v>
      </c>
      <c r="I1860" t="s">
        <v>17</v>
      </c>
      <c r="K1860" t="s">
        <v>7897</v>
      </c>
      <c r="L1860">
        <v>172</v>
      </c>
      <c r="M1860" t="s">
        <v>7898</v>
      </c>
    </row>
    <row r="1861" spans="1:13" x14ac:dyDescent="0.45">
      <c r="A1861" t="s">
        <v>3601</v>
      </c>
      <c r="B1861">
        <v>1933720</v>
      </c>
      <c r="C1861">
        <v>1934874</v>
      </c>
      <c r="E1861" t="s">
        <v>14</v>
      </c>
      <c r="F1861" t="s">
        <v>244</v>
      </c>
      <c r="H1861">
        <v>83705653</v>
      </c>
      <c r="I1861" t="s">
        <v>17</v>
      </c>
      <c r="K1861" t="s">
        <v>7899</v>
      </c>
      <c r="L1861">
        <v>384</v>
      </c>
      <c r="M1861" t="s">
        <v>7900</v>
      </c>
    </row>
    <row r="1862" spans="1:13" x14ac:dyDescent="0.45">
      <c r="A1862" t="s">
        <v>3601</v>
      </c>
      <c r="B1862">
        <v>1935008</v>
      </c>
      <c r="C1862">
        <v>1935400</v>
      </c>
      <c r="E1862" t="s">
        <v>42</v>
      </c>
      <c r="F1862" t="s">
        <v>242</v>
      </c>
      <c r="G1862" t="s">
        <v>243</v>
      </c>
      <c r="H1862">
        <v>83705654</v>
      </c>
      <c r="I1862" t="s">
        <v>17</v>
      </c>
      <c r="K1862" t="s">
        <v>7901</v>
      </c>
      <c r="L1862">
        <v>130</v>
      </c>
      <c r="M1862" t="s">
        <v>7902</v>
      </c>
    </row>
    <row r="1863" spans="1:13" x14ac:dyDescent="0.45">
      <c r="A1863" t="s">
        <v>3601</v>
      </c>
      <c r="B1863">
        <v>1935420</v>
      </c>
      <c r="C1863">
        <v>1935866</v>
      </c>
      <c r="E1863" t="s">
        <v>42</v>
      </c>
      <c r="F1863" t="s">
        <v>240</v>
      </c>
      <c r="G1863" t="s">
        <v>241</v>
      </c>
      <c r="H1863">
        <v>83705655</v>
      </c>
      <c r="I1863" t="s">
        <v>17</v>
      </c>
      <c r="K1863" t="s">
        <v>7903</v>
      </c>
      <c r="L1863">
        <v>148</v>
      </c>
      <c r="M1863" t="s">
        <v>7904</v>
      </c>
    </row>
    <row r="1864" spans="1:13" x14ac:dyDescent="0.45">
      <c r="A1864" t="s">
        <v>3601</v>
      </c>
      <c r="B1864">
        <v>1936404</v>
      </c>
      <c r="C1864">
        <v>1937264</v>
      </c>
      <c r="E1864" t="s">
        <v>42</v>
      </c>
      <c r="F1864" t="s">
        <v>38</v>
      </c>
      <c r="H1864">
        <v>83705656</v>
      </c>
      <c r="I1864" t="s">
        <v>17</v>
      </c>
      <c r="K1864" t="s">
        <v>7905</v>
      </c>
      <c r="L1864">
        <v>286</v>
      </c>
      <c r="M1864" t="s">
        <v>7906</v>
      </c>
    </row>
    <row r="1865" spans="1:13" x14ac:dyDescent="0.45">
      <c r="A1865" t="s">
        <v>3601</v>
      </c>
      <c r="B1865">
        <v>1937456</v>
      </c>
      <c r="C1865">
        <v>1937974</v>
      </c>
      <c r="E1865" t="s">
        <v>42</v>
      </c>
      <c r="F1865" t="s">
        <v>7907</v>
      </c>
      <c r="H1865">
        <v>83705657</v>
      </c>
      <c r="I1865" t="s">
        <v>17</v>
      </c>
      <c r="K1865" t="s">
        <v>7908</v>
      </c>
      <c r="L1865">
        <v>172</v>
      </c>
      <c r="M1865" t="s">
        <v>7909</v>
      </c>
    </row>
    <row r="1866" spans="1:13" x14ac:dyDescent="0.45">
      <c r="A1866" t="s">
        <v>3601</v>
      </c>
      <c r="B1866">
        <v>1937975</v>
      </c>
      <c r="C1866">
        <v>1938721</v>
      </c>
      <c r="E1866" t="s">
        <v>42</v>
      </c>
      <c r="F1866" t="s">
        <v>259</v>
      </c>
      <c r="G1866" t="s">
        <v>260</v>
      </c>
      <c r="H1866">
        <v>83705658</v>
      </c>
      <c r="I1866" t="s">
        <v>17</v>
      </c>
      <c r="K1866" t="s">
        <v>7910</v>
      </c>
      <c r="L1866">
        <v>248</v>
      </c>
      <c r="M1866" t="s">
        <v>7911</v>
      </c>
    </row>
    <row r="1867" spans="1:13" x14ac:dyDescent="0.45">
      <c r="A1867" t="s">
        <v>3601</v>
      </c>
      <c r="B1867">
        <v>1938770</v>
      </c>
      <c r="C1867">
        <v>1939567</v>
      </c>
      <c r="E1867" t="s">
        <v>42</v>
      </c>
      <c r="F1867" t="s">
        <v>45</v>
      </c>
      <c r="H1867">
        <v>83705659</v>
      </c>
      <c r="I1867" t="s">
        <v>17</v>
      </c>
      <c r="K1867" t="s">
        <v>7912</v>
      </c>
      <c r="L1867">
        <v>265</v>
      </c>
      <c r="M1867" t="s">
        <v>7913</v>
      </c>
    </row>
    <row r="1868" spans="1:13" x14ac:dyDescent="0.45">
      <c r="A1868" t="s">
        <v>3601</v>
      </c>
      <c r="B1868">
        <v>1939784</v>
      </c>
      <c r="C1868">
        <v>1940191</v>
      </c>
      <c r="E1868" t="s">
        <v>42</v>
      </c>
      <c r="F1868" t="s">
        <v>258</v>
      </c>
      <c r="H1868">
        <v>83705660</v>
      </c>
      <c r="I1868" t="s">
        <v>17</v>
      </c>
      <c r="K1868" t="s">
        <v>7914</v>
      </c>
      <c r="L1868">
        <v>135</v>
      </c>
      <c r="M1868" t="s">
        <v>7915</v>
      </c>
    </row>
    <row r="1869" spans="1:13" x14ac:dyDescent="0.45">
      <c r="A1869" t="s">
        <v>3601</v>
      </c>
      <c r="B1869">
        <v>1940184</v>
      </c>
      <c r="C1869">
        <v>1941527</v>
      </c>
      <c r="E1869" t="s">
        <v>42</v>
      </c>
      <c r="F1869" t="s">
        <v>256</v>
      </c>
      <c r="G1869" t="s">
        <v>257</v>
      </c>
      <c r="H1869">
        <v>83705661</v>
      </c>
      <c r="I1869" t="s">
        <v>17</v>
      </c>
      <c r="K1869" t="s">
        <v>7916</v>
      </c>
      <c r="L1869">
        <v>447</v>
      </c>
      <c r="M1869" t="s">
        <v>7917</v>
      </c>
    </row>
    <row r="1870" spans="1:13" x14ac:dyDescent="0.45">
      <c r="A1870" t="s">
        <v>3601</v>
      </c>
      <c r="B1870">
        <v>1941662</v>
      </c>
      <c r="C1870">
        <v>1942198</v>
      </c>
      <c r="E1870" t="s">
        <v>42</v>
      </c>
      <c r="F1870" t="s">
        <v>7918</v>
      </c>
      <c r="G1870" t="s">
        <v>7919</v>
      </c>
      <c r="H1870">
        <v>83705662</v>
      </c>
      <c r="I1870" t="s">
        <v>17</v>
      </c>
      <c r="K1870" t="s">
        <v>7920</v>
      </c>
      <c r="L1870">
        <v>178</v>
      </c>
      <c r="M1870" t="s">
        <v>7921</v>
      </c>
    </row>
    <row r="1871" spans="1:13" x14ac:dyDescent="0.45">
      <c r="A1871" t="s">
        <v>3601</v>
      </c>
      <c r="B1871">
        <v>1942210</v>
      </c>
      <c r="C1871">
        <v>1942962</v>
      </c>
      <c r="E1871" t="s">
        <v>42</v>
      </c>
      <c r="F1871" t="s">
        <v>7922</v>
      </c>
      <c r="H1871">
        <v>83705663</v>
      </c>
      <c r="I1871" t="s">
        <v>17</v>
      </c>
      <c r="K1871" t="s">
        <v>7923</v>
      </c>
      <c r="L1871">
        <v>250</v>
      </c>
      <c r="M1871" t="s">
        <v>7924</v>
      </c>
    </row>
    <row r="1872" spans="1:13" x14ac:dyDescent="0.45">
      <c r="A1872" t="s">
        <v>3601</v>
      </c>
      <c r="B1872">
        <v>1942955</v>
      </c>
      <c r="C1872">
        <v>1945099</v>
      </c>
      <c r="E1872" t="s">
        <v>42</v>
      </c>
      <c r="F1872" t="s">
        <v>7925</v>
      </c>
      <c r="G1872" t="s">
        <v>7926</v>
      </c>
      <c r="H1872">
        <v>83705664</v>
      </c>
      <c r="I1872" t="s">
        <v>17</v>
      </c>
      <c r="K1872" t="s">
        <v>7927</v>
      </c>
      <c r="L1872">
        <v>714</v>
      </c>
      <c r="M1872" t="s">
        <v>7928</v>
      </c>
    </row>
    <row r="1873" spans="1:13" x14ac:dyDescent="0.45">
      <c r="A1873" t="s">
        <v>3601</v>
      </c>
      <c r="B1873">
        <v>1945625</v>
      </c>
      <c r="C1873">
        <v>1945894</v>
      </c>
      <c r="E1873" t="s">
        <v>42</v>
      </c>
      <c r="F1873" t="s">
        <v>7929</v>
      </c>
      <c r="G1873" t="s">
        <v>593</v>
      </c>
      <c r="H1873">
        <v>83705665</v>
      </c>
      <c r="I1873" t="s">
        <v>17</v>
      </c>
      <c r="K1873" t="s">
        <v>7930</v>
      </c>
      <c r="L1873">
        <v>89</v>
      </c>
      <c r="M1873" t="s">
        <v>7931</v>
      </c>
    </row>
    <row r="1874" spans="1:13" x14ac:dyDescent="0.45">
      <c r="A1874" t="s">
        <v>3601</v>
      </c>
      <c r="B1874">
        <v>1946150</v>
      </c>
      <c r="C1874">
        <v>1947553</v>
      </c>
      <c r="E1874" t="s">
        <v>42</v>
      </c>
      <c r="F1874" t="s">
        <v>4440</v>
      </c>
      <c r="H1874">
        <v>83705666</v>
      </c>
      <c r="I1874" t="s">
        <v>17</v>
      </c>
      <c r="K1874" t="s">
        <v>7932</v>
      </c>
      <c r="L1874">
        <v>467</v>
      </c>
      <c r="M1874" t="s">
        <v>7933</v>
      </c>
    </row>
    <row r="1875" spans="1:13" x14ac:dyDescent="0.45">
      <c r="A1875" t="s">
        <v>3601</v>
      </c>
      <c r="B1875">
        <v>1947943</v>
      </c>
      <c r="C1875">
        <v>1948557</v>
      </c>
      <c r="E1875" t="s">
        <v>14</v>
      </c>
      <c r="F1875" t="s">
        <v>63</v>
      </c>
      <c r="G1875" t="s">
        <v>579</v>
      </c>
      <c r="H1875">
        <v>83705667</v>
      </c>
      <c r="I1875" t="s">
        <v>17</v>
      </c>
      <c r="K1875" t="s">
        <v>7934</v>
      </c>
      <c r="L1875">
        <v>204</v>
      </c>
      <c r="M1875" t="s">
        <v>7935</v>
      </c>
    </row>
    <row r="1876" spans="1:13" x14ac:dyDescent="0.45">
      <c r="A1876" t="s">
        <v>3601</v>
      </c>
      <c r="B1876">
        <v>1948686</v>
      </c>
      <c r="C1876">
        <v>1949231</v>
      </c>
      <c r="E1876" t="s">
        <v>42</v>
      </c>
      <c r="F1876" t="s">
        <v>7936</v>
      </c>
      <c r="H1876">
        <v>83705668</v>
      </c>
      <c r="I1876" t="s">
        <v>17</v>
      </c>
      <c r="K1876" t="s">
        <v>7937</v>
      </c>
      <c r="L1876">
        <v>181</v>
      </c>
      <c r="M1876" t="s">
        <v>7938</v>
      </c>
    </row>
    <row r="1877" spans="1:13" x14ac:dyDescent="0.45">
      <c r="A1877" t="s">
        <v>3601</v>
      </c>
      <c r="B1877">
        <v>1949361</v>
      </c>
      <c r="C1877">
        <v>1949789</v>
      </c>
      <c r="E1877" t="s">
        <v>42</v>
      </c>
      <c r="F1877" t="s">
        <v>702</v>
      </c>
      <c r="H1877">
        <v>83705669</v>
      </c>
      <c r="I1877" t="s">
        <v>17</v>
      </c>
      <c r="K1877" t="s">
        <v>7939</v>
      </c>
      <c r="L1877">
        <v>142</v>
      </c>
      <c r="M1877" t="s">
        <v>7940</v>
      </c>
    </row>
    <row r="1878" spans="1:13" x14ac:dyDescent="0.45">
      <c r="A1878" t="s">
        <v>3601</v>
      </c>
      <c r="B1878">
        <v>1949911</v>
      </c>
      <c r="C1878">
        <v>1954308</v>
      </c>
      <c r="E1878" t="s">
        <v>42</v>
      </c>
      <c r="F1878" t="s">
        <v>785</v>
      </c>
      <c r="H1878">
        <v>83705670</v>
      </c>
      <c r="I1878" t="s">
        <v>17</v>
      </c>
      <c r="K1878" t="s">
        <v>7941</v>
      </c>
      <c r="L1878">
        <v>1465</v>
      </c>
      <c r="M1878" t="s">
        <v>7942</v>
      </c>
    </row>
    <row r="1879" spans="1:13" x14ac:dyDescent="0.45">
      <c r="A1879" t="s">
        <v>3601</v>
      </c>
      <c r="B1879">
        <v>1954643</v>
      </c>
      <c r="C1879">
        <v>1955200</v>
      </c>
      <c r="E1879" t="s">
        <v>42</v>
      </c>
      <c r="F1879" t="s">
        <v>7943</v>
      </c>
      <c r="H1879">
        <v>83705671</v>
      </c>
      <c r="I1879" t="s">
        <v>17</v>
      </c>
      <c r="K1879" t="s">
        <v>7944</v>
      </c>
      <c r="L1879">
        <v>185</v>
      </c>
      <c r="M1879" t="s">
        <v>7945</v>
      </c>
    </row>
    <row r="1880" spans="1:13" x14ac:dyDescent="0.45">
      <c r="A1880" t="s">
        <v>3601</v>
      </c>
      <c r="B1880">
        <v>1955252</v>
      </c>
      <c r="C1880">
        <v>1957108</v>
      </c>
      <c r="E1880" t="s">
        <v>42</v>
      </c>
      <c r="F1880" t="s">
        <v>786</v>
      </c>
      <c r="H1880">
        <v>83705672</v>
      </c>
      <c r="I1880" t="s">
        <v>17</v>
      </c>
      <c r="K1880" t="s">
        <v>7946</v>
      </c>
      <c r="L1880">
        <v>618</v>
      </c>
      <c r="M1880" t="s">
        <v>7947</v>
      </c>
    </row>
    <row r="1881" spans="1:13" x14ac:dyDescent="0.45">
      <c r="A1881" t="s">
        <v>3601</v>
      </c>
      <c r="B1881">
        <v>1957402</v>
      </c>
      <c r="C1881">
        <v>1958661</v>
      </c>
      <c r="E1881" t="s">
        <v>42</v>
      </c>
      <c r="F1881" t="s">
        <v>787</v>
      </c>
      <c r="G1881" t="s">
        <v>788</v>
      </c>
      <c r="H1881">
        <v>83705673</v>
      </c>
      <c r="I1881" t="s">
        <v>17</v>
      </c>
      <c r="K1881" t="s">
        <v>7948</v>
      </c>
      <c r="L1881">
        <v>419</v>
      </c>
      <c r="M1881" t="s">
        <v>7949</v>
      </c>
    </row>
    <row r="1882" spans="1:13" x14ac:dyDescent="0.45">
      <c r="A1882" t="s">
        <v>3601</v>
      </c>
      <c r="B1882">
        <v>1958693</v>
      </c>
      <c r="C1882">
        <v>1959487</v>
      </c>
      <c r="E1882" t="s">
        <v>42</v>
      </c>
      <c r="F1882" t="s">
        <v>789</v>
      </c>
      <c r="H1882">
        <v>83705674</v>
      </c>
      <c r="I1882" t="s">
        <v>17</v>
      </c>
      <c r="K1882" t="s">
        <v>7950</v>
      </c>
      <c r="L1882">
        <v>264</v>
      </c>
      <c r="M1882" t="s">
        <v>7951</v>
      </c>
    </row>
    <row r="1883" spans="1:13" x14ac:dyDescent="0.45">
      <c r="A1883" t="s">
        <v>3601</v>
      </c>
      <c r="B1883">
        <v>1959497</v>
      </c>
      <c r="C1883">
        <v>1960246</v>
      </c>
      <c r="E1883" t="s">
        <v>42</v>
      </c>
      <c r="F1883" t="s">
        <v>790</v>
      </c>
      <c r="H1883">
        <v>83705675</v>
      </c>
      <c r="I1883" t="s">
        <v>17</v>
      </c>
      <c r="K1883" t="s">
        <v>7952</v>
      </c>
      <c r="L1883">
        <v>249</v>
      </c>
      <c r="M1883" t="s">
        <v>7953</v>
      </c>
    </row>
    <row r="1884" spans="1:13" x14ac:dyDescent="0.45">
      <c r="A1884" t="s">
        <v>3601</v>
      </c>
      <c r="B1884">
        <v>1960420</v>
      </c>
      <c r="C1884">
        <v>1960779</v>
      </c>
      <c r="E1884" t="s">
        <v>42</v>
      </c>
      <c r="F1884" t="s">
        <v>327</v>
      </c>
      <c r="G1884" t="s">
        <v>328</v>
      </c>
      <c r="H1884">
        <v>83705676</v>
      </c>
      <c r="I1884" t="s">
        <v>17</v>
      </c>
      <c r="K1884" t="s">
        <v>7954</v>
      </c>
      <c r="L1884">
        <v>119</v>
      </c>
      <c r="M1884" t="s">
        <v>7955</v>
      </c>
    </row>
    <row r="1885" spans="1:13" x14ac:dyDescent="0.45">
      <c r="A1885" t="s">
        <v>3601</v>
      </c>
      <c r="B1885">
        <v>1960893</v>
      </c>
      <c r="C1885">
        <v>1961255</v>
      </c>
      <c r="E1885" t="s">
        <v>42</v>
      </c>
      <c r="F1885" t="s">
        <v>7956</v>
      </c>
      <c r="G1885" t="s">
        <v>7957</v>
      </c>
      <c r="H1885">
        <v>83705677</v>
      </c>
      <c r="I1885" t="s">
        <v>17</v>
      </c>
      <c r="K1885" t="s">
        <v>7958</v>
      </c>
      <c r="L1885">
        <v>120</v>
      </c>
      <c r="M1885" t="s">
        <v>7959</v>
      </c>
    </row>
    <row r="1886" spans="1:13" x14ac:dyDescent="0.45">
      <c r="A1886" t="s">
        <v>3601</v>
      </c>
      <c r="B1886">
        <v>1961364</v>
      </c>
      <c r="C1886">
        <v>1962983</v>
      </c>
      <c r="E1886" t="s">
        <v>42</v>
      </c>
      <c r="F1886" t="s">
        <v>7960</v>
      </c>
      <c r="G1886" t="s">
        <v>7961</v>
      </c>
      <c r="H1886">
        <v>83705678</v>
      </c>
      <c r="I1886" t="s">
        <v>17</v>
      </c>
      <c r="K1886" t="s">
        <v>7962</v>
      </c>
      <c r="L1886">
        <v>539</v>
      </c>
      <c r="M1886" t="s">
        <v>7963</v>
      </c>
    </row>
    <row r="1887" spans="1:13" x14ac:dyDescent="0.45">
      <c r="A1887" t="s">
        <v>3601</v>
      </c>
      <c r="B1887">
        <v>1963165</v>
      </c>
      <c r="C1887">
        <v>1964298</v>
      </c>
      <c r="E1887" t="s">
        <v>42</v>
      </c>
      <c r="F1887" t="s">
        <v>72</v>
      </c>
      <c r="H1887">
        <v>83705679</v>
      </c>
      <c r="I1887" t="s">
        <v>17</v>
      </c>
      <c r="K1887" t="s">
        <v>7964</v>
      </c>
      <c r="L1887">
        <v>377</v>
      </c>
      <c r="M1887" t="s">
        <v>7965</v>
      </c>
    </row>
    <row r="1888" spans="1:13" x14ac:dyDescent="0.45">
      <c r="A1888" t="s">
        <v>3601</v>
      </c>
      <c r="B1888">
        <v>1964448</v>
      </c>
      <c r="C1888">
        <v>1965296</v>
      </c>
      <c r="E1888" t="s">
        <v>42</v>
      </c>
      <c r="F1888" t="s">
        <v>139</v>
      </c>
      <c r="H1888">
        <v>83705680</v>
      </c>
      <c r="I1888" t="s">
        <v>17</v>
      </c>
      <c r="K1888" t="s">
        <v>7966</v>
      </c>
      <c r="L1888">
        <v>282</v>
      </c>
      <c r="M1888" t="s">
        <v>7967</v>
      </c>
    </row>
    <row r="1889" spans="1:13" x14ac:dyDescent="0.45">
      <c r="A1889" t="s">
        <v>3601</v>
      </c>
      <c r="B1889">
        <v>1966051</v>
      </c>
      <c r="C1889">
        <v>1967316</v>
      </c>
      <c r="E1889" t="s">
        <v>14</v>
      </c>
      <c r="F1889" t="s">
        <v>7968</v>
      </c>
      <c r="H1889">
        <v>83705681</v>
      </c>
      <c r="I1889" t="s">
        <v>17</v>
      </c>
      <c r="K1889" t="s">
        <v>7969</v>
      </c>
      <c r="L1889">
        <v>421</v>
      </c>
      <c r="M1889" t="s">
        <v>7970</v>
      </c>
    </row>
    <row r="1890" spans="1:13" x14ac:dyDescent="0.45">
      <c r="A1890" t="s">
        <v>3601</v>
      </c>
      <c r="B1890">
        <v>1967462</v>
      </c>
      <c r="C1890">
        <v>1967905</v>
      </c>
      <c r="E1890" t="s">
        <v>42</v>
      </c>
      <c r="F1890" t="s">
        <v>628</v>
      </c>
      <c r="G1890" t="s">
        <v>629</v>
      </c>
      <c r="H1890">
        <v>83705682</v>
      </c>
      <c r="I1890" t="s">
        <v>17</v>
      </c>
      <c r="K1890" t="s">
        <v>7971</v>
      </c>
      <c r="L1890">
        <v>147</v>
      </c>
      <c r="M1890" t="s">
        <v>7972</v>
      </c>
    </row>
    <row r="1891" spans="1:13" x14ac:dyDescent="0.45">
      <c r="A1891" t="s">
        <v>3601</v>
      </c>
      <c r="B1891">
        <v>1967920</v>
      </c>
      <c r="C1891">
        <v>1970139</v>
      </c>
      <c r="E1891" t="s">
        <v>42</v>
      </c>
      <c r="F1891" t="s">
        <v>7973</v>
      </c>
      <c r="H1891">
        <v>83705683</v>
      </c>
      <c r="I1891" t="s">
        <v>17</v>
      </c>
      <c r="K1891" t="s">
        <v>7974</v>
      </c>
      <c r="L1891">
        <v>739</v>
      </c>
      <c r="M1891" t="s">
        <v>7975</v>
      </c>
    </row>
    <row r="1892" spans="1:13" x14ac:dyDescent="0.45">
      <c r="A1892" t="s">
        <v>3601</v>
      </c>
      <c r="B1892">
        <v>1970361</v>
      </c>
      <c r="C1892">
        <v>1972034</v>
      </c>
      <c r="E1892" t="s">
        <v>42</v>
      </c>
      <c r="F1892" t="s">
        <v>679</v>
      </c>
      <c r="H1892">
        <v>83705684</v>
      </c>
      <c r="I1892" t="s">
        <v>17</v>
      </c>
      <c r="K1892" t="s">
        <v>7976</v>
      </c>
      <c r="L1892">
        <v>557</v>
      </c>
      <c r="M1892" t="s">
        <v>7977</v>
      </c>
    </row>
    <row r="1893" spans="1:13" x14ac:dyDescent="0.45">
      <c r="A1893" t="s">
        <v>3601</v>
      </c>
      <c r="B1893">
        <v>1972284</v>
      </c>
      <c r="C1893">
        <v>1973468</v>
      </c>
      <c r="E1893" t="s">
        <v>14</v>
      </c>
      <c r="F1893" t="s">
        <v>7978</v>
      </c>
      <c r="G1893" t="s">
        <v>7979</v>
      </c>
      <c r="H1893">
        <v>83705685</v>
      </c>
      <c r="I1893" t="s">
        <v>17</v>
      </c>
      <c r="K1893" t="s">
        <v>7980</v>
      </c>
      <c r="L1893">
        <v>394</v>
      </c>
      <c r="M1893" t="s">
        <v>7981</v>
      </c>
    </row>
    <row r="1894" spans="1:13" x14ac:dyDescent="0.45">
      <c r="A1894" t="s">
        <v>3601</v>
      </c>
      <c r="B1894">
        <v>1973678</v>
      </c>
      <c r="C1894">
        <v>1974136</v>
      </c>
      <c r="E1894" t="s">
        <v>14</v>
      </c>
      <c r="F1894" t="s">
        <v>990</v>
      </c>
      <c r="G1894" t="s">
        <v>991</v>
      </c>
      <c r="H1894">
        <v>83705686</v>
      </c>
      <c r="I1894" t="s">
        <v>17</v>
      </c>
      <c r="K1894" t="s">
        <v>7982</v>
      </c>
      <c r="L1894">
        <v>152</v>
      </c>
      <c r="M1894" t="s">
        <v>7983</v>
      </c>
    </row>
    <row r="1895" spans="1:13" x14ac:dyDescent="0.45">
      <c r="A1895" t="s">
        <v>3601</v>
      </c>
      <c r="B1895">
        <v>1974250</v>
      </c>
      <c r="C1895">
        <v>1974759</v>
      </c>
      <c r="E1895" t="s">
        <v>14</v>
      </c>
      <c r="F1895" t="s">
        <v>7968</v>
      </c>
      <c r="H1895">
        <v>83705687</v>
      </c>
      <c r="I1895" t="s">
        <v>17</v>
      </c>
      <c r="K1895" t="s">
        <v>7984</v>
      </c>
      <c r="L1895">
        <v>169</v>
      </c>
      <c r="M1895" t="s">
        <v>7985</v>
      </c>
    </row>
    <row r="1896" spans="1:13" x14ac:dyDescent="0.45">
      <c r="A1896" t="s">
        <v>3601</v>
      </c>
      <c r="B1896">
        <v>1975155</v>
      </c>
      <c r="C1896">
        <v>1975976</v>
      </c>
      <c r="E1896" t="s">
        <v>42</v>
      </c>
      <c r="F1896" t="s">
        <v>5610</v>
      </c>
      <c r="H1896">
        <v>83705688</v>
      </c>
      <c r="I1896" t="s">
        <v>17</v>
      </c>
      <c r="K1896" t="s">
        <v>7986</v>
      </c>
      <c r="L1896">
        <v>273</v>
      </c>
      <c r="M1896" t="s">
        <v>7987</v>
      </c>
    </row>
    <row r="1897" spans="1:13" x14ac:dyDescent="0.45">
      <c r="A1897" t="s">
        <v>3601</v>
      </c>
      <c r="B1897">
        <v>1976053</v>
      </c>
      <c r="C1897">
        <v>1978230</v>
      </c>
      <c r="E1897" t="s">
        <v>42</v>
      </c>
      <c r="F1897" t="s">
        <v>7988</v>
      </c>
      <c r="H1897">
        <v>83705689</v>
      </c>
      <c r="I1897" t="s">
        <v>17</v>
      </c>
      <c r="K1897" t="s">
        <v>7989</v>
      </c>
      <c r="L1897">
        <v>725</v>
      </c>
      <c r="M1897" t="s">
        <v>7990</v>
      </c>
    </row>
    <row r="1898" spans="1:13" x14ac:dyDescent="0.45">
      <c r="A1898" t="s">
        <v>3601</v>
      </c>
      <c r="B1898">
        <v>1978527</v>
      </c>
      <c r="C1898">
        <v>1979531</v>
      </c>
      <c r="E1898" t="s">
        <v>42</v>
      </c>
      <c r="F1898" t="s">
        <v>312</v>
      </c>
      <c r="H1898">
        <v>83705690</v>
      </c>
      <c r="I1898" t="s">
        <v>17</v>
      </c>
      <c r="K1898" t="s">
        <v>7991</v>
      </c>
      <c r="L1898">
        <v>334</v>
      </c>
      <c r="M1898" t="s">
        <v>7992</v>
      </c>
    </row>
    <row r="1899" spans="1:13" x14ac:dyDescent="0.45">
      <c r="A1899" t="s">
        <v>3601</v>
      </c>
      <c r="B1899">
        <v>1979781</v>
      </c>
      <c r="C1899">
        <v>1980527</v>
      </c>
      <c r="E1899" t="s">
        <v>42</v>
      </c>
      <c r="F1899" t="s">
        <v>7993</v>
      </c>
      <c r="H1899">
        <v>83705691</v>
      </c>
      <c r="I1899" t="s">
        <v>17</v>
      </c>
      <c r="K1899" t="s">
        <v>7994</v>
      </c>
      <c r="L1899">
        <v>248</v>
      </c>
      <c r="M1899" t="s">
        <v>7995</v>
      </c>
    </row>
    <row r="1900" spans="1:13" x14ac:dyDescent="0.45">
      <c r="A1900" t="s">
        <v>3601</v>
      </c>
      <c r="B1900">
        <v>1980527</v>
      </c>
      <c r="C1900">
        <v>1981480</v>
      </c>
      <c r="E1900" t="s">
        <v>42</v>
      </c>
      <c r="F1900" t="s">
        <v>626</v>
      </c>
      <c r="G1900" t="s">
        <v>627</v>
      </c>
      <c r="H1900">
        <v>83705692</v>
      </c>
      <c r="I1900" t="s">
        <v>17</v>
      </c>
      <c r="K1900" t="s">
        <v>7996</v>
      </c>
      <c r="L1900">
        <v>317</v>
      </c>
      <c r="M1900" t="s">
        <v>7997</v>
      </c>
    </row>
    <row r="1901" spans="1:13" x14ac:dyDescent="0.45">
      <c r="A1901" t="s">
        <v>3601</v>
      </c>
      <c r="B1901">
        <v>1982042</v>
      </c>
      <c r="C1901">
        <v>1984585</v>
      </c>
      <c r="E1901" t="s">
        <v>14</v>
      </c>
      <c r="F1901" t="s">
        <v>6240</v>
      </c>
      <c r="H1901">
        <v>83705693</v>
      </c>
      <c r="I1901" t="s">
        <v>17</v>
      </c>
      <c r="K1901" t="s">
        <v>7998</v>
      </c>
      <c r="L1901">
        <v>847</v>
      </c>
      <c r="M1901" t="s">
        <v>7999</v>
      </c>
    </row>
    <row r="1902" spans="1:13" x14ac:dyDescent="0.45">
      <c r="A1902" t="s">
        <v>3601</v>
      </c>
      <c r="B1902">
        <v>1984783</v>
      </c>
      <c r="C1902">
        <v>1985211</v>
      </c>
      <c r="E1902" t="s">
        <v>42</v>
      </c>
      <c r="F1902" t="s">
        <v>571</v>
      </c>
      <c r="H1902">
        <v>83705694</v>
      </c>
      <c r="I1902" t="s">
        <v>17</v>
      </c>
      <c r="K1902" t="s">
        <v>8000</v>
      </c>
      <c r="L1902">
        <v>142</v>
      </c>
      <c r="M1902" t="s">
        <v>8001</v>
      </c>
    </row>
    <row r="1903" spans="1:13" x14ac:dyDescent="0.45">
      <c r="A1903" t="s">
        <v>3601</v>
      </c>
      <c r="B1903">
        <v>1985231</v>
      </c>
      <c r="C1903">
        <v>1985575</v>
      </c>
      <c r="E1903" t="s">
        <v>42</v>
      </c>
      <c r="F1903" t="s">
        <v>844</v>
      </c>
      <c r="H1903">
        <v>83705695</v>
      </c>
      <c r="I1903" t="s">
        <v>17</v>
      </c>
      <c r="K1903" t="s">
        <v>8002</v>
      </c>
      <c r="L1903">
        <v>114</v>
      </c>
      <c r="M1903" t="s">
        <v>8003</v>
      </c>
    </row>
    <row r="1904" spans="1:13" x14ac:dyDescent="0.45">
      <c r="A1904" t="s">
        <v>3601</v>
      </c>
      <c r="B1904">
        <v>1985577</v>
      </c>
      <c r="C1904">
        <v>1986047</v>
      </c>
      <c r="E1904" t="s">
        <v>42</v>
      </c>
      <c r="F1904" t="s">
        <v>8004</v>
      </c>
      <c r="H1904">
        <v>83705696</v>
      </c>
      <c r="I1904" t="s">
        <v>17</v>
      </c>
      <c r="K1904" t="s">
        <v>8005</v>
      </c>
      <c r="L1904">
        <v>156</v>
      </c>
      <c r="M1904" t="s">
        <v>8006</v>
      </c>
    </row>
    <row r="1905" spans="1:13" x14ac:dyDescent="0.45">
      <c r="A1905" t="s">
        <v>3601</v>
      </c>
      <c r="B1905">
        <v>1986198</v>
      </c>
      <c r="C1905">
        <v>1987934</v>
      </c>
      <c r="E1905" t="s">
        <v>14</v>
      </c>
      <c r="F1905" t="s">
        <v>8007</v>
      </c>
      <c r="G1905" t="s">
        <v>8008</v>
      </c>
      <c r="H1905">
        <v>83705697</v>
      </c>
      <c r="I1905" t="s">
        <v>17</v>
      </c>
      <c r="K1905" t="s">
        <v>8009</v>
      </c>
      <c r="L1905">
        <v>578</v>
      </c>
      <c r="M1905" t="s">
        <v>8010</v>
      </c>
    </row>
    <row r="1906" spans="1:13" x14ac:dyDescent="0.45">
      <c r="A1906" t="s">
        <v>3601</v>
      </c>
      <c r="B1906">
        <v>1987975</v>
      </c>
      <c r="C1906">
        <v>1988583</v>
      </c>
      <c r="E1906" t="s">
        <v>14</v>
      </c>
      <c r="F1906" t="s">
        <v>8011</v>
      </c>
      <c r="H1906">
        <v>83705698</v>
      </c>
      <c r="I1906" t="s">
        <v>17</v>
      </c>
      <c r="K1906" t="s">
        <v>8012</v>
      </c>
      <c r="L1906">
        <v>202</v>
      </c>
      <c r="M1906" t="s">
        <v>8013</v>
      </c>
    </row>
    <row r="1907" spans="1:13" x14ac:dyDescent="0.45">
      <c r="A1907" t="s">
        <v>3601</v>
      </c>
      <c r="B1907">
        <v>1988576</v>
      </c>
      <c r="C1907">
        <v>1989847</v>
      </c>
      <c r="E1907" t="s">
        <v>14</v>
      </c>
      <c r="F1907" t="s">
        <v>538</v>
      </c>
      <c r="H1907">
        <v>83705699</v>
      </c>
      <c r="I1907" t="s">
        <v>17</v>
      </c>
      <c r="K1907" t="s">
        <v>8014</v>
      </c>
      <c r="L1907">
        <v>423</v>
      </c>
      <c r="M1907" t="s">
        <v>8015</v>
      </c>
    </row>
    <row r="1908" spans="1:13" x14ac:dyDescent="0.45">
      <c r="A1908" t="s">
        <v>3601</v>
      </c>
      <c r="B1908">
        <v>1989934</v>
      </c>
      <c r="C1908">
        <v>1990127</v>
      </c>
      <c r="E1908" t="s">
        <v>14</v>
      </c>
      <c r="F1908" t="s">
        <v>8016</v>
      </c>
      <c r="G1908" t="s">
        <v>8017</v>
      </c>
      <c r="H1908">
        <v>83705700</v>
      </c>
      <c r="I1908" t="s">
        <v>8018</v>
      </c>
      <c r="M1908" t="s">
        <v>8019</v>
      </c>
    </row>
    <row r="1909" spans="1:13" x14ac:dyDescent="0.45">
      <c r="A1909" t="s">
        <v>3601</v>
      </c>
      <c r="B1909">
        <v>1990129</v>
      </c>
      <c r="C1909">
        <v>1990201</v>
      </c>
      <c r="E1909" t="s">
        <v>14</v>
      </c>
      <c r="F1909" t="s">
        <v>73</v>
      </c>
      <c r="H1909">
        <v>83705701</v>
      </c>
      <c r="I1909" t="s">
        <v>44</v>
      </c>
      <c r="M1909" t="s">
        <v>8020</v>
      </c>
    </row>
    <row r="1910" spans="1:13" x14ac:dyDescent="0.45">
      <c r="A1910" t="s">
        <v>3601</v>
      </c>
      <c r="B1910">
        <v>1990426</v>
      </c>
      <c r="C1910">
        <v>1990995</v>
      </c>
      <c r="E1910" t="s">
        <v>14</v>
      </c>
      <c r="F1910" t="s">
        <v>51</v>
      </c>
      <c r="H1910">
        <v>90427717</v>
      </c>
      <c r="I1910" t="s">
        <v>52</v>
      </c>
      <c r="M1910" t="s">
        <v>8021</v>
      </c>
    </row>
    <row r="1911" spans="1:13" x14ac:dyDescent="0.45">
      <c r="A1911" t="s">
        <v>3601</v>
      </c>
      <c r="B1911">
        <v>1991104</v>
      </c>
      <c r="C1911">
        <v>1991529</v>
      </c>
      <c r="E1911" t="s">
        <v>14</v>
      </c>
      <c r="F1911" t="s">
        <v>139</v>
      </c>
      <c r="H1911">
        <v>83705702</v>
      </c>
      <c r="I1911" t="s">
        <v>17</v>
      </c>
      <c r="K1911" t="s">
        <v>8022</v>
      </c>
      <c r="L1911">
        <v>141</v>
      </c>
      <c r="M1911" t="s">
        <v>8023</v>
      </c>
    </row>
    <row r="1912" spans="1:13" x14ac:dyDescent="0.45">
      <c r="A1912" t="s">
        <v>3601</v>
      </c>
      <c r="B1912">
        <v>1991603</v>
      </c>
      <c r="C1912">
        <v>1992067</v>
      </c>
      <c r="E1912" t="s">
        <v>42</v>
      </c>
      <c r="F1912" t="s">
        <v>8024</v>
      </c>
      <c r="G1912" t="s">
        <v>6256</v>
      </c>
      <c r="H1912">
        <v>83705703</v>
      </c>
      <c r="I1912" t="s">
        <v>17</v>
      </c>
      <c r="K1912" t="s">
        <v>8025</v>
      </c>
      <c r="L1912">
        <v>154</v>
      </c>
      <c r="M1912" t="s">
        <v>8026</v>
      </c>
    </row>
    <row r="1913" spans="1:13" x14ac:dyDescent="0.45">
      <c r="A1913" t="s">
        <v>3601</v>
      </c>
      <c r="B1913">
        <v>1992397</v>
      </c>
      <c r="C1913">
        <v>1993629</v>
      </c>
      <c r="E1913" t="s">
        <v>42</v>
      </c>
      <c r="F1913" t="s">
        <v>8027</v>
      </c>
      <c r="H1913">
        <v>83705704</v>
      </c>
      <c r="I1913" t="s">
        <v>17</v>
      </c>
      <c r="K1913" t="s">
        <v>8028</v>
      </c>
      <c r="L1913">
        <v>410</v>
      </c>
      <c r="M1913" t="s">
        <v>8029</v>
      </c>
    </row>
    <row r="1914" spans="1:13" x14ac:dyDescent="0.45">
      <c r="A1914" t="s">
        <v>3601</v>
      </c>
      <c r="B1914">
        <v>1993876</v>
      </c>
      <c r="C1914">
        <v>1994733</v>
      </c>
      <c r="E1914" t="s">
        <v>14</v>
      </c>
      <c r="F1914" t="s">
        <v>8030</v>
      </c>
      <c r="H1914">
        <v>83705705</v>
      </c>
      <c r="I1914" t="s">
        <v>17</v>
      </c>
      <c r="K1914" t="s">
        <v>8031</v>
      </c>
      <c r="L1914">
        <v>285</v>
      </c>
      <c r="M1914" t="s">
        <v>8032</v>
      </c>
    </row>
    <row r="1915" spans="1:13" x14ac:dyDescent="0.45">
      <c r="A1915" t="s">
        <v>3601</v>
      </c>
      <c r="B1915">
        <v>1994821</v>
      </c>
      <c r="C1915">
        <v>1996080</v>
      </c>
      <c r="E1915" t="s">
        <v>42</v>
      </c>
      <c r="F1915" t="s">
        <v>3687</v>
      </c>
      <c r="H1915">
        <v>83705706</v>
      </c>
      <c r="I1915" t="s">
        <v>17</v>
      </c>
      <c r="K1915" t="s">
        <v>3688</v>
      </c>
      <c r="L1915">
        <v>419</v>
      </c>
      <c r="M1915" t="s">
        <v>8033</v>
      </c>
    </row>
    <row r="1916" spans="1:13" x14ac:dyDescent="0.45">
      <c r="A1916" t="s">
        <v>3601</v>
      </c>
      <c r="B1916">
        <v>1996256</v>
      </c>
      <c r="C1916">
        <v>1996771</v>
      </c>
      <c r="E1916" t="s">
        <v>14</v>
      </c>
      <c r="F1916" t="s">
        <v>8034</v>
      </c>
      <c r="H1916">
        <v>83705707</v>
      </c>
      <c r="I1916" t="s">
        <v>17</v>
      </c>
      <c r="K1916" t="s">
        <v>8035</v>
      </c>
      <c r="L1916">
        <v>171</v>
      </c>
      <c r="M1916" t="s">
        <v>8036</v>
      </c>
    </row>
    <row r="1917" spans="1:13" x14ac:dyDescent="0.45">
      <c r="A1917" t="s">
        <v>3601</v>
      </c>
      <c r="B1917">
        <v>1997168</v>
      </c>
      <c r="C1917">
        <v>1997257</v>
      </c>
      <c r="E1917" t="s">
        <v>14</v>
      </c>
      <c r="F1917" t="s">
        <v>143</v>
      </c>
      <c r="H1917">
        <v>83705708</v>
      </c>
      <c r="I1917" t="s">
        <v>17</v>
      </c>
      <c r="K1917" t="s">
        <v>8037</v>
      </c>
      <c r="L1917">
        <v>29</v>
      </c>
      <c r="M1917" t="s">
        <v>8038</v>
      </c>
    </row>
    <row r="1918" spans="1:13" x14ac:dyDescent="0.45">
      <c r="A1918" t="s">
        <v>3601</v>
      </c>
      <c r="B1918">
        <v>1997575</v>
      </c>
      <c r="C1918">
        <v>1997664</v>
      </c>
      <c r="E1918" t="s">
        <v>14</v>
      </c>
      <c r="F1918" t="s">
        <v>143</v>
      </c>
      <c r="H1918">
        <v>83705709</v>
      </c>
      <c r="I1918" t="s">
        <v>17</v>
      </c>
      <c r="K1918" t="s">
        <v>8039</v>
      </c>
      <c r="L1918">
        <v>29</v>
      </c>
      <c r="M1918" t="s">
        <v>8040</v>
      </c>
    </row>
    <row r="1919" spans="1:13" x14ac:dyDescent="0.45">
      <c r="A1919" t="s">
        <v>3601</v>
      </c>
      <c r="B1919">
        <v>1998297</v>
      </c>
      <c r="C1919">
        <v>1999643</v>
      </c>
      <c r="E1919" t="s">
        <v>14</v>
      </c>
      <c r="F1919" t="s">
        <v>49</v>
      </c>
      <c r="H1919">
        <v>83705710</v>
      </c>
      <c r="I1919" t="s">
        <v>17</v>
      </c>
      <c r="K1919" t="s">
        <v>8041</v>
      </c>
      <c r="L1919">
        <v>448</v>
      </c>
      <c r="M1919" t="s">
        <v>8042</v>
      </c>
    </row>
    <row r="1920" spans="1:13" x14ac:dyDescent="0.45">
      <c r="A1920" t="s">
        <v>3601</v>
      </c>
      <c r="B1920">
        <v>1999877</v>
      </c>
      <c r="C1920">
        <v>2000770</v>
      </c>
      <c r="E1920" t="s">
        <v>42</v>
      </c>
      <c r="F1920" t="s">
        <v>49</v>
      </c>
      <c r="H1920">
        <v>83705711</v>
      </c>
      <c r="I1920" t="s">
        <v>17</v>
      </c>
      <c r="K1920" t="s">
        <v>8043</v>
      </c>
      <c r="L1920">
        <v>297</v>
      </c>
      <c r="M1920" t="s">
        <v>8044</v>
      </c>
    </row>
    <row r="1921" spans="1:13" x14ac:dyDescent="0.45">
      <c r="A1921" t="s">
        <v>3601</v>
      </c>
      <c r="B1921">
        <v>2000971</v>
      </c>
      <c r="C1921">
        <v>2001549</v>
      </c>
      <c r="E1921" t="s">
        <v>42</v>
      </c>
      <c r="F1921" t="s">
        <v>246</v>
      </c>
      <c r="H1921">
        <v>83705712</v>
      </c>
      <c r="I1921" t="s">
        <v>17</v>
      </c>
      <c r="K1921" t="s">
        <v>8045</v>
      </c>
      <c r="L1921">
        <v>192</v>
      </c>
      <c r="M1921" t="s">
        <v>8046</v>
      </c>
    </row>
    <row r="1922" spans="1:13" x14ac:dyDescent="0.45">
      <c r="A1922" t="s">
        <v>3601</v>
      </c>
      <c r="B1922">
        <v>2001578</v>
      </c>
      <c r="C1922">
        <v>2002630</v>
      </c>
      <c r="E1922" t="s">
        <v>42</v>
      </c>
      <c r="F1922" t="s">
        <v>8047</v>
      </c>
      <c r="H1922">
        <v>83705713</v>
      </c>
      <c r="I1922" t="s">
        <v>17</v>
      </c>
      <c r="K1922" t="s">
        <v>8048</v>
      </c>
      <c r="L1922">
        <v>350</v>
      </c>
      <c r="M1922" t="s">
        <v>8049</v>
      </c>
    </row>
    <row r="1923" spans="1:13" x14ac:dyDescent="0.45">
      <c r="A1923" t="s">
        <v>3601</v>
      </c>
      <c r="B1923">
        <v>2003136</v>
      </c>
      <c r="C1923">
        <v>2004227</v>
      </c>
      <c r="E1923" t="s">
        <v>42</v>
      </c>
      <c r="F1923" t="s">
        <v>8050</v>
      </c>
      <c r="H1923">
        <v>83705714</v>
      </c>
      <c r="I1923" t="s">
        <v>17</v>
      </c>
      <c r="K1923" t="s">
        <v>8051</v>
      </c>
      <c r="L1923">
        <v>363</v>
      </c>
      <c r="M1923" t="s">
        <v>8052</v>
      </c>
    </row>
    <row r="1924" spans="1:13" x14ac:dyDescent="0.45">
      <c r="A1924" t="s">
        <v>3601</v>
      </c>
      <c r="B1924">
        <v>2004352</v>
      </c>
      <c r="C1924">
        <v>2005020</v>
      </c>
      <c r="E1924" t="s">
        <v>42</v>
      </c>
      <c r="F1924" t="s">
        <v>7482</v>
      </c>
      <c r="H1924">
        <v>83705715</v>
      </c>
      <c r="I1924" t="s">
        <v>17</v>
      </c>
      <c r="K1924" t="s">
        <v>8053</v>
      </c>
      <c r="L1924">
        <v>222</v>
      </c>
      <c r="M1924" t="s">
        <v>8054</v>
      </c>
    </row>
    <row r="1925" spans="1:13" x14ac:dyDescent="0.45">
      <c r="A1925" t="s">
        <v>3601</v>
      </c>
      <c r="B1925">
        <v>2005035</v>
      </c>
      <c r="C1925">
        <v>2007452</v>
      </c>
      <c r="E1925" t="s">
        <v>42</v>
      </c>
      <c r="F1925" t="s">
        <v>8055</v>
      </c>
      <c r="H1925">
        <v>83705716</v>
      </c>
      <c r="I1925" t="s">
        <v>17</v>
      </c>
      <c r="K1925" t="s">
        <v>8056</v>
      </c>
      <c r="L1925">
        <v>805</v>
      </c>
      <c r="M1925" t="s">
        <v>8057</v>
      </c>
    </row>
    <row r="1926" spans="1:13" x14ac:dyDescent="0.45">
      <c r="A1926" t="s">
        <v>3601</v>
      </c>
      <c r="B1926">
        <v>2007733</v>
      </c>
      <c r="C1926">
        <v>2009037</v>
      </c>
      <c r="E1926" t="s">
        <v>42</v>
      </c>
      <c r="F1926" t="s">
        <v>132</v>
      </c>
      <c r="H1926">
        <v>83705717</v>
      </c>
      <c r="I1926" t="s">
        <v>17</v>
      </c>
      <c r="K1926" t="s">
        <v>8058</v>
      </c>
      <c r="L1926">
        <v>434</v>
      </c>
      <c r="M1926" t="s">
        <v>8059</v>
      </c>
    </row>
    <row r="1927" spans="1:13" x14ac:dyDescent="0.45">
      <c r="A1927" t="s">
        <v>3601</v>
      </c>
      <c r="B1927">
        <v>2009048</v>
      </c>
      <c r="C1927">
        <v>2009356</v>
      </c>
      <c r="E1927" t="s">
        <v>42</v>
      </c>
      <c r="F1927" t="s">
        <v>605</v>
      </c>
      <c r="H1927">
        <v>83705718</v>
      </c>
      <c r="I1927" t="s">
        <v>17</v>
      </c>
      <c r="K1927" t="s">
        <v>8060</v>
      </c>
      <c r="L1927">
        <v>102</v>
      </c>
      <c r="M1927" t="s">
        <v>8061</v>
      </c>
    </row>
    <row r="1928" spans="1:13" x14ac:dyDescent="0.45">
      <c r="A1928" t="s">
        <v>3601</v>
      </c>
      <c r="B1928">
        <v>2009381</v>
      </c>
      <c r="C1928">
        <v>2009701</v>
      </c>
      <c r="E1928" t="s">
        <v>42</v>
      </c>
      <c r="F1928" t="s">
        <v>606</v>
      </c>
      <c r="H1928">
        <v>83705719</v>
      </c>
      <c r="I1928" t="s">
        <v>17</v>
      </c>
      <c r="K1928" t="s">
        <v>8062</v>
      </c>
      <c r="L1928">
        <v>106</v>
      </c>
      <c r="M1928" t="s">
        <v>8063</v>
      </c>
    </row>
    <row r="1929" spans="1:13" x14ac:dyDescent="0.45">
      <c r="A1929" t="s">
        <v>3601</v>
      </c>
      <c r="B1929">
        <v>2009940</v>
      </c>
      <c r="C1929">
        <v>2010920</v>
      </c>
      <c r="E1929" t="s">
        <v>42</v>
      </c>
      <c r="F1929" t="s">
        <v>8064</v>
      </c>
      <c r="H1929">
        <v>83705720</v>
      </c>
      <c r="I1929" t="s">
        <v>17</v>
      </c>
      <c r="K1929" t="s">
        <v>8065</v>
      </c>
      <c r="L1929">
        <v>326</v>
      </c>
      <c r="M1929" t="s">
        <v>8066</v>
      </c>
    </row>
    <row r="1930" spans="1:13" x14ac:dyDescent="0.45">
      <c r="A1930" t="s">
        <v>3601</v>
      </c>
      <c r="B1930">
        <v>2010935</v>
      </c>
      <c r="C1930">
        <v>2011681</v>
      </c>
      <c r="E1930" t="s">
        <v>42</v>
      </c>
      <c r="F1930" t="s">
        <v>420</v>
      </c>
      <c r="H1930">
        <v>83705721</v>
      </c>
      <c r="I1930" t="s">
        <v>17</v>
      </c>
      <c r="K1930" t="s">
        <v>8067</v>
      </c>
      <c r="L1930">
        <v>248</v>
      </c>
      <c r="M1930" t="s">
        <v>8068</v>
      </c>
    </row>
    <row r="1931" spans="1:13" x14ac:dyDescent="0.45">
      <c r="A1931" t="s">
        <v>3601</v>
      </c>
      <c r="B1931">
        <v>2011806</v>
      </c>
      <c r="C1931">
        <v>2012579</v>
      </c>
      <c r="E1931" t="s">
        <v>14</v>
      </c>
      <c r="F1931" t="s">
        <v>8069</v>
      </c>
      <c r="H1931">
        <v>83705722</v>
      </c>
      <c r="I1931" t="s">
        <v>17</v>
      </c>
      <c r="K1931" t="s">
        <v>8070</v>
      </c>
      <c r="L1931">
        <v>257</v>
      </c>
      <c r="M1931" t="s">
        <v>8071</v>
      </c>
    </row>
    <row r="1932" spans="1:13" x14ac:dyDescent="0.45">
      <c r="A1932" t="s">
        <v>3601</v>
      </c>
      <c r="B1932">
        <v>2012692</v>
      </c>
      <c r="C1932">
        <v>2013984</v>
      </c>
      <c r="E1932" t="s">
        <v>42</v>
      </c>
      <c r="F1932" t="s">
        <v>1019</v>
      </c>
      <c r="H1932">
        <v>83705723</v>
      </c>
      <c r="I1932" t="s">
        <v>17</v>
      </c>
      <c r="K1932" t="s">
        <v>8072</v>
      </c>
      <c r="L1932">
        <v>430</v>
      </c>
      <c r="M1932" t="s">
        <v>8073</v>
      </c>
    </row>
    <row r="1933" spans="1:13" x14ac:dyDescent="0.45">
      <c r="A1933" t="s">
        <v>3601</v>
      </c>
      <c r="B1933">
        <v>2014327</v>
      </c>
      <c r="C1933">
        <v>2015184</v>
      </c>
      <c r="E1933" t="s">
        <v>14</v>
      </c>
      <c r="F1933" t="s">
        <v>45</v>
      </c>
      <c r="H1933">
        <v>83705724</v>
      </c>
      <c r="I1933" t="s">
        <v>17</v>
      </c>
      <c r="K1933" t="s">
        <v>8074</v>
      </c>
      <c r="L1933">
        <v>285</v>
      </c>
      <c r="M1933" t="s">
        <v>8075</v>
      </c>
    </row>
    <row r="1934" spans="1:13" x14ac:dyDescent="0.45">
      <c r="A1934" t="s">
        <v>3601</v>
      </c>
      <c r="B1934">
        <v>2015199</v>
      </c>
      <c r="C1934">
        <v>2016464</v>
      </c>
      <c r="E1934" t="s">
        <v>14</v>
      </c>
      <c r="F1934" t="s">
        <v>8076</v>
      </c>
      <c r="H1934">
        <v>83705725</v>
      </c>
      <c r="I1934" t="s">
        <v>17</v>
      </c>
      <c r="K1934" t="s">
        <v>8077</v>
      </c>
      <c r="L1934">
        <v>421</v>
      </c>
      <c r="M1934" t="s">
        <v>8078</v>
      </c>
    </row>
    <row r="1935" spans="1:13" x14ac:dyDescent="0.45">
      <c r="A1935" t="s">
        <v>3601</v>
      </c>
      <c r="B1935">
        <v>2016644</v>
      </c>
      <c r="C1935">
        <v>2017492</v>
      </c>
      <c r="E1935" t="s">
        <v>42</v>
      </c>
      <c r="F1935" t="s">
        <v>5684</v>
      </c>
      <c r="H1935">
        <v>83705726</v>
      </c>
      <c r="I1935" t="s">
        <v>17</v>
      </c>
      <c r="K1935" t="s">
        <v>8079</v>
      </c>
      <c r="L1935">
        <v>282</v>
      </c>
      <c r="M1935" t="s">
        <v>8080</v>
      </c>
    </row>
    <row r="1936" spans="1:13" x14ac:dyDescent="0.45">
      <c r="A1936" t="s">
        <v>3601</v>
      </c>
      <c r="B1936">
        <v>2017561</v>
      </c>
      <c r="C1936">
        <v>2019207</v>
      </c>
      <c r="E1936" t="s">
        <v>42</v>
      </c>
      <c r="F1936" t="s">
        <v>5681</v>
      </c>
      <c r="H1936">
        <v>83705727</v>
      </c>
      <c r="I1936" t="s">
        <v>17</v>
      </c>
      <c r="K1936" t="s">
        <v>8081</v>
      </c>
      <c r="L1936">
        <v>548</v>
      </c>
      <c r="M1936" t="s">
        <v>8082</v>
      </c>
    </row>
    <row r="1937" spans="1:13" x14ac:dyDescent="0.45">
      <c r="A1937" t="s">
        <v>3601</v>
      </c>
      <c r="B1937">
        <v>2019244</v>
      </c>
      <c r="C1937">
        <v>2022144</v>
      </c>
      <c r="E1937" t="s">
        <v>42</v>
      </c>
      <c r="F1937" t="s">
        <v>8083</v>
      </c>
      <c r="H1937">
        <v>83705728</v>
      </c>
      <c r="I1937" t="s">
        <v>17</v>
      </c>
      <c r="K1937" t="s">
        <v>8084</v>
      </c>
      <c r="L1937">
        <v>966</v>
      </c>
      <c r="M1937" t="s">
        <v>8085</v>
      </c>
    </row>
    <row r="1938" spans="1:13" x14ac:dyDescent="0.45">
      <c r="A1938" t="s">
        <v>3601</v>
      </c>
      <c r="B1938">
        <v>2022419</v>
      </c>
      <c r="C1938">
        <v>2023921</v>
      </c>
      <c r="E1938" t="s">
        <v>14</v>
      </c>
      <c r="F1938" t="s">
        <v>139</v>
      </c>
      <c r="H1938">
        <v>83705729</v>
      </c>
      <c r="I1938" t="s">
        <v>17</v>
      </c>
      <c r="K1938" t="s">
        <v>8086</v>
      </c>
      <c r="L1938">
        <v>500</v>
      </c>
      <c r="M1938" t="s">
        <v>8087</v>
      </c>
    </row>
    <row r="1939" spans="1:13" x14ac:dyDescent="0.45">
      <c r="A1939" t="s">
        <v>3601</v>
      </c>
      <c r="B1939">
        <v>2024340</v>
      </c>
      <c r="C1939">
        <v>2026841</v>
      </c>
      <c r="E1939" t="s">
        <v>42</v>
      </c>
      <c r="F1939" t="s">
        <v>8088</v>
      </c>
      <c r="H1939">
        <v>83705730</v>
      </c>
      <c r="I1939" t="s">
        <v>17</v>
      </c>
      <c r="K1939" t="s">
        <v>8089</v>
      </c>
      <c r="L1939">
        <v>833</v>
      </c>
      <c r="M1939" t="s">
        <v>8090</v>
      </c>
    </row>
    <row r="1940" spans="1:13" x14ac:dyDescent="0.45">
      <c r="A1940" t="s">
        <v>3601</v>
      </c>
      <c r="B1940">
        <v>2026902</v>
      </c>
      <c r="C1940">
        <v>2027756</v>
      </c>
      <c r="E1940" t="s">
        <v>42</v>
      </c>
      <c r="F1940" t="s">
        <v>5684</v>
      </c>
      <c r="H1940">
        <v>83705731</v>
      </c>
      <c r="I1940" t="s">
        <v>17</v>
      </c>
      <c r="K1940" t="s">
        <v>8091</v>
      </c>
      <c r="L1940">
        <v>284</v>
      </c>
      <c r="M1940" t="s">
        <v>8092</v>
      </c>
    </row>
    <row r="1941" spans="1:13" x14ac:dyDescent="0.45">
      <c r="A1941" t="s">
        <v>3601</v>
      </c>
      <c r="B1941">
        <v>2027741</v>
      </c>
      <c r="C1941">
        <v>2028634</v>
      </c>
      <c r="E1941" t="s">
        <v>42</v>
      </c>
      <c r="F1941" t="s">
        <v>5684</v>
      </c>
      <c r="H1941">
        <v>83705732</v>
      </c>
      <c r="I1941" t="s">
        <v>17</v>
      </c>
      <c r="K1941" t="s">
        <v>8093</v>
      </c>
      <c r="L1941">
        <v>297</v>
      </c>
      <c r="M1941" t="s">
        <v>8094</v>
      </c>
    </row>
    <row r="1942" spans="1:13" x14ac:dyDescent="0.45">
      <c r="A1942" t="s">
        <v>3601</v>
      </c>
      <c r="B1942">
        <v>2028615</v>
      </c>
      <c r="C1942">
        <v>2029565</v>
      </c>
      <c r="E1942" t="s">
        <v>42</v>
      </c>
      <c r="F1942" t="s">
        <v>8088</v>
      </c>
      <c r="H1942">
        <v>83705733</v>
      </c>
      <c r="I1942" t="s">
        <v>17</v>
      </c>
      <c r="K1942" t="s">
        <v>8095</v>
      </c>
      <c r="L1942">
        <v>316</v>
      </c>
      <c r="M1942" t="s">
        <v>8096</v>
      </c>
    </row>
    <row r="1943" spans="1:13" x14ac:dyDescent="0.45">
      <c r="A1943" t="s">
        <v>3601</v>
      </c>
      <c r="B1943">
        <v>2029654</v>
      </c>
      <c r="C1943">
        <v>2031357</v>
      </c>
      <c r="E1943" t="s">
        <v>42</v>
      </c>
      <c r="F1943" t="s">
        <v>8097</v>
      </c>
      <c r="H1943">
        <v>83705734</v>
      </c>
      <c r="I1943" t="s">
        <v>17</v>
      </c>
      <c r="K1943" t="s">
        <v>8098</v>
      </c>
      <c r="L1943">
        <v>567</v>
      </c>
      <c r="M1943" t="s">
        <v>8099</v>
      </c>
    </row>
    <row r="1944" spans="1:13" x14ac:dyDescent="0.45">
      <c r="A1944" t="s">
        <v>3601</v>
      </c>
      <c r="B1944">
        <v>2031691</v>
      </c>
      <c r="C1944">
        <v>2032899</v>
      </c>
      <c r="E1944" t="s">
        <v>14</v>
      </c>
      <c r="F1944" t="s">
        <v>7978</v>
      </c>
      <c r="H1944">
        <v>83705735</v>
      </c>
      <c r="I1944" t="s">
        <v>17</v>
      </c>
      <c r="K1944" t="s">
        <v>8100</v>
      </c>
      <c r="L1944">
        <v>402</v>
      </c>
      <c r="M1944" t="s">
        <v>8101</v>
      </c>
    </row>
    <row r="1945" spans="1:13" x14ac:dyDescent="0.45">
      <c r="A1945" t="s">
        <v>3601</v>
      </c>
      <c r="B1945">
        <v>2033149</v>
      </c>
      <c r="C1945">
        <v>2034021</v>
      </c>
      <c r="E1945" t="s">
        <v>14</v>
      </c>
      <c r="F1945" t="s">
        <v>166</v>
      </c>
      <c r="G1945" t="s">
        <v>167</v>
      </c>
      <c r="H1945">
        <v>83705736</v>
      </c>
      <c r="I1945" t="s">
        <v>17</v>
      </c>
      <c r="K1945" t="s">
        <v>8102</v>
      </c>
      <c r="L1945">
        <v>290</v>
      </c>
      <c r="M1945" t="s">
        <v>8103</v>
      </c>
    </row>
    <row r="1946" spans="1:13" x14ac:dyDescent="0.45">
      <c r="A1946" t="s">
        <v>3601</v>
      </c>
      <c r="B1946">
        <v>2034008</v>
      </c>
      <c r="C1946">
        <v>2034985</v>
      </c>
      <c r="E1946" t="s">
        <v>14</v>
      </c>
      <c r="F1946" t="s">
        <v>168</v>
      </c>
      <c r="G1946" t="s">
        <v>169</v>
      </c>
      <c r="H1946">
        <v>83705737</v>
      </c>
      <c r="I1946" t="s">
        <v>17</v>
      </c>
      <c r="K1946" t="s">
        <v>8104</v>
      </c>
      <c r="L1946">
        <v>325</v>
      </c>
      <c r="M1946" t="s">
        <v>8105</v>
      </c>
    </row>
    <row r="1947" spans="1:13" x14ac:dyDescent="0.45">
      <c r="A1947" t="s">
        <v>3601</v>
      </c>
      <c r="B1947">
        <v>2035007</v>
      </c>
      <c r="C1947">
        <v>2035648</v>
      </c>
      <c r="E1947" t="s">
        <v>14</v>
      </c>
      <c r="F1947" t="s">
        <v>1043</v>
      </c>
      <c r="H1947">
        <v>83705738</v>
      </c>
      <c r="I1947" t="s">
        <v>17</v>
      </c>
      <c r="K1947" t="s">
        <v>8106</v>
      </c>
      <c r="L1947">
        <v>213</v>
      </c>
      <c r="M1947" t="s">
        <v>8107</v>
      </c>
    </row>
    <row r="1948" spans="1:13" x14ac:dyDescent="0.45">
      <c r="A1948" t="s">
        <v>3601</v>
      </c>
      <c r="B1948">
        <v>2035867</v>
      </c>
      <c r="C1948">
        <v>2036247</v>
      </c>
      <c r="E1948" t="s">
        <v>42</v>
      </c>
      <c r="F1948" t="s">
        <v>51</v>
      </c>
      <c r="G1948" t="s">
        <v>6256</v>
      </c>
      <c r="H1948">
        <v>83705739</v>
      </c>
      <c r="I1948" t="s">
        <v>52</v>
      </c>
      <c r="M1948" t="s">
        <v>8108</v>
      </c>
    </row>
    <row r="1949" spans="1:13" x14ac:dyDescent="0.45">
      <c r="A1949" t="s">
        <v>3601</v>
      </c>
      <c r="B1949">
        <v>2036688</v>
      </c>
      <c r="C1949">
        <v>2037692</v>
      </c>
      <c r="E1949" t="s">
        <v>14</v>
      </c>
      <c r="F1949" t="s">
        <v>45</v>
      </c>
      <c r="H1949">
        <v>83705740</v>
      </c>
      <c r="I1949" t="s">
        <v>17</v>
      </c>
      <c r="K1949" t="s">
        <v>8109</v>
      </c>
      <c r="L1949">
        <v>334</v>
      </c>
      <c r="M1949" t="s">
        <v>8110</v>
      </c>
    </row>
    <row r="1950" spans="1:13" x14ac:dyDescent="0.45">
      <c r="A1950" t="s">
        <v>3601</v>
      </c>
      <c r="B1950">
        <v>2037791</v>
      </c>
      <c r="C1950">
        <v>2038594</v>
      </c>
      <c r="E1950" t="s">
        <v>42</v>
      </c>
      <c r="F1950" t="s">
        <v>72</v>
      </c>
      <c r="H1950">
        <v>83705741</v>
      </c>
      <c r="I1950" t="s">
        <v>17</v>
      </c>
      <c r="K1950" t="s">
        <v>8111</v>
      </c>
      <c r="L1950">
        <v>267</v>
      </c>
      <c r="M1950" t="s">
        <v>8112</v>
      </c>
    </row>
    <row r="1951" spans="1:13" x14ac:dyDescent="0.45">
      <c r="A1951" t="s">
        <v>3601</v>
      </c>
      <c r="B1951">
        <v>2038603</v>
      </c>
      <c r="C1951">
        <v>2039487</v>
      </c>
      <c r="E1951" t="s">
        <v>42</v>
      </c>
      <c r="F1951" t="s">
        <v>113</v>
      </c>
      <c r="H1951">
        <v>83705742</v>
      </c>
      <c r="I1951" t="s">
        <v>17</v>
      </c>
      <c r="K1951" t="s">
        <v>8113</v>
      </c>
      <c r="L1951">
        <v>294</v>
      </c>
      <c r="M1951" t="s">
        <v>8114</v>
      </c>
    </row>
    <row r="1952" spans="1:13" x14ac:dyDescent="0.45">
      <c r="A1952" t="s">
        <v>3601</v>
      </c>
      <c r="B1952">
        <v>2039602</v>
      </c>
      <c r="C1952">
        <v>2040564</v>
      </c>
      <c r="E1952" t="s">
        <v>42</v>
      </c>
      <c r="F1952" t="s">
        <v>495</v>
      </c>
      <c r="H1952">
        <v>83705743</v>
      </c>
      <c r="I1952" t="s">
        <v>17</v>
      </c>
      <c r="K1952" t="s">
        <v>8115</v>
      </c>
      <c r="L1952">
        <v>320</v>
      </c>
      <c r="M1952" t="s">
        <v>8116</v>
      </c>
    </row>
    <row r="1953" spans="1:13" x14ac:dyDescent="0.45">
      <c r="A1953" t="s">
        <v>3601</v>
      </c>
      <c r="B1953">
        <v>2040591</v>
      </c>
      <c r="C1953">
        <v>2041556</v>
      </c>
      <c r="E1953" t="s">
        <v>42</v>
      </c>
      <c r="F1953" t="s">
        <v>495</v>
      </c>
      <c r="H1953">
        <v>83705744</v>
      </c>
      <c r="I1953" t="s">
        <v>17</v>
      </c>
      <c r="K1953" t="s">
        <v>8117</v>
      </c>
      <c r="L1953">
        <v>321</v>
      </c>
      <c r="M1953" t="s">
        <v>8118</v>
      </c>
    </row>
    <row r="1954" spans="1:13" x14ac:dyDescent="0.45">
      <c r="A1954" t="s">
        <v>3601</v>
      </c>
      <c r="B1954">
        <v>2042009</v>
      </c>
      <c r="C1954">
        <v>2042404</v>
      </c>
      <c r="E1954" t="s">
        <v>42</v>
      </c>
      <c r="F1954" t="s">
        <v>30</v>
      </c>
      <c r="H1954">
        <v>83705745</v>
      </c>
      <c r="I1954" t="s">
        <v>17</v>
      </c>
      <c r="K1954" t="s">
        <v>8119</v>
      </c>
      <c r="L1954">
        <v>131</v>
      </c>
      <c r="M1954" t="s">
        <v>8120</v>
      </c>
    </row>
    <row r="1955" spans="1:13" x14ac:dyDescent="0.45">
      <c r="A1955" t="s">
        <v>3601</v>
      </c>
      <c r="B1955">
        <v>2042992</v>
      </c>
      <c r="C1955">
        <v>2043618</v>
      </c>
      <c r="E1955" t="s">
        <v>42</v>
      </c>
      <c r="F1955" t="s">
        <v>958</v>
      </c>
      <c r="G1955" t="s">
        <v>959</v>
      </c>
      <c r="H1955">
        <v>83705746</v>
      </c>
      <c r="I1955" t="s">
        <v>17</v>
      </c>
      <c r="K1955" t="s">
        <v>8121</v>
      </c>
      <c r="L1955">
        <v>208</v>
      </c>
      <c r="M1955" t="s">
        <v>8122</v>
      </c>
    </row>
    <row r="1956" spans="1:13" x14ac:dyDescent="0.45">
      <c r="A1956" t="s">
        <v>3601</v>
      </c>
      <c r="B1956">
        <v>2043633</v>
      </c>
      <c r="C1956">
        <v>2043950</v>
      </c>
      <c r="E1956" t="s">
        <v>42</v>
      </c>
      <c r="F1956" t="s">
        <v>960</v>
      </c>
      <c r="H1956">
        <v>83705747</v>
      </c>
      <c r="I1956" t="s">
        <v>17</v>
      </c>
      <c r="K1956" t="s">
        <v>8123</v>
      </c>
      <c r="L1956">
        <v>105</v>
      </c>
      <c r="M1956" t="s">
        <v>8124</v>
      </c>
    </row>
    <row r="1957" spans="1:13" x14ac:dyDescent="0.45">
      <c r="A1957" t="s">
        <v>3601</v>
      </c>
      <c r="B1957">
        <v>2043947</v>
      </c>
      <c r="C1957">
        <v>2044231</v>
      </c>
      <c r="E1957" t="s">
        <v>42</v>
      </c>
      <c r="F1957" t="s">
        <v>8125</v>
      </c>
      <c r="H1957">
        <v>83705748</v>
      </c>
      <c r="I1957" t="s">
        <v>17</v>
      </c>
      <c r="K1957" t="s">
        <v>8126</v>
      </c>
      <c r="L1957">
        <v>94</v>
      </c>
      <c r="M1957" t="s">
        <v>8127</v>
      </c>
    </row>
    <row r="1958" spans="1:13" x14ac:dyDescent="0.45">
      <c r="A1958" t="s">
        <v>3601</v>
      </c>
      <c r="B1958">
        <v>2044636</v>
      </c>
      <c r="C1958">
        <v>2045703</v>
      </c>
      <c r="E1958" t="s">
        <v>14</v>
      </c>
      <c r="F1958" t="s">
        <v>8128</v>
      </c>
      <c r="G1958" t="s">
        <v>8129</v>
      </c>
      <c r="H1958">
        <v>83705749</v>
      </c>
      <c r="I1958" t="s">
        <v>17</v>
      </c>
      <c r="K1958" t="s">
        <v>8130</v>
      </c>
      <c r="L1958">
        <v>355</v>
      </c>
      <c r="M1958" t="s">
        <v>8131</v>
      </c>
    </row>
    <row r="1959" spans="1:13" x14ac:dyDescent="0.45">
      <c r="A1959" t="s">
        <v>3601</v>
      </c>
      <c r="B1959">
        <v>2045787</v>
      </c>
      <c r="C1959">
        <v>2046560</v>
      </c>
      <c r="E1959" t="s">
        <v>14</v>
      </c>
      <c r="F1959" t="s">
        <v>8132</v>
      </c>
      <c r="G1959" t="s">
        <v>8133</v>
      </c>
      <c r="H1959">
        <v>83705750</v>
      </c>
      <c r="I1959" t="s">
        <v>17</v>
      </c>
      <c r="K1959" t="s">
        <v>8134</v>
      </c>
      <c r="L1959">
        <v>257</v>
      </c>
      <c r="M1959" t="s">
        <v>8135</v>
      </c>
    </row>
    <row r="1960" spans="1:13" x14ac:dyDescent="0.45">
      <c r="A1960" t="s">
        <v>3601</v>
      </c>
      <c r="B1960">
        <v>2046795</v>
      </c>
      <c r="C1960">
        <v>2047232</v>
      </c>
      <c r="E1960" t="s">
        <v>42</v>
      </c>
      <c r="F1960" t="s">
        <v>45</v>
      </c>
      <c r="H1960">
        <v>83705751</v>
      </c>
      <c r="I1960" t="s">
        <v>17</v>
      </c>
      <c r="K1960" t="s">
        <v>8136</v>
      </c>
      <c r="L1960">
        <v>145</v>
      </c>
      <c r="M1960" t="s">
        <v>8137</v>
      </c>
    </row>
    <row r="1961" spans="1:13" x14ac:dyDescent="0.45">
      <c r="A1961" t="s">
        <v>3601</v>
      </c>
      <c r="B1961">
        <v>2047262</v>
      </c>
      <c r="C1961">
        <v>2047936</v>
      </c>
      <c r="E1961" t="s">
        <v>42</v>
      </c>
      <c r="F1961" t="s">
        <v>80</v>
      </c>
      <c r="H1961">
        <v>83705752</v>
      </c>
      <c r="I1961" t="s">
        <v>17</v>
      </c>
      <c r="K1961" t="s">
        <v>8138</v>
      </c>
      <c r="L1961">
        <v>224</v>
      </c>
      <c r="M1961" t="s">
        <v>8139</v>
      </c>
    </row>
    <row r="1962" spans="1:13" x14ac:dyDescent="0.45">
      <c r="A1962" t="s">
        <v>3601</v>
      </c>
      <c r="B1962">
        <v>2047946</v>
      </c>
      <c r="C1962">
        <v>2048398</v>
      </c>
      <c r="E1962" t="s">
        <v>42</v>
      </c>
      <c r="F1962" t="s">
        <v>45</v>
      </c>
      <c r="H1962">
        <v>83705753</v>
      </c>
      <c r="I1962" t="s">
        <v>17</v>
      </c>
      <c r="K1962" t="s">
        <v>8140</v>
      </c>
      <c r="L1962">
        <v>150</v>
      </c>
      <c r="M1962" t="s">
        <v>8141</v>
      </c>
    </row>
    <row r="1963" spans="1:13" x14ac:dyDescent="0.45">
      <c r="A1963" t="s">
        <v>3601</v>
      </c>
      <c r="B1963">
        <v>2048400</v>
      </c>
      <c r="C1963">
        <v>2048603</v>
      </c>
      <c r="E1963" t="s">
        <v>42</v>
      </c>
      <c r="F1963" t="s">
        <v>79</v>
      </c>
      <c r="H1963">
        <v>83705754</v>
      </c>
      <c r="I1963" t="s">
        <v>17</v>
      </c>
      <c r="K1963" t="s">
        <v>8142</v>
      </c>
      <c r="L1963">
        <v>67</v>
      </c>
      <c r="M1963" t="s">
        <v>8143</v>
      </c>
    </row>
    <row r="1964" spans="1:13" x14ac:dyDescent="0.45">
      <c r="A1964" t="s">
        <v>3601</v>
      </c>
      <c r="B1964">
        <v>2049033</v>
      </c>
      <c r="C1964">
        <v>2049764</v>
      </c>
      <c r="E1964" t="s">
        <v>14</v>
      </c>
      <c r="F1964" t="s">
        <v>1011</v>
      </c>
      <c r="G1964" t="s">
        <v>21</v>
      </c>
      <c r="H1964">
        <v>83705755</v>
      </c>
      <c r="I1964" t="s">
        <v>17</v>
      </c>
      <c r="K1964" t="s">
        <v>8144</v>
      </c>
      <c r="L1964">
        <v>243</v>
      </c>
      <c r="M1964" t="s">
        <v>8145</v>
      </c>
    </row>
    <row r="1965" spans="1:13" x14ac:dyDescent="0.45">
      <c r="A1965" t="s">
        <v>3601</v>
      </c>
      <c r="B1965">
        <v>2050222</v>
      </c>
      <c r="C1965">
        <v>2050836</v>
      </c>
      <c r="E1965" t="s">
        <v>42</v>
      </c>
      <c r="F1965" t="s">
        <v>104</v>
      </c>
      <c r="G1965" t="s">
        <v>105</v>
      </c>
      <c r="H1965">
        <v>83705756</v>
      </c>
      <c r="I1965" t="s">
        <v>17</v>
      </c>
      <c r="K1965" t="s">
        <v>8146</v>
      </c>
      <c r="L1965">
        <v>204</v>
      </c>
      <c r="M1965" t="s">
        <v>8147</v>
      </c>
    </row>
    <row r="1966" spans="1:13" x14ac:dyDescent="0.45">
      <c r="A1966" t="s">
        <v>3601</v>
      </c>
      <c r="B1966">
        <v>2050846</v>
      </c>
      <c r="C1966">
        <v>2051340</v>
      </c>
      <c r="E1966" t="s">
        <v>42</v>
      </c>
      <c r="F1966" t="s">
        <v>144</v>
      </c>
      <c r="H1966">
        <v>83705757</v>
      </c>
      <c r="I1966" t="s">
        <v>17</v>
      </c>
      <c r="K1966" t="s">
        <v>8148</v>
      </c>
      <c r="L1966">
        <v>164</v>
      </c>
      <c r="M1966" t="s">
        <v>8149</v>
      </c>
    </row>
    <row r="1967" spans="1:13" x14ac:dyDescent="0.45">
      <c r="A1967" t="s">
        <v>3601</v>
      </c>
      <c r="B1967">
        <v>2051345</v>
      </c>
      <c r="C1967">
        <v>2052289</v>
      </c>
      <c r="E1967" t="s">
        <v>42</v>
      </c>
      <c r="F1967" t="s">
        <v>7210</v>
      </c>
      <c r="H1967">
        <v>83705758</v>
      </c>
      <c r="I1967" t="s">
        <v>17</v>
      </c>
      <c r="K1967" t="s">
        <v>8150</v>
      </c>
      <c r="L1967">
        <v>314</v>
      </c>
      <c r="M1967" t="s">
        <v>8151</v>
      </c>
    </row>
    <row r="1968" spans="1:13" x14ac:dyDescent="0.45">
      <c r="A1968" t="s">
        <v>3601</v>
      </c>
      <c r="B1968">
        <v>2052317</v>
      </c>
      <c r="C1968">
        <v>2052463</v>
      </c>
      <c r="E1968" t="s">
        <v>42</v>
      </c>
      <c r="F1968" t="s">
        <v>45</v>
      </c>
      <c r="H1968">
        <v>83705759</v>
      </c>
      <c r="I1968" t="s">
        <v>17</v>
      </c>
      <c r="K1968" t="s">
        <v>8152</v>
      </c>
      <c r="L1968">
        <v>48</v>
      </c>
      <c r="M1968" t="s">
        <v>8153</v>
      </c>
    </row>
    <row r="1969" spans="1:13" x14ac:dyDescent="0.45">
      <c r="A1969" t="s">
        <v>3601</v>
      </c>
      <c r="B1969">
        <v>2052573</v>
      </c>
      <c r="C1969">
        <v>2054771</v>
      </c>
      <c r="E1969" t="s">
        <v>42</v>
      </c>
      <c r="F1969" t="s">
        <v>102</v>
      </c>
      <c r="G1969" t="s">
        <v>103</v>
      </c>
      <c r="H1969">
        <v>83705760</v>
      </c>
      <c r="I1969" t="s">
        <v>17</v>
      </c>
      <c r="K1969" t="s">
        <v>8154</v>
      </c>
      <c r="L1969">
        <v>732</v>
      </c>
      <c r="M1969" t="s">
        <v>8155</v>
      </c>
    </row>
    <row r="1970" spans="1:13" x14ac:dyDescent="0.45">
      <c r="A1970" t="s">
        <v>3601</v>
      </c>
      <c r="B1970">
        <v>2054867</v>
      </c>
      <c r="C1970">
        <v>2056426</v>
      </c>
      <c r="E1970" t="s">
        <v>42</v>
      </c>
      <c r="F1970" t="s">
        <v>861</v>
      </c>
      <c r="H1970">
        <v>83705761</v>
      </c>
      <c r="I1970" t="s">
        <v>17</v>
      </c>
      <c r="K1970" t="s">
        <v>8156</v>
      </c>
      <c r="L1970">
        <v>519</v>
      </c>
      <c r="M1970" t="s">
        <v>8157</v>
      </c>
    </row>
    <row r="1971" spans="1:13" x14ac:dyDescent="0.45">
      <c r="A1971" t="s">
        <v>3601</v>
      </c>
      <c r="B1971">
        <v>2056984</v>
      </c>
      <c r="C1971">
        <v>2057283</v>
      </c>
      <c r="E1971" t="s">
        <v>42</v>
      </c>
      <c r="F1971" t="s">
        <v>336</v>
      </c>
      <c r="H1971">
        <v>83705762</v>
      </c>
      <c r="I1971" t="s">
        <v>17</v>
      </c>
      <c r="K1971" t="s">
        <v>8158</v>
      </c>
      <c r="L1971">
        <v>99</v>
      </c>
      <c r="M1971" t="s">
        <v>8159</v>
      </c>
    </row>
    <row r="1972" spans="1:13" x14ac:dyDescent="0.45">
      <c r="A1972" t="s">
        <v>3601</v>
      </c>
      <c r="B1972">
        <v>2057293</v>
      </c>
      <c r="C1972">
        <v>2057712</v>
      </c>
      <c r="E1972" t="s">
        <v>42</v>
      </c>
      <c r="F1972" t="s">
        <v>334</v>
      </c>
      <c r="G1972" t="s">
        <v>335</v>
      </c>
      <c r="H1972">
        <v>83705763</v>
      </c>
      <c r="I1972" t="s">
        <v>17</v>
      </c>
      <c r="K1972" t="s">
        <v>8160</v>
      </c>
      <c r="L1972">
        <v>139</v>
      </c>
      <c r="M1972" t="s">
        <v>8161</v>
      </c>
    </row>
    <row r="1973" spans="1:13" x14ac:dyDescent="0.45">
      <c r="A1973" t="s">
        <v>3601</v>
      </c>
      <c r="B1973">
        <v>2057709</v>
      </c>
      <c r="C1973">
        <v>2057978</v>
      </c>
      <c r="E1973" t="s">
        <v>42</v>
      </c>
      <c r="F1973" t="s">
        <v>333</v>
      </c>
      <c r="H1973">
        <v>83705764</v>
      </c>
      <c r="I1973" t="s">
        <v>17</v>
      </c>
      <c r="K1973" t="s">
        <v>8162</v>
      </c>
      <c r="L1973">
        <v>89</v>
      </c>
      <c r="M1973" t="s">
        <v>8163</v>
      </c>
    </row>
    <row r="1974" spans="1:13" x14ac:dyDescent="0.45">
      <c r="A1974" t="s">
        <v>3601</v>
      </c>
      <c r="B1974">
        <v>2058094</v>
      </c>
      <c r="C1974">
        <v>2058492</v>
      </c>
      <c r="E1974" t="s">
        <v>42</v>
      </c>
      <c r="F1974" t="s">
        <v>8164</v>
      </c>
      <c r="G1974" t="s">
        <v>8165</v>
      </c>
      <c r="H1974">
        <v>83705765</v>
      </c>
      <c r="I1974" t="s">
        <v>17</v>
      </c>
      <c r="K1974" t="s">
        <v>8166</v>
      </c>
      <c r="L1974">
        <v>132</v>
      </c>
      <c r="M1974" t="s">
        <v>8167</v>
      </c>
    </row>
    <row r="1975" spans="1:13" x14ac:dyDescent="0.45">
      <c r="A1975" t="s">
        <v>3601</v>
      </c>
      <c r="B1975">
        <v>2058867</v>
      </c>
      <c r="C1975">
        <v>2060003</v>
      </c>
      <c r="E1975" t="s">
        <v>42</v>
      </c>
      <c r="F1975" t="s">
        <v>449</v>
      </c>
      <c r="G1975" t="s">
        <v>450</v>
      </c>
      <c r="H1975">
        <v>83705766</v>
      </c>
      <c r="I1975" t="s">
        <v>17</v>
      </c>
      <c r="K1975" t="s">
        <v>8168</v>
      </c>
      <c r="L1975">
        <v>378</v>
      </c>
      <c r="M1975" t="s">
        <v>8169</v>
      </c>
    </row>
    <row r="1976" spans="1:13" x14ac:dyDescent="0.45">
      <c r="A1976" t="s">
        <v>3601</v>
      </c>
      <c r="B1976">
        <v>2060097</v>
      </c>
      <c r="C1976">
        <v>2061368</v>
      </c>
      <c r="E1976" t="s">
        <v>42</v>
      </c>
      <c r="F1976" t="s">
        <v>8170</v>
      </c>
      <c r="H1976">
        <v>83705767</v>
      </c>
      <c r="I1976" t="s">
        <v>17</v>
      </c>
      <c r="K1976" t="s">
        <v>8171</v>
      </c>
      <c r="L1976">
        <v>423</v>
      </c>
      <c r="M1976" t="s">
        <v>8172</v>
      </c>
    </row>
    <row r="1977" spans="1:13" x14ac:dyDescent="0.45">
      <c r="A1977" t="s">
        <v>3601</v>
      </c>
      <c r="B1977">
        <v>2062054</v>
      </c>
      <c r="C1977">
        <v>2062344</v>
      </c>
      <c r="E1977" t="s">
        <v>42</v>
      </c>
      <c r="F1977" t="s">
        <v>45</v>
      </c>
      <c r="H1977">
        <v>83705768</v>
      </c>
      <c r="I1977" t="s">
        <v>17</v>
      </c>
      <c r="K1977" t="s">
        <v>8173</v>
      </c>
      <c r="L1977">
        <v>96</v>
      </c>
      <c r="M1977" t="s">
        <v>8174</v>
      </c>
    </row>
    <row r="1978" spans="1:13" x14ac:dyDescent="0.45">
      <c r="A1978" t="s">
        <v>3601</v>
      </c>
      <c r="B1978">
        <v>2062338</v>
      </c>
      <c r="C1978">
        <v>2062910</v>
      </c>
      <c r="E1978" t="s">
        <v>42</v>
      </c>
      <c r="F1978" t="s">
        <v>8175</v>
      </c>
      <c r="H1978">
        <v>83705769</v>
      </c>
      <c r="I1978" t="s">
        <v>17</v>
      </c>
      <c r="K1978" t="s">
        <v>8176</v>
      </c>
      <c r="L1978">
        <v>190</v>
      </c>
      <c r="M1978" t="s">
        <v>8177</v>
      </c>
    </row>
    <row r="1979" spans="1:13" x14ac:dyDescent="0.45">
      <c r="A1979" t="s">
        <v>3601</v>
      </c>
      <c r="B1979">
        <v>2063207</v>
      </c>
      <c r="C1979">
        <v>2064052</v>
      </c>
      <c r="E1979" t="s">
        <v>14</v>
      </c>
      <c r="F1979" t="s">
        <v>139</v>
      </c>
      <c r="H1979">
        <v>83705770</v>
      </c>
      <c r="I1979" t="s">
        <v>17</v>
      </c>
      <c r="K1979" t="s">
        <v>8178</v>
      </c>
      <c r="L1979">
        <v>281</v>
      </c>
      <c r="M1979" t="s">
        <v>8179</v>
      </c>
    </row>
    <row r="1980" spans="1:13" x14ac:dyDescent="0.45">
      <c r="A1980" t="s">
        <v>3601</v>
      </c>
      <c r="B1980">
        <v>2064485</v>
      </c>
      <c r="C1980">
        <v>2065036</v>
      </c>
      <c r="E1980" t="s">
        <v>42</v>
      </c>
      <c r="F1980" t="s">
        <v>100</v>
      </c>
      <c r="H1980">
        <v>83705771</v>
      </c>
      <c r="I1980" t="s">
        <v>17</v>
      </c>
      <c r="K1980" t="s">
        <v>8180</v>
      </c>
      <c r="L1980">
        <v>183</v>
      </c>
      <c r="M1980" t="s">
        <v>8181</v>
      </c>
    </row>
    <row r="1981" spans="1:13" x14ac:dyDescent="0.45">
      <c r="A1981" t="s">
        <v>3601</v>
      </c>
      <c r="B1981">
        <v>2065046</v>
      </c>
      <c r="C1981">
        <v>2065642</v>
      </c>
      <c r="E1981" t="s">
        <v>42</v>
      </c>
      <c r="F1981" t="s">
        <v>323</v>
      </c>
      <c r="G1981" t="s">
        <v>324</v>
      </c>
      <c r="H1981">
        <v>83705772</v>
      </c>
      <c r="I1981" t="s">
        <v>17</v>
      </c>
      <c r="K1981" t="s">
        <v>8182</v>
      </c>
      <c r="L1981">
        <v>198</v>
      </c>
      <c r="M1981" t="s">
        <v>8183</v>
      </c>
    </row>
    <row r="1982" spans="1:13" x14ac:dyDescent="0.45">
      <c r="A1982" t="s">
        <v>3601</v>
      </c>
      <c r="B1982">
        <v>2065635</v>
      </c>
      <c r="C1982">
        <v>2066867</v>
      </c>
      <c r="E1982" t="s">
        <v>42</v>
      </c>
      <c r="F1982" t="s">
        <v>879</v>
      </c>
      <c r="H1982">
        <v>83705773</v>
      </c>
      <c r="I1982" t="s">
        <v>17</v>
      </c>
      <c r="K1982" t="s">
        <v>8184</v>
      </c>
      <c r="L1982">
        <v>410</v>
      </c>
      <c r="M1982" t="s">
        <v>8185</v>
      </c>
    </row>
    <row r="1983" spans="1:13" x14ac:dyDescent="0.45">
      <c r="A1983" t="s">
        <v>3601</v>
      </c>
      <c r="B1983">
        <v>2066878</v>
      </c>
      <c r="C1983">
        <v>2068860</v>
      </c>
      <c r="E1983" t="s">
        <v>42</v>
      </c>
      <c r="F1983" t="s">
        <v>321</v>
      </c>
      <c r="G1983" t="s">
        <v>322</v>
      </c>
      <c r="H1983">
        <v>83705774</v>
      </c>
      <c r="I1983" t="s">
        <v>17</v>
      </c>
      <c r="K1983" t="s">
        <v>8186</v>
      </c>
      <c r="L1983">
        <v>660</v>
      </c>
      <c r="M1983" t="s">
        <v>8187</v>
      </c>
    </row>
    <row r="1984" spans="1:13" x14ac:dyDescent="0.45">
      <c r="A1984" t="s">
        <v>3601</v>
      </c>
      <c r="B1984">
        <v>2069007</v>
      </c>
      <c r="C1984">
        <v>2071562</v>
      </c>
      <c r="E1984" t="s">
        <v>42</v>
      </c>
      <c r="F1984" t="s">
        <v>319</v>
      </c>
      <c r="G1984" t="s">
        <v>320</v>
      </c>
      <c r="H1984">
        <v>83705775</v>
      </c>
      <c r="I1984" t="s">
        <v>17</v>
      </c>
      <c r="K1984" t="s">
        <v>8188</v>
      </c>
      <c r="L1984">
        <v>851</v>
      </c>
      <c r="M1984" t="s">
        <v>8189</v>
      </c>
    </row>
    <row r="1985" spans="1:13" x14ac:dyDescent="0.45">
      <c r="A1985" t="s">
        <v>3601</v>
      </c>
      <c r="B1985">
        <v>2071549</v>
      </c>
      <c r="C1985">
        <v>2071896</v>
      </c>
      <c r="E1985" t="s">
        <v>42</v>
      </c>
      <c r="F1985" t="s">
        <v>964</v>
      </c>
      <c r="H1985">
        <v>83705776</v>
      </c>
      <c r="I1985" t="s">
        <v>17</v>
      </c>
      <c r="K1985" t="s">
        <v>8190</v>
      </c>
      <c r="L1985">
        <v>115</v>
      </c>
      <c r="M1985" t="s">
        <v>8191</v>
      </c>
    </row>
    <row r="1986" spans="1:13" x14ac:dyDescent="0.45">
      <c r="A1986" t="s">
        <v>3601</v>
      </c>
      <c r="B1986">
        <v>2071898</v>
      </c>
      <c r="C1986">
        <v>2072335</v>
      </c>
      <c r="E1986" t="s">
        <v>42</v>
      </c>
      <c r="F1986" t="s">
        <v>5014</v>
      </c>
      <c r="G1986" t="s">
        <v>8192</v>
      </c>
      <c r="H1986">
        <v>83705777</v>
      </c>
      <c r="I1986" t="s">
        <v>17</v>
      </c>
      <c r="K1986" t="s">
        <v>8193</v>
      </c>
      <c r="L1986">
        <v>145</v>
      </c>
      <c r="M1986" t="s">
        <v>8194</v>
      </c>
    </row>
    <row r="1987" spans="1:13" x14ac:dyDescent="0.45">
      <c r="A1987" t="s">
        <v>3601</v>
      </c>
      <c r="B1987">
        <v>2072619</v>
      </c>
      <c r="C1987">
        <v>2074310</v>
      </c>
      <c r="E1987" t="s">
        <v>14</v>
      </c>
      <c r="F1987" t="s">
        <v>965</v>
      </c>
      <c r="G1987" t="s">
        <v>966</v>
      </c>
      <c r="H1987">
        <v>83705778</v>
      </c>
      <c r="I1987" t="s">
        <v>17</v>
      </c>
      <c r="K1987" t="s">
        <v>8195</v>
      </c>
      <c r="L1987">
        <v>563</v>
      </c>
      <c r="M1987" t="s">
        <v>8196</v>
      </c>
    </row>
    <row r="1988" spans="1:13" x14ac:dyDescent="0.45">
      <c r="A1988" t="s">
        <v>3601</v>
      </c>
      <c r="B1988">
        <v>2074358</v>
      </c>
      <c r="C1988">
        <v>2075752</v>
      </c>
      <c r="E1988" t="s">
        <v>42</v>
      </c>
      <c r="F1988" t="s">
        <v>55</v>
      </c>
      <c r="H1988">
        <v>83705779</v>
      </c>
      <c r="I1988" t="s">
        <v>17</v>
      </c>
      <c r="K1988" t="s">
        <v>8197</v>
      </c>
      <c r="L1988">
        <v>464</v>
      </c>
      <c r="M1988" t="s">
        <v>8198</v>
      </c>
    </row>
    <row r="1989" spans="1:13" x14ac:dyDescent="0.45">
      <c r="A1989" t="s">
        <v>3601</v>
      </c>
      <c r="B1989">
        <v>2075924</v>
      </c>
      <c r="C1989">
        <v>2076838</v>
      </c>
      <c r="E1989" t="s">
        <v>42</v>
      </c>
      <c r="F1989" t="s">
        <v>663</v>
      </c>
      <c r="H1989">
        <v>83705780</v>
      </c>
      <c r="I1989" t="s">
        <v>17</v>
      </c>
      <c r="K1989" t="s">
        <v>8199</v>
      </c>
      <c r="L1989">
        <v>304</v>
      </c>
      <c r="M1989" t="s">
        <v>8200</v>
      </c>
    </row>
    <row r="1990" spans="1:13" x14ac:dyDescent="0.45">
      <c r="A1990" t="s">
        <v>3601</v>
      </c>
      <c r="B1990">
        <v>2076982</v>
      </c>
      <c r="C1990">
        <v>2077863</v>
      </c>
      <c r="E1990" t="s">
        <v>42</v>
      </c>
      <c r="F1990" t="s">
        <v>663</v>
      </c>
      <c r="H1990">
        <v>83705781</v>
      </c>
      <c r="I1990" t="s">
        <v>17</v>
      </c>
      <c r="K1990" t="s">
        <v>8201</v>
      </c>
      <c r="L1990">
        <v>293</v>
      </c>
      <c r="M1990" t="s">
        <v>8202</v>
      </c>
    </row>
    <row r="1991" spans="1:13" x14ac:dyDescent="0.45">
      <c r="A1991" t="s">
        <v>3601</v>
      </c>
      <c r="B1991">
        <v>2077879</v>
      </c>
      <c r="C1991">
        <v>2078826</v>
      </c>
      <c r="E1991" t="s">
        <v>42</v>
      </c>
      <c r="F1991" t="s">
        <v>663</v>
      </c>
      <c r="H1991">
        <v>83705782</v>
      </c>
      <c r="I1991" t="s">
        <v>17</v>
      </c>
      <c r="K1991" t="s">
        <v>8203</v>
      </c>
      <c r="L1991">
        <v>315</v>
      </c>
      <c r="M1991" t="s">
        <v>8204</v>
      </c>
    </row>
    <row r="1992" spans="1:13" x14ac:dyDescent="0.45">
      <c r="A1992" t="s">
        <v>3601</v>
      </c>
      <c r="B1992">
        <v>2078819</v>
      </c>
      <c r="C1992">
        <v>2080567</v>
      </c>
      <c r="E1992" t="s">
        <v>42</v>
      </c>
      <c r="F1992" t="s">
        <v>632</v>
      </c>
      <c r="G1992" t="s">
        <v>633</v>
      </c>
      <c r="H1992">
        <v>83705783</v>
      </c>
      <c r="I1992" t="s">
        <v>17</v>
      </c>
      <c r="K1992" t="s">
        <v>8205</v>
      </c>
      <c r="L1992">
        <v>582</v>
      </c>
      <c r="M1992" t="s">
        <v>8206</v>
      </c>
    </row>
    <row r="1993" spans="1:13" x14ac:dyDescent="0.45">
      <c r="A1993" t="s">
        <v>3601</v>
      </c>
      <c r="B1993">
        <v>2080724</v>
      </c>
      <c r="C1993">
        <v>2081464</v>
      </c>
      <c r="E1993" t="s">
        <v>42</v>
      </c>
      <c r="F1993" t="s">
        <v>113</v>
      </c>
      <c r="H1993">
        <v>83705784</v>
      </c>
      <c r="I1993" t="s">
        <v>17</v>
      </c>
      <c r="K1993" t="s">
        <v>8207</v>
      </c>
      <c r="L1993">
        <v>246</v>
      </c>
      <c r="M1993" t="s">
        <v>8208</v>
      </c>
    </row>
    <row r="1994" spans="1:13" x14ac:dyDescent="0.45">
      <c r="A1994" t="s">
        <v>3601</v>
      </c>
      <c r="B1994">
        <v>2081451</v>
      </c>
      <c r="C1994">
        <v>2082371</v>
      </c>
      <c r="E1994" t="s">
        <v>42</v>
      </c>
      <c r="F1994" t="s">
        <v>72</v>
      </c>
      <c r="H1994">
        <v>83705785</v>
      </c>
      <c r="I1994" t="s">
        <v>17</v>
      </c>
      <c r="K1994" t="s">
        <v>8209</v>
      </c>
      <c r="L1994">
        <v>306</v>
      </c>
      <c r="M1994" t="s">
        <v>8210</v>
      </c>
    </row>
    <row r="1995" spans="1:13" x14ac:dyDescent="0.45">
      <c r="A1995" t="s">
        <v>3601</v>
      </c>
      <c r="B1995">
        <v>2082382</v>
      </c>
      <c r="C1995">
        <v>2083500</v>
      </c>
      <c r="E1995" t="s">
        <v>42</v>
      </c>
      <c r="F1995" t="s">
        <v>8211</v>
      </c>
      <c r="H1995">
        <v>83705786</v>
      </c>
      <c r="I1995" t="s">
        <v>17</v>
      </c>
      <c r="K1995" t="s">
        <v>8212</v>
      </c>
      <c r="L1995">
        <v>372</v>
      </c>
      <c r="M1995" t="s">
        <v>8213</v>
      </c>
    </row>
    <row r="1996" spans="1:13" x14ac:dyDescent="0.45">
      <c r="A1996" t="s">
        <v>3601</v>
      </c>
      <c r="B1996">
        <v>2083563</v>
      </c>
      <c r="C1996">
        <v>2084471</v>
      </c>
      <c r="E1996" t="s">
        <v>14</v>
      </c>
      <c r="F1996" t="s">
        <v>7318</v>
      </c>
      <c r="H1996">
        <v>83705787</v>
      </c>
      <c r="I1996" t="s">
        <v>17</v>
      </c>
      <c r="K1996" t="s">
        <v>8214</v>
      </c>
      <c r="L1996">
        <v>302</v>
      </c>
      <c r="M1996" t="s">
        <v>8215</v>
      </c>
    </row>
    <row r="1997" spans="1:13" x14ac:dyDescent="0.45">
      <c r="A1997" t="s">
        <v>3601</v>
      </c>
      <c r="B1997">
        <v>2084461</v>
      </c>
      <c r="C1997">
        <v>2085753</v>
      </c>
      <c r="E1997" t="s">
        <v>14</v>
      </c>
      <c r="F1997" t="s">
        <v>4437</v>
      </c>
      <c r="H1997">
        <v>83705788</v>
      </c>
      <c r="I1997" t="s">
        <v>17</v>
      </c>
      <c r="K1997" t="s">
        <v>8216</v>
      </c>
      <c r="L1997">
        <v>430</v>
      </c>
      <c r="M1997" t="s">
        <v>8217</v>
      </c>
    </row>
    <row r="1998" spans="1:13" x14ac:dyDescent="0.45">
      <c r="A1998" t="s">
        <v>3601</v>
      </c>
      <c r="B1998">
        <v>2085958</v>
      </c>
      <c r="C1998">
        <v>2087238</v>
      </c>
      <c r="E1998" t="s">
        <v>42</v>
      </c>
      <c r="F1998" t="s">
        <v>630</v>
      </c>
      <c r="G1998" t="s">
        <v>631</v>
      </c>
      <c r="H1998">
        <v>83705789</v>
      </c>
      <c r="I1998" t="s">
        <v>17</v>
      </c>
      <c r="K1998" t="s">
        <v>8218</v>
      </c>
      <c r="L1998">
        <v>426</v>
      </c>
      <c r="M1998" t="s">
        <v>8219</v>
      </c>
    </row>
    <row r="1999" spans="1:13" x14ac:dyDescent="0.45">
      <c r="A1999" t="s">
        <v>3601</v>
      </c>
      <c r="B1999">
        <v>2087298</v>
      </c>
      <c r="C1999">
        <v>2088128</v>
      </c>
      <c r="E1999" t="s">
        <v>42</v>
      </c>
      <c r="F1999" t="s">
        <v>45</v>
      </c>
      <c r="H1999">
        <v>83705790</v>
      </c>
      <c r="I1999" t="s">
        <v>17</v>
      </c>
      <c r="K1999" t="s">
        <v>8220</v>
      </c>
      <c r="L1999">
        <v>276</v>
      </c>
      <c r="M1999" t="s">
        <v>8221</v>
      </c>
    </row>
    <row r="2000" spans="1:13" x14ac:dyDescent="0.45">
      <c r="A2000" t="s">
        <v>3601</v>
      </c>
      <c r="B2000">
        <v>2088397</v>
      </c>
      <c r="C2000">
        <v>2088579</v>
      </c>
      <c r="E2000" t="s">
        <v>14</v>
      </c>
      <c r="F2000" t="s">
        <v>643</v>
      </c>
      <c r="G2000" t="s">
        <v>644</v>
      </c>
      <c r="H2000">
        <v>83705791</v>
      </c>
      <c r="I2000" t="s">
        <v>17</v>
      </c>
      <c r="K2000" t="s">
        <v>8222</v>
      </c>
      <c r="L2000">
        <v>60</v>
      </c>
      <c r="M2000" t="s">
        <v>8223</v>
      </c>
    </row>
    <row r="2001" spans="1:13" x14ac:dyDescent="0.45">
      <c r="A2001" t="s">
        <v>3601</v>
      </c>
      <c r="B2001">
        <v>2088595</v>
      </c>
      <c r="C2001">
        <v>2088744</v>
      </c>
      <c r="E2001" t="s">
        <v>14</v>
      </c>
      <c r="F2001" t="s">
        <v>261</v>
      </c>
      <c r="G2001" t="s">
        <v>262</v>
      </c>
      <c r="H2001">
        <v>83705792</v>
      </c>
      <c r="I2001" t="s">
        <v>17</v>
      </c>
      <c r="K2001" t="s">
        <v>8224</v>
      </c>
      <c r="L2001">
        <v>49</v>
      </c>
      <c r="M2001" t="s">
        <v>8225</v>
      </c>
    </row>
    <row r="2002" spans="1:13" x14ac:dyDescent="0.45">
      <c r="A2002" t="s">
        <v>3601</v>
      </c>
      <c r="B2002">
        <v>2088849</v>
      </c>
      <c r="C2002">
        <v>2089598</v>
      </c>
      <c r="E2002" t="s">
        <v>42</v>
      </c>
      <c r="F2002" t="s">
        <v>8226</v>
      </c>
      <c r="H2002">
        <v>83705793</v>
      </c>
      <c r="I2002" t="s">
        <v>17</v>
      </c>
      <c r="K2002" t="s">
        <v>8227</v>
      </c>
      <c r="L2002">
        <v>249</v>
      </c>
      <c r="M2002" t="s">
        <v>8228</v>
      </c>
    </row>
    <row r="2003" spans="1:13" x14ac:dyDescent="0.45">
      <c r="A2003" t="s">
        <v>3601</v>
      </c>
      <c r="B2003">
        <v>2089603</v>
      </c>
      <c r="C2003">
        <v>2090247</v>
      </c>
      <c r="E2003" t="s">
        <v>42</v>
      </c>
      <c r="F2003" t="s">
        <v>45</v>
      </c>
      <c r="H2003">
        <v>83705794</v>
      </c>
      <c r="I2003" t="s">
        <v>17</v>
      </c>
      <c r="K2003" t="s">
        <v>8229</v>
      </c>
      <c r="L2003">
        <v>214</v>
      </c>
      <c r="M2003" t="s">
        <v>8230</v>
      </c>
    </row>
    <row r="2004" spans="1:13" x14ac:dyDescent="0.45">
      <c r="A2004" t="s">
        <v>3601</v>
      </c>
      <c r="B2004">
        <v>2090659</v>
      </c>
      <c r="C2004">
        <v>2092485</v>
      </c>
      <c r="E2004" t="s">
        <v>14</v>
      </c>
      <c r="F2004" t="s">
        <v>5134</v>
      </c>
      <c r="H2004">
        <v>83705795</v>
      </c>
      <c r="I2004" t="s">
        <v>17</v>
      </c>
      <c r="K2004" t="s">
        <v>8231</v>
      </c>
      <c r="L2004">
        <v>608</v>
      </c>
      <c r="M2004" t="s">
        <v>8232</v>
      </c>
    </row>
    <row r="2005" spans="1:13" x14ac:dyDescent="0.45">
      <c r="A2005" t="s">
        <v>3601</v>
      </c>
      <c r="B2005">
        <v>2092737</v>
      </c>
      <c r="C2005">
        <v>2094539</v>
      </c>
      <c r="E2005" t="s">
        <v>14</v>
      </c>
      <c r="F2005" t="s">
        <v>4437</v>
      </c>
      <c r="H2005">
        <v>83705796</v>
      </c>
      <c r="I2005" t="s">
        <v>17</v>
      </c>
      <c r="K2005" t="s">
        <v>8233</v>
      </c>
      <c r="L2005">
        <v>600</v>
      </c>
      <c r="M2005" t="s">
        <v>8234</v>
      </c>
    </row>
    <row r="2006" spans="1:13" x14ac:dyDescent="0.45">
      <c r="A2006" t="s">
        <v>3601</v>
      </c>
      <c r="B2006">
        <v>2094517</v>
      </c>
      <c r="C2006">
        <v>2095116</v>
      </c>
      <c r="E2006" t="s">
        <v>14</v>
      </c>
      <c r="F2006" t="s">
        <v>511</v>
      </c>
      <c r="H2006">
        <v>83705797</v>
      </c>
      <c r="I2006" t="s">
        <v>17</v>
      </c>
      <c r="K2006" t="s">
        <v>8235</v>
      </c>
      <c r="L2006">
        <v>199</v>
      </c>
      <c r="M2006" t="s">
        <v>8236</v>
      </c>
    </row>
    <row r="2007" spans="1:13" x14ac:dyDescent="0.45">
      <c r="A2007" t="s">
        <v>3601</v>
      </c>
      <c r="B2007">
        <v>2095224</v>
      </c>
      <c r="C2007">
        <v>2096150</v>
      </c>
      <c r="E2007" t="s">
        <v>14</v>
      </c>
      <c r="F2007" t="s">
        <v>8237</v>
      </c>
      <c r="H2007">
        <v>83705798</v>
      </c>
      <c r="I2007" t="s">
        <v>17</v>
      </c>
      <c r="K2007" t="s">
        <v>8238</v>
      </c>
      <c r="L2007">
        <v>308</v>
      </c>
      <c r="M2007" t="s">
        <v>8239</v>
      </c>
    </row>
    <row r="2008" spans="1:13" x14ac:dyDescent="0.45">
      <c r="A2008" t="s">
        <v>3601</v>
      </c>
      <c r="B2008">
        <v>2096143</v>
      </c>
      <c r="C2008">
        <v>2096919</v>
      </c>
      <c r="E2008" t="s">
        <v>14</v>
      </c>
      <c r="F2008" t="s">
        <v>248</v>
      </c>
      <c r="H2008">
        <v>83705799</v>
      </c>
      <c r="I2008" t="s">
        <v>17</v>
      </c>
      <c r="K2008" t="s">
        <v>8240</v>
      </c>
      <c r="L2008">
        <v>258</v>
      </c>
      <c r="M2008" t="s">
        <v>8241</v>
      </c>
    </row>
    <row r="2009" spans="1:13" x14ac:dyDescent="0.45">
      <c r="A2009" t="s">
        <v>3601</v>
      </c>
      <c r="B2009">
        <v>2096928</v>
      </c>
      <c r="C2009">
        <v>2097599</v>
      </c>
      <c r="E2009" t="s">
        <v>14</v>
      </c>
      <c r="F2009" t="s">
        <v>72</v>
      </c>
      <c r="H2009">
        <v>83705800</v>
      </c>
      <c r="I2009" t="s">
        <v>17</v>
      </c>
      <c r="K2009" t="s">
        <v>8242</v>
      </c>
      <c r="L2009">
        <v>223</v>
      </c>
      <c r="M2009" t="s">
        <v>8243</v>
      </c>
    </row>
    <row r="2010" spans="1:13" x14ac:dyDescent="0.45">
      <c r="A2010" t="s">
        <v>3601</v>
      </c>
      <c r="B2010">
        <v>2097616</v>
      </c>
      <c r="C2010">
        <v>2099889</v>
      </c>
      <c r="E2010" t="s">
        <v>14</v>
      </c>
      <c r="F2010" t="s">
        <v>113</v>
      </c>
      <c r="H2010">
        <v>83705801</v>
      </c>
      <c r="I2010" t="s">
        <v>17</v>
      </c>
      <c r="K2010" t="s">
        <v>8244</v>
      </c>
      <c r="L2010">
        <v>757</v>
      </c>
      <c r="M2010" t="s">
        <v>8245</v>
      </c>
    </row>
    <row r="2011" spans="1:13" x14ac:dyDescent="0.45">
      <c r="A2011" t="s">
        <v>3601</v>
      </c>
      <c r="B2011">
        <v>2100387</v>
      </c>
      <c r="C2011">
        <v>2102381</v>
      </c>
      <c r="E2011" t="s">
        <v>14</v>
      </c>
      <c r="F2011" t="s">
        <v>49</v>
      </c>
      <c r="H2011">
        <v>83705802</v>
      </c>
      <c r="I2011" t="s">
        <v>17</v>
      </c>
      <c r="K2011" t="s">
        <v>8246</v>
      </c>
      <c r="L2011">
        <v>664</v>
      </c>
      <c r="M2011" t="s">
        <v>8247</v>
      </c>
    </row>
    <row r="2012" spans="1:13" x14ac:dyDescent="0.45">
      <c r="A2012" t="s">
        <v>3601</v>
      </c>
      <c r="B2012">
        <v>2102840</v>
      </c>
      <c r="C2012">
        <v>2103682</v>
      </c>
      <c r="E2012" t="s">
        <v>14</v>
      </c>
      <c r="F2012" t="s">
        <v>8248</v>
      </c>
      <c r="H2012">
        <v>83705803</v>
      </c>
      <c r="I2012" t="s">
        <v>17</v>
      </c>
      <c r="K2012" t="s">
        <v>8249</v>
      </c>
      <c r="L2012">
        <v>280</v>
      </c>
      <c r="M2012" t="s">
        <v>8250</v>
      </c>
    </row>
    <row r="2013" spans="1:13" x14ac:dyDescent="0.45">
      <c r="A2013" t="s">
        <v>3601</v>
      </c>
      <c r="B2013">
        <v>2103769</v>
      </c>
      <c r="C2013">
        <v>2104395</v>
      </c>
      <c r="E2013" t="s">
        <v>42</v>
      </c>
      <c r="F2013" t="s">
        <v>571</v>
      </c>
      <c r="H2013">
        <v>83705804</v>
      </c>
      <c r="I2013" t="s">
        <v>17</v>
      </c>
      <c r="K2013" t="s">
        <v>8251</v>
      </c>
      <c r="L2013">
        <v>208</v>
      </c>
      <c r="M2013" t="s">
        <v>8252</v>
      </c>
    </row>
    <row r="2014" spans="1:13" x14ac:dyDescent="0.45">
      <c r="A2014" t="s">
        <v>3601</v>
      </c>
      <c r="B2014">
        <v>2104598</v>
      </c>
      <c r="C2014">
        <v>2104924</v>
      </c>
      <c r="E2014" t="s">
        <v>14</v>
      </c>
      <c r="F2014" t="s">
        <v>8253</v>
      </c>
      <c r="H2014">
        <v>83705805</v>
      </c>
      <c r="I2014" t="s">
        <v>17</v>
      </c>
      <c r="K2014" t="s">
        <v>8254</v>
      </c>
      <c r="L2014">
        <v>108</v>
      </c>
      <c r="M2014" t="s">
        <v>8255</v>
      </c>
    </row>
    <row r="2015" spans="1:13" x14ac:dyDescent="0.45">
      <c r="A2015" t="s">
        <v>3601</v>
      </c>
      <c r="B2015">
        <v>2104911</v>
      </c>
      <c r="C2015">
        <v>2105357</v>
      </c>
      <c r="E2015" t="s">
        <v>14</v>
      </c>
      <c r="F2015" t="s">
        <v>45</v>
      </c>
      <c r="H2015">
        <v>83705806</v>
      </c>
      <c r="I2015" t="s">
        <v>17</v>
      </c>
      <c r="K2015" t="s">
        <v>8256</v>
      </c>
      <c r="L2015">
        <v>148</v>
      </c>
      <c r="M2015" t="s">
        <v>8257</v>
      </c>
    </row>
    <row r="2016" spans="1:13" x14ac:dyDescent="0.45">
      <c r="A2016" t="s">
        <v>3601</v>
      </c>
      <c r="B2016">
        <v>2105376</v>
      </c>
      <c r="C2016">
        <v>2106431</v>
      </c>
      <c r="E2016" t="s">
        <v>14</v>
      </c>
      <c r="F2016" t="s">
        <v>8258</v>
      </c>
      <c r="H2016">
        <v>83705807</v>
      </c>
      <c r="I2016" t="s">
        <v>17</v>
      </c>
      <c r="K2016" t="s">
        <v>8259</v>
      </c>
      <c r="L2016">
        <v>351</v>
      </c>
      <c r="M2016" t="s">
        <v>8260</v>
      </c>
    </row>
    <row r="2017" spans="1:13" x14ac:dyDescent="0.45">
      <c r="A2017" t="s">
        <v>3601</v>
      </c>
      <c r="B2017">
        <v>2106534</v>
      </c>
      <c r="C2017">
        <v>2108813</v>
      </c>
      <c r="E2017" t="s">
        <v>42</v>
      </c>
      <c r="F2017" t="s">
        <v>8261</v>
      </c>
      <c r="H2017">
        <v>83705808</v>
      </c>
      <c r="I2017" t="s">
        <v>17</v>
      </c>
      <c r="K2017" t="s">
        <v>8262</v>
      </c>
      <c r="L2017">
        <v>759</v>
      </c>
      <c r="M2017" t="s">
        <v>8263</v>
      </c>
    </row>
    <row r="2018" spans="1:13" x14ac:dyDescent="0.45">
      <c r="A2018" t="s">
        <v>3601</v>
      </c>
      <c r="B2018">
        <v>2108946</v>
      </c>
      <c r="C2018">
        <v>2109479</v>
      </c>
      <c r="E2018" t="s">
        <v>14</v>
      </c>
      <c r="F2018" t="s">
        <v>94</v>
      </c>
      <c r="H2018">
        <v>83705809</v>
      </c>
      <c r="I2018" t="s">
        <v>17</v>
      </c>
      <c r="K2018" t="s">
        <v>8264</v>
      </c>
      <c r="L2018">
        <v>177</v>
      </c>
      <c r="M2018" t="s">
        <v>8265</v>
      </c>
    </row>
    <row r="2019" spans="1:13" x14ac:dyDescent="0.45">
      <c r="A2019" t="s">
        <v>3601</v>
      </c>
      <c r="B2019">
        <v>2109933</v>
      </c>
      <c r="C2019">
        <v>2110280</v>
      </c>
      <c r="E2019" t="s">
        <v>42</v>
      </c>
      <c r="F2019" t="s">
        <v>7834</v>
      </c>
      <c r="H2019">
        <v>83705810</v>
      </c>
      <c r="I2019" t="s">
        <v>17</v>
      </c>
      <c r="K2019" t="s">
        <v>8266</v>
      </c>
      <c r="L2019">
        <v>115</v>
      </c>
      <c r="M2019" t="s">
        <v>8267</v>
      </c>
    </row>
    <row r="2020" spans="1:13" x14ac:dyDescent="0.45">
      <c r="A2020" t="s">
        <v>3601</v>
      </c>
      <c r="B2020">
        <v>2110270</v>
      </c>
      <c r="C2020">
        <v>2110557</v>
      </c>
      <c r="E2020" t="s">
        <v>42</v>
      </c>
      <c r="F2020" t="s">
        <v>953</v>
      </c>
      <c r="H2020">
        <v>83705811</v>
      </c>
      <c r="I2020" t="s">
        <v>17</v>
      </c>
      <c r="K2020" t="s">
        <v>8268</v>
      </c>
      <c r="L2020">
        <v>95</v>
      </c>
      <c r="M2020" t="s">
        <v>8269</v>
      </c>
    </row>
    <row r="2021" spans="1:13" x14ac:dyDescent="0.45">
      <c r="A2021" t="s">
        <v>3601</v>
      </c>
      <c r="B2021">
        <v>2110662</v>
      </c>
      <c r="C2021">
        <v>2111017</v>
      </c>
      <c r="E2021" t="s">
        <v>42</v>
      </c>
      <c r="F2021" t="s">
        <v>51</v>
      </c>
      <c r="H2021">
        <v>83705812</v>
      </c>
      <c r="I2021" t="s">
        <v>52</v>
      </c>
      <c r="M2021" t="s">
        <v>8270</v>
      </c>
    </row>
    <row r="2022" spans="1:13" x14ac:dyDescent="0.45">
      <c r="A2022" t="s">
        <v>3601</v>
      </c>
      <c r="B2022">
        <v>2111043</v>
      </c>
      <c r="C2022">
        <v>2111351</v>
      </c>
      <c r="E2022" t="s">
        <v>42</v>
      </c>
      <c r="F2022" t="s">
        <v>5876</v>
      </c>
      <c r="H2022">
        <v>83705813</v>
      </c>
      <c r="I2022" t="s">
        <v>17</v>
      </c>
      <c r="K2022" t="s">
        <v>8271</v>
      </c>
      <c r="L2022">
        <v>102</v>
      </c>
      <c r="M2022" t="s">
        <v>8272</v>
      </c>
    </row>
    <row r="2023" spans="1:13" x14ac:dyDescent="0.45">
      <c r="A2023" t="s">
        <v>3601</v>
      </c>
      <c r="B2023">
        <v>2111701</v>
      </c>
      <c r="C2023">
        <v>2112312</v>
      </c>
      <c r="E2023" t="s">
        <v>42</v>
      </c>
      <c r="F2023" t="s">
        <v>539</v>
      </c>
      <c r="G2023" t="s">
        <v>540</v>
      </c>
      <c r="H2023">
        <v>83705814</v>
      </c>
      <c r="I2023" t="s">
        <v>17</v>
      </c>
      <c r="K2023" t="s">
        <v>8273</v>
      </c>
      <c r="L2023">
        <v>203</v>
      </c>
      <c r="M2023" t="s">
        <v>8274</v>
      </c>
    </row>
    <row r="2024" spans="1:13" x14ac:dyDescent="0.45">
      <c r="A2024" t="s">
        <v>3601</v>
      </c>
      <c r="B2024">
        <v>2112749</v>
      </c>
      <c r="C2024">
        <v>2113021</v>
      </c>
      <c r="E2024" t="s">
        <v>42</v>
      </c>
      <c r="F2024" t="s">
        <v>126</v>
      </c>
      <c r="H2024">
        <v>83705815</v>
      </c>
      <c r="I2024" t="s">
        <v>17</v>
      </c>
      <c r="K2024" t="s">
        <v>8275</v>
      </c>
      <c r="L2024">
        <v>90</v>
      </c>
      <c r="M2024" t="s">
        <v>8276</v>
      </c>
    </row>
    <row r="2025" spans="1:13" x14ac:dyDescent="0.45">
      <c r="A2025" t="s">
        <v>3601</v>
      </c>
      <c r="B2025">
        <v>2113038</v>
      </c>
      <c r="C2025">
        <v>2114414</v>
      </c>
      <c r="E2025" t="s">
        <v>42</v>
      </c>
      <c r="F2025" t="s">
        <v>36</v>
      </c>
      <c r="G2025" t="s">
        <v>37</v>
      </c>
      <c r="H2025">
        <v>83705816</v>
      </c>
      <c r="I2025" t="s">
        <v>17</v>
      </c>
      <c r="K2025" t="s">
        <v>8277</v>
      </c>
      <c r="L2025">
        <v>458</v>
      </c>
      <c r="M2025" t="s">
        <v>8278</v>
      </c>
    </row>
    <row r="2026" spans="1:13" x14ac:dyDescent="0.45">
      <c r="A2026" t="s">
        <v>3601</v>
      </c>
      <c r="B2026">
        <v>2114435</v>
      </c>
      <c r="C2026">
        <v>2114887</v>
      </c>
      <c r="E2026" t="s">
        <v>42</v>
      </c>
      <c r="F2026" t="s">
        <v>34</v>
      </c>
      <c r="G2026" t="s">
        <v>35</v>
      </c>
      <c r="H2026">
        <v>83705817</v>
      </c>
      <c r="I2026" t="s">
        <v>17</v>
      </c>
      <c r="K2026" t="s">
        <v>8279</v>
      </c>
      <c r="L2026">
        <v>150</v>
      </c>
      <c r="M2026" t="s">
        <v>8280</v>
      </c>
    </row>
    <row r="2027" spans="1:13" x14ac:dyDescent="0.45">
      <c r="A2027" t="s">
        <v>3601</v>
      </c>
      <c r="B2027">
        <v>2114884</v>
      </c>
      <c r="C2027">
        <v>2116860</v>
      </c>
      <c r="E2027" t="s">
        <v>42</v>
      </c>
      <c r="F2027" t="s">
        <v>33</v>
      </c>
      <c r="H2027">
        <v>83705818</v>
      </c>
      <c r="I2027" t="s">
        <v>17</v>
      </c>
      <c r="K2027" t="s">
        <v>8281</v>
      </c>
      <c r="L2027">
        <v>658</v>
      </c>
      <c r="M2027" t="s">
        <v>8282</v>
      </c>
    </row>
    <row r="2028" spans="1:13" x14ac:dyDescent="0.45">
      <c r="A2028" t="s">
        <v>3601</v>
      </c>
      <c r="B2028">
        <v>2116945</v>
      </c>
      <c r="C2028">
        <v>2118846</v>
      </c>
      <c r="E2028" t="s">
        <v>42</v>
      </c>
      <c r="F2028" t="s">
        <v>1048</v>
      </c>
      <c r="G2028" t="s">
        <v>1049</v>
      </c>
      <c r="H2028">
        <v>83705819</v>
      </c>
      <c r="I2028" t="s">
        <v>17</v>
      </c>
      <c r="K2028" t="s">
        <v>8283</v>
      </c>
      <c r="L2028">
        <v>633</v>
      </c>
      <c r="M2028" t="s">
        <v>8284</v>
      </c>
    </row>
    <row r="2029" spans="1:13" x14ac:dyDescent="0.45">
      <c r="A2029" t="s">
        <v>3601</v>
      </c>
      <c r="B2029">
        <v>2118849</v>
      </c>
      <c r="C2029">
        <v>2119313</v>
      </c>
      <c r="E2029" t="s">
        <v>42</v>
      </c>
      <c r="F2029" t="s">
        <v>571</v>
      </c>
      <c r="H2029">
        <v>83705820</v>
      </c>
      <c r="I2029" t="s">
        <v>17</v>
      </c>
      <c r="K2029" t="s">
        <v>8285</v>
      </c>
      <c r="L2029">
        <v>154</v>
      </c>
      <c r="M2029" t="s">
        <v>8286</v>
      </c>
    </row>
    <row r="2030" spans="1:13" x14ac:dyDescent="0.45">
      <c r="A2030" t="s">
        <v>3601</v>
      </c>
      <c r="B2030">
        <v>2119518</v>
      </c>
      <c r="C2030">
        <v>2120639</v>
      </c>
      <c r="E2030" t="s">
        <v>42</v>
      </c>
      <c r="F2030" t="s">
        <v>574</v>
      </c>
      <c r="G2030" t="s">
        <v>575</v>
      </c>
      <c r="H2030">
        <v>83705821</v>
      </c>
      <c r="I2030" t="s">
        <v>17</v>
      </c>
      <c r="K2030" t="s">
        <v>8287</v>
      </c>
      <c r="L2030">
        <v>373</v>
      </c>
      <c r="M2030" t="s">
        <v>8288</v>
      </c>
    </row>
    <row r="2031" spans="1:13" x14ac:dyDescent="0.45">
      <c r="A2031" t="s">
        <v>3601</v>
      </c>
      <c r="B2031">
        <v>2120923</v>
      </c>
      <c r="C2031">
        <v>2121594</v>
      </c>
      <c r="E2031" t="s">
        <v>14</v>
      </c>
      <c r="F2031" t="s">
        <v>8289</v>
      </c>
      <c r="G2031" t="s">
        <v>8290</v>
      </c>
      <c r="H2031">
        <v>83705822</v>
      </c>
      <c r="I2031" t="s">
        <v>17</v>
      </c>
      <c r="K2031" t="s">
        <v>8291</v>
      </c>
      <c r="L2031">
        <v>223</v>
      </c>
      <c r="M2031" t="s">
        <v>8292</v>
      </c>
    </row>
    <row r="2032" spans="1:13" x14ac:dyDescent="0.45">
      <c r="A2032" t="s">
        <v>3601</v>
      </c>
      <c r="B2032">
        <v>2121606</v>
      </c>
      <c r="C2032">
        <v>2122478</v>
      </c>
      <c r="E2032" t="s">
        <v>14</v>
      </c>
      <c r="F2032" t="s">
        <v>8293</v>
      </c>
      <c r="G2032" t="s">
        <v>8294</v>
      </c>
      <c r="H2032">
        <v>83705823</v>
      </c>
      <c r="I2032" t="s">
        <v>17</v>
      </c>
      <c r="K2032" t="s">
        <v>8295</v>
      </c>
      <c r="L2032">
        <v>290</v>
      </c>
      <c r="M2032" t="s">
        <v>8296</v>
      </c>
    </row>
    <row r="2033" spans="1:13" x14ac:dyDescent="0.45">
      <c r="A2033" t="s">
        <v>3601</v>
      </c>
      <c r="B2033">
        <v>2122512</v>
      </c>
      <c r="C2033">
        <v>2123147</v>
      </c>
      <c r="E2033" t="s">
        <v>14</v>
      </c>
      <c r="F2033" t="s">
        <v>245</v>
      </c>
      <c r="H2033">
        <v>83705824</v>
      </c>
      <c r="I2033" t="s">
        <v>17</v>
      </c>
      <c r="K2033" t="s">
        <v>8297</v>
      </c>
      <c r="L2033">
        <v>211</v>
      </c>
      <c r="M2033" t="s">
        <v>8298</v>
      </c>
    </row>
    <row r="2034" spans="1:13" x14ac:dyDescent="0.45">
      <c r="A2034" t="s">
        <v>3601</v>
      </c>
      <c r="B2034">
        <v>2123209</v>
      </c>
      <c r="C2034">
        <v>2123820</v>
      </c>
      <c r="E2034" t="s">
        <v>42</v>
      </c>
      <c r="F2034" t="s">
        <v>8299</v>
      </c>
      <c r="H2034">
        <v>83705825</v>
      </c>
      <c r="I2034" t="s">
        <v>17</v>
      </c>
      <c r="K2034" t="s">
        <v>8300</v>
      </c>
      <c r="L2034">
        <v>203</v>
      </c>
      <c r="M2034" t="s">
        <v>8301</v>
      </c>
    </row>
    <row r="2035" spans="1:13" x14ac:dyDescent="0.45">
      <c r="A2035" t="s">
        <v>3601</v>
      </c>
      <c r="B2035">
        <v>2124075</v>
      </c>
      <c r="C2035">
        <v>2124884</v>
      </c>
      <c r="E2035" t="s">
        <v>42</v>
      </c>
      <c r="F2035" t="s">
        <v>8302</v>
      </c>
      <c r="H2035">
        <v>83705826</v>
      </c>
      <c r="I2035" t="s">
        <v>17</v>
      </c>
      <c r="K2035" t="s">
        <v>8303</v>
      </c>
      <c r="L2035">
        <v>269</v>
      </c>
      <c r="M2035" t="s">
        <v>8304</v>
      </c>
    </row>
    <row r="2036" spans="1:13" x14ac:dyDescent="0.45">
      <c r="A2036" t="s">
        <v>3601</v>
      </c>
      <c r="B2036">
        <v>2124877</v>
      </c>
      <c r="C2036">
        <v>2125719</v>
      </c>
      <c r="E2036" t="s">
        <v>42</v>
      </c>
      <c r="F2036" t="s">
        <v>237</v>
      </c>
      <c r="H2036">
        <v>83705827</v>
      </c>
      <c r="I2036" t="s">
        <v>17</v>
      </c>
      <c r="K2036" t="s">
        <v>8305</v>
      </c>
      <c r="L2036">
        <v>280</v>
      </c>
      <c r="M2036" t="s">
        <v>8306</v>
      </c>
    </row>
    <row r="2037" spans="1:13" x14ac:dyDescent="0.45">
      <c r="A2037" t="s">
        <v>3601</v>
      </c>
      <c r="B2037">
        <v>2125695</v>
      </c>
      <c r="C2037">
        <v>2126534</v>
      </c>
      <c r="E2037" t="s">
        <v>42</v>
      </c>
      <c r="F2037" t="s">
        <v>8307</v>
      </c>
      <c r="H2037">
        <v>83705828</v>
      </c>
      <c r="I2037" t="s">
        <v>17</v>
      </c>
      <c r="K2037" t="s">
        <v>8308</v>
      </c>
      <c r="L2037">
        <v>279</v>
      </c>
      <c r="M2037" t="s">
        <v>8309</v>
      </c>
    </row>
    <row r="2038" spans="1:13" x14ac:dyDescent="0.45">
      <c r="A2038" t="s">
        <v>3601</v>
      </c>
      <c r="B2038">
        <v>2126537</v>
      </c>
      <c r="C2038">
        <v>2127079</v>
      </c>
      <c r="E2038" t="s">
        <v>42</v>
      </c>
      <c r="F2038" t="s">
        <v>447</v>
      </c>
      <c r="G2038" t="s">
        <v>448</v>
      </c>
      <c r="H2038">
        <v>83705829</v>
      </c>
      <c r="I2038" t="s">
        <v>17</v>
      </c>
      <c r="K2038" t="s">
        <v>8310</v>
      </c>
      <c r="L2038">
        <v>180</v>
      </c>
      <c r="M2038" t="s">
        <v>8311</v>
      </c>
    </row>
    <row r="2039" spans="1:13" x14ac:dyDescent="0.45">
      <c r="A2039" t="s">
        <v>3601</v>
      </c>
      <c r="B2039">
        <v>2127092</v>
      </c>
      <c r="C2039">
        <v>2128096</v>
      </c>
      <c r="E2039" t="s">
        <v>42</v>
      </c>
      <c r="F2039" t="s">
        <v>139</v>
      </c>
      <c r="H2039">
        <v>83705830</v>
      </c>
      <c r="I2039" t="s">
        <v>17</v>
      </c>
      <c r="K2039" t="s">
        <v>8312</v>
      </c>
      <c r="L2039">
        <v>334</v>
      </c>
      <c r="M2039" t="s">
        <v>8313</v>
      </c>
    </row>
    <row r="2040" spans="1:13" x14ac:dyDescent="0.45">
      <c r="A2040" t="s">
        <v>3601</v>
      </c>
      <c r="B2040">
        <v>2128146</v>
      </c>
      <c r="C2040">
        <v>2129429</v>
      </c>
      <c r="E2040" t="s">
        <v>42</v>
      </c>
      <c r="F2040" t="s">
        <v>8314</v>
      </c>
      <c r="G2040" t="s">
        <v>8315</v>
      </c>
      <c r="H2040">
        <v>83705831</v>
      </c>
      <c r="I2040" t="s">
        <v>17</v>
      </c>
      <c r="K2040" t="s">
        <v>8316</v>
      </c>
      <c r="L2040">
        <v>427</v>
      </c>
      <c r="M2040" t="s">
        <v>8317</v>
      </c>
    </row>
    <row r="2041" spans="1:13" x14ac:dyDescent="0.45">
      <c r="A2041" t="s">
        <v>3601</v>
      </c>
      <c r="B2041">
        <v>2129431</v>
      </c>
      <c r="C2041">
        <v>2130675</v>
      </c>
      <c r="E2041" t="s">
        <v>42</v>
      </c>
      <c r="F2041" t="s">
        <v>8318</v>
      </c>
      <c r="G2041" t="s">
        <v>8319</v>
      </c>
      <c r="H2041">
        <v>83705832</v>
      </c>
      <c r="I2041" t="s">
        <v>17</v>
      </c>
      <c r="K2041" t="s">
        <v>8320</v>
      </c>
      <c r="L2041">
        <v>414</v>
      </c>
      <c r="M2041" t="s">
        <v>8321</v>
      </c>
    </row>
    <row r="2042" spans="1:13" x14ac:dyDescent="0.45">
      <c r="A2042" t="s">
        <v>3601</v>
      </c>
      <c r="B2042">
        <v>2130890</v>
      </c>
      <c r="C2042">
        <v>2131303</v>
      </c>
      <c r="E2042" t="s">
        <v>14</v>
      </c>
      <c r="F2042" t="s">
        <v>20</v>
      </c>
      <c r="G2042" t="s">
        <v>21</v>
      </c>
      <c r="H2042">
        <v>83705833</v>
      </c>
      <c r="I2042" t="s">
        <v>17</v>
      </c>
      <c r="K2042" t="s">
        <v>8322</v>
      </c>
      <c r="L2042">
        <v>137</v>
      </c>
      <c r="M2042" t="s">
        <v>8323</v>
      </c>
    </row>
    <row r="2043" spans="1:13" x14ac:dyDescent="0.45">
      <c r="A2043" t="s">
        <v>3601</v>
      </c>
      <c r="B2043">
        <v>2131305</v>
      </c>
      <c r="C2043">
        <v>2132414</v>
      </c>
      <c r="E2043" t="s">
        <v>14</v>
      </c>
      <c r="F2043" t="s">
        <v>22</v>
      </c>
      <c r="G2043" t="s">
        <v>23</v>
      </c>
      <c r="H2043">
        <v>83705834</v>
      </c>
      <c r="I2043" t="s">
        <v>17</v>
      </c>
      <c r="K2043" t="s">
        <v>8324</v>
      </c>
      <c r="L2043">
        <v>369</v>
      </c>
      <c r="M2043" t="s">
        <v>8325</v>
      </c>
    </row>
    <row r="2044" spans="1:13" x14ac:dyDescent="0.45">
      <c r="A2044" t="s">
        <v>3601</v>
      </c>
      <c r="B2044">
        <v>2132478</v>
      </c>
      <c r="C2044">
        <v>2133341</v>
      </c>
      <c r="E2044" t="s">
        <v>42</v>
      </c>
      <c r="F2044" t="s">
        <v>689</v>
      </c>
      <c r="H2044">
        <v>83705835</v>
      </c>
      <c r="I2044" t="s">
        <v>17</v>
      </c>
      <c r="K2044" t="s">
        <v>8326</v>
      </c>
      <c r="L2044">
        <v>287</v>
      </c>
      <c r="M2044" t="s">
        <v>8327</v>
      </c>
    </row>
    <row r="2045" spans="1:13" x14ac:dyDescent="0.45">
      <c r="A2045" t="s">
        <v>3601</v>
      </c>
      <c r="B2045">
        <v>2133512</v>
      </c>
      <c r="C2045">
        <v>2135937</v>
      </c>
      <c r="E2045" t="s">
        <v>42</v>
      </c>
      <c r="F2045" t="s">
        <v>51</v>
      </c>
      <c r="H2045">
        <v>83705836</v>
      </c>
      <c r="I2045" t="s">
        <v>52</v>
      </c>
      <c r="M2045" t="s">
        <v>8328</v>
      </c>
    </row>
    <row r="2046" spans="1:13" x14ac:dyDescent="0.45">
      <c r="A2046" t="s">
        <v>3601</v>
      </c>
      <c r="B2046">
        <v>2135921</v>
      </c>
      <c r="C2046">
        <v>2136340</v>
      </c>
      <c r="E2046" t="s">
        <v>42</v>
      </c>
      <c r="F2046" t="s">
        <v>8329</v>
      </c>
      <c r="H2046">
        <v>83705837</v>
      </c>
      <c r="I2046" t="s">
        <v>17</v>
      </c>
      <c r="K2046" t="s">
        <v>8330</v>
      </c>
      <c r="L2046">
        <v>139</v>
      </c>
      <c r="M2046" t="s">
        <v>8331</v>
      </c>
    </row>
    <row r="2047" spans="1:13" x14ac:dyDescent="0.45">
      <c r="A2047" t="s">
        <v>3601</v>
      </c>
      <c r="B2047">
        <v>2136337</v>
      </c>
      <c r="C2047">
        <v>2136738</v>
      </c>
      <c r="E2047" t="s">
        <v>42</v>
      </c>
      <c r="F2047" t="s">
        <v>8329</v>
      </c>
      <c r="H2047">
        <v>83705838</v>
      </c>
      <c r="I2047" t="s">
        <v>17</v>
      </c>
      <c r="K2047" t="s">
        <v>8332</v>
      </c>
      <c r="L2047">
        <v>133</v>
      </c>
      <c r="M2047" t="s">
        <v>8333</v>
      </c>
    </row>
    <row r="2048" spans="1:13" x14ac:dyDescent="0.45">
      <c r="A2048" t="s">
        <v>3601</v>
      </c>
      <c r="B2048">
        <v>2136812</v>
      </c>
      <c r="C2048">
        <v>2137204</v>
      </c>
      <c r="E2048" t="s">
        <v>42</v>
      </c>
      <c r="F2048" t="s">
        <v>8329</v>
      </c>
      <c r="H2048">
        <v>83705839</v>
      </c>
      <c r="I2048" t="s">
        <v>17</v>
      </c>
      <c r="K2048" t="s">
        <v>8334</v>
      </c>
      <c r="L2048">
        <v>130</v>
      </c>
      <c r="M2048" t="s">
        <v>8335</v>
      </c>
    </row>
    <row r="2049" spans="1:13" x14ac:dyDescent="0.45">
      <c r="A2049" t="s">
        <v>3601</v>
      </c>
      <c r="B2049">
        <v>2137586</v>
      </c>
      <c r="C2049">
        <v>2139067</v>
      </c>
      <c r="E2049" t="s">
        <v>42</v>
      </c>
      <c r="F2049" t="s">
        <v>112</v>
      </c>
      <c r="G2049" t="s">
        <v>8336</v>
      </c>
      <c r="H2049">
        <v>83705840</v>
      </c>
      <c r="I2049" t="s">
        <v>17</v>
      </c>
      <c r="K2049" t="s">
        <v>8337</v>
      </c>
      <c r="L2049">
        <v>493</v>
      </c>
      <c r="M2049" t="s">
        <v>8338</v>
      </c>
    </row>
    <row r="2050" spans="1:13" x14ac:dyDescent="0.45">
      <c r="A2050" t="s">
        <v>3601</v>
      </c>
      <c r="B2050">
        <v>2139268</v>
      </c>
      <c r="C2050">
        <v>2140290</v>
      </c>
      <c r="E2050" t="s">
        <v>42</v>
      </c>
      <c r="F2050" t="s">
        <v>117</v>
      </c>
      <c r="G2050" t="s">
        <v>118</v>
      </c>
      <c r="H2050">
        <v>83705841</v>
      </c>
      <c r="I2050" t="s">
        <v>17</v>
      </c>
      <c r="K2050" t="s">
        <v>8339</v>
      </c>
      <c r="L2050">
        <v>340</v>
      </c>
      <c r="M2050" t="s">
        <v>8340</v>
      </c>
    </row>
    <row r="2051" spans="1:13" x14ac:dyDescent="0.45">
      <c r="A2051" t="s">
        <v>3601</v>
      </c>
      <c r="B2051">
        <v>2140707</v>
      </c>
      <c r="C2051">
        <v>2141579</v>
      </c>
      <c r="E2051" t="s">
        <v>14</v>
      </c>
      <c r="F2051" t="s">
        <v>663</v>
      </c>
      <c r="H2051">
        <v>83705842</v>
      </c>
      <c r="I2051" t="s">
        <v>17</v>
      </c>
      <c r="K2051" t="s">
        <v>8341</v>
      </c>
      <c r="L2051">
        <v>290</v>
      </c>
      <c r="M2051" t="s">
        <v>8342</v>
      </c>
    </row>
    <row r="2052" spans="1:13" x14ac:dyDescent="0.45">
      <c r="A2052" t="s">
        <v>3601</v>
      </c>
      <c r="B2052">
        <v>2141659</v>
      </c>
      <c r="C2052">
        <v>2143278</v>
      </c>
      <c r="E2052" t="s">
        <v>14</v>
      </c>
      <c r="F2052" t="s">
        <v>55</v>
      </c>
      <c r="H2052">
        <v>83705843</v>
      </c>
      <c r="I2052" t="s">
        <v>17</v>
      </c>
      <c r="K2052" t="s">
        <v>8343</v>
      </c>
      <c r="L2052">
        <v>539</v>
      </c>
      <c r="M2052" t="s">
        <v>8344</v>
      </c>
    </row>
    <row r="2053" spans="1:13" x14ac:dyDescent="0.45">
      <c r="A2053" t="s">
        <v>3601</v>
      </c>
      <c r="B2053">
        <v>2143401</v>
      </c>
      <c r="C2053">
        <v>2145986</v>
      </c>
      <c r="E2053" t="s">
        <v>14</v>
      </c>
      <c r="F2053" t="s">
        <v>898</v>
      </c>
      <c r="H2053">
        <v>83705844</v>
      </c>
      <c r="I2053" t="s">
        <v>17</v>
      </c>
      <c r="K2053" t="s">
        <v>8345</v>
      </c>
      <c r="L2053">
        <v>861</v>
      </c>
      <c r="M2053" t="s">
        <v>8346</v>
      </c>
    </row>
    <row r="2054" spans="1:13" x14ac:dyDescent="0.45">
      <c r="A2054" t="s">
        <v>3601</v>
      </c>
      <c r="B2054">
        <v>2146188</v>
      </c>
      <c r="C2054">
        <v>2146261</v>
      </c>
      <c r="E2054" t="s">
        <v>42</v>
      </c>
      <c r="F2054" t="s">
        <v>69</v>
      </c>
      <c r="H2054">
        <v>83705845</v>
      </c>
      <c r="I2054" t="s">
        <v>44</v>
      </c>
      <c r="M2054" t="s">
        <v>8347</v>
      </c>
    </row>
    <row r="2055" spans="1:13" x14ac:dyDescent="0.45">
      <c r="A2055" t="s">
        <v>3601</v>
      </c>
      <c r="B2055">
        <v>2146294</v>
      </c>
      <c r="C2055">
        <v>2146365</v>
      </c>
      <c r="E2055" t="s">
        <v>42</v>
      </c>
      <c r="F2055" t="s">
        <v>357</v>
      </c>
      <c r="H2055">
        <v>83705846</v>
      </c>
      <c r="I2055" t="s">
        <v>44</v>
      </c>
      <c r="M2055" t="s">
        <v>8348</v>
      </c>
    </row>
    <row r="2056" spans="1:13" x14ac:dyDescent="0.45">
      <c r="A2056" t="s">
        <v>3601</v>
      </c>
      <c r="B2056">
        <v>2146646</v>
      </c>
      <c r="C2056">
        <v>2146719</v>
      </c>
      <c r="E2056" t="s">
        <v>14</v>
      </c>
      <c r="F2056" t="s">
        <v>352</v>
      </c>
      <c r="H2056">
        <v>83705847</v>
      </c>
      <c r="I2056" t="s">
        <v>44</v>
      </c>
      <c r="M2056" t="s">
        <v>8349</v>
      </c>
    </row>
    <row r="2057" spans="1:13" x14ac:dyDescent="0.45">
      <c r="A2057" t="s">
        <v>3601</v>
      </c>
      <c r="B2057">
        <v>2147017</v>
      </c>
      <c r="C2057">
        <v>2147496</v>
      </c>
      <c r="E2057" t="s">
        <v>42</v>
      </c>
      <c r="F2057" t="s">
        <v>77</v>
      </c>
      <c r="G2057" t="s">
        <v>78</v>
      </c>
      <c r="H2057">
        <v>83705848</v>
      </c>
      <c r="I2057" t="s">
        <v>17</v>
      </c>
      <c r="K2057" t="s">
        <v>8350</v>
      </c>
      <c r="L2057">
        <v>159</v>
      </c>
      <c r="M2057" t="s">
        <v>8351</v>
      </c>
    </row>
    <row r="2058" spans="1:13" x14ac:dyDescent="0.45">
      <c r="A2058" t="s">
        <v>3601</v>
      </c>
      <c r="B2058">
        <v>2147706</v>
      </c>
      <c r="C2058">
        <v>2148929</v>
      </c>
      <c r="E2058" t="s">
        <v>14</v>
      </c>
      <c r="F2058" t="s">
        <v>8352</v>
      </c>
      <c r="H2058">
        <v>83705849</v>
      </c>
      <c r="I2058" t="s">
        <v>17</v>
      </c>
      <c r="K2058" t="s">
        <v>8353</v>
      </c>
      <c r="L2058">
        <v>407</v>
      </c>
      <c r="M2058" t="s">
        <v>8354</v>
      </c>
    </row>
    <row r="2059" spans="1:13" x14ac:dyDescent="0.45">
      <c r="A2059" t="s">
        <v>3601</v>
      </c>
      <c r="B2059">
        <v>2149049</v>
      </c>
      <c r="C2059">
        <v>2149822</v>
      </c>
      <c r="E2059" t="s">
        <v>14</v>
      </c>
      <c r="F2059" t="s">
        <v>1005</v>
      </c>
      <c r="H2059">
        <v>83705850</v>
      </c>
      <c r="I2059" t="s">
        <v>17</v>
      </c>
      <c r="K2059" t="s">
        <v>8355</v>
      </c>
      <c r="L2059">
        <v>257</v>
      </c>
      <c r="M2059" t="s">
        <v>8356</v>
      </c>
    </row>
    <row r="2060" spans="1:13" x14ac:dyDescent="0.45">
      <c r="A2060" t="s">
        <v>8357</v>
      </c>
      <c r="B2060">
        <v>624</v>
      </c>
      <c r="C2060">
        <v>1154</v>
      </c>
      <c r="D2060" t="s">
        <v>8358</v>
      </c>
      <c r="E2060" t="s">
        <v>42</v>
      </c>
      <c r="F2060" t="s">
        <v>45</v>
      </c>
      <c r="H2060">
        <v>83705852</v>
      </c>
      <c r="I2060" t="s">
        <v>17</v>
      </c>
      <c r="K2060" t="s">
        <v>8359</v>
      </c>
      <c r="L2060">
        <v>176</v>
      </c>
      <c r="M2060" t="s">
        <v>8360</v>
      </c>
    </row>
    <row r="2061" spans="1:13" x14ac:dyDescent="0.45">
      <c r="A2061" t="s">
        <v>8357</v>
      </c>
      <c r="B2061">
        <v>1264</v>
      </c>
      <c r="C2061">
        <v>1680</v>
      </c>
      <c r="D2061" t="s">
        <v>8358</v>
      </c>
      <c r="E2061" t="s">
        <v>14</v>
      </c>
      <c r="F2061" t="s">
        <v>79</v>
      </c>
      <c r="H2061">
        <v>83705853</v>
      </c>
      <c r="I2061" t="s">
        <v>17</v>
      </c>
      <c r="K2061" t="s">
        <v>8361</v>
      </c>
      <c r="L2061">
        <v>138</v>
      </c>
      <c r="M2061" t="s">
        <v>8362</v>
      </c>
    </row>
    <row r="2062" spans="1:13" x14ac:dyDescent="0.45">
      <c r="A2062" t="s">
        <v>8357</v>
      </c>
      <c r="B2062">
        <v>2007</v>
      </c>
      <c r="C2062">
        <v>3509</v>
      </c>
      <c r="D2062" t="s">
        <v>8358</v>
      </c>
      <c r="E2062" t="s">
        <v>14</v>
      </c>
      <c r="F2062" t="s">
        <v>8363</v>
      </c>
      <c r="G2062" t="s">
        <v>8364</v>
      </c>
      <c r="H2062">
        <v>83705854</v>
      </c>
      <c r="I2062" t="s">
        <v>17</v>
      </c>
      <c r="K2062" t="s">
        <v>8365</v>
      </c>
      <c r="L2062">
        <v>500</v>
      </c>
      <c r="M2062" t="s">
        <v>8366</v>
      </c>
    </row>
    <row r="2063" spans="1:13" x14ac:dyDescent="0.45">
      <c r="A2063" t="s">
        <v>8357</v>
      </c>
      <c r="B2063">
        <v>4217</v>
      </c>
      <c r="C2063">
        <v>4360</v>
      </c>
      <c r="D2063" t="s">
        <v>8358</v>
      </c>
      <c r="E2063" t="s">
        <v>14</v>
      </c>
      <c r="F2063" t="s">
        <v>8367</v>
      </c>
      <c r="H2063">
        <v>83705855</v>
      </c>
      <c r="I2063" t="s">
        <v>17</v>
      </c>
      <c r="K2063" t="s">
        <v>8368</v>
      </c>
      <c r="L2063">
        <v>47</v>
      </c>
      <c r="M2063" t="s">
        <v>8369</v>
      </c>
    </row>
    <row r="2064" spans="1:13" x14ac:dyDescent="0.45">
      <c r="A2064" t="s">
        <v>8357</v>
      </c>
      <c r="B2064">
        <v>4467</v>
      </c>
      <c r="C2064">
        <v>409</v>
      </c>
      <c r="D2064" t="s">
        <v>8358</v>
      </c>
      <c r="E2064" t="s">
        <v>14</v>
      </c>
      <c r="F2064" t="s">
        <v>51</v>
      </c>
      <c r="H2064">
        <v>83705851</v>
      </c>
      <c r="I2064" t="s">
        <v>52</v>
      </c>
      <c r="M2064" t="s">
        <v>8370</v>
      </c>
    </row>
  </sheetData>
  <customSheetViews>
    <customSheetView guid="{F9B45C10-3ABA-4AFD-861C-93BE5D0D4A37}" showAutoFilter="1" topLeftCell="I1">
      <selection activeCell="X1456" sqref="X1456"/>
      <pageMargins left="0.7" right="0.7" top="0.75" bottom="0.75" header="0.3" footer="0.3"/>
      <autoFilter ref="B2:C2" xr:uid="{00000000-0000-0000-0000-000000000000}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89"/>
  <sheetViews>
    <sheetView zoomScale="105" zoomScaleNormal="70" workbookViewId="0">
      <pane ySplit="1" topLeftCell="A669" activePane="bottomLeft" state="frozen"/>
      <selection pane="bottomLeft" activeCell="B687" sqref="B687"/>
    </sheetView>
  </sheetViews>
  <sheetFormatPr defaultRowHeight="14.25" x14ac:dyDescent="0.45"/>
  <cols>
    <col min="1" max="1" width="15.9296875" style="53" customWidth="1"/>
    <col min="2" max="2" width="17.9296875" style="54" customWidth="1"/>
    <col min="3" max="3" width="12.53125" customWidth="1"/>
    <col min="4" max="4" width="14.19921875" customWidth="1"/>
    <col min="5" max="5" width="35.06640625" customWidth="1"/>
    <col min="6" max="6" width="35.19921875" customWidth="1"/>
    <col min="7" max="7" width="31.59765625" customWidth="1"/>
    <col min="8" max="8" width="38.06640625" customWidth="1"/>
  </cols>
  <sheetData>
    <row r="1" spans="1:8" x14ac:dyDescent="0.45">
      <c r="A1" s="53" t="s">
        <v>10</v>
      </c>
      <c r="B1" s="54" t="s">
        <v>12</v>
      </c>
      <c r="C1" t="s">
        <v>1062</v>
      </c>
      <c r="D1" t="s">
        <v>1142</v>
      </c>
      <c r="E1" t="s">
        <v>1065</v>
      </c>
      <c r="F1" t="s">
        <v>1066</v>
      </c>
      <c r="G1" t="s">
        <v>1067</v>
      </c>
      <c r="H1" t="s">
        <v>1068</v>
      </c>
    </row>
    <row r="2" spans="1:8" x14ac:dyDescent="0.45">
      <c r="A2" s="53" t="s">
        <v>7072</v>
      </c>
      <c r="B2" s="54" t="s">
        <v>7073</v>
      </c>
      <c r="C2" t="s">
        <v>8652</v>
      </c>
    </row>
    <row r="3" spans="1:8" x14ac:dyDescent="0.45">
      <c r="A3" s="53" t="s">
        <v>4452</v>
      </c>
      <c r="B3" s="54" t="s">
        <v>4453</v>
      </c>
      <c r="C3" t="s">
        <v>8652</v>
      </c>
    </row>
    <row r="4" spans="1:8" x14ac:dyDescent="0.45">
      <c r="A4" s="53" t="s">
        <v>6702</v>
      </c>
      <c r="B4" s="54" t="s">
        <v>6703</v>
      </c>
      <c r="C4" t="s">
        <v>8652</v>
      </c>
    </row>
    <row r="5" spans="1:8" x14ac:dyDescent="0.45">
      <c r="A5" s="53" t="s">
        <v>4855</v>
      </c>
      <c r="B5" s="54" t="s">
        <v>4856</v>
      </c>
      <c r="C5" t="s">
        <v>8652</v>
      </c>
    </row>
    <row r="6" spans="1:8" x14ac:dyDescent="0.45">
      <c r="A6" s="53" t="s">
        <v>6448</v>
      </c>
      <c r="B6" s="54" t="s">
        <v>6449</v>
      </c>
      <c r="C6" t="s">
        <v>8652</v>
      </c>
    </row>
    <row r="7" spans="1:8" x14ac:dyDescent="0.45">
      <c r="A7" s="53" t="s">
        <v>7937</v>
      </c>
      <c r="B7" s="54" t="s">
        <v>7938</v>
      </c>
      <c r="C7" t="s">
        <v>8652</v>
      </c>
    </row>
    <row r="8" spans="1:8" x14ac:dyDescent="0.45">
      <c r="A8" s="53" t="s">
        <v>4837</v>
      </c>
      <c r="B8" s="54" t="s">
        <v>4838</v>
      </c>
      <c r="C8" t="s">
        <v>8951</v>
      </c>
    </row>
    <row r="9" spans="1:8" x14ac:dyDescent="0.45">
      <c r="A9" s="53" t="s">
        <v>6720</v>
      </c>
      <c r="B9" s="54" t="s">
        <v>6721</v>
      </c>
      <c r="C9" t="s">
        <v>8951</v>
      </c>
    </row>
    <row r="10" spans="1:8" x14ac:dyDescent="0.45">
      <c r="A10" s="53" t="s">
        <v>3725</v>
      </c>
      <c r="B10" s="54" t="s">
        <v>3726</v>
      </c>
      <c r="C10" t="s">
        <v>8446</v>
      </c>
      <c r="E10" s="45" t="s">
        <v>8448</v>
      </c>
      <c r="F10" s="45" t="s">
        <v>8449</v>
      </c>
      <c r="G10" t="s">
        <v>3028</v>
      </c>
      <c r="H10" t="s">
        <v>3310</v>
      </c>
    </row>
    <row r="11" spans="1:8" x14ac:dyDescent="0.45">
      <c r="A11" s="53" t="s">
        <v>3725</v>
      </c>
      <c r="B11" s="54" t="s">
        <v>3726</v>
      </c>
      <c r="C11" t="s">
        <v>8446</v>
      </c>
      <c r="E11" s="45" t="s">
        <v>8448</v>
      </c>
      <c r="F11" s="45" t="s">
        <v>8450</v>
      </c>
      <c r="G11" t="s">
        <v>3030</v>
      </c>
      <c r="H11" t="s">
        <v>3312</v>
      </c>
    </row>
    <row r="12" spans="1:8" x14ac:dyDescent="0.45">
      <c r="A12" s="53" t="s">
        <v>3725</v>
      </c>
      <c r="B12" s="54" t="s">
        <v>3726</v>
      </c>
      <c r="C12" t="s">
        <v>8446</v>
      </c>
      <c r="E12" s="45" t="s">
        <v>8448</v>
      </c>
      <c r="F12" s="45" t="s">
        <v>8451</v>
      </c>
      <c r="G12" t="s">
        <v>3031</v>
      </c>
      <c r="H12" t="s">
        <v>3313</v>
      </c>
    </row>
    <row r="13" spans="1:8" x14ac:dyDescent="0.45">
      <c r="A13" s="53" t="s">
        <v>3725</v>
      </c>
      <c r="B13" s="54" t="s">
        <v>3726</v>
      </c>
      <c r="C13" t="s">
        <v>8446</v>
      </c>
      <c r="E13" s="45" t="s">
        <v>8448</v>
      </c>
      <c r="F13" s="45" t="s">
        <v>8452</v>
      </c>
      <c r="G13" t="s">
        <v>3032</v>
      </c>
      <c r="H13" t="s">
        <v>3314</v>
      </c>
    </row>
    <row r="14" spans="1:8" x14ac:dyDescent="0.45">
      <c r="A14" s="53" t="s">
        <v>3725</v>
      </c>
      <c r="B14" s="54" t="s">
        <v>3726</v>
      </c>
      <c r="C14" t="s">
        <v>8446</v>
      </c>
      <c r="E14" s="45" t="s">
        <v>8448</v>
      </c>
      <c r="F14" s="45" t="s">
        <v>8453</v>
      </c>
      <c r="G14" t="s">
        <v>3035</v>
      </c>
      <c r="H14" t="s">
        <v>3317</v>
      </c>
    </row>
    <row r="15" spans="1:8" x14ac:dyDescent="0.45">
      <c r="A15" s="53" t="s">
        <v>3725</v>
      </c>
      <c r="B15" s="54" t="s">
        <v>3726</v>
      </c>
      <c r="C15" t="s">
        <v>8446</v>
      </c>
      <c r="E15" s="45" t="s">
        <v>8448</v>
      </c>
      <c r="F15" s="45" t="s">
        <v>8454</v>
      </c>
      <c r="G15" t="s">
        <v>3036</v>
      </c>
      <c r="H15" t="s">
        <v>3318</v>
      </c>
    </row>
    <row r="16" spans="1:8" x14ac:dyDescent="0.45">
      <c r="A16" s="53" t="s">
        <v>3725</v>
      </c>
      <c r="B16" s="54" t="s">
        <v>3726</v>
      </c>
      <c r="C16" t="s">
        <v>8446</v>
      </c>
      <c r="E16" s="45" t="s">
        <v>8448</v>
      </c>
      <c r="F16" s="45" t="s">
        <v>8455</v>
      </c>
      <c r="G16" t="s">
        <v>3037</v>
      </c>
      <c r="H16" t="s">
        <v>3319</v>
      </c>
    </row>
    <row r="17" spans="1:8" x14ac:dyDescent="0.45">
      <c r="A17" s="53" t="s">
        <v>3725</v>
      </c>
      <c r="B17" s="54" t="s">
        <v>3726</v>
      </c>
      <c r="C17" t="s">
        <v>8446</v>
      </c>
      <c r="E17" s="45" t="s">
        <v>8448</v>
      </c>
      <c r="F17" s="45" t="s">
        <v>8456</v>
      </c>
      <c r="G17" t="s">
        <v>3038</v>
      </c>
      <c r="H17" t="s">
        <v>3320</v>
      </c>
    </row>
    <row r="18" spans="1:8" x14ac:dyDescent="0.45">
      <c r="A18" s="53" t="s">
        <v>3725</v>
      </c>
      <c r="B18" s="54" t="s">
        <v>3726</v>
      </c>
      <c r="C18" t="s">
        <v>8446</v>
      </c>
      <c r="E18" s="45" t="s">
        <v>8448</v>
      </c>
      <c r="F18" s="45" t="s">
        <v>8457</v>
      </c>
      <c r="G18" t="s">
        <v>3041</v>
      </c>
      <c r="H18" t="s">
        <v>3323</v>
      </c>
    </row>
    <row r="19" spans="1:8" x14ac:dyDescent="0.45">
      <c r="A19" s="53" t="s">
        <v>3725</v>
      </c>
      <c r="B19" s="54" t="s">
        <v>3726</v>
      </c>
      <c r="C19" t="s">
        <v>8446</v>
      </c>
      <c r="E19" s="45" t="s">
        <v>8448</v>
      </c>
      <c r="F19" s="45" t="s">
        <v>8458</v>
      </c>
      <c r="G19" t="s">
        <v>3034</v>
      </c>
      <c r="H19" t="s">
        <v>3316</v>
      </c>
    </row>
    <row r="20" spans="1:8" x14ac:dyDescent="0.45">
      <c r="A20" s="53" t="s">
        <v>3725</v>
      </c>
      <c r="B20" s="54" t="s">
        <v>3726</v>
      </c>
      <c r="C20" t="s">
        <v>8446</v>
      </c>
      <c r="E20" s="45" t="s">
        <v>8448</v>
      </c>
      <c r="F20" s="45" t="s">
        <v>8459</v>
      </c>
      <c r="G20" t="s">
        <v>3040</v>
      </c>
      <c r="H20" t="s">
        <v>3322</v>
      </c>
    </row>
    <row r="21" spans="1:8" x14ac:dyDescent="0.45">
      <c r="A21" s="53" t="s">
        <v>3725</v>
      </c>
      <c r="B21" s="54" t="s">
        <v>3726</v>
      </c>
      <c r="C21" t="s">
        <v>8446</v>
      </c>
      <c r="E21" s="45" t="s">
        <v>8448</v>
      </c>
      <c r="F21" s="45" t="s">
        <v>8460</v>
      </c>
      <c r="G21" t="s">
        <v>3043</v>
      </c>
      <c r="H21" t="s">
        <v>3325</v>
      </c>
    </row>
    <row r="22" spans="1:8" x14ac:dyDescent="0.45">
      <c r="A22" s="53" t="s">
        <v>3725</v>
      </c>
      <c r="B22" s="54" t="s">
        <v>3726</v>
      </c>
      <c r="C22" t="s">
        <v>8446</v>
      </c>
      <c r="E22" s="45" t="s">
        <v>8448</v>
      </c>
      <c r="F22" s="45" t="s">
        <v>8473</v>
      </c>
      <c r="G22" t="s">
        <v>3026</v>
      </c>
      <c r="H22" t="s">
        <v>3308</v>
      </c>
    </row>
    <row r="23" spans="1:8" x14ac:dyDescent="0.45">
      <c r="A23" s="53" t="s">
        <v>3725</v>
      </c>
      <c r="B23" s="54" t="s">
        <v>3726</v>
      </c>
      <c r="C23" t="s">
        <v>8446</v>
      </c>
      <c r="E23" s="45" t="s">
        <v>8448</v>
      </c>
      <c r="F23" s="45" t="s">
        <v>8462</v>
      </c>
      <c r="G23" t="s">
        <v>3027</v>
      </c>
      <c r="H23" t="s">
        <v>3309</v>
      </c>
    </row>
    <row r="24" spans="1:8" x14ac:dyDescent="0.45">
      <c r="A24" s="53" t="s">
        <v>3725</v>
      </c>
      <c r="B24" s="54" t="s">
        <v>3726</v>
      </c>
      <c r="C24" t="s">
        <v>8446</v>
      </c>
      <c r="E24" s="45" t="s">
        <v>8448</v>
      </c>
      <c r="F24" s="45" t="s">
        <v>8463</v>
      </c>
      <c r="G24" s="12" t="s">
        <v>3042</v>
      </c>
      <c r="H24" t="s">
        <v>3324</v>
      </c>
    </row>
    <row r="25" spans="1:8" x14ac:dyDescent="0.45">
      <c r="A25" s="53" t="s">
        <v>3725</v>
      </c>
      <c r="B25" s="54" t="s">
        <v>3726</v>
      </c>
      <c r="C25" t="s">
        <v>8446</v>
      </c>
      <c r="E25" s="45" t="s">
        <v>8448</v>
      </c>
      <c r="F25" s="45" t="s">
        <v>8465</v>
      </c>
      <c r="G25" t="s">
        <v>3033</v>
      </c>
      <c r="H25" t="s">
        <v>3315</v>
      </c>
    </row>
    <row r="26" spans="1:8" x14ac:dyDescent="0.45">
      <c r="A26" s="53" t="s">
        <v>3725</v>
      </c>
      <c r="B26" s="54" t="s">
        <v>3726</v>
      </c>
      <c r="C26" t="s">
        <v>8446</v>
      </c>
      <c r="E26" s="45" t="s">
        <v>8448</v>
      </c>
      <c r="F26" s="45" t="s">
        <v>8467</v>
      </c>
      <c r="G26" s="12" t="s">
        <v>3044</v>
      </c>
      <c r="H26" t="s">
        <v>3326</v>
      </c>
    </row>
    <row r="27" spans="1:8" x14ac:dyDescent="0.45">
      <c r="A27" s="53" t="s">
        <v>3725</v>
      </c>
      <c r="B27" s="54" t="s">
        <v>3726</v>
      </c>
      <c r="C27" t="s">
        <v>8446</v>
      </c>
      <c r="E27" s="45" t="s">
        <v>8448</v>
      </c>
      <c r="F27" s="45" t="s">
        <v>8468</v>
      </c>
      <c r="G27" s="12" t="s">
        <v>3029</v>
      </c>
      <c r="H27" t="s">
        <v>3311</v>
      </c>
    </row>
    <row r="28" spans="1:8" x14ac:dyDescent="0.45">
      <c r="A28" s="53" t="s">
        <v>3725</v>
      </c>
      <c r="B28" s="54" t="s">
        <v>3726</v>
      </c>
      <c r="C28" t="s">
        <v>8446</v>
      </c>
      <c r="E28" s="45" t="s">
        <v>8448</v>
      </c>
      <c r="F28" s="45" t="s">
        <v>8469</v>
      </c>
      <c r="G28" s="12" t="s">
        <v>3039</v>
      </c>
      <c r="H28" t="s">
        <v>3321</v>
      </c>
    </row>
    <row r="29" spans="1:8" x14ac:dyDescent="0.45">
      <c r="A29" s="53" t="s">
        <v>3718</v>
      </c>
      <c r="B29" s="54" t="s">
        <v>3719</v>
      </c>
      <c r="C29" t="s">
        <v>8446</v>
      </c>
      <c r="E29" s="45" t="s">
        <v>8448</v>
      </c>
      <c r="F29" s="45" t="s">
        <v>8449</v>
      </c>
      <c r="G29" t="s">
        <v>3028</v>
      </c>
      <c r="H29" t="s">
        <v>3310</v>
      </c>
    </row>
    <row r="30" spans="1:8" x14ac:dyDescent="0.45">
      <c r="A30" s="53" t="s">
        <v>3718</v>
      </c>
      <c r="B30" s="54" t="s">
        <v>3719</v>
      </c>
      <c r="C30" t="s">
        <v>8446</v>
      </c>
      <c r="E30" s="45" t="s">
        <v>8448</v>
      </c>
      <c r="F30" s="45" t="s">
        <v>8450</v>
      </c>
      <c r="G30" s="12" t="s">
        <v>3030</v>
      </c>
      <c r="H30" t="s">
        <v>3312</v>
      </c>
    </row>
    <row r="31" spans="1:8" x14ac:dyDescent="0.45">
      <c r="A31" s="53" t="s">
        <v>3718</v>
      </c>
      <c r="B31" s="54" t="s">
        <v>3719</v>
      </c>
      <c r="C31" t="s">
        <v>8446</v>
      </c>
      <c r="E31" s="45" t="s">
        <v>8448</v>
      </c>
      <c r="F31" s="45" t="s">
        <v>8451</v>
      </c>
      <c r="G31" t="s">
        <v>3031</v>
      </c>
      <c r="H31" t="s">
        <v>3313</v>
      </c>
    </row>
    <row r="32" spans="1:8" x14ac:dyDescent="0.45">
      <c r="A32" s="53" t="s">
        <v>3718</v>
      </c>
      <c r="B32" s="54" t="s">
        <v>3719</v>
      </c>
      <c r="C32" t="s">
        <v>8446</v>
      </c>
      <c r="E32" s="45" t="s">
        <v>8448</v>
      </c>
      <c r="F32" s="45" t="s">
        <v>8452</v>
      </c>
      <c r="G32" t="s">
        <v>3032</v>
      </c>
      <c r="H32" t="s">
        <v>3314</v>
      </c>
    </row>
    <row r="33" spans="1:8" x14ac:dyDescent="0.45">
      <c r="A33" s="53" t="s">
        <v>3718</v>
      </c>
      <c r="B33" s="54" t="s">
        <v>3719</v>
      </c>
      <c r="C33" t="s">
        <v>8446</v>
      </c>
      <c r="E33" s="45" t="s">
        <v>8448</v>
      </c>
      <c r="F33" s="45" t="s">
        <v>8453</v>
      </c>
      <c r="G33" t="s">
        <v>3035</v>
      </c>
      <c r="H33" t="s">
        <v>3317</v>
      </c>
    </row>
    <row r="34" spans="1:8" x14ac:dyDescent="0.45">
      <c r="A34" s="53" t="s">
        <v>3718</v>
      </c>
      <c r="B34" s="54" t="s">
        <v>3719</v>
      </c>
      <c r="C34" t="s">
        <v>8446</v>
      </c>
      <c r="E34" s="45" t="s">
        <v>8448</v>
      </c>
      <c r="F34" s="45" t="s">
        <v>8454</v>
      </c>
      <c r="G34" s="12" t="s">
        <v>3036</v>
      </c>
      <c r="H34" t="s">
        <v>3318</v>
      </c>
    </row>
    <row r="35" spans="1:8" x14ac:dyDescent="0.45">
      <c r="A35" s="53" t="s">
        <v>3718</v>
      </c>
      <c r="B35" s="54" t="s">
        <v>3719</v>
      </c>
      <c r="C35" t="s">
        <v>8446</v>
      </c>
      <c r="E35" s="45" t="s">
        <v>8448</v>
      </c>
      <c r="F35" s="45" t="s">
        <v>8455</v>
      </c>
      <c r="G35" t="s">
        <v>3037</v>
      </c>
      <c r="H35" t="s">
        <v>3319</v>
      </c>
    </row>
    <row r="36" spans="1:8" x14ac:dyDescent="0.45">
      <c r="A36" s="53" t="s">
        <v>3718</v>
      </c>
      <c r="B36" s="54" t="s">
        <v>3719</v>
      </c>
      <c r="C36" t="s">
        <v>8446</v>
      </c>
      <c r="E36" s="45" t="s">
        <v>8448</v>
      </c>
      <c r="F36" s="45" t="s">
        <v>8456</v>
      </c>
      <c r="G36" t="s">
        <v>3038</v>
      </c>
      <c r="H36" t="s">
        <v>3320</v>
      </c>
    </row>
    <row r="37" spans="1:8" x14ac:dyDescent="0.45">
      <c r="A37" s="53" t="s">
        <v>3718</v>
      </c>
      <c r="B37" s="54" t="s">
        <v>3719</v>
      </c>
      <c r="C37" t="s">
        <v>8446</v>
      </c>
      <c r="E37" s="45" t="s">
        <v>8448</v>
      </c>
      <c r="F37" s="45" t="s">
        <v>8457</v>
      </c>
      <c r="G37" s="12" t="s">
        <v>3041</v>
      </c>
      <c r="H37" t="s">
        <v>3323</v>
      </c>
    </row>
    <row r="38" spans="1:8" x14ac:dyDescent="0.45">
      <c r="A38" s="53" t="s">
        <v>3718</v>
      </c>
      <c r="B38" s="54" t="s">
        <v>3719</v>
      </c>
      <c r="C38" t="s">
        <v>8446</v>
      </c>
      <c r="E38" s="45" t="s">
        <v>8448</v>
      </c>
      <c r="F38" s="45" t="s">
        <v>8458</v>
      </c>
      <c r="G38" t="s">
        <v>3034</v>
      </c>
      <c r="H38" t="s">
        <v>3316</v>
      </c>
    </row>
    <row r="39" spans="1:8" x14ac:dyDescent="0.45">
      <c r="A39" s="53" t="s">
        <v>3718</v>
      </c>
      <c r="B39" s="54" t="s">
        <v>3719</v>
      </c>
      <c r="C39" t="s">
        <v>8446</v>
      </c>
      <c r="E39" s="45" t="s">
        <v>8448</v>
      </c>
      <c r="F39" s="45" t="s">
        <v>8459</v>
      </c>
      <c r="G39" t="s">
        <v>3040</v>
      </c>
      <c r="H39" t="s">
        <v>3322</v>
      </c>
    </row>
    <row r="40" spans="1:8" x14ac:dyDescent="0.45">
      <c r="A40" s="53" t="s">
        <v>3718</v>
      </c>
      <c r="B40" s="54" t="s">
        <v>3719</v>
      </c>
      <c r="C40" t="s">
        <v>8446</v>
      </c>
      <c r="E40" s="45" t="s">
        <v>8448</v>
      </c>
      <c r="F40" s="45" t="s">
        <v>8460</v>
      </c>
      <c r="G40" t="s">
        <v>3043</v>
      </c>
      <c r="H40" t="s">
        <v>3325</v>
      </c>
    </row>
    <row r="41" spans="1:8" x14ac:dyDescent="0.45">
      <c r="A41" s="53" t="s">
        <v>3718</v>
      </c>
      <c r="B41" s="54" t="s">
        <v>3719</v>
      </c>
      <c r="C41" t="s">
        <v>8446</v>
      </c>
      <c r="E41" s="45" t="s">
        <v>8448</v>
      </c>
      <c r="F41" s="45" t="s">
        <v>8461</v>
      </c>
      <c r="G41" t="s">
        <v>3026</v>
      </c>
      <c r="H41" t="s">
        <v>3308</v>
      </c>
    </row>
    <row r="42" spans="1:8" x14ac:dyDescent="0.45">
      <c r="A42" s="53" t="s">
        <v>3718</v>
      </c>
      <c r="B42" s="54" t="s">
        <v>3719</v>
      </c>
      <c r="C42" t="s">
        <v>8446</v>
      </c>
      <c r="E42" s="45" t="s">
        <v>8448</v>
      </c>
      <c r="F42" s="45" t="s">
        <v>8462</v>
      </c>
      <c r="G42" t="s">
        <v>3027</v>
      </c>
      <c r="H42" t="s">
        <v>3309</v>
      </c>
    </row>
    <row r="43" spans="1:8" x14ac:dyDescent="0.45">
      <c r="A43" s="53" t="s">
        <v>3718</v>
      </c>
      <c r="B43" s="54" t="s">
        <v>3719</v>
      </c>
      <c r="C43" t="s">
        <v>8446</v>
      </c>
      <c r="E43" s="45" t="s">
        <v>8448</v>
      </c>
      <c r="F43" s="45" t="s">
        <v>8463</v>
      </c>
      <c r="G43" t="s">
        <v>8464</v>
      </c>
      <c r="H43" t="s">
        <v>3324</v>
      </c>
    </row>
    <row r="44" spans="1:8" x14ac:dyDescent="0.45">
      <c r="A44" s="53" t="s">
        <v>3718</v>
      </c>
      <c r="B44" s="54" t="s">
        <v>3719</v>
      </c>
      <c r="C44" t="s">
        <v>8446</v>
      </c>
      <c r="E44" s="45" t="s">
        <v>8448</v>
      </c>
      <c r="F44" s="45" t="s">
        <v>8465</v>
      </c>
      <c r="G44" t="s">
        <v>8466</v>
      </c>
      <c r="H44" t="s">
        <v>3315</v>
      </c>
    </row>
    <row r="45" spans="1:8" x14ac:dyDescent="0.45">
      <c r="A45" s="53" t="s">
        <v>3718</v>
      </c>
      <c r="B45" s="54" t="s">
        <v>3719</v>
      </c>
      <c r="C45" t="s">
        <v>8446</v>
      </c>
      <c r="E45" s="45" t="s">
        <v>8448</v>
      </c>
      <c r="F45" s="45" t="s">
        <v>8467</v>
      </c>
      <c r="G45" t="s">
        <v>3044</v>
      </c>
      <c r="H45" t="s">
        <v>3044</v>
      </c>
    </row>
    <row r="46" spans="1:8" x14ac:dyDescent="0.45">
      <c r="A46" s="53" t="s">
        <v>3718</v>
      </c>
      <c r="B46" s="54" t="s">
        <v>3719</v>
      </c>
      <c r="C46" t="s">
        <v>8446</v>
      </c>
      <c r="E46" s="45" t="s">
        <v>8448</v>
      </c>
      <c r="F46" s="45" t="s">
        <v>8468</v>
      </c>
      <c r="G46" t="s">
        <v>3029</v>
      </c>
      <c r="H46" t="s">
        <v>3311</v>
      </c>
    </row>
    <row r="47" spans="1:8" x14ac:dyDescent="0.45">
      <c r="A47" s="53" t="s">
        <v>3718</v>
      </c>
      <c r="B47" s="54" t="s">
        <v>3719</v>
      </c>
      <c r="C47" t="s">
        <v>8446</v>
      </c>
      <c r="E47" s="45" t="s">
        <v>8448</v>
      </c>
      <c r="F47" s="45" t="s">
        <v>8469</v>
      </c>
      <c r="G47" t="s">
        <v>3039</v>
      </c>
      <c r="H47" t="s">
        <v>3321</v>
      </c>
    </row>
    <row r="48" spans="1:8" x14ac:dyDescent="0.45">
      <c r="A48" s="53" t="s">
        <v>7216</v>
      </c>
      <c r="B48" s="54" t="s">
        <v>7217</v>
      </c>
      <c r="C48" t="s">
        <v>8796</v>
      </c>
      <c r="E48" s="45" t="s">
        <v>8797</v>
      </c>
      <c r="F48" s="45" t="s">
        <v>8798</v>
      </c>
      <c r="G48" s="12" t="s">
        <v>8799</v>
      </c>
      <c r="H48" t="s">
        <v>8800</v>
      </c>
    </row>
    <row r="49" spans="1:8" x14ac:dyDescent="0.45">
      <c r="A49" s="53" t="s">
        <v>7216</v>
      </c>
      <c r="B49" s="54" t="s">
        <v>7217</v>
      </c>
      <c r="C49" t="s">
        <v>8796</v>
      </c>
      <c r="E49" s="45" t="s">
        <v>8797</v>
      </c>
      <c r="F49" s="45" t="s">
        <v>8801</v>
      </c>
      <c r="G49" s="12" t="s">
        <v>8802</v>
      </c>
      <c r="H49" t="s">
        <v>8803</v>
      </c>
    </row>
    <row r="50" spans="1:8" x14ac:dyDescent="0.45">
      <c r="A50" s="53" t="s">
        <v>7216</v>
      </c>
      <c r="B50" s="54" t="s">
        <v>7217</v>
      </c>
      <c r="C50" t="s">
        <v>8796</v>
      </c>
      <c r="E50" s="45" t="s">
        <v>8797</v>
      </c>
      <c r="F50" s="45" t="s">
        <v>8804</v>
      </c>
      <c r="G50" s="12" t="s">
        <v>8805</v>
      </c>
      <c r="H50" t="s">
        <v>8806</v>
      </c>
    </row>
    <row r="51" spans="1:8" x14ac:dyDescent="0.45">
      <c r="A51" s="53" t="s">
        <v>7216</v>
      </c>
      <c r="B51" s="54" t="s">
        <v>7217</v>
      </c>
      <c r="C51" t="s">
        <v>8796</v>
      </c>
      <c r="E51" s="45" t="s">
        <v>8797</v>
      </c>
      <c r="F51" s="45" t="s">
        <v>8807</v>
      </c>
      <c r="G51" s="12" t="s">
        <v>8808</v>
      </c>
      <c r="H51" t="s">
        <v>8809</v>
      </c>
    </row>
    <row r="52" spans="1:8" x14ac:dyDescent="0.45">
      <c r="A52" s="53" t="s">
        <v>7216</v>
      </c>
      <c r="B52" s="54" t="s">
        <v>7217</v>
      </c>
      <c r="C52" t="s">
        <v>8796</v>
      </c>
      <c r="E52" s="45" t="s">
        <v>8797</v>
      </c>
      <c r="F52" s="45" t="s">
        <v>8810</v>
      </c>
      <c r="G52" s="12" t="s">
        <v>8811</v>
      </c>
      <c r="H52" t="s">
        <v>8812</v>
      </c>
    </row>
    <row r="53" spans="1:8" x14ac:dyDescent="0.45">
      <c r="A53" s="53" t="s">
        <v>7216</v>
      </c>
      <c r="B53" s="54" t="s">
        <v>7217</v>
      </c>
      <c r="C53" t="s">
        <v>8796</v>
      </c>
      <c r="E53" s="45" t="s">
        <v>8797</v>
      </c>
      <c r="F53" s="45" t="s">
        <v>8813</v>
      </c>
      <c r="G53" s="12" t="s">
        <v>8814</v>
      </c>
      <c r="H53" t="s">
        <v>8815</v>
      </c>
    </row>
    <row r="54" spans="1:8" x14ac:dyDescent="0.45">
      <c r="A54" s="53" t="s">
        <v>7216</v>
      </c>
      <c r="B54" s="54" t="s">
        <v>7217</v>
      </c>
      <c r="C54" t="s">
        <v>8796</v>
      </c>
      <c r="E54" s="45" t="s">
        <v>8797</v>
      </c>
      <c r="F54" s="45" t="s">
        <v>8816</v>
      </c>
      <c r="G54" s="12" t="s">
        <v>8817</v>
      </c>
      <c r="H54" t="s">
        <v>8818</v>
      </c>
    </row>
    <row r="55" spans="1:8" x14ac:dyDescent="0.45">
      <c r="A55" s="53" t="s">
        <v>7216</v>
      </c>
      <c r="B55" s="54" t="s">
        <v>7217</v>
      </c>
      <c r="C55" t="s">
        <v>8796</v>
      </c>
      <c r="E55" s="45" t="s">
        <v>8797</v>
      </c>
      <c r="F55" s="45" t="s">
        <v>8819</v>
      </c>
      <c r="G55" s="12" t="s">
        <v>8820</v>
      </c>
      <c r="H55" t="s">
        <v>8821</v>
      </c>
    </row>
    <row r="56" spans="1:8" x14ac:dyDescent="0.45">
      <c r="A56" s="53" t="s">
        <v>7216</v>
      </c>
      <c r="B56" s="54" t="s">
        <v>7217</v>
      </c>
      <c r="C56" t="s">
        <v>8796</v>
      </c>
      <c r="E56" s="45" t="s">
        <v>8797</v>
      </c>
      <c r="F56" s="45" t="s">
        <v>8822</v>
      </c>
      <c r="G56" s="12" t="s">
        <v>8823</v>
      </c>
      <c r="H56" t="s">
        <v>8824</v>
      </c>
    </row>
    <row r="57" spans="1:8" x14ac:dyDescent="0.45">
      <c r="A57" s="53" t="s">
        <v>7216</v>
      </c>
      <c r="B57" s="54" t="s">
        <v>7217</v>
      </c>
      <c r="C57" t="s">
        <v>8796</v>
      </c>
      <c r="E57" s="45" t="s">
        <v>8797</v>
      </c>
      <c r="F57" s="45" t="s">
        <v>8825</v>
      </c>
      <c r="G57" s="12" t="s">
        <v>8826</v>
      </c>
      <c r="H57" t="s">
        <v>8827</v>
      </c>
    </row>
    <row r="58" spans="1:8" x14ac:dyDescent="0.45">
      <c r="A58" s="53" t="s">
        <v>7216</v>
      </c>
      <c r="B58" s="54" t="s">
        <v>7217</v>
      </c>
      <c r="C58" t="s">
        <v>8796</v>
      </c>
      <c r="E58" s="45" t="s">
        <v>8797</v>
      </c>
      <c r="F58" s="45" t="s">
        <v>8828</v>
      </c>
      <c r="G58" s="12" t="s">
        <v>8829</v>
      </c>
      <c r="H58" t="s">
        <v>8830</v>
      </c>
    </row>
    <row r="59" spans="1:8" x14ac:dyDescent="0.45">
      <c r="A59" s="53" t="s">
        <v>4676</v>
      </c>
      <c r="B59" s="54" t="s">
        <v>4677</v>
      </c>
      <c r="C59" t="s">
        <v>8796</v>
      </c>
      <c r="E59" s="45" t="s">
        <v>8797</v>
      </c>
      <c r="F59" s="45" t="s">
        <v>8798</v>
      </c>
      <c r="G59" t="s">
        <v>8799</v>
      </c>
      <c r="H59" t="s">
        <v>8800</v>
      </c>
    </row>
    <row r="60" spans="1:8" x14ac:dyDescent="0.45">
      <c r="A60" s="53" t="s">
        <v>4676</v>
      </c>
      <c r="B60" s="54" t="s">
        <v>4677</v>
      </c>
      <c r="C60" t="s">
        <v>8796</v>
      </c>
      <c r="E60" s="45" t="s">
        <v>8797</v>
      </c>
      <c r="F60" s="45" t="s">
        <v>8801</v>
      </c>
      <c r="G60" s="12" t="s">
        <v>8802</v>
      </c>
      <c r="H60" t="s">
        <v>8803</v>
      </c>
    </row>
    <row r="61" spans="1:8" x14ac:dyDescent="0.45">
      <c r="A61" s="53" t="s">
        <v>4676</v>
      </c>
      <c r="B61" s="54" t="s">
        <v>4677</v>
      </c>
      <c r="C61" t="s">
        <v>8796</v>
      </c>
      <c r="E61" s="45" t="s">
        <v>8797</v>
      </c>
      <c r="F61" s="45" t="s">
        <v>8804</v>
      </c>
      <c r="G61" s="12" t="s">
        <v>8805</v>
      </c>
      <c r="H61" t="s">
        <v>8806</v>
      </c>
    </row>
    <row r="62" spans="1:8" x14ac:dyDescent="0.45">
      <c r="A62" s="53" t="s">
        <v>4676</v>
      </c>
      <c r="B62" s="54" t="s">
        <v>4677</v>
      </c>
      <c r="C62" t="s">
        <v>8796</v>
      </c>
      <c r="E62" s="45" t="s">
        <v>8797</v>
      </c>
      <c r="F62" s="45" t="s">
        <v>8807</v>
      </c>
      <c r="G62" t="s">
        <v>8808</v>
      </c>
      <c r="H62" t="s">
        <v>8809</v>
      </c>
    </row>
    <row r="63" spans="1:8" x14ac:dyDescent="0.45">
      <c r="A63" s="53" t="s">
        <v>4676</v>
      </c>
      <c r="B63" s="54" t="s">
        <v>4677</v>
      </c>
      <c r="C63" t="s">
        <v>8796</v>
      </c>
      <c r="E63" s="45" t="s">
        <v>8797</v>
      </c>
      <c r="F63" s="45" t="s">
        <v>8810</v>
      </c>
      <c r="G63" s="12" t="s">
        <v>8811</v>
      </c>
      <c r="H63" t="s">
        <v>8812</v>
      </c>
    </row>
    <row r="64" spans="1:8" x14ac:dyDescent="0.45">
      <c r="A64" s="53" t="s">
        <v>4676</v>
      </c>
      <c r="B64" s="54" t="s">
        <v>4677</v>
      </c>
      <c r="C64" t="s">
        <v>8796</v>
      </c>
      <c r="E64" s="45" t="s">
        <v>8797</v>
      </c>
      <c r="F64" s="45" t="s">
        <v>8813</v>
      </c>
      <c r="G64" s="12" t="s">
        <v>8814</v>
      </c>
      <c r="H64" t="s">
        <v>8815</v>
      </c>
    </row>
    <row r="65" spans="1:8" x14ac:dyDescent="0.45">
      <c r="A65" s="53" t="s">
        <v>4676</v>
      </c>
      <c r="B65" s="54" t="s">
        <v>4677</v>
      </c>
      <c r="C65" t="s">
        <v>8796</v>
      </c>
      <c r="E65" s="45" t="s">
        <v>8797</v>
      </c>
      <c r="F65" s="45" t="s">
        <v>8816</v>
      </c>
      <c r="G65" s="12" t="s">
        <v>8817</v>
      </c>
      <c r="H65" t="s">
        <v>8818</v>
      </c>
    </row>
    <row r="66" spans="1:8" x14ac:dyDescent="0.45">
      <c r="A66" s="53" t="s">
        <v>4676</v>
      </c>
      <c r="B66" s="54" t="s">
        <v>4677</v>
      </c>
      <c r="C66" t="s">
        <v>8796</v>
      </c>
      <c r="E66" s="45" t="s">
        <v>8797</v>
      </c>
      <c r="F66" s="45" t="s">
        <v>8819</v>
      </c>
      <c r="G66" s="12" t="s">
        <v>8820</v>
      </c>
      <c r="H66" t="s">
        <v>8821</v>
      </c>
    </row>
    <row r="67" spans="1:8" x14ac:dyDescent="0.45">
      <c r="A67" s="53" t="s">
        <v>4676</v>
      </c>
      <c r="B67" s="54" t="s">
        <v>4677</v>
      </c>
      <c r="C67" t="s">
        <v>8796</v>
      </c>
      <c r="E67" s="45" t="s">
        <v>8797</v>
      </c>
      <c r="F67" s="45" t="s">
        <v>8822</v>
      </c>
      <c r="G67" s="12" t="s">
        <v>8823</v>
      </c>
      <c r="H67" t="s">
        <v>8824</v>
      </c>
    </row>
    <row r="68" spans="1:8" x14ac:dyDescent="0.45">
      <c r="A68" s="53" t="s">
        <v>4676</v>
      </c>
      <c r="B68" s="54" t="s">
        <v>4677</v>
      </c>
      <c r="C68" t="s">
        <v>8796</v>
      </c>
      <c r="E68" s="45" t="s">
        <v>8797</v>
      </c>
      <c r="F68" s="45" t="s">
        <v>8825</v>
      </c>
      <c r="G68" s="12" t="s">
        <v>8826</v>
      </c>
      <c r="H68" t="s">
        <v>8827</v>
      </c>
    </row>
    <row r="69" spans="1:8" x14ac:dyDescent="0.45">
      <c r="A69" s="53" t="s">
        <v>4676</v>
      </c>
      <c r="B69" s="54" t="s">
        <v>4677</v>
      </c>
      <c r="C69" t="s">
        <v>8796</v>
      </c>
      <c r="E69" s="45" t="s">
        <v>8797</v>
      </c>
      <c r="F69" s="45" t="s">
        <v>8828</v>
      </c>
      <c r="G69" s="12" t="s">
        <v>8829</v>
      </c>
      <c r="H69" t="s">
        <v>8830</v>
      </c>
    </row>
    <row r="70" spans="1:8" x14ac:dyDescent="0.45">
      <c r="A70" s="53" t="s">
        <v>5741</v>
      </c>
      <c r="B70" s="54" t="s">
        <v>5742</v>
      </c>
      <c r="C70" t="s">
        <v>9246</v>
      </c>
      <c r="E70" s="45" t="s">
        <v>9247</v>
      </c>
      <c r="F70" s="45" t="s">
        <v>9248</v>
      </c>
      <c r="G70" t="s">
        <v>9249</v>
      </c>
      <c r="H70" t="s">
        <v>9250</v>
      </c>
    </row>
    <row r="71" spans="1:8" x14ac:dyDescent="0.45">
      <c r="A71" s="53" t="s">
        <v>6443</v>
      </c>
      <c r="B71" s="54" t="s">
        <v>6444</v>
      </c>
      <c r="C71" t="s">
        <v>9651</v>
      </c>
      <c r="E71" s="45" t="s">
        <v>9652</v>
      </c>
      <c r="F71" s="45" t="s">
        <v>9653</v>
      </c>
      <c r="G71" s="12" t="s">
        <v>9654</v>
      </c>
      <c r="H71" t="s">
        <v>9655</v>
      </c>
    </row>
    <row r="72" spans="1:8" x14ac:dyDescent="0.45">
      <c r="A72" s="53" t="s">
        <v>8337</v>
      </c>
      <c r="B72" s="54" t="s">
        <v>8338</v>
      </c>
      <c r="C72" t="s">
        <v>10296</v>
      </c>
      <c r="E72" s="45" t="s">
        <v>10297</v>
      </c>
      <c r="F72" s="45" t="s">
        <v>10298</v>
      </c>
      <c r="G72" s="12" t="s">
        <v>10299</v>
      </c>
      <c r="H72" t="s">
        <v>10300</v>
      </c>
    </row>
    <row r="73" spans="1:8" x14ac:dyDescent="0.45">
      <c r="A73" s="53" t="s">
        <v>8337</v>
      </c>
      <c r="B73" s="54" t="s">
        <v>8338</v>
      </c>
      <c r="C73" t="s">
        <v>10296</v>
      </c>
      <c r="E73" s="45" t="s">
        <v>10297</v>
      </c>
      <c r="F73" s="45" t="s">
        <v>10301</v>
      </c>
      <c r="G73" s="12" t="s">
        <v>10302</v>
      </c>
      <c r="H73" t="s">
        <v>10303</v>
      </c>
    </row>
    <row r="74" spans="1:8" x14ac:dyDescent="0.45">
      <c r="A74" s="53" t="s">
        <v>7252</v>
      </c>
      <c r="B74" s="54" t="s">
        <v>7253</v>
      </c>
      <c r="C74" t="s">
        <v>10018</v>
      </c>
      <c r="E74" s="45" t="s">
        <v>10019</v>
      </c>
      <c r="F74" s="45" t="s">
        <v>10025</v>
      </c>
      <c r="G74" s="12" t="s">
        <v>10020</v>
      </c>
      <c r="H74" t="s">
        <v>10021</v>
      </c>
    </row>
    <row r="75" spans="1:8" x14ac:dyDescent="0.45">
      <c r="A75" s="53" t="s">
        <v>7252</v>
      </c>
      <c r="B75" s="54" t="s">
        <v>7253</v>
      </c>
      <c r="C75" t="s">
        <v>10018</v>
      </c>
      <c r="E75" s="45" t="s">
        <v>10019</v>
      </c>
      <c r="F75" s="45" t="s">
        <v>10022</v>
      </c>
      <c r="G75" s="12" t="s">
        <v>10023</v>
      </c>
      <c r="H75" t="s">
        <v>10024</v>
      </c>
    </row>
    <row r="76" spans="1:8" x14ac:dyDescent="0.45">
      <c r="A76" s="53" t="s">
        <v>6254</v>
      </c>
      <c r="B76" s="54" t="s">
        <v>6255</v>
      </c>
      <c r="C76" t="s">
        <v>9419</v>
      </c>
      <c r="E76" s="45" t="s">
        <v>9420</v>
      </c>
      <c r="F76" s="45" t="s">
        <v>9421</v>
      </c>
      <c r="G76" s="12" t="s">
        <v>9422</v>
      </c>
      <c r="H76" t="s">
        <v>3327</v>
      </c>
    </row>
    <row r="77" spans="1:8" x14ac:dyDescent="0.45">
      <c r="A77" s="53" t="s">
        <v>6254</v>
      </c>
      <c r="B77" s="54" t="s">
        <v>6255</v>
      </c>
      <c r="C77" t="s">
        <v>9419</v>
      </c>
      <c r="E77" s="45" t="s">
        <v>9420</v>
      </c>
      <c r="F77" s="45" t="s">
        <v>9423</v>
      </c>
      <c r="G77" s="12" t="s">
        <v>3046</v>
      </c>
      <c r="H77" t="s">
        <v>3329</v>
      </c>
    </row>
    <row r="78" spans="1:8" x14ac:dyDescent="0.45">
      <c r="A78" s="53" t="s">
        <v>6254</v>
      </c>
      <c r="B78" s="54" t="s">
        <v>6255</v>
      </c>
      <c r="C78" t="s">
        <v>9419</v>
      </c>
      <c r="E78" s="45" t="s">
        <v>9420</v>
      </c>
      <c r="F78" s="45" t="s">
        <v>9424</v>
      </c>
      <c r="G78" t="s">
        <v>3045</v>
      </c>
      <c r="H78" t="s">
        <v>3328</v>
      </c>
    </row>
    <row r="79" spans="1:8" x14ac:dyDescent="0.45">
      <c r="A79" s="53" t="s">
        <v>6360</v>
      </c>
      <c r="B79" s="54" t="s">
        <v>6361</v>
      </c>
      <c r="C79" t="s">
        <v>9519</v>
      </c>
      <c r="E79" s="45" t="s">
        <v>9520</v>
      </c>
      <c r="F79" s="45" t="s">
        <v>9521</v>
      </c>
      <c r="G79" s="12" t="s">
        <v>3047</v>
      </c>
      <c r="H79" t="s">
        <v>3330</v>
      </c>
    </row>
    <row r="80" spans="1:8" x14ac:dyDescent="0.45">
      <c r="A80" s="53" t="s">
        <v>6360</v>
      </c>
      <c r="B80" s="54" t="s">
        <v>6361</v>
      </c>
      <c r="C80" t="s">
        <v>9519</v>
      </c>
      <c r="E80" s="45" t="s">
        <v>9520</v>
      </c>
      <c r="F80" s="45" t="s">
        <v>9522</v>
      </c>
      <c r="G80" s="12" t="s">
        <v>3048</v>
      </c>
      <c r="H80" t="s">
        <v>3331</v>
      </c>
    </row>
    <row r="81" spans="1:8" x14ac:dyDescent="0.45">
      <c r="A81" s="53" t="s">
        <v>8051</v>
      </c>
      <c r="B81" s="54" t="s">
        <v>8052</v>
      </c>
      <c r="C81" t="s">
        <v>10223</v>
      </c>
      <c r="E81" s="45" t="s">
        <v>10224</v>
      </c>
      <c r="F81" s="45" t="s">
        <v>10225</v>
      </c>
      <c r="G81" t="s">
        <v>10226</v>
      </c>
      <c r="H81" t="s">
        <v>10227</v>
      </c>
    </row>
    <row r="82" spans="1:8" x14ac:dyDescent="0.45">
      <c r="A82" s="53" t="s">
        <v>8051</v>
      </c>
      <c r="B82" s="54" t="s">
        <v>8052</v>
      </c>
      <c r="C82" t="s">
        <v>10223</v>
      </c>
      <c r="E82" s="45" t="s">
        <v>10224</v>
      </c>
      <c r="F82" s="45" t="s">
        <v>10228</v>
      </c>
      <c r="G82" t="s">
        <v>10229</v>
      </c>
      <c r="H82" t="s">
        <v>10230</v>
      </c>
    </row>
    <row r="83" spans="1:8" x14ac:dyDescent="0.45">
      <c r="A83" s="53" t="s">
        <v>8051</v>
      </c>
      <c r="B83" s="54" t="s">
        <v>8052</v>
      </c>
      <c r="C83" t="s">
        <v>10223</v>
      </c>
      <c r="E83" s="45" t="s">
        <v>10224</v>
      </c>
      <c r="F83" s="45" t="s">
        <v>10231</v>
      </c>
      <c r="G83" s="12" t="s">
        <v>10232</v>
      </c>
      <c r="H83" t="s">
        <v>10233</v>
      </c>
    </row>
    <row r="84" spans="1:8" x14ac:dyDescent="0.45">
      <c r="A84" s="53" t="s">
        <v>6842</v>
      </c>
      <c r="B84" s="54" t="s">
        <v>6843</v>
      </c>
      <c r="C84" t="s">
        <v>9843</v>
      </c>
      <c r="E84" s="45" t="s">
        <v>9844</v>
      </c>
      <c r="F84" s="45" t="s">
        <v>9845</v>
      </c>
      <c r="G84" s="12" t="s">
        <v>9846</v>
      </c>
      <c r="H84" t="s">
        <v>9847</v>
      </c>
    </row>
    <row r="85" spans="1:8" x14ac:dyDescent="0.45">
      <c r="A85" s="53" t="s">
        <v>6842</v>
      </c>
      <c r="B85" s="54" t="s">
        <v>6843</v>
      </c>
      <c r="C85" t="s">
        <v>9843</v>
      </c>
      <c r="E85" s="45" t="s">
        <v>9844</v>
      </c>
      <c r="F85" s="45" t="s">
        <v>9848</v>
      </c>
      <c r="G85" s="12" t="s">
        <v>9849</v>
      </c>
      <c r="H85" t="s">
        <v>9850</v>
      </c>
    </row>
    <row r="86" spans="1:8" x14ac:dyDescent="0.45">
      <c r="A86" s="53" t="s">
        <v>6389</v>
      </c>
      <c r="B86" s="54" t="s">
        <v>6390</v>
      </c>
      <c r="C86" t="s">
        <v>9588</v>
      </c>
      <c r="E86" s="45" t="s">
        <v>9589</v>
      </c>
      <c r="F86" s="45" t="s">
        <v>9590</v>
      </c>
      <c r="G86" s="12" t="s">
        <v>9591</v>
      </c>
      <c r="H86" t="s">
        <v>9592</v>
      </c>
    </row>
    <row r="87" spans="1:8" x14ac:dyDescent="0.45">
      <c r="A87" s="53" t="s">
        <v>4140</v>
      </c>
      <c r="B87" s="54" t="s">
        <v>4141</v>
      </c>
      <c r="C87" t="s">
        <v>8591</v>
      </c>
      <c r="E87" s="45" t="s">
        <v>8592</v>
      </c>
      <c r="F87" s="45" t="s">
        <v>8593</v>
      </c>
      <c r="G87" s="12" t="s">
        <v>3049</v>
      </c>
      <c r="H87" t="s">
        <v>3332</v>
      </c>
    </row>
    <row r="88" spans="1:8" x14ac:dyDescent="0.45">
      <c r="A88" s="53" t="s">
        <v>4140</v>
      </c>
      <c r="B88" s="54" t="s">
        <v>4141</v>
      </c>
      <c r="C88" t="s">
        <v>8591</v>
      </c>
      <c r="E88" s="45" t="s">
        <v>8592</v>
      </c>
      <c r="F88" s="45" t="s">
        <v>8594</v>
      </c>
      <c r="G88" s="12" t="s">
        <v>3050</v>
      </c>
      <c r="H88" t="s">
        <v>3333</v>
      </c>
    </row>
    <row r="89" spans="1:8" x14ac:dyDescent="0.45">
      <c r="A89" s="53" t="s">
        <v>5450</v>
      </c>
      <c r="B89" s="54" t="s">
        <v>5451</v>
      </c>
      <c r="C89" t="s">
        <v>9170</v>
      </c>
    </row>
    <row r="90" spans="1:8" x14ac:dyDescent="0.45">
      <c r="A90" s="53" t="s">
        <v>3951</v>
      </c>
      <c r="B90" s="54" t="s">
        <v>3952</v>
      </c>
      <c r="C90" t="s">
        <v>8529</v>
      </c>
      <c r="E90" s="45" t="s">
        <v>8530</v>
      </c>
      <c r="F90" s="10" t="s">
        <v>8531</v>
      </c>
      <c r="G90" s="12" t="s">
        <v>8532</v>
      </c>
      <c r="H90" t="s">
        <v>8533</v>
      </c>
    </row>
    <row r="91" spans="1:8" x14ac:dyDescent="0.45">
      <c r="A91" s="53" t="s">
        <v>5208</v>
      </c>
      <c r="B91" s="54" t="s">
        <v>5209</v>
      </c>
      <c r="C91" t="s">
        <v>9063</v>
      </c>
      <c r="E91" s="45" t="s">
        <v>9067</v>
      </c>
      <c r="F91" s="10" t="s">
        <v>9064</v>
      </c>
      <c r="G91" t="s">
        <v>9065</v>
      </c>
      <c r="H91" t="s">
        <v>9066</v>
      </c>
    </row>
    <row r="92" spans="1:8" x14ac:dyDescent="0.45">
      <c r="A92" s="53" t="s">
        <v>5059</v>
      </c>
      <c r="B92" s="54" t="s">
        <v>5060</v>
      </c>
      <c r="C92" t="s">
        <v>9008</v>
      </c>
    </row>
    <row r="93" spans="1:8" x14ac:dyDescent="0.45">
      <c r="A93" s="53" t="s">
        <v>4924</v>
      </c>
      <c r="B93" s="54" t="s">
        <v>4925</v>
      </c>
      <c r="C93" t="s">
        <v>8961</v>
      </c>
      <c r="E93" s="45" t="s">
        <v>8962</v>
      </c>
      <c r="F93" s="45" t="s">
        <v>8963</v>
      </c>
      <c r="G93" s="12" t="s">
        <v>3055</v>
      </c>
      <c r="H93" t="s">
        <v>3338</v>
      </c>
    </row>
    <row r="94" spans="1:8" x14ac:dyDescent="0.45">
      <c r="A94" s="53" t="s">
        <v>4924</v>
      </c>
      <c r="B94" s="54" t="s">
        <v>4925</v>
      </c>
      <c r="C94" t="s">
        <v>8961</v>
      </c>
      <c r="E94" s="45" t="s">
        <v>8962</v>
      </c>
      <c r="F94" s="45" t="s">
        <v>8964</v>
      </c>
      <c r="G94" s="12" t="s">
        <v>3051</v>
      </c>
      <c r="H94" t="s">
        <v>3334</v>
      </c>
    </row>
    <row r="95" spans="1:8" x14ac:dyDescent="0.45">
      <c r="A95" s="53" t="s">
        <v>4924</v>
      </c>
      <c r="B95" s="54" t="s">
        <v>4925</v>
      </c>
      <c r="C95" t="s">
        <v>8961</v>
      </c>
      <c r="E95" s="45" t="s">
        <v>8962</v>
      </c>
      <c r="F95" s="45" t="s">
        <v>8965</v>
      </c>
      <c r="G95" s="12" t="s">
        <v>3054</v>
      </c>
      <c r="H95" t="s">
        <v>3337</v>
      </c>
    </row>
    <row r="96" spans="1:8" x14ac:dyDescent="0.45">
      <c r="A96" s="53" t="s">
        <v>4924</v>
      </c>
      <c r="B96" s="54" t="s">
        <v>4925</v>
      </c>
      <c r="C96" t="s">
        <v>8961</v>
      </c>
      <c r="E96" s="45" t="s">
        <v>8962</v>
      </c>
      <c r="F96" s="45" t="s">
        <v>8966</v>
      </c>
      <c r="G96" s="12" t="s">
        <v>3052</v>
      </c>
      <c r="H96" t="s">
        <v>3335</v>
      </c>
    </row>
    <row r="97" spans="1:8" x14ac:dyDescent="0.45">
      <c r="A97" s="53" t="s">
        <v>4924</v>
      </c>
      <c r="B97" s="54" t="s">
        <v>4925</v>
      </c>
      <c r="C97" t="s">
        <v>8961</v>
      </c>
      <c r="E97" s="45" t="s">
        <v>8962</v>
      </c>
      <c r="F97" s="45" t="s">
        <v>8967</v>
      </c>
      <c r="G97" s="12" t="s">
        <v>3053</v>
      </c>
      <c r="H97" t="s">
        <v>3336</v>
      </c>
    </row>
    <row r="98" spans="1:8" x14ac:dyDescent="0.45">
      <c r="A98" s="53" t="s">
        <v>4924</v>
      </c>
      <c r="B98" s="54" t="s">
        <v>4925</v>
      </c>
      <c r="C98" t="s">
        <v>8961</v>
      </c>
      <c r="E98" s="45" t="s">
        <v>8962</v>
      </c>
      <c r="F98" s="45" t="s">
        <v>8968</v>
      </c>
      <c r="G98" s="12" t="s">
        <v>3057</v>
      </c>
      <c r="H98" t="s">
        <v>3340</v>
      </c>
    </row>
    <row r="99" spans="1:8" x14ac:dyDescent="0.45">
      <c r="A99" s="53" t="s">
        <v>4924</v>
      </c>
      <c r="B99" s="54" t="s">
        <v>4925</v>
      </c>
      <c r="C99" t="s">
        <v>8961</v>
      </c>
      <c r="E99" s="45" t="s">
        <v>8962</v>
      </c>
      <c r="F99" s="45" t="s">
        <v>8969</v>
      </c>
      <c r="G99" s="12" t="s">
        <v>3056</v>
      </c>
      <c r="H99" t="s">
        <v>3339</v>
      </c>
    </row>
    <row r="100" spans="1:8" x14ac:dyDescent="0.45">
      <c r="A100" s="53" t="s">
        <v>4924</v>
      </c>
      <c r="B100" s="54" t="s">
        <v>4925</v>
      </c>
      <c r="C100" t="s">
        <v>8961</v>
      </c>
      <c r="E100" s="45" t="s">
        <v>8962</v>
      </c>
      <c r="F100" s="45" t="s">
        <v>8974</v>
      </c>
      <c r="G100" s="12" t="s">
        <v>3058</v>
      </c>
      <c r="H100" t="s">
        <v>3341</v>
      </c>
    </row>
    <row r="101" spans="1:8" x14ac:dyDescent="0.45">
      <c r="A101" s="53" t="s">
        <v>5573</v>
      </c>
      <c r="B101" s="54" t="s">
        <v>5574</v>
      </c>
      <c r="C101" t="s">
        <v>8961</v>
      </c>
      <c r="E101" s="45" t="s">
        <v>8962</v>
      </c>
      <c r="F101" s="45" t="s">
        <v>8963</v>
      </c>
      <c r="G101" s="12" t="s">
        <v>3055</v>
      </c>
      <c r="H101" t="s">
        <v>3338</v>
      </c>
    </row>
    <row r="102" spans="1:8" x14ac:dyDescent="0.45">
      <c r="A102" s="53" t="s">
        <v>5573</v>
      </c>
      <c r="B102" s="54" t="s">
        <v>5574</v>
      </c>
      <c r="C102" t="s">
        <v>8961</v>
      </c>
      <c r="E102" s="45" t="s">
        <v>8962</v>
      </c>
      <c r="F102" s="45" t="s">
        <v>8964</v>
      </c>
      <c r="G102" t="s">
        <v>3051</v>
      </c>
      <c r="H102" t="s">
        <v>9190</v>
      </c>
    </row>
    <row r="103" spans="1:8" x14ac:dyDescent="0.45">
      <c r="A103" s="53" t="s">
        <v>5573</v>
      </c>
      <c r="B103" s="54" t="s">
        <v>5574</v>
      </c>
      <c r="C103" t="s">
        <v>8961</v>
      </c>
      <c r="E103" s="45" t="s">
        <v>8962</v>
      </c>
      <c r="F103" s="45" t="s">
        <v>8965</v>
      </c>
      <c r="G103" t="s">
        <v>3054</v>
      </c>
      <c r="H103" t="s">
        <v>3337</v>
      </c>
    </row>
    <row r="104" spans="1:8" x14ac:dyDescent="0.45">
      <c r="A104" s="53" t="s">
        <v>5573</v>
      </c>
      <c r="B104" s="54" t="s">
        <v>5574</v>
      </c>
      <c r="C104" t="s">
        <v>8961</v>
      </c>
      <c r="E104" s="45" t="s">
        <v>8962</v>
      </c>
      <c r="F104" s="45" t="s">
        <v>8966</v>
      </c>
      <c r="G104" s="12" t="s">
        <v>3052</v>
      </c>
      <c r="H104" t="s">
        <v>3335</v>
      </c>
    </row>
    <row r="105" spans="1:8" x14ac:dyDescent="0.45">
      <c r="A105" s="53" t="s">
        <v>5573</v>
      </c>
      <c r="B105" s="54" t="s">
        <v>5574</v>
      </c>
      <c r="C105" t="s">
        <v>8961</v>
      </c>
      <c r="E105" s="45" t="s">
        <v>8962</v>
      </c>
      <c r="F105" s="45" t="s">
        <v>8967</v>
      </c>
      <c r="G105" t="s">
        <v>3053</v>
      </c>
      <c r="H105" t="s">
        <v>3336</v>
      </c>
    </row>
    <row r="106" spans="1:8" x14ac:dyDescent="0.45">
      <c r="A106" s="53" t="s">
        <v>5573</v>
      </c>
      <c r="B106" s="54" t="s">
        <v>5574</v>
      </c>
      <c r="C106" t="s">
        <v>8961</v>
      </c>
      <c r="E106" s="45" t="s">
        <v>8962</v>
      </c>
      <c r="F106" s="45" t="s">
        <v>8968</v>
      </c>
      <c r="G106" s="12" t="s">
        <v>3057</v>
      </c>
      <c r="H106" t="s">
        <v>3340</v>
      </c>
    </row>
    <row r="107" spans="1:8" x14ac:dyDescent="0.45">
      <c r="A107" s="53" t="s">
        <v>5573</v>
      </c>
      <c r="B107" s="54" t="s">
        <v>5574</v>
      </c>
      <c r="C107" t="s">
        <v>8961</v>
      </c>
      <c r="E107" s="45" t="s">
        <v>8962</v>
      </c>
      <c r="F107" s="45" t="s">
        <v>8969</v>
      </c>
      <c r="G107" s="12" t="s">
        <v>3056</v>
      </c>
      <c r="H107" t="s">
        <v>3339</v>
      </c>
    </row>
    <row r="108" spans="1:8" x14ac:dyDescent="0.45">
      <c r="A108" s="53" t="s">
        <v>5573</v>
      </c>
      <c r="B108" s="54" t="s">
        <v>5574</v>
      </c>
      <c r="C108" t="s">
        <v>8961</v>
      </c>
      <c r="E108" s="45" t="s">
        <v>8962</v>
      </c>
      <c r="F108" s="45" t="s">
        <v>8974</v>
      </c>
      <c r="G108" s="12" t="s">
        <v>3058</v>
      </c>
      <c r="H108" t="s">
        <v>3341</v>
      </c>
    </row>
    <row r="109" spans="1:8" x14ac:dyDescent="0.45">
      <c r="A109" s="53" t="s">
        <v>4930</v>
      </c>
      <c r="B109" s="54" t="s">
        <v>4931</v>
      </c>
      <c r="C109" t="s">
        <v>8961</v>
      </c>
      <c r="E109" s="45" t="s">
        <v>8962</v>
      </c>
      <c r="F109" s="45" t="s">
        <v>8963</v>
      </c>
      <c r="G109" s="12" t="s">
        <v>3055</v>
      </c>
      <c r="H109" t="s">
        <v>3338</v>
      </c>
    </row>
    <row r="110" spans="1:8" x14ac:dyDescent="0.45">
      <c r="A110" s="53" t="s">
        <v>4930</v>
      </c>
      <c r="B110" s="54" t="s">
        <v>4931</v>
      </c>
      <c r="C110" t="s">
        <v>8961</v>
      </c>
      <c r="E110" s="45" t="s">
        <v>8962</v>
      </c>
      <c r="F110" s="45" t="s">
        <v>8964</v>
      </c>
      <c r="G110" s="12" t="s">
        <v>3051</v>
      </c>
      <c r="H110" t="s">
        <v>3334</v>
      </c>
    </row>
    <row r="111" spans="1:8" x14ac:dyDescent="0.45">
      <c r="A111" s="53" t="s">
        <v>4930</v>
      </c>
      <c r="B111" s="54" t="s">
        <v>4931</v>
      </c>
      <c r="C111" t="s">
        <v>8961</v>
      </c>
      <c r="E111" s="45" t="s">
        <v>8962</v>
      </c>
      <c r="F111" s="45" t="s">
        <v>8965</v>
      </c>
      <c r="G111" s="12" t="s">
        <v>3054</v>
      </c>
      <c r="H111" t="s">
        <v>3337</v>
      </c>
    </row>
    <row r="112" spans="1:8" x14ac:dyDescent="0.45">
      <c r="A112" s="53" t="s">
        <v>4930</v>
      </c>
      <c r="B112" s="54" t="s">
        <v>4931</v>
      </c>
      <c r="C112" t="s">
        <v>8961</v>
      </c>
      <c r="E112" s="45" t="s">
        <v>8962</v>
      </c>
      <c r="F112" s="45" t="s">
        <v>8966</v>
      </c>
      <c r="G112" s="12" t="s">
        <v>3052</v>
      </c>
      <c r="H112" t="s">
        <v>3335</v>
      </c>
    </row>
    <row r="113" spans="1:8" x14ac:dyDescent="0.45">
      <c r="A113" s="53" t="s">
        <v>4930</v>
      </c>
      <c r="B113" s="54" t="s">
        <v>4931</v>
      </c>
      <c r="C113" t="s">
        <v>8961</v>
      </c>
      <c r="E113" s="45" t="s">
        <v>8962</v>
      </c>
      <c r="F113" s="45" t="s">
        <v>8967</v>
      </c>
      <c r="G113" s="12" t="s">
        <v>3053</v>
      </c>
      <c r="H113" t="s">
        <v>3336</v>
      </c>
    </row>
    <row r="114" spans="1:8" x14ac:dyDescent="0.45">
      <c r="A114" s="53" t="s">
        <v>4930</v>
      </c>
      <c r="B114" s="54" t="s">
        <v>4931</v>
      </c>
      <c r="C114" t="s">
        <v>8961</v>
      </c>
      <c r="E114" s="45" t="s">
        <v>8962</v>
      </c>
      <c r="F114" s="45" t="s">
        <v>8968</v>
      </c>
      <c r="G114" s="12" t="s">
        <v>3057</v>
      </c>
      <c r="H114" t="s">
        <v>3340</v>
      </c>
    </row>
    <row r="115" spans="1:8" x14ac:dyDescent="0.45">
      <c r="A115" s="53" t="s">
        <v>4930</v>
      </c>
      <c r="B115" s="54" t="s">
        <v>4931</v>
      </c>
      <c r="C115" t="s">
        <v>8961</v>
      </c>
      <c r="E115" s="45" t="s">
        <v>8962</v>
      </c>
      <c r="F115" s="45" t="s">
        <v>8969</v>
      </c>
      <c r="G115" s="12" t="s">
        <v>3056</v>
      </c>
      <c r="H115" t="s">
        <v>3339</v>
      </c>
    </row>
    <row r="116" spans="1:8" x14ac:dyDescent="0.45">
      <c r="A116" s="53" t="s">
        <v>4930</v>
      </c>
      <c r="B116" s="54" t="s">
        <v>4931</v>
      </c>
      <c r="C116" t="s">
        <v>8961</v>
      </c>
      <c r="E116" s="45" t="s">
        <v>8962</v>
      </c>
      <c r="F116" s="45" t="s">
        <v>8974</v>
      </c>
      <c r="G116" s="12" t="s">
        <v>3058</v>
      </c>
      <c r="H116" t="s">
        <v>3341</v>
      </c>
    </row>
    <row r="117" spans="1:8" x14ac:dyDescent="0.45">
      <c r="A117" s="53" t="s">
        <v>5575</v>
      </c>
      <c r="B117" s="54" t="s">
        <v>5576</v>
      </c>
      <c r="C117" t="s">
        <v>8961</v>
      </c>
      <c r="E117" s="45" t="s">
        <v>8962</v>
      </c>
      <c r="F117" s="45" t="s">
        <v>8963</v>
      </c>
      <c r="G117" s="12" t="s">
        <v>3055</v>
      </c>
      <c r="H117" t="s">
        <v>3338</v>
      </c>
    </row>
    <row r="118" spans="1:8" x14ac:dyDescent="0.45">
      <c r="A118" s="53" t="s">
        <v>5575</v>
      </c>
      <c r="B118" s="54" t="s">
        <v>5576</v>
      </c>
      <c r="C118" t="s">
        <v>8961</v>
      </c>
      <c r="E118" s="45" t="s">
        <v>8962</v>
      </c>
      <c r="F118" s="45" t="s">
        <v>8964</v>
      </c>
      <c r="G118" s="12" t="s">
        <v>3051</v>
      </c>
      <c r="H118" t="s">
        <v>3334</v>
      </c>
    </row>
    <row r="119" spans="1:8" x14ac:dyDescent="0.45">
      <c r="A119" s="53" t="s">
        <v>5575</v>
      </c>
      <c r="B119" s="54" t="s">
        <v>5576</v>
      </c>
      <c r="C119" t="s">
        <v>8961</v>
      </c>
      <c r="E119" s="45" t="s">
        <v>8962</v>
      </c>
      <c r="F119" s="45" t="s">
        <v>8965</v>
      </c>
      <c r="G119" s="12" t="s">
        <v>3054</v>
      </c>
      <c r="H119" t="s">
        <v>3337</v>
      </c>
    </row>
    <row r="120" spans="1:8" x14ac:dyDescent="0.45">
      <c r="A120" s="53" t="s">
        <v>5575</v>
      </c>
      <c r="B120" s="54" t="s">
        <v>5576</v>
      </c>
      <c r="C120" t="s">
        <v>8961</v>
      </c>
      <c r="E120" s="45" t="s">
        <v>8962</v>
      </c>
      <c r="F120" s="45" t="s">
        <v>8966</v>
      </c>
      <c r="G120" s="12" t="s">
        <v>3052</v>
      </c>
      <c r="H120" t="s">
        <v>3335</v>
      </c>
    </row>
    <row r="121" spans="1:8" x14ac:dyDescent="0.45">
      <c r="A121" s="53" t="s">
        <v>5575</v>
      </c>
      <c r="B121" s="54" t="s">
        <v>5576</v>
      </c>
      <c r="C121" t="s">
        <v>8961</v>
      </c>
      <c r="E121" s="45" t="s">
        <v>8962</v>
      </c>
      <c r="F121" s="45" t="s">
        <v>8967</v>
      </c>
      <c r="G121" s="12" t="s">
        <v>3053</v>
      </c>
      <c r="H121" t="s">
        <v>3336</v>
      </c>
    </row>
    <row r="122" spans="1:8" x14ac:dyDescent="0.45">
      <c r="A122" s="53" t="s">
        <v>5575</v>
      </c>
      <c r="B122" s="54" t="s">
        <v>5576</v>
      </c>
      <c r="C122" t="s">
        <v>8961</v>
      </c>
      <c r="E122" s="45" t="s">
        <v>8962</v>
      </c>
      <c r="F122" s="45" t="s">
        <v>8968</v>
      </c>
      <c r="G122" s="12" t="s">
        <v>3057</v>
      </c>
      <c r="H122" t="s">
        <v>3340</v>
      </c>
    </row>
    <row r="123" spans="1:8" x14ac:dyDescent="0.45">
      <c r="A123" s="53" t="s">
        <v>5575</v>
      </c>
      <c r="B123" s="54" t="s">
        <v>5576</v>
      </c>
      <c r="C123" t="s">
        <v>8961</v>
      </c>
      <c r="E123" s="45" t="s">
        <v>8962</v>
      </c>
      <c r="F123" s="45" t="s">
        <v>8969</v>
      </c>
      <c r="G123" s="12" t="s">
        <v>3056</v>
      </c>
      <c r="H123" t="s">
        <v>3339</v>
      </c>
    </row>
    <row r="124" spans="1:8" x14ac:dyDescent="0.45">
      <c r="A124" s="53" t="s">
        <v>5575</v>
      </c>
      <c r="B124" s="54" t="s">
        <v>5576</v>
      </c>
      <c r="C124" t="s">
        <v>8961</v>
      </c>
      <c r="E124" s="45" t="s">
        <v>8962</v>
      </c>
      <c r="F124" s="45" t="s">
        <v>8974</v>
      </c>
      <c r="G124" s="12" t="s">
        <v>3058</v>
      </c>
      <c r="H124" t="s">
        <v>3341</v>
      </c>
    </row>
    <row r="125" spans="1:8" x14ac:dyDescent="0.45">
      <c r="A125" s="53" t="s">
        <v>8154</v>
      </c>
      <c r="B125" s="54" t="s">
        <v>8155</v>
      </c>
      <c r="C125" t="s">
        <v>10255</v>
      </c>
      <c r="E125" s="45" t="s">
        <v>10256</v>
      </c>
      <c r="F125" s="45" t="s">
        <v>10257</v>
      </c>
      <c r="G125" t="s">
        <v>3063</v>
      </c>
      <c r="H125" t="s">
        <v>3346</v>
      </c>
    </row>
    <row r="126" spans="1:8" x14ac:dyDescent="0.45">
      <c r="A126" s="53" t="s">
        <v>8154</v>
      </c>
      <c r="B126" s="54" t="s">
        <v>8155</v>
      </c>
      <c r="C126" t="s">
        <v>10255</v>
      </c>
      <c r="E126" s="45" t="s">
        <v>10256</v>
      </c>
      <c r="F126" s="45" t="s">
        <v>10258</v>
      </c>
      <c r="G126" s="12" t="s">
        <v>3059</v>
      </c>
      <c r="H126" s="58" t="s">
        <v>3342</v>
      </c>
    </row>
    <row r="127" spans="1:8" x14ac:dyDescent="0.45">
      <c r="A127" s="53" t="s">
        <v>8154</v>
      </c>
      <c r="B127" s="54" t="s">
        <v>8155</v>
      </c>
      <c r="C127" t="s">
        <v>10255</v>
      </c>
      <c r="E127" s="45" t="s">
        <v>10256</v>
      </c>
      <c r="F127" s="45" t="s">
        <v>10259</v>
      </c>
      <c r="G127" s="12" t="s">
        <v>3060</v>
      </c>
      <c r="H127" t="s">
        <v>3343</v>
      </c>
    </row>
    <row r="128" spans="1:8" x14ac:dyDescent="0.45">
      <c r="A128" s="53" t="s">
        <v>8154</v>
      </c>
      <c r="B128" s="54" t="s">
        <v>8155</v>
      </c>
      <c r="C128" t="s">
        <v>10255</v>
      </c>
      <c r="E128" s="45" t="s">
        <v>10256</v>
      </c>
      <c r="F128" s="45" t="s">
        <v>10260</v>
      </c>
      <c r="G128" s="12" t="s">
        <v>3061</v>
      </c>
      <c r="H128" t="s">
        <v>3344</v>
      </c>
    </row>
    <row r="129" spans="1:8" x14ac:dyDescent="0.45">
      <c r="A129" s="53" t="s">
        <v>8154</v>
      </c>
      <c r="B129" s="54" t="s">
        <v>8155</v>
      </c>
      <c r="C129" t="s">
        <v>10255</v>
      </c>
      <c r="E129" s="45" t="s">
        <v>10256</v>
      </c>
      <c r="F129" s="45" t="s">
        <v>10261</v>
      </c>
      <c r="G129" s="12" t="s">
        <v>3062</v>
      </c>
      <c r="H129" t="s">
        <v>3345</v>
      </c>
    </row>
    <row r="130" spans="1:8" x14ac:dyDescent="0.45">
      <c r="A130" s="53" t="s">
        <v>4149</v>
      </c>
      <c r="B130" s="54" t="s">
        <v>4150</v>
      </c>
      <c r="C130" t="s">
        <v>8596</v>
      </c>
      <c r="E130" s="45" t="s">
        <v>8597</v>
      </c>
      <c r="F130" s="45" t="s">
        <v>8598</v>
      </c>
      <c r="G130" s="12" t="s">
        <v>8599</v>
      </c>
      <c r="H130" t="s">
        <v>8600</v>
      </c>
    </row>
    <row r="131" spans="1:8" x14ac:dyDescent="0.45">
      <c r="A131" s="53" t="s">
        <v>3718</v>
      </c>
      <c r="B131" s="54" t="s">
        <v>3719</v>
      </c>
      <c r="C131" t="s">
        <v>8447</v>
      </c>
      <c r="E131" s="45" t="s">
        <v>8470</v>
      </c>
      <c r="F131" s="45" t="s">
        <v>8471</v>
      </c>
      <c r="G131" t="s">
        <v>3064</v>
      </c>
      <c r="H131" t="s">
        <v>3347</v>
      </c>
    </row>
    <row r="132" spans="1:8" x14ac:dyDescent="0.45">
      <c r="A132" s="53" t="s">
        <v>10449</v>
      </c>
      <c r="B132" s="54" t="s">
        <v>3719</v>
      </c>
      <c r="C132" t="s">
        <v>8447</v>
      </c>
      <c r="E132" s="45" t="s">
        <v>8470</v>
      </c>
      <c r="F132" s="45" t="s">
        <v>8472</v>
      </c>
      <c r="G132" t="s">
        <v>3065</v>
      </c>
      <c r="H132" t="s">
        <v>3348</v>
      </c>
    </row>
    <row r="133" spans="1:8" x14ac:dyDescent="0.45">
      <c r="A133" s="53" t="s">
        <v>6121</v>
      </c>
      <c r="B133" s="54" t="s">
        <v>6122</v>
      </c>
      <c r="C133" t="s">
        <v>9368</v>
      </c>
      <c r="E133" s="45" t="s">
        <v>9369</v>
      </c>
      <c r="F133" s="45" t="s">
        <v>9370</v>
      </c>
      <c r="G133" s="12" t="s">
        <v>3066</v>
      </c>
      <c r="H133" t="s">
        <v>3349</v>
      </c>
    </row>
    <row r="134" spans="1:8" x14ac:dyDescent="0.45">
      <c r="A134" s="53" t="s">
        <v>7463</v>
      </c>
      <c r="B134" s="54" t="s">
        <v>7464</v>
      </c>
      <c r="C134" t="s">
        <v>10070</v>
      </c>
      <c r="E134" s="45" t="s">
        <v>10071</v>
      </c>
      <c r="F134" s="45" t="s">
        <v>10072</v>
      </c>
      <c r="G134" t="s">
        <v>10073</v>
      </c>
      <c r="H134" t="s">
        <v>10074</v>
      </c>
    </row>
    <row r="135" spans="1:8" x14ac:dyDescent="0.45">
      <c r="A135" s="53" t="s">
        <v>6663</v>
      </c>
      <c r="B135" s="54" t="s">
        <v>6664</v>
      </c>
      <c r="C135" t="s">
        <v>9783</v>
      </c>
    </row>
    <row r="136" spans="1:8" x14ac:dyDescent="0.45">
      <c r="A136" s="53" t="s">
        <v>6666</v>
      </c>
      <c r="B136" s="54" t="s">
        <v>6667</v>
      </c>
      <c r="C136" t="s">
        <v>9783</v>
      </c>
    </row>
    <row r="137" spans="1:8" x14ac:dyDescent="0.45">
      <c r="A137" s="53" t="s">
        <v>4422</v>
      </c>
      <c r="B137" s="54" t="s">
        <v>4423</v>
      </c>
      <c r="C137" t="s">
        <v>8648</v>
      </c>
    </row>
    <row r="138" spans="1:8" x14ac:dyDescent="0.45">
      <c r="A138" s="53" t="s">
        <v>8104</v>
      </c>
      <c r="B138" s="54" t="s">
        <v>8105</v>
      </c>
      <c r="C138" t="s">
        <v>8648</v>
      </c>
    </row>
    <row r="139" spans="1:8" x14ac:dyDescent="0.45">
      <c r="A139" s="53" t="s">
        <v>6337</v>
      </c>
      <c r="B139" s="54" t="s">
        <v>6338</v>
      </c>
      <c r="C139" t="s">
        <v>9478</v>
      </c>
      <c r="E139" s="45" t="s">
        <v>9479</v>
      </c>
      <c r="F139" s="45" t="s">
        <v>9480</v>
      </c>
      <c r="G139" s="12" t="s">
        <v>3068</v>
      </c>
      <c r="H139" t="s">
        <v>3351</v>
      </c>
    </row>
    <row r="140" spans="1:8" x14ac:dyDescent="0.45">
      <c r="A140" s="53" t="s">
        <v>6337</v>
      </c>
      <c r="B140" s="54" t="s">
        <v>6338</v>
      </c>
      <c r="C140" t="s">
        <v>9478</v>
      </c>
      <c r="E140" s="45" t="s">
        <v>9479</v>
      </c>
      <c r="F140" s="45" t="s">
        <v>9481</v>
      </c>
      <c r="G140" t="s">
        <v>3067</v>
      </c>
      <c r="H140" t="s">
        <v>3350</v>
      </c>
    </row>
    <row r="141" spans="1:8" x14ac:dyDescent="0.45">
      <c r="A141" s="53" t="s">
        <v>5155</v>
      </c>
      <c r="B141" s="54" t="s">
        <v>5156</v>
      </c>
      <c r="C141" t="s">
        <v>9044</v>
      </c>
      <c r="E141" s="45" t="s">
        <v>9045</v>
      </c>
      <c r="F141" s="45" t="s">
        <v>9046</v>
      </c>
      <c r="G141" t="s">
        <v>9047</v>
      </c>
      <c r="H141" t="s">
        <v>9048</v>
      </c>
    </row>
    <row r="142" spans="1:8" x14ac:dyDescent="0.45">
      <c r="A142" s="53" t="s">
        <v>6410</v>
      </c>
      <c r="B142" s="54" t="s">
        <v>6411</v>
      </c>
      <c r="C142" t="s">
        <v>9625</v>
      </c>
      <c r="E142" s="45" t="s">
        <v>9626</v>
      </c>
      <c r="F142" s="45" t="s">
        <v>9627</v>
      </c>
      <c r="G142" s="12" t="s">
        <v>9628</v>
      </c>
      <c r="H142" t="s">
        <v>9629</v>
      </c>
    </row>
    <row r="143" spans="1:8" x14ac:dyDescent="0.45">
      <c r="A143" s="53" t="s">
        <v>6410</v>
      </c>
      <c r="B143" s="54" t="s">
        <v>6411</v>
      </c>
      <c r="C143" t="s">
        <v>9625</v>
      </c>
      <c r="E143" s="45" t="s">
        <v>9626</v>
      </c>
      <c r="F143" s="45" t="s">
        <v>9630</v>
      </c>
      <c r="G143" s="12" t="s">
        <v>9631</v>
      </c>
      <c r="H143" t="s">
        <v>9632</v>
      </c>
    </row>
    <row r="144" spans="1:8" x14ac:dyDescent="0.45">
      <c r="A144" s="53" t="s">
        <v>6410</v>
      </c>
      <c r="B144" s="54" t="s">
        <v>6411</v>
      </c>
      <c r="C144" t="s">
        <v>9625</v>
      </c>
      <c r="E144" s="45" t="s">
        <v>9626</v>
      </c>
      <c r="F144" s="45" t="s">
        <v>9633</v>
      </c>
      <c r="G144" s="12" t="s">
        <v>9634</v>
      </c>
      <c r="H144" t="s">
        <v>9635</v>
      </c>
    </row>
    <row r="145" spans="1:8" x14ac:dyDescent="0.45">
      <c r="A145" s="53" t="s">
        <v>8134</v>
      </c>
      <c r="B145" s="54" t="s">
        <v>8135</v>
      </c>
      <c r="C145" t="s">
        <v>10241</v>
      </c>
      <c r="E145" s="45" t="s">
        <v>10242</v>
      </c>
      <c r="F145" s="45" t="s">
        <v>10243</v>
      </c>
      <c r="G145" s="12" t="s">
        <v>10244</v>
      </c>
      <c r="H145" t="s">
        <v>10245</v>
      </c>
    </row>
    <row r="146" spans="1:8" x14ac:dyDescent="0.45">
      <c r="A146" s="53" t="s">
        <v>8134</v>
      </c>
      <c r="B146" s="54" t="s">
        <v>8135</v>
      </c>
      <c r="C146" t="s">
        <v>10241</v>
      </c>
      <c r="E146" s="45" t="s">
        <v>10242</v>
      </c>
      <c r="F146" s="45" t="s">
        <v>10246</v>
      </c>
      <c r="G146" s="12" t="s">
        <v>10247</v>
      </c>
      <c r="H146" t="s">
        <v>10248</v>
      </c>
    </row>
    <row r="147" spans="1:8" x14ac:dyDescent="0.45">
      <c r="A147" s="53" t="s">
        <v>8134</v>
      </c>
      <c r="B147" s="54" t="s">
        <v>8135</v>
      </c>
      <c r="C147" t="s">
        <v>10241</v>
      </c>
      <c r="E147" s="45" t="s">
        <v>10242</v>
      </c>
      <c r="F147" s="45" t="s">
        <v>10249</v>
      </c>
      <c r="G147" s="12" t="s">
        <v>10250</v>
      </c>
      <c r="H147" t="s">
        <v>10251</v>
      </c>
    </row>
    <row r="148" spans="1:8" x14ac:dyDescent="0.45">
      <c r="A148" s="53" t="s">
        <v>8134</v>
      </c>
      <c r="B148" s="54" t="s">
        <v>8135</v>
      </c>
      <c r="C148" t="s">
        <v>10241</v>
      </c>
      <c r="E148" s="45" t="s">
        <v>10242</v>
      </c>
      <c r="F148" s="45" t="s">
        <v>10252</v>
      </c>
      <c r="G148" s="12" t="s">
        <v>10253</v>
      </c>
      <c r="H148" t="s">
        <v>10254</v>
      </c>
    </row>
    <row r="149" spans="1:8" x14ac:dyDescent="0.45">
      <c r="A149" s="53" t="s">
        <v>6382</v>
      </c>
      <c r="B149" s="54" t="s">
        <v>6383</v>
      </c>
      <c r="C149" t="s">
        <v>9573</v>
      </c>
      <c r="E149" s="45" t="s">
        <v>9574</v>
      </c>
      <c r="F149" s="45" t="s">
        <v>9575</v>
      </c>
      <c r="G149" s="12" t="s">
        <v>3070</v>
      </c>
      <c r="H149" t="s">
        <v>3355</v>
      </c>
    </row>
    <row r="150" spans="1:8" x14ac:dyDescent="0.45">
      <c r="A150" s="53" t="s">
        <v>6382</v>
      </c>
      <c r="B150" s="54" t="s">
        <v>6383</v>
      </c>
      <c r="C150" t="s">
        <v>9573</v>
      </c>
      <c r="E150" s="45" t="s">
        <v>9574</v>
      </c>
      <c r="F150" s="45" t="s">
        <v>9576</v>
      </c>
      <c r="G150" t="s">
        <v>3069</v>
      </c>
      <c r="H150" t="s">
        <v>3354</v>
      </c>
    </row>
    <row r="151" spans="1:8" x14ac:dyDescent="0.45">
      <c r="A151" s="53" t="s">
        <v>6382</v>
      </c>
      <c r="B151" s="54" t="s">
        <v>6383</v>
      </c>
      <c r="C151" t="s">
        <v>9573</v>
      </c>
      <c r="E151" s="45" t="s">
        <v>9574</v>
      </c>
      <c r="F151" s="45" t="s">
        <v>9577</v>
      </c>
      <c r="G151" s="12" t="s">
        <v>3069</v>
      </c>
      <c r="H151" t="s">
        <v>3352</v>
      </c>
    </row>
    <row r="152" spans="1:8" x14ac:dyDescent="0.45">
      <c r="A152" s="53" t="s">
        <v>6382</v>
      </c>
      <c r="B152" s="54" t="s">
        <v>6383</v>
      </c>
      <c r="C152" t="s">
        <v>9573</v>
      </c>
      <c r="E152" s="45" t="s">
        <v>9574</v>
      </c>
      <c r="F152" s="45" t="s">
        <v>9578</v>
      </c>
      <c r="G152" t="s">
        <v>3070</v>
      </c>
      <c r="H152" t="s">
        <v>3353</v>
      </c>
    </row>
    <row r="153" spans="1:8" x14ac:dyDescent="0.45">
      <c r="A153" s="53" t="s">
        <v>6382</v>
      </c>
      <c r="B153" s="54" t="s">
        <v>6383</v>
      </c>
      <c r="C153" t="s">
        <v>9573</v>
      </c>
      <c r="E153" s="45" t="s">
        <v>9574</v>
      </c>
      <c r="F153" s="45" t="s">
        <v>9579</v>
      </c>
      <c r="G153" s="12" t="s">
        <v>3072</v>
      </c>
      <c r="H153" t="s">
        <v>3352</v>
      </c>
    </row>
    <row r="154" spans="1:8" x14ac:dyDescent="0.45">
      <c r="A154" s="53" t="s">
        <v>6382</v>
      </c>
      <c r="B154" s="54" t="s">
        <v>6383</v>
      </c>
      <c r="C154" t="s">
        <v>9573</v>
      </c>
      <c r="E154" s="45" t="s">
        <v>9574</v>
      </c>
      <c r="F154" s="45" t="s">
        <v>9580</v>
      </c>
      <c r="G154" t="s">
        <v>3073</v>
      </c>
      <c r="H154" t="s">
        <v>3353</v>
      </c>
    </row>
    <row r="155" spans="1:8" x14ac:dyDescent="0.45">
      <c r="A155" s="53" t="s">
        <v>6382</v>
      </c>
      <c r="B155" s="54" t="s">
        <v>6383</v>
      </c>
      <c r="C155" t="s">
        <v>9573</v>
      </c>
      <c r="E155" s="45" t="s">
        <v>9574</v>
      </c>
      <c r="F155" s="45" t="s">
        <v>9581</v>
      </c>
      <c r="G155" s="12" t="s">
        <v>3071</v>
      </c>
      <c r="H155" t="s">
        <v>3356</v>
      </c>
    </row>
    <row r="156" spans="1:8" x14ac:dyDescent="0.45">
      <c r="A156" s="53" t="s">
        <v>6260</v>
      </c>
      <c r="B156" s="54" t="s">
        <v>6261</v>
      </c>
      <c r="C156" t="s">
        <v>9425</v>
      </c>
      <c r="E156" s="45" t="s">
        <v>9426</v>
      </c>
      <c r="F156" s="45" t="s">
        <v>9427</v>
      </c>
      <c r="G156" t="s">
        <v>9428</v>
      </c>
      <c r="H156" t="s">
        <v>9429</v>
      </c>
    </row>
    <row r="157" spans="1:8" x14ac:dyDescent="0.45">
      <c r="A157" s="53" t="s">
        <v>6288</v>
      </c>
      <c r="B157" s="54" t="s">
        <v>6289</v>
      </c>
      <c r="C157" t="s">
        <v>9458</v>
      </c>
      <c r="E157" s="45" t="s">
        <v>9459</v>
      </c>
      <c r="F157" s="45" t="s">
        <v>9460</v>
      </c>
      <c r="G157" t="s">
        <v>3074</v>
      </c>
      <c r="H157" t="s">
        <v>3357</v>
      </c>
    </row>
    <row r="158" spans="1:8" x14ac:dyDescent="0.45">
      <c r="A158" s="53" t="s">
        <v>8123</v>
      </c>
      <c r="B158" s="54" t="s">
        <v>8124</v>
      </c>
      <c r="C158" t="s">
        <v>8626</v>
      </c>
    </row>
    <row r="159" spans="1:8" x14ac:dyDescent="0.45">
      <c r="A159" s="53" t="s">
        <v>4351</v>
      </c>
      <c r="B159" s="54" t="s">
        <v>4352</v>
      </c>
      <c r="C159" t="s">
        <v>8626</v>
      </c>
    </row>
    <row r="160" spans="1:8" x14ac:dyDescent="0.45">
      <c r="A160" s="53" t="s">
        <v>6657</v>
      </c>
      <c r="B160" s="54" t="s">
        <v>6658</v>
      </c>
      <c r="C160" t="s">
        <v>9769</v>
      </c>
      <c r="E160" s="45" t="s">
        <v>9770</v>
      </c>
      <c r="F160" s="45" t="s">
        <v>9771</v>
      </c>
      <c r="G160" t="s">
        <v>9772</v>
      </c>
      <c r="H160" t="s">
        <v>9773</v>
      </c>
    </row>
    <row r="161" spans="1:8" x14ac:dyDescent="0.45">
      <c r="A161" s="53" t="s">
        <v>6657</v>
      </c>
      <c r="B161" s="54" t="s">
        <v>6658</v>
      </c>
      <c r="C161" t="s">
        <v>9769</v>
      </c>
      <c r="E161" s="45" t="s">
        <v>9770</v>
      </c>
      <c r="F161" s="45" t="s">
        <v>9775</v>
      </c>
      <c r="G161" t="s">
        <v>9774</v>
      </c>
      <c r="H161" t="s">
        <v>9776</v>
      </c>
    </row>
    <row r="162" spans="1:8" x14ac:dyDescent="0.45">
      <c r="A162" s="53" t="s">
        <v>6657</v>
      </c>
      <c r="B162" s="54" t="s">
        <v>6658</v>
      </c>
      <c r="C162" t="s">
        <v>9769</v>
      </c>
      <c r="E162" s="45" t="s">
        <v>9770</v>
      </c>
      <c r="F162" s="45" t="s">
        <v>9777</v>
      </c>
      <c r="G162" s="12" t="s">
        <v>9778</v>
      </c>
      <c r="H162" t="s">
        <v>9779</v>
      </c>
    </row>
    <row r="163" spans="1:8" x14ac:dyDescent="0.45">
      <c r="A163" s="53" t="s">
        <v>6657</v>
      </c>
      <c r="B163" s="54" t="s">
        <v>6658</v>
      </c>
      <c r="C163" t="s">
        <v>9769</v>
      </c>
      <c r="E163" s="45" t="s">
        <v>9770</v>
      </c>
      <c r="F163" s="45" t="s">
        <v>9780</v>
      </c>
      <c r="G163" s="12" t="s">
        <v>9781</v>
      </c>
      <c r="H163" t="s">
        <v>9782</v>
      </c>
    </row>
    <row r="164" spans="1:8" x14ac:dyDescent="0.45">
      <c r="A164" s="53" t="s">
        <v>5813</v>
      </c>
      <c r="B164" s="54" t="s">
        <v>5814</v>
      </c>
      <c r="C164" t="s">
        <v>9272</v>
      </c>
      <c r="E164" s="45" t="s">
        <v>9273</v>
      </c>
      <c r="F164" s="45" t="s">
        <v>9274</v>
      </c>
      <c r="G164" t="s">
        <v>9275</v>
      </c>
      <c r="H164" t="s">
        <v>9276</v>
      </c>
    </row>
    <row r="165" spans="1:8" x14ac:dyDescent="0.45">
      <c r="A165" s="53" t="s">
        <v>5813</v>
      </c>
      <c r="B165" s="54" t="s">
        <v>5814</v>
      </c>
      <c r="C165" t="s">
        <v>9272</v>
      </c>
      <c r="E165" s="45" t="s">
        <v>9273</v>
      </c>
      <c r="F165" s="45" t="s">
        <v>9277</v>
      </c>
      <c r="G165" t="s">
        <v>9278</v>
      </c>
      <c r="H165" t="s">
        <v>9279</v>
      </c>
    </row>
    <row r="166" spans="1:8" x14ac:dyDescent="0.45">
      <c r="A166" s="53" t="s">
        <v>7435</v>
      </c>
      <c r="B166" s="54" t="s">
        <v>7436</v>
      </c>
      <c r="C166" t="s">
        <v>10058</v>
      </c>
      <c r="E166" s="45" t="s">
        <v>10059</v>
      </c>
      <c r="F166" s="45" t="s">
        <v>10060</v>
      </c>
      <c r="G166" s="12" t="s">
        <v>3077</v>
      </c>
      <c r="H166" t="s">
        <v>3360</v>
      </c>
    </row>
    <row r="167" spans="1:8" x14ac:dyDescent="0.45">
      <c r="A167" s="53" t="s">
        <v>7435</v>
      </c>
      <c r="B167" s="54" t="s">
        <v>7436</v>
      </c>
      <c r="C167" t="s">
        <v>10058</v>
      </c>
      <c r="E167" s="45" t="s">
        <v>10059</v>
      </c>
      <c r="F167" s="45" t="s">
        <v>10061</v>
      </c>
      <c r="G167" s="12" t="s">
        <v>3076</v>
      </c>
      <c r="H167" t="s">
        <v>3359</v>
      </c>
    </row>
    <row r="168" spans="1:8" x14ac:dyDescent="0.45">
      <c r="A168" s="53" t="s">
        <v>7435</v>
      </c>
      <c r="B168" s="54" t="s">
        <v>7436</v>
      </c>
      <c r="C168" t="s">
        <v>10058</v>
      </c>
      <c r="E168" s="45" t="s">
        <v>10059</v>
      </c>
      <c r="F168" s="45" t="s">
        <v>10062</v>
      </c>
      <c r="G168" s="12" t="s">
        <v>3078</v>
      </c>
      <c r="H168" t="s">
        <v>3361</v>
      </c>
    </row>
    <row r="169" spans="1:8" x14ac:dyDescent="0.45">
      <c r="A169" s="53" t="s">
        <v>7435</v>
      </c>
      <c r="B169" s="54" t="s">
        <v>7436</v>
      </c>
      <c r="C169" t="s">
        <v>10058</v>
      </c>
      <c r="E169" s="45" t="s">
        <v>10059</v>
      </c>
      <c r="F169" s="45" t="s">
        <v>10063</v>
      </c>
      <c r="G169" s="12" t="s">
        <v>3075</v>
      </c>
      <c r="H169" t="s">
        <v>3358</v>
      </c>
    </row>
    <row r="170" spans="1:8" x14ac:dyDescent="0.45">
      <c r="A170" s="53" t="s">
        <v>7151</v>
      </c>
      <c r="B170" s="54" t="s">
        <v>7152</v>
      </c>
      <c r="C170" t="s">
        <v>9997</v>
      </c>
      <c r="E170" s="45" t="s">
        <v>9998</v>
      </c>
      <c r="F170" s="45" t="s">
        <v>9999</v>
      </c>
      <c r="G170" s="12" t="s">
        <v>3080</v>
      </c>
      <c r="H170" t="s">
        <v>3363</v>
      </c>
    </row>
    <row r="171" spans="1:8" x14ac:dyDescent="0.45">
      <c r="A171" s="53" t="s">
        <v>7151</v>
      </c>
      <c r="B171" s="54" t="s">
        <v>7152</v>
      </c>
      <c r="C171" t="s">
        <v>9997</v>
      </c>
      <c r="E171" s="45" t="s">
        <v>9998</v>
      </c>
      <c r="F171" s="45" t="s">
        <v>10000</v>
      </c>
      <c r="G171" t="s">
        <v>3079</v>
      </c>
      <c r="H171" t="s">
        <v>3362</v>
      </c>
    </row>
    <row r="172" spans="1:8" x14ac:dyDescent="0.45">
      <c r="A172" s="53" t="s">
        <v>6606</v>
      </c>
      <c r="B172" s="54" t="s">
        <v>6607</v>
      </c>
      <c r="C172" t="s">
        <v>8975</v>
      </c>
      <c r="E172" s="45" t="s">
        <v>8976</v>
      </c>
      <c r="F172" s="45" t="s">
        <v>8977</v>
      </c>
      <c r="G172" t="s">
        <v>3080</v>
      </c>
      <c r="H172" t="s">
        <v>3364</v>
      </c>
    </row>
    <row r="173" spans="1:8" x14ac:dyDescent="0.45">
      <c r="A173" s="53" t="s">
        <v>4998</v>
      </c>
      <c r="B173" s="54" t="s">
        <v>4999</v>
      </c>
      <c r="C173" t="s">
        <v>8975</v>
      </c>
      <c r="E173" s="45" t="s">
        <v>8976</v>
      </c>
      <c r="F173" s="45" t="s">
        <v>8977</v>
      </c>
      <c r="G173" s="12" t="s">
        <v>3080</v>
      </c>
      <c r="H173" t="s">
        <v>3364</v>
      </c>
    </row>
    <row r="174" spans="1:8" x14ac:dyDescent="0.45">
      <c r="A174" s="53" t="s">
        <v>8070</v>
      </c>
      <c r="B174" s="54" t="s">
        <v>8071</v>
      </c>
      <c r="C174" t="s">
        <v>10235</v>
      </c>
    </row>
    <row r="175" spans="1:8" x14ac:dyDescent="0.45">
      <c r="A175" s="53" t="s">
        <v>7538</v>
      </c>
      <c r="B175" s="54" t="s">
        <v>7539</v>
      </c>
      <c r="C175" t="s">
        <v>10098</v>
      </c>
      <c r="E175" s="45" t="s">
        <v>10099</v>
      </c>
      <c r="F175" s="45" t="s">
        <v>10100</v>
      </c>
      <c r="G175" s="12" t="s">
        <v>10101</v>
      </c>
      <c r="H175" t="s">
        <v>10102</v>
      </c>
    </row>
    <row r="176" spans="1:8" x14ac:dyDescent="0.45">
      <c r="A176" s="53" t="s">
        <v>5234</v>
      </c>
      <c r="B176" s="54" t="s">
        <v>5235</v>
      </c>
      <c r="C176" t="s">
        <v>9077</v>
      </c>
    </row>
    <row r="177" spans="1:8" x14ac:dyDescent="0.45">
      <c r="A177" s="53" t="s">
        <v>5798</v>
      </c>
      <c r="B177" s="54" t="s">
        <v>5799</v>
      </c>
      <c r="C177" t="s">
        <v>9076</v>
      </c>
    </row>
    <row r="178" spans="1:8" x14ac:dyDescent="0.45">
      <c r="A178" s="53" t="s">
        <v>6085</v>
      </c>
      <c r="B178" s="54" t="s">
        <v>6086</v>
      </c>
      <c r="C178" t="s">
        <v>9076</v>
      </c>
    </row>
    <row r="179" spans="1:8" x14ac:dyDescent="0.45">
      <c r="A179" s="53" t="s">
        <v>7413</v>
      </c>
      <c r="B179" s="54" t="s">
        <v>7414</v>
      </c>
      <c r="C179" t="s">
        <v>9076</v>
      </c>
    </row>
    <row r="180" spans="1:8" x14ac:dyDescent="0.45">
      <c r="A180" s="53" t="s">
        <v>7542</v>
      </c>
      <c r="B180" s="54" t="s">
        <v>7543</v>
      </c>
      <c r="C180" t="s">
        <v>9076</v>
      </c>
      <c r="E180" s="45"/>
      <c r="F180" s="45"/>
    </row>
    <row r="181" spans="1:8" x14ac:dyDescent="0.45">
      <c r="A181" s="53" t="s">
        <v>7597</v>
      </c>
      <c r="B181" s="54" t="s">
        <v>7598</v>
      </c>
      <c r="C181" t="s">
        <v>9076</v>
      </c>
    </row>
    <row r="182" spans="1:8" x14ac:dyDescent="0.45">
      <c r="A182" s="53" t="s">
        <v>5234</v>
      </c>
      <c r="B182" s="54" t="s">
        <v>5235</v>
      </c>
      <c r="C182" t="s">
        <v>9076</v>
      </c>
    </row>
    <row r="183" spans="1:8" x14ac:dyDescent="0.45">
      <c r="A183" s="53" t="s">
        <v>6148</v>
      </c>
      <c r="B183" s="54" t="s">
        <v>6149</v>
      </c>
      <c r="C183" t="s">
        <v>9076</v>
      </c>
    </row>
    <row r="184" spans="1:8" x14ac:dyDescent="0.45">
      <c r="A184" s="53" t="s">
        <v>7884</v>
      </c>
      <c r="B184" s="54" t="s">
        <v>7885</v>
      </c>
      <c r="C184" t="s">
        <v>9076</v>
      </c>
    </row>
    <row r="185" spans="1:8" x14ac:dyDescent="0.45">
      <c r="A185" s="53" t="s">
        <v>7672</v>
      </c>
      <c r="B185" s="54" t="s">
        <v>7673</v>
      </c>
      <c r="C185" t="s">
        <v>9076</v>
      </c>
    </row>
    <row r="186" spans="1:8" x14ac:dyDescent="0.45">
      <c r="A186" s="53" t="s">
        <v>7638</v>
      </c>
      <c r="B186" s="54" t="s">
        <v>7639</v>
      </c>
      <c r="C186" t="s">
        <v>10112</v>
      </c>
    </row>
    <row r="187" spans="1:8" x14ac:dyDescent="0.45">
      <c r="A187" s="53" t="s">
        <v>5041</v>
      </c>
      <c r="B187" s="54" t="s">
        <v>5042</v>
      </c>
      <c r="C187" t="s">
        <v>9001</v>
      </c>
      <c r="E187" s="45" t="s">
        <v>9002</v>
      </c>
      <c r="F187" s="45" t="s">
        <v>9003</v>
      </c>
      <c r="G187" t="s">
        <v>3081</v>
      </c>
      <c r="H187" t="s">
        <v>3365</v>
      </c>
    </row>
    <row r="188" spans="1:8" x14ac:dyDescent="0.45">
      <c r="A188" s="53" t="s">
        <v>7395</v>
      </c>
      <c r="B188" s="54" t="s">
        <v>7396</v>
      </c>
      <c r="C188" t="s">
        <v>10037</v>
      </c>
      <c r="E188" s="45" t="s">
        <v>10038</v>
      </c>
    </row>
    <row r="189" spans="1:8" x14ac:dyDescent="0.45">
      <c r="A189" s="53" t="s">
        <v>8350</v>
      </c>
      <c r="B189" s="54" t="s">
        <v>8351</v>
      </c>
      <c r="C189" t="s">
        <v>10307</v>
      </c>
      <c r="E189" s="45" t="s">
        <v>10308</v>
      </c>
    </row>
    <row r="190" spans="1:8" x14ac:dyDescent="0.45">
      <c r="A190" s="53" t="s">
        <v>4355</v>
      </c>
      <c r="B190" s="54" t="s">
        <v>4356</v>
      </c>
      <c r="C190" t="s">
        <v>8627</v>
      </c>
      <c r="E190" s="45" t="s">
        <v>8628</v>
      </c>
      <c r="F190" s="45" t="s">
        <v>8629</v>
      </c>
      <c r="G190" t="s">
        <v>3082</v>
      </c>
      <c r="H190" t="s">
        <v>3366</v>
      </c>
    </row>
    <row r="191" spans="1:8" x14ac:dyDescent="0.45">
      <c r="A191" s="53" t="s">
        <v>7339</v>
      </c>
      <c r="B191" s="54" t="s">
        <v>7340</v>
      </c>
      <c r="C191" t="s">
        <v>9166</v>
      </c>
      <c r="E191" s="45" t="s">
        <v>9167</v>
      </c>
    </row>
    <row r="192" spans="1:8" x14ac:dyDescent="0.45">
      <c r="A192" s="53" t="s">
        <v>5329</v>
      </c>
      <c r="B192" s="54" t="s">
        <v>5330</v>
      </c>
      <c r="C192" t="s">
        <v>9166</v>
      </c>
      <c r="E192" s="45" t="s">
        <v>9167</v>
      </c>
    </row>
    <row r="193" spans="1:8" x14ac:dyDescent="0.45">
      <c r="A193" s="53" t="s">
        <v>5053</v>
      </c>
      <c r="B193" s="54" t="s">
        <v>5054</v>
      </c>
      <c r="C193" t="s">
        <v>9007</v>
      </c>
    </row>
    <row r="194" spans="1:8" x14ac:dyDescent="0.45">
      <c r="A194" s="53" t="s">
        <v>7994</v>
      </c>
      <c r="B194" s="54" t="s">
        <v>7995</v>
      </c>
      <c r="C194" t="s">
        <v>10206</v>
      </c>
      <c r="E194" s="45" t="s">
        <v>10207</v>
      </c>
    </row>
    <row r="195" spans="1:8" x14ac:dyDescent="0.45">
      <c r="A195" s="53" t="s">
        <v>7458</v>
      </c>
      <c r="B195" s="54" t="s">
        <v>7459</v>
      </c>
      <c r="C195" t="s">
        <v>10068</v>
      </c>
      <c r="E195" s="45" t="s">
        <v>10069</v>
      </c>
    </row>
    <row r="196" spans="1:8" x14ac:dyDescent="0.45">
      <c r="A196" s="53" t="s">
        <v>7567</v>
      </c>
      <c r="B196" s="54" t="s">
        <v>7568</v>
      </c>
      <c r="C196" t="s">
        <v>10103</v>
      </c>
      <c r="E196" s="45" t="s">
        <v>10104</v>
      </c>
      <c r="F196" s="45"/>
    </row>
    <row r="197" spans="1:8" x14ac:dyDescent="0.45">
      <c r="A197" s="53" t="s">
        <v>6707</v>
      </c>
      <c r="B197" s="54" t="s">
        <v>6708</v>
      </c>
      <c r="C197" t="s">
        <v>9794</v>
      </c>
      <c r="E197" s="45" t="s">
        <v>9795</v>
      </c>
    </row>
    <row r="198" spans="1:8" x14ac:dyDescent="0.45">
      <c r="A198" s="53" t="s">
        <v>5196</v>
      </c>
      <c r="B198" s="54" t="s">
        <v>5197</v>
      </c>
      <c r="C198" t="s">
        <v>9062</v>
      </c>
      <c r="E198" s="10"/>
    </row>
    <row r="199" spans="1:8" x14ac:dyDescent="0.45">
      <c r="A199" s="53" t="s">
        <v>6450</v>
      </c>
      <c r="B199" s="54" t="s">
        <v>6451</v>
      </c>
      <c r="C199" t="s">
        <v>9656</v>
      </c>
      <c r="E199" s="45" t="s">
        <v>9657</v>
      </c>
      <c r="F199" s="45" t="s">
        <v>9658</v>
      </c>
      <c r="G199" s="12" t="s">
        <v>3083</v>
      </c>
      <c r="H199" t="s">
        <v>3367</v>
      </c>
    </row>
    <row r="200" spans="1:8" x14ac:dyDescent="0.45">
      <c r="A200" s="53" t="s">
        <v>6274</v>
      </c>
      <c r="B200" s="54" t="s">
        <v>6275</v>
      </c>
      <c r="C200" t="s">
        <v>9437</v>
      </c>
      <c r="E200" s="45" t="s">
        <v>9438</v>
      </c>
      <c r="F200" s="45" t="s">
        <v>9439</v>
      </c>
      <c r="G200" s="12" t="s">
        <v>3084</v>
      </c>
      <c r="H200" t="s">
        <v>3368</v>
      </c>
    </row>
    <row r="201" spans="1:8" x14ac:dyDescent="0.45">
      <c r="A201" s="53" t="s">
        <v>4740</v>
      </c>
      <c r="B201" s="54" t="s">
        <v>4741</v>
      </c>
      <c r="C201" t="s">
        <v>8916</v>
      </c>
      <c r="E201" s="45" t="s">
        <v>8917</v>
      </c>
      <c r="F201" s="45" t="s">
        <v>8918</v>
      </c>
      <c r="G201" t="s">
        <v>3083</v>
      </c>
      <c r="H201" t="s">
        <v>3369</v>
      </c>
    </row>
    <row r="202" spans="1:8" x14ac:dyDescent="0.45">
      <c r="A202" s="53" t="s">
        <v>6384</v>
      </c>
      <c r="B202" s="54" t="s">
        <v>6385</v>
      </c>
      <c r="C202" t="s">
        <v>9582</v>
      </c>
      <c r="E202" s="45" t="s">
        <v>9583</v>
      </c>
      <c r="F202" s="45" t="s">
        <v>9584</v>
      </c>
      <c r="G202" s="12" t="s">
        <v>3085</v>
      </c>
      <c r="H202" t="s">
        <v>3370</v>
      </c>
    </row>
    <row r="203" spans="1:8" x14ac:dyDescent="0.45">
      <c r="A203" s="53" t="s">
        <v>7003</v>
      </c>
      <c r="B203" s="54" t="s">
        <v>7004</v>
      </c>
      <c r="C203" t="s">
        <v>9285</v>
      </c>
      <c r="E203" s="45" t="s">
        <v>9286</v>
      </c>
      <c r="F203" s="45" t="s">
        <v>9287</v>
      </c>
      <c r="G203" s="12" t="s">
        <v>9288</v>
      </c>
      <c r="H203" t="s">
        <v>9289</v>
      </c>
    </row>
    <row r="204" spans="1:8" x14ac:dyDescent="0.45">
      <c r="A204" s="53" t="s">
        <v>5828</v>
      </c>
      <c r="B204" s="54" t="s">
        <v>5829</v>
      </c>
      <c r="C204" t="s">
        <v>9285</v>
      </c>
      <c r="E204" s="45" t="s">
        <v>9286</v>
      </c>
      <c r="F204" s="45" t="s">
        <v>9287</v>
      </c>
      <c r="G204" t="s">
        <v>9288</v>
      </c>
      <c r="H204" t="s">
        <v>9289</v>
      </c>
    </row>
    <row r="205" spans="1:8" x14ac:dyDescent="0.45">
      <c r="A205" s="53" t="s">
        <v>6268</v>
      </c>
      <c r="B205" s="54" t="s">
        <v>6269</v>
      </c>
      <c r="C205" t="s">
        <v>9430</v>
      </c>
      <c r="E205" s="45" t="s">
        <v>9431</v>
      </c>
      <c r="F205" s="45" t="s">
        <v>9432</v>
      </c>
      <c r="G205" s="12" t="s">
        <v>3087</v>
      </c>
      <c r="H205" t="s">
        <v>3372</v>
      </c>
    </row>
    <row r="206" spans="1:8" x14ac:dyDescent="0.45">
      <c r="A206" s="53" t="s">
        <v>6268</v>
      </c>
      <c r="B206" s="54" t="s">
        <v>6269</v>
      </c>
      <c r="C206" t="s">
        <v>9430</v>
      </c>
      <c r="E206" s="45" t="s">
        <v>9431</v>
      </c>
      <c r="F206" s="45" t="s">
        <v>9433</v>
      </c>
      <c r="G206" t="s">
        <v>3086</v>
      </c>
      <c r="H206" t="s">
        <v>3371</v>
      </c>
    </row>
    <row r="207" spans="1:8" x14ac:dyDescent="0.45">
      <c r="A207" s="53" t="s">
        <v>3683</v>
      </c>
      <c r="B207" s="54" t="s">
        <v>3684</v>
      </c>
      <c r="C207" t="s">
        <v>8413</v>
      </c>
      <c r="E207" s="45" t="s">
        <v>8414</v>
      </c>
      <c r="F207" s="45" t="s">
        <v>8415</v>
      </c>
      <c r="G207" s="12" t="s">
        <v>3088</v>
      </c>
      <c r="H207" t="s">
        <v>3373</v>
      </c>
    </row>
    <row r="208" spans="1:8" x14ac:dyDescent="0.45">
      <c r="A208" s="53" t="s">
        <v>3683</v>
      </c>
      <c r="B208" s="54" t="s">
        <v>3684</v>
      </c>
      <c r="C208" t="s">
        <v>8413</v>
      </c>
      <c r="E208" s="45" t="s">
        <v>8414</v>
      </c>
      <c r="F208" s="45" t="s">
        <v>8416</v>
      </c>
      <c r="G208" t="s">
        <v>3089</v>
      </c>
      <c r="H208" t="s">
        <v>3374</v>
      </c>
    </row>
    <row r="209" spans="1:8" x14ac:dyDescent="0.45">
      <c r="A209" s="53" t="s">
        <v>3685</v>
      </c>
      <c r="B209" s="54" t="s">
        <v>3686</v>
      </c>
      <c r="C209" t="s">
        <v>8417</v>
      </c>
      <c r="E209" s="45" t="s">
        <v>8419</v>
      </c>
      <c r="F209" s="45" t="s">
        <v>8420</v>
      </c>
      <c r="G209" s="12" t="s">
        <v>3090</v>
      </c>
      <c r="H209" t="s">
        <v>3375</v>
      </c>
    </row>
    <row r="210" spans="1:8" x14ac:dyDescent="0.45">
      <c r="A210" s="53" t="s">
        <v>7397</v>
      </c>
      <c r="B210" s="54" t="s">
        <v>7398</v>
      </c>
      <c r="C210" t="s">
        <v>10039</v>
      </c>
      <c r="E210" s="45" t="s">
        <v>10040</v>
      </c>
      <c r="F210" s="45" t="s">
        <v>10041</v>
      </c>
      <c r="G210" s="12" t="s">
        <v>3091</v>
      </c>
      <c r="H210" t="s">
        <v>3376</v>
      </c>
    </row>
    <row r="211" spans="1:8" x14ac:dyDescent="0.45">
      <c r="A211" s="53" t="s">
        <v>6480</v>
      </c>
      <c r="B211" s="54" t="s">
        <v>6481</v>
      </c>
      <c r="C211" t="s">
        <v>9665</v>
      </c>
      <c r="E211" s="45" t="s">
        <v>9666</v>
      </c>
      <c r="F211" s="45" t="s">
        <v>9667</v>
      </c>
      <c r="G211" s="12" t="s">
        <v>3092</v>
      </c>
      <c r="H211" t="s">
        <v>3377</v>
      </c>
    </row>
    <row r="212" spans="1:8" x14ac:dyDescent="0.45">
      <c r="A212" s="53" t="s">
        <v>5027</v>
      </c>
      <c r="B212" s="54" t="s">
        <v>5028</v>
      </c>
      <c r="C212" t="s">
        <v>8985</v>
      </c>
      <c r="E212" s="45" t="s">
        <v>8986</v>
      </c>
      <c r="F212" s="45" t="s">
        <v>8987</v>
      </c>
      <c r="G212" t="s">
        <v>8988</v>
      </c>
      <c r="H212" t="s">
        <v>8989</v>
      </c>
    </row>
    <row r="213" spans="1:8" x14ac:dyDescent="0.45">
      <c r="A213" s="53" t="s">
        <v>3937</v>
      </c>
      <c r="B213" s="54" t="s">
        <v>3938</v>
      </c>
      <c r="C213" t="s">
        <v>8527</v>
      </c>
      <c r="F213" s="10"/>
    </row>
    <row r="214" spans="1:8" x14ac:dyDescent="0.45">
      <c r="A214" s="53" t="s">
        <v>7480</v>
      </c>
      <c r="B214" s="54" t="s">
        <v>7481</v>
      </c>
      <c r="C214" t="s">
        <v>8508</v>
      </c>
      <c r="E214" s="45" t="s">
        <v>8509</v>
      </c>
      <c r="F214" s="45" t="s">
        <v>8510</v>
      </c>
      <c r="G214" s="12" t="s">
        <v>8511</v>
      </c>
      <c r="H214" t="s">
        <v>8512</v>
      </c>
    </row>
    <row r="215" spans="1:8" x14ac:dyDescent="0.45">
      <c r="A215" s="53" t="s">
        <v>7480</v>
      </c>
      <c r="B215" s="54" t="s">
        <v>7481</v>
      </c>
      <c r="C215" t="s">
        <v>8508</v>
      </c>
      <c r="E215" s="45" t="s">
        <v>8509</v>
      </c>
      <c r="F215" s="45" t="s">
        <v>8513</v>
      </c>
      <c r="G215" s="12" t="s">
        <v>8514</v>
      </c>
      <c r="H215" t="s">
        <v>8515</v>
      </c>
    </row>
    <row r="216" spans="1:8" x14ac:dyDescent="0.45">
      <c r="A216" s="53" t="s">
        <v>7480</v>
      </c>
      <c r="B216" s="54" t="s">
        <v>7481</v>
      </c>
      <c r="C216" t="s">
        <v>8508</v>
      </c>
      <c r="E216" s="45" t="s">
        <v>8509</v>
      </c>
      <c r="F216" s="45" t="s">
        <v>8516</v>
      </c>
      <c r="G216" t="s">
        <v>8517</v>
      </c>
      <c r="H216" t="s">
        <v>8515</v>
      </c>
    </row>
    <row r="217" spans="1:8" x14ac:dyDescent="0.45">
      <c r="A217" s="53" t="s">
        <v>7480</v>
      </c>
      <c r="B217" s="54" t="s">
        <v>7481</v>
      </c>
      <c r="C217" t="s">
        <v>8508</v>
      </c>
      <c r="E217" s="45" t="s">
        <v>8509</v>
      </c>
      <c r="F217" s="45" t="s">
        <v>8518</v>
      </c>
      <c r="G217" s="12" t="s">
        <v>8519</v>
      </c>
      <c r="H217" t="s">
        <v>8520</v>
      </c>
    </row>
    <row r="218" spans="1:8" x14ac:dyDescent="0.45">
      <c r="A218" s="53" t="s">
        <v>7480</v>
      </c>
      <c r="B218" s="54" t="s">
        <v>7481</v>
      </c>
      <c r="C218" t="s">
        <v>8508</v>
      </c>
      <c r="E218" s="45" t="s">
        <v>8509</v>
      </c>
      <c r="F218" s="45" t="s">
        <v>8521</v>
      </c>
      <c r="G218" s="12" t="s">
        <v>8522</v>
      </c>
      <c r="H218" t="s">
        <v>8523</v>
      </c>
    </row>
    <row r="219" spans="1:8" x14ac:dyDescent="0.45">
      <c r="A219" s="53" t="s">
        <v>7480</v>
      </c>
      <c r="B219" s="54" t="s">
        <v>7481</v>
      </c>
      <c r="C219" t="s">
        <v>8508</v>
      </c>
      <c r="E219" s="45" t="s">
        <v>8509</v>
      </c>
      <c r="F219" s="45" t="s">
        <v>8524</v>
      </c>
      <c r="G219" s="12" t="s">
        <v>8525</v>
      </c>
      <c r="H219" t="s">
        <v>8526</v>
      </c>
    </row>
    <row r="220" spans="1:8" x14ac:dyDescent="0.45">
      <c r="A220" s="53" t="s">
        <v>3934</v>
      </c>
      <c r="B220" s="54" t="s">
        <v>3935</v>
      </c>
      <c r="C220" t="s">
        <v>8508</v>
      </c>
      <c r="E220" s="45" t="s">
        <v>8509</v>
      </c>
      <c r="F220" s="45" t="s">
        <v>8510</v>
      </c>
      <c r="G220" s="12" t="s">
        <v>8511</v>
      </c>
      <c r="H220" t="s">
        <v>8512</v>
      </c>
    </row>
    <row r="221" spans="1:8" x14ac:dyDescent="0.45">
      <c r="A221" s="53" t="s">
        <v>3934</v>
      </c>
      <c r="B221" s="54" t="s">
        <v>3935</v>
      </c>
      <c r="C221" t="s">
        <v>8508</v>
      </c>
      <c r="E221" s="45" t="s">
        <v>8509</v>
      </c>
      <c r="F221" s="45" t="s">
        <v>8513</v>
      </c>
      <c r="G221" s="12" t="s">
        <v>8514</v>
      </c>
      <c r="H221" t="s">
        <v>8515</v>
      </c>
    </row>
    <row r="222" spans="1:8" x14ac:dyDescent="0.45">
      <c r="A222" s="53" t="s">
        <v>3934</v>
      </c>
      <c r="B222" s="54" t="s">
        <v>3935</v>
      </c>
      <c r="C222" t="s">
        <v>8508</v>
      </c>
      <c r="E222" s="45" t="s">
        <v>8509</v>
      </c>
      <c r="F222" s="45" t="s">
        <v>8516</v>
      </c>
      <c r="G222" t="s">
        <v>8517</v>
      </c>
      <c r="H222" t="s">
        <v>8515</v>
      </c>
    </row>
    <row r="223" spans="1:8" x14ac:dyDescent="0.45">
      <c r="A223" s="53" t="s">
        <v>3934</v>
      </c>
      <c r="B223" s="54" t="s">
        <v>3935</v>
      </c>
      <c r="C223" t="s">
        <v>8508</v>
      </c>
      <c r="E223" s="45" t="s">
        <v>8509</v>
      </c>
      <c r="F223" s="45" t="s">
        <v>8518</v>
      </c>
      <c r="G223" s="12" t="s">
        <v>8519</v>
      </c>
      <c r="H223" t="s">
        <v>8520</v>
      </c>
    </row>
    <row r="224" spans="1:8" x14ac:dyDescent="0.45">
      <c r="A224" s="53" t="s">
        <v>3934</v>
      </c>
      <c r="B224" s="54" t="s">
        <v>3935</v>
      </c>
      <c r="C224" t="s">
        <v>8508</v>
      </c>
      <c r="E224" s="45" t="s">
        <v>8509</v>
      </c>
      <c r="F224" s="45" t="s">
        <v>8521</v>
      </c>
      <c r="G224" s="12" t="s">
        <v>8522</v>
      </c>
      <c r="H224" t="s">
        <v>8523</v>
      </c>
    </row>
    <row r="225" spans="1:8" x14ac:dyDescent="0.45">
      <c r="A225" s="53" t="s">
        <v>3934</v>
      </c>
      <c r="B225" s="54" t="s">
        <v>3935</v>
      </c>
      <c r="C225" t="s">
        <v>8508</v>
      </c>
      <c r="E225" s="45" t="s">
        <v>8509</v>
      </c>
      <c r="F225" s="45" t="s">
        <v>8524</v>
      </c>
      <c r="G225" s="12" t="s">
        <v>8525</v>
      </c>
      <c r="H225" t="s">
        <v>8526</v>
      </c>
    </row>
    <row r="226" spans="1:8" x14ac:dyDescent="0.45">
      <c r="A226" s="53" t="s">
        <v>5023</v>
      </c>
      <c r="B226" s="54" t="s">
        <v>5024</v>
      </c>
      <c r="C226" t="s">
        <v>8909</v>
      </c>
    </row>
    <row r="227" spans="1:8" x14ac:dyDescent="0.45">
      <c r="A227" s="53" t="s">
        <v>7230</v>
      </c>
      <c r="B227" s="54" t="s">
        <v>7231</v>
      </c>
      <c r="C227" t="s">
        <v>8909</v>
      </c>
    </row>
    <row r="228" spans="1:8" x14ac:dyDescent="0.45">
      <c r="A228" s="53" t="s">
        <v>6535</v>
      </c>
      <c r="B228" s="54" t="s">
        <v>6536</v>
      </c>
      <c r="C228" t="s">
        <v>8909</v>
      </c>
    </row>
    <row r="229" spans="1:8" x14ac:dyDescent="0.45">
      <c r="A229" s="53" t="s">
        <v>4720</v>
      </c>
      <c r="B229" s="54" t="s">
        <v>4721</v>
      </c>
      <c r="C229" t="s">
        <v>8909</v>
      </c>
      <c r="F229" s="10"/>
    </row>
    <row r="230" spans="1:8" x14ac:dyDescent="0.45">
      <c r="A230" s="53" t="s">
        <v>5546</v>
      </c>
      <c r="B230" s="54" t="s">
        <v>5547</v>
      </c>
      <c r="C230" t="s">
        <v>8909</v>
      </c>
      <c r="E230" s="45"/>
      <c r="F230" s="45"/>
    </row>
    <row r="231" spans="1:8" x14ac:dyDescent="0.45">
      <c r="A231" s="53" t="s">
        <v>7296</v>
      </c>
      <c r="B231" s="54" t="s">
        <v>7297</v>
      </c>
      <c r="C231" t="s">
        <v>8909</v>
      </c>
    </row>
    <row r="232" spans="1:8" x14ac:dyDescent="0.45">
      <c r="A232" s="53" t="s">
        <v>5309</v>
      </c>
      <c r="B232" s="54" t="s">
        <v>5310</v>
      </c>
      <c r="C232" t="s">
        <v>8909</v>
      </c>
    </row>
    <row r="233" spans="1:8" x14ac:dyDescent="0.45">
      <c r="A233" s="53" t="s">
        <v>4884</v>
      </c>
      <c r="B233" s="54" t="s">
        <v>4885</v>
      </c>
      <c r="C233" t="s">
        <v>8909</v>
      </c>
      <c r="E233" s="10"/>
    </row>
    <row r="234" spans="1:8" x14ac:dyDescent="0.45">
      <c r="A234" s="53" t="s">
        <v>7609</v>
      </c>
      <c r="B234" s="54" t="s">
        <v>7610</v>
      </c>
      <c r="C234" t="s">
        <v>8909</v>
      </c>
    </row>
    <row r="235" spans="1:8" x14ac:dyDescent="0.45">
      <c r="A235" s="53" t="s">
        <v>7143</v>
      </c>
      <c r="B235" s="54" t="s">
        <v>7144</v>
      </c>
      <c r="C235" t="s">
        <v>8909</v>
      </c>
    </row>
    <row r="236" spans="1:8" x14ac:dyDescent="0.45">
      <c r="A236" s="53" t="s">
        <v>6270</v>
      </c>
      <c r="B236" s="54" t="s">
        <v>6271</v>
      </c>
      <c r="C236" t="s">
        <v>8909</v>
      </c>
    </row>
    <row r="237" spans="1:8" x14ac:dyDescent="0.45">
      <c r="A237" s="53" t="s">
        <v>6824</v>
      </c>
      <c r="B237" s="54" t="s">
        <v>6825</v>
      </c>
      <c r="C237" t="s">
        <v>8909</v>
      </c>
    </row>
    <row r="238" spans="1:8" x14ac:dyDescent="0.45">
      <c r="A238" s="53" t="s">
        <v>6544</v>
      </c>
      <c r="B238" s="54" t="s">
        <v>6545</v>
      </c>
      <c r="C238" t="s">
        <v>8445</v>
      </c>
    </row>
    <row r="239" spans="1:8" x14ac:dyDescent="0.45">
      <c r="A239" s="53" t="s">
        <v>5226</v>
      </c>
      <c r="B239" s="54" t="s">
        <v>5227</v>
      </c>
      <c r="C239" t="s">
        <v>8445</v>
      </c>
    </row>
    <row r="240" spans="1:8" x14ac:dyDescent="0.45">
      <c r="A240" s="53" t="s">
        <v>4703</v>
      </c>
      <c r="B240" s="54" t="s">
        <v>4704</v>
      </c>
      <c r="C240" t="s">
        <v>8445</v>
      </c>
      <c r="E240" s="10"/>
    </row>
    <row r="241" spans="1:8" x14ac:dyDescent="0.45">
      <c r="A241" s="53" t="s">
        <v>5198</v>
      </c>
      <c r="B241" s="54" t="s">
        <v>5199</v>
      </c>
      <c r="C241" t="s">
        <v>8445</v>
      </c>
    </row>
    <row r="242" spans="1:8" x14ac:dyDescent="0.45">
      <c r="A242" s="53" t="s">
        <v>8148</v>
      </c>
      <c r="B242" s="54" t="s">
        <v>8149</v>
      </c>
      <c r="C242" t="s">
        <v>8445</v>
      </c>
    </row>
    <row r="243" spans="1:8" x14ac:dyDescent="0.45">
      <c r="A243" s="53" t="s">
        <v>3716</v>
      </c>
      <c r="B243" s="54" t="s">
        <v>3717</v>
      </c>
      <c r="C243" t="s">
        <v>8445</v>
      </c>
    </row>
    <row r="244" spans="1:8" x14ac:dyDescent="0.45">
      <c r="A244" s="53" t="s">
        <v>6529</v>
      </c>
      <c r="B244" s="54" t="s">
        <v>6530</v>
      </c>
      <c r="C244" t="s">
        <v>9673</v>
      </c>
      <c r="E244" s="45" t="s">
        <v>9674</v>
      </c>
      <c r="F244" s="45" t="s">
        <v>9675</v>
      </c>
      <c r="G244" s="12" t="s">
        <v>3093</v>
      </c>
      <c r="H244" t="s">
        <v>3378</v>
      </c>
    </row>
    <row r="245" spans="1:8" x14ac:dyDescent="0.45">
      <c r="A245" s="53" t="s">
        <v>6529</v>
      </c>
      <c r="B245" s="54" t="s">
        <v>6530</v>
      </c>
      <c r="C245" t="s">
        <v>9673</v>
      </c>
      <c r="E245" s="45" t="s">
        <v>9674</v>
      </c>
      <c r="F245" s="45" t="s">
        <v>9676</v>
      </c>
      <c r="G245" s="12" t="s">
        <v>3095</v>
      </c>
      <c r="H245" t="s">
        <v>3380</v>
      </c>
    </row>
    <row r="246" spans="1:8" x14ac:dyDescent="0.45">
      <c r="A246" s="53" t="s">
        <v>6529</v>
      </c>
      <c r="B246" s="54" t="s">
        <v>6530</v>
      </c>
      <c r="C246" t="s">
        <v>9673</v>
      </c>
      <c r="E246" s="45" t="s">
        <v>9674</v>
      </c>
      <c r="F246" s="45" t="s">
        <v>9677</v>
      </c>
      <c r="G246" t="s">
        <v>3094</v>
      </c>
      <c r="H246" t="s">
        <v>3379</v>
      </c>
    </row>
    <row r="247" spans="1:8" x14ac:dyDescent="0.45">
      <c r="A247" s="53" t="s">
        <v>7208</v>
      </c>
      <c r="B247" s="54" t="s">
        <v>7209</v>
      </c>
      <c r="C247" t="s">
        <v>8571</v>
      </c>
      <c r="E247" s="45" t="s">
        <v>8572</v>
      </c>
      <c r="F247" s="45" t="s">
        <v>8573</v>
      </c>
      <c r="G247" s="12" t="s">
        <v>3096</v>
      </c>
      <c r="H247" t="s">
        <v>3381</v>
      </c>
    </row>
    <row r="248" spans="1:8" x14ac:dyDescent="0.45">
      <c r="A248" s="53" t="s">
        <v>4104</v>
      </c>
      <c r="B248" s="54" t="s">
        <v>4105</v>
      </c>
      <c r="C248" t="s">
        <v>8571</v>
      </c>
      <c r="E248" s="45" t="s">
        <v>8572</v>
      </c>
      <c r="F248" s="10" t="s">
        <v>8573</v>
      </c>
      <c r="G248" s="12" t="s">
        <v>3096</v>
      </c>
      <c r="H248" t="s">
        <v>3381</v>
      </c>
    </row>
    <row r="249" spans="1:8" x14ac:dyDescent="0.45">
      <c r="A249" s="53" t="s">
        <v>7022</v>
      </c>
      <c r="B249" s="54" t="s">
        <v>7023</v>
      </c>
      <c r="C249" t="s">
        <v>9864</v>
      </c>
      <c r="E249" s="45" t="s">
        <v>9865</v>
      </c>
      <c r="F249" s="45" t="s">
        <v>9866</v>
      </c>
      <c r="G249" s="12" t="s">
        <v>9867</v>
      </c>
      <c r="H249" t="s">
        <v>9868</v>
      </c>
    </row>
    <row r="250" spans="1:8" x14ac:dyDescent="0.45">
      <c r="A250" s="53" t="s">
        <v>7022</v>
      </c>
      <c r="B250" s="54" t="s">
        <v>7023</v>
      </c>
      <c r="C250" t="s">
        <v>9864</v>
      </c>
      <c r="E250" s="45" t="s">
        <v>9865</v>
      </c>
      <c r="F250" s="45" t="s">
        <v>9869</v>
      </c>
      <c r="G250" t="s">
        <v>2028</v>
      </c>
      <c r="H250" t="s">
        <v>9870</v>
      </c>
    </row>
    <row r="251" spans="1:8" x14ac:dyDescent="0.45">
      <c r="A251" s="53" t="s">
        <v>7022</v>
      </c>
      <c r="B251" s="54" t="s">
        <v>7023</v>
      </c>
      <c r="C251" t="s">
        <v>9864</v>
      </c>
      <c r="E251" s="45" t="s">
        <v>9865</v>
      </c>
      <c r="F251" s="45" t="s">
        <v>9871</v>
      </c>
      <c r="G251" s="12" t="s">
        <v>9872</v>
      </c>
      <c r="H251" t="s">
        <v>9873</v>
      </c>
    </row>
    <row r="252" spans="1:8" x14ac:dyDescent="0.45">
      <c r="A252" s="53" t="s">
        <v>7022</v>
      </c>
      <c r="B252" s="54" t="s">
        <v>7023</v>
      </c>
      <c r="C252" t="s">
        <v>9864</v>
      </c>
      <c r="E252" s="45" t="s">
        <v>9865</v>
      </c>
      <c r="F252" s="45" t="s">
        <v>9874</v>
      </c>
      <c r="G252" s="12" t="s">
        <v>9875</v>
      </c>
      <c r="H252" t="s">
        <v>9876</v>
      </c>
    </row>
    <row r="253" spans="1:8" x14ac:dyDescent="0.45">
      <c r="A253" s="53" t="s">
        <v>7022</v>
      </c>
      <c r="B253" s="54" t="s">
        <v>7023</v>
      </c>
      <c r="C253" t="s">
        <v>9864</v>
      </c>
      <c r="E253" s="45" t="s">
        <v>9865</v>
      </c>
      <c r="F253" s="45" t="s">
        <v>9877</v>
      </c>
      <c r="G253" s="12" t="s">
        <v>9878</v>
      </c>
      <c r="H253" t="s">
        <v>9879</v>
      </c>
    </row>
    <row r="254" spans="1:8" x14ac:dyDescent="0.45">
      <c r="A254" s="53" t="s">
        <v>7022</v>
      </c>
      <c r="B254" s="54" t="s">
        <v>7023</v>
      </c>
      <c r="C254" t="s">
        <v>9864</v>
      </c>
      <c r="E254" s="45" t="s">
        <v>9865</v>
      </c>
      <c r="F254" s="45" t="s">
        <v>9880</v>
      </c>
      <c r="G254" s="12" t="s">
        <v>9881</v>
      </c>
      <c r="H254" t="s">
        <v>9882</v>
      </c>
    </row>
    <row r="255" spans="1:8" x14ac:dyDescent="0.45">
      <c r="A255" s="53" t="s">
        <v>7022</v>
      </c>
      <c r="B255" s="54" t="s">
        <v>7023</v>
      </c>
      <c r="C255" t="s">
        <v>9864</v>
      </c>
      <c r="E255" s="45" t="s">
        <v>9865</v>
      </c>
      <c r="F255" s="45" t="s">
        <v>9883</v>
      </c>
      <c r="G255" s="12" t="s">
        <v>9884</v>
      </c>
      <c r="H255" t="s">
        <v>9885</v>
      </c>
    </row>
    <row r="256" spans="1:8" x14ac:dyDescent="0.45">
      <c r="A256" s="53" t="s">
        <v>7022</v>
      </c>
      <c r="B256" s="54" t="s">
        <v>7023</v>
      </c>
      <c r="C256" t="s">
        <v>9864</v>
      </c>
      <c r="E256" s="45" t="s">
        <v>9865</v>
      </c>
      <c r="F256" s="45" t="s">
        <v>9886</v>
      </c>
      <c r="G256" s="12" t="s">
        <v>9887</v>
      </c>
      <c r="H256" t="s">
        <v>9888</v>
      </c>
    </row>
    <row r="257" spans="1:8" x14ac:dyDescent="0.45">
      <c r="A257" s="53" t="s">
        <v>7022</v>
      </c>
      <c r="B257" s="54" t="s">
        <v>7023</v>
      </c>
      <c r="C257" t="s">
        <v>9864</v>
      </c>
      <c r="E257" s="45" t="s">
        <v>9865</v>
      </c>
      <c r="F257" s="45" t="s">
        <v>9889</v>
      </c>
      <c r="G257" s="12" t="s">
        <v>9890</v>
      </c>
      <c r="H257" t="s">
        <v>9891</v>
      </c>
    </row>
    <row r="258" spans="1:8" x14ac:dyDescent="0.45">
      <c r="A258" s="53" t="s">
        <v>7022</v>
      </c>
      <c r="B258" s="54" t="s">
        <v>7023</v>
      </c>
      <c r="C258" t="s">
        <v>9864</v>
      </c>
      <c r="E258" s="45" t="s">
        <v>9865</v>
      </c>
      <c r="F258" s="45" t="s">
        <v>9892</v>
      </c>
      <c r="G258" s="12" t="s">
        <v>9893</v>
      </c>
      <c r="H258" t="s">
        <v>9894</v>
      </c>
    </row>
    <row r="259" spans="1:8" x14ac:dyDescent="0.45">
      <c r="A259" s="53" t="s">
        <v>7022</v>
      </c>
      <c r="B259" s="54" t="s">
        <v>7023</v>
      </c>
      <c r="C259" t="s">
        <v>9864</v>
      </c>
      <c r="E259" s="45" t="s">
        <v>9865</v>
      </c>
      <c r="F259" s="45" t="s">
        <v>9895</v>
      </c>
      <c r="G259" s="12" t="s">
        <v>9896</v>
      </c>
      <c r="H259" t="s">
        <v>9897</v>
      </c>
    </row>
    <row r="260" spans="1:8" x14ac:dyDescent="0.45">
      <c r="A260" s="53" t="s">
        <v>7022</v>
      </c>
      <c r="B260" s="54" t="s">
        <v>7023</v>
      </c>
      <c r="C260" t="s">
        <v>9864</v>
      </c>
      <c r="E260" s="45" t="s">
        <v>9865</v>
      </c>
      <c r="F260" s="45" t="s">
        <v>9898</v>
      </c>
      <c r="G260" s="12" t="s">
        <v>9899</v>
      </c>
      <c r="H260" t="s">
        <v>9900</v>
      </c>
    </row>
    <row r="261" spans="1:8" x14ac:dyDescent="0.45">
      <c r="A261" s="53" t="s">
        <v>7022</v>
      </c>
      <c r="B261" s="54" t="s">
        <v>7023</v>
      </c>
      <c r="C261" t="s">
        <v>9864</v>
      </c>
      <c r="E261" s="45" t="s">
        <v>9865</v>
      </c>
      <c r="F261" s="45" t="s">
        <v>9901</v>
      </c>
      <c r="G261" s="12" t="s">
        <v>9902</v>
      </c>
      <c r="H261" t="s">
        <v>9903</v>
      </c>
    </row>
    <row r="262" spans="1:8" x14ac:dyDescent="0.45">
      <c r="A262" s="53" t="s">
        <v>7022</v>
      </c>
      <c r="B262" s="54" t="s">
        <v>7023</v>
      </c>
      <c r="C262" t="s">
        <v>9864</v>
      </c>
      <c r="E262" s="45" t="s">
        <v>9865</v>
      </c>
      <c r="F262" s="45" t="s">
        <v>9904</v>
      </c>
      <c r="G262" s="12" t="s">
        <v>9905</v>
      </c>
      <c r="H262" t="s">
        <v>9906</v>
      </c>
    </row>
    <row r="263" spans="1:8" x14ac:dyDescent="0.45">
      <c r="A263" s="53" t="s">
        <v>7022</v>
      </c>
      <c r="B263" s="54" t="s">
        <v>7023</v>
      </c>
      <c r="C263" t="s">
        <v>9864</v>
      </c>
      <c r="E263" s="45" t="s">
        <v>9865</v>
      </c>
      <c r="F263" s="45" t="s">
        <v>9907</v>
      </c>
      <c r="G263" s="12" t="s">
        <v>9908</v>
      </c>
      <c r="H263" t="s">
        <v>9909</v>
      </c>
    </row>
    <row r="264" spans="1:8" x14ac:dyDescent="0.45">
      <c r="A264" s="53" t="s">
        <v>7022</v>
      </c>
      <c r="B264" s="54" t="s">
        <v>7023</v>
      </c>
      <c r="C264" t="s">
        <v>9864</v>
      </c>
      <c r="E264" s="45" t="s">
        <v>9865</v>
      </c>
      <c r="F264" s="45" t="s">
        <v>9910</v>
      </c>
      <c r="G264" s="12" t="s">
        <v>9911</v>
      </c>
      <c r="H264" t="s">
        <v>9912</v>
      </c>
    </row>
    <row r="265" spans="1:8" x14ac:dyDescent="0.45">
      <c r="A265" s="53" t="s">
        <v>7022</v>
      </c>
      <c r="B265" s="54" t="s">
        <v>7023</v>
      </c>
      <c r="C265" t="s">
        <v>9864</v>
      </c>
      <c r="E265" s="45" t="s">
        <v>9865</v>
      </c>
      <c r="F265" s="45" t="s">
        <v>9913</v>
      </c>
      <c r="G265" s="12" t="s">
        <v>9914</v>
      </c>
      <c r="H265" t="s">
        <v>9915</v>
      </c>
    </row>
    <row r="266" spans="1:8" x14ac:dyDescent="0.45">
      <c r="A266" s="53" t="s">
        <v>7022</v>
      </c>
      <c r="B266" s="54" t="s">
        <v>7023</v>
      </c>
      <c r="C266" t="s">
        <v>9864</v>
      </c>
      <c r="E266" s="45" t="s">
        <v>9865</v>
      </c>
      <c r="F266" s="45" t="s">
        <v>9916</v>
      </c>
      <c r="G266" s="12" t="s">
        <v>9917</v>
      </c>
      <c r="H266" t="s">
        <v>9918</v>
      </c>
    </row>
    <row r="267" spans="1:8" x14ac:dyDescent="0.45">
      <c r="A267" s="53" t="s">
        <v>7022</v>
      </c>
      <c r="B267" s="54" t="s">
        <v>7023</v>
      </c>
      <c r="C267" t="s">
        <v>9864</v>
      </c>
      <c r="E267" s="45" t="s">
        <v>9865</v>
      </c>
      <c r="F267" s="45" t="s">
        <v>9919</v>
      </c>
      <c r="G267" s="12" t="s">
        <v>9920</v>
      </c>
      <c r="H267" t="s">
        <v>9921</v>
      </c>
    </row>
    <row r="268" spans="1:8" x14ac:dyDescent="0.45">
      <c r="A268" s="53" t="s">
        <v>7022</v>
      </c>
      <c r="B268" s="54" t="s">
        <v>7023</v>
      </c>
      <c r="C268" t="s">
        <v>9864</v>
      </c>
      <c r="E268" s="45" t="s">
        <v>9865</v>
      </c>
      <c r="F268" s="45" t="s">
        <v>9922</v>
      </c>
      <c r="G268" s="12" t="s">
        <v>9923</v>
      </c>
      <c r="H268" t="s">
        <v>9924</v>
      </c>
    </row>
    <row r="269" spans="1:8" x14ac:dyDescent="0.45">
      <c r="A269" s="53" t="s">
        <v>7022</v>
      </c>
      <c r="B269" s="54" t="s">
        <v>7023</v>
      </c>
      <c r="C269" t="s">
        <v>9864</v>
      </c>
      <c r="E269" s="45" t="s">
        <v>9865</v>
      </c>
      <c r="F269" s="45" t="s">
        <v>9925</v>
      </c>
      <c r="G269" s="12" t="s">
        <v>9926</v>
      </c>
      <c r="H269" t="s">
        <v>9927</v>
      </c>
    </row>
    <row r="270" spans="1:8" x14ac:dyDescent="0.45">
      <c r="A270" s="53" t="s">
        <v>7022</v>
      </c>
      <c r="B270" s="54" t="s">
        <v>7023</v>
      </c>
      <c r="C270" t="s">
        <v>9864</v>
      </c>
      <c r="E270" s="45" t="s">
        <v>9865</v>
      </c>
      <c r="F270" s="45" t="s">
        <v>9928</v>
      </c>
      <c r="G270" s="12" t="s">
        <v>9929</v>
      </c>
      <c r="H270" t="s">
        <v>9930</v>
      </c>
    </row>
    <row r="271" spans="1:8" x14ac:dyDescent="0.45">
      <c r="A271" s="53" t="s">
        <v>7022</v>
      </c>
      <c r="B271" s="54" t="s">
        <v>7023</v>
      </c>
      <c r="C271" t="s">
        <v>9864</v>
      </c>
      <c r="E271" s="45" t="s">
        <v>9865</v>
      </c>
      <c r="F271" s="45" t="s">
        <v>9931</v>
      </c>
      <c r="G271" s="12" t="s">
        <v>9932</v>
      </c>
      <c r="H271" t="s">
        <v>9933</v>
      </c>
    </row>
    <row r="272" spans="1:8" x14ac:dyDescent="0.45">
      <c r="A272" s="53" t="s">
        <v>4680</v>
      </c>
      <c r="B272" s="54" t="s">
        <v>4681</v>
      </c>
      <c r="C272" t="s">
        <v>8831</v>
      </c>
      <c r="E272" s="45" t="s">
        <v>8832</v>
      </c>
      <c r="F272" s="45" t="s">
        <v>8833</v>
      </c>
      <c r="G272" t="s">
        <v>8834</v>
      </c>
      <c r="H272" t="s">
        <v>8835</v>
      </c>
    </row>
    <row r="273" spans="1:8" x14ac:dyDescent="0.45">
      <c r="A273" s="53" t="s">
        <v>4680</v>
      </c>
      <c r="B273" s="54" t="s">
        <v>4681</v>
      </c>
      <c r="C273" t="s">
        <v>8831</v>
      </c>
      <c r="E273" s="45" t="s">
        <v>8832</v>
      </c>
      <c r="F273" s="45" t="s">
        <v>8836</v>
      </c>
      <c r="G273" t="s">
        <v>8837</v>
      </c>
      <c r="H273" t="s">
        <v>8838</v>
      </c>
    </row>
    <row r="274" spans="1:8" x14ac:dyDescent="0.45">
      <c r="A274" s="53" t="s">
        <v>4680</v>
      </c>
      <c r="B274" s="54" t="s">
        <v>4681</v>
      </c>
      <c r="C274" t="s">
        <v>8831</v>
      </c>
      <c r="E274" s="45" t="s">
        <v>8832</v>
      </c>
      <c r="F274" s="45" t="s">
        <v>8839</v>
      </c>
      <c r="G274" t="s">
        <v>8840</v>
      </c>
      <c r="H274" t="s">
        <v>8841</v>
      </c>
    </row>
    <row r="275" spans="1:8" x14ac:dyDescent="0.45">
      <c r="A275" s="53" t="s">
        <v>4680</v>
      </c>
      <c r="B275" s="54" t="s">
        <v>4681</v>
      </c>
      <c r="C275" t="s">
        <v>8831</v>
      </c>
      <c r="E275" s="45" t="s">
        <v>8832</v>
      </c>
      <c r="F275" s="45" t="s">
        <v>8842</v>
      </c>
      <c r="G275" t="s">
        <v>8843</v>
      </c>
      <c r="H275" t="s">
        <v>8844</v>
      </c>
    </row>
    <row r="276" spans="1:8" x14ac:dyDescent="0.45">
      <c r="A276" s="53" t="s">
        <v>4680</v>
      </c>
      <c r="B276" s="54" t="s">
        <v>4681</v>
      </c>
      <c r="C276" t="s">
        <v>8831</v>
      </c>
      <c r="E276" s="45" t="s">
        <v>8832</v>
      </c>
      <c r="F276" s="45" t="s">
        <v>8845</v>
      </c>
      <c r="G276" s="12" t="s">
        <v>8846</v>
      </c>
      <c r="H276" t="s">
        <v>8847</v>
      </c>
    </row>
    <row r="277" spans="1:8" x14ac:dyDescent="0.45">
      <c r="A277" s="53" t="s">
        <v>4680</v>
      </c>
      <c r="B277" s="54" t="s">
        <v>4681</v>
      </c>
      <c r="C277" t="s">
        <v>8831</v>
      </c>
      <c r="E277" s="45" t="s">
        <v>8832</v>
      </c>
      <c r="F277" s="45" t="s">
        <v>8848</v>
      </c>
      <c r="G277" t="s">
        <v>8849</v>
      </c>
      <c r="H277" t="s">
        <v>8850</v>
      </c>
    </row>
    <row r="278" spans="1:8" x14ac:dyDescent="0.45">
      <c r="A278" s="53" t="s">
        <v>4680</v>
      </c>
      <c r="B278" s="54" t="s">
        <v>4681</v>
      </c>
      <c r="C278" t="s">
        <v>8831</v>
      </c>
      <c r="E278" s="45" t="s">
        <v>8832</v>
      </c>
      <c r="F278" s="45" t="s">
        <v>8851</v>
      </c>
      <c r="G278" t="s">
        <v>8852</v>
      </c>
      <c r="H278" t="s">
        <v>8853</v>
      </c>
    </row>
    <row r="279" spans="1:8" x14ac:dyDescent="0.45">
      <c r="A279" s="53" t="s">
        <v>4680</v>
      </c>
      <c r="B279" s="54" t="s">
        <v>4681</v>
      </c>
      <c r="C279" t="s">
        <v>8831</v>
      </c>
      <c r="E279" s="45" t="s">
        <v>8832</v>
      </c>
      <c r="F279" s="45" t="s">
        <v>8854</v>
      </c>
      <c r="G279" t="s">
        <v>8855</v>
      </c>
      <c r="H279" t="s">
        <v>8856</v>
      </c>
    </row>
    <row r="280" spans="1:8" x14ac:dyDescent="0.45">
      <c r="A280" s="53" t="s">
        <v>4680</v>
      </c>
      <c r="B280" s="54" t="s">
        <v>4681</v>
      </c>
      <c r="C280" t="s">
        <v>8831</v>
      </c>
      <c r="E280" s="45" t="s">
        <v>8832</v>
      </c>
      <c r="F280" s="45" t="s">
        <v>8857</v>
      </c>
      <c r="G280" t="s">
        <v>8858</v>
      </c>
      <c r="H280" t="s">
        <v>8859</v>
      </c>
    </row>
    <row r="281" spans="1:8" x14ac:dyDescent="0.45">
      <c r="A281" s="53" t="s">
        <v>4680</v>
      </c>
      <c r="B281" s="54" t="s">
        <v>4681</v>
      </c>
      <c r="C281" t="s">
        <v>8831</v>
      </c>
      <c r="E281" s="45" t="s">
        <v>8832</v>
      </c>
      <c r="F281" s="45" t="s">
        <v>8860</v>
      </c>
      <c r="G281" t="s">
        <v>8861</v>
      </c>
      <c r="H281" t="s">
        <v>8862</v>
      </c>
    </row>
    <row r="282" spans="1:8" x14ac:dyDescent="0.45">
      <c r="A282" s="53" t="s">
        <v>4680</v>
      </c>
      <c r="B282" s="54" t="s">
        <v>4681</v>
      </c>
      <c r="C282" t="s">
        <v>8831</v>
      </c>
      <c r="E282" s="45" t="s">
        <v>8832</v>
      </c>
      <c r="F282" s="45" t="s">
        <v>8863</v>
      </c>
      <c r="G282" t="s">
        <v>8864</v>
      </c>
      <c r="H282" t="s">
        <v>8865</v>
      </c>
    </row>
    <row r="283" spans="1:8" x14ac:dyDescent="0.45">
      <c r="A283" s="53" t="s">
        <v>4662</v>
      </c>
      <c r="B283" s="54" t="s">
        <v>4663</v>
      </c>
      <c r="C283" t="s">
        <v>8786</v>
      </c>
      <c r="E283" s="45" t="s">
        <v>8787</v>
      </c>
      <c r="F283" s="45" t="s">
        <v>8788</v>
      </c>
      <c r="G283" t="s">
        <v>8789</v>
      </c>
      <c r="H283" t="s">
        <v>8790</v>
      </c>
    </row>
    <row r="284" spans="1:8" x14ac:dyDescent="0.45">
      <c r="A284" s="53" t="s">
        <v>4414</v>
      </c>
      <c r="B284" s="54" t="s">
        <v>4415</v>
      </c>
      <c r="C284" t="s">
        <v>8642</v>
      </c>
      <c r="E284" s="45" t="s">
        <v>8643</v>
      </c>
      <c r="F284" s="45" t="s">
        <v>8644</v>
      </c>
      <c r="G284" t="s">
        <v>3097</v>
      </c>
      <c r="H284" t="s">
        <v>3097</v>
      </c>
    </row>
    <row r="285" spans="1:8" x14ac:dyDescent="0.45">
      <c r="A285" s="53" t="s">
        <v>4410</v>
      </c>
      <c r="B285" s="54" t="s">
        <v>4411</v>
      </c>
      <c r="C285" t="s">
        <v>8642</v>
      </c>
      <c r="E285" s="45" t="s">
        <v>8643</v>
      </c>
      <c r="F285" s="45" t="s">
        <v>8644</v>
      </c>
      <c r="G285" t="s">
        <v>3097</v>
      </c>
      <c r="H285" t="s">
        <v>3097</v>
      </c>
    </row>
    <row r="286" spans="1:8" x14ac:dyDescent="0.45">
      <c r="A286" s="53" t="s">
        <v>4412</v>
      </c>
      <c r="B286" s="54" t="s">
        <v>4413</v>
      </c>
      <c r="C286" t="s">
        <v>8645</v>
      </c>
      <c r="E286" s="45" t="s">
        <v>8646</v>
      </c>
      <c r="F286" s="45" t="s">
        <v>8647</v>
      </c>
      <c r="G286" t="s">
        <v>3098</v>
      </c>
      <c r="H286" t="s">
        <v>3382</v>
      </c>
    </row>
    <row r="287" spans="1:8" x14ac:dyDescent="0.45">
      <c r="A287" s="53" t="s">
        <v>3669</v>
      </c>
      <c r="B287" s="54" t="s">
        <v>3670</v>
      </c>
      <c r="C287" t="s">
        <v>8396</v>
      </c>
      <c r="E287" s="45" t="s">
        <v>8397</v>
      </c>
      <c r="F287" s="45" t="s">
        <v>8398</v>
      </c>
      <c r="G287" t="s">
        <v>3099</v>
      </c>
      <c r="H287" t="s">
        <v>3383</v>
      </c>
    </row>
    <row r="288" spans="1:8" x14ac:dyDescent="0.45">
      <c r="A288" s="53" t="s">
        <v>7920</v>
      </c>
      <c r="B288" s="54" t="s">
        <v>7921</v>
      </c>
      <c r="C288" t="s">
        <v>10177</v>
      </c>
      <c r="E288" s="45" t="s">
        <v>10178</v>
      </c>
      <c r="F288" s="45" t="s">
        <v>10179</v>
      </c>
      <c r="G288" t="s">
        <v>10180</v>
      </c>
      <c r="H288" t="s">
        <v>10181</v>
      </c>
    </row>
    <row r="289" spans="1:8" x14ac:dyDescent="0.45">
      <c r="A289" s="53" t="s">
        <v>4672</v>
      </c>
      <c r="B289" s="54" t="s">
        <v>4673</v>
      </c>
      <c r="C289" t="s">
        <v>8791</v>
      </c>
      <c r="E289" s="45" t="s">
        <v>8795</v>
      </c>
      <c r="F289" s="45" t="s">
        <v>8792</v>
      </c>
      <c r="G289" t="s">
        <v>8793</v>
      </c>
      <c r="H289" t="s">
        <v>8794</v>
      </c>
    </row>
    <row r="290" spans="1:8" x14ac:dyDescent="0.45">
      <c r="A290" s="53" t="s">
        <v>4475</v>
      </c>
      <c r="B290" s="54" t="s">
        <v>4476</v>
      </c>
      <c r="C290" t="s">
        <v>8655</v>
      </c>
      <c r="E290" s="10" t="s">
        <v>8656</v>
      </c>
      <c r="F290" s="45" t="s">
        <v>8657</v>
      </c>
      <c r="G290" s="12" t="s">
        <v>8658</v>
      </c>
      <c r="H290" t="s">
        <v>8659</v>
      </c>
    </row>
    <row r="291" spans="1:8" x14ac:dyDescent="0.45">
      <c r="A291" s="53" t="s">
        <v>4475</v>
      </c>
      <c r="B291" s="54" t="s">
        <v>4476</v>
      </c>
      <c r="C291" t="s">
        <v>8655</v>
      </c>
      <c r="E291" s="10" t="s">
        <v>8656</v>
      </c>
      <c r="F291" s="45" t="s">
        <v>8660</v>
      </c>
      <c r="G291" s="12" t="s">
        <v>8661</v>
      </c>
      <c r="H291" t="s">
        <v>8662</v>
      </c>
    </row>
    <row r="292" spans="1:8" x14ac:dyDescent="0.45">
      <c r="A292" s="53" t="s">
        <v>6300</v>
      </c>
      <c r="B292" s="54" t="s">
        <v>6301</v>
      </c>
      <c r="C292" t="s">
        <v>9461</v>
      </c>
      <c r="E292" s="45" t="s">
        <v>9462</v>
      </c>
      <c r="F292" s="45" t="s">
        <v>9463</v>
      </c>
      <c r="G292" t="s">
        <v>3100</v>
      </c>
      <c r="H292" t="s">
        <v>3384</v>
      </c>
    </row>
    <row r="293" spans="1:8" x14ac:dyDescent="0.45">
      <c r="A293" s="53" t="s">
        <v>6300</v>
      </c>
      <c r="B293" s="54" t="s">
        <v>6301</v>
      </c>
      <c r="C293" t="s">
        <v>9461</v>
      </c>
      <c r="E293" s="45" t="s">
        <v>9462</v>
      </c>
      <c r="F293" s="45" t="s">
        <v>9464</v>
      </c>
      <c r="G293" s="12" t="s">
        <v>3101</v>
      </c>
      <c r="H293" t="s">
        <v>3385</v>
      </c>
    </row>
    <row r="294" spans="1:8" x14ac:dyDescent="0.45">
      <c r="A294" s="53" t="s">
        <v>7130</v>
      </c>
      <c r="B294" s="54" t="s">
        <v>7131</v>
      </c>
      <c r="C294" t="s">
        <v>9995</v>
      </c>
      <c r="E294" s="45" t="s">
        <v>9996</v>
      </c>
      <c r="F294" s="45" t="s">
        <v>9869</v>
      </c>
      <c r="G294" s="12" t="s">
        <v>2028</v>
      </c>
      <c r="H294" t="s">
        <v>9870</v>
      </c>
    </row>
    <row r="295" spans="1:8" x14ac:dyDescent="0.45">
      <c r="A295" s="53" t="s">
        <v>7130</v>
      </c>
      <c r="B295" s="54" t="s">
        <v>7131</v>
      </c>
      <c r="C295" t="s">
        <v>9995</v>
      </c>
      <c r="E295" s="45" t="s">
        <v>9996</v>
      </c>
      <c r="F295" s="45" t="s">
        <v>9874</v>
      </c>
      <c r="G295" s="12" t="s">
        <v>9875</v>
      </c>
      <c r="H295" t="s">
        <v>9876</v>
      </c>
    </row>
    <row r="296" spans="1:8" x14ac:dyDescent="0.45">
      <c r="A296" s="53" t="s">
        <v>7130</v>
      </c>
      <c r="B296" s="54" t="s">
        <v>7131</v>
      </c>
      <c r="C296" t="s">
        <v>9995</v>
      </c>
      <c r="E296" s="45" t="s">
        <v>9996</v>
      </c>
      <c r="F296" s="45" t="s">
        <v>9877</v>
      </c>
      <c r="G296" s="12" t="s">
        <v>9878</v>
      </c>
      <c r="H296" t="s">
        <v>9879</v>
      </c>
    </row>
    <row r="297" spans="1:8" x14ac:dyDescent="0.45">
      <c r="A297" s="53" t="s">
        <v>7224</v>
      </c>
      <c r="B297" s="54" t="s">
        <v>7225</v>
      </c>
      <c r="C297" t="s">
        <v>9418</v>
      </c>
    </row>
    <row r="298" spans="1:8" x14ac:dyDescent="0.45">
      <c r="A298" s="53" t="s">
        <v>6873</v>
      </c>
      <c r="B298" s="54" t="s">
        <v>6874</v>
      </c>
      <c r="C298" t="s">
        <v>9418</v>
      </c>
    </row>
    <row r="299" spans="1:8" x14ac:dyDescent="0.45">
      <c r="A299" s="53" t="s">
        <v>6875</v>
      </c>
      <c r="B299" s="54" t="s">
        <v>6876</v>
      </c>
      <c r="C299" t="s">
        <v>9418</v>
      </c>
    </row>
    <row r="300" spans="1:8" x14ac:dyDescent="0.45">
      <c r="A300" s="53" t="s">
        <v>6236</v>
      </c>
      <c r="B300" s="54" t="s">
        <v>6237</v>
      </c>
      <c r="C300" t="s">
        <v>9418</v>
      </c>
    </row>
    <row r="301" spans="1:8" x14ac:dyDescent="0.45">
      <c r="A301" s="53" t="s">
        <v>6386</v>
      </c>
      <c r="B301" s="54" t="s">
        <v>6387</v>
      </c>
      <c r="C301" t="s">
        <v>9585</v>
      </c>
      <c r="E301" s="45" t="s">
        <v>9586</v>
      </c>
      <c r="F301" s="45" t="s">
        <v>9587</v>
      </c>
      <c r="G301" s="12" t="s">
        <v>3102</v>
      </c>
      <c r="H301" t="s">
        <v>3386</v>
      </c>
    </row>
    <row r="302" spans="1:8" x14ac:dyDescent="0.45">
      <c r="A302" s="53" t="s">
        <v>5758</v>
      </c>
      <c r="B302" s="54" t="s">
        <v>5759</v>
      </c>
      <c r="C302" t="s">
        <v>8567</v>
      </c>
    </row>
    <row r="303" spans="1:8" x14ac:dyDescent="0.45">
      <c r="A303" s="53" t="s">
        <v>7053</v>
      </c>
      <c r="B303" s="54" t="s">
        <v>7054</v>
      </c>
      <c r="C303" t="s">
        <v>8567</v>
      </c>
    </row>
    <row r="304" spans="1:8" x14ac:dyDescent="0.45">
      <c r="A304" s="53" t="s">
        <v>7055</v>
      </c>
      <c r="B304" s="54" t="s">
        <v>7056</v>
      </c>
      <c r="C304" t="s">
        <v>8567</v>
      </c>
    </row>
    <row r="305" spans="1:8" x14ac:dyDescent="0.45">
      <c r="A305" s="53" t="s">
        <v>7074</v>
      </c>
      <c r="B305" s="54" t="s">
        <v>7075</v>
      </c>
      <c r="C305" t="s">
        <v>8567</v>
      </c>
    </row>
    <row r="306" spans="1:8" x14ac:dyDescent="0.45">
      <c r="A306" s="53" t="s">
        <v>4097</v>
      </c>
      <c r="B306" s="54" t="s">
        <v>4098</v>
      </c>
      <c r="C306" t="s">
        <v>8567</v>
      </c>
    </row>
    <row r="307" spans="1:8" x14ac:dyDescent="0.45">
      <c r="A307" s="53" t="s">
        <v>5747</v>
      </c>
      <c r="B307" s="54" t="s">
        <v>5748</v>
      </c>
      <c r="C307" t="s">
        <v>8567</v>
      </c>
    </row>
    <row r="308" spans="1:8" x14ac:dyDescent="0.45">
      <c r="A308" s="53" t="s">
        <v>5753</v>
      </c>
      <c r="B308" s="54" t="s">
        <v>5754</v>
      </c>
      <c r="C308" t="s">
        <v>8567</v>
      </c>
    </row>
    <row r="309" spans="1:8" x14ac:dyDescent="0.45">
      <c r="A309" s="53" t="s">
        <v>5769</v>
      </c>
      <c r="B309" s="54" t="s">
        <v>5770</v>
      </c>
      <c r="C309" t="s">
        <v>8567</v>
      </c>
    </row>
    <row r="310" spans="1:8" x14ac:dyDescent="0.45">
      <c r="A310" s="53" t="s">
        <v>5714</v>
      </c>
      <c r="B310" s="54" t="s">
        <v>5715</v>
      </c>
      <c r="C310" t="s">
        <v>8567</v>
      </c>
    </row>
    <row r="311" spans="1:8" x14ac:dyDescent="0.45">
      <c r="A311" s="53" t="s">
        <v>6739</v>
      </c>
      <c r="B311" s="54" t="s">
        <v>6740</v>
      </c>
      <c r="C311" t="s">
        <v>9229</v>
      </c>
      <c r="E311" s="45" t="s">
        <v>9230</v>
      </c>
      <c r="F311" s="45" t="s">
        <v>9231</v>
      </c>
      <c r="G311" s="12" t="s">
        <v>3104</v>
      </c>
      <c r="H311" t="s">
        <v>3387</v>
      </c>
    </row>
    <row r="312" spans="1:8" x14ac:dyDescent="0.45">
      <c r="A312" s="53" t="s">
        <v>6739</v>
      </c>
      <c r="B312" s="54" t="s">
        <v>6740</v>
      </c>
      <c r="C312" t="s">
        <v>9229</v>
      </c>
      <c r="E312" s="45" t="s">
        <v>9230</v>
      </c>
      <c r="F312" s="45" t="s">
        <v>9232</v>
      </c>
      <c r="G312" t="s">
        <v>9233</v>
      </c>
      <c r="H312" t="s">
        <v>9234</v>
      </c>
    </row>
    <row r="313" spans="1:8" x14ac:dyDescent="0.45">
      <c r="A313" s="53" t="s">
        <v>6739</v>
      </c>
      <c r="B313" s="54" t="s">
        <v>6740</v>
      </c>
      <c r="C313" t="s">
        <v>9229</v>
      </c>
      <c r="E313" s="45" t="s">
        <v>9230</v>
      </c>
      <c r="F313" s="45" t="s">
        <v>9235</v>
      </c>
      <c r="G313" s="12" t="s">
        <v>3103</v>
      </c>
      <c r="H313" t="s">
        <v>3387</v>
      </c>
    </row>
    <row r="314" spans="1:8" x14ac:dyDescent="0.45">
      <c r="A314" s="53" t="s">
        <v>6739</v>
      </c>
      <c r="B314" s="54" t="s">
        <v>6740</v>
      </c>
      <c r="C314" t="s">
        <v>9229</v>
      </c>
      <c r="E314" s="45" t="s">
        <v>9230</v>
      </c>
      <c r="F314" s="45" t="s">
        <v>9236</v>
      </c>
      <c r="G314" t="s">
        <v>9237</v>
      </c>
      <c r="H314" t="s">
        <v>9234</v>
      </c>
    </row>
    <row r="315" spans="1:8" x14ac:dyDescent="0.45">
      <c r="A315" s="53" t="s">
        <v>5635</v>
      </c>
      <c r="B315" s="54" t="s">
        <v>5636</v>
      </c>
      <c r="C315" t="s">
        <v>9229</v>
      </c>
      <c r="E315" s="45" t="s">
        <v>9230</v>
      </c>
      <c r="F315" s="45" t="s">
        <v>9231</v>
      </c>
      <c r="G315" s="12" t="s">
        <v>3104</v>
      </c>
      <c r="H315" t="s">
        <v>3387</v>
      </c>
    </row>
    <row r="316" spans="1:8" x14ac:dyDescent="0.45">
      <c r="A316" s="53" t="s">
        <v>5635</v>
      </c>
      <c r="B316" s="54" t="s">
        <v>5636</v>
      </c>
      <c r="C316" t="s">
        <v>9229</v>
      </c>
      <c r="E316" s="45" t="s">
        <v>9230</v>
      </c>
      <c r="F316" s="45" t="s">
        <v>9232</v>
      </c>
      <c r="G316" t="s">
        <v>9233</v>
      </c>
      <c r="H316" t="s">
        <v>9234</v>
      </c>
    </row>
    <row r="317" spans="1:8" x14ac:dyDescent="0.45">
      <c r="A317" s="53" t="s">
        <v>5635</v>
      </c>
      <c r="B317" s="54" t="s">
        <v>5636</v>
      </c>
      <c r="C317" t="s">
        <v>9229</v>
      </c>
      <c r="E317" s="45" t="s">
        <v>9230</v>
      </c>
      <c r="F317" s="45" t="s">
        <v>9235</v>
      </c>
      <c r="G317" s="12" t="s">
        <v>3103</v>
      </c>
      <c r="H317" t="s">
        <v>3387</v>
      </c>
    </row>
    <row r="318" spans="1:8" x14ac:dyDescent="0.45">
      <c r="A318" s="53" t="s">
        <v>5635</v>
      </c>
      <c r="B318" s="54" t="s">
        <v>5636</v>
      </c>
      <c r="C318" t="s">
        <v>9229</v>
      </c>
      <c r="E318" s="45" t="s">
        <v>9230</v>
      </c>
      <c r="F318" s="45" t="s">
        <v>9236</v>
      </c>
      <c r="G318" t="s">
        <v>9237</v>
      </c>
      <c r="H318" t="s">
        <v>9234</v>
      </c>
    </row>
    <row r="319" spans="1:8" x14ac:dyDescent="0.45">
      <c r="A319" s="53" t="s">
        <v>5633</v>
      </c>
      <c r="B319" s="54" t="s">
        <v>5634</v>
      </c>
      <c r="C319" t="s">
        <v>9223</v>
      </c>
      <c r="E319" s="45" t="s">
        <v>9224</v>
      </c>
      <c r="F319" s="45" t="s">
        <v>9225</v>
      </c>
      <c r="G319" s="12" t="s">
        <v>3105</v>
      </c>
      <c r="H319" t="s">
        <v>3388</v>
      </c>
    </row>
    <row r="320" spans="1:8" x14ac:dyDescent="0.45">
      <c r="A320" s="53" t="s">
        <v>5633</v>
      </c>
      <c r="B320" s="54" t="s">
        <v>5634</v>
      </c>
      <c r="C320" t="s">
        <v>9223</v>
      </c>
      <c r="E320" s="45" t="s">
        <v>9224</v>
      </c>
      <c r="F320" s="45" t="s">
        <v>9226</v>
      </c>
      <c r="G320" t="s">
        <v>9227</v>
      </c>
      <c r="H320" t="s">
        <v>9228</v>
      </c>
    </row>
    <row r="321" spans="1:8" x14ac:dyDescent="0.45">
      <c r="A321" s="53" t="s">
        <v>5076</v>
      </c>
      <c r="B321" s="54" t="s">
        <v>5077</v>
      </c>
      <c r="C321" t="s">
        <v>9024</v>
      </c>
      <c r="E321" s="45" t="s">
        <v>9025</v>
      </c>
      <c r="F321" s="10" t="s">
        <v>9026</v>
      </c>
      <c r="G321" s="12" t="s">
        <v>3106</v>
      </c>
      <c r="H321" t="s">
        <v>3389</v>
      </c>
    </row>
    <row r="322" spans="1:8" x14ac:dyDescent="0.45">
      <c r="A322" s="53" t="s">
        <v>5076</v>
      </c>
      <c r="B322" s="54" t="s">
        <v>5077</v>
      </c>
      <c r="C322" t="s">
        <v>9024</v>
      </c>
      <c r="E322" s="45" t="s">
        <v>9025</v>
      </c>
      <c r="F322" s="10" t="s">
        <v>9027</v>
      </c>
      <c r="G322" t="s">
        <v>9028</v>
      </c>
      <c r="H322" t="s">
        <v>9029</v>
      </c>
    </row>
    <row r="323" spans="1:8" x14ac:dyDescent="0.45">
      <c r="A323" s="53" t="s">
        <v>5076</v>
      </c>
      <c r="B323" s="54" t="s">
        <v>5077</v>
      </c>
      <c r="C323" t="s">
        <v>9024</v>
      </c>
      <c r="E323" s="45" t="s">
        <v>9025</v>
      </c>
      <c r="F323" s="10" t="s">
        <v>9030</v>
      </c>
      <c r="G323" t="s">
        <v>3107</v>
      </c>
      <c r="H323" t="s">
        <v>3390</v>
      </c>
    </row>
    <row r="324" spans="1:8" x14ac:dyDescent="0.45">
      <c r="A324" s="53" t="s">
        <v>5076</v>
      </c>
      <c r="B324" s="54" t="s">
        <v>5077</v>
      </c>
      <c r="C324" t="s">
        <v>9024</v>
      </c>
      <c r="E324" s="45" t="s">
        <v>9025</v>
      </c>
      <c r="F324" s="10" t="s">
        <v>9031</v>
      </c>
      <c r="G324" t="s">
        <v>9032</v>
      </c>
      <c r="H324" t="s">
        <v>9033</v>
      </c>
    </row>
    <row r="325" spans="1:8" x14ac:dyDescent="0.45">
      <c r="A325" s="53" t="s">
        <v>5076</v>
      </c>
      <c r="B325" s="54" t="s">
        <v>5077</v>
      </c>
      <c r="C325" t="s">
        <v>9024</v>
      </c>
      <c r="E325" s="45" t="s">
        <v>9025</v>
      </c>
      <c r="F325" s="10" t="s">
        <v>9034</v>
      </c>
      <c r="G325" t="s">
        <v>9035</v>
      </c>
      <c r="H325" t="s">
        <v>9036</v>
      </c>
    </row>
    <row r="326" spans="1:8" x14ac:dyDescent="0.45">
      <c r="A326" s="53" t="s">
        <v>6556</v>
      </c>
      <c r="B326" s="54" t="s">
        <v>6557</v>
      </c>
      <c r="C326" t="s">
        <v>9713</v>
      </c>
      <c r="E326" s="45" t="s">
        <v>9714</v>
      </c>
      <c r="F326" s="45" t="s">
        <v>9715</v>
      </c>
      <c r="G326" s="12" t="s">
        <v>9716</v>
      </c>
      <c r="H326" t="s">
        <v>9717</v>
      </c>
    </row>
    <row r="327" spans="1:8" x14ac:dyDescent="0.45">
      <c r="A327" s="53" t="s">
        <v>6556</v>
      </c>
      <c r="B327" s="54" t="s">
        <v>6557</v>
      </c>
      <c r="C327" t="s">
        <v>9713</v>
      </c>
      <c r="E327" s="45" t="s">
        <v>9714</v>
      </c>
      <c r="F327" s="45" t="s">
        <v>9718</v>
      </c>
      <c r="G327" s="12" t="s">
        <v>3498</v>
      </c>
      <c r="H327" t="s">
        <v>9719</v>
      </c>
    </row>
    <row r="328" spans="1:8" x14ac:dyDescent="0.45">
      <c r="A328" s="53" t="s">
        <v>6556</v>
      </c>
      <c r="B328" s="54" t="s">
        <v>6557</v>
      </c>
      <c r="C328" t="s">
        <v>9713</v>
      </c>
      <c r="E328" s="45" t="s">
        <v>9714</v>
      </c>
      <c r="F328" s="45" t="s">
        <v>9720</v>
      </c>
      <c r="G328" s="12" t="s">
        <v>3501</v>
      </c>
      <c r="H328" t="s">
        <v>9721</v>
      </c>
    </row>
    <row r="329" spans="1:8" x14ac:dyDescent="0.45">
      <c r="A329" s="53" t="s">
        <v>6556</v>
      </c>
      <c r="B329" s="54" t="s">
        <v>6557</v>
      </c>
      <c r="C329" t="s">
        <v>9713</v>
      </c>
      <c r="E329" s="45" t="s">
        <v>9714</v>
      </c>
      <c r="F329" s="45" t="s">
        <v>9722</v>
      </c>
      <c r="G329" s="12" t="s">
        <v>3502</v>
      </c>
      <c r="H329" t="s">
        <v>9723</v>
      </c>
    </row>
    <row r="330" spans="1:8" x14ac:dyDescent="0.45">
      <c r="A330" s="53" t="s">
        <v>6556</v>
      </c>
      <c r="B330" s="54" t="s">
        <v>6557</v>
      </c>
      <c r="C330" t="s">
        <v>9713</v>
      </c>
      <c r="E330" s="45" t="s">
        <v>9714</v>
      </c>
      <c r="F330" s="45" t="s">
        <v>9724</v>
      </c>
      <c r="G330" s="12" t="s">
        <v>3509</v>
      </c>
      <c r="H330" t="s">
        <v>9725</v>
      </c>
    </row>
    <row r="331" spans="1:8" x14ac:dyDescent="0.45">
      <c r="A331" s="53" t="s">
        <v>6556</v>
      </c>
      <c r="B331" s="54" t="s">
        <v>6557</v>
      </c>
      <c r="C331" t="s">
        <v>9713</v>
      </c>
      <c r="E331" s="45" t="s">
        <v>9714</v>
      </c>
      <c r="F331" s="45" t="s">
        <v>9726</v>
      </c>
      <c r="G331" s="12" t="s">
        <v>9727</v>
      </c>
      <c r="H331" t="s">
        <v>9728</v>
      </c>
    </row>
    <row r="332" spans="1:8" x14ac:dyDescent="0.45">
      <c r="A332" s="53" t="s">
        <v>6556</v>
      </c>
      <c r="B332" s="54" t="s">
        <v>6557</v>
      </c>
      <c r="C332" t="s">
        <v>9713</v>
      </c>
      <c r="E332" s="45" t="s">
        <v>9714</v>
      </c>
      <c r="F332" s="45" t="s">
        <v>9729</v>
      </c>
      <c r="G332" s="12" t="s">
        <v>3505</v>
      </c>
      <c r="H332" t="s">
        <v>9730</v>
      </c>
    </row>
    <row r="333" spans="1:8" x14ac:dyDescent="0.45">
      <c r="A333" s="53" t="s">
        <v>6556</v>
      </c>
      <c r="B333" s="54" t="s">
        <v>6557</v>
      </c>
      <c r="C333" t="s">
        <v>9713</v>
      </c>
      <c r="E333" s="45" t="s">
        <v>9714</v>
      </c>
      <c r="F333" s="45" t="s">
        <v>9731</v>
      </c>
      <c r="G333" s="12" t="s">
        <v>3504</v>
      </c>
      <c r="H333" t="s">
        <v>9732</v>
      </c>
    </row>
    <row r="334" spans="1:8" x14ac:dyDescent="0.45">
      <c r="A334" s="53" t="s">
        <v>6556</v>
      </c>
      <c r="B334" s="54" t="s">
        <v>6557</v>
      </c>
      <c r="C334" t="s">
        <v>9713</v>
      </c>
      <c r="E334" s="45" t="s">
        <v>9714</v>
      </c>
      <c r="F334" s="45" t="s">
        <v>9733</v>
      </c>
      <c r="G334" s="12" t="s">
        <v>3512</v>
      </c>
      <c r="H334" t="s">
        <v>9734</v>
      </c>
    </row>
    <row r="335" spans="1:8" x14ac:dyDescent="0.45">
      <c r="A335" s="53" t="s">
        <v>6556</v>
      </c>
      <c r="B335" s="54" t="s">
        <v>6557</v>
      </c>
      <c r="C335" t="s">
        <v>9713</v>
      </c>
      <c r="E335" s="45" t="s">
        <v>9714</v>
      </c>
      <c r="F335" s="45" t="s">
        <v>9735</v>
      </c>
      <c r="G335" s="12" t="s">
        <v>3508</v>
      </c>
      <c r="H335" t="s">
        <v>9736</v>
      </c>
    </row>
    <row r="336" spans="1:8" x14ac:dyDescent="0.45">
      <c r="A336" s="53" t="s">
        <v>6556</v>
      </c>
      <c r="B336" s="54" t="s">
        <v>6557</v>
      </c>
      <c r="C336" t="s">
        <v>9713</v>
      </c>
      <c r="E336" s="45" t="s">
        <v>9714</v>
      </c>
      <c r="F336" s="45" t="s">
        <v>9737</v>
      </c>
      <c r="G336" s="12" t="s">
        <v>3510</v>
      </c>
      <c r="H336" t="s">
        <v>9738</v>
      </c>
    </row>
    <row r="337" spans="1:8" x14ac:dyDescent="0.45">
      <c r="A337" s="53" t="s">
        <v>6556</v>
      </c>
      <c r="B337" s="54" t="s">
        <v>6557</v>
      </c>
      <c r="C337" t="s">
        <v>9713</v>
      </c>
      <c r="E337" s="45"/>
    </row>
    <row r="338" spans="1:8" x14ac:dyDescent="0.45">
      <c r="A338" s="53" t="s">
        <v>6546</v>
      </c>
      <c r="B338" s="54" t="s">
        <v>6547</v>
      </c>
      <c r="C338" t="s">
        <v>9706</v>
      </c>
      <c r="E338" s="45" t="s">
        <v>9707</v>
      </c>
      <c r="F338" s="45" t="s">
        <v>9708</v>
      </c>
      <c r="G338" t="s">
        <v>3108</v>
      </c>
      <c r="H338" t="s">
        <v>3391</v>
      </c>
    </row>
    <row r="339" spans="1:8" x14ac:dyDescent="0.45">
      <c r="A339" s="53" t="s">
        <v>6546</v>
      </c>
      <c r="B339" s="54" t="s">
        <v>6547</v>
      </c>
      <c r="C339" t="s">
        <v>9706</v>
      </c>
      <c r="E339" s="45" t="s">
        <v>9707</v>
      </c>
      <c r="F339" s="45" t="s">
        <v>9709</v>
      </c>
      <c r="G339" s="12" t="s">
        <v>3109</v>
      </c>
      <c r="H339" t="s">
        <v>3392</v>
      </c>
    </row>
    <row r="340" spans="1:8" x14ac:dyDescent="0.45">
      <c r="A340" s="53" t="s">
        <v>3679</v>
      </c>
      <c r="B340" s="54" t="s">
        <v>3680</v>
      </c>
      <c r="C340" t="s">
        <v>8406</v>
      </c>
      <c r="E340" s="45" t="s">
        <v>8407</v>
      </c>
      <c r="F340" s="45" t="s">
        <v>8408</v>
      </c>
      <c r="G340" t="s">
        <v>3110</v>
      </c>
      <c r="H340" t="s">
        <v>3393</v>
      </c>
    </row>
    <row r="341" spans="1:8" x14ac:dyDescent="0.45">
      <c r="A341" s="53" t="s">
        <v>6088</v>
      </c>
      <c r="B341" s="54" t="s">
        <v>6089</v>
      </c>
      <c r="C341" t="s">
        <v>9332</v>
      </c>
      <c r="E341" s="45" t="s">
        <v>9333</v>
      </c>
      <c r="F341" s="45" t="s">
        <v>9334</v>
      </c>
      <c r="G341" s="12" t="s">
        <v>3506</v>
      </c>
      <c r="H341" t="s">
        <v>9335</v>
      </c>
    </row>
    <row r="342" spans="1:8" x14ac:dyDescent="0.45">
      <c r="A342" s="53" t="s">
        <v>6088</v>
      </c>
      <c r="B342" s="54" t="s">
        <v>6089</v>
      </c>
      <c r="C342" t="s">
        <v>9332</v>
      </c>
      <c r="E342" s="45" t="s">
        <v>9333</v>
      </c>
      <c r="F342" s="45" t="s">
        <v>9336</v>
      </c>
      <c r="G342" s="12" t="s">
        <v>3500</v>
      </c>
      <c r="H342" t="s">
        <v>9337</v>
      </c>
    </row>
    <row r="343" spans="1:8" x14ac:dyDescent="0.45">
      <c r="A343" s="53" t="s">
        <v>6088</v>
      </c>
      <c r="B343" s="54" t="s">
        <v>6089</v>
      </c>
      <c r="C343" t="s">
        <v>9332</v>
      </c>
      <c r="E343" s="45" t="s">
        <v>9333</v>
      </c>
      <c r="F343" s="45" t="s">
        <v>9338</v>
      </c>
      <c r="G343" s="12" t="s">
        <v>3499</v>
      </c>
      <c r="H343" t="s">
        <v>9339</v>
      </c>
    </row>
    <row r="344" spans="1:8" x14ac:dyDescent="0.45">
      <c r="A344" s="53" t="s">
        <v>6088</v>
      </c>
      <c r="B344" s="54" t="s">
        <v>6089</v>
      </c>
      <c r="C344" t="s">
        <v>9332</v>
      </c>
      <c r="E344" s="45" t="s">
        <v>9333</v>
      </c>
      <c r="F344" s="45" t="s">
        <v>9340</v>
      </c>
      <c r="G344" s="12" t="s">
        <v>3507</v>
      </c>
      <c r="H344" t="s">
        <v>9341</v>
      </c>
    </row>
    <row r="345" spans="1:8" x14ac:dyDescent="0.45">
      <c r="A345" s="53" t="s">
        <v>6088</v>
      </c>
      <c r="B345" s="54" t="s">
        <v>6089</v>
      </c>
      <c r="C345" t="s">
        <v>9332</v>
      </c>
      <c r="E345" s="45" t="s">
        <v>9333</v>
      </c>
      <c r="F345" s="45" t="s">
        <v>9342</v>
      </c>
      <c r="G345" s="12" t="s">
        <v>9344</v>
      </c>
      <c r="H345" t="s">
        <v>9343</v>
      </c>
    </row>
    <row r="346" spans="1:8" x14ac:dyDescent="0.45">
      <c r="A346" s="53" t="s">
        <v>6285</v>
      </c>
      <c r="B346" s="54" t="s">
        <v>6286</v>
      </c>
      <c r="C346" t="s">
        <v>9454</v>
      </c>
      <c r="E346" s="45" t="s">
        <v>9455</v>
      </c>
      <c r="F346" s="45" t="s">
        <v>9456</v>
      </c>
      <c r="G346" t="s">
        <v>3112</v>
      </c>
      <c r="H346" t="s">
        <v>3395</v>
      </c>
    </row>
    <row r="347" spans="1:8" x14ac:dyDescent="0.45">
      <c r="A347" s="53" t="s">
        <v>6285</v>
      </c>
      <c r="B347" s="54" t="s">
        <v>6286</v>
      </c>
      <c r="C347" t="s">
        <v>9454</v>
      </c>
      <c r="E347" s="45" t="s">
        <v>9455</v>
      </c>
      <c r="F347" s="45" t="s">
        <v>9457</v>
      </c>
      <c r="G347" t="s">
        <v>3111</v>
      </c>
      <c r="H347" t="s">
        <v>3394</v>
      </c>
    </row>
    <row r="348" spans="1:8" x14ac:dyDescent="0.45">
      <c r="A348" s="53" t="s">
        <v>4074</v>
      </c>
      <c r="B348" s="54" t="s">
        <v>4075</v>
      </c>
      <c r="C348" t="s">
        <v>8558</v>
      </c>
      <c r="E348" s="45" t="s">
        <v>8560</v>
      </c>
      <c r="F348" s="45" t="s">
        <v>8559</v>
      </c>
      <c r="G348" t="s">
        <v>8561</v>
      </c>
      <c r="H348" t="s">
        <v>8562</v>
      </c>
    </row>
    <row r="349" spans="1:8" x14ac:dyDescent="0.45">
      <c r="A349" s="53" t="s">
        <v>6178</v>
      </c>
      <c r="B349" s="54" t="s">
        <v>6179</v>
      </c>
      <c r="C349" t="s">
        <v>9387</v>
      </c>
      <c r="E349" s="45" t="s">
        <v>9388</v>
      </c>
      <c r="F349" s="45" t="s">
        <v>9389</v>
      </c>
      <c r="G349" s="12" t="s">
        <v>3113</v>
      </c>
      <c r="H349" t="s">
        <v>3396</v>
      </c>
    </row>
    <row r="350" spans="1:8" x14ac:dyDescent="0.45">
      <c r="A350" s="53" t="s">
        <v>6713</v>
      </c>
      <c r="B350" s="54" t="s">
        <v>6714</v>
      </c>
      <c r="C350" t="s">
        <v>9798</v>
      </c>
      <c r="E350" s="45" t="s">
        <v>9799</v>
      </c>
      <c r="F350" s="45" t="s">
        <v>9800</v>
      </c>
      <c r="G350" t="s">
        <v>3114</v>
      </c>
      <c r="H350" t="s">
        <v>3397</v>
      </c>
    </row>
    <row r="351" spans="1:8" x14ac:dyDescent="0.45">
      <c r="A351" s="53" t="s">
        <v>6713</v>
      </c>
      <c r="B351" s="54" t="s">
        <v>6714</v>
      </c>
      <c r="C351" t="s">
        <v>9798</v>
      </c>
      <c r="E351" s="45" t="s">
        <v>9799</v>
      </c>
      <c r="F351" s="45" t="s">
        <v>9801</v>
      </c>
      <c r="G351" s="12" t="s">
        <v>3115</v>
      </c>
      <c r="H351" t="s">
        <v>3398</v>
      </c>
    </row>
    <row r="352" spans="1:8" x14ac:dyDescent="0.45">
      <c r="A352" s="53" t="s">
        <v>3630</v>
      </c>
      <c r="B352" s="54" t="s">
        <v>3631</v>
      </c>
      <c r="C352" t="s">
        <v>8383</v>
      </c>
      <c r="E352" s="10" t="s">
        <v>8384</v>
      </c>
      <c r="F352" s="45" t="s">
        <v>8386</v>
      </c>
      <c r="G352" s="12" t="s">
        <v>8387</v>
      </c>
      <c r="H352" t="s">
        <v>3399</v>
      </c>
    </row>
    <row r="353" spans="1:8" x14ac:dyDescent="0.45">
      <c r="A353" s="53" t="s">
        <v>3630</v>
      </c>
      <c r="B353" s="54" t="s">
        <v>3631</v>
      </c>
      <c r="C353" t="s">
        <v>8383</v>
      </c>
      <c r="E353" s="10" t="s">
        <v>8384</v>
      </c>
      <c r="F353" s="45" t="s">
        <v>8385</v>
      </c>
      <c r="G353" t="s">
        <v>3111</v>
      </c>
      <c r="H353" t="s">
        <v>3394</v>
      </c>
    </row>
    <row r="354" spans="1:8" x14ac:dyDescent="0.45">
      <c r="A354" s="53" t="s">
        <v>3630</v>
      </c>
      <c r="B354" s="54" t="s">
        <v>3631</v>
      </c>
      <c r="C354" t="s">
        <v>8383</v>
      </c>
      <c r="E354" s="10" t="s">
        <v>8384</v>
      </c>
      <c r="F354" s="45" t="s">
        <v>8388</v>
      </c>
      <c r="G354" t="s">
        <v>8389</v>
      </c>
      <c r="H354" t="s">
        <v>3395</v>
      </c>
    </row>
    <row r="355" spans="1:8" x14ac:dyDescent="0.45">
      <c r="A355" s="53" t="s">
        <v>3630</v>
      </c>
      <c r="B355" s="54" t="s">
        <v>3631</v>
      </c>
      <c r="C355" t="s">
        <v>8383</v>
      </c>
      <c r="E355" s="10" t="s">
        <v>8384</v>
      </c>
      <c r="F355" s="45" t="s">
        <v>8390</v>
      </c>
      <c r="G355" t="s">
        <v>3116</v>
      </c>
      <c r="H355" t="s">
        <v>3400</v>
      </c>
    </row>
    <row r="356" spans="1:8" x14ac:dyDescent="0.45">
      <c r="A356" s="53" t="s">
        <v>3630</v>
      </c>
      <c r="B356" s="54" t="s">
        <v>3631</v>
      </c>
      <c r="C356" t="s">
        <v>8383</v>
      </c>
      <c r="E356" s="10" t="s">
        <v>8384</v>
      </c>
      <c r="F356" s="45" t="s">
        <v>8391</v>
      </c>
      <c r="G356" t="s">
        <v>3118</v>
      </c>
      <c r="H356" t="s">
        <v>3402</v>
      </c>
    </row>
    <row r="357" spans="1:8" x14ac:dyDescent="0.45">
      <c r="A357" s="53" t="s">
        <v>3630</v>
      </c>
      <c r="B357" s="54" t="s">
        <v>3631</v>
      </c>
      <c r="C357" t="s">
        <v>8383</v>
      </c>
      <c r="E357" s="10" t="s">
        <v>8384</v>
      </c>
      <c r="F357" s="45" t="s">
        <v>8392</v>
      </c>
      <c r="G357" t="s">
        <v>3117</v>
      </c>
      <c r="H357" t="s">
        <v>3401</v>
      </c>
    </row>
    <row r="358" spans="1:8" x14ac:dyDescent="0.45">
      <c r="A358" s="53" t="s">
        <v>6485</v>
      </c>
      <c r="B358" s="54" t="s">
        <v>6486</v>
      </c>
      <c r="C358" t="s">
        <v>9668</v>
      </c>
      <c r="E358" s="45" t="s">
        <v>9669</v>
      </c>
      <c r="F358" s="45" t="s">
        <v>9670</v>
      </c>
      <c r="G358" s="12" t="s">
        <v>3119</v>
      </c>
      <c r="H358" t="s">
        <v>3403</v>
      </c>
    </row>
    <row r="359" spans="1:8" x14ac:dyDescent="0.45">
      <c r="A359" s="53" t="s">
        <v>7514</v>
      </c>
      <c r="B359" s="54" t="s">
        <v>7515</v>
      </c>
      <c r="C359" t="s">
        <v>9668</v>
      </c>
      <c r="E359" s="45" t="s">
        <v>9669</v>
      </c>
      <c r="F359" s="45" t="s">
        <v>9670</v>
      </c>
      <c r="G359" s="12" t="s">
        <v>3119</v>
      </c>
      <c r="H359" t="s">
        <v>3403</v>
      </c>
    </row>
    <row r="360" spans="1:8" x14ac:dyDescent="0.45">
      <c r="A360" s="53" t="s">
        <v>5215</v>
      </c>
      <c r="B360" s="54" t="s">
        <v>5216</v>
      </c>
      <c r="C360" t="s">
        <v>9068</v>
      </c>
      <c r="E360" s="45" t="s">
        <v>9069</v>
      </c>
      <c r="F360" s="45" t="s">
        <v>9070</v>
      </c>
      <c r="G360" t="s">
        <v>9071</v>
      </c>
      <c r="H360" t="s">
        <v>9072</v>
      </c>
    </row>
    <row r="361" spans="1:8" x14ac:dyDescent="0.45">
      <c r="A361" s="53" t="s">
        <v>5588</v>
      </c>
      <c r="B361" s="54" t="s">
        <v>5589</v>
      </c>
      <c r="C361" t="s">
        <v>9194</v>
      </c>
      <c r="E361" s="45" t="s">
        <v>9195</v>
      </c>
      <c r="F361" s="45" t="s">
        <v>9196</v>
      </c>
      <c r="G361" s="12" t="s">
        <v>3120</v>
      </c>
      <c r="H361" t="s">
        <v>3404</v>
      </c>
    </row>
    <row r="362" spans="1:8" x14ac:dyDescent="0.45">
      <c r="A362" s="53" t="s">
        <v>5588</v>
      </c>
      <c r="B362" s="54" t="s">
        <v>5589</v>
      </c>
      <c r="C362" t="s">
        <v>9194</v>
      </c>
      <c r="E362" s="45" t="s">
        <v>9195</v>
      </c>
      <c r="F362" s="45" t="s">
        <v>9197</v>
      </c>
      <c r="G362" t="s">
        <v>9198</v>
      </c>
      <c r="H362" t="s">
        <v>9199</v>
      </c>
    </row>
    <row r="363" spans="1:8" x14ac:dyDescent="0.45">
      <c r="A363" s="53" t="s">
        <v>5588</v>
      </c>
      <c r="B363" s="54" t="s">
        <v>5589</v>
      </c>
      <c r="C363" t="s">
        <v>9194</v>
      </c>
      <c r="E363" s="45" t="s">
        <v>9195</v>
      </c>
      <c r="F363" s="45" t="s">
        <v>9200</v>
      </c>
      <c r="G363" s="12" t="s">
        <v>3121</v>
      </c>
      <c r="H363" t="s">
        <v>3405</v>
      </c>
    </row>
    <row r="364" spans="1:8" x14ac:dyDescent="0.45">
      <c r="A364" s="53" t="s">
        <v>5588</v>
      </c>
      <c r="B364" s="54" t="s">
        <v>5589</v>
      </c>
      <c r="C364" t="s">
        <v>9194</v>
      </c>
      <c r="E364" s="45" t="s">
        <v>9195</v>
      </c>
      <c r="F364" s="45" t="s">
        <v>9201</v>
      </c>
      <c r="G364" t="s">
        <v>9202</v>
      </c>
      <c r="H364" t="s">
        <v>9203</v>
      </c>
    </row>
    <row r="365" spans="1:8" x14ac:dyDescent="0.45">
      <c r="A365" s="53" t="s">
        <v>5125</v>
      </c>
      <c r="B365" s="54" t="s">
        <v>5126</v>
      </c>
      <c r="C365" t="s">
        <v>9043</v>
      </c>
    </row>
    <row r="366" spans="1:8" x14ac:dyDescent="0.45">
      <c r="A366" s="53" t="s">
        <v>6932</v>
      </c>
      <c r="B366" s="54" t="s">
        <v>6933</v>
      </c>
      <c r="C366" t="s">
        <v>9860</v>
      </c>
      <c r="E366" s="45" t="s">
        <v>9861</v>
      </c>
    </row>
    <row r="367" spans="1:8" x14ac:dyDescent="0.45">
      <c r="A367" s="53" t="s">
        <v>6349</v>
      </c>
      <c r="B367" s="54" t="s">
        <v>6350</v>
      </c>
      <c r="C367" t="s">
        <v>9492</v>
      </c>
      <c r="E367" s="45" t="s">
        <v>9493</v>
      </c>
      <c r="F367" s="45" t="s">
        <v>9494</v>
      </c>
      <c r="G367" s="12" t="s">
        <v>9495</v>
      </c>
      <c r="H367" t="s">
        <v>9496</v>
      </c>
    </row>
    <row r="368" spans="1:8" x14ac:dyDescent="0.45">
      <c r="A368" s="53" t="s">
        <v>6349</v>
      </c>
      <c r="B368" s="54" t="s">
        <v>6350</v>
      </c>
      <c r="C368" t="s">
        <v>9492</v>
      </c>
      <c r="E368" s="45" t="s">
        <v>9493</v>
      </c>
      <c r="F368" s="45" t="s">
        <v>9497</v>
      </c>
      <c r="G368" t="s">
        <v>9498</v>
      </c>
      <c r="H368" t="s">
        <v>9499</v>
      </c>
    </row>
    <row r="369" spans="1:8" x14ac:dyDescent="0.45">
      <c r="A369" s="53" t="s">
        <v>5322</v>
      </c>
      <c r="B369" s="54" t="s">
        <v>5323</v>
      </c>
      <c r="C369" t="s">
        <v>9156</v>
      </c>
      <c r="E369" s="45" t="s">
        <v>9157</v>
      </c>
      <c r="F369" s="45" t="s">
        <v>9158</v>
      </c>
      <c r="G369" s="12" t="s">
        <v>9159</v>
      </c>
      <c r="H369" t="s">
        <v>9160</v>
      </c>
    </row>
    <row r="370" spans="1:8" x14ac:dyDescent="0.45">
      <c r="A370" s="53" t="s">
        <v>7375</v>
      </c>
      <c r="B370" s="54" t="s">
        <v>7376</v>
      </c>
      <c r="C370" t="s">
        <v>10031</v>
      </c>
      <c r="E370" s="45" t="s">
        <v>10032</v>
      </c>
      <c r="F370" s="45" t="s">
        <v>10033</v>
      </c>
      <c r="G370" t="s">
        <v>3122</v>
      </c>
      <c r="H370" t="s">
        <v>3406</v>
      </c>
    </row>
    <row r="371" spans="1:8" x14ac:dyDescent="0.45">
      <c r="A371" s="53" t="s">
        <v>7375</v>
      </c>
      <c r="B371" s="54" t="s">
        <v>7376</v>
      </c>
      <c r="C371" t="s">
        <v>10031</v>
      </c>
      <c r="E371" s="45" t="s">
        <v>10032</v>
      </c>
      <c r="F371" s="45" t="s">
        <v>10034</v>
      </c>
      <c r="G371" s="12" t="s">
        <v>3124</v>
      </c>
      <c r="H371" t="s">
        <v>3408</v>
      </c>
    </row>
    <row r="372" spans="1:8" x14ac:dyDescent="0.45">
      <c r="A372" s="53" t="s">
        <v>7375</v>
      </c>
      <c r="B372" s="54" t="s">
        <v>7376</v>
      </c>
      <c r="C372" t="s">
        <v>10031</v>
      </c>
      <c r="E372" s="45" t="s">
        <v>10032</v>
      </c>
      <c r="F372" s="45" t="s">
        <v>10035</v>
      </c>
      <c r="G372" t="s">
        <v>3123</v>
      </c>
      <c r="H372" t="s">
        <v>3407</v>
      </c>
    </row>
    <row r="373" spans="1:8" x14ac:dyDescent="0.45">
      <c r="A373" s="53" t="s">
        <v>7375</v>
      </c>
      <c r="B373" s="54" t="s">
        <v>7376</v>
      </c>
      <c r="C373" t="s">
        <v>10031</v>
      </c>
      <c r="E373" s="45" t="s">
        <v>10032</v>
      </c>
      <c r="F373" s="45" t="s">
        <v>10036</v>
      </c>
      <c r="G373" s="12" t="s">
        <v>3125</v>
      </c>
      <c r="H373" t="s">
        <v>3409</v>
      </c>
    </row>
    <row r="374" spans="1:8" x14ac:dyDescent="0.45">
      <c r="A374" s="53" t="s">
        <v>5273</v>
      </c>
      <c r="B374" s="54" t="s">
        <v>5274</v>
      </c>
      <c r="C374" t="s">
        <v>9103</v>
      </c>
      <c r="E374" s="45" t="s">
        <v>9105</v>
      </c>
      <c r="F374" s="45" t="s">
        <v>9104</v>
      </c>
      <c r="G374" t="s">
        <v>3127</v>
      </c>
      <c r="H374" t="s">
        <v>3411</v>
      </c>
    </row>
    <row r="375" spans="1:8" x14ac:dyDescent="0.45">
      <c r="A375" s="53" t="s">
        <v>5273</v>
      </c>
      <c r="B375" s="54" t="s">
        <v>5274</v>
      </c>
      <c r="C375" t="s">
        <v>9103</v>
      </c>
      <c r="E375" s="45" t="s">
        <v>9105</v>
      </c>
      <c r="F375" s="45" t="s">
        <v>9106</v>
      </c>
      <c r="G375" s="12" t="s">
        <v>3126</v>
      </c>
      <c r="H375" t="s">
        <v>3410</v>
      </c>
    </row>
    <row r="376" spans="1:8" x14ac:dyDescent="0.45">
      <c r="A376" s="53" t="s">
        <v>5656</v>
      </c>
      <c r="B376" s="54" t="s">
        <v>5657</v>
      </c>
      <c r="C376" t="s">
        <v>9107</v>
      </c>
      <c r="E376" s="45" t="s">
        <v>9108</v>
      </c>
      <c r="F376" s="45" t="s">
        <v>9109</v>
      </c>
      <c r="G376" s="12" t="s">
        <v>3128</v>
      </c>
      <c r="H376" t="s">
        <v>3412</v>
      </c>
    </row>
    <row r="377" spans="1:8" x14ac:dyDescent="0.45">
      <c r="A377" s="53" t="s">
        <v>5275</v>
      </c>
      <c r="B377" s="54" t="s">
        <v>5276</v>
      </c>
      <c r="C377" t="s">
        <v>9107</v>
      </c>
      <c r="E377" s="45" t="s">
        <v>9108</v>
      </c>
      <c r="F377" s="45" t="s">
        <v>9109</v>
      </c>
      <c r="G377" s="12" t="s">
        <v>3128</v>
      </c>
      <c r="H377" t="s">
        <v>3412</v>
      </c>
    </row>
    <row r="378" spans="1:8" x14ac:dyDescent="0.45">
      <c r="A378" s="53" t="s">
        <v>6729</v>
      </c>
      <c r="B378" s="54" t="s">
        <v>6730</v>
      </c>
      <c r="C378" t="s">
        <v>9804</v>
      </c>
      <c r="E378" s="45" t="s">
        <v>9805</v>
      </c>
      <c r="F378" s="45" t="s">
        <v>9806</v>
      </c>
      <c r="G378" t="s">
        <v>3129</v>
      </c>
      <c r="H378" t="s">
        <v>3413</v>
      </c>
    </row>
    <row r="379" spans="1:8" x14ac:dyDescent="0.45">
      <c r="A379" s="53" t="s">
        <v>5501</v>
      </c>
      <c r="B379" s="54" t="s">
        <v>5502</v>
      </c>
      <c r="C379" t="s">
        <v>8717</v>
      </c>
    </row>
    <row r="380" spans="1:8" x14ac:dyDescent="0.45">
      <c r="A380" s="53" t="s">
        <v>4610</v>
      </c>
      <c r="B380" s="54" t="s">
        <v>4611</v>
      </c>
      <c r="C380" t="s">
        <v>8717</v>
      </c>
    </row>
    <row r="381" spans="1:8" x14ac:dyDescent="0.45">
      <c r="A381" s="53" t="s">
        <v>5977</v>
      </c>
      <c r="B381" s="54" t="s">
        <v>5978</v>
      </c>
      <c r="C381" t="s">
        <v>9313</v>
      </c>
      <c r="E381" s="45" t="s">
        <v>9314</v>
      </c>
      <c r="F381" s="45" t="s">
        <v>9315</v>
      </c>
      <c r="G381" t="s">
        <v>3130</v>
      </c>
      <c r="H381" t="s">
        <v>3414</v>
      </c>
    </row>
    <row r="382" spans="1:8" x14ac:dyDescent="0.45">
      <c r="A382" s="53" t="s">
        <v>8009</v>
      </c>
      <c r="B382" s="54" t="s">
        <v>8010</v>
      </c>
      <c r="C382" t="s">
        <v>10208</v>
      </c>
      <c r="E382" s="45" t="s">
        <v>10209</v>
      </c>
      <c r="F382" s="45" t="s">
        <v>9414</v>
      </c>
      <c r="G382" s="12" t="s">
        <v>3242</v>
      </c>
      <c r="H382" t="s">
        <v>3521</v>
      </c>
    </row>
    <row r="383" spans="1:8" x14ac:dyDescent="0.45">
      <c r="A383" s="53" t="s">
        <v>8009</v>
      </c>
      <c r="B383" s="54" t="s">
        <v>8010</v>
      </c>
      <c r="C383" t="s">
        <v>10208</v>
      </c>
      <c r="E383" s="45" t="s">
        <v>10209</v>
      </c>
      <c r="F383" s="45" t="s">
        <v>10210</v>
      </c>
      <c r="G383" s="12" t="s">
        <v>10211</v>
      </c>
      <c r="H383" t="s">
        <v>10212</v>
      </c>
    </row>
    <row r="384" spans="1:8" x14ac:dyDescent="0.45">
      <c r="A384" s="53" t="s">
        <v>8009</v>
      </c>
      <c r="B384" s="54" t="s">
        <v>8010</v>
      </c>
      <c r="C384" t="s">
        <v>10208</v>
      </c>
      <c r="E384" s="45" t="s">
        <v>10209</v>
      </c>
      <c r="F384" s="45" t="s">
        <v>10213</v>
      </c>
      <c r="G384" t="s">
        <v>10214</v>
      </c>
      <c r="H384" t="s">
        <v>10215</v>
      </c>
    </row>
    <row r="385" spans="1:8" x14ac:dyDescent="0.45">
      <c r="A385" s="53" t="s">
        <v>3929</v>
      </c>
      <c r="B385" s="54" t="s">
        <v>3930</v>
      </c>
      <c r="C385" t="s">
        <v>8507</v>
      </c>
    </row>
    <row r="386" spans="1:8" x14ac:dyDescent="0.45">
      <c r="A386" s="53" t="s">
        <v>4028</v>
      </c>
      <c r="B386" s="54" t="s">
        <v>4029</v>
      </c>
      <c r="C386" t="s">
        <v>8507</v>
      </c>
    </row>
    <row r="387" spans="1:8" x14ac:dyDescent="0.45">
      <c r="A387" s="53" t="s">
        <v>6791</v>
      </c>
      <c r="B387" s="54" t="s">
        <v>6792</v>
      </c>
      <c r="C387" t="s">
        <v>8507</v>
      </c>
    </row>
    <row r="388" spans="1:8" x14ac:dyDescent="0.45">
      <c r="A388" s="53" t="s">
        <v>8060</v>
      </c>
      <c r="B388" s="54" t="s">
        <v>8061</v>
      </c>
      <c r="C388" t="s">
        <v>8507</v>
      </c>
    </row>
    <row r="389" spans="1:8" x14ac:dyDescent="0.45">
      <c r="A389" s="53" t="s">
        <v>8106</v>
      </c>
      <c r="B389" s="54" t="s">
        <v>8107</v>
      </c>
      <c r="C389" t="s">
        <v>8507</v>
      </c>
    </row>
    <row r="390" spans="1:8" x14ac:dyDescent="0.45">
      <c r="A390" s="53" t="s">
        <v>7107</v>
      </c>
      <c r="B390" s="54" t="s">
        <v>7108</v>
      </c>
      <c r="C390" t="s">
        <v>8507</v>
      </c>
    </row>
    <row r="391" spans="1:8" x14ac:dyDescent="0.45">
      <c r="A391" s="53" t="s">
        <v>6836</v>
      </c>
      <c r="B391" s="54" t="s">
        <v>6837</v>
      </c>
      <c r="C391" t="s">
        <v>8507</v>
      </c>
    </row>
    <row r="392" spans="1:8" x14ac:dyDescent="0.45">
      <c r="A392" s="53" t="s">
        <v>7821</v>
      </c>
      <c r="B392" s="54" t="s">
        <v>7822</v>
      </c>
      <c r="C392" t="s">
        <v>8507</v>
      </c>
    </row>
    <row r="393" spans="1:8" x14ac:dyDescent="0.45">
      <c r="A393" s="53" t="s">
        <v>5280</v>
      </c>
      <c r="B393" s="54" t="s">
        <v>5281</v>
      </c>
      <c r="C393" t="s">
        <v>8507</v>
      </c>
    </row>
    <row r="394" spans="1:8" x14ac:dyDescent="0.45">
      <c r="A394" s="53" t="s">
        <v>7139</v>
      </c>
      <c r="B394" s="54" t="s">
        <v>7140</v>
      </c>
      <c r="C394" t="s">
        <v>8507</v>
      </c>
    </row>
    <row r="395" spans="1:8" x14ac:dyDescent="0.45">
      <c r="A395" s="53" t="s">
        <v>6139</v>
      </c>
      <c r="B395" s="54" t="s">
        <v>6140</v>
      </c>
      <c r="C395" t="s">
        <v>8507</v>
      </c>
    </row>
    <row r="396" spans="1:8" x14ac:dyDescent="0.45">
      <c r="A396" s="53" t="s">
        <v>7989</v>
      </c>
      <c r="B396" s="54" t="s">
        <v>7990</v>
      </c>
      <c r="C396" t="s">
        <v>8507</v>
      </c>
    </row>
    <row r="397" spans="1:8" x14ac:dyDescent="0.45">
      <c r="A397" s="53" t="s">
        <v>5621</v>
      </c>
      <c r="B397" s="54" t="s">
        <v>5622</v>
      </c>
      <c r="C397" t="s">
        <v>9213</v>
      </c>
      <c r="E397" s="45" t="s">
        <v>9214</v>
      </c>
      <c r="F397" s="45" t="s">
        <v>9215</v>
      </c>
      <c r="G397" s="12" t="s">
        <v>9216</v>
      </c>
      <c r="H397" t="s">
        <v>9217</v>
      </c>
    </row>
    <row r="398" spans="1:8" x14ac:dyDescent="0.45">
      <c r="A398" s="53" t="s">
        <v>5971</v>
      </c>
      <c r="B398" s="54" t="s">
        <v>5972</v>
      </c>
      <c r="C398" t="s">
        <v>9291</v>
      </c>
      <c r="E398" s="45" t="s">
        <v>9294</v>
      </c>
      <c r="F398" s="57" t="s">
        <v>9292</v>
      </c>
      <c r="G398" s="12" t="s">
        <v>9293</v>
      </c>
      <c r="H398" t="s">
        <v>3417</v>
      </c>
    </row>
    <row r="399" spans="1:8" x14ac:dyDescent="0.45">
      <c r="A399" s="53" t="s">
        <v>5971</v>
      </c>
      <c r="B399" s="54" t="s">
        <v>5972</v>
      </c>
      <c r="C399" t="s">
        <v>9291</v>
      </c>
      <c r="E399" s="45" t="s">
        <v>9294</v>
      </c>
      <c r="F399" s="45" t="s">
        <v>9295</v>
      </c>
      <c r="G399" s="12" t="s">
        <v>3131</v>
      </c>
      <c r="H399" t="s">
        <v>3415</v>
      </c>
    </row>
    <row r="400" spans="1:8" x14ac:dyDescent="0.45">
      <c r="A400" s="53" t="s">
        <v>5971</v>
      </c>
      <c r="B400" s="54" t="s">
        <v>5972</v>
      </c>
      <c r="C400" t="s">
        <v>9291</v>
      </c>
      <c r="E400" s="45" t="s">
        <v>9294</v>
      </c>
      <c r="F400" s="45" t="s">
        <v>9296</v>
      </c>
      <c r="G400" s="12" t="s">
        <v>3133</v>
      </c>
      <c r="H400" t="s">
        <v>3418</v>
      </c>
    </row>
    <row r="401" spans="1:8" x14ac:dyDescent="0.45">
      <c r="A401" s="53" t="s">
        <v>5971</v>
      </c>
      <c r="B401" s="54" t="s">
        <v>5972</v>
      </c>
      <c r="C401" t="s">
        <v>9291</v>
      </c>
      <c r="E401" s="45" t="s">
        <v>9294</v>
      </c>
      <c r="F401" s="45" t="s">
        <v>9297</v>
      </c>
      <c r="G401" s="12" t="s">
        <v>3135</v>
      </c>
      <c r="H401" t="s">
        <v>3420</v>
      </c>
    </row>
    <row r="402" spans="1:8" x14ac:dyDescent="0.45">
      <c r="A402" s="53" t="s">
        <v>5971</v>
      </c>
      <c r="B402" s="54" t="s">
        <v>5972</v>
      </c>
      <c r="C402" t="s">
        <v>9291</v>
      </c>
      <c r="E402" s="45" t="s">
        <v>9294</v>
      </c>
      <c r="F402" s="45" t="s">
        <v>9298</v>
      </c>
      <c r="G402" s="12" t="s">
        <v>3137</v>
      </c>
      <c r="H402" t="s">
        <v>3422</v>
      </c>
    </row>
    <row r="403" spans="1:8" x14ac:dyDescent="0.45">
      <c r="A403" s="53" t="s">
        <v>5971</v>
      </c>
      <c r="B403" s="54" t="s">
        <v>5972</v>
      </c>
      <c r="C403" t="s">
        <v>9291</v>
      </c>
      <c r="E403" s="45" t="s">
        <v>9294</v>
      </c>
      <c r="F403" s="45" t="s">
        <v>9299</v>
      </c>
      <c r="G403" s="12" t="s">
        <v>3132</v>
      </c>
      <c r="H403" t="s">
        <v>3416</v>
      </c>
    </row>
    <row r="404" spans="1:8" x14ac:dyDescent="0.45">
      <c r="A404" s="53" t="s">
        <v>5971</v>
      </c>
      <c r="B404" s="54" t="s">
        <v>5972</v>
      </c>
      <c r="C404" t="s">
        <v>9291</v>
      </c>
      <c r="E404" s="45" t="s">
        <v>9294</v>
      </c>
      <c r="F404" s="45" t="s">
        <v>8921</v>
      </c>
      <c r="G404" s="12" t="s">
        <v>3139</v>
      </c>
      <c r="H404" t="s">
        <v>3424</v>
      </c>
    </row>
    <row r="405" spans="1:8" x14ac:dyDescent="0.45">
      <c r="A405" s="53" t="s">
        <v>5971</v>
      </c>
      <c r="B405" s="54" t="s">
        <v>5972</v>
      </c>
      <c r="C405" t="s">
        <v>9291</v>
      </c>
      <c r="E405" s="45" t="s">
        <v>9294</v>
      </c>
      <c r="F405" s="45" t="s">
        <v>9300</v>
      </c>
      <c r="G405" s="12" t="s">
        <v>3134</v>
      </c>
      <c r="H405" t="s">
        <v>3419</v>
      </c>
    </row>
    <row r="406" spans="1:8" x14ac:dyDescent="0.45">
      <c r="A406" s="53" t="s">
        <v>5971</v>
      </c>
      <c r="B406" s="54" t="s">
        <v>5972</v>
      </c>
      <c r="C406" t="s">
        <v>9291</v>
      </c>
      <c r="E406" s="45" t="s">
        <v>9294</v>
      </c>
      <c r="F406" s="45" t="s">
        <v>9301</v>
      </c>
      <c r="G406" s="12" t="s">
        <v>3136</v>
      </c>
      <c r="H406" t="s">
        <v>3421</v>
      </c>
    </row>
    <row r="407" spans="1:8" x14ac:dyDescent="0.45">
      <c r="A407" s="53" t="s">
        <v>5971</v>
      </c>
      <c r="B407" s="54" t="s">
        <v>5972</v>
      </c>
      <c r="C407" t="s">
        <v>9291</v>
      </c>
      <c r="E407" s="45" t="s">
        <v>9294</v>
      </c>
      <c r="F407" s="45" t="s">
        <v>9302</v>
      </c>
      <c r="G407" s="12" t="s">
        <v>3138</v>
      </c>
      <c r="H407" t="s">
        <v>3423</v>
      </c>
    </row>
    <row r="408" spans="1:8" x14ac:dyDescent="0.45">
      <c r="A408" s="53" t="s">
        <v>4784</v>
      </c>
      <c r="B408" s="54" t="s">
        <v>4785</v>
      </c>
      <c r="C408" t="s">
        <v>8920</v>
      </c>
      <c r="E408" s="45" t="s">
        <v>8919</v>
      </c>
      <c r="F408" s="45" t="s">
        <v>8921</v>
      </c>
      <c r="G408" t="s">
        <v>3139</v>
      </c>
      <c r="H408" t="s">
        <v>3424</v>
      </c>
    </row>
    <row r="409" spans="1:8" x14ac:dyDescent="0.45">
      <c r="A409" s="53" t="s">
        <v>3861</v>
      </c>
      <c r="B409" s="54" t="s">
        <v>3862</v>
      </c>
      <c r="C409" t="s">
        <v>8493</v>
      </c>
      <c r="E409" s="45" t="s">
        <v>8494</v>
      </c>
      <c r="F409" s="45" t="s">
        <v>8495</v>
      </c>
      <c r="G409" t="s">
        <v>8496</v>
      </c>
      <c r="H409" t="s">
        <v>8497</v>
      </c>
    </row>
    <row r="410" spans="1:8" x14ac:dyDescent="0.45">
      <c r="A410" s="53" t="s">
        <v>4738</v>
      </c>
      <c r="B410" s="54" t="s">
        <v>4739</v>
      </c>
      <c r="C410" t="s">
        <v>8910</v>
      </c>
      <c r="E410" s="10" t="s">
        <v>8912</v>
      </c>
      <c r="F410" s="45" t="s">
        <v>8913</v>
      </c>
      <c r="G410" s="12" t="s">
        <v>3140</v>
      </c>
      <c r="H410" t="s">
        <v>3425</v>
      </c>
    </row>
    <row r="411" spans="1:8" x14ac:dyDescent="0.45">
      <c r="A411" s="53" t="s">
        <v>4738</v>
      </c>
      <c r="B411" s="54" t="s">
        <v>4739</v>
      </c>
      <c r="C411" t="s">
        <v>8910</v>
      </c>
      <c r="E411" s="10" t="s">
        <v>8912</v>
      </c>
      <c r="F411" s="45" t="s">
        <v>8914</v>
      </c>
      <c r="G411" s="12" t="s">
        <v>3141</v>
      </c>
      <c r="H411" t="s">
        <v>3426</v>
      </c>
    </row>
    <row r="412" spans="1:8" x14ac:dyDescent="0.45">
      <c r="A412" s="53" t="s">
        <v>4817</v>
      </c>
      <c r="B412" s="54" t="s">
        <v>4818</v>
      </c>
      <c r="C412" t="s">
        <v>8910</v>
      </c>
      <c r="E412" s="45" t="s">
        <v>8944</v>
      </c>
      <c r="F412" s="45" t="s">
        <v>8913</v>
      </c>
      <c r="G412" s="12" t="s">
        <v>3140</v>
      </c>
      <c r="H412" t="s">
        <v>3425</v>
      </c>
    </row>
    <row r="413" spans="1:8" x14ac:dyDescent="0.45">
      <c r="A413" s="53" t="s">
        <v>4817</v>
      </c>
      <c r="B413" s="54" t="s">
        <v>4818</v>
      </c>
      <c r="C413" t="s">
        <v>8910</v>
      </c>
      <c r="E413" s="45" t="s">
        <v>8944</v>
      </c>
      <c r="F413" s="45" t="s">
        <v>8914</v>
      </c>
      <c r="G413" t="s">
        <v>3141</v>
      </c>
      <c r="H413" s="12" t="s">
        <v>3141</v>
      </c>
    </row>
    <row r="414" spans="1:8" x14ac:dyDescent="0.45">
      <c r="A414" s="53" t="s">
        <v>6283</v>
      </c>
      <c r="B414" s="54" t="s">
        <v>6284</v>
      </c>
      <c r="C414" t="s">
        <v>9449</v>
      </c>
      <c r="E414" s="45" t="s">
        <v>9450</v>
      </c>
      <c r="F414" s="45" t="s">
        <v>9451</v>
      </c>
      <c r="G414" s="12" t="s">
        <v>9452</v>
      </c>
      <c r="H414" t="s">
        <v>9453</v>
      </c>
    </row>
    <row r="415" spans="1:8" x14ac:dyDescent="0.45">
      <c r="A415" s="53" t="s">
        <v>5064</v>
      </c>
      <c r="B415" s="54" t="s">
        <v>5065</v>
      </c>
      <c r="C415" t="s">
        <v>9009</v>
      </c>
      <c r="E415" s="45" t="s">
        <v>9013</v>
      </c>
      <c r="F415" s="45" t="s">
        <v>9010</v>
      </c>
      <c r="G415" s="12" t="s">
        <v>9011</v>
      </c>
      <c r="H415" t="s">
        <v>9012</v>
      </c>
    </row>
    <row r="416" spans="1:8" x14ac:dyDescent="0.45">
      <c r="A416" s="53" t="s">
        <v>5064</v>
      </c>
      <c r="B416" s="54" t="s">
        <v>5065</v>
      </c>
      <c r="C416" t="s">
        <v>9009</v>
      </c>
      <c r="E416" s="45" t="s">
        <v>9014</v>
      </c>
      <c r="F416" s="45" t="s">
        <v>9015</v>
      </c>
      <c r="G416" s="12" t="s">
        <v>9016</v>
      </c>
      <c r="H416" t="s">
        <v>9017</v>
      </c>
    </row>
    <row r="417" spans="1:8" x14ac:dyDescent="0.45">
      <c r="A417" s="53" t="s">
        <v>5064</v>
      </c>
      <c r="B417" s="54" t="s">
        <v>5065</v>
      </c>
      <c r="C417" t="s">
        <v>9009</v>
      </c>
      <c r="E417" s="45" t="s">
        <v>9013</v>
      </c>
      <c r="F417" s="45" t="s">
        <v>9018</v>
      </c>
      <c r="G417" t="s">
        <v>9019</v>
      </c>
      <c r="H417" t="s">
        <v>9020</v>
      </c>
    </row>
    <row r="418" spans="1:8" x14ac:dyDescent="0.45">
      <c r="A418" s="53" t="s">
        <v>6436</v>
      </c>
      <c r="B418" s="54" t="s">
        <v>6437</v>
      </c>
      <c r="C418" t="s">
        <v>9642</v>
      </c>
      <c r="E418" s="45" t="s">
        <v>9643</v>
      </c>
      <c r="F418" s="45" t="s">
        <v>9644</v>
      </c>
      <c r="G418" s="12" t="s">
        <v>9645</v>
      </c>
      <c r="H418" t="s">
        <v>9646</v>
      </c>
    </row>
    <row r="419" spans="1:8" x14ac:dyDescent="0.45">
      <c r="A419" s="53" t="s">
        <v>4794</v>
      </c>
      <c r="B419" s="54" t="s">
        <v>4795</v>
      </c>
      <c r="C419" t="s">
        <v>8926</v>
      </c>
      <c r="E419" s="45" t="s">
        <v>8927</v>
      </c>
      <c r="F419" s="45" t="s">
        <v>8928</v>
      </c>
      <c r="G419" t="s">
        <v>8929</v>
      </c>
      <c r="H419" t="s">
        <v>8930</v>
      </c>
    </row>
    <row r="420" spans="1:8" x14ac:dyDescent="0.45">
      <c r="A420" s="53" t="s">
        <v>4794</v>
      </c>
      <c r="B420" s="54" t="s">
        <v>4795</v>
      </c>
      <c r="C420" t="s">
        <v>8926</v>
      </c>
      <c r="E420" s="45" t="s">
        <v>8927</v>
      </c>
      <c r="F420" s="45" t="s">
        <v>8931</v>
      </c>
      <c r="G420" t="s">
        <v>8932</v>
      </c>
      <c r="H420" t="s">
        <v>8933</v>
      </c>
    </row>
    <row r="421" spans="1:8" x14ac:dyDescent="0.45">
      <c r="A421" s="53" t="s">
        <v>4797</v>
      </c>
      <c r="B421" s="54" t="s">
        <v>4798</v>
      </c>
      <c r="C421" t="s">
        <v>8926</v>
      </c>
      <c r="E421" s="45" t="s">
        <v>8927</v>
      </c>
      <c r="F421" s="45" t="s">
        <v>8928</v>
      </c>
      <c r="G421" t="s">
        <v>8929</v>
      </c>
      <c r="H421" t="s">
        <v>8930</v>
      </c>
    </row>
    <row r="422" spans="1:8" x14ac:dyDescent="0.45">
      <c r="A422" s="53" t="s">
        <v>4797</v>
      </c>
      <c r="B422" s="54" t="s">
        <v>4798</v>
      </c>
      <c r="C422" t="s">
        <v>8926</v>
      </c>
      <c r="E422" s="45" t="s">
        <v>8927</v>
      </c>
      <c r="F422" s="45" t="s">
        <v>8931</v>
      </c>
      <c r="G422" t="s">
        <v>8932</v>
      </c>
      <c r="H422" t="s">
        <v>8933</v>
      </c>
    </row>
    <row r="423" spans="1:8" x14ac:dyDescent="0.45">
      <c r="A423" s="53" t="s">
        <v>6278</v>
      </c>
      <c r="B423" s="54" t="s">
        <v>6279</v>
      </c>
      <c r="C423" t="s">
        <v>9440</v>
      </c>
      <c r="E423" s="45" t="s">
        <v>9441</v>
      </c>
      <c r="F423" s="45" t="s">
        <v>9442</v>
      </c>
      <c r="G423" s="12" t="s">
        <v>3142</v>
      </c>
      <c r="H423" t="s">
        <v>3427</v>
      </c>
    </row>
    <row r="424" spans="1:8" x14ac:dyDescent="0.45">
      <c r="A424" s="53" t="s">
        <v>6278</v>
      </c>
      <c r="B424" s="54" t="s">
        <v>6279</v>
      </c>
      <c r="C424" t="s">
        <v>9440</v>
      </c>
      <c r="E424" s="45" t="s">
        <v>9441</v>
      </c>
      <c r="F424" s="45" t="s">
        <v>9443</v>
      </c>
      <c r="G424" s="12" t="s">
        <v>3143</v>
      </c>
      <c r="H424" t="s">
        <v>3428</v>
      </c>
    </row>
    <row r="425" spans="1:8" x14ac:dyDescent="0.45">
      <c r="A425" s="53" t="s">
        <v>6278</v>
      </c>
      <c r="B425" s="54" t="s">
        <v>6279</v>
      </c>
      <c r="C425" t="s">
        <v>9440</v>
      </c>
      <c r="E425" s="45" t="s">
        <v>9441</v>
      </c>
      <c r="F425" s="45" t="s">
        <v>9444</v>
      </c>
      <c r="G425" s="12" t="s">
        <v>3144</v>
      </c>
      <c r="H425" t="s">
        <v>3429</v>
      </c>
    </row>
    <row r="426" spans="1:8" x14ac:dyDescent="0.45">
      <c r="A426" s="53" t="s">
        <v>4554</v>
      </c>
      <c r="B426" s="54" t="s">
        <v>4555</v>
      </c>
      <c r="C426" t="s">
        <v>8692</v>
      </c>
      <c r="E426" s="45" t="s">
        <v>8693</v>
      </c>
      <c r="F426" s="45" t="s">
        <v>8694</v>
      </c>
      <c r="G426" t="s">
        <v>3145</v>
      </c>
      <c r="H426" t="s">
        <v>3430</v>
      </c>
    </row>
    <row r="427" spans="1:8" x14ac:dyDescent="0.45">
      <c r="A427" s="53" t="s">
        <v>4738</v>
      </c>
      <c r="B427" s="54" t="s">
        <v>4739</v>
      </c>
      <c r="C427" t="s">
        <v>8911</v>
      </c>
      <c r="E427" s="10" t="s">
        <v>8915</v>
      </c>
      <c r="F427" s="45" t="s">
        <v>8914</v>
      </c>
      <c r="G427" s="12" t="s">
        <v>3141</v>
      </c>
      <c r="H427" t="s">
        <v>3426</v>
      </c>
    </row>
    <row r="428" spans="1:8" x14ac:dyDescent="0.45">
      <c r="A428" s="53" t="s">
        <v>6304</v>
      </c>
      <c r="B428" s="54" t="s">
        <v>6305</v>
      </c>
      <c r="C428" t="s">
        <v>9465</v>
      </c>
      <c r="E428" s="45" t="s">
        <v>9466</v>
      </c>
      <c r="F428" s="45" t="s">
        <v>9467</v>
      </c>
      <c r="G428" s="12" t="s">
        <v>3146</v>
      </c>
      <c r="H428" t="s">
        <v>3431</v>
      </c>
    </row>
    <row r="429" spans="1:8" x14ac:dyDescent="0.45">
      <c r="A429" s="53" t="s">
        <v>7091</v>
      </c>
      <c r="B429" s="54" t="s">
        <v>7092</v>
      </c>
      <c r="C429" t="s">
        <v>9952</v>
      </c>
      <c r="E429" s="45" t="s">
        <v>9953</v>
      </c>
      <c r="F429" s="45" t="s">
        <v>9954</v>
      </c>
      <c r="G429" s="12" t="s">
        <v>3113</v>
      </c>
      <c r="H429" t="s">
        <v>3432</v>
      </c>
    </row>
    <row r="430" spans="1:8" x14ac:dyDescent="0.45">
      <c r="A430" s="53" t="s">
        <v>6034</v>
      </c>
      <c r="B430" s="54" t="s">
        <v>6035</v>
      </c>
      <c r="C430" t="s">
        <v>9318</v>
      </c>
      <c r="E430" s="45" t="s">
        <v>9319</v>
      </c>
      <c r="F430" s="45" t="s">
        <v>9320</v>
      </c>
      <c r="G430" s="12" t="s">
        <v>3147</v>
      </c>
      <c r="H430" t="s">
        <v>3433</v>
      </c>
    </row>
    <row r="431" spans="1:8" x14ac:dyDescent="0.45">
      <c r="A431" s="53" t="s">
        <v>7486</v>
      </c>
      <c r="B431" s="54" t="s">
        <v>7487</v>
      </c>
      <c r="C431" t="s">
        <v>10080</v>
      </c>
      <c r="E431" s="45" t="s">
        <v>10081</v>
      </c>
      <c r="F431" s="45" t="s">
        <v>10082</v>
      </c>
      <c r="G431" s="12" t="s">
        <v>3148</v>
      </c>
      <c r="H431" t="s">
        <v>3434</v>
      </c>
    </row>
    <row r="432" spans="1:8" x14ac:dyDescent="0.45">
      <c r="A432" s="53" t="s">
        <v>6083</v>
      </c>
      <c r="B432" s="54" t="s">
        <v>6084</v>
      </c>
      <c r="C432" t="s">
        <v>9327</v>
      </c>
      <c r="E432" s="45" t="s">
        <v>9328</v>
      </c>
      <c r="F432" s="45" t="s">
        <v>9329</v>
      </c>
      <c r="G432" s="12" t="s">
        <v>3150</v>
      </c>
      <c r="H432" t="s">
        <v>3436</v>
      </c>
    </row>
    <row r="433" spans="1:8" x14ac:dyDescent="0.45">
      <c r="A433" s="53" t="s">
        <v>6083</v>
      </c>
      <c r="B433" s="54" t="s">
        <v>6084</v>
      </c>
      <c r="C433" t="s">
        <v>9327</v>
      </c>
      <c r="E433" s="45" t="s">
        <v>9328</v>
      </c>
      <c r="F433" s="45" t="s">
        <v>9330</v>
      </c>
      <c r="G433" s="12" t="s">
        <v>3149</v>
      </c>
      <c r="H433" t="s">
        <v>3435</v>
      </c>
    </row>
    <row r="434" spans="1:8" x14ac:dyDescent="0.45">
      <c r="A434" s="53" t="s">
        <v>6083</v>
      </c>
      <c r="B434" s="54" t="s">
        <v>6084</v>
      </c>
      <c r="C434" t="s">
        <v>9327</v>
      </c>
      <c r="E434" s="45" t="s">
        <v>9328</v>
      </c>
      <c r="F434" s="45" t="s">
        <v>9331</v>
      </c>
      <c r="G434" s="12" t="s">
        <v>3151</v>
      </c>
      <c r="H434" t="s">
        <v>3437</v>
      </c>
    </row>
    <row r="435" spans="1:8" x14ac:dyDescent="0.45">
      <c r="A435" s="53" t="s">
        <v>6130</v>
      </c>
      <c r="B435" s="54" t="s">
        <v>6131</v>
      </c>
      <c r="C435" t="s">
        <v>9371</v>
      </c>
      <c r="E435" s="45" t="s">
        <v>9372</v>
      </c>
      <c r="F435" s="45" t="s">
        <v>9373</v>
      </c>
      <c r="G435" t="s">
        <v>9374</v>
      </c>
      <c r="H435" t="s">
        <v>9375</v>
      </c>
    </row>
    <row r="436" spans="1:8" x14ac:dyDescent="0.45">
      <c r="A436" s="53" t="s">
        <v>6130</v>
      </c>
      <c r="B436" s="54" t="s">
        <v>6131</v>
      </c>
      <c r="C436" t="s">
        <v>9371</v>
      </c>
      <c r="E436" s="45" t="s">
        <v>9372</v>
      </c>
      <c r="F436" s="45" t="s">
        <v>9376</v>
      </c>
      <c r="G436" s="12" t="s">
        <v>9377</v>
      </c>
      <c r="H436" t="s">
        <v>9378</v>
      </c>
    </row>
    <row r="437" spans="1:8" x14ac:dyDescent="0.45">
      <c r="A437" s="53" t="s">
        <v>6130</v>
      </c>
      <c r="B437" s="54" t="s">
        <v>6131</v>
      </c>
      <c r="C437" t="s">
        <v>9371</v>
      </c>
      <c r="E437" s="45" t="s">
        <v>9372</v>
      </c>
      <c r="F437" s="45" t="s">
        <v>9379</v>
      </c>
      <c r="G437" s="12" t="s">
        <v>9380</v>
      </c>
      <c r="H437" t="s">
        <v>9381</v>
      </c>
    </row>
    <row r="438" spans="1:8" x14ac:dyDescent="0.45">
      <c r="A438" s="53" t="s">
        <v>6397</v>
      </c>
      <c r="B438" s="54" t="s">
        <v>6398</v>
      </c>
      <c r="C438" t="s">
        <v>9601</v>
      </c>
      <c r="E438" s="45" t="s">
        <v>9602</v>
      </c>
      <c r="F438" s="45" t="s">
        <v>9603</v>
      </c>
      <c r="G438" s="12" t="s">
        <v>3152</v>
      </c>
      <c r="H438" t="s">
        <v>3438</v>
      </c>
    </row>
    <row r="439" spans="1:8" x14ac:dyDescent="0.45">
      <c r="A439" s="53" t="s">
        <v>6358</v>
      </c>
      <c r="B439" s="54" t="s">
        <v>6359</v>
      </c>
      <c r="C439" t="s">
        <v>9516</v>
      </c>
      <c r="E439" s="45" t="s">
        <v>9517</v>
      </c>
      <c r="F439" s="45" t="s">
        <v>9518</v>
      </c>
      <c r="G439" s="12" t="s">
        <v>3153</v>
      </c>
      <c r="H439" t="s">
        <v>3439</v>
      </c>
    </row>
    <row r="440" spans="1:8" x14ac:dyDescent="0.45">
      <c r="A440" s="53" t="s">
        <v>4561</v>
      </c>
      <c r="B440" s="54" t="s">
        <v>4562</v>
      </c>
      <c r="C440" t="s">
        <v>8695</v>
      </c>
      <c r="E440" s="45" t="s">
        <v>8696</v>
      </c>
      <c r="F440" s="45" t="s">
        <v>8697</v>
      </c>
      <c r="G440" s="12" t="s">
        <v>8698</v>
      </c>
      <c r="H440" t="s">
        <v>8699</v>
      </c>
    </row>
    <row r="441" spans="1:8" x14ac:dyDescent="0.45">
      <c r="A441" s="53" t="s">
        <v>4561</v>
      </c>
      <c r="B441" s="54" t="s">
        <v>4562</v>
      </c>
      <c r="C441" t="s">
        <v>8695</v>
      </c>
      <c r="E441" s="45" t="s">
        <v>8696</v>
      </c>
      <c r="F441" s="45" t="s">
        <v>8700</v>
      </c>
      <c r="G441" s="12" t="s">
        <v>8698</v>
      </c>
      <c r="H441" t="s">
        <v>8701</v>
      </c>
    </row>
    <row r="442" spans="1:8" x14ac:dyDescent="0.45">
      <c r="A442" s="53" t="s">
        <v>4561</v>
      </c>
      <c r="B442" s="54" t="s">
        <v>4562</v>
      </c>
      <c r="C442" t="s">
        <v>8695</v>
      </c>
      <c r="E442" s="45" t="s">
        <v>8696</v>
      </c>
      <c r="F442" s="45" t="s">
        <v>8703</v>
      </c>
      <c r="G442" s="12" t="s">
        <v>8702</v>
      </c>
      <c r="H442" t="s">
        <v>8701</v>
      </c>
    </row>
    <row r="443" spans="1:8" x14ac:dyDescent="0.45">
      <c r="A443" s="53" t="s">
        <v>5973</v>
      </c>
      <c r="B443" s="54" t="s">
        <v>5974</v>
      </c>
      <c r="C443" t="s">
        <v>9303</v>
      </c>
      <c r="E443" s="45" t="s">
        <v>9304</v>
      </c>
      <c r="F443" s="45" t="s">
        <v>9305</v>
      </c>
      <c r="G443" s="12" t="s">
        <v>3154</v>
      </c>
      <c r="H443" t="s">
        <v>3440</v>
      </c>
    </row>
    <row r="444" spans="1:8" x14ac:dyDescent="0.45">
      <c r="A444" s="53" t="s">
        <v>5973</v>
      </c>
      <c r="B444" s="54" t="s">
        <v>5974</v>
      </c>
      <c r="C444" t="s">
        <v>9303</v>
      </c>
      <c r="E444" s="45" t="s">
        <v>9304</v>
      </c>
      <c r="F444" s="45" t="s">
        <v>9306</v>
      </c>
      <c r="G444" s="12" t="s">
        <v>3155</v>
      </c>
      <c r="H444" t="s">
        <v>3441</v>
      </c>
    </row>
    <row r="445" spans="1:8" x14ac:dyDescent="0.45">
      <c r="A445" s="53" t="s">
        <v>5973</v>
      </c>
      <c r="B445" s="54" t="s">
        <v>5974</v>
      </c>
      <c r="C445" t="s">
        <v>9303</v>
      </c>
      <c r="E445" s="45" t="s">
        <v>9304</v>
      </c>
      <c r="F445" s="45" t="s">
        <v>9307</v>
      </c>
      <c r="G445" s="12" t="s">
        <v>3156</v>
      </c>
      <c r="H445" t="s">
        <v>3442</v>
      </c>
    </row>
    <row r="446" spans="1:8" x14ac:dyDescent="0.45">
      <c r="A446" s="53" t="s">
        <v>5973</v>
      </c>
      <c r="B446" s="54" t="s">
        <v>5974</v>
      </c>
      <c r="C446" t="s">
        <v>9303</v>
      </c>
      <c r="E446" s="45" t="s">
        <v>9304</v>
      </c>
      <c r="F446" s="45" t="s">
        <v>9308</v>
      </c>
      <c r="G446" s="12" t="s">
        <v>3157</v>
      </c>
      <c r="H446" t="s">
        <v>3443</v>
      </c>
    </row>
    <row r="447" spans="1:8" x14ac:dyDescent="0.45">
      <c r="A447" s="53" t="s">
        <v>5973</v>
      </c>
      <c r="B447" s="54" t="s">
        <v>5974</v>
      </c>
      <c r="C447" t="s">
        <v>9303</v>
      </c>
      <c r="E447" s="45" t="s">
        <v>9304</v>
      </c>
      <c r="F447" s="45" t="s">
        <v>9309</v>
      </c>
      <c r="G447" s="12" t="s">
        <v>3158</v>
      </c>
      <c r="H447" t="s">
        <v>3444</v>
      </c>
    </row>
    <row r="448" spans="1:8" x14ac:dyDescent="0.45">
      <c r="A448" s="53" t="s">
        <v>5973</v>
      </c>
      <c r="B448" s="54" t="s">
        <v>5974</v>
      </c>
      <c r="C448" t="s">
        <v>9303</v>
      </c>
      <c r="E448" s="45" t="s">
        <v>9304</v>
      </c>
      <c r="F448" s="45" t="s">
        <v>9310</v>
      </c>
      <c r="G448" s="12" t="s">
        <v>3159</v>
      </c>
      <c r="H448" t="s">
        <v>3445</v>
      </c>
    </row>
    <row r="449" spans="1:8" x14ac:dyDescent="0.45">
      <c r="A449" s="53" t="s">
        <v>5973</v>
      </c>
      <c r="B449" s="54" t="s">
        <v>5974</v>
      </c>
      <c r="C449" t="s">
        <v>9303</v>
      </c>
      <c r="E449" s="45" t="s">
        <v>9304</v>
      </c>
      <c r="F449" s="45" t="s">
        <v>9311</v>
      </c>
      <c r="G449" s="12" t="s">
        <v>3161</v>
      </c>
      <c r="H449" t="s">
        <v>3446</v>
      </c>
    </row>
    <row r="450" spans="1:8" x14ac:dyDescent="0.45">
      <c r="A450" s="53" t="s">
        <v>5973</v>
      </c>
      <c r="B450" s="54" t="s">
        <v>5974</v>
      </c>
      <c r="C450" t="s">
        <v>9303</v>
      </c>
      <c r="E450" s="45" t="s">
        <v>9304</v>
      </c>
      <c r="F450" s="45" t="s">
        <v>9312</v>
      </c>
      <c r="G450" s="12" t="s">
        <v>3160</v>
      </c>
      <c r="H450" s="12" t="s">
        <v>3160</v>
      </c>
    </row>
    <row r="451" spans="1:8" x14ac:dyDescent="0.45">
      <c r="A451" s="53" t="s">
        <v>5248</v>
      </c>
      <c r="B451" s="54" t="s">
        <v>5249</v>
      </c>
      <c r="C451" t="s">
        <v>9085</v>
      </c>
      <c r="E451" s="45" t="s">
        <v>9086</v>
      </c>
      <c r="F451" s="45" t="s">
        <v>9087</v>
      </c>
      <c r="G451" t="s">
        <v>3163</v>
      </c>
      <c r="H451" t="s">
        <v>3448</v>
      </c>
    </row>
    <row r="452" spans="1:8" x14ac:dyDescent="0.45">
      <c r="A452" s="53" t="s">
        <v>5248</v>
      </c>
      <c r="B452" s="54" t="s">
        <v>5249</v>
      </c>
      <c r="C452" t="s">
        <v>9085</v>
      </c>
      <c r="E452" s="45" t="s">
        <v>9086</v>
      </c>
      <c r="F452" s="45" t="s">
        <v>9088</v>
      </c>
      <c r="G452" t="s">
        <v>3162</v>
      </c>
      <c r="H452" t="s">
        <v>3447</v>
      </c>
    </row>
    <row r="453" spans="1:8" x14ac:dyDescent="0.45">
      <c r="A453" s="53" t="s">
        <v>5248</v>
      </c>
      <c r="B453" s="54" t="s">
        <v>5249</v>
      </c>
      <c r="C453" t="s">
        <v>9085</v>
      </c>
      <c r="E453" s="45" t="s">
        <v>9086</v>
      </c>
      <c r="F453" s="45" t="s">
        <v>9089</v>
      </c>
      <c r="G453" t="s">
        <v>3165</v>
      </c>
      <c r="H453" t="s">
        <v>3450</v>
      </c>
    </row>
    <row r="454" spans="1:8" x14ac:dyDescent="0.45">
      <c r="A454" s="53" t="s">
        <v>5248</v>
      </c>
      <c r="B454" s="54" t="s">
        <v>5249</v>
      </c>
      <c r="C454" t="s">
        <v>9085</v>
      </c>
      <c r="E454" s="45" t="s">
        <v>9086</v>
      </c>
      <c r="F454" s="45" t="s">
        <v>9090</v>
      </c>
      <c r="G454" t="s">
        <v>3164</v>
      </c>
      <c r="H454" t="s">
        <v>3449</v>
      </c>
    </row>
    <row r="455" spans="1:8" x14ac:dyDescent="0.45">
      <c r="A455" s="53" t="s">
        <v>5248</v>
      </c>
      <c r="B455" s="54" t="s">
        <v>5249</v>
      </c>
      <c r="C455" t="s">
        <v>9085</v>
      </c>
      <c r="E455" s="45" t="s">
        <v>9086</v>
      </c>
      <c r="F455" s="45" t="s">
        <v>9091</v>
      </c>
      <c r="G455" t="s">
        <v>3166</v>
      </c>
      <c r="H455" t="s">
        <v>3451</v>
      </c>
    </row>
    <row r="456" spans="1:8" x14ac:dyDescent="0.45">
      <c r="A456" s="53" t="s">
        <v>6735</v>
      </c>
      <c r="B456" s="54" t="s">
        <v>6736</v>
      </c>
      <c r="C456" t="s">
        <v>9085</v>
      </c>
      <c r="E456" s="45" t="s">
        <v>9086</v>
      </c>
      <c r="F456" s="45" t="s">
        <v>9087</v>
      </c>
      <c r="G456" t="s">
        <v>3163</v>
      </c>
      <c r="H456" t="s">
        <v>3448</v>
      </c>
    </row>
    <row r="457" spans="1:8" x14ac:dyDescent="0.45">
      <c r="A457" s="53" t="s">
        <v>6735</v>
      </c>
      <c r="B457" s="54" t="s">
        <v>6736</v>
      </c>
      <c r="C457" t="s">
        <v>9085</v>
      </c>
      <c r="E457" s="45" t="s">
        <v>9086</v>
      </c>
      <c r="F457" s="45" t="s">
        <v>9088</v>
      </c>
      <c r="G457" t="s">
        <v>3162</v>
      </c>
      <c r="H457" t="s">
        <v>3447</v>
      </c>
    </row>
    <row r="458" spans="1:8" x14ac:dyDescent="0.45">
      <c r="A458" s="53" t="s">
        <v>6735</v>
      </c>
      <c r="B458" s="54" t="s">
        <v>6736</v>
      </c>
      <c r="C458" t="s">
        <v>9085</v>
      </c>
      <c r="E458" s="45" t="s">
        <v>9086</v>
      </c>
      <c r="F458" s="45" t="s">
        <v>9089</v>
      </c>
      <c r="G458" t="s">
        <v>3165</v>
      </c>
      <c r="H458" t="s">
        <v>3450</v>
      </c>
    </row>
    <row r="459" spans="1:8" x14ac:dyDescent="0.45">
      <c r="A459" s="53" t="s">
        <v>6735</v>
      </c>
      <c r="B459" s="54" t="s">
        <v>6736</v>
      </c>
      <c r="C459" t="s">
        <v>9085</v>
      </c>
      <c r="E459" s="45" t="s">
        <v>9086</v>
      </c>
      <c r="F459" s="45" t="s">
        <v>9090</v>
      </c>
      <c r="G459" t="s">
        <v>3164</v>
      </c>
      <c r="H459" t="s">
        <v>3449</v>
      </c>
    </row>
    <row r="460" spans="1:8" x14ac:dyDescent="0.45">
      <c r="A460" s="53" t="s">
        <v>6735</v>
      </c>
      <c r="B460" s="54" t="s">
        <v>6736</v>
      </c>
      <c r="C460" t="s">
        <v>9085</v>
      </c>
      <c r="E460" s="45" t="s">
        <v>9086</v>
      </c>
      <c r="F460" s="45" t="s">
        <v>9091</v>
      </c>
      <c r="G460" t="s">
        <v>3166</v>
      </c>
      <c r="H460" t="s">
        <v>3451</v>
      </c>
    </row>
    <row r="461" spans="1:8" x14ac:dyDescent="0.45">
      <c r="A461" s="53" t="s">
        <v>7785</v>
      </c>
      <c r="B461" s="54" t="s">
        <v>7786</v>
      </c>
      <c r="C461" t="s">
        <v>10153</v>
      </c>
      <c r="E461" s="45" t="s">
        <v>10155</v>
      </c>
      <c r="F461" s="45" t="s">
        <v>10156</v>
      </c>
      <c r="G461" s="12" t="s">
        <v>3167</v>
      </c>
      <c r="H461" t="s">
        <v>3452</v>
      </c>
    </row>
    <row r="462" spans="1:8" x14ac:dyDescent="0.45">
      <c r="A462" s="53" t="s">
        <v>6438</v>
      </c>
      <c r="B462" s="54" t="s">
        <v>6439</v>
      </c>
      <c r="C462" t="s">
        <v>9647</v>
      </c>
      <c r="E462" s="45" t="s">
        <v>9648</v>
      </c>
      <c r="F462" s="45" t="s">
        <v>9649</v>
      </c>
      <c r="G462" t="s">
        <v>3168</v>
      </c>
      <c r="H462" t="s">
        <v>3415</v>
      </c>
    </row>
    <row r="463" spans="1:8" x14ac:dyDescent="0.45">
      <c r="A463" s="53" t="s">
        <v>6438</v>
      </c>
      <c r="B463" s="54" t="s">
        <v>6439</v>
      </c>
      <c r="C463" t="s">
        <v>9647</v>
      </c>
      <c r="E463" s="45" t="s">
        <v>9648</v>
      </c>
      <c r="F463" s="45" t="s">
        <v>9650</v>
      </c>
      <c r="G463" t="s">
        <v>3168</v>
      </c>
      <c r="H463" t="s">
        <v>3417</v>
      </c>
    </row>
    <row r="464" spans="1:8" x14ac:dyDescent="0.45">
      <c r="A464" s="53" t="s">
        <v>6438</v>
      </c>
      <c r="B464" s="54" t="s">
        <v>6439</v>
      </c>
      <c r="C464" t="s">
        <v>9647</v>
      </c>
      <c r="E464" s="45" t="s">
        <v>9648</v>
      </c>
      <c r="F464" s="45" t="s">
        <v>8921</v>
      </c>
      <c r="G464" s="12" t="s">
        <v>3139</v>
      </c>
      <c r="H464" t="s">
        <v>3424</v>
      </c>
    </row>
    <row r="465" spans="1:8" x14ac:dyDescent="0.45">
      <c r="A465" s="53" t="s">
        <v>7825</v>
      </c>
      <c r="B465" s="54" t="s">
        <v>7826</v>
      </c>
      <c r="C465" t="s">
        <v>10165</v>
      </c>
      <c r="E465" s="45" t="s">
        <v>10166</v>
      </c>
      <c r="F465" s="45" t="s">
        <v>10167</v>
      </c>
      <c r="G465" s="12" t="s">
        <v>3169</v>
      </c>
      <c r="H465" t="s">
        <v>3453</v>
      </c>
    </row>
    <row r="466" spans="1:8" x14ac:dyDescent="0.45">
      <c r="A466" s="53" t="s">
        <v>5325</v>
      </c>
      <c r="B466" s="54" t="s">
        <v>5326</v>
      </c>
      <c r="C466" t="s">
        <v>9161</v>
      </c>
      <c r="E466" s="45" t="s">
        <v>9162</v>
      </c>
      <c r="F466" s="45" t="s">
        <v>9163</v>
      </c>
      <c r="G466" t="s">
        <v>9164</v>
      </c>
      <c r="H466" t="s">
        <v>9165</v>
      </c>
    </row>
    <row r="467" spans="1:8" x14ac:dyDescent="0.45">
      <c r="A467" s="53" t="s">
        <v>7012</v>
      </c>
      <c r="B467" s="54" t="s">
        <v>7013</v>
      </c>
      <c r="C467" t="s">
        <v>8649</v>
      </c>
      <c r="E467" s="45" t="s">
        <v>8650</v>
      </c>
    </row>
    <row r="468" spans="1:8" x14ac:dyDescent="0.45">
      <c r="A468" s="53" t="s">
        <v>6064</v>
      </c>
      <c r="B468" s="54" t="s">
        <v>6065</v>
      </c>
      <c r="C468" t="s">
        <v>8649</v>
      </c>
      <c r="E468" s="45" t="s">
        <v>8650</v>
      </c>
    </row>
    <row r="469" spans="1:8" x14ac:dyDescent="0.45">
      <c r="A469" s="53" t="s">
        <v>7316</v>
      </c>
      <c r="B469" s="54" t="s">
        <v>7317</v>
      </c>
      <c r="C469" t="s">
        <v>8649</v>
      </c>
      <c r="E469" s="45" t="s">
        <v>8650</v>
      </c>
    </row>
    <row r="470" spans="1:8" x14ac:dyDescent="0.45">
      <c r="A470" s="53" t="s">
        <v>7385</v>
      </c>
      <c r="B470" s="54" t="s">
        <v>7386</v>
      </c>
      <c r="C470" t="s">
        <v>8649</v>
      </c>
      <c r="E470" s="45" t="s">
        <v>8650</v>
      </c>
    </row>
    <row r="471" spans="1:8" x14ac:dyDescent="0.45">
      <c r="A471" s="53" t="s">
        <v>4438</v>
      </c>
      <c r="B471" s="54" t="s">
        <v>4439</v>
      </c>
      <c r="C471" t="s">
        <v>8649</v>
      </c>
      <c r="E471" s="45" t="s">
        <v>8650</v>
      </c>
    </row>
    <row r="472" spans="1:8" x14ac:dyDescent="0.45">
      <c r="A472" s="53" t="s">
        <v>7626</v>
      </c>
      <c r="B472" s="54" t="s">
        <v>7627</v>
      </c>
      <c r="C472" t="s">
        <v>8649</v>
      </c>
      <c r="E472" s="45" t="s">
        <v>8650</v>
      </c>
    </row>
    <row r="473" spans="1:8" x14ac:dyDescent="0.45">
      <c r="A473" s="53" t="s">
        <v>7040</v>
      </c>
      <c r="B473" s="54" t="s">
        <v>7041</v>
      </c>
      <c r="C473" t="s">
        <v>8649</v>
      </c>
      <c r="E473" s="45" t="s">
        <v>8650</v>
      </c>
    </row>
    <row r="474" spans="1:8" x14ac:dyDescent="0.45">
      <c r="A474" s="53" t="s">
        <v>6593</v>
      </c>
      <c r="B474" s="54" t="s">
        <v>6594</v>
      </c>
      <c r="C474" t="s">
        <v>8649</v>
      </c>
      <c r="E474" s="45" t="s">
        <v>9746</v>
      </c>
      <c r="F474" s="45" t="s">
        <v>9747</v>
      </c>
      <c r="G474" t="s">
        <v>1121</v>
      </c>
      <c r="H474" t="s">
        <v>1108</v>
      </c>
    </row>
    <row r="475" spans="1:8" x14ac:dyDescent="0.45">
      <c r="A475" s="53" t="s">
        <v>6593</v>
      </c>
      <c r="B475" s="54" t="s">
        <v>6594</v>
      </c>
      <c r="C475" t="s">
        <v>8649</v>
      </c>
      <c r="E475" s="45" t="s">
        <v>9746</v>
      </c>
      <c r="F475" s="45" t="s">
        <v>9748</v>
      </c>
      <c r="G475" t="s">
        <v>1122</v>
      </c>
      <c r="H475" t="s">
        <v>1123</v>
      </c>
    </row>
    <row r="476" spans="1:8" x14ac:dyDescent="0.45">
      <c r="A476" s="53" t="s">
        <v>5003</v>
      </c>
      <c r="B476" s="54" t="s">
        <v>5004</v>
      </c>
      <c r="C476" t="s">
        <v>8649</v>
      </c>
      <c r="E476" s="45" t="s">
        <v>8650</v>
      </c>
    </row>
    <row r="477" spans="1:8" x14ac:dyDescent="0.45">
      <c r="A477" s="53" t="s">
        <v>7258</v>
      </c>
      <c r="B477" s="54" t="s">
        <v>7259</v>
      </c>
      <c r="C477" t="s">
        <v>8649</v>
      </c>
      <c r="E477" s="45" t="s">
        <v>8650</v>
      </c>
    </row>
    <row r="478" spans="1:8" x14ac:dyDescent="0.45">
      <c r="A478" s="53" t="s">
        <v>8216</v>
      </c>
      <c r="B478" s="54" t="s">
        <v>8217</v>
      </c>
      <c r="C478" t="s">
        <v>8649</v>
      </c>
      <c r="E478" s="45" t="s">
        <v>8650</v>
      </c>
    </row>
    <row r="479" spans="1:8" x14ac:dyDescent="0.45">
      <c r="A479" s="53" t="s">
        <v>8233</v>
      </c>
      <c r="B479" s="54" t="s">
        <v>8234</v>
      </c>
      <c r="C479" t="s">
        <v>8649</v>
      </c>
      <c r="E479" s="45" t="s">
        <v>8650</v>
      </c>
    </row>
    <row r="480" spans="1:8" x14ac:dyDescent="0.45">
      <c r="A480" s="53" t="s">
        <v>3919</v>
      </c>
      <c r="B480" s="54" t="s">
        <v>3920</v>
      </c>
      <c r="C480" t="s">
        <v>9290</v>
      </c>
      <c r="E480" s="45" t="s">
        <v>8503</v>
      </c>
      <c r="F480" s="45" t="s">
        <v>8504</v>
      </c>
      <c r="G480" t="s">
        <v>3170</v>
      </c>
      <c r="H480" t="s">
        <v>3454</v>
      </c>
    </row>
    <row r="481" spans="1:8" x14ac:dyDescent="0.45">
      <c r="A481" s="53" t="s">
        <v>3919</v>
      </c>
      <c r="B481" s="54" t="s">
        <v>3920</v>
      </c>
      <c r="C481" t="s">
        <v>9290</v>
      </c>
      <c r="E481" s="45" t="s">
        <v>8503</v>
      </c>
      <c r="F481" s="45" t="s">
        <v>8505</v>
      </c>
      <c r="G481" t="s">
        <v>8506</v>
      </c>
      <c r="H481" t="s">
        <v>3455</v>
      </c>
    </row>
    <row r="482" spans="1:8" x14ac:dyDescent="0.45">
      <c r="A482" s="53" t="s">
        <v>7467</v>
      </c>
      <c r="B482" s="54" t="s">
        <v>7468</v>
      </c>
      <c r="C482" t="s">
        <v>10075</v>
      </c>
      <c r="E482" s="45" t="s">
        <v>10076</v>
      </c>
      <c r="F482" s="45" t="s">
        <v>10077</v>
      </c>
      <c r="G482" s="12" t="s">
        <v>10078</v>
      </c>
      <c r="H482" t="s">
        <v>10079</v>
      </c>
    </row>
    <row r="483" spans="1:8" x14ac:dyDescent="0.45">
      <c r="A483" s="53" t="s">
        <v>5037</v>
      </c>
      <c r="B483" s="54" t="s">
        <v>5038</v>
      </c>
      <c r="C483" t="s">
        <v>8990</v>
      </c>
      <c r="E483" s="10" t="s">
        <v>8991</v>
      </c>
      <c r="F483" s="45" t="s">
        <v>8992</v>
      </c>
      <c r="G483" t="s">
        <v>8993</v>
      </c>
      <c r="H483" t="s">
        <v>8994</v>
      </c>
    </row>
    <row r="484" spans="1:8" x14ac:dyDescent="0.45">
      <c r="A484" s="53" t="s">
        <v>5037</v>
      </c>
      <c r="B484" s="54" t="s">
        <v>5038</v>
      </c>
      <c r="C484" t="s">
        <v>8990</v>
      </c>
      <c r="E484" s="10" t="s">
        <v>8991</v>
      </c>
      <c r="F484" s="45" t="s">
        <v>8995</v>
      </c>
      <c r="G484" t="s">
        <v>3303</v>
      </c>
      <c r="H484" t="s">
        <v>3590</v>
      </c>
    </row>
    <row r="485" spans="1:8" x14ac:dyDescent="0.45">
      <c r="A485" s="53" t="s">
        <v>5037</v>
      </c>
      <c r="B485" s="54" t="s">
        <v>5038</v>
      </c>
      <c r="C485" t="s">
        <v>8990</v>
      </c>
      <c r="E485" s="10" t="s">
        <v>8991</v>
      </c>
      <c r="F485" s="45" t="s">
        <v>8996</v>
      </c>
      <c r="G485" s="12" t="s">
        <v>8997</v>
      </c>
      <c r="H485" s="12" t="s">
        <v>8997</v>
      </c>
    </row>
    <row r="486" spans="1:8" x14ac:dyDescent="0.45">
      <c r="A486" s="53" t="s">
        <v>4385</v>
      </c>
      <c r="B486" s="54" t="s">
        <v>4386</v>
      </c>
      <c r="C486" t="s">
        <v>8636</v>
      </c>
      <c r="E486" s="45" t="s">
        <v>8637</v>
      </c>
      <c r="F486" s="45" t="s">
        <v>8638</v>
      </c>
      <c r="G486" t="s">
        <v>3171</v>
      </c>
      <c r="H486" t="s">
        <v>3456</v>
      </c>
    </row>
    <row r="487" spans="1:8" x14ac:dyDescent="0.45">
      <c r="A487" s="53" t="s">
        <v>7789</v>
      </c>
      <c r="B487" s="54" t="s">
        <v>7790</v>
      </c>
      <c r="C487" t="s">
        <v>10162</v>
      </c>
      <c r="E487" s="45" t="s">
        <v>10163</v>
      </c>
      <c r="F487" s="45" t="s">
        <v>10164</v>
      </c>
      <c r="G487" s="12" t="s">
        <v>3172</v>
      </c>
      <c r="H487" t="s">
        <v>3457</v>
      </c>
    </row>
    <row r="488" spans="1:8" x14ac:dyDescent="0.45">
      <c r="A488" s="53" t="s">
        <v>5583</v>
      </c>
      <c r="B488" s="54" t="s">
        <v>5584</v>
      </c>
      <c r="C488" t="s">
        <v>9191</v>
      </c>
      <c r="E488" s="45" t="s">
        <v>9192</v>
      </c>
      <c r="F488" s="45" t="s">
        <v>9193</v>
      </c>
      <c r="G488" s="12" t="s">
        <v>3173</v>
      </c>
      <c r="H488" t="s">
        <v>3458</v>
      </c>
    </row>
    <row r="489" spans="1:8" x14ac:dyDescent="0.45">
      <c r="A489" s="53" t="s">
        <v>6393</v>
      </c>
      <c r="B489" s="54" t="s">
        <v>6394</v>
      </c>
      <c r="C489" t="s">
        <v>9596</v>
      </c>
      <c r="E489" s="45" t="s">
        <v>9597</v>
      </c>
      <c r="F489" s="45" t="s">
        <v>9598</v>
      </c>
      <c r="G489" t="s">
        <v>3174</v>
      </c>
      <c r="H489" t="s">
        <v>3459</v>
      </c>
    </row>
    <row r="490" spans="1:8" x14ac:dyDescent="0.45">
      <c r="A490" s="53" t="s">
        <v>7159</v>
      </c>
      <c r="B490" s="54" t="s">
        <v>7160</v>
      </c>
      <c r="C490" t="s">
        <v>10001</v>
      </c>
      <c r="E490" s="45" t="s">
        <v>10002</v>
      </c>
      <c r="F490" s="45" t="s">
        <v>10003</v>
      </c>
      <c r="G490" s="12" t="s">
        <v>3175</v>
      </c>
      <c r="H490" t="s">
        <v>3460</v>
      </c>
    </row>
    <row r="491" spans="1:8" x14ac:dyDescent="0.45">
      <c r="A491" s="53" t="s">
        <v>5785</v>
      </c>
      <c r="B491" s="54" t="s">
        <v>5786</v>
      </c>
      <c r="C491" t="s">
        <v>9258</v>
      </c>
      <c r="E491" s="45" t="s">
        <v>9259</v>
      </c>
      <c r="F491" s="45" t="s">
        <v>9260</v>
      </c>
      <c r="G491" s="12" t="s">
        <v>3176</v>
      </c>
      <c r="H491" t="s">
        <v>3461</v>
      </c>
    </row>
    <row r="492" spans="1:8" x14ac:dyDescent="0.45">
      <c r="A492" s="53" t="s">
        <v>5785</v>
      </c>
      <c r="B492" s="54" t="s">
        <v>5786</v>
      </c>
      <c r="C492" t="s">
        <v>9258</v>
      </c>
      <c r="E492" s="45" t="s">
        <v>9259</v>
      </c>
      <c r="F492" s="45" t="s">
        <v>9261</v>
      </c>
      <c r="G492" s="12" t="s">
        <v>3177</v>
      </c>
      <c r="H492" t="s">
        <v>3462</v>
      </c>
    </row>
    <row r="493" spans="1:8" x14ac:dyDescent="0.45">
      <c r="A493" s="53" t="s">
        <v>3787</v>
      </c>
      <c r="B493" s="54" t="s">
        <v>3788</v>
      </c>
      <c r="C493" t="s">
        <v>8478</v>
      </c>
      <c r="E493" s="45" t="s">
        <v>8479</v>
      </c>
      <c r="F493" s="45" t="s">
        <v>8480</v>
      </c>
      <c r="G493" t="s">
        <v>3178</v>
      </c>
      <c r="H493" t="s">
        <v>1073</v>
      </c>
    </row>
    <row r="494" spans="1:8" x14ac:dyDescent="0.45">
      <c r="A494" s="53" t="s">
        <v>3787</v>
      </c>
      <c r="B494" s="54" t="s">
        <v>3788</v>
      </c>
      <c r="C494" t="s">
        <v>8478</v>
      </c>
      <c r="E494" s="45" t="s">
        <v>8479</v>
      </c>
      <c r="F494" s="45" t="s">
        <v>8481</v>
      </c>
      <c r="G494" t="s">
        <v>8482</v>
      </c>
      <c r="H494" t="s">
        <v>3463</v>
      </c>
    </row>
    <row r="495" spans="1:8" x14ac:dyDescent="0.45">
      <c r="A495" s="53" t="s">
        <v>3787</v>
      </c>
      <c r="B495" s="54" t="s">
        <v>3788</v>
      </c>
      <c r="C495" t="s">
        <v>8478</v>
      </c>
      <c r="E495" s="45" t="s">
        <v>8479</v>
      </c>
      <c r="F495" s="45" t="s">
        <v>8483</v>
      </c>
      <c r="G495" t="s">
        <v>3179</v>
      </c>
      <c r="H495" t="s">
        <v>3464</v>
      </c>
    </row>
    <row r="496" spans="1:8" x14ac:dyDescent="0.45">
      <c r="A496" s="53" t="s">
        <v>6368</v>
      </c>
      <c r="B496" s="54" t="s">
        <v>6369</v>
      </c>
      <c r="C496" t="s">
        <v>9523</v>
      </c>
      <c r="E496" s="45" t="s">
        <v>9524</v>
      </c>
      <c r="F496" s="45" t="s">
        <v>9525</v>
      </c>
      <c r="G496" t="s">
        <v>9526</v>
      </c>
      <c r="H496" t="s">
        <v>9527</v>
      </c>
    </row>
    <row r="497" spans="1:8" x14ac:dyDescent="0.45">
      <c r="A497" s="53" t="s">
        <v>6368</v>
      </c>
      <c r="B497" s="54" t="s">
        <v>6369</v>
      </c>
      <c r="C497" t="s">
        <v>9523</v>
      </c>
      <c r="E497" s="45" t="s">
        <v>9524</v>
      </c>
      <c r="F497" s="45" t="s">
        <v>9528</v>
      </c>
      <c r="G497" s="12" t="s">
        <v>9529</v>
      </c>
      <c r="H497" t="s">
        <v>9530</v>
      </c>
    </row>
    <row r="498" spans="1:8" x14ac:dyDescent="0.45">
      <c r="A498" s="53" t="s">
        <v>6368</v>
      </c>
      <c r="B498" s="54" t="s">
        <v>6369</v>
      </c>
      <c r="C498" t="s">
        <v>9523</v>
      </c>
      <c r="E498" s="45" t="s">
        <v>9524</v>
      </c>
      <c r="F498" s="45" t="s">
        <v>9531</v>
      </c>
      <c r="G498" t="s">
        <v>9532</v>
      </c>
      <c r="H498" t="s">
        <v>9533</v>
      </c>
    </row>
    <row r="499" spans="1:8" x14ac:dyDescent="0.45">
      <c r="A499" s="53" t="s">
        <v>6368</v>
      </c>
      <c r="B499" s="54" t="s">
        <v>6369</v>
      </c>
      <c r="C499" t="s">
        <v>9523</v>
      </c>
      <c r="E499" s="45" t="s">
        <v>9524</v>
      </c>
      <c r="F499" s="45" t="s">
        <v>9534</v>
      </c>
      <c r="G499" s="12" t="s">
        <v>9535</v>
      </c>
      <c r="H499" t="s">
        <v>9536</v>
      </c>
    </row>
    <row r="500" spans="1:8" x14ac:dyDescent="0.45">
      <c r="A500" s="53" t="s">
        <v>6368</v>
      </c>
      <c r="B500" s="54" t="s">
        <v>6369</v>
      </c>
      <c r="C500" t="s">
        <v>9523</v>
      </c>
      <c r="E500" s="45" t="s">
        <v>9524</v>
      </c>
      <c r="F500" s="45" t="s">
        <v>9537</v>
      </c>
      <c r="G500" t="s">
        <v>9538</v>
      </c>
      <c r="H500" t="s">
        <v>9539</v>
      </c>
    </row>
    <row r="501" spans="1:8" x14ac:dyDescent="0.45">
      <c r="A501" s="53" t="s">
        <v>6368</v>
      </c>
      <c r="B501" s="54" t="s">
        <v>6369</v>
      </c>
      <c r="C501" t="s">
        <v>9523</v>
      </c>
      <c r="E501" s="45" t="s">
        <v>9524</v>
      </c>
      <c r="F501" s="45" t="s">
        <v>9540</v>
      </c>
      <c r="G501" s="12" t="s">
        <v>9541</v>
      </c>
      <c r="H501" t="s">
        <v>9542</v>
      </c>
    </row>
    <row r="502" spans="1:8" x14ac:dyDescent="0.45">
      <c r="A502" s="53" t="s">
        <v>6368</v>
      </c>
      <c r="B502" s="54" t="s">
        <v>6369</v>
      </c>
      <c r="C502" t="s">
        <v>9523</v>
      </c>
      <c r="E502" s="45" t="s">
        <v>9524</v>
      </c>
      <c r="F502" s="45" t="s">
        <v>9543</v>
      </c>
      <c r="G502" s="12" t="s">
        <v>9544</v>
      </c>
      <c r="H502" t="s">
        <v>9545</v>
      </c>
    </row>
    <row r="503" spans="1:8" x14ac:dyDescent="0.45">
      <c r="A503" s="53" t="s">
        <v>6368</v>
      </c>
      <c r="B503" s="54" t="s">
        <v>6369</v>
      </c>
      <c r="C503" t="s">
        <v>9523</v>
      </c>
      <c r="E503" s="45" t="s">
        <v>9524</v>
      </c>
      <c r="F503" s="45" t="s">
        <v>9546</v>
      </c>
      <c r="G503" s="12" t="s">
        <v>9547</v>
      </c>
      <c r="H503" t="s">
        <v>9548</v>
      </c>
    </row>
    <row r="504" spans="1:8" x14ac:dyDescent="0.45">
      <c r="A504" s="53" t="s">
        <v>6368</v>
      </c>
      <c r="B504" s="54" t="s">
        <v>6369</v>
      </c>
      <c r="C504" t="s">
        <v>9523</v>
      </c>
      <c r="E504" s="45" t="s">
        <v>9524</v>
      </c>
      <c r="F504" s="45" t="s">
        <v>9549</v>
      </c>
      <c r="G504" s="12" t="s">
        <v>9550</v>
      </c>
      <c r="H504" t="s">
        <v>9551</v>
      </c>
    </row>
    <row r="505" spans="1:8" x14ac:dyDescent="0.45">
      <c r="A505" s="53" t="s">
        <v>6368</v>
      </c>
      <c r="B505" s="54" t="s">
        <v>6369</v>
      </c>
      <c r="C505" t="s">
        <v>9523</v>
      </c>
      <c r="E505" s="45" t="s">
        <v>9524</v>
      </c>
      <c r="F505" s="45" t="s">
        <v>9552</v>
      </c>
      <c r="G505" s="12" t="s">
        <v>9553</v>
      </c>
      <c r="H505" t="s">
        <v>9554</v>
      </c>
    </row>
    <row r="506" spans="1:8" x14ac:dyDescent="0.45">
      <c r="A506" s="53" t="s">
        <v>6368</v>
      </c>
      <c r="B506" s="54" t="s">
        <v>6369</v>
      </c>
      <c r="C506" t="s">
        <v>9523</v>
      </c>
      <c r="E506" s="45" t="s">
        <v>9524</v>
      </c>
      <c r="F506" s="45" t="s">
        <v>9555</v>
      </c>
      <c r="G506" s="12" t="s">
        <v>9556</v>
      </c>
      <c r="H506" t="s">
        <v>9557</v>
      </c>
    </row>
    <row r="507" spans="1:8" x14ac:dyDescent="0.45">
      <c r="A507" s="53" t="s">
        <v>6368</v>
      </c>
      <c r="B507" s="54" t="s">
        <v>6369</v>
      </c>
      <c r="C507" t="s">
        <v>9523</v>
      </c>
      <c r="E507" s="45" t="s">
        <v>9524</v>
      </c>
      <c r="F507" s="45" t="s">
        <v>9558</v>
      </c>
      <c r="G507" s="12" t="s">
        <v>9559</v>
      </c>
      <c r="H507" t="s">
        <v>9560</v>
      </c>
    </row>
    <row r="508" spans="1:8" x14ac:dyDescent="0.45">
      <c r="A508" s="53" t="s">
        <v>6368</v>
      </c>
      <c r="B508" s="54" t="s">
        <v>6369</v>
      </c>
      <c r="C508" t="s">
        <v>9523</v>
      </c>
      <c r="E508" s="45" t="s">
        <v>9524</v>
      </c>
      <c r="F508" s="45" t="s">
        <v>9561</v>
      </c>
      <c r="G508" s="12" t="s">
        <v>9562</v>
      </c>
      <c r="H508" t="s">
        <v>9563</v>
      </c>
    </row>
    <row r="509" spans="1:8" x14ac:dyDescent="0.45">
      <c r="A509" s="53" t="s">
        <v>6368</v>
      </c>
      <c r="B509" s="54" t="s">
        <v>6369</v>
      </c>
      <c r="C509" t="s">
        <v>9523</v>
      </c>
      <c r="E509" s="45" t="s">
        <v>9524</v>
      </c>
      <c r="F509" s="45" t="s">
        <v>9564</v>
      </c>
      <c r="G509" s="12" t="s">
        <v>9565</v>
      </c>
      <c r="H509" t="s">
        <v>9566</v>
      </c>
    </row>
    <row r="510" spans="1:8" x14ac:dyDescent="0.45">
      <c r="A510" s="53" t="s">
        <v>6368</v>
      </c>
      <c r="B510" s="54" t="s">
        <v>6369</v>
      </c>
      <c r="C510" t="s">
        <v>9523</v>
      </c>
      <c r="E510" s="45" t="s">
        <v>9524</v>
      </c>
      <c r="F510" s="45" t="s">
        <v>9567</v>
      </c>
      <c r="G510" s="12" t="s">
        <v>9568</v>
      </c>
      <c r="H510" t="s">
        <v>9569</v>
      </c>
    </row>
    <row r="511" spans="1:8" x14ac:dyDescent="0.45">
      <c r="A511" s="53" t="s">
        <v>6368</v>
      </c>
      <c r="B511" s="54" t="s">
        <v>6369</v>
      </c>
      <c r="C511" t="s">
        <v>9523</v>
      </c>
      <c r="E511" s="45" t="s">
        <v>9524</v>
      </c>
      <c r="F511" s="45" t="s">
        <v>9570</v>
      </c>
      <c r="G511" s="12" t="s">
        <v>9571</v>
      </c>
      <c r="H511" t="s">
        <v>9572</v>
      </c>
    </row>
    <row r="512" spans="1:8" x14ac:dyDescent="0.45">
      <c r="A512" s="53" t="s">
        <v>7785</v>
      </c>
      <c r="B512" s="54" t="s">
        <v>7786</v>
      </c>
      <c r="C512" t="s">
        <v>10154</v>
      </c>
      <c r="E512" s="45" t="s">
        <v>10157</v>
      </c>
      <c r="F512" s="45" t="s">
        <v>10158</v>
      </c>
      <c r="G512" s="12" t="s">
        <v>3180</v>
      </c>
      <c r="H512" t="s">
        <v>3465</v>
      </c>
    </row>
    <row r="513" spans="1:8" x14ac:dyDescent="0.45">
      <c r="A513" s="53" t="s">
        <v>7403</v>
      </c>
      <c r="B513" s="54" t="s">
        <v>7404</v>
      </c>
      <c r="C513" t="s">
        <v>10042</v>
      </c>
      <c r="E513" s="45" t="s">
        <v>10043</v>
      </c>
      <c r="F513" s="45" t="s">
        <v>10044</v>
      </c>
      <c r="G513" t="s">
        <v>3181</v>
      </c>
      <c r="H513" t="s">
        <v>3466</v>
      </c>
    </row>
    <row r="514" spans="1:8" x14ac:dyDescent="0.45">
      <c r="A514" s="53" t="s">
        <v>7403</v>
      </c>
      <c r="B514" s="54" t="s">
        <v>7404</v>
      </c>
      <c r="C514" t="s">
        <v>10042</v>
      </c>
      <c r="E514" s="45" t="s">
        <v>10043</v>
      </c>
      <c r="F514" s="45" t="s">
        <v>10045</v>
      </c>
      <c r="G514" s="12" t="s">
        <v>3182</v>
      </c>
      <c r="H514" t="s">
        <v>3467</v>
      </c>
    </row>
    <row r="515" spans="1:8" x14ac:dyDescent="0.45">
      <c r="A515" s="53" t="s">
        <v>7403</v>
      </c>
      <c r="B515" s="54" t="s">
        <v>7404</v>
      </c>
      <c r="C515" t="s">
        <v>10042</v>
      </c>
      <c r="E515" s="45" t="s">
        <v>10043</v>
      </c>
      <c r="F515" s="45" t="s">
        <v>10046</v>
      </c>
      <c r="G515" s="12" t="s">
        <v>3183</v>
      </c>
      <c r="H515" t="s">
        <v>3468</v>
      </c>
    </row>
    <row r="516" spans="1:8" x14ac:dyDescent="0.45">
      <c r="A516" s="53" t="s">
        <v>7505</v>
      </c>
      <c r="B516" s="54" t="s">
        <v>7506</v>
      </c>
      <c r="C516" t="s">
        <v>10083</v>
      </c>
      <c r="E516" s="45" t="s">
        <v>10084</v>
      </c>
      <c r="F516" s="45" t="s">
        <v>10085</v>
      </c>
      <c r="G516" t="s">
        <v>10086</v>
      </c>
      <c r="H516" t="s">
        <v>10087</v>
      </c>
    </row>
    <row r="517" spans="1:8" x14ac:dyDescent="0.45">
      <c r="A517" s="53" t="s">
        <v>7505</v>
      </c>
      <c r="B517" s="54" t="s">
        <v>7506</v>
      </c>
      <c r="C517" t="s">
        <v>10083</v>
      </c>
      <c r="E517" s="45" t="s">
        <v>10084</v>
      </c>
      <c r="F517" s="45" t="s">
        <v>10088</v>
      </c>
      <c r="G517" s="12" t="s">
        <v>10089</v>
      </c>
      <c r="H517" s="12" t="s">
        <v>10089</v>
      </c>
    </row>
    <row r="518" spans="1:8" x14ac:dyDescent="0.45">
      <c r="A518" s="53" t="s">
        <v>6310</v>
      </c>
      <c r="B518" s="54" t="s">
        <v>6311</v>
      </c>
      <c r="C518" t="s">
        <v>8393</v>
      </c>
      <c r="E518" s="45" t="s">
        <v>8394</v>
      </c>
      <c r="F518" s="45" t="s">
        <v>8395</v>
      </c>
      <c r="G518" s="12" t="s">
        <v>3184</v>
      </c>
      <c r="H518" t="s">
        <v>3469</v>
      </c>
    </row>
    <row r="519" spans="1:8" x14ac:dyDescent="0.45">
      <c r="A519" s="53" t="s">
        <v>3665</v>
      </c>
      <c r="B519" s="54" t="s">
        <v>3666</v>
      </c>
      <c r="C519" t="s">
        <v>8393</v>
      </c>
      <c r="E519" s="10" t="s">
        <v>8394</v>
      </c>
      <c r="F519" s="10" t="s">
        <v>8395</v>
      </c>
      <c r="G519" s="12" t="s">
        <v>3184</v>
      </c>
      <c r="H519" t="s">
        <v>3469</v>
      </c>
    </row>
    <row r="520" spans="1:8" x14ac:dyDescent="0.45">
      <c r="A520" s="53" t="s">
        <v>4361</v>
      </c>
      <c r="B520" s="54" t="s">
        <v>4362</v>
      </c>
      <c r="C520" t="s">
        <v>8633</v>
      </c>
      <c r="E520" s="10" t="s">
        <v>8634</v>
      </c>
      <c r="F520" s="45" t="s">
        <v>8635</v>
      </c>
      <c r="G520" s="12" t="s">
        <v>3185</v>
      </c>
      <c r="H520" t="s">
        <v>3470</v>
      </c>
    </row>
    <row r="521" spans="1:8" x14ac:dyDescent="0.45">
      <c r="A521" s="53" t="s">
        <v>6341</v>
      </c>
      <c r="B521" s="54" t="s">
        <v>6342</v>
      </c>
      <c r="C521" t="s">
        <v>9482</v>
      </c>
      <c r="E521" s="45" t="s">
        <v>9483</v>
      </c>
      <c r="F521" s="45" t="s">
        <v>9484</v>
      </c>
      <c r="G521" s="12" t="s">
        <v>9485</v>
      </c>
      <c r="H521" t="s">
        <v>9486</v>
      </c>
    </row>
    <row r="522" spans="1:8" x14ac:dyDescent="0.45">
      <c r="A522" s="53" t="s">
        <v>6306</v>
      </c>
      <c r="B522" s="54" t="s">
        <v>6307</v>
      </c>
      <c r="C522" t="s">
        <v>9468</v>
      </c>
      <c r="E522" s="45" t="s">
        <v>9469</v>
      </c>
      <c r="F522" s="45" t="s">
        <v>9470</v>
      </c>
      <c r="G522" s="12" t="s">
        <v>9471</v>
      </c>
      <c r="H522" t="s">
        <v>9472</v>
      </c>
    </row>
    <row r="523" spans="1:8" x14ac:dyDescent="0.45">
      <c r="A523" s="53" t="s">
        <v>7974</v>
      </c>
      <c r="B523" s="54" t="s">
        <v>7975</v>
      </c>
      <c r="C523" t="s">
        <v>9468</v>
      </c>
      <c r="E523" s="45" t="s">
        <v>9469</v>
      </c>
      <c r="F523" s="45" t="s">
        <v>9470</v>
      </c>
      <c r="G523" s="12" t="s">
        <v>9471</v>
      </c>
      <c r="H523" t="s">
        <v>9472</v>
      </c>
    </row>
    <row r="524" spans="1:8" x14ac:dyDescent="0.45">
      <c r="A524" s="53" t="s">
        <v>5826</v>
      </c>
      <c r="B524" s="54" t="s">
        <v>5827</v>
      </c>
      <c r="C524" t="s">
        <v>9284</v>
      </c>
    </row>
    <row r="525" spans="1:8" x14ac:dyDescent="0.45">
      <c r="A525" s="53" t="s">
        <v>7944</v>
      </c>
      <c r="B525" s="54" t="s">
        <v>7945</v>
      </c>
      <c r="C525" t="s">
        <v>9284</v>
      </c>
    </row>
    <row r="526" spans="1:8" x14ac:dyDescent="0.45">
      <c r="A526" s="53" t="s">
        <v>7828</v>
      </c>
      <c r="B526" s="54" t="s">
        <v>7829</v>
      </c>
      <c r="C526" t="s">
        <v>10168</v>
      </c>
      <c r="E526" s="45" t="s">
        <v>10169</v>
      </c>
      <c r="F526" s="45" t="s">
        <v>10170</v>
      </c>
      <c r="G526" s="12" t="s">
        <v>3186</v>
      </c>
      <c r="H526" t="s">
        <v>3471</v>
      </c>
    </row>
    <row r="527" spans="1:8" x14ac:dyDescent="0.45">
      <c r="A527" s="53" t="s">
        <v>7678</v>
      </c>
      <c r="B527" s="54" t="s">
        <v>7679</v>
      </c>
      <c r="C527" t="s">
        <v>10118</v>
      </c>
      <c r="E527" s="45" t="s">
        <v>10119</v>
      </c>
      <c r="F527" s="45" t="s">
        <v>10120</v>
      </c>
      <c r="G527" s="12" t="s">
        <v>3188</v>
      </c>
      <c r="H527" t="s">
        <v>3473</v>
      </c>
    </row>
    <row r="528" spans="1:8" x14ac:dyDescent="0.45">
      <c r="A528" s="53" t="s">
        <v>7678</v>
      </c>
      <c r="B528" s="54" t="s">
        <v>7679</v>
      </c>
      <c r="C528" t="s">
        <v>10118</v>
      </c>
      <c r="E528" s="45" t="s">
        <v>10119</v>
      </c>
      <c r="F528" s="45" t="s">
        <v>10121</v>
      </c>
      <c r="G528" s="12" t="s">
        <v>3187</v>
      </c>
      <c r="H528" t="s">
        <v>3472</v>
      </c>
    </row>
    <row r="529" spans="1:8" x14ac:dyDescent="0.45">
      <c r="A529" s="53" t="s">
        <v>6034</v>
      </c>
      <c r="B529" s="54" t="s">
        <v>6035</v>
      </c>
      <c r="C529" t="s">
        <v>9321</v>
      </c>
      <c r="E529" s="45" t="s">
        <v>9322</v>
      </c>
      <c r="F529" s="45" t="s">
        <v>9323</v>
      </c>
      <c r="G529" t="s">
        <v>3189</v>
      </c>
      <c r="H529" t="s">
        <v>3474</v>
      </c>
    </row>
    <row r="530" spans="1:8" x14ac:dyDescent="0.45">
      <c r="A530" s="53" t="s">
        <v>7208</v>
      </c>
      <c r="B530" s="54" t="s">
        <v>7209</v>
      </c>
      <c r="C530" t="s">
        <v>8574</v>
      </c>
      <c r="E530" s="45" t="s">
        <v>8575</v>
      </c>
      <c r="F530" s="45" t="s">
        <v>8576</v>
      </c>
      <c r="G530" s="12" t="s">
        <v>3190</v>
      </c>
      <c r="H530" t="s">
        <v>3475</v>
      </c>
    </row>
    <row r="531" spans="1:8" x14ac:dyDescent="0.45">
      <c r="A531" s="53" t="s">
        <v>4104</v>
      </c>
      <c r="B531" s="54" t="s">
        <v>4105</v>
      </c>
      <c r="C531" t="s">
        <v>8574</v>
      </c>
      <c r="E531" s="45" t="s">
        <v>8575</v>
      </c>
      <c r="F531" s="10" t="s">
        <v>8576</v>
      </c>
      <c r="G531" s="12" t="s">
        <v>3190</v>
      </c>
      <c r="H531" t="s">
        <v>3475</v>
      </c>
    </row>
    <row r="532" spans="1:8" x14ac:dyDescent="0.45">
      <c r="A532" s="53" t="s">
        <v>6700</v>
      </c>
      <c r="B532" s="54" t="s">
        <v>6701</v>
      </c>
      <c r="C532" t="s">
        <v>9789</v>
      </c>
      <c r="E532" s="45" t="s">
        <v>9793</v>
      </c>
      <c r="F532" s="45" t="s">
        <v>9790</v>
      </c>
      <c r="G532" s="12" t="s">
        <v>9791</v>
      </c>
      <c r="H532" t="s">
        <v>9792</v>
      </c>
    </row>
    <row r="533" spans="1:8" x14ac:dyDescent="0.45">
      <c r="A533" s="53" t="s">
        <v>5629</v>
      </c>
      <c r="B533" s="54" t="s">
        <v>5630</v>
      </c>
      <c r="C533" t="s">
        <v>9220</v>
      </c>
      <c r="E533" s="45" t="s">
        <v>9221</v>
      </c>
      <c r="F533" s="45" t="s">
        <v>9222</v>
      </c>
      <c r="G533" s="12" t="s">
        <v>3191</v>
      </c>
      <c r="H533" t="s">
        <v>3476</v>
      </c>
    </row>
    <row r="534" spans="1:8" x14ac:dyDescent="0.45">
      <c r="A534" s="53" t="s">
        <v>5631</v>
      </c>
      <c r="B534" s="54" t="s">
        <v>5632</v>
      </c>
      <c r="C534" t="s">
        <v>9220</v>
      </c>
      <c r="E534" s="45" t="s">
        <v>9221</v>
      </c>
      <c r="F534" s="45" t="s">
        <v>9222</v>
      </c>
      <c r="G534" s="12" t="s">
        <v>3191</v>
      </c>
      <c r="H534" t="s">
        <v>3476</v>
      </c>
    </row>
    <row r="535" spans="1:8" x14ac:dyDescent="0.45">
      <c r="A535" s="53" t="s">
        <v>5043</v>
      </c>
      <c r="B535" s="54" t="s">
        <v>5044</v>
      </c>
      <c r="C535" t="s">
        <v>9004</v>
      </c>
      <c r="E535" s="45" t="s">
        <v>9006</v>
      </c>
      <c r="F535" s="45" t="s">
        <v>9005</v>
      </c>
      <c r="G535" s="12" t="s">
        <v>3192</v>
      </c>
      <c r="H535" t="s">
        <v>3477</v>
      </c>
    </row>
    <row r="536" spans="1:8" x14ac:dyDescent="0.45">
      <c r="A536" s="53" t="s">
        <v>7950</v>
      </c>
      <c r="B536" s="54" t="s">
        <v>7951</v>
      </c>
      <c r="C536" t="s">
        <v>10198</v>
      </c>
      <c r="E536" s="45" t="s">
        <v>10199</v>
      </c>
      <c r="F536" s="45" t="s">
        <v>10200</v>
      </c>
      <c r="G536" s="12" t="s">
        <v>10201</v>
      </c>
      <c r="H536" t="s">
        <v>3478</v>
      </c>
    </row>
    <row r="537" spans="1:8" x14ac:dyDescent="0.45">
      <c r="A537" s="53" t="s">
        <v>5345</v>
      </c>
      <c r="B537" s="54" t="s">
        <v>5346</v>
      </c>
      <c r="C537" t="s">
        <v>9168</v>
      </c>
      <c r="E537" s="45" t="s">
        <v>9169</v>
      </c>
      <c r="F537" s="45" t="s">
        <v>1076</v>
      </c>
      <c r="G537" t="s">
        <v>3203</v>
      </c>
      <c r="H537" t="s">
        <v>3481</v>
      </c>
    </row>
    <row r="538" spans="1:8" x14ac:dyDescent="0.45">
      <c r="A538" s="53" t="s">
        <v>5416</v>
      </c>
      <c r="B538" s="54" t="s">
        <v>5417</v>
      </c>
      <c r="C538" t="s">
        <v>9168</v>
      </c>
      <c r="E538" s="45" t="s">
        <v>9169</v>
      </c>
      <c r="F538" s="45" t="s">
        <v>1076</v>
      </c>
      <c r="G538" t="s">
        <v>3203</v>
      </c>
      <c r="H538" t="s">
        <v>3481</v>
      </c>
    </row>
    <row r="539" spans="1:8" x14ac:dyDescent="0.45">
      <c r="A539" s="53" t="s">
        <v>7401</v>
      </c>
      <c r="B539" s="54" t="s">
        <v>7402</v>
      </c>
      <c r="C539" t="s">
        <v>8484</v>
      </c>
      <c r="E539" s="45" t="s">
        <v>8485</v>
      </c>
      <c r="F539" s="45" t="s">
        <v>8486</v>
      </c>
      <c r="G539" t="s">
        <v>3197</v>
      </c>
      <c r="H539" t="s">
        <v>3479</v>
      </c>
    </row>
    <row r="540" spans="1:8" x14ac:dyDescent="0.45">
      <c r="A540" s="53" t="s">
        <v>7401</v>
      </c>
      <c r="B540" s="54" t="s">
        <v>7402</v>
      </c>
      <c r="C540" t="s">
        <v>8484</v>
      </c>
      <c r="E540" s="45" t="s">
        <v>8485</v>
      </c>
      <c r="F540" s="45" t="s">
        <v>8487</v>
      </c>
      <c r="G540" t="s">
        <v>3193</v>
      </c>
      <c r="H540" t="s">
        <v>3479</v>
      </c>
    </row>
    <row r="541" spans="1:8" x14ac:dyDescent="0.45">
      <c r="A541" s="53" t="s">
        <v>7401</v>
      </c>
      <c r="B541" s="54" t="s">
        <v>7402</v>
      </c>
      <c r="C541" t="s">
        <v>8484</v>
      </c>
      <c r="E541" s="45" t="s">
        <v>8485</v>
      </c>
      <c r="F541" s="45" t="s">
        <v>8488</v>
      </c>
      <c r="G541" t="s">
        <v>8501</v>
      </c>
      <c r="H541" t="s">
        <v>3479</v>
      </c>
    </row>
    <row r="542" spans="1:8" x14ac:dyDescent="0.45">
      <c r="A542" s="53" t="s">
        <v>7401</v>
      </c>
      <c r="B542" s="54" t="s">
        <v>7402</v>
      </c>
      <c r="C542" t="s">
        <v>8484</v>
      </c>
      <c r="E542" s="45" t="s">
        <v>8485</v>
      </c>
      <c r="F542" s="45" t="s">
        <v>8489</v>
      </c>
      <c r="G542" t="s">
        <v>3195</v>
      </c>
      <c r="H542" t="s">
        <v>3479</v>
      </c>
    </row>
    <row r="543" spans="1:8" x14ac:dyDescent="0.45">
      <c r="A543" s="53" t="s">
        <v>7401</v>
      </c>
      <c r="B543" s="54" t="s">
        <v>7402</v>
      </c>
      <c r="C543" t="s">
        <v>8484</v>
      </c>
      <c r="E543" s="45" t="s">
        <v>8485</v>
      </c>
      <c r="F543" s="45" t="s">
        <v>8490</v>
      </c>
      <c r="G543" t="s">
        <v>3196</v>
      </c>
      <c r="H543" t="s">
        <v>3479</v>
      </c>
    </row>
    <row r="544" spans="1:8" x14ac:dyDescent="0.45">
      <c r="A544" s="53" t="s">
        <v>7401</v>
      </c>
      <c r="B544" s="54" t="s">
        <v>7402</v>
      </c>
      <c r="C544" t="s">
        <v>8484</v>
      </c>
      <c r="E544" s="45" t="s">
        <v>8485</v>
      </c>
      <c r="F544" s="45" t="s">
        <v>8491</v>
      </c>
      <c r="G544" t="s">
        <v>1936</v>
      </c>
      <c r="H544" t="s">
        <v>8492</v>
      </c>
    </row>
    <row r="545" spans="1:8" x14ac:dyDescent="0.45">
      <c r="A545" s="53" t="s">
        <v>7770</v>
      </c>
      <c r="B545" s="54" t="s">
        <v>7771</v>
      </c>
      <c r="C545" t="s">
        <v>8484</v>
      </c>
      <c r="E545" s="45" t="s">
        <v>8485</v>
      </c>
      <c r="F545" s="45" t="s">
        <v>8486</v>
      </c>
      <c r="G545" t="s">
        <v>3197</v>
      </c>
      <c r="H545" t="s">
        <v>3479</v>
      </c>
    </row>
    <row r="546" spans="1:8" x14ac:dyDescent="0.45">
      <c r="A546" s="53" t="s">
        <v>7770</v>
      </c>
      <c r="B546" s="54" t="s">
        <v>7771</v>
      </c>
      <c r="C546" t="s">
        <v>8484</v>
      </c>
      <c r="E546" s="45" t="s">
        <v>8485</v>
      </c>
      <c r="F546" s="45" t="s">
        <v>8487</v>
      </c>
      <c r="G546" t="s">
        <v>3193</v>
      </c>
      <c r="H546" t="s">
        <v>3479</v>
      </c>
    </row>
    <row r="547" spans="1:8" x14ac:dyDescent="0.45">
      <c r="A547" s="53" t="s">
        <v>7770</v>
      </c>
      <c r="B547" s="54" t="s">
        <v>7771</v>
      </c>
      <c r="C547" t="s">
        <v>8484</v>
      </c>
      <c r="E547" s="45" t="s">
        <v>8485</v>
      </c>
      <c r="F547" s="45" t="s">
        <v>8488</v>
      </c>
      <c r="G547" t="s">
        <v>8501</v>
      </c>
      <c r="H547" t="s">
        <v>3479</v>
      </c>
    </row>
    <row r="548" spans="1:8" x14ac:dyDescent="0.45">
      <c r="A548" s="53" t="s">
        <v>7770</v>
      </c>
      <c r="B548" s="54" t="s">
        <v>7771</v>
      </c>
      <c r="C548" t="s">
        <v>8484</v>
      </c>
      <c r="E548" s="45" t="s">
        <v>8485</v>
      </c>
      <c r="F548" s="45" t="s">
        <v>8489</v>
      </c>
      <c r="G548" t="s">
        <v>3195</v>
      </c>
      <c r="H548" t="s">
        <v>3479</v>
      </c>
    </row>
    <row r="549" spans="1:8" x14ac:dyDescent="0.45">
      <c r="A549" s="53" t="s">
        <v>7770</v>
      </c>
      <c r="B549" s="54" t="s">
        <v>7771</v>
      </c>
      <c r="C549" t="s">
        <v>8484</v>
      </c>
      <c r="E549" s="45" t="s">
        <v>8485</v>
      </c>
      <c r="F549" s="45" t="s">
        <v>8490</v>
      </c>
      <c r="G549" t="s">
        <v>3196</v>
      </c>
      <c r="H549" t="s">
        <v>3479</v>
      </c>
    </row>
    <row r="550" spans="1:8" x14ac:dyDescent="0.45">
      <c r="A550" s="53" t="s">
        <v>7770</v>
      </c>
      <c r="B550" s="54" t="s">
        <v>7771</v>
      </c>
      <c r="C550" t="s">
        <v>8484</v>
      </c>
      <c r="E550" s="45" t="s">
        <v>8485</v>
      </c>
      <c r="F550" s="45" t="s">
        <v>8491</v>
      </c>
      <c r="G550" t="s">
        <v>1936</v>
      </c>
      <c r="H550" t="s">
        <v>8492</v>
      </c>
    </row>
    <row r="551" spans="1:8" x14ac:dyDescent="0.45">
      <c r="A551" s="53" t="s">
        <v>4408</v>
      </c>
      <c r="B551" s="54" t="s">
        <v>4409</v>
      </c>
      <c r="C551" t="s">
        <v>8484</v>
      </c>
      <c r="E551" s="45" t="s">
        <v>8485</v>
      </c>
      <c r="F551" s="45" t="s">
        <v>8486</v>
      </c>
      <c r="G551" t="s">
        <v>3197</v>
      </c>
      <c r="H551" t="s">
        <v>3479</v>
      </c>
    </row>
    <row r="552" spans="1:8" x14ac:dyDescent="0.45">
      <c r="A552" s="53" t="s">
        <v>4408</v>
      </c>
      <c r="B552" s="54" t="s">
        <v>4409</v>
      </c>
      <c r="C552" t="s">
        <v>8484</v>
      </c>
      <c r="E552" s="45" t="s">
        <v>8485</v>
      </c>
      <c r="F552" s="45" t="s">
        <v>8487</v>
      </c>
      <c r="G552" t="s">
        <v>3193</v>
      </c>
      <c r="H552" t="s">
        <v>3479</v>
      </c>
    </row>
    <row r="553" spans="1:8" x14ac:dyDescent="0.45">
      <c r="A553" s="53" t="s">
        <v>4408</v>
      </c>
      <c r="B553" s="54" t="s">
        <v>4409</v>
      </c>
      <c r="C553" t="s">
        <v>8484</v>
      </c>
      <c r="E553" s="45" t="s">
        <v>8485</v>
      </c>
      <c r="F553" s="45" t="s">
        <v>8488</v>
      </c>
      <c r="G553" t="s">
        <v>8501</v>
      </c>
      <c r="H553" t="s">
        <v>3479</v>
      </c>
    </row>
    <row r="554" spans="1:8" x14ac:dyDescent="0.45">
      <c r="A554" s="53" t="s">
        <v>4408</v>
      </c>
      <c r="B554" s="54" t="s">
        <v>4409</v>
      </c>
      <c r="C554" t="s">
        <v>8484</v>
      </c>
      <c r="E554" s="45" t="s">
        <v>8485</v>
      </c>
      <c r="F554" s="45" t="s">
        <v>8489</v>
      </c>
      <c r="G554" t="s">
        <v>3195</v>
      </c>
      <c r="H554" t="s">
        <v>3479</v>
      </c>
    </row>
    <row r="555" spans="1:8" x14ac:dyDescent="0.45">
      <c r="A555" s="53" t="s">
        <v>4408</v>
      </c>
      <c r="B555" s="54" t="s">
        <v>4409</v>
      </c>
      <c r="C555" t="s">
        <v>8484</v>
      </c>
      <c r="E555" s="45" t="s">
        <v>8485</v>
      </c>
      <c r="F555" s="45" t="s">
        <v>8490</v>
      </c>
      <c r="G555" t="s">
        <v>3196</v>
      </c>
      <c r="H555" t="s">
        <v>3479</v>
      </c>
    </row>
    <row r="556" spans="1:8" x14ac:dyDescent="0.45">
      <c r="A556" s="53" t="s">
        <v>4408</v>
      </c>
      <c r="B556" s="54" t="s">
        <v>4409</v>
      </c>
      <c r="C556" t="s">
        <v>8484</v>
      </c>
      <c r="E556" s="45" t="s">
        <v>8485</v>
      </c>
      <c r="F556" s="45" t="s">
        <v>8491</v>
      </c>
      <c r="G556" t="s">
        <v>1936</v>
      </c>
      <c r="H556" t="s">
        <v>8492</v>
      </c>
    </row>
    <row r="557" spans="1:8" x14ac:dyDescent="0.45">
      <c r="A557" s="53" t="s">
        <v>3878</v>
      </c>
      <c r="B557" s="54" t="s">
        <v>3879</v>
      </c>
      <c r="C557" t="s">
        <v>8484</v>
      </c>
      <c r="E557" s="45" t="s">
        <v>8485</v>
      </c>
      <c r="F557" s="45" t="s">
        <v>8486</v>
      </c>
      <c r="G557" t="s">
        <v>3197</v>
      </c>
      <c r="H557" t="s">
        <v>3479</v>
      </c>
    </row>
    <row r="558" spans="1:8" x14ac:dyDescent="0.45">
      <c r="A558" s="53" t="s">
        <v>3878</v>
      </c>
      <c r="B558" s="54" t="s">
        <v>3879</v>
      </c>
      <c r="C558" t="s">
        <v>8484</v>
      </c>
      <c r="E558" s="45" t="s">
        <v>8485</v>
      </c>
      <c r="F558" s="45" t="s">
        <v>8487</v>
      </c>
      <c r="G558" t="s">
        <v>3193</v>
      </c>
      <c r="H558" t="s">
        <v>3479</v>
      </c>
    </row>
    <row r="559" spans="1:8" x14ac:dyDescent="0.45">
      <c r="A559" s="53" t="s">
        <v>3878</v>
      </c>
      <c r="B559" s="54" t="s">
        <v>3879</v>
      </c>
      <c r="C559" t="s">
        <v>8484</v>
      </c>
      <c r="E559" s="45" t="s">
        <v>8485</v>
      </c>
      <c r="F559" s="45" t="s">
        <v>8488</v>
      </c>
      <c r="G559" t="s">
        <v>8501</v>
      </c>
      <c r="H559" t="s">
        <v>3479</v>
      </c>
    </row>
    <row r="560" spans="1:8" x14ac:dyDescent="0.45">
      <c r="A560" s="53" t="s">
        <v>3878</v>
      </c>
      <c r="B560" s="54" t="s">
        <v>3879</v>
      </c>
      <c r="C560" t="s">
        <v>8484</v>
      </c>
      <c r="E560" s="45" t="s">
        <v>8485</v>
      </c>
      <c r="F560" s="45" t="s">
        <v>8489</v>
      </c>
      <c r="G560" t="s">
        <v>3195</v>
      </c>
      <c r="H560" t="s">
        <v>3479</v>
      </c>
    </row>
    <row r="561" spans="1:8" x14ac:dyDescent="0.45">
      <c r="A561" s="53" t="s">
        <v>3878</v>
      </c>
      <c r="B561" s="54" t="s">
        <v>3879</v>
      </c>
      <c r="C561" t="s">
        <v>8484</v>
      </c>
      <c r="E561" s="45" t="s">
        <v>8485</v>
      </c>
      <c r="F561" s="45" t="s">
        <v>8490</v>
      </c>
      <c r="G561" t="s">
        <v>3196</v>
      </c>
      <c r="H561" t="s">
        <v>3479</v>
      </c>
    </row>
    <row r="562" spans="1:8" x14ac:dyDescent="0.45">
      <c r="A562" s="53" t="s">
        <v>3878</v>
      </c>
      <c r="B562" s="54" t="s">
        <v>3879</v>
      </c>
      <c r="C562" t="s">
        <v>8484</v>
      </c>
      <c r="E562" s="45" t="s">
        <v>8485</v>
      </c>
      <c r="F562" s="45" t="s">
        <v>8491</v>
      </c>
      <c r="G562" t="s">
        <v>1936</v>
      </c>
      <c r="H562" t="s">
        <v>8492</v>
      </c>
    </row>
    <row r="563" spans="1:8" x14ac:dyDescent="0.45">
      <c r="A563" s="53" t="s">
        <v>3797</v>
      </c>
      <c r="B563" s="54" t="s">
        <v>3798</v>
      </c>
      <c r="C563" t="s">
        <v>8484</v>
      </c>
      <c r="E563" s="45" t="s">
        <v>8485</v>
      </c>
      <c r="F563" s="45" t="s">
        <v>8486</v>
      </c>
      <c r="G563" t="s">
        <v>3197</v>
      </c>
      <c r="H563" t="s">
        <v>3479</v>
      </c>
    </row>
    <row r="564" spans="1:8" x14ac:dyDescent="0.45">
      <c r="A564" s="53" t="s">
        <v>3797</v>
      </c>
      <c r="B564" s="54" t="s">
        <v>3798</v>
      </c>
      <c r="C564" t="s">
        <v>8484</v>
      </c>
      <c r="E564" s="45" t="s">
        <v>8485</v>
      </c>
      <c r="F564" s="45" t="s">
        <v>8487</v>
      </c>
      <c r="G564" t="s">
        <v>3193</v>
      </c>
      <c r="H564" t="s">
        <v>3479</v>
      </c>
    </row>
    <row r="565" spans="1:8" x14ac:dyDescent="0.45">
      <c r="A565" s="53" t="s">
        <v>3797</v>
      </c>
      <c r="B565" s="54" t="s">
        <v>3798</v>
      </c>
      <c r="C565" t="s">
        <v>8484</v>
      </c>
      <c r="E565" s="45" t="s">
        <v>8485</v>
      </c>
      <c r="F565" s="45" t="s">
        <v>8488</v>
      </c>
      <c r="G565" s="12" t="s">
        <v>3194</v>
      </c>
      <c r="H565" t="s">
        <v>3479</v>
      </c>
    </row>
    <row r="566" spans="1:8" x14ac:dyDescent="0.45">
      <c r="A566" s="53" t="s">
        <v>3797</v>
      </c>
      <c r="B566" s="54" t="s">
        <v>3798</v>
      </c>
      <c r="C566" t="s">
        <v>8484</v>
      </c>
      <c r="E566" s="45" t="s">
        <v>8485</v>
      </c>
      <c r="F566" s="45" t="s">
        <v>8489</v>
      </c>
      <c r="G566" t="s">
        <v>3195</v>
      </c>
      <c r="H566" t="s">
        <v>3479</v>
      </c>
    </row>
    <row r="567" spans="1:8" x14ac:dyDescent="0.45">
      <c r="A567" s="53" t="s">
        <v>3797</v>
      </c>
      <c r="B567" s="54" t="s">
        <v>3798</v>
      </c>
      <c r="C567" t="s">
        <v>8484</v>
      </c>
      <c r="E567" s="45" t="s">
        <v>8485</v>
      </c>
      <c r="F567" s="45" t="s">
        <v>8490</v>
      </c>
      <c r="G567" t="s">
        <v>3196</v>
      </c>
      <c r="H567" t="s">
        <v>3479</v>
      </c>
    </row>
    <row r="568" spans="1:8" x14ac:dyDescent="0.45">
      <c r="A568" s="53" t="s">
        <v>3797</v>
      </c>
      <c r="B568" s="54" t="s">
        <v>3798</v>
      </c>
      <c r="C568" t="s">
        <v>8484</v>
      </c>
      <c r="E568" s="45" t="s">
        <v>8485</v>
      </c>
      <c r="F568" s="45" t="s">
        <v>8491</v>
      </c>
      <c r="G568" t="s">
        <v>1936</v>
      </c>
      <c r="H568" t="s">
        <v>8492</v>
      </c>
    </row>
    <row r="569" spans="1:8" x14ac:dyDescent="0.45">
      <c r="A569" s="53" t="s">
        <v>3880</v>
      </c>
      <c r="B569" s="54" t="s">
        <v>3881</v>
      </c>
      <c r="C569" t="s">
        <v>8484</v>
      </c>
      <c r="E569" s="45" t="s">
        <v>8485</v>
      </c>
      <c r="F569" s="45" t="s">
        <v>8486</v>
      </c>
      <c r="G569" t="s">
        <v>3197</v>
      </c>
      <c r="H569" t="s">
        <v>3479</v>
      </c>
    </row>
    <row r="570" spans="1:8" x14ac:dyDescent="0.45">
      <c r="A570" s="53" t="s">
        <v>3880</v>
      </c>
      <c r="B570" s="54" t="s">
        <v>3881</v>
      </c>
      <c r="C570" t="s">
        <v>8484</v>
      </c>
      <c r="E570" s="45" t="s">
        <v>8485</v>
      </c>
      <c r="F570" s="45" t="s">
        <v>8487</v>
      </c>
      <c r="G570" t="s">
        <v>3193</v>
      </c>
      <c r="H570" t="s">
        <v>3479</v>
      </c>
    </row>
    <row r="571" spans="1:8" x14ac:dyDescent="0.45">
      <c r="A571" s="53" t="s">
        <v>3880</v>
      </c>
      <c r="B571" s="54" t="s">
        <v>3881</v>
      </c>
      <c r="C571" t="s">
        <v>8484</v>
      </c>
      <c r="E571" s="45" t="s">
        <v>8485</v>
      </c>
      <c r="F571" s="45" t="s">
        <v>8488</v>
      </c>
      <c r="G571" s="12" t="s">
        <v>3194</v>
      </c>
      <c r="H571" t="s">
        <v>3479</v>
      </c>
    </row>
    <row r="572" spans="1:8" x14ac:dyDescent="0.45">
      <c r="A572" s="53" t="s">
        <v>3880</v>
      </c>
      <c r="B572" s="54" t="s">
        <v>3881</v>
      </c>
      <c r="C572" t="s">
        <v>8484</v>
      </c>
      <c r="E572" s="45" t="s">
        <v>8485</v>
      </c>
      <c r="F572" s="45" t="s">
        <v>8489</v>
      </c>
      <c r="G572" t="s">
        <v>3195</v>
      </c>
      <c r="H572" t="s">
        <v>3479</v>
      </c>
    </row>
    <row r="573" spans="1:8" x14ac:dyDescent="0.45">
      <c r="A573" s="53" t="s">
        <v>3880</v>
      </c>
      <c r="B573" s="54" t="s">
        <v>3881</v>
      </c>
      <c r="C573" t="s">
        <v>8484</v>
      </c>
      <c r="E573" s="45" t="s">
        <v>8485</v>
      </c>
      <c r="F573" s="45" t="s">
        <v>8490</v>
      </c>
      <c r="G573" t="s">
        <v>3196</v>
      </c>
      <c r="H573" t="s">
        <v>3479</v>
      </c>
    </row>
    <row r="574" spans="1:8" x14ac:dyDescent="0.45">
      <c r="A574" s="53" t="s">
        <v>3880</v>
      </c>
      <c r="B574" s="54" t="s">
        <v>3881</v>
      </c>
      <c r="C574" t="s">
        <v>8484</v>
      </c>
      <c r="E574" s="45" t="s">
        <v>8485</v>
      </c>
      <c r="F574" s="45" t="s">
        <v>8491</v>
      </c>
      <c r="G574" t="s">
        <v>1936</v>
      </c>
      <c r="H574" t="s">
        <v>8492</v>
      </c>
    </row>
    <row r="575" spans="1:8" x14ac:dyDescent="0.45">
      <c r="A575" s="53" t="s">
        <v>6202</v>
      </c>
      <c r="B575" s="54" t="s">
        <v>6203</v>
      </c>
      <c r="C575" t="s">
        <v>9400</v>
      </c>
      <c r="E575" s="45" t="s">
        <v>9401</v>
      </c>
      <c r="F575" s="45" t="s">
        <v>9402</v>
      </c>
      <c r="G575" s="12" t="s">
        <v>3198</v>
      </c>
      <c r="H575" t="s">
        <v>3480</v>
      </c>
    </row>
    <row r="576" spans="1:8" x14ac:dyDescent="0.45">
      <c r="A576" s="53" t="s">
        <v>3604</v>
      </c>
      <c r="B576" s="54" t="s">
        <v>3605</v>
      </c>
      <c r="C576" t="s">
        <v>1063</v>
      </c>
      <c r="E576" s="45" t="s">
        <v>1077</v>
      </c>
      <c r="F576" s="45" t="s">
        <v>1076</v>
      </c>
      <c r="G576" s="55" t="s">
        <v>8970</v>
      </c>
      <c r="H576" s="55" t="s">
        <v>8971</v>
      </c>
    </row>
    <row r="577" spans="1:8" x14ac:dyDescent="0.45">
      <c r="A577" s="53" t="s">
        <v>3604</v>
      </c>
      <c r="B577" s="54" t="s">
        <v>3605</v>
      </c>
      <c r="C577" t="s">
        <v>1063</v>
      </c>
      <c r="E577" s="45" t="s">
        <v>1077</v>
      </c>
      <c r="F577" s="45" t="s">
        <v>8377</v>
      </c>
      <c r="G577" s="55" t="s">
        <v>3199</v>
      </c>
      <c r="H577" s="55" t="s">
        <v>3481</v>
      </c>
    </row>
    <row r="578" spans="1:8" x14ac:dyDescent="0.45">
      <c r="A578" s="53" t="s">
        <v>3604</v>
      </c>
      <c r="B578" s="54" t="s">
        <v>3605</v>
      </c>
      <c r="C578" t="s">
        <v>1063</v>
      </c>
      <c r="E578" s="45" t="s">
        <v>1077</v>
      </c>
      <c r="F578" s="45" t="s">
        <v>8379</v>
      </c>
      <c r="G578" s="55" t="s">
        <v>8972</v>
      </c>
      <c r="H578" s="55" t="s">
        <v>8971</v>
      </c>
    </row>
    <row r="579" spans="1:8" x14ac:dyDescent="0.45">
      <c r="A579" s="53" t="s">
        <v>3604</v>
      </c>
      <c r="B579" s="54" t="s">
        <v>3605</v>
      </c>
      <c r="C579" t="s">
        <v>1063</v>
      </c>
      <c r="E579" s="45" t="s">
        <v>1077</v>
      </c>
      <c r="F579" s="45" t="s">
        <v>8378</v>
      </c>
      <c r="G579" s="56" t="s">
        <v>3201</v>
      </c>
      <c r="H579" s="55" t="s">
        <v>3481</v>
      </c>
    </row>
    <row r="580" spans="1:8" x14ac:dyDescent="0.45">
      <c r="A580" s="53" t="s">
        <v>3604</v>
      </c>
      <c r="B580" s="54" t="s">
        <v>3605</v>
      </c>
      <c r="C580" t="s">
        <v>1063</v>
      </c>
      <c r="E580" s="45" t="s">
        <v>1077</v>
      </c>
      <c r="F580" s="45" t="s">
        <v>8555</v>
      </c>
      <c r="G580" s="55" t="s">
        <v>3202</v>
      </c>
      <c r="H580" s="55" t="s">
        <v>3481</v>
      </c>
    </row>
    <row r="581" spans="1:8" x14ac:dyDescent="0.45">
      <c r="A581" s="53" t="s">
        <v>3604</v>
      </c>
      <c r="B581" s="54" t="s">
        <v>3605</v>
      </c>
      <c r="C581" t="s">
        <v>1063</v>
      </c>
      <c r="E581" s="45" t="s">
        <v>1077</v>
      </c>
      <c r="F581" s="45" t="s">
        <v>8380</v>
      </c>
      <c r="G581" s="56" t="s">
        <v>1078</v>
      </c>
      <c r="H581" s="55" t="s">
        <v>1079</v>
      </c>
    </row>
    <row r="582" spans="1:8" x14ac:dyDescent="0.45">
      <c r="A582" s="53" t="s">
        <v>4477</v>
      </c>
      <c r="B582" s="54" t="s">
        <v>4478</v>
      </c>
      <c r="C582" t="s">
        <v>1063</v>
      </c>
      <c r="E582" s="45" t="s">
        <v>1077</v>
      </c>
      <c r="F582" s="45" t="s">
        <v>1076</v>
      </c>
      <c r="G582" t="s">
        <v>3203</v>
      </c>
      <c r="H582" t="s">
        <v>3481</v>
      </c>
    </row>
    <row r="583" spans="1:8" x14ac:dyDescent="0.45">
      <c r="A583" s="53" t="s">
        <v>4477</v>
      </c>
      <c r="B583" s="54" t="s">
        <v>4478</v>
      </c>
      <c r="C583" t="s">
        <v>1063</v>
      </c>
      <c r="E583" s="45" t="s">
        <v>1077</v>
      </c>
      <c r="F583" s="45" t="s">
        <v>8552</v>
      </c>
      <c r="G583" t="s">
        <v>3199</v>
      </c>
      <c r="H583" t="s">
        <v>3481</v>
      </c>
    </row>
    <row r="584" spans="1:8" x14ac:dyDescent="0.45">
      <c r="A584" s="53" t="s">
        <v>4477</v>
      </c>
      <c r="B584" s="54" t="s">
        <v>4478</v>
      </c>
      <c r="C584" t="s">
        <v>1063</v>
      </c>
      <c r="E584" s="45" t="s">
        <v>1077</v>
      </c>
      <c r="F584" s="45" t="s">
        <v>8553</v>
      </c>
      <c r="G584" t="s">
        <v>3200</v>
      </c>
      <c r="H584" t="s">
        <v>3481</v>
      </c>
    </row>
    <row r="585" spans="1:8" x14ac:dyDescent="0.45">
      <c r="A585" s="53" t="s">
        <v>4477</v>
      </c>
      <c r="B585" s="54" t="s">
        <v>4478</v>
      </c>
      <c r="C585" t="s">
        <v>1063</v>
      </c>
      <c r="E585" s="45" t="s">
        <v>1077</v>
      </c>
      <c r="F585" s="45" t="s">
        <v>8554</v>
      </c>
      <c r="G585" t="s">
        <v>3201</v>
      </c>
      <c r="H585" t="s">
        <v>3481</v>
      </c>
    </row>
    <row r="586" spans="1:8" x14ac:dyDescent="0.45">
      <c r="A586" s="53" t="s">
        <v>4477</v>
      </c>
      <c r="B586" s="54" t="s">
        <v>4478</v>
      </c>
      <c r="C586" t="s">
        <v>1063</v>
      </c>
      <c r="E586" s="45" t="s">
        <v>1077</v>
      </c>
      <c r="F586" s="45" t="s">
        <v>8555</v>
      </c>
      <c r="G586" t="s">
        <v>3202</v>
      </c>
      <c r="H586" t="s">
        <v>3481</v>
      </c>
    </row>
    <row r="587" spans="1:8" x14ac:dyDescent="0.45">
      <c r="A587" s="53" t="s">
        <v>4477</v>
      </c>
      <c r="B587" s="54" t="s">
        <v>4478</v>
      </c>
      <c r="C587" t="s">
        <v>1063</v>
      </c>
      <c r="E587" s="45" t="s">
        <v>1077</v>
      </c>
      <c r="F587" s="45" t="s">
        <v>8556</v>
      </c>
      <c r="G587" t="s">
        <v>8557</v>
      </c>
      <c r="H587" t="s">
        <v>1079</v>
      </c>
    </row>
    <row r="588" spans="1:8" x14ac:dyDescent="0.45">
      <c r="A588" s="53" t="s">
        <v>7503</v>
      </c>
      <c r="B588" s="54" t="s">
        <v>7504</v>
      </c>
      <c r="C588" t="s">
        <v>1063</v>
      </c>
      <c r="E588" s="45" t="s">
        <v>1077</v>
      </c>
      <c r="F588" s="45" t="s">
        <v>1076</v>
      </c>
      <c r="G588" t="s">
        <v>3203</v>
      </c>
      <c r="H588" t="s">
        <v>3481</v>
      </c>
    </row>
    <row r="589" spans="1:8" x14ac:dyDescent="0.45">
      <c r="A589" s="53" t="s">
        <v>7503</v>
      </c>
      <c r="B589" s="54" t="s">
        <v>7504</v>
      </c>
      <c r="C589" t="s">
        <v>1063</v>
      </c>
      <c r="E589" s="45" t="s">
        <v>1077</v>
      </c>
      <c r="F589" s="45" t="s">
        <v>8552</v>
      </c>
      <c r="G589" t="s">
        <v>3199</v>
      </c>
      <c r="H589" t="s">
        <v>3481</v>
      </c>
    </row>
    <row r="590" spans="1:8" x14ac:dyDescent="0.45">
      <c r="A590" s="53" t="s">
        <v>7503</v>
      </c>
      <c r="B590" s="54" t="s">
        <v>7504</v>
      </c>
      <c r="C590" t="s">
        <v>1063</v>
      </c>
      <c r="E590" s="45" t="s">
        <v>1077</v>
      </c>
      <c r="F590" s="45" t="s">
        <v>8553</v>
      </c>
      <c r="G590" t="s">
        <v>3200</v>
      </c>
      <c r="H590" t="s">
        <v>3481</v>
      </c>
    </row>
    <row r="591" spans="1:8" x14ac:dyDescent="0.45">
      <c r="A591" s="53" t="s">
        <v>7503</v>
      </c>
      <c r="B591" s="54" t="s">
        <v>7504</v>
      </c>
      <c r="C591" t="s">
        <v>1063</v>
      </c>
      <c r="E591" s="45" t="s">
        <v>1077</v>
      </c>
      <c r="F591" s="45" t="s">
        <v>8554</v>
      </c>
      <c r="G591" t="s">
        <v>3201</v>
      </c>
      <c r="H591" t="s">
        <v>3481</v>
      </c>
    </row>
    <row r="592" spans="1:8" x14ac:dyDescent="0.45">
      <c r="A592" s="53" t="s">
        <v>7503</v>
      </c>
      <c r="B592" s="54" t="s">
        <v>7504</v>
      </c>
      <c r="C592" t="s">
        <v>1063</v>
      </c>
      <c r="E592" s="45" t="s">
        <v>1077</v>
      </c>
      <c r="F592" s="45" t="s">
        <v>8555</v>
      </c>
      <c r="G592" t="s">
        <v>3202</v>
      </c>
      <c r="H592" t="s">
        <v>3481</v>
      </c>
    </row>
    <row r="593" spans="1:8" x14ac:dyDescent="0.45">
      <c r="A593" s="53" t="s">
        <v>7503</v>
      </c>
      <c r="B593" s="54" t="s">
        <v>7504</v>
      </c>
      <c r="C593" t="s">
        <v>1063</v>
      </c>
      <c r="E593" s="45" t="s">
        <v>1077</v>
      </c>
      <c r="F593" s="45" t="s">
        <v>8556</v>
      </c>
      <c r="G593" t="s">
        <v>8557</v>
      </c>
      <c r="H593" t="s">
        <v>1079</v>
      </c>
    </row>
    <row r="594" spans="1:8" x14ac:dyDescent="0.45">
      <c r="A594" s="53" t="s">
        <v>5969</v>
      </c>
      <c r="B594" s="54" t="s">
        <v>5970</v>
      </c>
      <c r="C594" t="s">
        <v>1063</v>
      </c>
      <c r="E594" s="45" t="s">
        <v>1077</v>
      </c>
      <c r="F594" s="45" t="s">
        <v>1076</v>
      </c>
      <c r="G594" t="s">
        <v>3203</v>
      </c>
      <c r="H594" t="s">
        <v>3481</v>
      </c>
    </row>
    <row r="595" spans="1:8" x14ac:dyDescent="0.45">
      <c r="A595" s="53" t="s">
        <v>5969</v>
      </c>
      <c r="B595" s="54" t="s">
        <v>5970</v>
      </c>
      <c r="C595" t="s">
        <v>1063</v>
      </c>
      <c r="E595" s="45" t="s">
        <v>1077</v>
      </c>
      <c r="F595" s="45" t="s">
        <v>8552</v>
      </c>
      <c r="G595" t="s">
        <v>3199</v>
      </c>
      <c r="H595" t="s">
        <v>3481</v>
      </c>
    </row>
    <row r="596" spans="1:8" x14ac:dyDescent="0.45">
      <c r="A596" s="53" t="s">
        <v>5969</v>
      </c>
      <c r="B596" s="54" t="s">
        <v>5970</v>
      </c>
      <c r="C596" t="s">
        <v>1063</v>
      </c>
      <c r="E596" s="45" t="s">
        <v>1077</v>
      </c>
      <c r="F596" s="45" t="s">
        <v>8553</v>
      </c>
      <c r="G596" t="s">
        <v>3200</v>
      </c>
      <c r="H596" t="s">
        <v>3481</v>
      </c>
    </row>
    <row r="597" spans="1:8" x14ac:dyDescent="0.45">
      <c r="A597" s="53" t="s">
        <v>5969</v>
      </c>
      <c r="B597" s="54" t="s">
        <v>5970</v>
      </c>
      <c r="C597" t="s">
        <v>1063</v>
      </c>
      <c r="E597" s="45" t="s">
        <v>1077</v>
      </c>
      <c r="F597" s="45" t="s">
        <v>8554</v>
      </c>
      <c r="G597" t="s">
        <v>3201</v>
      </c>
      <c r="H597" t="s">
        <v>3481</v>
      </c>
    </row>
    <row r="598" spans="1:8" x14ac:dyDescent="0.45">
      <c r="A598" s="53" t="s">
        <v>5969</v>
      </c>
      <c r="B598" s="54" t="s">
        <v>5970</v>
      </c>
      <c r="C598" t="s">
        <v>1063</v>
      </c>
      <c r="E598" s="45" t="s">
        <v>1077</v>
      </c>
      <c r="F598" s="45" t="s">
        <v>8555</v>
      </c>
      <c r="G598" t="s">
        <v>3202</v>
      </c>
      <c r="H598" t="s">
        <v>3481</v>
      </c>
    </row>
    <row r="599" spans="1:8" x14ac:dyDescent="0.45">
      <c r="A599" s="53" t="s">
        <v>5969</v>
      </c>
      <c r="B599" s="54" t="s">
        <v>5970</v>
      </c>
      <c r="C599" t="s">
        <v>1063</v>
      </c>
      <c r="E599" s="45" t="s">
        <v>1077</v>
      </c>
      <c r="F599" s="45" t="s">
        <v>8556</v>
      </c>
      <c r="G599" t="s">
        <v>8557</v>
      </c>
      <c r="H599" t="s">
        <v>1079</v>
      </c>
    </row>
    <row r="600" spans="1:8" x14ac:dyDescent="0.45">
      <c r="A600" s="53" t="s">
        <v>5204</v>
      </c>
      <c r="B600" s="54" t="s">
        <v>5205</v>
      </c>
      <c r="C600" t="s">
        <v>1063</v>
      </c>
      <c r="E600" s="45" t="s">
        <v>1077</v>
      </c>
      <c r="F600" s="45" t="s">
        <v>1076</v>
      </c>
      <c r="G600" t="s">
        <v>3203</v>
      </c>
      <c r="H600" t="s">
        <v>3481</v>
      </c>
    </row>
    <row r="601" spans="1:8" x14ac:dyDescent="0.45">
      <c r="A601" s="53" t="s">
        <v>5204</v>
      </c>
      <c r="B601" s="54" t="s">
        <v>5205</v>
      </c>
      <c r="C601" t="s">
        <v>1063</v>
      </c>
      <c r="E601" s="45" t="s">
        <v>1077</v>
      </c>
      <c r="F601" s="45" t="s">
        <v>8552</v>
      </c>
      <c r="G601" t="s">
        <v>3199</v>
      </c>
      <c r="H601" t="s">
        <v>3481</v>
      </c>
    </row>
    <row r="602" spans="1:8" x14ac:dyDescent="0.45">
      <c r="A602" s="53" t="s">
        <v>5204</v>
      </c>
      <c r="B602" s="54" t="s">
        <v>5205</v>
      </c>
      <c r="C602" t="s">
        <v>1063</v>
      </c>
      <c r="E602" s="45" t="s">
        <v>1077</v>
      </c>
      <c r="F602" s="45" t="s">
        <v>8553</v>
      </c>
      <c r="G602" t="s">
        <v>3200</v>
      </c>
      <c r="H602" t="s">
        <v>3481</v>
      </c>
    </row>
    <row r="603" spans="1:8" x14ac:dyDescent="0.45">
      <c r="A603" s="53" t="s">
        <v>5204</v>
      </c>
      <c r="B603" s="54" t="s">
        <v>5205</v>
      </c>
      <c r="C603" t="s">
        <v>1063</v>
      </c>
      <c r="E603" s="45" t="s">
        <v>1077</v>
      </c>
      <c r="F603" s="45" t="s">
        <v>8554</v>
      </c>
      <c r="G603" t="s">
        <v>3201</v>
      </c>
      <c r="H603" t="s">
        <v>3481</v>
      </c>
    </row>
    <row r="604" spans="1:8" x14ac:dyDescent="0.45">
      <c r="A604" s="53" t="s">
        <v>5204</v>
      </c>
      <c r="B604" s="54" t="s">
        <v>5205</v>
      </c>
      <c r="C604" t="s">
        <v>1063</v>
      </c>
      <c r="E604" s="45" t="s">
        <v>1077</v>
      </c>
      <c r="F604" s="45" t="s">
        <v>8555</v>
      </c>
      <c r="G604" t="s">
        <v>3202</v>
      </c>
      <c r="H604" t="s">
        <v>3481</v>
      </c>
    </row>
    <row r="605" spans="1:8" x14ac:dyDescent="0.45">
      <c r="A605" s="53" t="s">
        <v>5204</v>
      </c>
      <c r="B605" s="54" t="s">
        <v>5205</v>
      </c>
      <c r="C605" t="s">
        <v>1063</v>
      </c>
      <c r="E605" s="45" t="s">
        <v>1077</v>
      </c>
      <c r="F605" s="45" t="s">
        <v>8556</v>
      </c>
      <c r="G605" t="s">
        <v>8557</v>
      </c>
      <c r="H605" t="s">
        <v>1079</v>
      </c>
    </row>
    <row r="606" spans="1:8" x14ac:dyDescent="0.45">
      <c r="A606" s="53" t="s">
        <v>7941</v>
      </c>
      <c r="B606" s="54" t="s">
        <v>7942</v>
      </c>
      <c r="C606" t="s">
        <v>1063</v>
      </c>
      <c r="E606" s="45" t="s">
        <v>1077</v>
      </c>
      <c r="F606" s="45" t="s">
        <v>1076</v>
      </c>
      <c r="G606" t="s">
        <v>3203</v>
      </c>
      <c r="H606" t="s">
        <v>3481</v>
      </c>
    </row>
    <row r="607" spans="1:8" x14ac:dyDescent="0.45">
      <c r="A607" s="53" t="s">
        <v>7941</v>
      </c>
      <c r="B607" s="54" t="s">
        <v>7942</v>
      </c>
      <c r="C607" t="s">
        <v>1063</v>
      </c>
      <c r="E607" s="45" t="s">
        <v>1077</v>
      </c>
      <c r="F607" s="45" t="s">
        <v>8552</v>
      </c>
      <c r="G607" t="s">
        <v>3199</v>
      </c>
      <c r="H607" t="s">
        <v>3481</v>
      </c>
    </row>
    <row r="608" spans="1:8" x14ac:dyDescent="0.45">
      <c r="A608" s="53" t="s">
        <v>7941</v>
      </c>
      <c r="B608" s="54" t="s">
        <v>7942</v>
      </c>
      <c r="C608" t="s">
        <v>1063</v>
      </c>
      <c r="E608" s="45" t="s">
        <v>1077</v>
      </c>
      <c r="F608" s="45" t="s">
        <v>8553</v>
      </c>
      <c r="G608" t="s">
        <v>3200</v>
      </c>
      <c r="H608" t="s">
        <v>3481</v>
      </c>
    </row>
    <row r="609" spans="1:8" x14ac:dyDescent="0.45">
      <c r="A609" s="53" t="s">
        <v>7941</v>
      </c>
      <c r="B609" s="54" t="s">
        <v>7942</v>
      </c>
      <c r="C609" t="s">
        <v>1063</v>
      </c>
      <c r="E609" s="45" t="s">
        <v>1077</v>
      </c>
      <c r="F609" s="45" t="s">
        <v>8554</v>
      </c>
      <c r="G609" t="s">
        <v>3201</v>
      </c>
      <c r="H609" t="s">
        <v>3481</v>
      </c>
    </row>
    <row r="610" spans="1:8" x14ac:dyDescent="0.45">
      <c r="A610" s="53" t="s">
        <v>7941</v>
      </c>
      <c r="B610" s="54" t="s">
        <v>7942</v>
      </c>
      <c r="C610" t="s">
        <v>1063</v>
      </c>
      <c r="E610" s="45" t="s">
        <v>1077</v>
      </c>
      <c r="F610" s="45" t="s">
        <v>8555</v>
      </c>
      <c r="G610" t="s">
        <v>3202</v>
      </c>
      <c r="H610" t="s">
        <v>3481</v>
      </c>
    </row>
    <row r="611" spans="1:8" x14ac:dyDescent="0.45">
      <c r="A611" s="53" t="s">
        <v>7941</v>
      </c>
      <c r="B611" s="54" t="s">
        <v>7942</v>
      </c>
      <c r="C611" t="s">
        <v>1063</v>
      </c>
      <c r="E611" s="45" t="s">
        <v>1077</v>
      </c>
      <c r="F611" s="45" t="s">
        <v>8556</v>
      </c>
      <c r="G611" t="s">
        <v>8557</v>
      </c>
      <c r="H611" t="s">
        <v>1079</v>
      </c>
    </row>
    <row r="612" spans="1:8" x14ac:dyDescent="0.45">
      <c r="A612" s="53" t="s">
        <v>4055</v>
      </c>
      <c r="B612" s="54" t="s">
        <v>4056</v>
      </c>
      <c r="C612" t="s">
        <v>1063</v>
      </c>
      <c r="E612" s="45" t="s">
        <v>1077</v>
      </c>
      <c r="F612" s="45" t="s">
        <v>1076</v>
      </c>
      <c r="G612" t="s">
        <v>3203</v>
      </c>
      <c r="H612" t="s">
        <v>3481</v>
      </c>
    </row>
    <row r="613" spans="1:8" x14ac:dyDescent="0.45">
      <c r="A613" s="53" t="s">
        <v>4055</v>
      </c>
      <c r="B613" s="54" t="s">
        <v>4056</v>
      </c>
      <c r="C613" t="s">
        <v>1063</v>
      </c>
      <c r="E613" s="45" t="s">
        <v>1077</v>
      </c>
      <c r="F613" s="45" t="s">
        <v>8552</v>
      </c>
      <c r="G613" t="s">
        <v>3199</v>
      </c>
      <c r="H613" t="s">
        <v>3481</v>
      </c>
    </row>
    <row r="614" spans="1:8" x14ac:dyDescent="0.45">
      <c r="A614" s="53" t="s">
        <v>4055</v>
      </c>
      <c r="B614" s="54" t="s">
        <v>4056</v>
      </c>
      <c r="C614" t="s">
        <v>1063</v>
      </c>
      <c r="E614" s="45" t="s">
        <v>1077</v>
      </c>
      <c r="F614" s="45" t="s">
        <v>8553</v>
      </c>
      <c r="G614" t="s">
        <v>3200</v>
      </c>
      <c r="H614" t="s">
        <v>3481</v>
      </c>
    </row>
    <row r="615" spans="1:8" x14ac:dyDescent="0.45">
      <c r="A615" s="53" t="s">
        <v>4055</v>
      </c>
      <c r="B615" s="54" t="s">
        <v>4056</v>
      </c>
      <c r="C615" t="s">
        <v>1063</v>
      </c>
      <c r="E615" s="45" t="s">
        <v>1077</v>
      </c>
      <c r="F615" s="45" t="s">
        <v>8554</v>
      </c>
      <c r="G615" t="s">
        <v>3201</v>
      </c>
      <c r="H615" t="s">
        <v>3481</v>
      </c>
    </row>
    <row r="616" spans="1:8" x14ac:dyDescent="0.45">
      <c r="A616" s="53" t="s">
        <v>4055</v>
      </c>
      <c r="B616" s="54" t="s">
        <v>4056</v>
      </c>
      <c r="C616" t="s">
        <v>1063</v>
      </c>
      <c r="E616" s="45" t="s">
        <v>1077</v>
      </c>
      <c r="F616" s="45" t="s">
        <v>8555</v>
      </c>
      <c r="G616" t="s">
        <v>3202</v>
      </c>
      <c r="H616" t="s">
        <v>3481</v>
      </c>
    </row>
    <row r="617" spans="1:8" x14ac:dyDescent="0.45">
      <c r="A617" s="53" t="s">
        <v>4055</v>
      </c>
      <c r="B617" s="54" t="s">
        <v>4056</v>
      </c>
      <c r="C617" t="s">
        <v>1063</v>
      </c>
      <c r="E617" s="45" t="s">
        <v>1077</v>
      </c>
      <c r="F617" s="45" t="s">
        <v>8556</v>
      </c>
      <c r="G617" t="s">
        <v>8557</v>
      </c>
      <c r="H617" t="s">
        <v>1079</v>
      </c>
    </row>
    <row r="618" spans="1:8" x14ac:dyDescent="0.45">
      <c r="A618" s="53" t="s">
        <v>5258</v>
      </c>
      <c r="B618" s="54" t="s">
        <v>5259</v>
      </c>
      <c r="C618" t="s">
        <v>1063</v>
      </c>
      <c r="E618" s="45" t="s">
        <v>1077</v>
      </c>
      <c r="F618" s="45" t="s">
        <v>1076</v>
      </c>
      <c r="G618" s="55" t="s">
        <v>8970</v>
      </c>
      <c r="H618" s="55" t="s">
        <v>8971</v>
      </c>
    </row>
    <row r="619" spans="1:8" x14ac:dyDescent="0.45">
      <c r="A619" s="53" t="s">
        <v>5258</v>
      </c>
      <c r="B619" s="54" t="s">
        <v>5259</v>
      </c>
      <c r="C619" t="s">
        <v>1063</v>
      </c>
      <c r="E619" s="45" t="s">
        <v>1077</v>
      </c>
      <c r="F619" s="45" t="s">
        <v>8377</v>
      </c>
      <c r="G619" s="55" t="s">
        <v>3199</v>
      </c>
      <c r="H619" s="55" t="s">
        <v>3481</v>
      </c>
    </row>
    <row r="620" spans="1:8" x14ac:dyDescent="0.45">
      <c r="A620" s="53" t="s">
        <v>5258</v>
      </c>
      <c r="B620" s="54" t="s">
        <v>5259</v>
      </c>
      <c r="C620" t="s">
        <v>1063</v>
      </c>
      <c r="E620" s="45" t="s">
        <v>1077</v>
      </c>
      <c r="F620" s="45" t="s">
        <v>8379</v>
      </c>
      <c r="G620" s="55" t="s">
        <v>8972</v>
      </c>
      <c r="H620" s="55" t="s">
        <v>8971</v>
      </c>
    </row>
    <row r="621" spans="1:8" x14ac:dyDescent="0.45">
      <c r="A621" s="53" t="s">
        <v>5258</v>
      </c>
      <c r="B621" s="54" t="s">
        <v>5259</v>
      </c>
      <c r="C621" t="s">
        <v>1063</v>
      </c>
      <c r="E621" s="45" t="s">
        <v>1077</v>
      </c>
      <c r="F621" s="45" t="s">
        <v>8378</v>
      </c>
      <c r="G621" s="56" t="s">
        <v>3201</v>
      </c>
      <c r="H621" s="55" t="s">
        <v>3481</v>
      </c>
    </row>
    <row r="622" spans="1:8" x14ac:dyDescent="0.45">
      <c r="A622" s="53" t="s">
        <v>5258</v>
      </c>
      <c r="B622" s="54" t="s">
        <v>5259</v>
      </c>
      <c r="C622" t="s">
        <v>1063</v>
      </c>
      <c r="E622" s="45" t="s">
        <v>1077</v>
      </c>
      <c r="F622" t="s">
        <v>8973</v>
      </c>
      <c r="G622" s="55" t="s">
        <v>3202</v>
      </c>
      <c r="H622" s="55" t="s">
        <v>3481</v>
      </c>
    </row>
    <row r="623" spans="1:8" x14ac:dyDescent="0.45">
      <c r="A623" s="53" t="s">
        <v>5258</v>
      </c>
      <c r="B623" s="54" t="s">
        <v>5259</v>
      </c>
      <c r="C623" t="s">
        <v>1063</v>
      </c>
      <c r="E623" s="45" t="s">
        <v>1077</v>
      </c>
      <c r="F623" s="45" t="s">
        <v>8380</v>
      </c>
      <c r="G623" s="56" t="s">
        <v>1078</v>
      </c>
      <c r="H623" s="55" t="s">
        <v>1079</v>
      </c>
    </row>
    <row r="624" spans="1:8" x14ac:dyDescent="0.45">
      <c r="A624" s="53" t="s">
        <v>6418</v>
      </c>
      <c r="B624" s="54" t="s">
        <v>6419</v>
      </c>
      <c r="C624" t="s">
        <v>9636</v>
      </c>
      <c r="E624" s="45" t="s">
        <v>9637</v>
      </c>
      <c r="F624" s="45" t="s">
        <v>9638</v>
      </c>
      <c r="G624" t="s">
        <v>3205</v>
      </c>
      <c r="H624" t="s">
        <v>3483</v>
      </c>
    </row>
    <row r="625" spans="1:8" x14ac:dyDescent="0.45">
      <c r="A625" s="53" t="s">
        <v>6418</v>
      </c>
      <c r="B625" s="54" t="s">
        <v>6419</v>
      </c>
      <c r="C625" t="s">
        <v>9636</v>
      </c>
      <c r="E625" s="45" t="s">
        <v>9637</v>
      </c>
      <c r="F625" s="45" t="s">
        <v>9639</v>
      </c>
      <c r="G625" t="s">
        <v>3204</v>
      </c>
      <c r="H625" t="s">
        <v>3482</v>
      </c>
    </row>
    <row r="626" spans="1:8" x14ac:dyDescent="0.45">
      <c r="A626" s="53" t="s">
        <v>6418</v>
      </c>
      <c r="B626" s="54" t="s">
        <v>6419</v>
      </c>
      <c r="C626" t="s">
        <v>9636</v>
      </c>
      <c r="E626" s="45" t="s">
        <v>9637</v>
      </c>
      <c r="F626" s="45" t="s">
        <v>9640</v>
      </c>
      <c r="G626" t="s">
        <v>3206</v>
      </c>
      <c r="H626" t="s">
        <v>3484</v>
      </c>
    </row>
    <row r="627" spans="1:8" x14ac:dyDescent="0.45">
      <c r="A627" s="53" t="s">
        <v>6418</v>
      </c>
      <c r="B627" s="54" t="s">
        <v>6419</v>
      </c>
      <c r="C627" t="s">
        <v>9636</v>
      </c>
      <c r="E627" s="45" t="s">
        <v>9637</v>
      </c>
      <c r="F627" s="45" t="s">
        <v>9641</v>
      </c>
      <c r="G627" t="s">
        <v>3207</v>
      </c>
      <c r="H627" t="s">
        <v>3483</v>
      </c>
    </row>
    <row r="628" spans="1:8" x14ac:dyDescent="0.45">
      <c r="A628" s="53" t="s">
        <v>7927</v>
      </c>
      <c r="B628" s="54" t="s">
        <v>7928</v>
      </c>
      <c r="C628" t="s">
        <v>10182</v>
      </c>
      <c r="E628" s="45" t="s">
        <v>10183</v>
      </c>
      <c r="F628" s="45" t="s">
        <v>10184</v>
      </c>
      <c r="G628" t="s">
        <v>10185</v>
      </c>
      <c r="H628" t="s">
        <v>10186</v>
      </c>
    </row>
    <row r="629" spans="1:8" x14ac:dyDescent="0.45">
      <c r="A629" s="53" t="s">
        <v>7927</v>
      </c>
      <c r="B629" s="54" t="s">
        <v>7928</v>
      </c>
      <c r="C629" t="s">
        <v>10182</v>
      </c>
      <c r="E629" s="45" t="s">
        <v>10183</v>
      </c>
      <c r="F629" s="45" t="s">
        <v>10187</v>
      </c>
      <c r="G629" s="12" t="s">
        <v>10185</v>
      </c>
      <c r="H629" t="s">
        <v>10188</v>
      </c>
    </row>
    <row r="630" spans="1:8" x14ac:dyDescent="0.45">
      <c r="A630" s="53" t="s">
        <v>7927</v>
      </c>
      <c r="B630" s="54" t="s">
        <v>7928</v>
      </c>
      <c r="C630" t="s">
        <v>10182</v>
      </c>
      <c r="E630" s="45" t="s">
        <v>10183</v>
      </c>
      <c r="F630" s="45" t="s">
        <v>10189</v>
      </c>
      <c r="G630" s="12" t="s">
        <v>10185</v>
      </c>
      <c r="H630" t="s">
        <v>10190</v>
      </c>
    </row>
    <row r="631" spans="1:8" x14ac:dyDescent="0.45">
      <c r="A631" s="53" t="s">
        <v>7927</v>
      </c>
      <c r="B631" s="54" t="s">
        <v>7928</v>
      </c>
      <c r="C631" t="s">
        <v>10182</v>
      </c>
      <c r="E631" s="45" t="s">
        <v>10183</v>
      </c>
      <c r="F631" s="45" t="s">
        <v>10191</v>
      </c>
      <c r="G631" s="12" t="s">
        <v>10185</v>
      </c>
      <c r="H631" t="s">
        <v>10192</v>
      </c>
    </row>
    <row r="632" spans="1:8" x14ac:dyDescent="0.45">
      <c r="A632" s="53" t="s">
        <v>7927</v>
      </c>
      <c r="B632" s="54" t="s">
        <v>7928</v>
      </c>
      <c r="C632" t="s">
        <v>10182</v>
      </c>
      <c r="E632" s="45" t="s">
        <v>10183</v>
      </c>
      <c r="F632" s="45" t="s">
        <v>10193</v>
      </c>
      <c r="G632" s="12" t="s">
        <v>10185</v>
      </c>
      <c r="H632" t="s">
        <v>10194</v>
      </c>
    </row>
    <row r="633" spans="1:8" x14ac:dyDescent="0.45">
      <c r="A633" s="53" t="s">
        <v>6642</v>
      </c>
      <c r="B633" s="54" t="s">
        <v>6643</v>
      </c>
      <c r="C633" t="s">
        <v>9753</v>
      </c>
      <c r="E633" s="45" t="s">
        <v>9754</v>
      </c>
      <c r="F633" s="45" t="s">
        <v>9755</v>
      </c>
      <c r="G633" t="s">
        <v>1080</v>
      </c>
      <c r="H633" t="s">
        <v>3485</v>
      </c>
    </row>
    <row r="634" spans="1:8" x14ac:dyDescent="0.45">
      <c r="A634" s="53" t="s">
        <v>6272</v>
      </c>
      <c r="B634" s="54" t="s">
        <v>6273</v>
      </c>
      <c r="C634" t="s">
        <v>9434</v>
      </c>
      <c r="E634" s="45" t="s">
        <v>9435</v>
      </c>
      <c r="F634" s="45" t="s">
        <v>9436</v>
      </c>
      <c r="G634" s="12" t="s">
        <v>3208</v>
      </c>
      <c r="H634" t="s">
        <v>3486</v>
      </c>
    </row>
    <row r="635" spans="1:8" x14ac:dyDescent="0.45">
      <c r="A635" s="53" t="s">
        <v>4138</v>
      </c>
      <c r="B635" s="54" t="s">
        <v>4139</v>
      </c>
      <c r="C635" t="s">
        <v>8568</v>
      </c>
      <c r="E635" s="45" t="s">
        <v>8569</v>
      </c>
      <c r="F635" s="45" t="s">
        <v>8570</v>
      </c>
      <c r="G635" t="s">
        <v>3209</v>
      </c>
      <c r="H635" t="s">
        <v>3487</v>
      </c>
    </row>
    <row r="636" spans="1:8" x14ac:dyDescent="0.45">
      <c r="A636" s="53" t="s">
        <v>4102</v>
      </c>
      <c r="B636" s="54" t="s">
        <v>4103</v>
      </c>
      <c r="C636" t="s">
        <v>8568</v>
      </c>
      <c r="E636" s="45" t="s">
        <v>8569</v>
      </c>
      <c r="F636" s="45" t="s">
        <v>8570</v>
      </c>
      <c r="G636" s="12" t="s">
        <v>3209</v>
      </c>
      <c r="H636" t="s">
        <v>3487</v>
      </c>
    </row>
    <row r="637" spans="1:8" x14ac:dyDescent="0.45">
      <c r="A637" s="53" t="s">
        <v>5795</v>
      </c>
      <c r="B637" s="54" t="s">
        <v>5796</v>
      </c>
      <c r="C637" t="s">
        <v>9251</v>
      </c>
    </row>
    <row r="638" spans="1:8" x14ac:dyDescent="0.45">
      <c r="A638" s="53" t="s">
        <v>7737</v>
      </c>
      <c r="B638" s="54" t="s">
        <v>7738</v>
      </c>
      <c r="C638" t="s">
        <v>9251</v>
      </c>
    </row>
    <row r="639" spans="1:8" x14ac:dyDescent="0.45">
      <c r="A639" s="53" t="s">
        <v>5771</v>
      </c>
      <c r="B639" s="54" t="s">
        <v>5772</v>
      </c>
      <c r="C639" t="s">
        <v>9251</v>
      </c>
    </row>
    <row r="640" spans="1:8" x14ac:dyDescent="0.45">
      <c r="A640" s="53" t="s">
        <v>7450</v>
      </c>
      <c r="B640" s="54" t="s">
        <v>7451</v>
      </c>
      <c r="C640" t="s">
        <v>10064</v>
      </c>
      <c r="E640" s="45" t="s">
        <v>10065</v>
      </c>
      <c r="F640" s="45" t="s">
        <v>10066</v>
      </c>
      <c r="G640" t="s">
        <v>3210</v>
      </c>
      <c r="H640" t="s">
        <v>3488</v>
      </c>
    </row>
    <row r="641" spans="1:8" x14ac:dyDescent="0.45">
      <c r="A641" s="53" t="s">
        <v>7450</v>
      </c>
      <c r="B641" s="54" t="s">
        <v>7451</v>
      </c>
      <c r="C641" t="s">
        <v>10064</v>
      </c>
      <c r="E641" s="45" t="s">
        <v>10065</v>
      </c>
      <c r="F641" s="45" t="s">
        <v>10067</v>
      </c>
      <c r="G641" t="s">
        <v>3211</v>
      </c>
      <c r="H641" t="s">
        <v>3489</v>
      </c>
    </row>
    <row r="642" spans="1:8" x14ac:dyDescent="0.45">
      <c r="A642" s="53" t="s">
        <v>8310</v>
      </c>
      <c r="B642" s="54" t="s">
        <v>8311</v>
      </c>
      <c r="C642" t="s">
        <v>10293</v>
      </c>
      <c r="E642" s="45" t="s">
        <v>10294</v>
      </c>
      <c r="F642" s="45" t="s">
        <v>10295</v>
      </c>
      <c r="G642" s="12" t="s">
        <v>3212</v>
      </c>
      <c r="H642" t="s">
        <v>3490</v>
      </c>
    </row>
    <row r="643" spans="1:8" x14ac:dyDescent="0.45">
      <c r="A643" s="53" t="s">
        <v>4569</v>
      </c>
      <c r="B643" s="54" t="s">
        <v>4570</v>
      </c>
      <c r="C643" t="s">
        <v>8709</v>
      </c>
      <c r="E643" s="45" t="s">
        <v>8710</v>
      </c>
      <c r="F643" s="45" t="s">
        <v>8711</v>
      </c>
      <c r="G643" s="12" t="s">
        <v>3213</v>
      </c>
      <c r="H643" t="s">
        <v>3491</v>
      </c>
    </row>
    <row r="644" spans="1:8" x14ac:dyDescent="0.45">
      <c r="A644" s="53" t="s">
        <v>8287</v>
      </c>
      <c r="B644" s="54" t="s">
        <v>8288</v>
      </c>
      <c r="C644" t="s">
        <v>10276</v>
      </c>
      <c r="E644" s="45" t="s">
        <v>10277</v>
      </c>
      <c r="F644" s="45" t="s">
        <v>10278</v>
      </c>
      <c r="G644" t="s">
        <v>3214</v>
      </c>
      <c r="H644" t="s">
        <v>3492</v>
      </c>
    </row>
    <row r="645" spans="1:8" x14ac:dyDescent="0.45">
      <c r="A645" s="53" t="s">
        <v>5820</v>
      </c>
      <c r="B645" s="54" t="s">
        <v>5821</v>
      </c>
      <c r="C645" t="s">
        <v>9280</v>
      </c>
      <c r="E645" s="45" t="s">
        <v>9281</v>
      </c>
      <c r="F645" s="45" t="s">
        <v>9282</v>
      </c>
      <c r="G645" s="12" t="s">
        <v>3215</v>
      </c>
      <c r="H645" t="s">
        <v>3493</v>
      </c>
    </row>
    <row r="646" spans="1:8" x14ac:dyDescent="0.45">
      <c r="A646" s="53" t="s">
        <v>5820</v>
      </c>
      <c r="B646" s="54" t="s">
        <v>5821</v>
      </c>
      <c r="C646" t="s">
        <v>9280</v>
      </c>
      <c r="E646" s="45" t="s">
        <v>9281</v>
      </c>
      <c r="F646" s="45" t="s">
        <v>9283</v>
      </c>
      <c r="G646" s="12" t="s">
        <v>3216</v>
      </c>
      <c r="H646" t="s">
        <v>3494</v>
      </c>
    </row>
    <row r="647" spans="1:8" x14ac:dyDescent="0.45">
      <c r="A647" s="53" t="s">
        <v>7727</v>
      </c>
      <c r="B647" s="54" t="s">
        <v>7728</v>
      </c>
      <c r="C647" t="s">
        <v>10124</v>
      </c>
      <c r="E647" s="45" t="s">
        <v>10125</v>
      </c>
      <c r="F647" s="45" t="s">
        <v>10128</v>
      </c>
      <c r="G647" t="s">
        <v>10126</v>
      </c>
      <c r="H647" t="s">
        <v>10127</v>
      </c>
    </row>
    <row r="648" spans="1:8" x14ac:dyDescent="0.45">
      <c r="A648" s="53" t="s">
        <v>7727</v>
      </c>
      <c r="B648" s="54" t="s">
        <v>7728</v>
      </c>
      <c r="C648" t="s">
        <v>10124</v>
      </c>
      <c r="E648" s="45" t="s">
        <v>10125</v>
      </c>
      <c r="F648" s="45" t="s">
        <v>10129</v>
      </c>
      <c r="G648" s="12" t="s">
        <v>10130</v>
      </c>
      <c r="H648" t="s">
        <v>10131</v>
      </c>
    </row>
    <row r="649" spans="1:8" x14ac:dyDescent="0.45">
      <c r="A649" s="53" t="s">
        <v>7727</v>
      </c>
      <c r="B649" s="54" t="s">
        <v>7728</v>
      </c>
      <c r="C649" t="s">
        <v>10124</v>
      </c>
      <c r="E649" s="45" t="s">
        <v>10125</v>
      </c>
      <c r="F649" s="45" t="s">
        <v>10132</v>
      </c>
      <c r="G649" s="12" t="s">
        <v>10133</v>
      </c>
      <c r="H649" t="s">
        <v>10134</v>
      </c>
    </row>
    <row r="650" spans="1:8" x14ac:dyDescent="0.45">
      <c r="A650" s="53" t="s">
        <v>6200</v>
      </c>
      <c r="B650" s="54" t="s">
        <v>6201</v>
      </c>
      <c r="C650" t="s">
        <v>9397</v>
      </c>
      <c r="E650" s="45" t="s">
        <v>9398</v>
      </c>
      <c r="F650" s="45" t="s">
        <v>9399</v>
      </c>
      <c r="G650" s="12" t="s">
        <v>3217</v>
      </c>
      <c r="H650" t="s">
        <v>3495</v>
      </c>
    </row>
    <row r="651" spans="1:8" x14ac:dyDescent="0.45">
      <c r="A651" s="53" t="s">
        <v>6977</v>
      </c>
      <c r="B651" s="54" t="s">
        <v>6978</v>
      </c>
      <c r="C651" t="s">
        <v>8563</v>
      </c>
    </row>
    <row r="652" spans="1:8" x14ac:dyDescent="0.45">
      <c r="A652" s="53" t="s">
        <v>4714</v>
      </c>
      <c r="B652" s="54" t="s">
        <v>4715</v>
      </c>
      <c r="C652" t="s">
        <v>8563</v>
      </c>
      <c r="E652" s="10"/>
    </row>
    <row r="653" spans="1:8" x14ac:dyDescent="0.45">
      <c r="A653" s="53" t="s">
        <v>6906</v>
      </c>
      <c r="B653" s="54" t="s">
        <v>6907</v>
      </c>
      <c r="C653" t="s">
        <v>8563</v>
      </c>
    </row>
    <row r="654" spans="1:8" x14ac:dyDescent="0.45">
      <c r="A654" s="53" t="s">
        <v>7008</v>
      </c>
      <c r="B654" s="54" t="s">
        <v>7009</v>
      </c>
      <c r="C654" t="s">
        <v>8563</v>
      </c>
    </row>
    <row r="655" spans="1:8" x14ac:dyDescent="0.45">
      <c r="A655" s="53" t="s">
        <v>6318</v>
      </c>
      <c r="B655" s="54" t="s">
        <v>6319</v>
      </c>
      <c r="C655" t="s">
        <v>8563</v>
      </c>
    </row>
    <row r="656" spans="1:8" x14ac:dyDescent="0.45">
      <c r="A656" s="53" t="s">
        <v>6672</v>
      </c>
      <c r="B656" s="54" t="s">
        <v>6673</v>
      </c>
      <c r="C656" t="s">
        <v>8563</v>
      </c>
    </row>
    <row r="657" spans="1:3" x14ac:dyDescent="0.45">
      <c r="A657" s="53" t="s">
        <v>4809</v>
      </c>
      <c r="B657" s="54" t="s">
        <v>4810</v>
      </c>
      <c r="C657" t="s">
        <v>8563</v>
      </c>
    </row>
    <row r="658" spans="1:3" x14ac:dyDescent="0.45">
      <c r="A658" s="53" t="s">
        <v>6826</v>
      </c>
      <c r="B658" s="54" t="s">
        <v>6827</v>
      </c>
      <c r="C658" t="s">
        <v>8563</v>
      </c>
    </row>
    <row r="659" spans="1:3" x14ac:dyDescent="0.45">
      <c r="A659" s="53" t="s">
        <v>6979</v>
      </c>
      <c r="B659" s="54" t="s">
        <v>6980</v>
      </c>
      <c r="C659" t="s">
        <v>8563</v>
      </c>
    </row>
    <row r="660" spans="1:3" x14ac:dyDescent="0.45">
      <c r="A660" s="53" t="s">
        <v>5301</v>
      </c>
      <c r="B660" s="54" t="s">
        <v>5302</v>
      </c>
      <c r="C660" t="s">
        <v>8563</v>
      </c>
    </row>
    <row r="661" spans="1:3" x14ac:dyDescent="0.45">
      <c r="A661" s="53" t="s">
        <v>7766</v>
      </c>
      <c r="B661" s="54" t="s">
        <v>7767</v>
      </c>
      <c r="C661" t="s">
        <v>8563</v>
      </c>
    </row>
    <row r="662" spans="1:3" x14ac:dyDescent="0.45">
      <c r="A662" s="53" t="s">
        <v>4469</v>
      </c>
      <c r="B662" s="54" t="s">
        <v>4470</v>
      </c>
      <c r="C662" t="s">
        <v>8563</v>
      </c>
    </row>
    <row r="663" spans="1:3" x14ac:dyDescent="0.45">
      <c r="A663" s="53" t="s">
        <v>5231</v>
      </c>
      <c r="B663" s="54" t="s">
        <v>5232</v>
      </c>
      <c r="C663" t="s">
        <v>8563</v>
      </c>
    </row>
    <row r="664" spans="1:3" x14ac:dyDescent="0.45">
      <c r="A664" s="53" t="s">
        <v>4617</v>
      </c>
      <c r="B664" s="54" t="s">
        <v>4618</v>
      </c>
      <c r="C664" t="s">
        <v>8563</v>
      </c>
    </row>
    <row r="665" spans="1:3" x14ac:dyDescent="0.45">
      <c r="A665" s="53" t="s">
        <v>6362</v>
      </c>
      <c r="B665" s="54" t="s">
        <v>6363</v>
      </c>
      <c r="C665" t="s">
        <v>8563</v>
      </c>
    </row>
    <row r="666" spans="1:3" x14ac:dyDescent="0.45">
      <c r="A666" s="53" t="s">
        <v>4088</v>
      </c>
      <c r="B666" s="54" t="s">
        <v>4089</v>
      </c>
      <c r="C666" t="s">
        <v>8563</v>
      </c>
    </row>
    <row r="667" spans="1:3" x14ac:dyDescent="0.45">
      <c r="A667" s="53" t="s">
        <v>5608</v>
      </c>
      <c r="B667" s="54" t="s">
        <v>5609</v>
      </c>
      <c r="C667" t="s">
        <v>8563</v>
      </c>
    </row>
    <row r="668" spans="1:3" x14ac:dyDescent="0.45">
      <c r="A668" s="53" t="s">
        <v>6765</v>
      </c>
      <c r="B668" s="54" t="s">
        <v>6766</v>
      </c>
      <c r="C668" t="s">
        <v>8563</v>
      </c>
    </row>
    <row r="669" spans="1:3" x14ac:dyDescent="0.45">
      <c r="A669" s="53" t="s">
        <v>5544</v>
      </c>
      <c r="B669" s="54" t="s">
        <v>5545</v>
      </c>
      <c r="C669" t="s">
        <v>8623</v>
      </c>
    </row>
    <row r="670" spans="1:3" x14ac:dyDescent="0.45">
      <c r="A670" s="53" t="s">
        <v>6869</v>
      </c>
      <c r="B670" s="54" t="s">
        <v>6870</v>
      </c>
      <c r="C670" t="s">
        <v>8623</v>
      </c>
    </row>
    <row r="671" spans="1:3" x14ac:dyDescent="0.45">
      <c r="A671" s="53" t="s">
        <v>5826</v>
      </c>
      <c r="B671" s="54" t="s">
        <v>5827</v>
      </c>
      <c r="C671" t="s">
        <v>8623</v>
      </c>
    </row>
    <row r="672" spans="1:3" x14ac:dyDescent="0.45">
      <c r="A672" s="53" t="s">
        <v>6503</v>
      </c>
      <c r="B672" s="54" t="s">
        <v>6504</v>
      </c>
      <c r="C672" t="s">
        <v>8623</v>
      </c>
    </row>
    <row r="673" spans="1:8" x14ac:dyDescent="0.45">
      <c r="A673" s="53" t="s">
        <v>6674</v>
      </c>
      <c r="B673" s="54" t="s">
        <v>6675</v>
      </c>
      <c r="C673" t="s">
        <v>8623</v>
      </c>
    </row>
    <row r="674" spans="1:8" x14ac:dyDescent="0.45">
      <c r="A674" s="53" t="s">
        <v>7986</v>
      </c>
      <c r="B674" s="54" t="s">
        <v>7987</v>
      </c>
      <c r="C674" t="s">
        <v>8623</v>
      </c>
    </row>
    <row r="675" spans="1:8" x14ac:dyDescent="0.45">
      <c r="A675" s="53" t="s">
        <v>4347</v>
      </c>
      <c r="B675" s="54" t="s">
        <v>4348</v>
      </c>
      <c r="C675" t="s">
        <v>8623</v>
      </c>
    </row>
    <row r="676" spans="1:8" x14ac:dyDescent="0.45">
      <c r="A676" s="53" t="s">
        <v>4045</v>
      </c>
      <c r="B676" s="54" t="s">
        <v>4046</v>
      </c>
      <c r="C676" t="s">
        <v>8549</v>
      </c>
    </row>
    <row r="677" spans="1:8" x14ac:dyDescent="0.45">
      <c r="A677" s="53" t="s">
        <v>3612</v>
      </c>
      <c r="B677" s="54" t="s">
        <v>3613</v>
      </c>
      <c r="C677" t="s">
        <v>1064</v>
      </c>
      <c r="E677" s="10" t="s">
        <v>1082</v>
      </c>
      <c r="F677" s="10" t="s">
        <v>1083</v>
      </c>
      <c r="G677" s="58" t="s">
        <v>9758</v>
      </c>
      <c r="H677" s="58" t="s">
        <v>9759</v>
      </c>
    </row>
    <row r="678" spans="1:8" x14ac:dyDescent="0.45">
      <c r="A678" s="53" t="s">
        <v>7971</v>
      </c>
      <c r="B678" s="54" t="s">
        <v>7972</v>
      </c>
      <c r="C678" t="s">
        <v>10204</v>
      </c>
      <c r="E678" s="45" t="s">
        <v>10205</v>
      </c>
    </row>
    <row r="679" spans="1:8" x14ac:dyDescent="0.45">
      <c r="A679" s="53" t="s">
        <v>4890</v>
      </c>
      <c r="B679" s="54" t="s">
        <v>4891</v>
      </c>
      <c r="C679" t="s">
        <v>8955</v>
      </c>
      <c r="E679" s="10" t="s">
        <v>8956</v>
      </c>
    </row>
    <row r="680" spans="1:8" x14ac:dyDescent="0.45">
      <c r="A680" s="53" t="s">
        <v>5123</v>
      </c>
      <c r="B680" s="54" t="s">
        <v>5124</v>
      </c>
      <c r="C680" t="s">
        <v>9041</v>
      </c>
      <c r="E680" s="45" t="s">
        <v>9042</v>
      </c>
    </row>
    <row r="681" spans="1:8" x14ac:dyDescent="0.45">
      <c r="A681" s="53" t="s">
        <v>5121</v>
      </c>
      <c r="B681" s="54" t="s">
        <v>5122</v>
      </c>
      <c r="C681" t="s">
        <v>9041</v>
      </c>
      <c r="E681" s="10" t="s">
        <v>9042</v>
      </c>
    </row>
    <row r="682" spans="1:8" x14ac:dyDescent="0.45">
      <c r="A682" s="53" t="s">
        <v>7078</v>
      </c>
      <c r="B682" s="54" t="s">
        <v>7079</v>
      </c>
      <c r="C682" t="s">
        <v>9950</v>
      </c>
      <c r="E682" s="45" t="s">
        <v>9951</v>
      </c>
    </row>
    <row r="683" spans="1:8" x14ac:dyDescent="0.45">
      <c r="A683" s="53" t="s">
        <v>6822</v>
      </c>
      <c r="B683" s="54" t="s">
        <v>6823</v>
      </c>
      <c r="C683" t="s">
        <v>9833</v>
      </c>
    </row>
    <row r="684" spans="1:8" x14ac:dyDescent="0.45">
      <c r="A684" s="53" t="s">
        <v>7881</v>
      </c>
      <c r="B684" s="54" t="s">
        <v>7882</v>
      </c>
      <c r="C684" t="s">
        <v>10173</v>
      </c>
    </row>
    <row r="685" spans="1:8" x14ac:dyDescent="0.45">
      <c r="A685" s="53" t="s">
        <v>7879</v>
      </c>
      <c r="B685" s="54" t="s">
        <v>7880</v>
      </c>
      <c r="C685" t="s">
        <v>10173</v>
      </c>
    </row>
    <row r="686" spans="1:8" x14ac:dyDescent="0.45">
      <c r="A686" s="53" t="s">
        <v>8160</v>
      </c>
      <c r="B686" s="54" t="s">
        <v>8161</v>
      </c>
      <c r="C686" t="s">
        <v>10050</v>
      </c>
      <c r="E686" s="45" t="s">
        <v>10051</v>
      </c>
    </row>
    <row r="687" spans="1:8" x14ac:dyDescent="0.45">
      <c r="A687" s="53" t="s">
        <v>7421</v>
      </c>
      <c r="B687" s="54" t="s">
        <v>7422</v>
      </c>
      <c r="C687" t="s">
        <v>10050</v>
      </c>
      <c r="E687" s="45" t="s">
        <v>10051</v>
      </c>
    </row>
    <row r="688" spans="1:8" x14ac:dyDescent="0.45">
      <c r="A688" s="53" t="s">
        <v>7877</v>
      </c>
      <c r="B688" s="54" t="s">
        <v>7878</v>
      </c>
      <c r="C688" t="s">
        <v>10171</v>
      </c>
      <c r="E688" s="45" t="s">
        <v>10172</v>
      </c>
    </row>
    <row r="689" spans="1:8" x14ac:dyDescent="0.45">
      <c r="A689" s="53" t="s">
        <v>4524</v>
      </c>
      <c r="B689" s="54" t="s">
        <v>4525</v>
      </c>
      <c r="C689" t="s">
        <v>8667</v>
      </c>
      <c r="F689" s="10"/>
    </row>
    <row r="690" spans="1:8" x14ac:dyDescent="0.45">
      <c r="A690" s="53" t="s">
        <v>6722</v>
      </c>
      <c r="B690" s="54" t="s">
        <v>6723</v>
      </c>
      <c r="C690" t="s">
        <v>9802</v>
      </c>
      <c r="E690" s="45" t="s">
        <v>9803</v>
      </c>
    </row>
    <row r="691" spans="1:8" x14ac:dyDescent="0.45">
      <c r="A691" s="53" t="s">
        <v>6998</v>
      </c>
      <c r="B691" s="54" t="s">
        <v>6999</v>
      </c>
      <c r="C691" t="s">
        <v>9862</v>
      </c>
      <c r="E691" s="45" t="s">
        <v>9863</v>
      </c>
    </row>
    <row r="692" spans="1:8" x14ac:dyDescent="0.45">
      <c r="A692" s="53" t="s">
        <v>6158</v>
      </c>
      <c r="B692" s="54" t="s">
        <v>6159</v>
      </c>
      <c r="C692" t="s">
        <v>9382</v>
      </c>
      <c r="E692" s="45" t="s">
        <v>9383</v>
      </c>
    </row>
    <row r="693" spans="1:8" x14ac:dyDescent="0.45">
      <c r="A693" s="53" t="s">
        <v>4185</v>
      </c>
      <c r="B693" s="54" t="s">
        <v>4186</v>
      </c>
      <c r="C693" t="s">
        <v>8612</v>
      </c>
      <c r="E693" s="45" t="s">
        <v>8613</v>
      </c>
    </row>
    <row r="694" spans="1:8" x14ac:dyDescent="0.45">
      <c r="A694" s="53" t="s">
        <v>4349</v>
      </c>
      <c r="B694" s="54" t="s">
        <v>4350</v>
      </c>
      <c r="C694" t="s">
        <v>8624</v>
      </c>
      <c r="E694" s="10" t="s">
        <v>8625</v>
      </c>
    </row>
    <row r="695" spans="1:8" x14ac:dyDescent="0.45">
      <c r="A695" s="53" t="s">
        <v>4714</v>
      </c>
      <c r="B695" s="54" t="s">
        <v>4715</v>
      </c>
      <c r="C695" t="s">
        <v>8908</v>
      </c>
      <c r="E695" s="10"/>
    </row>
    <row r="696" spans="1:8" x14ac:dyDescent="0.45">
      <c r="A696" s="53" t="s">
        <v>6979</v>
      </c>
      <c r="B696" s="54" t="s">
        <v>6980</v>
      </c>
      <c r="C696" t="s">
        <v>8908</v>
      </c>
    </row>
    <row r="697" spans="1:8" x14ac:dyDescent="0.45">
      <c r="A697" s="53" t="s">
        <v>7380</v>
      </c>
      <c r="B697" s="54" t="s">
        <v>7381</v>
      </c>
      <c r="C697" t="s">
        <v>8908</v>
      </c>
    </row>
    <row r="698" spans="1:8" x14ac:dyDescent="0.45">
      <c r="A698" s="53" t="s">
        <v>7549</v>
      </c>
      <c r="B698" s="54" t="s">
        <v>7550</v>
      </c>
      <c r="C698" t="s">
        <v>8908</v>
      </c>
    </row>
    <row r="699" spans="1:8" x14ac:dyDescent="0.45">
      <c r="A699" s="53" t="s">
        <v>6871</v>
      </c>
      <c r="B699" s="54" t="s">
        <v>6872</v>
      </c>
      <c r="C699" t="s">
        <v>9851</v>
      </c>
      <c r="E699" s="45" t="s">
        <v>9852</v>
      </c>
      <c r="F699" s="45" t="s">
        <v>9853</v>
      </c>
      <c r="G699" s="12" t="s">
        <v>3218</v>
      </c>
      <c r="H699" t="s">
        <v>3496</v>
      </c>
    </row>
    <row r="700" spans="1:8" x14ac:dyDescent="0.45">
      <c r="A700" s="53" t="s">
        <v>3711</v>
      </c>
      <c r="B700" s="54" t="s">
        <v>3712</v>
      </c>
      <c r="C700" t="s">
        <v>8441</v>
      </c>
      <c r="E700" s="45" t="s">
        <v>8442</v>
      </c>
      <c r="F700" s="45" t="s">
        <v>8443</v>
      </c>
      <c r="G700" t="s">
        <v>3219</v>
      </c>
      <c r="H700" t="s">
        <v>3497</v>
      </c>
    </row>
    <row r="701" spans="1:8" x14ac:dyDescent="0.45">
      <c r="A701" s="53" t="s">
        <v>6404</v>
      </c>
      <c r="B701" s="54" t="s">
        <v>6405</v>
      </c>
      <c r="C701" t="s">
        <v>9605</v>
      </c>
      <c r="E701" s="45" t="s">
        <v>9604</v>
      </c>
      <c r="F701" s="45" t="s">
        <v>9606</v>
      </c>
      <c r="G701" s="12" t="s">
        <v>3233</v>
      </c>
      <c r="H701" t="s">
        <v>3511</v>
      </c>
    </row>
    <row r="702" spans="1:8" x14ac:dyDescent="0.45">
      <c r="A702" s="53" t="s">
        <v>6404</v>
      </c>
      <c r="B702" s="54" t="s">
        <v>6405</v>
      </c>
      <c r="C702" t="s">
        <v>9605</v>
      </c>
      <c r="E702" s="45" t="s">
        <v>9604</v>
      </c>
      <c r="F702" s="45" t="s">
        <v>9607</v>
      </c>
      <c r="G702" s="12" t="s">
        <v>3220</v>
      </c>
      <c r="H702" t="s">
        <v>3498</v>
      </c>
    </row>
    <row r="703" spans="1:8" x14ac:dyDescent="0.45">
      <c r="A703" s="53" t="s">
        <v>6404</v>
      </c>
      <c r="B703" s="54" t="s">
        <v>6405</v>
      </c>
      <c r="C703" t="s">
        <v>9605</v>
      </c>
      <c r="E703" s="45" t="s">
        <v>9604</v>
      </c>
      <c r="F703" s="45" t="s">
        <v>9608</v>
      </c>
      <c r="G703" s="12" t="s">
        <v>3221</v>
      </c>
      <c r="H703" t="s">
        <v>3499</v>
      </c>
    </row>
    <row r="704" spans="1:8" x14ac:dyDescent="0.45">
      <c r="A704" s="53" t="s">
        <v>6404</v>
      </c>
      <c r="B704" s="54" t="s">
        <v>6405</v>
      </c>
      <c r="C704" t="s">
        <v>9605</v>
      </c>
      <c r="E704" s="45" t="s">
        <v>9604</v>
      </c>
      <c r="F704" s="45" t="s">
        <v>9609</v>
      </c>
      <c r="G704" s="12" t="s">
        <v>3222</v>
      </c>
      <c r="H704" t="s">
        <v>3500</v>
      </c>
    </row>
    <row r="705" spans="1:8" x14ac:dyDescent="0.45">
      <c r="A705" s="53" t="s">
        <v>6404</v>
      </c>
      <c r="B705" s="54" t="s">
        <v>6405</v>
      </c>
      <c r="C705" t="s">
        <v>9605</v>
      </c>
      <c r="E705" s="45" t="s">
        <v>9604</v>
      </c>
      <c r="F705" s="45" t="s">
        <v>9610</v>
      </c>
      <c r="G705" s="12" t="s">
        <v>3223</v>
      </c>
      <c r="H705" t="s">
        <v>3501</v>
      </c>
    </row>
    <row r="706" spans="1:8" x14ac:dyDescent="0.45">
      <c r="A706" s="53" t="s">
        <v>6404</v>
      </c>
      <c r="B706" s="54" t="s">
        <v>6405</v>
      </c>
      <c r="C706" t="s">
        <v>9605</v>
      </c>
      <c r="E706" s="45" t="s">
        <v>9604</v>
      </c>
      <c r="F706" s="45" t="s">
        <v>9611</v>
      </c>
      <c r="G706" s="12" t="s">
        <v>3224</v>
      </c>
      <c r="H706" t="s">
        <v>3502</v>
      </c>
    </row>
    <row r="707" spans="1:8" x14ac:dyDescent="0.45">
      <c r="A707" s="53" t="s">
        <v>6404</v>
      </c>
      <c r="B707" s="54" t="s">
        <v>6405</v>
      </c>
      <c r="C707" t="s">
        <v>9605</v>
      </c>
      <c r="E707" s="45" t="s">
        <v>9604</v>
      </c>
      <c r="F707" s="45" t="s">
        <v>9612</v>
      </c>
      <c r="G707" s="12" t="s">
        <v>3230</v>
      </c>
      <c r="H707" t="s">
        <v>3508</v>
      </c>
    </row>
    <row r="708" spans="1:8" x14ac:dyDescent="0.45">
      <c r="A708" s="53" t="s">
        <v>6404</v>
      </c>
      <c r="B708" s="54" t="s">
        <v>6405</v>
      </c>
      <c r="C708" t="s">
        <v>9605</v>
      </c>
      <c r="E708" s="45" t="s">
        <v>9604</v>
      </c>
      <c r="F708" s="45" t="s">
        <v>9613</v>
      </c>
      <c r="G708" s="12" t="s">
        <v>3231</v>
      </c>
      <c r="H708" t="s">
        <v>3509</v>
      </c>
    </row>
    <row r="709" spans="1:8" x14ac:dyDescent="0.45">
      <c r="A709" s="53" t="s">
        <v>6404</v>
      </c>
      <c r="B709" s="54" t="s">
        <v>6405</v>
      </c>
      <c r="C709" t="s">
        <v>9605</v>
      </c>
      <c r="E709" s="45" t="s">
        <v>9604</v>
      </c>
      <c r="F709" s="45" t="s">
        <v>9614</v>
      </c>
      <c r="G709" s="12" t="s">
        <v>3232</v>
      </c>
      <c r="H709" t="s">
        <v>3510</v>
      </c>
    </row>
    <row r="710" spans="1:8" x14ac:dyDescent="0.45">
      <c r="A710" s="53" t="s">
        <v>6404</v>
      </c>
      <c r="B710" s="54" t="s">
        <v>6405</v>
      </c>
      <c r="C710" t="s">
        <v>9605</v>
      </c>
      <c r="E710" s="45" t="s">
        <v>9604</v>
      </c>
      <c r="F710" s="45" t="s">
        <v>9615</v>
      </c>
      <c r="G710" s="12" t="s">
        <v>3228</v>
      </c>
      <c r="H710" t="s">
        <v>3506</v>
      </c>
    </row>
    <row r="711" spans="1:8" x14ac:dyDescent="0.45">
      <c r="A711" s="53" t="s">
        <v>6404</v>
      </c>
      <c r="B711" s="54" t="s">
        <v>6405</v>
      </c>
      <c r="C711" t="s">
        <v>9605</v>
      </c>
      <c r="E711" s="45" t="s">
        <v>9604</v>
      </c>
      <c r="F711" s="45" t="s">
        <v>9616</v>
      </c>
      <c r="G711" s="12" t="s">
        <v>3225</v>
      </c>
      <c r="H711" t="s">
        <v>3503</v>
      </c>
    </row>
    <row r="712" spans="1:8" x14ac:dyDescent="0.45">
      <c r="A712" s="53" t="s">
        <v>6404</v>
      </c>
      <c r="B712" s="54" t="s">
        <v>6405</v>
      </c>
      <c r="C712" t="s">
        <v>9605</v>
      </c>
      <c r="E712" s="45" t="s">
        <v>9604</v>
      </c>
      <c r="F712" s="45" t="s">
        <v>9617</v>
      </c>
      <c r="G712" s="12" t="s">
        <v>3227</v>
      </c>
      <c r="H712" t="s">
        <v>3505</v>
      </c>
    </row>
    <row r="713" spans="1:8" x14ac:dyDescent="0.45">
      <c r="A713" s="53" t="s">
        <v>6404</v>
      </c>
      <c r="B713" s="54" t="s">
        <v>6405</v>
      </c>
      <c r="C713" t="s">
        <v>9605</v>
      </c>
      <c r="E713" s="45" t="s">
        <v>9604</v>
      </c>
      <c r="F713" s="45" t="s">
        <v>9618</v>
      </c>
      <c r="G713" s="12" t="s">
        <v>3226</v>
      </c>
      <c r="H713" t="s">
        <v>3504</v>
      </c>
    </row>
    <row r="714" spans="1:8" x14ac:dyDescent="0.45">
      <c r="A714" s="53" t="s">
        <v>6404</v>
      </c>
      <c r="B714" s="54" t="s">
        <v>6405</v>
      </c>
      <c r="C714" t="s">
        <v>9605</v>
      </c>
      <c r="E714" s="45" t="s">
        <v>9604</v>
      </c>
      <c r="F714" s="45" t="s">
        <v>9619</v>
      </c>
      <c r="G714" s="12" t="s">
        <v>3229</v>
      </c>
      <c r="H714" t="s">
        <v>3507</v>
      </c>
    </row>
    <row r="715" spans="1:8" x14ac:dyDescent="0.45">
      <c r="A715" s="53" t="s">
        <v>6404</v>
      </c>
      <c r="B715" s="54" t="s">
        <v>6405</v>
      </c>
      <c r="C715" t="s">
        <v>9605</v>
      </c>
      <c r="E715" s="45" t="s">
        <v>9604</v>
      </c>
      <c r="F715" s="45" t="s">
        <v>9620</v>
      </c>
      <c r="G715" s="12" t="s">
        <v>3234</v>
      </c>
      <c r="H715" t="s">
        <v>3512</v>
      </c>
    </row>
    <row r="716" spans="1:8" x14ac:dyDescent="0.45">
      <c r="A716" s="53" t="s">
        <v>5660</v>
      </c>
      <c r="B716" s="54" t="s">
        <v>5661</v>
      </c>
      <c r="C716" t="s">
        <v>9241</v>
      </c>
    </row>
    <row r="717" spans="1:8" x14ac:dyDescent="0.45">
      <c r="A717" s="53" t="s">
        <v>6424</v>
      </c>
      <c r="B717" s="54" t="s">
        <v>6425</v>
      </c>
      <c r="C717" t="s">
        <v>8444</v>
      </c>
    </row>
    <row r="718" spans="1:8" x14ac:dyDescent="0.45">
      <c r="A718" s="53" t="s">
        <v>7096</v>
      </c>
      <c r="B718" s="54" t="s">
        <v>7097</v>
      </c>
      <c r="C718" t="s">
        <v>8444</v>
      </c>
    </row>
    <row r="719" spans="1:8" x14ac:dyDescent="0.45">
      <c r="A719" s="53" t="s">
        <v>3663</v>
      </c>
      <c r="B719" s="54" t="s">
        <v>3664</v>
      </c>
      <c r="C719" t="s">
        <v>8444</v>
      </c>
    </row>
    <row r="720" spans="1:8" x14ac:dyDescent="0.45">
      <c r="A720" s="53" t="s">
        <v>6798</v>
      </c>
      <c r="B720" s="54" t="s">
        <v>6799</v>
      </c>
      <c r="C720" t="s">
        <v>8444</v>
      </c>
    </row>
    <row r="721" spans="1:8" x14ac:dyDescent="0.45">
      <c r="A721" s="53" t="s">
        <v>6761</v>
      </c>
      <c r="B721" s="54" t="s">
        <v>6762</v>
      </c>
      <c r="C721" t="s">
        <v>8444</v>
      </c>
    </row>
    <row r="722" spans="1:8" x14ac:dyDescent="0.45">
      <c r="A722" s="53" t="s">
        <v>6433</v>
      </c>
      <c r="B722" s="54" t="s">
        <v>6434</v>
      </c>
      <c r="C722" t="s">
        <v>8444</v>
      </c>
    </row>
    <row r="723" spans="1:8" x14ac:dyDescent="0.45">
      <c r="A723" s="53" t="s">
        <v>6967</v>
      </c>
      <c r="B723" s="54" t="s">
        <v>6968</v>
      </c>
      <c r="C723" t="s">
        <v>8444</v>
      </c>
    </row>
    <row r="724" spans="1:8" x14ac:dyDescent="0.45">
      <c r="A724" s="53" t="s">
        <v>7271</v>
      </c>
      <c r="B724" s="54" t="s">
        <v>7272</v>
      </c>
      <c r="C724" t="s">
        <v>8444</v>
      </c>
    </row>
    <row r="725" spans="1:8" x14ac:dyDescent="0.45">
      <c r="A725" s="53" t="s">
        <v>7273</v>
      </c>
      <c r="B725" s="54" t="s">
        <v>7274</v>
      </c>
      <c r="C725" t="s">
        <v>8444</v>
      </c>
    </row>
    <row r="726" spans="1:8" x14ac:dyDescent="0.45">
      <c r="A726" s="53" t="s">
        <v>5304</v>
      </c>
      <c r="B726" s="54" t="s">
        <v>5305</v>
      </c>
      <c r="C726" t="s">
        <v>8444</v>
      </c>
    </row>
    <row r="727" spans="1:8" x14ac:dyDescent="0.45">
      <c r="A727" s="53" t="s">
        <v>5530</v>
      </c>
      <c r="B727" s="54" t="s">
        <v>5531</v>
      </c>
      <c r="C727" t="s">
        <v>8444</v>
      </c>
    </row>
    <row r="728" spans="1:8" x14ac:dyDescent="0.45">
      <c r="A728" s="53" t="s">
        <v>7058</v>
      </c>
      <c r="B728" s="54" t="s">
        <v>7059</v>
      </c>
      <c r="C728" t="s">
        <v>9937</v>
      </c>
      <c r="E728" s="45" t="s">
        <v>9938</v>
      </c>
      <c r="F728" s="45" t="s">
        <v>9941</v>
      </c>
      <c r="G728" s="12" t="s">
        <v>9939</v>
      </c>
      <c r="H728" t="s">
        <v>9940</v>
      </c>
    </row>
    <row r="729" spans="1:8" x14ac:dyDescent="0.45">
      <c r="A729" s="53" t="s">
        <v>7058</v>
      </c>
      <c r="B729" s="54" t="s">
        <v>7059</v>
      </c>
      <c r="C729" t="s">
        <v>9937</v>
      </c>
      <c r="E729" s="45" t="s">
        <v>9938</v>
      </c>
      <c r="F729" s="45" t="s">
        <v>9942</v>
      </c>
      <c r="G729" s="12" t="s">
        <v>2098</v>
      </c>
      <c r="H729" t="s">
        <v>9943</v>
      </c>
    </row>
    <row r="730" spans="1:8" x14ac:dyDescent="0.45">
      <c r="A730" s="53" t="s">
        <v>7058</v>
      </c>
      <c r="B730" s="54" t="s">
        <v>7059</v>
      </c>
      <c r="C730" t="s">
        <v>9937</v>
      </c>
      <c r="E730" s="45" t="s">
        <v>9938</v>
      </c>
      <c r="F730" s="45" t="s">
        <v>9944</v>
      </c>
      <c r="G730" s="12" t="s">
        <v>9945</v>
      </c>
      <c r="H730" t="s">
        <v>9946</v>
      </c>
    </row>
    <row r="731" spans="1:8" x14ac:dyDescent="0.45">
      <c r="A731" s="53" t="s">
        <v>7058</v>
      </c>
      <c r="B731" s="54" t="s">
        <v>7059</v>
      </c>
      <c r="C731" t="s">
        <v>9937</v>
      </c>
      <c r="E731" s="45" t="s">
        <v>9938</v>
      </c>
      <c r="F731" s="45" t="s">
        <v>9947</v>
      </c>
      <c r="G731" s="12" t="s">
        <v>9948</v>
      </c>
      <c r="H731" t="s">
        <v>9949</v>
      </c>
    </row>
    <row r="732" spans="1:8" x14ac:dyDescent="0.45">
      <c r="A732" s="53" t="s">
        <v>7281</v>
      </c>
      <c r="B732" s="54" t="s">
        <v>7282</v>
      </c>
      <c r="C732" t="s">
        <v>10026</v>
      </c>
      <c r="E732" s="45" t="s">
        <v>10027</v>
      </c>
      <c r="F732" s="45" t="s">
        <v>10028</v>
      </c>
      <c r="G732" s="12" t="s">
        <v>10029</v>
      </c>
      <c r="H732" t="s">
        <v>10030</v>
      </c>
    </row>
    <row r="733" spans="1:8" x14ac:dyDescent="0.45">
      <c r="A733" s="53" t="s">
        <v>7099</v>
      </c>
      <c r="B733" s="54" t="s">
        <v>7100</v>
      </c>
      <c r="C733" t="s">
        <v>9957</v>
      </c>
      <c r="E733" s="45" t="s">
        <v>9958</v>
      </c>
      <c r="F733" s="45" t="s">
        <v>9959</v>
      </c>
      <c r="G733" s="12" t="s">
        <v>9960</v>
      </c>
      <c r="H733" t="s">
        <v>9961</v>
      </c>
    </row>
    <row r="734" spans="1:8" x14ac:dyDescent="0.45">
      <c r="A734" s="53" t="s">
        <v>7099</v>
      </c>
      <c r="B734" s="54" t="s">
        <v>7100</v>
      </c>
      <c r="C734" t="s">
        <v>9957</v>
      </c>
      <c r="E734" s="45" t="s">
        <v>9958</v>
      </c>
      <c r="F734" s="45" t="s">
        <v>9962</v>
      </c>
      <c r="G734" s="12" t="s">
        <v>9963</v>
      </c>
      <c r="H734" t="s">
        <v>9964</v>
      </c>
    </row>
    <row r="735" spans="1:8" x14ac:dyDescent="0.45">
      <c r="A735" s="53" t="s">
        <v>7099</v>
      </c>
      <c r="B735" s="54" t="s">
        <v>7100</v>
      </c>
      <c r="C735" t="s">
        <v>9957</v>
      </c>
      <c r="E735" s="45" t="s">
        <v>9958</v>
      </c>
      <c r="F735" s="45" t="s">
        <v>9965</v>
      </c>
      <c r="G735" s="12" t="s">
        <v>9966</v>
      </c>
      <c r="H735" t="s">
        <v>9967</v>
      </c>
    </row>
    <row r="736" spans="1:8" x14ac:dyDescent="0.45">
      <c r="A736" s="53" t="s">
        <v>7099</v>
      </c>
      <c r="B736" s="54" t="s">
        <v>7100</v>
      </c>
      <c r="C736" t="s">
        <v>9957</v>
      </c>
      <c r="E736" s="45" t="s">
        <v>9958</v>
      </c>
      <c r="F736" s="45" t="s">
        <v>9968</v>
      </c>
      <c r="G736" s="12" t="s">
        <v>9969</v>
      </c>
      <c r="H736" t="s">
        <v>9970</v>
      </c>
    </row>
    <row r="737" spans="1:8" x14ac:dyDescent="0.45">
      <c r="A737" s="53" t="s">
        <v>7099</v>
      </c>
      <c r="B737" s="54" t="s">
        <v>7100</v>
      </c>
      <c r="C737" t="s">
        <v>9957</v>
      </c>
      <c r="E737" s="45" t="s">
        <v>9958</v>
      </c>
      <c r="F737" s="45" t="s">
        <v>9971</v>
      </c>
      <c r="G737" s="12" t="s">
        <v>9972</v>
      </c>
      <c r="H737" t="s">
        <v>9973</v>
      </c>
    </row>
    <row r="738" spans="1:8" x14ac:dyDescent="0.45">
      <c r="A738" s="53" t="s">
        <v>7099</v>
      </c>
      <c r="B738" s="54" t="s">
        <v>7100</v>
      </c>
      <c r="C738" t="s">
        <v>9957</v>
      </c>
      <c r="E738" s="45" t="s">
        <v>9958</v>
      </c>
      <c r="F738" s="45" t="s">
        <v>9974</v>
      </c>
      <c r="G738" s="12" t="s">
        <v>9975</v>
      </c>
      <c r="H738" t="s">
        <v>9976</v>
      </c>
    </row>
    <row r="739" spans="1:8" x14ac:dyDescent="0.45">
      <c r="A739" s="53" t="s">
        <v>7099</v>
      </c>
      <c r="B739" s="54" t="s">
        <v>7100</v>
      </c>
      <c r="C739" t="s">
        <v>9957</v>
      </c>
      <c r="E739" s="45" t="s">
        <v>9958</v>
      </c>
      <c r="F739" s="45" t="s">
        <v>9977</v>
      </c>
      <c r="G739" s="12" t="s">
        <v>9978</v>
      </c>
      <c r="H739" t="s">
        <v>9979</v>
      </c>
    </row>
    <row r="740" spans="1:8" x14ac:dyDescent="0.45">
      <c r="A740" s="53" t="s">
        <v>7099</v>
      </c>
      <c r="B740" s="54" t="s">
        <v>7100</v>
      </c>
      <c r="C740" t="s">
        <v>9957</v>
      </c>
      <c r="E740" s="45" t="s">
        <v>9958</v>
      </c>
      <c r="F740" s="45" t="s">
        <v>9980</v>
      </c>
      <c r="G740" s="12" t="s">
        <v>9981</v>
      </c>
      <c r="H740" t="s">
        <v>9982</v>
      </c>
    </row>
    <row r="741" spans="1:8" x14ac:dyDescent="0.45">
      <c r="A741" s="53" t="s">
        <v>7099</v>
      </c>
      <c r="B741" s="54" t="s">
        <v>7100</v>
      </c>
      <c r="C741" t="s">
        <v>9957</v>
      </c>
      <c r="E741" s="45" t="s">
        <v>9958</v>
      </c>
      <c r="F741" s="45" t="s">
        <v>9983</v>
      </c>
      <c r="G741" s="12" t="s">
        <v>9984</v>
      </c>
      <c r="H741" t="s">
        <v>9985</v>
      </c>
    </row>
    <row r="742" spans="1:8" x14ac:dyDescent="0.45">
      <c r="A742" s="53" t="s">
        <v>7099</v>
      </c>
      <c r="B742" s="54" t="s">
        <v>7100</v>
      </c>
      <c r="C742" t="s">
        <v>9957</v>
      </c>
      <c r="E742" s="45" t="s">
        <v>9958</v>
      </c>
      <c r="F742" s="45" t="s">
        <v>9986</v>
      </c>
      <c r="G742" s="12" t="s">
        <v>9987</v>
      </c>
      <c r="H742" t="s">
        <v>9988</v>
      </c>
    </row>
    <row r="743" spans="1:8" x14ac:dyDescent="0.45">
      <c r="A743" s="53" t="s">
        <v>7099</v>
      </c>
      <c r="B743" s="54" t="s">
        <v>7100</v>
      </c>
      <c r="C743" t="s">
        <v>9957</v>
      </c>
      <c r="E743" s="45" t="s">
        <v>9958</v>
      </c>
      <c r="F743" s="45" t="s">
        <v>9989</v>
      </c>
      <c r="G743" s="12" t="s">
        <v>9990</v>
      </c>
      <c r="H743" t="s">
        <v>9991</v>
      </c>
    </row>
    <row r="744" spans="1:8" x14ac:dyDescent="0.45">
      <c r="A744" s="53" t="s">
        <v>7099</v>
      </c>
      <c r="B744" s="54" t="s">
        <v>7100</v>
      </c>
      <c r="C744" t="s">
        <v>9957</v>
      </c>
      <c r="E744" s="45" t="s">
        <v>9958</v>
      </c>
      <c r="F744" s="45" t="s">
        <v>9992</v>
      </c>
      <c r="G744" s="12" t="s">
        <v>9993</v>
      </c>
      <c r="H744" t="s">
        <v>9994</v>
      </c>
    </row>
    <row r="745" spans="1:8" x14ac:dyDescent="0.45">
      <c r="A745" s="53" t="s">
        <v>4552</v>
      </c>
      <c r="B745" s="54" t="s">
        <v>4553</v>
      </c>
      <c r="C745" t="s">
        <v>8673</v>
      </c>
      <c r="E745" s="45" t="s">
        <v>8674</v>
      </c>
      <c r="F745" s="45" t="s">
        <v>8675</v>
      </c>
      <c r="G745" s="12" t="s">
        <v>3235</v>
      </c>
      <c r="H745" t="s">
        <v>3513</v>
      </c>
    </row>
    <row r="746" spans="1:8" x14ac:dyDescent="0.45">
      <c r="A746" s="53" t="s">
        <v>4552</v>
      </c>
      <c r="B746" s="54" t="s">
        <v>4553</v>
      </c>
      <c r="C746" t="s">
        <v>8673</v>
      </c>
      <c r="E746" s="45" t="s">
        <v>8674</v>
      </c>
      <c r="F746" s="45" t="s">
        <v>8676</v>
      </c>
      <c r="G746" s="12" t="s">
        <v>3235</v>
      </c>
      <c r="H746" t="s">
        <v>3514</v>
      </c>
    </row>
    <row r="747" spans="1:8" x14ac:dyDescent="0.45">
      <c r="A747" s="53" t="s">
        <v>4552</v>
      </c>
      <c r="B747" s="54" t="s">
        <v>4553</v>
      </c>
      <c r="C747" t="s">
        <v>8673</v>
      </c>
      <c r="E747" s="45" t="s">
        <v>8674</v>
      </c>
      <c r="F747" s="45" t="s">
        <v>8677</v>
      </c>
      <c r="G747" t="s">
        <v>3236</v>
      </c>
      <c r="H747" t="s">
        <v>3515</v>
      </c>
    </row>
    <row r="748" spans="1:8" x14ac:dyDescent="0.45">
      <c r="A748" s="53" t="s">
        <v>4552</v>
      </c>
      <c r="B748" s="54" t="s">
        <v>4553</v>
      </c>
      <c r="C748" t="s">
        <v>8673</v>
      </c>
      <c r="E748" s="45" t="s">
        <v>8674</v>
      </c>
      <c r="F748" s="45" t="s">
        <v>8678</v>
      </c>
      <c r="G748" s="12" t="s">
        <v>3237</v>
      </c>
      <c r="H748" t="s">
        <v>3516</v>
      </c>
    </row>
    <row r="749" spans="1:8" x14ac:dyDescent="0.45">
      <c r="A749" s="53" t="s">
        <v>4552</v>
      </c>
      <c r="B749" s="54" t="s">
        <v>4553</v>
      </c>
      <c r="C749" t="s">
        <v>8673</v>
      </c>
      <c r="E749" s="45" t="s">
        <v>8674</v>
      </c>
      <c r="F749" s="45" t="s">
        <v>8679</v>
      </c>
      <c r="G749" s="12" t="s">
        <v>3238</v>
      </c>
      <c r="H749" t="s">
        <v>3517</v>
      </c>
    </row>
    <row r="750" spans="1:8" x14ac:dyDescent="0.45">
      <c r="A750" s="53" t="s">
        <v>4552</v>
      </c>
      <c r="B750" s="54" t="s">
        <v>4553</v>
      </c>
      <c r="C750" t="s">
        <v>8673</v>
      </c>
      <c r="E750" s="45" t="s">
        <v>8674</v>
      </c>
      <c r="F750" s="45" t="s">
        <v>8680</v>
      </c>
      <c r="G750" s="12" t="s">
        <v>8681</v>
      </c>
      <c r="H750" t="s">
        <v>3513</v>
      </c>
    </row>
    <row r="751" spans="1:8" x14ac:dyDescent="0.45">
      <c r="A751" s="53" t="s">
        <v>4552</v>
      </c>
      <c r="B751" s="54" t="s">
        <v>4553</v>
      </c>
      <c r="C751" t="s">
        <v>8673</v>
      </c>
      <c r="E751" s="45" t="s">
        <v>8674</v>
      </c>
      <c r="F751" s="45" t="s">
        <v>8682</v>
      </c>
      <c r="G751" s="12" t="s">
        <v>8681</v>
      </c>
      <c r="H751" t="s">
        <v>3514</v>
      </c>
    </row>
    <row r="752" spans="1:8" x14ac:dyDescent="0.45">
      <c r="A752" s="53" t="s">
        <v>4552</v>
      </c>
      <c r="B752" s="54" t="s">
        <v>4553</v>
      </c>
      <c r="C752" t="s">
        <v>8673</v>
      </c>
      <c r="E752" s="45" t="s">
        <v>8674</v>
      </c>
      <c r="F752" s="45" t="s">
        <v>8683</v>
      </c>
      <c r="G752" s="12" t="s">
        <v>8684</v>
      </c>
      <c r="H752" t="s">
        <v>8685</v>
      </c>
    </row>
    <row r="753" spans="1:8" x14ac:dyDescent="0.45">
      <c r="A753" s="53" t="s">
        <v>4552</v>
      </c>
      <c r="B753" s="54" t="s">
        <v>4553</v>
      </c>
      <c r="C753" t="s">
        <v>8673</v>
      </c>
      <c r="E753" s="45" t="s">
        <v>8674</v>
      </c>
      <c r="F753" s="45" t="s">
        <v>8686</v>
      </c>
      <c r="G753" s="12" t="s">
        <v>8687</v>
      </c>
      <c r="H753" t="s">
        <v>8688</v>
      </c>
    </row>
    <row r="754" spans="1:8" x14ac:dyDescent="0.45">
      <c r="A754" s="53" t="s">
        <v>4552</v>
      </c>
      <c r="B754" s="54" t="s">
        <v>4553</v>
      </c>
      <c r="C754" t="s">
        <v>8673</v>
      </c>
      <c r="E754" s="45" t="s">
        <v>8674</v>
      </c>
      <c r="F754" s="45" t="s">
        <v>8689</v>
      </c>
      <c r="G754" s="12" t="s">
        <v>8690</v>
      </c>
      <c r="H754" t="s">
        <v>8691</v>
      </c>
    </row>
    <row r="755" spans="1:8" x14ac:dyDescent="0.45">
      <c r="A755" s="53" t="s">
        <v>5284</v>
      </c>
      <c r="B755" s="54" t="s">
        <v>5285</v>
      </c>
      <c r="C755" t="s">
        <v>9110</v>
      </c>
      <c r="E755" s="45" t="s">
        <v>9111</v>
      </c>
      <c r="F755" s="45" t="s">
        <v>9112</v>
      </c>
      <c r="G755" t="s">
        <v>9113</v>
      </c>
      <c r="H755" t="s">
        <v>9114</v>
      </c>
    </row>
    <row r="756" spans="1:8" x14ac:dyDescent="0.45">
      <c r="A756" s="53" t="s">
        <v>5284</v>
      </c>
      <c r="B756" s="54" t="s">
        <v>5285</v>
      </c>
      <c r="C756" t="s">
        <v>9110</v>
      </c>
      <c r="E756" s="45" t="s">
        <v>9111</v>
      </c>
      <c r="F756" s="45" t="s">
        <v>9115</v>
      </c>
      <c r="G756" t="s">
        <v>9116</v>
      </c>
      <c r="H756" t="s">
        <v>9117</v>
      </c>
    </row>
    <row r="757" spans="1:8" x14ac:dyDescent="0.45">
      <c r="A757" s="53" t="s">
        <v>5284</v>
      </c>
      <c r="B757" s="54" t="s">
        <v>5285</v>
      </c>
      <c r="C757" t="s">
        <v>9110</v>
      </c>
      <c r="E757" s="45" t="s">
        <v>9111</v>
      </c>
      <c r="F757" s="45" t="s">
        <v>9120</v>
      </c>
      <c r="G757" t="s">
        <v>9118</v>
      </c>
      <c r="H757" t="s">
        <v>9119</v>
      </c>
    </row>
    <row r="758" spans="1:8" x14ac:dyDescent="0.45">
      <c r="A758" s="53" t="s">
        <v>5284</v>
      </c>
      <c r="B758" s="54" t="s">
        <v>5285</v>
      </c>
      <c r="C758" t="s">
        <v>9110</v>
      </c>
      <c r="E758" s="45" t="s">
        <v>9111</v>
      </c>
      <c r="F758" s="45" t="s">
        <v>9121</v>
      </c>
      <c r="G758" t="s">
        <v>9122</v>
      </c>
      <c r="H758" t="s">
        <v>9123</v>
      </c>
    </row>
    <row r="759" spans="1:8" x14ac:dyDescent="0.45">
      <c r="A759" s="53" t="s">
        <v>5284</v>
      </c>
      <c r="B759" s="54" t="s">
        <v>5285</v>
      </c>
      <c r="C759" t="s">
        <v>9110</v>
      </c>
      <c r="E759" s="45" t="s">
        <v>9111</v>
      </c>
      <c r="F759" s="45" t="s">
        <v>9124</v>
      </c>
      <c r="G759" t="s">
        <v>9125</v>
      </c>
      <c r="H759" t="s">
        <v>9126</v>
      </c>
    </row>
    <row r="760" spans="1:8" x14ac:dyDescent="0.45">
      <c r="A760" s="53" t="s">
        <v>5284</v>
      </c>
      <c r="B760" s="54" t="s">
        <v>5285</v>
      </c>
      <c r="C760" t="s">
        <v>9110</v>
      </c>
      <c r="E760" s="45" t="s">
        <v>9111</v>
      </c>
      <c r="F760" s="45" t="s">
        <v>9127</v>
      </c>
      <c r="G760" t="s">
        <v>9128</v>
      </c>
      <c r="H760" t="s">
        <v>9129</v>
      </c>
    </row>
    <row r="761" spans="1:8" x14ac:dyDescent="0.45">
      <c r="A761" s="53" t="s">
        <v>5623</v>
      </c>
      <c r="B761" s="54" t="s">
        <v>5624</v>
      </c>
      <c r="C761" t="s">
        <v>9218</v>
      </c>
      <c r="E761" s="45" t="s">
        <v>9219</v>
      </c>
    </row>
    <row r="762" spans="1:8" x14ac:dyDescent="0.45">
      <c r="A762" s="53" t="s">
        <v>5693</v>
      </c>
      <c r="B762" s="54" t="s">
        <v>5694</v>
      </c>
      <c r="C762" t="s">
        <v>9218</v>
      </c>
      <c r="E762" s="45" t="s">
        <v>9219</v>
      </c>
    </row>
    <row r="763" spans="1:8" x14ac:dyDescent="0.45">
      <c r="A763" s="53" t="s">
        <v>7962</v>
      </c>
      <c r="B763" s="54" t="s">
        <v>7963</v>
      </c>
      <c r="C763" t="s">
        <v>10202</v>
      </c>
      <c r="E763" s="45" t="s">
        <v>10203</v>
      </c>
    </row>
    <row r="764" spans="1:8" x14ac:dyDescent="0.45">
      <c r="A764" s="53" t="s">
        <v>4801</v>
      </c>
      <c r="B764" s="54" t="s">
        <v>4802</v>
      </c>
      <c r="C764" t="s">
        <v>8934</v>
      </c>
      <c r="E764" s="45" t="s">
        <v>8935</v>
      </c>
      <c r="F764" s="45" t="s">
        <v>8936</v>
      </c>
      <c r="G764" s="12" t="s">
        <v>8937</v>
      </c>
      <c r="H764" t="s">
        <v>8938</v>
      </c>
    </row>
    <row r="765" spans="1:8" x14ac:dyDescent="0.45">
      <c r="A765" s="53" t="s">
        <v>4801</v>
      </c>
      <c r="B765" s="54" t="s">
        <v>4802</v>
      </c>
      <c r="C765" t="s">
        <v>8934</v>
      </c>
      <c r="E765" s="45" t="s">
        <v>8935</v>
      </c>
      <c r="F765" s="45" t="s">
        <v>8939</v>
      </c>
      <c r="G765" s="12" t="s">
        <v>8940</v>
      </c>
      <c r="H765" t="s">
        <v>8941</v>
      </c>
    </row>
    <row r="766" spans="1:8" x14ac:dyDescent="0.45">
      <c r="A766" s="53" t="s">
        <v>4801</v>
      </c>
      <c r="B766" s="54" t="s">
        <v>4802</v>
      </c>
      <c r="C766" t="s">
        <v>8934</v>
      </c>
      <c r="E766" s="45" t="s">
        <v>8935</v>
      </c>
      <c r="F766" s="45" t="s">
        <v>8943</v>
      </c>
      <c r="G766" t="s">
        <v>8942</v>
      </c>
      <c r="H766" t="s">
        <v>8941</v>
      </c>
    </row>
    <row r="767" spans="1:8" x14ac:dyDescent="0.45">
      <c r="A767" s="53" t="s">
        <v>8180</v>
      </c>
      <c r="B767" s="54" t="s">
        <v>8181</v>
      </c>
      <c r="C767" t="s">
        <v>10262</v>
      </c>
      <c r="E767" s="45" t="s">
        <v>10263</v>
      </c>
    </row>
    <row r="768" spans="1:8" x14ac:dyDescent="0.45">
      <c r="A768" s="53" t="s">
        <v>7094</v>
      </c>
      <c r="B768" s="54" t="s">
        <v>7095</v>
      </c>
      <c r="C768" t="s">
        <v>9955</v>
      </c>
      <c r="E768" s="45" t="s">
        <v>9956</v>
      </c>
    </row>
    <row r="769" spans="1:8" x14ac:dyDescent="0.45">
      <c r="A769" s="53" t="s">
        <v>6533</v>
      </c>
      <c r="B769" s="54" t="s">
        <v>6534</v>
      </c>
      <c r="C769" t="s">
        <v>9681</v>
      </c>
      <c r="E769" s="45" t="s">
        <v>9682</v>
      </c>
    </row>
    <row r="770" spans="1:8" x14ac:dyDescent="0.45">
      <c r="A770" s="53" t="s">
        <v>4512</v>
      </c>
      <c r="B770" s="54" t="s">
        <v>4513</v>
      </c>
      <c r="C770" t="s">
        <v>8666</v>
      </c>
      <c r="E770" s="45" t="s">
        <v>8665</v>
      </c>
    </row>
    <row r="771" spans="1:8" x14ac:dyDescent="0.45">
      <c r="A771" s="53" t="s">
        <v>7199</v>
      </c>
      <c r="B771" s="54" t="s">
        <v>7200</v>
      </c>
      <c r="C771" t="s">
        <v>10005</v>
      </c>
      <c r="E771" s="45" t="s">
        <v>10006</v>
      </c>
      <c r="F771" s="45" t="s">
        <v>10007</v>
      </c>
      <c r="G771" s="12" t="s">
        <v>3239</v>
      </c>
      <c r="H771" t="s">
        <v>3518</v>
      </c>
    </row>
    <row r="772" spans="1:8" x14ac:dyDescent="0.45">
      <c r="A772" s="53" t="s">
        <v>7199</v>
      </c>
      <c r="B772" s="54" t="s">
        <v>7200</v>
      </c>
      <c r="C772" t="s">
        <v>10005</v>
      </c>
      <c r="E772" s="45" t="s">
        <v>10006</v>
      </c>
      <c r="F772" s="45" t="s">
        <v>10008</v>
      </c>
      <c r="G772" s="12" t="s">
        <v>3240</v>
      </c>
      <c r="H772" t="s">
        <v>3519</v>
      </c>
    </row>
    <row r="773" spans="1:8" x14ac:dyDescent="0.45">
      <c r="A773" s="53" t="s">
        <v>7199</v>
      </c>
      <c r="B773" s="54" t="s">
        <v>7200</v>
      </c>
      <c r="C773" t="s">
        <v>10005</v>
      </c>
      <c r="E773" s="45" t="s">
        <v>10006</v>
      </c>
      <c r="F773" s="45" t="s">
        <v>10009</v>
      </c>
      <c r="G773" t="s">
        <v>3241</v>
      </c>
      <c r="H773" t="s">
        <v>3520</v>
      </c>
    </row>
    <row r="774" spans="1:8" x14ac:dyDescent="0.45">
      <c r="A774" s="53" t="s">
        <v>8048</v>
      </c>
      <c r="B774" s="54" t="s">
        <v>8049</v>
      </c>
      <c r="C774" t="s">
        <v>8668</v>
      </c>
    </row>
    <row r="775" spans="1:8" x14ac:dyDescent="0.45">
      <c r="A775" s="53" t="s">
        <v>5254</v>
      </c>
      <c r="B775" s="54" t="s">
        <v>5255</v>
      </c>
      <c r="C775" t="s">
        <v>8668</v>
      </c>
    </row>
    <row r="776" spans="1:8" x14ac:dyDescent="0.45">
      <c r="A776" s="53" t="s">
        <v>7716</v>
      </c>
      <c r="B776" s="54" t="s">
        <v>7717</v>
      </c>
      <c r="C776" t="s">
        <v>8668</v>
      </c>
    </row>
    <row r="777" spans="1:8" x14ac:dyDescent="0.45">
      <c r="A777" s="53" t="s">
        <v>4527</v>
      </c>
      <c r="B777" s="54" t="s">
        <v>4528</v>
      </c>
      <c r="C777" t="s">
        <v>8668</v>
      </c>
    </row>
    <row r="778" spans="1:8" x14ac:dyDescent="0.45">
      <c r="A778" s="53" t="s">
        <v>7064</v>
      </c>
      <c r="B778" s="54" t="s">
        <v>7065</v>
      </c>
      <c r="C778" t="s">
        <v>8668</v>
      </c>
    </row>
    <row r="779" spans="1:8" x14ac:dyDescent="0.45">
      <c r="A779" s="53" t="s">
        <v>4863</v>
      </c>
      <c r="B779" s="54" t="s">
        <v>4864</v>
      </c>
      <c r="C779" t="s">
        <v>8668</v>
      </c>
    </row>
    <row r="780" spans="1:8" x14ac:dyDescent="0.45">
      <c r="A780" s="53" t="s">
        <v>8138</v>
      </c>
      <c r="B780" s="54" t="s">
        <v>8139</v>
      </c>
      <c r="C780" t="s">
        <v>8668</v>
      </c>
    </row>
    <row r="781" spans="1:8" x14ac:dyDescent="0.45">
      <c r="A781" s="53" t="s">
        <v>7045</v>
      </c>
      <c r="B781" s="54" t="s">
        <v>7046</v>
      </c>
      <c r="C781" t="s">
        <v>8668</v>
      </c>
    </row>
    <row r="782" spans="1:8" x14ac:dyDescent="0.45">
      <c r="A782" s="53" t="s">
        <v>6060</v>
      </c>
      <c r="B782" s="54" t="s">
        <v>6061</v>
      </c>
      <c r="C782" t="s">
        <v>9326</v>
      </c>
    </row>
    <row r="783" spans="1:8" x14ac:dyDescent="0.45">
      <c r="A783" s="53" t="s">
        <v>5775</v>
      </c>
      <c r="B783" s="54" t="s">
        <v>5776</v>
      </c>
      <c r="C783" t="s">
        <v>9257</v>
      </c>
    </row>
    <row r="784" spans="1:8" x14ac:dyDescent="0.45">
      <c r="A784" s="53" t="s">
        <v>8130</v>
      </c>
      <c r="B784" s="54" t="s">
        <v>8131</v>
      </c>
      <c r="C784" t="s">
        <v>10239</v>
      </c>
      <c r="E784" s="45" t="s">
        <v>10240</v>
      </c>
    </row>
    <row r="785" spans="1:5" x14ac:dyDescent="0.45">
      <c r="A785" s="53" t="s">
        <v>5515</v>
      </c>
      <c r="B785" s="54" t="s">
        <v>5516</v>
      </c>
      <c r="C785" t="s">
        <v>9180</v>
      </c>
    </row>
    <row r="786" spans="1:5" x14ac:dyDescent="0.45">
      <c r="A786" s="53" t="s">
        <v>6583</v>
      </c>
      <c r="B786" s="54" t="s">
        <v>6584</v>
      </c>
      <c r="C786" t="s">
        <v>9180</v>
      </c>
    </row>
    <row r="787" spans="1:5" x14ac:dyDescent="0.45">
      <c r="A787" s="53" t="s">
        <v>4454</v>
      </c>
      <c r="B787" s="54" t="s">
        <v>4455</v>
      </c>
      <c r="C787" t="s">
        <v>8653</v>
      </c>
      <c r="E787" s="45" t="s">
        <v>8654</v>
      </c>
    </row>
    <row r="788" spans="1:5" x14ac:dyDescent="0.45">
      <c r="A788" s="53" t="s">
        <v>7711</v>
      </c>
      <c r="B788" s="54" t="s">
        <v>7712</v>
      </c>
      <c r="C788" t="s">
        <v>10122</v>
      </c>
      <c r="E788" s="45" t="s">
        <v>10123</v>
      </c>
    </row>
    <row r="789" spans="1:5" x14ac:dyDescent="0.45">
      <c r="A789" s="53" t="s">
        <v>4641</v>
      </c>
      <c r="B789" s="54" t="s">
        <v>4642</v>
      </c>
      <c r="C789" t="s">
        <v>8719</v>
      </c>
    </row>
    <row r="790" spans="1:5" x14ac:dyDescent="0.45">
      <c r="A790" s="53" t="s">
        <v>5045</v>
      </c>
      <c r="B790" s="54" t="s">
        <v>5046</v>
      </c>
      <c r="C790" t="s">
        <v>8588</v>
      </c>
    </row>
    <row r="791" spans="1:5" x14ac:dyDescent="0.45">
      <c r="A791" s="53" t="s">
        <v>8353</v>
      </c>
      <c r="B791" s="54" t="s">
        <v>8354</v>
      </c>
      <c r="C791" t="s">
        <v>8588</v>
      </c>
    </row>
    <row r="792" spans="1:5" x14ac:dyDescent="0.45">
      <c r="A792" s="53" t="s">
        <v>4136</v>
      </c>
      <c r="B792" s="54" t="s">
        <v>4137</v>
      </c>
      <c r="C792" t="s">
        <v>8588</v>
      </c>
      <c r="E792" s="10"/>
    </row>
    <row r="793" spans="1:5" x14ac:dyDescent="0.45">
      <c r="A793" s="53" t="s">
        <v>4136</v>
      </c>
      <c r="B793" s="54" t="s">
        <v>4137</v>
      </c>
      <c r="C793" t="s">
        <v>8589</v>
      </c>
      <c r="E793" s="10" t="s">
        <v>8590</v>
      </c>
    </row>
    <row r="794" spans="1:5" x14ac:dyDescent="0.45">
      <c r="A794" s="53" t="s">
        <v>6222</v>
      </c>
      <c r="B794" s="54" t="s">
        <v>6223</v>
      </c>
      <c r="C794" t="s">
        <v>9410</v>
      </c>
      <c r="E794" s="45" t="s">
        <v>9411</v>
      </c>
    </row>
    <row r="795" spans="1:5" x14ac:dyDescent="0.45">
      <c r="A795" s="53" t="s">
        <v>4487</v>
      </c>
      <c r="B795" s="54" t="s">
        <v>4488</v>
      </c>
      <c r="C795" t="s">
        <v>8663</v>
      </c>
      <c r="E795" s="45" t="s">
        <v>8664</v>
      </c>
    </row>
    <row r="796" spans="1:5" x14ac:dyDescent="0.45">
      <c r="A796" s="53" t="s">
        <v>5975</v>
      </c>
      <c r="B796" s="54" t="s">
        <v>5976</v>
      </c>
      <c r="C796" t="s">
        <v>8663</v>
      </c>
      <c r="E796" s="45" t="s">
        <v>8664</v>
      </c>
    </row>
    <row r="797" spans="1:5" x14ac:dyDescent="0.45">
      <c r="A797" s="53" t="s">
        <v>5688</v>
      </c>
      <c r="B797" s="54" t="s">
        <v>5689</v>
      </c>
      <c r="C797" t="s">
        <v>9245</v>
      </c>
    </row>
    <row r="798" spans="1:5" x14ac:dyDescent="0.45">
      <c r="A798" s="53" t="s">
        <v>6491</v>
      </c>
      <c r="B798" s="54" t="s">
        <v>6492</v>
      </c>
      <c r="C798" t="s">
        <v>9671</v>
      </c>
      <c r="E798" s="45" t="s">
        <v>9672</v>
      </c>
    </row>
    <row r="799" spans="1:5" x14ac:dyDescent="0.45">
      <c r="A799" s="53" t="s">
        <v>7634</v>
      </c>
      <c r="B799" s="54" t="s">
        <v>7635</v>
      </c>
      <c r="C799" t="s">
        <v>8528</v>
      </c>
    </row>
    <row r="800" spans="1:5" x14ac:dyDescent="0.45">
      <c r="A800" s="53" t="s">
        <v>3939</v>
      </c>
      <c r="B800" s="54" t="s">
        <v>3940</v>
      </c>
      <c r="C800" t="s">
        <v>8528</v>
      </c>
    </row>
    <row r="801" spans="1:8" x14ac:dyDescent="0.45">
      <c r="A801" s="53" t="s">
        <v>4446</v>
      </c>
      <c r="B801" s="54" t="s">
        <v>4447</v>
      </c>
      <c r="C801" t="s">
        <v>8651</v>
      </c>
    </row>
    <row r="802" spans="1:8" x14ac:dyDescent="0.45">
      <c r="A802" s="53" t="s">
        <v>4835</v>
      </c>
      <c r="B802" s="54" t="s">
        <v>4836</v>
      </c>
      <c r="C802" t="s">
        <v>8948</v>
      </c>
      <c r="E802" s="45" t="s">
        <v>8949</v>
      </c>
      <c r="F802" s="45" t="s">
        <v>8950</v>
      </c>
      <c r="G802" s="12" t="s">
        <v>3244</v>
      </c>
      <c r="H802" t="s">
        <v>3523</v>
      </c>
    </row>
    <row r="803" spans="1:8" x14ac:dyDescent="0.45">
      <c r="A803" s="53" t="s">
        <v>6542</v>
      </c>
      <c r="B803" s="54" t="s">
        <v>6543</v>
      </c>
      <c r="C803" t="s">
        <v>9683</v>
      </c>
      <c r="E803" s="45" t="s">
        <v>9684</v>
      </c>
      <c r="F803" s="45" t="s">
        <v>9685</v>
      </c>
      <c r="G803" s="12" t="s">
        <v>9686</v>
      </c>
      <c r="H803" t="s">
        <v>3522</v>
      </c>
    </row>
    <row r="804" spans="1:8" x14ac:dyDescent="0.45">
      <c r="A804" s="53" t="s">
        <v>6542</v>
      </c>
      <c r="B804" s="54" t="s">
        <v>6543</v>
      </c>
      <c r="C804" t="s">
        <v>9683</v>
      </c>
      <c r="E804" s="45" t="s">
        <v>9684</v>
      </c>
      <c r="F804" s="45" t="s">
        <v>9687</v>
      </c>
      <c r="G804" t="s">
        <v>9688</v>
      </c>
      <c r="H804" t="s">
        <v>9689</v>
      </c>
    </row>
    <row r="805" spans="1:8" x14ac:dyDescent="0.45">
      <c r="A805" s="53" t="s">
        <v>6542</v>
      </c>
      <c r="B805" s="54" t="s">
        <v>6543</v>
      </c>
      <c r="C805" t="s">
        <v>9683</v>
      </c>
      <c r="E805" s="45" t="s">
        <v>9684</v>
      </c>
      <c r="F805" s="45" t="s">
        <v>9690</v>
      </c>
      <c r="G805" s="12" t="s">
        <v>9691</v>
      </c>
      <c r="H805" t="s">
        <v>9692</v>
      </c>
    </row>
    <row r="806" spans="1:8" x14ac:dyDescent="0.45">
      <c r="A806" s="53" t="s">
        <v>6542</v>
      </c>
      <c r="B806" s="54" t="s">
        <v>6543</v>
      </c>
      <c r="C806" t="s">
        <v>9683</v>
      </c>
      <c r="E806" s="45" t="s">
        <v>9684</v>
      </c>
      <c r="F806" s="45" t="s">
        <v>9693</v>
      </c>
      <c r="G806" s="12" t="s">
        <v>9694</v>
      </c>
      <c r="H806" t="s">
        <v>9695</v>
      </c>
    </row>
    <row r="807" spans="1:8" x14ac:dyDescent="0.45">
      <c r="A807" s="53" t="s">
        <v>6542</v>
      </c>
      <c r="B807" s="54" t="s">
        <v>6543</v>
      </c>
      <c r="C807" t="s">
        <v>9683</v>
      </c>
      <c r="E807" s="45" t="s">
        <v>9684</v>
      </c>
      <c r="F807" s="45" t="s">
        <v>9696</v>
      </c>
      <c r="G807" s="12" t="s">
        <v>9697</v>
      </c>
      <c r="H807" t="s">
        <v>9698</v>
      </c>
    </row>
    <row r="808" spans="1:8" x14ac:dyDescent="0.45">
      <c r="A808" s="53" t="s">
        <v>6542</v>
      </c>
      <c r="B808" s="54" t="s">
        <v>6543</v>
      </c>
      <c r="C808" t="s">
        <v>9683</v>
      </c>
      <c r="E808" s="45" t="s">
        <v>9684</v>
      </c>
      <c r="F808" s="45" t="s">
        <v>9699</v>
      </c>
      <c r="G808" s="12" t="s">
        <v>9700</v>
      </c>
      <c r="H808" t="s">
        <v>9701</v>
      </c>
    </row>
    <row r="809" spans="1:8" x14ac:dyDescent="0.45">
      <c r="A809" s="53" t="s">
        <v>6542</v>
      </c>
      <c r="B809" s="54" t="s">
        <v>6543</v>
      </c>
      <c r="C809" t="s">
        <v>9683</v>
      </c>
      <c r="E809" s="45" t="s">
        <v>9684</v>
      </c>
      <c r="F809" s="45" t="s">
        <v>9702</v>
      </c>
      <c r="G809" s="12" t="s">
        <v>9703</v>
      </c>
      <c r="H809" t="s">
        <v>9704</v>
      </c>
    </row>
    <row r="810" spans="1:8" x14ac:dyDescent="0.45">
      <c r="A810" s="53" t="s">
        <v>6542</v>
      </c>
      <c r="B810" s="54" t="s">
        <v>6543</v>
      </c>
      <c r="C810" t="s">
        <v>9683</v>
      </c>
      <c r="E810" s="45" t="s">
        <v>9684</v>
      </c>
      <c r="F810" s="45" t="s">
        <v>9705</v>
      </c>
      <c r="G810" s="12" t="s">
        <v>3243</v>
      </c>
      <c r="H810" t="s">
        <v>3522</v>
      </c>
    </row>
    <row r="811" spans="1:8" x14ac:dyDescent="0.45">
      <c r="A811" s="53" t="s">
        <v>6406</v>
      </c>
      <c r="B811" s="54" t="s">
        <v>6407</v>
      </c>
      <c r="C811" t="s">
        <v>9621</v>
      </c>
      <c r="E811" s="45" t="s">
        <v>9622</v>
      </c>
      <c r="F811" s="45" t="s">
        <v>9623</v>
      </c>
      <c r="G811" s="12" t="s">
        <v>3246</v>
      </c>
      <c r="H811" t="s">
        <v>3525</v>
      </c>
    </row>
    <row r="812" spans="1:8" x14ac:dyDescent="0.45">
      <c r="A812" s="53" t="s">
        <v>6406</v>
      </c>
      <c r="B812" s="54" t="s">
        <v>6407</v>
      </c>
      <c r="C812" t="s">
        <v>9621</v>
      </c>
      <c r="E812" s="45" t="s">
        <v>9622</v>
      </c>
      <c r="F812" s="45" t="s">
        <v>9624</v>
      </c>
      <c r="G812" s="12" t="s">
        <v>3245</v>
      </c>
      <c r="H812" t="s">
        <v>3524</v>
      </c>
    </row>
    <row r="813" spans="1:8" x14ac:dyDescent="0.45">
      <c r="A813" s="53" t="s">
        <v>7934</v>
      </c>
      <c r="B813" s="54" t="s">
        <v>7935</v>
      </c>
      <c r="C813" t="s">
        <v>9621</v>
      </c>
      <c r="E813" s="45" t="s">
        <v>9622</v>
      </c>
      <c r="F813" s="45" t="s">
        <v>9623</v>
      </c>
      <c r="G813" s="12" t="s">
        <v>3246</v>
      </c>
      <c r="H813" t="s">
        <v>3525</v>
      </c>
    </row>
    <row r="814" spans="1:8" x14ac:dyDescent="0.45">
      <c r="A814" s="53" t="s">
        <v>7934</v>
      </c>
      <c r="B814" s="54" t="s">
        <v>7935</v>
      </c>
      <c r="C814" t="s">
        <v>9621</v>
      </c>
      <c r="E814" s="45" t="s">
        <v>9622</v>
      </c>
      <c r="F814" s="45" t="s">
        <v>9624</v>
      </c>
      <c r="G814" t="s">
        <v>3245</v>
      </c>
      <c r="H814" t="s">
        <v>3524</v>
      </c>
    </row>
    <row r="815" spans="1:8" x14ac:dyDescent="0.45">
      <c r="A815" s="53" t="s">
        <v>6531</v>
      </c>
      <c r="B815" s="54" t="s">
        <v>6532</v>
      </c>
      <c r="C815" t="s">
        <v>9678</v>
      </c>
      <c r="E815" s="45" t="s">
        <v>9679</v>
      </c>
      <c r="F815" s="45" t="s">
        <v>9680</v>
      </c>
      <c r="G815" s="12" t="s">
        <v>3247</v>
      </c>
      <c r="H815" t="s">
        <v>1085</v>
      </c>
    </row>
    <row r="816" spans="1:8" x14ac:dyDescent="0.45">
      <c r="A816" s="53" t="s">
        <v>5021</v>
      </c>
      <c r="B816" s="54" t="s">
        <v>5022</v>
      </c>
      <c r="C816" t="s">
        <v>8978</v>
      </c>
      <c r="E816" s="45" t="s">
        <v>8979</v>
      </c>
      <c r="F816" s="45" t="s">
        <v>8980</v>
      </c>
      <c r="G816" t="s">
        <v>8981</v>
      </c>
      <c r="H816" t="s">
        <v>8982</v>
      </c>
    </row>
    <row r="817" spans="1:8" x14ac:dyDescent="0.45">
      <c r="A817" s="53" t="s">
        <v>5021</v>
      </c>
      <c r="B817" s="54" t="s">
        <v>5022</v>
      </c>
      <c r="C817" t="s">
        <v>8978</v>
      </c>
      <c r="E817" s="45" t="s">
        <v>8979</v>
      </c>
      <c r="F817" s="45" t="s">
        <v>8983</v>
      </c>
      <c r="G817" t="s">
        <v>8984</v>
      </c>
      <c r="H817" t="s">
        <v>8984</v>
      </c>
    </row>
    <row r="818" spans="1:8" x14ac:dyDescent="0.45">
      <c r="A818" s="53" t="s">
        <v>3685</v>
      </c>
      <c r="B818" s="54" t="s">
        <v>3686</v>
      </c>
      <c r="C818" t="s">
        <v>8418</v>
      </c>
      <c r="E818" s="45" t="s">
        <v>8421</v>
      </c>
      <c r="F818" s="45" t="s">
        <v>8422</v>
      </c>
      <c r="G818" s="12" t="s">
        <v>3223</v>
      </c>
      <c r="H818" t="s">
        <v>1071</v>
      </c>
    </row>
    <row r="819" spans="1:8" x14ac:dyDescent="0.45">
      <c r="A819" s="53" t="s">
        <v>4530</v>
      </c>
      <c r="B819" s="54" t="s">
        <v>4531</v>
      </c>
      <c r="C819" t="s">
        <v>8669</v>
      </c>
      <c r="E819" s="45" t="s">
        <v>8670</v>
      </c>
      <c r="F819" s="10" t="s">
        <v>8671</v>
      </c>
      <c r="G819" s="12" t="s">
        <v>3225</v>
      </c>
      <c r="H819" t="s">
        <v>8672</v>
      </c>
    </row>
    <row r="820" spans="1:8" x14ac:dyDescent="0.45">
      <c r="A820" s="53" t="s">
        <v>6353</v>
      </c>
      <c r="B820" s="54" t="s">
        <v>6354</v>
      </c>
      <c r="C820" t="s">
        <v>9500</v>
      </c>
      <c r="E820" s="45" t="s">
        <v>9501</v>
      </c>
      <c r="F820" s="45" t="s">
        <v>9502</v>
      </c>
      <c r="G820" s="12" t="s">
        <v>9503</v>
      </c>
      <c r="H820" t="s">
        <v>9504</v>
      </c>
    </row>
    <row r="821" spans="1:8" x14ac:dyDescent="0.45">
      <c r="A821" s="53" t="s">
        <v>6353</v>
      </c>
      <c r="B821" s="54" t="s">
        <v>6354</v>
      </c>
      <c r="C821" t="s">
        <v>9500</v>
      </c>
      <c r="E821" s="45" t="s">
        <v>9501</v>
      </c>
      <c r="F821" s="45" t="s">
        <v>9505</v>
      </c>
      <c r="G821" s="12" t="s">
        <v>9503</v>
      </c>
      <c r="H821" t="s">
        <v>9506</v>
      </c>
    </row>
    <row r="822" spans="1:8" x14ac:dyDescent="0.45">
      <c r="A822" s="53" t="s">
        <v>6353</v>
      </c>
      <c r="B822" s="54" t="s">
        <v>6354</v>
      </c>
      <c r="C822" t="s">
        <v>9500</v>
      </c>
      <c r="E822" s="45" t="s">
        <v>9501</v>
      </c>
      <c r="F822" s="45" t="s">
        <v>9507</v>
      </c>
      <c r="G822" s="12" t="s">
        <v>9508</v>
      </c>
      <c r="H822" t="s">
        <v>9509</v>
      </c>
    </row>
    <row r="823" spans="1:8" x14ac:dyDescent="0.45">
      <c r="A823" s="53" t="s">
        <v>6353</v>
      </c>
      <c r="B823" s="54" t="s">
        <v>6354</v>
      </c>
      <c r="C823" t="s">
        <v>9500</v>
      </c>
      <c r="E823" s="45" t="s">
        <v>9501</v>
      </c>
      <c r="F823" s="45" t="s">
        <v>9510</v>
      </c>
      <c r="G823" s="12" t="s">
        <v>9511</v>
      </c>
      <c r="H823" t="s">
        <v>9512</v>
      </c>
    </row>
    <row r="824" spans="1:8" x14ac:dyDescent="0.45">
      <c r="A824" s="53" t="s">
        <v>6353</v>
      </c>
      <c r="B824" s="54" t="s">
        <v>6354</v>
      </c>
      <c r="C824" t="s">
        <v>9500</v>
      </c>
      <c r="E824" s="45" t="s">
        <v>9501</v>
      </c>
      <c r="F824" s="45" t="s">
        <v>9513</v>
      </c>
      <c r="G824" s="12" t="s">
        <v>9514</v>
      </c>
      <c r="H824" t="s">
        <v>9509</v>
      </c>
    </row>
    <row r="825" spans="1:8" x14ac:dyDescent="0.45">
      <c r="A825" s="53" t="s">
        <v>4090</v>
      </c>
      <c r="B825" s="54" t="s">
        <v>4091</v>
      </c>
      <c r="C825" t="s">
        <v>8564</v>
      </c>
      <c r="E825" s="45" t="s">
        <v>8566</v>
      </c>
      <c r="F825" s="45" t="s">
        <v>8565</v>
      </c>
      <c r="G825" s="12" t="s">
        <v>3248</v>
      </c>
      <c r="H825" t="s">
        <v>3526</v>
      </c>
    </row>
    <row r="826" spans="1:8" x14ac:dyDescent="0.45">
      <c r="A826" s="53" t="s">
        <v>5548</v>
      </c>
      <c r="B826" s="54" t="s">
        <v>5549</v>
      </c>
      <c r="C826" t="s">
        <v>9181</v>
      </c>
      <c r="E826" s="45" t="s">
        <v>9182</v>
      </c>
      <c r="F826" s="45" t="s">
        <v>9183</v>
      </c>
      <c r="G826" s="12" t="s">
        <v>3249</v>
      </c>
      <c r="H826" t="s">
        <v>3527</v>
      </c>
    </row>
    <row r="827" spans="1:8" x14ac:dyDescent="0.45">
      <c r="A827" s="53" t="s">
        <v>5548</v>
      </c>
      <c r="B827" s="54" t="s">
        <v>5549</v>
      </c>
      <c r="C827" t="s">
        <v>9181</v>
      </c>
      <c r="E827" s="45" t="s">
        <v>9182</v>
      </c>
      <c r="F827" s="45" t="s">
        <v>9184</v>
      </c>
      <c r="G827" t="s">
        <v>3250</v>
      </c>
      <c r="H827" t="s">
        <v>3528</v>
      </c>
    </row>
    <row r="828" spans="1:8" x14ac:dyDescent="0.45">
      <c r="A828" s="53" t="s">
        <v>6093</v>
      </c>
      <c r="B828" s="54" t="s">
        <v>6094</v>
      </c>
      <c r="C828" t="s">
        <v>9348</v>
      </c>
      <c r="E828" s="45" t="s">
        <v>9349</v>
      </c>
      <c r="F828" s="45" t="s">
        <v>9350</v>
      </c>
      <c r="G828" s="12" t="s">
        <v>9351</v>
      </c>
      <c r="H828" t="s">
        <v>9352</v>
      </c>
    </row>
    <row r="829" spans="1:8" x14ac:dyDescent="0.45">
      <c r="A829" s="53" t="s">
        <v>6093</v>
      </c>
      <c r="B829" s="54" t="s">
        <v>6094</v>
      </c>
      <c r="C829" t="s">
        <v>9348</v>
      </c>
      <c r="E829" s="45" t="s">
        <v>9349</v>
      </c>
      <c r="F829" s="45" t="s">
        <v>9353</v>
      </c>
      <c r="G829" s="12" t="s">
        <v>9354</v>
      </c>
      <c r="H829" t="s">
        <v>9355</v>
      </c>
    </row>
    <row r="830" spans="1:8" x14ac:dyDescent="0.45">
      <c r="A830" s="53" t="s">
        <v>6093</v>
      </c>
      <c r="B830" s="54" t="s">
        <v>6094</v>
      </c>
      <c r="C830" t="s">
        <v>9348</v>
      </c>
      <c r="E830" s="45" t="s">
        <v>9349</v>
      </c>
      <c r="F830" s="45" t="s">
        <v>9356</v>
      </c>
      <c r="G830" s="12" t="s">
        <v>9357</v>
      </c>
      <c r="H830" t="s">
        <v>9358</v>
      </c>
    </row>
    <row r="831" spans="1:8" x14ac:dyDescent="0.45">
      <c r="A831" s="53" t="s">
        <v>5217</v>
      </c>
      <c r="B831" s="54" t="s">
        <v>5218</v>
      </c>
      <c r="C831" t="s">
        <v>9073</v>
      </c>
      <c r="E831" s="10" t="s">
        <v>9074</v>
      </c>
      <c r="F831" s="45" t="s">
        <v>9075</v>
      </c>
      <c r="G831" t="s">
        <v>3251</v>
      </c>
      <c r="H831" t="s">
        <v>3529</v>
      </c>
    </row>
    <row r="832" spans="1:8" x14ac:dyDescent="0.45">
      <c r="A832" s="53" t="s">
        <v>8251</v>
      </c>
      <c r="B832" s="54" t="s">
        <v>8252</v>
      </c>
      <c r="C832" t="s">
        <v>10275</v>
      </c>
    </row>
    <row r="833" spans="1:8" x14ac:dyDescent="0.45">
      <c r="A833" s="53" t="s">
        <v>6689</v>
      </c>
      <c r="B833" s="54" t="s">
        <v>6690</v>
      </c>
      <c r="C833" t="s">
        <v>8502</v>
      </c>
    </row>
    <row r="834" spans="1:8" x14ac:dyDescent="0.45">
      <c r="A834" s="53" t="s">
        <v>7399</v>
      </c>
      <c r="B834" s="54" t="s">
        <v>7400</v>
      </c>
      <c r="C834" t="s">
        <v>8502</v>
      </c>
    </row>
    <row r="835" spans="1:8" x14ac:dyDescent="0.45">
      <c r="A835" s="53" t="s">
        <v>7115</v>
      </c>
      <c r="B835" s="54" t="s">
        <v>7116</v>
      </c>
      <c r="C835" t="s">
        <v>8502</v>
      </c>
    </row>
    <row r="836" spans="1:8" x14ac:dyDescent="0.45">
      <c r="A836" s="53" t="s">
        <v>8285</v>
      </c>
      <c r="B836" s="54" t="s">
        <v>8286</v>
      </c>
      <c r="C836" t="s">
        <v>8502</v>
      </c>
    </row>
    <row r="837" spans="1:8" x14ac:dyDescent="0.45">
      <c r="A837" s="53" t="s">
        <v>3857</v>
      </c>
      <c r="B837" s="54" t="s">
        <v>3858</v>
      </c>
      <c r="C837" t="s">
        <v>8502</v>
      </c>
    </row>
    <row r="838" spans="1:8" x14ac:dyDescent="0.45">
      <c r="A838" s="53" t="s">
        <v>7534</v>
      </c>
      <c r="B838" s="54" t="s">
        <v>7535</v>
      </c>
      <c r="C838" t="s">
        <v>10095</v>
      </c>
      <c r="E838" s="45" t="s">
        <v>10096</v>
      </c>
      <c r="F838" s="45" t="s">
        <v>10097</v>
      </c>
      <c r="G838" s="12" t="s">
        <v>3252</v>
      </c>
      <c r="H838" t="s">
        <v>1086</v>
      </c>
    </row>
    <row r="839" spans="1:8" x14ac:dyDescent="0.45">
      <c r="A839" s="53" t="s">
        <v>4151</v>
      </c>
      <c r="B839" s="54" t="s">
        <v>4152</v>
      </c>
      <c r="C839" t="s">
        <v>8601</v>
      </c>
      <c r="E839" s="45" t="s">
        <v>8602</v>
      </c>
      <c r="F839" s="45" t="s">
        <v>8603</v>
      </c>
      <c r="G839" s="12" t="s">
        <v>8604</v>
      </c>
      <c r="H839" t="s">
        <v>8605</v>
      </c>
    </row>
    <row r="840" spans="1:8" x14ac:dyDescent="0.45">
      <c r="A840" s="53" t="s">
        <v>4151</v>
      </c>
      <c r="B840" s="54" t="s">
        <v>4152</v>
      </c>
      <c r="C840" t="s">
        <v>8601</v>
      </c>
      <c r="E840" s="45" t="s">
        <v>8602</v>
      </c>
      <c r="F840" s="45" t="s">
        <v>8606</v>
      </c>
      <c r="G840" s="12" t="s">
        <v>8607</v>
      </c>
      <c r="H840" t="s">
        <v>8608</v>
      </c>
    </row>
    <row r="841" spans="1:8" x14ac:dyDescent="0.45">
      <c r="A841" s="53" t="s">
        <v>6308</v>
      </c>
      <c r="B841" s="54" t="s">
        <v>6309</v>
      </c>
      <c r="C841" t="s">
        <v>9473</v>
      </c>
      <c r="E841" s="45" t="s">
        <v>9474</v>
      </c>
      <c r="F841" s="45" t="s">
        <v>9475</v>
      </c>
      <c r="G841" s="12" t="s">
        <v>9476</v>
      </c>
      <c r="H841" t="s">
        <v>9477</v>
      </c>
    </row>
    <row r="842" spans="1:8" x14ac:dyDescent="0.45">
      <c r="A842" s="53" t="s">
        <v>7743</v>
      </c>
      <c r="B842" s="54" t="s">
        <v>7744</v>
      </c>
      <c r="C842" t="s">
        <v>10135</v>
      </c>
      <c r="E842" s="45" t="s">
        <v>10136</v>
      </c>
      <c r="F842" s="45" t="s">
        <v>10137</v>
      </c>
      <c r="G842" t="s">
        <v>10138</v>
      </c>
      <c r="H842" t="s">
        <v>10139</v>
      </c>
    </row>
    <row r="843" spans="1:8" x14ac:dyDescent="0.45">
      <c r="A843" s="53" t="s">
        <v>7676</v>
      </c>
      <c r="B843" s="54" t="s">
        <v>7677</v>
      </c>
      <c r="C843" t="s">
        <v>10115</v>
      </c>
      <c r="E843" s="45" t="s">
        <v>10116</v>
      </c>
      <c r="F843" s="45" t="s">
        <v>10117</v>
      </c>
      <c r="G843" t="s">
        <v>3253</v>
      </c>
      <c r="H843" t="s">
        <v>1073</v>
      </c>
    </row>
    <row r="844" spans="1:8" x14ac:dyDescent="0.45">
      <c r="A844" s="53" t="s">
        <v>5246</v>
      </c>
      <c r="B844" s="54" t="s">
        <v>5247</v>
      </c>
      <c r="C844" t="s">
        <v>9061</v>
      </c>
      <c r="E844" s="10"/>
    </row>
    <row r="845" spans="1:8" x14ac:dyDescent="0.45">
      <c r="A845" s="53" t="s">
        <v>5189</v>
      </c>
      <c r="B845" s="54" t="s">
        <v>5190</v>
      </c>
      <c r="C845" t="s">
        <v>9061</v>
      </c>
      <c r="F845" s="10"/>
    </row>
    <row r="846" spans="1:8" x14ac:dyDescent="0.45">
      <c r="A846" s="53" t="s">
        <v>7448</v>
      </c>
      <c r="B846" s="54" t="s">
        <v>7449</v>
      </c>
      <c r="C846" t="s">
        <v>9061</v>
      </c>
    </row>
    <row r="847" spans="1:8" x14ac:dyDescent="0.45">
      <c r="A847" s="53" t="s">
        <v>7615</v>
      </c>
      <c r="B847" s="54" t="s">
        <v>7616</v>
      </c>
      <c r="C847" t="s">
        <v>9061</v>
      </c>
    </row>
    <row r="848" spans="1:8" x14ac:dyDescent="0.45">
      <c r="A848" s="53" t="s">
        <v>3709</v>
      </c>
      <c r="B848" s="54" t="s">
        <v>3710</v>
      </c>
      <c r="C848" t="s">
        <v>8440</v>
      </c>
      <c r="E848" s="45" t="s">
        <v>8716</v>
      </c>
    </row>
    <row r="849" spans="1:8" x14ac:dyDescent="0.45">
      <c r="A849" s="53" t="s">
        <v>8182</v>
      </c>
      <c r="B849" s="54" t="s">
        <v>8183</v>
      </c>
      <c r="C849" t="s">
        <v>8440</v>
      </c>
      <c r="E849" s="45" t="s">
        <v>8716</v>
      </c>
    </row>
    <row r="850" spans="1:8" x14ac:dyDescent="0.45">
      <c r="A850" s="53" t="s">
        <v>8277</v>
      </c>
      <c r="B850" s="54" t="s">
        <v>8278</v>
      </c>
      <c r="C850" t="s">
        <v>8440</v>
      </c>
      <c r="E850" s="45" t="s">
        <v>8716</v>
      </c>
    </row>
    <row r="851" spans="1:8" x14ac:dyDescent="0.45">
      <c r="A851" s="53" t="s">
        <v>4601</v>
      </c>
      <c r="B851" s="54" t="s">
        <v>4602</v>
      </c>
      <c r="C851" t="s">
        <v>8440</v>
      </c>
      <c r="E851" s="45" t="s">
        <v>8716</v>
      </c>
    </row>
    <row r="852" spans="1:8" x14ac:dyDescent="0.45">
      <c r="A852" s="53" t="s">
        <v>5720</v>
      </c>
      <c r="B852" s="54" t="s">
        <v>5721</v>
      </c>
      <c r="C852" t="s">
        <v>8440</v>
      </c>
      <c r="E852" s="45" t="s">
        <v>8716</v>
      </c>
    </row>
    <row r="853" spans="1:8" x14ac:dyDescent="0.45">
      <c r="A853" s="53" t="s">
        <v>5995</v>
      </c>
      <c r="B853" s="54" t="s">
        <v>5996</v>
      </c>
      <c r="C853" t="s">
        <v>8440</v>
      </c>
      <c r="E853" s="45" t="s">
        <v>8716</v>
      </c>
    </row>
    <row r="854" spans="1:8" x14ac:dyDescent="0.45">
      <c r="A854" s="53" t="s">
        <v>7617</v>
      </c>
      <c r="B854" s="54" t="s">
        <v>7618</v>
      </c>
      <c r="C854" t="s">
        <v>10111</v>
      </c>
    </row>
    <row r="855" spans="1:8" x14ac:dyDescent="0.45">
      <c r="A855" s="53" t="s">
        <v>6608</v>
      </c>
      <c r="B855" s="54" t="s">
        <v>6609</v>
      </c>
      <c r="C855" t="s">
        <v>9749</v>
      </c>
    </row>
    <row r="856" spans="1:8" x14ac:dyDescent="0.45">
      <c r="A856" s="53" t="s">
        <v>6205</v>
      </c>
      <c r="B856" s="54" t="s">
        <v>6206</v>
      </c>
      <c r="C856" t="s">
        <v>9403</v>
      </c>
      <c r="E856" s="45" t="s">
        <v>9404</v>
      </c>
      <c r="F856" s="45" t="s">
        <v>9405</v>
      </c>
      <c r="G856" s="12" t="s">
        <v>2205</v>
      </c>
      <c r="H856" t="s">
        <v>9406</v>
      </c>
    </row>
    <row r="857" spans="1:8" x14ac:dyDescent="0.45">
      <c r="A857" s="53" t="s">
        <v>6205</v>
      </c>
      <c r="B857" s="54" t="s">
        <v>6206</v>
      </c>
      <c r="C857" t="s">
        <v>9403</v>
      </c>
      <c r="E857" s="45" t="s">
        <v>9404</v>
      </c>
      <c r="F857" s="45" t="s">
        <v>9407</v>
      </c>
      <c r="G857" s="12" t="s">
        <v>9408</v>
      </c>
      <c r="H857" t="s">
        <v>9409</v>
      </c>
    </row>
    <row r="858" spans="1:8" x14ac:dyDescent="0.45">
      <c r="A858" s="53" t="s">
        <v>3694</v>
      </c>
      <c r="B858" s="54" t="s">
        <v>3695</v>
      </c>
      <c r="C858" t="s">
        <v>8426</v>
      </c>
      <c r="E858" s="45" t="s">
        <v>8428</v>
      </c>
      <c r="F858" s="45" t="s">
        <v>8429</v>
      </c>
      <c r="G858" t="s">
        <v>1089</v>
      </c>
      <c r="H858" t="s">
        <v>3530</v>
      </c>
    </row>
    <row r="859" spans="1:8" x14ac:dyDescent="0.45">
      <c r="A859" s="53" t="s">
        <v>6548</v>
      </c>
      <c r="B859" s="54" t="s">
        <v>6549</v>
      </c>
      <c r="C859" t="s">
        <v>9710</v>
      </c>
      <c r="E859" s="45" t="s">
        <v>9711</v>
      </c>
      <c r="F859" s="45" t="s">
        <v>9712</v>
      </c>
      <c r="G859" t="s">
        <v>1091</v>
      </c>
      <c r="H859" t="s">
        <v>3531</v>
      </c>
    </row>
    <row r="860" spans="1:8" x14ac:dyDescent="0.45">
      <c r="A860" s="53" t="s">
        <v>5454</v>
      </c>
      <c r="B860" s="54" t="s">
        <v>5455</v>
      </c>
      <c r="C860" t="s">
        <v>9171</v>
      </c>
      <c r="E860" s="45" t="s">
        <v>9172</v>
      </c>
      <c r="F860" s="45" t="s">
        <v>9173</v>
      </c>
      <c r="G860" s="12" t="s">
        <v>3254</v>
      </c>
      <c r="H860" t="s">
        <v>9174</v>
      </c>
    </row>
    <row r="861" spans="1:8" x14ac:dyDescent="0.45">
      <c r="A861" s="53" t="s">
        <v>6395</v>
      </c>
      <c r="B861" s="54" t="s">
        <v>6396</v>
      </c>
      <c r="C861" t="s">
        <v>9599</v>
      </c>
      <c r="E861" s="45" t="s">
        <v>10450</v>
      </c>
      <c r="F861" s="45" t="s">
        <v>9600</v>
      </c>
      <c r="G861" t="s">
        <v>3255</v>
      </c>
      <c r="H861" t="s">
        <v>3532</v>
      </c>
    </row>
    <row r="862" spans="1:8" x14ac:dyDescent="0.45">
      <c r="A862" s="53" t="s">
        <v>6110</v>
      </c>
      <c r="B862" s="54" t="s">
        <v>6111</v>
      </c>
      <c r="C862" t="s">
        <v>9359</v>
      </c>
      <c r="E862" s="45" t="s">
        <v>9360</v>
      </c>
      <c r="F862" s="45" t="s">
        <v>9361</v>
      </c>
      <c r="G862" t="s">
        <v>1092</v>
      </c>
      <c r="H862" t="s">
        <v>3533</v>
      </c>
    </row>
    <row r="863" spans="1:8" x14ac:dyDescent="0.45">
      <c r="A863" s="53" t="s">
        <v>4033</v>
      </c>
      <c r="B863" s="54" t="s">
        <v>4034</v>
      </c>
      <c r="C863" t="s">
        <v>8540</v>
      </c>
      <c r="E863" s="45" t="s">
        <v>8541</v>
      </c>
      <c r="F863" s="45" t="s">
        <v>8542</v>
      </c>
      <c r="G863" s="12" t="s">
        <v>8543</v>
      </c>
      <c r="H863" t="s">
        <v>8544</v>
      </c>
    </row>
    <row r="864" spans="1:8" x14ac:dyDescent="0.45">
      <c r="A864" s="53" t="s">
        <v>8053</v>
      </c>
      <c r="B864" s="54" t="s">
        <v>8054</v>
      </c>
      <c r="C864" t="s">
        <v>10234</v>
      </c>
    </row>
    <row r="865" spans="1:8" x14ac:dyDescent="0.45">
      <c r="A865" s="53" t="s">
        <v>7763</v>
      </c>
      <c r="B865" s="54" t="s">
        <v>7764</v>
      </c>
      <c r="C865" t="s">
        <v>10140</v>
      </c>
      <c r="E865" s="45" t="s">
        <v>10141</v>
      </c>
      <c r="F865" s="45" t="s">
        <v>10142</v>
      </c>
      <c r="G865" s="12" t="s">
        <v>2296</v>
      </c>
      <c r="H865" t="s">
        <v>8925</v>
      </c>
    </row>
    <row r="866" spans="1:8" x14ac:dyDescent="0.45">
      <c r="A866" s="53" t="s">
        <v>7763</v>
      </c>
      <c r="B866" s="54" t="s">
        <v>7764</v>
      </c>
      <c r="C866" t="s">
        <v>10140</v>
      </c>
      <c r="E866" s="45" t="s">
        <v>10141</v>
      </c>
      <c r="F866" s="45" t="s">
        <v>10143</v>
      </c>
      <c r="G866" s="12" t="s">
        <v>2343</v>
      </c>
      <c r="H866" t="s">
        <v>8925</v>
      </c>
    </row>
    <row r="867" spans="1:8" x14ac:dyDescent="0.45">
      <c r="A867" s="53" t="s">
        <v>7763</v>
      </c>
      <c r="B867" s="54" t="s">
        <v>7764</v>
      </c>
      <c r="C867" t="s">
        <v>10140</v>
      </c>
      <c r="E867" s="45" t="s">
        <v>10141</v>
      </c>
      <c r="F867" s="45" t="s">
        <v>10144</v>
      </c>
      <c r="G867" s="12" t="s">
        <v>2300</v>
      </c>
      <c r="H867" t="s">
        <v>10145</v>
      </c>
    </row>
    <row r="868" spans="1:8" x14ac:dyDescent="0.45">
      <c r="A868" s="53" t="s">
        <v>7763</v>
      </c>
      <c r="B868" s="54" t="s">
        <v>7764</v>
      </c>
      <c r="C868" t="s">
        <v>10140</v>
      </c>
      <c r="E868" s="45" t="s">
        <v>10141</v>
      </c>
      <c r="F868" s="45" t="s">
        <v>10146</v>
      </c>
      <c r="G868" s="12" t="s">
        <v>2308</v>
      </c>
      <c r="H868" t="s">
        <v>10147</v>
      </c>
    </row>
    <row r="869" spans="1:8" x14ac:dyDescent="0.45">
      <c r="A869" s="53" t="s">
        <v>5290</v>
      </c>
      <c r="B869" s="54" t="s">
        <v>5291</v>
      </c>
      <c r="C869" t="s">
        <v>9130</v>
      </c>
      <c r="E869" s="45" t="s">
        <v>9131</v>
      </c>
      <c r="F869" s="45" t="s">
        <v>9132</v>
      </c>
      <c r="G869" t="s">
        <v>9133</v>
      </c>
      <c r="H869" t="s">
        <v>9134</v>
      </c>
    </row>
    <row r="870" spans="1:8" x14ac:dyDescent="0.45">
      <c r="A870" s="53" t="s">
        <v>6345</v>
      </c>
      <c r="B870" s="54" t="s">
        <v>6346</v>
      </c>
      <c r="C870" t="s">
        <v>9487</v>
      </c>
      <c r="E870" s="45" t="s">
        <v>9488</v>
      </c>
      <c r="F870" s="45" t="s">
        <v>9489</v>
      </c>
      <c r="G870" s="12" t="s">
        <v>9490</v>
      </c>
      <c r="H870" t="s">
        <v>9491</v>
      </c>
    </row>
    <row r="871" spans="1:8" x14ac:dyDescent="0.45">
      <c r="A871" s="53" t="s">
        <v>6090</v>
      </c>
      <c r="B871" s="54" t="s">
        <v>6091</v>
      </c>
      <c r="C871" t="s">
        <v>9345</v>
      </c>
      <c r="E871" s="45" t="s">
        <v>9347</v>
      </c>
      <c r="F871" s="45" t="s">
        <v>9346</v>
      </c>
      <c r="G871" s="12" t="s">
        <v>1094</v>
      </c>
      <c r="H871" t="s">
        <v>3534</v>
      </c>
    </row>
    <row r="872" spans="1:8" x14ac:dyDescent="0.45">
      <c r="A872" s="53" t="s">
        <v>5525</v>
      </c>
      <c r="B872" s="54" t="s">
        <v>5526</v>
      </c>
      <c r="C872" t="s">
        <v>8922</v>
      </c>
      <c r="E872" s="45" t="s">
        <v>8923</v>
      </c>
      <c r="F872" s="45" t="s">
        <v>8924</v>
      </c>
      <c r="G872" t="s">
        <v>2033</v>
      </c>
      <c r="H872" t="s">
        <v>8925</v>
      </c>
    </row>
    <row r="873" spans="1:8" x14ac:dyDescent="0.45">
      <c r="A873" s="53" t="s">
        <v>4788</v>
      </c>
      <c r="B873" s="54" t="s">
        <v>4789</v>
      </c>
      <c r="C873" t="s">
        <v>8922</v>
      </c>
      <c r="E873" s="45" t="s">
        <v>8923</v>
      </c>
      <c r="F873" s="45" t="s">
        <v>8924</v>
      </c>
      <c r="G873" t="s">
        <v>2033</v>
      </c>
      <c r="H873" t="s">
        <v>8925</v>
      </c>
    </row>
    <row r="874" spans="1:8" x14ac:dyDescent="0.45">
      <c r="A874" s="53" t="s">
        <v>5290</v>
      </c>
      <c r="B874" s="54" t="s">
        <v>5291</v>
      </c>
      <c r="C874" t="s">
        <v>9136</v>
      </c>
      <c r="E874" s="45" t="s">
        <v>9135</v>
      </c>
      <c r="F874" s="45" t="s">
        <v>9137</v>
      </c>
      <c r="G874" s="12" t="s">
        <v>9138</v>
      </c>
      <c r="H874" t="s">
        <v>9139</v>
      </c>
    </row>
    <row r="875" spans="1:8" x14ac:dyDescent="0.45">
      <c r="A875" s="53" t="s">
        <v>5290</v>
      </c>
      <c r="B875" s="54" t="s">
        <v>5291</v>
      </c>
      <c r="C875" t="s">
        <v>9136</v>
      </c>
      <c r="E875" s="45" t="s">
        <v>9135</v>
      </c>
      <c r="F875" s="45" t="s">
        <v>9140</v>
      </c>
      <c r="G875" s="12" t="s">
        <v>2210</v>
      </c>
      <c r="H875" t="s">
        <v>9139</v>
      </c>
    </row>
    <row r="876" spans="1:8" x14ac:dyDescent="0.45">
      <c r="A876" s="53" t="s">
        <v>5290</v>
      </c>
      <c r="B876" s="54" t="s">
        <v>5291</v>
      </c>
      <c r="C876" t="s">
        <v>9136</v>
      </c>
      <c r="E876" s="45" t="s">
        <v>9135</v>
      </c>
      <c r="F876" s="45" t="s">
        <v>9141</v>
      </c>
      <c r="G876" s="12" t="s">
        <v>9142</v>
      </c>
      <c r="H876" t="s">
        <v>9139</v>
      </c>
    </row>
    <row r="877" spans="1:8" x14ac:dyDescent="0.45">
      <c r="A877" s="53" t="s">
        <v>8012</v>
      </c>
      <c r="B877" s="54" t="s">
        <v>8013</v>
      </c>
      <c r="C877" t="s">
        <v>10216</v>
      </c>
      <c r="E877" s="45" t="s">
        <v>10217</v>
      </c>
      <c r="F877" s="45" t="s">
        <v>10218</v>
      </c>
      <c r="G877" s="12" t="s">
        <v>10211</v>
      </c>
      <c r="H877" t="s">
        <v>10219</v>
      </c>
    </row>
    <row r="878" spans="1:8" x14ac:dyDescent="0.45">
      <c r="A878" s="53" t="s">
        <v>8012</v>
      </c>
      <c r="B878" s="54" t="s">
        <v>8013</v>
      </c>
      <c r="C878" t="s">
        <v>10216</v>
      </c>
      <c r="E878" s="45" t="s">
        <v>10217</v>
      </c>
      <c r="F878" s="45" t="s">
        <v>10220</v>
      </c>
      <c r="G878" s="12" t="s">
        <v>10221</v>
      </c>
      <c r="H878" t="s">
        <v>10222</v>
      </c>
    </row>
    <row r="879" spans="1:8" x14ac:dyDescent="0.45">
      <c r="A879" s="53" t="s">
        <v>6198</v>
      </c>
      <c r="B879" s="54" t="s">
        <v>6199</v>
      </c>
      <c r="C879" t="s">
        <v>9394</v>
      </c>
      <c r="E879" s="45" t="s">
        <v>9395</v>
      </c>
      <c r="F879" s="45" t="s">
        <v>9396</v>
      </c>
      <c r="G879" t="s">
        <v>1095</v>
      </c>
      <c r="H879" t="s">
        <v>3535</v>
      </c>
    </row>
    <row r="880" spans="1:8" x14ac:dyDescent="0.45">
      <c r="A880" s="53" t="s">
        <v>6198</v>
      </c>
      <c r="B880" s="54" t="s">
        <v>6199</v>
      </c>
      <c r="C880" t="s">
        <v>9391</v>
      </c>
      <c r="E880" s="45" t="s">
        <v>9392</v>
      </c>
      <c r="F880" s="45" t="s">
        <v>9393</v>
      </c>
      <c r="G880" s="12" t="s">
        <v>1081</v>
      </c>
      <c r="H880" t="s">
        <v>3536</v>
      </c>
    </row>
    <row r="881" spans="1:8" x14ac:dyDescent="0.45">
      <c r="A881" s="53" t="s">
        <v>6196</v>
      </c>
      <c r="B881" s="54" t="s">
        <v>6197</v>
      </c>
      <c r="C881" t="s">
        <v>9391</v>
      </c>
      <c r="E881" s="45" t="s">
        <v>9392</v>
      </c>
      <c r="F881" s="45" t="s">
        <v>9393</v>
      </c>
      <c r="G881" s="12" t="s">
        <v>1081</v>
      </c>
      <c r="H881" t="s">
        <v>3536</v>
      </c>
    </row>
    <row r="882" spans="1:8" x14ac:dyDescent="0.45">
      <c r="A882" s="53" t="s">
        <v>6200</v>
      </c>
      <c r="B882" s="54" t="s">
        <v>6201</v>
      </c>
      <c r="C882" t="s">
        <v>9391</v>
      </c>
      <c r="E882" s="45" t="s">
        <v>9392</v>
      </c>
      <c r="F882" s="45" t="s">
        <v>9393</v>
      </c>
      <c r="G882" s="12" t="s">
        <v>1081</v>
      </c>
      <c r="H882" t="s">
        <v>3536</v>
      </c>
    </row>
    <row r="883" spans="1:8" x14ac:dyDescent="0.45">
      <c r="A883" s="53" t="s">
        <v>5802</v>
      </c>
      <c r="B883" s="54" t="s">
        <v>5803</v>
      </c>
      <c r="C883" t="s">
        <v>9262</v>
      </c>
      <c r="E883" s="45" t="s">
        <v>9266</v>
      </c>
      <c r="F883" s="45" t="s">
        <v>9263</v>
      </c>
      <c r="G883" t="s">
        <v>9264</v>
      </c>
      <c r="H883" t="s">
        <v>9265</v>
      </c>
    </row>
    <row r="884" spans="1:8" x14ac:dyDescent="0.45">
      <c r="A884" s="53" t="s">
        <v>5602</v>
      </c>
      <c r="B884" s="54" t="s">
        <v>5603</v>
      </c>
      <c r="C884" t="s">
        <v>9206</v>
      </c>
      <c r="E884" s="45" t="s">
        <v>9207</v>
      </c>
      <c r="F884" s="45" t="s">
        <v>9208</v>
      </c>
      <c r="G884" s="12" t="s">
        <v>1096</v>
      </c>
      <c r="H884" t="s">
        <v>3537</v>
      </c>
    </row>
    <row r="885" spans="1:8" x14ac:dyDescent="0.45">
      <c r="A885" s="53" t="s">
        <v>5602</v>
      </c>
      <c r="B885" s="54" t="s">
        <v>5603</v>
      </c>
      <c r="C885" t="s">
        <v>9206</v>
      </c>
      <c r="E885" s="45" t="s">
        <v>9207</v>
      </c>
      <c r="F885" s="45" t="s">
        <v>9209</v>
      </c>
      <c r="G885" s="12" t="s">
        <v>1097</v>
      </c>
      <c r="H885" t="s">
        <v>3538</v>
      </c>
    </row>
    <row r="886" spans="1:8" x14ac:dyDescent="0.45">
      <c r="A886" s="53" t="s">
        <v>4655</v>
      </c>
      <c r="B886" s="54" t="s">
        <v>4656</v>
      </c>
      <c r="C886" t="s">
        <v>8720</v>
      </c>
      <c r="E886" s="45" t="s">
        <v>8721</v>
      </c>
      <c r="F886" s="45" t="s">
        <v>8722</v>
      </c>
      <c r="G886" s="12" t="s">
        <v>8723</v>
      </c>
      <c r="H886" t="s">
        <v>8724</v>
      </c>
    </row>
    <row r="887" spans="1:8" x14ac:dyDescent="0.45">
      <c r="A887" s="53" t="s">
        <v>4655</v>
      </c>
      <c r="B887" s="54" t="s">
        <v>4656</v>
      </c>
      <c r="C887" t="s">
        <v>8720</v>
      </c>
      <c r="E887" s="45" t="s">
        <v>8721</v>
      </c>
      <c r="F887" s="45" t="s">
        <v>8725</v>
      </c>
      <c r="G887" t="s">
        <v>8726</v>
      </c>
      <c r="H887" t="s">
        <v>8727</v>
      </c>
    </row>
    <row r="888" spans="1:8" x14ac:dyDescent="0.45">
      <c r="A888" s="53" t="s">
        <v>4655</v>
      </c>
      <c r="B888" s="54" t="s">
        <v>4656</v>
      </c>
      <c r="C888" t="s">
        <v>8720</v>
      </c>
      <c r="E888" s="45" t="s">
        <v>8721</v>
      </c>
      <c r="F888" s="45" t="s">
        <v>8728</v>
      </c>
      <c r="G888" s="12" t="s">
        <v>8729</v>
      </c>
      <c r="H888" t="s">
        <v>8730</v>
      </c>
    </row>
    <row r="889" spans="1:8" x14ac:dyDescent="0.45">
      <c r="A889" s="53" t="s">
        <v>4655</v>
      </c>
      <c r="B889" s="54" t="s">
        <v>4656</v>
      </c>
      <c r="C889" t="s">
        <v>8720</v>
      </c>
      <c r="E889" s="45" t="s">
        <v>8721</v>
      </c>
      <c r="F889" s="45" t="s">
        <v>8731</v>
      </c>
      <c r="G889" t="s">
        <v>8732</v>
      </c>
      <c r="H889" t="s">
        <v>8733</v>
      </c>
    </row>
    <row r="890" spans="1:8" x14ac:dyDescent="0.45">
      <c r="A890" s="53" t="s">
        <v>4655</v>
      </c>
      <c r="B890" s="54" t="s">
        <v>4656</v>
      </c>
      <c r="C890" t="s">
        <v>8720</v>
      </c>
      <c r="E890" s="45" t="s">
        <v>8721</v>
      </c>
      <c r="F890" s="45" t="s">
        <v>8734</v>
      </c>
      <c r="G890" s="12" t="s">
        <v>8735</v>
      </c>
      <c r="H890" t="s">
        <v>8736</v>
      </c>
    </row>
    <row r="891" spans="1:8" x14ac:dyDescent="0.45">
      <c r="A891" s="53" t="s">
        <v>4655</v>
      </c>
      <c r="B891" s="54" t="s">
        <v>4656</v>
      </c>
      <c r="C891" t="s">
        <v>8720</v>
      </c>
      <c r="E891" s="45" t="s">
        <v>8721</v>
      </c>
      <c r="F891" s="45" t="s">
        <v>8737</v>
      </c>
      <c r="G891" s="12" t="s">
        <v>8738</v>
      </c>
      <c r="H891" s="55" t="s">
        <v>8739</v>
      </c>
    </row>
    <row r="892" spans="1:8" x14ac:dyDescent="0.45">
      <c r="A892" s="53" t="s">
        <v>4655</v>
      </c>
      <c r="B892" s="54" t="s">
        <v>4656</v>
      </c>
      <c r="C892" t="s">
        <v>8720</v>
      </c>
      <c r="E892" s="45" t="s">
        <v>8721</v>
      </c>
      <c r="F892" s="45" t="s">
        <v>8740</v>
      </c>
      <c r="G892" s="12" t="s">
        <v>8741</v>
      </c>
      <c r="H892" s="55" t="s">
        <v>8742</v>
      </c>
    </row>
    <row r="893" spans="1:8" x14ac:dyDescent="0.45">
      <c r="A893" s="53" t="s">
        <v>4655</v>
      </c>
      <c r="B893" s="54" t="s">
        <v>4656</v>
      </c>
      <c r="C893" t="s">
        <v>8720</v>
      </c>
      <c r="E893" s="45" t="s">
        <v>8721</v>
      </c>
      <c r="F893" s="45" t="s">
        <v>8743</v>
      </c>
      <c r="G893" s="12" t="s">
        <v>8744</v>
      </c>
      <c r="H893" s="55" t="s">
        <v>8745</v>
      </c>
    </row>
    <row r="894" spans="1:8" x14ac:dyDescent="0.45">
      <c r="A894" s="53" t="s">
        <v>4655</v>
      </c>
      <c r="B894" s="54" t="s">
        <v>4656</v>
      </c>
      <c r="C894" t="s">
        <v>8720</v>
      </c>
      <c r="E894" s="45" t="s">
        <v>8721</v>
      </c>
      <c r="F894" s="45" t="s">
        <v>8746</v>
      </c>
      <c r="G894" s="12" t="s">
        <v>8748</v>
      </c>
      <c r="H894" s="55" t="s">
        <v>8747</v>
      </c>
    </row>
    <row r="895" spans="1:8" x14ac:dyDescent="0.45">
      <c r="A895" s="53" t="s">
        <v>4655</v>
      </c>
      <c r="B895" s="54" t="s">
        <v>4656</v>
      </c>
      <c r="C895" t="s">
        <v>8720</v>
      </c>
      <c r="E895" s="45" t="s">
        <v>8721</v>
      </c>
      <c r="F895" s="45" t="s">
        <v>8749</v>
      </c>
      <c r="G895" s="12" t="s">
        <v>8750</v>
      </c>
      <c r="H895" s="55" t="s">
        <v>8751</v>
      </c>
    </row>
    <row r="896" spans="1:8" x14ac:dyDescent="0.45">
      <c r="A896" s="53" t="s">
        <v>4655</v>
      </c>
      <c r="B896" s="54" t="s">
        <v>4656</v>
      </c>
      <c r="C896" t="s">
        <v>8720</v>
      </c>
      <c r="E896" s="45" t="s">
        <v>8721</v>
      </c>
      <c r="F896" s="45" t="s">
        <v>8752</v>
      </c>
      <c r="G896" s="12" t="s">
        <v>8753</v>
      </c>
      <c r="H896" s="55" t="s">
        <v>8754</v>
      </c>
    </row>
    <row r="897" spans="1:8" x14ac:dyDescent="0.45">
      <c r="A897" s="53" t="s">
        <v>4655</v>
      </c>
      <c r="B897" s="54" t="s">
        <v>4656</v>
      </c>
      <c r="C897" t="s">
        <v>8720</v>
      </c>
      <c r="E897" s="45" t="s">
        <v>8721</v>
      </c>
      <c r="F897" s="45" t="s">
        <v>8755</v>
      </c>
      <c r="G897" s="12" t="s">
        <v>8756</v>
      </c>
      <c r="H897" s="55" t="s">
        <v>8757</v>
      </c>
    </row>
    <row r="898" spans="1:8" x14ac:dyDescent="0.45">
      <c r="A898" s="53" t="s">
        <v>4655</v>
      </c>
      <c r="B898" s="54" t="s">
        <v>4656</v>
      </c>
      <c r="C898" t="s">
        <v>8720</v>
      </c>
      <c r="E898" s="45" t="s">
        <v>8721</v>
      </c>
      <c r="F898" s="45" t="s">
        <v>8758</v>
      </c>
      <c r="G898" s="12" t="s">
        <v>8759</v>
      </c>
      <c r="H898" s="55" t="s">
        <v>8760</v>
      </c>
    </row>
    <row r="899" spans="1:8" x14ac:dyDescent="0.45">
      <c r="A899" s="53" t="s">
        <v>4655</v>
      </c>
      <c r="B899" s="54" t="s">
        <v>4656</v>
      </c>
      <c r="C899" t="s">
        <v>8720</v>
      </c>
      <c r="E899" s="45" t="s">
        <v>8721</v>
      </c>
      <c r="F899" s="45" t="s">
        <v>8761</v>
      </c>
      <c r="G899" s="12" t="s">
        <v>8762</v>
      </c>
      <c r="H899" s="55" t="s">
        <v>8763</v>
      </c>
    </row>
    <row r="900" spans="1:8" x14ac:dyDescent="0.45">
      <c r="A900" s="53" t="s">
        <v>4655</v>
      </c>
      <c r="B900" s="54" t="s">
        <v>4656</v>
      </c>
      <c r="C900" t="s">
        <v>8720</v>
      </c>
      <c r="E900" s="45" t="s">
        <v>8721</v>
      </c>
      <c r="F900" s="45" t="s">
        <v>8764</v>
      </c>
      <c r="G900" s="12" t="s">
        <v>8766</v>
      </c>
      <c r="H900" s="55" t="s">
        <v>8767</v>
      </c>
    </row>
    <row r="901" spans="1:8" x14ac:dyDescent="0.45">
      <c r="A901" s="53" t="s">
        <v>4655</v>
      </c>
      <c r="B901" s="54" t="s">
        <v>4656</v>
      </c>
      <c r="C901" t="s">
        <v>8720</v>
      </c>
      <c r="E901" s="45" t="s">
        <v>8721</v>
      </c>
      <c r="F901" s="45" t="s">
        <v>8765</v>
      </c>
      <c r="G901" s="12" t="s">
        <v>8768</v>
      </c>
      <c r="H901" s="55" t="s">
        <v>8769</v>
      </c>
    </row>
    <row r="902" spans="1:8" x14ac:dyDescent="0.45">
      <c r="A902" s="53" t="s">
        <v>4655</v>
      </c>
      <c r="B902" s="54" t="s">
        <v>4656</v>
      </c>
      <c r="C902" t="s">
        <v>8720</v>
      </c>
      <c r="E902" s="45" t="s">
        <v>8721</v>
      </c>
      <c r="F902" s="45" t="s">
        <v>8770</v>
      </c>
      <c r="G902" s="12" t="s">
        <v>8771</v>
      </c>
      <c r="H902" s="55" t="s">
        <v>8772</v>
      </c>
    </row>
    <row r="903" spans="1:8" x14ac:dyDescent="0.45">
      <c r="A903" s="53" t="s">
        <v>4655</v>
      </c>
      <c r="B903" s="54" t="s">
        <v>4656</v>
      </c>
      <c r="C903" t="s">
        <v>8720</v>
      </c>
      <c r="E903" s="45" t="s">
        <v>8721</v>
      </c>
      <c r="F903" s="45" t="s">
        <v>8773</v>
      </c>
      <c r="G903" s="12" t="s">
        <v>8727</v>
      </c>
      <c r="H903" s="55" t="s">
        <v>8774</v>
      </c>
    </row>
    <row r="904" spans="1:8" x14ac:dyDescent="0.45">
      <c r="A904" s="53" t="s">
        <v>4655</v>
      </c>
      <c r="B904" s="54" t="s">
        <v>4656</v>
      </c>
      <c r="C904" t="s">
        <v>8720</v>
      </c>
      <c r="E904" s="45" t="s">
        <v>8721</v>
      </c>
      <c r="F904" s="45" t="s">
        <v>8775</v>
      </c>
      <c r="G904" s="12" t="s">
        <v>8776</v>
      </c>
      <c r="H904" s="55" t="s">
        <v>8777</v>
      </c>
    </row>
    <row r="905" spans="1:8" x14ac:dyDescent="0.45">
      <c r="A905" s="53" t="s">
        <v>4655</v>
      </c>
      <c r="B905" s="54" t="s">
        <v>4656</v>
      </c>
      <c r="C905" t="s">
        <v>8720</v>
      </c>
      <c r="E905" s="45" t="s">
        <v>8721</v>
      </c>
      <c r="F905" s="45" t="s">
        <v>8778</v>
      </c>
      <c r="G905" s="12" t="s">
        <v>8779</v>
      </c>
      <c r="H905" s="55" t="s">
        <v>8777</v>
      </c>
    </row>
    <row r="906" spans="1:8" x14ac:dyDescent="0.45">
      <c r="A906" s="53" t="s">
        <v>4655</v>
      </c>
      <c r="B906" s="54" t="s">
        <v>4656</v>
      </c>
      <c r="C906" t="s">
        <v>8720</v>
      </c>
      <c r="E906" s="45" t="s">
        <v>8721</v>
      </c>
      <c r="F906" s="45" t="s">
        <v>8780</v>
      </c>
      <c r="G906" s="12" t="s">
        <v>8781</v>
      </c>
      <c r="H906" s="55" t="s">
        <v>8782</v>
      </c>
    </row>
    <row r="907" spans="1:8" x14ac:dyDescent="0.45">
      <c r="A907" s="53" t="s">
        <v>4655</v>
      </c>
      <c r="B907" s="54" t="s">
        <v>4656</v>
      </c>
      <c r="C907" t="s">
        <v>8720</v>
      </c>
      <c r="E907" s="45" t="s">
        <v>8721</v>
      </c>
      <c r="F907" s="45" t="s">
        <v>8783</v>
      </c>
      <c r="G907" s="12" t="s">
        <v>8784</v>
      </c>
      <c r="H907" s="55" t="s">
        <v>8785</v>
      </c>
    </row>
    <row r="908" spans="1:8" x14ac:dyDescent="0.45">
      <c r="A908" s="53" t="s">
        <v>6693</v>
      </c>
      <c r="B908" s="54" t="s">
        <v>6694</v>
      </c>
      <c r="C908" t="s">
        <v>9784</v>
      </c>
      <c r="E908" s="45" t="s">
        <v>9785</v>
      </c>
      <c r="F908" s="45" t="s">
        <v>9786</v>
      </c>
      <c r="G908" s="12" t="s">
        <v>1115</v>
      </c>
      <c r="H908" t="s">
        <v>9787</v>
      </c>
    </row>
    <row r="909" spans="1:8" x14ac:dyDescent="0.45">
      <c r="A909" s="53" t="s">
        <v>4688</v>
      </c>
      <c r="B909" s="54" t="s">
        <v>4689</v>
      </c>
      <c r="C909" t="s">
        <v>8871</v>
      </c>
      <c r="E909" s="45" t="s">
        <v>8872</v>
      </c>
      <c r="F909" s="45" t="s">
        <v>8873</v>
      </c>
      <c r="G909" s="12" t="s">
        <v>8874</v>
      </c>
      <c r="H909" t="s">
        <v>8875</v>
      </c>
    </row>
    <row r="910" spans="1:8" x14ac:dyDescent="0.45">
      <c r="A910" s="53" t="s">
        <v>4688</v>
      </c>
      <c r="B910" s="54" t="s">
        <v>4689</v>
      </c>
      <c r="C910" t="s">
        <v>8871</v>
      </c>
      <c r="E910" s="45" t="s">
        <v>8872</v>
      </c>
      <c r="F910" s="45" t="s">
        <v>8876</v>
      </c>
      <c r="G910" t="s">
        <v>8877</v>
      </c>
      <c r="H910" t="s">
        <v>8878</v>
      </c>
    </row>
    <row r="911" spans="1:8" x14ac:dyDescent="0.45">
      <c r="A911" s="53" t="s">
        <v>4688</v>
      </c>
      <c r="B911" s="54" t="s">
        <v>4689</v>
      </c>
      <c r="C911" t="s">
        <v>8871</v>
      </c>
      <c r="E911" s="45" t="s">
        <v>8872</v>
      </c>
      <c r="F911" s="45" t="s">
        <v>8879</v>
      </c>
      <c r="G911" t="s">
        <v>8880</v>
      </c>
      <c r="H911" t="s">
        <v>8881</v>
      </c>
    </row>
    <row r="912" spans="1:8" x14ac:dyDescent="0.45">
      <c r="A912" s="53" t="s">
        <v>4688</v>
      </c>
      <c r="B912" s="54" t="s">
        <v>4689</v>
      </c>
      <c r="C912" t="s">
        <v>8871</v>
      </c>
      <c r="E912" s="45" t="s">
        <v>8872</v>
      </c>
      <c r="F912" s="45" t="s">
        <v>8882</v>
      </c>
      <c r="G912" t="s">
        <v>8883</v>
      </c>
      <c r="H912" t="s">
        <v>8884</v>
      </c>
    </row>
    <row r="913" spans="1:8" x14ac:dyDescent="0.45">
      <c r="A913" s="53" t="s">
        <v>4688</v>
      </c>
      <c r="B913" s="54" t="s">
        <v>4689</v>
      </c>
      <c r="C913" t="s">
        <v>8871</v>
      </c>
      <c r="E913" s="45" t="s">
        <v>8872</v>
      </c>
      <c r="F913" s="45" t="s">
        <v>8885</v>
      </c>
      <c r="G913" t="s">
        <v>8886</v>
      </c>
      <c r="H913" t="s">
        <v>8887</v>
      </c>
    </row>
    <row r="914" spans="1:8" x14ac:dyDescent="0.45">
      <c r="A914" s="53" t="s">
        <v>4688</v>
      </c>
      <c r="B914" s="54" t="s">
        <v>4689</v>
      </c>
      <c r="C914" t="s">
        <v>8871</v>
      </c>
      <c r="E914" s="45" t="s">
        <v>8872</v>
      </c>
      <c r="F914" s="45" t="s">
        <v>8888</v>
      </c>
      <c r="G914" t="s">
        <v>8889</v>
      </c>
      <c r="H914" t="s">
        <v>8890</v>
      </c>
    </row>
    <row r="915" spans="1:8" x14ac:dyDescent="0.45">
      <c r="A915" s="53" t="s">
        <v>4688</v>
      </c>
      <c r="B915" s="54" t="s">
        <v>4689</v>
      </c>
      <c r="C915" t="s">
        <v>8871</v>
      </c>
      <c r="E915" s="45" t="s">
        <v>8872</v>
      </c>
      <c r="F915" s="45" t="s">
        <v>8891</v>
      </c>
      <c r="G915" t="s">
        <v>8892</v>
      </c>
      <c r="H915" t="s">
        <v>8893</v>
      </c>
    </row>
    <row r="916" spans="1:8" x14ac:dyDescent="0.45">
      <c r="A916" s="53" t="s">
        <v>4688</v>
      </c>
      <c r="B916" s="54" t="s">
        <v>4689</v>
      </c>
      <c r="C916" t="s">
        <v>8871</v>
      </c>
      <c r="E916" s="45" t="s">
        <v>8872</v>
      </c>
      <c r="F916" s="45" t="s">
        <v>8894</v>
      </c>
      <c r="G916" t="s">
        <v>8895</v>
      </c>
      <c r="H916" t="s">
        <v>8896</v>
      </c>
    </row>
    <row r="917" spans="1:8" x14ac:dyDescent="0.45">
      <c r="A917" s="53" t="s">
        <v>4688</v>
      </c>
      <c r="B917" s="54" t="s">
        <v>4689</v>
      </c>
      <c r="C917" t="s">
        <v>8871</v>
      </c>
      <c r="E917" s="45" t="s">
        <v>8872</v>
      </c>
      <c r="F917" s="45" t="s">
        <v>8897</v>
      </c>
      <c r="G917" t="s">
        <v>8898</v>
      </c>
      <c r="H917" t="s">
        <v>8899</v>
      </c>
    </row>
    <row r="918" spans="1:8" x14ac:dyDescent="0.45">
      <c r="A918" s="53" t="s">
        <v>4688</v>
      </c>
      <c r="B918" s="54" t="s">
        <v>4689</v>
      </c>
      <c r="C918" t="s">
        <v>8871</v>
      </c>
      <c r="E918" s="45" t="s">
        <v>8872</v>
      </c>
      <c r="F918" s="45" t="s">
        <v>8900</v>
      </c>
      <c r="G918" t="s">
        <v>8901</v>
      </c>
      <c r="H918" t="s">
        <v>8902</v>
      </c>
    </row>
    <row r="919" spans="1:8" x14ac:dyDescent="0.45">
      <c r="A919" s="53" t="s">
        <v>5297</v>
      </c>
      <c r="B919" s="54" t="s">
        <v>5298</v>
      </c>
      <c r="C919" t="s">
        <v>9151</v>
      </c>
      <c r="E919" s="45" t="s">
        <v>9152</v>
      </c>
      <c r="F919" s="45" t="s">
        <v>9153</v>
      </c>
      <c r="G919" t="s">
        <v>9154</v>
      </c>
      <c r="H919" t="s">
        <v>9155</v>
      </c>
    </row>
    <row r="920" spans="1:8" x14ac:dyDescent="0.45">
      <c r="A920" s="53" t="s">
        <v>6832</v>
      </c>
      <c r="B920" s="54" t="s">
        <v>6833</v>
      </c>
      <c r="C920" t="s">
        <v>9834</v>
      </c>
      <c r="E920" s="45" t="s">
        <v>9835</v>
      </c>
      <c r="F920" s="45" t="s">
        <v>9836</v>
      </c>
      <c r="G920" s="12" t="s">
        <v>9837</v>
      </c>
      <c r="H920" t="s">
        <v>9838</v>
      </c>
    </row>
    <row r="921" spans="1:8" x14ac:dyDescent="0.45">
      <c r="A921" s="53" t="s">
        <v>6832</v>
      </c>
      <c r="B921" s="54" t="s">
        <v>6833</v>
      </c>
      <c r="C921" t="s">
        <v>9834</v>
      </c>
      <c r="E921" s="45" t="s">
        <v>9835</v>
      </c>
      <c r="F921" s="45" t="s">
        <v>9839</v>
      </c>
      <c r="G921" t="s">
        <v>9840</v>
      </c>
      <c r="H921" t="s">
        <v>9841</v>
      </c>
    </row>
    <row r="922" spans="1:8" x14ac:dyDescent="0.45">
      <c r="A922" s="53" t="s">
        <v>3735</v>
      </c>
      <c r="B922" s="54" t="s">
        <v>3736</v>
      </c>
      <c r="C922" t="s">
        <v>8474</v>
      </c>
      <c r="E922" s="45" t="s">
        <v>8475</v>
      </c>
      <c r="F922" s="45" t="s">
        <v>8476</v>
      </c>
      <c r="G922" t="s">
        <v>3256</v>
      </c>
      <c r="H922" t="s">
        <v>3539</v>
      </c>
    </row>
    <row r="923" spans="1:8" x14ac:dyDescent="0.45">
      <c r="A923" s="53" t="s">
        <v>3735</v>
      </c>
      <c r="B923" s="54" t="s">
        <v>3736</v>
      </c>
      <c r="C923" t="s">
        <v>8474</v>
      </c>
      <c r="E923" s="45" t="s">
        <v>8475</v>
      </c>
      <c r="F923" s="45" t="s">
        <v>8477</v>
      </c>
      <c r="G923" t="s">
        <v>3257</v>
      </c>
      <c r="H923" t="s">
        <v>3540</v>
      </c>
    </row>
    <row r="924" spans="1:8" x14ac:dyDescent="0.45">
      <c r="A924" s="53" t="s">
        <v>7247</v>
      </c>
      <c r="B924" s="54" t="s">
        <v>7248</v>
      </c>
      <c r="C924" t="s">
        <v>10013</v>
      </c>
      <c r="E924" s="45" t="s">
        <v>10014</v>
      </c>
      <c r="F924" s="45" t="s">
        <v>10015</v>
      </c>
      <c r="G924" t="s">
        <v>10016</v>
      </c>
      <c r="H924" t="s">
        <v>10017</v>
      </c>
    </row>
    <row r="925" spans="1:8" x14ac:dyDescent="0.45">
      <c r="A925" s="53" t="s">
        <v>5806</v>
      </c>
      <c r="B925" s="54" t="s">
        <v>5807</v>
      </c>
      <c r="C925" t="s">
        <v>9267</v>
      </c>
      <c r="E925" s="45" t="s">
        <v>9268</v>
      </c>
      <c r="F925" s="45" t="s">
        <v>9269</v>
      </c>
      <c r="G925" s="12" t="s">
        <v>9270</v>
      </c>
      <c r="H925" t="s">
        <v>9271</v>
      </c>
    </row>
    <row r="926" spans="1:8" x14ac:dyDescent="0.45">
      <c r="A926" s="53" t="s">
        <v>6709</v>
      </c>
      <c r="B926" s="54" t="s">
        <v>6710</v>
      </c>
      <c r="C926" t="s">
        <v>9796</v>
      </c>
      <c r="E926" s="45" t="s">
        <v>9797</v>
      </c>
    </row>
    <row r="927" spans="1:8" x14ac:dyDescent="0.45">
      <c r="A927" s="53" t="s">
        <v>8295</v>
      </c>
      <c r="B927" s="54" t="s">
        <v>8296</v>
      </c>
      <c r="C927" t="s">
        <v>10279</v>
      </c>
      <c r="E927" s="45" t="s">
        <v>10280</v>
      </c>
      <c r="F927" s="45" t="s">
        <v>10281</v>
      </c>
      <c r="G927" s="12" t="s">
        <v>2086</v>
      </c>
      <c r="H927" t="s">
        <v>10282</v>
      </c>
    </row>
    <row r="928" spans="1:8" x14ac:dyDescent="0.45">
      <c r="A928" s="53" t="s">
        <v>8295</v>
      </c>
      <c r="B928" s="54" t="s">
        <v>8296</v>
      </c>
      <c r="C928" t="s">
        <v>10279</v>
      </c>
      <c r="E928" s="45" t="s">
        <v>10280</v>
      </c>
      <c r="F928" s="45" t="s">
        <v>10283</v>
      </c>
      <c r="G928" s="12" t="s">
        <v>2086</v>
      </c>
      <c r="H928" t="s">
        <v>10284</v>
      </c>
    </row>
    <row r="929" spans="1:8" x14ac:dyDescent="0.45">
      <c r="A929" s="53" t="s">
        <v>8295</v>
      </c>
      <c r="B929" s="54" t="s">
        <v>8296</v>
      </c>
      <c r="C929" t="s">
        <v>10279</v>
      </c>
      <c r="E929" s="45" t="s">
        <v>10280</v>
      </c>
      <c r="F929" s="45" t="s">
        <v>10285</v>
      </c>
      <c r="G929" s="12" t="s">
        <v>10286</v>
      </c>
      <c r="H929" t="s">
        <v>10282</v>
      </c>
    </row>
    <row r="930" spans="1:8" x14ac:dyDescent="0.45">
      <c r="A930" s="53" t="s">
        <v>8295</v>
      </c>
      <c r="B930" s="54" t="s">
        <v>8296</v>
      </c>
      <c r="C930" t="s">
        <v>10279</v>
      </c>
      <c r="E930" s="45" t="s">
        <v>10280</v>
      </c>
      <c r="F930" s="45" t="s">
        <v>10287</v>
      </c>
      <c r="G930" s="12" t="s">
        <v>10288</v>
      </c>
      <c r="H930" t="s">
        <v>10289</v>
      </c>
    </row>
    <row r="931" spans="1:8" x14ac:dyDescent="0.45">
      <c r="A931" s="53" t="s">
        <v>8295</v>
      </c>
      <c r="B931" s="54" t="s">
        <v>8296</v>
      </c>
      <c r="C931" t="s">
        <v>10279</v>
      </c>
      <c r="E931" s="45" t="s">
        <v>10280</v>
      </c>
      <c r="F931" s="45" t="s">
        <v>10290</v>
      </c>
      <c r="G931" s="12" t="s">
        <v>10291</v>
      </c>
      <c r="H931" t="s">
        <v>10292</v>
      </c>
    </row>
    <row r="932" spans="1:8" x14ac:dyDescent="0.45">
      <c r="A932" s="53" t="s">
        <v>8291</v>
      </c>
      <c r="B932" s="54" t="s">
        <v>8292</v>
      </c>
      <c r="C932" t="s">
        <v>10279</v>
      </c>
      <c r="E932" s="45" t="s">
        <v>10280</v>
      </c>
      <c r="F932" s="45" t="s">
        <v>10281</v>
      </c>
      <c r="G932" s="12" t="s">
        <v>2086</v>
      </c>
      <c r="H932" t="s">
        <v>10282</v>
      </c>
    </row>
    <row r="933" spans="1:8" x14ac:dyDescent="0.45">
      <c r="A933" s="53" t="s">
        <v>8291</v>
      </c>
      <c r="B933" s="54" t="s">
        <v>8292</v>
      </c>
      <c r="C933" t="s">
        <v>10279</v>
      </c>
      <c r="E933" s="45" t="s">
        <v>10280</v>
      </c>
      <c r="F933" s="45" t="s">
        <v>10283</v>
      </c>
      <c r="G933" s="12" t="s">
        <v>2086</v>
      </c>
      <c r="H933" t="s">
        <v>10284</v>
      </c>
    </row>
    <row r="934" spans="1:8" x14ac:dyDescent="0.45">
      <c r="A934" s="53" t="s">
        <v>8291</v>
      </c>
      <c r="B934" s="54" t="s">
        <v>8292</v>
      </c>
      <c r="C934" t="s">
        <v>10279</v>
      </c>
      <c r="E934" s="45" t="s">
        <v>10280</v>
      </c>
      <c r="F934" s="45" t="s">
        <v>10285</v>
      </c>
      <c r="G934" s="12" t="s">
        <v>10286</v>
      </c>
      <c r="H934" t="s">
        <v>10282</v>
      </c>
    </row>
    <row r="935" spans="1:8" x14ac:dyDescent="0.45">
      <c r="A935" s="53" t="s">
        <v>8291</v>
      </c>
      <c r="B935" s="54" t="s">
        <v>8292</v>
      </c>
      <c r="C935" t="s">
        <v>10279</v>
      </c>
      <c r="E935" s="45" t="s">
        <v>10280</v>
      </c>
      <c r="F935" s="45" t="s">
        <v>10287</v>
      </c>
      <c r="G935" s="12" t="s">
        <v>10288</v>
      </c>
      <c r="H935" t="s">
        <v>10289</v>
      </c>
    </row>
    <row r="936" spans="1:8" x14ac:dyDescent="0.45">
      <c r="A936" s="53" t="s">
        <v>8291</v>
      </c>
      <c r="B936" s="54" t="s">
        <v>8292</v>
      </c>
      <c r="C936" t="s">
        <v>10279</v>
      </c>
      <c r="E936" s="45" t="s">
        <v>10280</v>
      </c>
      <c r="F936" s="45" t="s">
        <v>10290</v>
      </c>
      <c r="G936" s="12" t="s">
        <v>10291</v>
      </c>
      <c r="H936" t="s">
        <v>10292</v>
      </c>
    </row>
    <row r="937" spans="1:8" x14ac:dyDescent="0.45">
      <c r="A937" s="53" t="s">
        <v>3702</v>
      </c>
      <c r="B937" s="54" t="s">
        <v>3703</v>
      </c>
      <c r="C937" t="s">
        <v>8435</v>
      </c>
      <c r="E937" s="10" t="s">
        <v>8436</v>
      </c>
      <c r="F937" s="45" t="s">
        <v>8437</v>
      </c>
      <c r="G937" t="s">
        <v>1099</v>
      </c>
      <c r="H937" t="s">
        <v>3541</v>
      </c>
    </row>
    <row r="938" spans="1:8" x14ac:dyDescent="0.45">
      <c r="A938" s="53" t="s">
        <v>3702</v>
      </c>
      <c r="B938" s="54" t="s">
        <v>3703</v>
      </c>
      <c r="C938" t="s">
        <v>8435</v>
      </c>
      <c r="E938" s="10" t="s">
        <v>8436</v>
      </c>
      <c r="F938" s="45" t="s">
        <v>8438</v>
      </c>
      <c r="G938" t="s">
        <v>1100</v>
      </c>
      <c r="H938" t="s">
        <v>3542</v>
      </c>
    </row>
    <row r="939" spans="1:8" x14ac:dyDescent="0.45">
      <c r="A939" s="53" t="s">
        <v>3702</v>
      </c>
      <c r="B939" s="54" t="s">
        <v>3703</v>
      </c>
      <c r="C939" t="s">
        <v>8435</v>
      </c>
      <c r="E939" s="10" t="s">
        <v>8436</v>
      </c>
      <c r="F939" s="45" t="s">
        <v>8439</v>
      </c>
      <c r="G939" t="s">
        <v>1101</v>
      </c>
      <c r="H939" t="s">
        <v>3543</v>
      </c>
    </row>
    <row r="940" spans="1:8" x14ac:dyDescent="0.45">
      <c r="A940" s="53" t="s">
        <v>7407</v>
      </c>
      <c r="B940" s="54" t="s">
        <v>7408</v>
      </c>
      <c r="C940" t="s">
        <v>10047</v>
      </c>
      <c r="E940" s="45" t="s">
        <v>10048</v>
      </c>
      <c r="F940" s="45" t="s">
        <v>10049</v>
      </c>
      <c r="G940" s="12" t="s">
        <v>1102</v>
      </c>
      <c r="H940" t="s">
        <v>3544</v>
      </c>
    </row>
    <row r="941" spans="1:8" x14ac:dyDescent="0.45">
      <c r="A941" s="53" t="s">
        <v>4571</v>
      </c>
      <c r="B941" s="54" t="s">
        <v>4572</v>
      </c>
      <c r="C941" t="s">
        <v>8712</v>
      </c>
      <c r="E941" s="45" t="s">
        <v>8713</v>
      </c>
      <c r="F941" s="45" t="s">
        <v>8714</v>
      </c>
      <c r="G941" s="12" t="s">
        <v>1103</v>
      </c>
      <c r="H941" t="s">
        <v>1104</v>
      </c>
    </row>
    <row r="942" spans="1:8" x14ac:dyDescent="0.45">
      <c r="A942" s="53" t="s">
        <v>7587</v>
      </c>
      <c r="B942" s="54" t="s">
        <v>7588</v>
      </c>
      <c r="C942" t="s">
        <v>10105</v>
      </c>
      <c r="E942" s="45" t="s">
        <v>10106</v>
      </c>
      <c r="F942" s="45" t="s">
        <v>10107</v>
      </c>
      <c r="G942" s="12" t="s">
        <v>1105</v>
      </c>
      <c r="H942" t="s">
        <v>1106</v>
      </c>
    </row>
    <row r="943" spans="1:8" x14ac:dyDescent="0.45">
      <c r="A943" s="53" t="s">
        <v>7832</v>
      </c>
      <c r="B943" s="54" t="s">
        <v>7833</v>
      </c>
      <c r="C943" t="s">
        <v>9788</v>
      </c>
    </row>
    <row r="944" spans="1:8" x14ac:dyDescent="0.45">
      <c r="A944" s="53" t="s">
        <v>6696</v>
      </c>
      <c r="B944" s="54" t="s">
        <v>6697</v>
      </c>
      <c r="C944" t="s">
        <v>9788</v>
      </c>
    </row>
    <row r="945" spans="1:8" x14ac:dyDescent="0.45">
      <c r="A945" s="53" t="s">
        <v>4359</v>
      </c>
      <c r="B945" s="54" t="s">
        <v>4360</v>
      </c>
      <c r="C945" t="s">
        <v>8630</v>
      </c>
      <c r="E945" s="45" t="s">
        <v>8631</v>
      </c>
      <c r="F945" s="45" t="s">
        <v>8632</v>
      </c>
      <c r="G945" s="12" t="s">
        <v>1108</v>
      </c>
      <c r="H945" t="s">
        <v>1109</v>
      </c>
    </row>
    <row r="946" spans="1:8" x14ac:dyDescent="0.45">
      <c r="A946" s="53" t="s">
        <v>7830</v>
      </c>
      <c r="B946" s="54" t="s">
        <v>7831</v>
      </c>
      <c r="C946" t="s">
        <v>9252</v>
      </c>
      <c r="E946" s="45" t="s">
        <v>9253</v>
      </c>
      <c r="F946" s="45" t="s">
        <v>9254</v>
      </c>
      <c r="G946" s="12" t="s">
        <v>1112</v>
      </c>
      <c r="H946" t="s">
        <v>1113</v>
      </c>
    </row>
    <row r="947" spans="1:8" x14ac:dyDescent="0.45">
      <c r="A947" s="53" t="s">
        <v>7830</v>
      </c>
      <c r="B947" s="54" t="s">
        <v>7831</v>
      </c>
      <c r="C947" t="s">
        <v>9252</v>
      </c>
      <c r="E947" s="45" t="s">
        <v>9253</v>
      </c>
      <c r="F947" s="45" t="s">
        <v>9255</v>
      </c>
      <c r="G947" t="s">
        <v>1110</v>
      </c>
      <c r="H947" t="s">
        <v>1114</v>
      </c>
    </row>
    <row r="948" spans="1:8" x14ac:dyDescent="0.45">
      <c r="A948" s="53" t="s">
        <v>7830</v>
      </c>
      <c r="B948" s="54" t="s">
        <v>7831</v>
      </c>
      <c r="C948" t="s">
        <v>9252</v>
      </c>
      <c r="E948" s="45" t="s">
        <v>9253</v>
      </c>
      <c r="F948" s="45" t="s">
        <v>9256</v>
      </c>
      <c r="G948" s="12" t="s">
        <v>1115</v>
      </c>
      <c r="H948" t="s">
        <v>1116</v>
      </c>
    </row>
    <row r="949" spans="1:8" x14ac:dyDescent="0.45">
      <c r="A949" s="53" t="s">
        <v>5773</v>
      </c>
      <c r="B949" s="54" t="s">
        <v>5774</v>
      </c>
      <c r="C949" t="s">
        <v>9252</v>
      </c>
      <c r="E949" s="45" t="s">
        <v>9253</v>
      </c>
      <c r="F949" s="45" t="s">
        <v>9254</v>
      </c>
      <c r="G949" s="12" t="s">
        <v>1112</v>
      </c>
      <c r="H949" t="s">
        <v>1113</v>
      </c>
    </row>
    <row r="950" spans="1:8" x14ac:dyDescent="0.45">
      <c r="A950" s="53" t="s">
        <v>5773</v>
      </c>
      <c r="B950" s="54" t="s">
        <v>5774</v>
      </c>
      <c r="C950" t="s">
        <v>9252</v>
      </c>
      <c r="E950" s="45" t="s">
        <v>9253</v>
      </c>
      <c r="F950" s="45" t="s">
        <v>9255</v>
      </c>
      <c r="G950" t="s">
        <v>1110</v>
      </c>
      <c r="H950" t="s">
        <v>1114</v>
      </c>
    </row>
    <row r="951" spans="1:8" x14ac:dyDescent="0.45">
      <c r="A951" s="53" t="s">
        <v>5773</v>
      </c>
      <c r="B951" s="54" t="s">
        <v>5774</v>
      </c>
      <c r="C951" t="s">
        <v>9252</v>
      </c>
      <c r="E951" s="45" t="s">
        <v>9253</v>
      </c>
      <c r="F951" s="45" t="s">
        <v>9256</v>
      </c>
      <c r="G951" s="12" t="s">
        <v>1115</v>
      </c>
      <c r="H951" t="s">
        <v>1116</v>
      </c>
    </row>
    <row r="952" spans="1:8" x14ac:dyDescent="0.45">
      <c r="A952" s="53" t="s">
        <v>4039</v>
      </c>
      <c r="B952" s="54" t="s">
        <v>4040</v>
      </c>
      <c r="C952" t="s">
        <v>8545</v>
      </c>
      <c r="E952" s="10" t="s">
        <v>8546</v>
      </c>
      <c r="F952" s="45" t="s">
        <v>8547</v>
      </c>
      <c r="G952" s="12" t="s">
        <v>8548</v>
      </c>
      <c r="H952" t="s">
        <v>1109</v>
      </c>
    </row>
    <row r="953" spans="1:8" x14ac:dyDescent="0.45">
      <c r="A953" s="53" t="s">
        <v>4214</v>
      </c>
      <c r="B953" s="54" t="s">
        <v>4215</v>
      </c>
      <c r="C953" t="s">
        <v>8614</v>
      </c>
      <c r="E953" s="45" t="s">
        <v>8615</v>
      </c>
      <c r="F953" s="45" t="s">
        <v>8616</v>
      </c>
      <c r="G953" s="12" t="s">
        <v>8617</v>
      </c>
      <c r="H953" t="s">
        <v>8618</v>
      </c>
    </row>
    <row r="954" spans="1:8" x14ac:dyDescent="0.45">
      <c r="A954" s="53" t="s">
        <v>4214</v>
      </c>
      <c r="B954" s="54" t="s">
        <v>4215</v>
      </c>
      <c r="C954" t="s">
        <v>8614</v>
      </c>
      <c r="E954" s="45" t="s">
        <v>8615</v>
      </c>
      <c r="F954" s="45" t="s">
        <v>8619</v>
      </c>
      <c r="G954" t="s">
        <v>2140</v>
      </c>
      <c r="H954" t="s">
        <v>8620</v>
      </c>
    </row>
    <row r="955" spans="1:8" x14ac:dyDescent="0.45">
      <c r="A955" s="53" t="s">
        <v>4324</v>
      </c>
      <c r="B955" s="54" t="s">
        <v>4325</v>
      </c>
      <c r="C955" t="s">
        <v>8614</v>
      </c>
      <c r="E955" s="10" t="s">
        <v>8615</v>
      </c>
      <c r="F955" s="45" t="s">
        <v>8616</v>
      </c>
      <c r="G955" t="s">
        <v>8617</v>
      </c>
      <c r="H955" t="s">
        <v>8618</v>
      </c>
    </row>
    <row r="956" spans="1:8" x14ac:dyDescent="0.45">
      <c r="A956" s="53" t="s">
        <v>4324</v>
      </c>
      <c r="B956" s="54" t="s">
        <v>4325</v>
      </c>
      <c r="C956" t="s">
        <v>8614</v>
      </c>
      <c r="E956" s="10" t="s">
        <v>8615</v>
      </c>
      <c r="F956" s="45" t="s">
        <v>8619</v>
      </c>
      <c r="G956" s="12" t="s">
        <v>2140</v>
      </c>
      <c r="H956" t="s">
        <v>8620</v>
      </c>
    </row>
    <row r="957" spans="1:8" x14ac:dyDescent="0.45">
      <c r="A957" s="53" t="s">
        <v>7772</v>
      </c>
      <c r="B957" s="54" t="s">
        <v>7773</v>
      </c>
      <c r="C957" t="s">
        <v>9078</v>
      </c>
      <c r="E957" s="45" t="s">
        <v>9081</v>
      </c>
      <c r="F957" s="45" t="s">
        <v>9079</v>
      </c>
      <c r="G957" s="12" t="s">
        <v>1117</v>
      </c>
      <c r="H957" t="s">
        <v>1118</v>
      </c>
    </row>
    <row r="958" spans="1:8" x14ac:dyDescent="0.45">
      <c r="A958" s="53" t="s">
        <v>7380</v>
      </c>
      <c r="B958" s="54" t="s">
        <v>7381</v>
      </c>
      <c r="C958" t="s">
        <v>9078</v>
      </c>
      <c r="E958" s="45" t="s">
        <v>9081</v>
      </c>
      <c r="F958" s="45" t="s">
        <v>9079</v>
      </c>
      <c r="G958" s="12" t="s">
        <v>1117</v>
      </c>
      <c r="H958" t="s">
        <v>1118</v>
      </c>
    </row>
    <row r="959" spans="1:8" x14ac:dyDescent="0.45">
      <c r="A959" s="53" t="s">
        <v>5237</v>
      </c>
      <c r="B959" s="54" t="s">
        <v>5238</v>
      </c>
      <c r="C959" t="s">
        <v>9078</v>
      </c>
      <c r="E959" s="45" t="s">
        <v>9081</v>
      </c>
      <c r="F959" s="45" t="s">
        <v>9079</v>
      </c>
      <c r="G959" t="s">
        <v>9080</v>
      </c>
      <c r="H959" t="s">
        <v>1118</v>
      </c>
    </row>
    <row r="960" spans="1:8" x14ac:dyDescent="0.45">
      <c r="A960" s="53" t="s">
        <v>7187</v>
      </c>
      <c r="B960" s="54" t="s">
        <v>7188</v>
      </c>
      <c r="C960" t="s">
        <v>9078</v>
      </c>
      <c r="E960" s="45" t="s">
        <v>9081</v>
      </c>
      <c r="F960" s="45" t="s">
        <v>9079</v>
      </c>
      <c r="G960" s="12" t="s">
        <v>1117</v>
      </c>
      <c r="H960" t="s">
        <v>1118</v>
      </c>
    </row>
    <row r="961" spans="1:8" x14ac:dyDescent="0.45">
      <c r="A961" s="53" t="s">
        <v>6839</v>
      </c>
      <c r="B961" s="54" t="s">
        <v>6840</v>
      </c>
      <c r="C961" t="s">
        <v>9842</v>
      </c>
    </row>
    <row r="962" spans="1:8" x14ac:dyDescent="0.45">
      <c r="A962" s="53" t="s">
        <v>6877</v>
      </c>
      <c r="B962" s="54" t="s">
        <v>6878</v>
      </c>
      <c r="C962" t="s">
        <v>9854</v>
      </c>
      <c r="E962" s="45" t="s">
        <v>9855</v>
      </c>
      <c r="F962" s="45" t="s">
        <v>9856</v>
      </c>
      <c r="G962" s="12" t="s">
        <v>1119</v>
      </c>
      <c r="H962" t="s">
        <v>1120</v>
      </c>
    </row>
    <row r="963" spans="1:8" x14ac:dyDescent="0.45">
      <c r="A963" s="53" t="s">
        <v>5294</v>
      </c>
      <c r="B963" s="54" t="s">
        <v>5295</v>
      </c>
      <c r="C963" t="s">
        <v>9143</v>
      </c>
      <c r="E963" s="45" t="s">
        <v>9144</v>
      </c>
      <c r="F963" s="45" t="s">
        <v>9145</v>
      </c>
      <c r="G963" s="12" t="s">
        <v>9147</v>
      </c>
      <c r="H963" t="s">
        <v>9146</v>
      </c>
    </row>
    <row r="964" spans="1:8" x14ac:dyDescent="0.45">
      <c r="A964" s="53" t="s">
        <v>5294</v>
      </c>
      <c r="B964" s="54" t="s">
        <v>5295</v>
      </c>
      <c r="C964" t="s">
        <v>9143</v>
      </c>
      <c r="E964" s="45" t="s">
        <v>9144</v>
      </c>
      <c r="F964" s="45" t="s">
        <v>9148</v>
      </c>
      <c r="G964" t="s">
        <v>9149</v>
      </c>
      <c r="H964" t="s">
        <v>9150</v>
      </c>
    </row>
    <row r="965" spans="1:8" x14ac:dyDescent="0.45">
      <c r="A965" s="53" t="s">
        <v>6561</v>
      </c>
      <c r="B965" s="54" t="s">
        <v>6562</v>
      </c>
      <c r="C965" t="s">
        <v>9745</v>
      </c>
      <c r="E965" s="45" t="s">
        <v>9746</v>
      </c>
      <c r="F965" s="45" t="s">
        <v>9747</v>
      </c>
      <c r="G965" s="12" t="s">
        <v>1121</v>
      </c>
      <c r="H965" t="s">
        <v>1108</v>
      </c>
    </row>
    <row r="966" spans="1:8" x14ac:dyDescent="0.45">
      <c r="A966" s="53" t="s">
        <v>6561</v>
      </c>
      <c r="B966" s="54" t="s">
        <v>6562</v>
      </c>
      <c r="C966" t="s">
        <v>9745</v>
      </c>
      <c r="E966" s="45" t="s">
        <v>9746</v>
      </c>
      <c r="F966" s="45" t="s">
        <v>9748</v>
      </c>
      <c r="G966" s="12" t="s">
        <v>1122</v>
      </c>
      <c r="H966" t="s">
        <v>1123</v>
      </c>
    </row>
    <row r="967" spans="1:8" x14ac:dyDescent="0.45">
      <c r="A967" s="53" t="s">
        <v>4565</v>
      </c>
      <c r="B967" s="54" t="s">
        <v>4566</v>
      </c>
      <c r="C967" t="s">
        <v>8704</v>
      </c>
      <c r="E967" s="45" t="s">
        <v>8705</v>
      </c>
      <c r="F967" s="45" t="s">
        <v>8706</v>
      </c>
      <c r="G967" s="12" t="s">
        <v>8707</v>
      </c>
      <c r="H967" t="s">
        <v>1127</v>
      </c>
    </row>
    <row r="968" spans="1:8" x14ac:dyDescent="0.45">
      <c r="A968" s="53" t="s">
        <v>4565</v>
      </c>
      <c r="B968" s="54" t="s">
        <v>4566</v>
      </c>
      <c r="C968" t="s">
        <v>8704</v>
      </c>
      <c r="E968" s="45" t="s">
        <v>8705</v>
      </c>
      <c r="F968" s="45" t="s">
        <v>8708</v>
      </c>
      <c r="G968" s="12" t="s">
        <v>8707</v>
      </c>
      <c r="H968" t="s">
        <v>1125</v>
      </c>
    </row>
    <row r="969" spans="1:8" x14ac:dyDescent="0.45">
      <c r="A969" s="53" t="s">
        <v>4106</v>
      </c>
      <c r="B969" s="54" t="s">
        <v>4107</v>
      </c>
      <c r="C969" t="s">
        <v>8577</v>
      </c>
      <c r="E969" s="45" t="s">
        <v>8578</v>
      </c>
      <c r="F969" s="45" t="s">
        <v>8579</v>
      </c>
      <c r="G969" s="12" t="s">
        <v>1124</v>
      </c>
      <c r="H969" t="s">
        <v>1125</v>
      </c>
    </row>
    <row r="970" spans="1:8" x14ac:dyDescent="0.45">
      <c r="A970" s="53" t="s">
        <v>4106</v>
      </c>
      <c r="B970" s="54" t="s">
        <v>4107</v>
      </c>
      <c r="C970" t="s">
        <v>8577</v>
      </c>
      <c r="E970" s="45" t="s">
        <v>8578</v>
      </c>
      <c r="F970" s="45" t="s">
        <v>8580</v>
      </c>
      <c r="G970" t="s">
        <v>1126</v>
      </c>
      <c r="H970" t="s">
        <v>1127</v>
      </c>
    </row>
    <row r="971" spans="1:8" x14ac:dyDescent="0.45">
      <c r="A971" s="53" t="s">
        <v>4106</v>
      </c>
      <c r="B971" s="54" t="s">
        <v>4107</v>
      </c>
      <c r="C971" t="s">
        <v>8577</v>
      </c>
      <c r="E971" s="45" t="s">
        <v>8578</v>
      </c>
      <c r="F971" s="45" t="s">
        <v>8581</v>
      </c>
      <c r="G971" t="s">
        <v>1124</v>
      </c>
      <c r="H971" t="s">
        <v>1128</v>
      </c>
    </row>
    <row r="972" spans="1:8" x14ac:dyDescent="0.45">
      <c r="A972" s="53" t="s">
        <v>4106</v>
      </c>
      <c r="B972" s="54" t="s">
        <v>4107</v>
      </c>
      <c r="C972" t="s">
        <v>8577</v>
      </c>
      <c r="E972" s="45" t="s">
        <v>8578</v>
      </c>
      <c r="F972" s="45" t="s">
        <v>8582</v>
      </c>
      <c r="G972" s="12" t="s">
        <v>1128</v>
      </c>
      <c r="H972" t="s">
        <v>1125</v>
      </c>
    </row>
    <row r="973" spans="1:8" x14ac:dyDescent="0.45">
      <c r="A973" s="53" t="s">
        <v>4106</v>
      </c>
      <c r="B973" s="54" t="s">
        <v>4107</v>
      </c>
      <c r="C973" t="s">
        <v>8577</v>
      </c>
      <c r="E973" s="45" t="s">
        <v>8578</v>
      </c>
      <c r="F973" s="45" t="s">
        <v>8583</v>
      </c>
      <c r="G973" t="s">
        <v>8584</v>
      </c>
      <c r="H973" t="s">
        <v>1127</v>
      </c>
    </row>
    <row r="974" spans="1:8" x14ac:dyDescent="0.45">
      <c r="A974" s="53" t="s">
        <v>6281</v>
      </c>
      <c r="B974" s="54" t="s">
        <v>6282</v>
      </c>
      <c r="C974" t="s">
        <v>9445</v>
      </c>
      <c r="E974" s="45" t="s">
        <v>9446</v>
      </c>
      <c r="F974" s="45" t="s">
        <v>9447</v>
      </c>
      <c r="G974" s="12" t="s">
        <v>1129</v>
      </c>
      <c r="H974" t="s">
        <v>1130</v>
      </c>
    </row>
    <row r="975" spans="1:8" x14ac:dyDescent="0.45">
      <c r="A975" s="53" t="s">
        <v>6281</v>
      </c>
      <c r="B975" s="54" t="s">
        <v>6282</v>
      </c>
      <c r="C975" t="s">
        <v>9445</v>
      </c>
      <c r="E975" s="45" t="s">
        <v>9446</v>
      </c>
      <c r="F975" s="45" t="s">
        <v>9448</v>
      </c>
      <c r="G975" s="12" t="s">
        <v>1131</v>
      </c>
      <c r="H975" t="s">
        <v>1132</v>
      </c>
    </row>
    <row r="976" spans="1:8" x14ac:dyDescent="0.45">
      <c r="A976" s="53" t="s">
        <v>6391</v>
      </c>
      <c r="B976" s="54" t="s">
        <v>6392</v>
      </c>
      <c r="C976" t="s">
        <v>9593</v>
      </c>
      <c r="E976" s="45" t="s">
        <v>9594</v>
      </c>
      <c r="F976" s="45" t="s">
        <v>9595</v>
      </c>
      <c r="G976" s="12" t="s">
        <v>1133</v>
      </c>
      <c r="H976" t="s">
        <v>1134</v>
      </c>
    </row>
    <row r="977" spans="1:8" x14ac:dyDescent="0.45">
      <c r="A977" s="53" t="s">
        <v>5115</v>
      </c>
      <c r="B977" s="54" t="s">
        <v>5116</v>
      </c>
      <c r="C977" t="s">
        <v>9040</v>
      </c>
    </row>
    <row r="978" spans="1:8" x14ac:dyDescent="0.45">
      <c r="A978" s="53" t="s">
        <v>6104</v>
      </c>
      <c r="B978" s="54" t="s">
        <v>6105</v>
      </c>
      <c r="C978" t="s">
        <v>9040</v>
      </c>
    </row>
    <row r="979" spans="1:8" x14ac:dyDescent="0.45">
      <c r="A979" s="53" t="s">
        <v>6638</v>
      </c>
      <c r="B979" s="54" t="s">
        <v>6639</v>
      </c>
      <c r="C979" t="s">
        <v>9750</v>
      </c>
      <c r="E979" s="45" t="s">
        <v>9751</v>
      </c>
      <c r="F979" s="45" t="s">
        <v>9752</v>
      </c>
      <c r="G979" s="12" t="s">
        <v>1135</v>
      </c>
      <c r="H979" t="s">
        <v>1136</v>
      </c>
    </row>
    <row r="980" spans="1:8" x14ac:dyDescent="0.45">
      <c r="A980" s="53" t="s">
        <v>5158</v>
      </c>
      <c r="B980" s="54" t="s">
        <v>5159</v>
      </c>
      <c r="C980" t="s">
        <v>9049</v>
      </c>
      <c r="E980" s="45" t="s">
        <v>9051</v>
      </c>
      <c r="F980" s="45" t="s">
        <v>9050</v>
      </c>
      <c r="G980" t="s">
        <v>1096</v>
      </c>
      <c r="H980" t="s">
        <v>2283</v>
      </c>
    </row>
    <row r="981" spans="1:8" x14ac:dyDescent="0.45">
      <c r="A981" s="53" t="s">
        <v>6559</v>
      </c>
      <c r="B981" s="54" t="s">
        <v>6560</v>
      </c>
      <c r="C981" t="s">
        <v>9739</v>
      </c>
      <c r="E981" s="45" t="s">
        <v>9740</v>
      </c>
      <c r="F981" s="45" t="s">
        <v>9741</v>
      </c>
      <c r="G981" s="12" t="s">
        <v>9742</v>
      </c>
      <c r="H981" t="s">
        <v>1121</v>
      </c>
    </row>
    <row r="982" spans="1:8" x14ac:dyDescent="0.45">
      <c r="A982" s="53" t="s">
        <v>6559</v>
      </c>
      <c r="B982" s="54" t="s">
        <v>6560</v>
      </c>
      <c r="C982" t="s">
        <v>9739</v>
      </c>
      <c r="E982" s="45" t="s">
        <v>9740</v>
      </c>
      <c r="F982" s="45" t="s">
        <v>9743</v>
      </c>
      <c r="G982" s="12" t="s">
        <v>9744</v>
      </c>
      <c r="H982" t="s">
        <v>1094</v>
      </c>
    </row>
    <row r="983" spans="1:8" x14ac:dyDescent="0.45">
      <c r="A983" s="53" t="s">
        <v>5219</v>
      </c>
      <c r="B983" s="54" t="s">
        <v>5220</v>
      </c>
      <c r="C983" t="s">
        <v>8536</v>
      </c>
    </row>
    <row r="984" spans="1:8" x14ac:dyDescent="0.45">
      <c r="A984" s="53" t="s">
        <v>6811</v>
      </c>
      <c r="B984" s="54" t="s">
        <v>6812</v>
      </c>
      <c r="C984" t="s">
        <v>8536</v>
      </c>
    </row>
    <row r="985" spans="1:8" x14ac:dyDescent="0.45">
      <c r="A985" s="53" t="s">
        <v>7571</v>
      </c>
      <c r="B985" s="54" t="s">
        <v>7572</v>
      </c>
      <c r="C985" t="s">
        <v>8536</v>
      </c>
    </row>
    <row r="986" spans="1:8" x14ac:dyDescent="0.45">
      <c r="A986" s="53" t="s">
        <v>6489</v>
      </c>
      <c r="B986" s="54" t="s">
        <v>6490</v>
      </c>
      <c r="C986" t="s">
        <v>8536</v>
      </c>
    </row>
    <row r="987" spans="1:8" x14ac:dyDescent="0.45">
      <c r="A987" s="53" t="s">
        <v>6302</v>
      </c>
      <c r="B987" s="54" t="s">
        <v>6303</v>
      </c>
      <c r="C987" t="s">
        <v>8536</v>
      </c>
    </row>
    <row r="988" spans="1:8" x14ac:dyDescent="0.45">
      <c r="A988" s="53" t="s">
        <v>3996</v>
      </c>
      <c r="B988" s="54" t="s">
        <v>3997</v>
      </c>
      <c r="C988" t="s">
        <v>8536</v>
      </c>
      <c r="E988" s="10"/>
    </row>
    <row r="989" spans="1:8" x14ac:dyDescent="0.45">
      <c r="A989" s="53" t="s">
        <v>7787</v>
      </c>
      <c r="B989" s="54" t="s">
        <v>7788</v>
      </c>
      <c r="C989" t="s">
        <v>10159</v>
      </c>
      <c r="E989" s="45" t="s">
        <v>10160</v>
      </c>
      <c r="F989" s="45" t="s">
        <v>10161</v>
      </c>
      <c r="G989" s="12" t="s">
        <v>1138</v>
      </c>
      <c r="H989" t="s">
        <v>1139</v>
      </c>
    </row>
    <row r="990" spans="1:8" x14ac:dyDescent="0.45">
      <c r="A990" s="53" t="s">
        <v>3694</v>
      </c>
      <c r="B990" s="54" t="s">
        <v>3695</v>
      </c>
      <c r="C990" t="s">
        <v>8427</v>
      </c>
      <c r="E990" s="45" t="s">
        <v>8430</v>
      </c>
      <c r="F990" s="45" t="s">
        <v>8431</v>
      </c>
      <c r="G990" s="12" t="s">
        <v>1090</v>
      </c>
      <c r="H990" t="s">
        <v>1089</v>
      </c>
    </row>
    <row r="991" spans="1:8" x14ac:dyDescent="0.45">
      <c r="A991" s="53" t="s">
        <v>6031</v>
      </c>
      <c r="B991" s="54" t="s">
        <v>6032</v>
      </c>
      <c r="C991" t="s">
        <v>9316</v>
      </c>
      <c r="E991" s="45" t="s">
        <v>9317</v>
      </c>
    </row>
    <row r="992" spans="1:8" x14ac:dyDescent="0.45">
      <c r="A992" s="53" t="s">
        <v>5553</v>
      </c>
      <c r="B992" s="54" t="s">
        <v>5554</v>
      </c>
      <c r="C992" t="s">
        <v>9185</v>
      </c>
      <c r="E992" s="45" t="s">
        <v>9186</v>
      </c>
      <c r="F992" s="45" t="s">
        <v>9187</v>
      </c>
      <c r="G992" s="12" t="s">
        <v>9188</v>
      </c>
      <c r="H992" t="s">
        <v>9189</v>
      </c>
    </row>
    <row r="993" spans="1:8" x14ac:dyDescent="0.45">
      <c r="A993" s="53" t="s">
        <v>4819</v>
      </c>
      <c r="B993" s="54" t="s">
        <v>4820</v>
      </c>
      <c r="C993" t="s">
        <v>8945</v>
      </c>
      <c r="E993" s="45" t="s">
        <v>8946</v>
      </c>
      <c r="F993" s="45" t="s">
        <v>8947</v>
      </c>
      <c r="G993" s="12" t="s">
        <v>1140</v>
      </c>
      <c r="H993" t="s">
        <v>1141</v>
      </c>
    </row>
    <row r="994" spans="1:8" x14ac:dyDescent="0.45">
      <c r="A994" s="53" t="s">
        <v>4264</v>
      </c>
      <c r="B994" s="54" t="s">
        <v>4265</v>
      </c>
      <c r="C994" t="s">
        <v>8621</v>
      </c>
      <c r="E994" s="45" t="s">
        <v>8622</v>
      </c>
    </row>
    <row r="995" spans="1:8" x14ac:dyDescent="0.45">
      <c r="A995" s="53" t="s">
        <v>6163</v>
      </c>
      <c r="B995" s="54" t="s">
        <v>6164</v>
      </c>
      <c r="C995" t="s">
        <v>8621</v>
      </c>
      <c r="E995" s="45" t="s">
        <v>8622</v>
      </c>
    </row>
    <row r="996" spans="1:8" x14ac:dyDescent="0.45">
      <c r="A996" s="53" t="s">
        <v>5592</v>
      </c>
      <c r="B996" s="54" t="s">
        <v>5593</v>
      </c>
      <c r="C996" t="s">
        <v>9204</v>
      </c>
      <c r="E996" s="45" t="s">
        <v>9205</v>
      </c>
      <c r="F996" s="45" t="s">
        <v>9196</v>
      </c>
      <c r="G996" s="12" t="s">
        <v>3120</v>
      </c>
      <c r="H996" t="s">
        <v>3404</v>
      </c>
    </row>
    <row r="997" spans="1:8" x14ac:dyDescent="0.45">
      <c r="A997" s="53" t="s">
        <v>5592</v>
      </c>
      <c r="B997" s="54" t="s">
        <v>5593</v>
      </c>
      <c r="C997" t="s">
        <v>9204</v>
      </c>
      <c r="E997" s="45" t="s">
        <v>9205</v>
      </c>
      <c r="F997" s="45" t="s">
        <v>9200</v>
      </c>
      <c r="G997" t="s">
        <v>3121</v>
      </c>
      <c r="H997" t="s">
        <v>3405</v>
      </c>
    </row>
    <row r="998" spans="1:8" x14ac:dyDescent="0.45">
      <c r="A998" s="53" t="s">
        <v>5592</v>
      </c>
      <c r="B998" s="54" t="s">
        <v>5593</v>
      </c>
      <c r="C998" t="s">
        <v>9204</v>
      </c>
      <c r="E998" s="45" t="s">
        <v>9205</v>
      </c>
      <c r="F998" s="45" t="s">
        <v>9197</v>
      </c>
      <c r="G998" t="s">
        <v>9198</v>
      </c>
      <c r="H998" t="s">
        <v>9199</v>
      </c>
    </row>
    <row r="999" spans="1:8" x14ac:dyDescent="0.45">
      <c r="A999" s="53" t="s">
        <v>5592</v>
      </c>
      <c r="B999" s="54" t="s">
        <v>5593</v>
      </c>
      <c r="C999" t="s">
        <v>9204</v>
      </c>
      <c r="E999" s="45" t="s">
        <v>9205</v>
      </c>
      <c r="F999" s="45" t="s">
        <v>9201</v>
      </c>
      <c r="G999" s="12" t="s">
        <v>9202</v>
      </c>
      <c r="H999" t="s">
        <v>9203</v>
      </c>
    </row>
    <row r="1000" spans="1:8" x14ac:dyDescent="0.45">
      <c r="A1000" s="53" t="s">
        <v>6527</v>
      </c>
      <c r="B1000" s="54" t="s">
        <v>6528</v>
      </c>
      <c r="C1000" t="s">
        <v>9204</v>
      </c>
      <c r="E1000" s="45" t="s">
        <v>9205</v>
      </c>
    </row>
    <row r="1001" spans="1:8" x14ac:dyDescent="0.45">
      <c r="A1001" s="53" t="s">
        <v>6523</v>
      </c>
      <c r="B1001" s="54" t="s">
        <v>6524</v>
      </c>
      <c r="C1001" t="s">
        <v>9204</v>
      </c>
      <c r="E1001" s="45" t="s">
        <v>9205</v>
      </c>
    </row>
    <row r="1002" spans="1:8" x14ac:dyDescent="0.45">
      <c r="A1002" s="53" t="s">
        <v>6252</v>
      </c>
      <c r="B1002" s="54" t="s">
        <v>6253</v>
      </c>
      <c r="C1002" t="s">
        <v>9204</v>
      </c>
      <c r="E1002" s="45" t="s">
        <v>9205</v>
      </c>
    </row>
    <row r="1003" spans="1:8" x14ac:dyDescent="0.45">
      <c r="A1003" s="53" t="s">
        <v>3871</v>
      </c>
      <c r="B1003" s="54" t="s">
        <v>3872</v>
      </c>
      <c r="C1003" t="s">
        <v>8498</v>
      </c>
      <c r="E1003" s="45" t="s">
        <v>8499</v>
      </c>
      <c r="F1003" s="45" t="s">
        <v>8500</v>
      </c>
      <c r="G1003" t="s">
        <v>3258</v>
      </c>
      <c r="H1003" t="s">
        <v>3545</v>
      </c>
    </row>
    <row r="1004" spans="1:8" x14ac:dyDescent="0.45">
      <c r="A1004" s="53" t="s">
        <v>4901</v>
      </c>
      <c r="B1004" s="54" t="s">
        <v>4902</v>
      </c>
      <c r="C1004" t="s">
        <v>8957</v>
      </c>
      <c r="E1004" s="45" t="s">
        <v>8958</v>
      </c>
      <c r="F1004" s="45" t="s">
        <v>8959</v>
      </c>
      <c r="G1004" s="12" t="s">
        <v>3259</v>
      </c>
      <c r="H1004" t="s">
        <v>3546</v>
      </c>
    </row>
    <row r="1005" spans="1:8" x14ac:dyDescent="0.45">
      <c r="A1005" s="53" t="s">
        <v>4901</v>
      </c>
      <c r="B1005" s="54" t="s">
        <v>4902</v>
      </c>
      <c r="C1005" t="s">
        <v>8957</v>
      </c>
      <c r="E1005" s="45" t="s">
        <v>8958</v>
      </c>
      <c r="F1005" s="45" t="s">
        <v>8960</v>
      </c>
      <c r="G1005" s="12" t="s">
        <v>3260</v>
      </c>
      <c r="H1005" t="s">
        <v>3547</v>
      </c>
    </row>
    <row r="1006" spans="1:8" x14ac:dyDescent="0.45">
      <c r="A1006" s="53" t="s">
        <v>4700</v>
      </c>
      <c r="B1006" s="54" t="s">
        <v>4701</v>
      </c>
      <c r="C1006" t="s">
        <v>8904</v>
      </c>
      <c r="E1006" s="45" t="s">
        <v>8905</v>
      </c>
      <c r="F1006" s="45" t="s">
        <v>8906</v>
      </c>
      <c r="G1006" t="s">
        <v>3261</v>
      </c>
      <c r="H1006" t="s">
        <v>3548</v>
      </c>
    </row>
    <row r="1007" spans="1:8" x14ac:dyDescent="0.45">
      <c r="A1007" s="53" t="s">
        <v>4700</v>
      </c>
      <c r="B1007" s="54" t="s">
        <v>4701</v>
      </c>
      <c r="C1007" t="s">
        <v>8904</v>
      </c>
      <c r="E1007" s="45" t="s">
        <v>8905</v>
      </c>
      <c r="F1007" s="45" t="s">
        <v>8907</v>
      </c>
      <c r="G1007" t="s">
        <v>3262</v>
      </c>
      <c r="H1007" t="s">
        <v>3549</v>
      </c>
    </row>
    <row r="1008" spans="1:8" x14ac:dyDescent="0.45">
      <c r="A1008" s="53" t="s">
        <v>8205</v>
      </c>
      <c r="B1008" s="54" t="s">
        <v>8206</v>
      </c>
      <c r="C1008" t="s">
        <v>10267</v>
      </c>
      <c r="E1008" s="45" t="s">
        <v>10268</v>
      </c>
      <c r="F1008" s="45" t="s">
        <v>10269</v>
      </c>
      <c r="G1008" s="12" t="s">
        <v>3263</v>
      </c>
      <c r="H1008" t="s">
        <v>3550</v>
      </c>
    </row>
    <row r="1009" spans="1:8" x14ac:dyDescent="0.45">
      <c r="A1009" s="53" t="s">
        <v>6769</v>
      </c>
      <c r="B1009" s="54" t="s">
        <v>6770</v>
      </c>
      <c r="C1009" t="s">
        <v>9807</v>
      </c>
      <c r="E1009" s="45" t="s">
        <v>9808</v>
      </c>
      <c r="F1009" s="45" t="s">
        <v>9809</v>
      </c>
      <c r="G1009" s="12" t="s">
        <v>9810</v>
      </c>
      <c r="H1009" t="s">
        <v>9811</v>
      </c>
    </row>
    <row r="1010" spans="1:8" x14ac:dyDescent="0.45">
      <c r="A1010" s="53" t="s">
        <v>6769</v>
      </c>
      <c r="B1010" s="54" t="s">
        <v>6770</v>
      </c>
      <c r="C1010" t="s">
        <v>9807</v>
      </c>
      <c r="E1010" s="45" t="s">
        <v>9808</v>
      </c>
      <c r="F1010" s="45" t="s">
        <v>9812</v>
      </c>
      <c r="G1010" s="12" t="s">
        <v>9813</v>
      </c>
      <c r="H1010" t="s">
        <v>9814</v>
      </c>
    </row>
    <row r="1011" spans="1:8" x14ac:dyDescent="0.45">
      <c r="A1011" s="53" t="s">
        <v>6769</v>
      </c>
      <c r="B1011" s="54" t="s">
        <v>6770</v>
      </c>
      <c r="C1011" t="s">
        <v>9807</v>
      </c>
      <c r="E1011" s="45" t="s">
        <v>9808</v>
      </c>
      <c r="F1011" s="45" t="s">
        <v>9815</v>
      </c>
      <c r="G1011" s="12" t="s">
        <v>9816</v>
      </c>
      <c r="H1011" t="s">
        <v>9817</v>
      </c>
    </row>
    <row r="1012" spans="1:8" x14ac:dyDescent="0.45">
      <c r="A1012" s="53" t="s">
        <v>6769</v>
      </c>
      <c r="B1012" s="54" t="s">
        <v>6770</v>
      </c>
      <c r="C1012" t="s">
        <v>9807</v>
      </c>
      <c r="E1012" s="45" t="s">
        <v>9808</v>
      </c>
      <c r="F1012" s="45" t="s">
        <v>9818</v>
      </c>
      <c r="G1012" s="12" t="s">
        <v>9819</v>
      </c>
      <c r="H1012" t="s">
        <v>9820</v>
      </c>
    </row>
    <row r="1013" spans="1:8" x14ac:dyDescent="0.45">
      <c r="A1013" s="53" t="s">
        <v>6769</v>
      </c>
      <c r="B1013" s="54" t="s">
        <v>6770</v>
      </c>
      <c r="C1013" t="s">
        <v>9807</v>
      </c>
      <c r="E1013" s="45" t="s">
        <v>9808</v>
      </c>
      <c r="F1013" s="45" t="s">
        <v>9821</v>
      </c>
      <c r="G1013" s="12" t="s">
        <v>9822</v>
      </c>
      <c r="H1013" t="s">
        <v>9823</v>
      </c>
    </row>
    <row r="1014" spans="1:8" x14ac:dyDescent="0.45">
      <c r="A1014" s="53" t="s">
        <v>6769</v>
      </c>
      <c r="B1014" s="54" t="s">
        <v>6770</v>
      </c>
      <c r="C1014" t="s">
        <v>9807</v>
      </c>
      <c r="E1014" s="45" t="s">
        <v>9808</v>
      </c>
      <c r="F1014" s="45" t="s">
        <v>9824</v>
      </c>
      <c r="G1014" s="12" t="s">
        <v>9825</v>
      </c>
      <c r="H1014" t="s">
        <v>9826</v>
      </c>
    </row>
    <row r="1015" spans="1:8" x14ac:dyDescent="0.45">
      <c r="A1015" s="53" t="s">
        <v>6769</v>
      </c>
      <c r="B1015" s="54" t="s">
        <v>6770</v>
      </c>
      <c r="C1015" t="s">
        <v>9807</v>
      </c>
      <c r="E1015" s="45" t="s">
        <v>9808</v>
      </c>
      <c r="F1015" s="45" t="s">
        <v>9827</v>
      </c>
      <c r="G1015" s="12" t="s">
        <v>9828</v>
      </c>
      <c r="H1015" t="s">
        <v>9829</v>
      </c>
    </row>
    <row r="1016" spans="1:8" x14ac:dyDescent="0.45">
      <c r="A1016" s="53" t="s">
        <v>6769</v>
      </c>
      <c r="B1016" s="54" t="s">
        <v>6770</v>
      </c>
      <c r="C1016" t="s">
        <v>9807</v>
      </c>
      <c r="E1016" s="45" t="s">
        <v>9808</v>
      </c>
      <c r="F1016" s="45" t="s">
        <v>9830</v>
      </c>
      <c r="G1016" s="12" t="s">
        <v>9831</v>
      </c>
      <c r="H1016" t="s">
        <v>9832</v>
      </c>
    </row>
    <row r="1017" spans="1:8" x14ac:dyDescent="0.45">
      <c r="A1017" s="53" t="s">
        <v>6773</v>
      </c>
      <c r="B1017" s="54" t="s">
        <v>6774</v>
      </c>
      <c r="C1017" t="s">
        <v>9807</v>
      </c>
      <c r="E1017" s="45" t="s">
        <v>9808</v>
      </c>
      <c r="F1017" s="45" t="s">
        <v>9809</v>
      </c>
      <c r="G1017" s="12" t="s">
        <v>9810</v>
      </c>
      <c r="H1017" t="s">
        <v>9811</v>
      </c>
    </row>
    <row r="1018" spans="1:8" x14ac:dyDescent="0.45">
      <c r="A1018" s="53" t="s">
        <v>6773</v>
      </c>
      <c r="B1018" s="54" t="s">
        <v>6774</v>
      </c>
      <c r="C1018" t="s">
        <v>9807</v>
      </c>
      <c r="E1018" s="45" t="s">
        <v>9808</v>
      </c>
      <c r="F1018" s="45" t="s">
        <v>9812</v>
      </c>
      <c r="G1018" s="12" t="s">
        <v>9813</v>
      </c>
      <c r="H1018" t="s">
        <v>9814</v>
      </c>
    </row>
    <row r="1019" spans="1:8" x14ac:dyDescent="0.45">
      <c r="A1019" s="53" t="s">
        <v>6773</v>
      </c>
      <c r="B1019" s="54" t="s">
        <v>6774</v>
      </c>
      <c r="C1019" t="s">
        <v>9807</v>
      </c>
      <c r="E1019" s="45" t="s">
        <v>9808</v>
      </c>
      <c r="F1019" s="45" t="s">
        <v>9815</v>
      </c>
      <c r="G1019" s="12" t="s">
        <v>9816</v>
      </c>
      <c r="H1019" t="s">
        <v>9817</v>
      </c>
    </row>
    <row r="1020" spans="1:8" x14ac:dyDescent="0.45">
      <c r="A1020" s="53" t="s">
        <v>6773</v>
      </c>
      <c r="B1020" s="54" t="s">
        <v>6774</v>
      </c>
      <c r="C1020" t="s">
        <v>9807</v>
      </c>
      <c r="E1020" s="45" t="s">
        <v>9808</v>
      </c>
      <c r="F1020" s="45" t="s">
        <v>9818</v>
      </c>
      <c r="G1020" s="12" t="s">
        <v>9819</v>
      </c>
      <c r="H1020" t="s">
        <v>9820</v>
      </c>
    </row>
    <row r="1021" spans="1:8" x14ac:dyDescent="0.45">
      <c r="A1021" s="53" t="s">
        <v>6773</v>
      </c>
      <c r="B1021" s="54" t="s">
        <v>6774</v>
      </c>
      <c r="C1021" t="s">
        <v>9807</v>
      </c>
      <c r="E1021" s="45" t="s">
        <v>9808</v>
      </c>
      <c r="F1021" s="45" t="s">
        <v>9821</v>
      </c>
      <c r="G1021" s="12" t="s">
        <v>9822</v>
      </c>
      <c r="H1021" t="s">
        <v>9823</v>
      </c>
    </row>
    <row r="1022" spans="1:8" x14ac:dyDescent="0.45">
      <c r="A1022" s="53" t="s">
        <v>6773</v>
      </c>
      <c r="B1022" s="54" t="s">
        <v>6774</v>
      </c>
      <c r="C1022" t="s">
        <v>9807</v>
      </c>
      <c r="E1022" s="45" t="s">
        <v>9808</v>
      </c>
      <c r="F1022" s="45" t="s">
        <v>9824</v>
      </c>
      <c r="G1022" s="12" t="s">
        <v>9825</v>
      </c>
      <c r="H1022" t="s">
        <v>9826</v>
      </c>
    </row>
    <row r="1023" spans="1:8" x14ac:dyDescent="0.45">
      <c r="A1023" s="53" t="s">
        <v>6773</v>
      </c>
      <c r="B1023" s="54" t="s">
        <v>6774</v>
      </c>
      <c r="C1023" t="s">
        <v>9807</v>
      </c>
      <c r="E1023" s="45" t="s">
        <v>9808</v>
      </c>
      <c r="F1023" s="45" t="s">
        <v>9827</v>
      </c>
      <c r="G1023" s="12" t="s">
        <v>9828</v>
      </c>
      <c r="H1023" t="s">
        <v>9829</v>
      </c>
    </row>
    <row r="1024" spans="1:8" x14ac:dyDescent="0.45">
      <c r="A1024" s="53" t="s">
        <v>6773</v>
      </c>
      <c r="B1024" s="54" t="s">
        <v>6774</v>
      </c>
      <c r="C1024" t="s">
        <v>9807</v>
      </c>
      <c r="E1024" s="45" t="s">
        <v>9808</v>
      </c>
      <c r="F1024" s="45" t="s">
        <v>9830</v>
      </c>
      <c r="G1024" s="12" t="s">
        <v>9831</v>
      </c>
      <c r="H1024" t="s">
        <v>9832</v>
      </c>
    </row>
    <row r="1025" spans="1:8" x14ac:dyDescent="0.45">
      <c r="A1025" s="53" t="s">
        <v>4844</v>
      </c>
      <c r="B1025" s="54" t="s">
        <v>4845</v>
      </c>
      <c r="C1025" t="s">
        <v>8952</v>
      </c>
      <c r="E1025" s="45" t="s">
        <v>8954</v>
      </c>
      <c r="F1025" s="45" t="s">
        <v>8953</v>
      </c>
      <c r="G1025" t="s">
        <v>3264</v>
      </c>
      <c r="H1025" t="s">
        <v>3551</v>
      </c>
    </row>
    <row r="1026" spans="1:8" x14ac:dyDescent="0.45">
      <c r="A1026" s="53" t="s">
        <v>4846</v>
      </c>
      <c r="B1026" s="54" t="s">
        <v>4847</v>
      </c>
      <c r="C1026" t="s">
        <v>8952</v>
      </c>
      <c r="E1026" s="45" t="s">
        <v>8954</v>
      </c>
      <c r="F1026" s="45" t="s">
        <v>8953</v>
      </c>
      <c r="G1026" t="s">
        <v>3264</v>
      </c>
      <c r="H1026" t="s">
        <v>3551</v>
      </c>
    </row>
    <row r="1027" spans="1:8" x14ac:dyDescent="0.45">
      <c r="A1027" s="53" t="s">
        <v>7946</v>
      </c>
      <c r="B1027" s="54" t="s">
        <v>7947</v>
      </c>
      <c r="C1027" t="s">
        <v>10195</v>
      </c>
      <c r="E1027" s="45" t="s">
        <v>10196</v>
      </c>
      <c r="F1027" s="45" t="s">
        <v>10197</v>
      </c>
      <c r="G1027" s="12" t="s">
        <v>3265</v>
      </c>
      <c r="H1027" t="s">
        <v>3552</v>
      </c>
    </row>
    <row r="1028" spans="1:8" x14ac:dyDescent="0.45">
      <c r="A1028" s="53" t="s">
        <v>7916</v>
      </c>
      <c r="B1028" s="54" t="s">
        <v>7917</v>
      </c>
      <c r="C1028" t="s">
        <v>10174</v>
      </c>
      <c r="E1028" s="45" t="s">
        <v>10175</v>
      </c>
      <c r="F1028" s="45" t="s">
        <v>10176</v>
      </c>
      <c r="G1028" s="12" t="s">
        <v>3266</v>
      </c>
      <c r="H1028" t="s">
        <v>3553</v>
      </c>
    </row>
    <row r="1029" spans="1:8" x14ac:dyDescent="0.45">
      <c r="A1029" s="53" t="s">
        <v>4162</v>
      </c>
      <c r="B1029" s="54" t="s">
        <v>4163</v>
      </c>
      <c r="C1029" t="s">
        <v>8609</v>
      </c>
      <c r="E1029" s="45" t="s">
        <v>8610</v>
      </c>
      <c r="F1029" s="45" t="s">
        <v>8611</v>
      </c>
      <c r="G1029" t="s">
        <v>3267</v>
      </c>
      <c r="H1029" t="s">
        <v>3554</v>
      </c>
    </row>
    <row r="1030" spans="1:8" x14ac:dyDescent="0.45">
      <c r="A1030" s="53" t="s">
        <v>8195</v>
      </c>
      <c r="B1030" s="54" t="s">
        <v>8196</v>
      </c>
      <c r="C1030" t="s">
        <v>10264</v>
      </c>
      <c r="E1030" s="45" t="s">
        <v>10265</v>
      </c>
      <c r="F1030" s="45" t="s">
        <v>10266</v>
      </c>
      <c r="G1030" s="12" t="s">
        <v>3268</v>
      </c>
      <c r="H1030" t="s">
        <v>3555</v>
      </c>
    </row>
    <row r="1031" spans="1:8" x14ac:dyDescent="0.45">
      <c r="A1031" s="53" t="s">
        <v>8339</v>
      </c>
      <c r="B1031" s="54" t="s">
        <v>8340</v>
      </c>
      <c r="C1031" t="s">
        <v>10304</v>
      </c>
      <c r="E1031" s="45" t="s">
        <v>10305</v>
      </c>
      <c r="F1031" s="45" t="s">
        <v>10306</v>
      </c>
      <c r="G1031" s="59" t="s">
        <v>3269</v>
      </c>
      <c r="H1031" s="12" t="s">
        <v>3556</v>
      </c>
    </row>
    <row r="1032" spans="1:8" x14ac:dyDescent="0.45">
      <c r="A1032" s="53" t="s">
        <v>5664</v>
      </c>
      <c r="B1032" s="54" t="s">
        <v>5665</v>
      </c>
      <c r="C1032" t="s">
        <v>9242</v>
      </c>
      <c r="E1032" s="45" t="s">
        <v>9243</v>
      </c>
      <c r="F1032" s="45" t="s">
        <v>9244</v>
      </c>
      <c r="G1032" s="12" t="s">
        <v>3270</v>
      </c>
      <c r="H1032" t="s">
        <v>3557</v>
      </c>
    </row>
    <row r="1033" spans="1:8" x14ac:dyDescent="0.45">
      <c r="A1033" s="53" t="s">
        <v>5668</v>
      </c>
      <c r="B1033" s="54" t="s">
        <v>5669</v>
      </c>
      <c r="C1033" t="s">
        <v>9242</v>
      </c>
      <c r="E1033" s="45" t="s">
        <v>9243</v>
      </c>
      <c r="F1033" s="45" t="s">
        <v>9244</v>
      </c>
      <c r="G1033" t="s">
        <v>3270</v>
      </c>
      <c r="H1033" t="s">
        <v>3557</v>
      </c>
    </row>
    <row r="1034" spans="1:8" x14ac:dyDescent="0.45">
      <c r="A1034" s="53" t="s">
        <v>8218</v>
      </c>
      <c r="B1034" s="54" t="s">
        <v>8219</v>
      </c>
      <c r="C1034" t="s">
        <v>10270</v>
      </c>
      <c r="E1034" s="45" t="s">
        <v>10271</v>
      </c>
      <c r="F1034" s="45" t="s">
        <v>10272</v>
      </c>
      <c r="G1034" s="12" t="s">
        <v>10273</v>
      </c>
      <c r="H1034" t="s">
        <v>10274</v>
      </c>
    </row>
    <row r="1035" spans="1:8" x14ac:dyDescent="0.45">
      <c r="A1035" s="53" t="s">
        <v>5504</v>
      </c>
      <c r="B1035" s="54" t="s">
        <v>5505</v>
      </c>
      <c r="C1035" t="s">
        <v>9176</v>
      </c>
      <c r="E1035" s="45" t="s">
        <v>9175</v>
      </c>
      <c r="F1035" s="45" t="s">
        <v>9177</v>
      </c>
      <c r="G1035" t="s">
        <v>9178</v>
      </c>
      <c r="H1035" t="s">
        <v>9179</v>
      </c>
    </row>
    <row r="1036" spans="1:8" x14ac:dyDescent="0.45">
      <c r="A1036" s="53" t="s">
        <v>7051</v>
      </c>
      <c r="B1036" s="54" t="s">
        <v>7052</v>
      </c>
      <c r="C1036" t="s">
        <v>9934</v>
      </c>
      <c r="E1036" s="45" t="s">
        <v>9935</v>
      </c>
      <c r="F1036" s="45" t="s">
        <v>9936</v>
      </c>
      <c r="G1036" s="12" t="s">
        <v>3271</v>
      </c>
      <c r="H1036" t="s">
        <v>3558</v>
      </c>
    </row>
    <row r="1037" spans="1:8" x14ac:dyDescent="0.45">
      <c r="A1037" s="53" t="s">
        <v>4022</v>
      </c>
      <c r="B1037" s="54" t="s">
        <v>4023</v>
      </c>
      <c r="C1037" t="s">
        <v>8537</v>
      </c>
      <c r="E1037" s="45" t="s">
        <v>8538</v>
      </c>
      <c r="F1037" s="45" t="s">
        <v>8539</v>
      </c>
      <c r="G1037" t="s">
        <v>3272</v>
      </c>
      <c r="H1037" t="s">
        <v>3559</v>
      </c>
    </row>
    <row r="1038" spans="1:8" x14ac:dyDescent="0.45">
      <c r="A1038" s="53" t="s">
        <v>5098</v>
      </c>
      <c r="B1038" s="54" t="s">
        <v>5099</v>
      </c>
      <c r="C1038" t="s">
        <v>9037</v>
      </c>
      <c r="E1038" s="45" t="s">
        <v>9038</v>
      </c>
      <c r="F1038" s="45" t="s">
        <v>9039</v>
      </c>
      <c r="G1038" t="s">
        <v>3273</v>
      </c>
      <c r="H1038" t="s">
        <v>3560</v>
      </c>
    </row>
    <row r="1039" spans="1:8" x14ac:dyDescent="0.45">
      <c r="A1039" s="53" t="s">
        <v>6910</v>
      </c>
      <c r="B1039" s="54" t="s">
        <v>6911</v>
      </c>
      <c r="C1039" t="s">
        <v>9857</v>
      </c>
      <c r="E1039" s="45" t="s">
        <v>9858</v>
      </c>
      <c r="F1039" s="45" t="s">
        <v>9859</v>
      </c>
      <c r="G1039" s="12" t="s">
        <v>3274</v>
      </c>
      <c r="H1039" t="s">
        <v>3561</v>
      </c>
    </row>
    <row r="1040" spans="1:8" x14ac:dyDescent="0.45">
      <c r="A1040" s="53" t="s">
        <v>5239</v>
      </c>
      <c r="B1040" s="54" t="s">
        <v>5240</v>
      </c>
      <c r="C1040" t="s">
        <v>9082</v>
      </c>
      <c r="E1040" s="45" t="s">
        <v>9083</v>
      </c>
      <c r="F1040" s="45" t="s">
        <v>9084</v>
      </c>
      <c r="G1040" t="s">
        <v>3275</v>
      </c>
      <c r="H1040" t="s">
        <v>3562</v>
      </c>
    </row>
    <row r="1041" spans="1:8" x14ac:dyDescent="0.45">
      <c r="A1041" s="53" t="s">
        <v>7226</v>
      </c>
      <c r="B1041" s="54" t="s">
        <v>7227</v>
      </c>
      <c r="C1041" t="s">
        <v>10010</v>
      </c>
      <c r="E1041" s="45" t="s">
        <v>10011</v>
      </c>
      <c r="F1041" s="45" t="s">
        <v>10012</v>
      </c>
      <c r="G1041" t="s">
        <v>3276</v>
      </c>
      <c r="H1041" t="s">
        <v>3563</v>
      </c>
    </row>
    <row r="1042" spans="1:8" x14ac:dyDescent="0.45">
      <c r="A1042" s="53" t="s">
        <v>6173</v>
      </c>
      <c r="B1042" s="54" t="s">
        <v>6174</v>
      </c>
      <c r="C1042" t="s">
        <v>9384</v>
      </c>
      <c r="E1042" s="45" t="s">
        <v>9385</v>
      </c>
      <c r="F1042" s="45" t="s">
        <v>9386</v>
      </c>
      <c r="G1042" s="12" t="s">
        <v>3277</v>
      </c>
      <c r="H1042" t="s">
        <v>3564</v>
      </c>
    </row>
    <row r="1043" spans="1:8" x14ac:dyDescent="0.45">
      <c r="A1043" s="53" t="s">
        <v>5039</v>
      </c>
      <c r="B1043" s="54" t="s">
        <v>5040</v>
      </c>
      <c r="C1043" t="s">
        <v>8998</v>
      </c>
      <c r="E1043" s="45" t="s">
        <v>8999</v>
      </c>
      <c r="F1043" s="45" t="s">
        <v>9000</v>
      </c>
      <c r="G1043" t="s">
        <v>3278</v>
      </c>
      <c r="H1043" t="s">
        <v>3565</v>
      </c>
    </row>
    <row r="1044" spans="1:8" x14ac:dyDescent="0.45">
      <c r="A1044" s="53" t="s">
        <v>4392</v>
      </c>
      <c r="B1044" s="54" t="s">
        <v>4393</v>
      </c>
      <c r="C1044" t="s">
        <v>8639</v>
      </c>
      <c r="E1044" s="45" t="s">
        <v>8640</v>
      </c>
      <c r="F1044" s="45" t="s">
        <v>8641</v>
      </c>
      <c r="G1044" s="12" t="s">
        <v>3279</v>
      </c>
      <c r="H1044" t="s">
        <v>3566</v>
      </c>
    </row>
    <row r="1045" spans="1:8" x14ac:dyDescent="0.45">
      <c r="A1045" s="53" t="s">
        <v>7429</v>
      </c>
      <c r="B1045" s="54" t="s">
        <v>7430</v>
      </c>
      <c r="C1045" t="s">
        <v>10052</v>
      </c>
      <c r="E1045" s="45" t="s">
        <v>10053</v>
      </c>
      <c r="F1045" s="45" t="s">
        <v>10054</v>
      </c>
      <c r="G1045" s="12" t="s">
        <v>3280</v>
      </c>
      <c r="H1045" t="s">
        <v>3567</v>
      </c>
    </row>
    <row r="1046" spans="1:8" x14ac:dyDescent="0.45">
      <c r="A1046" s="53" t="s">
        <v>6356</v>
      </c>
      <c r="B1046" s="54" t="s">
        <v>6357</v>
      </c>
      <c r="C1046" t="s">
        <v>9515</v>
      </c>
    </row>
    <row r="1047" spans="1:8" x14ac:dyDescent="0.45">
      <c r="A1047" s="53" t="s">
        <v>5180</v>
      </c>
      <c r="B1047" s="54" t="s">
        <v>5181</v>
      </c>
      <c r="C1047" t="s">
        <v>9057</v>
      </c>
      <c r="E1047" s="45" t="s">
        <v>9058</v>
      </c>
      <c r="F1047" s="45" t="s">
        <v>9059</v>
      </c>
      <c r="G1047" t="s">
        <v>3282</v>
      </c>
      <c r="H1047" t="s">
        <v>3569</v>
      </c>
    </row>
    <row r="1048" spans="1:8" x14ac:dyDescent="0.45">
      <c r="A1048" s="53" t="s">
        <v>5180</v>
      </c>
      <c r="B1048" s="54" t="s">
        <v>5181</v>
      </c>
      <c r="C1048" t="s">
        <v>9057</v>
      </c>
      <c r="E1048" s="45" t="s">
        <v>9058</v>
      </c>
      <c r="F1048" s="45" t="s">
        <v>9060</v>
      </c>
      <c r="G1048" t="s">
        <v>3281</v>
      </c>
      <c r="H1048" t="s">
        <v>3568</v>
      </c>
    </row>
    <row r="1049" spans="1:8" x14ac:dyDescent="0.45">
      <c r="A1049" s="53" t="s">
        <v>5178</v>
      </c>
      <c r="B1049" s="54" t="s">
        <v>5179</v>
      </c>
      <c r="C1049" t="s">
        <v>9052</v>
      </c>
      <c r="E1049" s="45" t="s">
        <v>9053</v>
      </c>
      <c r="F1049" s="45" t="s">
        <v>9054</v>
      </c>
      <c r="G1049" t="s">
        <v>9055</v>
      </c>
      <c r="H1049" t="s">
        <v>9056</v>
      </c>
    </row>
    <row r="1050" spans="1:8" x14ac:dyDescent="0.45">
      <c r="A1050" s="53" t="s">
        <v>6113</v>
      </c>
      <c r="B1050" s="54" t="s">
        <v>6114</v>
      </c>
      <c r="C1050" t="s">
        <v>9362</v>
      </c>
      <c r="E1050" s="45" t="s">
        <v>9363</v>
      </c>
      <c r="F1050" s="45" t="s">
        <v>9364</v>
      </c>
      <c r="G1050" t="s">
        <v>3283</v>
      </c>
      <c r="H1050" t="s">
        <v>3570</v>
      </c>
    </row>
    <row r="1051" spans="1:8" x14ac:dyDescent="0.45">
      <c r="A1051" s="53" t="s">
        <v>3674</v>
      </c>
      <c r="B1051" s="54" t="s">
        <v>3675</v>
      </c>
      <c r="C1051" t="s">
        <v>8399</v>
      </c>
      <c r="E1051" s="45" t="s">
        <v>8400</v>
      </c>
      <c r="F1051" s="45" t="s">
        <v>8401</v>
      </c>
      <c r="G1051" t="s">
        <v>3284</v>
      </c>
      <c r="H1051" t="s">
        <v>3571</v>
      </c>
    </row>
    <row r="1052" spans="1:8" x14ac:dyDescent="0.45">
      <c r="A1052" s="53" t="s">
        <v>7520</v>
      </c>
      <c r="B1052" s="54" t="s">
        <v>7521</v>
      </c>
      <c r="C1052" t="s">
        <v>10090</v>
      </c>
      <c r="E1052" s="45" t="s">
        <v>10091</v>
      </c>
      <c r="F1052" s="45" t="s">
        <v>10092</v>
      </c>
      <c r="G1052" s="12" t="s">
        <v>10093</v>
      </c>
      <c r="H1052" t="s">
        <v>10094</v>
      </c>
    </row>
    <row r="1053" spans="1:8" x14ac:dyDescent="0.45">
      <c r="A1053" s="53" t="s">
        <v>7611</v>
      </c>
      <c r="B1053" s="54" t="s">
        <v>7612</v>
      </c>
      <c r="C1053" t="s">
        <v>10109</v>
      </c>
      <c r="E1053" s="45" t="s">
        <v>10108</v>
      </c>
      <c r="F1053" s="45" t="s">
        <v>10110</v>
      </c>
      <c r="G1053" s="12" t="s">
        <v>3285</v>
      </c>
      <c r="H1053" t="s">
        <v>3572</v>
      </c>
    </row>
    <row r="1054" spans="1:8" x14ac:dyDescent="0.45">
      <c r="A1054" s="53" t="s">
        <v>5073</v>
      </c>
      <c r="B1054" s="54" t="s">
        <v>5074</v>
      </c>
      <c r="C1054" t="s">
        <v>9021</v>
      </c>
      <c r="E1054" s="45" t="s">
        <v>9022</v>
      </c>
      <c r="F1054" s="45" t="s">
        <v>9023</v>
      </c>
      <c r="G1054" t="s">
        <v>3286</v>
      </c>
      <c r="H1054" t="s">
        <v>3573</v>
      </c>
    </row>
    <row r="1055" spans="1:8" x14ac:dyDescent="0.45">
      <c r="A1055" s="53" t="s">
        <v>3681</v>
      </c>
      <c r="B1055" s="54" t="s">
        <v>3682</v>
      </c>
      <c r="C1055" t="s">
        <v>8409</v>
      </c>
      <c r="E1055" s="45" t="s">
        <v>8410</v>
      </c>
      <c r="F1055" s="10" t="s">
        <v>8411</v>
      </c>
      <c r="G1055" t="s">
        <v>3287</v>
      </c>
      <c r="H1055" t="s">
        <v>3574</v>
      </c>
    </row>
    <row r="1056" spans="1:8" x14ac:dyDescent="0.45">
      <c r="A1056" s="53" t="s">
        <v>4134</v>
      </c>
      <c r="B1056" s="54" t="s">
        <v>4135</v>
      </c>
      <c r="C1056" t="s">
        <v>8585</v>
      </c>
      <c r="E1056" s="10" t="s">
        <v>8586</v>
      </c>
      <c r="F1056" s="45" t="s">
        <v>8587</v>
      </c>
      <c r="G1056" s="12" t="s">
        <v>3288</v>
      </c>
      <c r="H1056" t="s">
        <v>3575</v>
      </c>
    </row>
    <row r="1057" spans="1:8" x14ac:dyDescent="0.45">
      <c r="A1057" s="53" t="s">
        <v>3692</v>
      </c>
      <c r="B1057" s="54" t="s">
        <v>3693</v>
      </c>
      <c r="C1057" t="s">
        <v>8423</v>
      </c>
      <c r="E1057" s="45" t="s">
        <v>8424</v>
      </c>
      <c r="F1057" s="45" t="s">
        <v>8425</v>
      </c>
      <c r="G1057" t="s">
        <v>3289</v>
      </c>
      <c r="H1057" t="s">
        <v>3576</v>
      </c>
    </row>
    <row r="1058" spans="1:8" x14ac:dyDescent="0.45">
      <c r="A1058" s="53" t="s">
        <v>5265</v>
      </c>
      <c r="B1058" s="54" t="s">
        <v>5266</v>
      </c>
      <c r="C1058" t="s">
        <v>9092</v>
      </c>
      <c r="E1058" s="45" t="s">
        <v>9093</v>
      </c>
      <c r="F1058" s="45" t="s">
        <v>9094</v>
      </c>
      <c r="G1058" s="12" t="s">
        <v>9095</v>
      </c>
      <c r="H1058" t="s">
        <v>9096</v>
      </c>
    </row>
    <row r="1059" spans="1:8" x14ac:dyDescent="0.45">
      <c r="A1059" s="53" t="s">
        <v>5265</v>
      </c>
      <c r="B1059" s="54" t="s">
        <v>5266</v>
      </c>
      <c r="C1059" t="s">
        <v>9092</v>
      </c>
      <c r="E1059" s="45" t="s">
        <v>9093</v>
      </c>
      <c r="F1059" s="45" t="s">
        <v>9099</v>
      </c>
      <c r="G1059" t="s">
        <v>9097</v>
      </c>
      <c r="H1059" t="s">
        <v>9098</v>
      </c>
    </row>
    <row r="1060" spans="1:8" x14ac:dyDescent="0.45">
      <c r="A1060" s="53" t="s">
        <v>5265</v>
      </c>
      <c r="B1060" s="54" t="s">
        <v>5266</v>
      </c>
      <c r="C1060" t="s">
        <v>9092</v>
      </c>
      <c r="E1060" s="45" t="s">
        <v>9093</v>
      </c>
      <c r="F1060" s="45" t="s">
        <v>9100</v>
      </c>
      <c r="G1060" t="s">
        <v>9101</v>
      </c>
      <c r="H1060" t="s">
        <v>9102</v>
      </c>
    </row>
    <row r="1061" spans="1:8" x14ac:dyDescent="0.45">
      <c r="A1061" s="53" t="s">
        <v>3696</v>
      </c>
      <c r="B1061" s="54" t="s">
        <v>3697</v>
      </c>
      <c r="C1061" t="s">
        <v>8432</v>
      </c>
      <c r="E1061" s="10" t="s">
        <v>8433</v>
      </c>
      <c r="F1061" s="45" t="s">
        <v>8434</v>
      </c>
      <c r="G1061" s="12" t="s">
        <v>3290</v>
      </c>
      <c r="H1061" t="s">
        <v>3577</v>
      </c>
    </row>
    <row r="1062" spans="1:8" x14ac:dyDescent="0.45">
      <c r="A1062" s="53" t="s">
        <v>3628</v>
      </c>
      <c r="B1062" s="54" t="s">
        <v>3629</v>
      </c>
      <c r="C1062" t="s">
        <v>8381</v>
      </c>
      <c r="E1062" s="10" t="s">
        <v>8382</v>
      </c>
      <c r="F1062" t="s">
        <v>8412</v>
      </c>
      <c r="G1062" t="s">
        <v>3291</v>
      </c>
      <c r="H1062" t="s">
        <v>3578</v>
      </c>
    </row>
    <row r="1063" spans="1:8" x14ac:dyDescent="0.45">
      <c r="A1063" s="53" t="s">
        <v>7768</v>
      </c>
      <c r="B1063" s="54" t="s">
        <v>7769</v>
      </c>
      <c r="C1063" t="s">
        <v>10148</v>
      </c>
      <c r="E1063" s="45" t="s">
        <v>10149</v>
      </c>
      <c r="F1063" s="45" t="s">
        <v>9414</v>
      </c>
      <c r="G1063" s="12" t="s">
        <v>3242</v>
      </c>
      <c r="H1063" t="s">
        <v>3521</v>
      </c>
    </row>
    <row r="1064" spans="1:8" x14ac:dyDescent="0.45">
      <c r="A1064" s="53" t="s">
        <v>7768</v>
      </c>
      <c r="B1064" s="54" t="s">
        <v>7769</v>
      </c>
      <c r="C1064" t="s">
        <v>10148</v>
      </c>
      <c r="E1064" s="45" t="s">
        <v>10149</v>
      </c>
      <c r="F1064" s="45" t="s">
        <v>10150</v>
      </c>
      <c r="G1064" t="s">
        <v>3292</v>
      </c>
      <c r="H1064" t="s">
        <v>3579</v>
      </c>
    </row>
    <row r="1065" spans="1:8" x14ac:dyDescent="0.45">
      <c r="A1065" s="53" t="s">
        <v>7768</v>
      </c>
      <c r="B1065" s="54" t="s">
        <v>7769</v>
      </c>
      <c r="C1065" t="s">
        <v>10148</v>
      </c>
      <c r="E1065" s="45" t="s">
        <v>10149</v>
      </c>
      <c r="F1065" s="45" t="s">
        <v>10151</v>
      </c>
      <c r="G1065" s="12" t="s">
        <v>3293</v>
      </c>
      <c r="H1065" t="s">
        <v>10152</v>
      </c>
    </row>
    <row r="1066" spans="1:8" x14ac:dyDescent="0.45">
      <c r="A1066" s="53" t="s">
        <v>7431</v>
      </c>
      <c r="B1066" s="54" t="s">
        <v>7432</v>
      </c>
      <c r="C1066" t="s">
        <v>10055</v>
      </c>
      <c r="E1066" s="45" t="s">
        <v>10056</v>
      </c>
      <c r="F1066" s="45" t="s">
        <v>10057</v>
      </c>
      <c r="G1066" s="12" t="s">
        <v>3294</v>
      </c>
      <c r="H1066" t="s">
        <v>3580</v>
      </c>
    </row>
    <row r="1067" spans="1:8" x14ac:dyDescent="0.45">
      <c r="A1067" s="53" t="s">
        <v>6115</v>
      </c>
      <c r="B1067" s="54" t="s">
        <v>6116</v>
      </c>
      <c r="C1067" t="s">
        <v>9365</v>
      </c>
      <c r="E1067" s="45" t="s">
        <v>9366</v>
      </c>
      <c r="F1067" s="45" t="s">
        <v>9367</v>
      </c>
      <c r="G1067" s="12" t="s">
        <v>3295</v>
      </c>
      <c r="H1067" t="s">
        <v>3581</v>
      </c>
    </row>
    <row r="1068" spans="1:8" x14ac:dyDescent="0.45">
      <c r="A1068" s="53" t="s">
        <v>8072</v>
      </c>
      <c r="B1068" s="54" t="s">
        <v>8073</v>
      </c>
      <c r="C1068" t="s">
        <v>10236</v>
      </c>
      <c r="E1068" s="45" t="s">
        <v>10237</v>
      </c>
      <c r="F1068" s="45" t="s">
        <v>10238</v>
      </c>
      <c r="G1068" s="12" t="s">
        <v>3296</v>
      </c>
      <c r="H1068" t="s">
        <v>3582</v>
      </c>
    </row>
    <row r="1069" spans="1:8" x14ac:dyDescent="0.45">
      <c r="A1069" s="53" t="s">
        <v>4623</v>
      </c>
      <c r="B1069" s="54" t="s">
        <v>4624</v>
      </c>
      <c r="C1069" t="s">
        <v>8718</v>
      </c>
    </row>
    <row r="1070" spans="1:8" x14ac:dyDescent="0.45">
      <c r="A1070" s="53" t="s">
        <v>6646</v>
      </c>
      <c r="B1070" s="54" t="s">
        <v>6647</v>
      </c>
      <c r="C1070" t="s">
        <v>9756</v>
      </c>
      <c r="E1070" s="45" t="s">
        <v>9757</v>
      </c>
      <c r="F1070" s="45" t="s">
        <v>9414</v>
      </c>
      <c r="G1070" s="12" t="s">
        <v>3242</v>
      </c>
      <c r="H1070" t="s">
        <v>3521</v>
      </c>
    </row>
    <row r="1071" spans="1:8" x14ac:dyDescent="0.45">
      <c r="A1071" s="53" t="s">
        <v>6646</v>
      </c>
      <c r="B1071" s="54" t="s">
        <v>6647</v>
      </c>
      <c r="C1071" t="s">
        <v>9756</v>
      </c>
      <c r="E1071" s="45" t="s">
        <v>9757</v>
      </c>
      <c r="F1071" s="45" t="s">
        <v>9760</v>
      </c>
      <c r="G1071" s="12" t="s">
        <v>9761</v>
      </c>
      <c r="H1071" t="s">
        <v>9762</v>
      </c>
    </row>
    <row r="1072" spans="1:8" x14ac:dyDescent="0.45">
      <c r="A1072" s="53" t="s">
        <v>6646</v>
      </c>
      <c r="B1072" s="54" t="s">
        <v>6647</v>
      </c>
      <c r="C1072" t="s">
        <v>9756</v>
      </c>
      <c r="E1072" s="45" t="s">
        <v>9757</v>
      </c>
      <c r="F1072" s="45" t="s">
        <v>9763</v>
      </c>
      <c r="G1072" s="12" t="s">
        <v>9764</v>
      </c>
      <c r="H1072" t="s">
        <v>9765</v>
      </c>
    </row>
    <row r="1073" spans="1:8" x14ac:dyDescent="0.45">
      <c r="A1073" s="53" t="s">
        <v>6646</v>
      </c>
      <c r="B1073" s="54" t="s">
        <v>6647</v>
      </c>
      <c r="C1073" t="s">
        <v>9756</v>
      </c>
      <c r="E1073" s="45" t="s">
        <v>9757</v>
      </c>
      <c r="F1073" s="45" t="s">
        <v>9766</v>
      </c>
      <c r="G1073" s="12" t="s">
        <v>9767</v>
      </c>
      <c r="H1073" t="s">
        <v>9768</v>
      </c>
    </row>
    <row r="1074" spans="1:8" x14ac:dyDescent="0.45">
      <c r="A1074" s="53" t="s">
        <v>6650</v>
      </c>
      <c r="B1074" s="54" t="s">
        <v>6651</v>
      </c>
      <c r="C1074" t="s">
        <v>9756</v>
      </c>
      <c r="E1074" s="45" t="s">
        <v>9757</v>
      </c>
      <c r="F1074" s="45" t="s">
        <v>9414</v>
      </c>
      <c r="G1074" s="12" t="s">
        <v>3242</v>
      </c>
      <c r="H1074" t="s">
        <v>3521</v>
      </c>
    </row>
    <row r="1075" spans="1:8" x14ac:dyDescent="0.45">
      <c r="A1075" s="53" t="s">
        <v>6650</v>
      </c>
      <c r="B1075" s="54" t="s">
        <v>6651</v>
      </c>
      <c r="C1075" t="s">
        <v>9756</v>
      </c>
      <c r="E1075" s="45" t="s">
        <v>9757</v>
      </c>
      <c r="F1075" s="45" t="s">
        <v>9760</v>
      </c>
      <c r="G1075" s="12" t="s">
        <v>9761</v>
      </c>
      <c r="H1075" t="s">
        <v>9762</v>
      </c>
    </row>
    <row r="1076" spans="1:8" x14ac:dyDescent="0.45">
      <c r="A1076" s="53" t="s">
        <v>6650</v>
      </c>
      <c r="B1076" s="54" t="s">
        <v>6651</v>
      </c>
      <c r="C1076" t="s">
        <v>9756</v>
      </c>
      <c r="E1076" s="45" t="s">
        <v>9757</v>
      </c>
      <c r="F1076" s="45" t="s">
        <v>9763</v>
      </c>
      <c r="G1076" s="12" t="s">
        <v>9764</v>
      </c>
      <c r="H1076" t="s">
        <v>9765</v>
      </c>
    </row>
    <row r="1077" spans="1:8" x14ac:dyDescent="0.45">
      <c r="A1077" s="53" t="s">
        <v>6650</v>
      </c>
      <c r="B1077" s="54" t="s">
        <v>6651</v>
      </c>
      <c r="C1077" t="s">
        <v>9756</v>
      </c>
      <c r="E1077" s="45" t="s">
        <v>9757</v>
      </c>
      <c r="F1077" s="45" t="s">
        <v>9766</v>
      </c>
      <c r="G1077" s="12" t="s">
        <v>9767</v>
      </c>
      <c r="H1077" t="s">
        <v>9768</v>
      </c>
    </row>
    <row r="1078" spans="1:8" x14ac:dyDescent="0.45">
      <c r="A1078" s="53" t="s">
        <v>6226</v>
      </c>
      <c r="B1078" s="54" t="s">
        <v>6227</v>
      </c>
      <c r="C1078" t="s">
        <v>9412</v>
      </c>
      <c r="E1078" s="45" t="s">
        <v>9413</v>
      </c>
      <c r="F1078" s="45" t="s">
        <v>9414</v>
      </c>
      <c r="G1078" s="12" t="s">
        <v>3242</v>
      </c>
      <c r="H1078" t="s">
        <v>3521</v>
      </c>
    </row>
    <row r="1079" spans="1:8" x14ac:dyDescent="0.45">
      <c r="A1079" s="53" t="s">
        <v>6226</v>
      </c>
      <c r="B1079" s="54" t="s">
        <v>6227</v>
      </c>
      <c r="C1079" t="s">
        <v>9412</v>
      </c>
      <c r="E1079" s="45" t="s">
        <v>9413</v>
      </c>
      <c r="F1079" s="45" t="s">
        <v>9415</v>
      </c>
      <c r="G1079" s="12" t="s">
        <v>3297</v>
      </c>
      <c r="H1079" t="s">
        <v>3583</v>
      </c>
    </row>
    <row r="1080" spans="1:8" x14ac:dyDescent="0.45">
      <c r="A1080" s="53" t="s">
        <v>6226</v>
      </c>
      <c r="B1080" s="54" t="s">
        <v>6227</v>
      </c>
      <c r="C1080" t="s">
        <v>9412</v>
      </c>
      <c r="E1080" s="45" t="s">
        <v>9413</v>
      </c>
      <c r="F1080" s="45" t="s">
        <v>9416</v>
      </c>
      <c r="G1080" s="12" t="s">
        <v>3298</v>
      </c>
      <c r="H1080" t="s">
        <v>3584</v>
      </c>
    </row>
    <row r="1081" spans="1:8" x14ac:dyDescent="0.45">
      <c r="A1081" s="53" t="s">
        <v>6226</v>
      </c>
      <c r="B1081" s="54" t="s">
        <v>6227</v>
      </c>
      <c r="C1081" t="s">
        <v>9412</v>
      </c>
      <c r="E1081" s="45" t="s">
        <v>9413</v>
      </c>
      <c r="F1081" s="45" t="s">
        <v>9417</v>
      </c>
      <c r="G1081" s="12" t="s">
        <v>3299</v>
      </c>
      <c r="H1081" t="s">
        <v>3585</v>
      </c>
    </row>
    <row r="1082" spans="1:8" x14ac:dyDescent="0.45">
      <c r="A1082" s="53" t="s">
        <v>3677</v>
      </c>
      <c r="B1082" s="54" t="s">
        <v>3678</v>
      </c>
      <c r="C1082" t="s">
        <v>8402</v>
      </c>
      <c r="E1082" s="45" t="s">
        <v>8403</v>
      </c>
      <c r="F1082" s="45" t="s">
        <v>8404</v>
      </c>
      <c r="G1082" t="s">
        <v>8405</v>
      </c>
      <c r="H1082" t="s">
        <v>3586</v>
      </c>
    </row>
    <row r="1083" spans="1:8" x14ac:dyDescent="0.45">
      <c r="A1083" s="53" t="s">
        <v>6476</v>
      </c>
      <c r="B1083" s="54" t="s">
        <v>6477</v>
      </c>
      <c r="C1083" t="s">
        <v>9659</v>
      </c>
      <c r="E1083" s="45" t="s">
        <v>9660</v>
      </c>
      <c r="F1083" s="45" t="s">
        <v>9414</v>
      </c>
      <c r="G1083" s="12" t="s">
        <v>3242</v>
      </c>
      <c r="H1083" t="s">
        <v>3521</v>
      </c>
    </row>
    <row r="1084" spans="1:8" x14ac:dyDescent="0.45">
      <c r="A1084" s="53" t="s">
        <v>6476</v>
      </c>
      <c r="B1084" s="54" t="s">
        <v>6477</v>
      </c>
      <c r="C1084" t="s">
        <v>9659</v>
      </c>
      <c r="E1084" s="45" t="s">
        <v>9660</v>
      </c>
      <c r="F1084" s="45" t="s">
        <v>9661</v>
      </c>
      <c r="G1084" t="s">
        <v>3300</v>
      </c>
      <c r="H1084" t="s">
        <v>3587</v>
      </c>
    </row>
    <row r="1085" spans="1:8" x14ac:dyDescent="0.45">
      <c r="A1085" s="53" t="s">
        <v>6476</v>
      </c>
      <c r="B1085" s="54" t="s">
        <v>6477</v>
      </c>
      <c r="C1085" t="s">
        <v>9659</v>
      </c>
      <c r="E1085" s="45" t="s">
        <v>9660</v>
      </c>
      <c r="F1085" s="45" t="s">
        <v>8995</v>
      </c>
      <c r="G1085" t="s">
        <v>3303</v>
      </c>
      <c r="H1085" t="s">
        <v>3590</v>
      </c>
    </row>
    <row r="1086" spans="1:8" x14ac:dyDescent="0.45">
      <c r="A1086" s="53" t="s">
        <v>6476</v>
      </c>
      <c r="B1086" s="54" t="s">
        <v>6477</v>
      </c>
      <c r="C1086" t="s">
        <v>9659</v>
      </c>
      <c r="E1086" s="45" t="s">
        <v>9660</v>
      </c>
      <c r="F1086" s="45" t="s">
        <v>9662</v>
      </c>
      <c r="G1086" s="12" t="s">
        <v>3301</v>
      </c>
      <c r="H1086" t="s">
        <v>3588</v>
      </c>
    </row>
    <row r="1087" spans="1:8" x14ac:dyDescent="0.45">
      <c r="A1087" s="53" t="s">
        <v>6476</v>
      </c>
      <c r="B1087" s="54" t="s">
        <v>6477</v>
      </c>
      <c r="C1087" t="s">
        <v>9659</v>
      </c>
      <c r="E1087" s="45" t="s">
        <v>9660</v>
      </c>
      <c r="F1087" s="45" t="s">
        <v>9663</v>
      </c>
      <c r="G1087" t="s">
        <v>3304</v>
      </c>
      <c r="H1087" t="s">
        <v>3591</v>
      </c>
    </row>
    <row r="1088" spans="1:8" x14ac:dyDescent="0.45">
      <c r="A1088" s="53" t="s">
        <v>6476</v>
      </c>
      <c r="B1088" s="54" t="s">
        <v>6477</v>
      </c>
      <c r="C1088" t="s">
        <v>9659</v>
      </c>
      <c r="E1088" s="45" t="s">
        <v>9660</v>
      </c>
      <c r="F1088" s="45" t="s">
        <v>9664</v>
      </c>
      <c r="G1088" t="s">
        <v>3302</v>
      </c>
      <c r="H1088" t="s">
        <v>3589</v>
      </c>
    </row>
    <row r="1089" spans="1:8" x14ac:dyDescent="0.45">
      <c r="A1089" s="53" t="s">
        <v>4684</v>
      </c>
      <c r="B1089" s="54" t="s">
        <v>4685</v>
      </c>
      <c r="C1089" t="s">
        <v>8866</v>
      </c>
      <c r="E1089" s="45" t="s">
        <v>8867</v>
      </c>
      <c r="F1089" s="45" t="s">
        <v>8868</v>
      </c>
      <c r="G1089" t="s">
        <v>8869</v>
      </c>
      <c r="H1089" t="s">
        <v>8870</v>
      </c>
    </row>
    <row r="1090" spans="1:8" x14ac:dyDescent="0.45">
      <c r="A1090" s="53" t="s">
        <v>4695</v>
      </c>
      <c r="B1090" s="54" t="s">
        <v>4696</v>
      </c>
      <c r="C1090" t="s">
        <v>8866</v>
      </c>
      <c r="E1090" s="45" t="s">
        <v>8867</v>
      </c>
      <c r="F1090" s="45" t="s">
        <v>8903</v>
      </c>
      <c r="G1090" t="s">
        <v>8869</v>
      </c>
      <c r="H1090" t="s">
        <v>8870</v>
      </c>
    </row>
    <row r="1091" spans="1:8" x14ac:dyDescent="0.45">
      <c r="A1091" s="53" t="s">
        <v>5618</v>
      </c>
      <c r="B1091" s="54" t="s">
        <v>5619</v>
      </c>
      <c r="C1091" t="s">
        <v>9210</v>
      </c>
      <c r="E1091" s="45" t="s">
        <v>9211</v>
      </c>
      <c r="F1091" s="45" t="s">
        <v>9212</v>
      </c>
      <c r="G1091" s="12" t="s">
        <v>3305</v>
      </c>
      <c r="H1091" t="s">
        <v>3592</v>
      </c>
    </row>
    <row r="1092" spans="1:8" x14ac:dyDescent="0.45">
      <c r="A1092" s="53" t="s">
        <v>4592</v>
      </c>
      <c r="B1092" s="54" t="s">
        <v>4593</v>
      </c>
      <c r="C1092" t="s">
        <v>8595</v>
      </c>
    </row>
    <row r="1093" spans="1:8" x14ac:dyDescent="0.45">
      <c r="A1093" s="53" t="s">
        <v>6414</v>
      </c>
      <c r="B1093" s="54" t="s">
        <v>6415</v>
      </c>
      <c r="C1093" t="s">
        <v>8595</v>
      </c>
    </row>
    <row r="1094" spans="1:8" x14ac:dyDescent="0.45">
      <c r="A1094" s="53" t="s">
        <v>6412</v>
      </c>
      <c r="B1094" s="54" t="s">
        <v>6413</v>
      </c>
      <c r="C1094" t="s">
        <v>8595</v>
      </c>
    </row>
    <row r="1095" spans="1:8" x14ac:dyDescent="0.45">
      <c r="A1095" s="53" t="s">
        <v>6401</v>
      </c>
      <c r="B1095" s="54" t="s">
        <v>6402</v>
      </c>
      <c r="C1095" t="s">
        <v>8595</v>
      </c>
    </row>
    <row r="1096" spans="1:8" x14ac:dyDescent="0.45">
      <c r="A1096" s="53" t="s">
        <v>6399</v>
      </c>
      <c r="B1096" s="54" t="s">
        <v>6400</v>
      </c>
      <c r="C1096" t="s">
        <v>8595</v>
      </c>
    </row>
    <row r="1097" spans="1:8" x14ac:dyDescent="0.45">
      <c r="A1097" s="53" t="s">
        <v>6335</v>
      </c>
      <c r="B1097" s="54" t="s">
        <v>6336</v>
      </c>
      <c r="C1097" t="s">
        <v>8595</v>
      </c>
    </row>
    <row r="1098" spans="1:8" x14ac:dyDescent="0.45">
      <c r="A1098" s="53" t="s">
        <v>4144</v>
      </c>
      <c r="B1098" s="54" t="s">
        <v>4145</v>
      </c>
      <c r="C1098" t="s">
        <v>8595</v>
      </c>
    </row>
    <row r="1099" spans="1:8" x14ac:dyDescent="0.45">
      <c r="A1099" s="53" t="s">
        <v>4146</v>
      </c>
      <c r="B1099" s="54" t="s">
        <v>4147</v>
      </c>
      <c r="C1099" t="s">
        <v>8595</v>
      </c>
    </row>
    <row r="1100" spans="1:8" x14ac:dyDescent="0.45">
      <c r="A1100" s="53" t="s">
        <v>5637</v>
      </c>
      <c r="B1100" s="54" t="s">
        <v>5638</v>
      </c>
      <c r="C1100" t="s">
        <v>9238</v>
      </c>
      <c r="E1100" s="45" t="s">
        <v>9239</v>
      </c>
      <c r="F1100" s="45" t="s">
        <v>9240</v>
      </c>
      <c r="G1100" t="s">
        <v>3306</v>
      </c>
      <c r="H1100" t="s">
        <v>3593</v>
      </c>
    </row>
    <row r="1101" spans="1:8" x14ac:dyDescent="0.45">
      <c r="A1101" s="53" t="s">
        <v>5645</v>
      </c>
      <c r="B1101" s="54" t="s">
        <v>5646</v>
      </c>
      <c r="C1101" t="s">
        <v>9238</v>
      </c>
      <c r="E1101" s="45" t="s">
        <v>9239</v>
      </c>
      <c r="F1101" s="45" t="s">
        <v>9240</v>
      </c>
      <c r="G1101" s="12" t="s">
        <v>3306</v>
      </c>
      <c r="H1101" t="s">
        <v>3593</v>
      </c>
    </row>
    <row r="1102" spans="1:8" x14ac:dyDescent="0.45">
      <c r="A1102" s="53" t="s">
        <v>5647</v>
      </c>
      <c r="B1102" s="54" t="s">
        <v>5648</v>
      </c>
      <c r="C1102" t="s">
        <v>9238</v>
      </c>
      <c r="E1102" s="45" t="s">
        <v>9239</v>
      </c>
      <c r="F1102" s="45" t="s">
        <v>9240</v>
      </c>
      <c r="G1102" s="12" t="s">
        <v>3306</v>
      </c>
      <c r="H1102" t="s">
        <v>3593</v>
      </c>
    </row>
    <row r="1103" spans="1:8" x14ac:dyDescent="0.45">
      <c r="A1103" s="53" t="s">
        <v>5651</v>
      </c>
      <c r="B1103" s="54" t="s">
        <v>5652</v>
      </c>
      <c r="C1103" t="s">
        <v>9238</v>
      </c>
      <c r="E1103" s="45" t="s">
        <v>9239</v>
      </c>
      <c r="F1103" s="45" t="s">
        <v>9240</v>
      </c>
      <c r="G1103" s="12" t="s">
        <v>3306</v>
      </c>
      <c r="H1103" t="s">
        <v>3593</v>
      </c>
    </row>
    <row r="1104" spans="1:8" x14ac:dyDescent="0.45">
      <c r="A1104" s="53" t="s">
        <v>5641</v>
      </c>
      <c r="B1104" s="54" t="s">
        <v>5642</v>
      </c>
      <c r="C1104" t="s">
        <v>9238</v>
      </c>
      <c r="E1104" s="45" t="s">
        <v>9239</v>
      </c>
      <c r="F1104" s="45" t="s">
        <v>9240</v>
      </c>
      <c r="G1104" s="12" t="s">
        <v>3306</v>
      </c>
      <c r="H1104" t="s">
        <v>3593</v>
      </c>
    </row>
    <row r="1105" spans="1:8" x14ac:dyDescent="0.45">
      <c r="A1105" s="53" t="s">
        <v>5649</v>
      </c>
      <c r="B1105" s="54" t="s">
        <v>5650</v>
      </c>
      <c r="C1105" t="s">
        <v>9238</v>
      </c>
      <c r="E1105" s="45" t="s">
        <v>9239</v>
      </c>
      <c r="F1105" s="45" t="s">
        <v>9240</v>
      </c>
      <c r="G1105" s="12" t="s">
        <v>3306</v>
      </c>
      <c r="H1105" t="s">
        <v>3593</v>
      </c>
    </row>
    <row r="1106" spans="1:8" x14ac:dyDescent="0.45">
      <c r="A1106" s="53" t="s">
        <v>5639</v>
      </c>
      <c r="B1106" s="54" t="s">
        <v>5640</v>
      </c>
      <c r="C1106" t="s">
        <v>9238</v>
      </c>
      <c r="E1106" s="45" t="s">
        <v>9239</v>
      </c>
      <c r="F1106" s="45" t="s">
        <v>9240</v>
      </c>
      <c r="G1106" s="12" t="s">
        <v>3306</v>
      </c>
      <c r="H1106" t="s">
        <v>3593</v>
      </c>
    </row>
    <row r="1107" spans="1:8" x14ac:dyDescent="0.45">
      <c r="A1107" s="53" t="s">
        <v>7171</v>
      </c>
      <c r="B1107" s="54" t="s">
        <v>7172</v>
      </c>
      <c r="C1107" t="s">
        <v>10004</v>
      </c>
    </row>
    <row r="1108" spans="1:8" x14ac:dyDescent="0.45">
      <c r="A1108" s="53" t="s">
        <v>6191</v>
      </c>
      <c r="B1108" s="54" t="s">
        <v>6192</v>
      </c>
      <c r="C1108" t="s">
        <v>9390</v>
      </c>
    </row>
    <row r="1109" spans="1:8" x14ac:dyDescent="0.45">
      <c r="A1109" s="53" t="s">
        <v>6945</v>
      </c>
      <c r="B1109" s="54" t="s">
        <v>6946</v>
      </c>
      <c r="C1109" t="s">
        <v>9324</v>
      </c>
      <c r="E1109" s="45" t="s">
        <v>9325</v>
      </c>
    </row>
    <row r="1110" spans="1:8" x14ac:dyDescent="0.45">
      <c r="A1110" s="53" t="s">
        <v>6056</v>
      </c>
      <c r="B1110" s="54" t="s">
        <v>6057</v>
      </c>
      <c r="C1110" t="s">
        <v>9324</v>
      </c>
      <c r="E1110" s="45" t="s">
        <v>9325</v>
      </c>
    </row>
    <row r="1111" spans="1:8" x14ac:dyDescent="0.45">
      <c r="A1111" s="53" t="s">
        <v>6054</v>
      </c>
      <c r="B1111" s="54" t="s">
        <v>6055</v>
      </c>
      <c r="C1111" t="s">
        <v>9324</v>
      </c>
      <c r="E1111" s="45" t="s">
        <v>9325</v>
      </c>
    </row>
    <row r="1112" spans="1:8" x14ac:dyDescent="0.45">
      <c r="A1112" s="53" t="s">
        <v>6293</v>
      </c>
      <c r="B1112" s="54" t="s">
        <v>6294</v>
      </c>
      <c r="C1112" t="s">
        <v>8715</v>
      </c>
    </row>
    <row r="1113" spans="1:8" x14ac:dyDescent="0.45">
      <c r="A1113" s="53" t="s">
        <v>4590</v>
      </c>
      <c r="B1113" s="54" t="s">
        <v>4591</v>
      </c>
      <c r="C1113" t="s">
        <v>8715</v>
      </c>
    </row>
    <row r="1114" spans="1:8" x14ac:dyDescent="0.45">
      <c r="A1114" s="53" t="s">
        <v>7654</v>
      </c>
      <c r="B1114" s="54" t="s">
        <v>7655</v>
      </c>
      <c r="C1114" t="s">
        <v>10113</v>
      </c>
      <c r="E1114" s="45" t="s">
        <v>10114</v>
      </c>
    </row>
    <row r="1115" spans="1:8" x14ac:dyDescent="0.45">
      <c r="A1115" s="53" t="s">
        <v>7656</v>
      </c>
      <c r="B1115" s="54" t="s">
        <v>7657</v>
      </c>
      <c r="C1115" t="s">
        <v>10113</v>
      </c>
      <c r="E1115" s="45" t="s">
        <v>10114</v>
      </c>
    </row>
    <row r="1116" spans="1:8" x14ac:dyDescent="0.45">
      <c r="A1116" s="53" t="s">
        <v>3988</v>
      </c>
      <c r="B1116" s="54" t="s">
        <v>3989</v>
      </c>
      <c r="C1116" t="s">
        <v>8534</v>
      </c>
    </row>
    <row r="1117" spans="1:8" x14ac:dyDescent="0.45">
      <c r="A1117" s="53" t="s">
        <v>7031</v>
      </c>
      <c r="B1117" s="54" t="s">
        <v>7032</v>
      </c>
      <c r="C1117" t="s">
        <v>8534</v>
      </c>
    </row>
    <row r="1118" spans="1:8" x14ac:dyDescent="0.45">
      <c r="A1118" s="53" t="s">
        <v>4821</v>
      </c>
      <c r="B1118" s="54" t="s">
        <v>4822</v>
      </c>
      <c r="C1118" t="s">
        <v>8534</v>
      </c>
    </row>
    <row r="1119" spans="1:8" x14ac:dyDescent="0.45">
      <c r="A1119" s="53" t="s">
        <v>6210</v>
      </c>
      <c r="B1119" s="54" t="s">
        <v>6211</v>
      </c>
      <c r="C1119" t="s">
        <v>8535</v>
      </c>
    </row>
    <row r="1120" spans="1:8" x14ac:dyDescent="0.45">
      <c r="A1120" s="53" t="s">
        <v>6471</v>
      </c>
      <c r="B1120" s="54" t="s">
        <v>6472</v>
      </c>
      <c r="C1120" t="s">
        <v>8535</v>
      </c>
    </row>
    <row r="1121" spans="1:6" x14ac:dyDescent="0.45">
      <c r="A1121" s="53" t="s">
        <v>3988</v>
      </c>
      <c r="B1121" s="54" t="s">
        <v>3989</v>
      </c>
      <c r="C1121" t="s">
        <v>8535</v>
      </c>
    </row>
    <row r="1122" spans="1:6" x14ac:dyDescent="0.45">
      <c r="A1122" s="53" t="s">
        <v>7847</v>
      </c>
      <c r="B1122" s="54" t="s">
        <v>7848</v>
      </c>
      <c r="C1122" t="s">
        <v>8535</v>
      </c>
    </row>
    <row r="1123" spans="1:6" x14ac:dyDescent="0.45">
      <c r="A1123" s="53" t="s">
        <v>6018</v>
      </c>
      <c r="B1123" s="54" t="s">
        <v>6019</v>
      </c>
      <c r="C1123" t="s">
        <v>8535</v>
      </c>
    </row>
    <row r="1124" spans="1:6" x14ac:dyDescent="0.45">
      <c r="A1124" s="53" t="s">
        <v>7161</v>
      </c>
      <c r="B1124" s="54" t="s">
        <v>7162</v>
      </c>
      <c r="C1124" t="s">
        <v>8535</v>
      </c>
    </row>
    <row r="1125" spans="1:6" x14ac:dyDescent="0.45">
      <c r="A1125" s="53" t="s">
        <v>8242</v>
      </c>
      <c r="B1125" s="54" t="s">
        <v>8243</v>
      </c>
      <c r="C1125" t="s">
        <v>8535</v>
      </c>
      <c r="E1125" s="9"/>
    </row>
    <row r="1126" spans="1:6" x14ac:dyDescent="0.45">
      <c r="A1126" s="53" t="s">
        <v>5672</v>
      </c>
      <c r="B1126" s="54" t="s">
        <v>5673</v>
      </c>
      <c r="C1126" t="s">
        <v>8535</v>
      </c>
    </row>
    <row r="1127" spans="1:6" x14ac:dyDescent="0.45">
      <c r="A1127" s="53" t="s">
        <v>4050</v>
      </c>
      <c r="B1127" s="54" t="s">
        <v>4051</v>
      </c>
      <c r="C1127" t="s">
        <v>8550</v>
      </c>
      <c r="E1127" s="45" t="s">
        <v>8551</v>
      </c>
      <c r="F1127" s="52"/>
    </row>
    <row r="1128" spans="1:6" x14ac:dyDescent="0.45">
      <c r="A1128" s="53" t="s">
        <v>5728</v>
      </c>
      <c r="B1128" s="54" t="s">
        <v>5729</v>
      </c>
    </row>
    <row r="1129" spans="1:6" x14ac:dyDescent="0.45">
      <c r="A1129" s="53" t="s">
        <v>4315</v>
      </c>
      <c r="B1129" s="54" t="s">
        <v>4316</v>
      </c>
    </row>
    <row r="1130" spans="1:6" x14ac:dyDescent="0.45">
      <c r="A1130" s="53" t="s">
        <v>5791</v>
      </c>
      <c r="B1130" s="54" t="s">
        <v>5792</v>
      </c>
    </row>
    <row r="1131" spans="1:6" x14ac:dyDescent="0.45">
      <c r="A1131" s="53" t="s">
        <v>5351</v>
      </c>
      <c r="B1131" s="54" t="s">
        <v>5352</v>
      </c>
      <c r="F1131" s="10"/>
    </row>
    <row r="1132" spans="1:6" x14ac:dyDescent="0.45">
      <c r="A1132" s="53" t="s">
        <v>3753</v>
      </c>
      <c r="B1132" s="54" t="s">
        <v>3754</v>
      </c>
    </row>
    <row r="1133" spans="1:6" x14ac:dyDescent="0.45">
      <c r="A1133" s="53" t="s">
        <v>4299</v>
      </c>
      <c r="B1133" s="54" t="s">
        <v>4300</v>
      </c>
    </row>
    <row r="1134" spans="1:6" x14ac:dyDescent="0.45">
      <c r="A1134" s="53" t="s">
        <v>4313</v>
      </c>
      <c r="B1134" s="54" t="s">
        <v>4314</v>
      </c>
    </row>
    <row r="1135" spans="1:6" x14ac:dyDescent="0.45">
      <c r="A1135" s="53" t="s">
        <v>5367</v>
      </c>
      <c r="B1135" s="54" t="s">
        <v>5368</v>
      </c>
    </row>
    <row r="1136" spans="1:6" x14ac:dyDescent="0.45">
      <c r="A1136" s="53" t="s">
        <v>4322</v>
      </c>
      <c r="B1136" s="54" t="s">
        <v>4323</v>
      </c>
    </row>
    <row r="1137" spans="1:6" x14ac:dyDescent="0.45">
      <c r="A1137" s="53" t="s">
        <v>3791</v>
      </c>
      <c r="B1137" s="54" t="s">
        <v>3792</v>
      </c>
    </row>
    <row r="1138" spans="1:6" x14ac:dyDescent="0.45">
      <c r="A1138" s="53" t="s">
        <v>4290</v>
      </c>
      <c r="B1138" s="54" t="s">
        <v>4291</v>
      </c>
    </row>
    <row r="1139" spans="1:6" x14ac:dyDescent="0.45">
      <c r="A1139" s="53" t="s">
        <v>3789</v>
      </c>
      <c r="B1139" s="54" t="s">
        <v>3790</v>
      </c>
    </row>
    <row r="1140" spans="1:6" x14ac:dyDescent="0.45">
      <c r="A1140" s="53" t="s">
        <v>3795</v>
      </c>
      <c r="B1140" s="54" t="s">
        <v>3796</v>
      </c>
    </row>
    <row r="1141" spans="1:6" x14ac:dyDescent="0.45">
      <c r="A1141" s="53" t="s">
        <v>4269</v>
      </c>
      <c r="B1141" s="54" t="s">
        <v>4270</v>
      </c>
    </row>
    <row r="1142" spans="1:6" x14ac:dyDescent="0.45">
      <c r="A1142" s="53" t="s">
        <v>4301</v>
      </c>
      <c r="B1142" s="54" t="s">
        <v>4302</v>
      </c>
    </row>
    <row r="1143" spans="1:6" x14ac:dyDescent="0.45">
      <c r="A1143" s="53" t="s">
        <v>8224</v>
      </c>
      <c r="B1143" s="54" t="s">
        <v>8225</v>
      </c>
    </row>
    <row r="1144" spans="1:6" x14ac:dyDescent="0.45">
      <c r="A1144" s="53" t="s">
        <v>7895</v>
      </c>
      <c r="B1144" s="54" t="s">
        <v>7896</v>
      </c>
    </row>
    <row r="1145" spans="1:6" x14ac:dyDescent="0.45">
      <c r="A1145" s="53" t="s">
        <v>7903</v>
      </c>
      <c r="B1145" s="54" t="s">
        <v>7904</v>
      </c>
    </row>
    <row r="1146" spans="1:6" x14ac:dyDescent="0.45">
      <c r="A1146" s="53" t="s">
        <v>7758</v>
      </c>
      <c r="B1146" s="54" t="s">
        <v>7759</v>
      </c>
    </row>
    <row r="1147" spans="1:6" x14ac:dyDescent="0.45">
      <c r="A1147" s="53" t="s">
        <v>4518</v>
      </c>
      <c r="B1147" s="54" t="s">
        <v>4519</v>
      </c>
    </row>
    <row r="1148" spans="1:6" x14ac:dyDescent="0.45">
      <c r="A1148" s="53" t="s">
        <v>3799</v>
      </c>
      <c r="B1148" s="54" t="s">
        <v>3800</v>
      </c>
    </row>
    <row r="1149" spans="1:6" x14ac:dyDescent="0.45">
      <c r="A1149" s="53" t="s">
        <v>3755</v>
      </c>
      <c r="B1149" s="54" t="s">
        <v>3756</v>
      </c>
    </row>
    <row r="1150" spans="1:6" x14ac:dyDescent="0.45">
      <c r="A1150" s="53" t="s">
        <v>3777</v>
      </c>
      <c r="B1150" s="54" t="s">
        <v>3778</v>
      </c>
      <c r="F1150" s="10"/>
    </row>
    <row r="1151" spans="1:6" x14ac:dyDescent="0.45">
      <c r="A1151" s="53" t="s">
        <v>3742</v>
      </c>
      <c r="B1151" s="54" t="s">
        <v>3743</v>
      </c>
    </row>
    <row r="1152" spans="1:6" x14ac:dyDescent="0.45">
      <c r="A1152" s="53" t="s">
        <v>3761</v>
      </c>
      <c r="B1152" s="54" t="s">
        <v>3762</v>
      </c>
    </row>
    <row r="1153" spans="1:5" x14ac:dyDescent="0.45">
      <c r="A1153" s="53" t="s">
        <v>3769</v>
      </c>
      <c r="B1153" s="54" t="s">
        <v>3770</v>
      </c>
    </row>
    <row r="1154" spans="1:5" x14ac:dyDescent="0.45">
      <c r="A1154" s="53" t="s">
        <v>7930</v>
      </c>
      <c r="B1154" s="54" t="s">
        <v>7931</v>
      </c>
    </row>
    <row r="1155" spans="1:5" x14ac:dyDescent="0.45">
      <c r="A1155" s="53" t="s">
        <v>7177</v>
      </c>
      <c r="B1155" s="54" t="s">
        <v>7178</v>
      </c>
    </row>
    <row r="1156" spans="1:5" x14ac:dyDescent="0.45">
      <c r="A1156" s="53" t="s">
        <v>5376</v>
      </c>
      <c r="B1156" s="54" t="s">
        <v>5377</v>
      </c>
    </row>
    <row r="1157" spans="1:5" x14ac:dyDescent="0.45">
      <c r="A1157" s="53" t="s">
        <v>5400</v>
      </c>
      <c r="B1157" s="54" t="s">
        <v>5401</v>
      </c>
    </row>
    <row r="1158" spans="1:5" x14ac:dyDescent="0.45">
      <c r="A1158" s="53" t="s">
        <v>3828</v>
      </c>
      <c r="B1158" s="54" t="s">
        <v>3829</v>
      </c>
    </row>
    <row r="1159" spans="1:5" x14ac:dyDescent="0.45">
      <c r="A1159" s="53" t="s">
        <v>3606</v>
      </c>
      <c r="B1159" s="54" t="s">
        <v>3607</v>
      </c>
    </row>
    <row r="1160" spans="1:5" x14ac:dyDescent="0.45">
      <c r="A1160" s="53" t="s">
        <v>3659</v>
      </c>
      <c r="B1160" s="54" t="s">
        <v>3660</v>
      </c>
    </row>
    <row r="1161" spans="1:5" x14ac:dyDescent="0.45">
      <c r="A1161" s="53" t="s">
        <v>3698</v>
      </c>
      <c r="B1161" s="54" t="s">
        <v>3699</v>
      </c>
      <c r="E1161" s="10"/>
    </row>
    <row r="1162" spans="1:5" x14ac:dyDescent="0.45">
      <c r="A1162" s="53" t="s">
        <v>3721</v>
      </c>
      <c r="B1162" s="54" t="s">
        <v>3722</v>
      </c>
    </row>
    <row r="1163" spans="1:5" x14ac:dyDescent="0.45">
      <c r="A1163" s="53" t="s">
        <v>3757</v>
      </c>
      <c r="B1163" s="54" t="s">
        <v>3758</v>
      </c>
      <c r="E1163" s="10"/>
    </row>
    <row r="1164" spans="1:5" x14ac:dyDescent="0.45">
      <c r="A1164" s="53" t="s">
        <v>3759</v>
      </c>
      <c r="B1164" s="54" t="s">
        <v>3760</v>
      </c>
      <c r="E1164" s="10"/>
    </row>
    <row r="1165" spans="1:5" x14ac:dyDescent="0.45">
      <c r="A1165" s="53" t="s">
        <v>3765</v>
      </c>
      <c r="B1165" s="54" t="s">
        <v>3766</v>
      </c>
    </row>
    <row r="1166" spans="1:5" x14ac:dyDescent="0.45">
      <c r="A1166" s="53" t="s">
        <v>3767</v>
      </c>
      <c r="B1166" s="54" t="s">
        <v>3768</v>
      </c>
      <c r="C1166" s="11"/>
      <c r="D1166" s="8"/>
    </row>
    <row r="1167" spans="1:5" x14ac:dyDescent="0.45">
      <c r="A1167" s="53" t="s">
        <v>3771</v>
      </c>
      <c r="B1167" s="54" t="s">
        <v>3772</v>
      </c>
    </row>
    <row r="1168" spans="1:5" x14ac:dyDescent="0.45">
      <c r="A1168" s="53" t="s">
        <v>3773</v>
      </c>
      <c r="B1168" s="54" t="s">
        <v>3774</v>
      </c>
    </row>
    <row r="1169" spans="1:6" x14ac:dyDescent="0.45">
      <c r="A1169" s="53" t="s">
        <v>3775</v>
      </c>
      <c r="B1169" s="54" t="s">
        <v>3776</v>
      </c>
    </row>
    <row r="1170" spans="1:6" x14ac:dyDescent="0.45">
      <c r="A1170" s="53" t="s">
        <v>3779</v>
      </c>
      <c r="B1170" s="54" t="s">
        <v>3780</v>
      </c>
    </row>
    <row r="1171" spans="1:6" x14ac:dyDescent="0.45">
      <c r="A1171" s="53" t="s">
        <v>3783</v>
      </c>
      <c r="B1171" s="54" t="s">
        <v>3784</v>
      </c>
      <c r="E1171" s="10"/>
    </row>
    <row r="1172" spans="1:6" x14ac:dyDescent="0.45">
      <c r="A1172" s="53" t="s">
        <v>3793</v>
      </c>
      <c r="B1172" s="54" t="s">
        <v>3794</v>
      </c>
      <c r="F1172" s="10"/>
    </row>
    <row r="1173" spans="1:6" x14ac:dyDescent="0.45">
      <c r="A1173" s="53" t="s">
        <v>3883</v>
      </c>
      <c r="B1173" s="54" t="s">
        <v>3884</v>
      </c>
      <c r="E1173" s="10"/>
    </row>
    <row r="1174" spans="1:6" x14ac:dyDescent="0.45">
      <c r="A1174" s="53" t="s">
        <v>3888</v>
      </c>
      <c r="B1174" s="54" t="s">
        <v>3889</v>
      </c>
    </row>
    <row r="1175" spans="1:6" x14ac:dyDescent="0.45">
      <c r="A1175" s="53" t="s">
        <v>3903</v>
      </c>
      <c r="B1175" s="54" t="s">
        <v>3904</v>
      </c>
    </row>
    <row r="1176" spans="1:6" x14ac:dyDescent="0.45">
      <c r="A1176" s="53" t="s">
        <v>3955</v>
      </c>
      <c r="B1176" s="54" t="s">
        <v>3956</v>
      </c>
    </row>
    <row r="1177" spans="1:6" x14ac:dyDescent="0.45">
      <c r="A1177" s="53" t="s">
        <v>3958</v>
      </c>
      <c r="B1177" s="54" t="s">
        <v>3959</v>
      </c>
      <c r="E1177" s="10"/>
    </row>
    <row r="1178" spans="1:6" x14ac:dyDescent="0.45">
      <c r="A1178" s="53" t="s">
        <v>3972</v>
      </c>
      <c r="B1178" s="54" t="s">
        <v>3973</v>
      </c>
      <c r="E1178" s="10"/>
    </row>
    <row r="1179" spans="1:6" x14ac:dyDescent="0.45">
      <c r="A1179" s="53" t="s">
        <v>4004</v>
      </c>
      <c r="B1179" s="54" t="s">
        <v>4005</v>
      </c>
    </row>
    <row r="1180" spans="1:6" x14ac:dyDescent="0.45">
      <c r="A1180" s="53" t="s">
        <v>4014</v>
      </c>
      <c r="B1180" s="54" t="s">
        <v>4015</v>
      </c>
    </row>
    <row r="1181" spans="1:6" x14ac:dyDescent="0.45">
      <c r="A1181" s="53" t="s">
        <v>4108</v>
      </c>
      <c r="B1181" s="54" t="s">
        <v>4109</v>
      </c>
    </row>
    <row r="1182" spans="1:6" x14ac:dyDescent="0.45">
      <c r="A1182" s="53" t="s">
        <v>4127</v>
      </c>
      <c r="B1182" s="54" t="s">
        <v>4128</v>
      </c>
      <c r="E1182" s="10"/>
    </row>
    <row r="1183" spans="1:6" x14ac:dyDescent="0.45">
      <c r="A1183" s="53" t="s">
        <v>4130</v>
      </c>
      <c r="B1183" s="54" t="s">
        <v>4131</v>
      </c>
      <c r="E1183" s="10"/>
    </row>
    <row r="1184" spans="1:6" x14ac:dyDescent="0.45">
      <c r="A1184" s="53" t="s">
        <v>4142</v>
      </c>
      <c r="B1184" s="54" t="s">
        <v>4143</v>
      </c>
    </row>
    <row r="1185" spans="1:6" x14ac:dyDescent="0.45">
      <c r="A1185" s="53" t="s">
        <v>4171</v>
      </c>
      <c r="B1185" s="54" t="s">
        <v>4172</v>
      </c>
    </row>
    <row r="1186" spans="1:6" x14ac:dyDescent="0.45">
      <c r="A1186" s="53" t="s">
        <v>4173</v>
      </c>
      <c r="B1186" s="54" t="s">
        <v>4174</v>
      </c>
    </row>
    <row r="1187" spans="1:6" x14ac:dyDescent="0.45">
      <c r="A1187" s="53" t="s">
        <v>4180</v>
      </c>
      <c r="B1187" s="54" t="s">
        <v>4181</v>
      </c>
    </row>
    <row r="1188" spans="1:6" x14ac:dyDescent="0.45">
      <c r="A1188" s="53" t="s">
        <v>4376</v>
      </c>
      <c r="B1188" s="54" t="s">
        <v>4377</v>
      </c>
      <c r="E1188" s="10"/>
    </row>
    <row r="1189" spans="1:6" x14ac:dyDescent="0.45">
      <c r="A1189" s="53" t="s">
        <v>4380</v>
      </c>
      <c r="B1189" s="54" t="s">
        <v>4381</v>
      </c>
    </row>
    <row r="1190" spans="1:6" x14ac:dyDescent="0.45">
      <c r="A1190" s="53" t="s">
        <v>4402</v>
      </c>
      <c r="B1190" s="54" t="s">
        <v>4403</v>
      </c>
      <c r="E1190" s="10"/>
    </row>
    <row r="1191" spans="1:6" x14ac:dyDescent="0.45">
      <c r="A1191" s="53" t="s">
        <v>4406</v>
      </c>
      <c r="B1191" s="54" t="s">
        <v>4407</v>
      </c>
    </row>
    <row r="1192" spans="1:6" x14ac:dyDescent="0.45">
      <c r="A1192" s="53" t="s">
        <v>4456</v>
      </c>
      <c r="B1192" s="54" t="s">
        <v>4457</v>
      </c>
    </row>
    <row r="1193" spans="1:6" x14ac:dyDescent="0.45">
      <c r="A1193" s="53" t="s">
        <v>4532</v>
      </c>
      <c r="B1193" s="54" t="s">
        <v>4533</v>
      </c>
    </row>
    <row r="1194" spans="1:6" x14ac:dyDescent="0.45">
      <c r="A1194" s="53" t="s">
        <v>4534</v>
      </c>
      <c r="B1194" s="54" t="s">
        <v>4535</v>
      </c>
    </row>
    <row r="1195" spans="1:6" x14ac:dyDescent="0.45">
      <c r="A1195" s="53" t="s">
        <v>4659</v>
      </c>
      <c r="B1195" s="54" t="s">
        <v>4660</v>
      </c>
    </row>
    <row r="1196" spans="1:6" x14ac:dyDescent="0.45">
      <c r="A1196" s="53" t="s">
        <v>4664</v>
      </c>
      <c r="B1196" s="54" t="s">
        <v>4665</v>
      </c>
      <c r="F1196" s="10"/>
    </row>
    <row r="1197" spans="1:6" x14ac:dyDescent="0.45">
      <c r="A1197" s="53" t="s">
        <v>4698</v>
      </c>
      <c r="B1197" s="54" t="s">
        <v>4699</v>
      </c>
    </row>
    <row r="1198" spans="1:6" x14ac:dyDescent="0.45">
      <c r="A1198" s="53" t="s">
        <v>4711</v>
      </c>
      <c r="B1198" s="54" t="s">
        <v>4712</v>
      </c>
    </row>
    <row r="1199" spans="1:6" x14ac:dyDescent="0.45">
      <c r="A1199" s="53" t="s">
        <v>4745</v>
      </c>
      <c r="B1199" s="54" t="s">
        <v>4746</v>
      </c>
    </row>
    <row r="1200" spans="1:6" x14ac:dyDescent="0.45">
      <c r="A1200" s="53" t="s">
        <v>4749</v>
      </c>
      <c r="B1200" s="54" t="s">
        <v>4750</v>
      </c>
    </row>
    <row r="1201" spans="1:5" x14ac:dyDescent="0.45">
      <c r="A1201" s="53" t="s">
        <v>4759</v>
      </c>
      <c r="B1201" s="54" t="s">
        <v>4760</v>
      </c>
    </row>
    <row r="1202" spans="1:5" x14ac:dyDescent="0.45">
      <c r="A1202" s="53" t="s">
        <v>4777</v>
      </c>
      <c r="B1202" s="54" t="s">
        <v>4778</v>
      </c>
    </row>
    <row r="1203" spans="1:5" x14ac:dyDescent="0.45">
      <c r="A1203" s="53" t="s">
        <v>4811</v>
      </c>
      <c r="B1203" s="54" t="s">
        <v>4812</v>
      </c>
    </row>
    <row r="1204" spans="1:5" x14ac:dyDescent="0.45">
      <c r="A1204" s="53" t="s">
        <v>4824</v>
      </c>
      <c r="B1204" s="54" t="s">
        <v>4825</v>
      </c>
    </row>
    <row r="1205" spans="1:5" x14ac:dyDescent="0.45">
      <c r="A1205" s="53" t="s">
        <v>4826</v>
      </c>
      <c r="B1205" s="54" t="s">
        <v>4827</v>
      </c>
    </row>
    <row r="1206" spans="1:5" x14ac:dyDescent="0.45">
      <c r="A1206" s="53" t="s">
        <v>4842</v>
      </c>
      <c r="B1206" s="54" t="s">
        <v>4843</v>
      </c>
    </row>
    <row r="1207" spans="1:5" x14ac:dyDescent="0.45">
      <c r="A1207" s="53" t="s">
        <v>4849</v>
      </c>
      <c r="B1207" s="54" t="s">
        <v>4850</v>
      </c>
    </row>
    <row r="1208" spans="1:5" x14ac:dyDescent="0.45">
      <c r="A1208" s="53" t="s">
        <v>4905</v>
      </c>
      <c r="B1208" s="54" t="s">
        <v>4906</v>
      </c>
    </row>
    <row r="1209" spans="1:5" x14ac:dyDescent="0.45">
      <c r="A1209" s="53" t="s">
        <v>4911</v>
      </c>
      <c r="B1209" s="54" t="s">
        <v>4912</v>
      </c>
      <c r="E1209" s="10"/>
    </row>
    <row r="1210" spans="1:5" x14ac:dyDescent="0.45">
      <c r="A1210" s="53" t="s">
        <v>4915</v>
      </c>
      <c r="B1210" s="54" t="s">
        <v>4916</v>
      </c>
    </row>
    <row r="1211" spans="1:5" x14ac:dyDescent="0.45">
      <c r="A1211" s="53" t="s">
        <v>4935</v>
      </c>
      <c r="B1211" s="54" t="s">
        <v>4936</v>
      </c>
    </row>
    <row r="1212" spans="1:5" x14ac:dyDescent="0.45">
      <c r="A1212" s="53" t="s">
        <v>4955</v>
      </c>
      <c r="B1212" s="54" t="s">
        <v>4956</v>
      </c>
    </row>
    <row r="1213" spans="1:5" x14ac:dyDescent="0.45">
      <c r="A1213" s="53" t="s">
        <v>5061</v>
      </c>
      <c r="B1213" s="54" t="s">
        <v>5062</v>
      </c>
    </row>
    <row r="1214" spans="1:5" x14ac:dyDescent="0.45">
      <c r="A1214" s="53" t="s">
        <v>5071</v>
      </c>
      <c r="B1214" s="54" t="s">
        <v>5072</v>
      </c>
    </row>
    <row r="1215" spans="1:5" x14ac:dyDescent="0.45">
      <c r="A1215" s="53" t="s">
        <v>5100</v>
      </c>
      <c r="B1215" s="54" t="s">
        <v>5101</v>
      </c>
    </row>
    <row r="1216" spans="1:5" x14ac:dyDescent="0.45">
      <c r="A1216" s="53" t="s">
        <v>5107</v>
      </c>
      <c r="B1216" s="54" t="s">
        <v>5108</v>
      </c>
    </row>
    <row r="1217" spans="1:2" x14ac:dyDescent="0.45">
      <c r="A1217" s="53" t="s">
        <v>5142</v>
      </c>
      <c r="B1217" s="54" t="s">
        <v>5143</v>
      </c>
    </row>
    <row r="1218" spans="1:2" x14ac:dyDescent="0.45">
      <c r="A1218" s="53" t="s">
        <v>5144</v>
      </c>
      <c r="B1218" s="54" t="s">
        <v>5145</v>
      </c>
    </row>
    <row r="1219" spans="1:2" x14ac:dyDescent="0.45">
      <c r="A1219" s="53" t="s">
        <v>5152</v>
      </c>
      <c r="B1219" s="54" t="s">
        <v>5153</v>
      </c>
    </row>
    <row r="1220" spans="1:2" x14ac:dyDescent="0.45">
      <c r="A1220" s="53" t="s">
        <v>5200</v>
      </c>
      <c r="B1220" s="54" t="s">
        <v>5201</v>
      </c>
    </row>
    <row r="1221" spans="1:2" x14ac:dyDescent="0.45">
      <c r="A1221" s="53" t="s">
        <v>5313</v>
      </c>
      <c r="B1221" s="54" t="s">
        <v>5314</v>
      </c>
    </row>
    <row r="1222" spans="1:2" x14ac:dyDescent="0.45">
      <c r="A1222" s="53" t="s">
        <v>5508</v>
      </c>
      <c r="B1222" s="54" t="s">
        <v>5509</v>
      </c>
    </row>
    <row r="1223" spans="1:2" x14ac:dyDescent="0.45">
      <c r="A1223" s="53" t="s">
        <v>5542</v>
      </c>
      <c r="B1223" s="54" t="s">
        <v>5543</v>
      </c>
    </row>
    <row r="1224" spans="1:2" x14ac:dyDescent="0.45">
      <c r="A1224" s="53" t="s">
        <v>5564</v>
      </c>
      <c r="B1224" s="54" t="s">
        <v>5565</v>
      </c>
    </row>
    <row r="1225" spans="1:2" x14ac:dyDescent="0.45">
      <c r="A1225" s="53" t="s">
        <v>5581</v>
      </c>
      <c r="B1225" s="54" t="s">
        <v>5582</v>
      </c>
    </row>
    <row r="1226" spans="1:2" x14ac:dyDescent="0.45">
      <c r="A1226" s="53" t="s">
        <v>5787</v>
      </c>
      <c r="B1226" s="54" t="s">
        <v>5788</v>
      </c>
    </row>
    <row r="1227" spans="1:2" x14ac:dyDescent="0.45">
      <c r="A1227" s="53" t="s">
        <v>5789</v>
      </c>
      <c r="B1227" s="54" t="s">
        <v>5790</v>
      </c>
    </row>
    <row r="1228" spans="1:2" x14ac:dyDescent="0.45">
      <c r="A1228" s="53" t="s">
        <v>6004</v>
      </c>
      <c r="B1228" s="54" t="s">
        <v>6005</v>
      </c>
    </row>
    <row r="1229" spans="1:2" x14ac:dyDescent="0.45">
      <c r="A1229" s="53" t="s">
        <v>6010</v>
      </c>
      <c r="B1229" s="54" t="s">
        <v>6011</v>
      </c>
    </row>
    <row r="1230" spans="1:2" x14ac:dyDescent="0.45">
      <c r="A1230" s="53" t="s">
        <v>6014</v>
      </c>
      <c r="B1230" s="54" t="s">
        <v>6015</v>
      </c>
    </row>
    <row r="1231" spans="1:2" x14ac:dyDescent="0.45">
      <c r="A1231" s="53" t="s">
        <v>6096</v>
      </c>
      <c r="B1231" s="54" t="s">
        <v>6097</v>
      </c>
    </row>
    <row r="1232" spans="1:2" x14ac:dyDescent="0.45">
      <c r="A1232" s="53" t="s">
        <v>6124</v>
      </c>
      <c r="B1232" s="54" t="s">
        <v>6125</v>
      </c>
    </row>
    <row r="1233" spans="1:2" x14ac:dyDescent="0.45">
      <c r="A1233" s="53" t="s">
        <v>6143</v>
      </c>
      <c r="B1233" s="54" t="s">
        <v>6144</v>
      </c>
    </row>
    <row r="1234" spans="1:2" x14ac:dyDescent="0.45">
      <c r="A1234" s="53" t="s">
        <v>6194</v>
      </c>
      <c r="B1234" s="54" t="s">
        <v>6195</v>
      </c>
    </row>
    <row r="1235" spans="1:2" x14ac:dyDescent="0.45">
      <c r="A1235" s="53" t="s">
        <v>6233</v>
      </c>
      <c r="B1235" s="54" t="s">
        <v>6234</v>
      </c>
    </row>
    <row r="1236" spans="1:2" x14ac:dyDescent="0.45">
      <c r="A1236" s="53" t="s">
        <v>6314</v>
      </c>
      <c r="B1236" s="54" t="s">
        <v>6315</v>
      </c>
    </row>
    <row r="1237" spans="1:2" x14ac:dyDescent="0.45">
      <c r="A1237" s="53" t="s">
        <v>6329</v>
      </c>
      <c r="B1237" s="54" t="s">
        <v>6330</v>
      </c>
    </row>
    <row r="1238" spans="1:2" x14ac:dyDescent="0.45">
      <c r="A1238" s="53" t="s">
        <v>6380</v>
      </c>
      <c r="B1238" s="54" t="s">
        <v>6381</v>
      </c>
    </row>
    <row r="1239" spans="1:2" x14ac:dyDescent="0.45">
      <c r="A1239" s="53" t="s">
        <v>6461</v>
      </c>
      <c r="B1239" s="54" t="s">
        <v>6462</v>
      </c>
    </row>
    <row r="1240" spans="1:2" x14ac:dyDescent="0.45">
      <c r="A1240" s="53" t="s">
        <v>6469</v>
      </c>
      <c r="B1240" s="54" t="s">
        <v>6470</v>
      </c>
    </row>
    <row r="1241" spans="1:2" x14ac:dyDescent="0.45">
      <c r="A1241" s="53" t="s">
        <v>6498</v>
      </c>
      <c r="B1241" s="54" t="s">
        <v>6499</v>
      </c>
    </row>
    <row r="1242" spans="1:2" x14ac:dyDescent="0.45">
      <c r="A1242" s="53" t="s">
        <v>6500</v>
      </c>
      <c r="B1242" s="54" t="s">
        <v>6501</v>
      </c>
    </row>
    <row r="1243" spans="1:2" x14ac:dyDescent="0.45">
      <c r="A1243" s="53" t="s">
        <v>6585</v>
      </c>
      <c r="B1243" s="54" t="s">
        <v>6586</v>
      </c>
    </row>
    <row r="1244" spans="1:2" x14ac:dyDescent="0.45">
      <c r="A1244" s="53" t="s">
        <v>6597</v>
      </c>
      <c r="B1244" s="54" t="s">
        <v>6598</v>
      </c>
    </row>
    <row r="1245" spans="1:2" x14ac:dyDescent="0.45">
      <c r="A1245" s="53" t="s">
        <v>6615</v>
      </c>
      <c r="B1245" s="54" t="s">
        <v>6616</v>
      </c>
    </row>
    <row r="1246" spans="1:2" x14ac:dyDescent="0.45">
      <c r="A1246" s="53" t="s">
        <v>6623</v>
      </c>
      <c r="B1246" s="54" t="s">
        <v>6624</v>
      </c>
    </row>
    <row r="1247" spans="1:2" x14ac:dyDescent="0.45">
      <c r="A1247" s="53" t="s">
        <v>6745</v>
      </c>
      <c r="B1247" s="54" t="s">
        <v>6746</v>
      </c>
    </row>
    <row r="1248" spans="1:2" x14ac:dyDescent="0.45">
      <c r="A1248" s="53" t="s">
        <v>6749</v>
      </c>
      <c r="B1248" s="54" t="s">
        <v>6750</v>
      </c>
    </row>
    <row r="1249" spans="1:2" x14ac:dyDescent="0.45">
      <c r="A1249" s="53" t="s">
        <v>6775</v>
      </c>
      <c r="B1249" s="54" t="s">
        <v>6776</v>
      </c>
    </row>
    <row r="1250" spans="1:2" x14ac:dyDescent="0.45">
      <c r="A1250" s="53" t="s">
        <v>6781</v>
      </c>
      <c r="B1250" s="54" t="s">
        <v>6782</v>
      </c>
    </row>
    <row r="1251" spans="1:2" x14ac:dyDescent="0.45">
      <c r="A1251" s="53" t="s">
        <v>6783</v>
      </c>
      <c r="B1251" s="54" t="s">
        <v>6784</v>
      </c>
    </row>
    <row r="1252" spans="1:2" x14ac:dyDescent="0.45">
      <c r="A1252" s="53" t="s">
        <v>6789</v>
      </c>
      <c r="B1252" s="54" t="s">
        <v>6790</v>
      </c>
    </row>
    <row r="1253" spans="1:2" x14ac:dyDescent="0.45">
      <c r="A1253" s="53" t="s">
        <v>6819</v>
      </c>
      <c r="B1253" s="54" t="s">
        <v>6820</v>
      </c>
    </row>
    <row r="1254" spans="1:2" x14ac:dyDescent="0.45">
      <c r="A1254" s="53" t="s">
        <v>6879</v>
      </c>
      <c r="B1254" s="54" t="s">
        <v>6880</v>
      </c>
    </row>
    <row r="1255" spans="1:2" x14ac:dyDescent="0.45">
      <c r="A1255" s="53" t="s">
        <v>6915</v>
      </c>
      <c r="B1255" s="54" t="s">
        <v>6916</v>
      </c>
    </row>
    <row r="1256" spans="1:2" x14ac:dyDescent="0.45">
      <c r="A1256" s="53" t="s">
        <v>6930</v>
      </c>
      <c r="B1256" s="54" t="s">
        <v>6931</v>
      </c>
    </row>
    <row r="1257" spans="1:2" x14ac:dyDescent="0.45">
      <c r="A1257" s="53" t="s">
        <v>6934</v>
      </c>
      <c r="B1257" s="54" t="s">
        <v>6935</v>
      </c>
    </row>
    <row r="1258" spans="1:2" x14ac:dyDescent="0.45">
      <c r="A1258" s="53" t="s">
        <v>6936</v>
      </c>
      <c r="B1258" s="54" t="s">
        <v>6937</v>
      </c>
    </row>
    <row r="1259" spans="1:2" x14ac:dyDescent="0.45">
      <c r="A1259" s="53" t="s">
        <v>6938</v>
      </c>
      <c r="B1259" s="54" t="s">
        <v>6939</v>
      </c>
    </row>
    <row r="1260" spans="1:2" x14ac:dyDescent="0.45">
      <c r="A1260" s="53" t="s">
        <v>7062</v>
      </c>
      <c r="B1260" s="54" t="s">
        <v>7063</v>
      </c>
    </row>
    <row r="1261" spans="1:2" x14ac:dyDescent="0.45">
      <c r="A1261" s="53" t="s">
        <v>7080</v>
      </c>
      <c r="B1261" s="54" t="s">
        <v>7081</v>
      </c>
    </row>
    <row r="1262" spans="1:2" x14ac:dyDescent="0.45">
      <c r="A1262" s="53" t="s">
        <v>7121</v>
      </c>
      <c r="B1262" s="54" t="s">
        <v>7122</v>
      </c>
    </row>
    <row r="1263" spans="1:2" x14ac:dyDescent="0.45">
      <c r="A1263" s="53" t="s">
        <v>7124</v>
      </c>
      <c r="B1263" s="54" t="s">
        <v>7125</v>
      </c>
    </row>
    <row r="1264" spans="1:2" x14ac:dyDescent="0.45">
      <c r="A1264" s="53" t="s">
        <v>7185</v>
      </c>
      <c r="B1264" s="54" t="s">
        <v>7186</v>
      </c>
    </row>
    <row r="1265" spans="1:2" x14ac:dyDescent="0.45">
      <c r="A1265" s="53" t="s">
        <v>7219</v>
      </c>
      <c r="B1265" s="54" t="s">
        <v>7220</v>
      </c>
    </row>
    <row r="1266" spans="1:2" x14ac:dyDescent="0.45">
      <c r="A1266" s="53" t="s">
        <v>7228</v>
      </c>
      <c r="B1266" s="54" t="s">
        <v>7229</v>
      </c>
    </row>
    <row r="1267" spans="1:2" x14ac:dyDescent="0.45">
      <c r="A1267" s="53" t="s">
        <v>7234</v>
      </c>
      <c r="B1267" s="54" t="s">
        <v>7235</v>
      </c>
    </row>
    <row r="1268" spans="1:2" x14ac:dyDescent="0.45">
      <c r="A1268" s="53" t="s">
        <v>7237</v>
      </c>
      <c r="B1268" s="54" t="s">
        <v>7238</v>
      </c>
    </row>
    <row r="1269" spans="1:2" x14ac:dyDescent="0.45">
      <c r="A1269" s="53" t="s">
        <v>7243</v>
      </c>
      <c r="B1269" s="54" t="s">
        <v>7244</v>
      </c>
    </row>
    <row r="1270" spans="1:2" x14ac:dyDescent="0.45">
      <c r="A1270" s="53" t="s">
        <v>7314</v>
      </c>
      <c r="B1270" s="54" t="s">
        <v>7315</v>
      </c>
    </row>
    <row r="1271" spans="1:2" x14ac:dyDescent="0.45">
      <c r="A1271" s="53" t="s">
        <v>7347</v>
      </c>
      <c r="B1271" s="54" t="s">
        <v>7348</v>
      </c>
    </row>
    <row r="1272" spans="1:2" x14ac:dyDescent="0.45">
      <c r="A1272" s="53" t="s">
        <v>7350</v>
      </c>
      <c r="B1272" s="54" t="s">
        <v>7351</v>
      </c>
    </row>
    <row r="1273" spans="1:2" x14ac:dyDescent="0.45">
      <c r="A1273" s="53" t="s">
        <v>7377</v>
      </c>
      <c r="B1273" s="54" t="s">
        <v>7378</v>
      </c>
    </row>
    <row r="1274" spans="1:2" x14ac:dyDescent="0.45">
      <c r="A1274" s="53" t="s">
        <v>7438</v>
      </c>
      <c r="B1274" s="54" t="s">
        <v>7439</v>
      </c>
    </row>
    <row r="1275" spans="1:2" x14ac:dyDescent="0.45">
      <c r="A1275" s="53" t="s">
        <v>7456</v>
      </c>
      <c r="B1275" s="54" t="s">
        <v>7457</v>
      </c>
    </row>
    <row r="1276" spans="1:2" x14ac:dyDescent="0.45">
      <c r="A1276" s="53" t="s">
        <v>7579</v>
      </c>
      <c r="B1276" s="54" t="s">
        <v>7580</v>
      </c>
    </row>
    <row r="1277" spans="1:2" x14ac:dyDescent="0.45">
      <c r="A1277" s="53" t="s">
        <v>7589</v>
      </c>
      <c r="B1277" s="54" t="s">
        <v>7590</v>
      </c>
    </row>
    <row r="1278" spans="1:2" x14ac:dyDescent="0.45">
      <c r="A1278" s="53" t="s">
        <v>7624</v>
      </c>
      <c r="B1278" s="54" t="s">
        <v>7625</v>
      </c>
    </row>
    <row r="1279" spans="1:2" x14ac:dyDescent="0.45">
      <c r="A1279" s="53" t="s">
        <v>7630</v>
      </c>
      <c r="B1279" s="54" t="s">
        <v>7631</v>
      </c>
    </row>
    <row r="1280" spans="1:2" x14ac:dyDescent="0.45">
      <c r="A1280" s="53" t="s">
        <v>7646</v>
      </c>
      <c r="B1280" s="54" t="s">
        <v>7647</v>
      </c>
    </row>
    <row r="1281" spans="1:2" x14ac:dyDescent="0.45">
      <c r="A1281" s="53" t="s">
        <v>7682</v>
      </c>
      <c r="B1281" s="54" t="s">
        <v>7683</v>
      </c>
    </row>
    <row r="1282" spans="1:2" x14ac:dyDescent="0.45">
      <c r="A1282" s="53" t="s">
        <v>7697</v>
      </c>
      <c r="B1282" s="54" t="s">
        <v>7698</v>
      </c>
    </row>
    <row r="1283" spans="1:2" x14ac:dyDescent="0.45">
      <c r="A1283" s="53" t="s">
        <v>7699</v>
      </c>
      <c r="B1283" s="54" t="s">
        <v>7700</v>
      </c>
    </row>
    <row r="1284" spans="1:2" x14ac:dyDescent="0.45">
      <c r="A1284" s="53" t="s">
        <v>7720</v>
      </c>
      <c r="B1284" s="54" t="s">
        <v>7721</v>
      </c>
    </row>
    <row r="1285" spans="1:2" x14ac:dyDescent="0.45">
      <c r="A1285" s="53" t="s">
        <v>7735</v>
      </c>
      <c r="B1285" s="54" t="s">
        <v>7736</v>
      </c>
    </row>
    <row r="1286" spans="1:2" x14ac:dyDescent="0.45">
      <c r="A1286" s="53" t="s">
        <v>7745</v>
      </c>
      <c r="B1286" s="54" t="s">
        <v>7746</v>
      </c>
    </row>
    <row r="1287" spans="1:2" x14ac:dyDescent="0.45">
      <c r="A1287" s="53" t="s">
        <v>7756</v>
      </c>
      <c r="B1287" s="54" t="s">
        <v>7757</v>
      </c>
    </row>
    <row r="1288" spans="1:2" x14ac:dyDescent="0.45">
      <c r="A1288" s="53" t="s">
        <v>7901</v>
      </c>
      <c r="B1288" s="54" t="s">
        <v>7902</v>
      </c>
    </row>
    <row r="1289" spans="1:2" x14ac:dyDescent="0.45">
      <c r="A1289" s="53" t="s">
        <v>7914</v>
      </c>
      <c r="B1289" s="54" t="s">
        <v>7915</v>
      </c>
    </row>
    <row r="1290" spans="1:2" x14ac:dyDescent="0.45">
      <c r="A1290" s="53" t="s">
        <v>7939</v>
      </c>
      <c r="B1290" s="54" t="s">
        <v>7940</v>
      </c>
    </row>
    <row r="1291" spans="1:2" x14ac:dyDescent="0.45">
      <c r="A1291" s="53" t="s">
        <v>7964</v>
      </c>
      <c r="B1291" s="54" t="s">
        <v>7965</v>
      </c>
    </row>
    <row r="1292" spans="1:2" x14ac:dyDescent="0.45">
      <c r="A1292" s="53" t="s">
        <v>8005</v>
      </c>
      <c r="B1292" s="54" t="s">
        <v>8006</v>
      </c>
    </row>
    <row r="1293" spans="1:2" x14ac:dyDescent="0.45">
      <c r="A1293" s="53" t="s">
        <v>8062</v>
      </c>
      <c r="B1293" s="54" t="s">
        <v>8063</v>
      </c>
    </row>
    <row r="1294" spans="1:2" x14ac:dyDescent="0.45">
      <c r="A1294" s="53" t="s">
        <v>8067</v>
      </c>
      <c r="B1294" s="54" t="s">
        <v>8068</v>
      </c>
    </row>
    <row r="1295" spans="1:2" x14ac:dyDescent="0.45">
      <c r="A1295" s="53" t="s">
        <v>8119</v>
      </c>
      <c r="B1295" s="54" t="s">
        <v>8120</v>
      </c>
    </row>
    <row r="1296" spans="1:2" x14ac:dyDescent="0.45">
      <c r="A1296" s="53" t="s">
        <v>8142</v>
      </c>
      <c r="B1296" s="54" t="s">
        <v>8143</v>
      </c>
    </row>
    <row r="1297" spans="1:5" x14ac:dyDescent="0.45">
      <c r="A1297" s="53" t="s">
        <v>8162</v>
      </c>
      <c r="B1297" s="54" t="s">
        <v>8163</v>
      </c>
    </row>
    <row r="1298" spans="1:5" x14ac:dyDescent="0.45">
      <c r="A1298" s="53" t="s">
        <v>8166</v>
      </c>
      <c r="B1298" s="54" t="s">
        <v>8167</v>
      </c>
    </row>
    <row r="1299" spans="1:5" x14ac:dyDescent="0.45">
      <c r="A1299" s="53" t="s">
        <v>8168</v>
      </c>
      <c r="B1299" s="54" t="s">
        <v>8169</v>
      </c>
    </row>
    <row r="1300" spans="1:5" x14ac:dyDescent="0.45">
      <c r="A1300" s="53" t="s">
        <v>8173</v>
      </c>
      <c r="B1300" s="54" t="s">
        <v>8174</v>
      </c>
    </row>
    <row r="1301" spans="1:5" x14ac:dyDescent="0.45">
      <c r="A1301" s="53" t="s">
        <v>8193</v>
      </c>
      <c r="B1301" s="54" t="s">
        <v>8194</v>
      </c>
    </row>
    <row r="1302" spans="1:5" x14ac:dyDescent="0.45">
      <c r="A1302" s="53" t="s">
        <v>8222</v>
      </c>
      <c r="B1302" s="54" t="s">
        <v>8223</v>
      </c>
    </row>
    <row r="1303" spans="1:5" x14ac:dyDescent="0.45">
      <c r="A1303" s="53" t="s">
        <v>8240</v>
      </c>
      <c r="B1303" s="54" t="s">
        <v>8241</v>
      </c>
    </row>
    <row r="1304" spans="1:5" x14ac:dyDescent="0.45">
      <c r="A1304" s="53" t="s">
        <v>8268</v>
      </c>
      <c r="B1304" s="54" t="s">
        <v>8269</v>
      </c>
    </row>
    <row r="1305" spans="1:5" x14ac:dyDescent="0.45">
      <c r="A1305" s="53" t="s">
        <v>8273</v>
      </c>
      <c r="B1305" s="54" t="s">
        <v>8274</v>
      </c>
    </row>
    <row r="1306" spans="1:5" x14ac:dyDescent="0.45">
      <c r="A1306" s="53" t="s">
        <v>8279</v>
      </c>
      <c r="B1306" s="54" t="s">
        <v>8280</v>
      </c>
    </row>
    <row r="1307" spans="1:5" x14ac:dyDescent="0.45">
      <c r="A1307" s="53" t="s">
        <v>3621</v>
      </c>
      <c r="B1307" s="54" t="s">
        <v>3622</v>
      </c>
      <c r="E1307" s="10"/>
    </row>
    <row r="1308" spans="1:5" x14ac:dyDescent="0.45">
      <c r="A1308" s="53" t="s">
        <v>3624</v>
      </c>
      <c r="B1308" s="54" t="s">
        <v>3625</v>
      </c>
      <c r="E1308" s="10"/>
    </row>
    <row r="1309" spans="1:5" x14ac:dyDescent="0.45">
      <c r="A1309" s="53" t="s">
        <v>3746</v>
      </c>
      <c r="B1309" s="54" t="s">
        <v>3747</v>
      </c>
    </row>
    <row r="1310" spans="1:5" x14ac:dyDescent="0.45">
      <c r="A1310" s="53" t="s">
        <v>3748</v>
      </c>
      <c r="B1310" s="54" t="s">
        <v>3749</v>
      </c>
    </row>
    <row r="1311" spans="1:5" x14ac:dyDescent="0.45">
      <c r="A1311" s="53" t="s">
        <v>3911</v>
      </c>
      <c r="B1311" s="54" t="s">
        <v>3912</v>
      </c>
    </row>
    <row r="1312" spans="1:5" x14ac:dyDescent="0.45">
      <c r="A1312" s="53" t="s">
        <v>3943</v>
      </c>
      <c r="B1312" s="54" t="s">
        <v>3944</v>
      </c>
    </row>
    <row r="1313" spans="1:5" x14ac:dyDescent="0.45">
      <c r="A1313" s="53" t="s">
        <v>3998</v>
      </c>
      <c r="B1313" s="54" t="s">
        <v>3999</v>
      </c>
      <c r="E1313" s="10"/>
    </row>
    <row r="1314" spans="1:5" x14ac:dyDescent="0.45">
      <c r="A1314" s="53" t="s">
        <v>4010</v>
      </c>
      <c r="B1314" s="54" t="s">
        <v>4011</v>
      </c>
      <c r="E1314" s="10"/>
    </row>
    <row r="1315" spans="1:5" x14ac:dyDescent="0.45">
      <c r="A1315" s="53" t="s">
        <v>4062</v>
      </c>
      <c r="B1315" s="54" t="s">
        <v>4063</v>
      </c>
    </row>
    <row r="1316" spans="1:5" x14ac:dyDescent="0.45">
      <c r="A1316" s="53" t="s">
        <v>4070</v>
      </c>
      <c r="B1316" s="54" t="s">
        <v>4071</v>
      </c>
    </row>
    <row r="1317" spans="1:5" x14ac:dyDescent="0.45">
      <c r="A1317" s="53" t="s">
        <v>4117</v>
      </c>
      <c r="B1317" s="54" t="s">
        <v>4118</v>
      </c>
    </row>
    <row r="1318" spans="1:5" x14ac:dyDescent="0.45">
      <c r="A1318" s="53" t="s">
        <v>7816</v>
      </c>
      <c r="B1318" s="54" t="s">
        <v>7817</v>
      </c>
    </row>
    <row r="1319" spans="1:5" x14ac:dyDescent="0.45">
      <c r="A1319" s="53" t="s">
        <v>7740</v>
      </c>
      <c r="B1319" s="54" t="s">
        <v>7741</v>
      </c>
    </row>
    <row r="1320" spans="1:5" x14ac:dyDescent="0.45">
      <c r="A1320" s="53" t="s">
        <v>7674</v>
      </c>
      <c r="B1320" s="54" t="s">
        <v>7675</v>
      </c>
    </row>
    <row r="1321" spans="1:5" x14ac:dyDescent="0.45">
      <c r="A1321" s="53" t="s">
        <v>7569</v>
      </c>
      <c r="B1321" s="54" t="s">
        <v>7570</v>
      </c>
    </row>
    <row r="1322" spans="1:5" x14ac:dyDescent="0.45">
      <c r="A1322" s="53" t="s">
        <v>7553</v>
      </c>
      <c r="B1322" s="54" t="s">
        <v>7554</v>
      </c>
    </row>
    <row r="1323" spans="1:5" x14ac:dyDescent="0.45">
      <c r="A1323" s="53" t="s">
        <v>7512</v>
      </c>
      <c r="B1323" s="54" t="s">
        <v>7513</v>
      </c>
    </row>
    <row r="1324" spans="1:5" x14ac:dyDescent="0.45">
      <c r="A1324" s="53" t="s">
        <v>7484</v>
      </c>
      <c r="B1324" s="54" t="s">
        <v>7485</v>
      </c>
    </row>
    <row r="1325" spans="1:5" x14ac:dyDescent="0.45">
      <c r="A1325" s="53" t="s">
        <v>7175</v>
      </c>
      <c r="B1325" s="54" t="s">
        <v>7176</v>
      </c>
    </row>
    <row r="1326" spans="1:5" x14ac:dyDescent="0.45">
      <c r="A1326" s="53" t="s">
        <v>7149</v>
      </c>
      <c r="B1326" s="54" t="s">
        <v>7150</v>
      </c>
    </row>
    <row r="1327" spans="1:5" x14ac:dyDescent="0.45">
      <c r="A1327" s="53" t="s">
        <v>7127</v>
      </c>
      <c r="B1327" s="54" t="s">
        <v>7128</v>
      </c>
    </row>
    <row r="1328" spans="1:5" x14ac:dyDescent="0.45">
      <c r="A1328" s="53" t="s">
        <v>7105</v>
      </c>
      <c r="B1328" s="54" t="s">
        <v>7106</v>
      </c>
    </row>
    <row r="1329" spans="1:2" x14ac:dyDescent="0.45">
      <c r="A1329" s="53" t="s">
        <v>7082</v>
      </c>
      <c r="B1329" s="54" t="s">
        <v>7083</v>
      </c>
    </row>
    <row r="1330" spans="1:2" x14ac:dyDescent="0.45">
      <c r="A1330" s="53" t="s">
        <v>7076</v>
      </c>
      <c r="B1330" s="54" t="s">
        <v>7077</v>
      </c>
    </row>
    <row r="1331" spans="1:2" x14ac:dyDescent="0.45">
      <c r="A1331" s="53" t="s">
        <v>7027</v>
      </c>
      <c r="B1331" s="54" t="s">
        <v>7028</v>
      </c>
    </row>
    <row r="1332" spans="1:2" x14ac:dyDescent="0.45">
      <c r="A1332" s="53" t="s">
        <v>7014</v>
      </c>
      <c r="B1332" s="54" t="s">
        <v>7015</v>
      </c>
    </row>
    <row r="1333" spans="1:2" x14ac:dyDescent="0.45">
      <c r="A1333" s="53" t="s">
        <v>6676</v>
      </c>
      <c r="B1333" s="54" t="s">
        <v>6677</v>
      </c>
    </row>
    <row r="1334" spans="1:2" x14ac:dyDescent="0.45">
      <c r="A1334" s="53" t="s">
        <v>6640</v>
      </c>
      <c r="B1334" s="54" t="s">
        <v>6641</v>
      </c>
    </row>
    <row r="1335" spans="1:2" x14ac:dyDescent="0.45">
      <c r="A1335" s="53" t="s">
        <v>6621</v>
      </c>
      <c r="B1335" s="54" t="s">
        <v>6622</v>
      </c>
    </row>
    <row r="1336" spans="1:2" x14ac:dyDescent="0.45">
      <c r="A1336" s="53" t="s">
        <v>6599</v>
      </c>
      <c r="B1336" s="54" t="s">
        <v>6600</v>
      </c>
    </row>
    <row r="1337" spans="1:2" x14ac:dyDescent="0.45">
      <c r="A1337" s="53" t="s">
        <v>6581</v>
      </c>
      <c r="B1337" s="54" t="s">
        <v>6582</v>
      </c>
    </row>
    <row r="1338" spans="1:2" x14ac:dyDescent="0.45">
      <c r="A1338" s="53" t="s">
        <v>6551</v>
      </c>
      <c r="B1338" s="54" t="s">
        <v>6552</v>
      </c>
    </row>
    <row r="1339" spans="1:2" x14ac:dyDescent="0.45">
      <c r="A1339" s="53" t="s">
        <v>6516</v>
      </c>
      <c r="B1339" s="54" t="s">
        <v>6517</v>
      </c>
    </row>
    <row r="1340" spans="1:2" x14ac:dyDescent="0.45">
      <c r="A1340" s="53" t="s">
        <v>6495</v>
      </c>
      <c r="B1340" s="54" t="s">
        <v>6496</v>
      </c>
    </row>
    <row r="1341" spans="1:2" x14ac:dyDescent="0.45">
      <c r="A1341" s="53" t="s">
        <v>6483</v>
      </c>
      <c r="B1341" s="54" t="s">
        <v>6484</v>
      </c>
    </row>
    <row r="1342" spans="1:2" x14ac:dyDescent="0.45">
      <c r="A1342" s="53" t="s">
        <v>6325</v>
      </c>
      <c r="B1342" s="54" t="s">
        <v>6326</v>
      </c>
    </row>
    <row r="1343" spans="1:2" x14ac:dyDescent="0.45">
      <c r="A1343" s="53" t="s">
        <v>6316</v>
      </c>
      <c r="B1343" s="54" t="s">
        <v>6317</v>
      </c>
    </row>
    <row r="1344" spans="1:2" x14ac:dyDescent="0.45">
      <c r="A1344" s="53" t="s">
        <v>6081</v>
      </c>
      <c r="B1344" s="54" t="s">
        <v>6082</v>
      </c>
    </row>
    <row r="1345" spans="1:2" x14ac:dyDescent="0.45">
      <c r="A1345" s="53" t="s">
        <v>6058</v>
      </c>
      <c r="B1345" s="54" t="s">
        <v>6059</v>
      </c>
    </row>
    <row r="1346" spans="1:2" x14ac:dyDescent="0.45">
      <c r="A1346" s="53" t="s">
        <v>6040</v>
      </c>
      <c r="B1346" s="54" t="s">
        <v>6041</v>
      </c>
    </row>
    <row r="1347" spans="1:2" x14ac:dyDescent="0.45">
      <c r="A1347" s="53" t="s">
        <v>6037</v>
      </c>
      <c r="B1347" s="54" t="s">
        <v>6038</v>
      </c>
    </row>
    <row r="1348" spans="1:2" x14ac:dyDescent="0.45">
      <c r="A1348" s="53" t="s">
        <v>6008</v>
      </c>
      <c r="B1348" s="54" t="s">
        <v>6009</v>
      </c>
    </row>
    <row r="1349" spans="1:2" x14ac:dyDescent="0.45">
      <c r="A1349" s="53" t="s">
        <v>5809</v>
      </c>
      <c r="B1349" s="54" t="s">
        <v>5810</v>
      </c>
    </row>
    <row r="1350" spans="1:2" x14ac:dyDescent="0.45">
      <c r="A1350" s="53" t="s">
        <v>5778</v>
      </c>
      <c r="B1350" s="54" t="s">
        <v>5779</v>
      </c>
    </row>
    <row r="1351" spans="1:2" x14ac:dyDescent="0.45">
      <c r="A1351" s="53" t="s">
        <v>5749</v>
      </c>
      <c r="B1351" s="54" t="s">
        <v>5750</v>
      </c>
    </row>
    <row r="1352" spans="1:2" x14ac:dyDescent="0.45">
      <c r="A1352" s="53" t="s">
        <v>5735</v>
      </c>
      <c r="B1352" s="54" t="s">
        <v>5736</v>
      </c>
    </row>
    <row r="1353" spans="1:2" x14ac:dyDescent="0.45">
      <c r="A1353" s="53" t="s">
        <v>5658</v>
      </c>
      <c r="B1353" s="54" t="s">
        <v>5659</v>
      </c>
    </row>
    <row r="1354" spans="1:2" x14ac:dyDescent="0.45">
      <c r="A1354" s="53" t="s">
        <v>5594</v>
      </c>
      <c r="B1354" s="54" t="s">
        <v>5595</v>
      </c>
    </row>
    <row r="1355" spans="1:2" x14ac:dyDescent="0.45">
      <c r="A1355" s="53" t="s">
        <v>5590</v>
      </c>
      <c r="B1355" s="54" t="s">
        <v>5591</v>
      </c>
    </row>
    <row r="1356" spans="1:2" x14ac:dyDescent="0.45">
      <c r="A1356" s="53" t="s">
        <v>5550</v>
      </c>
      <c r="B1356" s="54" t="s">
        <v>5551</v>
      </c>
    </row>
    <row r="1357" spans="1:2" x14ac:dyDescent="0.45">
      <c r="A1357" s="53" t="s">
        <v>5487</v>
      </c>
      <c r="B1357" s="54" t="s">
        <v>5488</v>
      </c>
    </row>
    <row r="1358" spans="1:2" x14ac:dyDescent="0.45">
      <c r="A1358" s="53" t="s">
        <v>5471</v>
      </c>
      <c r="B1358" s="54" t="s">
        <v>5472</v>
      </c>
    </row>
    <row r="1359" spans="1:2" x14ac:dyDescent="0.45">
      <c r="A1359" s="53" t="s">
        <v>5469</v>
      </c>
      <c r="B1359" s="54" t="s">
        <v>5470</v>
      </c>
    </row>
    <row r="1360" spans="1:2" x14ac:dyDescent="0.45">
      <c r="A1360" s="53" t="s">
        <v>5458</v>
      </c>
      <c r="B1360" s="54" t="s">
        <v>5459</v>
      </c>
    </row>
    <row r="1361" spans="1:5" x14ac:dyDescent="0.45">
      <c r="A1361" s="53" t="s">
        <v>5443</v>
      </c>
      <c r="B1361" s="54" t="s">
        <v>5444</v>
      </c>
    </row>
    <row r="1362" spans="1:5" x14ac:dyDescent="0.45">
      <c r="A1362" s="53" t="s">
        <v>5440</v>
      </c>
      <c r="B1362" s="54" t="s">
        <v>5441</v>
      </c>
    </row>
    <row r="1363" spans="1:5" x14ac:dyDescent="0.45">
      <c r="A1363" s="53" t="s">
        <v>5256</v>
      </c>
      <c r="B1363" s="54" t="s">
        <v>5257</v>
      </c>
    </row>
    <row r="1364" spans="1:5" x14ac:dyDescent="0.45">
      <c r="A1364" s="53" t="s">
        <v>5244</v>
      </c>
      <c r="B1364" s="54" t="s">
        <v>5245</v>
      </c>
    </row>
    <row r="1365" spans="1:5" x14ac:dyDescent="0.45">
      <c r="A1365" s="53" t="s">
        <v>5191</v>
      </c>
      <c r="B1365" s="54" t="s">
        <v>5192</v>
      </c>
      <c r="E1365" s="10"/>
    </row>
    <row r="1366" spans="1:5" x14ac:dyDescent="0.45">
      <c r="A1366" s="53" t="s">
        <v>5169</v>
      </c>
      <c r="B1366" s="54" t="s">
        <v>5170</v>
      </c>
    </row>
    <row r="1367" spans="1:5" x14ac:dyDescent="0.45">
      <c r="A1367" s="53" t="s">
        <v>5088</v>
      </c>
      <c r="B1367" s="54" t="s">
        <v>5089</v>
      </c>
    </row>
    <row r="1368" spans="1:5" x14ac:dyDescent="0.45">
      <c r="A1368" s="53" t="s">
        <v>5086</v>
      </c>
      <c r="B1368" s="54" t="s">
        <v>5087</v>
      </c>
    </row>
    <row r="1369" spans="1:5" x14ac:dyDescent="0.45">
      <c r="A1369" s="53" t="s">
        <v>5081</v>
      </c>
      <c r="B1369" s="54" t="s">
        <v>5082</v>
      </c>
    </row>
    <row r="1370" spans="1:5" x14ac:dyDescent="0.45">
      <c r="A1370" s="53" t="s">
        <v>5068</v>
      </c>
      <c r="B1370" s="54" t="s">
        <v>5069</v>
      </c>
    </row>
    <row r="1371" spans="1:5" x14ac:dyDescent="0.45">
      <c r="A1371" s="53" t="s">
        <v>5066</v>
      </c>
      <c r="B1371" s="54" t="s">
        <v>5067</v>
      </c>
    </row>
    <row r="1372" spans="1:5" x14ac:dyDescent="0.45">
      <c r="A1372" s="53" t="s">
        <v>5049</v>
      </c>
      <c r="B1372" s="54" t="s">
        <v>5050</v>
      </c>
    </row>
    <row r="1373" spans="1:5" x14ac:dyDescent="0.45">
      <c r="A1373" s="53" t="s">
        <v>4958</v>
      </c>
      <c r="B1373" s="54" t="s">
        <v>4959</v>
      </c>
      <c r="C1373" s="11"/>
      <c r="E1373" s="10"/>
    </row>
    <row r="1374" spans="1:5" x14ac:dyDescent="0.45">
      <c r="A1374" s="53" t="s">
        <v>4945</v>
      </c>
      <c r="B1374" s="54" t="s">
        <v>4946</v>
      </c>
    </row>
    <row r="1375" spans="1:5" x14ac:dyDescent="0.45">
      <c r="A1375" s="53" t="s">
        <v>4852</v>
      </c>
      <c r="B1375" s="54" t="s">
        <v>4853</v>
      </c>
    </row>
    <row r="1376" spans="1:5" x14ac:dyDescent="0.45">
      <c r="A1376" s="53" t="s">
        <v>4807</v>
      </c>
      <c r="B1376" s="54" t="s">
        <v>4808</v>
      </c>
    </row>
    <row r="1377" spans="1:5" x14ac:dyDescent="0.45">
      <c r="A1377" s="53" t="s">
        <v>4732</v>
      </c>
      <c r="B1377" s="54" t="s">
        <v>4733</v>
      </c>
    </row>
    <row r="1378" spans="1:5" x14ac:dyDescent="0.45">
      <c r="A1378" s="53" t="s">
        <v>4705</v>
      </c>
      <c r="B1378" s="54" t="s">
        <v>4706</v>
      </c>
    </row>
    <row r="1379" spans="1:5" x14ac:dyDescent="0.45">
      <c r="A1379" s="53" t="s">
        <v>4668</v>
      </c>
      <c r="B1379" s="54" t="s">
        <v>4669</v>
      </c>
    </row>
    <row r="1380" spans="1:5" x14ac:dyDescent="0.45">
      <c r="A1380" s="53" t="s">
        <v>4638</v>
      </c>
      <c r="B1380" s="54" t="s">
        <v>4639</v>
      </c>
    </row>
    <row r="1381" spans="1:5" x14ac:dyDescent="0.45">
      <c r="A1381" s="53" t="s">
        <v>4614</v>
      </c>
      <c r="B1381" s="54" t="s">
        <v>4615</v>
      </c>
    </row>
    <row r="1382" spans="1:5" x14ac:dyDescent="0.45">
      <c r="A1382" s="53" t="s">
        <v>4605</v>
      </c>
      <c r="B1382" s="54" t="s">
        <v>4606</v>
      </c>
    </row>
    <row r="1383" spans="1:5" x14ac:dyDescent="0.45">
      <c r="A1383" s="53" t="s">
        <v>4514</v>
      </c>
      <c r="B1383" s="54" t="s">
        <v>4515</v>
      </c>
    </row>
    <row r="1384" spans="1:5" x14ac:dyDescent="0.45">
      <c r="A1384" s="53" t="s">
        <v>4460</v>
      </c>
      <c r="B1384" s="54" t="s">
        <v>4461</v>
      </c>
    </row>
    <row r="1385" spans="1:5" x14ac:dyDescent="0.45">
      <c r="A1385" s="53" t="s">
        <v>4431</v>
      </c>
      <c r="B1385" s="54" t="s">
        <v>4432</v>
      </c>
    </row>
    <row r="1386" spans="1:5" x14ac:dyDescent="0.45">
      <c r="A1386" s="53" t="s">
        <v>4420</v>
      </c>
      <c r="B1386" s="54" t="s">
        <v>4421</v>
      </c>
    </row>
    <row r="1387" spans="1:5" x14ac:dyDescent="0.45">
      <c r="A1387" s="53" t="s">
        <v>4400</v>
      </c>
      <c r="B1387" s="54" t="s">
        <v>4401</v>
      </c>
    </row>
    <row r="1388" spans="1:5" x14ac:dyDescent="0.45">
      <c r="A1388" s="53" t="s">
        <v>4398</v>
      </c>
      <c r="B1388" s="54" t="s">
        <v>4399</v>
      </c>
    </row>
    <row r="1389" spans="1:5" x14ac:dyDescent="0.45">
      <c r="A1389" s="53" t="s">
        <v>4390</v>
      </c>
      <c r="B1389" s="54" t="s">
        <v>4391</v>
      </c>
      <c r="E1389" s="10"/>
    </row>
    <row r="1390" spans="1:5" x14ac:dyDescent="0.45">
      <c r="A1390" s="53" t="s">
        <v>4378</v>
      </c>
      <c r="B1390" s="54" t="s">
        <v>4379</v>
      </c>
    </row>
    <row r="1391" spans="1:5" x14ac:dyDescent="0.45">
      <c r="A1391" s="53" t="s">
        <v>4370</v>
      </c>
      <c r="B1391" s="54" t="s">
        <v>4371</v>
      </c>
    </row>
    <row r="1392" spans="1:5" x14ac:dyDescent="0.45">
      <c r="A1392" s="53" t="s">
        <v>4328</v>
      </c>
      <c r="B1392" s="54" t="s">
        <v>4329</v>
      </c>
    </row>
    <row r="1393" spans="1:5" x14ac:dyDescent="0.45">
      <c r="A1393" s="53" t="s">
        <v>4203</v>
      </c>
      <c r="B1393" s="54" t="s">
        <v>4204</v>
      </c>
    </row>
    <row r="1394" spans="1:5" x14ac:dyDescent="0.45">
      <c r="A1394" s="53" t="s">
        <v>6893</v>
      </c>
      <c r="B1394" s="54" t="s">
        <v>6894</v>
      </c>
    </row>
    <row r="1395" spans="1:5" x14ac:dyDescent="0.45">
      <c r="A1395" s="53" t="s">
        <v>8111</v>
      </c>
      <c r="B1395" s="54" t="s">
        <v>8112</v>
      </c>
    </row>
    <row r="1396" spans="1:5" x14ac:dyDescent="0.45">
      <c r="A1396" s="53" t="s">
        <v>8275</v>
      </c>
      <c r="B1396" s="54" t="s">
        <v>8276</v>
      </c>
    </row>
    <row r="1397" spans="1:5" x14ac:dyDescent="0.45">
      <c r="A1397" s="53" t="s">
        <v>5848</v>
      </c>
      <c r="B1397" s="54" t="s">
        <v>5849</v>
      </c>
    </row>
    <row r="1398" spans="1:5" x14ac:dyDescent="0.45">
      <c r="A1398" s="53" t="s">
        <v>4388</v>
      </c>
      <c r="B1398" s="54" t="s">
        <v>4389</v>
      </c>
    </row>
    <row r="1399" spans="1:5" x14ac:dyDescent="0.45">
      <c r="A1399" s="53" t="s">
        <v>4595</v>
      </c>
      <c r="B1399" s="54" t="s">
        <v>4596</v>
      </c>
    </row>
    <row r="1400" spans="1:5" x14ac:dyDescent="0.45">
      <c r="A1400" s="53" t="s">
        <v>4707</v>
      </c>
      <c r="B1400" s="54" t="s">
        <v>4708</v>
      </c>
    </row>
    <row r="1401" spans="1:5" x14ac:dyDescent="0.45">
      <c r="A1401" s="53" t="s">
        <v>4709</v>
      </c>
      <c r="B1401" s="54" t="s">
        <v>4710</v>
      </c>
    </row>
    <row r="1402" spans="1:5" x14ac:dyDescent="0.45">
      <c r="A1402" s="53" t="s">
        <v>4726</v>
      </c>
      <c r="B1402" s="54" t="s">
        <v>4727</v>
      </c>
    </row>
    <row r="1403" spans="1:5" x14ac:dyDescent="0.45">
      <c r="A1403" s="53" t="s">
        <v>4886</v>
      </c>
      <c r="B1403" s="54" t="s">
        <v>4887</v>
      </c>
      <c r="E1403" s="10"/>
    </row>
    <row r="1404" spans="1:5" x14ac:dyDescent="0.45">
      <c r="A1404" s="53" t="s">
        <v>5175</v>
      </c>
      <c r="B1404" s="54" t="s">
        <v>5176</v>
      </c>
    </row>
    <row r="1405" spans="1:5" x14ac:dyDescent="0.45">
      <c r="A1405" s="53" t="s">
        <v>5287</v>
      </c>
      <c r="B1405" s="54" t="s">
        <v>5288</v>
      </c>
    </row>
    <row r="1406" spans="1:5" x14ac:dyDescent="0.45">
      <c r="A1406" s="53" t="s">
        <v>5511</v>
      </c>
      <c r="B1406" s="54" t="s">
        <v>5512</v>
      </c>
    </row>
    <row r="1407" spans="1:5" x14ac:dyDescent="0.45">
      <c r="A1407" s="53" t="s">
        <v>5513</v>
      </c>
      <c r="B1407" s="54" t="s">
        <v>5514</v>
      </c>
    </row>
    <row r="1408" spans="1:5" x14ac:dyDescent="0.45">
      <c r="A1408" s="53" t="s">
        <v>6052</v>
      </c>
      <c r="B1408" s="54" t="s">
        <v>6053</v>
      </c>
    </row>
    <row r="1409" spans="1:2" x14ac:dyDescent="0.45">
      <c r="A1409" s="53" t="s">
        <v>6625</v>
      </c>
      <c r="B1409" s="54" t="s">
        <v>6626</v>
      </c>
    </row>
    <row r="1410" spans="1:2" x14ac:dyDescent="0.45">
      <c r="A1410" s="53" t="s">
        <v>6627</v>
      </c>
      <c r="B1410" s="54" t="s">
        <v>6628</v>
      </c>
    </row>
    <row r="1411" spans="1:2" x14ac:dyDescent="0.45">
      <c r="A1411" s="53" t="s">
        <v>6687</v>
      </c>
      <c r="B1411" s="54" t="s">
        <v>6688</v>
      </c>
    </row>
    <row r="1412" spans="1:2" x14ac:dyDescent="0.45">
      <c r="A1412" s="53" t="s">
        <v>6725</v>
      </c>
      <c r="B1412" s="54" t="s">
        <v>6726</v>
      </c>
    </row>
    <row r="1413" spans="1:2" x14ac:dyDescent="0.45">
      <c r="A1413" s="53" t="s">
        <v>6834</v>
      </c>
      <c r="B1413" s="54" t="s">
        <v>6835</v>
      </c>
    </row>
    <row r="1414" spans="1:2" x14ac:dyDescent="0.45">
      <c r="A1414" s="53" t="s">
        <v>6851</v>
      </c>
      <c r="B1414" s="54" t="s">
        <v>6852</v>
      </c>
    </row>
    <row r="1415" spans="1:2" x14ac:dyDescent="0.45">
      <c r="A1415" s="53" t="s">
        <v>6981</v>
      </c>
      <c r="B1415" s="54" t="s">
        <v>6982</v>
      </c>
    </row>
    <row r="1416" spans="1:2" x14ac:dyDescent="0.45">
      <c r="A1416" s="53" t="s">
        <v>6989</v>
      </c>
      <c r="B1416" s="54" t="s">
        <v>6990</v>
      </c>
    </row>
    <row r="1417" spans="1:2" x14ac:dyDescent="0.45">
      <c r="A1417" s="53" t="s">
        <v>7203</v>
      </c>
      <c r="B1417" s="54" t="s">
        <v>7204</v>
      </c>
    </row>
    <row r="1418" spans="1:2" x14ac:dyDescent="0.45">
      <c r="A1418" s="53" t="s">
        <v>7367</v>
      </c>
      <c r="B1418" s="54" t="s">
        <v>7368</v>
      </c>
    </row>
    <row r="1419" spans="1:2" x14ac:dyDescent="0.45">
      <c r="A1419" s="53" t="s">
        <v>7496</v>
      </c>
      <c r="B1419" s="54" t="s">
        <v>7497</v>
      </c>
    </row>
    <row r="1420" spans="1:2" x14ac:dyDescent="0.45">
      <c r="A1420" s="53" t="s">
        <v>7619</v>
      </c>
      <c r="B1420" s="54" t="s">
        <v>7620</v>
      </c>
    </row>
    <row r="1421" spans="1:2" x14ac:dyDescent="0.45">
      <c r="A1421" s="53" t="s">
        <v>7747</v>
      </c>
      <c r="B1421" s="54" t="s">
        <v>7748</v>
      </c>
    </row>
    <row r="1422" spans="1:2" x14ac:dyDescent="0.45">
      <c r="A1422" s="53" t="s">
        <v>3864</v>
      </c>
      <c r="B1422" s="54" t="s">
        <v>3865</v>
      </c>
    </row>
    <row r="1423" spans="1:2" x14ac:dyDescent="0.45">
      <c r="A1423" s="53" t="s">
        <v>4167</v>
      </c>
      <c r="B1423" s="54" t="s">
        <v>4168</v>
      </c>
    </row>
    <row r="1424" spans="1:2" x14ac:dyDescent="0.45">
      <c r="A1424" s="53" t="s">
        <v>4201</v>
      </c>
      <c r="B1424" s="54" t="s">
        <v>4202</v>
      </c>
    </row>
    <row r="1425" spans="1:6" x14ac:dyDescent="0.45">
      <c r="A1425" s="53" t="s">
        <v>4368</v>
      </c>
      <c r="B1425" s="54" t="s">
        <v>4369</v>
      </c>
    </row>
    <row r="1426" spans="1:6" x14ac:dyDescent="0.45">
      <c r="A1426" s="53" t="s">
        <v>4522</v>
      </c>
      <c r="B1426" s="54" t="s">
        <v>4523</v>
      </c>
    </row>
    <row r="1427" spans="1:6" x14ac:dyDescent="0.45">
      <c r="A1427" s="53" t="s">
        <v>4627</v>
      </c>
      <c r="B1427" s="54" t="s">
        <v>4628</v>
      </c>
    </row>
    <row r="1428" spans="1:6" x14ac:dyDescent="0.45">
      <c r="A1428" s="53" t="s">
        <v>4633</v>
      </c>
      <c r="B1428" s="54" t="s">
        <v>4634</v>
      </c>
    </row>
    <row r="1429" spans="1:6" x14ac:dyDescent="0.45">
      <c r="A1429" s="53" t="s">
        <v>4718</v>
      </c>
      <c r="B1429" s="54" t="s">
        <v>4719</v>
      </c>
    </row>
    <row r="1430" spans="1:6" x14ac:dyDescent="0.45">
      <c r="A1430" s="53" t="s">
        <v>3688</v>
      </c>
      <c r="B1430" s="54" t="s">
        <v>3689</v>
      </c>
    </row>
    <row r="1431" spans="1:6" x14ac:dyDescent="0.45">
      <c r="A1431" s="53" t="s">
        <v>3688</v>
      </c>
      <c r="B1431" s="54" t="s">
        <v>5561</v>
      </c>
    </row>
    <row r="1432" spans="1:6" x14ac:dyDescent="0.45">
      <c r="A1432" s="53" t="s">
        <v>3688</v>
      </c>
      <c r="B1432" s="54" t="s">
        <v>8033</v>
      </c>
    </row>
    <row r="1433" spans="1:6" x14ac:dyDescent="0.45">
      <c r="A1433" s="53" t="s">
        <v>4888</v>
      </c>
      <c r="B1433" s="54" t="s">
        <v>4889</v>
      </c>
      <c r="E1433" s="10"/>
    </row>
    <row r="1434" spans="1:6" x14ac:dyDescent="0.45">
      <c r="A1434" s="53" t="s">
        <v>4993</v>
      </c>
      <c r="B1434" s="54" t="s">
        <v>4994</v>
      </c>
    </row>
    <row r="1435" spans="1:6" x14ac:dyDescent="0.45">
      <c r="A1435" s="53" t="s">
        <v>5017</v>
      </c>
      <c r="B1435" s="54" t="s">
        <v>5018</v>
      </c>
    </row>
    <row r="1436" spans="1:6" x14ac:dyDescent="0.45">
      <c r="A1436" s="53" t="s">
        <v>5030</v>
      </c>
      <c r="B1436" s="54" t="s">
        <v>5031</v>
      </c>
    </row>
    <row r="1437" spans="1:6" x14ac:dyDescent="0.45">
      <c r="A1437" s="53" t="s">
        <v>5091</v>
      </c>
      <c r="B1437" s="54" t="s">
        <v>5092</v>
      </c>
      <c r="F1437" s="10"/>
    </row>
    <row r="1438" spans="1:6" x14ac:dyDescent="0.45">
      <c r="A1438" s="53" t="s">
        <v>5163</v>
      </c>
      <c r="B1438" s="54" t="s">
        <v>5164</v>
      </c>
    </row>
    <row r="1439" spans="1:6" x14ac:dyDescent="0.45">
      <c r="A1439" s="53" t="s">
        <v>5241</v>
      </c>
      <c r="B1439" s="54" t="s">
        <v>5242</v>
      </c>
    </row>
    <row r="1440" spans="1:6" x14ac:dyDescent="0.45">
      <c r="A1440" s="53" t="s">
        <v>5277</v>
      </c>
      <c r="B1440" s="54" t="s">
        <v>5278</v>
      </c>
    </row>
    <row r="1441" spans="1:2" x14ac:dyDescent="0.45">
      <c r="A1441" s="53" t="s">
        <v>5316</v>
      </c>
      <c r="B1441" s="54" t="s">
        <v>5317</v>
      </c>
    </row>
    <row r="1442" spans="1:2" x14ac:dyDescent="0.45">
      <c r="A1442" s="53" t="s">
        <v>5430</v>
      </c>
      <c r="B1442" s="54" t="s">
        <v>5431</v>
      </c>
    </row>
    <row r="1443" spans="1:2" x14ac:dyDescent="0.45">
      <c r="A1443" s="53" t="s">
        <v>5436</v>
      </c>
      <c r="B1443" s="54" t="s">
        <v>5437</v>
      </c>
    </row>
    <row r="1444" spans="1:2" x14ac:dyDescent="0.45">
      <c r="A1444" s="53" t="s">
        <v>5047</v>
      </c>
      <c r="B1444" s="54" t="s">
        <v>5048</v>
      </c>
    </row>
    <row r="1445" spans="1:2" x14ac:dyDescent="0.45">
      <c r="A1445" s="53" t="s">
        <v>5533</v>
      </c>
      <c r="B1445" s="54" t="s">
        <v>5534</v>
      </c>
    </row>
    <row r="1446" spans="1:2" x14ac:dyDescent="0.45">
      <c r="A1446" s="53" t="s">
        <v>5761</v>
      </c>
      <c r="B1446" s="54" t="s">
        <v>5762</v>
      </c>
    </row>
    <row r="1447" spans="1:2" x14ac:dyDescent="0.45">
      <c r="A1447" s="53" t="s">
        <v>6006</v>
      </c>
      <c r="B1447" s="54" t="s">
        <v>6007</v>
      </c>
    </row>
    <row r="1448" spans="1:2" x14ac:dyDescent="0.45">
      <c r="A1448" s="53" t="s">
        <v>6100</v>
      </c>
      <c r="B1448" s="54" t="s">
        <v>6101</v>
      </c>
    </row>
    <row r="1449" spans="1:2" x14ac:dyDescent="0.45">
      <c r="A1449" s="53" t="s">
        <v>6276</v>
      </c>
      <c r="B1449" s="54" t="s">
        <v>6277</v>
      </c>
    </row>
    <row r="1450" spans="1:2" x14ac:dyDescent="0.45">
      <c r="A1450" s="53" t="s">
        <v>6595</v>
      </c>
      <c r="B1450" s="54" t="s">
        <v>6596</v>
      </c>
    </row>
    <row r="1451" spans="1:2" x14ac:dyDescent="0.45">
      <c r="A1451" s="53" t="s">
        <v>6849</v>
      </c>
      <c r="B1451" s="54" t="s">
        <v>6850</v>
      </c>
    </row>
    <row r="1452" spans="1:2" x14ac:dyDescent="0.45">
      <c r="A1452" s="53" t="s">
        <v>6853</v>
      </c>
      <c r="B1452" s="54" t="s">
        <v>6854</v>
      </c>
    </row>
    <row r="1453" spans="1:2" x14ac:dyDescent="0.45">
      <c r="A1453" s="53" t="s">
        <v>7211</v>
      </c>
      <c r="B1453" s="54" t="s">
        <v>7212</v>
      </c>
    </row>
    <row r="1454" spans="1:2" x14ac:dyDescent="0.45">
      <c r="A1454" s="53" t="s">
        <v>7540</v>
      </c>
      <c r="B1454" s="54" t="s">
        <v>7541</v>
      </c>
    </row>
    <row r="1455" spans="1:2" x14ac:dyDescent="0.45">
      <c r="A1455" s="53" t="s">
        <v>7958</v>
      </c>
      <c r="B1455" s="54" t="s">
        <v>7959</v>
      </c>
    </row>
    <row r="1456" spans="1:2" x14ac:dyDescent="0.45">
      <c r="A1456" s="53" t="s">
        <v>8190</v>
      </c>
      <c r="B1456" s="54" t="s">
        <v>8191</v>
      </c>
    </row>
    <row r="1457" spans="1:2" x14ac:dyDescent="0.45">
      <c r="A1457" s="53" t="s">
        <v>8312</v>
      </c>
      <c r="B1457" s="54" t="s">
        <v>8313</v>
      </c>
    </row>
    <row r="1458" spans="1:2" x14ac:dyDescent="0.45">
      <c r="A1458" s="53" t="s">
        <v>7866</v>
      </c>
      <c r="B1458" s="54" t="s">
        <v>7867</v>
      </c>
    </row>
    <row r="1459" spans="1:2" x14ac:dyDescent="0.45">
      <c r="A1459" s="53" t="s">
        <v>7864</v>
      </c>
      <c r="B1459" s="54" t="s">
        <v>7865</v>
      </c>
    </row>
    <row r="1460" spans="1:2" x14ac:dyDescent="0.45">
      <c r="A1460" s="53" t="s">
        <v>7862</v>
      </c>
      <c r="B1460" s="54" t="s">
        <v>7863</v>
      </c>
    </row>
    <row r="1461" spans="1:2" x14ac:dyDescent="0.45">
      <c r="A1461" s="53" t="s">
        <v>7860</v>
      </c>
      <c r="B1461" s="54" t="s">
        <v>7861</v>
      </c>
    </row>
    <row r="1462" spans="1:2" x14ac:dyDescent="0.45">
      <c r="A1462" s="53" t="s">
        <v>7858</v>
      </c>
      <c r="B1462" s="54" t="s">
        <v>7859</v>
      </c>
    </row>
    <row r="1463" spans="1:2" x14ac:dyDescent="0.45">
      <c r="A1463" s="53" t="s">
        <v>7856</v>
      </c>
      <c r="B1463" s="54" t="s">
        <v>7857</v>
      </c>
    </row>
    <row r="1464" spans="1:2" x14ac:dyDescent="0.45">
      <c r="A1464" s="53" t="s">
        <v>7841</v>
      </c>
      <c r="B1464" s="54" t="s">
        <v>7842</v>
      </c>
    </row>
    <row r="1465" spans="1:2" x14ac:dyDescent="0.45">
      <c r="A1465" s="53" t="s">
        <v>7837</v>
      </c>
      <c r="B1465" s="54" t="s">
        <v>7838</v>
      </c>
    </row>
    <row r="1466" spans="1:2" x14ac:dyDescent="0.45">
      <c r="A1466" s="53" t="s">
        <v>7886</v>
      </c>
      <c r="B1466" s="54" t="s">
        <v>7887</v>
      </c>
    </row>
    <row r="1467" spans="1:2" x14ac:dyDescent="0.45">
      <c r="A1467" s="53" t="s">
        <v>4177</v>
      </c>
      <c r="B1467" s="54" t="s">
        <v>4178</v>
      </c>
    </row>
    <row r="1468" spans="1:2" x14ac:dyDescent="0.45">
      <c r="A1468" s="53" t="s">
        <v>4183</v>
      </c>
      <c r="B1468" s="54" t="s">
        <v>4184</v>
      </c>
    </row>
    <row r="1469" spans="1:2" x14ac:dyDescent="0.45">
      <c r="A1469" s="53" t="s">
        <v>4861</v>
      </c>
      <c r="B1469" s="54" t="s">
        <v>4862</v>
      </c>
    </row>
    <row r="1470" spans="1:2" x14ac:dyDescent="0.45">
      <c r="A1470" s="53" t="s">
        <v>4907</v>
      </c>
      <c r="B1470" s="54" t="s">
        <v>4908</v>
      </c>
    </row>
    <row r="1471" spans="1:2" x14ac:dyDescent="0.45">
      <c r="A1471" s="53" t="s">
        <v>4909</v>
      </c>
      <c r="B1471" s="54" t="s">
        <v>4910</v>
      </c>
    </row>
    <row r="1472" spans="1:2" x14ac:dyDescent="0.45">
      <c r="A1472" s="53" t="s">
        <v>5113</v>
      </c>
      <c r="B1472" s="54" t="s">
        <v>5114</v>
      </c>
    </row>
    <row r="1473" spans="1:2" x14ac:dyDescent="0.45">
      <c r="A1473" s="53" t="s">
        <v>5130</v>
      </c>
      <c r="B1473" s="54" t="s">
        <v>5131</v>
      </c>
    </row>
    <row r="1474" spans="1:2" x14ac:dyDescent="0.45">
      <c r="A1474" s="53" t="s">
        <v>5139</v>
      </c>
      <c r="B1474" s="54" t="s">
        <v>5140</v>
      </c>
    </row>
    <row r="1475" spans="1:2" x14ac:dyDescent="0.45">
      <c r="A1475" s="53" t="s">
        <v>5251</v>
      </c>
      <c r="B1475" s="54" t="s">
        <v>5252</v>
      </c>
    </row>
    <row r="1476" spans="1:2" x14ac:dyDescent="0.45">
      <c r="A1476" s="53" t="s">
        <v>5433</v>
      </c>
      <c r="B1476" s="54" t="s">
        <v>5434</v>
      </c>
    </row>
    <row r="1477" spans="1:2" x14ac:dyDescent="0.45">
      <c r="A1477" s="53" t="s">
        <v>5460</v>
      </c>
      <c r="B1477" s="54" t="s">
        <v>5461</v>
      </c>
    </row>
    <row r="1478" spans="1:2" x14ac:dyDescent="0.45">
      <c r="A1478" s="53" t="s">
        <v>5473</v>
      </c>
      <c r="B1478" s="54" t="s">
        <v>5474</v>
      </c>
    </row>
    <row r="1479" spans="1:2" x14ac:dyDescent="0.45">
      <c r="A1479" s="53" t="s">
        <v>5538</v>
      </c>
      <c r="B1479" s="54" t="s">
        <v>5539</v>
      </c>
    </row>
    <row r="1480" spans="1:2" x14ac:dyDescent="0.45">
      <c r="A1480" s="53" t="s">
        <v>5558</v>
      </c>
      <c r="B1480" s="54" t="s">
        <v>5559</v>
      </c>
    </row>
    <row r="1481" spans="1:2" x14ac:dyDescent="0.45">
      <c r="A1481" s="53" t="s">
        <v>5579</v>
      </c>
      <c r="B1481" s="54" t="s">
        <v>5580</v>
      </c>
    </row>
    <row r="1482" spans="1:2" x14ac:dyDescent="0.45">
      <c r="A1482" s="53" t="s">
        <v>5997</v>
      </c>
      <c r="B1482" s="54" t="s">
        <v>5998</v>
      </c>
    </row>
    <row r="1483" spans="1:2" x14ac:dyDescent="0.45">
      <c r="A1483" s="53" t="s">
        <v>6208</v>
      </c>
      <c r="B1483" s="54" t="s">
        <v>6209</v>
      </c>
    </row>
    <row r="1484" spans="1:2" x14ac:dyDescent="0.45">
      <c r="A1484" s="53" t="s">
        <v>6214</v>
      </c>
      <c r="B1484" s="54" t="s">
        <v>6215</v>
      </c>
    </row>
    <row r="1485" spans="1:2" x14ac:dyDescent="0.45">
      <c r="A1485" s="53" t="s">
        <v>6224</v>
      </c>
      <c r="B1485" s="54" t="s">
        <v>6225</v>
      </c>
    </row>
    <row r="1486" spans="1:2" x14ac:dyDescent="0.45">
      <c r="A1486" s="53" t="s">
        <v>6250</v>
      </c>
      <c r="B1486" s="54" t="s">
        <v>6251</v>
      </c>
    </row>
    <row r="1487" spans="1:2" x14ac:dyDescent="0.45">
      <c r="A1487" s="53" t="s">
        <v>6525</v>
      </c>
      <c r="B1487" s="54" t="s">
        <v>6526</v>
      </c>
    </row>
    <row r="1488" spans="1:2" x14ac:dyDescent="0.45">
      <c r="A1488" s="53" t="s">
        <v>6553</v>
      </c>
      <c r="B1488" s="54" t="s">
        <v>6554</v>
      </c>
    </row>
    <row r="1489" spans="1:2" x14ac:dyDescent="0.45">
      <c r="A1489" s="53" t="s">
        <v>6610</v>
      </c>
      <c r="B1489" s="54" t="s">
        <v>6611</v>
      </c>
    </row>
    <row r="1490" spans="1:2" x14ac:dyDescent="0.45">
      <c r="A1490" s="53" t="s">
        <v>6747</v>
      </c>
      <c r="B1490" s="54" t="s">
        <v>6748</v>
      </c>
    </row>
    <row r="1491" spans="1:2" x14ac:dyDescent="0.45">
      <c r="A1491" s="53" t="s">
        <v>6943</v>
      </c>
      <c r="B1491" s="54" t="s">
        <v>6944</v>
      </c>
    </row>
    <row r="1492" spans="1:2" x14ac:dyDescent="0.45">
      <c r="A1492" s="53" t="s">
        <v>6962</v>
      </c>
      <c r="B1492" s="54" t="s">
        <v>6963</v>
      </c>
    </row>
    <row r="1493" spans="1:2" x14ac:dyDescent="0.45">
      <c r="A1493" s="53" t="s">
        <v>7103</v>
      </c>
      <c r="B1493" s="54" t="s">
        <v>7104</v>
      </c>
    </row>
    <row r="1494" spans="1:2" x14ac:dyDescent="0.45">
      <c r="A1494" s="53" t="s">
        <v>7240</v>
      </c>
      <c r="B1494" s="54" t="s">
        <v>7241</v>
      </c>
    </row>
    <row r="1495" spans="1:2" x14ac:dyDescent="0.45">
      <c r="A1495" s="53" t="s">
        <v>7383</v>
      </c>
      <c r="B1495" s="54" t="s">
        <v>7384</v>
      </c>
    </row>
    <row r="1496" spans="1:2" x14ac:dyDescent="0.45">
      <c r="A1496" s="53" t="s">
        <v>7573</v>
      </c>
      <c r="B1496" s="54" t="s">
        <v>7574</v>
      </c>
    </row>
    <row r="1497" spans="1:2" x14ac:dyDescent="0.45">
      <c r="A1497" s="53" t="s">
        <v>7752</v>
      </c>
      <c r="B1497" s="54" t="s">
        <v>7753</v>
      </c>
    </row>
    <row r="1498" spans="1:2" x14ac:dyDescent="0.45">
      <c r="A1498" s="53" t="s">
        <v>8156</v>
      </c>
      <c r="B1498" s="54" t="s">
        <v>8157</v>
      </c>
    </row>
    <row r="1499" spans="1:2" x14ac:dyDescent="0.45">
      <c r="A1499" s="53" t="s">
        <v>8254</v>
      </c>
      <c r="B1499" s="54" t="s">
        <v>8255</v>
      </c>
    </row>
    <row r="1500" spans="1:2" x14ac:dyDescent="0.45">
      <c r="A1500" s="53" t="s">
        <v>4903</v>
      </c>
      <c r="B1500" s="54" t="s">
        <v>4904</v>
      </c>
    </row>
    <row r="1501" spans="1:2" x14ac:dyDescent="0.45">
      <c r="A1501" s="53" t="s">
        <v>4920</v>
      </c>
      <c r="B1501" s="54" t="s">
        <v>4921</v>
      </c>
    </row>
    <row r="1502" spans="1:2" x14ac:dyDescent="0.45">
      <c r="A1502" s="53" t="s">
        <v>5261</v>
      </c>
      <c r="B1502" s="54" t="s">
        <v>5262</v>
      </c>
    </row>
    <row r="1503" spans="1:2" x14ac:dyDescent="0.45">
      <c r="A1503" s="53" t="s">
        <v>7870</v>
      </c>
      <c r="B1503" s="54" t="s">
        <v>7871</v>
      </c>
    </row>
    <row r="1504" spans="1:2" x14ac:dyDescent="0.45">
      <c r="A1504" s="53" t="s">
        <v>4374</v>
      </c>
      <c r="B1504" s="54" t="s">
        <v>4375</v>
      </c>
    </row>
    <row r="1505" spans="1:5" x14ac:dyDescent="0.45">
      <c r="A1505" s="53" t="s">
        <v>4280</v>
      </c>
      <c r="B1505" s="54" t="s">
        <v>4281</v>
      </c>
      <c r="E1505" s="10"/>
    </row>
    <row r="1506" spans="1:5" x14ac:dyDescent="0.45">
      <c r="A1506" s="53" t="s">
        <v>4306</v>
      </c>
      <c r="B1506" s="54" t="s">
        <v>4307</v>
      </c>
    </row>
    <row r="1507" spans="1:5" x14ac:dyDescent="0.45">
      <c r="A1507" s="53" t="s">
        <v>4225</v>
      </c>
      <c r="B1507" s="54" t="s">
        <v>4226</v>
      </c>
    </row>
    <row r="1508" spans="1:5" x14ac:dyDescent="0.45">
      <c r="A1508" s="53" t="s">
        <v>6062</v>
      </c>
      <c r="B1508" s="54" t="s">
        <v>6063</v>
      </c>
    </row>
    <row r="1509" spans="1:5" x14ac:dyDescent="0.45">
      <c r="A1509" s="53" t="s">
        <v>5980</v>
      </c>
      <c r="B1509" s="54" t="s">
        <v>5981</v>
      </c>
    </row>
    <row r="1510" spans="1:5" x14ac:dyDescent="0.45">
      <c r="A1510" s="53" t="s">
        <v>5967</v>
      </c>
      <c r="B1510" s="54" t="s">
        <v>5968</v>
      </c>
    </row>
    <row r="1511" spans="1:5" x14ac:dyDescent="0.45">
      <c r="A1511" s="53" t="s">
        <v>5731</v>
      </c>
      <c r="B1511" s="54" t="s">
        <v>5732</v>
      </c>
    </row>
    <row r="1512" spans="1:5" x14ac:dyDescent="0.45">
      <c r="A1512" s="53" t="s">
        <v>5643</v>
      </c>
      <c r="B1512" s="54" t="s">
        <v>5644</v>
      </c>
    </row>
    <row r="1513" spans="1:5" x14ac:dyDescent="0.45">
      <c r="A1513" s="53" t="s">
        <v>5566</v>
      </c>
      <c r="B1513" s="54" t="s">
        <v>5567</v>
      </c>
    </row>
    <row r="1514" spans="1:5" x14ac:dyDescent="0.45">
      <c r="A1514" s="53" t="s">
        <v>7141</v>
      </c>
      <c r="B1514" s="54" t="s">
        <v>7142</v>
      </c>
    </row>
    <row r="1515" spans="1:5" x14ac:dyDescent="0.45">
      <c r="A1515" s="53" t="s">
        <v>7278</v>
      </c>
      <c r="B1515" s="54" t="s">
        <v>7279</v>
      </c>
    </row>
    <row r="1516" spans="1:5" x14ac:dyDescent="0.45">
      <c r="A1516" s="53" t="s">
        <v>8140</v>
      </c>
      <c r="B1516" s="54" t="s">
        <v>8141</v>
      </c>
    </row>
    <row r="1517" spans="1:5" x14ac:dyDescent="0.45">
      <c r="A1517" s="53" t="s">
        <v>8102</v>
      </c>
      <c r="B1517" s="54" t="s">
        <v>8103</v>
      </c>
    </row>
    <row r="1518" spans="1:5" x14ac:dyDescent="0.45">
      <c r="A1518" s="53" t="s">
        <v>8079</v>
      </c>
      <c r="B1518" s="54" t="s">
        <v>8080</v>
      </c>
    </row>
    <row r="1519" spans="1:5" x14ac:dyDescent="0.45">
      <c r="A1519" s="53" t="s">
        <v>7923</v>
      </c>
      <c r="B1519" s="54" t="s">
        <v>7924</v>
      </c>
    </row>
    <row r="1520" spans="1:5" x14ac:dyDescent="0.45">
      <c r="A1520" s="53" t="s">
        <v>8300</v>
      </c>
      <c r="B1520" s="54" t="s">
        <v>8301</v>
      </c>
    </row>
    <row r="1521" spans="1:2" x14ac:dyDescent="0.45">
      <c r="A1521" s="53" t="s">
        <v>8259</v>
      </c>
      <c r="B1521" s="54" t="s">
        <v>8260</v>
      </c>
    </row>
    <row r="1522" spans="1:2" x14ac:dyDescent="0.45">
      <c r="A1522" s="53" t="s">
        <v>7419</v>
      </c>
      <c r="B1522" s="54" t="s">
        <v>7420</v>
      </c>
    </row>
    <row r="1523" spans="1:2" x14ac:dyDescent="0.45">
      <c r="A1523" s="53" t="s">
        <v>7509</v>
      </c>
      <c r="B1523" s="54" t="s">
        <v>7510</v>
      </c>
    </row>
    <row r="1524" spans="1:2" x14ac:dyDescent="0.45">
      <c r="A1524" s="53" t="s">
        <v>6079</v>
      </c>
      <c r="B1524" s="54" t="s">
        <v>6080</v>
      </c>
    </row>
    <row r="1525" spans="1:2" x14ac:dyDescent="0.45">
      <c r="A1525" s="53" t="s">
        <v>7599</v>
      </c>
      <c r="B1525" s="54" t="s">
        <v>7600</v>
      </c>
    </row>
    <row r="1526" spans="1:2" x14ac:dyDescent="0.45">
      <c r="A1526" s="53" t="s">
        <v>7603</v>
      </c>
      <c r="B1526" s="54" t="s">
        <v>7604</v>
      </c>
    </row>
    <row r="1527" spans="1:2" x14ac:dyDescent="0.45">
      <c r="A1527" s="53" t="s">
        <v>7686</v>
      </c>
      <c r="B1527" s="54" t="s">
        <v>7687</v>
      </c>
    </row>
    <row r="1528" spans="1:2" x14ac:dyDescent="0.45">
      <c r="A1528" s="53" t="s">
        <v>4583</v>
      </c>
      <c r="B1528" s="54" t="s">
        <v>4584</v>
      </c>
    </row>
    <row r="1529" spans="1:2" x14ac:dyDescent="0.45">
      <c r="A1529" s="53" t="s">
        <v>4493</v>
      </c>
      <c r="B1529" s="54" t="s">
        <v>4494</v>
      </c>
    </row>
    <row r="1530" spans="1:2" x14ac:dyDescent="0.45">
      <c r="A1530" s="53" t="s">
        <v>4464</v>
      </c>
      <c r="B1530" s="54" t="s">
        <v>4465</v>
      </c>
    </row>
    <row r="1531" spans="1:2" x14ac:dyDescent="0.45">
      <c r="A1531" s="53" t="s">
        <v>4330</v>
      </c>
      <c r="B1531" s="54" t="s">
        <v>4331</v>
      </c>
    </row>
    <row r="1532" spans="1:2" x14ac:dyDescent="0.45">
      <c r="A1532" s="53" t="s">
        <v>4326</v>
      </c>
      <c r="B1532" s="54" t="s">
        <v>4327</v>
      </c>
    </row>
    <row r="1533" spans="1:2" x14ac:dyDescent="0.45">
      <c r="A1533" s="53" t="s">
        <v>4192</v>
      </c>
      <c r="B1533" s="54" t="s">
        <v>4193</v>
      </c>
    </row>
    <row r="1534" spans="1:2" x14ac:dyDescent="0.45">
      <c r="A1534" s="53" t="s">
        <v>4121</v>
      </c>
      <c r="B1534" s="54" t="s">
        <v>4122</v>
      </c>
    </row>
    <row r="1535" spans="1:2" x14ac:dyDescent="0.45">
      <c r="A1535" s="53" t="s">
        <v>4030</v>
      </c>
      <c r="B1535" s="54" t="s">
        <v>4031</v>
      </c>
    </row>
    <row r="1536" spans="1:2" x14ac:dyDescent="0.45">
      <c r="A1536" s="53" t="s">
        <v>3917</v>
      </c>
      <c r="B1536" s="54" t="s">
        <v>3918</v>
      </c>
    </row>
    <row r="1537" spans="1:5" x14ac:dyDescent="0.45">
      <c r="A1537" s="53" t="s">
        <v>6506</v>
      </c>
      <c r="B1537" s="54" t="s">
        <v>6507</v>
      </c>
    </row>
    <row r="1538" spans="1:5" x14ac:dyDescent="0.45">
      <c r="A1538" s="53" t="s">
        <v>6478</v>
      </c>
      <c r="B1538" s="54" t="s">
        <v>6479</v>
      </c>
    </row>
    <row r="1539" spans="1:5" x14ac:dyDescent="0.45">
      <c r="A1539" s="53" t="s">
        <v>6422</v>
      </c>
      <c r="B1539" s="54" t="s">
        <v>6423</v>
      </c>
    </row>
    <row r="1540" spans="1:5" x14ac:dyDescent="0.45">
      <c r="A1540" s="53" t="s">
        <v>6238</v>
      </c>
      <c r="B1540" s="54" t="s">
        <v>6239</v>
      </c>
    </row>
    <row r="1541" spans="1:5" x14ac:dyDescent="0.45">
      <c r="A1541" s="53" t="s">
        <v>7033</v>
      </c>
      <c r="B1541" s="54" t="s">
        <v>7034</v>
      </c>
    </row>
    <row r="1542" spans="1:5" x14ac:dyDescent="0.45">
      <c r="A1542" s="53" t="s">
        <v>3731</v>
      </c>
      <c r="B1542" s="54" t="s">
        <v>3732</v>
      </c>
      <c r="E1542" s="10"/>
    </row>
    <row r="1543" spans="1:5" x14ac:dyDescent="0.45">
      <c r="A1543" s="53" t="s">
        <v>4175</v>
      </c>
      <c r="B1543" s="54" t="s">
        <v>4176</v>
      </c>
    </row>
    <row r="1544" spans="1:5" x14ac:dyDescent="0.45">
      <c r="A1544" s="53" t="s">
        <v>5137</v>
      </c>
      <c r="B1544" s="54" t="s">
        <v>5138</v>
      </c>
    </row>
    <row r="1545" spans="1:5" x14ac:dyDescent="0.45">
      <c r="A1545" s="53" t="s">
        <v>6604</v>
      </c>
      <c r="B1545" s="54" t="s">
        <v>6605</v>
      </c>
    </row>
    <row r="1546" spans="1:5" x14ac:dyDescent="0.45">
      <c r="A1546" s="53" t="s">
        <v>6512</v>
      </c>
      <c r="B1546" s="54" t="s">
        <v>6513</v>
      </c>
    </row>
    <row r="1547" spans="1:5" x14ac:dyDescent="0.45">
      <c r="A1547" s="53" t="s">
        <v>6463</v>
      </c>
      <c r="B1547" s="54" t="s">
        <v>6464</v>
      </c>
    </row>
    <row r="1548" spans="1:5" x14ac:dyDescent="0.45">
      <c r="A1548" s="53" t="s">
        <v>5422</v>
      </c>
      <c r="B1548" s="54" t="s">
        <v>5423</v>
      </c>
    </row>
    <row r="1549" spans="1:5" x14ac:dyDescent="0.45">
      <c r="A1549" s="53" t="s">
        <v>4771</v>
      </c>
      <c r="B1549" s="54" t="s">
        <v>4772</v>
      </c>
    </row>
    <row r="1550" spans="1:5" x14ac:dyDescent="0.45">
      <c r="A1550" s="53" t="s">
        <v>4516</v>
      </c>
      <c r="B1550" s="54" t="s">
        <v>4517</v>
      </c>
    </row>
    <row r="1551" spans="1:5" x14ac:dyDescent="0.45">
      <c r="A1551" s="53" t="s">
        <v>7835</v>
      </c>
      <c r="B1551" s="54" t="s">
        <v>7836</v>
      </c>
    </row>
    <row r="1552" spans="1:5" x14ac:dyDescent="0.45">
      <c r="A1552" s="53" t="s">
        <v>3867</v>
      </c>
      <c r="B1552" s="54" t="s">
        <v>3868</v>
      </c>
    </row>
    <row r="1553" spans="1:5" x14ac:dyDescent="0.45">
      <c r="A1553" s="53" t="s">
        <v>4607</v>
      </c>
      <c r="B1553" s="54" t="s">
        <v>4608</v>
      </c>
    </row>
    <row r="1554" spans="1:5" x14ac:dyDescent="0.45">
      <c r="A1554" s="53" t="s">
        <v>4650</v>
      </c>
      <c r="B1554" s="54" t="s">
        <v>4651</v>
      </c>
    </row>
    <row r="1555" spans="1:5" x14ac:dyDescent="0.45">
      <c r="A1555" s="53" t="s">
        <v>5161</v>
      </c>
      <c r="B1555" s="54" t="s">
        <v>5162</v>
      </c>
    </row>
    <row r="1556" spans="1:5" x14ac:dyDescent="0.45">
      <c r="A1556" s="53" t="s">
        <v>5491</v>
      </c>
      <c r="B1556" s="54" t="s">
        <v>5492</v>
      </c>
    </row>
    <row r="1557" spans="1:5" x14ac:dyDescent="0.45">
      <c r="A1557" s="53" t="s">
        <v>6925</v>
      </c>
      <c r="B1557" s="54" t="s">
        <v>6926</v>
      </c>
    </row>
    <row r="1558" spans="1:5" x14ac:dyDescent="0.45">
      <c r="A1558" s="53" t="s">
        <v>6132</v>
      </c>
      <c r="B1558" s="54" t="s">
        <v>6133</v>
      </c>
    </row>
    <row r="1559" spans="1:5" x14ac:dyDescent="0.45">
      <c r="A1559" s="53" t="s">
        <v>5466</v>
      </c>
      <c r="B1559" s="54" t="s">
        <v>5467</v>
      </c>
    </row>
    <row r="1560" spans="1:5" x14ac:dyDescent="0.45">
      <c r="A1560" s="53" t="s">
        <v>6787</v>
      </c>
      <c r="B1560" s="54" t="s">
        <v>6788</v>
      </c>
    </row>
    <row r="1561" spans="1:5" x14ac:dyDescent="0.45">
      <c r="A1561" s="53" t="s">
        <v>6965</v>
      </c>
      <c r="B1561" s="54" t="s">
        <v>6966</v>
      </c>
    </row>
    <row r="1562" spans="1:5" x14ac:dyDescent="0.45">
      <c r="A1562" s="53" t="s">
        <v>3981</v>
      </c>
      <c r="B1562" s="54" t="s">
        <v>3982</v>
      </c>
    </row>
    <row r="1563" spans="1:5" x14ac:dyDescent="0.45">
      <c r="A1563" s="53" t="s">
        <v>4743</v>
      </c>
      <c r="B1563" s="54" t="s">
        <v>4744</v>
      </c>
    </row>
    <row r="1564" spans="1:5" x14ac:dyDescent="0.45">
      <c r="A1564" s="53" t="s">
        <v>4752</v>
      </c>
      <c r="B1564" s="54" t="s">
        <v>4753</v>
      </c>
    </row>
    <row r="1565" spans="1:5" x14ac:dyDescent="0.45">
      <c r="A1565" s="53" t="s">
        <v>4873</v>
      </c>
      <c r="B1565" s="54" t="s">
        <v>4874</v>
      </c>
      <c r="E1565" s="10"/>
    </row>
    <row r="1566" spans="1:5" x14ac:dyDescent="0.45">
      <c r="A1566" s="53" t="s">
        <v>4971</v>
      </c>
      <c r="B1566" s="54" t="s">
        <v>4972</v>
      </c>
      <c r="C1566" s="11"/>
    </row>
    <row r="1567" spans="1:5" x14ac:dyDescent="0.45">
      <c r="A1567" s="53" t="s">
        <v>5185</v>
      </c>
      <c r="B1567" s="54" t="s">
        <v>5186</v>
      </c>
    </row>
    <row r="1568" spans="1:5" x14ac:dyDescent="0.45">
      <c r="A1568" s="53" t="s">
        <v>5327</v>
      </c>
      <c r="B1568" s="54" t="s">
        <v>5328</v>
      </c>
    </row>
    <row r="1569" spans="1:6" x14ac:dyDescent="0.45">
      <c r="A1569" s="53" t="s">
        <v>5616</v>
      </c>
      <c r="B1569" s="54" t="s">
        <v>5617</v>
      </c>
    </row>
    <row r="1570" spans="1:6" x14ac:dyDescent="0.45">
      <c r="A1570" s="53" t="s">
        <v>5737</v>
      </c>
      <c r="B1570" s="54" t="s">
        <v>5738</v>
      </c>
    </row>
    <row r="1571" spans="1:6" x14ac:dyDescent="0.45">
      <c r="A1571" s="53" t="s">
        <v>5783</v>
      </c>
      <c r="B1571" s="54" t="s">
        <v>5784</v>
      </c>
    </row>
    <row r="1572" spans="1:6" x14ac:dyDescent="0.45">
      <c r="A1572" s="53" t="s">
        <v>6539</v>
      </c>
      <c r="B1572" s="54" t="s">
        <v>6540</v>
      </c>
    </row>
    <row r="1573" spans="1:6" x14ac:dyDescent="0.45">
      <c r="A1573" s="53" t="s">
        <v>6959</v>
      </c>
      <c r="B1573" s="54" t="s">
        <v>6960</v>
      </c>
    </row>
    <row r="1574" spans="1:6" x14ac:dyDescent="0.45">
      <c r="A1574" s="53" t="s">
        <v>7132</v>
      </c>
      <c r="B1574" s="54" t="s">
        <v>7133</v>
      </c>
    </row>
    <row r="1575" spans="1:6" x14ac:dyDescent="0.45">
      <c r="A1575" s="53" t="s">
        <v>7266</v>
      </c>
      <c r="B1575" s="54" t="s">
        <v>7267</v>
      </c>
    </row>
    <row r="1576" spans="1:6" x14ac:dyDescent="0.45">
      <c r="A1576" s="53" t="s">
        <v>8209</v>
      </c>
      <c r="B1576" s="54" t="s">
        <v>8210</v>
      </c>
    </row>
    <row r="1577" spans="1:6" x14ac:dyDescent="0.45">
      <c r="A1577" s="53" t="s">
        <v>3750</v>
      </c>
      <c r="B1577" s="54" t="s">
        <v>3751</v>
      </c>
    </row>
    <row r="1578" spans="1:6" x14ac:dyDescent="0.45">
      <c r="A1578" s="53" t="s">
        <v>5420</v>
      </c>
      <c r="B1578" s="54" t="s">
        <v>5421</v>
      </c>
      <c r="E1578" s="45"/>
      <c r="F1578" s="45"/>
    </row>
    <row r="1579" spans="1:6" x14ac:dyDescent="0.45">
      <c r="A1579" s="53" t="s">
        <v>6050</v>
      </c>
      <c r="B1579" s="54" t="s">
        <v>6051</v>
      </c>
      <c r="E1579" s="45"/>
      <c r="F1579" s="45"/>
    </row>
    <row r="1580" spans="1:6" x14ac:dyDescent="0.45">
      <c r="A1580" s="53" t="s">
        <v>6098</v>
      </c>
      <c r="B1580" s="54" t="s">
        <v>6099</v>
      </c>
      <c r="E1580" s="45"/>
      <c r="F1580" s="45"/>
    </row>
    <row r="1581" spans="1:6" x14ac:dyDescent="0.45">
      <c r="A1581" s="53" t="s">
        <v>6567</v>
      </c>
      <c r="B1581" s="54" t="s">
        <v>6568</v>
      </c>
    </row>
    <row r="1582" spans="1:6" x14ac:dyDescent="0.45">
      <c r="A1582" s="53" t="s">
        <v>6601</v>
      </c>
      <c r="B1582" s="54" t="s">
        <v>6602</v>
      </c>
    </row>
    <row r="1583" spans="1:6" x14ac:dyDescent="0.45">
      <c r="A1583" s="53" t="s">
        <v>6796</v>
      </c>
      <c r="B1583" s="54" t="s">
        <v>6797</v>
      </c>
    </row>
    <row r="1584" spans="1:6" x14ac:dyDescent="0.45">
      <c r="A1584" s="53" t="s">
        <v>7163</v>
      </c>
      <c r="B1584" s="54" t="s">
        <v>7164</v>
      </c>
    </row>
    <row r="1585" spans="1:3" x14ac:dyDescent="0.45">
      <c r="A1585" s="53" t="s">
        <v>7165</v>
      </c>
      <c r="B1585" s="54" t="s">
        <v>7166</v>
      </c>
    </row>
    <row r="1586" spans="1:3" x14ac:dyDescent="0.45">
      <c r="A1586" s="53" t="s">
        <v>7167</v>
      </c>
      <c r="B1586" s="54" t="s">
        <v>7168</v>
      </c>
    </row>
    <row r="1587" spans="1:3" x14ac:dyDescent="0.45">
      <c r="A1587" s="53" t="s">
        <v>7872</v>
      </c>
      <c r="B1587" s="54" t="s">
        <v>7873</v>
      </c>
    </row>
    <row r="1588" spans="1:3" x14ac:dyDescent="0.45">
      <c r="A1588" s="53" t="s">
        <v>4815</v>
      </c>
      <c r="B1588" s="54" t="s">
        <v>4816</v>
      </c>
    </row>
    <row r="1589" spans="1:3" x14ac:dyDescent="0.45">
      <c r="A1589" s="53" t="s">
        <v>4996</v>
      </c>
      <c r="B1589" s="54" t="s">
        <v>4997</v>
      </c>
    </row>
    <row r="1590" spans="1:3" x14ac:dyDescent="0.45">
      <c r="A1590" s="53" t="s">
        <v>5117</v>
      </c>
      <c r="B1590" s="54" t="s">
        <v>5118</v>
      </c>
    </row>
    <row r="1591" spans="1:3" x14ac:dyDescent="0.45">
      <c r="A1591" s="53" t="s">
        <v>4978</v>
      </c>
      <c r="B1591" s="54" t="s">
        <v>4979</v>
      </c>
      <c r="C1591" s="11"/>
    </row>
    <row r="1592" spans="1:3" x14ac:dyDescent="0.45">
      <c r="A1592" s="53" t="s">
        <v>5445</v>
      </c>
      <c r="B1592" s="54" t="s">
        <v>5446</v>
      </c>
    </row>
    <row r="1593" spans="1:3" x14ac:dyDescent="0.45">
      <c r="A1593" s="53" t="s">
        <v>5562</v>
      </c>
      <c r="B1593" s="54" t="s">
        <v>5563</v>
      </c>
    </row>
    <row r="1594" spans="1:3" x14ac:dyDescent="0.45">
      <c r="A1594" s="53" t="s">
        <v>6510</v>
      </c>
      <c r="B1594" s="54" t="s">
        <v>6511</v>
      </c>
    </row>
    <row r="1595" spans="1:3" x14ac:dyDescent="0.45">
      <c r="A1595" s="53" t="s">
        <v>6636</v>
      </c>
      <c r="B1595" s="54" t="s">
        <v>6637</v>
      </c>
    </row>
    <row r="1596" spans="1:3" x14ac:dyDescent="0.45">
      <c r="A1596" s="53" t="s">
        <v>6802</v>
      </c>
      <c r="B1596" s="54" t="s">
        <v>6803</v>
      </c>
    </row>
    <row r="1597" spans="1:3" x14ac:dyDescent="0.45">
      <c r="A1597" s="53" t="s">
        <v>6804</v>
      </c>
      <c r="B1597" s="54" t="s">
        <v>6805</v>
      </c>
    </row>
    <row r="1598" spans="1:3" x14ac:dyDescent="0.45">
      <c r="A1598" s="53" t="s">
        <v>7650</v>
      </c>
      <c r="B1598" s="54" t="s">
        <v>7651</v>
      </c>
    </row>
    <row r="1599" spans="1:3" x14ac:dyDescent="0.45">
      <c r="A1599" s="53" t="s">
        <v>7703</v>
      </c>
      <c r="B1599" s="54" t="s">
        <v>7704</v>
      </c>
    </row>
    <row r="1600" spans="1:3" x14ac:dyDescent="0.45">
      <c r="A1600" s="53" t="s">
        <v>8271</v>
      </c>
      <c r="B1600" s="54" t="s">
        <v>8272</v>
      </c>
    </row>
    <row r="1601" spans="1:5" x14ac:dyDescent="0.45">
      <c r="A1601" s="53" t="s">
        <v>4383</v>
      </c>
      <c r="B1601" s="54" t="s">
        <v>4384</v>
      </c>
    </row>
    <row r="1602" spans="1:5" x14ac:dyDescent="0.45">
      <c r="A1602" s="53" t="s">
        <v>4416</v>
      </c>
      <c r="B1602" s="54" t="s">
        <v>4417</v>
      </c>
      <c r="E1602" s="10"/>
    </row>
    <row r="1603" spans="1:5" x14ac:dyDescent="0.45">
      <c r="A1603" s="53" t="s">
        <v>4790</v>
      </c>
      <c r="B1603" s="54" t="s">
        <v>4791</v>
      </c>
    </row>
    <row r="1604" spans="1:5" x14ac:dyDescent="0.45">
      <c r="A1604" s="53" t="s">
        <v>4894</v>
      </c>
      <c r="B1604" s="54" t="s">
        <v>4895</v>
      </c>
      <c r="E1604" s="10"/>
    </row>
    <row r="1605" spans="1:5" x14ac:dyDescent="0.45">
      <c r="A1605" s="53" t="s">
        <v>4960</v>
      </c>
      <c r="B1605" s="54" t="s">
        <v>4961</v>
      </c>
      <c r="C1605" s="11"/>
    </row>
    <row r="1606" spans="1:5" x14ac:dyDescent="0.45">
      <c r="A1606" s="53" t="s">
        <v>4982</v>
      </c>
      <c r="B1606" s="54" t="s">
        <v>4983</v>
      </c>
    </row>
    <row r="1607" spans="1:5" x14ac:dyDescent="0.45">
      <c r="A1607" s="53" t="s">
        <v>5222</v>
      </c>
      <c r="B1607" s="54" t="s">
        <v>5223</v>
      </c>
    </row>
    <row r="1608" spans="1:5" x14ac:dyDescent="0.45">
      <c r="A1608" s="53" t="s">
        <v>5499</v>
      </c>
      <c r="B1608" s="54" t="s">
        <v>5500</v>
      </c>
    </row>
    <row r="1609" spans="1:5" x14ac:dyDescent="0.45">
      <c r="A1609" s="53" t="s">
        <v>5518</v>
      </c>
      <c r="B1609" s="54" t="s">
        <v>5519</v>
      </c>
    </row>
    <row r="1610" spans="1:5" x14ac:dyDescent="0.45">
      <c r="A1610" s="53" t="s">
        <v>6660</v>
      </c>
      <c r="B1610" s="54" t="s">
        <v>6661</v>
      </c>
    </row>
    <row r="1611" spans="1:5" x14ac:dyDescent="0.45">
      <c r="A1611" s="53" t="s">
        <v>6743</v>
      </c>
      <c r="B1611" s="54" t="s">
        <v>6744</v>
      </c>
    </row>
    <row r="1612" spans="1:5" x14ac:dyDescent="0.45">
      <c r="A1612" s="53" t="s">
        <v>6754</v>
      </c>
      <c r="B1612" s="54" t="s">
        <v>6755</v>
      </c>
    </row>
    <row r="1613" spans="1:5" x14ac:dyDescent="0.45">
      <c r="A1613" s="53" t="s">
        <v>7194</v>
      </c>
      <c r="B1613" s="54" t="s">
        <v>7195</v>
      </c>
    </row>
    <row r="1614" spans="1:5" x14ac:dyDescent="0.45">
      <c r="A1614" s="53" t="s">
        <v>7517</v>
      </c>
      <c r="B1614" s="54" t="s">
        <v>7518</v>
      </c>
    </row>
    <row r="1615" spans="1:5" x14ac:dyDescent="0.45">
      <c r="A1615" s="53" t="s">
        <v>7551</v>
      </c>
      <c r="B1615" s="54" t="s">
        <v>7552</v>
      </c>
    </row>
    <row r="1616" spans="1:5" x14ac:dyDescent="0.45">
      <c r="A1616" s="53" t="s">
        <v>7982</v>
      </c>
      <c r="B1616" s="54" t="s">
        <v>7983</v>
      </c>
    </row>
    <row r="1617" spans="1:5" x14ac:dyDescent="0.45">
      <c r="A1617" s="53" t="s">
        <v>8146</v>
      </c>
      <c r="B1617" s="54" t="s">
        <v>8147</v>
      </c>
    </row>
    <row r="1618" spans="1:5" x14ac:dyDescent="0.45">
      <c r="A1618" s="53" t="s">
        <v>4304</v>
      </c>
      <c r="B1618" s="54" t="s">
        <v>4305</v>
      </c>
    </row>
    <row r="1619" spans="1:5" x14ac:dyDescent="0.45">
      <c r="A1619" s="53" t="s">
        <v>4897</v>
      </c>
      <c r="B1619" s="54" t="s">
        <v>4898</v>
      </c>
      <c r="E1619" s="10"/>
    </row>
    <row r="1620" spans="1:5" x14ac:dyDescent="0.45">
      <c r="A1620" s="53" t="s">
        <v>5984</v>
      </c>
      <c r="B1620" s="54" t="s">
        <v>5985</v>
      </c>
    </row>
    <row r="1621" spans="1:5" x14ac:dyDescent="0.45">
      <c r="A1621" s="53" t="s">
        <v>6563</v>
      </c>
      <c r="B1621" s="54" t="s">
        <v>6564</v>
      </c>
    </row>
    <row r="1622" spans="1:5" x14ac:dyDescent="0.45">
      <c r="A1622" s="53" t="s">
        <v>6844</v>
      </c>
      <c r="B1622" s="54" t="s">
        <v>6845</v>
      </c>
    </row>
    <row r="1623" spans="1:5" x14ac:dyDescent="0.45">
      <c r="A1623" s="53" t="s">
        <v>6847</v>
      </c>
      <c r="B1623" s="54" t="s">
        <v>6848</v>
      </c>
    </row>
    <row r="1624" spans="1:5" x14ac:dyDescent="0.45">
      <c r="A1624" s="53" t="s">
        <v>3785</v>
      </c>
      <c r="B1624" s="54" t="s">
        <v>3786</v>
      </c>
      <c r="E1624" s="10"/>
    </row>
    <row r="1625" spans="1:5" x14ac:dyDescent="0.45">
      <c r="A1625" s="53" t="s">
        <v>4095</v>
      </c>
      <c r="B1625" s="54" t="s">
        <v>4096</v>
      </c>
    </row>
    <row r="1626" spans="1:5" x14ac:dyDescent="0.45">
      <c r="A1626" s="53" t="s">
        <v>4169</v>
      </c>
      <c r="B1626" s="54" t="s">
        <v>4170</v>
      </c>
    </row>
    <row r="1627" spans="1:5" x14ac:dyDescent="0.45">
      <c r="A1627" s="53" t="s">
        <v>4345</v>
      </c>
      <c r="B1627" s="54" t="s">
        <v>4346</v>
      </c>
    </row>
    <row r="1628" spans="1:5" x14ac:dyDescent="0.45">
      <c r="A1628" s="53" t="s">
        <v>4467</v>
      </c>
      <c r="B1628" s="54" t="s">
        <v>4468</v>
      </c>
    </row>
    <row r="1629" spans="1:5" x14ac:dyDescent="0.45">
      <c r="A1629" s="53" t="s">
        <v>4730</v>
      </c>
      <c r="B1629" s="54" t="s">
        <v>4731</v>
      </c>
    </row>
    <row r="1630" spans="1:5" x14ac:dyDescent="0.45">
      <c r="A1630" s="53" t="s">
        <v>5724</v>
      </c>
      <c r="B1630" s="54" t="s">
        <v>5725</v>
      </c>
    </row>
    <row r="1631" spans="1:5" x14ac:dyDescent="0.45">
      <c r="A1631" s="53" t="s">
        <v>6166</v>
      </c>
      <c r="B1631" s="54" t="s">
        <v>6167</v>
      </c>
    </row>
    <row r="1632" spans="1:5" x14ac:dyDescent="0.45">
      <c r="A1632" s="53" t="s">
        <v>6169</v>
      </c>
      <c r="B1632" s="54" t="s">
        <v>6170</v>
      </c>
    </row>
    <row r="1633" spans="1:2" x14ac:dyDescent="0.45">
      <c r="A1633" s="53" t="s">
        <v>6777</v>
      </c>
      <c r="B1633" s="54" t="s">
        <v>6778</v>
      </c>
    </row>
    <row r="1634" spans="1:2" x14ac:dyDescent="0.45">
      <c r="A1634" s="53" t="s">
        <v>6828</v>
      </c>
      <c r="B1634" s="54" t="s">
        <v>6829</v>
      </c>
    </row>
    <row r="1635" spans="1:2" x14ac:dyDescent="0.45">
      <c r="A1635" s="53" t="s">
        <v>6855</v>
      </c>
      <c r="B1635" s="54" t="s">
        <v>6856</v>
      </c>
    </row>
    <row r="1636" spans="1:2" x14ac:dyDescent="0.45">
      <c r="A1636" s="53" t="s">
        <v>6857</v>
      </c>
      <c r="B1636" s="54" t="s">
        <v>6858</v>
      </c>
    </row>
    <row r="1637" spans="1:2" x14ac:dyDescent="0.45">
      <c r="A1637" s="53" t="s">
        <v>6865</v>
      </c>
      <c r="B1637" s="54" t="s">
        <v>6866</v>
      </c>
    </row>
    <row r="1638" spans="1:2" x14ac:dyDescent="0.45">
      <c r="A1638" s="53" t="s">
        <v>6867</v>
      </c>
      <c r="B1638" s="54" t="s">
        <v>6868</v>
      </c>
    </row>
    <row r="1639" spans="1:2" x14ac:dyDescent="0.45">
      <c r="A1639" s="53" t="s">
        <v>6882</v>
      </c>
      <c r="B1639" s="54" t="s">
        <v>6883</v>
      </c>
    </row>
    <row r="1640" spans="1:2" x14ac:dyDescent="0.45">
      <c r="A1640" s="53" t="s">
        <v>6885</v>
      </c>
      <c r="B1640" s="54" t="s">
        <v>6886</v>
      </c>
    </row>
    <row r="1641" spans="1:2" x14ac:dyDescent="0.45">
      <c r="A1641" s="53" t="s">
        <v>6887</v>
      </c>
      <c r="B1641" s="54" t="s">
        <v>6888</v>
      </c>
    </row>
    <row r="1642" spans="1:2" x14ac:dyDescent="0.45">
      <c r="A1642" s="53" t="s">
        <v>6889</v>
      </c>
      <c r="B1642" s="54" t="s">
        <v>6890</v>
      </c>
    </row>
    <row r="1643" spans="1:2" x14ac:dyDescent="0.45">
      <c r="A1643" s="53" t="s">
        <v>6898</v>
      </c>
      <c r="B1643" s="54" t="s">
        <v>6899</v>
      </c>
    </row>
    <row r="1644" spans="1:2" x14ac:dyDescent="0.45">
      <c r="A1644" s="53" t="s">
        <v>6902</v>
      </c>
      <c r="B1644" s="54" t="s">
        <v>6903</v>
      </c>
    </row>
    <row r="1645" spans="1:2" x14ac:dyDescent="0.45">
      <c r="A1645" s="53" t="s">
        <v>6908</v>
      </c>
      <c r="B1645" s="54" t="s">
        <v>6909</v>
      </c>
    </row>
    <row r="1646" spans="1:2" x14ac:dyDescent="0.45">
      <c r="A1646" s="53" t="s">
        <v>6912</v>
      </c>
      <c r="B1646" s="54" t="s">
        <v>6913</v>
      </c>
    </row>
    <row r="1647" spans="1:2" x14ac:dyDescent="0.45">
      <c r="A1647" s="53" t="s">
        <v>6917</v>
      </c>
      <c r="B1647" s="54" t="s">
        <v>6918</v>
      </c>
    </row>
    <row r="1648" spans="1:2" x14ac:dyDescent="0.45">
      <c r="A1648" s="53" t="s">
        <v>6922</v>
      </c>
      <c r="B1648" s="54" t="s">
        <v>6923</v>
      </c>
    </row>
    <row r="1649" spans="1:2" x14ac:dyDescent="0.45">
      <c r="A1649" s="53" t="s">
        <v>6928</v>
      </c>
      <c r="B1649" s="54" t="s">
        <v>6929</v>
      </c>
    </row>
    <row r="1650" spans="1:2" x14ac:dyDescent="0.45">
      <c r="A1650" s="53" t="s">
        <v>6947</v>
      </c>
      <c r="B1650" s="54" t="s">
        <v>6948</v>
      </c>
    </row>
    <row r="1651" spans="1:2" x14ac:dyDescent="0.45">
      <c r="A1651" s="53" t="s">
        <v>6949</v>
      </c>
      <c r="B1651" s="54" t="s">
        <v>6950</v>
      </c>
    </row>
    <row r="1652" spans="1:2" x14ac:dyDescent="0.45">
      <c r="A1652" s="53" t="s">
        <v>6955</v>
      </c>
      <c r="B1652" s="54" t="s">
        <v>6956</v>
      </c>
    </row>
    <row r="1653" spans="1:2" x14ac:dyDescent="0.45">
      <c r="A1653" s="53" t="s">
        <v>6957</v>
      </c>
      <c r="B1653" s="54" t="s">
        <v>6958</v>
      </c>
    </row>
    <row r="1654" spans="1:2" x14ac:dyDescent="0.45">
      <c r="A1654" s="53" t="s">
        <v>6969</v>
      </c>
      <c r="B1654" s="54" t="s">
        <v>6970</v>
      </c>
    </row>
    <row r="1655" spans="1:2" x14ac:dyDescent="0.45">
      <c r="A1655" s="53" t="s">
        <v>6973</v>
      </c>
      <c r="B1655" s="54" t="s">
        <v>6974</v>
      </c>
    </row>
    <row r="1656" spans="1:2" x14ac:dyDescent="0.45">
      <c r="A1656" s="53" t="s">
        <v>6983</v>
      </c>
      <c r="B1656" s="54" t="s">
        <v>6984</v>
      </c>
    </row>
    <row r="1657" spans="1:2" x14ac:dyDescent="0.45">
      <c r="A1657" s="53" t="s">
        <v>6985</v>
      </c>
      <c r="B1657" s="54" t="s">
        <v>6986</v>
      </c>
    </row>
    <row r="1658" spans="1:2" x14ac:dyDescent="0.45">
      <c r="A1658" s="53" t="s">
        <v>6993</v>
      </c>
      <c r="B1658" s="54" t="s">
        <v>6994</v>
      </c>
    </row>
    <row r="1659" spans="1:2" x14ac:dyDescent="0.45">
      <c r="A1659" s="53" t="s">
        <v>6996</v>
      </c>
      <c r="B1659" s="54" t="s">
        <v>6997</v>
      </c>
    </row>
    <row r="1660" spans="1:2" x14ac:dyDescent="0.45">
      <c r="A1660" s="53" t="s">
        <v>7000</v>
      </c>
      <c r="B1660" s="54" t="s">
        <v>7001</v>
      </c>
    </row>
    <row r="1661" spans="1:2" x14ac:dyDescent="0.45">
      <c r="A1661" s="53" t="s">
        <v>7019</v>
      </c>
      <c r="B1661" s="54" t="s">
        <v>7020</v>
      </c>
    </row>
    <row r="1662" spans="1:2" x14ac:dyDescent="0.45">
      <c r="A1662" s="53" t="s">
        <v>8014</v>
      </c>
      <c r="B1662" s="54" t="s">
        <v>8015</v>
      </c>
    </row>
    <row r="1663" spans="1:2" x14ac:dyDescent="0.45">
      <c r="A1663" s="53" t="s">
        <v>8028</v>
      </c>
      <c r="B1663" s="54" t="s">
        <v>8029</v>
      </c>
    </row>
    <row r="1664" spans="1:2" x14ac:dyDescent="0.45">
      <c r="A1664" s="53" t="s">
        <v>8227</v>
      </c>
      <c r="B1664" s="54" t="s">
        <v>8228</v>
      </c>
    </row>
    <row r="1665" spans="1:6" x14ac:dyDescent="0.45">
      <c r="A1665" s="53" t="s">
        <v>4047</v>
      </c>
      <c r="B1665" s="54" t="s">
        <v>4048</v>
      </c>
    </row>
    <row r="1666" spans="1:6" x14ac:dyDescent="0.45">
      <c r="A1666" s="53" t="s">
        <v>4691</v>
      </c>
      <c r="B1666" s="54" t="s">
        <v>4692</v>
      </c>
    </row>
    <row r="1667" spans="1:6" x14ac:dyDescent="0.45">
      <c r="A1667" s="53" t="s">
        <v>6520</v>
      </c>
      <c r="B1667" s="54" t="s">
        <v>6521</v>
      </c>
    </row>
    <row r="1668" spans="1:6" x14ac:dyDescent="0.45">
      <c r="A1668" s="53" t="s">
        <v>7113</v>
      </c>
      <c r="B1668" s="54" t="s">
        <v>7114</v>
      </c>
    </row>
    <row r="1669" spans="1:6" x14ac:dyDescent="0.45">
      <c r="A1669" s="53" t="s">
        <v>7490</v>
      </c>
      <c r="B1669" s="54" t="s">
        <v>7491</v>
      </c>
    </row>
    <row r="1670" spans="1:6" x14ac:dyDescent="0.45">
      <c r="A1670" s="53" t="s">
        <v>7823</v>
      </c>
      <c r="B1670" s="54" t="s">
        <v>7824</v>
      </c>
    </row>
    <row r="1671" spans="1:6" x14ac:dyDescent="0.45">
      <c r="A1671" s="53" t="s">
        <v>6629</v>
      </c>
      <c r="B1671" s="54" t="s">
        <v>6630</v>
      </c>
    </row>
    <row r="1672" spans="1:6" x14ac:dyDescent="0.45">
      <c r="A1672" s="53" t="s">
        <v>4619</v>
      </c>
      <c r="B1672" s="54" t="s">
        <v>4620</v>
      </c>
    </row>
    <row r="1673" spans="1:6" x14ac:dyDescent="0.45">
      <c r="A1673" s="53" t="s">
        <v>5006</v>
      </c>
      <c r="B1673" s="54" t="s">
        <v>5007</v>
      </c>
    </row>
    <row r="1674" spans="1:6" x14ac:dyDescent="0.45">
      <c r="A1674" s="53" t="s">
        <v>5481</v>
      </c>
      <c r="B1674" s="54" t="s">
        <v>5482</v>
      </c>
    </row>
    <row r="1675" spans="1:6" x14ac:dyDescent="0.45">
      <c r="A1675" s="53" t="s">
        <v>6219</v>
      </c>
      <c r="B1675" s="54" t="s">
        <v>6220</v>
      </c>
    </row>
    <row r="1676" spans="1:6" x14ac:dyDescent="0.45">
      <c r="A1676" s="53" t="s">
        <v>6458</v>
      </c>
      <c r="B1676" s="54" t="s">
        <v>6459</v>
      </c>
    </row>
    <row r="1677" spans="1:6" x14ac:dyDescent="0.45">
      <c r="A1677" s="53" t="s">
        <v>7507</v>
      </c>
      <c r="B1677" s="54" t="s">
        <v>7508</v>
      </c>
    </row>
    <row r="1678" spans="1:6" x14ac:dyDescent="0.45">
      <c r="A1678" s="53" t="s">
        <v>7667</v>
      </c>
      <c r="B1678" s="54" t="s">
        <v>7668</v>
      </c>
    </row>
    <row r="1679" spans="1:6" x14ac:dyDescent="0.45">
      <c r="A1679" s="53" t="s">
        <v>7684</v>
      </c>
      <c r="B1679" s="54" t="s">
        <v>7685</v>
      </c>
    </row>
    <row r="1680" spans="1:6" x14ac:dyDescent="0.45">
      <c r="A1680" s="53" t="s">
        <v>3618</v>
      </c>
      <c r="B1680" s="54" t="s">
        <v>3619</v>
      </c>
      <c r="E1680" s="10"/>
      <c r="F1680" s="10"/>
    </row>
    <row r="1681" spans="1:5" x14ac:dyDescent="0.45">
      <c r="A1681" s="53" t="s">
        <v>6160</v>
      </c>
      <c r="B1681" s="54" t="s">
        <v>6161</v>
      </c>
    </row>
    <row r="1682" spans="1:5" x14ac:dyDescent="0.45">
      <c r="A1682" s="53" t="s">
        <v>6146</v>
      </c>
      <c r="B1682" s="54" t="s">
        <v>6147</v>
      </c>
    </row>
    <row r="1683" spans="1:5" x14ac:dyDescent="0.45">
      <c r="A1683" s="53" t="s">
        <v>5540</v>
      </c>
      <c r="B1683" s="54" t="s">
        <v>5541</v>
      </c>
    </row>
    <row r="1684" spans="1:5" x14ac:dyDescent="0.45">
      <c r="A1684" s="53" t="s">
        <v>5425</v>
      </c>
      <c r="B1684" s="54" t="s">
        <v>5426</v>
      </c>
    </row>
    <row r="1685" spans="1:5" x14ac:dyDescent="0.45">
      <c r="A1685" s="53" t="s">
        <v>4882</v>
      </c>
      <c r="B1685" s="54" t="s">
        <v>4883</v>
      </c>
      <c r="E1685" s="10"/>
    </row>
    <row r="1686" spans="1:5" x14ac:dyDescent="0.45">
      <c r="A1686" s="53" t="s">
        <v>4813</v>
      </c>
      <c r="B1686" s="54" t="s">
        <v>4814</v>
      </c>
    </row>
    <row r="1687" spans="1:5" x14ac:dyDescent="0.45">
      <c r="A1687" s="53" t="s">
        <v>4781</v>
      </c>
      <c r="B1687" s="54" t="s">
        <v>4782</v>
      </c>
    </row>
    <row r="1688" spans="1:5" x14ac:dyDescent="0.45">
      <c r="A1688" s="53" t="s">
        <v>4769</v>
      </c>
      <c r="B1688" s="54" t="s">
        <v>4770</v>
      </c>
    </row>
    <row r="1689" spans="1:5" x14ac:dyDescent="0.45">
      <c r="A1689" s="53" t="s">
        <v>4766</v>
      </c>
      <c r="B1689" s="54" t="s">
        <v>4767</v>
      </c>
    </row>
    <row r="1690" spans="1:5" x14ac:dyDescent="0.45">
      <c r="A1690" s="53" t="s">
        <v>4734</v>
      </c>
      <c r="B1690" s="54" t="s">
        <v>4735</v>
      </c>
    </row>
    <row r="1691" spans="1:5" x14ac:dyDescent="0.45">
      <c r="A1691" s="53" t="s">
        <v>3992</v>
      </c>
      <c r="B1691" s="54" t="s">
        <v>3993</v>
      </c>
    </row>
    <row r="1692" spans="1:5" x14ac:dyDescent="0.45">
      <c r="A1692" s="53" t="s">
        <v>7036</v>
      </c>
      <c r="B1692" s="54" t="s">
        <v>7037</v>
      </c>
    </row>
    <row r="1693" spans="1:5" x14ac:dyDescent="0.45">
      <c r="A1693" s="53" t="s">
        <v>6589</v>
      </c>
      <c r="B1693" s="54" t="s">
        <v>6590</v>
      </c>
    </row>
    <row r="1694" spans="1:5" x14ac:dyDescent="0.45">
      <c r="A1694" s="53" t="s">
        <v>7049</v>
      </c>
      <c r="B1694" s="54" t="s">
        <v>7050</v>
      </c>
    </row>
    <row r="1695" spans="1:5" x14ac:dyDescent="0.45">
      <c r="A1695" s="53" t="s">
        <v>4974</v>
      </c>
      <c r="B1695" s="54" t="s">
        <v>4975</v>
      </c>
      <c r="C1695" s="11"/>
    </row>
    <row r="1696" spans="1:5" x14ac:dyDescent="0.45">
      <c r="A1696" s="53" t="s">
        <v>8207</v>
      </c>
      <c r="B1696" s="54" t="s">
        <v>8208</v>
      </c>
    </row>
    <row r="1697" spans="1:2" x14ac:dyDescent="0.45">
      <c r="A1697" s="53" t="s">
        <v>6732</v>
      </c>
      <c r="B1697" s="54" t="s">
        <v>6733</v>
      </c>
    </row>
    <row r="1698" spans="1:2" x14ac:dyDescent="0.45">
      <c r="A1698" s="53" t="s">
        <v>5613</v>
      </c>
      <c r="B1698" s="54" t="s">
        <v>5614</v>
      </c>
    </row>
    <row r="1699" spans="1:2" x14ac:dyDescent="0.45">
      <c r="A1699" s="53" t="s">
        <v>6806</v>
      </c>
      <c r="B1699" s="54" t="s">
        <v>6807</v>
      </c>
    </row>
    <row r="1700" spans="1:2" x14ac:dyDescent="0.45">
      <c r="A1700" s="53" t="s">
        <v>4080</v>
      </c>
      <c r="B1700" s="54" t="s">
        <v>4081</v>
      </c>
    </row>
    <row r="1701" spans="1:2" x14ac:dyDescent="0.45">
      <c r="A1701" s="53" t="s">
        <v>6891</v>
      </c>
      <c r="B1701" s="54" t="s">
        <v>6892</v>
      </c>
    </row>
    <row r="1702" spans="1:2" x14ac:dyDescent="0.45">
      <c r="A1702" s="53" t="s">
        <v>4984</v>
      </c>
      <c r="B1702" s="54" t="s">
        <v>4985</v>
      </c>
    </row>
    <row r="1703" spans="1:2" x14ac:dyDescent="0.45">
      <c r="A1703" s="53" t="s">
        <v>3733</v>
      </c>
      <c r="B1703" s="54" t="s">
        <v>3734</v>
      </c>
    </row>
    <row r="1704" spans="1:2" x14ac:dyDescent="0.45">
      <c r="A1704" s="53" t="s">
        <v>4024</v>
      </c>
      <c r="B1704" s="54" t="s">
        <v>4025</v>
      </c>
    </row>
    <row r="1705" spans="1:2" x14ac:dyDescent="0.45">
      <c r="A1705" s="53" t="s">
        <v>5493</v>
      </c>
      <c r="B1705" s="54" t="s">
        <v>5494</v>
      </c>
    </row>
    <row r="1706" spans="1:2" x14ac:dyDescent="0.45">
      <c r="A1706" s="53" t="s">
        <v>5605</v>
      </c>
      <c r="B1706" s="54" t="s">
        <v>5606</v>
      </c>
    </row>
    <row r="1707" spans="1:2" x14ac:dyDescent="0.45">
      <c r="A1707" s="53" t="s">
        <v>5965</v>
      </c>
      <c r="B1707" s="54" t="s">
        <v>5966</v>
      </c>
    </row>
    <row r="1708" spans="1:2" x14ac:dyDescent="0.45">
      <c r="A1708" s="53" t="s">
        <v>6023</v>
      </c>
      <c r="B1708" s="54" t="s">
        <v>6024</v>
      </c>
    </row>
    <row r="1709" spans="1:2" x14ac:dyDescent="0.45">
      <c r="A1709" s="53" t="s">
        <v>6071</v>
      </c>
      <c r="B1709" s="54" t="s">
        <v>6072</v>
      </c>
    </row>
    <row r="1710" spans="1:2" x14ac:dyDescent="0.45">
      <c r="A1710" s="53" t="s">
        <v>7555</v>
      </c>
      <c r="B1710" s="54" t="s">
        <v>7556</v>
      </c>
    </row>
    <row r="1711" spans="1:2" x14ac:dyDescent="0.45">
      <c r="A1711" s="53" t="s">
        <v>6102</v>
      </c>
      <c r="B1711" s="54" t="s">
        <v>6103</v>
      </c>
    </row>
    <row r="1712" spans="1:2" x14ac:dyDescent="0.45">
      <c r="A1712" s="53" t="s">
        <v>6241</v>
      </c>
      <c r="B1712" s="54" t="s">
        <v>6242</v>
      </c>
    </row>
    <row r="1713" spans="1:2" x14ac:dyDescent="0.45">
      <c r="A1713" s="53" t="s">
        <v>6244</v>
      </c>
      <c r="B1713" s="54" t="s">
        <v>6245</v>
      </c>
    </row>
    <row r="1714" spans="1:2" x14ac:dyDescent="0.45">
      <c r="A1714" s="53" t="s">
        <v>6904</v>
      </c>
      <c r="B1714" s="54" t="s">
        <v>6905</v>
      </c>
    </row>
    <row r="1715" spans="1:2" x14ac:dyDescent="0.45">
      <c r="A1715" s="53" t="s">
        <v>6987</v>
      </c>
      <c r="B1715" s="54" t="s">
        <v>6988</v>
      </c>
    </row>
    <row r="1716" spans="1:2" x14ac:dyDescent="0.45">
      <c r="A1716" s="53" t="s">
        <v>7016</v>
      </c>
      <c r="B1716" s="54" t="s">
        <v>7017</v>
      </c>
    </row>
    <row r="1717" spans="1:2" x14ac:dyDescent="0.45">
      <c r="A1717" s="53" t="s">
        <v>7042</v>
      </c>
      <c r="B1717" s="54" t="s">
        <v>7043</v>
      </c>
    </row>
    <row r="1718" spans="1:2" x14ac:dyDescent="0.45">
      <c r="A1718" s="53" t="s">
        <v>7284</v>
      </c>
      <c r="B1718" s="54" t="s">
        <v>7285</v>
      </c>
    </row>
    <row r="1719" spans="1:2" x14ac:dyDescent="0.45">
      <c r="A1719" s="53" t="s">
        <v>7286</v>
      </c>
      <c r="B1719" s="54" t="s">
        <v>7287</v>
      </c>
    </row>
    <row r="1720" spans="1:2" x14ac:dyDescent="0.45">
      <c r="A1720" s="53" t="s">
        <v>7300</v>
      </c>
      <c r="B1720" s="54" t="s">
        <v>7301</v>
      </c>
    </row>
    <row r="1721" spans="1:2" x14ac:dyDescent="0.45">
      <c r="A1721" s="53" t="s">
        <v>7308</v>
      </c>
      <c r="B1721" s="54" t="s">
        <v>7309</v>
      </c>
    </row>
    <row r="1722" spans="1:2" x14ac:dyDescent="0.45">
      <c r="A1722" s="53" t="s">
        <v>7310</v>
      </c>
      <c r="B1722" s="54" t="s">
        <v>7311</v>
      </c>
    </row>
    <row r="1723" spans="1:2" x14ac:dyDescent="0.45">
      <c r="A1723" s="53" t="s">
        <v>7312</v>
      </c>
      <c r="B1723" s="54" t="s">
        <v>7313</v>
      </c>
    </row>
    <row r="1724" spans="1:2" x14ac:dyDescent="0.45">
      <c r="A1724" s="53" t="s">
        <v>7319</v>
      </c>
      <c r="B1724" s="54" t="s">
        <v>7320</v>
      </c>
    </row>
    <row r="1725" spans="1:2" x14ac:dyDescent="0.45">
      <c r="A1725" s="53" t="s">
        <v>7322</v>
      </c>
      <c r="B1725" s="54" t="s">
        <v>7323</v>
      </c>
    </row>
    <row r="1726" spans="1:2" x14ac:dyDescent="0.45">
      <c r="A1726" s="53" t="s">
        <v>7324</v>
      </c>
      <c r="B1726" s="54" t="s">
        <v>7325</v>
      </c>
    </row>
    <row r="1727" spans="1:2" x14ac:dyDescent="0.45">
      <c r="A1727" s="53" t="s">
        <v>7331</v>
      </c>
      <c r="B1727" s="54" t="s">
        <v>7332</v>
      </c>
    </row>
    <row r="1728" spans="1:2" x14ac:dyDescent="0.45">
      <c r="A1728" s="53" t="s">
        <v>7334</v>
      </c>
      <c r="B1728" s="54" t="s">
        <v>7335</v>
      </c>
    </row>
    <row r="1729" spans="1:2" x14ac:dyDescent="0.45">
      <c r="A1729" s="53" t="s">
        <v>7341</v>
      </c>
      <c r="B1729" s="54" t="s">
        <v>7342</v>
      </c>
    </row>
    <row r="1730" spans="1:2" x14ac:dyDescent="0.45">
      <c r="A1730" s="53" t="s">
        <v>7343</v>
      </c>
      <c r="B1730" s="54" t="s">
        <v>7344</v>
      </c>
    </row>
    <row r="1731" spans="1:2" x14ac:dyDescent="0.45">
      <c r="A1731" s="53" t="s">
        <v>7371</v>
      </c>
      <c r="B1731" s="54" t="s">
        <v>7372</v>
      </c>
    </row>
    <row r="1732" spans="1:2" x14ac:dyDescent="0.45">
      <c r="A1732" s="53" t="s">
        <v>7373</v>
      </c>
      <c r="B1732" s="54" t="s">
        <v>7374</v>
      </c>
    </row>
    <row r="1733" spans="1:2" x14ac:dyDescent="0.45">
      <c r="A1733" s="53" t="s">
        <v>7389</v>
      </c>
      <c r="B1733" s="54" t="s">
        <v>7390</v>
      </c>
    </row>
    <row r="1734" spans="1:2" x14ac:dyDescent="0.45">
      <c r="A1734" s="53" t="s">
        <v>7391</v>
      </c>
      <c r="B1734" s="54" t="s">
        <v>7392</v>
      </c>
    </row>
    <row r="1735" spans="1:2" x14ac:dyDescent="0.45">
      <c r="A1735" s="53" t="s">
        <v>7393</v>
      </c>
      <c r="B1735" s="54" t="s">
        <v>7394</v>
      </c>
    </row>
    <row r="1736" spans="1:2" x14ac:dyDescent="0.45">
      <c r="A1736" s="53" t="s">
        <v>7405</v>
      </c>
      <c r="B1736" s="54" t="s">
        <v>7406</v>
      </c>
    </row>
    <row r="1737" spans="1:2" x14ac:dyDescent="0.45">
      <c r="A1737" s="53" t="s">
        <v>7417</v>
      </c>
      <c r="B1737" s="54" t="s">
        <v>7418</v>
      </c>
    </row>
    <row r="1738" spans="1:2" x14ac:dyDescent="0.45">
      <c r="A1738" s="53" t="s">
        <v>7427</v>
      </c>
      <c r="B1738" s="54" t="s">
        <v>7428</v>
      </c>
    </row>
    <row r="1739" spans="1:2" x14ac:dyDescent="0.45">
      <c r="A1739" s="53" t="s">
        <v>7440</v>
      </c>
      <c r="B1739" s="54" t="s">
        <v>7441</v>
      </c>
    </row>
    <row r="1740" spans="1:2" x14ac:dyDescent="0.45">
      <c r="A1740" s="53" t="s">
        <v>7442</v>
      </c>
      <c r="B1740" s="54" t="s">
        <v>7443</v>
      </c>
    </row>
    <row r="1741" spans="1:2" x14ac:dyDescent="0.45">
      <c r="A1741" s="53" t="s">
        <v>7444</v>
      </c>
      <c r="B1741" s="54" t="s">
        <v>7445</v>
      </c>
    </row>
    <row r="1742" spans="1:2" x14ac:dyDescent="0.45">
      <c r="A1742" s="53" t="s">
        <v>7446</v>
      </c>
      <c r="B1742" s="54" t="s">
        <v>7447</v>
      </c>
    </row>
    <row r="1743" spans="1:2" x14ac:dyDescent="0.45">
      <c r="A1743" s="53" t="s">
        <v>7454</v>
      </c>
      <c r="B1743" s="54" t="s">
        <v>7455</v>
      </c>
    </row>
    <row r="1744" spans="1:2" x14ac:dyDescent="0.45">
      <c r="A1744" s="53" t="s">
        <v>7460</v>
      </c>
      <c r="B1744" s="54" t="s">
        <v>7461</v>
      </c>
    </row>
    <row r="1745" spans="1:6" x14ac:dyDescent="0.45">
      <c r="A1745" s="53" t="s">
        <v>7471</v>
      </c>
      <c r="B1745" s="54" t="s">
        <v>7472</v>
      </c>
    </row>
    <row r="1746" spans="1:6" x14ac:dyDescent="0.45">
      <c r="A1746" s="53" t="s">
        <v>7473</v>
      </c>
      <c r="B1746" s="54" t="s">
        <v>7474</v>
      </c>
    </row>
    <row r="1747" spans="1:6" x14ac:dyDescent="0.45">
      <c r="A1747" s="53" t="s">
        <v>7475</v>
      </c>
      <c r="B1747" s="54" t="s">
        <v>7476</v>
      </c>
    </row>
    <row r="1748" spans="1:6" x14ac:dyDescent="0.45">
      <c r="A1748" s="53" t="s">
        <v>7488</v>
      </c>
      <c r="B1748" s="54" t="s">
        <v>7489</v>
      </c>
    </row>
    <row r="1749" spans="1:6" x14ac:dyDescent="0.45">
      <c r="A1749" s="53" t="s">
        <v>7492</v>
      </c>
      <c r="B1749" s="54" t="s">
        <v>7493</v>
      </c>
    </row>
    <row r="1750" spans="1:6" x14ac:dyDescent="0.45">
      <c r="A1750" s="53" t="s">
        <v>7494</v>
      </c>
      <c r="B1750" s="54" t="s">
        <v>7495</v>
      </c>
    </row>
    <row r="1751" spans="1:6" x14ac:dyDescent="0.45">
      <c r="A1751" s="53" t="s">
        <v>7525</v>
      </c>
      <c r="B1751" s="54" t="s">
        <v>7526</v>
      </c>
      <c r="E1751" s="45"/>
      <c r="F1751" s="45"/>
    </row>
    <row r="1752" spans="1:6" x14ac:dyDescent="0.45">
      <c r="A1752" s="53" t="s">
        <v>7527</v>
      </c>
      <c r="B1752" s="54" t="s">
        <v>7528</v>
      </c>
      <c r="E1752" s="45"/>
      <c r="F1752" s="45"/>
    </row>
    <row r="1753" spans="1:6" x14ac:dyDescent="0.45">
      <c r="A1753" s="53" t="s">
        <v>7529</v>
      </c>
      <c r="B1753" s="54" t="s">
        <v>7530</v>
      </c>
      <c r="E1753" s="45"/>
      <c r="F1753" s="45"/>
    </row>
    <row r="1754" spans="1:6" x14ac:dyDescent="0.45">
      <c r="A1754" s="53" t="s">
        <v>7532</v>
      </c>
      <c r="B1754" s="54" t="s">
        <v>7533</v>
      </c>
      <c r="E1754" s="45"/>
      <c r="F1754" s="45"/>
    </row>
    <row r="1755" spans="1:6" x14ac:dyDescent="0.45">
      <c r="A1755" s="53" t="s">
        <v>7547</v>
      </c>
      <c r="B1755" s="54" t="s">
        <v>7548</v>
      </c>
    </row>
    <row r="1756" spans="1:6" x14ac:dyDescent="0.45">
      <c r="A1756" s="53" t="s">
        <v>7559</v>
      </c>
      <c r="B1756" s="54" t="s">
        <v>7560</v>
      </c>
    </row>
    <row r="1757" spans="1:6" x14ac:dyDescent="0.45">
      <c r="A1757" s="53" t="s">
        <v>7562</v>
      </c>
      <c r="B1757" s="54" t="s">
        <v>7563</v>
      </c>
    </row>
    <row r="1758" spans="1:6" x14ac:dyDescent="0.45">
      <c r="A1758" s="53" t="s">
        <v>7565</v>
      </c>
      <c r="B1758" s="54" t="s">
        <v>7566</v>
      </c>
    </row>
    <row r="1759" spans="1:6" x14ac:dyDescent="0.45">
      <c r="A1759" s="53" t="s">
        <v>7575</v>
      </c>
      <c r="B1759" s="54" t="s">
        <v>7576</v>
      </c>
    </row>
    <row r="1760" spans="1:6" x14ac:dyDescent="0.45">
      <c r="A1760" s="53" t="s">
        <v>7577</v>
      </c>
      <c r="B1760" s="54" t="s">
        <v>7578</v>
      </c>
    </row>
    <row r="1761" spans="1:2" x14ac:dyDescent="0.45">
      <c r="A1761" s="53" t="s">
        <v>7581</v>
      </c>
      <c r="B1761" s="54" t="s">
        <v>7582</v>
      </c>
    </row>
    <row r="1762" spans="1:2" x14ac:dyDescent="0.45">
      <c r="A1762" s="53" t="s">
        <v>7584</v>
      </c>
      <c r="B1762" s="54" t="s">
        <v>7585</v>
      </c>
    </row>
    <row r="1763" spans="1:2" x14ac:dyDescent="0.45">
      <c r="A1763" s="53" t="s">
        <v>7592</v>
      </c>
      <c r="B1763" s="54" t="s">
        <v>7593</v>
      </c>
    </row>
    <row r="1764" spans="1:2" x14ac:dyDescent="0.45">
      <c r="A1764" s="53" t="s">
        <v>7594</v>
      </c>
      <c r="B1764" s="54" t="s">
        <v>7595</v>
      </c>
    </row>
    <row r="1765" spans="1:2" x14ac:dyDescent="0.45">
      <c r="A1765" s="53" t="s">
        <v>7601</v>
      </c>
      <c r="B1765" s="54" t="s">
        <v>7602</v>
      </c>
    </row>
    <row r="1766" spans="1:2" x14ac:dyDescent="0.45">
      <c r="A1766" s="53" t="s">
        <v>7607</v>
      </c>
      <c r="B1766" s="54" t="s">
        <v>7608</v>
      </c>
    </row>
    <row r="1767" spans="1:2" x14ac:dyDescent="0.45">
      <c r="A1767" s="53" t="s">
        <v>7613</v>
      </c>
      <c r="B1767" s="54" t="s">
        <v>7614</v>
      </c>
    </row>
    <row r="1768" spans="1:2" x14ac:dyDescent="0.45">
      <c r="A1768" s="53" t="s">
        <v>7632</v>
      </c>
      <c r="B1768" s="54" t="s">
        <v>7633</v>
      </c>
    </row>
    <row r="1769" spans="1:2" x14ac:dyDescent="0.45">
      <c r="A1769" s="53" t="s">
        <v>7636</v>
      </c>
      <c r="B1769" s="54" t="s">
        <v>7637</v>
      </c>
    </row>
    <row r="1770" spans="1:2" x14ac:dyDescent="0.45">
      <c r="A1770" s="53" t="s">
        <v>7642</v>
      </c>
      <c r="B1770" s="54" t="s">
        <v>7643</v>
      </c>
    </row>
    <row r="1771" spans="1:2" x14ac:dyDescent="0.45">
      <c r="A1771" s="53" t="s">
        <v>7652</v>
      </c>
      <c r="B1771" s="54" t="s">
        <v>7653</v>
      </c>
    </row>
    <row r="1772" spans="1:2" x14ac:dyDescent="0.45">
      <c r="A1772" s="53" t="s">
        <v>7659</v>
      </c>
      <c r="B1772" s="54" t="s">
        <v>7660</v>
      </c>
    </row>
    <row r="1773" spans="1:2" x14ac:dyDescent="0.45">
      <c r="A1773" s="53" t="s">
        <v>7661</v>
      </c>
      <c r="B1773" s="54" t="s">
        <v>7662</v>
      </c>
    </row>
    <row r="1774" spans="1:2" x14ac:dyDescent="0.45">
      <c r="A1774" s="53" t="s">
        <v>7663</v>
      </c>
      <c r="B1774" s="54" t="s">
        <v>7664</v>
      </c>
    </row>
    <row r="1775" spans="1:2" x14ac:dyDescent="0.45">
      <c r="A1775" s="53" t="s">
        <v>7665</v>
      </c>
      <c r="B1775" s="54" t="s">
        <v>7666</v>
      </c>
    </row>
    <row r="1776" spans="1:2" x14ac:dyDescent="0.45">
      <c r="A1776" s="53" t="s">
        <v>7689</v>
      </c>
      <c r="B1776" s="54" t="s">
        <v>7690</v>
      </c>
    </row>
    <row r="1777" spans="1:2" x14ac:dyDescent="0.45">
      <c r="A1777" s="53" t="s">
        <v>7705</v>
      </c>
      <c r="B1777" s="54" t="s">
        <v>7706</v>
      </c>
    </row>
    <row r="1778" spans="1:2" x14ac:dyDescent="0.45">
      <c r="A1778" s="53" t="s">
        <v>7713</v>
      </c>
      <c r="B1778" s="54" t="s">
        <v>7714</v>
      </c>
    </row>
    <row r="1779" spans="1:2" x14ac:dyDescent="0.45">
      <c r="A1779" s="53" t="s">
        <v>7724</v>
      </c>
      <c r="B1779" s="54" t="s">
        <v>7725</v>
      </c>
    </row>
    <row r="1780" spans="1:2" x14ac:dyDescent="0.45">
      <c r="A1780" s="53" t="s">
        <v>7750</v>
      </c>
      <c r="B1780" s="54" t="s">
        <v>7751</v>
      </c>
    </row>
    <row r="1781" spans="1:2" x14ac:dyDescent="0.45">
      <c r="A1781" s="53" t="s">
        <v>7754</v>
      </c>
      <c r="B1781" s="54" t="s">
        <v>7755</v>
      </c>
    </row>
    <row r="1782" spans="1:2" x14ac:dyDescent="0.45">
      <c r="A1782" s="53" t="s">
        <v>7760</v>
      </c>
      <c r="B1782" s="54" t="s">
        <v>7761</v>
      </c>
    </row>
    <row r="1783" spans="1:2" x14ac:dyDescent="0.45">
      <c r="A1783" s="53" t="s">
        <v>7775</v>
      </c>
      <c r="B1783" s="54" t="s">
        <v>7776</v>
      </c>
    </row>
    <row r="1784" spans="1:2" x14ac:dyDescent="0.45">
      <c r="A1784" s="53" t="s">
        <v>7778</v>
      </c>
      <c r="B1784" s="54" t="s">
        <v>7779</v>
      </c>
    </row>
    <row r="1785" spans="1:2" x14ac:dyDescent="0.45">
      <c r="A1785" s="53" t="s">
        <v>7781</v>
      </c>
      <c r="B1785" s="54" t="s">
        <v>7782</v>
      </c>
    </row>
    <row r="1786" spans="1:2" x14ac:dyDescent="0.45">
      <c r="A1786" s="53" t="s">
        <v>7791</v>
      </c>
      <c r="B1786" s="54" t="s">
        <v>7792</v>
      </c>
    </row>
    <row r="1787" spans="1:2" x14ac:dyDescent="0.45">
      <c r="A1787" s="53" t="s">
        <v>7814</v>
      </c>
      <c r="B1787" s="54" t="s">
        <v>7815</v>
      </c>
    </row>
    <row r="1788" spans="1:2" x14ac:dyDescent="0.45">
      <c r="A1788" s="53" t="s">
        <v>7819</v>
      </c>
      <c r="B1788" s="54" t="s">
        <v>7820</v>
      </c>
    </row>
    <row r="1789" spans="1:2" x14ac:dyDescent="0.45">
      <c r="A1789" s="53" t="s">
        <v>7874</v>
      </c>
      <c r="B1789" s="54" t="s">
        <v>7875</v>
      </c>
    </row>
    <row r="1790" spans="1:2" x14ac:dyDescent="0.45">
      <c r="A1790" s="53" t="s">
        <v>7888</v>
      </c>
      <c r="B1790" s="54" t="s">
        <v>7889</v>
      </c>
    </row>
    <row r="1791" spans="1:2" x14ac:dyDescent="0.45">
      <c r="A1791" s="53" t="s">
        <v>7891</v>
      </c>
      <c r="B1791" s="54" t="s">
        <v>7892</v>
      </c>
    </row>
    <row r="1792" spans="1:2" x14ac:dyDescent="0.45">
      <c r="A1792" s="53" t="s">
        <v>7897</v>
      </c>
      <c r="B1792" s="54" t="s">
        <v>7898</v>
      </c>
    </row>
    <row r="1793" spans="1:5" x14ac:dyDescent="0.45">
      <c r="A1793" s="53" t="s">
        <v>7899</v>
      </c>
      <c r="B1793" s="54" t="s">
        <v>7900</v>
      </c>
    </row>
    <row r="1794" spans="1:5" x14ac:dyDescent="0.45">
      <c r="A1794" s="53" t="s">
        <v>7905</v>
      </c>
      <c r="B1794" s="54" t="s">
        <v>7906</v>
      </c>
    </row>
    <row r="1795" spans="1:5" x14ac:dyDescent="0.45">
      <c r="A1795" s="53" t="s">
        <v>7910</v>
      </c>
      <c r="B1795" s="54" t="s">
        <v>7911</v>
      </c>
    </row>
    <row r="1796" spans="1:5" x14ac:dyDescent="0.45">
      <c r="A1796" s="53" t="s">
        <v>7912</v>
      </c>
      <c r="B1796" s="54" t="s">
        <v>7913</v>
      </c>
    </row>
    <row r="1797" spans="1:5" x14ac:dyDescent="0.45">
      <c r="A1797" s="53" t="s">
        <v>7954</v>
      </c>
      <c r="B1797" s="54" t="s">
        <v>7955</v>
      </c>
    </row>
    <row r="1798" spans="1:5" x14ac:dyDescent="0.45">
      <c r="A1798" s="53" t="s">
        <v>8077</v>
      </c>
      <c r="B1798" s="54" t="s">
        <v>8078</v>
      </c>
    </row>
    <row r="1799" spans="1:5" x14ac:dyDescent="0.45">
      <c r="A1799" s="53" t="s">
        <v>8144</v>
      </c>
      <c r="B1799" s="54" t="s">
        <v>8145</v>
      </c>
    </row>
    <row r="1800" spans="1:5" x14ac:dyDescent="0.45">
      <c r="A1800" s="53" t="s">
        <v>6711</v>
      </c>
      <c r="B1800" s="54" t="s">
        <v>6712</v>
      </c>
    </row>
    <row r="1801" spans="1:5" x14ac:dyDescent="0.45">
      <c r="A1801" s="53" t="s">
        <v>7305</v>
      </c>
      <c r="B1801" s="54" t="s">
        <v>7306</v>
      </c>
    </row>
    <row r="1802" spans="1:5" x14ac:dyDescent="0.45">
      <c r="A1802" s="53" t="s">
        <v>7329</v>
      </c>
      <c r="B1802" s="54" t="s">
        <v>7330</v>
      </c>
    </row>
    <row r="1803" spans="1:5" x14ac:dyDescent="0.45">
      <c r="A1803" s="53" t="s">
        <v>7369</v>
      </c>
      <c r="B1803" s="54" t="s">
        <v>7370</v>
      </c>
    </row>
    <row r="1804" spans="1:5" x14ac:dyDescent="0.45">
      <c r="A1804" s="53" t="s">
        <v>7783</v>
      </c>
      <c r="B1804" s="54" t="s">
        <v>7784</v>
      </c>
    </row>
    <row r="1805" spans="1:5" x14ac:dyDescent="0.45">
      <c r="A1805" s="53" t="s">
        <v>4520</v>
      </c>
      <c r="B1805" s="54" t="s">
        <v>4521</v>
      </c>
    </row>
    <row r="1806" spans="1:5" x14ac:dyDescent="0.45">
      <c r="A1806" s="53" t="s">
        <v>4728</v>
      </c>
      <c r="B1806" s="54" t="s">
        <v>4729</v>
      </c>
      <c r="E1806" s="10"/>
    </row>
    <row r="1807" spans="1:5" x14ac:dyDescent="0.45">
      <c r="A1807" s="53" t="s">
        <v>5332</v>
      </c>
      <c r="B1807" s="54" t="s">
        <v>5333</v>
      </c>
    </row>
    <row r="1808" spans="1:5" x14ac:dyDescent="0.45">
      <c r="A1808" s="53" t="s">
        <v>5338</v>
      </c>
      <c r="B1808" s="54" t="s">
        <v>5339</v>
      </c>
    </row>
    <row r="1809" spans="1:5" x14ac:dyDescent="0.45">
      <c r="A1809" s="53" t="s">
        <v>5348</v>
      </c>
      <c r="B1809" s="54" t="s">
        <v>5349</v>
      </c>
    </row>
    <row r="1810" spans="1:5" x14ac:dyDescent="0.45">
      <c r="A1810" s="53" t="s">
        <v>5354</v>
      </c>
      <c r="B1810" s="54" t="s">
        <v>5355</v>
      </c>
    </row>
    <row r="1811" spans="1:5" x14ac:dyDescent="0.45">
      <c r="A1811" s="53" t="s">
        <v>5357</v>
      </c>
      <c r="B1811" s="54" t="s">
        <v>5358</v>
      </c>
    </row>
    <row r="1812" spans="1:5" x14ac:dyDescent="0.45">
      <c r="A1812" s="53" t="s">
        <v>5360</v>
      </c>
      <c r="B1812" s="54" t="s">
        <v>5361</v>
      </c>
    </row>
    <row r="1813" spans="1:5" x14ac:dyDescent="0.45">
      <c r="A1813" s="53" t="s">
        <v>5370</v>
      </c>
      <c r="B1813" s="54" t="s">
        <v>5371</v>
      </c>
      <c r="E1813" s="10"/>
    </row>
    <row r="1814" spans="1:5" x14ac:dyDescent="0.45">
      <c r="A1814" s="53" t="s">
        <v>5373</v>
      </c>
      <c r="B1814" s="54" t="s">
        <v>5374</v>
      </c>
    </row>
    <row r="1815" spans="1:5" x14ac:dyDescent="0.45">
      <c r="A1815" s="53" t="s">
        <v>5386</v>
      </c>
      <c r="B1815" s="54" t="s">
        <v>5387</v>
      </c>
    </row>
    <row r="1816" spans="1:5" x14ac:dyDescent="0.45">
      <c r="A1816" s="53" t="s">
        <v>5391</v>
      </c>
      <c r="B1816" s="54" t="s">
        <v>5392</v>
      </c>
    </row>
    <row r="1817" spans="1:5" x14ac:dyDescent="0.45">
      <c r="A1817" s="53" t="s">
        <v>5405</v>
      </c>
      <c r="B1817" s="54" t="s">
        <v>5406</v>
      </c>
    </row>
    <row r="1818" spans="1:5" x14ac:dyDescent="0.45">
      <c r="A1818" s="53" t="s">
        <v>5408</v>
      </c>
      <c r="B1818" s="54" t="s">
        <v>5409</v>
      </c>
    </row>
    <row r="1819" spans="1:5" x14ac:dyDescent="0.45">
      <c r="A1819" s="53" t="s">
        <v>5410</v>
      </c>
      <c r="B1819" s="54" t="s">
        <v>5411</v>
      </c>
    </row>
    <row r="1820" spans="1:5" x14ac:dyDescent="0.45">
      <c r="A1820" s="53" t="s">
        <v>5586</v>
      </c>
      <c r="B1820" s="54" t="s">
        <v>5587</v>
      </c>
    </row>
    <row r="1821" spans="1:5" x14ac:dyDescent="0.45">
      <c r="A1821" s="53" t="s">
        <v>6680</v>
      </c>
      <c r="B1821" s="54" t="s">
        <v>6681</v>
      </c>
    </row>
    <row r="1822" spans="1:5" x14ac:dyDescent="0.45">
      <c r="A1822" s="53" t="s">
        <v>8355</v>
      </c>
      <c r="B1822" s="54" t="s">
        <v>8356</v>
      </c>
    </row>
    <row r="1823" spans="1:5" x14ac:dyDescent="0.45">
      <c r="A1823" s="53" t="s">
        <v>5335</v>
      </c>
      <c r="B1823" s="54" t="s">
        <v>5336</v>
      </c>
    </row>
    <row r="1824" spans="1:5" x14ac:dyDescent="0.45">
      <c r="A1824" s="53" t="s">
        <v>5475</v>
      </c>
      <c r="B1824" s="54" t="s">
        <v>5476</v>
      </c>
    </row>
    <row r="1825" spans="1:5" x14ac:dyDescent="0.45">
      <c r="A1825" s="53" t="s">
        <v>3986</v>
      </c>
      <c r="B1825" s="54" t="s">
        <v>3987</v>
      </c>
    </row>
    <row r="1826" spans="1:5" x14ac:dyDescent="0.45">
      <c r="A1826" s="53" t="s">
        <v>6048</v>
      </c>
      <c r="B1826" s="54" t="s">
        <v>6049</v>
      </c>
    </row>
    <row r="1827" spans="1:5" x14ac:dyDescent="0.45">
      <c r="A1827" s="53" t="s">
        <v>6212</v>
      </c>
      <c r="B1827" s="54" t="s">
        <v>6213</v>
      </c>
    </row>
    <row r="1828" spans="1:5" x14ac:dyDescent="0.45">
      <c r="A1828" s="53" t="s">
        <v>6752</v>
      </c>
      <c r="B1828" s="54" t="s">
        <v>6753</v>
      </c>
    </row>
    <row r="1829" spans="1:5" x14ac:dyDescent="0.45">
      <c r="A1829" s="53" t="s">
        <v>8264</v>
      </c>
      <c r="B1829" s="54" t="s">
        <v>8265</v>
      </c>
    </row>
    <row r="1830" spans="1:5" x14ac:dyDescent="0.45">
      <c r="A1830" s="53" t="s">
        <v>4220</v>
      </c>
      <c r="B1830" s="54" t="s">
        <v>4221</v>
      </c>
    </row>
    <row r="1831" spans="1:5" x14ac:dyDescent="0.45">
      <c r="A1831" s="53" t="s">
        <v>4223</v>
      </c>
      <c r="B1831" s="54" t="s">
        <v>4224</v>
      </c>
    </row>
    <row r="1832" spans="1:5" x14ac:dyDescent="0.45">
      <c r="A1832" s="53" t="s">
        <v>4228</v>
      </c>
      <c r="B1832" s="54" t="s">
        <v>4229</v>
      </c>
    </row>
    <row r="1833" spans="1:5" x14ac:dyDescent="0.45">
      <c r="A1833" s="53" t="s">
        <v>4230</v>
      </c>
      <c r="B1833" s="54" t="s">
        <v>4231</v>
      </c>
    </row>
    <row r="1834" spans="1:5" x14ac:dyDescent="0.45">
      <c r="A1834" s="53" t="s">
        <v>4232</v>
      </c>
      <c r="B1834" s="54" t="s">
        <v>4233</v>
      </c>
    </row>
    <row r="1835" spans="1:5" x14ac:dyDescent="0.45">
      <c r="A1835" s="53" t="s">
        <v>4234</v>
      </c>
      <c r="B1835" s="54" t="s">
        <v>4235</v>
      </c>
    </row>
    <row r="1836" spans="1:5" x14ac:dyDescent="0.45">
      <c r="A1836" s="53" t="s">
        <v>4241</v>
      </c>
      <c r="B1836" s="54" t="s">
        <v>4242</v>
      </c>
    </row>
    <row r="1837" spans="1:5" x14ac:dyDescent="0.45">
      <c r="A1837" s="53" t="s">
        <v>4243</v>
      </c>
      <c r="B1837" s="54" t="s">
        <v>4244</v>
      </c>
    </row>
    <row r="1838" spans="1:5" x14ac:dyDescent="0.45">
      <c r="A1838" s="53" t="s">
        <v>4245</v>
      </c>
      <c r="B1838" s="54" t="s">
        <v>4246</v>
      </c>
    </row>
    <row r="1839" spans="1:5" x14ac:dyDescent="0.45">
      <c r="A1839" s="53" t="s">
        <v>4247</v>
      </c>
      <c r="B1839" s="54" t="s">
        <v>4248</v>
      </c>
    </row>
    <row r="1840" spans="1:5" x14ac:dyDescent="0.45">
      <c r="A1840" s="53" t="s">
        <v>4249</v>
      </c>
      <c r="B1840" s="54" t="s">
        <v>4250</v>
      </c>
      <c r="E1840" s="10"/>
    </row>
    <row r="1841" spans="1:5" x14ac:dyDescent="0.45">
      <c r="A1841" s="53" t="s">
        <v>4253</v>
      </c>
      <c r="B1841" s="54" t="s">
        <v>4254</v>
      </c>
    </row>
    <row r="1842" spans="1:5" x14ac:dyDescent="0.45">
      <c r="A1842" s="53" t="s">
        <v>4255</v>
      </c>
      <c r="B1842" s="54" t="s">
        <v>4256</v>
      </c>
    </row>
    <row r="1843" spans="1:5" x14ac:dyDescent="0.45">
      <c r="A1843" s="53" t="s">
        <v>4266</v>
      </c>
      <c r="B1843" s="54" t="s">
        <v>4267</v>
      </c>
      <c r="E1843" s="10"/>
    </row>
    <row r="1844" spans="1:5" x14ac:dyDescent="0.45">
      <c r="A1844" s="53" t="s">
        <v>4271</v>
      </c>
      <c r="B1844" s="54" t="s">
        <v>4272</v>
      </c>
    </row>
    <row r="1845" spans="1:5" x14ac:dyDescent="0.45">
      <c r="A1845" s="53" t="s">
        <v>4275</v>
      </c>
      <c r="B1845" s="54" t="s">
        <v>4276</v>
      </c>
    </row>
    <row r="1846" spans="1:5" x14ac:dyDescent="0.45">
      <c r="A1846" s="53" t="s">
        <v>4283</v>
      </c>
      <c r="B1846" s="54" t="s">
        <v>4284</v>
      </c>
    </row>
    <row r="1847" spans="1:5" x14ac:dyDescent="0.45">
      <c r="A1847" s="53" t="s">
        <v>4285</v>
      </c>
      <c r="B1847" s="54" t="s">
        <v>4286</v>
      </c>
    </row>
    <row r="1848" spans="1:5" x14ac:dyDescent="0.45">
      <c r="A1848" s="53" t="s">
        <v>4308</v>
      </c>
      <c r="B1848" s="54" t="s">
        <v>4309</v>
      </c>
    </row>
    <row r="1849" spans="1:5" x14ac:dyDescent="0.45">
      <c r="A1849" s="53" t="s">
        <v>4317</v>
      </c>
      <c r="B1849" s="54" t="s">
        <v>4318</v>
      </c>
    </row>
    <row r="1850" spans="1:5" x14ac:dyDescent="0.45">
      <c r="A1850" s="53" t="s">
        <v>5135</v>
      </c>
      <c r="B1850" s="54" t="s">
        <v>5136</v>
      </c>
    </row>
    <row r="1851" spans="1:5" x14ac:dyDescent="0.45">
      <c r="A1851" s="53" t="s">
        <v>6452</v>
      </c>
      <c r="B1851" s="54" t="s">
        <v>6453</v>
      </c>
    </row>
    <row r="1852" spans="1:5" x14ac:dyDescent="0.45">
      <c r="A1852" s="53" t="s">
        <v>6716</v>
      </c>
      <c r="B1852" s="54" t="s">
        <v>6717</v>
      </c>
    </row>
    <row r="1853" spans="1:5" x14ac:dyDescent="0.45">
      <c r="A1853" s="53" t="s">
        <v>7101</v>
      </c>
      <c r="B1853" s="54" t="s">
        <v>7102</v>
      </c>
    </row>
    <row r="1854" spans="1:5" x14ac:dyDescent="0.45">
      <c r="A1854" s="53" t="s">
        <v>7110</v>
      </c>
      <c r="B1854" s="54" t="s">
        <v>7111</v>
      </c>
    </row>
    <row r="1855" spans="1:5" x14ac:dyDescent="0.45">
      <c r="A1855" s="53" t="s">
        <v>7262</v>
      </c>
      <c r="B1855" s="54" t="s">
        <v>7263</v>
      </c>
    </row>
    <row r="1856" spans="1:5" x14ac:dyDescent="0.45">
      <c r="A1856" s="53" t="s">
        <v>8322</v>
      </c>
      <c r="B1856" s="54" t="s">
        <v>8323</v>
      </c>
    </row>
    <row r="1857" spans="1:5" x14ac:dyDescent="0.45">
      <c r="A1857" s="53" t="s">
        <v>4273</v>
      </c>
      <c r="B1857" s="54" t="s">
        <v>4274</v>
      </c>
    </row>
    <row r="1858" spans="1:5" x14ac:dyDescent="0.45">
      <c r="A1858" s="53" t="s">
        <v>8365</v>
      </c>
      <c r="B1858" s="54" t="s">
        <v>8366</v>
      </c>
    </row>
    <row r="1859" spans="1:5" x14ac:dyDescent="0.45">
      <c r="A1859" s="53" t="s">
        <v>3927</v>
      </c>
      <c r="B1859" s="54" t="s">
        <v>3928</v>
      </c>
    </row>
    <row r="1860" spans="1:5" x14ac:dyDescent="0.45">
      <c r="A1860" s="53" t="s">
        <v>3994</v>
      </c>
      <c r="B1860" s="54" t="s">
        <v>3995</v>
      </c>
    </row>
    <row r="1861" spans="1:5" x14ac:dyDescent="0.45">
      <c r="A1861" s="53" t="s">
        <v>4008</v>
      </c>
      <c r="B1861" s="54" t="s">
        <v>4009</v>
      </c>
    </row>
    <row r="1862" spans="1:5" x14ac:dyDescent="0.45">
      <c r="A1862" s="53" t="s">
        <v>4012</v>
      </c>
      <c r="B1862" s="54" t="s">
        <v>4013</v>
      </c>
      <c r="E1862" s="10"/>
    </row>
    <row r="1863" spans="1:5" x14ac:dyDescent="0.45">
      <c r="A1863" s="53" t="s">
        <v>4018</v>
      </c>
      <c r="B1863" s="54" t="s">
        <v>4019</v>
      </c>
    </row>
    <row r="1864" spans="1:5" x14ac:dyDescent="0.45">
      <c r="A1864" s="53" t="s">
        <v>4020</v>
      </c>
      <c r="B1864" s="54" t="s">
        <v>4021</v>
      </c>
    </row>
    <row r="1865" spans="1:5" x14ac:dyDescent="0.45">
      <c r="A1865" s="53" t="s">
        <v>4026</v>
      </c>
      <c r="B1865" s="54" t="s">
        <v>4027</v>
      </c>
    </row>
    <row r="1866" spans="1:5" x14ac:dyDescent="0.45">
      <c r="A1866" s="53" t="s">
        <v>4036</v>
      </c>
      <c r="B1866" s="54" t="s">
        <v>4037</v>
      </c>
    </row>
    <row r="1867" spans="1:5" x14ac:dyDescent="0.45">
      <c r="A1867" s="53" t="s">
        <v>4053</v>
      </c>
      <c r="B1867" s="54" t="s">
        <v>4054</v>
      </c>
      <c r="E1867" s="10"/>
    </row>
    <row r="1868" spans="1:5" x14ac:dyDescent="0.45">
      <c r="A1868" s="53" t="s">
        <v>4123</v>
      </c>
      <c r="B1868" s="54" t="s">
        <v>4124</v>
      </c>
    </row>
    <row r="1869" spans="1:5" x14ac:dyDescent="0.45">
      <c r="A1869" s="53" t="s">
        <v>4155</v>
      </c>
      <c r="B1869" s="54" t="s">
        <v>4156</v>
      </c>
    </row>
    <row r="1870" spans="1:5" x14ac:dyDescent="0.45">
      <c r="A1870" s="53" t="s">
        <v>4158</v>
      </c>
      <c r="B1870" s="54" t="s">
        <v>4159</v>
      </c>
      <c r="E1870" s="10"/>
    </row>
    <row r="1871" spans="1:5" x14ac:dyDescent="0.45">
      <c r="A1871" s="53" t="s">
        <v>5268</v>
      </c>
      <c r="B1871" s="54" t="s">
        <v>5269</v>
      </c>
    </row>
    <row r="1872" spans="1:5" x14ac:dyDescent="0.45">
      <c r="A1872" s="53" t="s">
        <v>5268</v>
      </c>
      <c r="B1872" s="54" t="s">
        <v>5375</v>
      </c>
      <c r="E1872" s="10"/>
    </row>
    <row r="1873" spans="1:5" x14ac:dyDescent="0.45">
      <c r="A1873" s="53" t="s">
        <v>5268</v>
      </c>
      <c r="B1873" s="54" t="s">
        <v>6012</v>
      </c>
    </row>
    <row r="1874" spans="1:5" x14ac:dyDescent="0.45">
      <c r="A1874" s="53" t="s">
        <v>5268</v>
      </c>
      <c r="B1874" s="54" t="s">
        <v>6162</v>
      </c>
    </row>
    <row r="1875" spans="1:5" x14ac:dyDescent="0.45">
      <c r="A1875" s="53" t="s">
        <v>4336</v>
      </c>
      <c r="B1875" s="54" t="s">
        <v>4337</v>
      </c>
      <c r="E1875" s="10"/>
    </row>
    <row r="1876" spans="1:5" x14ac:dyDescent="0.45">
      <c r="A1876" s="53" t="s">
        <v>4339</v>
      </c>
      <c r="B1876" s="54" t="s">
        <v>4340</v>
      </c>
    </row>
    <row r="1877" spans="1:5" x14ac:dyDescent="0.45">
      <c r="A1877" s="53" t="s">
        <v>4396</v>
      </c>
      <c r="B1877" s="54" t="s">
        <v>4397</v>
      </c>
    </row>
    <row r="1878" spans="1:5" x14ac:dyDescent="0.45">
      <c r="A1878" s="53" t="s">
        <v>4425</v>
      </c>
      <c r="B1878" s="54" t="s">
        <v>4426</v>
      </c>
    </row>
    <row r="1879" spans="1:5" x14ac:dyDescent="0.45">
      <c r="A1879" s="53" t="s">
        <v>4427</v>
      </c>
      <c r="B1879" s="54" t="s">
        <v>4428</v>
      </c>
    </row>
    <row r="1880" spans="1:5" x14ac:dyDescent="0.45">
      <c r="A1880" s="53" t="s">
        <v>4429</v>
      </c>
      <c r="B1880" s="54" t="s">
        <v>4430</v>
      </c>
    </row>
    <row r="1881" spans="1:5" x14ac:dyDescent="0.45">
      <c r="A1881" s="53" t="s">
        <v>4443</v>
      </c>
      <c r="B1881" s="54" t="s">
        <v>4444</v>
      </c>
    </row>
    <row r="1882" spans="1:5" x14ac:dyDescent="0.45">
      <c r="A1882" s="53" t="s">
        <v>4448</v>
      </c>
      <c r="B1882" s="54" t="s">
        <v>4449</v>
      </c>
    </row>
    <row r="1883" spans="1:5" x14ac:dyDescent="0.45">
      <c r="A1883" s="53" t="s">
        <v>4458</v>
      </c>
      <c r="B1883" s="54" t="s">
        <v>4459</v>
      </c>
    </row>
    <row r="1884" spans="1:5" x14ac:dyDescent="0.45">
      <c r="A1884" s="53" t="s">
        <v>4471</v>
      </c>
      <c r="B1884" s="54" t="s">
        <v>4472</v>
      </c>
    </row>
    <row r="1885" spans="1:5" x14ac:dyDescent="0.45">
      <c r="A1885" s="53" t="s">
        <v>4481</v>
      </c>
      <c r="B1885" s="54" t="s">
        <v>4482</v>
      </c>
    </row>
    <row r="1886" spans="1:5" x14ac:dyDescent="0.45">
      <c r="A1886" s="53" t="s">
        <v>4491</v>
      </c>
      <c r="B1886" s="54" t="s">
        <v>4492</v>
      </c>
    </row>
    <row r="1887" spans="1:5" x14ac:dyDescent="0.45">
      <c r="A1887" s="53" t="s">
        <v>4497</v>
      </c>
      <c r="B1887" s="54" t="s">
        <v>4498</v>
      </c>
    </row>
    <row r="1888" spans="1:5" x14ac:dyDescent="0.45">
      <c r="A1888" s="53" t="s">
        <v>4500</v>
      </c>
      <c r="B1888" s="54" t="s">
        <v>4501</v>
      </c>
    </row>
    <row r="1889" spans="1:5" x14ac:dyDescent="0.45">
      <c r="A1889" s="53" t="s">
        <v>4502</v>
      </c>
      <c r="B1889" s="54" t="s">
        <v>4503</v>
      </c>
    </row>
    <row r="1890" spans="1:5" x14ac:dyDescent="0.45">
      <c r="A1890" s="53" t="s">
        <v>4508</v>
      </c>
      <c r="B1890" s="54" t="s">
        <v>4509</v>
      </c>
    </row>
    <row r="1891" spans="1:5" x14ac:dyDescent="0.45">
      <c r="A1891" s="53" t="s">
        <v>4536</v>
      </c>
      <c r="B1891" s="54" t="s">
        <v>4537</v>
      </c>
    </row>
    <row r="1892" spans="1:5" x14ac:dyDescent="0.45">
      <c r="A1892" s="53" t="s">
        <v>4539</v>
      </c>
      <c r="B1892" s="54" t="s">
        <v>4540</v>
      </c>
    </row>
    <row r="1893" spans="1:5" x14ac:dyDescent="0.45">
      <c r="A1893" s="53" t="s">
        <v>4548</v>
      </c>
      <c r="B1893" s="54" t="s">
        <v>4549</v>
      </c>
      <c r="E1893" s="10"/>
    </row>
    <row r="1894" spans="1:5" x14ac:dyDescent="0.45">
      <c r="A1894" s="53" t="s">
        <v>4550</v>
      </c>
      <c r="B1894" s="54" t="s">
        <v>4551</v>
      </c>
    </row>
    <row r="1895" spans="1:5" x14ac:dyDescent="0.45">
      <c r="A1895" s="53" t="s">
        <v>4557</v>
      </c>
      <c r="B1895" s="54" t="s">
        <v>4558</v>
      </c>
    </row>
    <row r="1896" spans="1:5" x14ac:dyDescent="0.45">
      <c r="A1896" s="53" t="s">
        <v>4567</v>
      </c>
      <c r="B1896" s="54" t="s">
        <v>4568</v>
      </c>
    </row>
    <row r="1897" spans="1:5" x14ac:dyDescent="0.45">
      <c r="A1897" s="53" t="s">
        <v>4573</v>
      </c>
      <c r="B1897" s="54" t="s">
        <v>4574</v>
      </c>
    </row>
    <row r="1898" spans="1:5" x14ac:dyDescent="0.45">
      <c r="A1898" s="53" t="s">
        <v>4576</v>
      </c>
      <c r="B1898" s="54" t="s">
        <v>4577</v>
      </c>
    </row>
    <row r="1899" spans="1:5" x14ac:dyDescent="0.45">
      <c r="A1899" s="53" t="s">
        <v>4586</v>
      </c>
      <c r="B1899" s="54" t="s">
        <v>4587</v>
      </c>
    </row>
    <row r="1900" spans="1:5" x14ac:dyDescent="0.45">
      <c r="A1900" s="53" t="s">
        <v>4588</v>
      </c>
      <c r="B1900" s="54" t="s">
        <v>4589</v>
      </c>
    </row>
    <row r="1901" spans="1:5" x14ac:dyDescent="0.45">
      <c r="A1901" s="53" t="s">
        <v>4597</v>
      </c>
      <c r="B1901" s="54" t="s">
        <v>4598</v>
      </c>
    </row>
    <row r="1902" spans="1:5" x14ac:dyDescent="0.45">
      <c r="A1902" s="53" t="s">
        <v>4479</v>
      </c>
      <c r="B1902" s="54" t="s">
        <v>4480</v>
      </c>
    </row>
    <row r="1903" spans="1:5" x14ac:dyDescent="0.45">
      <c r="A1903" s="53" t="s">
        <v>5685</v>
      </c>
      <c r="B1903" s="54" t="s">
        <v>5686</v>
      </c>
    </row>
    <row r="1904" spans="1:5" x14ac:dyDescent="0.45">
      <c r="A1904" s="53" t="s">
        <v>5988</v>
      </c>
      <c r="B1904" s="54" t="s">
        <v>5989</v>
      </c>
    </row>
    <row r="1905" spans="1:6" x14ac:dyDescent="0.45">
      <c r="A1905" s="53" t="s">
        <v>6069</v>
      </c>
      <c r="B1905" s="54" t="s">
        <v>6070</v>
      </c>
    </row>
    <row r="1906" spans="1:6" x14ac:dyDescent="0.45">
      <c r="A1906" s="53" t="s">
        <v>6323</v>
      </c>
      <c r="B1906" s="54" t="s">
        <v>6324</v>
      </c>
    </row>
    <row r="1907" spans="1:6" x14ac:dyDescent="0.45">
      <c r="A1907" s="53" t="s">
        <v>6364</v>
      </c>
      <c r="B1907" s="54" t="s">
        <v>6365</v>
      </c>
    </row>
    <row r="1908" spans="1:6" x14ac:dyDescent="0.45">
      <c r="A1908" s="53" t="s">
        <v>8184</v>
      </c>
      <c r="B1908" s="54" t="s">
        <v>8185</v>
      </c>
    </row>
    <row r="1909" spans="1:6" x14ac:dyDescent="0.45">
      <c r="A1909" s="53" t="s">
        <v>8186</v>
      </c>
      <c r="B1909" s="54" t="s">
        <v>8187</v>
      </c>
    </row>
    <row r="1910" spans="1:6" x14ac:dyDescent="0.45">
      <c r="A1910" s="53" t="s">
        <v>8203</v>
      </c>
      <c r="B1910" s="54" t="s">
        <v>8204</v>
      </c>
    </row>
    <row r="1911" spans="1:6" x14ac:dyDescent="0.45">
      <c r="A1911" s="53" t="s">
        <v>8235</v>
      </c>
      <c r="B1911" s="54" t="s">
        <v>8236</v>
      </c>
    </row>
    <row r="1912" spans="1:6" x14ac:dyDescent="0.45">
      <c r="A1912" s="53" t="s">
        <v>8326</v>
      </c>
      <c r="B1912" s="54" t="s">
        <v>8327</v>
      </c>
    </row>
    <row r="1913" spans="1:6" x14ac:dyDescent="0.45">
      <c r="A1913" s="53" t="s">
        <v>8334</v>
      </c>
      <c r="B1913" s="54" t="s">
        <v>8335</v>
      </c>
    </row>
    <row r="1914" spans="1:6" x14ac:dyDescent="0.45">
      <c r="A1914" s="53" t="s">
        <v>3616</v>
      </c>
      <c r="B1914" s="54" t="s">
        <v>3617</v>
      </c>
      <c r="E1914" s="10"/>
      <c r="F1914" s="10"/>
    </row>
    <row r="1915" spans="1:6" x14ac:dyDescent="0.45">
      <c r="A1915" s="53" t="s">
        <v>4485</v>
      </c>
      <c r="B1915" s="54" t="s">
        <v>4486</v>
      </c>
    </row>
    <row r="1916" spans="1:6" x14ac:dyDescent="0.45">
      <c r="A1916" s="53" t="s">
        <v>3704</v>
      </c>
      <c r="B1916" s="54" t="s">
        <v>3705</v>
      </c>
      <c r="E1916" s="10"/>
    </row>
    <row r="1917" spans="1:6" x14ac:dyDescent="0.45">
      <c r="A1917" s="53" t="s">
        <v>5166</v>
      </c>
      <c r="B1917" s="54" t="s">
        <v>5167</v>
      </c>
    </row>
    <row r="1918" spans="1:6" x14ac:dyDescent="0.45">
      <c r="A1918" s="53" t="s">
        <v>5483</v>
      </c>
      <c r="B1918" s="54" t="s">
        <v>5484</v>
      </c>
    </row>
    <row r="1919" spans="1:6" x14ac:dyDescent="0.45">
      <c r="A1919" s="53" t="s">
        <v>4365</v>
      </c>
      <c r="B1919" s="54" t="s">
        <v>4366</v>
      </c>
    </row>
    <row r="1920" spans="1:6" x14ac:dyDescent="0.45">
      <c r="A1920" s="53" t="s">
        <v>4648</v>
      </c>
      <c r="B1920" s="54" t="s">
        <v>4649</v>
      </c>
    </row>
    <row r="1921" spans="1:2" x14ac:dyDescent="0.45">
      <c r="A1921" s="53" t="s">
        <v>4932</v>
      </c>
      <c r="B1921" s="54" t="s">
        <v>4933</v>
      </c>
    </row>
    <row r="1922" spans="1:2" x14ac:dyDescent="0.45">
      <c r="A1922" s="53" t="s">
        <v>6376</v>
      </c>
      <c r="B1922" s="54" t="s">
        <v>6377</v>
      </c>
    </row>
    <row r="1923" spans="1:2" x14ac:dyDescent="0.45">
      <c r="A1923" s="53" t="s">
        <v>8045</v>
      </c>
      <c r="B1923" s="54" t="s">
        <v>8046</v>
      </c>
    </row>
    <row r="1924" spans="1:2" x14ac:dyDescent="0.45">
      <c r="A1924" s="53" t="s">
        <v>5599</v>
      </c>
      <c r="B1924" s="54" t="s">
        <v>5600</v>
      </c>
    </row>
    <row r="1925" spans="1:2" x14ac:dyDescent="0.45">
      <c r="A1925" s="53" t="s">
        <v>5833</v>
      </c>
      <c r="B1925" s="54" t="s">
        <v>5834</v>
      </c>
    </row>
    <row r="1926" spans="1:2" x14ac:dyDescent="0.45">
      <c r="A1926" s="53" t="s">
        <v>5835</v>
      </c>
      <c r="B1926" s="54" t="s">
        <v>5836</v>
      </c>
    </row>
    <row r="1927" spans="1:2" x14ac:dyDescent="0.45">
      <c r="A1927" s="53" t="s">
        <v>5837</v>
      </c>
      <c r="B1927" s="54" t="s">
        <v>5838</v>
      </c>
    </row>
    <row r="1928" spans="1:2" x14ac:dyDescent="0.45">
      <c r="A1928" s="53" t="s">
        <v>5839</v>
      </c>
      <c r="B1928" s="54" t="s">
        <v>5840</v>
      </c>
    </row>
    <row r="1929" spans="1:2" x14ac:dyDescent="0.45">
      <c r="A1929" s="53" t="s">
        <v>5841</v>
      </c>
      <c r="B1929" s="54" t="s">
        <v>5842</v>
      </c>
    </row>
    <row r="1930" spans="1:2" x14ac:dyDescent="0.45">
      <c r="A1930" s="53" t="s">
        <v>5850</v>
      </c>
      <c r="B1930" s="54" t="s">
        <v>5851</v>
      </c>
    </row>
    <row r="1931" spans="1:2" x14ac:dyDescent="0.45">
      <c r="A1931" s="53" t="s">
        <v>5852</v>
      </c>
      <c r="B1931" s="54" t="s">
        <v>5853</v>
      </c>
    </row>
    <row r="1932" spans="1:2" x14ac:dyDescent="0.45">
      <c r="A1932" s="53" t="s">
        <v>5855</v>
      </c>
      <c r="B1932" s="54" t="s">
        <v>5856</v>
      </c>
    </row>
    <row r="1933" spans="1:2" x14ac:dyDescent="0.45">
      <c r="A1933" s="53" t="s">
        <v>5860</v>
      </c>
      <c r="B1933" s="54" t="s">
        <v>5861</v>
      </c>
    </row>
    <row r="1934" spans="1:2" x14ac:dyDescent="0.45">
      <c r="A1934" s="53" t="s">
        <v>5862</v>
      </c>
      <c r="B1934" s="54" t="s">
        <v>5863</v>
      </c>
    </row>
    <row r="1935" spans="1:2" x14ac:dyDescent="0.45">
      <c r="A1935" s="53" t="s">
        <v>5865</v>
      </c>
      <c r="B1935" s="54" t="s">
        <v>5866</v>
      </c>
    </row>
    <row r="1936" spans="1:2" x14ac:dyDescent="0.45">
      <c r="A1936" s="53" t="s">
        <v>5867</v>
      </c>
      <c r="B1936" s="54" t="s">
        <v>5868</v>
      </c>
    </row>
    <row r="1937" spans="1:2" x14ac:dyDescent="0.45">
      <c r="A1937" s="53" t="s">
        <v>5877</v>
      </c>
      <c r="B1937" s="54" t="s">
        <v>5878</v>
      </c>
    </row>
    <row r="1938" spans="1:2" x14ac:dyDescent="0.45">
      <c r="A1938" s="53" t="s">
        <v>5881</v>
      </c>
      <c r="B1938" s="54" t="s">
        <v>5882</v>
      </c>
    </row>
    <row r="1939" spans="1:2" x14ac:dyDescent="0.45">
      <c r="A1939" s="53" t="s">
        <v>5884</v>
      </c>
      <c r="B1939" s="54" t="s">
        <v>5885</v>
      </c>
    </row>
    <row r="1940" spans="1:2" x14ac:dyDescent="0.45">
      <c r="A1940" s="53" t="s">
        <v>5892</v>
      </c>
      <c r="B1940" s="54" t="s">
        <v>5893</v>
      </c>
    </row>
    <row r="1941" spans="1:2" x14ac:dyDescent="0.45">
      <c r="A1941" s="53" t="s">
        <v>5895</v>
      </c>
      <c r="B1941" s="54" t="s">
        <v>5896</v>
      </c>
    </row>
    <row r="1942" spans="1:2" x14ac:dyDescent="0.45">
      <c r="A1942" s="53" t="s">
        <v>5898</v>
      </c>
      <c r="B1942" s="54" t="s">
        <v>5899</v>
      </c>
    </row>
    <row r="1943" spans="1:2" x14ac:dyDescent="0.45">
      <c r="A1943" s="53" t="s">
        <v>5903</v>
      </c>
      <c r="B1943" s="54" t="s">
        <v>5904</v>
      </c>
    </row>
    <row r="1944" spans="1:2" x14ac:dyDescent="0.45">
      <c r="A1944" s="53" t="s">
        <v>5906</v>
      </c>
      <c r="B1944" s="54" t="s">
        <v>5907</v>
      </c>
    </row>
    <row r="1945" spans="1:2" x14ac:dyDescent="0.45">
      <c r="A1945" s="53" t="s">
        <v>5908</v>
      </c>
      <c r="B1945" s="54" t="s">
        <v>5909</v>
      </c>
    </row>
    <row r="1946" spans="1:2" x14ac:dyDescent="0.45">
      <c r="A1946" s="53" t="s">
        <v>5910</v>
      </c>
      <c r="B1946" s="54" t="s">
        <v>5911</v>
      </c>
    </row>
    <row r="1947" spans="1:2" x14ac:dyDescent="0.45">
      <c r="A1947" s="53" t="s">
        <v>5913</v>
      </c>
      <c r="B1947" s="54" t="s">
        <v>5914</v>
      </c>
    </row>
    <row r="1948" spans="1:2" x14ac:dyDescent="0.45">
      <c r="A1948" s="53" t="s">
        <v>5916</v>
      </c>
      <c r="B1948" s="54" t="s">
        <v>5917</v>
      </c>
    </row>
    <row r="1949" spans="1:2" x14ac:dyDescent="0.45">
      <c r="A1949" s="53" t="s">
        <v>5918</v>
      </c>
      <c r="B1949" s="54" t="s">
        <v>5919</v>
      </c>
    </row>
    <row r="1950" spans="1:2" x14ac:dyDescent="0.45">
      <c r="A1950" s="53" t="s">
        <v>5920</v>
      </c>
      <c r="B1950" s="54" t="s">
        <v>5921</v>
      </c>
    </row>
    <row r="1951" spans="1:2" x14ac:dyDescent="0.45">
      <c r="A1951" s="53" t="s">
        <v>5934</v>
      </c>
      <c r="B1951" s="54" t="s">
        <v>5935</v>
      </c>
    </row>
    <row r="1952" spans="1:2" x14ac:dyDescent="0.45">
      <c r="A1952" s="53" t="s">
        <v>5954</v>
      </c>
      <c r="B1952" s="54" t="s">
        <v>5955</v>
      </c>
    </row>
    <row r="1953" spans="1:2" x14ac:dyDescent="0.45">
      <c r="A1953" s="53" t="s">
        <v>5958</v>
      </c>
      <c r="B1953" s="54" t="s">
        <v>5959</v>
      </c>
    </row>
    <row r="1954" spans="1:2" x14ac:dyDescent="0.45">
      <c r="A1954" s="53" t="s">
        <v>6508</v>
      </c>
      <c r="B1954" s="54" t="s">
        <v>6509</v>
      </c>
    </row>
    <row r="1955" spans="1:2" x14ac:dyDescent="0.45">
      <c r="A1955" s="53" t="s">
        <v>6569</v>
      </c>
      <c r="B1955" s="54" t="s">
        <v>6570</v>
      </c>
    </row>
    <row r="1956" spans="1:2" x14ac:dyDescent="0.45">
      <c r="A1956" s="53" t="s">
        <v>6575</v>
      </c>
      <c r="B1956" s="54" t="s">
        <v>6576</v>
      </c>
    </row>
    <row r="1957" spans="1:2" x14ac:dyDescent="0.45">
      <c r="A1957" s="53" t="s">
        <v>6579</v>
      </c>
      <c r="B1957" s="54" t="s">
        <v>6580</v>
      </c>
    </row>
    <row r="1958" spans="1:2" x14ac:dyDescent="0.45">
      <c r="A1958" s="53" t="s">
        <v>6633</v>
      </c>
      <c r="B1958" s="54" t="s">
        <v>6634</v>
      </c>
    </row>
    <row r="1959" spans="1:2" x14ac:dyDescent="0.45">
      <c r="A1959" s="53" t="s">
        <v>6653</v>
      </c>
      <c r="B1959" s="54" t="s">
        <v>6654</v>
      </c>
    </row>
    <row r="1960" spans="1:2" x14ac:dyDescent="0.45">
      <c r="A1960" s="53" t="s">
        <v>6670</v>
      </c>
      <c r="B1960" s="54" t="s">
        <v>6671</v>
      </c>
    </row>
    <row r="1961" spans="1:2" x14ac:dyDescent="0.45">
      <c r="A1961" s="53" t="s">
        <v>6678</v>
      </c>
      <c r="B1961" s="54" t="s">
        <v>6679</v>
      </c>
    </row>
    <row r="1962" spans="1:2" x14ac:dyDescent="0.45">
      <c r="A1962" s="53" t="s">
        <v>6685</v>
      </c>
      <c r="B1962" s="54" t="s">
        <v>6686</v>
      </c>
    </row>
    <row r="1963" spans="1:2" x14ac:dyDescent="0.45">
      <c r="A1963" s="53" t="s">
        <v>7029</v>
      </c>
      <c r="B1963" s="54" t="s">
        <v>7030</v>
      </c>
    </row>
    <row r="1964" spans="1:2" x14ac:dyDescent="0.45">
      <c r="A1964" s="53" t="s">
        <v>7038</v>
      </c>
      <c r="B1964" s="54" t="s">
        <v>7039</v>
      </c>
    </row>
    <row r="1965" spans="1:2" x14ac:dyDescent="0.45">
      <c r="A1965" s="53" t="s">
        <v>7066</v>
      </c>
      <c r="B1965" s="54" t="s">
        <v>7067</v>
      </c>
    </row>
    <row r="1966" spans="1:2" x14ac:dyDescent="0.45">
      <c r="A1966" s="53" t="s">
        <v>7136</v>
      </c>
      <c r="B1966" s="54" t="s">
        <v>7137</v>
      </c>
    </row>
    <row r="1967" spans="1:2" x14ac:dyDescent="0.45">
      <c r="A1967" s="53" t="s">
        <v>7145</v>
      </c>
      <c r="B1967" s="54" t="s">
        <v>7146</v>
      </c>
    </row>
    <row r="1968" spans="1:2" x14ac:dyDescent="0.45">
      <c r="A1968" s="53" t="s">
        <v>7147</v>
      </c>
      <c r="B1968" s="54" t="s">
        <v>7148</v>
      </c>
    </row>
    <row r="1969" spans="1:3" x14ac:dyDescent="0.45">
      <c r="A1969" s="53" t="s">
        <v>7154</v>
      </c>
      <c r="B1969" s="54" t="s">
        <v>7155</v>
      </c>
    </row>
    <row r="1970" spans="1:3" x14ac:dyDescent="0.45">
      <c r="A1970" s="53" t="s">
        <v>7157</v>
      </c>
      <c r="B1970" s="54" t="s">
        <v>7158</v>
      </c>
    </row>
    <row r="1971" spans="1:3" x14ac:dyDescent="0.45">
      <c r="A1971" s="53" t="s">
        <v>7181</v>
      </c>
      <c r="B1971" s="54" t="s">
        <v>7182</v>
      </c>
    </row>
    <row r="1972" spans="1:3" x14ac:dyDescent="0.45">
      <c r="A1972" s="53" t="s">
        <v>7191</v>
      </c>
      <c r="B1972" s="54" t="s">
        <v>7192</v>
      </c>
    </row>
    <row r="1973" spans="1:3" x14ac:dyDescent="0.45">
      <c r="A1973" s="53" t="s">
        <v>7197</v>
      </c>
      <c r="B1973" s="54" t="s">
        <v>7198</v>
      </c>
    </row>
    <row r="1974" spans="1:3" x14ac:dyDescent="0.45">
      <c r="A1974" s="53" t="s">
        <v>7206</v>
      </c>
      <c r="B1974" s="54" t="s">
        <v>7207</v>
      </c>
    </row>
    <row r="1975" spans="1:3" x14ac:dyDescent="0.45">
      <c r="A1975" s="53" t="s">
        <v>7213</v>
      </c>
      <c r="B1975" s="54" t="s">
        <v>7214</v>
      </c>
    </row>
    <row r="1976" spans="1:3" x14ac:dyDescent="0.45">
      <c r="A1976" s="53" t="s">
        <v>7221</v>
      </c>
      <c r="B1976" s="54" t="s">
        <v>7222</v>
      </c>
    </row>
    <row r="1977" spans="1:3" x14ac:dyDescent="0.45">
      <c r="A1977" s="53" t="s">
        <v>7249</v>
      </c>
      <c r="B1977" s="54" t="s">
        <v>7250</v>
      </c>
    </row>
    <row r="1978" spans="1:3" x14ac:dyDescent="0.45">
      <c r="A1978" s="53" t="s">
        <v>7845</v>
      </c>
      <c r="B1978" s="54" t="s">
        <v>7846</v>
      </c>
    </row>
    <row r="1979" spans="1:3" x14ac:dyDescent="0.45">
      <c r="A1979" s="53" t="s">
        <v>8368</v>
      </c>
      <c r="B1979" s="54" t="s">
        <v>8369</v>
      </c>
    </row>
    <row r="1980" spans="1:3" x14ac:dyDescent="0.45">
      <c r="A1980" s="53" t="s">
        <v>5463</v>
      </c>
      <c r="B1980" s="54" t="s">
        <v>5464</v>
      </c>
    </row>
    <row r="1981" spans="1:3" x14ac:dyDescent="0.45">
      <c r="A1981" s="53" t="s">
        <v>7232</v>
      </c>
      <c r="B1981" s="54" t="s">
        <v>7233</v>
      </c>
    </row>
    <row r="1982" spans="1:3" x14ac:dyDescent="0.45">
      <c r="A1982" s="53" t="s">
        <v>5477</v>
      </c>
      <c r="B1982" s="54" t="s">
        <v>5478</v>
      </c>
    </row>
    <row r="1983" spans="1:3" x14ac:dyDescent="0.45">
      <c r="A1983" s="53" t="s">
        <v>4965</v>
      </c>
      <c r="B1983" s="54" t="s">
        <v>4966</v>
      </c>
      <c r="C1983" s="11"/>
    </row>
    <row r="1984" spans="1:3" x14ac:dyDescent="0.45">
      <c r="A1984" s="53" t="s">
        <v>5943</v>
      </c>
      <c r="B1984" s="54" t="s">
        <v>5944</v>
      </c>
    </row>
    <row r="1985" spans="1:5" x14ac:dyDescent="0.45">
      <c r="A1985" s="53" t="s">
        <v>5941</v>
      </c>
      <c r="B1985" s="54" t="s">
        <v>5942</v>
      </c>
    </row>
    <row r="1986" spans="1:5" x14ac:dyDescent="0.45">
      <c r="A1986" s="53" t="s">
        <v>5938</v>
      </c>
      <c r="B1986" s="54" t="s">
        <v>5939</v>
      </c>
    </row>
    <row r="1987" spans="1:5" x14ac:dyDescent="0.45">
      <c r="A1987" s="53" t="s">
        <v>5931</v>
      </c>
      <c r="B1987" s="54" t="s">
        <v>5932</v>
      </c>
    </row>
    <row r="1988" spans="1:5" x14ac:dyDescent="0.45">
      <c r="A1988" s="53" t="s">
        <v>5926</v>
      </c>
      <c r="B1988" s="54" t="s">
        <v>5927</v>
      </c>
    </row>
    <row r="1989" spans="1:5" x14ac:dyDescent="0.45">
      <c r="A1989" s="53" t="s">
        <v>5923</v>
      </c>
      <c r="B1989" s="54" t="s">
        <v>5924</v>
      </c>
    </row>
    <row r="1990" spans="1:5" x14ac:dyDescent="0.45">
      <c r="A1990" s="53" t="s">
        <v>5341</v>
      </c>
      <c r="B1990" s="54" t="s">
        <v>5342</v>
      </c>
    </row>
    <row r="1991" spans="1:5" x14ac:dyDescent="0.45">
      <c r="A1991" s="53" t="s">
        <v>4603</v>
      </c>
      <c r="B1991" s="54" t="s">
        <v>4604</v>
      </c>
    </row>
    <row r="1992" spans="1:5" x14ac:dyDescent="0.45">
      <c r="A1992" s="53" t="s">
        <v>4310</v>
      </c>
      <c r="B1992" s="54" t="s">
        <v>4311</v>
      </c>
      <c r="E1992" s="10"/>
    </row>
    <row r="1993" spans="1:5" x14ac:dyDescent="0.45">
      <c r="A1993" s="53" t="s">
        <v>8115</v>
      </c>
      <c r="B1993" s="54" t="s">
        <v>8116</v>
      </c>
    </row>
    <row r="1994" spans="1:5" x14ac:dyDescent="0.45">
      <c r="A1994" s="53" t="s">
        <v>8035</v>
      </c>
      <c r="B1994" s="54" t="s">
        <v>8036</v>
      </c>
    </row>
    <row r="1995" spans="1:5" x14ac:dyDescent="0.45">
      <c r="A1995" s="53" t="s">
        <v>5187</v>
      </c>
      <c r="B1995" s="54" t="s">
        <v>5188</v>
      </c>
    </row>
    <row r="1996" spans="1:5" x14ac:dyDescent="0.45">
      <c r="A1996" s="53" t="s">
        <v>4216</v>
      </c>
      <c r="B1996" s="54" t="s">
        <v>4217</v>
      </c>
      <c r="E1996" s="10"/>
    </row>
    <row r="1997" spans="1:5" x14ac:dyDescent="0.45">
      <c r="A1997" s="53" t="s">
        <v>4357</v>
      </c>
      <c r="B1997" s="54" t="s">
        <v>4358</v>
      </c>
    </row>
    <row r="1998" spans="1:5" x14ac:dyDescent="0.45">
      <c r="A1998" s="53" t="s">
        <v>4086</v>
      </c>
      <c r="B1998" s="54" t="s">
        <v>4087</v>
      </c>
    </row>
    <row r="1999" spans="1:5" x14ac:dyDescent="0.45">
      <c r="A1999" s="53" t="s">
        <v>3714</v>
      </c>
      <c r="B1999" s="54" t="s">
        <v>3715</v>
      </c>
    </row>
    <row r="2000" spans="1:5" x14ac:dyDescent="0.45">
      <c r="A2000" s="53" t="s">
        <v>6185</v>
      </c>
      <c r="B2000" s="54" t="s">
        <v>6186</v>
      </c>
    </row>
    <row r="2001" spans="1:6" x14ac:dyDescent="0.45">
      <c r="A2001" s="53" t="s">
        <v>8152</v>
      </c>
      <c r="B2001" s="54" t="s">
        <v>8153</v>
      </c>
    </row>
    <row r="2002" spans="1:6" x14ac:dyDescent="0.45">
      <c r="A2002" s="53" t="s">
        <v>7264</v>
      </c>
      <c r="B2002" s="54" t="s">
        <v>7265</v>
      </c>
    </row>
    <row r="2003" spans="1:6" x14ac:dyDescent="0.45">
      <c r="A2003" s="53" t="s">
        <v>5363</v>
      </c>
      <c r="B2003" s="54" t="s">
        <v>5364</v>
      </c>
    </row>
    <row r="2004" spans="1:6" x14ac:dyDescent="0.45">
      <c r="A2004" s="53" t="s">
        <v>4716</v>
      </c>
      <c r="B2004" s="54" t="s">
        <v>4717</v>
      </c>
    </row>
    <row r="2005" spans="1:6" x14ac:dyDescent="0.45">
      <c r="A2005" s="53" t="s">
        <v>8093</v>
      </c>
      <c r="B2005" s="54" t="s">
        <v>8094</v>
      </c>
    </row>
    <row r="2006" spans="1:6" x14ac:dyDescent="0.45">
      <c r="A2006" s="53" t="s">
        <v>5745</v>
      </c>
      <c r="B2006" s="54" t="s">
        <v>5746</v>
      </c>
    </row>
    <row r="2007" spans="1:6" x14ac:dyDescent="0.45">
      <c r="A2007" s="53" t="s">
        <v>5365</v>
      </c>
      <c r="B2007" s="54" t="s">
        <v>5366</v>
      </c>
    </row>
    <row r="2008" spans="1:6" x14ac:dyDescent="0.45">
      <c r="A2008" s="53" t="s">
        <v>4164</v>
      </c>
      <c r="B2008" s="54" t="s">
        <v>4165</v>
      </c>
    </row>
    <row r="2009" spans="1:6" x14ac:dyDescent="0.45">
      <c r="A2009" s="53" t="s">
        <v>5414</v>
      </c>
      <c r="B2009" s="54" t="s">
        <v>5415</v>
      </c>
    </row>
    <row r="2010" spans="1:6" x14ac:dyDescent="0.45">
      <c r="A2010" s="53" t="s">
        <v>5015</v>
      </c>
      <c r="B2010" s="54" t="s">
        <v>5016</v>
      </c>
    </row>
    <row r="2011" spans="1:6" x14ac:dyDescent="0.45">
      <c r="A2011" s="53" t="s">
        <v>5000</v>
      </c>
      <c r="B2011" s="54" t="s">
        <v>5001</v>
      </c>
    </row>
    <row r="2012" spans="1:6" x14ac:dyDescent="0.45">
      <c r="A2012" s="53" t="s">
        <v>4724</v>
      </c>
      <c r="B2012" s="54" t="s">
        <v>4725</v>
      </c>
    </row>
    <row r="2013" spans="1:6" x14ac:dyDescent="0.45">
      <c r="A2013" s="53" t="s">
        <v>6077</v>
      </c>
      <c r="B2013" s="54" t="s">
        <v>6078</v>
      </c>
    </row>
    <row r="2014" spans="1:6" x14ac:dyDescent="0.45">
      <c r="A2014" s="53" t="s">
        <v>3634</v>
      </c>
      <c r="B2014" s="54" t="s">
        <v>3635</v>
      </c>
      <c r="E2014" s="10"/>
      <c r="F2014" s="10"/>
    </row>
    <row r="2015" spans="1:6" x14ac:dyDescent="0.45">
      <c r="A2015" s="53" t="s">
        <v>4830</v>
      </c>
      <c r="B2015" s="54" t="s">
        <v>4831</v>
      </c>
    </row>
    <row r="2016" spans="1:6" x14ac:dyDescent="0.45">
      <c r="A2016" s="53" t="s">
        <v>5666</v>
      </c>
      <c r="B2016" s="54" t="s">
        <v>5667</v>
      </c>
    </row>
    <row r="2017" spans="1:2" x14ac:dyDescent="0.45">
      <c r="A2017" s="53" t="s">
        <v>3608</v>
      </c>
      <c r="B2017" s="54" t="s">
        <v>3609</v>
      </c>
    </row>
    <row r="2018" spans="1:2" x14ac:dyDescent="0.45">
      <c r="A2018" s="53" t="s">
        <v>5389</v>
      </c>
      <c r="B2018" s="54" t="s">
        <v>5390</v>
      </c>
    </row>
    <row r="2019" spans="1:2" x14ac:dyDescent="0.45">
      <c r="A2019" s="53" t="s">
        <v>7134</v>
      </c>
      <c r="B2019" s="54" t="s">
        <v>7135</v>
      </c>
    </row>
    <row r="2020" spans="1:2" x14ac:dyDescent="0.45">
      <c r="A2020" s="53" t="s">
        <v>6266</v>
      </c>
      <c r="B2020" s="54" t="s">
        <v>6267</v>
      </c>
    </row>
    <row r="2021" spans="1:2" x14ac:dyDescent="0.45">
      <c r="A2021" s="53" t="s">
        <v>6577</v>
      </c>
      <c r="B2021" s="54" t="s">
        <v>6578</v>
      </c>
    </row>
    <row r="2022" spans="1:2" x14ac:dyDescent="0.45">
      <c r="A2022" s="53" t="s">
        <v>6591</v>
      </c>
      <c r="B2022" s="54" t="s">
        <v>6592</v>
      </c>
    </row>
    <row r="2023" spans="1:2" x14ac:dyDescent="0.45">
      <c r="A2023" s="53" t="s">
        <v>6619</v>
      </c>
      <c r="B2023" s="54" t="s">
        <v>6620</v>
      </c>
    </row>
    <row r="2024" spans="1:2" x14ac:dyDescent="0.45">
      <c r="A2024" s="53" t="s">
        <v>7707</v>
      </c>
      <c r="B2024" s="54" t="s">
        <v>7708</v>
      </c>
    </row>
    <row r="2025" spans="1:2" x14ac:dyDescent="0.45">
      <c r="A2025" s="53" t="s">
        <v>8000</v>
      </c>
      <c r="B2025" s="54" t="s">
        <v>8001</v>
      </c>
    </row>
    <row r="2026" spans="1:2" x14ac:dyDescent="0.45">
      <c r="A2026" s="53" t="s">
        <v>8002</v>
      </c>
      <c r="B2026" s="54" t="s">
        <v>8003</v>
      </c>
    </row>
    <row r="2027" spans="1:2" x14ac:dyDescent="0.45">
      <c r="A2027" s="53" t="s">
        <v>8025</v>
      </c>
      <c r="B2027" s="54" t="s">
        <v>8026</v>
      </c>
    </row>
    <row r="2028" spans="1:2" x14ac:dyDescent="0.45">
      <c r="A2028" s="53" t="s">
        <v>8041</v>
      </c>
      <c r="B2028" s="54" t="s">
        <v>8042</v>
      </c>
    </row>
    <row r="2029" spans="1:2" x14ac:dyDescent="0.45">
      <c r="A2029" s="53" t="s">
        <v>8043</v>
      </c>
      <c r="B2029" s="54" t="s">
        <v>8044</v>
      </c>
    </row>
    <row r="2030" spans="1:2" x14ac:dyDescent="0.45">
      <c r="A2030" s="53" t="s">
        <v>8056</v>
      </c>
      <c r="B2030" s="54" t="s">
        <v>8057</v>
      </c>
    </row>
    <row r="2031" spans="1:2" x14ac:dyDescent="0.45">
      <c r="A2031" s="53" t="s">
        <v>8058</v>
      </c>
      <c r="B2031" s="54" t="s">
        <v>8059</v>
      </c>
    </row>
    <row r="2032" spans="1:2" x14ac:dyDescent="0.45">
      <c r="A2032" s="53" t="s">
        <v>8065</v>
      </c>
      <c r="B2032" s="54" t="s">
        <v>8066</v>
      </c>
    </row>
    <row r="2033" spans="1:5" x14ac:dyDescent="0.45">
      <c r="A2033" s="53" t="s">
        <v>3831</v>
      </c>
      <c r="B2033" s="54" t="s">
        <v>3832</v>
      </c>
    </row>
    <row r="2034" spans="1:5" x14ac:dyDescent="0.45">
      <c r="A2034" s="53" t="s">
        <v>3833</v>
      </c>
      <c r="B2034" s="54" t="s">
        <v>3834</v>
      </c>
      <c r="E2034" s="10"/>
    </row>
    <row r="2035" spans="1:5" x14ac:dyDescent="0.45">
      <c r="A2035" s="53" t="s">
        <v>3838</v>
      </c>
      <c r="B2035" s="54" t="s">
        <v>3839</v>
      </c>
    </row>
    <row r="2036" spans="1:5" x14ac:dyDescent="0.45">
      <c r="A2036" s="53" t="s">
        <v>3840</v>
      </c>
      <c r="B2036" s="54" t="s">
        <v>3841</v>
      </c>
    </row>
    <row r="2037" spans="1:5" x14ac:dyDescent="0.45">
      <c r="A2037" s="53" t="s">
        <v>5271</v>
      </c>
      <c r="B2037" s="54" t="s">
        <v>5272</v>
      </c>
    </row>
    <row r="2038" spans="1:5" x14ac:dyDescent="0.45">
      <c r="A2038" s="53" t="s">
        <v>6106</v>
      </c>
      <c r="B2038" s="54" t="s">
        <v>6107</v>
      </c>
    </row>
    <row r="2039" spans="1:5" x14ac:dyDescent="0.45">
      <c r="A2039" s="53" t="s">
        <v>3763</v>
      </c>
      <c r="B2039" s="54" t="s">
        <v>3764</v>
      </c>
    </row>
    <row r="2040" spans="1:5" x14ac:dyDescent="0.45">
      <c r="A2040" s="53" t="s">
        <v>4599</v>
      </c>
      <c r="B2040" s="54" t="s">
        <v>4600</v>
      </c>
    </row>
    <row r="2041" spans="1:5" x14ac:dyDescent="0.45">
      <c r="A2041" s="53" t="s">
        <v>4450</v>
      </c>
      <c r="B2041" s="54" t="s">
        <v>4451</v>
      </c>
    </row>
    <row r="2042" spans="1:5" x14ac:dyDescent="0.45">
      <c r="A2042" s="53" t="s">
        <v>4495</v>
      </c>
      <c r="B2042" s="54" t="s">
        <v>4496</v>
      </c>
    </row>
    <row r="2043" spans="1:5" x14ac:dyDescent="0.45">
      <c r="A2043" s="53" t="s">
        <v>3707</v>
      </c>
      <c r="B2043" s="54" t="s">
        <v>3708</v>
      </c>
    </row>
    <row r="2044" spans="1:5" x14ac:dyDescent="0.45">
      <c r="A2044" s="53" t="s">
        <v>3915</v>
      </c>
      <c r="B2044" s="54" t="s">
        <v>3916</v>
      </c>
      <c r="E2044" s="10"/>
    </row>
    <row r="2045" spans="1:5" x14ac:dyDescent="0.45">
      <c r="A2045" s="53" t="s">
        <v>7477</v>
      </c>
      <c r="B2045" s="54" t="s">
        <v>7478</v>
      </c>
    </row>
    <row r="2046" spans="1:5" x14ac:dyDescent="0.45">
      <c r="A2046" s="53" t="s">
        <v>7336</v>
      </c>
      <c r="B2046" s="54" t="s">
        <v>7337</v>
      </c>
    </row>
    <row r="2047" spans="1:5" x14ac:dyDescent="0.45">
      <c r="A2047" s="53" t="s">
        <v>7006</v>
      </c>
      <c r="B2047" s="54" t="s">
        <v>7007</v>
      </c>
    </row>
    <row r="2048" spans="1:5" x14ac:dyDescent="0.45">
      <c r="A2048" s="53" t="s">
        <v>6941</v>
      </c>
      <c r="B2048" s="54" t="s">
        <v>6942</v>
      </c>
    </row>
    <row r="2049" spans="1:2" x14ac:dyDescent="0.45">
      <c r="A2049" s="53" t="s">
        <v>6920</v>
      </c>
      <c r="B2049" s="54" t="s">
        <v>6921</v>
      </c>
    </row>
    <row r="2050" spans="1:2" x14ac:dyDescent="0.45">
      <c r="A2050" s="53" t="s">
        <v>6863</v>
      </c>
      <c r="B2050" s="54" t="s">
        <v>6864</v>
      </c>
    </row>
    <row r="2051" spans="1:2" x14ac:dyDescent="0.45">
      <c r="A2051" s="53" t="s">
        <v>6816</v>
      </c>
      <c r="B2051" s="54" t="s">
        <v>6817</v>
      </c>
    </row>
    <row r="2052" spans="1:2" x14ac:dyDescent="0.45">
      <c r="A2052" s="53" t="s">
        <v>6814</v>
      </c>
      <c r="B2052" s="54" t="s">
        <v>6815</v>
      </c>
    </row>
    <row r="2053" spans="1:2" x14ac:dyDescent="0.45">
      <c r="A2053" s="53" t="s">
        <v>6800</v>
      </c>
      <c r="B2053" s="54" t="s">
        <v>6801</v>
      </c>
    </row>
    <row r="2054" spans="1:2" x14ac:dyDescent="0.45">
      <c r="A2054" s="53" t="s">
        <v>6779</v>
      </c>
      <c r="B2054" s="54" t="s">
        <v>6780</v>
      </c>
    </row>
    <row r="2055" spans="1:2" x14ac:dyDescent="0.45">
      <c r="A2055" s="53" t="s">
        <v>6771</v>
      </c>
      <c r="B2055" s="54" t="s">
        <v>6772</v>
      </c>
    </row>
    <row r="2056" spans="1:2" x14ac:dyDescent="0.45">
      <c r="A2056" s="53" t="s">
        <v>6767</v>
      </c>
      <c r="B2056" s="54" t="s">
        <v>6768</v>
      </c>
    </row>
    <row r="2057" spans="1:2" x14ac:dyDescent="0.45">
      <c r="A2057" s="53" t="s">
        <v>6763</v>
      </c>
      <c r="B2057" s="54" t="s">
        <v>6764</v>
      </c>
    </row>
    <row r="2058" spans="1:2" x14ac:dyDescent="0.45">
      <c r="A2058" s="53" t="s">
        <v>6759</v>
      </c>
      <c r="B2058" s="54" t="s">
        <v>6760</v>
      </c>
    </row>
    <row r="2059" spans="1:2" x14ac:dyDescent="0.45">
      <c r="A2059" s="53" t="s">
        <v>6756</v>
      </c>
      <c r="B2059" s="54" t="s">
        <v>6757</v>
      </c>
    </row>
    <row r="2060" spans="1:2" x14ac:dyDescent="0.45">
      <c r="A2060" s="53" t="s">
        <v>6727</v>
      </c>
      <c r="B2060" s="54" t="s">
        <v>6728</v>
      </c>
    </row>
    <row r="2061" spans="1:2" x14ac:dyDescent="0.45">
      <c r="A2061" s="53" t="s">
        <v>6718</v>
      </c>
      <c r="B2061" s="54" t="s">
        <v>6719</v>
      </c>
    </row>
    <row r="2062" spans="1:2" x14ac:dyDescent="0.45">
      <c r="A2062" s="53" t="s">
        <v>6704</v>
      </c>
      <c r="B2062" s="54" t="s">
        <v>6705</v>
      </c>
    </row>
    <row r="2063" spans="1:2" x14ac:dyDescent="0.45">
      <c r="A2063" s="53" t="s">
        <v>6683</v>
      </c>
      <c r="B2063" s="54" t="s">
        <v>6684</v>
      </c>
    </row>
    <row r="2064" spans="1:2" x14ac:dyDescent="0.45">
      <c r="A2064" s="53" t="s">
        <v>6537</v>
      </c>
      <c r="B2064" s="54" t="s">
        <v>6538</v>
      </c>
    </row>
    <row r="2065" spans="1:2" x14ac:dyDescent="0.45">
      <c r="A2065" s="53" t="s">
        <v>6474</v>
      </c>
      <c r="B2065" s="54" t="s">
        <v>6475</v>
      </c>
    </row>
    <row r="2066" spans="1:2" x14ac:dyDescent="0.45">
      <c r="A2066" s="53" t="s">
        <v>6467</v>
      </c>
      <c r="B2066" s="54" t="s">
        <v>6468</v>
      </c>
    </row>
    <row r="2067" spans="1:2" x14ac:dyDescent="0.45">
      <c r="A2067" s="53" t="s">
        <v>6446</v>
      </c>
      <c r="B2067" s="54" t="s">
        <v>6447</v>
      </c>
    </row>
    <row r="2068" spans="1:2" x14ac:dyDescent="0.45">
      <c r="A2068" s="53" t="s">
        <v>6430</v>
      </c>
      <c r="B2068" s="54" t="s">
        <v>6431</v>
      </c>
    </row>
    <row r="2069" spans="1:2" x14ac:dyDescent="0.45">
      <c r="A2069" s="53" t="s">
        <v>6420</v>
      </c>
      <c r="B2069" s="54" t="s">
        <v>6421</v>
      </c>
    </row>
    <row r="2070" spans="1:2" x14ac:dyDescent="0.45">
      <c r="A2070" s="53" t="s">
        <v>6416</v>
      </c>
      <c r="B2070" s="54" t="s">
        <v>6417</v>
      </c>
    </row>
    <row r="2071" spans="1:2" x14ac:dyDescent="0.45">
      <c r="A2071" s="53" t="s">
        <v>6378</v>
      </c>
      <c r="B2071" s="54" t="s">
        <v>6379</v>
      </c>
    </row>
    <row r="2072" spans="1:2" x14ac:dyDescent="0.45">
      <c r="A2072" s="53" t="s">
        <v>6374</v>
      </c>
      <c r="B2072" s="54" t="s">
        <v>6375</v>
      </c>
    </row>
    <row r="2073" spans="1:2" x14ac:dyDescent="0.45">
      <c r="A2073" s="53" t="s">
        <v>6370</v>
      </c>
      <c r="B2073" s="54" t="s">
        <v>6371</v>
      </c>
    </row>
    <row r="2074" spans="1:2" x14ac:dyDescent="0.45">
      <c r="A2074" s="53" t="s">
        <v>5571</v>
      </c>
      <c r="B2074" s="54" t="s">
        <v>5572</v>
      </c>
    </row>
    <row r="2075" spans="1:2" x14ac:dyDescent="0.45">
      <c r="A2075" s="53" t="s">
        <v>5569</v>
      </c>
      <c r="B2075" s="54" t="s">
        <v>5570</v>
      </c>
    </row>
    <row r="2076" spans="1:2" x14ac:dyDescent="0.45">
      <c r="A2076" s="53" t="s">
        <v>5523</v>
      </c>
      <c r="B2076" s="54" t="s">
        <v>5524</v>
      </c>
    </row>
    <row r="2077" spans="1:2" x14ac:dyDescent="0.45">
      <c r="A2077" s="53" t="s">
        <v>5520</v>
      </c>
      <c r="B2077" s="54" t="s">
        <v>5521</v>
      </c>
    </row>
    <row r="2078" spans="1:2" x14ac:dyDescent="0.45">
      <c r="A2078" s="53" t="s">
        <v>5496</v>
      </c>
      <c r="B2078" s="54" t="s">
        <v>5497</v>
      </c>
    </row>
    <row r="2079" spans="1:2" x14ac:dyDescent="0.45">
      <c r="A2079" s="53" t="s">
        <v>5479</v>
      </c>
      <c r="B2079" s="54" t="s">
        <v>5480</v>
      </c>
    </row>
    <row r="2080" spans="1:2" x14ac:dyDescent="0.45">
      <c r="A2080" s="53" t="s">
        <v>5452</v>
      </c>
      <c r="B2080" s="54" t="s">
        <v>5453</v>
      </c>
    </row>
    <row r="2081" spans="1:5" x14ac:dyDescent="0.45">
      <c r="A2081" s="53" t="s">
        <v>5447</v>
      </c>
      <c r="B2081" s="54" t="s">
        <v>5448</v>
      </c>
    </row>
    <row r="2082" spans="1:5" x14ac:dyDescent="0.45">
      <c r="A2082" s="53" t="s">
        <v>5427</v>
      </c>
      <c r="B2082" s="54" t="s">
        <v>5428</v>
      </c>
    </row>
    <row r="2083" spans="1:5" x14ac:dyDescent="0.45">
      <c r="A2083" s="53" t="s">
        <v>5318</v>
      </c>
      <c r="B2083" s="54" t="s">
        <v>5319</v>
      </c>
    </row>
    <row r="2084" spans="1:5" x14ac:dyDescent="0.45">
      <c r="A2084" s="53" t="s">
        <v>5307</v>
      </c>
      <c r="B2084" s="54" t="s">
        <v>5308</v>
      </c>
    </row>
    <row r="2085" spans="1:5" x14ac:dyDescent="0.45">
      <c r="A2085" s="53" t="s">
        <v>5299</v>
      </c>
      <c r="B2085" s="54" t="s">
        <v>5300</v>
      </c>
    </row>
    <row r="2086" spans="1:5" x14ac:dyDescent="0.45">
      <c r="A2086" s="53" t="s">
        <v>5229</v>
      </c>
      <c r="B2086" s="54" t="s">
        <v>5230</v>
      </c>
    </row>
    <row r="2087" spans="1:5" x14ac:dyDescent="0.45">
      <c r="A2087" s="53" t="s">
        <v>5224</v>
      </c>
      <c r="B2087" s="54" t="s">
        <v>5225</v>
      </c>
      <c r="E2087" s="10"/>
    </row>
    <row r="2088" spans="1:5" x14ac:dyDescent="0.45">
      <c r="A2088" s="53" t="s">
        <v>5193</v>
      </c>
      <c r="B2088" s="54" t="s">
        <v>5194</v>
      </c>
    </row>
    <row r="2089" spans="1:5" x14ac:dyDescent="0.45">
      <c r="A2089" s="53" t="s">
        <v>5183</v>
      </c>
      <c r="B2089" s="54" t="s">
        <v>5184</v>
      </c>
    </row>
    <row r="2090" spans="1:5" x14ac:dyDescent="0.45">
      <c r="A2090" s="53" t="s">
        <v>5173</v>
      </c>
      <c r="B2090" s="54" t="s">
        <v>5174</v>
      </c>
    </row>
    <row r="2091" spans="1:5" x14ac:dyDescent="0.45">
      <c r="A2091" s="53" t="s">
        <v>5132</v>
      </c>
      <c r="B2091" s="54" t="s">
        <v>5133</v>
      </c>
    </row>
    <row r="2092" spans="1:5" x14ac:dyDescent="0.45">
      <c r="A2092" s="53" t="s">
        <v>5128</v>
      </c>
      <c r="B2092" s="54" t="s">
        <v>5129</v>
      </c>
      <c r="E2092" s="10"/>
    </row>
    <row r="2093" spans="1:5" x14ac:dyDescent="0.45">
      <c r="A2093" s="53" t="s">
        <v>5119</v>
      </c>
      <c r="B2093" s="54" t="s">
        <v>5120</v>
      </c>
      <c r="E2093" s="10"/>
    </row>
    <row r="2094" spans="1:5" x14ac:dyDescent="0.45">
      <c r="A2094" s="53" t="s">
        <v>5111</v>
      </c>
      <c r="B2094" s="54" t="s">
        <v>5112</v>
      </c>
    </row>
    <row r="2095" spans="1:5" x14ac:dyDescent="0.45">
      <c r="A2095" s="53" t="s">
        <v>5104</v>
      </c>
      <c r="B2095" s="54" t="s">
        <v>5105</v>
      </c>
    </row>
    <row r="2096" spans="1:5" x14ac:dyDescent="0.45">
      <c r="A2096" s="53" t="s">
        <v>5102</v>
      </c>
      <c r="B2096" s="54" t="s">
        <v>5103</v>
      </c>
    </row>
    <row r="2097" spans="1:6" x14ac:dyDescent="0.45">
      <c r="A2097" s="53" t="s">
        <v>5083</v>
      </c>
      <c r="B2097" s="54" t="s">
        <v>5084</v>
      </c>
      <c r="F2097" s="10"/>
    </row>
    <row r="2098" spans="1:6" x14ac:dyDescent="0.45">
      <c r="A2098" s="53" t="s">
        <v>5079</v>
      </c>
      <c r="B2098" s="54" t="s">
        <v>5080</v>
      </c>
    </row>
    <row r="2099" spans="1:6" x14ac:dyDescent="0.45">
      <c r="A2099" s="53" t="s">
        <v>5033</v>
      </c>
      <c r="B2099" s="54" t="s">
        <v>5034</v>
      </c>
      <c r="E2099" s="10"/>
    </row>
    <row r="2100" spans="1:6" x14ac:dyDescent="0.45">
      <c r="A2100" s="53" t="s">
        <v>5012</v>
      </c>
      <c r="B2100" s="54" t="s">
        <v>5013</v>
      </c>
    </row>
    <row r="2101" spans="1:6" x14ac:dyDescent="0.45">
      <c r="A2101" s="53" t="s">
        <v>5009</v>
      </c>
      <c r="B2101" s="54" t="s">
        <v>5010</v>
      </c>
    </row>
    <row r="2102" spans="1:6" x14ac:dyDescent="0.45">
      <c r="A2102" s="53" t="s">
        <v>4986</v>
      </c>
      <c r="B2102" s="54" t="s">
        <v>4987</v>
      </c>
    </row>
    <row r="2103" spans="1:6" x14ac:dyDescent="0.45">
      <c r="A2103" s="53" t="s">
        <v>4967</v>
      </c>
      <c r="B2103" s="54" t="s">
        <v>4968</v>
      </c>
      <c r="C2103" s="11"/>
    </row>
    <row r="2104" spans="1:6" x14ac:dyDescent="0.45">
      <c r="A2104" s="53" t="s">
        <v>4953</v>
      </c>
      <c r="B2104" s="54" t="s">
        <v>4954</v>
      </c>
    </row>
    <row r="2105" spans="1:6" x14ac:dyDescent="0.45">
      <c r="A2105" s="53" t="s">
        <v>4949</v>
      </c>
      <c r="B2105" s="54" t="s">
        <v>4950</v>
      </c>
    </row>
    <row r="2106" spans="1:6" x14ac:dyDescent="0.45">
      <c r="A2106" s="53" t="s">
        <v>4939</v>
      </c>
      <c r="B2106" s="54" t="s">
        <v>4940</v>
      </c>
    </row>
    <row r="2107" spans="1:6" x14ac:dyDescent="0.45">
      <c r="A2107" s="53" t="s">
        <v>4918</v>
      </c>
      <c r="B2107" s="54" t="s">
        <v>4919</v>
      </c>
    </row>
    <row r="2108" spans="1:6" x14ac:dyDescent="0.45">
      <c r="A2108" s="53" t="s">
        <v>4899</v>
      </c>
      <c r="B2108" s="54" t="s">
        <v>4900</v>
      </c>
    </row>
    <row r="2109" spans="1:6" x14ac:dyDescent="0.45">
      <c r="A2109" s="53" t="s">
        <v>4892</v>
      </c>
      <c r="B2109" s="54" t="s">
        <v>4893</v>
      </c>
      <c r="E2109" s="10"/>
    </row>
    <row r="2110" spans="1:6" x14ac:dyDescent="0.45">
      <c r="A2110" s="53" t="s">
        <v>4879</v>
      </c>
      <c r="B2110" s="54" t="s">
        <v>4880</v>
      </c>
      <c r="E2110" s="10"/>
    </row>
    <row r="2111" spans="1:6" x14ac:dyDescent="0.45">
      <c r="A2111" s="53" t="s">
        <v>4871</v>
      </c>
      <c r="B2111" s="54" t="s">
        <v>4872</v>
      </c>
    </row>
    <row r="2112" spans="1:6" x14ac:dyDescent="0.45">
      <c r="A2112" s="53" t="s">
        <v>4868</v>
      </c>
      <c r="B2112" s="54" t="s">
        <v>4869</v>
      </c>
    </row>
    <row r="2113" spans="1:5" x14ac:dyDescent="0.45">
      <c r="A2113" s="53" t="s">
        <v>4866</v>
      </c>
      <c r="B2113" s="54" t="s">
        <v>4867</v>
      </c>
    </row>
    <row r="2114" spans="1:5" x14ac:dyDescent="0.45">
      <c r="A2114" s="53" t="s">
        <v>4833</v>
      </c>
      <c r="B2114" s="54" t="s">
        <v>4834</v>
      </c>
    </row>
    <row r="2115" spans="1:5" x14ac:dyDescent="0.45">
      <c r="A2115" s="53" t="s">
        <v>4804</v>
      </c>
      <c r="B2115" s="54" t="s">
        <v>4805</v>
      </c>
    </row>
    <row r="2116" spans="1:5" x14ac:dyDescent="0.45">
      <c r="A2116" s="53" t="s">
        <v>4773</v>
      </c>
      <c r="B2116" s="54" t="s">
        <v>4774</v>
      </c>
    </row>
    <row r="2117" spans="1:5" x14ac:dyDescent="0.45">
      <c r="A2117" s="53" t="s">
        <v>4764</v>
      </c>
      <c r="B2117" s="54" t="s">
        <v>4765</v>
      </c>
    </row>
    <row r="2118" spans="1:5" x14ac:dyDescent="0.45">
      <c r="A2118" s="53" t="s">
        <v>4762</v>
      </c>
      <c r="B2118" s="54" t="s">
        <v>4763</v>
      </c>
    </row>
    <row r="2119" spans="1:5" x14ac:dyDescent="0.45">
      <c r="A2119" s="53" t="s">
        <v>4652</v>
      </c>
      <c r="B2119" s="54" t="s">
        <v>4653</v>
      </c>
      <c r="E2119" s="10"/>
    </row>
    <row r="2120" spans="1:5" x14ac:dyDescent="0.45">
      <c r="A2120" s="53" t="s">
        <v>4646</v>
      </c>
      <c r="B2120" s="54" t="s">
        <v>4647</v>
      </c>
    </row>
    <row r="2121" spans="1:5" x14ac:dyDescent="0.45">
      <c r="A2121" s="53" t="s">
        <v>4644</v>
      </c>
      <c r="B2121" s="54" t="s">
        <v>4645</v>
      </c>
      <c r="E2121" s="10"/>
    </row>
    <row r="2122" spans="1:5" x14ac:dyDescent="0.45">
      <c r="A2122" s="53" t="s">
        <v>4636</v>
      </c>
      <c r="B2122" s="54" t="s">
        <v>4637</v>
      </c>
      <c r="E2122" s="10"/>
    </row>
    <row r="2123" spans="1:5" x14ac:dyDescent="0.45">
      <c r="A2123" s="53" t="s">
        <v>4630</v>
      </c>
      <c r="B2123" s="54" t="s">
        <v>4631</v>
      </c>
    </row>
    <row r="2124" spans="1:5" x14ac:dyDescent="0.45">
      <c r="A2124" s="53" t="s">
        <v>4625</v>
      </c>
      <c r="B2124" s="54" t="s">
        <v>4626</v>
      </c>
    </row>
    <row r="2125" spans="1:5" x14ac:dyDescent="0.45">
      <c r="A2125" s="53" t="s">
        <v>5556</v>
      </c>
      <c r="B2125" s="54" t="s">
        <v>5557</v>
      </c>
    </row>
    <row r="2126" spans="1:5" x14ac:dyDescent="0.45">
      <c r="A2126" s="53" t="s">
        <v>5211</v>
      </c>
      <c r="B2126" s="54" t="s">
        <v>5212</v>
      </c>
      <c r="E2126" s="10"/>
    </row>
    <row r="2127" spans="1:5" x14ac:dyDescent="0.45">
      <c r="A2127" s="53" t="s">
        <v>4926</v>
      </c>
      <c r="B2127" s="54" t="s">
        <v>4927</v>
      </c>
    </row>
    <row r="2128" spans="1:5" x14ac:dyDescent="0.45">
      <c r="A2128" s="53" t="s">
        <v>4980</v>
      </c>
      <c r="B2128" s="54" t="s">
        <v>4981</v>
      </c>
      <c r="C2128" s="11"/>
    </row>
    <row r="2129" spans="1:2" x14ac:dyDescent="0.45">
      <c r="A2129" s="53" t="s">
        <v>6066</v>
      </c>
      <c r="B2129" s="54" t="s">
        <v>6067</v>
      </c>
    </row>
    <row r="2130" spans="1:2" x14ac:dyDescent="0.45">
      <c r="A2130" s="53" t="s">
        <v>6117</v>
      </c>
      <c r="B2130" s="54" t="s">
        <v>6118</v>
      </c>
    </row>
    <row r="2131" spans="1:2" x14ac:dyDescent="0.45">
      <c r="A2131" s="53" t="s">
        <v>6119</v>
      </c>
      <c r="B2131" s="54" t="s">
        <v>6120</v>
      </c>
    </row>
    <row r="2132" spans="1:2" x14ac:dyDescent="0.45">
      <c r="A2132" s="53" t="s">
        <v>6127</v>
      </c>
      <c r="B2132" s="54" t="s">
        <v>6128</v>
      </c>
    </row>
    <row r="2133" spans="1:2" x14ac:dyDescent="0.45">
      <c r="A2133" s="53" t="s">
        <v>6134</v>
      </c>
      <c r="B2133" s="54" t="s">
        <v>6135</v>
      </c>
    </row>
    <row r="2134" spans="1:2" x14ac:dyDescent="0.45">
      <c r="A2134" s="53" t="s">
        <v>6151</v>
      </c>
      <c r="B2134" s="54" t="s">
        <v>6152</v>
      </c>
    </row>
    <row r="2135" spans="1:2" x14ac:dyDescent="0.45">
      <c r="A2135" s="53" t="s">
        <v>6153</v>
      </c>
      <c r="B2135" s="54" t="s">
        <v>6154</v>
      </c>
    </row>
    <row r="2136" spans="1:2" x14ac:dyDescent="0.45">
      <c r="A2136" s="53" t="s">
        <v>6156</v>
      </c>
      <c r="B2136" s="54" t="s">
        <v>6157</v>
      </c>
    </row>
    <row r="2137" spans="1:2" x14ac:dyDescent="0.45">
      <c r="A2137" s="53" t="s">
        <v>6171</v>
      </c>
      <c r="B2137" s="54" t="s">
        <v>6172</v>
      </c>
    </row>
    <row r="2138" spans="1:2" x14ac:dyDescent="0.45">
      <c r="A2138" s="53" t="s">
        <v>6176</v>
      </c>
      <c r="B2138" s="54" t="s">
        <v>6177</v>
      </c>
    </row>
    <row r="2139" spans="1:2" x14ac:dyDescent="0.45">
      <c r="A2139" s="53" t="s">
        <v>6180</v>
      </c>
      <c r="B2139" s="54" t="s">
        <v>6181</v>
      </c>
    </row>
    <row r="2140" spans="1:2" x14ac:dyDescent="0.45">
      <c r="A2140" s="53" t="s">
        <v>6183</v>
      </c>
      <c r="B2140" s="54" t="s">
        <v>6184</v>
      </c>
    </row>
    <row r="2141" spans="1:2" x14ac:dyDescent="0.45">
      <c r="A2141" s="53" t="s">
        <v>6188</v>
      </c>
      <c r="B2141" s="54" t="s">
        <v>6189</v>
      </c>
    </row>
    <row r="2142" spans="1:2" x14ac:dyDescent="0.45">
      <c r="A2142" s="53" t="s">
        <v>6217</v>
      </c>
      <c r="B2142" s="54" t="s">
        <v>6218</v>
      </c>
    </row>
    <row r="2143" spans="1:2" x14ac:dyDescent="0.45">
      <c r="A2143" s="53" t="s">
        <v>6228</v>
      </c>
      <c r="B2143" s="54" t="s">
        <v>6229</v>
      </c>
    </row>
    <row r="2144" spans="1:2" x14ac:dyDescent="0.45">
      <c r="A2144" s="53" t="s">
        <v>6231</v>
      </c>
      <c r="B2144" s="54" t="s">
        <v>6232</v>
      </c>
    </row>
    <row r="2145" spans="1:2" x14ac:dyDescent="0.45">
      <c r="A2145" s="53" t="s">
        <v>6248</v>
      </c>
      <c r="B2145" s="54" t="s">
        <v>6249</v>
      </c>
    </row>
    <row r="2146" spans="1:2" x14ac:dyDescent="0.45">
      <c r="A2146" s="53" t="s">
        <v>6263</v>
      </c>
      <c r="B2146" s="54" t="s">
        <v>6264</v>
      </c>
    </row>
    <row r="2147" spans="1:2" x14ac:dyDescent="0.45">
      <c r="A2147" s="53" t="s">
        <v>6291</v>
      </c>
      <c r="B2147" s="54" t="s">
        <v>6292</v>
      </c>
    </row>
    <row r="2148" spans="1:2" x14ac:dyDescent="0.45">
      <c r="A2148" s="53" t="s">
        <v>6296</v>
      </c>
      <c r="B2148" s="54" t="s">
        <v>6297</v>
      </c>
    </row>
    <row r="2149" spans="1:2" x14ac:dyDescent="0.45">
      <c r="A2149" s="53" t="s">
        <v>6298</v>
      </c>
      <c r="B2149" s="54" t="s">
        <v>6299</v>
      </c>
    </row>
    <row r="2150" spans="1:2" x14ac:dyDescent="0.45">
      <c r="A2150" s="53" t="s">
        <v>6312</v>
      </c>
      <c r="B2150" s="54" t="s">
        <v>6313</v>
      </c>
    </row>
    <row r="2151" spans="1:2" x14ac:dyDescent="0.45">
      <c r="A2151" s="53" t="s">
        <v>6321</v>
      </c>
      <c r="B2151" s="54" t="s">
        <v>6322</v>
      </c>
    </row>
    <row r="2152" spans="1:2" x14ac:dyDescent="0.45">
      <c r="A2152" s="53" t="s">
        <v>6327</v>
      </c>
      <c r="B2152" s="54" t="s">
        <v>6328</v>
      </c>
    </row>
    <row r="2153" spans="1:2" x14ac:dyDescent="0.45">
      <c r="A2153" s="53" t="s">
        <v>6331</v>
      </c>
      <c r="B2153" s="54" t="s">
        <v>6332</v>
      </c>
    </row>
    <row r="2154" spans="1:2" x14ac:dyDescent="0.45">
      <c r="A2154" s="53" t="s">
        <v>6333</v>
      </c>
      <c r="B2154" s="54" t="s">
        <v>6334</v>
      </c>
    </row>
    <row r="2155" spans="1:2" x14ac:dyDescent="0.45">
      <c r="A2155" s="53" t="s">
        <v>6465</v>
      </c>
      <c r="B2155" s="54" t="s">
        <v>6466</v>
      </c>
    </row>
    <row r="2156" spans="1:2" x14ac:dyDescent="0.45">
      <c r="A2156" s="53" t="s">
        <v>6493</v>
      </c>
      <c r="B2156" s="54" t="s">
        <v>6494</v>
      </c>
    </row>
    <row r="2157" spans="1:2" x14ac:dyDescent="0.45">
      <c r="A2157" s="53" t="s">
        <v>6565</v>
      </c>
      <c r="B2157" s="54" t="s">
        <v>6566</v>
      </c>
    </row>
    <row r="2158" spans="1:2" x14ac:dyDescent="0.45">
      <c r="A2158" s="53" t="s">
        <v>6587</v>
      </c>
      <c r="B2158" s="54" t="s">
        <v>6588</v>
      </c>
    </row>
    <row r="2159" spans="1:2" x14ac:dyDescent="0.45">
      <c r="A2159" s="53" t="s">
        <v>6785</v>
      </c>
      <c r="B2159" s="54" t="s">
        <v>6786</v>
      </c>
    </row>
    <row r="2160" spans="1:2" x14ac:dyDescent="0.45">
      <c r="A2160" s="53" t="s">
        <v>6793</v>
      </c>
      <c r="B2160" s="54" t="s">
        <v>6794</v>
      </c>
    </row>
    <row r="2161" spans="1:2" x14ac:dyDescent="0.45">
      <c r="A2161" s="53" t="s">
        <v>6809</v>
      </c>
      <c r="B2161" s="54" t="s">
        <v>6810</v>
      </c>
    </row>
    <row r="2162" spans="1:2" x14ac:dyDescent="0.45">
      <c r="A2162" s="53" t="s">
        <v>6861</v>
      </c>
      <c r="B2162" s="54" t="s">
        <v>6862</v>
      </c>
    </row>
    <row r="2163" spans="1:2" x14ac:dyDescent="0.45">
      <c r="A2163" s="53" t="s">
        <v>6951</v>
      </c>
      <c r="B2163" s="54" t="s">
        <v>6952</v>
      </c>
    </row>
    <row r="2164" spans="1:2" x14ac:dyDescent="0.45">
      <c r="A2164" s="53" t="s">
        <v>6975</v>
      </c>
      <c r="B2164" s="54" t="s">
        <v>6976</v>
      </c>
    </row>
    <row r="2165" spans="1:2" x14ac:dyDescent="0.45">
      <c r="A2165" s="53" t="s">
        <v>6991</v>
      </c>
      <c r="B2165" s="54" t="s">
        <v>6992</v>
      </c>
    </row>
    <row r="2166" spans="1:2" x14ac:dyDescent="0.45">
      <c r="A2166" s="53" t="s">
        <v>7024</v>
      </c>
      <c r="B2166" s="54" t="s">
        <v>7025</v>
      </c>
    </row>
    <row r="2167" spans="1:2" x14ac:dyDescent="0.45">
      <c r="A2167" s="53" t="s">
        <v>7047</v>
      </c>
      <c r="B2167" s="54" t="s">
        <v>7048</v>
      </c>
    </row>
    <row r="2168" spans="1:2" x14ac:dyDescent="0.45">
      <c r="A2168" s="53" t="s">
        <v>7070</v>
      </c>
      <c r="B2168" s="54" t="s">
        <v>7071</v>
      </c>
    </row>
    <row r="2169" spans="1:2" x14ac:dyDescent="0.45">
      <c r="A2169" s="53" t="s">
        <v>7084</v>
      </c>
      <c r="B2169" s="54" t="s">
        <v>7085</v>
      </c>
    </row>
    <row r="2170" spans="1:2" x14ac:dyDescent="0.45">
      <c r="A2170" s="53" t="s">
        <v>4828</v>
      </c>
      <c r="B2170" s="54" t="s">
        <v>4829</v>
      </c>
    </row>
    <row r="2171" spans="1:2" x14ac:dyDescent="0.45">
      <c r="A2171" s="53" t="s">
        <v>4828</v>
      </c>
      <c r="B2171" s="54" t="s">
        <v>5607</v>
      </c>
    </row>
    <row r="2172" spans="1:2" x14ac:dyDescent="0.45">
      <c r="A2172" s="53" t="s">
        <v>4828</v>
      </c>
      <c r="B2172" s="54" t="s">
        <v>7086</v>
      </c>
    </row>
    <row r="2173" spans="1:2" x14ac:dyDescent="0.45">
      <c r="A2173" s="53" t="s">
        <v>7118</v>
      </c>
      <c r="B2173" s="54" t="s">
        <v>7119</v>
      </c>
    </row>
    <row r="2174" spans="1:2" x14ac:dyDescent="0.45">
      <c r="A2174" s="53" t="s">
        <v>7173</v>
      </c>
      <c r="B2174" s="54" t="s">
        <v>7174</v>
      </c>
    </row>
    <row r="2175" spans="1:2" x14ac:dyDescent="0.45">
      <c r="A2175" s="53" t="s">
        <v>7179</v>
      </c>
      <c r="B2175" s="54" t="s">
        <v>7180</v>
      </c>
    </row>
    <row r="2176" spans="1:2" x14ac:dyDescent="0.45">
      <c r="A2176" s="53" t="s">
        <v>7189</v>
      </c>
      <c r="B2176" s="54" t="s">
        <v>7190</v>
      </c>
    </row>
    <row r="2177" spans="1:2" x14ac:dyDescent="0.45">
      <c r="A2177" s="53" t="s">
        <v>7254</v>
      </c>
      <c r="B2177" s="54" t="s">
        <v>7255</v>
      </c>
    </row>
    <row r="2178" spans="1:2" x14ac:dyDescent="0.45">
      <c r="A2178" s="53" t="s">
        <v>7256</v>
      </c>
      <c r="B2178" s="54" t="s">
        <v>7257</v>
      </c>
    </row>
    <row r="2179" spans="1:2" x14ac:dyDescent="0.45">
      <c r="A2179" s="53" t="s">
        <v>7260</v>
      </c>
      <c r="B2179" s="54" t="s">
        <v>7261</v>
      </c>
    </row>
    <row r="2180" spans="1:2" x14ac:dyDescent="0.45">
      <c r="A2180" s="53" t="s">
        <v>7268</v>
      </c>
      <c r="B2180" s="54" t="s">
        <v>7269</v>
      </c>
    </row>
    <row r="2181" spans="1:2" x14ac:dyDescent="0.45">
      <c r="A2181" s="53" t="s">
        <v>7276</v>
      </c>
      <c r="B2181" s="54" t="s">
        <v>7277</v>
      </c>
    </row>
    <row r="2182" spans="1:2" x14ac:dyDescent="0.45">
      <c r="A2182" s="53" t="s">
        <v>7326</v>
      </c>
      <c r="B2182" s="54" t="s">
        <v>7327</v>
      </c>
    </row>
    <row r="2183" spans="1:2" x14ac:dyDescent="0.45">
      <c r="A2183" s="53" t="s">
        <v>7352</v>
      </c>
      <c r="B2183" s="54" t="s">
        <v>7353</v>
      </c>
    </row>
    <row r="2184" spans="1:2" x14ac:dyDescent="0.45">
      <c r="A2184" s="53" t="s">
        <v>7410</v>
      </c>
      <c r="B2184" s="54" t="s">
        <v>7411</v>
      </c>
    </row>
    <row r="2185" spans="1:2" x14ac:dyDescent="0.45">
      <c r="A2185" s="53" t="s">
        <v>7425</v>
      </c>
      <c r="B2185" s="54" t="s">
        <v>7426</v>
      </c>
    </row>
    <row r="2186" spans="1:2" x14ac:dyDescent="0.45">
      <c r="A2186" s="53" t="s">
        <v>7433</v>
      </c>
      <c r="B2186" s="54" t="s">
        <v>7434</v>
      </c>
    </row>
    <row r="2187" spans="1:2" x14ac:dyDescent="0.45">
      <c r="A2187" s="53" t="s">
        <v>7500</v>
      </c>
      <c r="B2187" s="54" t="s">
        <v>7501</v>
      </c>
    </row>
    <row r="2188" spans="1:2" x14ac:dyDescent="0.45">
      <c r="A2188" s="53" t="s">
        <v>7522</v>
      </c>
      <c r="B2188" s="54" t="s">
        <v>7523</v>
      </c>
    </row>
    <row r="2189" spans="1:2" x14ac:dyDescent="0.45">
      <c r="A2189" s="53" t="s">
        <v>7622</v>
      </c>
      <c r="B2189" s="54" t="s">
        <v>7623</v>
      </c>
    </row>
    <row r="2190" spans="1:2" x14ac:dyDescent="0.45">
      <c r="A2190" s="53" t="s">
        <v>7669</v>
      </c>
      <c r="B2190" s="54" t="s">
        <v>7670</v>
      </c>
    </row>
    <row r="2191" spans="1:2" x14ac:dyDescent="0.45">
      <c r="A2191" s="53" t="s">
        <v>7731</v>
      </c>
      <c r="B2191" s="54" t="s">
        <v>7732</v>
      </c>
    </row>
    <row r="2192" spans="1:2" x14ac:dyDescent="0.45">
      <c r="A2192" s="53" t="s">
        <v>7794</v>
      </c>
      <c r="B2192" s="54" t="s">
        <v>7795</v>
      </c>
    </row>
    <row r="2193" spans="1:2" x14ac:dyDescent="0.45">
      <c r="A2193" s="53" t="s">
        <v>7839</v>
      </c>
      <c r="B2193" s="54" t="s">
        <v>7840</v>
      </c>
    </row>
    <row r="2194" spans="1:2" x14ac:dyDescent="0.45">
      <c r="A2194" s="53" t="s">
        <v>7843</v>
      </c>
      <c r="B2194" s="54" t="s">
        <v>7844</v>
      </c>
    </row>
    <row r="2195" spans="1:2" x14ac:dyDescent="0.45">
      <c r="A2195" s="53" t="s">
        <v>7850</v>
      </c>
      <c r="B2195" s="54" t="s">
        <v>7851</v>
      </c>
    </row>
    <row r="2196" spans="1:2" x14ac:dyDescent="0.45">
      <c r="A2196" s="53" t="s">
        <v>7853</v>
      </c>
      <c r="B2196" s="54" t="s">
        <v>7854</v>
      </c>
    </row>
    <row r="2197" spans="1:2" x14ac:dyDescent="0.45">
      <c r="A2197" s="53" t="s">
        <v>7868</v>
      </c>
      <c r="B2197" s="54" t="s">
        <v>7869</v>
      </c>
    </row>
    <row r="2198" spans="1:2" x14ac:dyDescent="0.45">
      <c r="A2198" s="53" t="s">
        <v>7908</v>
      </c>
      <c r="B2198" s="54" t="s">
        <v>7909</v>
      </c>
    </row>
    <row r="2199" spans="1:2" x14ac:dyDescent="0.45">
      <c r="A2199" s="53" t="s">
        <v>7948</v>
      </c>
      <c r="B2199" s="54" t="s">
        <v>7949</v>
      </c>
    </row>
    <row r="2200" spans="1:2" x14ac:dyDescent="0.45">
      <c r="A2200" s="53" t="s">
        <v>7952</v>
      </c>
      <c r="B2200" s="54" t="s">
        <v>7953</v>
      </c>
    </row>
    <row r="2201" spans="1:2" x14ac:dyDescent="0.45">
      <c r="A2201" s="53" t="s">
        <v>7966</v>
      </c>
      <c r="B2201" s="54" t="s">
        <v>7967</v>
      </c>
    </row>
    <row r="2202" spans="1:2" x14ac:dyDescent="0.45">
      <c r="A2202" s="53" t="s">
        <v>7969</v>
      </c>
      <c r="B2202" s="54" t="s">
        <v>7970</v>
      </c>
    </row>
    <row r="2203" spans="1:2" x14ac:dyDescent="0.45">
      <c r="A2203" s="53" t="s">
        <v>7976</v>
      </c>
      <c r="B2203" s="54" t="s">
        <v>7977</v>
      </c>
    </row>
    <row r="2204" spans="1:2" x14ac:dyDescent="0.45">
      <c r="A2204" s="53" t="s">
        <v>7980</v>
      </c>
      <c r="B2204" s="54" t="s">
        <v>7981</v>
      </c>
    </row>
    <row r="2205" spans="1:2" x14ac:dyDescent="0.45">
      <c r="A2205" s="53" t="s">
        <v>7984</v>
      </c>
      <c r="B2205" s="54" t="s">
        <v>7985</v>
      </c>
    </row>
    <row r="2206" spans="1:2" x14ac:dyDescent="0.45">
      <c r="A2206" s="53" t="s">
        <v>7991</v>
      </c>
      <c r="B2206" s="54" t="s">
        <v>7992</v>
      </c>
    </row>
    <row r="2207" spans="1:2" x14ac:dyDescent="0.45">
      <c r="A2207" s="53" t="s">
        <v>7996</v>
      </c>
      <c r="B2207" s="54" t="s">
        <v>7997</v>
      </c>
    </row>
    <row r="2208" spans="1:2" x14ac:dyDescent="0.45">
      <c r="A2208" s="53" t="s">
        <v>7998</v>
      </c>
      <c r="B2208" s="54" t="s">
        <v>7999</v>
      </c>
    </row>
    <row r="2209" spans="1:2" x14ac:dyDescent="0.45">
      <c r="A2209" s="53" t="s">
        <v>8031</v>
      </c>
      <c r="B2209" s="54" t="s">
        <v>8032</v>
      </c>
    </row>
    <row r="2210" spans="1:2" x14ac:dyDescent="0.45">
      <c r="A2210" s="53" t="s">
        <v>8074</v>
      </c>
      <c r="B2210" s="54" t="s">
        <v>8075</v>
      </c>
    </row>
    <row r="2211" spans="1:2" x14ac:dyDescent="0.45">
      <c r="A2211" s="53" t="s">
        <v>8081</v>
      </c>
      <c r="B2211" s="54" t="s">
        <v>8082</v>
      </c>
    </row>
    <row r="2212" spans="1:2" x14ac:dyDescent="0.45">
      <c r="A2212" s="53" t="s">
        <v>8084</v>
      </c>
      <c r="B2212" s="54" t="s">
        <v>8085</v>
      </c>
    </row>
    <row r="2213" spans="1:2" x14ac:dyDescent="0.45">
      <c r="A2213" s="53" t="s">
        <v>8086</v>
      </c>
      <c r="B2213" s="54" t="s">
        <v>8087</v>
      </c>
    </row>
    <row r="2214" spans="1:2" x14ac:dyDescent="0.45">
      <c r="A2214" s="53" t="s">
        <v>8089</v>
      </c>
      <c r="B2214" s="54" t="s">
        <v>8090</v>
      </c>
    </row>
    <row r="2215" spans="1:2" x14ac:dyDescent="0.45">
      <c r="A2215" s="53" t="s">
        <v>8091</v>
      </c>
      <c r="B2215" s="54" t="s">
        <v>8092</v>
      </c>
    </row>
    <row r="2216" spans="1:2" x14ac:dyDescent="0.45">
      <c r="A2216" s="53" t="s">
        <v>8095</v>
      </c>
      <c r="B2216" s="54" t="s">
        <v>8096</v>
      </c>
    </row>
    <row r="2217" spans="1:2" x14ac:dyDescent="0.45">
      <c r="A2217" s="53" t="s">
        <v>8098</v>
      </c>
      <c r="B2217" s="54" t="s">
        <v>8099</v>
      </c>
    </row>
    <row r="2218" spans="1:2" x14ac:dyDescent="0.45">
      <c r="A2218" s="53" t="s">
        <v>8100</v>
      </c>
      <c r="B2218" s="54" t="s">
        <v>8101</v>
      </c>
    </row>
    <row r="2219" spans="1:2" x14ac:dyDescent="0.45">
      <c r="A2219" s="53" t="s">
        <v>8109</v>
      </c>
      <c r="B2219" s="54" t="s">
        <v>8110</v>
      </c>
    </row>
    <row r="2220" spans="1:2" x14ac:dyDescent="0.45">
      <c r="A2220" s="53" t="s">
        <v>8113</v>
      </c>
      <c r="B2220" s="54" t="s">
        <v>8114</v>
      </c>
    </row>
    <row r="2221" spans="1:2" x14ac:dyDescent="0.45">
      <c r="A2221" s="53" t="s">
        <v>8117</v>
      </c>
      <c r="B2221" s="54" t="s">
        <v>8118</v>
      </c>
    </row>
    <row r="2222" spans="1:2" x14ac:dyDescent="0.45">
      <c r="A2222" s="53" t="s">
        <v>8121</v>
      </c>
      <c r="B2222" s="54" t="s">
        <v>8122</v>
      </c>
    </row>
    <row r="2223" spans="1:2" x14ac:dyDescent="0.45">
      <c r="A2223" s="53" t="s">
        <v>8136</v>
      </c>
      <c r="B2223" s="54" t="s">
        <v>8137</v>
      </c>
    </row>
    <row r="2224" spans="1:2" x14ac:dyDescent="0.45">
      <c r="A2224" s="53" t="s">
        <v>8150</v>
      </c>
      <c r="B2224" s="54" t="s">
        <v>8151</v>
      </c>
    </row>
    <row r="2225" spans="1:2" x14ac:dyDescent="0.45">
      <c r="A2225" s="53" t="s">
        <v>8158</v>
      </c>
      <c r="B2225" s="54" t="s">
        <v>8159</v>
      </c>
    </row>
    <row r="2226" spans="1:2" x14ac:dyDescent="0.45">
      <c r="A2226" s="53" t="s">
        <v>8171</v>
      </c>
      <c r="B2226" s="54" t="s">
        <v>8172</v>
      </c>
    </row>
    <row r="2227" spans="1:2" x14ac:dyDescent="0.45">
      <c r="A2227" s="53" t="s">
        <v>8176</v>
      </c>
      <c r="B2227" s="54" t="s">
        <v>8177</v>
      </c>
    </row>
    <row r="2228" spans="1:2" x14ac:dyDescent="0.45">
      <c r="A2228" s="53" t="s">
        <v>8178</v>
      </c>
      <c r="B2228" s="54" t="s">
        <v>8179</v>
      </c>
    </row>
    <row r="2229" spans="1:2" x14ac:dyDescent="0.45">
      <c r="A2229" s="53" t="s">
        <v>8197</v>
      </c>
      <c r="B2229" s="54" t="s">
        <v>8198</v>
      </c>
    </row>
    <row r="2230" spans="1:2" x14ac:dyDescent="0.45">
      <c r="A2230" s="53" t="s">
        <v>8199</v>
      </c>
      <c r="B2230" s="54" t="s">
        <v>8200</v>
      </c>
    </row>
    <row r="2231" spans="1:2" x14ac:dyDescent="0.45">
      <c r="A2231" s="53" t="s">
        <v>8201</v>
      </c>
      <c r="B2231" s="54" t="s">
        <v>8202</v>
      </c>
    </row>
    <row r="2232" spans="1:2" x14ac:dyDescent="0.45">
      <c r="A2232" s="53" t="s">
        <v>8212</v>
      </c>
      <c r="B2232" s="54" t="s">
        <v>8213</v>
      </c>
    </row>
    <row r="2233" spans="1:2" x14ac:dyDescent="0.45">
      <c r="A2233" s="53" t="s">
        <v>8220</v>
      </c>
      <c r="B2233" s="54" t="s">
        <v>8221</v>
      </c>
    </row>
    <row r="2234" spans="1:2" x14ac:dyDescent="0.45">
      <c r="A2234" s="53" t="s">
        <v>8229</v>
      </c>
      <c r="B2234" s="54" t="s">
        <v>8230</v>
      </c>
    </row>
    <row r="2235" spans="1:2" x14ac:dyDescent="0.45">
      <c r="A2235" s="53" t="s">
        <v>8231</v>
      </c>
      <c r="B2235" s="54" t="s">
        <v>8232</v>
      </c>
    </row>
    <row r="2236" spans="1:2" x14ac:dyDescent="0.45">
      <c r="A2236" s="53" t="s">
        <v>8238</v>
      </c>
      <c r="B2236" s="54" t="s">
        <v>8239</v>
      </c>
    </row>
    <row r="2237" spans="1:2" x14ac:dyDescent="0.45">
      <c r="A2237" s="53" t="s">
        <v>8244</v>
      </c>
      <c r="B2237" s="54" t="s">
        <v>8245</v>
      </c>
    </row>
    <row r="2238" spans="1:2" x14ac:dyDescent="0.45">
      <c r="A2238" s="53" t="s">
        <v>8246</v>
      </c>
      <c r="B2238" s="54" t="s">
        <v>8247</v>
      </c>
    </row>
    <row r="2239" spans="1:2" x14ac:dyDescent="0.45">
      <c r="A2239" s="53" t="s">
        <v>8249</v>
      </c>
      <c r="B2239" s="54" t="s">
        <v>8250</v>
      </c>
    </row>
    <row r="2240" spans="1:2" x14ac:dyDescent="0.45">
      <c r="A2240" s="53" t="s">
        <v>8256</v>
      </c>
      <c r="B2240" s="54" t="s">
        <v>8257</v>
      </c>
    </row>
    <row r="2241" spans="1:2" x14ac:dyDescent="0.45">
      <c r="A2241" s="53" t="s">
        <v>8262</v>
      </c>
      <c r="B2241" s="54" t="s">
        <v>8263</v>
      </c>
    </row>
    <row r="2242" spans="1:2" x14ac:dyDescent="0.45">
      <c r="A2242" s="53" t="s">
        <v>8266</v>
      </c>
      <c r="B2242" s="54" t="s">
        <v>8267</v>
      </c>
    </row>
    <row r="2243" spans="1:2" x14ac:dyDescent="0.45">
      <c r="A2243" s="53" t="s">
        <v>8281</v>
      </c>
      <c r="B2243" s="54" t="s">
        <v>8282</v>
      </c>
    </row>
    <row r="2244" spans="1:2" x14ac:dyDescent="0.45">
      <c r="A2244" s="53" t="s">
        <v>8283</v>
      </c>
      <c r="B2244" s="54" t="s">
        <v>8284</v>
      </c>
    </row>
    <row r="2245" spans="1:2" x14ac:dyDescent="0.45">
      <c r="A2245" s="53" t="s">
        <v>8297</v>
      </c>
      <c r="B2245" s="54" t="s">
        <v>8298</v>
      </c>
    </row>
    <row r="2246" spans="1:2" x14ac:dyDescent="0.45">
      <c r="A2246" s="53" t="s">
        <v>8303</v>
      </c>
      <c r="B2246" s="54" t="s">
        <v>8304</v>
      </c>
    </row>
    <row r="2247" spans="1:2" x14ac:dyDescent="0.45">
      <c r="A2247" s="53" t="s">
        <v>8305</v>
      </c>
      <c r="B2247" s="54" t="s">
        <v>8306</v>
      </c>
    </row>
    <row r="2248" spans="1:2" x14ac:dyDescent="0.45">
      <c r="A2248" s="53" t="s">
        <v>8308</v>
      </c>
      <c r="B2248" s="54" t="s">
        <v>8309</v>
      </c>
    </row>
    <row r="2249" spans="1:2" x14ac:dyDescent="0.45">
      <c r="A2249" s="53" t="s">
        <v>8316</v>
      </c>
      <c r="B2249" s="54" t="s">
        <v>8317</v>
      </c>
    </row>
    <row r="2250" spans="1:2" x14ac:dyDescent="0.45">
      <c r="A2250" s="53" t="s">
        <v>8320</v>
      </c>
      <c r="B2250" s="54" t="s">
        <v>8321</v>
      </c>
    </row>
    <row r="2251" spans="1:2" x14ac:dyDescent="0.45">
      <c r="A2251" s="53" t="s">
        <v>8324</v>
      </c>
      <c r="B2251" s="54" t="s">
        <v>8325</v>
      </c>
    </row>
    <row r="2252" spans="1:2" x14ac:dyDescent="0.45">
      <c r="A2252" s="53" t="s">
        <v>8330</v>
      </c>
      <c r="B2252" s="54" t="s">
        <v>8331</v>
      </c>
    </row>
    <row r="2253" spans="1:2" x14ac:dyDescent="0.45">
      <c r="A2253" s="53" t="s">
        <v>8332</v>
      </c>
      <c r="B2253" s="54" t="s">
        <v>8333</v>
      </c>
    </row>
    <row r="2254" spans="1:2" x14ac:dyDescent="0.45">
      <c r="A2254" s="53" t="s">
        <v>8341</v>
      </c>
      <c r="B2254" s="54" t="s">
        <v>8342</v>
      </c>
    </row>
    <row r="2255" spans="1:2" x14ac:dyDescent="0.45">
      <c r="A2255" s="53" t="s">
        <v>8343</v>
      </c>
      <c r="B2255" s="54" t="s">
        <v>8344</v>
      </c>
    </row>
    <row r="2256" spans="1:2" x14ac:dyDescent="0.45">
      <c r="A2256" s="53" t="s">
        <v>8345</v>
      </c>
      <c r="B2256" s="54" t="s">
        <v>8346</v>
      </c>
    </row>
    <row r="2257" spans="1:5" x14ac:dyDescent="0.45">
      <c r="A2257" s="53" t="s">
        <v>3602</v>
      </c>
      <c r="B2257" s="54" t="s">
        <v>3603</v>
      </c>
    </row>
    <row r="2258" spans="1:5" x14ac:dyDescent="0.45">
      <c r="A2258" s="53" t="s">
        <v>3610</v>
      </c>
      <c r="B2258" s="54" t="s">
        <v>3611</v>
      </c>
    </row>
    <row r="2259" spans="1:5" x14ac:dyDescent="0.45">
      <c r="A2259" s="53" t="s">
        <v>3614</v>
      </c>
      <c r="B2259" s="54" t="s">
        <v>3615</v>
      </c>
      <c r="E2259" s="10"/>
    </row>
    <row r="2260" spans="1:5" x14ac:dyDescent="0.45">
      <c r="A2260" s="53" t="s">
        <v>3626</v>
      </c>
      <c r="B2260" s="54" t="s">
        <v>3627</v>
      </c>
      <c r="E2260" s="10"/>
    </row>
    <row r="2261" spans="1:5" x14ac:dyDescent="0.45">
      <c r="A2261" s="53" t="s">
        <v>3632</v>
      </c>
      <c r="B2261" s="54" t="s">
        <v>3633</v>
      </c>
      <c r="E2261" s="10"/>
    </row>
    <row r="2262" spans="1:5" x14ac:dyDescent="0.45">
      <c r="A2262" s="53" t="s">
        <v>3667</v>
      </c>
      <c r="B2262" s="54" t="s">
        <v>3668</v>
      </c>
    </row>
    <row r="2263" spans="1:5" x14ac:dyDescent="0.45">
      <c r="A2263" s="53" t="s">
        <v>3672</v>
      </c>
      <c r="B2263" s="54" t="s">
        <v>3673</v>
      </c>
    </row>
    <row r="2264" spans="1:5" x14ac:dyDescent="0.45">
      <c r="A2264" s="53" t="s">
        <v>3690</v>
      </c>
      <c r="B2264" s="54" t="s">
        <v>3691</v>
      </c>
    </row>
    <row r="2265" spans="1:5" x14ac:dyDescent="0.45">
      <c r="A2265" s="53" t="s">
        <v>3727</v>
      </c>
      <c r="B2265" s="54" t="s">
        <v>3728</v>
      </c>
    </row>
    <row r="2266" spans="1:5" x14ac:dyDescent="0.45">
      <c r="A2266" s="53" t="s">
        <v>3737</v>
      </c>
      <c r="B2266" s="54" t="s">
        <v>3738</v>
      </c>
    </row>
    <row r="2267" spans="1:5" x14ac:dyDescent="0.45">
      <c r="A2267" s="53" t="s">
        <v>3740</v>
      </c>
      <c r="B2267" s="54" t="s">
        <v>3741</v>
      </c>
    </row>
    <row r="2268" spans="1:5" x14ac:dyDescent="0.45">
      <c r="A2268" s="53" t="s">
        <v>3740</v>
      </c>
      <c r="B2268" s="54" t="s">
        <v>5722</v>
      </c>
    </row>
    <row r="2269" spans="1:5" x14ac:dyDescent="0.45">
      <c r="A2269" s="53" t="s">
        <v>3744</v>
      </c>
      <c r="B2269" s="54" t="s">
        <v>3745</v>
      </c>
      <c r="E2269" s="10"/>
    </row>
    <row r="2270" spans="1:5" x14ac:dyDescent="0.45">
      <c r="A2270" s="53" t="s">
        <v>3781</v>
      </c>
      <c r="B2270" s="54" t="s">
        <v>3782</v>
      </c>
    </row>
    <row r="2271" spans="1:5" x14ac:dyDescent="0.45">
      <c r="A2271" s="53" t="s">
        <v>3802</v>
      </c>
      <c r="B2271" s="54" t="s">
        <v>3803</v>
      </c>
      <c r="E2271" s="10"/>
    </row>
    <row r="2272" spans="1:5" x14ac:dyDescent="0.45">
      <c r="A2272" s="53" t="s">
        <v>3804</v>
      </c>
      <c r="B2272" s="54" t="s">
        <v>3805</v>
      </c>
      <c r="E2272" s="10"/>
    </row>
    <row r="2273" spans="1:5" x14ac:dyDescent="0.45">
      <c r="A2273" s="53" t="s">
        <v>3807</v>
      </c>
      <c r="B2273" s="54" t="s">
        <v>3808</v>
      </c>
    </row>
    <row r="2274" spans="1:5" x14ac:dyDescent="0.45">
      <c r="A2274" s="53" t="s">
        <v>3825</v>
      </c>
      <c r="B2274" s="54" t="s">
        <v>3826</v>
      </c>
    </row>
    <row r="2275" spans="1:5" x14ac:dyDescent="0.45">
      <c r="A2275" s="53" t="s">
        <v>3842</v>
      </c>
      <c r="B2275" s="54" t="s">
        <v>3843</v>
      </c>
    </row>
    <row r="2276" spans="1:5" x14ac:dyDescent="0.45">
      <c r="A2276" s="53" t="s">
        <v>3845</v>
      </c>
      <c r="B2276" s="54" t="s">
        <v>3846</v>
      </c>
    </row>
    <row r="2277" spans="1:5" x14ac:dyDescent="0.45">
      <c r="A2277" s="53" t="s">
        <v>3848</v>
      </c>
      <c r="B2277" s="54" t="s">
        <v>3849</v>
      </c>
    </row>
    <row r="2278" spans="1:5" x14ac:dyDescent="0.45">
      <c r="A2278" s="53" t="s">
        <v>3850</v>
      </c>
      <c r="B2278" s="54" t="s">
        <v>3851</v>
      </c>
      <c r="E2278" s="10"/>
    </row>
    <row r="2279" spans="1:5" x14ac:dyDescent="0.45">
      <c r="A2279" s="53" t="s">
        <v>3853</v>
      </c>
      <c r="B2279" s="54" t="s">
        <v>3854</v>
      </c>
    </row>
    <row r="2280" spans="1:5" x14ac:dyDescent="0.45">
      <c r="A2280" s="53" t="s">
        <v>3855</v>
      </c>
      <c r="B2280" s="54" t="s">
        <v>3856</v>
      </c>
    </row>
    <row r="2281" spans="1:5" x14ac:dyDescent="0.45">
      <c r="A2281" s="53" t="s">
        <v>3869</v>
      </c>
      <c r="B2281" s="54" t="s">
        <v>3870</v>
      </c>
    </row>
    <row r="2282" spans="1:5" x14ac:dyDescent="0.45">
      <c r="A2282" s="53" t="s">
        <v>3875</v>
      </c>
      <c r="B2282" s="54" t="s">
        <v>3876</v>
      </c>
    </row>
    <row r="2283" spans="1:5" x14ac:dyDescent="0.45">
      <c r="A2283" s="53" t="s">
        <v>3885</v>
      </c>
      <c r="B2283" s="54" t="s">
        <v>3886</v>
      </c>
    </row>
    <row r="2284" spans="1:5" x14ac:dyDescent="0.45">
      <c r="A2284" s="53" t="s">
        <v>3891</v>
      </c>
      <c r="B2284" s="54" t="s">
        <v>3892</v>
      </c>
    </row>
    <row r="2285" spans="1:5" x14ac:dyDescent="0.45">
      <c r="A2285" s="53" t="s">
        <v>3893</v>
      </c>
      <c r="B2285" s="54" t="s">
        <v>3894</v>
      </c>
    </row>
    <row r="2286" spans="1:5" x14ac:dyDescent="0.45">
      <c r="A2286" s="53" t="s">
        <v>3899</v>
      </c>
      <c r="B2286" s="54" t="s">
        <v>3900</v>
      </c>
    </row>
    <row r="2287" spans="1:5" x14ac:dyDescent="0.45">
      <c r="A2287" s="53" t="s">
        <v>3922</v>
      </c>
      <c r="B2287" s="54" t="s">
        <v>3923</v>
      </c>
    </row>
    <row r="2288" spans="1:5" x14ac:dyDescent="0.45">
      <c r="A2288" s="53" t="s">
        <v>3924</v>
      </c>
      <c r="B2288" s="54" t="s">
        <v>3925</v>
      </c>
    </row>
    <row r="2289" spans="1:6" x14ac:dyDescent="0.45">
      <c r="A2289" s="53" t="s">
        <v>3932</v>
      </c>
      <c r="B2289" s="54" t="s">
        <v>3933</v>
      </c>
    </row>
    <row r="2290" spans="1:6" x14ac:dyDescent="0.45">
      <c r="A2290" s="53" t="s">
        <v>3941</v>
      </c>
      <c r="B2290" s="54" t="s">
        <v>3942</v>
      </c>
    </row>
    <row r="2291" spans="1:6" x14ac:dyDescent="0.45">
      <c r="A2291" s="53" t="s">
        <v>3947</v>
      </c>
      <c r="B2291" s="54" t="s">
        <v>3948</v>
      </c>
      <c r="E2291" s="10"/>
    </row>
    <row r="2292" spans="1:6" x14ac:dyDescent="0.45">
      <c r="A2292" s="53" t="s">
        <v>3960</v>
      </c>
      <c r="B2292" s="54" t="s">
        <v>3961</v>
      </c>
    </row>
    <row r="2293" spans="1:6" x14ac:dyDescent="0.45">
      <c r="A2293" s="53" t="s">
        <v>3963</v>
      </c>
      <c r="B2293" s="54" t="s">
        <v>3964</v>
      </c>
    </row>
    <row r="2294" spans="1:6" x14ac:dyDescent="0.45">
      <c r="A2294" s="53" t="s">
        <v>3966</v>
      </c>
      <c r="B2294" s="54" t="s">
        <v>3967</v>
      </c>
    </row>
    <row r="2295" spans="1:6" x14ac:dyDescent="0.45">
      <c r="A2295" s="53" t="s">
        <v>3968</v>
      </c>
      <c r="B2295" s="54" t="s">
        <v>3969</v>
      </c>
    </row>
    <row r="2296" spans="1:6" x14ac:dyDescent="0.45">
      <c r="A2296" s="53" t="s">
        <v>3970</v>
      </c>
      <c r="B2296" s="54" t="s">
        <v>3971</v>
      </c>
    </row>
    <row r="2297" spans="1:6" x14ac:dyDescent="0.45">
      <c r="A2297" s="53" t="s">
        <v>3974</v>
      </c>
      <c r="B2297" s="54" t="s">
        <v>3975</v>
      </c>
    </row>
    <row r="2298" spans="1:6" x14ac:dyDescent="0.45">
      <c r="A2298" s="53" t="s">
        <v>3976</v>
      </c>
      <c r="B2298" s="54" t="s">
        <v>3977</v>
      </c>
      <c r="F2298" s="10"/>
    </row>
    <row r="2299" spans="1:6" x14ac:dyDescent="0.45">
      <c r="A2299" s="53" t="s">
        <v>3978</v>
      </c>
      <c r="B2299" s="54" t="s">
        <v>3979</v>
      </c>
    </row>
    <row r="2300" spans="1:6" x14ac:dyDescent="0.45">
      <c r="A2300" s="53" t="s">
        <v>3983</v>
      </c>
      <c r="B2300" s="54" t="s">
        <v>3984</v>
      </c>
    </row>
    <row r="2301" spans="1:6" x14ac:dyDescent="0.45">
      <c r="A2301" s="53" t="s">
        <v>3990</v>
      </c>
      <c r="B2301" s="54" t="s">
        <v>3991</v>
      </c>
    </row>
    <row r="2302" spans="1:6" x14ac:dyDescent="0.45">
      <c r="A2302" s="53" t="s">
        <v>4016</v>
      </c>
      <c r="B2302" s="54" t="s">
        <v>4017</v>
      </c>
    </row>
    <row r="2303" spans="1:6" x14ac:dyDescent="0.45">
      <c r="A2303" s="53" t="s">
        <v>4058</v>
      </c>
      <c r="B2303" s="54" t="s">
        <v>4059</v>
      </c>
    </row>
    <row r="2304" spans="1:6" x14ac:dyDescent="0.45">
      <c r="A2304" s="53" t="s">
        <v>4065</v>
      </c>
      <c r="B2304" s="54" t="s">
        <v>4066</v>
      </c>
    </row>
    <row r="2305" spans="1:6" x14ac:dyDescent="0.45">
      <c r="A2305" s="53" t="s">
        <v>4068</v>
      </c>
      <c r="B2305" s="54" t="s">
        <v>4069</v>
      </c>
    </row>
    <row r="2306" spans="1:6" x14ac:dyDescent="0.45">
      <c r="A2306" s="53" t="s">
        <v>4076</v>
      </c>
      <c r="B2306" s="54" t="s">
        <v>4077</v>
      </c>
    </row>
    <row r="2307" spans="1:6" x14ac:dyDescent="0.45">
      <c r="A2307" s="53" t="s">
        <v>4083</v>
      </c>
      <c r="B2307" s="54" t="s">
        <v>4084</v>
      </c>
    </row>
    <row r="2308" spans="1:6" x14ac:dyDescent="0.45">
      <c r="A2308" s="53" t="s">
        <v>4092</v>
      </c>
      <c r="B2308" s="54" t="s">
        <v>4093</v>
      </c>
    </row>
    <row r="2309" spans="1:6" x14ac:dyDescent="0.45">
      <c r="A2309" s="53" t="s">
        <v>4100</v>
      </c>
      <c r="B2309" s="54" t="s">
        <v>4101</v>
      </c>
    </row>
    <row r="2310" spans="1:6" x14ac:dyDescent="0.45">
      <c r="A2310" s="53" t="s">
        <v>4110</v>
      </c>
      <c r="B2310" s="54" t="s">
        <v>4111</v>
      </c>
      <c r="F2310" s="10"/>
    </row>
    <row r="2311" spans="1:6" x14ac:dyDescent="0.45">
      <c r="A2311" s="53" t="s">
        <v>4113</v>
      </c>
      <c r="B2311" s="54" t="s">
        <v>4114</v>
      </c>
      <c r="E2311" s="10"/>
    </row>
    <row r="2312" spans="1:6" x14ac:dyDescent="0.45">
      <c r="A2312" s="53" t="s">
        <v>4125</v>
      </c>
      <c r="B2312" s="54" t="s">
        <v>4126</v>
      </c>
      <c r="E2312" s="10"/>
    </row>
    <row r="2313" spans="1:6" x14ac:dyDescent="0.45">
      <c r="A2313" s="53" t="s">
        <v>4132</v>
      </c>
      <c r="B2313" s="54" t="s">
        <v>4133</v>
      </c>
      <c r="E2313" s="10"/>
    </row>
    <row r="2314" spans="1:6" x14ac:dyDescent="0.45">
      <c r="A2314" s="53" t="s">
        <v>4160</v>
      </c>
      <c r="B2314" s="54" t="s">
        <v>4161</v>
      </c>
    </row>
    <row r="2315" spans="1:6" x14ac:dyDescent="0.45">
      <c r="A2315" s="53" t="s">
        <v>4207</v>
      </c>
      <c r="B2315" s="54" t="s">
        <v>4208</v>
      </c>
      <c r="E2315" s="10"/>
    </row>
    <row r="2316" spans="1:6" x14ac:dyDescent="0.45">
      <c r="A2316" s="53" t="s">
        <v>4209</v>
      </c>
      <c r="B2316" s="54" t="s">
        <v>4210</v>
      </c>
    </row>
    <row r="2317" spans="1:6" x14ac:dyDescent="0.45">
      <c r="A2317" s="53" t="s">
        <v>4211</v>
      </c>
      <c r="B2317" s="54" t="s">
        <v>4212</v>
      </c>
    </row>
    <row r="2318" spans="1:6" x14ac:dyDescent="0.45">
      <c r="A2318" s="53" t="s">
        <v>4218</v>
      </c>
      <c r="B2318" s="54" t="s">
        <v>4219</v>
      </c>
    </row>
    <row r="2319" spans="1:6" x14ac:dyDescent="0.45">
      <c r="A2319" s="53" t="s">
        <v>4238</v>
      </c>
      <c r="B2319" s="54" t="s">
        <v>4239</v>
      </c>
    </row>
    <row r="2320" spans="1:6" x14ac:dyDescent="0.45">
      <c r="A2320" s="53" t="s">
        <v>4278</v>
      </c>
      <c r="B2320" s="54" t="s">
        <v>4279</v>
      </c>
    </row>
    <row r="2321" spans="1:5" x14ac:dyDescent="0.45">
      <c r="A2321" s="53" t="s">
        <v>4293</v>
      </c>
      <c r="B2321" s="54" t="s">
        <v>4294</v>
      </c>
    </row>
    <row r="2322" spans="1:5" x14ac:dyDescent="0.45">
      <c r="A2322" s="53" t="s">
        <v>4296</v>
      </c>
      <c r="B2322" s="54" t="s">
        <v>4297</v>
      </c>
      <c r="E2322" s="10"/>
    </row>
    <row r="2323" spans="1:5" x14ac:dyDescent="0.45">
      <c r="A2323" s="53" t="s">
        <v>4320</v>
      </c>
      <c r="B2323" s="54" t="s">
        <v>4321</v>
      </c>
    </row>
    <row r="2324" spans="1:5" x14ac:dyDescent="0.45">
      <c r="A2324" s="53" t="s">
        <v>4333</v>
      </c>
      <c r="B2324" s="54" t="s">
        <v>4334</v>
      </c>
    </row>
    <row r="2325" spans="1:5" x14ac:dyDescent="0.45">
      <c r="A2325" s="53" t="s">
        <v>4341</v>
      </c>
      <c r="B2325" s="54" t="s">
        <v>4342</v>
      </c>
    </row>
    <row r="2326" spans="1:5" x14ac:dyDescent="0.45">
      <c r="A2326" s="53" t="s">
        <v>4343</v>
      </c>
      <c r="B2326" s="54" t="s">
        <v>4344</v>
      </c>
    </row>
    <row r="2327" spans="1:5" x14ac:dyDescent="0.45">
      <c r="A2327" s="53" t="s">
        <v>4353</v>
      </c>
      <c r="B2327" s="54" t="s">
        <v>4354</v>
      </c>
    </row>
    <row r="2328" spans="1:5" x14ac:dyDescent="0.45">
      <c r="A2328" s="53" t="s">
        <v>4372</v>
      </c>
      <c r="B2328" s="54" t="s">
        <v>4373</v>
      </c>
    </row>
    <row r="2329" spans="1:5" x14ac:dyDescent="0.45">
      <c r="A2329" s="53" t="s">
        <v>4394</v>
      </c>
      <c r="B2329" s="54" t="s">
        <v>4395</v>
      </c>
    </row>
    <row r="2330" spans="1:5" x14ac:dyDescent="0.45">
      <c r="A2330" s="53" t="s">
        <v>4435</v>
      </c>
      <c r="B2330" s="54" t="s">
        <v>4436</v>
      </c>
    </row>
    <row r="2331" spans="1:5" x14ac:dyDescent="0.45">
      <c r="A2331" s="53" t="s">
        <v>4621</v>
      </c>
      <c r="B2331" s="54" t="s">
        <v>4622</v>
      </c>
    </row>
    <row r="2332" spans="1:5" x14ac:dyDescent="0.45">
      <c r="A2332" s="53" t="s">
        <v>4858</v>
      </c>
      <c r="B2332" s="54" t="s">
        <v>4859</v>
      </c>
    </row>
    <row r="2333" spans="1:5" x14ac:dyDescent="0.45">
      <c r="A2333" s="53" t="s">
        <v>4875</v>
      </c>
      <c r="B2333" s="54" t="s">
        <v>4876</v>
      </c>
      <c r="E2333" s="10"/>
    </row>
    <row r="2334" spans="1:5" x14ac:dyDescent="0.45">
      <c r="A2334" s="53" t="s">
        <v>4877</v>
      </c>
      <c r="B2334" s="54" t="s">
        <v>4878</v>
      </c>
      <c r="E2334" s="10"/>
    </row>
    <row r="2335" spans="1:5" x14ac:dyDescent="0.45">
      <c r="A2335" s="53" t="s">
        <v>5094</v>
      </c>
      <c r="B2335" s="54" t="s">
        <v>5095</v>
      </c>
    </row>
    <row r="2336" spans="1:5" x14ac:dyDescent="0.45">
      <c r="A2336" s="53" t="s">
        <v>5096</v>
      </c>
      <c r="B2336" s="54" t="s">
        <v>5097</v>
      </c>
    </row>
    <row r="2337" spans="1:5" x14ac:dyDescent="0.45">
      <c r="A2337" s="53" t="s">
        <v>5109</v>
      </c>
      <c r="B2337" s="54" t="s">
        <v>5110</v>
      </c>
    </row>
    <row r="2338" spans="1:5" x14ac:dyDescent="0.45">
      <c r="A2338" s="53" t="s">
        <v>5202</v>
      </c>
      <c r="B2338" s="54" t="s">
        <v>5203</v>
      </c>
      <c r="E2338" s="10"/>
    </row>
    <row r="2339" spans="1:5" x14ac:dyDescent="0.45">
      <c r="A2339" s="53" t="s">
        <v>5381</v>
      </c>
      <c r="B2339" s="54" t="s">
        <v>5382</v>
      </c>
    </row>
    <row r="2340" spans="1:5" x14ac:dyDescent="0.45">
      <c r="A2340" s="53" t="s">
        <v>5384</v>
      </c>
      <c r="B2340" s="54" t="s">
        <v>5385</v>
      </c>
    </row>
    <row r="2341" spans="1:5" x14ac:dyDescent="0.45">
      <c r="A2341" s="53" t="s">
        <v>5396</v>
      </c>
      <c r="B2341" s="54" t="s">
        <v>5397</v>
      </c>
    </row>
    <row r="2342" spans="1:5" x14ac:dyDescent="0.45">
      <c r="A2342" s="53" t="s">
        <v>5402</v>
      </c>
      <c r="B2342" s="54" t="s">
        <v>5403</v>
      </c>
    </row>
    <row r="2343" spans="1:5" x14ac:dyDescent="0.45">
      <c r="A2343" s="53" t="s">
        <v>5506</v>
      </c>
      <c r="B2343" s="54" t="s">
        <v>5507</v>
      </c>
    </row>
    <row r="2344" spans="1:5" x14ac:dyDescent="0.45">
      <c r="A2344" s="53" t="s">
        <v>5527</v>
      </c>
      <c r="B2344" s="54" t="s">
        <v>5528</v>
      </c>
    </row>
    <row r="2345" spans="1:5" x14ac:dyDescent="0.45">
      <c r="A2345" s="53" t="s">
        <v>5536</v>
      </c>
      <c r="B2345" s="54" t="s">
        <v>5537</v>
      </c>
    </row>
    <row r="2346" spans="1:5" x14ac:dyDescent="0.45">
      <c r="A2346" s="53" t="s">
        <v>5611</v>
      </c>
      <c r="B2346" s="54" t="s">
        <v>5612</v>
      </c>
    </row>
    <row r="2347" spans="1:5" x14ac:dyDescent="0.45">
      <c r="A2347" s="53" t="s">
        <v>5627</v>
      </c>
      <c r="B2347" s="54" t="s">
        <v>5628</v>
      </c>
    </row>
    <row r="2348" spans="1:5" x14ac:dyDescent="0.45">
      <c r="A2348" s="53" t="s">
        <v>5653</v>
      </c>
      <c r="B2348" s="54" t="s">
        <v>5654</v>
      </c>
    </row>
    <row r="2349" spans="1:5" x14ac:dyDescent="0.45">
      <c r="A2349" s="53" t="s">
        <v>5662</v>
      </c>
      <c r="B2349" s="54" t="s">
        <v>5663</v>
      </c>
    </row>
    <row r="2350" spans="1:5" x14ac:dyDescent="0.45">
      <c r="A2350" s="53" t="s">
        <v>5670</v>
      </c>
      <c r="B2350" s="54" t="s">
        <v>5671</v>
      </c>
    </row>
    <row r="2351" spans="1:5" x14ac:dyDescent="0.45">
      <c r="A2351" s="53" t="s">
        <v>5674</v>
      </c>
      <c r="B2351" s="54" t="s">
        <v>5675</v>
      </c>
    </row>
    <row r="2352" spans="1:5" x14ac:dyDescent="0.45">
      <c r="A2352" s="53" t="s">
        <v>5679</v>
      </c>
      <c r="B2352" s="54" t="s">
        <v>5680</v>
      </c>
    </row>
    <row r="2353" spans="1:2" x14ac:dyDescent="0.45">
      <c r="A2353" s="53" t="s">
        <v>5682</v>
      </c>
      <c r="B2353" s="54" t="s">
        <v>5683</v>
      </c>
    </row>
    <row r="2354" spans="1:2" x14ac:dyDescent="0.45">
      <c r="A2354" s="53" t="s">
        <v>5690</v>
      </c>
      <c r="B2354" s="54" t="s">
        <v>5691</v>
      </c>
    </row>
    <row r="2355" spans="1:2" x14ac:dyDescent="0.45">
      <c r="A2355" s="53" t="s">
        <v>5699</v>
      </c>
      <c r="B2355" s="54" t="s">
        <v>5700</v>
      </c>
    </row>
    <row r="2356" spans="1:2" x14ac:dyDescent="0.45">
      <c r="A2356" s="53" t="s">
        <v>5702</v>
      </c>
      <c r="B2356" s="54" t="s">
        <v>5703</v>
      </c>
    </row>
    <row r="2357" spans="1:2" x14ac:dyDescent="0.45">
      <c r="A2357" s="53" t="s">
        <v>5705</v>
      </c>
      <c r="B2357" s="54" t="s">
        <v>5706</v>
      </c>
    </row>
    <row r="2358" spans="1:2" x14ac:dyDescent="0.45">
      <c r="A2358" s="53" t="s">
        <v>5708</v>
      </c>
      <c r="B2358" s="54" t="s">
        <v>5709</v>
      </c>
    </row>
    <row r="2359" spans="1:2" x14ac:dyDescent="0.45">
      <c r="A2359" s="53" t="s">
        <v>5710</v>
      </c>
      <c r="B2359" s="54" t="s">
        <v>5711</v>
      </c>
    </row>
    <row r="2360" spans="1:2" x14ac:dyDescent="0.45">
      <c r="A2360" s="53" t="s">
        <v>5718</v>
      </c>
      <c r="B2360" s="54" t="s">
        <v>5719</v>
      </c>
    </row>
    <row r="2361" spans="1:2" x14ac:dyDescent="0.45">
      <c r="A2361" s="53" t="s">
        <v>5726</v>
      </c>
      <c r="B2361" s="54" t="s">
        <v>5727</v>
      </c>
    </row>
    <row r="2362" spans="1:2" x14ac:dyDescent="0.45">
      <c r="A2362" s="53" t="s">
        <v>5751</v>
      </c>
      <c r="B2362" s="54" t="s">
        <v>5752</v>
      </c>
    </row>
    <row r="2363" spans="1:2" x14ac:dyDescent="0.45">
      <c r="A2363" s="53" t="s">
        <v>5756</v>
      </c>
      <c r="B2363" s="54" t="s">
        <v>5757</v>
      </c>
    </row>
    <row r="2364" spans="1:2" x14ac:dyDescent="0.45">
      <c r="A2364" s="53" t="s">
        <v>5764</v>
      </c>
      <c r="B2364" s="54" t="s">
        <v>5765</v>
      </c>
    </row>
    <row r="2365" spans="1:2" x14ac:dyDescent="0.45">
      <c r="A2365" s="53" t="s">
        <v>5767</v>
      </c>
      <c r="B2365" s="54" t="s">
        <v>5768</v>
      </c>
    </row>
    <row r="2366" spans="1:2" x14ac:dyDescent="0.45">
      <c r="A2366" s="53" t="s">
        <v>5781</v>
      </c>
      <c r="B2366" s="54" t="s">
        <v>5782</v>
      </c>
    </row>
    <row r="2367" spans="1:2" x14ac:dyDescent="0.45">
      <c r="A2367" s="53" t="s">
        <v>5816</v>
      </c>
      <c r="B2367" s="54" t="s">
        <v>5817</v>
      </c>
    </row>
    <row r="2368" spans="1:2" x14ac:dyDescent="0.45">
      <c r="A2368" s="53" t="s">
        <v>5818</v>
      </c>
      <c r="B2368" s="54" t="s">
        <v>5819</v>
      </c>
    </row>
    <row r="2369" spans="1:2" x14ac:dyDescent="0.45">
      <c r="A2369" s="53" t="s">
        <v>5824</v>
      </c>
      <c r="B2369" s="54" t="s">
        <v>5825</v>
      </c>
    </row>
    <row r="2370" spans="1:2" x14ac:dyDescent="0.45">
      <c r="A2370" s="53" t="s">
        <v>5846</v>
      </c>
      <c r="B2370" s="54" t="s">
        <v>5847</v>
      </c>
    </row>
    <row r="2371" spans="1:2" x14ac:dyDescent="0.45">
      <c r="A2371" s="53" t="s">
        <v>5857</v>
      </c>
      <c r="B2371" s="54" t="s">
        <v>5858</v>
      </c>
    </row>
    <row r="2372" spans="1:2" x14ac:dyDescent="0.45">
      <c r="A2372" s="53" t="s">
        <v>5872</v>
      </c>
      <c r="B2372" s="54" t="s">
        <v>5873</v>
      </c>
    </row>
    <row r="2373" spans="1:2" x14ac:dyDescent="0.45">
      <c r="A2373" s="53" t="s">
        <v>5874</v>
      </c>
      <c r="B2373" s="54" t="s">
        <v>5875</v>
      </c>
    </row>
    <row r="2374" spans="1:2" x14ac:dyDescent="0.45">
      <c r="A2374" s="53" t="s">
        <v>5890</v>
      </c>
      <c r="B2374" s="54" t="s">
        <v>5891</v>
      </c>
    </row>
    <row r="2375" spans="1:2" x14ac:dyDescent="0.45">
      <c r="A2375" s="53" t="s">
        <v>5900</v>
      </c>
      <c r="B2375" s="54" t="s">
        <v>5901</v>
      </c>
    </row>
    <row r="2376" spans="1:2" x14ac:dyDescent="0.45">
      <c r="A2376" s="53" t="s">
        <v>5928</v>
      </c>
      <c r="B2376" s="54" t="s">
        <v>5929</v>
      </c>
    </row>
    <row r="2377" spans="1:2" x14ac:dyDescent="0.45">
      <c r="A2377" s="53" t="s">
        <v>5945</v>
      </c>
      <c r="B2377" s="54" t="s">
        <v>5946</v>
      </c>
    </row>
    <row r="2378" spans="1:2" x14ac:dyDescent="0.45">
      <c r="A2378" s="53" t="s">
        <v>5947</v>
      </c>
      <c r="B2378" s="54" t="s">
        <v>5948</v>
      </c>
    </row>
    <row r="2379" spans="1:2" x14ac:dyDescent="0.45">
      <c r="A2379" s="53" t="s">
        <v>5952</v>
      </c>
      <c r="B2379" s="54" t="s">
        <v>5953</v>
      </c>
    </row>
    <row r="2380" spans="1:2" x14ac:dyDescent="0.45">
      <c r="A2380" s="53" t="s">
        <v>5961</v>
      </c>
      <c r="B2380" s="54" t="s">
        <v>5962</v>
      </c>
    </row>
    <row r="2381" spans="1:2" x14ac:dyDescent="0.45">
      <c r="A2381" s="53" t="s">
        <v>5963</v>
      </c>
      <c r="B2381" s="54" t="s">
        <v>5964</v>
      </c>
    </row>
    <row r="2382" spans="1:2" x14ac:dyDescent="0.45">
      <c r="A2382" s="53" t="s">
        <v>5982</v>
      </c>
      <c r="B2382" s="54" t="s">
        <v>5983</v>
      </c>
    </row>
    <row r="2383" spans="1:2" x14ac:dyDescent="0.45">
      <c r="A2383" s="53" t="s">
        <v>5986</v>
      </c>
      <c r="B2383" s="54" t="s">
        <v>5987</v>
      </c>
    </row>
    <row r="2384" spans="1:2" x14ac:dyDescent="0.45">
      <c r="A2384" s="53" t="s">
        <v>5991</v>
      </c>
      <c r="B2384" s="54" t="s">
        <v>5992</v>
      </c>
    </row>
    <row r="2385" spans="1:5" x14ac:dyDescent="0.45">
      <c r="A2385" s="53" t="s">
        <v>5993</v>
      </c>
      <c r="B2385" s="54" t="s">
        <v>5994</v>
      </c>
    </row>
    <row r="2386" spans="1:5" x14ac:dyDescent="0.45">
      <c r="A2386" s="53" t="s">
        <v>6001</v>
      </c>
      <c r="B2386" s="54" t="s">
        <v>6002</v>
      </c>
    </row>
    <row r="2387" spans="1:5" x14ac:dyDescent="0.45">
      <c r="A2387" s="53" t="s">
        <v>6016</v>
      </c>
      <c r="B2387" s="54" t="s">
        <v>6017</v>
      </c>
    </row>
    <row r="2388" spans="1:5" x14ac:dyDescent="0.45">
      <c r="A2388" s="53" t="s">
        <v>6020</v>
      </c>
      <c r="B2388" s="54" t="s">
        <v>6021</v>
      </c>
    </row>
    <row r="2389" spans="1:5" x14ac:dyDescent="0.45">
      <c r="A2389" s="53" t="s">
        <v>6026</v>
      </c>
      <c r="B2389" s="54" t="s">
        <v>6027</v>
      </c>
    </row>
    <row r="2390" spans="1:5" x14ac:dyDescent="0.45">
      <c r="A2390" s="53" t="s">
        <v>6029</v>
      </c>
      <c r="B2390" s="54" t="s">
        <v>6030</v>
      </c>
    </row>
    <row r="2391" spans="1:5" x14ac:dyDescent="0.45">
      <c r="A2391" s="53" t="s">
        <v>6043</v>
      </c>
      <c r="B2391" s="54" t="s">
        <v>6044</v>
      </c>
    </row>
    <row r="2392" spans="1:5" x14ac:dyDescent="0.45">
      <c r="A2392" s="53" t="s">
        <v>4041</v>
      </c>
      <c r="B2392" s="54" t="s">
        <v>4042</v>
      </c>
      <c r="E2392" s="10"/>
    </row>
    <row r="2393" spans="1:5" x14ac:dyDescent="0.45">
      <c r="A2393" s="53" t="s">
        <v>4153</v>
      </c>
      <c r="B2393" s="54" t="s">
        <v>4154</v>
      </c>
    </row>
    <row r="2394" spans="1:5" x14ac:dyDescent="0.45">
      <c r="A2394" s="53" t="s">
        <v>4288</v>
      </c>
      <c r="B2394" s="54" t="s">
        <v>4289</v>
      </c>
    </row>
    <row r="2395" spans="1:5" x14ac:dyDescent="0.45">
      <c r="A2395" s="53" t="s">
        <v>5379</v>
      </c>
      <c r="B2395" s="54" t="s">
        <v>5380</v>
      </c>
    </row>
    <row r="2396" spans="1:5" x14ac:dyDescent="0.45">
      <c r="A2396" s="53" t="s">
        <v>5733</v>
      </c>
      <c r="B2396" s="54" t="s">
        <v>5734</v>
      </c>
    </row>
    <row r="2397" spans="1:5" x14ac:dyDescent="0.45">
      <c r="A2397" s="53" t="s">
        <v>6045</v>
      </c>
      <c r="B2397" s="54" t="s">
        <v>6046</v>
      </c>
    </row>
    <row r="2398" spans="1:5" x14ac:dyDescent="0.45">
      <c r="A2398" s="53" t="s">
        <v>8188</v>
      </c>
      <c r="B2398" s="54" t="s">
        <v>8189</v>
      </c>
    </row>
    <row r="2399" spans="1:5" x14ac:dyDescent="0.45">
      <c r="A2399" s="53" t="s">
        <v>8359</v>
      </c>
      <c r="B2399" s="54" t="s">
        <v>8360</v>
      </c>
    </row>
    <row r="2400" spans="1:5" x14ac:dyDescent="0.45">
      <c r="A2400" s="53" t="s">
        <v>8361</v>
      </c>
      <c r="B2400" s="54" t="s">
        <v>8362</v>
      </c>
    </row>
    <row r="2401" spans="1:2" x14ac:dyDescent="0.45">
      <c r="A2401" s="53" t="s">
        <v>5147</v>
      </c>
      <c r="B2401" s="54" t="s">
        <v>5148</v>
      </c>
    </row>
    <row r="2402" spans="1:2" x14ac:dyDescent="0.45">
      <c r="A2402" s="53" t="s">
        <v>8039</v>
      </c>
      <c r="B2402" s="54" t="s">
        <v>8040</v>
      </c>
    </row>
    <row r="2403" spans="1:2" x14ac:dyDescent="0.45">
      <c r="A2403" s="53" t="s">
        <v>6573</v>
      </c>
      <c r="B2403" s="54" t="s">
        <v>6574</v>
      </c>
    </row>
    <row r="2404" spans="1:2" x14ac:dyDescent="0.45">
      <c r="A2404" s="53" t="s">
        <v>8037</v>
      </c>
      <c r="B2404" s="54" t="s">
        <v>8038</v>
      </c>
    </row>
    <row r="2405" spans="1:2" x14ac:dyDescent="0.45">
      <c r="A2405" s="53" t="s">
        <v>7303</v>
      </c>
      <c r="B2405" s="54" t="s">
        <v>7304</v>
      </c>
    </row>
    <row r="2406" spans="1:2" x14ac:dyDescent="0.45">
      <c r="A2406" s="53" t="s">
        <v>6895</v>
      </c>
      <c r="B2406" s="54" t="s">
        <v>6896</v>
      </c>
    </row>
    <row r="2407" spans="1:2" x14ac:dyDescent="0.45">
      <c r="A2407" s="53" t="s">
        <v>8022</v>
      </c>
      <c r="B2407" s="54" t="s">
        <v>8023</v>
      </c>
    </row>
    <row r="2408" spans="1:2" x14ac:dyDescent="0.45">
      <c r="A2408" s="53" t="s">
        <v>5696</v>
      </c>
      <c r="B2408" s="54" t="s">
        <v>5697</v>
      </c>
    </row>
    <row r="2409" spans="1:2" x14ac:dyDescent="0.45">
      <c r="A2409" s="53" t="s">
        <v>4942</v>
      </c>
      <c r="B2409" s="54" t="s">
        <v>4943</v>
      </c>
    </row>
    <row r="2410" spans="1:2" x14ac:dyDescent="0.45">
      <c r="A2410" s="53" t="s">
        <v>8214</v>
      </c>
      <c r="B2410" s="54" t="s">
        <v>8215</v>
      </c>
    </row>
    <row r="2411" spans="1:2" x14ac:dyDescent="0.45">
      <c r="A2411" s="53" t="s">
        <v>4236</v>
      </c>
      <c r="B2411" s="54" t="s">
        <v>4237</v>
      </c>
    </row>
    <row r="2412" spans="1:2" x14ac:dyDescent="0.45">
      <c r="A2412" s="53" t="s">
        <v>4541</v>
      </c>
      <c r="B2412" s="54" t="s">
        <v>4542</v>
      </c>
    </row>
    <row r="2413" spans="1:2" x14ac:dyDescent="0.45">
      <c r="A2413" s="53" t="s">
        <v>5393</v>
      </c>
      <c r="B2413" s="54" t="s">
        <v>5394</v>
      </c>
    </row>
    <row r="2414" spans="1:2" x14ac:dyDescent="0.45">
      <c r="A2414" s="53" t="s">
        <v>5822</v>
      </c>
      <c r="B2414" s="54" t="s">
        <v>5823</v>
      </c>
    </row>
    <row r="2415" spans="1:2" x14ac:dyDescent="0.45">
      <c r="A2415" s="53" t="s">
        <v>5887</v>
      </c>
      <c r="B2415" s="54" t="s">
        <v>5888</v>
      </c>
    </row>
    <row r="2416" spans="1:2" x14ac:dyDescent="0.45">
      <c r="A2416" s="53" t="s">
        <v>6427</v>
      </c>
      <c r="B2416" s="54" t="s">
        <v>6428</v>
      </c>
    </row>
    <row r="2417" spans="1:6" x14ac:dyDescent="0.45">
      <c r="A2417" s="53" t="s">
        <v>7893</v>
      </c>
      <c r="B2417" s="54" t="s">
        <v>7894</v>
      </c>
    </row>
    <row r="2418" spans="1:6" x14ac:dyDescent="0.45">
      <c r="A2418" s="53" t="s">
        <v>6571</v>
      </c>
      <c r="B2418" s="54" t="s">
        <v>6572</v>
      </c>
    </row>
    <row r="2419" spans="1:6" x14ac:dyDescent="0.45">
      <c r="A2419" s="53" t="s">
        <v>7290</v>
      </c>
      <c r="B2419" s="54" t="s">
        <v>7291</v>
      </c>
    </row>
    <row r="2420" spans="1:6" x14ac:dyDescent="0.45">
      <c r="A2420" s="53" t="s">
        <v>7288</v>
      </c>
      <c r="B2420" s="54" t="s">
        <v>7289</v>
      </c>
    </row>
    <row r="2421" spans="1:6" x14ac:dyDescent="0.45">
      <c r="A2421" s="53" t="s">
        <v>3836</v>
      </c>
      <c r="B2421" s="54" t="s">
        <v>3837</v>
      </c>
      <c r="F2421" s="10"/>
    </row>
    <row r="2422" spans="1:6" x14ac:dyDescent="0.45">
      <c r="A2422" s="53" t="s">
        <v>4579</v>
      </c>
      <c r="B2422" s="54" t="s">
        <v>4580</v>
      </c>
    </row>
    <row r="2423" spans="1:6" x14ac:dyDescent="0.45">
      <c r="A2423" s="53" t="s">
        <v>6900</v>
      </c>
      <c r="B2423" s="54" t="s">
        <v>6901</v>
      </c>
    </row>
    <row r="2424" spans="1:6" x14ac:dyDescent="0.45">
      <c r="A2424" s="53" t="s">
        <v>7089</v>
      </c>
      <c r="B2424" s="54" t="s">
        <v>7090</v>
      </c>
    </row>
    <row r="2425" spans="1:6" x14ac:dyDescent="0.45">
      <c r="A2425" s="53" t="s">
        <v>4543</v>
      </c>
      <c r="B2425" s="54" t="s">
        <v>4544</v>
      </c>
    </row>
    <row r="2426" spans="1:6" x14ac:dyDescent="0.45">
      <c r="A2426" s="53" t="s">
        <v>6073</v>
      </c>
      <c r="B2426" s="54" t="s">
        <v>6074</v>
      </c>
    </row>
    <row r="2427" spans="1:6" x14ac:dyDescent="0.45">
      <c r="A2427" s="53" t="s">
        <v>4433</v>
      </c>
      <c r="B2427" s="54" t="s">
        <v>4434</v>
      </c>
    </row>
    <row r="2428" spans="1:6" x14ac:dyDescent="0.45">
      <c r="A2428" s="53" t="s">
        <v>5150</v>
      </c>
      <c r="B2428" s="54" t="s">
        <v>5151</v>
      </c>
    </row>
    <row r="2429" spans="1:6" x14ac:dyDescent="0.45">
      <c r="A2429" s="53" t="s">
        <v>6075</v>
      </c>
      <c r="B2429" s="54" t="s">
        <v>6076</v>
      </c>
    </row>
    <row r="2430" spans="1:6" x14ac:dyDescent="0.45">
      <c r="A2430" s="53" t="s">
        <v>6455</v>
      </c>
      <c r="B2430" s="54" t="s">
        <v>6456</v>
      </c>
    </row>
    <row r="2431" spans="1:6" x14ac:dyDescent="0.45">
      <c r="A2431" s="53" t="s">
        <v>6859</v>
      </c>
      <c r="B2431" s="54" t="s">
        <v>6860</v>
      </c>
    </row>
    <row r="2432" spans="1:6" x14ac:dyDescent="0.45">
      <c r="A2432" s="53" t="s">
        <v>7087</v>
      </c>
      <c r="B2432" s="54" t="s">
        <v>7088</v>
      </c>
    </row>
    <row r="2433" spans="1:5" x14ac:dyDescent="0.45">
      <c r="A2433" s="53" t="s">
        <v>7298</v>
      </c>
      <c r="B2433" s="54" t="s">
        <v>7299</v>
      </c>
    </row>
    <row r="2434" spans="1:5" x14ac:dyDescent="0.45">
      <c r="A2434" s="53" t="s">
        <v>7469</v>
      </c>
      <c r="B2434" s="54" t="s">
        <v>7470</v>
      </c>
    </row>
    <row r="2435" spans="1:5" x14ac:dyDescent="0.45">
      <c r="A2435" s="53" t="s">
        <v>7932</v>
      </c>
      <c r="B2435" s="54" t="s">
        <v>7933</v>
      </c>
    </row>
    <row r="2436" spans="1:5" x14ac:dyDescent="0.45">
      <c r="A2436" s="53" t="s">
        <v>8126</v>
      </c>
      <c r="B2436" s="54" t="s">
        <v>8127</v>
      </c>
    </row>
    <row r="2437" spans="1:5" x14ac:dyDescent="0.45">
      <c r="A2437" s="53" t="s">
        <v>3657</v>
      </c>
      <c r="B2437" s="54" t="s">
        <v>3658</v>
      </c>
    </row>
    <row r="2438" spans="1:5" x14ac:dyDescent="0.45">
      <c r="A2438" s="53" t="s">
        <v>3729</v>
      </c>
      <c r="B2438" s="54" t="s">
        <v>3730</v>
      </c>
      <c r="E2438" s="10"/>
    </row>
    <row r="2439" spans="1:5" x14ac:dyDescent="0.45">
      <c r="A2439" s="53" t="s">
        <v>3897</v>
      </c>
      <c r="B2439" s="54" t="s">
        <v>3898</v>
      </c>
    </row>
    <row r="2440" spans="1:5" x14ac:dyDescent="0.45">
      <c r="A2440" s="53" t="s">
        <v>3907</v>
      </c>
      <c r="B2440" s="54" t="s">
        <v>3908</v>
      </c>
      <c r="E2440" s="10"/>
    </row>
    <row r="2441" spans="1:5" x14ac:dyDescent="0.45">
      <c r="A2441" s="53" t="s">
        <v>4001</v>
      </c>
      <c r="B2441" s="54" t="s">
        <v>4002</v>
      </c>
    </row>
    <row r="2442" spans="1:5" x14ac:dyDescent="0.45">
      <c r="A2442" s="53" t="s">
        <v>4195</v>
      </c>
      <c r="B2442" s="54" t="s">
        <v>4196</v>
      </c>
    </row>
    <row r="2443" spans="1:5" x14ac:dyDescent="0.45">
      <c r="A2443" s="53" t="s">
        <v>4198</v>
      </c>
      <c r="B2443" s="54" t="s">
        <v>4199</v>
      </c>
    </row>
    <row r="2444" spans="1:5" x14ac:dyDescent="0.45">
      <c r="A2444" s="53" t="s">
        <v>4441</v>
      </c>
      <c r="B2444" s="54" t="s">
        <v>4442</v>
      </c>
    </row>
    <row r="2445" spans="1:5" x14ac:dyDescent="0.45">
      <c r="A2445" s="53" t="s">
        <v>4504</v>
      </c>
      <c r="B2445" s="54" t="s">
        <v>4505</v>
      </c>
    </row>
    <row r="2446" spans="1:5" x14ac:dyDescent="0.45">
      <c r="A2446" s="53" t="s">
        <v>4506</v>
      </c>
      <c r="B2446" s="54" t="s">
        <v>4507</v>
      </c>
    </row>
    <row r="2447" spans="1:5" x14ac:dyDescent="0.45">
      <c r="A2447" s="53" t="s">
        <v>4546</v>
      </c>
      <c r="B2447" s="54" t="s">
        <v>4547</v>
      </c>
    </row>
    <row r="2448" spans="1:5" x14ac:dyDescent="0.45">
      <c r="A2448" s="53" t="s">
        <v>4969</v>
      </c>
      <c r="B2448" s="54" t="s">
        <v>4970</v>
      </c>
      <c r="C2448" s="11"/>
    </row>
    <row r="2449" spans="1:3" x14ac:dyDescent="0.45">
      <c r="A2449" s="53" t="s">
        <v>4976</v>
      </c>
      <c r="B2449" s="54" t="s">
        <v>4977</v>
      </c>
      <c r="C2449" s="11"/>
    </row>
    <row r="2450" spans="1:3" x14ac:dyDescent="0.45">
      <c r="A2450" s="53" t="s">
        <v>5056</v>
      </c>
      <c r="B2450" s="54" t="s">
        <v>5057</v>
      </c>
    </row>
    <row r="2451" spans="1:3" x14ac:dyDescent="0.45">
      <c r="A2451" s="53" t="s">
        <v>5596</v>
      </c>
      <c r="B2451" s="54" t="s">
        <v>5597</v>
      </c>
    </row>
    <row r="2452" spans="1:3" x14ac:dyDescent="0.45">
      <c r="A2452" s="53" t="s">
        <v>5676</v>
      </c>
      <c r="B2452" s="54" t="s">
        <v>5677</v>
      </c>
    </row>
    <row r="2453" spans="1:3" x14ac:dyDescent="0.45">
      <c r="A2453" s="53" t="s">
        <v>5793</v>
      </c>
      <c r="B2453" s="54" t="s">
        <v>5794</v>
      </c>
    </row>
    <row r="2454" spans="1:3" x14ac:dyDescent="0.45">
      <c r="A2454" s="53" t="s">
        <v>5830</v>
      </c>
      <c r="B2454" s="54" t="s">
        <v>5831</v>
      </c>
    </row>
    <row r="2455" spans="1:3" x14ac:dyDescent="0.45">
      <c r="A2455" s="53" t="s">
        <v>5870</v>
      </c>
      <c r="B2455" s="54" t="s">
        <v>5871</v>
      </c>
    </row>
    <row r="2456" spans="1:3" x14ac:dyDescent="0.45">
      <c r="A2456" s="53" t="s">
        <v>5950</v>
      </c>
      <c r="B2456" s="54" t="s">
        <v>5951</v>
      </c>
    </row>
    <row r="2457" spans="1:3" x14ac:dyDescent="0.45">
      <c r="A2457" s="53" t="s">
        <v>6136</v>
      </c>
      <c r="B2457" s="54" t="s">
        <v>6137</v>
      </c>
    </row>
    <row r="2458" spans="1:3" x14ac:dyDescent="0.45">
      <c r="A2458" s="53" t="s">
        <v>7292</v>
      </c>
      <c r="B2458" s="54" t="s">
        <v>7293</v>
      </c>
    </row>
    <row r="2459" spans="1:3" x14ac:dyDescent="0.45">
      <c r="A2459" s="53" t="s">
        <v>7294</v>
      </c>
      <c r="B2459" s="54" t="s">
        <v>7295</v>
      </c>
    </row>
    <row r="2460" spans="1:3" x14ac:dyDescent="0.45">
      <c r="A2460" s="53" t="s">
        <v>5712</v>
      </c>
      <c r="B2460" s="54" t="s">
        <v>5713</v>
      </c>
    </row>
    <row r="2461" spans="1:3" x14ac:dyDescent="0.45">
      <c r="A2461" s="53" t="s">
        <v>6440</v>
      </c>
      <c r="B2461" s="54" t="s">
        <v>6441</v>
      </c>
    </row>
    <row r="2462" spans="1:3" x14ac:dyDescent="0.45">
      <c r="A2462" s="53" t="s">
        <v>4839</v>
      </c>
      <c r="B2462" s="54" t="s">
        <v>4840</v>
      </c>
    </row>
    <row r="2463" spans="1:3" x14ac:dyDescent="0.45">
      <c r="A2463" s="53" t="s">
        <v>5936</v>
      </c>
      <c r="B2463" s="54" t="s">
        <v>5937</v>
      </c>
    </row>
    <row r="2464" spans="1:3" x14ac:dyDescent="0.45">
      <c r="A2464" s="53" t="s">
        <v>7544</v>
      </c>
      <c r="B2464" s="54" t="s">
        <v>7545</v>
      </c>
    </row>
    <row r="2465" spans="1:6" x14ac:dyDescent="0.45">
      <c r="A2465" s="53" t="s">
        <v>4078</v>
      </c>
      <c r="B2465" s="54" t="s">
        <v>4079</v>
      </c>
    </row>
    <row r="2466" spans="1:6" x14ac:dyDescent="0.45">
      <c r="A2466" s="53" t="s">
        <v>7068</v>
      </c>
      <c r="B2466" s="54" t="s">
        <v>7069</v>
      </c>
    </row>
    <row r="2467" spans="1:6" x14ac:dyDescent="0.45">
      <c r="A2467" s="53" t="s">
        <v>4188</v>
      </c>
      <c r="B2467" s="54" t="s">
        <v>4189</v>
      </c>
    </row>
    <row r="2468" spans="1:6" x14ac:dyDescent="0.45">
      <c r="A2468" s="53" t="s">
        <v>5843</v>
      </c>
      <c r="B2468" s="54" t="s">
        <v>5844</v>
      </c>
    </row>
    <row r="2469" spans="1:6" x14ac:dyDescent="0.45">
      <c r="A2469" s="53" t="s">
        <v>4258</v>
      </c>
      <c r="B2469" s="54" t="s">
        <v>4259</v>
      </c>
    </row>
    <row r="2470" spans="1:6" x14ac:dyDescent="0.45">
      <c r="A2470" s="53" t="s">
        <v>4261</v>
      </c>
      <c r="B2470" s="54" t="s">
        <v>4262</v>
      </c>
    </row>
    <row r="2471" spans="1:6" x14ac:dyDescent="0.45">
      <c r="A2471" s="53" t="s">
        <v>4205</v>
      </c>
      <c r="B2471" s="54" t="s">
        <v>4206</v>
      </c>
    </row>
    <row r="2472" spans="1:6" x14ac:dyDescent="0.45">
      <c r="A2472" s="53" t="s">
        <v>4963</v>
      </c>
      <c r="B2472" s="54" t="s">
        <v>4964</v>
      </c>
      <c r="C2472" s="11"/>
    </row>
    <row r="2473" spans="1:6" x14ac:dyDescent="0.45">
      <c r="A2473" s="53" t="s">
        <v>3700</v>
      </c>
      <c r="B2473" s="54" t="s">
        <v>3701</v>
      </c>
      <c r="E2473" s="10"/>
    </row>
    <row r="2474" spans="1:6" x14ac:dyDescent="0.45">
      <c r="A2474" s="53" t="s">
        <v>4755</v>
      </c>
      <c r="B2474" s="54" t="s">
        <v>4756</v>
      </c>
    </row>
    <row r="2475" spans="1:6" x14ac:dyDescent="0.45">
      <c r="A2475" s="53" t="s">
        <v>6487</v>
      </c>
      <c r="B2475" s="54" t="s">
        <v>6488</v>
      </c>
    </row>
    <row r="2476" spans="1:6" x14ac:dyDescent="0.45">
      <c r="A2476" s="53" t="s">
        <v>4988</v>
      </c>
      <c r="B2476" s="54" t="s">
        <v>4989</v>
      </c>
    </row>
    <row r="2477" spans="1:6" x14ac:dyDescent="0.45">
      <c r="A2477" s="53" t="s">
        <v>7557</v>
      </c>
      <c r="B2477" s="54" t="s">
        <v>7558</v>
      </c>
    </row>
    <row r="2478" spans="1:6" x14ac:dyDescent="0.45">
      <c r="B2478" s="54" t="s">
        <v>3636</v>
      </c>
      <c r="E2478" s="10"/>
      <c r="F2478" s="10"/>
    </row>
    <row r="2479" spans="1:6" x14ac:dyDescent="0.45">
      <c r="B2479" s="54" t="s">
        <v>3637</v>
      </c>
      <c r="E2479" s="10"/>
    </row>
    <row r="2480" spans="1:6" x14ac:dyDescent="0.45">
      <c r="B2480" s="54" t="s">
        <v>3638</v>
      </c>
      <c r="E2480" s="10"/>
      <c r="F2480" s="10"/>
    </row>
    <row r="2481" spans="2:6" x14ac:dyDescent="0.45">
      <c r="B2481" s="54" t="s">
        <v>3639</v>
      </c>
      <c r="E2481" s="10"/>
      <c r="F2481" s="10"/>
    </row>
    <row r="2482" spans="2:6" x14ac:dyDescent="0.45">
      <c r="B2482" s="54" t="s">
        <v>3640</v>
      </c>
      <c r="E2482" s="10"/>
      <c r="F2482" s="10"/>
    </row>
    <row r="2483" spans="2:6" x14ac:dyDescent="0.45">
      <c r="B2483" s="54" t="s">
        <v>3641</v>
      </c>
      <c r="E2483" s="10"/>
      <c r="F2483" s="10"/>
    </row>
    <row r="2484" spans="2:6" x14ac:dyDescent="0.45">
      <c r="B2484" s="54" t="s">
        <v>3642</v>
      </c>
      <c r="E2484" s="10"/>
      <c r="F2484" s="10"/>
    </row>
    <row r="2485" spans="2:6" x14ac:dyDescent="0.45">
      <c r="B2485" s="54" t="s">
        <v>3643</v>
      </c>
      <c r="E2485" s="10"/>
      <c r="F2485" s="10"/>
    </row>
    <row r="2486" spans="2:6" x14ac:dyDescent="0.45">
      <c r="B2486" s="54" t="s">
        <v>3644</v>
      </c>
      <c r="E2486" s="10"/>
      <c r="F2486" s="10"/>
    </row>
    <row r="2487" spans="2:6" x14ac:dyDescent="0.45">
      <c r="B2487" s="54" t="s">
        <v>3645</v>
      </c>
      <c r="E2487" s="10"/>
      <c r="F2487" s="10"/>
    </row>
    <row r="2488" spans="2:6" x14ac:dyDescent="0.45">
      <c r="B2488" s="54" t="s">
        <v>3646</v>
      </c>
      <c r="E2488" s="10"/>
      <c r="F2488" s="10"/>
    </row>
    <row r="2489" spans="2:6" x14ac:dyDescent="0.45">
      <c r="B2489" s="54" t="s">
        <v>3647</v>
      </c>
      <c r="E2489" s="10"/>
      <c r="F2489" s="10"/>
    </row>
    <row r="2490" spans="2:6" x14ac:dyDescent="0.45">
      <c r="B2490" s="54" t="s">
        <v>3648</v>
      </c>
      <c r="E2490" s="10"/>
      <c r="F2490" s="10"/>
    </row>
    <row r="2491" spans="2:6" x14ac:dyDescent="0.45">
      <c r="B2491" s="54" t="s">
        <v>3649</v>
      </c>
      <c r="E2491" s="10"/>
      <c r="F2491" s="10"/>
    </row>
    <row r="2492" spans="2:6" x14ac:dyDescent="0.45">
      <c r="B2492" s="54" t="s">
        <v>3650</v>
      </c>
      <c r="E2492" s="10"/>
      <c r="F2492" s="10"/>
    </row>
    <row r="2493" spans="2:6" x14ac:dyDescent="0.45">
      <c r="B2493" s="54" t="s">
        <v>3651</v>
      </c>
      <c r="F2493" s="10"/>
    </row>
    <row r="2494" spans="2:6" x14ac:dyDescent="0.45">
      <c r="B2494" s="54" t="s">
        <v>3652</v>
      </c>
      <c r="F2494" s="10"/>
    </row>
    <row r="2495" spans="2:6" x14ac:dyDescent="0.45">
      <c r="B2495" s="54" t="s">
        <v>3653</v>
      </c>
      <c r="E2495" s="10"/>
      <c r="F2495" s="10"/>
    </row>
    <row r="2496" spans="2:6" x14ac:dyDescent="0.45">
      <c r="B2496" s="54" t="s">
        <v>3654</v>
      </c>
      <c r="E2496" s="10"/>
      <c r="F2496" s="10"/>
    </row>
    <row r="2497" spans="2:6" x14ac:dyDescent="0.45">
      <c r="B2497" s="54" t="s">
        <v>3655</v>
      </c>
      <c r="E2497" s="10"/>
      <c r="F2497" s="10"/>
    </row>
    <row r="2498" spans="2:6" x14ac:dyDescent="0.45">
      <c r="B2498" s="54" t="s">
        <v>3656</v>
      </c>
    </row>
    <row r="2499" spans="2:6" x14ac:dyDescent="0.45">
      <c r="B2499" s="54" t="s">
        <v>3801</v>
      </c>
      <c r="E2499" s="10"/>
    </row>
    <row r="2500" spans="2:6" x14ac:dyDescent="0.45">
      <c r="B2500" s="54" t="s">
        <v>3809</v>
      </c>
    </row>
    <row r="2501" spans="2:6" x14ac:dyDescent="0.45">
      <c r="B2501" s="54" t="s">
        <v>3810</v>
      </c>
      <c r="F2501" s="10"/>
    </row>
    <row r="2502" spans="2:6" x14ac:dyDescent="0.45">
      <c r="B2502" s="54" t="s">
        <v>3811</v>
      </c>
      <c r="E2502" s="10"/>
    </row>
    <row r="2503" spans="2:6" x14ac:dyDescent="0.45">
      <c r="B2503" s="54" t="s">
        <v>3812</v>
      </c>
    </row>
    <row r="2504" spans="2:6" x14ac:dyDescent="0.45">
      <c r="B2504" s="54" t="s">
        <v>3813</v>
      </c>
    </row>
    <row r="2505" spans="2:6" x14ac:dyDescent="0.45">
      <c r="B2505" s="54" t="s">
        <v>3814</v>
      </c>
      <c r="E2505" s="10"/>
    </row>
    <row r="2506" spans="2:6" x14ac:dyDescent="0.45">
      <c r="B2506" s="54" t="s">
        <v>3815</v>
      </c>
      <c r="E2506" s="10"/>
    </row>
    <row r="2507" spans="2:6" x14ac:dyDescent="0.45">
      <c r="B2507" s="54" t="s">
        <v>3816</v>
      </c>
      <c r="E2507" s="10"/>
    </row>
    <row r="2508" spans="2:6" x14ac:dyDescent="0.45">
      <c r="B2508" s="54" t="s">
        <v>3817</v>
      </c>
    </row>
    <row r="2509" spans="2:6" x14ac:dyDescent="0.45">
      <c r="B2509" s="54" t="s">
        <v>3818</v>
      </c>
    </row>
    <row r="2510" spans="2:6" x14ac:dyDescent="0.45">
      <c r="B2510" s="54" t="s">
        <v>3819</v>
      </c>
      <c r="F2510" s="10"/>
    </row>
    <row r="2511" spans="2:6" x14ac:dyDescent="0.45">
      <c r="B2511" s="54" t="s">
        <v>3820</v>
      </c>
    </row>
    <row r="2512" spans="2:6" x14ac:dyDescent="0.45">
      <c r="B2512" s="54" t="s">
        <v>3821</v>
      </c>
    </row>
    <row r="2513" spans="2:6" x14ac:dyDescent="0.45">
      <c r="B2513" s="54" t="s">
        <v>3822</v>
      </c>
    </row>
    <row r="2514" spans="2:6" x14ac:dyDescent="0.45">
      <c r="B2514" s="54" t="s">
        <v>3823</v>
      </c>
    </row>
    <row r="2515" spans="2:6" x14ac:dyDescent="0.45">
      <c r="B2515" s="54" t="s">
        <v>3824</v>
      </c>
    </row>
    <row r="2516" spans="2:6" x14ac:dyDescent="0.45">
      <c r="B2516" s="54" t="s">
        <v>3847</v>
      </c>
      <c r="F2516" s="10"/>
    </row>
    <row r="2517" spans="2:6" x14ac:dyDescent="0.45">
      <c r="B2517" s="54" t="s">
        <v>3882</v>
      </c>
      <c r="E2517" s="10"/>
    </row>
    <row r="2518" spans="2:6" x14ac:dyDescent="0.45">
      <c r="B2518" s="54" t="s">
        <v>3890</v>
      </c>
    </row>
    <row r="2519" spans="2:6" x14ac:dyDescent="0.45">
      <c r="B2519" s="54" t="s">
        <v>3953</v>
      </c>
    </row>
    <row r="2520" spans="2:6" x14ac:dyDescent="0.45">
      <c r="B2520" s="54" t="s">
        <v>3962</v>
      </c>
      <c r="E2520" s="10"/>
    </row>
    <row r="2521" spans="2:6" x14ac:dyDescent="0.45">
      <c r="B2521" s="54" t="s">
        <v>4094</v>
      </c>
      <c r="F2521" s="10"/>
    </row>
    <row r="2522" spans="2:6" x14ac:dyDescent="0.45">
      <c r="B2522" s="54" t="s">
        <v>4240</v>
      </c>
    </row>
    <row r="2523" spans="2:6" x14ac:dyDescent="0.45">
      <c r="B2523" s="54" t="s">
        <v>4742</v>
      </c>
    </row>
    <row r="2524" spans="2:6" x14ac:dyDescent="0.45">
      <c r="B2524" s="54" t="s">
        <v>4754</v>
      </c>
    </row>
    <row r="2525" spans="2:6" x14ac:dyDescent="0.45">
      <c r="B2525" s="54" t="s">
        <v>4962</v>
      </c>
      <c r="C2525" s="11"/>
    </row>
    <row r="2526" spans="2:6" x14ac:dyDescent="0.45">
      <c r="B2526" s="54" t="s">
        <v>4990</v>
      </c>
    </row>
    <row r="2527" spans="2:6" x14ac:dyDescent="0.45">
      <c r="B2527" s="54" t="s">
        <v>5149</v>
      </c>
    </row>
    <row r="2528" spans="2:6" x14ac:dyDescent="0.45">
      <c r="B2528" s="54" t="s">
        <v>5340</v>
      </c>
    </row>
    <row r="2529" spans="2:2" x14ac:dyDescent="0.45">
      <c r="B2529" s="54" t="s">
        <v>5347</v>
      </c>
    </row>
    <row r="2530" spans="2:2" x14ac:dyDescent="0.45">
      <c r="B2530" s="54" t="s">
        <v>5398</v>
      </c>
    </row>
    <row r="2531" spans="2:2" x14ac:dyDescent="0.45">
      <c r="B2531" s="54" t="s">
        <v>5412</v>
      </c>
    </row>
    <row r="2532" spans="2:2" x14ac:dyDescent="0.45">
      <c r="B2532" s="54" t="s">
        <v>5418</v>
      </c>
    </row>
    <row r="2533" spans="2:2" x14ac:dyDescent="0.45">
      <c r="B2533" s="54" t="s">
        <v>5424</v>
      </c>
    </row>
    <row r="2534" spans="2:2" x14ac:dyDescent="0.45">
      <c r="B2534" s="54" t="s">
        <v>5429</v>
      </c>
    </row>
    <row r="2535" spans="2:2" x14ac:dyDescent="0.45">
      <c r="B2535" s="54" t="s">
        <v>5560</v>
      </c>
    </row>
    <row r="2536" spans="2:2" x14ac:dyDescent="0.45">
      <c r="B2536" s="54" t="s">
        <v>5956</v>
      </c>
    </row>
    <row r="2537" spans="2:2" x14ac:dyDescent="0.45">
      <c r="B2537" s="54" t="s">
        <v>5960</v>
      </c>
    </row>
    <row r="2538" spans="2:2" x14ac:dyDescent="0.45">
      <c r="B2538" s="54" t="s">
        <v>6155</v>
      </c>
    </row>
    <row r="2539" spans="2:2" x14ac:dyDescent="0.45">
      <c r="B2539" s="54" t="s">
        <v>6216</v>
      </c>
    </row>
    <row r="2540" spans="2:2" x14ac:dyDescent="0.45">
      <c r="B2540" s="54" t="s">
        <v>6257</v>
      </c>
    </row>
    <row r="2541" spans="2:2" x14ac:dyDescent="0.45">
      <c r="B2541" s="54" t="s">
        <v>6432</v>
      </c>
    </row>
    <row r="2542" spans="2:2" x14ac:dyDescent="0.45">
      <c r="B2542" s="54" t="s">
        <v>6514</v>
      </c>
    </row>
    <row r="2543" spans="2:2" x14ac:dyDescent="0.45">
      <c r="B2543" s="54" t="s">
        <v>6515</v>
      </c>
    </row>
    <row r="2544" spans="2:2" x14ac:dyDescent="0.45">
      <c r="B2544" s="54" t="s">
        <v>6518</v>
      </c>
    </row>
    <row r="2545" spans="2:2" x14ac:dyDescent="0.45">
      <c r="B2545" s="54" t="s">
        <v>6519</v>
      </c>
    </row>
    <row r="2546" spans="2:2" x14ac:dyDescent="0.45">
      <c r="B2546" s="54" t="s">
        <v>6522</v>
      </c>
    </row>
    <row r="2547" spans="2:2" x14ac:dyDescent="0.45">
      <c r="B2547" s="54" t="s">
        <v>6550</v>
      </c>
    </row>
    <row r="2548" spans="2:2" x14ac:dyDescent="0.45">
      <c r="B2548" s="54" t="s">
        <v>6612</v>
      </c>
    </row>
    <row r="2549" spans="2:2" x14ac:dyDescent="0.45">
      <c r="B2549" s="54" t="s">
        <v>6613</v>
      </c>
    </row>
    <row r="2550" spans="2:2" x14ac:dyDescent="0.45">
      <c r="B2550" s="54" t="s">
        <v>6617</v>
      </c>
    </row>
    <row r="2551" spans="2:2" x14ac:dyDescent="0.45">
      <c r="B2551" s="54" t="s">
        <v>6618</v>
      </c>
    </row>
    <row r="2552" spans="2:2" x14ac:dyDescent="0.45">
      <c r="B2552" s="54" t="s">
        <v>6742</v>
      </c>
    </row>
    <row r="2553" spans="2:2" x14ac:dyDescent="0.45">
      <c r="B2553" s="54" t="s">
        <v>6995</v>
      </c>
    </row>
    <row r="2554" spans="2:2" x14ac:dyDescent="0.45">
      <c r="B2554" s="54" t="s">
        <v>7026</v>
      </c>
    </row>
    <row r="2555" spans="2:2" x14ac:dyDescent="0.45">
      <c r="B2555" s="54" t="s">
        <v>7183</v>
      </c>
    </row>
    <row r="2556" spans="2:2" x14ac:dyDescent="0.45">
      <c r="B2556" s="54" t="s">
        <v>7184</v>
      </c>
    </row>
    <row r="2557" spans="2:2" x14ac:dyDescent="0.45">
      <c r="B2557" s="54" t="s">
        <v>7239</v>
      </c>
    </row>
    <row r="2558" spans="2:2" x14ac:dyDescent="0.45">
      <c r="B2558" s="54" t="s">
        <v>7338</v>
      </c>
    </row>
    <row r="2559" spans="2:2" x14ac:dyDescent="0.45">
      <c r="B2559" s="54" t="s">
        <v>7354</v>
      </c>
    </row>
    <row r="2560" spans="2:2" x14ac:dyDescent="0.45">
      <c r="B2560" s="54" t="s">
        <v>7355</v>
      </c>
    </row>
    <row r="2561" spans="2:2" x14ac:dyDescent="0.45">
      <c r="B2561" s="54" t="s">
        <v>7356</v>
      </c>
    </row>
    <row r="2562" spans="2:2" x14ac:dyDescent="0.45">
      <c r="B2562" s="54" t="s">
        <v>7357</v>
      </c>
    </row>
    <row r="2563" spans="2:2" x14ac:dyDescent="0.45">
      <c r="B2563" s="54" t="s">
        <v>7358</v>
      </c>
    </row>
    <row r="2564" spans="2:2" x14ac:dyDescent="0.45">
      <c r="B2564" s="54" t="s">
        <v>7359</v>
      </c>
    </row>
    <row r="2565" spans="2:2" x14ac:dyDescent="0.45">
      <c r="B2565" s="54" t="s">
        <v>7360</v>
      </c>
    </row>
    <row r="2566" spans="2:2" x14ac:dyDescent="0.45">
      <c r="B2566" s="54" t="s">
        <v>7361</v>
      </c>
    </row>
    <row r="2567" spans="2:2" x14ac:dyDescent="0.45">
      <c r="B2567" s="54" t="s">
        <v>7362</v>
      </c>
    </row>
    <row r="2568" spans="2:2" x14ac:dyDescent="0.45">
      <c r="B2568" s="54" t="s">
        <v>7363</v>
      </c>
    </row>
    <row r="2569" spans="2:2" x14ac:dyDescent="0.45">
      <c r="B2569" s="54" t="s">
        <v>7364</v>
      </c>
    </row>
    <row r="2570" spans="2:2" x14ac:dyDescent="0.45">
      <c r="B2570" s="54" t="s">
        <v>7415</v>
      </c>
    </row>
    <row r="2571" spans="2:2" x14ac:dyDescent="0.45">
      <c r="B2571" s="54" t="s">
        <v>7561</v>
      </c>
    </row>
    <row r="2572" spans="2:2" x14ac:dyDescent="0.45">
      <c r="B2572" s="54" t="s">
        <v>7564</v>
      </c>
    </row>
    <row r="2573" spans="2:2" x14ac:dyDescent="0.45">
      <c r="B2573" s="54" t="s">
        <v>7691</v>
      </c>
    </row>
    <row r="2574" spans="2:2" x14ac:dyDescent="0.45">
      <c r="B2574" s="54" t="s">
        <v>7692</v>
      </c>
    </row>
    <row r="2575" spans="2:2" x14ac:dyDescent="0.45">
      <c r="B2575" s="54" t="s">
        <v>7693</v>
      </c>
    </row>
    <row r="2576" spans="2:2" x14ac:dyDescent="0.45">
      <c r="B2576" s="54" t="s">
        <v>7694</v>
      </c>
    </row>
    <row r="2577" spans="2:2" x14ac:dyDescent="0.45">
      <c r="B2577" s="54" t="s">
        <v>7695</v>
      </c>
    </row>
    <row r="2578" spans="2:2" x14ac:dyDescent="0.45">
      <c r="B2578" s="54" t="s">
        <v>7696</v>
      </c>
    </row>
    <row r="2579" spans="2:2" x14ac:dyDescent="0.45">
      <c r="B2579" s="54" t="s">
        <v>7765</v>
      </c>
    </row>
    <row r="2580" spans="2:2" x14ac:dyDescent="0.45">
      <c r="B2580" s="54" t="s">
        <v>7793</v>
      </c>
    </row>
    <row r="2581" spans="2:2" x14ac:dyDescent="0.45">
      <c r="B2581" s="54" t="s">
        <v>7796</v>
      </c>
    </row>
    <row r="2582" spans="2:2" x14ac:dyDescent="0.45">
      <c r="B2582" s="54" t="s">
        <v>7797</v>
      </c>
    </row>
    <row r="2583" spans="2:2" x14ac:dyDescent="0.45">
      <c r="B2583" s="54" t="s">
        <v>7798</v>
      </c>
    </row>
    <row r="2584" spans="2:2" x14ac:dyDescent="0.45">
      <c r="B2584" s="54" t="s">
        <v>7799</v>
      </c>
    </row>
    <row r="2585" spans="2:2" x14ac:dyDescent="0.45">
      <c r="B2585" s="54" t="s">
        <v>7800</v>
      </c>
    </row>
    <row r="2586" spans="2:2" x14ac:dyDescent="0.45">
      <c r="B2586" s="54" t="s">
        <v>7801</v>
      </c>
    </row>
    <row r="2587" spans="2:2" x14ac:dyDescent="0.45">
      <c r="B2587" s="54" t="s">
        <v>7802</v>
      </c>
    </row>
    <row r="2588" spans="2:2" x14ac:dyDescent="0.45">
      <c r="B2588" s="54" t="s">
        <v>7803</v>
      </c>
    </row>
    <row r="2589" spans="2:2" x14ac:dyDescent="0.45">
      <c r="B2589" s="54" t="s">
        <v>7804</v>
      </c>
    </row>
    <row r="2590" spans="2:2" x14ac:dyDescent="0.45">
      <c r="B2590" s="54" t="s">
        <v>7805</v>
      </c>
    </row>
    <row r="2591" spans="2:2" x14ac:dyDescent="0.45">
      <c r="B2591" s="54" t="s">
        <v>7806</v>
      </c>
    </row>
    <row r="2592" spans="2:2" x14ac:dyDescent="0.45">
      <c r="B2592" s="54" t="s">
        <v>7807</v>
      </c>
    </row>
    <row r="2593" spans="2:2" x14ac:dyDescent="0.45">
      <c r="B2593" s="54" t="s">
        <v>7808</v>
      </c>
    </row>
    <row r="2594" spans="2:2" x14ac:dyDescent="0.45">
      <c r="B2594" s="54" t="s">
        <v>7809</v>
      </c>
    </row>
    <row r="2595" spans="2:2" x14ac:dyDescent="0.45">
      <c r="B2595" s="54" t="s">
        <v>7810</v>
      </c>
    </row>
    <row r="2596" spans="2:2" x14ac:dyDescent="0.45">
      <c r="B2596" s="54" t="s">
        <v>7811</v>
      </c>
    </row>
    <row r="2597" spans="2:2" x14ac:dyDescent="0.45">
      <c r="B2597" s="54" t="s">
        <v>7812</v>
      </c>
    </row>
    <row r="2598" spans="2:2" x14ac:dyDescent="0.45">
      <c r="B2598" s="54" t="s">
        <v>7813</v>
      </c>
    </row>
    <row r="2599" spans="2:2" x14ac:dyDescent="0.45">
      <c r="B2599" s="54" t="s">
        <v>8019</v>
      </c>
    </row>
    <row r="2600" spans="2:2" x14ac:dyDescent="0.45">
      <c r="B2600" s="54" t="s">
        <v>8020</v>
      </c>
    </row>
    <row r="2601" spans="2:2" x14ac:dyDescent="0.45">
      <c r="B2601" s="54" t="s">
        <v>8021</v>
      </c>
    </row>
    <row r="2602" spans="2:2" x14ac:dyDescent="0.45">
      <c r="B2602" s="54" t="s">
        <v>8108</v>
      </c>
    </row>
    <row r="2603" spans="2:2" x14ac:dyDescent="0.45">
      <c r="B2603" s="54" t="s">
        <v>8270</v>
      </c>
    </row>
    <row r="2604" spans="2:2" x14ac:dyDescent="0.45">
      <c r="B2604" s="54" t="s">
        <v>8328</v>
      </c>
    </row>
    <row r="2605" spans="2:2" x14ac:dyDescent="0.45">
      <c r="B2605" s="54" t="s">
        <v>8347</v>
      </c>
    </row>
    <row r="2606" spans="2:2" x14ac:dyDescent="0.45">
      <c r="B2606" s="54" t="s">
        <v>8348</v>
      </c>
    </row>
    <row r="2607" spans="2:2" x14ac:dyDescent="0.45">
      <c r="B2607" s="54" t="s">
        <v>8349</v>
      </c>
    </row>
    <row r="2608" spans="2:2" x14ac:dyDescent="0.45">
      <c r="B2608" s="54" t="s">
        <v>8370</v>
      </c>
    </row>
    <row r="2789" spans="5:5" x14ac:dyDescent="0.45">
      <c r="E2789" s="9"/>
    </row>
  </sheetData>
  <sortState ref="A2:H2608">
    <sortCondition ref="C2:C2608"/>
  </sortState>
  <customSheetViews>
    <customSheetView guid="{F9B45C10-3ABA-4AFD-861C-93BE5D0D4A37}" scale="99" topLeftCell="A69">
      <selection activeCell="D74" sqref="D74"/>
      <pageMargins left="0.7" right="0.7" top="0.75" bottom="0.75" header="0.3" footer="0.3"/>
      <pageSetup paperSize="9" orientation="portrait" r:id="rId1"/>
    </customSheetView>
  </customSheetViews>
  <hyperlinks>
    <hyperlink ref="E576" r:id="rId2" xr:uid="{48E4D398-A694-405F-8813-87C94C815346}"/>
    <hyperlink ref="E577" r:id="rId3" xr:uid="{BDE921A9-3722-4362-BF0D-491597EA3AF6}"/>
    <hyperlink ref="E578" r:id="rId4" xr:uid="{CF209248-AFB7-4E95-B50A-8095D8830496}"/>
    <hyperlink ref="E579" r:id="rId5" xr:uid="{A410D6DF-79FD-4EF0-8153-109F8683B902}"/>
    <hyperlink ref="E580" r:id="rId6" xr:uid="{732270F1-1180-49FA-8149-2070E0B9C2F6}"/>
    <hyperlink ref="E581" r:id="rId7" xr:uid="{87B9542B-EF06-46F8-8A78-58A145392FE6}"/>
    <hyperlink ref="F577" r:id="rId8" xr:uid="{4020AF25-490D-4309-9237-0069DC923F49}"/>
    <hyperlink ref="F576" r:id="rId9" xr:uid="{F79CFB6E-651F-4BCB-B302-2891486B7528}"/>
    <hyperlink ref="F579" r:id="rId10" xr:uid="{1518DEB7-B8AC-4F33-84C5-F49CBE1C4527}"/>
    <hyperlink ref="F578" r:id="rId11" xr:uid="{41E9A652-7B09-4600-AA29-9F8DE961A308}"/>
    <hyperlink ref="F581" r:id="rId12" xr:uid="{1961C5D6-D5D5-49DB-823C-BD06BF690B71}"/>
    <hyperlink ref="E352" r:id="rId13" xr:uid="{E0EBE385-C46F-4E8E-AE10-10344EE82B89}"/>
    <hyperlink ref="E35:E39" r:id="rId14" display="https://www.genome.jp/entry/2.4.2.8" xr:uid="{57A55776-E942-477C-96AF-DBCFA3A3CC6A}"/>
    <hyperlink ref="F352" r:id="rId15" xr:uid="{AE9BC303-3357-4232-9B08-3DFB41FD9DEE}"/>
    <hyperlink ref="F353" r:id="rId16" xr:uid="{DA7F8E40-4513-4FE3-8CDD-59040786B66F}"/>
    <hyperlink ref="F354" r:id="rId17" xr:uid="{E8083294-FFCB-4B2A-B623-F024FCF58EAB}"/>
    <hyperlink ref="F355" r:id="rId18" xr:uid="{B58600D4-7305-4552-9F02-1FCB10EF24D1}"/>
    <hyperlink ref="F356" r:id="rId19" xr:uid="{977E4647-70C0-4E3A-8FBB-500B5E2C6642}"/>
    <hyperlink ref="F357" r:id="rId20" xr:uid="{8E48D51C-C78B-4359-9368-B48780B9C510}"/>
    <hyperlink ref="E519" r:id="rId21" xr:uid="{38B9A576-0B85-4384-A3B0-1251692C4C1A}"/>
    <hyperlink ref="F519" r:id="rId22" xr:uid="{00177E42-6493-4E8A-B943-0E2549026122}"/>
    <hyperlink ref="E287" r:id="rId23" xr:uid="{C50C3925-BD3E-40DD-A3B6-529E10AADBB6}"/>
    <hyperlink ref="F287" r:id="rId24" xr:uid="{5A0DB456-7607-47E5-97C2-317ACE101DAB}"/>
    <hyperlink ref="E1051" r:id="rId25" xr:uid="{C1FA4AAD-08D3-4E11-9537-FECB6FB9DDDD}"/>
    <hyperlink ref="F1051" r:id="rId26" xr:uid="{AEE6EBDD-45E6-4962-8211-560628FDB121}"/>
    <hyperlink ref="E1082" r:id="rId27" xr:uid="{B7050CAF-AC34-4D2E-A03F-F5461DDA7E45}"/>
    <hyperlink ref="F1082" r:id="rId28" xr:uid="{5727ECE5-B20C-43EE-B035-BBD77C5078EA}"/>
    <hyperlink ref="E340" r:id="rId29" xr:uid="{584CF94F-65E7-41EE-8C0C-50B8966BD0A6}"/>
    <hyperlink ref="F340" r:id="rId30" xr:uid="{0A14440C-164B-4B5F-8FFF-E08AF7A0161F}"/>
    <hyperlink ref="E1055" r:id="rId31" xr:uid="{E60002F2-89CB-415F-BB60-F03E162D8599}"/>
    <hyperlink ref="F1055" r:id="rId32" xr:uid="{8BB507B0-A959-4AFA-8426-48237EFAEB6F}"/>
    <hyperlink ref="E207" r:id="rId33" xr:uid="{8BC1C6D8-BE43-45E3-9668-E8ABF5793DD0}"/>
    <hyperlink ref="F207" r:id="rId34" xr:uid="{054AD571-7188-48AC-B2D0-EC4AB7265C5F}"/>
    <hyperlink ref="E208" r:id="rId35" xr:uid="{D4F324A2-C96B-4D6B-82BF-964293DF226B}"/>
    <hyperlink ref="F208" r:id="rId36" xr:uid="{D59A692D-C7E5-451D-B3D5-B7CDA4819991}"/>
    <hyperlink ref="E209" r:id="rId37" xr:uid="{D9A5A594-F96A-40EB-8B97-30279E8FE603}"/>
    <hyperlink ref="F209" r:id="rId38" xr:uid="{834B4521-D910-4609-B4C7-C6140B02EB34}"/>
    <hyperlink ref="E818" r:id="rId39" xr:uid="{34ECD99A-F581-43AA-A0CC-857C9EABE7B0}"/>
    <hyperlink ref="F818" r:id="rId40" xr:uid="{7C3A0CAA-A728-45F0-983A-891311CD597F}"/>
    <hyperlink ref="E1057" r:id="rId41" xr:uid="{FB55EBD7-73A4-4553-AE62-E273B33C59BE}"/>
    <hyperlink ref="F1057" r:id="rId42" xr:uid="{C538E763-B969-4C94-BA3C-5CEAC90E2C56}"/>
    <hyperlink ref="E858" r:id="rId43" xr:uid="{353E7245-5CE3-42E5-B8AD-8D7A22187F1E}"/>
    <hyperlink ref="F858" r:id="rId44" xr:uid="{379C6BA9-9FC5-4ECB-876D-3A1509D52AB3}"/>
    <hyperlink ref="E990" r:id="rId45" xr:uid="{77A667F8-5502-4EDC-B4BC-5B0B461BC406}"/>
    <hyperlink ref="F990" r:id="rId46" xr:uid="{B201341E-EB34-4519-AFB7-A8A768D766B5}"/>
    <hyperlink ref="E1061" r:id="rId47" xr:uid="{1A32C07D-AD4B-49D2-AA0F-12D6F083FC67}"/>
    <hyperlink ref="F1061" r:id="rId48" xr:uid="{EBABC46B-78D2-4306-9CA5-E00DDEC29274}"/>
    <hyperlink ref="E937" r:id="rId49" xr:uid="{ECB6AFFC-A789-4145-8744-A67EEDC0831F}"/>
    <hyperlink ref="E938" r:id="rId50" xr:uid="{FA555D3B-6E5D-4A4F-8314-C31640D16325}"/>
    <hyperlink ref="E939" r:id="rId51" xr:uid="{412F4E80-444A-4B34-B61C-3E92A87B9DB7}"/>
    <hyperlink ref="F937" r:id="rId52" xr:uid="{564077A4-096E-4CA9-81A1-B0AD8907F8E0}"/>
    <hyperlink ref="F938" r:id="rId53" xr:uid="{F9DFB4E8-5C77-45AA-AC43-AEDA3BDBD924}"/>
    <hyperlink ref="F939" r:id="rId54" xr:uid="{AC96F31D-8B9C-4B36-AE66-7C94234FDFDD}"/>
    <hyperlink ref="E700" r:id="rId55" xr:uid="{7BF560B6-BD72-435D-8F88-4199376D2E45}"/>
    <hyperlink ref="F700" r:id="rId56" xr:uid="{B7330A13-841D-4B0F-B651-EDFAC50CD350}"/>
    <hyperlink ref="E29" r:id="rId57" xr:uid="{17F76226-2FBC-48CD-B475-E0C8F1857C26}"/>
    <hyperlink ref="E1522:E1539" r:id="rId58" display="https://www.genome.jp/entry/1.1.1.1" xr:uid="{469D54F4-407A-4527-868B-9E996CB76E48}"/>
    <hyperlink ref="F29" r:id="rId59" xr:uid="{7DA07DC4-463A-44BC-82D8-F2C9AB58FCE3}"/>
    <hyperlink ref="F30" r:id="rId60" xr:uid="{97AEDAED-2020-4589-AD67-D0901EAF3A98}"/>
    <hyperlink ref="F31" r:id="rId61" xr:uid="{3A8F1100-72C1-4EC4-BF13-060562B77B64}"/>
    <hyperlink ref="F32" r:id="rId62" xr:uid="{B62750D3-B4B2-4DE3-9256-425174085129}"/>
    <hyperlink ref="F33" r:id="rId63" xr:uid="{92398852-4C3B-4D5D-9329-9BB1547AE0CA}"/>
    <hyperlink ref="F34" r:id="rId64" xr:uid="{9F08CB08-07A9-4386-AB3B-CE5297E320E6}"/>
    <hyperlink ref="F35" r:id="rId65" xr:uid="{69F41B6F-F1CF-4FE8-8FD1-3EBD56355C02}"/>
    <hyperlink ref="F36" r:id="rId66" xr:uid="{356D1227-C7AD-4FD1-8AF0-E36CAFA72BEF}"/>
    <hyperlink ref="F37" r:id="rId67" xr:uid="{C2CCFF75-21AF-444B-96D4-BAB2DB6FCDDF}"/>
    <hyperlink ref="F38" r:id="rId68" xr:uid="{F0E21A70-2598-4CB5-8CBA-2265137A33C5}"/>
    <hyperlink ref="F39" r:id="rId69" xr:uid="{178C9E11-6F3E-42F9-801B-37AC84D69DBC}"/>
    <hyperlink ref="F40" r:id="rId70" xr:uid="{E93590EC-F854-457B-8EBB-20659C7F2861}"/>
    <hyperlink ref="F41" r:id="rId71" xr:uid="{5E9BE039-75E0-40FA-9155-F545A6632AAD}"/>
    <hyperlink ref="F42" r:id="rId72" xr:uid="{04E0466E-5731-44BD-8FEC-6078A1691D30}"/>
    <hyperlink ref="F43" r:id="rId73" xr:uid="{E0E0139C-9A69-4969-8400-D88DBADA79A7}"/>
    <hyperlink ref="F44" r:id="rId74" xr:uid="{4A45E38B-8838-438D-BC92-F02A2460ECD0}"/>
    <hyperlink ref="F45" r:id="rId75" xr:uid="{60AAABA1-A8D9-402E-940A-48369E508AF7}"/>
    <hyperlink ref="F46" r:id="rId76" xr:uid="{2E2F110B-B991-48ED-ADB2-8E7BBD39DBBA}"/>
    <hyperlink ref="F47" r:id="rId77" xr:uid="{39DDC18E-F69F-4289-A3DB-E9E0B2010BEB}"/>
    <hyperlink ref="E131" r:id="rId78" xr:uid="{1436F9BE-38A8-43E1-9E68-3EFE2770CE96}"/>
    <hyperlink ref="E132" r:id="rId79" xr:uid="{DB52BC81-EC64-40B0-A7B3-F3F90AFD8905}"/>
    <hyperlink ref="F131" r:id="rId80" xr:uid="{ED0ADB36-9905-4D5F-97B3-51DFE25DB261}"/>
    <hyperlink ref="F132" r:id="rId81" xr:uid="{8C8E83CF-4276-4F7D-A8F3-77A15B91FB2A}"/>
    <hyperlink ref="E10" r:id="rId82" xr:uid="{7A692C8D-49A7-470F-B1EE-7FA337972291}"/>
    <hyperlink ref="E11" r:id="rId83" xr:uid="{C65547F5-F75A-45CB-AC9D-79A2421564AE}"/>
    <hyperlink ref="E12" r:id="rId84" xr:uid="{4E85FCB3-7ADB-4826-BC43-82FE42823A0D}"/>
    <hyperlink ref="E13" r:id="rId85" xr:uid="{8E0CD9D5-7D4F-40CE-A584-382480E72FB6}"/>
    <hyperlink ref="E14" r:id="rId86" xr:uid="{48D4C5A1-D807-469F-A738-9D7AC95D7C3C}"/>
    <hyperlink ref="E15" r:id="rId87" xr:uid="{0BAD0AE1-8B74-4FDE-8A1E-A40BB0D59C23}"/>
    <hyperlink ref="E16" r:id="rId88" xr:uid="{AD664836-AAD9-49CE-BD8C-CC5BB035E8E0}"/>
    <hyperlink ref="E17" r:id="rId89" xr:uid="{90BE52E3-7176-450E-9847-91B3F8903218}"/>
    <hyperlink ref="E18" r:id="rId90" xr:uid="{E32E5330-FF1A-4754-A4DF-C4209B133019}"/>
    <hyperlink ref="E19" r:id="rId91" xr:uid="{BA825846-4620-4B82-92E8-3A1061567524}"/>
    <hyperlink ref="E20" r:id="rId92" xr:uid="{B037B6E1-8A88-4D64-B01D-62401AB0FE51}"/>
    <hyperlink ref="E21" r:id="rId93" xr:uid="{335409A2-19BE-4E62-94A5-27DF3812F734}"/>
    <hyperlink ref="E22" r:id="rId94" xr:uid="{ECC357D0-5CF3-4A2A-BCD9-3DCD62C35C8E}"/>
    <hyperlink ref="E23" r:id="rId95" xr:uid="{A3A0E286-6E28-4AE7-9E77-7498ECF1B8AA}"/>
    <hyperlink ref="E24" r:id="rId96" xr:uid="{0E407453-BBA7-4F24-962E-F30DDDE8AA7C}"/>
    <hyperlink ref="E25" r:id="rId97" xr:uid="{EF09F524-6200-41C2-8990-0855AE1FACA2}"/>
    <hyperlink ref="E26" r:id="rId98" xr:uid="{81D4DB33-1191-4794-A0E5-0F00F780152F}"/>
    <hyperlink ref="E27" r:id="rId99" xr:uid="{66B879AD-6663-47D9-9791-E27DC40F41E3}"/>
    <hyperlink ref="E28" r:id="rId100" xr:uid="{76781CAA-743D-48E2-AF4F-8C0EC55C4AED}"/>
    <hyperlink ref="F10" r:id="rId101" xr:uid="{9E424A5D-BEA4-400F-A260-6657195D1EA1}"/>
    <hyperlink ref="F11" r:id="rId102" xr:uid="{98BE6569-FCBE-4168-B201-FB7D5470BA91}"/>
    <hyperlink ref="F12" r:id="rId103" xr:uid="{A3A3F745-87B8-4906-BC55-0709C4D44053}"/>
    <hyperlink ref="F13" r:id="rId104" xr:uid="{DFC4FD36-8E6B-4C9B-9C65-ABFA0F5913E2}"/>
    <hyperlink ref="F14" r:id="rId105" xr:uid="{D1CE6701-9C2E-4B10-AAC6-728B4E49C96E}"/>
    <hyperlink ref="F15" r:id="rId106" xr:uid="{6085235F-D59A-474C-9C16-1E30EE00A95F}"/>
    <hyperlink ref="F16" r:id="rId107" xr:uid="{0A305ADC-86C3-4B33-BA8F-6C0C88D12DD5}"/>
    <hyperlink ref="F17" r:id="rId108" xr:uid="{D9D400C9-20DC-4D83-9986-285C3F841961}"/>
    <hyperlink ref="F18" r:id="rId109" xr:uid="{3005F12E-747F-4AE9-BC52-2ADFEDC8CEC6}"/>
    <hyperlink ref="F19" r:id="rId110" xr:uid="{EC24EC53-B46E-4EB9-AE20-60DF1FEF5D61}"/>
    <hyperlink ref="F20" r:id="rId111" xr:uid="{75439505-0BCA-4B94-8229-1A6BBEC2F53B}"/>
    <hyperlink ref="F21" r:id="rId112" xr:uid="{8507DE28-2921-435D-A4C8-1EC8409EB65B}"/>
    <hyperlink ref="F22" r:id="rId113" xr:uid="{F19CD641-F5B3-4DF7-81B7-D0B3527E02B3}"/>
    <hyperlink ref="F23" r:id="rId114" xr:uid="{BEC32FC5-A035-4469-B8CC-ECEB9F589E3D}"/>
    <hyperlink ref="F24" r:id="rId115" xr:uid="{6A4C3BA6-5751-4A1C-AB31-DC3797B65946}"/>
    <hyperlink ref="F25" r:id="rId116" xr:uid="{6318461C-B1BF-443E-B6FC-E7B3D8E21559}"/>
    <hyperlink ref="F26" r:id="rId117" xr:uid="{9DC805F3-66C2-4C45-809C-DE46BF76B392}"/>
    <hyperlink ref="F27" r:id="rId118" xr:uid="{55541654-114B-4CE7-8464-126994EB3D93}"/>
    <hyperlink ref="F28" r:id="rId119" xr:uid="{17EAD22E-9D06-4808-8025-D2983C2C3CBB}"/>
    <hyperlink ref="E922" r:id="rId120" xr:uid="{4BD6FE48-115A-49A4-BAB1-7291E855EA0D}"/>
    <hyperlink ref="E923" r:id="rId121" xr:uid="{1AB0150F-77CA-46B9-BCCC-37976C94D44D}"/>
    <hyperlink ref="F922" r:id="rId122" xr:uid="{6C7CDB39-58C8-43AE-9486-7BF115588CE9}"/>
    <hyperlink ref="F923" r:id="rId123" xr:uid="{4AEE72CC-3241-44F3-9477-F00280FFEE1A}"/>
    <hyperlink ref="E493" r:id="rId124" xr:uid="{75D300A0-9B51-4320-BFD8-DDC8CD3B7126}"/>
    <hyperlink ref="E494" r:id="rId125" xr:uid="{70A39A31-3775-404E-BBDE-28B2A8DCDC40}"/>
    <hyperlink ref="E495" r:id="rId126" xr:uid="{79A197CA-69CB-4709-B79F-CF323ADCB456}"/>
    <hyperlink ref="F493" r:id="rId127" xr:uid="{FD518EAF-CB78-4C65-B059-DEE20CCF193C}"/>
    <hyperlink ref="F494" r:id="rId128" xr:uid="{223032A8-F8F7-4DE5-A13E-37F2EB074BC4}"/>
    <hyperlink ref="F495" r:id="rId129" xr:uid="{65B43392-5F75-4D05-9855-CC5E4F607FAB}"/>
    <hyperlink ref="E563" r:id="rId130" xr:uid="{8F9FC8E1-F8D7-4E21-8188-42F92A40AEA5}"/>
    <hyperlink ref="E564" r:id="rId131" xr:uid="{EB87766D-F585-4C11-BE9C-3320F05ABECB}"/>
    <hyperlink ref="E565" r:id="rId132" xr:uid="{7D33CE0F-D044-4BBF-8A6B-40D4D7E8ABBD}"/>
    <hyperlink ref="E566" r:id="rId133" xr:uid="{6436BF77-CAEC-4CA9-B869-D28E4E686375}"/>
    <hyperlink ref="E567" r:id="rId134" xr:uid="{C5AADE73-7C2C-41D8-AEE8-E2A6C98DBE47}"/>
    <hyperlink ref="E568" r:id="rId135" xr:uid="{A8E25D06-2812-4C38-82E6-2CE6784C9C79}"/>
    <hyperlink ref="F563" r:id="rId136" xr:uid="{C5A55BE0-2D32-4A52-8518-06E7A06092D4}"/>
    <hyperlink ref="F564" r:id="rId137" xr:uid="{3DFA2A7D-127D-43D3-A0EC-CED39C665593}"/>
    <hyperlink ref="F565" r:id="rId138" xr:uid="{1051E0F4-DE0A-4C2C-A2A2-BB591A447F09}"/>
    <hyperlink ref="F566" r:id="rId139" xr:uid="{4671B2FB-C212-43D7-BE2B-3CCCAC35933B}"/>
    <hyperlink ref="F567" r:id="rId140" xr:uid="{0ABF80EC-3663-41A5-ADA5-41310647B376}"/>
    <hyperlink ref="F568" r:id="rId141" xr:uid="{60031D2D-7424-499F-8F21-7619BD3B7249}"/>
    <hyperlink ref="E409" r:id="rId142" xr:uid="{79F454A9-A113-477B-8C27-FC3E6A9DAC20}"/>
    <hyperlink ref="F409" r:id="rId143" xr:uid="{EF0E25DB-82C1-4688-BF6F-A52A3D67B7F8}"/>
    <hyperlink ref="E1003" r:id="rId144" xr:uid="{3A5DC835-3A9F-4252-8CD9-958CDCC843C0}"/>
    <hyperlink ref="F1003" r:id="rId145" xr:uid="{F84334A4-7F8F-4AFA-ADE0-29E842CAF462}"/>
    <hyperlink ref="E557" r:id="rId146" xr:uid="{35FC7D46-39F6-4E01-AE96-3CDDAB1CCC1A}"/>
    <hyperlink ref="E558" r:id="rId147" xr:uid="{3C35FA7A-877A-493E-831D-CF227E4376F5}"/>
    <hyperlink ref="E559" r:id="rId148" xr:uid="{3B8C8DEE-0949-4757-B845-24AE3412BF9C}"/>
    <hyperlink ref="E560" r:id="rId149" xr:uid="{3E3C740D-3D31-4628-ACA2-549970DB80C6}"/>
    <hyperlink ref="E561" r:id="rId150" xr:uid="{0B07C836-CD13-458D-AC0C-CDC8F49953C0}"/>
    <hyperlink ref="E562" r:id="rId151" xr:uid="{77CB148D-9DF9-4CDC-A1C2-DB34A98C70E6}"/>
    <hyperlink ref="F557" r:id="rId152" xr:uid="{D211ADEC-9DCD-4CBD-9CAE-1174378E6CAD}"/>
    <hyperlink ref="F558" r:id="rId153" xr:uid="{64D6E8B2-8B10-4235-BA3B-F7A7E2E463E1}"/>
    <hyperlink ref="F559" r:id="rId154" xr:uid="{711C17BB-163C-40D4-8668-70DD196662C2}"/>
    <hyperlink ref="F560" r:id="rId155" xr:uid="{8DD2445D-790B-403A-8564-D1DA14BEEF47}"/>
    <hyperlink ref="F561" r:id="rId156" xr:uid="{E6ADFF39-7B2F-43C3-8AD9-5DBD79F001F0}"/>
    <hyperlink ref="F562" r:id="rId157" xr:uid="{203B3645-603F-430D-86CA-DACAF9F661AF}"/>
    <hyperlink ref="E569" r:id="rId158" xr:uid="{AF3C763F-2398-495B-A713-15E014430572}"/>
    <hyperlink ref="E570" r:id="rId159" xr:uid="{43310CB1-E6DD-49E2-AADB-469DA2363322}"/>
    <hyperlink ref="E571" r:id="rId160" xr:uid="{B7BA81AA-1F39-4161-A783-31B18086A1CE}"/>
    <hyperlink ref="E572" r:id="rId161" xr:uid="{01FFA211-0EDE-47EC-A29B-6CAE1398FA35}"/>
    <hyperlink ref="E573" r:id="rId162" xr:uid="{1BFD8A67-800F-4E07-A5BC-D5A397ED1B0F}"/>
    <hyperlink ref="E574" r:id="rId163" xr:uid="{73A608D8-BC69-4E5B-B914-FD61CCC6F09F}"/>
    <hyperlink ref="F569" r:id="rId164" xr:uid="{7621B72A-9310-499D-81A6-C079B0295EF1}"/>
    <hyperlink ref="F570" r:id="rId165" xr:uid="{9E4E6BEB-F053-4729-B0E5-A54D2D9CBB69}"/>
    <hyperlink ref="F571" r:id="rId166" xr:uid="{CA9B94C3-40B2-4B00-9211-88EADC8061BC}"/>
    <hyperlink ref="F572" r:id="rId167" xr:uid="{B66A2370-D7B5-4B4C-9F88-71EF32E7C25D}"/>
    <hyperlink ref="F573" r:id="rId168" xr:uid="{3AA57680-932E-4007-A22C-BD0D97EBD705}"/>
    <hyperlink ref="F574" r:id="rId169" xr:uid="{B2B4FDFF-DE1D-4639-BC33-6D5A74D0E111}"/>
    <hyperlink ref="E480" r:id="rId170" xr:uid="{A338308A-A12B-4614-A2BF-235C30360C89}"/>
    <hyperlink ref="F480" r:id="rId171" xr:uid="{7A4F392C-559F-464A-9DA5-E2E4B6364DB8}"/>
    <hyperlink ref="E481" r:id="rId172" xr:uid="{3EB2D88D-15BA-4907-9C0F-940199FAEB08}"/>
    <hyperlink ref="F481" r:id="rId173" xr:uid="{8DE639CC-DDB1-4BF1-BBE7-1C5CB433DF13}"/>
    <hyperlink ref="E220" r:id="rId174" xr:uid="{350E842B-CED7-4E10-9977-405DEF0F468E}"/>
    <hyperlink ref="E221" r:id="rId175" xr:uid="{7DA16392-7EB5-462F-A9F1-E9916BB33E9C}"/>
    <hyperlink ref="E222" r:id="rId176" xr:uid="{679FF22F-8EE6-4FC3-909A-81FF906D8295}"/>
    <hyperlink ref="E223" r:id="rId177" xr:uid="{1AA54A66-F57F-4B74-BA87-ED812E3AB54A}"/>
    <hyperlink ref="E224" r:id="rId178" xr:uid="{0D93C686-C4AE-4EF1-BE31-0F8314539D98}"/>
    <hyperlink ref="E225" r:id="rId179" xr:uid="{ED437CE5-2AA0-4104-82CF-63B89DCD5FCF}"/>
    <hyperlink ref="F220" r:id="rId180" xr:uid="{BB5AB00D-3CEE-443B-A088-71BB324E6F27}"/>
    <hyperlink ref="F221" r:id="rId181" xr:uid="{BBCEAE07-61A8-40CB-AEED-4919A0F51E8E}"/>
    <hyperlink ref="F222" r:id="rId182" xr:uid="{428D3023-DF50-4F45-916F-94B60322697A}"/>
    <hyperlink ref="F223" r:id="rId183" xr:uid="{5B9561F7-EA59-4030-9991-D47B7F45FC83}"/>
    <hyperlink ref="F224" r:id="rId184" xr:uid="{B17A4F98-09BE-44AF-AE4F-13C82F36CD79}"/>
    <hyperlink ref="F225" r:id="rId185" xr:uid="{B97F6276-49B1-4AF8-AE6E-5D580A1174BD}"/>
    <hyperlink ref="E90" r:id="rId186" xr:uid="{9AB7410F-E3FE-4300-A857-60B0C48E7581}"/>
    <hyperlink ref="F90" r:id="rId187" xr:uid="{E514590F-166E-41D3-9C1A-CB66AF9BE36E}"/>
    <hyperlink ref="E1037" r:id="rId188" xr:uid="{521387AD-4DAB-4C6A-A045-D2FA5FF2F79E}"/>
    <hyperlink ref="F1037" r:id="rId189" xr:uid="{94B47646-3A6C-4CDA-8FCF-E9E8ED285E3A}"/>
    <hyperlink ref="E863" r:id="rId190" xr:uid="{9223DE05-8942-408C-8EF2-A337C81CBB9F}"/>
    <hyperlink ref="F863" r:id="rId191" xr:uid="{4BD58086-0B25-49B0-9C4D-D440CDBD643C}"/>
    <hyperlink ref="E952" r:id="rId192" xr:uid="{6059FC91-1249-4366-9970-4F2F39AF7921}"/>
    <hyperlink ref="F952" r:id="rId193" xr:uid="{CB657387-7013-45F9-A6F9-D9C01B1A77B8}"/>
    <hyperlink ref="E1127" r:id="rId194" xr:uid="{37BD3CBD-F4F4-48DF-AFBA-386346880A42}"/>
    <hyperlink ref="E612" r:id="rId195" xr:uid="{2719DD60-64F8-4E92-A7CF-ECBAE37AF51C}"/>
    <hyperlink ref="E613" r:id="rId196" xr:uid="{E9DC458E-8E29-4EA3-B7FC-03EECD6008A3}"/>
    <hyperlink ref="E614" r:id="rId197" xr:uid="{B891C5CB-758B-4FD0-8C2F-6134B5A3BC7D}"/>
    <hyperlink ref="E615" r:id="rId198" xr:uid="{C7199F1D-4609-48BF-A7DB-618CCC5638C2}"/>
    <hyperlink ref="E616" r:id="rId199" xr:uid="{34468ECD-1817-4054-9073-BDA8DE5D14C7}"/>
    <hyperlink ref="E617" r:id="rId200" xr:uid="{5B16E311-DBA2-4F92-B3FB-F73A62ED265C}"/>
    <hyperlink ref="F612" r:id="rId201" xr:uid="{497C0980-8809-4DEC-B5E4-5D0C0A03E8E9}"/>
    <hyperlink ref="F613" r:id="rId202" xr:uid="{E5155DA2-D75C-460F-A31D-2C3B514BB0E8}"/>
    <hyperlink ref="F614" r:id="rId203" xr:uid="{297CB9AE-2DCF-433A-BD36-C8E6645DBEAA}"/>
    <hyperlink ref="F615" r:id="rId204" xr:uid="{346A1E3C-5C79-4413-8A8C-804D8DC96131}"/>
    <hyperlink ref="F616" r:id="rId205" xr:uid="{512A1A4B-EA66-4639-9887-80913DD5F0CD}"/>
    <hyperlink ref="F617" r:id="rId206" xr:uid="{5B1F164B-2FEF-449C-B6CA-06C14A63ED92}"/>
    <hyperlink ref="F348" r:id="rId207" xr:uid="{E2489600-95A2-4B62-BDDA-55B2A66EC40B}"/>
    <hyperlink ref="E348" r:id="rId208" xr:uid="{215C82FD-7DCB-4508-A783-1E21399949A3}"/>
    <hyperlink ref="F825" r:id="rId209" xr:uid="{270EE6E4-B7D2-46C8-A764-F33D89EF950D}"/>
    <hyperlink ref="E825" r:id="rId210" xr:uid="{807A3D6F-24FB-4893-9469-8938664AA122}"/>
    <hyperlink ref="E636" r:id="rId211" xr:uid="{CD5704D3-B5F0-4BA4-909C-5114F4FBE9F9}"/>
    <hyperlink ref="F636" r:id="rId212" xr:uid="{227D698F-ED38-4664-8E61-0351D535A7C9}"/>
    <hyperlink ref="E248" r:id="rId213" xr:uid="{E100C9FE-3E92-4772-BD7F-71D4AE196F66}"/>
    <hyperlink ref="F248" r:id="rId214" xr:uid="{F8F587FE-9007-4C4F-8F5C-FFE27DEE60AA}"/>
    <hyperlink ref="E531" r:id="rId215" xr:uid="{6B235062-84E5-49CE-96AF-DE4DCF0172AD}"/>
    <hyperlink ref="F531" r:id="rId216" xr:uid="{D1EEAEE8-78AC-48D0-8709-EE3DB2187940}"/>
    <hyperlink ref="E969" r:id="rId217" xr:uid="{081E2CE0-4C85-4F00-B152-46EF650ADE85}"/>
    <hyperlink ref="E970" r:id="rId218" xr:uid="{6091B4B5-AEA7-4421-9AA6-13BB4BFF9C3E}"/>
    <hyperlink ref="E971" r:id="rId219" xr:uid="{C3550E0C-6C94-405C-B161-B25F51CE5EE4}"/>
    <hyperlink ref="E972" r:id="rId220" xr:uid="{C96B2CF1-B6F6-42CE-B87B-D9BA64AA8C6B}"/>
    <hyperlink ref="E973" r:id="rId221" xr:uid="{AAD1BFC7-DFE6-45E4-9E55-CC61F02DE37B}"/>
    <hyperlink ref="F969" r:id="rId222" xr:uid="{47187705-F703-4C31-A675-58ACC65BA839}"/>
    <hyperlink ref="F970" r:id="rId223" xr:uid="{6B9E2E93-943A-4DC4-88B3-ABE1A93E4F96}"/>
    <hyperlink ref="F971" r:id="rId224" xr:uid="{1F885CA0-25E4-4BE2-AE28-60A8C4669849}"/>
    <hyperlink ref="F972" r:id="rId225" xr:uid="{2091D268-EF26-4B71-BF59-3F769B8ED71A}"/>
    <hyperlink ref="F973" r:id="rId226" xr:uid="{457803D5-F85A-4EB9-9C23-D596E159B7DE}"/>
    <hyperlink ref="E1056" r:id="rId227" xr:uid="{9B0FD722-E448-405C-B8D6-72241D7A70B6}"/>
    <hyperlink ref="F1056" r:id="rId228" xr:uid="{9A819100-FFDD-4962-BEF0-4CEF5FAED90C}"/>
    <hyperlink ref="E793" r:id="rId229" xr:uid="{AEDC4850-FFDB-4AE0-9299-20E21D5BAF09}"/>
    <hyperlink ref="E635" r:id="rId230" xr:uid="{3BBF4A7A-9C2A-4EA7-8B39-A897DDF78320}"/>
    <hyperlink ref="F635" r:id="rId231" xr:uid="{6FA81790-CFB3-4F93-90E4-341D7FA0E43F}"/>
    <hyperlink ref="E87" r:id="rId232" xr:uid="{C1FBC6D3-6F1E-4BE7-A802-3401F870B190}"/>
    <hyperlink ref="E88" r:id="rId233" xr:uid="{37BC8763-8661-46B1-9C55-8088574FDDFA}"/>
    <hyperlink ref="F87" r:id="rId234" xr:uid="{E68669B9-E25E-4C7D-B4FA-D77F66579545}"/>
    <hyperlink ref="F88" r:id="rId235" xr:uid="{D8413E1C-BA8B-405F-805B-39439FD35D10}"/>
    <hyperlink ref="E130" r:id="rId236" xr:uid="{468AC19D-8EA9-4647-B776-2C2603BC0CA0}"/>
    <hyperlink ref="F130" r:id="rId237" xr:uid="{A36E1794-5A8C-45E7-B0F5-8ED413A09DE1}"/>
    <hyperlink ref="E839" r:id="rId238" xr:uid="{2D1E86DB-31F2-4607-9AD4-8DF6E4ACBD81}"/>
    <hyperlink ref="E840" r:id="rId239" xr:uid="{CB02C650-A220-4C87-B020-6BDA8E8F4439}"/>
    <hyperlink ref="F839" r:id="rId240" xr:uid="{0678F60C-995B-43AB-B97B-A202AE9BA7B9}"/>
    <hyperlink ref="F840" r:id="rId241" xr:uid="{6050D536-29CC-46F4-828E-D29DDB0BEE20}"/>
    <hyperlink ref="E1029" r:id="rId242" xr:uid="{2A78236A-27FF-4A8D-9973-17060078CA37}"/>
    <hyperlink ref="F1029" r:id="rId243" xr:uid="{500C4159-3FEF-462A-B9FA-EAEC615C7F51}"/>
    <hyperlink ref="E693" r:id="rId244" xr:uid="{06571048-18A7-4623-BDA2-18D80EB0B801}"/>
    <hyperlink ref="E953" r:id="rId245" xr:uid="{E13CEC68-317A-411D-B1C1-0786F002F038}"/>
    <hyperlink ref="E954" r:id="rId246" xr:uid="{59E32059-C1C9-441F-979B-E9DA9C4EABDD}"/>
    <hyperlink ref="F953" r:id="rId247" xr:uid="{3F2845BE-7601-476D-B503-3EAA87AAD504}"/>
    <hyperlink ref="F954" r:id="rId248" xr:uid="{C8F77561-B302-40E7-9656-A11A21D4FA82}"/>
    <hyperlink ref="E994" r:id="rId249" xr:uid="{C7B904D9-8257-4927-9C50-B27166FAD317}"/>
    <hyperlink ref="E955" r:id="rId250" xr:uid="{E7689E45-0BD3-4520-932C-786837FB9E45}"/>
    <hyperlink ref="E956" r:id="rId251" xr:uid="{8374712E-102B-4945-BF3D-D90AC67CA804}"/>
    <hyperlink ref="F955" r:id="rId252" xr:uid="{019798E6-8742-4904-99B9-2EE0DF63CA89}"/>
    <hyperlink ref="F956" r:id="rId253" xr:uid="{F438140E-C3E1-4469-9DE8-4ED0B2150EF8}"/>
    <hyperlink ref="E694" r:id="rId254" xr:uid="{87383701-B08E-4456-BF66-AE43EE4D8FCE}"/>
    <hyperlink ref="E190" r:id="rId255" xr:uid="{E84AE2AB-5DDD-449F-8943-BE6D77B39AF8}"/>
    <hyperlink ref="F190" r:id="rId256" xr:uid="{3765DAE2-D28E-431E-82DC-04170B9811CF}"/>
    <hyperlink ref="E945" r:id="rId257" xr:uid="{752425CE-DD38-49FB-9134-671A2D173B7A}"/>
    <hyperlink ref="F945" r:id="rId258" xr:uid="{E40677DE-AA20-4240-A581-728E71EE8F54}"/>
    <hyperlink ref="E520" r:id="rId259" xr:uid="{30FEA884-7599-4E37-876B-55B29CE114FD}"/>
    <hyperlink ref="F520" r:id="rId260" xr:uid="{B40867AE-D1DF-4F81-ABEC-ABD47C096DEA}"/>
    <hyperlink ref="E486" r:id="rId261" xr:uid="{50112EC5-ABDA-4630-819B-A2B9CC721104}"/>
    <hyperlink ref="F486" r:id="rId262" xr:uid="{80B942A6-36CA-405D-B37D-2C179822E125}"/>
    <hyperlink ref="E1044" r:id="rId263" xr:uid="{5A251EE6-91F5-4E0C-89F8-8234C8C1AF56}"/>
    <hyperlink ref="F1044" r:id="rId264" xr:uid="{1E9E5BC1-DB3A-44E8-AFFC-D3659F984E4A}"/>
    <hyperlink ref="E551" r:id="rId265" xr:uid="{63098E83-55C8-4572-855F-C1F0317B8667}"/>
    <hyperlink ref="E552" r:id="rId266" xr:uid="{520C151C-2306-4782-99E8-B37E90E4DFC0}"/>
    <hyperlink ref="E553" r:id="rId267" xr:uid="{2FB4C3AE-3759-479E-8A63-5B7E7462DE22}"/>
    <hyperlink ref="E554" r:id="rId268" xr:uid="{C3F2D539-180C-42B0-BCCB-79C79E0D4525}"/>
    <hyperlink ref="E555" r:id="rId269" xr:uid="{976D39E3-1A6C-4FA6-AEAA-07E5A8D68194}"/>
    <hyperlink ref="E556" r:id="rId270" xr:uid="{DAC641ED-CC9C-4908-A841-1593DA0C4979}"/>
    <hyperlink ref="F551" r:id="rId271" xr:uid="{F1E9779D-0F6B-41F8-BDB7-364A360B86A3}"/>
    <hyperlink ref="F552" r:id="rId272" xr:uid="{F6A55F81-5AF8-40DF-859A-EB3C951EFC7E}"/>
    <hyperlink ref="F553" r:id="rId273" xr:uid="{A3B78E7A-86B8-4A92-BDEF-A494AF0419CF}"/>
    <hyperlink ref="F554" r:id="rId274" xr:uid="{B1AC68AA-3171-4948-8E45-A7999968D07D}"/>
    <hyperlink ref="F555" r:id="rId275" xr:uid="{EEDD14D2-0C60-4211-9950-30A874037680}"/>
    <hyperlink ref="F556" r:id="rId276" xr:uid="{4C49D6EE-B5A4-4B48-83B7-7190ED1D4331}"/>
    <hyperlink ref="E285" r:id="rId277" xr:uid="{4FB2F667-BDB8-4D29-B076-59CFC579A83A}"/>
    <hyperlink ref="F285" r:id="rId278" xr:uid="{BA755CE9-EF24-4EDD-A5C3-2CC792E0E3E2}"/>
    <hyperlink ref="E286" r:id="rId279" xr:uid="{5D8EE2E0-FBD0-4D99-A4FF-1F8DFEEF552C}"/>
    <hyperlink ref="F286" r:id="rId280" xr:uid="{2877DC33-1BBB-48F3-8FE5-68FC6947BC65}"/>
    <hyperlink ref="E284" r:id="rId281" xr:uid="{292C2400-EC39-44F3-8DC6-E0E16DB173D4}"/>
    <hyperlink ref="F284" r:id="rId282" xr:uid="{29A7598E-196C-42AB-A0F1-C8E0F049383E}"/>
    <hyperlink ref="E471" r:id="rId283" xr:uid="{D3716A8C-60F2-4D03-B1BA-2E45A2312DB8}"/>
    <hyperlink ref="E787" r:id="rId284" xr:uid="{C358A6EF-A924-4841-B70E-21522644A158}"/>
    <hyperlink ref="E290" r:id="rId285" xr:uid="{FE85DD3F-DBF8-4822-9955-FF6AE3E4F4DA}"/>
    <hyperlink ref="E291" r:id="rId286" xr:uid="{25DD3F07-7CCA-4BBE-BC7F-008820895AE3}"/>
    <hyperlink ref="F290" r:id="rId287" xr:uid="{2E9D0575-498E-43E6-8711-19E10C7FF91C}"/>
    <hyperlink ref="F291" r:id="rId288" xr:uid="{C7803634-458E-4AD1-ADE6-A94B91BFB91C}"/>
    <hyperlink ref="E582" r:id="rId289" xr:uid="{F71718D2-767D-4349-9102-2505B5CC04C6}"/>
    <hyperlink ref="E583" r:id="rId290" xr:uid="{217E29C6-C728-449F-AE8D-D329CD0CBB25}"/>
    <hyperlink ref="E584" r:id="rId291" xr:uid="{41E58451-16A7-4E47-B0C7-A7AA3E570493}"/>
    <hyperlink ref="E585" r:id="rId292" xr:uid="{DB8737B7-00E5-40C4-99E3-B264ED92BBE6}"/>
    <hyperlink ref="E586" r:id="rId293" xr:uid="{DC668821-9E42-48ED-85EE-3AC9114B1A36}"/>
    <hyperlink ref="E587" r:id="rId294" xr:uid="{20526E2F-C11B-40D2-ACDF-99D09493ADE4}"/>
    <hyperlink ref="F582" r:id="rId295" xr:uid="{7914E87B-18EF-4531-9E8B-42235B5CBABA}"/>
    <hyperlink ref="F583" r:id="rId296" xr:uid="{67975A74-2585-45A1-9E09-BF8A5B417F00}"/>
    <hyperlink ref="F584" r:id="rId297" xr:uid="{F39436FF-1E07-4A71-9090-C9FF56402A9C}"/>
    <hyperlink ref="F585" r:id="rId298" xr:uid="{3871F12D-0236-431D-8994-EFB8D4B287A4}"/>
    <hyperlink ref="F586" r:id="rId299" xr:uid="{02F20B13-3176-4A97-82F3-9BB771245E25}"/>
    <hyperlink ref="F587" r:id="rId300" xr:uid="{512409B9-5231-4C1E-8353-DB4F13E92327}"/>
    <hyperlink ref="E795" r:id="rId301" xr:uid="{F37AD8E6-60FE-49DD-B65C-9780F2DC3A64}"/>
    <hyperlink ref="E770" r:id="rId302" xr:uid="{788C254D-17E5-4CEB-AFD6-0D56A666B1B5}"/>
    <hyperlink ref="E819" r:id="rId303" xr:uid="{4F2BACA9-9025-4A55-96E2-D0E8891052C5}"/>
    <hyperlink ref="F819" r:id="rId304" xr:uid="{C582BD3F-2654-4200-BD26-0E057E828336}"/>
    <hyperlink ref="E745" r:id="rId305" xr:uid="{13CB998A-B790-465D-B2CC-5F2AE4306BEB}"/>
    <hyperlink ref="E746" r:id="rId306" xr:uid="{D45F9B8B-58B7-4F1C-B350-66268B8605DF}"/>
    <hyperlink ref="E747" r:id="rId307" xr:uid="{B1C9D93C-B14F-415B-B405-F5F190A34573}"/>
    <hyperlink ref="E748" r:id="rId308" xr:uid="{4D247883-DDC7-4D56-AFAC-9AFFB6ACB956}"/>
    <hyperlink ref="E749" r:id="rId309" xr:uid="{97E9C99A-9C0A-4151-9018-50B71989AEDC}"/>
    <hyperlink ref="E750" r:id="rId310" xr:uid="{4E6D3051-44C8-4B41-A435-849A08FFF12D}"/>
    <hyperlink ref="E751" r:id="rId311" xr:uid="{D840E919-D070-48C6-80F6-F7BAA80888E2}"/>
    <hyperlink ref="E752" r:id="rId312" xr:uid="{2F2EF7C3-83D7-4F63-83B6-734E6894601D}"/>
    <hyperlink ref="E753" r:id="rId313" xr:uid="{CC87D199-C17A-4502-8E17-79EA5E4502DD}"/>
    <hyperlink ref="E754" r:id="rId314" xr:uid="{8D63AC3F-7B07-453A-9A25-163C0B81711C}"/>
    <hyperlink ref="F745" r:id="rId315" xr:uid="{4EF60A15-BDD4-4EB3-ACB4-FE483CA40520}"/>
    <hyperlink ref="F746" r:id="rId316" xr:uid="{EA053083-9D5F-41EC-9A21-D6EA110E5ED1}"/>
    <hyperlink ref="F747" r:id="rId317" xr:uid="{CB12215E-D3DD-4D8C-9CE7-3996822C8E52}"/>
    <hyperlink ref="F748" r:id="rId318" xr:uid="{3E5C72DE-6563-4BCD-B058-D83FBBAEBC96}"/>
    <hyperlink ref="F749" r:id="rId319" xr:uid="{A3CF5A5A-D123-4DE0-AB63-0D1F7CAD24BA}"/>
    <hyperlink ref="F750" r:id="rId320" xr:uid="{96FC350F-D118-423A-86B3-B38099193B07}"/>
    <hyperlink ref="F751" r:id="rId321" xr:uid="{F2750394-17B8-4828-861A-4A4B1CADD337}"/>
    <hyperlink ref="F752" r:id="rId322" xr:uid="{179A6198-AEC3-4AC2-A767-D824366ABE06}"/>
    <hyperlink ref="F753" r:id="rId323" xr:uid="{28FC0754-D6A1-4CDC-A850-88C5D775B677}"/>
    <hyperlink ref="F754" r:id="rId324" xr:uid="{50788936-2D01-4B4B-AA33-E8A8B9F3B6F6}"/>
    <hyperlink ref="E426" r:id="rId325" xr:uid="{6084DE0C-0012-4BB3-A1B5-1E9E379D55D6}"/>
    <hyperlink ref="F426" r:id="rId326" xr:uid="{BA9AC720-4E7E-4D4B-B3E7-89AD12BF96C7}"/>
    <hyperlink ref="E440" r:id="rId327" xr:uid="{E30F808A-1176-431A-9188-C29B873EF47D}"/>
    <hyperlink ref="E441" r:id="rId328" xr:uid="{05002A2F-1F52-4BD4-9567-E287D89A03AC}"/>
    <hyperlink ref="E442" r:id="rId329" xr:uid="{AE83D684-250B-43CD-B793-7C9D14F78A10}"/>
    <hyperlink ref="F440" r:id="rId330" xr:uid="{91636CEB-935C-48F3-8527-BC410B4935BC}"/>
    <hyperlink ref="F441" r:id="rId331" xr:uid="{4583BF27-E8F7-40F0-B359-13E072DD3C1B}"/>
    <hyperlink ref="F442" r:id="rId332" xr:uid="{BEF6BD3A-0F6B-42B2-BA70-D17314BF46C0}"/>
    <hyperlink ref="E967" r:id="rId333" xr:uid="{428122A5-154F-46FB-B465-C4A9EECF1BAE}"/>
    <hyperlink ref="E968" r:id="rId334" xr:uid="{ECAFBD26-037B-4A24-AD61-FDA57BA551F5}"/>
    <hyperlink ref="F967" r:id="rId335" xr:uid="{2D5AB027-1F2C-49AB-89DA-DA6B2B799E95}"/>
    <hyperlink ref="F968" r:id="rId336" xr:uid="{FEC081AE-0E09-4410-9843-933744C8ED72}"/>
    <hyperlink ref="E643" r:id="rId337" xr:uid="{28D4BD23-F197-48D2-BE90-2AA9A21D1090}"/>
    <hyperlink ref="F643" r:id="rId338" xr:uid="{D15F6BE7-7B5B-41DC-ACB9-A8DA1D6687D6}"/>
    <hyperlink ref="E941" r:id="rId339" xr:uid="{76F652F7-A0A4-4B9F-AFA8-DE794A6A85DA}"/>
    <hyperlink ref="F941" r:id="rId340" xr:uid="{1738376F-B12A-44A6-8B62-274B6DE01FF0}"/>
    <hyperlink ref="E851" r:id="rId341" xr:uid="{67FB1C98-EBBC-417C-845C-791310D53303}"/>
    <hyperlink ref="E886" r:id="rId342" xr:uid="{8DADFDF7-2733-488D-9035-A6409491FCCE}"/>
    <hyperlink ref="E887" r:id="rId343" xr:uid="{836D29AD-5507-4A2E-8BB5-47CF6C6ED61D}"/>
    <hyperlink ref="E888" r:id="rId344" xr:uid="{3E6F8287-38DE-475C-B2AF-24EB16298615}"/>
    <hyperlink ref="E889" r:id="rId345" xr:uid="{D6AA60DF-C713-499A-BC43-FDA016D6F4F3}"/>
    <hyperlink ref="E890" r:id="rId346" xr:uid="{9FBAC762-0325-4905-94BE-CA80956ECE64}"/>
    <hyperlink ref="E891" r:id="rId347" xr:uid="{72F03ED7-97E3-4421-BE31-8618D1C74839}"/>
    <hyperlink ref="E892" r:id="rId348" xr:uid="{13DB7840-D28B-4513-A841-388B47FE4F96}"/>
    <hyperlink ref="E893" r:id="rId349" xr:uid="{5FC8A915-4F34-4F26-A79E-692FD216BDFD}"/>
    <hyperlink ref="E894" r:id="rId350" xr:uid="{01D2E5C9-C5F5-4928-9471-DA73465D03D6}"/>
    <hyperlink ref="E895" r:id="rId351" xr:uid="{543742C3-1C41-44EE-BE4A-BB22F3EBF233}"/>
    <hyperlink ref="E896" r:id="rId352" xr:uid="{803807BF-7A66-45B0-B530-C15D62B34F7A}"/>
    <hyperlink ref="E897" r:id="rId353" xr:uid="{F993A5B3-B70A-497D-979C-4CDF29BC4FC5}"/>
    <hyperlink ref="E898" r:id="rId354" xr:uid="{38C68F18-8FCC-41E8-963B-A82609FDFE70}"/>
    <hyperlink ref="E899" r:id="rId355" xr:uid="{4264224B-E61F-4654-88E4-02981E6A3DCC}"/>
    <hyperlink ref="E900" r:id="rId356" xr:uid="{848A3334-0121-4217-A8EB-6A783FCD1694}"/>
    <hyperlink ref="E901" r:id="rId357" xr:uid="{525CB773-943F-420F-993E-E7220A77192A}"/>
    <hyperlink ref="E902" r:id="rId358" xr:uid="{EE7A9E74-69A9-4B8A-9D7E-EDA60FD4F1B3}"/>
    <hyperlink ref="E903" r:id="rId359" xr:uid="{5D712E31-4FDA-460A-8DEE-CFFBCDF8E0B7}"/>
    <hyperlink ref="E904" r:id="rId360" xr:uid="{C23C0480-4C54-4282-A0CE-EB5B0FDC7B40}"/>
    <hyperlink ref="E905" r:id="rId361" xr:uid="{2BBA1D0D-CE3B-4D06-8A18-FFE2EBF2FC22}"/>
    <hyperlink ref="E906" r:id="rId362" xr:uid="{164552CB-DB7C-4604-AB93-F60AB95325A4}"/>
    <hyperlink ref="E907" r:id="rId363" xr:uid="{F8F10B95-9974-41B0-8E21-87887B9AE4E5}"/>
    <hyperlink ref="F886" r:id="rId364" xr:uid="{82BB5116-777A-4307-82AC-B8ADD1576A50}"/>
    <hyperlink ref="F887" r:id="rId365" xr:uid="{14CBDFEB-D47D-48B3-B186-BAC08AD5889A}"/>
    <hyperlink ref="F888" r:id="rId366" xr:uid="{B0946A43-0C29-44EE-BC16-FB64E5F35555}"/>
    <hyperlink ref="F889" r:id="rId367" xr:uid="{3BF8A04C-74BA-4738-8599-DF974F5B54CD}"/>
    <hyperlink ref="F890" r:id="rId368" xr:uid="{23168186-2C33-419F-A58C-AF1BF303745A}"/>
    <hyperlink ref="F891" r:id="rId369" xr:uid="{E0FDAA4C-E0E4-427C-98DF-2E4B96E13009}"/>
    <hyperlink ref="F892" r:id="rId370" xr:uid="{9AF0F2B1-841D-4DA2-AA27-9FAA6FE3DF57}"/>
    <hyperlink ref="F893" r:id="rId371" xr:uid="{A93B7309-7005-4FE5-B4E7-0A7BC2C1D2D1}"/>
    <hyperlink ref="F894" r:id="rId372" xr:uid="{8513CD39-BCBF-4AB0-BB8D-B017E0A44A7C}"/>
    <hyperlink ref="F895" r:id="rId373" xr:uid="{CE7DBDB0-64D2-4E4D-8E49-F03A4A64F1C1}"/>
    <hyperlink ref="F896" r:id="rId374" xr:uid="{4B5CDB65-0331-46D2-94D4-6336EB4D73A8}"/>
    <hyperlink ref="F897" r:id="rId375" xr:uid="{8B376228-2F9D-4BD2-A956-B5EE82B327A3}"/>
    <hyperlink ref="F898" r:id="rId376" xr:uid="{70F8AA19-083D-4317-A994-CB1E7714FAEB}"/>
    <hyperlink ref="F899" r:id="rId377" xr:uid="{6C9F2CD3-6053-43B8-A21D-FBDDDAB00FA9}"/>
    <hyperlink ref="F900" r:id="rId378" xr:uid="{2C1633B3-EAC6-4DD1-887C-BCAAF9548D67}"/>
    <hyperlink ref="F901" r:id="rId379" xr:uid="{F077C656-1771-41C8-840B-EA015DF4576D}"/>
    <hyperlink ref="F902" r:id="rId380" xr:uid="{C01E50C7-CF63-4543-9789-5E053BE73709}"/>
    <hyperlink ref="F903" r:id="rId381" xr:uid="{C16934AE-CD72-4A67-9066-71275EEE00EA}"/>
    <hyperlink ref="F904" r:id="rId382" xr:uid="{3A943267-3172-40EE-884F-75E44F944B7F}"/>
    <hyperlink ref="F905" r:id="rId383" xr:uid="{BF6CB4BB-D9B8-448E-86CE-7CA372B74626}"/>
    <hyperlink ref="F906" r:id="rId384" xr:uid="{557D2C1B-CF52-4CF9-9400-9E4B5514544E}"/>
    <hyperlink ref="F907" r:id="rId385" xr:uid="{E122133B-A2EC-4E14-9F61-6AF6CEBF52EF}"/>
    <hyperlink ref="E283" r:id="rId386" xr:uid="{BCEE0BF7-05C6-4139-B643-E6A1AC1EAC88}"/>
    <hyperlink ref="F283" r:id="rId387" xr:uid="{89DC73AE-AC46-44FA-B827-49EE8DDB558B}"/>
    <hyperlink ref="F289" r:id="rId388" xr:uid="{826FBD11-998C-40F0-90ED-567DFE395745}"/>
    <hyperlink ref="E289" r:id="rId389" xr:uid="{D0C5CB20-35AF-4068-BFCF-466D7AFB6725}"/>
    <hyperlink ref="E59" r:id="rId390" xr:uid="{90BA5172-1C08-4DCB-912A-76106CC8E846}"/>
    <hyperlink ref="E60" r:id="rId391" xr:uid="{BE135CEF-0FFC-4FB9-B8F5-2C4EA835ABA6}"/>
    <hyperlink ref="E61" r:id="rId392" xr:uid="{886982AC-09A7-49A1-9CF6-C2882592399F}"/>
    <hyperlink ref="E62" r:id="rId393" xr:uid="{CAD211A8-469B-47B9-8CDA-3076044EFC11}"/>
    <hyperlink ref="E63" r:id="rId394" xr:uid="{F0381DBB-DCC4-43FA-AA82-E1E078A941E7}"/>
    <hyperlink ref="E64" r:id="rId395" xr:uid="{D980B2C9-5C9E-4EF1-BA29-99F1F5EA25BC}"/>
    <hyperlink ref="E65" r:id="rId396" xr:uid="{800ADFC3-A64D-4F83-84DA-62ED52149A62}"/>
    <hyperlink ref="E66" r:id="rId397" xr:uid="{0D5571B0-A663-4830-B2A9-B24488B9C58C}"/>
    <hyperlink ref="E67" r:id="rId398" xr:uid="{3AF6CCCB-19E1-460D-B8EA-A905F4F57125}"/>
    <hyperlink ref="E68" r:id="rId399" xr:uid="{1C053C4F-E773-405C-ABD3-3E67D74E981C}"/>
    <hyperlink ref="E69" r:id="rId400" xr:uid="{5F9E9061-1D22-40C8-A377-6D866BC174FC}"/>
    <hyperlink ref="F59" r:id="rId401" xr:uid="{EF4A62F5-3336-443F-8CAC-2C92D6C84B33}"/>
    <hyperlink ref="F60" r:id="rId402" xr:uid="{4A402CB0-B70C-4763-8338-302F683340FC}"/>
    <hyperlink ref="F61" r:id="rId403" xr:uid="{D48666AC-8306-4D18-B40A-986E53DAB1D3}"/>
    <hyperlink ref="F62" r:id="rId404" xr:uid="{7AD75DF5-121A-468C-84DB-951C5DF9CAC1}"/>
    <hyperlink ref="F63" r:id="rId405" xr:uid="{858DF818-9C7B-48D7-A690-6976A9172B51}"/>
    <hyperlink ref="F64" r:id="rId406" xr:uid="{F5F592EC-C369-4C74-A25A-994EC4787F65}"/>
    <hyperlink ref="F65" r:id="rId407" xr:uid="{14815C9D-6E78-446C-8911-815B83378C1C}"/>
    <hyperlink ref="F66" r:id="rId408" xr:uid="{D9C31881-AA46-4E06-BB46-6F076E93423F}"/>
    <hyperlink ref="F67" r:id="rId409" xr:uid="{8E168EE2-64C4-46A2-9781-B0DA1CF319FD}"/>
    <hyperlink ref="F68" r:id="rId410" xr:uid="{F5C7A17B-2FC5-4A63-81FD-021F33CB3B82}"/>
    <hyperlink ref="F69" r:id="rId411" xr:uid="{DFF010AA-91E9-467D-9CF4-68ED2FF906D7}"/>
    <hyperlink ref="E272" r:id="rId412" xr:uid="{9F794047-721B-478F-B739-A2823D567957}"/>
    <hyperlink ref="E273" r:id="rId413" xr:uid="{C228B212-8A5B-4C2A-943A-AB9638B1EFA8}"/>
    <hyperlink ref="E274" r:id="rId414" xr:uid="{B5A05443-0F26-4684-AF46-F1F34F51EC19}"/>
    <hyperlink ref="E275" r:id="rId415" xr:uid="{74E32795-FA7E-437B-9C66-C159AD76DEB3}"/>
    <hyperlink ref="E276" r:id="rId416" xr:uid="{218F977F-C355-49D4-8106-2C8F5F6AB7DE}"/>
    <hyperlink ref="E277" r:id="rId417" xr:uid="{ABB939D2-0477-42BC-9D9C-8CC7F630AE32}"/>
    <hyperlink ref="E278" r:id="rId418" xr:uid="{72347280-2A78-4D92-B3BD-36C3BB68233D}"/>
    <hyperlink ref="E279" r:id="rId419" xr:uid="{5E98C172-3FA1-40FD-AF8F-9C0B697F9C3B}"/>
    <hyperlink ref="E280" r:id="rId420" xr:uid="{5B17D210-D4AA-4A23-9843-471C160DAD6B}"/>
    <hyperlink ref="E281" r:id="rId421" xr:uid="{7E0E2BB9-9D05-4734-B0A8-254E0AAAD133}"/>
    <hyperlink ref="E282" r:id="rId422" xr:uid="{71FF7828-FB56-4E03-92BE-1A99F6F9BEB3}"/>
    <hyperlink ref="F272" r:id="rId423" xr:uid="{31AF1259-517F-413C-9647-D94A6169BE4D}"/>
    <hyperlink ref="F273" r:id="rId424" xr:uid="{C59C7C87-24F4-4E00-80F4-90F26079144F}"/>
    <hyperlink ref="F274" r:id="rId425" xr:uid="{652D2710-C998-4E99-96EA-E0E449A6FDF8}"/>
    <hyperlink ref="F275" r:id="rId426" xr:uid="{2D3CAD32-BB54-4CF0-959E-663AC9A9F567}"/>
    <hyperlink ref="F276" r:id="rId427" xr:uid="{558B104B-EC4A-4156-BC32-B5E2613657D9}"/>
    <hyperlink ref="F277" r:id="rId428" xr:uid="{1057175D-3A7C-4318-B2A9-C95C74A7F81B}"/>
    <hyperlink ref="F278" r:id="rId429" xr:uid="{662E5A96-C870-426B-9929-CCCA9FA5AFDC}"/>
    <hyperlink ref="F279" r:id="rId430" xr:uid="{CAA9DA4F-0535-4F7A-AC41-4088F698B627}"/>
    <hyperlink ref="F280" r:id="rId431" xr:uid="{C6A89ED3-1987-4DAB-AA08-2DF6605AA246}"/>
    <hyperlink ref="F281" r:id="rId432" xr:uid="{2D3F8BAB-5A13-420E-AF1D-7BBC9115634C}"/>
    <hyperlink ref="F282" r:id="rId433" xr:uid="{0DCC52D0-2294-4FF0-AACD-31187E250DA8}"/>
    <hyperlink ref="E1089" r:id="rId434" xr:uid="{44E325BC-29BE-4965-A14C-23BC74CEAEEF}"/>
    <hyperlink ref="F1089" r:id="rId435" xr:uid="{618A91F9-E826-4720-BB5B-84E3931DCDEC}"/>
    <hyperlink ref="E909" r:id="rId436" xr:uid="{55C7F756-4DAD-4DAA-AD86-283C863BF79C}"/>
    <hyperlink ref="E910" r:id="rId437" xr:uid="{C8C7C413-BAB1-4249-802E-EA7333019FF9}"/>
    <hyperlink ref="E911" r:id="rId438" xr:uid="{18D869C9-9F46-40C5-8C94-3CB4A1E0B489}"/>
    <hyperlink ref="E912" r:id="rId439" xr:uid="{D941C23E-FD45-40B6-9F4B-2F7C3A1A63DD}"/>
    <hyperlink ref="E913" r:id="rId440" xr:uid="{E98941BC-0153-4CB3-B03C-F32F81346CAD}"/>
    <hyperlink ref="E914" r:id="rId441" xr:uid="{3797DB23-A15A-4150-8AF5-B668B97D61EB}"/>
    <hyperlink ref="E915" r:id="rId442" xr:uid="{2DD3133C-EADB-4AC2-9168-0C1D96EB7005}"/>
    <hyperlink ref="E916" r:id="rId443" xr:uid="{149F4B82-6255-4AAC-A7CE-40C4118E4CE9}"/>
    <hyperlink ref="E917" r:id="rId444" xr:uid="{FC659200-985F-4534-BA5D-60A3A6A49A46}"/>
    <hyperlink ref="E918" r:id="rId445" xr:uid="{506B13CD-B518-48C7-B5C5-E51864773C6E}"/>
    <hyperlink ref="F909" r:id="rId446" xr:uid="{91B48893-03FB-4ED5-84F9-4A5C787D738E}"/>
    <hyperlink ref="F910" r:id="rId447" xr:uid="{7F2CF61E-5CF8-4FCB-B72E-547A22B6C7F5}"/>
    <hyperlink ref="F911" r:id="rId448" xr:uid="{28BCC1A0-8089-4E9F-9B54-8A817EF6DF10}"/>
    <hyperlink ref="F912" r:id="rId449" xr:uid="{D1E97442-895C-4E9B-BC21-4F7DC301B4D7}"/>
    <hyperlink ref="F913" r:id="rId450" xr:uid="{DD8E6F3E-814E-4D8B-ADC1-742A2A677F04}"/>
    <hyperlink ref="F914" r:id="rId451" xr:uid="{7FBCAD78-1A59-467F-9879-D20C65BB841A}"/>
    <hyperlink ref="F915" r:id="rId452" xr:uid="{2E8C7440-5FBE-40A2-81AE-2805AE5F6005}"/>
    <hyperlink ref="F916" r:id="rId453" xr:uid="{028F790F-62D0-448A-82E3-006FDE5B9E70}"/>
    <hyperlink ref="F917" r:id="rId454" xr:uid="{28937E13-94A0-46E5-950C-4006E31B14EE}"/>
    <hyperlink ref="F918" r:id="rId455" xr:uid="{01DFFB1C-0E46-4B99-94F0-F54192E3F84F}"/>
    <hyperlink ref="F1090" r:id="rId456" xr:uid="{B6960B57-6659-4FAD-9FF4-86D9AE9370B3}"/>
    <hyperlink ref="E1090" r:id="rId457" xr:uid="{F58C197D-CDA9-4D5A-9206-EF526988E928}"/>
    <hyperlink ref="E1006" r:id="rId458" xr:uid="{4C45DC55-5862-40DA-9FAD-C058090EC67B}"/>
    <hyperlink ref="F1006" r:id="rId459" xr:uid="{E630A0A0-1E99-4166-B7AA-73109351FAA7}"/>
    <hyperlink ref="E1007" r:id="rId460" xr:uid="{6C046340-3DE0-418E-B2D6-8259B7806A29}"/>
    <hyperlink ref="F1007" r:id="rId461" xr:uid="{870D8CE5-EF1A-4BA9-A184-03441322821A}"/>
    <hyperlink ref="E410" r:id="rId462" xr:uid="{7061D1B0-8D41-43F3-BCC5-5397C2240FD6}"/>
    <hyperlink ref="E411" r:id="rId463" xr:uid="{3FD7867A-BB70-47DB-B20D-AECC80370180}"/>
    <hyperlink ref="F410" r:id="rId464" xr:uid="{4351CAB5-2C1E-4573-B078-89BD9D263748}"/>
    <hyperlink ref="F411" r:id="rId465" xr:uid="{653E88CE-8ADD-4994-89B1-7A621498D090}"/>
    <hyperlink ref="E427" r:id="rId466" xr:uid="{22223F1D-B4E9-475E-871E-F50877B81E5D}"/>
    <hyperlink ref="F427" r:id="rId467" xr:uid="{FF0698B2-531C-49AB-82C6-5DE44FFFE5C6}"/>
    <hyperlink ref="E201" r:id="rId468" xr:uid="{A4AD2489-DD85-4D94-A07D-4A1AA5CF2CEB}"/>
    <hyperlink ref="F201" r:id="rId469" xr:uid="{5AD68C99-DFEA-487C-9EE8-622E27B2709C}"/>
    <hyperlink ref="E408" r:id="rId470" xr:uid="{D67FCEE3-E91C-4DF5-9E62-0C3DE9322FF0}"/>
    <hyperlink ref="F408" r:id="rId471" xr:uid="{DA13DEE4-2747-4DBB-B21A-ABD6EE8568F4}"/>
    <hyperlink ref="E873" r:id="rId472" xr:uid="{1E609C16-1EA3-4AD2-83E3-6A07161D7422}"/>
    <hyperlink ref="F873" r:id="rId473" xr:uid="{9662445C-A477-4A86-A413-D988D6002AF7}"/>
    <hyperlink ref="E419" r:id="rId474" xr:uid="{E815A1DA-E6F2-45E7-98EF-DA4643EF21CE}"/>
    <hyperlink ref="E420" r:id="rId475" xr:uid="{92146C56-92F9-4447-B94F-920BC6092AD5}"/>
    <hyperlink ref="F419" r:id="rId476" xr:uid="{7ECF163A-F85A-42BA-9394-21015F23990F}"/>
    <hyperlink ref="F420" r:id="rId477" xr:uid="{ADC33B30-5D4F-4E6E-A2C0-969061406DEB}"/>
    <hyperlink ref="E421" r:id="rId478" xr:uid="{634E246A-4F3C-4EB5-BF62-7EF0787FB423}"/>
    <hyperlink ref="F421" r:id="rId479" xr:uid="{52A267B3-3384-4B75-AC9A-C5A44E5CE3E7}"/>
    <hyperlink ref="E422" r:id="rId480" xr:uid="{826814A5-B708-45E1-87CF-943D784663A5}"/>
    <hyperlink ref="F422" r:id="rId481" xr:uid="{BDF15476-3855-447D-98CE-5E6D32C0207C}"/>
    <hyperlink ref="E764" r:id="rId482" xr:uid="{7745DAF4-349A-4397-A10D-BC584A52A124}"/>
    <hyperlink ref="E765" r:id="rId483" xr:uid="{0C91F697-D27B-41D0-A0A1-7A287EAC278A}"/>
    <hyperlink ref="E766" r:id="rId484" xr:uid="{43001B5C-A6A3-4250-B6BA-051758C9FDBC}"/>
    <hyperlink ref="F764" r:id="rId485" xr:uid="{0A31067D-4AF5-439F-8C3F-5E73D0DE2AC1}"/>
    <hyperlink ref="F765" r:id="rId486" xr:uid="{B8A04701-3093-4D2F-8900-DA7D179CCAFC}"/>
    <hyperlink ref="F766" r:id="rId487" xr:uid="{AD86CAEB-0632-4B96-AC41-50E9E83132B6}"/>
    <hyperlink ref="F412" r:id="rId488" xr:uid="{8CF57FB5-EAC8-4F9C-81DD-1306E6860F95}"/>
    <hyperlink ref="E412" r:id="rId489" xr:uid="{11D780D2-7A19-462C-9569-84E59EB32456}"/>
    <hyperlink ref="E413" r:id="rId490" xr:uid="{6AC1954F-8DD6-464D-A666-25AB88AC6879}"/>
    <hyperlink ref="F413" r:id="rId491" xr:uid="{930190ED-167A-4E83-8448-AC82C0BBC519}"/>
    <hyperlink ref="E993" r:id="rId492" xr:uid="{0F6EF528-8A97-429F-B0B8-4157C3192435}"/>
    <hyperlink ref="F993" r:id="rId493" xr:uid="{CBF1389D-7903-47A2-8AC0-201DC34DA899}"/>
    <hyperlink ref="E802" r:id="rId494" xr:uid="{CC75CE60-809E-48A0-8652-2C39815B2FD0}"/>
    <hyperlink ref="F802" r:id="rId495" xr:uid="{321E0877-8E7F-4568-AB64-BE89B744D74D}"/>
    <hyperlink ref="F1025" r:id="rId496" xr:uid="{2CAC35B6-9E46-4261-90F4-AD3BBEBFF737}"/>
    <hyperlink ref="E1025" r:id="rId497" xr:uid="{92FE400D-AF86-4378-BF28-ED01786013BB}"/>
    <hyperlink ref="E1026" r:id="rId498" xr:uid="{86C6C23A-EA26-4D98-AB41-D17E6462CF4B}"/>
    <hyperlink ref="F1026" r:id="rId499" xr:uid="{71BF8AE4-52AD-4D4C-9629-3E640D77CD43}"/>
    <hyperlink ref="E679" r:id="rId500" xr:uid="{0D434518-F8E7-4982-85AC-A1A2FF7D1595}"/>
    <hyperlink ref="E1004" r:id="rId501" xr:uid="{537A3DBC-84A8-430C-AD4C-5EF8DACF4E37}"/>
    <hyperlink ref="E1005" r:id="rId502" xr:uid="{B0DF4B4F-54FD-424C-96CF-C156103B9D9A}"/>
    <hyperlink ref="F1004" r:id="rId503" xr:uid="{1B69CC25-5590-434A-9BB6-2E60F63AB92A}"/>
    <hyperlink ref="F1005" r:id="rId504" xr:uid="{AE8BCA48-70FA-45B0-87FF-A446ECC1ABEF}"/>
    <hyperlink ref="E93" r:id="rId505" xr:uid="{587298A1-677C-4319-94E2-10F0A19F164D}"/>
    <hyperlink ref="E94" r:id="rId506" xr:uid="{CA4A2680-FFF5-4BFF-A093-14F54D5CC55E}"/>
    <hyperlink ref="E95" r:id="rId507" xr:uid="{5A1D26BA-35F5-4693-AE77-7B3A19D15054}"/>
    <hyperlink ref="E96" r:id="rId508" xr:uid="{F3384678-5DE8-4D67-848B-92D9FF54F615}"/>
    <hyperlink ref="E97" r:id="rId509" xr:uid="{CC44CB7E-BE0B-4B90-82A0-3D5E43B5B816}"/>
    <hyperlink ref="E98" r:id="rId510" xr:uid="{49820A8B-9CA2-4DB0-8B90-31327DB0387B}"/>
    <hyperlink ref="E99" r:id="rId511" xr:uid="{EDFCC7D0-C63A-4904-9188-88248292E803}"/>
    <hyperlink ref="E100" r:id="rId512" xr:uid="{A46424E3-E0AC-48ED-8123-6FB84C41916A}"/>
    <hyperlink ref="F93" r:id="rId513" xr:uid="{0AF4A373-6C50-4BBB-8FCB-85614314439B}"/>
    <hyperlink ref="F94" r:id="rId514" xr:uid="{143F98D1-AB00-4FA7-8B27-2BA2177B7539}"/>
    <hyperlink ref="F95" r:id="rId515" xr:uid="{FFDE12C3-1ED9-4011-B54E-D119471589E4}"/>
    <hyperlink ref="F96" r:id="rId516" xr:uid="{20AA939D-C4A6-452A-BF49-65B157DD04CB}"/>
    <hyperlink ref="F97" r:id="rId517" xr:uid="{E08822F9-110C-4091-B341-352259AF4320}"/>
    <hyperlink ref="F98" r:id="rId518" xr:uid="{90539FD7-D638-45A6-92B5-68EB1BF0AE7F}"/>
    <hyperlink ref="F99" r:id="rId519" xr:uid="{2EA3233F-C5F7-4C22-ABA2-31E60679C809}"/>
    <hyperlink ref="F100" r:id="rId520" xr:uid="{CB01AEE4-E812-4E6D-8C21-EE37C5DD277E}"/>
    <hyperlink ref="E109" r:id="rId521" xr:uid="{608281A0-7D27-4E89-8C70-A4D39FF69FCE}"/>
    <hyperlink ref="E110" r:id="rId522" xr:uid="{2487F914-9CEE-4C4A-A0CD-75EC03856E3E}"/>
    <hyperlink ref="E111" r:id="rId523" xr:uid="{4BD112C2-31DC-4E87-96AD-E462D4738E9F}"/>
    <hyperlink ref="E112" r:id="rId524" xr:uid="{CB971F12-7CBD-4B5B-926E-96AA68747586}"/>
    <hyperlink ref="E113" r:id="rId525" xr:uid="{AD26A8E6-9530-436E-9EAE-E0A86678CC63}"/>
    <hyperlink ref="E114" r:id="rId526" xr:uid="{FFD5D694-E8A6-4FD6-9878-4BBCDFA1013F}"/>
    <hyperlink ref="E115" r:id="rId527" xr:uid="{2A992A39-11C6-4B0A-8DD7-0A808414EF0B}"/>
    <hyperlink ref="E116" r:id="rId528" xr:uid="{3C943879-B818-4B1B-A884-7E56E7909A2C}"/>
    <hyperlink ref="F109" r:id="rId529" xr:uid="{8D3D0A97-1305-4399-8EA5-F7140A9967E4}"/>
    <hyperlink ref="F110" r:id="rId530" xr:uid="{14E2D7A2-E5B7-4330-9D8E-E6E57DF5C5F7}"/>
    <hyperlink ref="F111" r:id="rId531" xr:uid="{B4A3C655-8E01-4549-904B-EDAE96B187C0}"/>
    <hyperlink ref="F112" r:id="rId532" xr:uid="{1C475905-1C7D-4604-A4AA-1B875C7CD6EA}"/>
    <hyperlink ref="F113" r:id="rId533" xr:uid="{500F4074-3EBC-4392-810B-1A20B0A547B1}"/>
    <hyperlink ref="F114" r:id="rId534" xr:uid="{1105CB8F-0253-4851-A252-D6238441B5EE}"/>
    <hyperlink ref="F115" r:id="rId535" xr:uid="{17DB33B0-7459-4EDC-B3F0-058C74FC588E}"/>
    <hyperlink ref="F116" r:id="rId536" xr:uid="{F7475991-997D-432F-A635-9B7CB6733C89}"/>
    <hyperlink ref="E173" r:id="rId537" xr:uid="{D8DC7A7A-6C3E-43F9-873D-9B7EF6D8FDEF}"/>
    <hyperlink ref="F173" r:id="rId538" xr:uid="{2E97C75E-9CCC-4587-BB38-2B9E6F890B75}"/>
    <hyperlink ref="E476" r:id="rId539" xr:uid="{6A7079C6-206F-442C-89D3-C7B4E819F588}"/>
    <hyperlink ref="E816" r:id="rId540" xr:uid="{B290F20E-C747-4B73-9A20-5A79CEC6305E}"/>
    <hyperlink ref="E817" r:id="rId541" xr:uid="{4542E37C-DE33-49F9-998C-F2E3BE1A5275}"/>
    <hyperlink ref="F816" r:id="rId542" xr:uid="{A356A77D-8913-44FA-8E44-FD79075AAC28}"/>
    <hyperlink ref="F817" r:id="rId543" xr:uid="{A5BFA01F-24B3-45D6-996C-77B20E359A01}"/>
    <hyperlink ref="E212" r:id="rId544" xr:uid="{44E30407-FD50-4465-B3AD-8E1C1DE058E9}"/>
    <hyperlink ref="F212" r:id="rId545" xr:uid="{0FC27F48-6B94-441D-928E-F125F491661A}"/>
    <hyperlink ref="E483" r:id="rId546" xr:uid="{3888E179-7A7F-42F3-B196-01BA191F500F}"/>
    <hyperlink ref="E484" r:id="rId547" xr:uid="{981A7189-93FD-4BD2-97D5-8B03C14C1599}"/>
    <hyperlink ref="E485" r:id="rId548" xr:uid="{09E53DB5-CCA8-45B7-838E-40AB1A4A2D47}"/>
    <hyperlink ref="F483" r:id="rId549" xr:uid="{B915F866-D462-4EDB-8E66-843A00598F43}"/>
    <hyperlink ref="F484" r:id="rId550" xr:uid="{E18E36ED-24A2-4ECB-BB44-C9144BA9E42B}"/>
    <hyperlink ref="F485" r:id="rId551" xr:uid="{27172C67-40A0-4CB3-BEB5-46A521406E03}"/>
    <hyperlink ref="E1043" r:id="rId552" xr:uid="{6C7119A5-3FF7-469C-809F-FDD8339D83DA}"/>
    <hyperlink ref="F1043" r:id="rId553" xr:uid="{8FF901F2-CDBB-47D7-A9AA-954DF271ECCB}"/>
    <hyperlink ref="E187" r:id="rId554" xr:uid="{A819FF99-98D4-463A-BF8B-334A49F42471}"/>
    <hyperlink ref="F187" r:id="rId555" xr:uid="{AC466881-EE80-4EF3-B8AA-A0E8C145B164}"/>
    <hyperlink ref="E535" r:id="rId556" xr:uid="{80DCB64C-D211-468F-BBBC-08FC9F4CC061}"/>
    <hyperlink ref="F535" r:id="rId557" xr:uid="{63D59166-3308-47DD-BD5E-A4BBB38FBB40}"/>
    <hyperlink ref="F415" r:id="rId558" xr:uid="{30483AB1-894F-4ADB-9E69-A0DC31EF6D2E}"/>
    <hyperlink ref="E415" r:id="rId559" xr:uid="{155D52C2-2DFA-4A5F-8BA7-692CB3887442}"/>
    <hyperlink ref="E416" r:id="rId560" xr:uid="{A8E45CA0-40DD-49B3-928C-47287DA50D21}"/>
    <hyperlink ref="E417" r:id="rId561" xr:uid="{E7DB1FDC-1D01-438E-AFBB-EDED2FAF8CD6}"/>
    <hyperlink ref="F416" r:id="rId562" xr:uid="{937941A5-6DBD-4B2E-BBB7-333F6C45DC13}"/>
    <hyperlink ref="F417" r:id="rId563" xr:uid="{5D48D65C-9B34-4FA3-AE2E-FF092FCE5E07}"/>
    <hyperlink ref="E1054" r:id="rId564" xr:uid="{E079DC4F-0CA6-46EA-9F4E-CF9B5DEEA6C1}"/>
    <hyperlink ref="F1054" r:id="rId565" xr:uid="{4C6D40EC-497D-47A5-847C-68D991E83EC9}"/>
    <hyperlink ref="E321" r:id="rId566" xr:uid="{E9C2B9BA-991A-4131-81CC-F168C50B7E4A}"/>
    <hyperlink ref="E322" r:id="rId567" xr:uid="{646EF339-6A55-40BC-B403-7BAB8A3BBCCD}"/>
    <hyperlink ref="E323" r:id="rId568" xr:uid="{9A5C1932-52BF-4139-976E-2D5A58C1F515}"/>
    <hyperlink ref="E324" r:id="rId569" xr:uid="{E47516D1-C89B-4E18-B0FD-303A5F25BB91}"/>
    <hyperlink ref="E325" r:id="rId570" xr:uid="{66157236-8134-43A9-A73F-105671FA7123}"/>
    <hyperlink ref="F321" r:id="rId571" xr:uid="{7E308B69-D54F-491F-8FAA-D61DAAC0C091}"/>
    <hyperlink ref="F322" r:id="rId572" xr:uid="{C423834D-604B-4232-9D77-40A6EAEE88DE}"/>
    <hyperlink ref="F323" r:id="rId573" xr:uid="{4E980E9A-5505-4BC8-9A5F-D0C13A2945AD}"/>
    <hyperlink ref="F324" r:id="rId574" xr:uid="{97346792-31B2-4ACB-939B-8077970C5793}"/>
    <hyperlink ref="F325" r:id="rId575" xr:uid="{8D0167D8-B3C3-4FCF-A98C-DF070F111D6C}"/>
    <hyperlink ref="E1038" r:id="rId576" xr:uid="{B6A834D8-BCFD-48C9-8F86-7A3BCC90343A}"/>
    <hyperlink ref="F1038" r:id="rId577" xr:uid="{7A75F3B5-76FB-40FA-8BD1-26B628A6BEE6}"/>
    <hyperlink ref="E681" r:id="rId578" xr:uid="{6AF28F14-9321-47BD-B364-0474CB545BA8}"/>
    <hyperlink ref="E680" r:id="rId579" xr:uid="{F6E8CAD3-6915-478C-8099-C145F8612740}"/>
    <hyperlink ref="E141" r:id="rId580" xr:uid="{8AF3CAE6-E059-4958-AD9B-5777E3FCB3F8}"/>
    <hyperlink ref="F141" r:id="rId581" xr:uid="{3FF9760C-C8AF-4D66-990D-5DD7FC2B9287}"/>
    <hyperlink ref="F980" r:id="rId582" xr:uid="{E845D673-1890-4E71-A7D9-763569C4F1E5}"/>
    <hyperlink ref="E980" r:id="rId583" xr:uid="{5328B13C-0D3B-4BC9-9B75-56C7D25266A6}"/>
    <hyperlink ref="E1049" r:id="rId584" xr:uid="{1C2EEF0A-7DA0-4673-AF33-7A04FE046E39}"/>
    <hyperlink ref="F1049" r:id="rId585" xr:uid="{86F3AF56-3481-4063-A3AF-79C3B2970AFE}"/>
    <hyperlink ref="E1047" r:id="rId586" xr:uid="{5CC5AED8-64A9-48E8-B24C-2FB60A59FD6A}"/>
    <hyperlink ref="E1048" r:id="rId587" xr:uid="{364F6635-2E6B-453D-AA54-4A9726F48EB5}"/>
    <hyperlink ref="F1047" r:id="rId588" xr:uid="{4EE80186-95E3-4606-B36B-2AC7B67ED4EE}"/>
    <hyperlink ref="F1048" r:id="rId589" xr:uid="{1D4728B6-E5F3-4989-9216-F359CA84C59B}"/>
    <hyperlink ref="E600" r:id="rId590" xr:uid="{AB141966-42DA-40F3-9EC0-40C341540496}"/>
    <hyperlink ref="E601" r:id="rId591" xr:uid="{A5F60D06-E0CB-4C08-93BD-562D51C81BF6}"/>
    <hyperlink ref="E602" r:id="rId592" xr:uid="{AC58EB8A-8A1C-40A3-8AD5-305438695B33}"/>
    <hyperlink ref="E603" r:id="rId593" xr:uid="{A91DE399-7021-409D-A4D4-FC86AA1658AD}"/>
    <hyperlink ref="E604" r:id="rId594" xr:uid="{C9E0566A-0926-404C-B3B3-A1E05BB63D71}"/>
    <hyperlink ref="E605" r:id="rId595" xr:uid="{594A46BF-31A3-476A-A691-57D520EB5948}"/>
    <hyperlink ref="F600" r:id="rId596" xr:uid="{3526ECBF-9B6F-44B3-81E6-83FCC288DBE6}"/>
    <hyperlink ref="F601" r:id="rId597" xr:uid="{FBF239B5-62D6-433F-9D97-DD9E4D37D218}"/>
    <hyperlink ref="F602" r:id="rId598" xr:uid="{B38D702D-FBB2-481B-8AA2-663FCFC32DA9}"/>
    <hyperlink ref="F603" r:id="rId599" xr:uid="{46ABB5EB-1831-44CD-98B8-C04FD3205477}"/>
    <hyperlink ref="F604" r:id="rId600" xr:uid="{3A31C97C-587D-436B-93B7-E9A9F9596854}"/>
    <hyperlink ref="F605" r:id="rId601" xr:uid="{4D33F301-9027-4497-9C4F-4D52E03E5137}"/>
    <hyperlink ref="F91" r:id="rId602" xr:uid="{1A2AA459-257C-4E9F-BD14-1467429164E6}"/>
    <hyperlink ref="E91" r:id="rId603" xr:uid="{53D8640C-7A52-4068-B5A6-08DD31E3611B}"/>
    <hyperlink ref="E360" r:id="rId604" xr:uid="{BE6A1FD2-4658-4301-891B-D1036DC53148}"/>
    <hyperlink ref="F360" r:id="rId605" xr:uid="{9431BA6D-0DAE-485B-B786-45DDCEB5F4D5}"/>
    <hyperlink ref="E831" r:id="rId606" xr:uid="{CDA535B8-5FA4-45A8-B540-62D479E68888}"/>
    <hyperlink ref="F831" r:id="rId607" xr:uid="{1D34E7B3-E68A-470D-B3F8-FA146FAD3D62}"/>
    <hyperlink ref="F959" r:id="rId608" xr:uid="{6F07B565-276A-4B7D-8EA3-11DCE0DB10E2}"/>
    <hyperlink ref="E959" r:id="rId609" xr:uid="{D75B1B5D-9B2E-4A50-A15C-D81E0AE1ABB9}"/>
    <hyperlink ref="E1040" r:id="rId610" xr:uid="{CE265BF0-F58E-427C-B69F-4E14FAFC284A}"/>
    <hyperlink ref="F1040" r:id="rId611" xr:uid="{D220DF9C-4AD5-482D-B838-765E10EA453F}"/>
    <hyperlink ref="E451" r:id="rId612" xr:uid="{F2446B12-DB55-4C10-BA36-CC129EF9A35A}"/>
    <hyperlink ref="E452" r:id="rId613" xr:uid="{84C86A51-20A2-48A1-9DBC-9C35252C5D2E}"/>
    <hyperlink ref="E453" r:id="rId614" xr:uid="{9A051DA2-7725-4303-A550-893D92B08E25}"/>
    <hyperlink ref="E454" r:id="rId615" xr:uid="{F561CEAC-696E-417E-82E5-78E5DAAF156D}"/>
    <hyperlink ref="E455" r:id="rId616" xr:uid="{BA9E0734-C57A-473F-A012-294F0895BF2C}"/>
    <hyperlink ref="F451" r:id="rId617" xr:uid="{EEE9841E-33DB-4767-8375-22DD015D968A}"/>
    <hyperlink ref="F452" r:id="rId618" xr:uid="{DF5E566A-BBE2-479B-AC2D-754BA739B380}"/>
    <hyperlink ref="F453" r:id="rId619" xr:uid="{E3B3A081-2D86-42A7-AA8B-2AA92CB11A15}"/>
    <hyperlink ref="F454" r:id="rId620" xr:uid="{B3A802CD-7F8C-4189-9E34-6F7541DF65EE}"/>
    <hyperlink ref="F455" r:id="rId621" xr:uid="{FD599BAE-78B1-472A-B9EF-77C3C0AAAAA1}"/>
    <hyperlink ref="E618" r:id="rId622" xr:uid="{122A1256-24F8-4A9A-AC77-DD2233EC2D84}"/>
    <hyperlink ref="E619" r:id="rId623" xr:uid="{52F5F65D-6309-408F-A449-ABBB23CB9208}"/>
    <hyperlink ref="E620" r:id="rId624" xr:uid="{0711C8D8-A1EC-49DE-9DD2-7BD43CE3B40D}"/>
    <hyperlink ref="E621" r:id="rId625" xr:uid="{E900F53D-3A03-4414-A1B9-38AFAC91454C}"/>
    <hyperlink ref="E622" r:id="rId626" xr:uid="{2EE17A3B-9636-41E0-92A7-F0FEC0D4DCD1}"/>
    <hyperlink ref="E623" r:id="rId627" xr:uid="{C1C0D4BD-952C-4DFA-B595-34D5882BDD1E}"/>
    <hyperlink ref="F619" r:id="rId628" xr:uid="{3E378483-95A4-4E54-BAAE-D9E945A5BA7F}"/>
    <hyperlink ref="F618" r:id="rId629" xr:uid="{36347FAE-34FE-4311-B0DD-E44046932EE4}"/>
    <hyperlink ref="F621" r:id="rId630" xr:uid="{A68C58BE-2797-4A1F-B30E-C8211FE27A25}"/>
    <hyperlink ref="F620" r:id="rId631" xr:uid="{A1FC31D1-C16F-479D-9AC2-C463F7E4806B}"/>
    <hyperlink ref="F623" r:id="rId632" xr:uid="{F183C364-D907-403A-9648-30D037AA6FED}"/>
    <hyperlink ref="E1058" r:id="rId633" xr:uid="{8FFEE2C2-0F39-40B7-9948-7B04B251315B}"/>
    <hyperlink ref="E1059" r:id="rId634" xr:uid="{A65CBD38-2EA3-4F67-8718-6A43CD2AF68B}"/>
    <hyperlink ref="E1060" r:id="rId635" xr:uid="{8BCFACDE-B569-4D94-B428-E4309FD8F762}"/>
    <hyperlink ref="F1058" r:id="rId636" xr:uid="{5D6D1D62-0A9E-4953-B5F1-F2F9EF8727B6}"/>
    <hyperlink ref="F1059" r:id="rId637" xr:uid="{BEECC82D-42FB-4F9A-9687-46ED77754D4E}"/>
    <hyperlink ref="F1060" r:id="rId638" xr:uid="{8CAE6B3D-1F76-43CE-8C89-D4A464119366}"/>
    <hyperlink ref="F374" r:id="rId639" xr:uid="{840C1A8E-DE63-49AF-99FD-7CDF652A1FD3}"/>
    <hyperlink ref="E374" r:id="rId640" xr:uid="{53BD1EF8-72F9-444C-9054-890612085349}"/>
    <hyperlink ref="E375" r:id="rId641" xr:uid="{E2D27978-D846-4DE6-A35D-BEB7EFBE6782}"/>
    <hyperlink ref="F375" r:id="rId642" xr:uid="{7050A0DB-E861-4824-BF24-7DF06CFAC39A}"/>
    <hyperlink ref="E377" r:id="rId643" xr:uid="{607F7EDF-8DC7-4EF5-917E-B2CF3AAAA1AC}"/>
    <hyperlink ref="F377" r:id="rId644" xr:uid="{7B941F81-E52E-43B9-8865-9BEA0028E348}"/>
    <hyperlink ref="E755" r:id="rId645" xr:uid="{9F2A5F95-2507-4201-9AE3-12D8B06D8F7C}"/>
    <hyperlink ref="E756" r:id="rId646" xr:uid="{E73B12A0-6C8A-440B-82F4-9A9F05F1C891}"/>
    <hyperlink ref="E757" r:id="rId647" xr:uid="{A3BEC8CF-C249-4396-9C9D-CAAF8CABD5B4}"/>
    <hyperlink ref="E758" r:id="rId648" xr:uid="{C48A18BA-4367-45AE-98C7-F09E7C07EA8D}"/>
    <hyperlink ref="E759" r:id="rId649" xr:uid="{E82A0C83-FE6E-4233-8E1F-DA2C3D708557}"/>
    <hyperlink ref="E760" r:id="rId650" xr:uid="{BD5A3239-C1C7-46EC-B73A-D5091D7E36C3}"/>
    <hyperlink ref="F755" r:id="rId651" xr:uid="{91F3773B-1068-4042-8EDF-EB9E786D3A70}"/>
    <hyperlink ref="F756" r:id="rId652" xr:uid="{1F1446E1-9005-44D4-A6A8-A1C8B1FE5C69}"/>
    <hyperlink ref="F757" r:id="rId653" xr:uid="{994851CE-0B07-489D-A2D9-5B5934DB858F}"/>
    <hyperlink ref="F758" r:id="rId654" xr:uid="{0B4EDB8C-9949-452C-A8EB-33960FABA1CA}"/>
    <hyperlink ref="F759" r:id="rId655" xr:uid="{587C77CB-CD77-4FA5-A636-FF0356E1EE11}"/>
    <hyperlink ref="F760" r:id="rId656" xr:uid="{A4B8BF3C-2E45-4842-A616-355E2F510666}"/>
    <hyperlink ref="E869" r:id="rId657" xr:uid="{941D4F9D-FDFA-4734-AD79-8984F2370890}"/>
    <hyperlink ref="F869" r:id="rId658" xr:uid="{84CA3291-9EB7-4D98-AB45-B657F4C84114}"/>
    <hyperlink ref="E874" r:id="rId659" xr:uid="{D5F8CB60-CD40-4DC2-BDA8-B074CD7F843A}"/>
    <hyperlink ref="E875" r:id="rId660" xr:uid="{1DBD26EC-26C3-4CBE-9889-AEFD37E6FC2D}"/>
    <hyperlink ref="E876" r:id="rId661" xr:uid="{F3F6C7A0-4F5F-4AAB-A474-2922722FDF5D}"/>
    <hyperlink ref="F874" r:id="rId662" xr:uid="{B9232714-5D3A-490E-A0DB-420E480DCF48}"/>
    <hyperlink ref="F875" r:id="rId663" xr:uid="{272CB375-673A-4557-97D5-E2493CB11DA0}"/>
    <hyperlink ref="F876" r:id="rId664" xr:uid="{6E2F141C-061A-4CE5-A4EC-D8053D04B066}"/>
    <hyperlink ref="E963" r:id="rId665" xr:uid="{A411FCFE-4AA7-45F7-9893-EB4FCA93037A}"/>
    <hyperlink ref="E964" r:id="rId666" xr:uid="{442B89E4-D04F-420B-AE0D-4CC8FA522527}"/>
    <hyperlink ref="F963" r:id="rId667" xr:uid="{BA8354C9-A23C-4D4F-A5ED-BCB9DA9CEA7D}"/>
    <hyperlink ref="F964" r:id="rId668" xr:uid="{6978871A-D3DF-4B75-B1D7-5FE6109F9EBC}"/>
    <hyperlink ref="E919" r:id="rId669" xr:uid="{D97E263C-ACBD-4F18-B540-9AC092A8648A}"/>
    <hyperlink ref="F919" r:id="rId670" xr:uid="{D8A7A354-AD25-4559-843B-A98588E13921}"/>
    <hyperlink ref="E369" r:id="rId671" xr:uid="{E646C3F6-ED95-4A37-BAC6-1B1D6A25EA93}"/>
    <hyperlink ref="F369" r:id="rId672" xr:uid="{FEE0384D-B0C1-4A05-B562-62A62CE02027}"/>
    <hyperlink ref="E466" r:id="rId673" xr:uid="{13746A23-DC4A-4F6B-AA8D-D8A9888F3E80}"/>
    <hyperlink ref="F466" r:id="rId674" xr:uid="{51FB43B0-08AE-4A42-B6B1-165C23F78C60}"/>
    <hyperlink ref="E192" r:id="rId675" xr:uid="{74B3769B-C911-4504-9DDF-154446D9746A}"/>
    <hyperlink ref="E537" r:id="rId676" xr:uid="{4B452125-DA2F-4BC1-9D9E-60A3822DAF6F}"/>
    <hyperlink ref="F537" r:id="rId677" xr:uid="{D5A93905-A79D-42D3-938F-8748DE910650}"/>
    <hyperlink ref="E538" r:id="rId678" xr:uid="{ACE6E1F3-1E78-4662-BCFC-05450BC4C003}"/>
    <hyperlink ref="F538" r:id="rId679" xr:uid="{3277A9A8-505A-4EE9-A283-5E2FC5C07FF2}"/>
    <hyperlink ref="E860" r:id="rId680" xr:uid="{B0F0E0B8-47BE-4246-9E36-90F7B86C56E6}"/>
    <hyperlink ref="F860" r:id="rId681" xr:uid="{D0755A6A-81E2-4A01-A182-61F40556271E}"/>
    <hyperlink ref="E1035" r:id="rId682" xr:uid="{B566C096-4380-4F44-B160-8A66B05DCB84}"/>
    <hyperlink ref="F1035" r:id="rId683" xr:uid="{6F610F50-1BEF-4FC8-A9CD-A33CA49289FB}"/>
    <hyperlink ref="E872" r:id="rId684" xr:uid="{E2F57A64-CCFA-42C0-9578-8C31F46F251B}"/>
    <hyperlink ref="F872" r:id="rId685" xr:uid="{1F3C217E-9BFD-47A4-89FE-5790E634EBBB}"/>
    <hyperlink ref="E826" r:id="rId686" xr:uid="{09946663-176B-4A1B-ABF5-C5BED06065C2}"/>
    <hyperlink ref="E827" r:id="rId687" xr:uid="{8701C28A-1793-48AF-84C3-C5ECEB2FFB34}"/>
    <hyperlink ref="F826" r:id="rId688" xr:uid="{3C90D35A-BCD8-49F8-8E35-DF94D6347C10}"/>
    <hyperlink ref="F827" r:id="rId689" xr:uid="{56237412-248D-4033-9BB8-582B98D42ECE}"/>
    <hyperlink ref="E992" r:id="rId690" xr:uid="{976A688D-0D9B-4E41-8561-AF93C7133301}"/>
    <hyperlink ref="F992" r:id="rId691" xr:uid="{AD00F387-4B75-46B8-A42B-258F2153A41C}"/>
    <hyperlink ref="E101" r:id="rId692" xr:uid="{40B924BC-417E-4086-9E0A-EAD8A7F573B7}"/>
    <hyperlink ref="E102" r:id="rId693" xr:uid="{CAA8F9CC-7D79-4456-99C8-8544C3200298}"/>
    <hyperlink ref="E103" r:id="rId694" xr:uid="{EE01A740-1C15-460B-8958-35C3995DDFB4}"/>
    <hyperlink ref="E104" r:id="rId695" xr:uid="{BF948DC4-39C4-491D-A0BF-47BE74B9380B}"/>
    <hyperlink ref="E105" r:id="rId696" xr:uid="{DD0D6AD0-ED45-4A3F-9A32-F11B66D5C390}"/>
    <hyperlink ref="E106" r:id="rId697" xr:uid="{19D24AEF-27CA-434D-8F52-C2AEFF16CBAC}"/>
    <hyperlink ref="E107" r:id="rId698" xr:uid="{3E570E6C-0795-4D91-BA31-A9201776B913}"/>
    <hyperlink ref="E108" r:id="rId699" xr:uid="{F93B038C-5719-412D-8A36-14BCFEE2F4D0}"/>
    <hyperlink ref="F101" r:id="rId700" xr:uid="{950C5056-E1F4-4BAD-98CE-D21F75FBB095}"/>
    <hyperlink ref="F102" r:id="rId701" xr:uid="{F370D967-333C-4C5A-8C84-C3CBD3774E48}"/>
    <hyperlink ref="F103" r:id="rId702" xr:uid="{F2077411-C916-4DE8-8759-52057980B895}"/>
    <hyperlink ref="F104" r:id="rId703" xr:uid="{0F0822F4-236E-416E-884F-A7442D0A91EC}"/>
    <hyperlink ref="F105" r:id="rId704" xr:uid="{7F898F91-209F-4C6B-B8FA-83F66BFECBCB}"/>
    <hyperlink ref="F106" r:id="rId705" xr:uid="{4165D080-7AE2-4207-95D1-F02993982C48}"/>
    <hyperlink ref="F107" r:id="rId706" xr:uid="{2B5AE6F2-0CC5-40BE-9513-B3CB9E6846DB}"/>
    <hyperlink ref="F108" r:id="rId707" xr:uid="{ABAE6397-C36A-4CB7-8EFE-375865D552DB}"/>
    <hyperlink ref="E117" r:id="rId708" xr:uid="{892A08B0-267D-4CBC-BDD5-DE2C7A0CC229}"/>
    <hyperlink ref="E118" r:id="rId709" xr:uid="{6622EF98-1879-4123-BF13-65DF0EDF996C}"/>
    <hyperlink ref="E119" r:id="rId710" xr:uid="{E1050203-4139-4819-BE22-975CACAC847C}"/>
    <hyperlink ref="E120" r:id="rId711" xr:uid="{B3F73389-BDA7-4339-840B-E68903A82E8B}"/>
    <hyperlink ref="E121" r:id="rId712" xr:uid="{5AD8029C-E948-4BDF-9D70-2A4460D4BE38}"/>
    <hyperlink ref="E122" r:id="rId713" xr:uid="{009A5471-854C-410E-AF4C-7B715D899BF5}"/>
    <hyperlink ref="E123" r:id="rId714" xr:uid="{1922AAEA-22C9-46F5-9BD3-828C4669E0C4}"/>
    <hyperlink ref="E124" r:id="rId715" xr:uid="{02475322-F423-4440-9DFB-128FEDD2D7FD}"/>
    <hyperlink ref="F117" r:id="rId716" xr:uid="{1E270CC4-AE62-4998-97AE-7D7BDF0BFD81}"/>
    <hyperlink ref="F118" r:id="rId717" xr:uid="{6DE060F5-B621-453E-8B22-147BF0D3F875}"/>
    <hyperlink ref="F119" r:id="rId718" xr:uid="{AE846B69-DBBB-44B4-9002-F744C6F4A302}"/>
    <hyperlink ref="F120" r:id="rId719" xr:uid="{1FD64064-9F2B-4F3E-8F51-B4C9C289DADF}"/>
    <hyperlink ref="F121" r:id="rId720" xr:uid="{E5D0DFA9-BE7C-42B8-B30C-B04D46359E6E}"/>
    <hyperlink ref="F122" r:id="rId721" xr:uid="{AD4F9445-7D4B-4D7F-9B5D-E22D82093907}"/>
    <hyperlink ref="F123" r:id="rId722" xr:uid="{1E143D9E-282C-45D3-A214-6A7E74E538D2}"/>
    <hyperlink ref="F124" r:id="rId723" xr:uid="{09F30926-69C9-4CD9-A562-10324DAF248B}"/>
    <hyperlink ref="E488" r:id="rId724" xr:uid="{AE5B9937-295A-4B25-815D-CFC16574F949}"/>
    <hyperlink ref="F488" r:id="rId725" xr:uid="{7B2F472D-EEAF-45B7-82CC-1BB97E989FCB}"/>
    <hyperlink ref="E361" r:id="rId726" xr:uid="{FF82E26E-8BDE-4701-9C27-10299C1F0436}"/>
    <hyperlink ref="E362" r:id="rId727" xr:uid="{E3CE2774-8A5E-4793-B2D5-A79772942873}"/>
    <hyperlink ref="E363" r:id="rId728" xr:uid="{5CA011FC-24CD-43CB-BD1F-93ED84817C5E}"/>
    <hyperlink ref="E364" r:id="rId729" xr:uid="{AA947D2F-3E37-41D7-A678-D1223747FAB1}"/>
    <hyperlink ref="F361" r:id="rId730" xr:uid="{7BBAE753-1976-49E7-89D9-029B23BDBC8C}"/>
    <hyperlink ref="F362" r:id="rId731" xr:uid="{96A155EC-AD5A-4825-884D-4D854374C34D}"/>
    <hyperlink ref="F363" r:id="rId732" xr:uid="{2F71CC14-C405-43AE-97EE-E2456C87CA9C}"/>
    <hyperlink ref="F364" r:id="rId733" xr:uid="{9C24F98D-C6D1-4566-8405-5FF2E20679BC}"/>
    <hyperlink ref="E996" r:id="rId734" xr:uid="{B39BEDBE-FC97-467F-B371-09F43222B592}"/>
    <hyperlink ref="E997" r:id="rId735" xr:uid="{81E68DD8-A471-4DB0-AEE0-F4E626779D96}"/>
    <hyperlink ref="E998" r:id="rId736" xr:uid="{0CB394DB-48AE-439F-B6DB-137AAC7C07E8}"/>
    <hyperlink ref="E999" r:id="rId737" xr:uid="{FE72F024-FB85-4E18-9900-78B9E60827D8}"/>
    <hyperlink ref="F996" r:id="rId738" xr:uid="{513F1DBE-0586-43CB-A724-B2E329ABD6A5}"/>
    <hyperlink ref="F997" r:id="rId739" xr:uid="{1C3505B0-D40C-4E86-A7A1-3285B4023328}"/>
    <hyperlink ref="F998" r:id="rId740" xr:uid="{3CCF7929-D675-45E0-B9EC-93DF67EDBA91}"/>
    <hyperlink ref="F999" r:id="rId741" xr:uid="{89DA8A1B-B913-4060-91DA-81A73235E0D2}"/>
    <hyperlink ref="E884" r:id="rId742" xr:uid="{1A2FF678-F3D0-4427-BFD5-7A9DC0DF2C2C}"/>
    <hyperlink ref="F884" r:id="rId743" xr:uid="{312A239D-7F8E-40B6-A885-E19FA12E66F2}"/>
    <hyperlink ref="E885" r:id="rId744" xr:uid="{8418659A-B675-4A90-8923-986F3022E34E}"/>
    <hyperlink ref="F885" r:id="rId745" xr:uid="{93840657-FCE1-4549-A276-92284D79FF93}"/>
    <hyperlink ref="E1091" r:id="rId746" xr:uid="{19412D79-191D-43DD-8EA0-B7423657FC88}"/>
    <hyperlink ref="F1091" r:id="rId747" xr:uid="{F1DC8C89-7E17-40C7-9DE6-5921DC50F152}"/>
    <hyperlink ref="E397" r:id="rId748" xr:uid="{0A58BB3C-6312-4A25-946A-4965238E1EC2}"/>
    <hyperlink ref="F397" r:id="rId749" xr:uid="{C6EA41CC-AF1B-4218-82E0-36957506C535}"/>
    <hyperlink ref="E761" r:id="rId750" xr:uid="{2358AC21-8948-45B8-AA87-8EB8DB416109}"/>
    <hyperlink ref="E533" r:id="rId751" xr:uid="{012EE3AD-FCAC-4D5A-B9CF-D7A2928A21A4}"/>
    <hyperlink ref="F533" r:id="rId752" xr:uid="{B0C2C8BF-0D3C-44AB-802B-6089245E3B0C}"/>
    <hyperlink ref="E534" r:id="rId753" xr:uid="{578F4DC5-FC65-4F92-88DC-62F37B966EDC}"/>
    <hyperlink ref="F534" r:id="rId754" xr:uid="{626E8B4B-1F6D-4DA4-925F-393CD5B1E3BF}"/>
    <hyperlink ref="E319" r:id="rId755" xr:uid="{1DC77C7A-A488-495D-846C-8F5564179EBB}"/>
    <hyperlink ref="F319" r:id="rId756" xr:uid="{94ACB8BC-52C2-4170-A8A2-A892BCD0726E}"/>
    <hyperlink ref="E320" r:id="rId757" xr:uid="{5E50787A-8ADC-4342-9EBF-C55F9E546A76}"/>
    <hyperlink ref="F320" r:id="rId758" xr:uid="{986B95AF-0B51-44B9-8DE7-164C1016A5D2}"/>
    <hyperlink ref="E315" r:id="rId759" xr:uid="{A5B7DF70-9631-48F9-98A7-05111F92BB07}"/>
    <hyperlink ref="E316" r:id="rId760" xr:uid="{0C2A3A79-52C6-4F32-ABDB-79EEA7382DEA}"/>
    <hyperlink ref="E317" r:id="rId761" xr:uid="{1AF39A36-226C-4A90-80AB-381DB1F923B0}"/>
    <hyperlink ref="E318" r:id="rId762" xr:uid="{563445B4-7E69-4B25-8A94-ACAD3216B7FF}"/>
    <hyperlink ref="F315" r:id="rId763" xr:uid="{AAA702B5-1C8E-4D05-9226-AB17ECDE9F02}"/>
    <hyperlink ref="F316" r:id="rId764" xr:uid="{6F73DEBF-9CC7-4FAA-8EC2-F3E10E774E48}"/>
    <hyperlink ref="F317" r:id="rId765" xr:uid="{F66596EA-1FB2-422F-B4F0-3D800496C0BA}"/>
    <hyperlink ref="F318" r:id="rId766" xr:uid="{DDF4825B-24C2-4A61-93EF-EA1A4432267E}"/>
    <hyperlink ref="E1100" r:id="rId767" xr:uid="{4B05C062-E5ED-4CF7-9B01-7348D3110883}"/>
    <hyperlink ref="F1100" r:id="rId768" xr:uid="{07E3D710-BDFF-404B-809A-B7D9507464BF}"/>
    <hyperlink ref="E1106" r:id="rId769" xr:uid="{6B46B512-78AD-4AB5-9D76-136B59A863ED}"/>
    <hyperlink ref="F1106" r:id="rId770" xr:uid="{56208DD3-F222-43F5-B05F-BACE612B469A}"/>
    <hyperlink ref="E1104" r:id="rId771" xr:uid="{675767F2-52AA-45B1-84BB-E292AC80F19E}"/>
    <hyperlink ref="F1104" r:id="rId772" xr:uid="{475B6ECA-6A71-4755-B29F-33E7DC2FDBE3}"/>
    <hyperlink ref="E1101" r:id="rId773" xr:uid="{73230D35-88D3-480E-9FCA-34F1C0A0F8D9}"/>
    <hyperlink ref="F1101" r:id="rId774" xr:uid="{EC1B5DD8-DD27-43F1-8782-7CBD18D69A25}"/>
    <hyperlink ref="E1102" r:id="rId775" xr:uid="{3F1DFBCF-0CBE-49E5-80D4-4A6C32B71F68}"/>
    <hyperlink ref="F1102" r:id="rId776" xr:uid="{6E578591-4D93-4B3E-8273-0B37DFB06FBB}"/>
    <hyperlink ref="E1105" r:id="rId777" xr:uid="{143956EA-9EA3-4F2F-A658-65D5A1FDB100}"/>
    <hyperlink ref="F1105" r:id="rId778" xr:uid="{83A03B5B-E042-4D43-BBDC-02B75D53150F}"/>
    <hyperlink ref="E1103" r:id="rId779" xr:uid="{FFB636F8-E8F1-4A7F-A6EF-B31C9C046674}"/>
    <hyperlink ref="F1103" r:id="rId780" xr:uid="{47819472-9CE6-4D21-99BE-B08826C58589}"/>
    <hyperlink ref="E376" r:id="rId781" xr:uid="{CEE6F422-1FA3-422C-B920-10153C848A07}"/>
    <hyperlink ref="F376" r:id="rId782" xr:uid="{EB00A7AA-A684-4E8E-A16B-517D74D8B859}"/>
    <hyperlink ref="E1032" r:id="rId783" xr:uid="{425F2C57-A164-4962-B5D4-3D539CF50B6C}"/>
    <hyperlink ref="F1032" r:id="rId784" xr:uid="{667F9D25-C03D-4C3E-85BB-303BD7735FA1}"/>
    <hyperlink ref="E1033" r:id="rId785" xr:uid="{7AABF726-C874-4E60-B3F4-FB1FD6416522}"/>
    <hyperlink ref="F1033" r:id="rId786" xr:uid="{18011140-4FFA-46D5-99AA-95875E13A6D0}"/>
    <hyperlink ref="E762" r:id="rId787" xr:uid="{14EE6374-A48A-49F9-B9EE-BC46A5E1C4F9}"/>
    <hyperlink ref="E852" r:id="rId788" xr:uid="{516057FD-D1A5-4813-A8FA-6E930846F748}"/>
    <hyperlink ref="E70" r:id="rId789" xr:uid="{815D2DC3-1566-4397-99BF-451B3EBD567C}"/>
    <hyperlink ref="F70" r:id="rId790" xr:uid="{B72E42DB-734C-4455-B642-CB9E50301701}"/>
    <hyperlink ref="E949" r:id="rId791" xr:uid="{F08A8B06-79C5-4290-AF11-30F92FDA04DC}"/>
    <hyperlink ref="E950" r:id="rId792" xr:uid="{B9C0DCC5-C71A-4CC4-80DC-4E5239FB6000}"/>
    <hyperlink ref="E951" r:id="rId793" xr:uid="{5E0CB498-B569-4645-AD63-C9714F2CF20C}"/>
    <hyperlink ref="F949" r:id="rId794" xr:uid="{9DBAC254-9049-4624-BE4A-3697557DAC23}"/>
    <hyperlink ref="F950" r:id="rId795" xr:uid="{472CD8D4-789E-4922-AD41-7CEB2EA9DC4C}"/>
    <hyperlink ref="F951" r:id="rId796" xr:uid="{DA00AFE3-F0CA-4AB7-84D0-326FD8C2E15E}"/>
    <hyperlink ref="E491" r:id="rId797" xr:uid="{C2262D5C-18D7-400D-8EF4-1D5A1BA6F1FB}"/>
    <hyperlink ref="E492" r:id="rId798" xr:uid="{C45061F0-1055-4079-843B-AA6817F3E3B9}"/>
    <hyperlink ref="F491" r:id="rId799" xr:uid="{6A2FB2C0-73C3-49A9-9D7D-186C010E3189}"/>
    <hyperlink ref="F492" r:id="rId800" xr:uid="{1038F37B-FDE7-4F9A-9D2B-03A760255B96}"/>
    <hyperlink ref="F883" r:id="rId801" xr:uid="{EF8E9F5F-0218-488B-8EEE-AC5FABF60071}"/>
    <hyperlink ref="E883" r:id="rId802" xr:uid="{27310EF7-08E4-446C-A46C-C7392FE4B37B}"/>
    <hyperlink ref="E925" r:id="rId803" xr:uid="{76250893-6AF4-4181-ACA9-45F2C191EB4A}"/>
    <hyperlink ref="F925" r:id="rId804" xr:uid="{99D8417F-3AF5-4D9A-BE3A-F349498790B4}"/>
    <hyperlink ref="E164" r:id="rId805" xr:uid="{59555524-064D-4FC7-9774-7AA6DBA86037}"/>
    <hyperlink ref="E165" r:id="rId806" xr:uid="{82C80D5C-283B-47C3-A883-DA7F3C1CFEA8}"/>
    <hyperlink ref="F164" r:id="rId807" xr:uid="{1FFD5801-3D35-42CE-91D3-E8747AA1C3CD}"/>
    <hyperlink ref="F165" r:id="rId808" xr:uid="{CF05DC85-A84B-4BD7-A8A4-7ED2FB31778D}"/>
    <hyperlink ref="E645" r:id="rId809" xr:uid="{3E174961-021E-492A-BAE2-CC396D6391DC}"/>
    <hyperlink ref="E646" r:id="rId810" xr:uid="{D44FDD58-EFFE-4E36-BE7B-86AF068195F0}"/>
    <hyperlink ref="F645" r:id="rId811" xr:uid="{C0861804-79AB-4E63-8EBC-CF1DC05D84C4}"/>
    <hyperlink ref="F646" r:id="rId812" xr:uid="{435C6B3E-6554-4E8F-944B-2293AA73CDAB}"/>
    <hyperlink ref="E204" r:id="rId813" xr:uid="{BAEE33D4-A938-4DD3-891B-308459FF1BBD}"/>
    <hyperlink ref="F204" r:id="rId814" xr:uid="{9B383199-1A7E-4506-9059-F3A6FED28E66}"/>
    <hyperlink ref="E594" r:id="rId815" xr:uid="{ECCDE811-A1B8-4B1F-B19A-172097EB0CFB}"/>
    <hyperlink ref="E595" r:id="rId816" xr:uid="{665B3F28-9CBC-4448-857D-0AC9E9E02F85}"/>
    <hyperlink ref="E596" r:id="rId817" xr:uid="{87E8E225-0285-4500-AB26-A39ADE65570D}"/>
    <hyperlink ref="E597" r:id="rId818" xr:uid="{5DFBDD31-C2C6-4F84-BF4E-FCBAEF267170}"/>
    <hyperlink ref="E598" r:id="rId819" xr:uid="{00243569-6EE8-4AC8-8458-95F0DA3E34E1}"/>
    <hyperlink ref="E599" r:id="rId820" xr:uid="{97CDB5BC-3D1E-4833-BE72-D0DD8D36BFED}"/>
    <hyperlink ref="F594" r:id="rId821" xr:uid="{7593AEEC-9604-47C9-A6D1-91B5DC2BA411}"/>
    <hyperlink ref="F595" r:id="rId822" xr:uid="{961B78E3-E1A2-4C57-A017-3F43DF10E13F}"/>
    <hyperlink ref="F596" r:id="rId823" xr:uid="{ECFCC866-AA2E-4ED7-A3FE-9EC1FE266C61}"/>
    <hyperlink ref="F597" r:id="rId824" xr:uid="{2F94FC9B-FB7B-48A6-AA31-B680F3C69ECD}"/>
    <hyperlink ref="F598" r:id="rId825" xr:uid="{F4A200EC-B52E-40A6-8D7A-F5DAFA55919B}"/>
    <hyperlink ref="F599" r:id="rId826" xr:uid="{76D4DD16-96FC-458E-89B1-B4B1A7AA7258}"/>
    <hyperlink ref="E398" r:id="rId827" xr:uid="{F4DF4D5B-DF9F-4143-B4E1-2B8D7DD1735D}"/>
    <hyperlink ref="F398" r:id="rId828" xr:uid="{07B48FB7-37C2-4DCA-A5BF-CB6341177629}"/>
    <hyperlink ref="F399" r:id="rId829" xr:uid="{CE9B94FB-31DF-40BD-92F9-CE25583BE273}"/>
    <hyperlink ref="E634:E642" r:id="rId830" display="https://www.genome.jp/entry/2.7.1.11" xr:uid="{6E97AD22-FF4D-4596-9248-41DB67326DF4}"/>
    <hyperlink ref="F400" r:id="rId831" xr:uid="{A1A428B0-CF46-4489-9029-558B78622B25}"/>
    <hyperlink ref="F401" r:id="rId832" xr:uid="{3469E29E-F9A2-46B7-B800-128CC048E14B}"/>
    <hyperlink ref="F402" r:id="rId833" xr:uid="{B7D4B214-4890-4CF3-AC98-1224C8BE22E1}"/>
    <hyperlink ref="F403" r:id="rId834" xr:uid="{5E1F3770-F33B-43F6-8E29-BE5F70F535E1}"/>
    <hyperlink ref="F404" r:id="rId835" xr:uid="{0924B153-23CB-4654-A4F0-AB3C4B7E70C2}"/>
    <hyperlink ref="F405" r:id="rId836" xr:uid="{856EDBE2-2A7E-44F1-B254-AB2B9B17D34E}"/>
    <hyperlink ref="F406" r:id="rId837" xr:uid="{A5586411-D6ED-4015-A56D-0040E8A5219B}"/>
    <hyperlink ref="F407" r:id="rId838" xr:uid="{FAE8F000-F76C-491E-B25A-B7E831FC6B86}"/>
    <hyperlink ref="E443" r:id="rId839" xr:uid="{A92F744E-F0FF-47F8-AF1E-F17FBD7A29CF}"/>
    <hyperlink ref="E444" r:id="rId840" xr:uid="{540F4D7F-7DD8-4927-A887-56FA18A795A4}"/>
    <hyperlink ref="E445" r:id="rId841" xr:uid="{086A8B3A-2D9B-4EA9-A73E-E5F632F03543}"/>
    <hyperlink ref="E446" r:id="rId842" xr:uid="{6171B03F-E1A5-4ED2-8CE4-D4EEB9889456}"/>
    <hyperlink ref="E447" r:id="rId843" xr:uid="{3E81BBCE-2B42-4178-9BE3-F438F0AB234F}"/>
    <hyperlink ref="E448" r:id="rId844" xr:uid="{511B4C9A-529F-4591-A5E5-BFCE05F83302}"/>
    <hyperlink ref="E449" r:id="rId845" xr:uid="{18CBD376-658B-4F01-A16C-986CA4423FDC}"/>
    <hyperlink ref="E450" r:id="rId846" xr:uid="{B545BD27-4C04-4AA7-B06A-8E97374C4447}"/>
    <hyperlink ref="F443" r:id="rId847" xr:uid="{89A35485-2EA0-4860-84F1-FD3293A72EC3}"/>
    <hyperlink ref="F444" r:id="rId848" xr:uid="{9D5B0270-D8BD-4C30-93A6-2C77866D24D8}"/>
    <hyperlink ref="F445" r:id="rId849" xr:uid="{6E0C4347-3033-4A81-B114-C8224C42E511}"/>
    <hyperlink ref="F446" r:id="rId850" xr:uid="{9510EE00-CEC0-43EF-A0D3-01FB47F8700D}"/>
    <hyperlink ref="F447" r:id="rId851" xr:uid="{11CC7294-6DB4-462F-B659-D2B50A3C3B48}"/>
    <hyperlink ref="F448" r:id="rId852" xr:uid="{9AAF0C86-28F7-4182-ADCE-9FB4F785B449}"/>
    <hyperlink ref="F449" r:id="rId853" xr:uid="{91F7D303-BFB9-4068-9F36-4D8B3EC4A55C}"/>
    <hyperlink ref="F450" r:id="rId854" xr:uid="{9E10168C-867C-4ACD-8F53-77EE8B7CEDE7}"/>
    <hyperlink ref="E796" r:id="rId855" xr:uid="{07988807-43D2-40FC-AC75-24B793509B0E}"/>
    <hyperlink ref="E381" r:id="rId856" xr:uid="{98BAC41A-EACF-4913-9ACC-7DB3551B55BF}"/>
    <hyperlink ref="F381" r:id="rId857" xr:uid="{18A0EC4F-3240-4C30-BB3F-5C97ED299657}"/>
    <hyperlink ref="E853" r:id="rId858" xr:uid="{373B0834-AB13-409C-A099-6D093DCF0FA8}"/>
    <hyperlink ref="E991" r:id="rId859" xr:uid="{077C813D-9669-4F6D-8537-F164EC129E12}"/>
    <hyperlink ref="E430" r:id="rId860" xr:uid="{B665571D-D9F7-41A3-B1D4-181D18E3168E}"/>
    <hyperlink ref="F430" r:id="rId861" xr:uid="{880ED6A5-FBC4-44D8-A859-184805F03BF5}"/>
    <hyperlink ref="E529" r:id="rId862" xr:uid="{9B976E18-4DEE-49A0-88E0-5D454B14DBA9}"/>
    <hyperlink ref="F529" r:id="rId863" xr:uid="{084454CE-568C-497E-B61B-81CB9A98B80B}"/>
    <hyperlink ref="E1111" r:id="rId864" xr:uid="{7382EF67-C3B3-4D5A-A872-2E7C5C68FEF0}"/>
    <hyperlink ref="E1110" r:id="rId865" xr:uid="{4B52F440-0604-402C-8C68-844A5E7F91A3}"/>
    <hyperlink ref="E468" r:id="rId866" xr:uid="{5805D885-4F60-419F-A9F4-33D5657DD645}"/>
    <hyperlink ref="E432" r:id="rId867" xr:uid="{4DAC5595-A2B5-4462-B922-F946B5DF5ED7}"/>
    <hyperlink ref="E433" r:id="rId868" xr:uid="{A614F793-A97C-4DFF-BC41-5075627FDF11}"/>
    <hyperlink ref="E434" r:id="rId869" xr:uid="{16FFBB2C-AB2F-429E-B3C4-E5DFD1D782C3}"/>
    <hyperlink ref="F432" r:id="rId870" xr:uid="{33B13523-5865-4424-9A39-22A46FF7148B}"/>
    <hyperlink ref="F433" r:id="rId871" xr:uid="{B4DDC016-6DFC-4F57-B97F-4BE9CDD993EA}"/>
    <hyperlink ref="F434" r:id="rId872" xr:uid="{3D553623-53D6-45BD-9F65-E0200E4FC043}"/>
    <hyperlink ref="E341" r:id="rId873" xr:uid="{7709D50E-D65F-4DF9-A498-4B6D2D4CC256}"/>
    <hyperlink ref="E342" r:id="rId874" xr:uid="{675D4955-CC6E-47B7-AF2B-E9BA22E9DFF2}"/>
    <hyperlink ref="E343" r:id="rId875" xr:uid="{71312325-A85B-4521-8438-B641E255FA34}"/>
    <hyperlink ref="E344" r:id="rId876" xr:uid="{85CAE8D8-61FF-4597-9665-BBF49DA133E0}"/>
    <hyperlink ref="E345" r:id="rId877" xr:uid="{BB5E09F7-ABCA-4FCB-9E77-9408B8A381C1}"/>
    <hyperlink ref="F341" r:id="rId878" xr:uid="{8C9E067A-8DD1-4618-994A-EFCEFB95BA41}"/>
    <hyperlink ref="F342" r:id="rId879" xr:uid="{3522332B-1812-4EC4-9509-426EEB067158}"/>
    <hyperlink ref="F343" r:id="rId880" xr:uid="{F760A2C8-BB15-4A8E-BB7F-287FA27CBED3}"/>
    <hyperlink ref="F344" r:id="rId881" xr:uid="{81AB4963-DC3C-47DD-BA09-B0E86B9BEA69}"/>
    <hyperlink ref="F345" r:id="rId882" xr:uid="{D93EBDCB-883F-425F-82A2-3F1CFE8647E4}"/>
    <hyperlink ref="E871" r:id="rId883" xr:uid="{527FCC63-8C9A-4240-B17B-D19C1132FBA8}"/>
    <hyperlink ref="F871" r:id="rId884" xr:uid="{82E24097-2602-4888-96E5-8A5C98EAEF15}"/>
    <hyperlink ref="E828" r:id="rId885" xr:uid="{E2C47BB2-E404-46D0-BDA0-0CECD46E4609}"/>
    <hyperlink ref="E829" r:id="rId886" xr:uid="{8615BEE0-F38A-4128-A59C-7F7B03C79DEC}"/>
    <hyperlink ref="E830" r:id="rId887" xr:uid="{00F6E433-5821-4F5A-B07A-188642E1961F}"/>
    <hyperlink ref="F828" r:id="rId888" xr:uid="{DB87C736-2CAE-465E-A5B1-88FCEB47B0AC}"/>
    <hyperlink ref="F829" r:id="rId889" xr:uid="{EAF6686D-4E62-449E-B9AE-5C2EFE52D5F2}"/>
    <hyperlink ref="F830" r:id="rId890" xr:uid="{4978CD62-DD5D-4377-A0A0-B4D374CAE1F3}"/>
    <hyperlink ref="E862" r:id="rId891" xr:uid="{761C5F2D-8942-43C9-811E-2938763A9EE9}"/>
    <hyperlink ref="F862" r:id="rId892" xr:uid="{873FA8B2-99CE-40BB-BB4C-4E7B4487F27D}"/>
    <hyperlink ref="E1050" r:id="rId893" xr:uid="{893184CF-DD03-4DE7-8CCF-4DA68A1396D6}"/>
    <hyperlink ref="F1050" r:id="rId894" xr:uid="{49081E5D-8730-4EF9-A4D4-DC52280C907D}"/>
    <hyperlink ref="E1067" r:id="rId895" xr:uid="{7FDF6B71-4C84-4347-B405-A44D6C334BEE}"/>
    <hyperlink ref="F1067" r:id="rId896" xr:uid="{50A1DAB6-52CD-4278-B82E-2544D9112E2B}"/>
    <hyperlink ref="E133" r:id="rId897" xr:uid="{FCD5BC84-A64B-4600-8A7C-016030485998}"/>
    <hyperlink ref="F133" r:id="rId898" xr:uid="{CBC3331F-7962-42E0-ADBB-872B1AB40964}"/>
    <hyperlink ref="E435" r:id="rId899" xr:uid="{A36FA32B-1E2B-4CA2-AA25-83CA49081A4F}"/>
    <hyperlink ref="E436" r:id="rId900" xr:uid="{75D0A774-2C26-4AEC-AAE3-B4CCC7863F6E}"/>
    <hyperlink ref="E437" r:id="rId901" xr:uid="{944D1F9E-E497-433C-A4D9-F5895243B577}"/>
    <hyperlink ref="F435" r:id="rId902" xr:uid="{E0F83CC4-99A0-42D9-909F-39E0EA6D4676}"/>
    <hyperlink ref="F436" r:id="rId903" xr:uid="{C208DFE1-DC46-462B-9EC3-C7314C2176A9}"/>
    <hyperlink ref="F437" r:id="rId904" xr:uid="{A6281629-4394-45C9-8780-A10D252C74BC}"/>
    <hyperlink ref="E692" r:id="rId905" xr:uid="{46BEAD2C-68D1-4841-98CD-55ECAE18042F}"/>
    <hyperlink ref="E995" r:id="rId906" xr:uid="{53C05088-212A-4AE1-A457-563FEB860FFC}"/>
    <hyperlink ref="E1042" r:id="rId907" xr:uid="{21308D4E-21E7-469C-B118-B53EBFD741CD}"/>
    <hyperlink ref="F1042" r:id="rId908" xr:uid="{734D87C3-1216-48D0-A67A-A84CD39951D4}"/>
    <hyperlink ref="E349" r:id="rId909" xr:uid="{E493CAE4-9EA2-4404-B919-909E933CE6DC}"/>
    <hyperlink ref="F349" r:id="rId910" xr:uid="{BC733996-2823-4AE3-ADE5-5BB106A456B4}"/>
    <hyperlink ref="E881" r:id="rId911" xr:uid="{6C7D7A94-325C-4E82-B9E4-85B287AA6A01}"/>
    <hyperlink ref="F881" r:id="rId912" xr:uid="{5585324B-07EF-48B4-8DF7-06CFB0290350}"/>
    <hyperlink ref="E879" r:id="rId913" xr:uid="{EFE00DD6-21E8-437B-9B6E-D29D5FA8DAF3}"/>
    <hyperlink ref="F879" r:id="rId914" xr:uid="{3206FCBB-E26F-4C22-8F06-A9C86085EDE4}"/>
    <hyperlink ref="E880" r:id="rId915" xr:uid="{5CC4AA47-7E1E-4E23-B8AD-7667972ECD41}"/>
    <hyperlink ref="F880" r:id="rId916" xr:uid="{A9FBDD9D-A381-455F-BC38-877CB9DDB441}"/>
    <hyperlink ref="E650" r:id="rId917" xr:uid="{F84B922D-979B-456C-B7D5-689051139018}"/>
    <hyperlink ref="F650" r:id="rId918" xr:uid="{AA0A0F48-0B45-4ACF-908F-DC585316DDCD}"/>
    <hyperlink ref="E882" r:id="rId919" xr:uid="{A3F15B24-973A-40EF-A17A-C47EF24318C5}"/>
    <hyperlink ref="F882" r:id="rId920" xr:uid="{FFF16C3D-BEBA-46C4-800F-837BC69B19BA}"/>
    <hyperlink ref="E575" r:id="rId921" xr:uid="{ECE2CF18-AB37-442E-8332-A95E200A194A}"/>
    <hyperlink ref="F575" r:id="rId922" xr:uid="{911C9EC9-A696-4A45-8DB6-1D54BE22000C}"/>
    <hyperlink ref="E856" r:id="rId923" xr:uid="{A42FC971-3E85-4A79-9CEB-89270594F0A8}"/>
    <hyperlink ref="E857" r:id="rId924" xr:uid="{8FDCA620-E24A-4674-A3D7-766CAF0CC5B4}"/>
    <hyperlink ref="F856" r:id="rId925" xr:uid="{5CD0E72F-9FC4-4040-AE26-5A832DC13B4D}"/>
    <hyperlink ref="F857" r:id="rId926" xr:uid="{2BE324EB-81B3-4CBA-8750-B93E9A92A89A}"/>
    <hyperlink ref="E794" r:id="rId927" xr:uid="{E2A1255F-39D5-4B2F-B7B1-C3505AA3B6CA}"/>
    <hyperlink ref="E1078" r:id="rId928" xr:uid="{70E30E2D-BB1B-4A28-9C22-68F04EADE9B6}"/>
    <hyperlink ref="E1079" r:id="rId929" xr:uid="{EEB23C93-017B-4C0B-BD11-FF212F615093}"/>
    <hyperlink ref="E1080" r:id="rId930" xr:uid="{3393FCCC-AFF9-4F24-AB01-0B22C83E6EB2}"/>
    <hyperlink ref="E1081" r:id="rId931" xr:uid="{3548316E-4D73-417B-9B88-ED82351D817B}"/>
    <hyperlink ref="F1078" r:id="rId932" xr:uid="{22FC9B0B-933C-4A07-893A-565CB4AAB8D7}"/>
    <hyperlink ref="F1079" r:id="rId933" xr:uid="{8A58C64B-4EE9-4CE0-BACB-83EF6E87A815}"/>
    <hyperlink ref="F1080" r:id="rId934" xr:uid="{6F5A2950-262A-4128-911C-3408B9B21AA8}"/>
    <hyperlink ref="F1081" r:id="rId935" xr:uid="{14915C6B-9F63-4C27-BBBE-192018C01AD8}"/>
    <hyperlink ref="E1002" r:id="rId936" xr:uid="{2B264A81-0F66-4854-8776-D6DC7120FD38}"/>
    <hyperlink ref="E76" r:id="rId937" xr:uid="{37EA752C-DCD1-45BC-A6A1-B0A8E758C278}"/>
    <hyperlink ref="F76" r:id="rId938" xr:uid="{D3E4435D-2434-4399-8B73-BE79401C80A6}"/>
    <hyperlink ref="E77" r:id="rId939" xr:uid="{05CEA74F-A6B7-45B8-90E6-BD1A3067C474}"/>
    <hyperlink ref="E78" r:id="rId940" xr:uid="{ABB65179-DA1F-43F1-A2E4-513424454CA4}"/>
    <hyperlink ref="F77" r:id="rId941" xr:uid="{DE04ECDB-8CF6-49DF-9518-8E8794B89FA1}"/>
    <hyperlink ref="F78" r:id="rId942" xr:uid="{E16D4A93-99C1-4677-8B14-3412DCC308AB}"/>
    <hyperlink ref="E156" r:id="rId943" xr:uid="{381CF542-BA3F-4CB6-B54D-CC981B3A774A}"/>
    <hyperlink ref="F156" r:id="rId944" xr:uid="{7E29FF70-0ED7-4249-9FF0-798F7CE00C81}"/>
    <hyperlink ref="E205" r:id="rId945" xr:uid="{BD020DEB-6C3D-4D96-9538-AF222057C40E}"/>
    <hyperlink ref="E206" r:id="rId946" xr:uid="{86211C0C-8858-4E40-A26E-EE2E89D5B454}"/>
    <hyperlink ref="F205" r:id="rId947" xr:uid="{28A9A247-3D6C-4577-BFD9-49EB7AE461FC}"/>
    <hyperlink ref="F206" r:id="rId948" xr:uid="{EF4A969D-B1D3-42B3-90B9-7335E9ABFAD0}"/>
    <hyperlink ref="E634" r:id="rId949" xr:uid="{378A72C1-3F19-4364-99E2-C3466E57AD45}"/>
    <hyperlink ref="F634" r:id="rId950" xr:uid="{2DB134E0-7CC1-45D4-8677-FA6082C54322}"/>
    <hyperlink ref="E200" r:id="rId951" xr:uid="{14E43A90-95E6-4180-80FE-D7ECC593DEAC}"/>
    <hyperlink ref="F200" r:id="rId952" xr:uid="{2A65F20B-B8F7-4144-8673-5C40D4A1F327}"/>
    <hyperlink ref="E423" r:id="rId953" xr:uid="{56ADE448-096B-4F61-8893-B64166A9C98B}"/>
    <hyperlink ref="E424" r:id="rId954" xr:uid="{8F476D06-8095-4FC9-B206-E3F60DEEF5FF}"/>
    <hyperlink ref="E425" r:id="rId955" xr:uid="{D965B237-6E7D-46EA-9676-3F0C0C1D3A9B}"/>
    <hyperlink ref="F423" r:id="rId956" xr:uid="{BD607A2D-3BC9-48E8-8354-4E50114DA18D}"/>
    <hyperlink ref="F424" r:id="rId957" xr:uid="{1E66CC7F-A78D-4455-95CB-957F6D42D2BF}"/>
    <hyperlink ref="F425" r:id="rId958" xr:uid="{7ACB625A-DFC1-47C4-9722-96711C60F4BA}"/>
    <hyperlink ref="E974" r:id="rId959" xr:uid="{7370F951-1C6F-4BDB-B38E-965496244B1F}"/>
    <hyperlink ref="F974" r:id="rId960" xr:uid="{471586F5-6F24-4228-96BD-F19DAFEBDC82}"/>
    <hyperlink ref="E975" r:id="rId961" xr:uid="{DBD0A8CD-4FEB-4C88-8D72-46C91EF2BA0C}"/>
    <hyperlink ref="F975" r:id="rId962" xr:uid="{F90859A6-06F3-4BD7-A7A6-893B9B1E3EB3}"/>
    <hyperlink ref="E414" r:id="rId963" xr:uid="{223CCF14-F607-4834-AFE0-27260D89B04D}"/>
    <hyperlink ref="F414" r:id="rId964" xr:uid="{382C8E6B-F7B6-4924-BFF5-0802CE910B1E}"/>
    <hyperlink ref="E346" r:id="rId965" xr:uid="{55D58173-8B34-4D51-86F9-4C12E8CD0D23}"/>
    <hyperlink ref="E347" r:id="rId966" xr:uid="{7EAEC07D-45C1-4F61-B31F-C71A1EBE41B9}"/>
    <hyperlink ref="F346" r:id="rId967" xr:uid="{09F3E395-9BB7-4520-B6BE-2C2FA8BD7527}"/>
    <hyperlink ref="F347" r:id="rId968" xr:uid="{04AAE9CE-CB32-4339-B80C-55290547027A}"/>
    <hyperlink ref="E157" r:id="rId969" xr:uid="{CEF8CD0E-F240-48DA-99D8-5B47A2A15636}"/>
    <hyperlink ref="F157" r:id="rId970" xr:uid="{10CED468-391A-4949-A590-A7C35C99B60C}"/>
    <hyperlink ref="E292" r:id="rId971" xr:uid="{0F1833D5-CBC7-4807-8326-519B81B055F8}"/>
    <hyperlink ref="E293" r:id="rId972" xr:uid="{02288BAB-E95A-45F1-8EEA-70C25116B4B3}"/>
    <hyperlink ref="F292" r:id="rId973" xr:uid="{4F2C636A-02CF-4D2A-AF5E-45AE243F0FD5}"/>
    <hyperlink ref="F293" r:id="rId974" xr:uid="{45A6BE1F-113B-47A6-A1D9-18662B2BA534}"/>
    <hyperlink ref="E428" r:id="rId975" xr:uid="{FB3A2F9F-B676-498D-BE52-65979D24B8E5}"/>
    <hyperlink ref="F428" r:id="rId976" xr:uid="{CA34ED90-316D-4513-A777-E301C4A25749}"/>
    <hyperlink ref="E522" r:id="rId977" xr:uid="{D706323B-746A-4D99-B120-2862E31BCEF9}"/>
    <hyperlink ref="F522" r:id="rId978" xr:uid="{A7DED92E-C66C-461B-AFB7-A3792B59103A}"/>
    <hyperlink ref="E841" r:id="rId979" xr:uid="{29BE76E2-41AD-4493-84FB-62B82D14F795}"/>
    <hyperlink ref="F841" r:id="rId980" xr:uid="{FC5EFFAC-DD5E-4B73-9221-2CE2FA5E3E47}"/>
    <hyperlink ref="E518" r:id="rId981" xr:uid="{A550D645-CF4E-45C5-90B2-E51508E27ED4}"/>
    <hyperlink ref="F518" r:id="rId982" xr:uid="{C936F0FE-7078-48DD-BCD5-CC6DF879AC88}"/>
    <hyperlink ref="E139" r:id="rId983" xr:uid="{2B2921BF-654C-4103-9715-AC30C18FFAA5}"/>
    <hyperlink ref="E140" r:id="rId984" xr:uid="{1368CBDF-37CE-425D-A8F4-034AD8656DEB}"/>
    <hyperlink ref="F139" r:id="rId985" xr:uid="{5596853E-FEE7-472C-A21B-EFBE7EF3CA5B}"/>
    <hyperlink ref="F140" r:id="rId986" xr:uid="{8695F843-6074-4536-A842-AB5FFD5421C6}"/>
    <hyperlink ref="E521" r:id="rId987" xr:uid="{D839A7D1-D708-4C26-B858-A59B549AAF1C}"/>
    <hyperlink ref="F521" r:id="rId988" xr:uid="{5C727865-0AC4-4DFA-9820-E6415FC6EFAD}"/>
    <hyperlink ref="E870" r:id="rId989" xr:uid="{D7DB8D40-D8E3-41FD-8798-46712752CFD8}"/>
    <hyperlink ref="F870" r:id="rId990" xr:uid="{C75DC533-EB9E-46B1-97D6-26EF0AA6AE2F}"/>
    <hyperlink ref="E367" r:id="rId991" xr:uid="{F2A49395-43D4-4FA2-9EEE-C41361A79B0B}"/>
    <hyperlink ref="E368" r:id="rId992" xr:uid="{8AA8F7E2-DCB8-4DF1-A16D-83C69B8FB108}"/>
    <hyperlink ref="F367" r:id="rId993" xr:uid="{740F9AB3-BEBD-4414-9351-ADA1A145F5BE}"/>
    <hyperlink ref="F368" r:id="rId994" xr:uid="{9D6996F4-AD4F-48DA-9991-EC485371E10B}"/>
    <hyperlink ref="E820" r:id="rId995" xr:uid="{25F746BA-8D1F-407D-B403-2C118449DDC8}"/>
    <hyperlink ref="E821" r:id="rId996" xr:uid="{A1DE5B89-74FD-43E0-8B34-D5B57FDD9EB2}"/>
    <hyperlink ref="E822" r:id="rId997" xr:uid="{CE75688F-933C-404B-BF79-9549EA63FCF9}"/>
    <hyperlink ref="E823" r:id="rId998" xr:uid="{2A391911-82DC-431F-AD4A-B4468EA22618}"/>
    <hyperlink ref="E824" r:id="rId999" xr:uid="{B3BAA2D4-B8D4-4DA2-8920-9954833DD68B}"/>
    <hyperlink ref="F820" r:id="rId1000" xr:uid="{A841E24D-9936-4C4C-9FF5-091405760022}"/>
    <hyperlink ref="F821" r:id="rId1001" xr:uid="{5F0B00A6-77C0-45A4-9FC8-4FCF456FEA2C}"/>
    <hyperlink ref="F822" r:id="rId1002" xr:uid="{77D910C9-D8E9-46C0-BE4C-F91937EE9AC1}"/>
    <hyperlink ref="F823" r:id="rId1003" xr:uid="{1609B6FA-A3A2-4AF1-BC57-5FA111122CBA}"/>
    <hyperlink ref="F824" r:id="rId1004" xr:uid="{2442B614-68D5-49A7-BDC6-417A5C8DD8A0}"/>
    <hyperlink ref="E439" r:id="rId1005" xr:uid="{0F679424-26F5-4738-A554-2137ABB20C50}"/>
    <hyperlink ref="F439" r:id="rId1006" xr:uid="{E8E28BA3-3F55-4EDE-B7B1-81CF0CFE5D52}"/>
    <hyperlink ref="E79" r:id="rId1007" xr:uid="{6B53403A-E188-485D-8B7F-BB275541037A}"/>
    <hyperlink ref="F79" r:id="rId1008" xr:uid="{191A244C-1AB8-43AA-8860-00F1653A4E50}"/>
    <hyperlink ref="E80" r:id="rId1009" xr:uid="{ABD31C25-7874-4380-B2E9-06DF665E9AE4}"/>
    <hyperlink ref="F80" r:id="rId1010" xr:uid="{A1793492-0BA9-4B92-8A46-8FBA42047217}"/>
    <hyperlink ref="E496" r:id="rId1011" xr:uid="{02509C31-4951-47FA-A1B6-C8D795B7A4EA}"/>
    <hyperlink ref="E497" r:id="rId1012" xr:uid="{7167CD47-72E7-4725-8A51-710B21BAFE30}"/>
    <hyperlink ref="E498" r:id="rId1013" xr:uid="{BD155FEE-5BB9-4739-A322-3EB1330BB875}"/>
    <hyperlink ref="E499" r:id="rId1014" xr:uid="{37E1CFC8-4E05-4261-8266-4D5EB2613DBD}"/>
    <hyperlink ref="E500" r:id="rId1015" xr:uid="{ED5EB1CB-5A55-441A-A875-8D7B30B1ABF8}"/>
    <hyperlink ref="E501" r:id="rId1016" xr:uid="{E7617770-9B0F-4097-991C-351C5E8DC2CC}"/>
    <hyperlink ref="E502" r:id="rId1017" xr:uid="{262DFF64-FDF8-4C10-ADFF-E3C297FF1305}"/>
    <hyperlink ref="E503" r:id="rId1018" xr:uid="{8A612712-B84D-43C2-A33A-6CB5192BB27B}"/>
    <hyperlink ref="E504" r:id="rId1019" xr:uid="{F391194F-3064-4F24-9D3D-02576A88B730}"/>
    <hyperlink ref="E505" r:id="rId1020" xr:uid="{B95198D9-4B57-4921-9978-9A095757ADBE}"/>
    <hyperlink ref="E506" r:id="rId1021" xr:uid="{59190231-30AC-42CA-824C-2C20659C3667}"/>
    <hyperlink ref="E507" r:id="rId1022" xr:uid="{8B7953A5-0B83-44A0-BE00-F6DF7D2C4C9D}"/>
    <hyperlink ref="E508" r:id="rId1023" xr:uid="{00F1E570-B027-459D-987E-A6DFF0350872}"/>
    <hyperlink ref="E509" r:id="rId1024" xr:uid="{7BD22726-BE80-43C4-B02C-8E1E868034C9}"/>
    <hyperlink ref="E510" r:id="rId1025" xr:uid="{309777E1-A1B5-4CB8-B6C2-FBFD58111ED1}"/>
    <hyperlink ref="E511" r:id="rId1026" xr:uid="{A1E99242-6398-4E79-89E1-8104B3D983BB}"/>
    <hyperlink ref="F496" r:id="rId1027" xr:uid="{E698A642-9C89-409B-A0D9-9539F997FB10}"/>
    <hyperlink ref="F497" r:id="rId1028" xr:uid="{8EF3EF1B-6A4F-485C-A70C-0713DC18BF9F}"/>
    <hyperlink ref="F498" r:id="rId1029" xr:uid="{B2488571-A260-449D-9B19-FA3DAEEC3C37}"/>
    <hyperlink ref="F499" r:id="rId1030" xr:uid="{33E9DF94-99C7-4C7B-852F-EF08D7287659}"/>
    <hyperlink ref="F500" r:id="rId1031" xr:uid="{5CBB29EE-7BF0-4FE9-8575-FADF0151E4E6}"/>
    <hyperlink ref="F501" r:id="rId1032" xr:uid="{4AEA63AD-9EE2-4380-94CF-17C29CBFD0EE}"/>
    <hyperlink ref="F502" r:id="rId1033" xr:uid="{59FB1765-25D6-43DC-B9CB-A24DF821FE0F}"/>
    <hyperlink ref="F503" r:id="rId1034" xr:uid="{F0FFA65D-CE11-4542-B5C2-AB09905DB545}"/>
    <hyperlink ref="F504" r:id="rId1035" xr:uid="{C5726E8F-FD03-4462-BE72-6BB61642BD63}"/>
    <hyperlink ref="F505" r:id="rId1036" xr:uid="{FD2E0CEE-4884-4529-9FF2-617409FD83A6}"/>
    <hyperlink ref="F506" r:id="rId1037" xr:uid="{082F06BF-C0E2-4295-8783-1806FE9BF322}"/>
    <hyperlink ref="F507" r:id="rId1038" xr:uid="{93CFDEC8-0F76-416C-9E99-D79970FBB2F4}"/>
    <hyperlink ref="F508" r:id="rId1039" xr:uid="{70FD5647-A679-4724-977A-8768FDD34ABC}"/>
    <hyperlink ref="F509" r:id="rId1040" xr:uid="{4D7E21C3-A629-4850-8577-0066C542BD48}"/>
    <hyperlink ref="F510" r:id="rId1041" xr:uid="{F2E8A38B-5111-4FE0-A602-EC0C889A2203}"/>
    <hyperlink ref="F511" r:id="rId1042" xr:uid="{28C9616C-251D-4C86-A868-78AC515BABD1}"/>
    <hyperlink ref="E149" r:id="rId1043" xr:uid="{40B13505-F26F-4DAC-A716-AB1E72321274}"/>
    <hyperlink ref="E150" r:id="rId1044" xr:uid="{7F3B0760-BE68-49B1-B4B6-A21893F9FF20}"/>
    <hyperlink ref="E151" r:id="rId1045" xr:uid="{ACF1E41D-6B1D-47AE-B51F-8B008818A249}"/>
    <hyperlink ref="E152" r:id="rId1046" xr:uid="{4A1FE933-939D-4AF5-87DA-7ABDFEE6622C}"/>
    <hyperlink ref="E153" r:id="rId1047" xr:uid="{AEEFEBBB-CB89-4767-BC67-667192067B9F}"/>
    <hyperlink ref="E154" r:id="rId1048" xr:uid="{94C2A572-22C7-4FE1-8E4F-B78DC1B25E16}"/>
    <hyperlink ref="E155" r:id="rId1049" xr:uid="{47EFAED3-DA9E-4E0A-9F9C-97FF24C5A2DB}"/>
    <hyperlink ref="F149" r:id="rId1050" xr:uid="{B610DC5A-49ED-4D9D-A1D4-54D6B9C10495}"/>
    <hyperlink ref="F150" r:id="rId1051" xr:uid="{892D2355-4CA6-4982-BC6B-A6CC82FBB9A3}"/>
    <hyperlink ref="F151" r:id="rId1052" xr:uid="{A64BBFFA-CDF3-49AD-ABDB-4E800D574FE9}"/>
    <hyperlink ref="F152" r:id="rId1053" xr:uid="{E8491169-839C-47EA-9262-C287C2266D8F}"/>
    <hyperlink ref="F153" r:id="rId1054" xr:uid="{92A9B06B-9A94-4593-84F3-64B48F17AAA4}"/>
    <hyperlink ref="F154" r:id="rId1055" xr:uid="{BAA3FBB6-CF5A-481B-AF0D-11BF803829E4}"/>
    <hyperlink ref="F155" r:id="rId1056" xr:uid="{39F241F0-3ED4-465B-A437-C6D6A7B571A4}"/>
    <hyperlink ref="E202" r:id="rId1057" xr:uid="{9136C3E7-1A4F-4EB1-8847-BB22B74041C4}"/>
    <hyperlink ref="F202" r:id="rId1058" xr:uid="{9ECC481B-10C3-4B9E-9D19-F18AB8F7D0ED}"/>
    <hyperlink ref="E301" r:id="rId1059" xr:uid="{5A943FD9-BF46-48C7-B318-00AEF80C22C2}"/>
    <hyperlink ref="F301" r:id="rId1060" xr:uid="{F63BEED6-80F0-4B7F-8096-9BD15CB7095D}"/>
    <hyperlink ref="E86" r:id="rId1061" xr:uid="{F6A7FEF3-FD3A-45AB-9979-D76657CF5DFF}"/>
    <hyperlink ref="F86" r:id="rId1062" xr:uid="{51B76D50-72F0-473F-8F06-547D16302792}"/>
    <hyperlink ref="E976" r:id="rId1063" xr:uid="{6B567FBD-A865-410E-A08A-CD78CF7919F5}"/>
    <hyperlink ref="F976" r:id="rId1064" xr:uid="{117C7E7D-2371-4E4F-AD44-8EDB30DB6748}"/>
    <hyperlink ref="E489" r:id="rId1065" xr:uid="{C8ABD1C8-8EDA-4D42-AB47-638F56A1A58D}"/>
    <hyperlink ref="F489" r:id="rId1066" xr:uid="{0CD917E6-E901-43A9-92AC-F1C88A3F2A51}"/>
    <hyperlink ref="E438" r:id="rId1067" xr:uid="{3AD36AA2-93DB-4506-A188-1A216EBE1209}"/>
    <hyperlink ref="F438" r:id="rId1068" xr:uid="{D39F70D4-14B9-4AB1-B2C3-FC33424D2881}"/>
    <hyperlink ref="E701" r:id="rId1069" xr:uid="{BB9D9F22-9DED-43B0-9DD0-545C74C5422E}"/>
    <hyperlink ref="E702" r:id="rId1070" xr:uid="{D8483757-E065-4172-ABB6-6EE694EFC41D}"/>
    <hyperlink ref="E703" r:id="rId1071" xr:uid="{304A5241-B9C4-4B03-A65D-E53B391B72DB}"/>
    <hyperlink ref="E704" r:id="rId1072" xr:uid="{AC26094E-A121-46AB-81FB-E7A6DA4B3F35}"/>
    <hyperlink ref="E705" r:id="rId1073" xr:uid="{469DD76E-2755-4703-8A83-1C9759DC512B}"/>
    <hyperlink ref="E706" r:id="rId1074" xr:uid="{1A5A6F94-C328-4C3C-A09C-83C91327BAE2}"/>
    <hyperlink ref="E707" r:id="rId1075" xr:uid="{89ED05CD-E2DE-4DA8-BD65-F838ACC4E4D4}"/>
    <hyperlink ref="E708" r:id="rId1076" xr:uid="{1D1113AF-CE60-4ECD-A9CD-A616354A3E7C}"/>
    <hyperlink ref="E709" r:id="rId1077" xr:uid="{1DEB1071-D24C-432D-A6C1-C4632C15A179}"/>
    <hyperlink ref="E710" r:id="rId1078" xr:uid="{AF610C0D-9D07-4024-8234-3C08491FB15C}"/>
    <hyperlink ref="E711" r:id="rId1079" xr:uid="{81060A9F-EDD5-45F6-B42A-F9916432DADF}"/>
    <hyperlink ref="E712" r:id="rId1080" xr:uid="{83400C27-4B32-4235-B226-8CA3212E07E1}"/>
    <hyperlink ref="E713" r:id="rId1081" xr:uid="{DDC78532-3E06-42B2-A49A-63CD947A029F}"/>
    <hyperlink ref="E714" r:id="rId1082" xr:uid="{116470F0-83C4-45E2-98D2-99FE83AB073A}"/>
    <hyperlink ref="E715" r:id="rId1083" xr:uid="{313F3D25-2007-4295-8527-4CE99AAEFF47}"/>
    <hyperlink ref="F701" r:id="rId1084" xr:uid="{3394DBB5-DA4C-400A-95F2-2CB13952DA83}"/>
    <hyperlink ref="F702" r:id="rId1085" xr:uid="{95863F9E-C1DE-498B-ADE6-D8A552CEFAB0}"/>
    <hyperlink ref="F703" r:id="rId1086" xr:uid="{CE95AB90-B99E-4A9B-9647-41D4F1B883AB}"/>
    <hyperlink ref="F704" r:id="rId1087" xr:uid="{46B0B540-F654-47EC-BFAB-85D4E5BF802E}"/>
    <hyperlink ref="F705" r:id="rId1088" xr:uid="{93F6AD8C-FF9B-4D35-AC62-2E67CD0BA2C1}"/>
    <hyperlink ref="F706" r:id="rId1089" xr:uid="{A9ADEDD7-81AD-4BA5-AEA6-946DCAAD0BFA}"/>
    <hyperlink ref="F707" r:id="rId1090" xr:uid="{C5E018A4-765C-4619-B950-1FEC4AF5F96C}"/>
    <hyperlink ref="F708" r:id="rId1091" xr:uid="{A90D7CD3-C74F-4CAB-8AF2-063856210D3C}"/>
    <hyperlink ref="F709" r:id="rId1092" xr:uid="{FDED3FFF-67E9-410F-82AC-DFB65AF1D8CF}"/>
    <hyperlink ref="F710" r:id="rId1093" xr:uid="{3536169D-6615-40A7-9A70-6574F903AE00}"/>
    <hyperlink ref="F711" r:id="rId1094" xr:uid="{CD6FDCE9-A5BA-4B84-BC24-3E473545AE46}"/>
    <hyperlink ref="F712" r:id="rId1095" xr:uid="{C9586491-EDDB-42F3-9829-63B1700B3655}"/>
    <hyperlink ref="F713" r:id="rId1096" xr:uid="{8AA48289-17E7-4872-BC59-4C520DED6224}"/>
    <hyperlink ref="F714" r:id="rId1097" xr:uid="{90030831-0AC2-4166-B9F4-2BF668683811}"/>
    <hyperlink ref="F715" r:id="rId1098" xr:uid="{2C3B2A1B-EF55-4B3C-A2B1-B0A7A9190951}"/>
    <hyperlink ref="E811" r:id="rId1099" xr:uid="{EB9096F5-7016-4CDE-81E6-D3614801E64E}"/>
    <hyperlink ref="E812" r:id="rId1100" xr:uid="{286B47BA-8B34-4C95-83F5-4536C38ABB2C}"/>
    <hyperlink ref="F811" r:id="rId1101" xr:uid="{37D34C08-AA58-4F1A-9BFB-5DA0E30804E7}"/>
    <hyperlink ref="F812" r:id="rId1102" xr:uid="{E7252422-F022-4E60-8AD1-1D9B51DEAA18}"/>
    <hyperlink ref="E142" r:id="rId1103" xr:uid="{BE552098-0425-4150-866B-83322075EEB2}"/>
    <hyperlink ref="E143" r:id="rId1104" xr:uid="{E9A77753-F4C8-40F6-B3C5-2D7AD8C38811}"/>
    <hyperlink ref="E144" r:id="rId1105" xr:uid="{27CC457E-79D6-4DA7-BDB3-441852D6C3B3}"/>
    <hyperlink ref="F142" r:id="rId1106" xr:uid="{1D71F583-043C-4D37-BE5A-B15AE3F47BE2}"/>
    <hyperlink ref="F143" r:id="rId1107" xr:uid="{E74E484B-67C8-4E67-9820-7BE6061691AF}"/>
    <hyperlink ref="F144" r:id="rId1108" xr:uid="{39C25BCF-2D67-4219-A4D6-DF045D869FBF}"/>
    <hyperlink ref="E624" r:id="rId1109" xr:uid="{91526F94-8E1D-40AD-953A-4DDE4F0150F8}"/>
    <hyperlink ref="F624" r:id="rId1110" xr:uid="{539CF77A-5B08-4A35-9AF2-80BB6B534DE2}"/>
    <hyperlink ref="E625" r:id="rId1111" xr:uid="{52093D54-A713-4F64-A12D-AF86F94D4339}"/>
    <hyperlink ref="E626" r:id="rId1112" xr:uid="{E97EE140-819A-4A20-8650-99B1BF45FC7F}"/>
    <hyperlink ref="E627" r:id="rId1113" xr:uid="{1F361D8B-4E2F-4252-A932-2AC15BA6F25C}"/>
    <hyperlink ref="F625" r:id="rId1114" xr:uid="{9D801EE7-BEB3-4C9F-B47C-B6A2D3E96C10}"/>
    <hyperlink ref="F626" r:id="rId1115" xr:uid="{B3CECEFD-32FD-423F-841F-B447253C2A95}"/>
    <hyperlink ref="F627" r:id="rId1116" xr:uid="{45320B39-AC11-43DE-9C4D-A02D88A1A66F}"/>
    <hyperlink ref="E418" r:id="rId1117" xr:uid="{0379AD12-280D-478A-98DA-938930B60CF0}"/>
    <hyperlink ref="F418" r:id="rId1118" xr:uid="{AB952D03-773C-4CBE-A56C-1D7C33A41FAA}"/>
    <hyperlink ref="E462" r:id="rId1119" xr:uid="{45E8F935-7429-4855-A7E5-B59CE48EC6B3}"/>
    <hyperlink ref="E463" r:id="rId1120" xr:uid="{F8DF2BAD-E8B2-4CD5-A5F3-6B15B82F522E}"/>
    <hyperlink ref="E464" r:id="rId1121" xr:uid="{70B69D27-64C0-47D8-AC85-02C139BF40B4}"/>
    <hyperlink ref="F462" r:id="rId1122" xr:uid="{65B327ED-A48D-4FB4-BDFA-02EE63A62A9F}"/>
    <hyperlink ref="F463" r:id="rId1123" xr:uid="{5768F526-5A52-438B-BCF6-8198B62A62F4}"/>
    <hyperlink ref="F464" r:id="rId1124" xr:uid="{3E05CBD7-FF1A-40D9-B738-59891A51E741}"/>
    <hyperlink ref="E71" r:id="rId1125" xr:uid="{D37E002E-454D-401F-948C-1AF3394BE2A4}"/>
    <hyperlink ref="F71" r:id="rId1126" xr:uid="{D849922B-50DC-4B00-8EFE-69D6880546F5}"/>
    <hyperlink ref="E199" r:id="rId1127" xr:uid="{B87A66FF-30DE-4D43-819C-5F8F61775E0E}"/>
    <hyperlink ref="F199" r:id="rId1128" xr:uid="{E88634C5-C246-4DF2-AA26-FF7F60BAAF44}"/>
    <hyperlink ref="E1083" r:id="rId1129" xr:uid="{CF754822-A2B5-45E7-9FDB-DDCB411C6CBA}"/>
    <hyperlink ref="E1084" r:id="rId1130" xr:uid="{C5418C93-1924-4F0F-AC92-EB47A985FEAF}"/>
    <hyperlink ref="E1085" r:id="rId1131" xr:uid="{E8551F57-B754-42D5-ABF4-6BE204F1815E}"/>
    <hyperlink ref="E1086" r:id="rId1132" xr:uid="{70F77C2E-908A-4742-BB3F-7BAD8421F22D}"/>
    <hyperlink ref="E1087" r:id="rId1133" xr:uid="{F1BFC8EC-C1F2-4F9B-8333-92974B9F8DCD}"/>
    <hyperlink ref="E1088" r:id="rId1134" xr:uid="{1A488064-7992-4109-B570-C231882D5A1E}"/>
    <hyperlink ref="F1083" r:id="rId1135" xr:uid="{FF6D4D61-EB3D-44DD-A4C4-8094988873A6}"/>
    <hyperlink ref="F1084" r:id="rId1136" xr:uid="{515429D1-474A-4C12-863D-D0C95BA959A1}"/>
    <hyperlink ref="F1085" r:id="rId1137" xr:uid="{3797669D-A2DC-4076-AA20-1BA5858B7ABD}"/>
    <hyperlink ref="F1086" r:id="rId1138" xr:uid="{61BA9E40-55CF-4399-8BEE-4468306D3BF9}"/>
    <hyperlink ref="F1087" r:id="rId1139" xr:uid="{2D3F1DA8-D3A0-458F-8EAB-4749B316CD47}"/>
    <hyperlink ref="F1088" r:id="rId1140" xr:uid="{50F1DEB4-E738-42D3-BFAA-50194848946D}"/>
    <hyperlink ref="E211" r:id="rId1141" xr:uid="{999C2C19-84AD-423D-97B8-E4F894D7EE96}"/>
    <hyperlink ref="F211" r:id="rId1142" xr:uid="{04DB5B6C-0D5B-4464-8652-EE4C2F396C01}"/>
    <hyperlink ref="E358" r:id="rId1143" xr:uid="{B69A0B85-5AAC-4626-8A9E-D7EE34762944}"/>
    <hyperlink ref="F358" r:id="rId1144" xr:uid="{61FE86E0-5459-4A98-ABFE-81077ED5A146}"/>
    <hyperlink ref="E798" r:id="rId1145" xr:uid="{146E01C6-BF5D-41B3-A738-C5E2E56CF51D}"/>
    <hyperlink ref="E1001" r:id="rId1146" xr:uid="{918C89F5-8B64-4A43-8EC1-FCE445A4DE4B}"/>
    <hyperlink ref="E1000" r:id="rId1147" xr:uid="{30ED4AE3-6D44-4762-A19E-192AEDAAA6D6}"/>
    <hyperlink ref="E244" r:id="rId1148" xr:uid="{9CA7B21F-5B6A-4947-8CBB-778FC23CF6A9}"/>
    <hyperlink ref="F244" r:id="rId1149" xr:uid="{BD91D5C9-3F07-4619-A505-260CEA8BAC64}"/>
    <hyperlink ref="E245" r:id="rId1150" xr:uid="{BCEE6A42-0EC2-48ED-B716-71E191B30AA5}"/>
    <hyperlink ref="E246" r:id="rId1151" xr:uid="{BC5C7783-434A-484A-BB69-8D64F61CCEB4}"/>
    <hyperlink ref="F245" r:id="rId1152" xr:uid="{332A5EE6-5FD0-4012-BB09-1EE177C2F3AD}"/>
    <hyperlink ref="F246" r:id="rId1153" xr:uid="{788D1E59-90CD-401B-8585-CFE70E30C26E}"/>
    <hyperlink ref="E815" r:id="rId1154" xr:uid="{D74A7E5B-B133-4C1B-94B9-C5D179395E5A}"/>
    <hyperlink ref="F815" r:id="rId1155" xr:uid="{1B4EC4EE-B56E-4597-90F6-0559347FCDC4}"/>
    <hyperlink ref="E769" r:id="rId1156" xr:uid="{9D5418D6-48F3-4ADA-831F-C83B90283992}"/>
    <hyperlink ref="E803" r:id="rId1157" xr:uid="{11BDF8DB-59AB-49EA-B300-1B1A886B6ECE}"/>
    <hyperlink ref="E804" r:id="rId1158" xr:uid="{83945C1B-D9F9-4C05-AE32-0D21973D4175}"/>
    <hyperlink ref="E805" r:id="rId1159" xr:uid="{0293DC08-B9A7-4F19-A991-CD516D2479CE}"/>
    <hyperlink ref="E806" r:id="rId1160" xr:uid="{7975BB27-D70F-43E6-8062-FA7A4E285917}"/>
    <hyperlink ref="E807" r:id="rId1161" xr:uid="{9C30199D-FD2F-4031-BED6-E2D19AC5AC3B}"/>
    <hyperlink ref="E808" r:id="rId1162" xr:uid="{D98D5174-23E9-4071-A7BB-386F8FD902D2}"/>
    <hyperlink ref="E809" r:id="rId1163" xr:uid="{42013987-1B04-48E0-B8E4-E7EB2AC1D338}"/>
    <hyperlink ref="E810" r:id="rId1164" xr:uid="{A94A5FD0-9CF3-40BB-8DD7-7F8FAA584AE3}"/>
    <hyperlink ref="F803" r:id="rId1165" xr:uid="{BD66F44C-AFC8-4B8E-A558-4EF435B69628}"/>
    <hyperlink ref="F804" r:id="rId1166" xr:uid="{7DB972CE-4214-4312-A43B-850B57B3CD6A}"/>
    <hyperlink ref="F805" r:id="rId1167" xr:uid="{AA1A2158-CB05-44F0-92D2-0C922D38665B}"/>
    <hyperlink ref="F806" r:id="rId1168" xr:uid="{64D42D5E-531C-4B9F-B3E3-6FF013488997}"/>
    <hyperlink ref="F807" r:id="rId1169" xr:uid="{B7950CB5-1139-474E-9653-07F461DEC61F}"/>
    <hyperlink ref="F808" r:id="rId1170" xr:uid="{56B4C27F-5EC4-4A46-80D7-5AE90E566BBD}"/>
    <hyperlink ref="F809" r:id="rId1171" xr:uid="{CF46A72A-0F27-477A-9715-04ACA1B3F3D5}"/>
    <hyperlink ref="F810" r:id="rId1172" xr:uid="{45EDFE80-17F2-4959-A61A-EC4E67CD8B32}"/>
    <hyperlink ref="E338" r:id="rId1173" xr:uid="{134DE675-65E8-4FA6-94C2-71773F372114}"/>
    <hyperlink ref="E339" r:id="rId1174" xr:uid="{5DDCD094-947E-4325-A177-B87852954602}"/>
    <hyperlink ref="F338" r:id="rId1175" xr:uid="{01C36610-D066-401C-8C6C-8F494168DA34}"/>
    <hyperlink ref="F339" r:id="rId1176" xr:uid="{844766C1-8212-479F-A9B3-B33C76031DD8}"/>
    <hyperlink ref="E859" r:id="rId1177" xr:uid="{5DB8C604-71BB-4D6D-9E97-D190A170F4DF}"/>
    <hyperlink ref="F859" r:id="rId1178" xr:uid="{F76E915D-96CB-4D52-9D6E-D9FD359512B7}"/>
    <hyperlink ref="F326" r:id="rId1179" xr:uid="{6539CA7E-D791-4BEC-926C-E0E288737C38}"/>
    <hyperlink ref="F327" r:id="rId1180" xr:uid="{4C667A3D-FD45-4617-81CC-3A2E6EAF80D7}"/>
    <hyperlink ref="F328" r:id="rId1181" xr:uid="{D54E9F9B-7606-464D-97A7-846EE7059DBC}"/>
    <hyperlink ref="F329" r:id="rId1182" xr:uid="{E824047E-1A2D-42D1-9381-C65CD1ABFF47}"/>
    <hyperlink ref="F330" r:id="rId1183" xr:uid="{31965372-76DD-4F98-960A-61A07F143A77}"/>
    <hyperlink ref="F331" r:id="rId1184" xr:uid="{96532FA0-87C0-496B-ACB3-F7D5C9C5126E}"/>
    <hyperlink ref="F332" r:id="rId1185" xr:uid="{84A141F3-BB9B-44BA-AD5A-8498FD3A2E78}"/>
    <hyperlink ref="F333" r:id="rId1186" xr:uid="{7C4A9C53-5716-4B06-A774-9913CCCE1C71}"/>
    <hyperlink ref="F334" r:id="rId1187" xr:uid="{AAE82AC5-8A5F-45D1-8897-A460EC251E40}"/>
    <hyperlink ref="F335" r:id="rId1188" xr:uid="{DF890A9A-3882-429A-8D1F-CA6BDEE6764A}"/>
    <hyperlink ref="F336" r:id="rId1189" xr:uid="{3829AA94-77F7-467E-9AC2-8EE6F7B18673}"/>
    <hyperlink ref="E981" r:id="rId1190" xr:uid="{392AC6CD-5101-4E84-8DA5-D449B3CA73DF}"/>
    <hyperlink ref="E982" r:id="rId1191" xr:uid="{4EF1CE9F-4B35-452A-88C8-319A961D3607}"/>
    <hyperlink ref="F981" r:id="rId1192" xr:uid="{DEA2156A-E98A-409B-B411-07409D99B6F0}"/>
    <hyperlink ref="F982" r:id="rId1193" xr:uid="{82B1DD52-EB7B-43DA-A532-2E20CD449026}"/>
    <hyperlink ref="E965" r:id="rId1194" xr:uid="{D438A896-E339-4C78-9412-D67F5048D5FD}"/>
    <hyperlink ref="E966" r:id="rId1195" xr:uid="{7ACDF2C0-B08A-4994-9557-9A2804A74526}"/>
    <hyperlink ref="F965" r:id="rId1196" xr:uid="{3750C988-425E-4798-8DF3-712237C2F36A}"/>
    <hyperlink ref="F966" r:id="rId1197" xr:uid="{3E177F59-0E64-45F3-AC14-FA85A1E271A4}"/>
    <hyperlink ref="E474" r:id="rId1198" xr:uid="{53AEBEF7-F1A6-41D9-ABCC-7CD5A182920C}"/>
    <hyperlink ref="E475" r:id="rId1199" xr:uid="{5814D531-DE55-4B8E-9C86-80C7B999C51C}"/>
    <hyperlink ref="F474" r:id="rId1200" xr:uid="{F802D143-4279-467C-8D69-6C4CA69624AD}"/>
    <hyperlink ref="F475" r:id="rId1201" xr:uid="{BF757F7B-6554-478C-8BB0-AF7148B6D8DF}"/>
    <hyperlink ref="E172" r:id="rId1202" xr:uid="{F3EC1FEF-370D-4419-8DEC-2FD219AC8EEC}"/>
    <hyperlink ref="F172" r:id="rId1203" xr:uid="{E0334DEE-8CDA-46E6-A443-3C64EF00D1BF}"/>
    <hyperlink ref="E979" r:id="rId1204" xr:uid="{29A2D0A4-3EF4-41F5-87A2-9C558D3909C2}"/>
    <hyperlink ref="F979" r:id="rId1205" xr:uid="{3687FC01-6E84-4B35-93A3-4665F89D9119}"/>
    <hyperlink ref="E633" r:id="rId1206" xr:uid="{77899132-C67A-4489-A201-F28D98F6D594}"/>
    <hyperlink ref="F633" r:id="rId1207" xr:uid="{BF3F813A-629D-4004-BF15-CF655C8B0412}"/>
    <hyperlink ref="E1070" r:id="rId1208" xr:uid="{37D5E623-6144-4905-8835-57723E26FBB4}"/>
    <hyperlink ref="E1071" r:id="rId1209" xr:uid="{6A5EF13E-6F30-40E9-BCC9-3DE913E2E566}"/>
    <hyperlink ref="E1072" r:id="rId1210" xr:uid="{83BE5B0D-1ED0-4B2A-92A6-5D8B16BCB226}"/>
    <hyperlink ref="E1073" r:id="rId1211" xr:uid="{BD66237E-1889-4077-99D2-4804904BC9E1}"/>
    <hyperlink ref="F1070" r:id="rId1212" xr:uid="{A7EAF90D-849F-47AC-894B-BFA9B4E51F0E}"/>
    <hyperlink ref="F1071" r:id="rId1213" xr:uid="{E7DCA5CC-1B61-4AAC-B14B-A048F20F3424}"/>
    <hyperlink ref="F1072" r:id="rId1214" xr:uid="{BDE2B9D6-F2FC-4CBD-84BB-62768B9119E0}"/>
    <hyperlink ref="F1073" r:id="rId1215" xr:uid="{61FF7D72-55A6-408C-96FA-2F40E2EF2D1C}"/>
    <hyperlink ref="E1074" r:id="rId1216" xr:uid="{9D6442A9-FF29-43D6-B752-230C13F59090}"/>
    <hyperlink ref="E1075" r:id="rId1217" xr:uid="{D5BA7D1E-5192-43B1-BAAC-8332331633DA}"/>
    <hyperlink ref="E1076" r:id="rId1218" xr:uid="{C1B8F4FB-46ED-46E6-8922-094526C127D2}"/>
    <hyperlink ref="E1077" r:id="rId1219" xr:uid="{F57EB1CC-268C-4FA1-9C27-BCA7C95882DD}"/>
    <hyperlink ref="F1074" r:id="rId1220" xr:uid="{7189401F-F00F-47E4-B4B7-13117CF98C33}"/>
    <hyperlink ref="F1075" r:id="rId1221" xr:uid="{001723FA-F95F-4552-B8D3-461F06F04397}"/>
    <hyperlink ref="F1076" r:id="rId1222" xr:uid="{2C3B6D8B-816C-4878-A151-048738181322}"/>
    <hyperlink ref="F1077" r:id="rId1223" xr:uid="{12EC6094-2167-4685-B79C-399D03D7658F}"/>
    <hyperlink ref="E160" r:id="rId1224" xr:uid="{EF961380-9106-422E-9DC4-0116957FEB95}"/>
    <hyperlink ref="E161" r:id="rId1225" xr:uid="{9129D495-48DC-4E79-9B4F-ECBD0C853CA4}"/>
    <hyperlink ref="E162" r:id="rId1226" xr:uid="{8103F102-C8D6-4C20-BE23-970F5CEC73FD}"/>
    <hyperlink ref="E163" r:id="rId1227" xr:uid="{C9367C12-0434-46EA-A770-F9D25FD86DD1}"/>
    <hyperlink ref="F160" r:id="rId1228" xr:uid="{0A190249-D556-448B-9C29-4D8DE92234C0}"/>
    <hyperlink ref="F161" r:id="rId1229" xr:uid="{910CAC8A-42AB-408E-ADAA-8231196D57EE}"/>
    <hyperlink ref="F162" r:id="rId1230" xr:uid="{3EA24EC7-0263-4FD4-8DF4-80CE65EE50D6}"/>
    <hyperlink ref="F163" r:id="rId1231" xr:uid="{606C9E28-B6DC-4E9A-BF37-1283FCE00C3C}"/>
    <hyperlink ref="E908" r:id="rId1232" xr:uid="{8547208C-DB13-4616-B211-D3AE5F4A56D5}"/>
    <hyperlink ref="F908" r:id="rId1233" xr:uid="{DEB952EE-7B68-48C0-AE92-C1FBB4BD4A50}"/>
    <hyperlink ref="F532" r:id="rId1234" xr:uid="{BDCBD8EC-FF72-4D02-9946-F9E47770F4C4}"/>
    <hyperlink ref="E532" r:id="rId1235" xr:uid="{A4503E5D-0B3B-4393-A92B-594A6B062838}"/>
    <hyperlink ref="E197" r:id="rId1236" xr:uid="{85F33611-6328-4829-BC2A-9F7C64F17D95}"/>
    <hyperlink ref="E926" r:id="rId1237" xr:uid="{5D4083C2-772F-43CA-B8BD-3B7DAF3014BA}"/>
    <hyperlink ref="E350" r:id="rId1238" xr:uid="{1520B1A9-8AF9-4527-8FBC-C9760FEBEB14}"/>
    <hyperlink ref="E351" r:id="rId1239" xr:uid="{9511DF8B-5EE0-41CB-9A7E-79FBCDA6E3A2}"/>
    <hyperlink ref="F350" r:id="rId1240" xr:uid="{B1E32C77-A38E-4C56-8C64-2EF04EFA20C0}"/>
    <hyperlink ref="F351" r:id="rId1241" xr:uid="{982EA1BF-BB06-4F5B-B2C1-B87FEEC9E0E5}"/>
    <hyperlink ref="E690" r:id="rId1242" xr:uid="{E5695B30-BBE2-4932-AA70-1F81CB51356B}"/>
    <hyperlink ref="E378" r:id="rId1243" xr:uid="{65D293CF-98BF-4841-A80E-6984253F75AC}"/>
    <hyperlink ref="F378" r:id="rId1244" xr:uid="{58F189B1-4679-4453-9FCD-B4A72CE3CBC1}"/>
    <hyperlink ref="E456" r:id="rId1245" xr:uid="{5A48DC02-A150-4C2B-B4DD-1A1E9FCE2621}"/>
    <hyperlink ref="E457" r:id="rId1246" xr:uid="{CD5D07C5-0E64-4EE9-84FE-6A96167FCA71}"/>
    <hyperlink ref="E458" r:id="rId1247" xr:uid="{FA02F268-938E-40ED-A3CA-F49A650B485A}"/>
    <hyperlink ref="E459" r:id="rId1248" xr:uid="{4A56082C-4D6B-4F25-87BF-23912BB2039E}"/>
    <hyperlink ref="E460" r:id="rId1249" xr:uid="{F6FEE9CF-ABB1-42EE-8FB3-2C72CDAE039B}"/>
    <hyperlink ref="F456" r:id="rId1250" xr:uid="{F494DEA1-2E11-4BF0-9648-794143D68F73}"/>
    <hyperlink ref="F457" r:id="rId1251" xr:uid="{D66C4895-BD96-4A75-A0C8-361C1E85C2AC}"/>
    <hyperlink ref="F458" r:id="rId1252" xr:uid="{FEEFE161-7599-4B2E-9CAF-404912195046}"/>
    <hyperlink ref="F459" r:id="rId1253" xr:uid="{1CBEE260-871A-4633-90EB-3DF1FC696631}"/>
    <hyperlink ref="F460" r:id="rId1254" xr:uid="{5A9AE0A1-73E9-4D2A-9CA4-85679EC80BAB}"/>
    <hyperlink ref="E311" r:id="rId1255" xr:uid="{A86D0C05-137B-4037-979F-309CCD76010F}"/>
    <hyperlink ref="E312" r:id="rId1256" xr:uid="{C7975845-2A56-4837-945B-B6F9D4168CAA}"/>
    <hyperlink ref="E313" r:id="rId1257" xr:uid="{AE49A2FC-266E-4B2C-9058-372A364DE7FB}"/>
    <hyperlink ref="E314" r:id="rId1258" xr:uid="{D396E36C-0239-476E-A14B-EF0089D09FDD}"/>
    <hyperlink ref="F311" r:id="rId1259" xr:uid="{94379D40-970E-4D2E-BCEE-1082E8F57CB7}"/>
    <hyperlink ref="F312" r:id="rId1260" xr:uid="{70F89947-80FC-46D1-8BF0-0492FEFCDDC8}"/>
    <hyperlink ref="F313" r:id="rId1261" xr:uid="{1DA4F151-9958-481D-BB71-C82F99B34D38}"/>
    <hyperlink ref="F314" r:id="rId1262" xr:uid="{2358D509-5480-4A51-B711-45A8E3C0D650}"/>
    <hyperlink ref="E1009" r:id="rId1263" xr:uid="{96B0040B-2C5D-4310-A628-59A50BC32121}"/>
    <hyperlink ref="E1010" r:id="rId1264" xr:uid="{A3433D55-8B8B-42D8-BFB9-6DA88986C9DE}"/>
    <hyperlink ref="E1011" r:id="rId1265" xr:uid="{59212916-4B8E-4209-A6EA-F1215874BE10}"/>
    <hyperlink ref="E1012" r:id="rId1266" xr:uid="{C53F0FF4-74D4-4C87-896A-578956FD30BC}"/>
    <hyperlink ref="E1013" r:id="rId1267" xr:uid="{43D90780-AF53-4A0F-986B-5263325DFFD4}"/>
    <hyperlink ref="E1014" r:id="rId1268" xr:uid="{3420FB44-AA19-4D2C-89A5-3A6396789926}"/>
    <hyperlink ref="E1015" r:id="rId1269" xr:uid="{047FDECF-87BC-4FED-829D-377D5BDA6ED4}"/>
    <hyperlink ref="E1016" r:id="rId1270" xr:uid="{AB099240-F4DA-46BC-A40A-FC175F5E5688}"/>
    <hyperlink ref="F1009" r:id="rId1271" xr:uid="{341BB6A5-EFCF-4A4A-812B-AEAC07381E4C}"/>
    <hyperlink ref="F1010" r:id="rId1272" xr:uid="{1D670B4A-F06C-4E78-98D7-B847B905B8C7}"/>
    <hyperlink ref="F1011" r:id="rId1273" xr:uid="{E108024C-B0F8-4499-B310-66F29A5EA73C}"/>
    <hyperlink ref="F1012" r:id="rId1274" xr:uid="{6473AFA5-8A6F-41B8-A94E-B56E32284D75}"/>
    <hyperlink ref="F1013" r:id="rId1275" xr:uid="{FB21DBE6-368E-4C88-9A34-9D8832DB96C8}"/>
    <hyperlink ref="F1014" r:id="rId1276" xr:uid="{12AAE462-8760-462A-85D6-60F243CEB59B}"/>
    <hyperlink ref="F1015" r:id="rId1277" xr:uid="{B5A383FC-6D65-49F8-B2CC-D56312A9598F}"/>
    <hyperlink ref="F1016" r:id="rId1278" xr:uid="{690F8E39-29A8-485C-83D9-F76B7152CADB}"/>
    <hyperlink ref="E1017" r:id="rId1279" xr:uid="{4FDDBF34-8CB4-4323-9172-6FB76CD689D2}"/>
    <hyperlink ref="E1018" r:id="rId1280" xr:uid="{554DF7BA-C6BA-4AF0-A9F5-B80155BE3993}"/>
    <hyperlink ref="E1019" r:id="rId1281" xr:uid="{33C23774-9AA4-40B3-8D34-257CE37A4364}"/>
    <hyperlink ref="E1020" r:id="rId1282" xr:uid="{78C432CB-D6FE-4009-9E8E-02BF0F8B4A8B}"/>
    <hyperlink ref="E1021" r:id="rId1283" xr:uid="{B2D510F9-49D0-4405-91A1-07A409714872}"/>
    <hyperlink ref="E1022" r:id="rId1284" xr:uid="{C81FC28D-D324-4FC1-AA5C-C753A4529552}"/>
    <hyperlink ref="E1023" r:id="rId1285" xr:uid="{8A9C22FD-906B-429F-8961-E96F084F4DB9}"/>
    <hyperlink ref="E1024" r:id="rId1286" xr:uid="{1EB7B23A-892F-410F-BB74-9BB3945B5C94}"/>
    <hyperlink ref="F1017" r:id="rId1287" xr:uid="{026BCCA5-5A52-410E-8F8C-9FBE415F2B44}"/>
    <hyperlink ref="F1018" r:id="rId1288" xr:uid="{26DE0AFE-561B-4923-8A40-EA59731CE340}"/>
    <hyperlink ref="F1019" r:id="rId1289" xr:uid="{CA76524D-49EA-4A42-ADF2-91CB1E3A33F5}"/>
    <hyperlink ref="F1020" r:id="rId1290" xr:uid="{F5E5D511-818E-44BA-9A21-B508F932E848}"/>
    <hyperlink ref="F1021" r:id="rId1291" xr:uid="{11EBD1FC-4032-40D0-AFF1-88A9BD92A04C}"/>
    <hyperlink ref="F1022" r:id="rId1292" xr:uid="{90C892B9-7CF0-4FD0-A25B-E71914EE28B0}"/>
    <hyperlink ref="F1023" r:id="rId1293" xr:uid="{B932636D-C290-4147-AA15-57A069962C79}"/>
    <hyperlink ref="F1024" r:id="rId1294" xr:uid="{A40A20D9-061C-4922-8B5F-62EFE6872F5F}"/>
    <hyperlink ref="E920" r:id="rId1295" xr:uid="{6D7D54CE-D2D1-4C93-B1A7-3F69A904E43A}"/>
    <hyperlink ref="E921" r:id="rId1296" xr:uid="{B37F5887-4448-4A79-976F-98ABB8D6656E}"/>
    <hyperlink ref="F920" r:id="rId1297" xr:uid="{56AFDDA0-23A9-4BB0-8D5E-C34BFD9EEBEB}"/>
    <hyperlink ref="F921" r:id="rId1298" xr:uid="{90A990FA-B0E4-4B14-A6FB-E64D983B412D}"/>
    <hyperlink ref="E84" r:id="rId1299" xr:uid="{612039B5-57C7-45F6-9A63-89F1D1F4BA38}"/>
    <hyperlink ref="F84" r:id="rId1300" xr:uid="{92CAAF7F-A313-47C8-BF42-1047E08922CA}"/>
    <hyperlink ref="E85" r:id="rId1301" xr:uid="{AAB036B7-9A92-4730-886C-819D6EB1F874}"/>
    <hyperlink ref="F85" r:id="rId1302" xr:uid="{F685D7C7-DD21-454E-9454-C61FB716F401}"/>
    <hyperlink ref="E699" r:id="rId1303" xr:uid="{2D75F007-EDA2-4DCC-AF23-21F7D8751499}"/>
    <hyperlink ref="F699" r:id="rId1304" xr:uid="{77F85AF0-B9F7-4320-A06D-230B1E8F2799}"/>
    <hyperlink ref="E962" r:id="rId1305" xr:uid="{F7056A7D-A6D9-4359-B8E4-9C31A925E953}"/>
    <hyperlink ref="F962" r:id="rId1306" xr:uid="{614BDE12-D3BA-4BDD-A5B5-9448F8F98CCB}"/>
    <hyperlink ref="E1039" r:id="rId1307" xr:uid="{8A6DC4E5-A2D6-4201-98FD-79C82D3BC3F1}"/>
    <hyperlink ref="F1039" r:id="rId1308" xr:uid="{5C1709E5-7536-4D62-BD44-16101A1E5E03}"/>
    <hyperlink ref="E366" r:id="rId1309" xr:uid="{8474CF87-2DDE-4EDA-99E5-618FF6CA8A46}"/>
    <hyperlink ref="E1109" r:id="rId1310" xr:uid="{A45CB356-1704-4B1F-A8EB-026E1268EFBF}"/>
    <hyperlink ref="E691" r:id="rId1311" xr:uid="{46B83B76-2635-48D7-B95C-5FA15A2C77C4}"/>
    <hyperlink ref="E203" r:id="rId1312" xr:uid="{2196C634-1A89-414E-92C4-805B3F018820}"/>
    <hyperlink ref="F203" r:id="rId1313" xr:uid="{5198E8C6-7FA9-4475-A1ED-8FDBDA010A91}"/>
    <hyperlink ref="E467" r:id="rId1314" xr:uid="{0072A823-479E-4064-8ED1-FA217A2B154A}"/>
    <hyperlink ref="E249" r:id="rId1315" xr:uid="{D656FD33-5CDB-4334-8FFF-04CAE85E4753}"/>
    <hyperlink ref="E250" r:id="rId1316" xr:uid="{0A317539-4041-4080-AA98-7C1BAC05E6F9}"/>
    <hyperlink ref="E251" r:id="rId1317" xr:uid="{2F795706-7D0E-4EA6-A744-153BB41E50BD}"/>
    <hyperlink ref="E252" r:id="rId1318" xr:uid="{51D93C2B-93DD-43B0-97EA-6F323DBF2B73}"/>
    <hyperlink ref="E253" r:id="rId1319" xr:uid="{44A98093-9B6C-45AF-8DCA-A5A74FBDFD38}"/>
    <hyperlink ref="E254" r:id="rId1320" xr:uid="{59760987-BFA0-4CA2-A9B5-47CF5F445D83}"/>
    <hyperlink ref="E255" r:id="rId1321" xr:uid="{72DD2F3D-449B-491D-9FF9-4C86AEC2CFF6}"/>
    <hyperlink ref="E256" r:id="rId1322" xr:uid="{DC39427F-A0EF-444A-A71E-128CD212874E}"/>
    <hyperlink ref="E257" r:id="rId1323" xr:uid="{28ED1BA7-B307-4DFF-B5BB-E08B33AD05DC}"/>
    <hyperlink ref="E258" r:id="rId1324" xr:uid="{7F7E9AB0-D3D4-4C92-8DBA-54486865AEA4}"/>
    <hyperlink ref="E259" r:id="rId1325" xr:uid="{0F0FA612-500F-4B02-856A-7FDE527EE0F7}"/>
    <hyperlink ref="E260" r:id="rId1326" xr:uid="{E9B8581B-306B-401A-98CD-4273EBCE9218}"/>
    <hyperlink ref="E261" r:id="rId1327" xr:uid="{81036CA3-F662-4D0A-9451-7AD5A29E9E54}"/>
    <hyperlink ref="E262" r:id="rId1328" xr:uid="{0B3F5990-02BE-4E26-BF19-823D7D44B662}"/>
    <hyperlink ref="E263" r:id="rId1329" xr:uid="{1970260E-B031-4096-B490-6BD9C7539CA9}"/>
    <hyperlink ref="E264" r:id="rId1330" xr:uid="{FAF1BE5A-FCAC-436A-A442-F057CEA335FD}"/>
    <hyperlink ref="E265" r:id="rId1331" xr:uid="{CC3878F1-139D-4C5E-B46E-FD9823E137F9}"/>
    <hyperlink ref="E266" r:id="rId1332" xr:uid="{2AC87456-9DC5-4D12-8371-04375D8EBEAC}"/>
    <hyperlink ref="E267" r:id="rId1333" xr:uid="{8B6C6B96-636B-43E6-B255-7BBED05C495E}"/>
    <hyperlink ref="E268" r:id="rId1334" xr:uid="{831535E6-C89E-4A20-B6C0-7EA3D61B0A44}"/>
    <hyperlink ref="E269" r:id="rId1335" xr:uid="{0F871D98-5E69-4D3F-B9CC-6BC3A626AA8C}"/>
    <hyperlink ref="E270" r:id="rId1336" xr:uid="{43C3A766-B20A-492F-80C7-82CB17EF6E6D}"/>
    <hyperlink ref="E271" r:id="rId1337" xr:uid="{13DDACF2-7B00-44DA-A13A-6AAE856DE0DD}"/>
    <hyperlink ref="F249" r:id="rId1338" xr:uid="{85EB10CC-48E2-4B93-AA28-03E1D6E31BF4}"/>
    <hyperlink ref="F250" r:id="rId1339" xr:uid="{E33504BB-0DF0-475C-B34E-9F8D4A86F0A9}"/>
    <hyperlink ref="F251" r:id="rId1340" xr:uid="{D069ABD3-9B11-4698-8669-D32751B4F6C3}"/>
    <hyperlink ref="F252" r:id="rId1341" xr:uid="{A537D8D1-CDB5-4044-9635-96147050107E}"/>
    <hyperlink ref="F253" r:id="rId1342" xr:uid="{B3C7C1EE-B4FD-42E2-804E-0A21F6E2E2D0}"/>
    <hyperlink ref="F254" r:id="rId1343" xr:uid="{433A18AC-0310-4679-9C45-54895160B701}"/>
    <hyperlink ref="F255" r:id="rId1344" xr:uid="{41A03B91-A4A2-413C-B4AA-649701040F04}"/>
    <hyperlink ref="F256" r:id="rId1345" xr:uid="{0EE4CB73-A8F3-4362-9F1E-3240043190CB}"/>
    <hyperlink ref="F257" r:id="rId1346" xr:uid="{50B1AAD6-FA41-45E9-A0C5-86DCA2F0B0E4}"/>
    <hyperlink ref="F258" r:id="rId1347" xr:uid="{D41F2588-F1AE-46C3-AE61-2B97D5A9F9FA}"/>
    <hyperlink ref="F259" r:id="rId1348" xr:uid="{45D7D136-FB12-4941-A714-F8EF4A5097F3}"/>
    <hyperlink ref="F260" r:id="rId1349" xr:uid="{B1CD01DF-77D2-4550-A529-5D2EA9CBD548}"/>
    <hyperlink ref="F261" r:id="rId1350" xr:uid="{C05BEC0B-105A-4151-BAE7-0705AA5710F9}"/>
    <hyperlink ref="F262" r:id="rId1351" xr:uid="{22E1A508-ED0F-4F5D-9742-19B6E383959A}"/>
    <hyperlink ref="F263" r:id="rId1352" xr:uid="{BC6807A0-AC85-41FA-B675-BD894CCAF139}"/>
    <hyperlink ref="F264" r:id="rId1353" xr:uid="{7BFF792D-29C0-4D01-B481-E189AEC90B23}"/>
    <hyperlink ref="F265" r:id="rId1354" xr:uid="{503FD3CE-1949-4CA2-B061-00306B703CC1}"/>
    <hyperlink ref="F266" r:id="rId1355" xr:uid="{2458D1CE-6BC1-404D-A368-D4A52C463264}"/>
    <hyperlink ref="F267" r:id="rId1356" xr:uid="{78192E39-A937-40A1-A932-404CDC69BF03}"/>
    <hyperlink ref="F268" r:id="rId1357" xr:uid="{AB28C2AB-63DD-4760-9E6E-43D45CFC022D}"/>
    <hyperlink ref="F269" r:id="rId1358" xr:uid="{6C348443-41CA-4C47-83E6-C469C52D516A}"/>
    <hyperlink ref="F270" r:id="rId1359" xr:uid="{984BC32F-2E09-4410-AC64-483B5F465D8B}"/>
    <hyperlink ref="F271" r:id="rId1360" xr:uid="{D0631AC1-13A2-4809-9454-5EDDECD42CCD}"/>
    <hyperlink ref="E473" r:id="rId1361" xr:uid="{4B528155-3B8A-4A6A-959F-5A19021B2B6A}"/>
    <hyperlink ref="E1036" r:id="rId1362" xr:uid="{E1FB7838-2453-44FD-BE19-855A725E4884}"/>
    <hyperlink ref="F1036" r:id="rId1363" xr:uid="{62A950D5-3B23-49F1-B658-1EE1CE1F2F65}"/>
    <hyperlink ref="E728" r:id="rId1364" xr:uid="{6AE950DB-4B9F-480D-B195-82B9762CF9FF}"/>
    <hyperlink ref="E729" r:id="rId1365" xr:uid="{1F2D777D-E231-4C17-817C-92847376BCD2}"/>
    <hyperlink ref="E730" r:id="rId1366" xr:uid="{5BA27C11-5754-4264-9DD5-2EA4C688F830}"/>
    <hyperlink ref="F728" r:id="rId1367" xr:uid="{23B2CC81-357E-4D71-8940-8199F01167B0}"/>
    <hyperlink ref="F729" r:id="rId1368" xr:uid="{4D6B974E-ABA5-4482-9AEC-E190A0A36A2E}"/>
    <hyperlink ref="E731" r:id="rId1369" xr:uid="{71BEAEA6-4B23-439A-A996-142A7AD14216}"/>
    <hyperlink ref="F730" r:id="rId1370" xr:uid="{5299405A-3429-4223-8221-D89FEBFDF1DC}"/>
    <hyperlink ref="F731" r:id="rId1371" xr:uid="{EB0DD6B2-BED0-4D27-A6D7-C5F593A2D901}"/>
    <hyperlink ref="E682" r:id="rId1372" xr:uid="{DEF94B02-4CE1-4286-85C4-A34022D37E48}"/>
    <hyperlink ref="E429" r:id="rId1373" xr:uid="{3017983D-A72F-495B-935C-90C96000A5C2}"/>
    <hyperlink ref="F429" r:id="rId1374" xr:uid="{56C890EB-384E-42CC-9110-25F9EE1561EA}"/>
    <hyperlink ref="E768" r:id="rId1375" xr:uid="{02E47B32-EFC9-470C-B1B9-F3F60E584FA2}"/>
    <hyperlink ref="E733" r:id="rId1376" xr:uid="{A2D56B6D-6F75-4A9A-BE62-852C4479941A}"/>
    <hyperlink ref="E734" r:id="rId1377" xr:uid="{B1FD66A5-8389-47A6-9E4B-A4983095D067}"/>
    <hyperlink ref="E735" r:id="rId1378" xr:uid="{D0820A5C-D76D-4F6D-BA8B-F828F711B33B}"/>
    <hyperlink ref="E736" r:id="rId1379" xr:uid="{F2577994-BB13-4D6D-91C2-60827832FF9A}"/>
    <hyperlink ref="E737" r:id="rId1380" xr:uid="{8B83E797-8F16-4C4C-AE84-977E243D58FA}"/>
    <hyperlink ref="E738" r:id="rId1381" xr:uid="{28D5C32D-512E-49AF-8018-D766B6C94957}"/>
    <hyperlink ref="E739" r:id="rId1382" xr:uid="{3AFA931C-7EC3-4C2D-8A4D-112A5E5C0630}"/>
    <hyperlink ref="E740" r:id="rId1383" xr:uid="{030E4BD8-0431-4DD9-A435-86987803AD05}"/>
    <hyperlink ref="E741" r:id="rId1384" xr:uid="{38388556-E9E0-4F78-B82C-B11B641B69A8}"/>
    <hyperlink ref="E742" r:id="rId1385" xr:uid="{04C20842-D443-4419-8AC8-44261DED98D0}"/>
    <hyperlink ref="E743" r:id="rId1386" xr:uid="{AA929D60-EA5C-4268-BA20-9A401F18665F}"/>
    <hyperlink ref="E744" r:id="rId1387" xr:uid="{6DB7C8B4-0ACC-42E9-AAF6-50E99A7862B6}"/>
    <hyperlink ref="F733" r:id="rId1388" xr:uid="{B74BF683-795F-41DE-97BA-45D7808B4CA0}"/>
    <hyperlink ref="F734" r:id="rId1389" xr:uid="{F8F355ED-0E18-4F70-B14A-A5B72261E1D1}"/>
    <hyperlink ref="F735" r:id="rId1390" xr:uid="{5D33AF39-5CF7-4340-AEDA-48241F0E5BAD}"/>
    <hyperlink ref="F736" r:id="rId1391" xr:uid="{47FA7128-786B-4EDB-95D4-84E6D13A7D5E}"/>
    <hyperlink ref="F737" r:id="rId1392" xr:uid="{67319CBB-B877-4828-9EC8-9416E463DE29}"/>
    <hyperlink ref="F738" r:id="rId1393" xr:uid="{45DAAB89-0D85-4162-9EE3-D62496DCD1BF}"/>
    <hyperlink ref="F739" r:id="rId1394" xr:uid="{E04DA892-D672-4AF2-B23F-780095A48541}"/>
    <hyperlink ref="F740" r:id="rId1395" xr:uid="{0C10621A-504D-4990-915C-0BBF8E590F3A}"/>
    <hyperlink ref="F741" r:id="rId1396" xr:uid="{B62F9D1E-93DF-45EF-8F67-833AFCE2935A}"/>
    <hyperlink ref="F742" r:id="rId1397" xr:uid="{BEE5C90F-345C-4481-B80C-4A3002832A7A}"/>
    <hyperlink ref="F743" r:id="rId1398" xr:uid="{F7F6ADB9-6815-4737-B040-1500BF3EEE95}"/>
    <hyperlink ref="F744" r:id="rId1399" xr:uid="{62F1CD4C-37ED-4FD1-BC07-786BF64080D9}"/>
    <hyperlink ref="E294" r:id="rId1400" xr:uid="{5C8B7CD0-6B84-449B-BD85-C00303DA4506}"/>
    <hyperlink ref="E295" r:id="rId1401" xr:uid="{D72EE7C4-AE27-46C7-B1E0-E3B494AF6B0D}"/>
    <hyperlink ref="E296" r:id="rId1402" xr:uid="{E5541195-87FF-450B-925E-44FB702DFE6B}"/>
    <hyperlink ref="F294" r:id="rId1403" xr:uid="{A873C46F-52E7-4FF7-A510-F1BB0DC8EEA6}"/>
    <hyperlink ref="F295" r:id="rId1404" xr:uid="{0208C90E-09AB-4541-B77B-98D21BF86F2B}"/>
    <hyperlink ref="F296" r:id="rId1405" xr:uid="{DABCB6A9-4E11-4662-8ADF-2ABE35BCC152}"/>
    <hyperlink ref="E170" r:id="rId1406" xr:uid="{555A8D37-FD8D-45A9-BCAA-E854F642E988}"/>
    <hyperlink ref="E171" r:id="rId1407" xr:uid="{6C59D4AF-F72D-479A-A2A0-796813F8BD69}"/>
    <hyperlink ref="F170" r:id="rId1408" xr:uid="{905C2019-58EB-402D-9A3C-28B59CAC1D5B}"/>
    <hyperlink ref="F171" r:id="rId1409" xr:uid="{EB090DF6-C517-4CA2-A119-9C2A56F003CC}"/>
    <hyperlink ref="E490" r:id="rId1410" xr:uid="{803291DA-2D2B-46D1-917F-90EC328B07A0}"/>
    <hyperlink ref="F490" r:id="rId1411" xr:uid="{67B7BB59-A454-4542-BBDD-E27DE65CE32B}"/>
    <hyperlink ref="E960" r:id="rId1412" xr:uid="{33F30E34-753B-4205-9462-FAD4BC39D450}"/>
    <hyperlink ref="F960" r:id="rId1413" xr:uid="{C8DB61C8-EA55-4B57-9BCF-44BFE34155C9}"/>
    <hyperlink ref="E771" r:id="rId1414" xr:uid="{400496B6-EE0C-433A-93B3-7E0643CF5F92}"/>
    <hyperlink ref="E772" r:id="rId1415" xr:uid="{DE44CF28-4D3D-4664-B704-6860264A1AC4}"/>
    <hyperlink ref="E773" r:id="rId1416" xr:uid="{22DD4670-98BD-4621-8779-DB4EC88DFB2F}"/>
    <hyperlink ref="F771" r:id="rId1417" xr:uid="{C63CA211-C575-4956-92F0-B335AC4F264D}"/>
    <hyperlink ref="F772" r:id="rId1418" xr:uid="{41EBF336-2E07-4104-A750-10EEE7382F44}"/>
    <hyperlink ref="F773" r:id="rId1419" xr:uid="{724BB8CA-18A4-4086-BC01-7088CAA36658}"/>
    <hyperlink ref="E530" r:id="rId1420" xr:uid="{7262A8D6-5AF4-455F-AEC1-D0A85CF689B2}"/>
    <hyperlink ref="F530" r:id="rId1421" xr:uid="{21EFEC56-099E-4ED9-8EDD-341F2F8130D8}"/>
    <hyperlink ref="E247" r:id="rId1422" xr:uid="{843A0E7C-B8B7-481C-9DB5-F96F27B8637B}"/>
    <hyperlink ref="F247" r:id="rId1423" xr:uid="{EEFC82C7-E7C0-43E5-B74D-C6D3C086300B}"/>
    <hyperlink ref="E48" r:id="rId1424" xr:uid="{76BF3AD4-50F0-4D8B-AD8D-F3F7A4191F24}"/>
    <hyperlink ref="E49" r:id="rId1425" xr:uid="{BEDF8F19-D3A4-445C-B79A-CAF09F93CC51}"/>
    <hyperlink ref="E50" r:id="rId1426" xr:uid="{A23FF505-C7E9-42AD-AAF9-E404ACD2D3AE}"/>
    <hyperlink ref="E51" r:id="rId1427" xr:uid="{E48BE79C-2AE2-40B3-99BE-D24CAC5B8374}"/>
    <hyperlink ref="E52" r:id="rId1428" xr:uid="{0816EB25-3433-4587-BFA0-65CDB3FA6C58}"/>
    <hyperlink ref="E53" r:id="rId1429" xr:uid="{2BDA611F-348E-417C-A048-FB042A11A985}"/>
    <hyperlink ref="E54" r:id="rId1430" xr:uid="{0BAD2878-3ABC-430F-A96E-814F29CB4762}"/>
    <hyperlink ref="E55" r:id="rId1431" xr:uid="{D82F2968-13BC-4C25-A918-BD3E7F3C8B9D}"/>
    <hyperlink ref="E56" r:id="rId1432" xr:uid="{43D0233C-A376-43AD-8841-5881B1D9AEF6}"/>
    <hyperlink ref="E57" r:id="rId1433" xr:uid="{2E01A8B5-F4D9-4B49-BF0E-DF9875B46E32}"/>
    <hyperlink ref="E58" r:id="rId1434" xr:uid="{E7149B1E-CC35-41B8-B96C-9E5A8D630A71}"/>
    <hyperlink ref="F48" r:id="rId1435" xr:uid="{81E4B2FA-E37F-4589-888D-27AC002E0769}"/>
    <hyperlink ref="F49" r:id="rId1436" xr:uid="{95411BA4-4913-4B3F-9EB9-F03D302881EC}"/>
    <hyperlink ref="F50" r:id="rId1437" xr:uid="{E358A508-858C-4850-9919-9AAEB3F4BAE8}"/>
    <hyperlink ref="F51" r:id="rId1438" xr:uid="{5EE650FD-1B12-4EEA-A295-E398BB8EF23C}"/>
    <hyperlink ref="F52" r:id="rId1439" xr:uid="{40BF7A9F-D0A2-4BDF-BEE6-19953F94DFB6}"/>
    <hyperlink ref="F53" r:id="rId1440" xr:uid="{31A4E31E-6427-40F0-B105-0C898C466DEA}"/>
    <hyperlink ref="F54" r:id="rId1441" xr:uid="{D52D831B-91BF-4F45-AA3C-FBFAC189ADCD}"/>
    <hyperlink ref="F55" r:id="rId1442" xr:uid="{F19DA305-42F6-4085-8008-79C6591F0B41}"/>
    <hyperlink ref="F56" r:id="rId1443" xr:uid="{395BE172-8388-419E-8374-981C6232A7F5}"/>
    <hyperlink ref="F57" r:id="rId1444" xr:uid="{CA33429D-FD5F-424E-87E4-76731E9511F4}"/>
    <hyperlink ref="F58" r:id="rId1445" xr:uid="{52D512CA-9D39-44D7-9EB1-C84A97A1112B}"/>
    <hyperlink ref="E1041" r:id="rId1446" xr:uid="{6ED1B059-AF97-471D-91B4-6C01E0D4D9E0}"/>
    <hyperlink ref="F1041" r:id="rId1447" xr:uid="{2189A85A-960E-4BC7-A433-2B245D930ADD}"/>
    <hyperlink ref="E924" r:id="rId1448" xr:uid="{06ED88FB-2F5A-4518-997A-53EF687FEA97}"/>
    <hyperlink ref="F924" r:id="rId1449" xr:uid="{DCF683C2-C976-4A85-8F02-8CEAA233AD7F}"/>
    <hyperlink ref="E74" r:id="rId1450" xr:uid="{40D44D5E-2C79-47C2-B2D7-BBD443E244D3}"/>
    <hyperlink ref="E75" r:id="rId1451" xr:uid="{470925AA-93D9-4172-9601-76F925F9E95F}"/>
    <hyperlink ref="F75" r:id="rId1452" xr:uid="{D405D181-6D28-4C1E-A8AD-DEE1EC7B4E5A}"/>
    <hyperlink ref="F74" r:id="rId1453" xr:uid="{C5ACB983-464D-44AA-8723-D68FF5FE967A}"/>
    <hyperlink ref="E477" r:id="rId1454" xr:uid="{60D23E82-0CEB-40D7-9CAE-F7C8EB751254}"/>
    <hyperlink ref="E732" r:id="rId1455" xr:uid="{0B07AA57-3AA4-43F1-9F84-2602A3DB33D6}"/>
    <hyperlink ref="F732" r:id="rId1456" xr:uid="{1557868F-B5EC-4ACB-AA41-9F475EA59FB9}"/>
    <hyperlink ref="E469" r:id="rId1457" xr:uid="{97E0D2DF-7521-4797-89B1-E9C5300D35A8}"/>
    <hyperlink ref="E191" r:id="rId1458" xr:uid="{EBDB0551-A65D-4C63-A987-59619BA26BE2}"/>
    <hyperlink ref="E370" r:id="rId1459" xr:uid="{E9F55147-CA6F-444A-A6B6-ADE8006E7E2F}"/>
    <hyperlink ref="E371" r:id="rId1460" xr:uid="{31B23C7F-DEFF-405E-B974-29BDC230B9A0}"/>
    <hyperlink ref="E372" r:id="rId1461" xr:uid="{53FA0D51-548F-4B07-806B-11E138BEE4C9}"/>
    <hyperlink ref="E373" r:id="rId1462" xr:uid="{FCC3CB41-CA2C-4D3E-8D16-42F9CA6C83AB}"/>
    <hyperlink ref="F370" r:id="rId1463" xr:uid="{A5443BAA-97F8-4952-A662-992A33409E6E}"/>
    <hyperlink ref="F371" r:id="rId1464" xr:uid="{AE124707-7110-438B-A628-EFA2D71CB305}"/>
    <hyperlink ref="F372" r:id="rId1465" xr:uid="{598935E8-E05F-4C64-B18E-917A39780A2D}"/>
    <hyperlink ref="F373" r:id="rId1466" xr:uid="{700BD684-4295-496E-BEF2-B15AF92D612D}"/>
    <hyperlink ref="E958" r:id="rId1467" xr:uid="{64451DA6-5006-4A95-9840-446068704FC7}"/>
    <hyperlink ref="F958" r:id="rId1468" xr:uid="{9EC86156-E30C-4317-BBD2-52DA31A1CFB3}"/>
    <hyperlink ref="E470" r:id="rId1469" xr:uid="{E7CC084E-1ED5-467F-B4F6-60C8302F4DC2}"/>
    <hyperlink ref="E188" r:id="rId1470" xr:uid="{4B120536-A3B2-4A7A-9608-8B08A6108E78}"/>
    <hyperlink ref="E210" r:id="rId1471" xr:uid="{B4E103EF-8ACF-48E1-A889-767ACDBF4CBF}"/>
    <hyperlink ref="F210" r:id="rId1472" xr:uid="{260A0196-4302-42AD-9772-36E64495DD66}"/>
    <hyperlink ref="E539" r:id="rId1473" xr:uid="{219432CB-043B-4768-85BC-96CF4389A1A4}"/>
    <hyperlink ref="E540" r:id="rId1474" xr:uid="{730FE8BE-7C44-4490-BB79-720B3110B4B9}"/>
    <hyperlink ref="E541" r:id="rId1475" xr:uid="{807AA0BF-AB3A-4926-8E66-F5D86F0EC4CB}"/>
    <hyperlink ref="E542" r:id="rId1476" xr:uid="{BFA2D712-1FFF-4FC4-BA85-27521A5A4089}"/>
    <hyperlink ref="E543" r:id="rId1477" xr:uid="{4800C5F7-F30A-43D5-93C7-18A351EF60FA}"/>
    <hyperlink ref="E544" r:id="rId1478" xr:uid="{C03942EE-A2F8-43B3-8BDE-47514E8FE61D}"/>
    <hyperlink ref="F539" r:id="rId1479" xr:uid="{2248D424-99BA-493B-83AA-2C1BBAFDF064}"/>
    <hyperlink ref="F540" r:id="rId1480" xr:uid="{E3F4FAF9-E170-4214-A3E6-A0AEC34F041C}"/>
    <hyperlink ref="F541" r:id="rId1481" xr:uid="{DA2CEFF6-34CE-465D-B279-BC56B5E71D33}"/>
    <hyperlink ref="F542" r:id="rId1482" xr:uid="{B63A9201-BBB3-4AB5-A42E-B1DE7B4E0DE2}"/>
    <hyperlink ref="F543" r:id="rId1483" xr:uid="{33766D8E-B2A1-4761-B946-4F4F8A7E77C5}"/>
    <hyperlink ref="F544" r:id="rId1484" xr:uid="{0DF05E5A-1630-477F-A323-D82AC19526E6}"/>
    <hyperlink ref="E513" r:id="rId1485" xr:uid="{DE6FF5C6-0FB5-4FFC-91EB-F27EC7815417}"/>
    <hyperlink ref="E514" r:id="rId1486" xr:uid="{31B1B25E-76B2-4CD2-BEDC-D61EEBBE8565}"/>
    <hyperlink ref="E515" r:id="rId1487" xr:uid="{0E1736B7-755B-4030-A161-F48E3F409EAB}"/>
    <hyperlink ref="F513" r:id="rId1488" xr:uid="{1045572E-224F-4A79-AEC5-7D46EC86E2FE}"/>
    <hyperlink ref="F514" r:id="rId1489" xr:uid="{24238A68-3BDC-4172-A9E1-5CFDEB8A3436}"/>
    <hyperlink ref="F515" r:id="rId1490" xr:uid="{85121FB8-D9E7-4299-901A-51B356B1543C}"/>
    <hyperlink ref="E940" r:id="rId1491" xr:uid="{52EE821C-9508-4B3D-A43C-AC012A3E8D68}"/>
    <hyperlink ref="F940" r:id="rId1492" xr:uid="{C5BA604B-3635-40FC-B35D-58CCEB56DF0D}"/>
    <hyperlink ref="E687" r:id="rId1493" xr:uid="{CC2B8D26-2DE2-4CAD-B7AC-8E9687E39463}"/>
    <hyperlink ref="E1045" r:id="rId1494" xr:uid="{41238771-1B5B-420B-86FB-C18A69AD4DFF}"/>
    <hyperlink ref="F1045" r:id="rId1495" xr:uid="{ACDCAEA5-F0F4-468B-AB47-338F6AA9BE99}"/>
    <hyperlink ref="E1066" r:id="rId1496" xr:uid="{4886F45C-C27D-449E-9553-CB00CFEDBC9F}"/>
    <hyperlink ref="F1066" r:id="rId1497" xr:uid="{2B2F02E2-36D3-483A-BFC1-B46EC25F2F78}"/>
    <hyperlink ref="E166" r:id="rId1498" xr:uid="{1A9D2FD1-5916-4CDA-9709-1117719D4049}"/>
    <hyperlink ref="E167" r:id="rId1499" xr:uid="{EC3B32CD-8DA0-43EC-AE0C-681DE8D5FC70}"/>
    <hyperlink ref="E168" r:id="rId1500" xr:uid="{3A61D417-C6DC-4EC8-A038-71AE01E4B891}"/>
    <hyperlink ref="E169" r:id="rId1501" xr:uid="{C55C2AB0-377D-4E8E-BFBC-1F5439BC2F53}"/>
    <hyperlink ref="F166" r:id="rId1502" xr:uid="{4C553F0C-D60F-485B-AC24-5A455B9AEA08}"/>
    <hyperlink ref="F167" r:id="rId1503" xr:uid="{C63B22A7-2DE1-4933-89D1-3F7D9F043C6B}"/>
    <hyperlink ref="F168" r:id="rId1504" xr:uid="{47253D55-1C0A-4759-901F-535A6B81B149}"/>
    <hyperlink ref="F169" r:id="rId1505" xr:uid="{1C3DC507-05CA-4097-A218-8988E9FB28E8}"/>
    <hyperlink ref="E640" r:id="rId1506" xr:uid="{0CFAD6EE-34DD-4113-A2D9-CF70EA484C65}"/>
    <hyperlink ref="E641" r:id="rId1507" xr:uid="{0AC37FFD-2E9E-4FE9-A2A6-4F6BD6998D84}"/>
    <hyperlink ref="F640" r:id="rId1508" xr:uid="{239E24C2-B6C0-4282-8033-A847F283D434}"/>
    <hyperlink ref="F641" r:id="rId1509" xr:uid="{11D87112-B7FD-4520-9C14-D9057831FFD1}"/>
    <hyperlink ref="E195" r:id="rId1510" xr:uid="{87E2098B-BD75-450E-AF4C-D8397E1074F6}"/>
    <hyperlink ref="E134" r:id="rId1511" xr:uid="{CA2A49C0-42DC-47E0-951E-23FA551BBCAB}"/>
    <hyperlink ref="F134" r:id="rId1512" xr:uid="{2D0A1B96-A6B6-4A7F-960E-8C48F7326DFB}"/>
    <hyperlink ref="E482" r:id="rId1513" xr:uid="{ED83549B-64F0-4437-BCB7-B38B34A66A73}"/>
    <hyperlink ref="F482" r:id="rId1514" xr:uid="{34536450-A2CF-47F8-AA3C-2F8C94717D59}"/>
    <hyperlink ref="E214" r:id="rId1515" xr:uid="{56D389D3-9738-4569-8812-F75E8DE08A5E}"/>
    <hyperlink ref="E215" r:id="rId1516" xr:uid="{AE82B774-C6FC-4C15-A048-089005E65FD4}"/>
    <hyperlink ref="E216" r:id="rId1517" xr:uid="{DCAFA76A-2D5E-4072-A8DF-836A1312BA59}"/>
    <hyperlink ref="E217" r:id="rId1518" xr:uid="{B3C8541C-4425-4FF8-8195-5F6B083C8BC9}"/>
    <hyperlink ref="E218" r:id="rId1519" xr:uid="{0807435F-AC98-47F4-A5E5-E057EF1DF432}"/>
    <hyperlink ref="E219" r:id="rId1520" xr:uid="{AA7B24E8-66B1-4876-83CE-78303E3022A3}"/>
    <hyperlink ref="F214" r:id="rId1521" xr:uid="{4B4BE401-B39E-426C-AD67-3602B7F51AF2}"/>
    <hyperlink ref="F215" r:id="rId1522" xr:uid="{2EA8914C-6848-4628-BBAF-CB448F241006}"/>
    <hyperlink ref="F216" r:id="rId1523" xr:uid="{A2420DAC-D7E9-4AE6-AE0E-0287818355E4}"/>
    <hyperlink ref="F217" r:id="rId1524" xr:uid="{70C6443F-02FA-4637-8FD4-031DEF6DF32F}"/>
    <hyperlink ref="F218" r:id="rId1525" xr:uid="{99271F1A-AA3E-46EE-9AA0-C8B93A1A6EE2}"/>
    <hyperlink ref="F219" r:id="rId1526" xr:uid="{172B813B-6447-44DE-9E92-2005CB02EC00}"/>
    <hyperlink ref="E431" r:id="rId1527" xr:uid="{F2E10B84-7410-4011-A867-A80E799D941D}"/>
    <hyperlink ref="F431" r:id="rId1528" xr:uid="{4D2FC19E-47E5-4637-BE9D-DEE71A8F5CE6}"/>
    <hyperlink ref="E588" r:id="rId1529" xr:uid="{45E47D6E-A62C-4D69-939A-63757B56F382}"/>
    <hyperlink ref="F588" r:id="rId1530" xr:uid="{EDF70482-2BE2-41C6-BD77-E55D7D257605}"/>
    <hyperlink ref="E589" r:id="rId1531" xr:uid="{D7949A75-A757-4C9F-90B8-4AF6181D2409}"/>
    <hyperlink ref="E590" r:id="rId1532" xr:uid="{817A5E13-9212-401F-8DA9-5117D6A7CCE5}"/>
    <hyperlink ref="E591" r:id="rId1533" xr:uid="{C63A4B36-D598-441D-882D-B3206BB2F668}"/>
    <hyperlink ref="E592" r:id="rId1534" xr:uid="{C3546425-D08A-4BA4-B47C-5867BBE3B5C6}"/>
    <hyperlink ref="E593" r:id="rId1535" xr:uid="{189A16D9-F972-431F-A3A4-D6720F409017}"/>
    <hyperlink ref="F589" r:id="rId1536" xr:uid="{DB003F2F-1DEE-4314-AFFA-A0F82F565905}"/>
    <hyperlink ref="F590" r:id="rId1537" xr:uid="{7618397A-F8DF-463A-96D2-55FC6CFC56FB}"/>
    <hyperlink ref="F591" r:id="rId1538" xr:uid="{3103C292-40C0-459A-B89C-0256CA6683CD}"/>
    <hyperlink ref="F592" r:id="rId1539" xr:uid="{8B876E4E-2928-462E-92AA-D1E5F09775A4}"/>
    <hyperlink ref="F593" r:id="rId1540" xr:uid="{71289C41-C211-41AA-89DF-223EF00FB38F}"/>
    <hyperlink ref="E516" r:id="rId1541" xr:uid="{C2075229-DAF3-4A18-85ED-D73C8316F195}"/>
    <hyperlink ref="E517" r:id="rId1542" xr:uid="{AB07788E-B8D3-4A9F-A98D-CBD315C8375A}"/>
    <hyperlink ref="F516" r:id="rId1543" xr:uid="{E6D11B64-D37D-4BE1-8E6A-32C814C6955B}"/>
    <hyperlink ref="F517" r:id="rId1544" xr:uid="{0893C625-8EE8-4684-8146-C9B0048E78B2}"/>
    <hyperlink ref="E359" r:id="rId1545" xr:uid="{DC7885C7-8086-461C-B87A-01478222006E}"/>
    <hyperlink ref="F359" r:id="rId1546" xr:uid="{0F797F4A-33D7-48DE-874D-8F26AE2C7F39}"/>
    <hyperlink ref="E1052" r:id="rId1547" xr:uid="{27E7C01A-C319-42AC-8870-0ECF54103B06}"/>
    <hyperlink ref="F1052" r:id="rId1548" xr:uid="{F0AD6F9D-413E-4738-B593-586BE1B83091}"/>
    <hyperlink ref="E838" r:id="rId1549" xr:uid="{C1D5C176-9259-4CCF-9BC7-68C30D84CAE9}"/>
    <hyperlink ref="F838" r:id="rId1550" xr:uid="{6B7DDA1B-ADFB-4835-B535-B45608A1BF99}"/>
    <hyperlink ref="E175" r:id="rId1551" xr:uid="{52C2AE4B-5715-477E-90B4-EEAD71D3C77A}"/>
    <hyperlink ref="F175" r:id="rId1552" xr:uid="{7DE30912-9239-42D8-8477-FE6FE4F7A74C}"/>
    <hyperlink ref="E196" r:id="rId1553" xr:uid="{62A633EE-A9F5-42B4-8D2E-0BAEF4B87151}"/>
    <hyperlink ref="E942" r:id="rId1554" xr:uid="{7C2FA8D9-2D46-4073-AB2A-2533451A4F89}"/>
    <hyperlink ref="F942" r:id="rId1555" xr:uid="{5B51AF90-CB50-4532-97A9-6E77F75A5559}"/>
    <hyperlink ref="E1053" r:id="rId1556" xr:uid="{AAFA3418-5DA1-40E9-8B92-3AF23175DB2D}"/>
    <hyperlink ref="F1053" r:id="rId1557" xr:uid="{8EFCC0A7-9EFA-4552-B32E-6589A24A374B}"/>
    <hyperlink ref="E472" r:id="rId1558" xr:uid="{B1E8E637-C0F0-41DC-B9C1-B59B44A49637}"/>
    <hyperlink ref="E1114" r:id="rId1559" xr:uid="{BC12AB76-A670-4948-AA67-E7523E8EC5DE}"/>
    <hyperlink ref="E1115" r:id="rId1560" xr:uid="{9B284505-8351-42C2-B09B-7C4F86626BD2}"/>
    <hyperlink ref="E843" r:id="rId1561" xr:uid="{BE72AA68-6463-4276-A342-3F8553575304}"/>
    <hyperlink ref="F843" r:id="rId1562" xr:uid="{36D2BB64-5308-42D4-AD4A-185D15232ECC}"/>
    <hyperlink ref="E527" r:id="rId1563" xr:uid="{26D09916-9609-4D6C-BD89-4486B3B92490}"/>
    <hyperlink ref="F527" r:id="rId1564" xr:uid="{F6814D13-9926-434A-B157-CB6D3E5468F3}"/>
    <hyperlink ref="F528" r:id="rId1565" xr:uid="{47F1853C-ECAB-46D5-9098-ABA2F2AA8F1C}"/>
    <hyperlink ref="E528" r:id="rId1566" xr:uid="{5ECE3466-BA94-46B8-9A8E-9E65FD76CFDB}"/>
    <hyperlink ref="E788" r:id="rId1567" xr:uid="{2F4AF56E-47EB-43F4-A330-B1B4321D8B36}"/>
    <hyperlink ref="E647" r:id="rId1568" xr:uid="{6575F5BD-9853-41BC-BC7D-E046157E075B}"/>
    <hyperlink ref="E648" r:id="rId1569" xr:uid="{EC6F662F-0E48-42AF-9ED5-B15E12C38124}"/>
    <hyperlink ref="E649" r:id="rId1570" xr:uid="{F4777BE5-6B28-4616-9129-FBEBADB44C07}"/>
    <hyperlink ref="F647" r:id="rId1571" xr:uid="{5B620650-CE57-483E-BEAD-9A59F329D3AB}"/>
    <hyperlink ref="F648" r:id="rId1572" xr:uid="{D35E68B7-D86A-43AD-838A-4D3D6D0C4EC3}"/>
    <hyperlink ref="F649" r:id="rId1573" xr:uid="{EE2B726C-96F7-46A1-88E9-AC36CB5B29FD}"/>
    <hyperlink ref="E842" r:id="rId1574" xr:uid="{7ABB2FD1-0B1F-40A2-A221-73B7C33215F0}"/>
    <hyperlink ref="F842" r:id="rId1575" xr:uid="{E54DED3C-49AF-4C85-8B7B-903C4B6646E3}"/>
    <hyperlink ref="E865" r:id="rId1576" xr:uid="{3BEE16F7-FC37-480F-9947-8ADEAD6A3608}"/>
    <hyperlink ref="E866" r:id="rId1577" xr:uid="{5C7B0477-D317-4195-9A3E-6B24462D3819}"/>
    <hyperlink ref="E867" r:id="rId1578" xr:uid="{F10094B1-566A-488F-9FB5-199209E500C2}"/>
    <hyperlink ref="E868" r:id="rId1579" xr:uid="{237E1192-E413-4F08-A3E8-55FAB4E73863}"/>
    <hyperlink ref="F865" r:id="rId1580" xr:uid="{BB33ECFB-5E4B-4E33-A23A-270A33C8F97A}"/>
    <hyperlink ref="F866" r:id="rId1581" xr:uid="{2899BED9-DDBE-46ED-8F91-57EA31CDD978}"/>
    <hyperlink ref="F867" r:id="rId1582" xr:uid="{AF738E34-8B6F-40D0-97DA-E384CE49E646}"/>
    <hyperlink ref="F868" r:id="rId1583" xr:uid="{9191BC16-193A-426E-AB24-E7E968798A82}"/>
    <hyperlink ref="E1063" r:id="rId1584" xr:uid="{7B93B16F-2441-4AE7-99CA-BB5A0274295D}"/>
    <hyperlink ref="E1064" r:id="rId1585" xr:uid="{B4FC19BC-0D59-47F2-940B-3CFF57EC450B}"/>
    <hyperlink ref="E1065" r:id="rId1586" xr:uid="{AA1226E8-49FB-4338-B14B-BD9FD92EEF3F}"/>
    <hyperlink ref="F1063" r:id="rId1587" xr:uid="{86A5EBF8-63AF-4730-9200-4A5477ED949B}"/>
    <hyperlink ref="F1064" r:id="rId1588" xr:uid="{D942DB4E-3845-4280-8256-D484E9A975D1}"/>
    <hyperlink ref="F1065" r:id="rId1589" xr:uid="{BC40E80F-6DDA-4BC9-AB85-CF5DA607EF46}"/>
    <hyperlink ref="E545" r:id="rId1590" xr:uid="{0F5612D0-4E32-4BD2-964A-A785A8CFA930}"/>
    <hyperlink ref="E546" r:id="rId1591" xr:uid="{55433E14-E7D4-4EF2-8413-0D2FEABF4790}"/>
    <hyperlink ref="E547" r:id="rId1592" xr:uid="{A25407EF-CE14-4601-9F42-CAF13A2EB74D}"/>
    <hyperlink ref="E548" r:id="rId1593" xr:uid="{F852BEC8-9A12-4506-8FCD-180CDBC9EBA2}"/>
    <hyperlink ref="E549" r:id="rId1594" xr:uid="{F2130587-8B06-4467-B295-EB676716BEEC}"/>
    <hyperlink ref="E550" r:id="rId1595" xr:uid="{505346DF-DF1A-42D0-8D91-2011CDF3C764}"/>
    <hyperlink ref="F545" r:id="rId1596" xr:uid="{9398344C-E3E4-4C49-B388-8F9F63A7EC5D}"/>
    <hyperlink ref="F546" r:id="rId1597" xr:uid="{C501DCC5-8718-4204-94DE-367284BF3886}"/>
    <hyperlink ref="F547" r:id="rId1598" xr:uid="{7C7D5931-4C6F-4A12-A758-BEB71A61ACBE}"/>
    <hyperlink ref="F548" r:id="rId1599" xr:uid="{471A549D-F0D4-43BE-9617-DB20AF7FDA4F}"/>
    <hyperlink ref="F549" r:id="rId1600" xr:uid="{4F89B0EC-87DD-486E-A6EC-1DFD1AF96A6E}"/>
    <hyperlink ref="F550" r:id="rId1601" xr:uid="{91D48C67-292B-4785-9B24-30A03AC0BBB8}"/>
    <hyperlink ref="E957" r:id="rId1602" xr:uid="{1756115A-8419-48F1-BD0A-FC38A443F371}"/>
    <hyperlink ref="F957" r:id="rId1603" xr:uid="{2497593E-3C94-4AAE-8FD9-866126646E3A}"/>
    <hyperlink ref="E461" r:id="rId1604" xr:uid="{0531EF85-01AA-4B6E-A687-EBA50BFDD3F7}"/>
    <hyperlink ref="F461" r:id="rId1605" xr:uid="{BAB525EA-5848-4173-9774-823C3F09A193}"/>
    <hyperlink ref="E512" r:id="rId1606" xr:uid="{1F2C275E-4654-43EF-838C-F53230D1BD65}"/>
    <hyperlink ref="F512" r:id="rId1607" xr:uid="{F9826FD2-ACF9-415D-88A6-CCE97BB58220}"/>
    <hyperlink ref="E989" r:id="rId1608" xr:uid="{70B10366-8AC8-4758-A304-C5BA0A3F52AB}"/>
    <hyperlink ref="F989" r:id="rId1609" xr:uid="{D702F270-87D8-4D6B-96F4-DC4E1F3F506E}"/>
    <hyperlink ref="E487" r:id="rId1610" xr:uid="{1F0735EB-2093-4E18-B388-5102DB476546}"/>
    <hyperlink ref="F487" r:id="rId1611" xr:uid="{2940031E-3655-4815-A47A-2F93E65A967F}"/>
    <hyperlink ref="E465" r:id="rId1612" xr:uid="{CF21EFEF-D94E-4125-B19F-D7BB49541EE2}"/>
    <hyperlink ref="F465" r:id="rId1613" xr:uid="{54AA2EC8-D6A6-4265-8C1A-6B6C97F4B079}"/>
    <hyperlink ref="E526" r:id="rId1614" xr:uid="{495D9903-8731-4A3F-B8D7-751D3100CCAB}"/>
    <hyperlink ref="F526" r:id="rId1615" xr:uid="{2FB161C6-A019-446B-BEAE-F506A6B1DAB5}"/>
    <hyperlink ref="E946" r:id="rId1616" xr:uid="{9023B12E-E63C-4A6F-BE2B-6024539AE36D}"/>
    <hyperlink ref="E947" r:id="rId1617" xr:uid="{F67BFBCE-4E00-4BAE-9EBF-80FA88FCCA24}"/>
    <hyperlink ref="E948" r:id="rId1618" xr:uid="{718C7470-78F2-4F7C-89A2-9C769600082E}"/>
    <hyperlink ref="F946" r:id="rId1619" xr:uid="{2DA4E2E9-D882-470C-8F93-816EED9DD7E4}"/>
    <hyperlink ref="F947" r:id="rId1620" xr:uid="{E76EBDC5-91FD-4A94-A118-6386188F5F0F}"/>
    <hyperlink ref="F948" r:id="rId1621" xr:uid="{A2998B5F-8563-4688-8D5B-24507B932337}"/>
    <hyperlink ref="E688" r:id="rId1622" xr:uid="{AE121AE9-880E-41AB-8EF3-543C97B7EE90}"/>
    <hyperlink ref="E1028" r:id="rId1623" xr:uid="{FCA8759B-AAD5-4E79-84C6-DE51D0077F05}"/>
    <hyperlink ref="F1028" r:id="rId1624" xr:uid="{A456C206-5CAF-44DB-8F80-7DD7BEDA42E4}"/>
    <hyperlink ref="E288" r:id="rId1625" xr:uid="{CC88D0A6-4065-4C08-91BF-55DB3884B1A4}"/>
    <hyperlink ref="F288" r:id="rId1626" xr:uid="{B64C2A0C-244E-4795-B264-8CE3A8745333}"/>
    <hyperlink ref="E628" r:id="rId1627" xr:uid="{2D8D63F9-1DE4-49EE-83A2-A456AB7FEF6B}"/>
    <hyperlink ref="E629" r:id="rId1628" xr:uid="{86922762-EA0E-46EA-ABEF-7B614EAAA3B5}"/>
    <hyperlink ref="E630" r:id="rId1629" xr:uid="{E3250915-AFB0-480E-8173-5C123906FAD2}"/>
    <hyperlink ref="E631" r:id="rId1630" xr:uid="{ECB6BE34-FD27-4712-A636-3AD5C5805554}"/>
    <hyperlink ref="E632" r:id="rId1631" xr:uid="{2636375E-0928-48C7-B14C-2E9681401D80}"/>
    <hyperlink ref="F628" r:id="rId1632" xr:uid="{3B1D291F-3093-4BE0-950B-8D3FB3F26D3E}"/>
    <hyperlink ref="F629" r:id="rId1633" xr:uid="{71D47756-045F-467B-8E3F-D973AB6DA303}"/>
    <hyperlink ref="F630" r:id="rId1634" xr:uid="{695D835A-3452-4728-9D51-D0F49395B7E0}"/>
    <hyperlink ref="F631" r:id="rId1635" xr:uid="{35113290-873D-4C8A-896F-0AEB6B820EFE}"/>
    <hyperlink ref="F632" r:id="rId1636" xr:uid="{9A0E8326-87B1-40B6-A460-898AE68D5A83}"/>
    <hyperlink ref="E813" r:id="rId1637" xr:uid="{95778A4C-5687-488D-8B4D-481AE2E6CF37}"/>
    <hyperlink ref="E814" r:id="rId1638" xr:uid="{62755DC9-0624-4078-B34E-11FA96E01006}"/>
    <hyperlink ref="F813" r:id="rId1639" xr:uid="{76EC0C43-273F-480A-88FA-41790003E9EC}"/>
    <hyperlink ref="F814" r:id="rId1640" xr:uid="{0A196DBF-A565-43BC-870B-7045FBF20B08}"/>
    <hyperlink ref="E606" r:id="rId1641" xr:uid="{88884DF0-D4C8-4F25-AAB8-F32ADDF19A94}"/>
    <hyperlink ref="E607" r:id="rId1642" xr:uid="{444F588C-F21C-40A8-B981-1C2886AB4BED}"/>
    <hyperlink ref="E608" r:id="rId1643" xr:uid="{49F94F2D-5C67-4D95-B636-476EFA4BC888}"/>
    <hyperlink ref="E609" r:id="rId1644" xr:uid="{119828CE-8EAB-4C15-A2A6-FD252CF80A7A}"/>
    <hyperlink ref="E610" r:id="rId1645" xr:uid="{07CA6113-744C-4E83-A703-F4C3C8E830A3}"/>
    <hyperlink ref="E611" r:id="rId1646" xr:uid="{702EFB95-380A-4497-90F0-D68553FEF1E3}"/>
    <hyperlink ref="F606" r:id="rId1647" xr:uid="{9B9D926C-DC7D-436D-9EB3-9F0A57F85E98}"/>
    <hyperlink ref="F607" r:id="rId1648" xr:uid="{3579CD5A-0E67-42E8-8F43-692DC6BC7714}"/>
    <hyperlink ref="F608" r:id="rId1649" xr:uid="{FB2BE7AF-365D-4A20-867A-EFEFDEBC9745}"/>
    <hyperlink ref="F609" r:id="rId1650" xr:uid="{FE1FE325-6ADD-4608-AC97-B7B020A64335}"/>
    <hyperlink ref="F610" r:id="rId1651" xr:uid="{2DF80112-C465-4146-877E-00A03F423BC9}"/>
    <hyperlink ref="F611" r:id="rId1652" xr:uid="{76AA3629-D58F-4A9D-83FB-E5486C07E895}"/>
    <hyperlink ref="E1027" r:id="rId1653" xr:uid="{D7261D13-5B92-4CA3-A790-1D530B9ABB42}"/>
    <hyperlink ref="F1027" r:id="rId1654" xr:uid="{73671D53-3890-448D-BD70-F3A598FF8091}"/>
    <hyperlink ref="E536" r:id="rId1655" xr:uid="{C841A0F8-D0CD-4EA2-AE5B-FDEDC1B2A54A}"/>
    <hyperlink ref="F536" r:id="rId1656" xr:uid="{630D4EDB-E715-47ED-9763-24FFE46C0AA8}"/>
    <hyperlink ref="E763" r:id="rId1657" xr:uid="{1F2D531C-5765-46B0-AAB8-B18A296C9126}"/>
    <hyperlink ref="E678" r:id="rId1658" xr:uid="{B84507F5-EBB8-48C0-A981-4A51CB9216DA}"/>
    <hyperlink ref="E523" r:id="rId1659" xr:uid="{F9590A5E-3E4C-4804-93B1-93F8C51ED300}"/>
    <hyperlink ref="F523" r:id="rId1660" xr:uid="{4C8C82D1-1D09-4C8C-A846-450DCDA0B234}"/>
    <hyperlink ref="E194" r:id="rId1661" xr:uid="{7B1E9A36-4EB4-4E87-BA46-BBF54177F3F0}"/>
    <hyperlink ref="E382" r:id="rId1662" xr:uid="{A1358CFE-8C61-4AC5-A89F-42013BEC4384}"/>
    <hyperlink ref="E383" r:id="rId1663" xr:uid="{60AE1045-1CD2-4077-A647-286DA55945A5}"/>
    <hyperlink ref="E384" r:id="rId1664" xr:uid="{4C8AAAA3-34D4-4362-9A3F-DEC7A0180744}"/>
    <hyperlink ref="F382" r:id="rId1665" xr:uid="{5CB3BBAE-402A-4D48-A7BE-CF3D4E213C16}"/>
    <hyperlink ref="F383" r:id="rId1666" xr:uid="{7A788BCD-3DD4-439A-B42C-E009D5F2D5AF}"/>
    <hyperlink ref="F384" r:id="rId1667" xr:uid="{0CE8FB4B-ADF3-40B6-82A1-6A7430A4DDB9}"/>
    <hyperlink ref="E877" r:id="rId1668" xr:uid="{218C54E9-240C-4C14-A64E-ED9D261A04CC}"/>
    <hyperlink ref="E878" r:id="rId1669" xr:uid="{354C4DFD-DB14-4B50-A361-F70118FC29F6}"/>
    <hyperlink ref="F877" r:id="rId1670" xr:uid="{7C053D24-9E4D-4E93-9E36-CB9555E2313A}"/>
    <hyperlink ref="F878" r:id="rId1671" xr:uid="{271530A4-E878-4E75-95D4-CCC90D588E0D}"/>
    <hyperlink ref="E81" r:id="rId1672" xr:uid="{63E695ED-ACD2-429C-9E6C-194F1DBE0F25}"/>
    <hyperlink ref="E82" r:id="rId1673" xr:uid="{7E32BE6E-20E6-45EF-9E1F-5EB8B03CE15C}"/>
    <hyperlink ref="E83" r:id="rId1674" xr:uid="{D6544FB2-6631-4C9A-A943-3C8018ACF135}"/>
    <hyperlink ref="F81" r:id="rId1675" xr:uid="{7B7F220E-8A28-4EFD-8B94-62320CB09E15}"/>
    <hyperlink ref="F82" r:id="rId1676" xr:uid="{72B4BD33-9132-4767-A78C-A599F90E59FF}"/>
    <hyperlink ref="F83" r:id="rId1677" xr:uid="{38682B8C-3287-4CD0-9D84-C771FFA95877}"/>
    <hyperlink ref="E1068" r:id="rId1678" xr:uid="{FC0E9639-7C48-466F-B5C2-F3046E1AAA84}"/>
    <hyperlink ref="F1068" r:id="rId1679" xr:uid="{42F8FA55-621B-42B8-9F19-4309DD766642}"/>
    <hyperlink ref="E784" r:id="rId1680" xr:uid="{C51B9F8C-77D2-46DD-B6E6-CA6EF1F4DB87}"/>
    <hyperlink ref="E145" r:id="rId1681" xr:uid="{70CB020D-A8B7-4364-9958-36357375CF04}"/>
    <hyperlink ref="E146" r:id="rId1682" xr:uid="{B79DD60E-D4C5-47EF-8303-E9EACA1C1CD5}"/>
    <hyperlink ref="E147" r:id="rId1683" xr:uid="{DE00EB40-E1D6-41A2-A187-4A4AC95D36FC}"/>
    <hyperlink ref="E148" r:id="rId1684" xr:uid="{48B1B66A-60F8-4C56-ADF9-A6E8657CCAFC}"/>
    <hyperlink ref="F145" r:id="rId1685" xr:uid="{3D7B2636-DBE4-4513-99FE-250632923815}"/>
    <hyperlink ref="F146" r:id="rId1686" xr:uid="{90279CA0-6F89-45D7-A118-048F499D3193}"/>
    <hyperlink ref="F147" r:id="rId1687" xr:uid="{BF5074E2-7473-4BF4-B9BE-5227F34A86FC}"/>
    <hyperlink ref="F148" r:id="rId1688" xr:uid="{54D47039-96C7-420B-8429-3B26238FB6EC}"/>
    <hyperlink ref="E125" r:id="rId1689" xr:uid="{A47E770E-AE0B-4B64-9F8F-31A24C13CD1D}"/>
    <hyperlink ref="E126" r:id="rId1690" xr:uid="{D75AF51D-520F-43D0-ACFA-245DF23CEAF2}"/>
    <hyperlink ref="E127" r:id="rId1691" xr:uid="{044AD771-A804-4629-BB38-3DE822EF91C2}"/>
    <hyperlink ref="E128" r:id="rId1692" xr:uid="{6679AF3C-0FC1-4975-BF78-EF10DF0C5DE9}"/>
    <hyperlink ref="E129" r:id="rId1693" xr:uid="{CC6176E3-73A7-4DBE-A011-BB8ABBA996DD}"/>
    <hyperlink ref="F125" r:id="rId1694" xr:uid="{72A64668-3488-4A92-96AC-29E27FF37438}"/>
    <hyperlink ref="F126" r:id="rId1695" xr:uid="{1A959B12-F11E-4CB5-A148-B6F8BF14B606}"/>
    <hyperlink ref="F127" r:id="rId1696" xr:uid="{44539AE8-7634-4392-B925-28F5560FAE5C}"/>
    <hyperlink ref="F128" r:id="rId1697" xr:uid="{605F5E1F-CB22-4BEE-AF8B-7308F26AA56B}"/>
    <hyperlink ref="F129" r:id="rId1698" xr:uid="{B1FEEBBC-8035-44E3-8BF1-564695FCB234}"/>
    <hyperlink ref="E686" r:id="rId1699" xr:uid="{7E35CCD6-F709-4F52-AC8E-AAFBC2CC5650}"/>
    <hyperlink ref="E767" r:id="rId1700" xr:uid="{C8E1E629-09E3-46CC-BCCC-D5FE577DECA2}"/>
    <hyperlink ref="E849" r:id="rId1701" xr:uid="{5AE67F6C-086A-4B4A-AF3C-A5D2F56FB156}"/>
    <hyperlink ref="E1030" r:id="rId1702" xr:uid="{82851800-666E-4474-91AC-6B5F4CA57031}"/>
    <hyperlink ref="F1030" r:id="rId1703" xr:uid="{898D9043-AD13-455F-A9FF-3902ACB130BA}"/>
    <hyperlink ref="E1008" r:id="rId1704" xr:uid="{6C282554-ED7A-42E0-A7E7-B429F58A20F6}"/>
    <hyperlink ref="F1008" r:id="rId1705" xr:uid="{A7C644BB-12FE-4C04-A095-18139B355BE0}"/>
    <hyperlink ref="E478" r:id="rId1706" xr:uid="{0E31C15E-70FB-415C-9AEE-ADA3F99FB052}"/>
    <hyperlink ref="E1034" r:id="rId1707" xr:uid="{19614537-0741-4416-9E5D-FC8746806DF2}"/>
    <hyperlink ref="F1034" r:id="rId1708" xr:uid="{40BE12C2-5ED0-4D70-B615-E9E7538697DD}"/>
    <hyperlink ref="E479" r:id="rId1709" xr:uid="{723341BD-8F65-4F8C-84F8-641036D63D4F}"/>
    <hyperlink ref="E850" r:id="rId1710" xr:uid="{328E5E96-A370-40EA-84C9-A3AFE2C5E308}"/>
    <hyperlink ref="E644" r:id="rId1711" xr:uid="{45BE81A4-27A9-4457-A178-D47A7374E677}"/>
    <hyperlink ref="F644" r:id="rId1712" xr:uid="{654D3A7F-BD3A-4713-8708-D0967080737E}"/>
    <hyperlink ref="E932" r:id="rId1713" xr:uid="{475BDCE0-0744-4433-8038-C4F903474746}"/>
    <hyperlink ref="E933" r:id="rId1714" xr:uid="{3B0B983A-D26C-4F69-8FAA-CEB9D7F00531}"/>
    <hyperlink ref="E934" r:id="rId1715" xr:uid="{D5F7874E-C1EA-41EB-A7E1-F890554D7057}"/>
    <hyperlink ref="E935" r:id="rId1716" xr:uid="{0BBC801D-A802-4BCC-9D52-393A2F38ACE3}"/>
    <hyperlink ref="E936" r:id="rId1717" xr:uid="{22D712B6-52F8-45EC-9DB5-15A656A8A13F}"/>
    <hyperlink ref="F932" r:id="rId1718" xr:uid="{A105478D-7D68-4AB4-ABC3-AC4F93E8B6EF}"/>
    <hyperlink ref="F933" r:id="rId1719" xr:uid="{5FF8A53C-6151-4FFF-85E4-51CAA3E47111}"/>
    <hyperlink ref="F934" r:id="rId1720" xr:uid="{F9009B60-2B66-4208-A56E-C1751B44204D}"/>
    <hyperlink ref="F935" r:id="rId1721" xr:uid="{49A70E43-5DF3-4644-83A6-41319B815012}"/>
    <hyperlink ref="F936" r:id="rId1722" xr:uid="{153EF55A-834E-4081-A058-6247415BDEF3}"/>
    <hyperlink ref="F580" r:id="rId1723" xr:uid="{1CA125FC-96F1-496B-82C7-E68EBA230005}"/>
    <hyperlink ref="E927" r:id="rId1724" xr:uid="{E04FBCA7-5E82-4243-9D1E-8005369AFC5D}"/>
    <hyperlink ref="E928" r:id="rId1725" xr:uid="{F04F9455-8727-4087-BD59-0C06A0AA4BBB}"/>
    <hyperlink ref="E929" r:id="rId1726" xr:uid="{DA6E274C-1C35-434A-87B5-D8C06401229D}"/>
    <hyperlink ref="E930" r:id="rId1727" xr:uid="{300D5213-7B2E-47FC-A505-F0509C24D952}"/>
    <hyperlink ref="E931" r:id="rId1728" xr:uid="{80B62A3E-1D9B-43D0-BA2B-020F2F8022DD}"/>
    <hyperlink ref="F927" r:id="rId1729" xr:uid="{47B2B6AB-3E86-4C80-9216-EB9A71BEDE95}"/>
    <hyperlink ref="F928" r:id="rId1730" xr:uid="{9F201356-6B7A-45E1-AAA1-5050DA964B03}"/>
    <hyperlink ref="F929" r:id="rId1731" xr:uid="{9A4A091B-E548-4BCB-AE1E-5A5D0629D97D}"/>
    <hyperlink ref="F930" r:id="rId1732" xr:uid="{AF18A309-7E5D-4706-A235-BA478BEA95BB}"/>
    <hyperlink ref="F931" r:id="rId1733" xr:uid="{6E4CC215-34C8-444F-9F01-BA64A0C561BF}"/>
    <hyperlink ref="E642" r:id="rId1734" xr:uid="{B856BEB6-696C-4598-95DF-6E6EA543038E}"/>
    <hyperlink ref="F642" r:id="rId1735" xr:uid="{0444DD3F-2A32-4449-B727-B6891652BAF9}"/>
    <hyperlink ref="E72" r:id="rId1736" xr:uid="{8965F9B1-D45D-4745-92B9-4123AA0CFBE8}"/>
    <hyperlink ref="E73" r:id="rId1737" xr:uid="{E209F69E-C4E7-4E2F-93B5-A2A9DB32E82F}"/>
    <hyperlink ref="F72" r:id="rId1738" xr:uid="{3A16791A-713C-4220-99F3-4C095295A7D1}"/>
    <hyperlink ref="F73" r:id="rId1739" xr:uid="{3706561A-1BFA-4FFB-97A7-1A4869989508}"/>
    <hyperlink ref="E1031" r:id="rId1740" xr:uid="{9D2F8345-7056-4F34-9984-564970C778EB}"/>
    <hyperlink ref="F1031" r:id="rId1741" xr:uid="{80222532-6317-4253-9557-08E9B55F0C65}"/>
    <hyperlink ref="E189" r:id="rId1742" xr:uid="{947819D3-B0E7-486D-83F1-3B0106D283EF}"/>
    <hyperlink ref="E848" r:id="rId1743" xr:uid="{D7B03A3F-58EA-4F11-A320-79980BE1B0A2}"/>
    <hyperlink ref="F861" r:id="rId1744" xr:uid="{B5A7974A-7453-426A-A53E-423FEC05875E}"/>
  </hyperlinks>
  <pageMargins left="0.7" right="0.7" top="0.75" bottom="0.75" header="0.3" footer="0.3"/>
  <pageSetup paperSize="9" orientation="portrait" r:id="rId17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1"/>
  <sheetViews>
    <sheetView zoomScale="108" zoomScaleNormal="108" workbookViewId="0">
      <pane ySplit="1" topLeftCell="A2" activePane="bottomLeft" state="frozen"/>
      <selection pane="bottomLeft" activeCell="C7" sqref="C7"/>
    </sheetView>
  </sheetViews>
  <sheetFormatPr defaultRowHeight="14.25" x14ac:dyDescent="0.45"/>
  <cols>
    <col min="1" max="1" width="11.265625" customWidth="1"/>
    <col min="2" max="2" width="27.9296875" customWidth="1"/>
    <col min="3" max="3" width="35" style="19" customWidth="1"/>
    <col min="4" max="4" width="35" style="20" customWidth="1"/>
    <col min="19" max="19" width="10.9296875" customWidth="1"/>
  </cols>
  <sheetData>
    <row r="1" spans="1:4" s="23" customFormat="1" x14ac:dyDescent="0.45">
      <c r="A1" s="23" t="s">
        <v>3018</v>
      </c>
      <c r="B1" s="23" t="s">
        <v>5</v>
      </c>
      <c r="C1" s="24" t="s">
        <v>3598</v>
      </c>
      <c r="D1" s="25" t="s">
        <v>2971</v>
      </c>
    </row>
    <row r="2" spans="1:4" x14ac:dyDescent="0.45">
      <c r="A2" t="s">
        <v>1084</v>
      </c>
      <c r="B2" t="s">
        <v>2429</v>
      </c>
      <c r="C2" s="19" t="str">
        <f>CONCATENATE(A2,":","1000")</f>
        <v>C00001:1000</v>
      </c>
      <c r="D2" s="20" t="str">
        <f>CONCATENATE(A2," : ",B2)</f>
        <v>C00001 : Water</v>
      </c>
    </row>
    <row r="3" spans="1:4" x14ac:dyDescent="0.45">
      <c r="A3" t="s">
        <v>1080</v>
      </c>
      <c r="B3" t="s">
        <v>2430</v>
      </c>
      <c r="C3" s="19" t="str">
        <f t="shared" ref="C3:C8" si="0">CONCATENATE(A3,":","1000")</f>
        <v>C00002:1000</v>
      </c>
      <c r="D3" s="20" t="str">
        <f t="shared" ref="D3:D66" si="1">CONCATENATE(A3," : ",B3)</f>
        <v>C00002 : ATP</v>
      </c>
    </row>
    <row r="4" spans="1:4" x14ac:dyDescent="0.45">
      <c r="A4" t="s">
        <v>1912</v>
      </c>
      <c r="B4" t="s">
        <v>2431</v>
      </c>
      <c r="C4" s="19" t="str">
        <f t="shared" si="0"/>
        <v>C00003:1000</v>
      </c>
      <c r="D4" s="20" t="str">
        <f t="shared" si="1"/>
        <v>C00003 : NAD+</v>
      </c>
    </row>
    <row r="5" spans="1:4" x14ac:dyDescent="0.45">
      <c r="A5" t="s">
        <v>1986</v>
      </c>
      <c r="B5" t="s">
        <v>2432</v>
      </c>
      <c r="C5" s="19" t="str">
        <f t="shared" si="0"/>
        <v>C00004:1000</v>
      </c>
      <c r="D5" s="20" t="str">
        <f t="shared" si="1"/>
        <v>C00004 : NADH</v>
      </c>
    </row>
    <row r="6" spans="1:4" x14ac:dyDescent="0.45">
      <c r="A6" t="s">
        <v>2077</v>
      </c>
      <c r="B6" t="s">
        <v>2433</v>
      </c>
      <c r="C6" s="19" t="str">
        <f t="shared" si="0"/>
        <v>C00005:1000</v>
      </c>
      <c r="D6" s="20" t="str">
        <f t="shared" si="1"/>
        <v>C00005 : NADPH</v>
      </c>
    </row>
    <row r="7" spans="1:4" x14ac:dyDescent="0.45">
      <c r="A7" t="s">
        <v>1919</v>
      </c>
      <c r="B7" t="s">
        <v>2434</v>
      </c>
      <c r="C7" s="19" t="str">
        <f t="shared" si="0"/>
        <v>C00006:1000</v>
      </c>
      <c r="D7" s="20" t="str">
        <f t="shared" si="1"/>
        <v>C00006 : NADP+</v>
      </c>
    </row>
    <row r="8" spans="1:4" x14ac:dyDescent="0.45">
      <c r="A8" t="s">
        <v>2265</v>
      </c>
      <c r="B8" t="s">
        <v>2435</v>
      </c>
      <c r="C8" s="19" t="str">
        <f t="shared" si="0"/>
        <v>C00007:1000</v>
      </c>
      <c r="D8" s="20" t="str">
        <f t="shared" si="1"/>
        <v>C00007 : Oxygen</v>
      </c>
    </row>
    <row r="9" spans="1:4" x14ac:dyDescent="0.45">
      <c r="A9" t="s">
        <v>1073</v>
      </c>
      <c r="B9" t="s">
        <v>2436</v>
      </c>
      <c r="C9" s="19" t="str">
        <f t="shared" ref="C9:C66" si="2">CONCATENATE(A9,":","1")</f>
        <v>C00008:1</v>
      </c>
      <c r="D9" s="20" t="str">
        <f t="shared" si="1"/>
        <v>C00008 : ADP</v>
      </c>
    </row>
    <row r="10" spans="1:4" x14ac:dyDescent="0.45">
      <c r="A10" t="s">
        <v>1086</v>
      </c>
      <c r="B10" t="s">
        <v>2437</v>
      </c>
      <c r="C10" s="19" t="str">
        <f t="shared" si="2"/>
        <v>C00009:1</v>
      </c>
      <c r="D10" s="20" t="str">
        <f t="shared" si="1"/>
        <v xml:space="preserve">C00009 : Phosphoric Acid </v>
      </c>
    </row>
    <row r="11" spans="1:4" x14ac:dyDescent="0.45">
      <c r="A11" t="s">
        <v>2016</v>
      </c>
      <c r="B11" t="s">
        <v>2438</v>
      </c>
      <c r="C11" s="19" t="str">
        <f t="shared" si="2"/>
        <v>C00010:1</v>
      </c>
      <c r="D11" s="20" t="str">
        <f t="shared" si="1"/>
        <v>C00010 : CoA</v>
      </c>
    </row>
    <row r="12" spans="1:4" x14ac:dyDescent="0.45">
      <c r="A12" t="s">
        <v>2266</v>
      </c>
      <c r="B12" t="s">
        <v>2439</v>
      </c>
      <c r="C12" s="19" t="str">
        <f>CONCATENATE(A12,":","1000")</f>
        <v>C00011:1000</v>
      </c>
      <c r="D12" s="20" t="str">
        <f t="shared" si="1"/>
        <v xml:space="preserve">C00011 : Carbon Dioxide </v>
      </c>
    </row>
    <row r="13" spans="1:4" x14ac:dyDescent="0.45">
      <c r="A13" t="s">
        <v>2133</v>
      </c>
      <c r="B13" t="s">
        <v>2440</v>
      </c>
      <c r="C13" s="19" t="str">
        <f t="shared" si="2"/>
        <v>C00012:1</v>
      </c>
      <c r="D13" s="20" t="str">
        <f t="shared" si="1"/>
        <v>C00012 : peptide</v>
      </c>
    </row>
    <row r="14" spans="1:4" x14ac:dyDescent="0.45">
      <c r="A14" t="s">
        <v>1074</v>
      </c>
      <c r="B14" t="s">
        <v>2441</v>
      </c>
      <c r="C14" s="19" t="str">
        <f t="shared" si="2"/>
        <v>C00013:1</v>
      </c>
      <c r="D14" s="20" t="str">
        <f t="shared" si="1"/>
        <v xml:space="preserve">C00013 : Diphosphoric Acid </v>
      </c>
    </row>
    <row r="15" spans="1:4" x14ac:dyDescent="0.45">
      <c r="A15" t="s">
        <v>2153</v>
      </c>
      <c r="B15" t="s">
        <v>2442</v>
      </c>
      <c r="C15" s="19" t="str">
        <f>CONCATENATE(A15,":","1000")</f>
        <v>C00014:1000</v>
      </c>
      <c r="D15" s="20" t="str">
        <f t="shared" si="1"/>
        <v>C00014 : Ammonia</v>
      </c>
    </row>
    <row r="16" spans="1:4" x14ac:dyDescent="0.45">
      <c r="A16" t="s">
        <v>2214</v>
      </c>
      <c r="B16" t="s">
        <v>2443</v>
      </c>
      <c r="C16" s="19" t="str">
        <f t="shared" si="2"/>
        <v>C00015:1</v>
      </c>
      <c r="D16" s="20" t="str">
        <f t="shared" si="1"/>
        <v>C00015 : UDP</v>
      </c>
    </row>
    <row r="17" spans="1:4" x14ac:dyDescent="0.45">
      <c r="A17" t="s">
        <v>2267</v>
      </c>
      <c r="B17" t="s">
        <v>2444</v>
      </c>
      <c r="C17" s="19" t="str">
        <f t="shared" si="2"/>
        <v>C00016:1</v>
      </c>
      <c r="D17" s="20" t="str">
        <f t="shared" si="1"/>
        <v>C00016 : FAD</v>
      </c>
    </row>
    <row r="18" spans="1:4" x14ac:dyDescent="0.45">
      <c r="A18" t="s">
        <v>1961</v>
      </c>
      <c r="B18" t="s">
        <v>2448</v>
      </c>
      <c r="C18" s="19" t="str">
        <f t="shared" si="2"/>
        <v>C00018:1</v>
      </c>
      <c r="D18" s="20" t="str">
        <f t="shared" si="1"/>
        <v>C00018 : Pyridoxal Phosphate(PLP)</v>
      </c>
    </row>
    <row r="19" spans="1:4" x14ac:dyDescent="0.45">
      <c r="A19" t="s">
        <v>1070</v>
      </c>
      <c r="B19" t="s">
        <v>2445</v>
      </c>
      <c r="C19" s="19" t="str">
        <f t="shared" si="2"/>
        <v>C00019:1</v>
      </c>
      <c r="D19" s="20" t="str">
        <f t="shared" si="1"/>
        <v>C00019 : SAM</v>
      </c>
    </row>
    <row r="20" spans="1:4" x14ac:dyDescent="0.45">
      <c r="A20" t="s">
        <v>1913</v>
      </c>
      <c r="B20" t="s">
        <v>2446</v>
      </c>
      <c r="C20" s="19" t="str">
        <f t="shared" si="2"/>
        <v>C00020:1</v>
      </c>
      <c r="D20" s="20" t="str">
        <f t="shared" si="1"/>
        <v>C00020 : AMP</v>
      </c>
    </row>
    <row r="21" spans="1:4" x14ac:dyDescent="0.45">
      <c r="A21" t="s">
        <v>1069</v>
      </c>
      <c r="B21" s="21" t="s">
        <v>2447</v>
      </c>
      <c r="C21" s="19" t="str">
        <f t="shared" si="2"/>
        <v>C00021:1</v>
      </c>
      <c r="D21" s="20" t="str">
        <f t="shared" si="1"/>
        <v>C00021 : S-Adenosyl-L-Homocysteine(SAH)</v>
      </c>
    </row>
    <row r="22" spans="1:4" x14ac:dyDescent="0.45">
      <c r="A22" t="s">
        <v>2034</v>
      </c>
      <c r="B22" t="s">
        <v>2449</v>
      </c>
      <c r="C22" s="19" t="str">
        <f t="shared" si="2"/>
        <v>C00022:1</v>
      </c>
      <c r="D22" s="20" t="str">
        <f t="shared" si="1"/>
        <v xml:space="preserve">C00022 : Pyruvate </v>
      </c>
    </row>
    <row r="23" spans="1:4" x14ac:dyDescent="0.45">
      <c r="A23" t="s">
        <v>2028</v>
      </c>
      <c r="B23" t="s">
        <v>2450</v>
      </c>
      <c r="C23" s="19" t="str">
        <f t="shared" si="2"/>
        <v>C00024:1</v>
      </c>
      <c r="D23" s="20" t="str">
        <f t="shared" si="1"/>
        <v>C00024 : Acetyl-CoA</v>
      </c>
    </row>
    <row r="24" spans="1:4" x14ac:dyDescent="0.45">
      <c r="A24" t="s">
        <v>1105</v>
      </c>
      <c r="B24" t="s">
        <v>2456</v>
      </c>
      <c r="C24" s="19" t="str">
        <f>CONCATENATE(A24,":","1000")</f>
        <v>C00025:1000</v>
      </c>
      <c r="D24" s="20" t="str">
        <f t="shared" si="1"/>
        <v>C00025 : L-Glutamate</v>
      </c>
    </row>
    <row r="25" spans="1:4" x14ac:dyDescent="0.45">
      <c r="A25" t="s">
        <v>2268</v>
      </c>
      <c r="B25" t="s">
        <v>2451</v>
      </c>
      <c r="C25" s="19" t="str">
        <f t="shared" si="2"/>
        <v>C00026:1</v>
      </c>
      <c r="D25" s="20" t="str">
        <f t="shared" si="1"/>
        <v xml:space="preserve">C00026 : 2-Oxoglutarate </v>
      </c>
    </row>
    <row r="26" spans="1:4" x14ac:dyDescent="0.45">
      <c r="A26" t="s">
        <v>1929</v>
      </c>
      <c r="B26" t="s">
        <v>2452</v>
      </c>
      <c r="C26" s="19" t="str">
        <f t="shared" si="2"/>
        <v>C00027:1</v>
      </c>
      <c r="D26" s="20" t="str">
        <f t="shared" si="1"/>
        <v xml:space="preserve">C00027 : Hydrogen Peroxide </v>
      </c>
    </row>
    <row r="27" spans="1:4" x14ac:dyDescent="0.45">
      <c r="A27" t="s">
        <v>2428</v>
      </c>
      <c r="B27" t="s">
        <v>2453</v>
      </c>
      <c r="C27" s="19" t="str">
        <f t="shared" si="2"/>
        <v>C00028:1</v>
      </c>
      <c r="D27" s="20" t="str">
        <f t="shared" si="1"/>
        <v>C00028 : Acceptor</v>
      </c>
    </row>
    <row r="28" spans="1:4" x14ac:dyDescent="0.45">
      <c r="A28" t="s">
        <v>1112</v>
      </c>
      <c r="B28" t="s">
        <v>2968</v>
      </c>
      <c r="C28" s="19" t="str">
        <f t="shared" si="2"/>
        <v>C00029:1</v>
      </c>
      <c r="D28" s="20" t="str">
        <f t="shared" si="1"/>
        <v>C00029 : UDP-glucose</v>
      </c>
    </row>
    <row r="29" spans="1:4" x14ac:dyDescent="0.45">
      <c r="A29" t="s">
        <v>2369</v>
      </c>
      <c r="B29" t="s">
        <v>2454</v>
      </c>
      <c r="C29" s="19" t="str">
        <f t="shared" si="2"/>
        <v>C00030:1</v>
      </c>
      <c r="D29" s="20" t="str">
        <f t="shared" si="1"/>
        <v xml:space="preserve">C00030 : Reduced Acceptor </v>
      </c>
    </row>
    <row r="30" spans="1:4" x14ac:dyDescent="0.45">
      <c r="A30" t="s">
        <v>2244</v>
      </c>
      <c r="B30" t="s">
        <v>2455</v>
      </c>
      <c r="C30" s="19" t="str">
        <f>CONCATENATE(A30,":","1000")</f>
        <v>C00031:1000</v>
      </c>
      <c r="D30" s="20" t="str">
        <f t="shared" si="1"/>
        <v>C00031 : D-Glucose</v>
      </c>
    </row>
    <row r="31" spans="1:4" x14ac:dyDescent="0.45">
      <c r="A31" t="s">
        <v>2222</v>
      </c>
      <c r="B31" t="s">
        <v>2457</v>
      </c>
      <c r="C31" s="19" t="str">
        <f t="shared" si="2"/>
        <v>C00033:1</v>
      </c>
      <c r="D31" s="20" t="str">
        <f t="shared" si="1"/>
        <v>C00033 : Acetate</v>
      </c>
    </row>
    <row r="32" spans="1:4" x14ac:dyDescent="0.45">
      <c r="A32" t="s">
        <v>2006</v>
      </c>
      <c r="B32" t="s">
        <v>2458</v>
      </c>
      <c r="C32" s="19" t="str">
        <f t="shared" si="2"/>
        <v>C00035:1</v>
      </c>
      <c r="D32" s="20" t="str">
        <f t="shared" si="1"/>
        <v>C00035 : GDP</v>
      </c>
    </row>
    <row r="33" spans="1:4" x14ac:dyDescent="0.45">
      <c r="A33" t="s">
        <v>2205</v>
      </c>
      <c r="B33" t="s">
        <v>2459</v>
      </c>
      <c r="C33" s="19" t="str">
        <f t="shared" si="2"/>
        <v>C00036:1</v>
      </c>
      <c r="D33" s="20" t="str">
        <f t="shared" si="1"/>
        <v>C00036 : Oxaloacetate</v>
      </c>
    </row>
    <row r="34" spans="1:4" x14ac:dyDescent="0.45">
      <c r="A34" t="s">
        <v>2269</v>
      </c>
      <c r="B34" t="s">
        <v>2460</v>
      </c>
      <c r="C34" s="19" t="str">
        <f>CONCATENATE(A34,":","1000")</f>
        <v>C00037:1000</v>
      </c>
      <c r="D34" s="20" t="str">
        <f t="shared" si="1"/>
        <v>C00037 : Glycine</v>
      </c>
    </row>
    <row r="35" spans="1:4" x14ac:dyDescent="0.45">
      <c r="A35" t="s">
        <v>2270</v>
      </c>
      <c r="B35" t="s">
        <v>2461</v>
      </c>
      <c r="C35" s="19" t="str">
        <f t="shared" si="2"/>
        <v>C00039:1</v>
      </c>
      <c r="D35" s="20" t="str">
        <f t="shared" si="1"/>
        <v>C00039 : DNA</v>
      </c>
    </row>
    <row r="36" spans="1:4" x14ac:dyDescent="0.45">
      <c r="A36" t="s">
        <v>2271</v>
      </c>
      <c r="B36" t="s">
        <v>2462</v>
      </c>
      <c r="C36" s="19" t="str">
        <f t="shared" si="2"/>
        <v>C00040:1</v>
      </c>
      <c r="D36" s="20" t="str">
        <f t="shared" si="1"/>
        <v>C00040 : Acyl-CoA</v>
      </c>
    </row>
    <row r="37" spans="1:4" x14ac:dyDescent="0.45">
      <c r="A37" t="s">
        <v>1103</v>
      </c>
      <c r="B37" t="s">
        <v>2463</v>
      </c>
      <c r="C37" s="19" t="str">
        <f>CONCATENATE(A37,":","1000")</f>
        <v>C00041:1000</v>
      </c>
      <c r="D37" s="20" t="str">
        <f t="shared" si="1"/>
        <v>C00041 : L-Alanine</v>
      </c>
    </row>
    <row r="38" spans="1:4" x14ac:dyDescent="0.45">
      <c r="A38" t="s">
        <v>1110</v>
      </c>
      <c r="B38" s="21" t="s">
        <v>2464</v>
      </c>
      <c r="C38" s="19" t="str">
        <f t="shared" si="2"/>
        <v>C00043:1</v>
      </c>
      <c r="D38" s="20" t="str">
        <f t="shared" si="1"/>
        <v>C00043 : UDP-N-Acetyl-Alpha-D-Glucosamine</v>
      </c>
    </row>
    <row r="39" spans="1:4" x14ac:dyDescent="0.45">
      <c r="A39" t="s">
        <v>1075</v>
      </c>
      <c r="B39" t="s">
        <v>2465</v>
      </c>
      <c r="C39" s="19" t="str">
        <f t="shared" si="2"/>
        <v>C00044:1</v>
      </c>
      <c r="D39" s="20" t="str">
        <f t="shared" si="1"/>
        <v>C00044 : GTP</v>
      </c>
    </row>
    <row r="40" spans="1:4" x14ac:dyDescent="0.45">
      <c r="A40" t="s">
        <v>2272</v>
      </c>
      <c r="B40" t="s">
        <v>2466</v>
      </c>
      <c r="C40" s="19" t="str">
        <f t="shared" si="2"/>
        <v>C00046:1</v>
      </c>
      <c r="D40" s="20" t="str">
        <f t="shared" si="1"/>
        <v>C00046 : RNA</v>
      </c>
    </row>
    <row r="41" spans="1:4" x14ac:dyDescent="0.45">
      <c r="A41" t="s">
        <v>2251</v>
      </c>
      <c r="B41" t="s">
        <v>2467</v>
      </c>
      <c r="C41" s="19" t="str">
        <f>CONCATENATE(A41,":","1000")</f>
        <v>C00047:1000</v>
      </c>
      <c r="D41" s="20" t="str">
        <f t="shared" si="1"/>
        <v>C00047 : L-Lysine</v>
      </c>
    </row>
    <row r="42" spans="1:4" x14ac:dyDescent="0.45">
      <c r="A42" t="s">
        <v>2174</v>
      </c>
      <c r="B42" t="s">
        <v>2468</v>
      </c>
      <c r="C42" s="19" t="str">
        <f t="shared" si="2"/>
        <v>C00048:1</v>
      </c>
      <c r="D42" s="20" t="str">
        <f t="shared" si="1"/>
        <v>C00048 : Glyoxylate</v>
      </c>
    </row>
    <row r="43" spans="1:4" x14ac:dyDescent="0.45">
      <c r="A43" t="s">
        <v>2116</v>
      </c>
      <c r="B43" t="s">
        <v>2469</v>
      </c>
      <c r="C43" s="19" t="str">
        <f>CONCATENATE(A43,":","1000")</f>
        <v>C00049:1000</v>
      </c>
      <c r="D43" s="20" t="str">
        <f t="shared" si="1"/>
        <v>C00049 : L-Aspartate</v>
      </c>
    </row>
    <row r="44" spans="1:4" x14ac:dyDescent="0.45">
      <c r="A44" t="s">
        <v>1915</v>
      </c>
      <c r="B44" t="s">
        <v>2470</v>
      </c>
      <c r="C44" s="19" t="str">
        <f t="shared" si="2"/>
        <v>C00051:1</v>
      </c>
      <c r="D44" s="20" t="str">
        <f t="shared" si="1"/>
        <v>C00051 : Glutathione</v>
      </c>
    </row>
    <row r="45" spans="1:4" x14ac:dyDescent="0.45">
      <c r="A45" t="s">
        <v>1113</v>
      </c>
      <c r="B45" t="s">
        <v>2471</v>
      </c>
      <c r="C45" s="19" t="str">
        <f t="shared" si="2"/>
        <v>C00052:1</v>
      </c>
      <c r="D45" s="20" t="str">
        <f t="shared" si="1"/>
        <v>C00052 : UDP-D-Galactose</v>
      </c>
    </row>
    <row r="46" spans="1:4" x14ac:dyDescent="0.45">
      <c r="A46" t="s">
        <v>2014</v>
      </c>
      <c r="B46" t="s">
        <v>2472</v>
      </c>
      <c r="C46" s="19" t="str">
        <f t="shared" si="2"/>
        <v>C00053:1</v>
      </c>
      <c r="D46" s="20" t="str">
        <f t="shared" si="1"/>
        <v>C00053 : 3'-Phosphoadenylyl Sulfate/PAPS</v>
      </c>
    </row>
    <row r="47" spans="1:4" x14ac:dyDescent="0.45">
      <c r="A47" t="s">
        <v>1995</v>
      </c>
      <c r="B47" t="s">
        <v>2473</v>
      </c>
      <c r="C47" s="19" t="str">
        <f t="shared" si="2"/>
        <v>C00054:1</v>
      </c>
      <c r="D47" s="20" t="str">
        <f t="shared" si="1"/>
        <v xml:space="preserve">C00054 : Adenosine 3',5'-bisphosphate </v>
      </c>
    </row>
    <row r="48" spans="1:4" x14ac:dyDescent="0.45">
      <c r="A48" t="s">
        <v>2011</v>
      </c>
      <c r="B48" t="s">
        <v>2474</v>
      </c>
      <c r="C48" s="19" t="str">
        <f t="shared" si="2"/>
        <v>C00055:1</v>
      </c>
      <c r="D48" s="20" t="str">
        <f t="shared" si="1"/>
        <v>C00055 : Cytidine-5'-monophosphate/CMP</v>
      </c>
    </row>
    <row r="49" spans="1:4" x14ac:dyDescent="0.45">
      <c r="A49" t="s">
        <v>1943</v>
      </c>
      <c r="B49" t="s">
        <v>2475</v>
      </c>
      <c r="C49" s="19" t="str">
        <f t="shared" si="2"/>
        <v>C00058:1</v>
      </c>
      <c r="D49" s="20" t="str">
        <f t="shared" si="1"/>
        <v>C00058 : Formate</v>
      </c>
    </row>
    <row r="50" spans="1:4" x14ac:dyDescent="0.45">
      <c r="A50" t="s">
        <v>1916</v>
      </c>
      <c r="B50" t="s">
        <v>2476</v>
      </c>
      <c r="C50" s="19" t="str">
        <f t="shared" si="2"/>
        <v>C00060:1</v>
      </c>
      <c r="D50" s="20" t="str">
        <f t="shared" si="1"/>
        <v xml:space="preserve">C00060 : Carboxylate </v>
      </c>
    </row>
    <row r="51" spans="1:4" x14ac:dyDescent="0.45">
      <c r="A51" t="s">
        <v>1914</v>
      </c>
      <c r="B51" t="s">
        <v>2477</v>
      </c>
      <c r="C51" s="19" t="str">
        <f t="shared" si="2"/>
        <v>C00061:1</v>
      </c>
      <c r="D51" s="20" t="str">
        <f t="shared" si="1"/>
        <v>C00061 : Flavin Mononucleotide/FMN</v>
      </c>
    </row>
    <row r="52" spans="1:4" x14ac:dyDescent="0.45">
      <c r="A52" t="s">
        <v>2273</v>
      </c>
      <c r="B52" t="s">
        <v>2478</v>
      </c>
      <c r="C52" s="19" t="str">
        <f t="shared" si="2"/>
        <v>C00062:1</v>
      </c>
      <c r="D52" s="20" t="str">
        <f t="shared" si="1"/>
        <v>C00062 : L-Arginine</v>
      </c>
    </row>
    <row r="53" spans="1:4" x14ac:dyDescent="0.45">
      <c r="A53" t="s">
        <v>1987</v>
      </c>
      <c r="B53" t="s">
        <v>2479</v>
      </c>
      <c r="C53" s="19" t="str">
        <f t="shared" si="2"/>
        <v>C00063:1</v>
      </c>
      <c r="D53" s="20" t="str">
        <f t="shared" si="1"/>
        <v>C00063 : CTP</v>
      </c>
    </row>
    <row r="54" spans="1:4" x14ac:dyDescent="0.45">
      <c r="A54" t="s">
        <v>1981</v>
      </c>
      <c r="B54" t="s">
        <v>2480</v>
      </c>
      <c r="C54" s="19" t="str">
        <f>CONCATENATE(A54,":","1000")</f>
        <v>C00064:1000</v>
      </c>
      <c r="D54" s="20" t="str">
        <f t="shared" si="1"/>
        <v>C00064 : L-Glutamine</v>
      </c>
    </row>
    <row r="55" spans="1:4" x14ac:dyDescent="0.45">
      <c r="A55" t="s">
        <v>2086</v>
      </c>
      <c r="B55" t="s">
        <v>2481</v>
      </c>
      <c r="C55" s="19" t="str">
        <f>CONCATENATE(A55,":","1000")</f>
        <v>C00065:1000</v>
      </c>
      <c r="D55" s="20" t="str">
        <f t="shared" si="1"/>
        <v>C00065 : L-Serine</v>
      </c>
    </row>
    <row r="56" spans="1:4" x14ac:dyDescent="0.45">
      <c r="A56" t="s">
        <v>2274</v>
      </c>
      <c r="B56" t="s">
        <v>44</v>
      </c>
      <c r="C56" s="19" t="str">
        <f t="shared" si="2"/>
        <v>C00066:1</v>
      </c>
      <c r="D56" s="20" t="str">
        <f t="shared" si="1"/>
        <v>C00066 : tRNA</v>
      </c>
    </row>
    <row r="57" spans="1:4" x14ac:dyDescent="0.45">
      <c r="A57" t="s">
        <v>2120</v>
      </c>
      <c r="B57" t="s">
        <v>2482</v>
      </c>
      <c r="C57" s="19" t="str">
        <f t="shared" si="2"/>
        <v>C00068:1</v>
      </c>
      <c r="D57" s="20" t="str">
        <f t="shared" si="1"/>
        <v xml:space="preserve">C00068 : Thiamin Diphosphate </v>
      </c>
    </row>
    <row r="58" spans="1:4" x14ac:dyDescent="0.45">
      <c r="A58" t="s">
        <v>2155</v>
      </c>
      <c r="B58" t="s">
        <v>2483</v>
      </c>
      <c r="C58" s="19" t="str">
        <f t="shared" si="2"/>
        <v>C00071:1</v>
      </c>
      <c r="D58" s="20" t="str">
        <f t="shared" si="1"/>
        <v xml:space="preserve">C00071 : Aldehyde </v>
      </c>
    </row>
    <row r="59" spans="1:4" x14ac:dyDescent="0.45">
      <c r="A59" t="s">
        <v>1922</v>
      </c>
      <c r="B59" t="s">
        <v>2484</v>
      </c>
      <c r="C59" s="19" t="str">
        <f>CONCATENATE(A59,":","1000")</f>
        <v>C00073:1000</v>
      </c>
      <c r="D59" s="20" t="str">
        <f t="shared" si="1"/>
        <v xml:space="preserve">C00073 : L-Methionine </v>
      </c>
    </row>
    <row r="60" spans="1:4" x14ac:dyDescent="0.45">
      <c r="A60" t="s">
        <v>1989</v>
      </c>
      <c r="B60" t="s">
        <v>2485</v>
      </c>
      <c r="C60" s="19" t="str">
        <f t="shared" si="2"/>
        <v>C00074:1</v>
      </c>
      <c r="D60" s="20" t="str">
        <f t="shared" si="1"/>
        <v xml:space="preserve">C00074 : Phosphoenolpyruvate </v>
      </c>
    </row>
    <row r="61" spans="1:4" x14ac:dyDescent="0.45">
      <c r="A61" t="s">
        <v>1969</v>
      </c>
      <c r="B61" t="s">
        <v>2486</v>
      </c>
      <c r="C61" s="19" t="str">
        <f t="shared" si="2"/>
        <v>C00075:1</v>
      </c>
      <c r="D61" s="20" t="str">
        <f t="shared" si="1"/>
        <v>C00075 : UTP</v>
      </c>
    </row>
    <row r="62" spans="1:4" x14ac:dyDescent="0.45">
      <c r="A62" t="s">
        <v>2275</v>
      </c>
      <c r="B62" t="s">
        <v>2487</v>
      </c>
      <c r="C62" s="19" t="str">
        <f t="shared" si="2"/>
        <v>C00078:1</v>
      </c>
      <c r="D62" s="20" t="str">
        <f t="shared" si="1"/>
        <v>C00078 : L-Tryptophan</v>
      </c>
    </row>
    <row r="63" spans="1:4" x14ac:dyDescent="0.45">
      <c r="A63" t="s">
        <v>2117</v>
      </c>
      <c r="B63" t="s">
        <v>2488</v>
      </c>
      <c r="C63" s="19" t="str">
        <f t="shared" si="2"/>
        <v>C00079:1</v>
      </c>
      <c r="D63" s="20" t="str">
        <f t="shared" si="1"/>
        <v>C00079 : L-Phenylalanine</v>
      </c>
    </row>
    <row r="64" spans="1:4" x14ac:dyDescent="0.45">
      <c r="A64" t="s">
        <v>1917</v>
      </c>
      <c r="B64" t="s">
        <v>2489</v>
      </c>
      <c r="C64" s="19" t="str">
        <f t="shared" si="2"/>
        <v>C00080:1</v>
      </c>
      <c r="D64" s="20" t="str">
        <f t="shared" si="1"/>
        <v>C00080 : H+</v>
      </c>
    </row>
    <row r="65" spans="1:4" x14ac:dyDescent="0.45">
      <c r="A65" t="s">
        <v>1918</v>
      </c>
      <c r="B65" t="s">
        <v>2490</v>
      </c>
      <c r="C65" s="19" t="str">
        <f t="shared" si="2"/>
        <v>C00081:1</v>
      </c>
      <c r="D65" s="20" t="str">
        <f t="shared" si="1"/>
        <v>C00081 : ITP</v>
      </c>
    </row>
    <row r="66" spans="1:4" x14ac:dyDescent="0.45">
      <c r="A66" t="s">
        <v>2118</v>
      </c>
      <c r="B66" t="s">
        <v>2491</v>
      </c>
      <c r="C66" s="19" t="str">
        <f t="shared" si="2"/>
        <v>C00082:1</v>
      </c>
      <c r="D66" s="20" t="str">
        <f t="shared" si="1"/>
        <v>C00082 : L-Tyrosine</v>
      </c>
    </row>
    <row r="67" spans="1:4" x14ac:dyDescent="0.45">
      <c r="A67" t="s">
        <v>2067</v>
      </c>
      <c r="B67" t="s">
        <v>2492</v>
      </c>
      <c r="C67" s="19" t="str">
        <f t="shared" ref="C67:C130" si="3">CONCATENATE(A67,":","1")</f>
        <v>C00084:1</v>
      </c>
      <c r="D67" s="20" t="str">
        <f t="shared" ref="D67:D130" si="4">CONCATENATE(A67," : ",B67)</f>
        <v>C00084 : Acetaldehyde</v>
      </c>
    </row>
    <row r="68" spans="1:4" x14ac:dyDescent="0.45">
      <c r="A68" t="s">
        <v>1127</v>
      </c>
      <c r="B68" t="s">
        <v>2493</v>
      </c>
      <c r="C68" s="19" t="str">
        <f t="shared" si="3"/>
        <v>C00085:1</v>
      </c>
      <c r="D68" s="20" t="str">
        <f t="shared" si="4"/>
        <v xml:space="preserve">C00085 : D-Fructose </v>
      </c>
    </row>
    <row r="69" spans="1:4" x14ac:dyDescent="0.45">
      <c r="A69" t="s">
        <v>1939</v>
      </c>
      <c r="B69" t="s">
        <v>2494</v>
      </c>
      <c r="C69" s="19" t="str">
        <f t="shared" si="3"/>
        <v>C00089:1</v>
      </c>
      <c r="D69" s="20" t="str">
        <f t="shared" si="4"/>
        <v xml:space="preserve">C00089 : Sucrose </v>
      </c>
    </row>
    <row r="70" spans="1:4" x14ac:dyDescent="0.45">
      <c r="A70" t="s">
        <v>1126</v>
      </c>
      <c r="B70" t="s">
        <v>2455</v>
      </c>
      <c r="C70" s="19" t="str">
        <f t="shared" si="3"/>
        <v>C00092:1</v>
      </c>
      <c r="D70" s="20" t="str">
        <f t="shared" si="4"/>
        <v>C00092 : D-Glucose</v>
      </c>
    </row>
    <row r="71" spans="1:4" x14ac:dyDescent="0.45">
      <c r="A71" t="s">
        <v>2056</v>
      </c>
      <c r="B71" t="s">
        <v>2495</v>
      </c>
      <c r="C71" s="19" t="str">
        <f t="shared" si="3"/>
        <v>C00093:1</v>
      </c>
      <c r="D71" s="20" t="str">
        <f t="shared" si="4"/>
        <v xml:space="preserve">C00093 : sn-Glycerol 3-Phosphate </v>
      </c>
    </row>
    <row r="72" spans="1:4" x14ac:dyDescent="0.45">
      <c r="A72" t="s">
        <v>2276</v>
      </c>
      <c r="B72" t="s">
        <v>2496</v>
      </c>
      <c r="C72" s="19" t="str">
        <f t="shared" si="3"/>
        <v>C00094:1</v>
      </c>
      <c r="D72" s="20" t="str">
        <f t="shared" si="4"/>
        <v xml:space="preserve">C00094 : Sulfite </v>
      </c>
    </row>
    <row r="73" spans="1:4" x14ac:dyDescent="0.45">
      <c r="A73" t="s">
        <v>1931</v>
      </c>
      <c r="B73" t="s">
        <v>2493</v>
      </c>
      <c r="C73" s="19" t="str">
        <f t="shared" si="3"/>
        <v>C00095:1</v>
      </c>
      <c r="D73" s="20" t="str">
        <f t="shared" si="4"/>
        <v xml:space="preserve">C00095 : D-Fructose </v>
      </c>
    </row>
    <row r="74" spans="1:4" x14ac:dyDescent="0.45">
      <c r="A74" t="s">
        <v>1951</v>
      </c>
      <c r="B74" t="s">
        <v>2497</v>
      </c>
      <c r="C74" s="19" t="str">
        <f>CONCATENATE(A74,":","1000")</f>
        <v>C00097:1000</v>
      </c>
      <c r="D74" s="20" t="str">
        <f t="shared" si="4"/>
        <v xml:space="preserve">C00097 : L-Cysteine </v>
      </c>
    </row>
    <row r="75" spans="1:4" x14ac:dyDescent="0.45">
      <c r="A75" t="s">
        <v>2096</v>
      </c>
      <c r="B75" t="s">
        <v>2498</v>
      </c>
      <c r="C75" s="19" t="str">
        <f t="shared" si="3"/>
        <v>C00100:1</v>
      </c>
      <c r="D75" s="20" t="str">
        <f t="shared" si="4"/>
        <v>C00100 : Propanoyl-CoA</v>
      </c>
    </row>
    <row r="76" spans="1:4" x14ac:dyDescent="0.45">
      <c r="A76" t="s">
        <v>1999</v>
      </c>
      <c r="B76" t="s">
        <v>2499</v>
      </c>
      <c r="C76" s="19" t="str">
        <f t="shared" si="3"/>
        <v>C00101:1</v>
      </c>
      <c r="D76" s="20" t="str">
        <f t="shared" si="4"/>
        <v xml:space="preserve">C00101 : Tetrahydrofolate </v>
      </c>
    </row>
    <row r="77" spans="1:4" x14ac:dyDescent="0.45">
      <c r="A77" t="s">
        <v>1968</v>
      </c>
      <c r="B77" t="s">
        <v>2500</v>
      </c>
      <c r="C77" s="19" t="str">
        <f t="shared" si="3"/>
        <v>C00103:1</v>
      </c>
      <c r="D77" s="20" t="str">
        <f t="shared" si="4"/>
        <v xml:space="preserve">C00103 : Glucose 1-Phosphate </v>
      </c>
    </row>
    <row r="78" spans="1:4" x14ac:dyDescent="0.45">
      <c r="A78" t="s">
        <v>1998</v>
      </c>
      <c r="B78" t="s">
        <v>2501</v>
      </c>
      <c r="C78" s="19" t="str">
        <f t="shared" si="3"/>
        <v>C00104:1</v>
      </c>
      <c r="D78" s="20" t="str">
        <f t="shared" si="4"/>
        <v>C00104 : IDP</v>
      </c>
    </row>
    <row r="79" spans="1:4" x14ac:dyDescent="0.45">
      <c r="A79" t="s">
        <v>2012</v>
      </c>
      <c r="B79" t="s">
        <v>2502</v>
      </c>
      <c r="C79" s="19" t="str">
        <f t="shared" si="3"/>
        <v>C00105:1</v>
      </c>
      <c r="D79" s="20" t="str">
        <f t="shared" si="4"/>
        <v>C00105 : UMP</v>
      </c>
    </row>
    <row r="80" spans="1:4" x14ac:dyDescent="0.45">
      <c r="A80" t="s">
        <v>2202</v>
      </c>
      <c r="B80" t="s">
        <v>2503</v>
      </c>
      <c r="C80" s="19" t="str">
        <f t="shared" si="3"/>
        <v>C00106:1</v>
      </c>
      <c r="D80" s="20" t="str">
        <f t="shared" si="4"/>
        <v>C00106 : Uracil</v>
      </c>
    </row>
    <row r="81" spans="1:4" x14ac:dyDescent="0.45">
      <c r="A81" t="s">
        <v>2172</v>
      </c>
      <c r="B81" t="s">
        <v>2504</v>
      </c>
      <c r="C81" s="19" t="str">
        <f t="shared" si="3"/>
        <v>C00109:1</v>
      </c>
      <c r="D81" s="20" t="str">
        <f t="shared" si="4"/>
        <v xml:space="preserve">C00109 : 2-Oxobutanoate </v>
      </c>
    </row>
    <row r="82" spans="1:4" x14ac:dyDescent="0.45">
      <c r="A82" t="s">
        <v>1120</v>
      </c>
      <c r="B82" t="s">
        <v>2505</v>
      </c>
      <c r="C82" s="19" t="str">
        <f t="shared" si="3"/>
        <v>C00111:1</v>
      </c>
      <c r="D82" s="20" t="str">
        <f t="shared" si="4"/>
        <v xml:space="preserve">C00111 : Glycerone Phosphate </v>
      </c>
    </row>
    <row r="83" spans="1:4" x14ac:dyDescent="0.45">
      <c r="A83" t="s">
        <v>2213</v>
      </c>
      <c r="B83" t="s">
        <v>2506</v>
      </c>
      <c r="C83" s="19" t="str">
        <f t="shared" si="3"/>
        <v>C00112:1</v>
      </c>
      <c r="D83" s="20" t="str">
        <f t="shared" si="4"/>
        <v>C00112 : CDP</v>
      </c>
    </row>
    <row r="84" spans="1:4" x14ac:dyDescent="0.45">
      <c r="A84" t="s">
        <v>2027</v>
      </c>
      <c r="B84" t="s">
        <v>2507</v>
      </c>
      <c r="C84" s="19" t="str">
        <f t="shared" si="3"/>
        <v>C00114:1</v>
      </c>
      <c r="D84" s="20" t="str">
        <f t="shared" si="4"/>
        <v xml:space="preserve">C00114 : Choline </v>
      </c>
    </row>
    <row r="85" spans="1:4" x14ac:dyDescent="0.45">
      <c r="A85" t="s">
        <v>2277</v>
      </c>
      <c r="B85" t="s">
        <v>2508</v>
      </c>
      <c r="C85" s="19" t="str">
        <f t="shared" si="3"/>
        <v>C00116:1</v>
      </c>
      <c r="D85" s="20" t="str">
        <f t="shared" si="4"/>
        <v>C00116 : Glycerol</v>
      </c>
    </row>
    <row r="86" spans="1:4" x14ac:dyDescent="0.45">
      <c r="A86" t="s">
        <v>1121</v>
      </c>
      <c r="B86" t="s">
        <v>2509</v>
      </c>
      <c r="C86" s="19" t="str">
        <f t="shared" si="3"/>
        <v>C00117:1</v>
      </c>
      <c r="D86" s="20" t="str">
        <f t="shared" si="4"/>
        <v xml:space="preserve">C00117 : D-Ribose 5-Phosphate </v>
      </c>
    </row>
    <row r="87" spans="1:4" x14ac:dyDescent="0.45">
      <c r="A87" t="s">
        <v>1119</v>
      </c>
      <c r="B87" t="s">
        <v>2510</v>
      </c>
      <c r="C87" s="19" t="str">
        <f t="shared" si="3"/>
        <v>C00118:1</v>
      </c>
      <c r="D87" s="20" t="str">
        <f t="shared" si="4"/>
        <v xml:space="preserve">C00118 : D-Glyceraldehyde 3-Phosphate </v>
      </c>
    </row>
    <row r="88" spans="1:4" x14ac:dyDescent="0.45">
      <c r="A88" t="s">
        <v>2278</v>
      </c>
      <c r="B88" t="s">
        <v>2511</v>
      </c>
      <c r="C88" s="19" t="str">
        <f t="shared" si="3"/>
        <v>C00119:1</v>
      </c>
      <c r="D88" s="20" t="str">
        <f t="shared" si="4"/>
        <v xml:space="preserve">C00119 : 5-Phospho-alpha-D-ribose 1-diphosphate </v>
      </c>
    </row>
    <row r="89" spans="1:4" x14ac:dyDescent="0.45">
      <c r="A89" t="s">
        <v>2279</v>
      </c>
      <c r="B89" t="s">
        <v>2512</v>
      </c>
      <c r="C89" s="19" t="str">
        <f t="shared" si="3"/>
        <v>C00121:1</v>
      </c>
      <c r="D89" s="20" t="str">
        <f t="shared" si="4"/>
        <v>C00121 : D-Ribose</v>
      </c>
    </row>
    <row r="90" spans="1:4" x14ac:dyDescent="0.45">
      <c r="A90" t="s">
        <v>2256</v>
      </c>
      <c r="B90" t="s">
        <v>2513</v>
      </c>
      <c r="C90" s="19" t="str">
        <f t="shared" si="3"/>
        <v>C00122:1</v>
      </c>
      <c r="D90" s="20" t="str">
        <f t="shared" si="4"/>
        <v>C00122 : Fumarate</v>
      </c>
    </row>
    <row r="91" spans="1:4" x14ac:dyDescent="0.45">
      <c r="A91" t="s">
        <v>1982</v>
      </c>
      <c r="B91" t="s">
        <v>2514</v>
      </c>
      <c r="C91" s="19" t="str">
        <f t="shared" si="3"/>
        <v>C00123:1</v>
      </c>
      <c r="D91" s="20" t="str">
        <f t="shared" si="4"/>
        <v>C00123 : L-Leucine</v>
      </c>
    </row>
    <row r="92" spans="1:4" x14ac:dyDescent="0.45">
      <c r="A92" t="s">
        <v>1133</v>
      </c>
      <c r="B92" t="s">
        <v>2515</v>
      </c>
      <c r="C92" s="19" t="str">
        <f t="shared" si="3"/>
        <v>C00129:1</v>
      </c>
      <c r="D92" s="20" t="str">
        <f t="shared" si="4"/>
        <v xml:space="preserve">C00129 : Isopentenyl Diphosphate </v>
      </c>
    </row>
    <row r="93" spans="1:4" x14ac:dyDescent="0.45">
      <c r="A93" t="s">
        <v>2015</v>
      </c>
      <c r="B93" t="s">
        <v>2516</v>
      </c>
      <c r="C93" s="19" t="str">
        <f t="shared" si="3"/>
        <v>C00130:1</v>
      </c>
      <c r="D93" s="20" t="str">
        <f t="shared" si="4"/>
        <v>C00130 : IMP</v>
      </c>
    </row>
    <row r="94" spans="1:4" x14ac:dyDescent="0.45">
      <c r="A94" t="s">
        <v>1941</v>
      </c>
      <c r="B94" t="s">
        <v>2517</v>
      </c>
      <c r="C94" s="19" t="str">
        <f t="shared" si="3"/>
        <v>C00131:1</v>
      </c>
      <c r="D94" s="20" t="str">
        <f t="shared" si="4"/>
        <v>C00131 : dATP</v>
      </c>
    </row>
    <row r="95" spans="1:4" x14ac:dyDescent="0.45">
      <c r="A95" t="s">
        <v>1104</v>
      </c>
      <c r="B95" t="s">
        <v>2518</v>
      </c>
      <c r="C95" s="19" t="str">
        <f>CONCATENATE(A95,":","1000")</f>
        <v>C00133:1000</v>
      </c>
      <c r="D95" s="20" t="str">
        <f t="shared" si="4"/>
        <v>C00133 : D-Alanine</v>
      </c>
    </row>
    <row r="96" spans="1:4" x14ac:dyDescent="0.45">
      <c r="A96" t="s">
        <v>2004</v>
      </c>
      <c r="B96" t="s">
        <v>2519</v>
      </c>
      <c r="C96" s="19" t="str">
        <f t="shared" si="3"/>
        <v>C00136:1</v>
      </c>
      <c r="D96" s="20" t="str">
        <f t="shared" si="4"/>
        <v>C00136 : Butanoyl-CoA</v>
      </c>
    </row>
    <row r="97" spans="1:4" x14ac:dyDescent="0.45">
      <c r="A97" t="s">
        <v>2211</v>
      </c>
      <c r="B97" t="s">
        <v>2520</v>
      </c>
      <c r="C97" s="19" t="str">
        <f t="shared" si="3"/>
        <v>C00141:1</v>
      </c>
      <c r="D97" s="20" t="str">
        <f t="shared" si="4"/>
        <v xml:space="preserve">C00141 : 3-Methyl-2-oxobutanoic acid </v>
      </c>
    </row>
    <row r="98" spans="1:4" x14ac:dyDescent="0.45">
      <c r="A98" t="s">
        <v>2087</v>
      </c>
      <c r="B98" t="s">
        <v>2521</v>
      </c>
      <c r="C98" s="19" t="str">
        <f t="shared" si="3"/>
        <v>C00143:1</v>
      </c>
      <c r="D98" s="20" t="str">
        <f t="shared" si="4"/>
        <v>C00143 : 5,10-Methylenetetrahydrofolate</v>
      </c>
    </row>
    <row r="99" spans="1:4" x14ac:dyDescent="0.45">
      <c r="A99" t="s">
        <v>1946</v>
      </c>
      <c r="B99" t="s">
        <v>2522</v>
      </c>
      <c r="C99" s="19" t="str">
        <f t="shared" si="3"/>
        <v>C00144:1</v>
      </c>
      <c r="D99" s="20" t="str">
        <f t="shared" si="4"/>
        <v>C00144 : GMP</v>
      </c>
    </row>
    <row r="100" spans="1:4" x14ac:dyDescent="0.45">
      <c r="A100" t="s">
        <v>2196</v>
      </c>
      <c r="B100" t="s">
        <v>2523</v>
      </c>
      <c r="C100" s="19" t="str">
        <f t="shared" si="3"/>
        <v>C00147:1</v>
      </c>
      <c r="D100" s="20" t="str">
        <f t="shared" si="4"/>
        <v>C00147 : Adenine</v>
      </c>
    </row>
    <row r="101" spans="1:4" x14ac:dyDescent="0.45">
      <c r="A101" t="s">
        <v>2247</v>
      </c>
      <c r="B101" t="s">
        <v>2524</v>
      </c>
      <c r="C101" s="19" t="str">
        <f>CONCATENATE(A101,":","1000")</f>
        <v>C00148:1000</v>
      </c>
      <c r="D101" s="20" t="str">
        <f t="shared" si="4"/>
        <v xml:space="preserve">C00148 : L-Proline </v>
      </c>
    </row>
    <row r="102" spans="1:4" x14ac:dyDescent="0.45">
      <c r="A102" t="s">
        <v>1087</v>
      </c>
      <c r="B102" t="s">
        <v>2525</v>
      </c>
      <c r="C102" s="19" t="str">
        <f t="shared" si="3"/>
        <v>C00149:1</v>
      </c>
      <c r="D102" s="20" t="str">
        <f t="shared" si="4"/>
        <v>C00149 : (S)-Malate</v>
      </c>
    </row>
    <row r="103" spans="1:4" x14ac:dyDescent="0.45">
      <c r="A103" t="s">
        <v>2370</v>
      </c>
      <c r="B103" t="s">
        <v>2526</v>
      </c>
      <c r="C103" s="19" t="str">
        <f t="shared" si="3"/>
        <v>C00152:1</v>
      </c>
      <c r="D103" s="20" t="str">
        <f t="shared" si="4"/>
        <v>C00152 : L-Asparagine</v>
      </c>
    </row>
    <row r="104" spans="1:4" x14ac:dyDescent="0.45">
      <c r="A104" t="s">
        <v>2190</v>
      </c>
      <c r="B104" t="s">
        <v>2527</v>
      </c>
      <c r="C104" s="19" t="str">
        <f t="shared" si="3"/>
        <v>C00153:1</v>
      </c>
      <c r="D104" s="20" t="str">
        <f t="shared" si="4"/>
        <v>C00153 : Nicotinamide</v>
      </c>
    </row>
    <row r="105" spans="1:4" x14ac:dyDescent="0.45">
      <c r="A105" t="s">
        <v>2280</v>
      </c>
      <c r="B105" t="s">
        <v>2528</v>
      </c>
      <c r="C105" s="19" t="str">
        <f t="shared" si="3"/>
        <v>C00155:1</v>
      </c>
      <c r="D105" s="20" t="str">
        <f t="shared" si="4"/>
        <v>C00155 : L-Homocysteine</v>
      </c>
    </row>
    <row r="106" spans="1:4" x14ac:dyDescent="0.45">
      <c r="A106" t="s">
        <v>1993</v>
      </c>
      <c r="B106" t="s">
        <v>2529</v>
      </c>
      <c r="C106" s="19" t="str">
        <f t="shared" si="3"/>
        <v>C00157:1</v>
      </c>
      <c r="D106" s="20" t="str">
        <f t="shared" si="4"/>
        <v xml:space="preserve">C00157 : Phosphatidylcholine </v>
      </c>
    </row>
    <row r="107" spans="1:4" x14ac:dyDescent="0.45">
      <c r="A107" t="s">
        <v>1081</v>
      </c>
      <c r="B107" t="s">
        <v>2530</v>
      </c>
      <c r="C107" s="19" t="str">
        <f t="shared" si="3"/>
        <v>C00158:1</v>
      </c>
      <c r="D107" s="20" t="str">
        <f t="shared" si="4"/>
        <v>C00158 : Citrate</v>
      </c>
    </row>
    <row r="108" spans="1:4" x14ac:dyDescent="0.45">
      <c r="A108" t="s">
        <v>2057</v>
      </c>
      <c r="B108" t="s">
        <v>2531</v>
      </c>
      <c r="C108" s="19" t="str">
        <f t="shared" si="3"/>
        <v>C00160:1</v>
      </c>
      <c r="D108" s="20" t="str">
        <f t="shared" si="4"/>
        <v>C00160 : Glycolate</v>
      </c>
    </row>
    <row r="109" spans="1:4" x14ac:dyDescent="0.45">
      <c r="A109" t="s">
        <v>2175</v>
      </c>
      <c r="B109" t="s">
        <v>2532</v>
      </c>
      <c r="C109" s="19" t="str">
        <f t="shared" si="3"/>
        <v>C00161:1</v>
      </c>
      <c r="D109" s="20" t="str">
        <f t="shared" si="4"/>
        <v>C00161 : 2-Oxo acid</v>
      </c>
    </row>
    <row r="110" spans="1:4" x14ac:dyDescent="0.45">
      <c r="A110" t="s">
        <v>2281</v>
      </c>
      <c r="B110" t="s">
        <v>2533</v>
      </c>
      <c r="C110" s="19" t="str">
        <f t="shared" si="3"/>
        <v>C00163:1</v>
      </c>
      <c r="D110" s="20" t="str">
        <f t="shared" si="4"/>
        <v>C00163 : Propanoate</v>
      </c>
    </row>
    <row r="111" spans="1:4" x14ac:dyDescent="0.45">
      <c r="A111" t="s">
        <v>2206</v>
      </c>
      <c r="B111" t="s">
        <v>2534</v>
      </c>
      <c r="C111" s="19" t="str">
        <f t="shared" si="3"/>
        <v>C00166:1</v>
      </c>
      <c r="D111" s="20" t="str">
        <f t="shared" si="4"/>
        <v>C00166 : Phenylpyruvate</v>
      </c>
    </row>
    <row r="112" spans="1:4" x14ac:dyDescent="0.45">
      <c r="A112" t="s">
        <v>2091</v>
      </c>
      <c r="B112" t="s">
        <v>2535</v>
      </c>
      <c r="C112" s="19" t="str">
        <f t="shared" si="3"/>
        <v>C00169:1</v>
      </c>
      <c r="D112" s="20" t="str">
        <f t="shared" si="4"/>
        <v xml:space="preserve">C00169 : Carbamoyl Phosphate </v>
      </c>
    </row>
    <row r="113" spans="1:4" x14ac:dyDescent="0.45">
      <c r="A113" t="s">
        <v>2131</v>
      </c>
      <c r="B113" t="s">
        <v>2536</v>
      </c>
      <c r="C113" s="19" t="str">
        <f t="shared" si="3"/>
        <v>C00170:1</v>
      </c>
      <c r="D113" s="20" t="str">
        <f t="shared" si="4"/>
        <v xml:space="preserve">C00170 : 5'-Methylthioadenosine </v>
      </c>
    </row>
    <row r="114" spans="1:4" x14ac:dyDescent="0.45">
      <c r="A114" t="s">
        <v>2092</v>
      </c>
      <c r="B114" t="s">
        <v>2537</v>
      </c>
      <c r="C114" s="19" t="str">
        <f t="shared" si="3"/>
        <v>C00173:1</v>
      </c>
      <c r="D114" s="20" t="str">
        <f t="shared" si="4"/>
        <v>C00173 : Acyl-[acyl-carrier protein]</v>
      </c>
    </row>
    <row r="115" spans="1:4" x14ac:dyDescent="0.45">
      <c r="A115" t="s">
        <v>1983</v>
      </c>
      <c r="B115" t="s">
        <v>2538</v>
      </c>
      <c r="C115" s="19" t="str">
        <f t="shared" si="3"/>
        <v>C00183:1</v>
      </c>
      <c r="D115" s="20" t="str">
        <f t="shared" si="4"/>
        <v>C00183 : L-Valine</v>
      </c>
    </row>
    <row r="116" spans="1:4" x14ac:dyDescent="0.45">
      <c r="A116" t="s">
        <v>2282</v>
      </c>
      <c r="B116" t="s">
        <v>2539</v>
      </c>
      <c r="C116" s="19" t="str">
        <f t="shared" si="3"/>
        <v>C00184:1</v>
      </c>
      <c r="D116" s="20" t="str">
        <f t="shared" si="4"/>
        <v>C00184 : Glycerone</v>
      </c>
    </row>
    <row r="117" spans="1:4" x14ac:dyDescent="0.45">
      <c r="A117" t="s">
        <v>2051</v>
      </c>
      <c r="B117" t="s">
        <v>2540</v>
      </c>
      <c r="C117" s="19" t="str">
        <f t="shared" si="3"/>
        <v>C00186:1</v>
      </c>
      <c r="D117" s="20" t="str">
        <f t="shared" si="4"/>
        <v>C00186 : (S)-Lactate</v>
      </c>
    </row>
    <row r="118" spans="1:4" x14ac:dyDescent="0.45">
      <c r="A118" t="s">
        <v>2125</v>
      </c>
      <c r="B118" t="s">
        <v>2541</v>
      </c>
      <c r="C118" s="19" t="str">
        <f t="shared" si="3"/>
        <v>C00188:1</v>
      </c>
      <c r="D118" s="20" t="str">
        <f t="shared" si="4"/>
        <v>C00188 : L-Threonine</v>
      </c>
    </row>
    <row r="119" spans="1:4" x14ac:dyDescent="0.45">
      <c r="A119" t="s">
        <v>2238</v>
      </c>
      <c r="B119" t="s">
        <v>2542</v>
      </c>
      <c r="C119" s="19" t="str">
        <f t="shared" si="3"/>
        <v>C00189:1</v>
      </c>
      <c r="D119" s="20" t="str">
        <f t="shared" si="4"/>
        <v xml:space="preserve">C00189 : Ethanolamine </v>
      </c>
    </row>
    <row r="120" spans="1:4" x14ac:dyDescent="0.45">
      <c r="A120" t="s">
        <v>2283</v>
      </c>
      <c r="B120" t="s">
        <v>2543</v>
      </c>
      <c r="C120" s="19" t="str">
        <f t="shared" si="3"/>
        <v>C00197:1</v>
      </c>
      <c r="D120" s="20" t="str">
        <f t="shared" si="4"/>
        <v xml:space="preserve">C00197 : 3-Phospho-D-glycerate </v>
      </c>
    </row>
    <row r="121" spans="1:4" x14ac:dyDescent="0.45">
      <c r="A121" t="s">
        <v>1108</v>
      </c>
      <c r="B121" t="s">
        <v>2544</v>
      </c>
      <c r="C121" s="19" t="str">
        <f t="shared" si="3"/>
        <v>C00199:1</v>
      </c>
      <c r="D121" s="20" t="str">
        <f t="shared" si="4"/>
        <v xml:space="preserve">C00199 : D-Ribulose 5-phosphate </v>
      </c>
    </row>
    <row r="122" spans="1:4" x14ac:dyDescent="0.45">
      <c r="A122" t="s">
        <v>1936</v>
      </c>
      <c r="B122" t="s">
        <v>2545</v>
      </c>
      <c r="C122" s="19" t="str">
        <f t="shared" si="3"/>
        <v>C00201:1</v>
      </c>
      <c r="D122" s="20" t="str">
        <f t="shared" si="4"/>
        <v>C00201 : NTP</v>
      </c>
    </row>
    <row r="123" spans="1:4" x14ac:dyDescent="0.45">
      <c r="A123" t="s">
        <v>1114</v>
      </c>
      <c r="B123" t="s">
        <v>2546</v>
      </c>
      <c r="C123" s="19" t="str">
        <f t="shared" si="3"/>
        <v>C00203:1</v>
      </c>
      <c r="D123" s="20" t="str">
        <f t="shared" si="4"/>
        <v>C00203 : UDP-N-acetyl-D-galactosamine</v>
      </c>
    </row>
    <row r="124" spans="1:4" x14ac:dyDescent="0.45">
      <c r="A124" t="s">
        <v>2060</v>
      </c>
      <c r="B124" t="s">
        <v>2547</v>
      </c>
      <c r="C124" s="19" t="str">
        <f t="shared" si="3"/>
        <v>C00206:1</v>
      </c>
      <c r="D124" s="20" t="str">
        <f t="shared" si="4"/>
        <v>C00206 : dADP</v>
      </c>
    </row>
    <row r="125" spans="1:4" x14ac:dyDescent="0.45">
      <c r="A125" t="s">
        <v>2284</v>
      </c>
      <c r="B125" t="s">
        <v>2548</v>
      </c>
      <c r="C125" s="19" t="str">
        <f t="shared" si="3"/>
        <v>C00209:1</v>
      </c>
      <c r="D125" s="20" t="str">
        <f t="shared" si="4"/>
        <v xml:space="preserve">C00209 : Oxalate </v>
      </c>
    </row>
    <row r="126" spans="1:4" x14ac:dyDescent="0.45">
      <c r="A126" t="s">
        <v>1954</v>
      </c>
      <c r="B126" t="s">
        <v>2549</v>
      </c>
      <c r="C126" s="19" t="str">
        <f t="shared" si="3"/>
        <v>C00212:1</v>
      </c>
      <c r="D126" s="20" t="str">
        <f t="shared" si="4"/>
        <v xml:space="preserve">C00212 : Adenosine </v>
      </c>
    </row>
    <row r="127" spans="1:4" x14ac:dyDescent="0.45">
      <c r="A127" t="s">
        <v>2229</v>
      </c>
      <c r="B127" t="s">
        <v>2550</v>
      </c>
      <c r="C127" s="19" t="str">
        <f t="shared" si="3"/>
        <v>C00214:1</v>
      </c>
      <c r="D127" s="20" t="str">
        <f t="shared" si="4"/>
        <v xml:space="preserve">C00214 : Thymidine </v>
      </c>
    </row>
    <row r="128" spans="1:4" x14ac:dyDescent="0.45">
      <c r="A128" t="s">
        <v>1106</v>
      </c>
      <c r="B128" t="s">
        <v>2551</v>
      </c>
      <c r="C128" s="19" t="str">
        <f t="shared" si="3"/>
        <v>C00217:1</v>
      </c>
      <c r="D128" s="20" t="str">
        <f t="shared" si="4"/>
        <v xml:space="preserve">C00217 : D-Glutamate </v>
      </c>
    </row>
    <row r="129" spans="1:4" x14ac:dyDescent="0.45">
      <c r="A129" t="s">
        <v>2236</v>
      </c>
      <c r="B129" t="s">
        <v>2552</v>
      </c>
      <c r="C129" s="19" t="str">
        <f t="shared" si="3"/>
        <v>C00224:1</v>
      </c>
      <c r="D129" s="20" t="str">
        <f t="shared" si="4"/>
        <v xml:space="preserve">C00224 : Adenylyl Sulfate </v>
      </c>
    </row>
    <row r="130" spans="1:4" x14ac:dyDescent="0.45">
      <c r="A130" t="s">
        <v>2042</v>
      </c>
      <c r="B130" t="s">
        <v>2553</v>
      </c>
      <c r="C130" s="19" t="str">
        <f t="shared" si="3"/>
        <v>C00226:1</v>
      </c>
      <c r="D130" s="20" t="str">
        <f t="shared" si="4"/>
        <v>C00226 : Primary Alcohol</v>
      </c>
    </row>
    <row r="131" spans="1:4" x14ac:dyDescent="0.45">
      <c r="A131" t="s">
        <v>2180</v>
      </c>
      <c r="B131" t="s">
        <v>2554</v>
      </c>
      <c r="C131" s="19" t="str">
        <f t="shared" ref="C131:C194" si="5">CONCATENATE(A131,":","1")</f>
        <v>C00227:1</v>
      </c>
      <c r="D131" s="20" t="str">
        <f t="shared" ref="D131:D194" si="6">CONCATENATE(A131," : ",B131)</f>
        <v>C00227 : Acetyl Phosphate</v>
      </c>
    </row>
    <row r="132" spans="1:4" x14ac:dyDescent="0.45">
      <c r="A132" t="s">
        <v>2218</v>
      </c>
      <c r="B132" t="s">
        <v>2555</v>
      </c>
      <c r="C132" s="19" t="str">
        <f t="shared" si="5"/>
        <v>C00229:1</v>
      </c>
      <c r="D132" s="20" t="str">
        <f t="shared" si="6"/>
        <v xml:space="preserve">C00229 : Acyl-carrier protein </v>
      </c>
    </row>
    <row r="133" spans="1:4" x14ac:dyDescent="0.45">
      <c r="A133" t="s">
        <v>1109</v>
      </c>
      <c r="B133" t="s">
        <v>2556</v>
      </c>
      <c r="C133" s="19" t="str">
        <f t="shared" si="5"/>
        <v>C00231:1</v>
      </c>
      <c r="D133" s="20" t="str">
        <f t="shared" si="6"/>
        <v xml:space="preserve">C00231 : D-Xylulose 5-Phosphate </v>
      </c>
    </row>
    <row r="134" spans="1:4" x14ac:dyDescent="0.45">
      <c r="A134" t="s">
        <v>1934</v>
      </c>
      <c r="B134" t="s">
        <v>2557</v>
      </c>
      <c r="C134" s="19" t="str">
        <f t="shared" si="5"/>
        <v>C00233:1</v>
      </c>
      <c r="D134" s="20" t="str">
        <f t="shared" si="6"/>
        <v xml:space="preserve">C00233 : 4-Methyl-2-oxopentanoate </v>
      </c>
    </row>
    <row r="135" spans="1:4" x14ac:dyDescent="0.45">
      <c r="A135" t="s">
        <v>2088</v>
      </c>
      <c r="B135" t="s">
        <v>2558</v>
      </c>
      <c r="C135" s="19" t="str">
        <f t="shared" si="5"/>
        <v>C00234:1</v>
      </c>
      <c r="D135" s="20" t="str">
        <f t="shared" si="6"/>
        <v>C00234 : 10-Formyltetrahydrofolate</v>
      </c>
    </row>
    <row r="136" spans="1:4" x14ac:dyDescent="0.45">
      <c r="A136" t="s">
        <v>1134</v>
      </c>
      <c r="B136" s="21" t="s">
        <v>2559</v>
      </c>
      <c r="C136" s="19" t="str">
        <f t="shared" si="5"/>
        <v>C00235:1</v>
      </c>
      <c r="D136" s="20" t="str">
        <f t="shared" si="6"/>
        <v>C00235 : Dimethylallyl diphosphate</v>
      </c>
    </row>
    <row r="137" spans="1:4" x14ac:dyDescent="0.45">
      <c r="A137" t="s">
        <v>2285</v>
      </c>
      <c r="B137" s="21" t="s">
        <v>2560</v>
      </c>
      <c r="C137" s="19" t="str">
        <f t="shared" si="5"/>
        <v>C00236:1</v>
      </c>
      <c r="D137" s="20" t="str">
        <f t="shared" si="6"/>
        <v>C00236 : 3-Phospho-D-glyceroyl phosphate</v>
      </c>
    </row>
    <row r="138" spans="1:4" x14ac:dyDescent="0.45">
      <c r="A138" t="s">
        <v>1971</v>
      </c>
      <c r="B138" t="s">
        <v>2561</v>
      </c>
      <c r="C138" s="19" t="str">
        <f t="shared" si="5"/>
        <v>C00239:1</v>
      </c>
      <c r="D138" s="20" t="str">
        <f t="shared" si="6"/>
        <v>C00239 : dCMP</v>
      </c>
    </row>
    <row r="139" spans="1:4" x14ac:dyDescent="0.45">
      <c r="A139" t="s">
        <v>2286</v>
      </c>
      <c r="B139" t="s">
        <v>65</v>
      </c>
      <c r="C139" s="19" t="str">
        <f t="shared" si="5"/>
        <v>C00240:1</v>
      </c>
      <c r="D139" s="20" t="str">
        <f t="shared" si="6"/>
        <v>C00240 : rRNA</v>
      </c>
    </row>
    <row r="140" spans="1:4" x14ac:dyDescent="0.45">
      <c r="A140" t="s">
        <v>2134</v>
      </c>
      <c r="B140" t="s">
        <v>2562</v>
      </c>
      <c r="C140" s="19" t="str">
        <f t="shared" si="5"/>
        <v>C00241:1</v>
      </c>
      <c r="D140" s="20" t="str">
        <f t="shared" si="6"/>
        <v>C00241 : Amide</v>
      </c>
    </row>
    <row r="141" spans="1:4" x14ac:dyDescent="0.45">
      <c r="A141" t="s">
        <v>2194</v>
      </c>
      <c r="B141" t="s">
        <v>2563</v>
      </c>
      <c r="C141" s="19" t="str">
        <f t="shared" si="5"/>
        <v>C00242:1</v>
      </c>
      <c r="D141" s="20" t="str">
        <f t="shared" si="6"/>
        <v>C00242 : Guanine</v>
      </c>
    </row>
    <row r="142" spans="1:4" x14ac:dyDescent="0.45">
      <c r="A142" t="s">
        <v>2287</v>
      </c>
      <c r="B142" t="s">
        <v>2564</v>
      </c>
      <c r="C142" s="19" t="str">
        <f t="shared" si="5"/>
        <v>C00245:1</v>
      </c>
      <c r="D142" s="20" t="str">
        <f t="shared" si="6"/>
        <v>C00245 : Taurine</v>
      </c>
    </row>
    <row r="143" spans="1:4" x14ac:dyDescent="0.45">
      <c r="A143" t="s">
        <v>1966</v>
      </c>
      <c r="B143" t="s">
        <v>2565</v>
      </c>
      <c r="C143" s="19" t="str">
        <f t="shared" si="5"/>
        <v>C00250:1</v>
      </c>
      <c r="D143" s="20" t="str">
        <f t="shared" si="6"/>
        <v>C00250 : Pyridoxal</v>
      </c>
    </row>
    <row r="144" spans="1:4" x14ac:dyDescent="0.45">
      <c r="A144" t="s">
        <v>2263</v>
      </c>
      <c r="B144" t="s">
        <v>2566</v>
      </c>
      <c r="C144" s="19" t="str">
        <f t="shared" si="5"/>
        <v>C00253:1</v>
      </c>
      <c r="D144" s="20" t="str">
        <f t="shared" si="6"/>
        <v>C00253 : Nicotinate</v>
      </c>
    </row>
    <row r="145" spans="1:4" x14ac:dyDescent="0.45">
      <c r="A145" t="s">
        <v>2288</v>
      </c>
      <c r="B145" t="s">
        <v>2567</v>
      </c>
      <c r="C145" s="19" t="str">
        <f t="shared" si="5"/>
        <v>C00255:1</v>
      </c>
      <c r="D145" s="20" t="str">
        <f t="shared" si="6"/>
        <v>C00255 : Riboflavin</v>
      </c>
    </row>
    <row r="146" spans="1:4" x14ac:dyDescent="0.45">
      <c r="A146" t="s">
        <v>2147</v>
      </c>
      <c r="B146" t="s">
        <v>2568</v>
      </c>
      <c r="C146" s="19" t="str">
        <f t="shared" si="5"/>
        <v>C00256:1</v>
      </c>
      <c r="D146" s="20" t="str">
        <f t="shared" si="6"/>
        <v>C00256 : (R)-Lactate</v>
      </c>
    </row>
    <row r="147" spans="1:4" x14ac:dyDescent="0.45">
      <c r="A147" t="s">
        <v>2289</v>
      </c>
      <c r="B147" t="s">
        <v>2569</v>
      </c>
      <c r="C147" s="19" t="str">
        <f t="shared" si="5"/>
        <v>C00257:1</v>
      </c>
      <c r="D147" s="20" t="str">
        <f t="shared" si="6"/>
        <v xml:space="preserve">C00257 : D-Gluconic Acid </v>
      </c>
    </row>
    <row r="148" spans="1:4" x14ac:dyDescent="0.45">
      <c r="A148" t="s">
        <v>2290</v>
      </c>
      <c r="B148" t="s">
        <v>2570</v>
      </c>
      <c r="C148" s="19" t="str">
        <f t="shared" si="5"/>
        <v>C00258:1</v>
      </c>
      <c r="D148" s="20" t="str">
        <f t="shared" si="6"/>
        <v>C00258 : D-Glycerate</v>
      </c>
    </row>
    <row r="149" spans="1:4" x14ac:dyDescent="0.45">
      <c r="A149" t="s">
        <v>2198</v>
      </c>
      <c r="B149" t="s">
        <v>2571</v>
      </c>
      <c r="C149" s="19" t="str">
        <f t="shared" si="5"/>
        <v>C00262:1</v>
      </c>
      <c r="D149" s="20" t="str">
        <f t="shared" si="6"/>
        <v>C00262 : Hypoxanthine</v>
      </c>
    </row>
    <row r="150" spans="1:4" x14ac:dyDescent="0.45">
      <c r="A150" t="s">
        <v>2054</v>
      </c>
      <c r="B150" t="s">
        <v>2572</v>
      </c>
      <c r="C150" s="19" t="str">
        <f t="shared" si="5"/>
        <v>C00263:1</v>
      </c>
      <c r="D150" s="20" t="str">
        <f t="shared" si="6"/>
        <v>C00263 : L-Homoserine</v>
      </c>
    </row>
    <row r="151" spans="1:4" x14ac:dyDescent="0.45">
      <c r="A151" t="s">
        <v>2291</v>
      </c>
      <c r="B151" t="s">
        <v>2969</v>
      </c>
      <c r="C151" s="19" t="str">
        <f t="shared" si="5"/>
        <v>C00267:1</v>
      </c>
      <c r="D151" s="20" t="str">
        <f t="shared" si="6"/>
        <v xml:space="preserve">C00267 : alpha-D-Glucose </v>
      </c>
    </row>
    <row r="152" spans="1:4" x14ac:dyDescent="0.45">
      <c r="A152" t="s">
        <v>1953</v>
      </c>
      <c r="B152" t="s">
        <v>2573</v>
      </c>
      <c r="C152" s="19" t="str">
        <f t="shared" si="5"/>
        <v>C00269:1</v>
      </c>
      <c r="D152" s="20" t="str">
        <f t="shared" si="6"/>
        <v>C00269 : CDP-diacylglycerol</v>
      </c>
    </row>
    <row r="153" spans="1:4" x14ac:dyDescent="0.45">
      <c r="A153" t="s">
        <v>2076</v>
      </c>
      <c r="B153" t="s">
        <v>2574</v>
      </c>
      <c r="C153" s="19" t="str">
        <f t="shared" si="5"/>
        <v>C00272:1</v>
      </c>
      <c r="D153" s="20" t="str">
        <f t="shared" si="6"/>
        <v>C00272 : Tetrahydrobiopterin</v>
      </c>
    </row>
    <row r="154" spans="1:4" x14ac:dyDescent="0.45">
      <c r="A154" t="s">
        <v>2292</v>
      </c>
      <c r="B154" t="s">
        <v>2575</v>
      </c>
      <c r="C154" s="19" t="str">
        <f t="shared" si="5"/>
        <v>C00283:1</v>
      </c>
      <c r="D154" s="20" t="str">
        <f t="shared" si="6"/>
        <v xml:space="preserve">C00283 : Hydrogen Sulfide </v>
      </c>
    </row>
    <row r="155" spans="1:4" x14ac:dyDescent="0.45">
      <c r="A155" t="s">
        <v>1942</v>
      </c>
      <c r="B155" t="s">
        <v>2576</v>
      </c>
      <c r="C155" s="19" t="str">
        <f t="shared" si="5"/>
        <v>C00286:1</v>
      </c>
      <c r="D155" s="20" t="str">
        <f t="shared" si="6"/>
        <v>C00286 : dGTP</v>
      </c>
    </row>
    <row r="156" spans="1:4" x14ac:dyDescent="0.45">
      <c r="A156" t="s">
        <v>2293</v>
      </c>
      <c r="B156" t="s">
        <v>2577</v>
      </c>
      <c r="C156" s="19" t="str">
        <f t="shared" si="5"/>
        <v>C00288:1</v>
      </c>
      <c r="D156" s="20" t="str">
        <f t="shared" si="6"/>
        <v>C00288 : HCO3-</v>
      </c>
    </row>
    <row r="157" spans="1:4" x14ac:dyDescent="0.45">
      <c r="A157" t="s">
        <v>1991</v>
      </c>
      <c r="B157" t="s">
        <v>2578</v>
      </c>
      <c r="C157" s="19" t="str">
        <f t="shared" si="5"/>
        <v>C00294:1</v>
      </c>
      <c r="D157" s="20" t="str">
        <f t="shared" si="6"/>
        <v>C00294 : Inosine</v>
      </c>
    </row>
    <row r="158" spans="1:4" x14ac:dyDescent="0.45">
      <c r="A158" t="s">
        <v>2181</v>
      </c>
      <c r="B158" t="s">
        <v>2579</v>
      </c>
      <c r="C158" s="19" t="str">
        <f t="shared" si="5"/>
        <v>C00295:1</v>
      </c>
      <c r="D158" s="20" t="str">
        <f t="shared" si="6"/>
        <v>C00295 : Orotate</v>
      </c>
    </row>
    <row r="159" spans="1:4" x14ac:dyDescent="0.45">
      <c r="A159" t="s">
        <v>1996</v>
      </c>
      <c r="B159" t="s">
        <v>2580</v>
      </c>
      <c r="C159" s="19" t="str">
        <f t="shared" si="5"/>
        <v>C00299:1</v>
      </c>
      <c r="D159" s="20" t="str">
        <f t="shared" si="6"/>
        <v>C00299 : Uridine</v>
      </c>
    </row>
    <row r="160" spans="1:4" x14ac:dyDescent="0.45">
      <c r="A160" t="s">
        <v>1948</v>
      </c>
      <c r="B160" t="s">
        <v>2581</v>
      </c>
      <c r="C160" s="19" t="str">
        <f t="shared" si="5"/>
        <v>C00301:1</v>
      </c>
      <c r="D160" s="20" t="str">
        <f t="shared" si="6"/>
        <v>C00301 : ADP-ribose</v>
      </c>
    </row>
    <row r="161" spans="1:4" x14ac:dyDescent="0.45">
      <c r="A161" t="s">
        <v>2294</v>
      </c>
      <c r="B161" t="s">
        <v>2582</v>
      </c>
      <c r="C161" s="19" t="str">
        <f t="shared" si="5"/>
        <v>C00302:1</v>
      </c>
      <c r="D161" s="20" t="str">
        <f t="shared" si="6"/>
        <v xml:space="preserve">C00302 : Glutamate </v>
      </c>
    </row>
    <row r="162" spans="1:4" x14ac:dyDescent="0.45">
      <c r="A162" t="s">
        <v>1093</v>
      </c>
      <c r="B162" t="s">
        <v>2583</v>
      </c>
      <c r="C162" s="19" t="str">
        <f t="shared" si="5"/>
        <v>C00313:1</v>
      </c>
      <c r="D162" s="20" t="str">
        <f t="shared" si="6"/>
        <v>C00313 : Oxalyl-CoA</v>
      </c>
    </row>
    <row r="163" spans="1:4" x14ac:dyDescent="0.45">
      <c r="A163" t="s">
        <v>2072</v>
      </c>
      <c r="B163" t="s">
        <v>2584</v>
      </c>
      <c r="C163" s="19" t="str">
        <f t="shared" si="5"/>
        <v>C00314:1</v>
      </c>
      <c r="D163" s="20" t="str">
        <f t="shared" si="6"/>
        <v>C00314 : Pyridoxine</v>
      </c>
    </row>
    <row r="164" spans="1:4" x14ac:dyDescent="0.45">
      <c r="A164" t="s">
        <v>2295</v>
      </c>
      <c r="B164" t="s">
        <v>2585</v>
      </c>
      <c r="C164" s="19" t="str">
        <f t="shared" si="5"/>
        <v>C00320:1</v>
      </c>
      <c r="D164" s="20" t="str">
        <f t="shared" si="6"/>
        <v>C00320 : Thiosulfate</v>
      </c>
    </row>
    <row r="165" spans="1:4" x14ac:dyDescent="0.45">
      <c r="A165" t="s">
        <v>2228</v>
      </c>
      <c r="B165" t="s">
        <v>2586</v>
      </c>
      <c r="C165" s="19" t="str">
        <f t="shared" si="5"/>
        <v>C00330:1</v>
      </c>
      <c r="D165" s="20" t="str">
        <f t="shared" si="6"/>
        <v>C00330 : Deoxyguanosine</v>
      </c>
    </row>
    <row r="166" spans="1:4" x14ac:dyDescent="0.45">
      <c r="A166" t="s">
        <v>2371</v>
      </c>
      <c r="B166" t="s">
        <v>2587</v>
      </c>
      <c r="C166" s="19" t="str">
        <f t="shared" si="5"/>
        <v>C00332:1</v>
      </c>
      <c r="D166" s="20" t="str">
        <f t="shared" si="6"/>
        <v>C00332 : Acetoacetyl-CoA</v>
      </c>
    </row>
    <row r="167" spans="1:4" x14ac:dyDescent="0.45">
      <c r="A167" t="s">
        <v>2070</v>
      </c>
      <c r="B167" t="s">
        <v>2588</v>
      </c>
      <c r="C167" s="19" t="str">
        <f t="shared" si="5"/>
        <v>C00337:1</v>
      </c>
      <c r="D167" s="20" t="str">
        <f t="shared" si="6"/>
        <v>C00337 : (S)-Dihydroorotate</v>
      </c>
    </row>
    <row r="168" spans="1:4" x14ac:dyDescent="0.45">
      <c r="A168" t="s">
        <v>2078</v>
      </c>
      <c r="B168" t="s">
        <v>2589</v>
      </c>
      <c r="C168" s="19" t="str">
        <f t="shared" si="5"/>
        <v>C00342:1</v>
      </c>
      <c r="D168" s="20" t="str">
        <f t="shared" si="6"/>
        <v>C00342 : Thioredoxin</v>
      </c>
    </row>
    <row r="169" spans="1:4" x14ac:dyDescent="0.45">
      <c r="A169" t="s">
        <v>2183</v>
      </c>
      <c r="B169" t="s">
        <v>2590</v>
      </c>
      <c r="C169" s="19" t="str">
        <f t="shared" si="5"/>
        <v>C00343:1</v>
      </c>
      <c r="D169" s="20" t="str">
        <f t="shared" si="6"/>
        <v xml:space="preserve">C00343 : Thioredoxin disulfide </v>
      </c>
    </row>
    <row r="170" spans="1:4" x14ac:dyDescent="0.45">
      <c r="A170" t="s">
        <v>2055</v>
      </c>
      <c r="B170" t="s">
        <v>2591</v>
      </c>
      <c r="C170" s="19" t="str">
        <f t="shared" si="5"/>
        <v>C00345:1</v>
      </c>
      <c r="D170" s="20" t="str">
        <f t="shared" si="6"/>
        <v>C00345 : 6-Phospho-D-gluconate</v>
      </c>
    </row>
    <row r="171" spans="1:4" x14ac:dyDescent="0.45">
      <c r="A171" t="s">
        <v>1958</v>
      </c>
      <c r="B171" t="s">
        <v>2592</v>
      </c>
      <c r="C171" s="19" t="str">
        <f t="shared" si="5"/>
        <v>C00350:1</v>
      </c>
      <c r="D171" s="20" t="str">
        <f t="shared" si="6"/>
        <v>C00350 : Phosphatidylethanolamine</v>
      </c>
    </row>
    <row r="172" spans="1:4" x14ac:dyDescent="0.45">
      <c r="A172" t="s">
        <v>1136</v>
      </c>
      <c r="B172" s="21" t="s">
        <v>2593</v>
      </c>
      <c r="C172" s="19" t="str">
        <f t="shared" si="5"/>
        <v>C00352:1</v>
      </c>
      <c r="D172" s="20" t="str">
        <f t="shared" si="6"/>
        <v>C00352 : D-Glucosamine 6-phosphate</v>
      </c>
    </row>
    <row r="173" spans="1:4" x14ac:dyDescent="0.45">
      <c r="A173" t="s">
        <v>2296</v>
      </c>
      <c r="B173" s="21" t="s">
        <v>2594</v>
      </c>
      <c r="C173" s="19" t="str">
        <f t="shared" si="5"/>
        <v>C00354:1</v>
      </c>
      <c r="D173" s="20" t="str">
        <f t="shared" si="6"/>
        <v>C00354 : D-Fructose 1,6-bisphosphate</v>
      </c>
    </row>
    <row r="174" spans="1:4" x14ac:dyDescent="0.45">
      <c r="A174" t="s">
        <v>2097</v>
      </c>
      <c r="B174" t="s">
        <v>2595</v>
      </c>
      <c r="C174" s="19" t="str">
        <f t="shared" si="5"/>
        <v>C00356:1</v>
      </c>
      <c r="D174" s="20" t="str">
        <f t="shared" si="6"/>
        <v>C00356 : (S)-3-Hydroxy-3-methylglutaryl-CoA</v>
      </c>
    </row>
    <row r="175" spans="1:4" x14ac:dyDescent="0.45">
      <c r="A175" t="s">
        <v>2140</v>
      </c>
      <c r="B175" s="21" t="s">
        <v>2596</v>
      </c>
      <c r="C175" s="19" t="str">
        <f t="shared" si="5"/>
        <v>C00357:1</v>
      </c>
      <c r="D175" s="20" t="str">
        <f t="shared" si="6"/>
        <v>C00357 : N-Acetyl-D-glucosamine 6-phosphate</v>
      </c>
    </row>
    <row r="176" spans="1:4" x14ac:dyDescent="0.45">
      <c r="A176" t="s">
        <v>2010</v>
      </c>
      <c r="B176" s="21" t="s">
        <v>2597</v>
      </c>
      <c r="C176" s="19" t="str">
        <f t="shared" si="5"/>
        <v>C00360:1</v>
      </c>
      <c r="D176" s="20" t="str">
        <f t="shared" si="6"/>
        <v>C00360 : dAMP</v>
      </c>
    </row>
    <row r="177" spans="1:4" x14ac:dyDescent="0.45">
      <c r="A177" t="s">
        <v>2008</v>
      </c>
      <c r="B177" s="21" t="s">
        <v>2598</v>
      </c>
      <c r="C177" s="19" t="str">
        <f t="shared" si="5"/>
        <v>C00361:1</v>
      </c>
      <c r="D177" s="20" t="str">
        <f t="shared" si="6"/>
        <v>C00361 : dGDP</v>
      </c>
    </row>
    <row r="178" spans="1:4" x14ac:dyDescent="0.45">
      <c r="A178" t="s">
        <v>2021</v>
      </c>
      <c r="B178" s="21" t="s">
        <v>2599</v>
      </c>
      <c r="C178" s="19" t="str">
        <f t="shared" si="5"/>
        <v>C00362:1</v>
      </c>
      <c r="D178" s="20" t="str">
        <f t="shared" si="6"/>
        <v>C00362 : dGMP</v>
      </c>
    </row>
    <row r="179" spans="1:4" x14ac:dyDescent="0.45">
      <c r="A179" t="s">
        <v>2019</v>
      </c>
      <c r="B179" s="21" t="s">
        <v>2600</v>
      </c>
      <c r="C179" s="19" t="str">
        <f t="shared" si="5"/>
        <v>C00364:1</v>
      </c>
      <c r="D179" s="20" t="str">
        <f t="shared" si="6"/>
        <v>C00364 : dTMP</v>
      </c>
    </row>
    <row r="180" spans="1:4" x14ac:dyDescent="0.45">
      <c r="A180" t="s">
        <v>2020</v>
      </c>
      <c r="B180" s="21" t="s">
        <v>2601</v>
      </c>
      <c r="C180" s="19" t="str">
        <f t="shared" si="5"/>
        <v>C00365:1</v>
      </c>
      <c r="D180" s="20" t="str">
        <f t="shared" si="6"/>
        <v>C00365 : dUMP</v>
      </c>
    </row>
    <row r="181" spans="1:4" x14ac:dyDescent="0.45">
      <c r="A181" t="s">
        <v>2098</v>
      </c>
      <c r="B181" s="21" t="s">
        <v>2602</v>
      </c>
      <c r="C181" s="19" t="str">
        <f t="shared" si="5"/>
        <v>C00369:1</v>
      </c>
      <c r="D181" s="20" t="str">
        <f t="shared" si="6"/>
        <v>C00369 : Starch</v>
      </c>
    </row>
    <row r="182" spans="1:4" x14ac:dyDescent="0.45">
      <c r="A182" t="s">
        <v>2157</v>
      </c>
      <c r="B182" s="21" t="s">
        <v>2603</v>
      </c>
      <c r="C182" s="19" t="str">
        <f t="shared" si="5"/>
        <v>C00376:1</v>
      </c>
      <c r="D182" s="20" t="str">
        <f t="shared" si="6"/>
        <v>C00376 : Retinal</v>
      </c>
    </row>
    <row r="183" spans="1:4" x14ac:dyDescent="0.45">
      <c r="A183" t="s">
        <v>2297</v>
      </c>
      <c r="B183" s="21" t="s">
        <v>2604</v>
      </c>
      <c r="C183" s="19" t="str">
        <f t="shared" si="5"/>
        <v>C00378:1</v>
      </c>
      <c r="D183" s="20" t="str">
        <f t="shared" si="6"/>
        <v>C00378 : Thiamine</v>
      </c>
    </row>
    <row r="184" spans="1:4" x14ac:dyDescent="0.45">
      <c r="A184" t="s">
        <v>2195</v>
      </c>
      <c r="B184" s="21" t="s">
        <v>2605</v>
      </c>
      <c r="C184" s="19" t="str">
        <f t="shared" si="5"/>
        <v>C00385:1</v>
      </c>
      <c r="D184" s="20" t="str">
        <f t="shared" si="6"/>
        <v>C00385 : Xanthine</v>
      </c>
    </row>
    <row r="185" spans="1:4" x14ac:dyDescent="0.45">
      <c r="A185" t="s">
        <v>2227</v>
      </c>
      <c r="B185" s="21" t="s">
        <v>2606</v>
      </c>
      <c r="C185" s="19" t="str">
        <f t="shared" si="5"/>
        <v>C00387:1</v>
      </c>
      <c r="D185" s="20" t="str">
        <f t="shared" si="6"/>
        <v xml:space="preserve">C00387 : Guanosine </v>
      </c>
    </row>
    <row r="186" spans="1:4" x14ac:dyDescent="0.45">
      <c r="A186" t="s">
        <v>2224</v>
      </c>
      <c r="B186" s="21" t="s">
        <v>2607</v>
      </c>
      <c r="C186" s="19" t="str">
        <f t="shared" si="5"/>
        <v>C00405:1</v>
      </c>
      <c r="D186" s="20" t="str">
        <f t="shared" si="6"/>
        <v>C00405 : D-Amino acid</v>
      </c>
    </row>
    <row r="187" spans="1:4" x14ac:dyDescent="0.45">
      <c r="A187" t="s">
        <v>1984</v>
      </c>
      <c r="B187" s="21" t="s">
        <v>2608</v>
      </c>
      <c r="C187" s="19" t="str">
        <f t="shared" si="5"/>
        <v>C00407:1</v>
      </c>
      <c r="D187" s="20" t="str">
        <f t="shared" si="6"/>
        <v>C00407 : L-Isoleucine</v>
      </c>
    </row>
    <row r="188" spans="1:4" x14ac:dyDescent="0.45">
      <c r="A188" t="s">
        <v>1967</v>
      </c>
      <c r="B188" s="21" t="s">
        <v>2609</v>
      </c>
      <c r="C188" s="19" t="str">
        <f t="shared" si="5"/>
        <v>C00415:1</v>
      </c>
      <c r="D188" s="20" t="str">
        <f t="shared" si="6"/>
        <v>C00415 : Dihydrofolate</v>
      </c>
    </row>
    <row r="189" spans="1:4" x14ac:dyDescent="0.45">
      <c r="A189" t="s">
        <v>2237</v>
      </c>
      <c r="B189" s="21" t="s">
        <v>2610</v>
      </c>
      <c r="C189" s="19" t="str">
        <f t="shared" si="5"/>
        <v>C00416:1</v>
      </c>
      <c r="D189" s="20" t="str">
        <f t="shared" si="6"/>
        <v>C00416 : Phosphatidate</v>
      </c>
    </row>
    <row r="190" spans="1:4" x14ac:dyDescent="0.45">
      <c r="A190" t="s">
        <v>1976</v>
      </c>
      <c r="B190" s="21" t="s">
        <v>2612</v>
      </c>
      <c r="C190" s="19" t="str">
        <f t="shared" si="5"/>
        <v>C00418:1</v>
      </c>
      <c r="D190" s="20" t="str">
        <f t="shared" si="6"/>
        <v>C00418 : ( R )-Mevalonate</v>
      </c>
    </row>
    <row r="191" spans="1:4" x14ac:dyDescent="0.45">
      <c r="A191" t="s">
        <v>1085</v>
      </c>
      <c r="B191" s="21" t="s">
        <v>2611</v>
      </c>
      <c r="C191" s="19" t="str">
        <f t="shared" si="5"/>
        <v>C00438:1</v>
      </c>
      <c r="D191" s="20" t="str">
        <f t="shared" si="6"/>
        <v>C00438 : N-Carbamoyl-L-aspartate</v>
      </c>
    </row>
    <row r="192" spans="1:4" x14ac:dyDescent="0.45">
      <c r="A192" t="s">
        <v>2069</v>
      </c>
      <c r="B192" s="21" t="s">
        <v>2613</v>
      </c>
      <c r="C192" s="19" t="str">
        <f t="shared" si="5"/>
        <v>C00441:1</v>
      </c>
      <c r="D192" s="20" t="str">
        <f t="shared" si="6"/>
        <v>C00441 : L-Aspartate 4-semialdehyde</v>
      </c>
    </row>
    <row r="193" spans="1:4" x14ac:dyDescent="0.45">
      <c r="A193" t="s">
        <v>2298</v>
      </c>
      <c r="B193" s="21" t="s">
        <v>2614</v>
      </c>
      <c r="C193" s="19" t="str">
        <f t="shared" si="5"/>
        <v>C00445:1</v>
      </c>
      <c r="D193" s="20" t="str">
        <f t="shared" si="6"/>
        <v>C00445 : 5,10-Methenyltetrahydrofolate</v>
      </c>
    </row>
    <row r="194" spans="1:4" x14ac:dyDescent="0.45">
      <c r="A194" t="s">
        <v>2299</v>
      </c>
      <c r="B194" s="21" t="s">
        <v>2615</v>
      </c>
      <c r="C194" s="19" t="str">
        <f t="shared" si="5"/>
        <v>C00446:1</v>
      </c>
      <c r="D194" s="20" t="str">
        <f t="shared" si="6"/>
        <v xml:space="preserve">C00446 : alpha-D-Galactose 1-phosphate </v>
      </c>
    </row>
    <row r="195" spans="1:4" x14ac:dyDescent="0.45">
      <c r="A195" t="s">
        <v>2300</v>
      </c>
      <c r="B195" s="21" t="s">
        <v>2616</v>
      </c>
      <c r="C195" s="19" t="str">
        <f t="shared" ref="C195:C258" si="7">CONCATENATE(A195,":","1")</f>
        <v>C00447:1</v>
      </c>
      <c r="D195" s="20" t="str">
        <f t="shared" ref="D195:D258" si="8">CONCATENATE(A195," : ",B195)</f>
        <v>C00447 : Sedoheptulose 1,7-bisphosphate</v>
      </c>
    </row>
    <row r="196" spans="1:4" x14ac:dyDescent="0.45">
      <c r="A196" t="s">
        <v>2215</v>
      </c>
      <c r="B196" s="21" t="s">
        <v>2617</v>
      </c>
      <c r="C196" s="19" t="str">
        <f t="shared" si="7"/>
        <v>C00454:1</v>
      </c>
      <c r="D196" s="20" t="str">
        <f t="shared" si="8"/>
        <v>C00454 : NDP</v>
      </c>
    </row>
    <row r="197" spans="1:4" x14ac:dyDescent="0.45">
      <c r="A197" t="s">
        <v>2017</v>
      </c>
      <c r="B197" s="21" t="s">
        <v>2618</v>
      </c>
      <c r="C197" s="19" t="str">
        <f t="shared" si="7"/>
        <v>C00455:1</v>
      </c>
      <c r="D197" s="20" t="str">
        <f t="shared" si="8"/>
        <v>C00455 : Nicotinamide-D-ribonucleotide</v>
      </c>
    </row>
    <row r="198" spans="1:4" x14ac:dyDescent="0.45">
      <c r="A198" t="s">
        <v>1957</v>
      </c>
      <c r="B198" s="21" t="s">
        <v>2619</v>
      </c>
      <c r="C198" s="19" t="str">
        <f t="shared" si="7"/>
        <v>C00458:1</v>
      </c>
      <c r="D198" s="20" t="str">
        <f t="shared" si="8"/>
        <v>C00458 : dCTP</v>
      </c>
    </row>
    <row r="199" spans="1:4" x14ac:dyDescent="0.45">
      <c r="A199" t="s">
        <v>1945</v>
      </c>
      <c r="B199" s="21" t="s">
        <v>2620</v>
      </c>
      <c r="C199" s="19" t="str">
        <f t="shared" si="7"/>
        <v>C00459:1</v>
      </c>
      <c r="D199" s="20" t="str">
        <f t="shared" si="8"/>
        <v>C00459 : dTTP</v>
      </c>
    </row>
    <row r="200" spans="1:4" x14ac:dyDescent="0.45">
      <c r="A200" t="s">
        <v>2065</v>
      </c>
      <c r="B200" s="21" t="s">
        <v>2621</v>
      </c>
      <c r="C200" s="19" t="str">
        <f t="shared" si="7"/>
        <v>C00460:1</v>
      </c>
      <c r="D200" s="20" t="str">
        <f t="shared" si="8"/>
        <v>C00460 : dUTP</v>
      </c>
    </row>
    <row r="201" spans="1:4" x14ac:dyDescent="0.45">
      <c r="A201" t="s">
        <v>1977</v>
      </c>
      <c r="B201" s="21" t="s">
        <v>2622</v>
      </c>
      <c r="C201" s="19" t="str">
        <f t="shared" si="7"/>
        <v>C00469:1</v>
      </c>
      <c r="D201" s="20" t="str">
        <f t="shared" si="8"/>
        <v>C00469 : Ethanol</v>
      </c>
    </row>
    <row r="202" spans="1:4" x14ac:dyDescent="0.45">
      <c r="A202" t="s">
        <v>2043</v>
      </c>
      <c r="B202" s="21" t="s">
        <v>2623</v>
      </c>
      <c r="C202" s="19" t="str">
        <f t="shared" si="7"/>
        <v>C00473:1</v>
      </c>
      <c r="D202" s="20" t="str">
        <f t="shared" si="8"/>
        <v>C00473 : Retinol</v>
      </c>
    </row>
    <row r="203" spans="1:4" x14ac:dyDescent="0.45">
      <c r="A203" t="s">
        <v>2226</v>
      </c>
      <c r="B203" s="21" t="s">
        <v>2624</v>
      </c>
      <c r="C203" s="19" t="str">
        <f t="shared" si="7"/>
        <v>C00475:1</v>
      </c>
      <c r="D203" s="20" t="str">
        <f t="shared" si="8"/>
        <v>C00475 : Cytidine</v>
      </c>
    </row>
    <row r="204" spans="1:4" x14ac:dyDescent="0.45">
      <c r="A204" t="s">
        <v>1994</v>
      </c>
      <c r="B204" s="21" t="s">
        <v>2625</v>
      </c>
      <c r="C204" s="19" t="str">
        <f t="shared" si="7"/>
        <v>C00492:1</v>
      </c>
      <c r="D204" s="20" t="str">
        <f t="shared" si="8"/>
        <v>C00492 : Raffinose</v>
      </c>
    </row>
    <row r="205" spans="1:4" x14ac:dyDescent="0.45">
      <c r="A205" t="s">
        <v>2101</v>
      </c>
      <c r="B205" s="21" t="s">
        <v>2626</v>
      </c>
      <c r="C205" s="19" t="str">
        <f t="shared" si="7"/>
        <v>C00498:1</v>
      </c>
      <c r="D205" s="20" t="str">
        <f t="shared" si="8"/>
        <v>C00498 : ADP-glucose</v>
      </c>
    </row>
    <row r="206" spans="1:4" x14ac:dyDescent="0.45">
      <c r="A206" t="s">
        <v>1962</v>
      </c>
      <c r="B206" s="21" t="s">
        <v>2627</v>
      </c>
      <c r="C206" s="19" t="str">
        <f t="shared" si="7"/>
        <v>C00504:1</v>
      </c>
      <c r="D206" s="20" t="str">
        <f t="shared" si="8"/>
        <v>C00504 : Folate</v>
      </c>
    </row>
    <row r="207" spans="1:4" x14ac:dyDescent="0.45">
      <c r="A207" t="s">
        <v>1952</v>
      </c>
      <c r="B207" s="21" t="s">
        <v>2628</v>
      </c>
      <c r="C207" s="19" t="str">
        <f t="shared" si="7"/>
        <v>C00506:1</v>
      </c>
      <c r="D207" s="20" t="str">
        <f t="shared" si="8"/>
        <v>C00506 : L-Cysteate</v>
      </c>
    </row>
    <row r="208" spans="1:4" x14ac:dyDescent="0.45">
      <c r="A208" t="s">
        <v>2301</v>
      </c>
      <c r="B208" s="21" t="s">
        <v>2629</v>
      </c>
      <c r="C208" s="19" t="str">
        <f t="shared" si="7"/>
        <v>C00513:1</v>
      </c>
      <c r="D208" s="20" t="str">
        <f t="shared" si="8"/>
        <v>C00513 : CDP-glycerol</v>
      </c>
    </row>
    <row r="209" spans="1:4" x14ac:dyDescent="0.45">
      <c r="A209" t="s">
        <v>2230</v>
      </c>
      <c r="B209" s="21" t="s">
        <v>2630</v>
      </c>
      <c r="C209" s="19" t="str">
        <f t="shared" si="7"/>
        <v>C00526:1</v>
      </c>
      <c r="D209" s="20" t="str">
        <f t="shared" si="8"/>
        <v>C00526 : Deoxyuridine</v>
      </c>
    </row>
    <row r="210" spans="1:4" x14ac:dyDescent="0.45">
      <c r="A210" t="s">
        <v>2245</v>
      </c>
      <c r="B210" s="21" t="s">
        <v>2631</v>
      </c>
      <c r="C210" s="19" t="str">
        <f t="shared" si="7"/>
        <v>C00530:1</v>
      </c>
      <c r="D210" s="20" t="str">
        <f t="shared" si="8"/>
        <v>C00530 : Hydroquinone</v>
      </c>
    </row>
    <row r="211" spans="1:4" x14ac:dyDescent="0.45">
      <c r="A211" t="s">
        <v>2073</v>
      </c>
      <c r="B211" s="21" t="s">
        <v>2632</v>
      </c>
      <c r="C211" s="19" t="str">
        <f t="shared" si="7"/>
        <v>C00534:1</v>
      </c>
      <c r="D211" s="20" t="str">
        <f t="shared" si="8"/>
        <v>C00534 : Pyridoxamine</v>
      </c>
    </row>
    <row r="212" spans="1:4" x14ac:dyDescent="0.45">
      <c r="A212" t="s">
        <v>2145</v>
      </c>
      <c r="B212" s="21" t="s">
        <v>2633</v>
      </c>
      <c r="C212" s="19" t="str">
        <f t="shared" si="7"/>
        <v>C00559:1</v>
      </c>
      <c r="D212" s="20" t="str">
        <f t="shared" si="8"/>
        <v>C00559 : Deoxyadenosine</v>
      </c>
    </row>
    <row r="213" spans="1:4" x14ac:dyDescent="0.45">
      <c r="A213" t="s">
        <v>1095</v>
      </c>
      <c r="B213" s="21" t="s">
        <v>2634</v>
      </c>
      <c r="C213" s="19" t="str">
        <f t="shared" si="7"/>
        <v>C00566:1</v>
      </c>
      <c r="D213" s="20" t="str">
        <f t="shared" si="8"/>
        <v>C00566 : (3S)-Citryl-CoA</v>
      </c>
    </row>
    <row r="214" spans="1:4" x14ac:dyDescent="0.45">
      <c r="A214" t="s">
        <v>2154</v>
      </c>
      <c r="B214" s="21" t="s">
        <v>2635</v>
      </c>
      <c r="C214" s="19" t="str">
        <f t="shared" si="7"/>
        <v>C00576:1</v>
      </c>
      <c r="D214" s="20" t="str">
        <f t="shared" si="8"/>
        <v xml:space="preserve">C00576 : Betaine aldehyde </v>
      </c>
    </row>
    <row r="215" spans="1:4" x14ac:dyDescent="0.45">
      <c r="A215" t="s">
        <v>1974</v>
      </c>
      <c r="B215" s="21" t="s">
        <v>2636</v>
      </c>
      <c r="C215" s="19" t="str">
        <f t="shared" si="7"/>
        <v>C00585:1</v>
      </c>
      <c r="D215" s="20" t="str">
        <f t="shared" si="8"/>
        <v>C00585 : Protein tyrosine</v>
      </c>
    </row>
    <row r="216" spans="1:4" x14ac:dyDescent="0.45">
      <c r="A216" t="s">
        <v>2093</v>
      </c>
      <c r="B216" s="21" t="s">
        <v>2637</v>
      </c>
      <c r="C216" s="19" t="str">
        <f t="shared" si="7"/>
        <v>C00605:1</v>
      </c>
      <c r="D216" s="20" t="str">
        <f t="shared" si="8"/>
        <v>C00605 : 2,3-Dehydroacyl-CoA</v>
      </c>
    </row>
    <row r="217" spans="1:4" x14ac:dyDescent="0.45">
      <c r="A217" t="s">
        <v>1072</v>
      </c>
      <c r="B217" s="21" t="s">
        <v>2638</v>
      </c>
      <c r="C217" s="19" t="str">
        <f t="shared" si="7"/>
        <v>C00606:1</v>
      </c>
      <c r="D217" s="20" t="str">
        <f t="shared" si="8"/>
        <v>C00606 : 3-Sulfino-L-alanine</v>
      </c>
    </row>
    <row r="218" spans="1:4" x14ac:dyDescent="0.45">
      <c r="A218" t="s">
        <v>2302</v>
      </c>
      <c r="B218" s="21" t="s">
        <v>2639</v>
      </c>
      <c r="C218" s="19" t="str">
        <f t="shared" si="7"/>
        <v>C00615:1</v>
      </c>
      <c r="D218" s="20" t="str">
        <f t="shared" si="8"/>
        <v>C00615 : Protein histidine</v>
      </c>
    </row>
    <row r="219" spans="1:4" x14ac:dyDescent="0.45">
      <c r="A219" t="s">
        <v>2074</v>
      </c>
      <c r="B219" s="21" t="s">
        <v>2640</v>
      </c>
      <c r="C219" s="19" t="str">
        <f t="shared" si="7"/>
        <v>C00627:1</v>
      </c>
      <c r="D219" s="20" t="str">
        <f t="shared" si="8"/>
        <v>C00627 : Pyridoxine phosphate</v>
      </c>
    </row>
    <row r="220" spans="1:4" x14ac:dyDescent="0.45">
      <c r="A220" t="s">
        <v>1096</v>
      </c>
      <c r="B220" s="21" t="s">
        <v>2641</v>
      </c>
      <c r="C220" s="19" t="str">
        <f t="shared" si="7"/>
        <v>C00631:1</v>
      </c>
      <c r="D220" s="20" t="str">
        <f t="shared" si="8"/>
        <v>C00631 : 2-Phospho-D-glycerate</v>
      </c>
    </row>
    <row r="221" spans="1:4" x14ac:dyDescent="0.45">
      <c r="A221" t="s">
        <v>2024</v>
      </c>
      <c r="B221" s="21" t="s">
        <v>2642</v>
      </c>
      <c r="C221" s="19" t="str">
        <f t="shared" si="7"/>
        <v>C00645:1</v>
      </c>
      <c r="D221" s="20" t="str">
        <f t="shared" si="8"/>
        <v>C00645 : N-Acetyl-D-mannosamine</v>
      </c>
    </row>
    <row r="222" spans="1:4" x14ac:dyDescent="0.45">
      <c r="A222" t="s">
        <v>2075</v>
      </c>
      <c r="B222" s="21" t="s">
        <v>2643</v>
      </c>
      <c r="C222" s="19" t="str">
        <f t="shared" si="7"/>
        <v>C00647:1</v>
      </c>
      <c r="D222" s="20" t="str">
        <f t="shared" si="8"/>
        <v>C00647 : Pyridoxamine phosphate</v>
      </c>
    </row>
    <row r="223" spans="1:4" x14ac:dyDescent="0.45">
      <c r="A223" t="s">
        <v>2372</v>
      </c>
      <c r="B223" s="21" t="s">
        <v>2644</v>
      </c>
      <c r="C223" s="19" t="str">
        <f t="shared" si="7"/>
        <v>C00653:1</v>
      </c>
      <c r="D223" s="20" t="str">
        <f t="shared" si="8"/>
        <v>C00653 : Poly(ribitol phosphate)</v>
      </c>
    </row>
    <row r="224" spans="1:4" x14ac:dyDescent="0.45">
      <c r="A224" t="s">
        <v>1928</v>
      </c>
      <c r="B224" s="21" t="s">
        <v>2645</v>
      </c>
      <c r="C224" s="19" t="str">
        <f t="shared" si="7"/>
        <v>C00655:1</v>
      </c>
      <c r="D224" s="20" t="str">
        <f t="shared" si="8"/>
        <v>C00655 : Xanthosine 5'-phosphate</v>
      </c>
    </row>
    <row r="225" spans="1:4" x14ac:dyDescent="0.45">
      <c r="A225" t="s">
        <v>1137</v>
      </c>
      <c r="B225" s="21" t="s">
        <v>2646</v>
      </c>
      <c r="C225" s="19" t="str">
        <f t="shared" si="7"/>
        <v>C00663:1</v>
      </c>
      <c r="D225" s="20" t="str">
        <f t="shared" si="8"/>
        <v>C00663 : beta-D-Glucose 1-phosphate</v>
      </c>
    </row>
    <row r="226" spans="1:4" x14ac:dyDescent="0.45">
      <c r="A226" t="s">
        <v>1107</v>
      </c>
      <c r="B226" s="21" t="s">
        <v>2647</v>
      </c>
      <c r="C226" s="19" t="str">
        <f t="shared" si="7"/>
        <v>C00666:1</v>
      </c>
      <c r="D226" s="20" t="str">
        <f t="shared" si="8"/>
        <v>C00666 : LL-2,6-Diaminoheptanedioate</v>
      </c>
    </row>
    <row r="227" spans="1:4" x14ac:dyDescent="0.45">
      <c r="A227" t="s">
        <v>1124</v>
      </c>
      <c r="B227" s="21" t="s">
        <v>2648</v>
      </c>
      <c r="C227" s="19" t="str">
        <f t="shared" si="7"/>
        <v>C00668:1</v>
      </c>
      <c r="D227" s="20" t="str">
        <f t="shared" si="8"/>
        <v xml:space="preserve">C00668 : alpha-D-Glucose 6-phosphate </v>
      </c>
    </row>
    <row r="228" spans="1:4" x14ac:dyDescent="0.45">
      <c r="A228" t="s">
        <v>2212</v>
      </c>
      <c r="B228" s="21" t="s">
        <v>2649</v>
      </c>
      <c r="C228" s="19" t="str">
        <f t="shared" si="7"/>
        <v>C00671:1</v>
      </c>
      <c r="D228" s="20" t="str">
        <f t="shared" si="8"/>
        <v>C00671 : (S)-3-Methyl-2-oxopentanoic acid</v>
      </c>
    </row>
    <row r="229" spans="1:4" x14ac:dyDescent="0.45">
      <c r="A229" t="s">
        <v>1094</v>
      </c>
      <c r="B229" s="21" t="s">
        <v>2650</v>
      </c>
      <c r="C229" s="19" t="str">
        <f t="shared" si="7"/>
        <v>C00673:1</v>
      </c>
      <c r="D229" s="20" t="str">
        <f t="shared" si="8"/>
        <v>C00673 : 2-Deoxy-D-ribose 5-phosphate</v>
      </c>
    </row>
    <row r="230" spans="1:4" x14ac:dyDescent="0.45">
      <c r="A230" t="s">
        <v>2066</v>
      </c>
      <c r="B230" s="21" t="s">
        <v>2651</v>
      </c>
      <c r="C230" s="19" t="str">
        <f t="shared" si="7"/>
        <v>C00677:1</v>
      </c>
      <c r="D230" s="20" t="str">
        <f t="shared" si="8"/>
        <v>C00677 : Deoxynucleoside triphosphate</v>
      </c>
    </row>
    <row r="231" spans="1:4" x14ac:dyDescent="0.45">
      <c r="A231" t="s">
        <v>1088</v>
      </c>
      <c r="B231" s="21" t="s">
        <v>2652</v>
      </c>
      <c r="C231" s="19" t="str">
        <f t="shared" si="7"/>
        <v>C00680:1</v>
      </c>
      <c r="D231" s="20" t="str">
        <f t="shared" si="8"/>
        <v>C00680 : meso-2,6-Diaminoheptanedioate</v>
      </c>
    </row>
    <row r="232" spans="1:4" x14ac:dyDescent="0.45">
      <c r="A232" t="s">
        <v>2189</v>
      </c>
      <c r="B232" s="21" t="s">
        <v>2653</v>
      </c>
      <c r="C232" s="19" t="str">
        <f t="shared" si="7"/>
        <v>C00681:1</v>
      </c>
      <c r="D232" s="20" t="str">
        <f t="shared" si="8"/>
        <v>C00681 : 1-Acyl-sn-glycerol 3-phosphate</v>
      </c>
    </row>
    <row r="233" spans="1:4" x14ac:dyDescent="0.45">
      <c r="A233" t="s">
        <v>2373</v>
      </c>
      <c r="B233" s="21" t="s">
        <v>2654</v>
      </c>
      <c r="C233" s="19" t="str">
        <f t="shared" si="7"/>
        <v>C00692:1</v>
      </c>
      <c r="D233" s="20" t="str">
        <f t="shared" si="8"/>
        <v>C00692 : UDP-N-acetylmuramoyl-L-alanyl-D-glutamate</v>
      </c>
    </row>
    <row r="234" spans="1:4" x14ac:dyDescent="0.45">
      <c r="A234" t="s">
        <v>2248</v>
      </c>
      <c r="B234" s="21" t="s">
        <v>2655</v>
      </c>
      <c r="C234" s="19" t="str">
        <f t="shared" si="7"/>
        <v>C00695:1</v>
      </c>
      <c r="D234" s="20" t="str">
        <f t="shared" si="8"/>
        <v>C00695 : Cholic Acid</v>
      </c>
    </row>
    <row r="235" spans="1:4" x14ac:dyDescent="0.45">
      <c r="A235" t="s">
        <v>2061</v>
      </c>
      <c r="B235" s="21" t="s">
        <v>2656</v>
      </c>
      <c r="C235" s="19" t="str">
        <f t="shared" si="7"/>
        <v>C00705:1</v>
      </c>
      <c r="D235" s="20" t="str">
        <f t="shared" si="8"/>
        <v>C00705 : dCDP</v>
      </c>
    </row>
    <row r="236" spans="1:4" x14ac:dyDescent="0.45">
      <c r="A236" t="s">
        <v>2257</v>
      </c>
      <c r="B236" s="21" t="s">
        <v>2657</v>
      </c>
      <c r="C236" s="19" t="str">
        <f t="shared" si="7"/>
        <v>C00712:1</v>
      </c>
      <c r="D236" s="20" t="str">
        <f t="shared" si="8"/>
        <v>C00712 : (9Z)-Octadecenoic acid</v>
      </c>
    </row>
    <row r="237" spans="1:4" x14ac:dyDescent="0.45">
      <c r="A237" t="s">
        <v>1944</v>
      </c>
      <c r="B237" s="21" t="s">
        <v>2658</v>
      </c>
      <c r="C237" s="19" t="str">
        <f t="shared" si="7"/>
        <v>C00718:1</v>
      </c>
      <c r="D237" s="20" t="str">
        <f t="shared" si="8"/>
        <v>C00718 : Amylose</v>
      </c>
    </row>
    <row r="238" spans="1:4" x14ac:dyDescent="0.45">
      <c r="A238" t="s">
        <v>2031</v>
      </c>
      <c r="B238" s="21" t="s">
        <v>2659</v>
      </c>
      <c r="C238" s="19" t="str">
        <f t="shared" si="7"/>
        <v>C00756:1</v>
      </c>
      <c r="D238" s="20" t="str">
        <f t="shared" si="8"/>
        <v>C00756 : 1-Octanol</v>
      </c>
    </row>
    <row r="239" spans="1:4" x14ac:dyDescent="0.45">
      <c r="A239" t="s">
        <v>2156</v>
      </c>
      <c r="B239" s="21" t="s">
        <v>2660</v>
      </c>
      <c r="C239" s="19" t="str">
        <f t="shared" si="7"/>
        <v>C00772:1</v>
      </c>
      <c r="D239" s="20" t="str">
        <f t="shared" si="8"/>
        <v>C00772 : Mevaldate</v>
      </c>
    </row>
    <row r="240" spans="1:4" x14ac:dyDescent="0.45">
      <c r="A240" t="s">
        <v>2374</v>
      </c>
      <c r="B240" s="21" t="s">
        <v>2661</v>
      </c>
      <c r="C240" s="19" t="str">
        <f t="shared" si="7"/>
        <v>C00787:1</v>
      </c>
      <c r="D240" s="20" t="str">
        <f t="shared" si="8"/>
        <v>C00787 : tRNA(Tyr)</v>
      </c>
    </row>
    <row r="241" spans="1:4" x14ac:dyDescent="0.45">
      <c r="A241" t="s">
        <v>1970</v>
      </c>
      <c r="B241" s="21" t="s">
        <v>2662</v>
      </c>
      <c r="C241" s="19" t="str">
        <f t="shared" si="7"/>
        <v>C00798:1</v>
      </c>
      <c r="D241" s="20" t="str">
        <f t="shared" si="8"/>
        <v>C00798 : Formyl-CoA</v>
      </c>
    </row>
    <row r="242" spans="1:4" x14ac:dyDescent="0.45">
      <c r="A242" t="s">
        <v>2135</v>
      </c>
      <c r="B242" s="21" t="s">
        <v>2663</v>
      </c>
      <c r="C242" s="19" t="str">
        <f t="shared" si="7"/>
        <v>C00819:1</v>
      </c>
      <c r="D242" s="20" t="str">
        <f t="shared" si="8"/>
        <v>C00819 : D-Glutamine</v>
      </c>
    </row>
    <row r="243" spans="1:4" x14ac:dyDescent="0.45">
      <c r="A243" t="s">
        <v>2303</v>
      </c>
      <c r="B243" s="21" t="s">
        <v>2665</v>
      </c>
      <c r="C243" s="19" t="str">
        <f t="shared" si="7"/>
        <v>C00831:1</v>
      </c>
      <c r="D243" s="20" t="str">
        <f t="shared" si="8"/>
        <v xml:space="preserve">C00831 : Pantethiene </v>
      </c>
    </row>
    <row r="244" spans="1:4" x14ac:dyDescent="0.45">
      <c r="A244" t="s">
        <v>1115</v>
      </c>
      <c r="B244" s="21" t="s">
        <v>2664</v>
      </c>
      <c r="C244" s="19" t="str">
        <f t="shared" si="7"/>
        <v>C00842:1</v>
      </c>
      <c r="D244" s="20" t="str">
        <f t="shared" si="8"/>
        <v>C00842 : dTDP-glucose</v>
      </c>
    </row>
    <row r="245" spans="1:4" x14ac:dyDescent="0.45">
      <c r="A245" t="s">
        <v>2304</v>
      </c>
      <c r="B245" s="21" t="s">
        <v>2666</v>
      </c>
      <c r="C245" s="19" t="str">
        <f t="shared" si="7"/>
        <v>C00857:1</v>
      </c>
      <c r="D245" s="20" t="str">
        <f t="shared" si="8"/>
        <v>C00857 : Deamino-NAD+</v>
      </c>
    </row>
    <row r="246" spans="1:4" x14ac:dyDescent="0.45">
      <c r="A246" t="s">
        <v>2305</v>
      </c>
      <c r="B246" s="21" t="s">
        <v>2667</v>
      </c>
      <c r="C246" s="19" t="str">
        <f t="shared" si="7"/>
        <v>C00864:1</v>
      </c>
      <c r="D246" s="20" t="str">
        <f t="shared" si="8"/>
        <v>C00864 : Pantothenate</v>
      </c>
    </row>
    <row r="247" spans="1:4" x14ac:dyDescent="0.45">
      <c r="A247" t="s">
        <v>1138</v>
      </c>
      <c r="B247" s="21" t="s">
        <v>2668</v>
      </c>
      <c r="C247" s="19" t="str">
        <f t="shared" si="7"/>
        <v>C00868:1</v>
      </c>
      <c r="D247" s="20" t="str">
        <f t="shared" si="8"/>
        <v>C00868 : tRNA uridine</v>
      </c>
    </row>
    <row r="248" spans="1:4" x14ac:dyDescent="0.45">
      <c r="A248" t="s">
        <v>1992</v>
      </c>
      <c r="B248" s="21" t="s">
        <v>2669</v>
      </c>
      <c r="C248" s="19" t="str">
        <f t="shared" si="7"/>
        <v>C00881:1</v>
      </c>
      <c r="D248" s="20" t="str">
        <f t="shared" si="8"/>
        <v>C00881 : Deoxycytidine</v>
      </c>
    </row>
    <row r="249" spans="1:4" x14ac:dyDescent="0.45">
      <c r="A249" t="s">
        <v>2306</v>
      </c>
      <c r="B249" s="21" t="s">
        <v>2670</v>
      </c>
      <c r="C249" s="19" t="str">
        <f t="shared" si="7"/>
        <v>C00882:1</v>
      </c>
      <c r="D249" s="20" t="str">
        <f t="shared" si="8"/>
        <v>C00882 : Dephospho-CoA</v>
      </c>
    </row>
    <row r="250" spans="1:4" x14ac:dyDescent="0.45">
      <c r="A250" t="s">
        <v>2375</v>
      </c>
      <c r="B250" s="21" t="s">
        <v>2671</v>
      </c>
      <c r="C250" s="19" t="str">
        <f t="shared" si="7"/>
        <v>C00886:1</v>
      </c>
      <c r="D250" s="20" t="str">
        <f t="shared" si="8"/>
        <v>C00886 : L-Alanyl-tRNA</v>
      </c>
    </row>
    <row r="251" spans="1:4" x14ac:dyDescent="0.45">
      <c r="A251" t="s">
        <v>2234</v>
      </c>
      <c r="B251" s="21" t="s">
        <v>2672</v>
      </c>
      <c r="C251" s="19" t="str">
        <f t="shared" si="7"/>
        <v>C00911:1</v>
      </c>
      <c r="D251" s="20" t="str">
        <f t="shared" si="8"/>
        <v>C00911 : Ribonucleoside</v>
      </c>
    </row>
    <row r="252" spans="1:4" x14ac:dyDescent="0.45">
      <c r="A252" t="s">
        <v>2039</v>
      </c>
      <c r="B252" s="21" t="s">
        <v>2673</v>
      </c>
      <c r="C252" s="19" t="str">
        <f t="shared" si="7"/>
        <v>C00934:1</v>
      </c>
      <c r="D252" s="20" t="str">
        <f t="shared" si="8"/>
        <v>C00934 : sugar phosphate</v>
      </c>
    </row>
    <row r="253" spans="1:4" x14ac:dyDescent="0.45">
      <c r="A253" t="s">
        <v>2171</v>
      </c>
      <c r="B253" s="21" t="s">
        <v>2674</v>
      </c>
      <c r="C253" s="19" t="str">
        <f t="shared" si="7"/>
        <v>C00957:1</v>
      </c>
      <c r="D253" s="20" t="str">
        <f t="shared" si="8"/>
        <v>C00957 : Mercaptopyruvate</v>
      </c>
    </row>
    <row r="254" spans="1:4" x14ac:dyDescent="0.45">
      <c r="A254" t="s">
        <v>2114</v>
      </c>
      <c r="B254" s="21" t="s">
        <v>2675</v>
      </c>
      <c r="C254" s="19" t="str">
        <f t="shared" si="7"/>
        <v>C00979:1</v>
      </c>
      <c r="D254" s="20" t="str">
        <f t="shared" si="8"/>
        <v>C00979 : O-Acetyl-L-serine</v>
      </c>
    </row>
    <row r="255" spans="1:4" x14ac:dyDescent="0.45">
      <c r="A255" t="s">
        <v>2307</v>
      </c>
      <c r="B255" s="21" t="s">
        <v>2676</v>
      </c>
      <c r="C255" s="19" t="str">
        <f t="shared" si="7"/>
        <v>C00984:1</v>
      </c>
      <c r="D255" s="20" t="str">
        <f t="shared" si="8"/>
        <v>C00984 : alpha-D-Galactose</v>
      </c>
    </row>
    <row r="256" spans="1:4" x14ac:dyDescent="0.45">
      <c r="A256" t="s">
        <v>2376</v>
      </c>
      <c r="B256" s="21" t="s">
        <v>2677</v>
      </c>
      <c r="C256" s="19" t="str">
        <f t="shared" si="7"/>
        <v>C00993:1</v>
      </c>
      <c r="D256" s="20" t="str">
        <f t="shared" si="8"/>
        <v>C00993 : D-Alanyl-D-alanine</v>
      </c>
    </row>
    <row r="257" spans="1:4" x14ac:dyDescent="0.45">
      <c r="A257" t="s">
        <v>2115</v>
      </c>
      <c r="B257" s="21" t="s">
        <v>2678</v>
      </c>
      <c r="C257" s="19" t="str">
        <f t="shared" si="7"/>
        <v>C01005:1</v>
      </c>
      <c r="D257" s="20" t="str">
        <f t="shared" si="8"/>
        <v>C01005 : O-Phospho-L-serine</v>
      </c>
    </row>
    <row r="258" spans="1:4" x14ac:dyDescent="0.45">
      <c r="A258" t="s">
        <v>2071</v>
      </c>
      <c r="B258" s="21" t="s">
        <v>2679</v>
      </c>
      <c r="C258" s="19" t="str">
        <f t="shared" si="7"/>
        <v>C01050:1</v>
      </c>
      <c r="D258" s="20" t="str">
        <f t="shared" si="8"/>
        <v>C01050 : UDP-N-acetylmuramate</v>
      </c>
    </row>
    <row r="259" spans="1:4" x14ac:dyDescent="0.45">
      <c r="A259" t="s">
        <v>2308</v>
      </c>
      <c r="B259" s="21" t="s">
        <v>2680</v>
      </c>
      <c r="C259" s="19" t="str">
        <f t="shared" ref="C259:C322" si="9">CONCATENATE(A259,":","1")</f>
        <v>C01094:1</v>
      </c>
      <c r="D259" s="20" t="str">
        <f t="shared" ref="D259:D322" si="10">CONCATENATE(A259," : ",B259)</f>
        <v>C01094 : D-Fructose 1-phosphate</v>
      </c>
    </row>
    <row r="260" spans="1:4" x14ac:dyDescent="0.45">
      <c r="A260" t="s">
        <v>1988</v>
      </c>
      <c r="B260" s="21" t="s">
        <v>2681</v>
      </c>
      <c r="C260" s="19" t="str">
        <f t="shared" si="9"/>
        <v>C01097:1</v>
      </c>
      <c r="D260" s="20" t="str">
        <f t="shared" si="10"/>
        <v>C01097 : D-Tagatose 6-phosphate</v>
      </c>
    </row>
    <row r="261" spans="1:4" x14ac:dyDescent="0.45">
      <c r="A261" t="s">
        <v>1965</v>
      </c>
      <c r="B261" s="21" t="s">
        <v>2682</v>
      </c>
      <c r="C261" s="19" t="str">
        <f t="shared" si="9"/>
        <v>C01102:1</v>
      </c>
      <c r="D261" s="20" t="str">
        <f t="shared" si="10"/>
        <v>C01102 : O-Phospho-L-homoserine</v>
      </c>
    </row>
    <row r="262" spans="1:4" x14ac:dyDescent="0.45">
      <c r="A262" t="s">
        <v>1091</v>
      </c>
      <c r="B262" s="21" t="s">
        <v>2683</v>
      </c>
      <c r="C262" s="19" t="str">
        <f t="shared" si="9"/>
        <v>C01103:1</v>
      </c>
      <c r="D262" s="20" t="str">
        <f t="shared" si="10"/>
        <v xml:space="preserve">C01103 : Orotidine 5'-phosphate </v>
      </c>
    </row>
    <row r="263" spans="1:4" x14ac:dyDescent="0.45">
      <c r="A263" t="s">
        <v>2309</v>
      </c>
      <c r="B263" s="21" t="s">
        <v>2684</v>
      </c>
      <c r="C263" s="19" t="str">
        <f t="shared" si="9"/>
        <v>C01107:1</v>
      </c>
      <c r="D263" s="20" t="str">
        <f t="shared" si="10"/>
        <v>C01107 : (R)-5-Phosphomevalonate</v>
      </c>
    </row>
    <row r="264" spans="1:4" x14ac:dyDescent="0.45">
      <c r="A264" t="s">
        <v>2253</v>
      </c>
      <c r="B264" s="21" t="s">
        <v>2685</v>
      </c>
      <c r="C264" s="19" t="str">
        <f t="shared" si="9"/>
        <v>C01134:1</v>
      </c>
      <c r="D264" s="20" t="str">
        <f t="shared" si="10"/>
        <v>C01134 : Pantetheine 4'-phosphate</v>
      </c>
    </row>
    <row r="265" spans="1:4" x14ac:dyDescent="0.45">
      <c r="A265" t="s">
        <v>2310</v>
      </c>
      <c r="B265" s="21" t="s">
        <v>2686</v>
      </c>
      <c r="C265" s="19" t="str">
        <f t="shared" si="9"/>
        <v>C01143:1</v>
      </c>
      <c r="D265" s="20" t="str">
        <f t="shared" si="10"/>
        <v>C01143 : (R)-5-Diphosphomevalonate</v>
      </c>
    </row>
    <row r="266" spans="1:4" x14ac:dyDescent="0.45">
      <c r="A266" t="s">
        <v>2029</v>
      </c>
      <c r="B266" s="21" t="s">
        <v>2687</v>
      </c>
      <c r="C266" s="19" t="str">
        <f t="shared" si="9"/>
        <v>C01167:1</v>
      </c>
      <c r="D266" s="20" t="str">
        <f t="shared" si="10"/>
        <v>C01167 : Protein tyrosine phosphate</v>
      </c>
    </row>
    <row r="267" spans="1:4" x14ac:dyDescent="0.45">
      <c r="A267" t="s">
        <v>1111</v>
      </c>
      <c r="B267" s="21" t="s">
        <v>2688</v>
      </c>
      <c r="C267" s="19" t="str">
        <f t="shared" si="9"/>
        <v>C01170:1</v>
      </c>
      <c r="D267" s="20" t="str">
        <f t="shared" si="10"/>
        <v>C01170 : UDP-N-acetyl-D-mannosamine</v>
      </c>
    </row>
    <row r="268" spans="1:4" x14ac:dyDescent="0.45">
      <c r="A268" t="s">
        <v>1128</v>
      </c>
      <c r="B268" s="21" t="s">
        <v>2689</v>
      </c>
      <c r="C268" s="19" t="str">
        <f t="shared" si="9"/>
        <v>C01172:1</v>
      </c>
      <c r="D268" s="20" t="str">
        <f t="shared" si="10"/>
        <v>C01172 : beta-D-Glucose 6-phosphate</v>
      </c>
    </row>
    <row r="269" spans="1:4" x14ac:dyDescent="0.45">
      <c r="A269" t="s">
        <v>2207</v>
      </c>
      <c r="B269" s="21" t="s">
        <v>2690</v>
      </c>
      <c r="C269" s="19" t="str">
        <f t="shared" si="9"/>
        <v>C01179:1</v>
      </c>
      <c r="D269" s="20" t="str">
        <f t="shared" si="10"/>
        <v>C01179 : 3-(4-Hydroxyphenyl)pyruvate</v>
      </c>
    </row>
    <row r="270" spans="1:4" x14ac:dyDescent="0.45">
      <c r="A270" t="s">
        <v>2018</v>
      </c>
      <c r="B270" s="21" t="s">
        <v>2691</v>
      </c>
      <c r="C270" s="19" t="str">
        <f t="shared" si="9"/>
        <v>C01185:1</v>
      </c>
      <c r="D270" s="20" t="str">
        <f t="shared" si="10"/>
        <v>C01185 : Nicotinate D-ribonucleotide</v>
      </c>
    </row>
    <row r="271" spans="1:4" x14ac:dyDescent="0.45">
      <c r="A271" t="s">
        <v>2311</v>
      </c>
      <c r="B271" s="21" t="s">
        <v>2692</v>
      </c>
      <c r="C271" s="19" t="str">
        <f t="shared" si="9"/>
        <v>C01212:1</v>
      </c>
      <c r="D271" s="20" t="str">
        <f t="shared" si="10"/>
        <v>C01212 : UDP-N-acetylmuramoyl-L-alanine</v>
      </c>
    </row>
    <row r="272" spans="1:4" x14ac:dyDescent="0.45">
      <c r="A272" t="s">
        <v>2312</v>
      </c>
      <c r="B272" s="21" t="s">
        <v>2693</v>
      </c>
      <c r="C272" s="19" t="str">
        <f t="shared" si="9"/>
        <v>C01217:1</v>
      </c>
      <c r="D272" s="20" t="str">
        <f t="shared" si="10"/>
        <v>C01217 : 5,6,7,8-Tetrahydromethanopterin</v>
      </c>
    </row>
    <row r="273" spans="1:4" x14ac:dyDescent="0.45">
      <c r="A273" t="s">
        <v>2173</v>
      </c>
      <c r="B273" s="21" t="s">
        <v>2694</v>
      </c>
      <c r="C273" s="19" t="str">
        <f t="shared" si="9"/>
        <v>C01236:1</v>
      </c>
      <c r="D273" s="20" t="str">
        <f t="shared" si="10"/>
        <v>C01236 : D-Glucono-1,5-lactone 6-phosphate</v>
      </c>
    </row>
    <row r="274" spans="1:4" x14ac:dyDescent="0.45">
      <c r="A274" t="s">
        <v>2146</v>
      </c>
      <c r="B274" s="21" t="s">
        <v>2695</v>
      </c>
      <c r="C274" s="19" t="str">
        <f t="shared" si="9"/>
        <v>C01260:1</v>
      </c>
      <c r="D274" s="20" t="str">
        <f t="shared" si="10"/>
        <v>C01260 : P1,P4-Bis(5'-adenosyl)tetraphosphate</v>
      </c>
    </row>
    <row r="275" spans="1:4" x14ac:dyDescent="0.45">
      <c r="A275" t="s">
        <v>2313</v>
      </c>
      <c r="B275" s="21" t="s">
        <v>2696</v>
      </c>
      <c r="C275" s="19" t="str">
        <f t="shared" si="9"/>
        <v>C01279:1</v>
      </c>
      <c r="D275" s="20" t="str">
        <f t="shared" si="10"/>
        <v>C01279 : 4-Amino-5-hydroxymethyl-2-methylpyrimidine</v>
      </c>
    </row>
    <row r="276" spans="1:4" x14ac:dyDescent="0.45">
      <c r="A276" t="s">
        <v>2062</v>
      </c>
      <c r="B276" s="21" t="s">
        <v>2697</v>
      </c>
      <c r="C276" s="19" t="str">
        <f t="shared" si="9"/>
        <v>C01346:1</v>
      </c>
      <c r="D276" s="20" t="str">
        <f t="shared" si="10"/>
        <v>C01346 : dUDP</v>
      </c>
    </row>
    <row r="277" spans="1:4" x14ac:dyDescent="0.45">
      <c r="A277" t="s">
        <v>2068</v>
      </c>
      <c r="B277" s="21" t="s">
        <v>2698</v>
      </c>
      <c r="C277" s="19" t="str">
        <f t="shared" si="9"/>
        <v>C01412:1</v>
      </c>
      <c r="D277" s="20" t="str">
        <f t="shared" si="10"/>
        <v>C01412 : Butanal</v>
      </c>
    </row>
    <row r="278" spans="1:4" x14ac:dyDescent="0.45">
      <c r="A278" t="s">
        <v>2159</v>
      </c>
      <c r="B278" s="21" t="s">
        <v>2699</v>
      </c>
      <c r="C278" s="19" t="str">
        <f t="shared" si="9"/>
        <v>C01450:1</v>
      </c>
      <c r="D278" s="20" t="str">
        <f t="shared" si="10"/>
        <v>C01450 : Ketone</v>
      </c>
    </row>
    <row r="279" spans="1:4" x14ac:dyDescent="0.45">
      <c r="A279" t="s">
        <v>2079</v>
      </c>
      <c r="B279" s="21" t="s">
        <v>2700</v>
      </c>
      <c r="C279" s="19" t="str">
        <f t="shared" si="9"/>
        <v>C01528:1</v>
      </c>
      <c r="D279" s="20" t="str">
        <f t="shared" si="10"/>
        <v>C01528 : Hydrogen Selenide</v>
      </c>
    </row>
    <row r="280" spans="1:4" x14ac:dyDescent="0.45">
      <c r="A280" t="s">
        <v>2158</v>
      </c>
      <c r="B280" s="21" t="s">
        <v>2701</v>
      </c>
      <c r="C280" s="19" t="str">
        <f t="shared" si="9"/>
        <v>C01545:1</v>
      </c>
      <c r="D280" s="20" t="str">
        <f t="shared" si="10"/>
        <v>C01545 : Octanal</v>
      </c>
    </row>
    <row r="281" spans="1:4" x14ac:dyDescent="0.45">
      <c r="A281" t="s">
        <v>2264</v>
      </c>
      <c r="B281" s="21" t="s">
        <v>2702</v>
      </c>
      <c r="C281" s="19" t="str">
        <f t="shared" si="9"/>
        <v>C01563:1</v>
      </c>
      <c r="D281" s="20" t="str">
        <f t="shared" si="10"/>
        <v>C01563 : Carbamate</v>
      </c>
    </row>
    <row r="282" spans="1:4" x14ac:dyDescent="0.45">
      <c r="A282" t="s">
        <v>2032</v>
      </c>
      <c r="B282" s="21" t="s">
        <v>2703</v>
      </c>
      <c r="C282" s="19" t="str">
        <f t="shared" si="9"/>
        <v>C01612:1</v>
      </c>
      <c r="D282" s="20" t="str">
        <f t="shared" si="10"/>
        <v>C01612 : Secondary alcohol</v>
      </c>
    </row>
    <row r="283" spans="1:4" x14ac:dyDescent="0.45">
      <c r="A283" t="s">
        <v>1940</v>
      </c>
      <c r="B283" s="21" t="s">
        <v>2704</v>
      </c>
      <c r="C283" s="19" t="str">
        <f t="shared" si="9"/>
        <v>C01613:1</v>
      </c>
      <c r="D283" s="20" t="str">
        <f t="shared" si="10"/>
        <v>C01613 : Stachyose</v>
      </c>
    </row>
    <row r="284" spans="1:4" x14ac:dyDescent="0.45">
      <c r="A284" t="s">
        <v>2377</v>
      </c>
      <c r="B284" s="21" t="s">
        <v>2705</v>
      </c>
      <c r="C284" s="19" t="str">
        <f t="shared" si="9"/>
        <v>C01635:1</v>
      </c>
      <c r="D284" s="20" t="str">
        <f t="shared" si="10"/>
        <v>C01635 : tRNA(Ala)</v>
      </c>
    </row>
    <row r="285" spans="1:4" x14ac:dyDescent="0.45">
      <c r="A285" t="s">
        <v>2378</v>
      </c>
      <c r="B285" s="21" t="s">
        <v>2706</v>
      </c>
      <c r="C285" s="19" t="str">
        <f t="shared" si="9"/>
        <v>C01636:1</v>
      </c>
      <c r="D285" s="20" t="str">
        <f t="shared" si="10"/>
        <v>C01636 : tRNA(Arg)</v>
      </c>
    </row>
    <row r="286" spans="1:4" x14ac:dyDescent="0.45">
      <c r="A286" t="s">
        <v>2149</v>
      </c>
      <c r="B286" s="21" t="s">
        <v>2707</v>
      </c>
      <c r="C286" s="19" t="str">
        <f t="shared" si="9"/>
        <v>C01638:1</v>
      </c>
      <c r="D286" s="20" t="str">
        <f t="shared" si="10"/>
        <v>C01638 : tRNA(Asp)</v>
      </c>
    </row>
    <row r="287" spans="1:4" x14ac:dyDescent="0.45">
      <c r="A287" t="s">
        <v>2379</v>
      </c>
      <c r="B287" s="21" t="s">
        <v>2708</v>
      </c>
      <c r="C287" s="19" t="str">
        <f t="shared" si="9"/>
        <v>C01639:1</v>
      </c>
      <c r="D287" s="20" t="str">
        <f t="shared" si="10"/>
        <v>C01639 : tRNA(Cys)</v>
      </c>
    </row>
    <row r="288" spans="1:4" x14ac:dyDescent="0.45">
      <c r="A288" t="s">
        <v>2150</v>
      </c>
      <c r="B288" s="21" t="s">
        <v>2709</v>
      </c>
      <c r="C288" s="19" t="str">
        <f t="shared" si="9"/>
        <v>C01641:1</v>
      </c>
      <c r="D288" s="20" t="str">
        <f t="shared" si="10"/>
        <v>C01641 : tRNA(Glu)</v>
      </c>
    </row>
    <row r="289" spans="1:4" x14ac:dyDescent="0.45">
      <c r="A289" t="s">
        <v>2380</v>
      </c>
      <c r="B289" s="21" t="s">
        <v>2710</v>
      </c>
      <c r="C289" s="19" t="str">
        <f t="shared" si="9"/>
        <v>C01642:1</v>
      </c>
      <c r="D289" s="20" t="str">
        <f t="shared" si="10"/>
        <v>C01642 : tRNA(Gly)</v>
      </c>
    </row>
    <row r="290" spans="1:4" x14ac:dyDescent="0.45">
      <c r="A290" t="s">
        <v>2381</v>
      </c>
      <c r="B290" s="21" t="s">
        <v>2711</v>
      </c>
      <c r="C290" s="19" t="str">
        <f t="shared" si="9"/>
        <v>C01644:1</v>
      </c>
      <c r="D290" s="20" t="str">
        <f t="shared" si="10"/>
        <v>C01644 : tRNA(Ile)</v>
      </c>
    </row>
    <row r="291" spans="1:4" x14ac:dyDescent="0.45">
      <c r="A291" t="s">
        <v>2382</v>
      </c>
      <c r="B291" s="21" t="s">
        <v>2712</v>
      </c>
      <c r="C291" s="19" t="str">
        <f t="shared" si="9"/>
        <v>C01645:1</v>
      </c>
      <c r="D291" s="20" t="str">
        <f t="shared" si="10"/>
        <v>C01645 : tRNA(Leu)</v>
      </c>
    </row>
    <row r="292" spans="1:4" x14ac:dyDescent="0.45">
      <c r="A292" t="s">
        <v>2383</v>
      </c>
      <c r="B292" s="21" t="s">
        <v>2713</v>
      </c>
      <c r="C292" s="19" t="str">
        <f t="shared" si="9"/>
        <v>C01646:1</v>
      </c>
      <c r="D292" s="20" t="str">
        <f t="shared" si="10"/>
        <v>C01646 : tRNA(Lys)</v>
      </c>
    </row>
    <row r="293" spans="1:4" x14ac:dyDescent="0.45">
      <c r="A293" t="s">
        <v>2384</v>
      </c>
      <c r="B293" s="21" t="s">
        <v>2714</v>
      </c>
      <c r="C293" s="19" t="str">
        <f t="shared" si="9"/>
        <v>C01647:1</v>
      </c>
      <c r="D293" s="20" t="str">
        <f t="shared" si="10"/>
        <v>C01647 : tRNA(Met)</v>
      </c>
    </row>
    <row r="294" spans="1:4" x14ac:dyDescent="0.45">
      <c r="A294" t="s">
        <v>2385</v>
      </c>
      <c r="B294" s="21" t="s">
        <v>2715</v>
      </c>
      <c r="C294" s="19" t="str">
        <f t="shared" si="9"/>
        <v>C01648:1</v>
      </c>
      <c r="D294" s="20" t="str">
        <f t="shared" si="10"/>
        <v>C01648 : tRNA(Phe)</v>
      </c>
    </row>
    <row r="295" spans="1:4" x14ac:dyDescent="0.45">
      <c r="A295" t="s">
        <v>2386</v>
      </c>
      <c r="B295" s="21" t="s">
        <v>2716</v>
      </c>
      <c r="C295" s="19" t="str">
        <f t="shared" si="9"/>
        <v>C01649:1</v>
      </c>
      <c r="D295" s="20" t="str">
        <f t="shared" si="10"/>
        <v>C01649 : tRNA(Pro)</v>
      </c>
    </row>
    <row r="296" spans="1:4" x14ac:dyDescent="0.45">
      <c r="A296" t="s">
        <v>2387</v>
      </c>
      <c r="B296" s="21" t="s">
        <v>2717</v>
      </c>
      <c r="C296" s="19" t="str">
        <f t="shared" si="9"/>
        <v>C01650:1</v>
      </c>
      <c r="D296" s="20" t="str">
        <f t="shared" si="10"/>
        <v>C01650 : tRNA(Ser)</v>
      </c>
    </row>
    <row r="297" spans="1:4" x14ac:dyDescent="0.45">
      <c r="A297" t="s">
        <v>2388</v>
      </c>
      <c r="B297" s="21" t="s">
        <v>2718</v>
      </c>
      <c r="C297" s="19" t="str">
        <f t="shared" si="9"/>
        <v>C01651:1</v>
      </c>
      <c r="D297" s="20" t="str">
        <f t="shared" si="10"/>
        <v>C01651 : tRNA(Thr)</v>
      </c>
    </row>
    <row r="298" spans="1:4" x14ac:dyDescent="0.45">
      <c r="A298" t="s">
        <v>2389</v>
      </c>
      <c r="B298" s="21" t="s">
        <v>2719</v>
      </c>
      <c r="C298" s="19" t="str">
        <f t="shared" si="9"/>
        <v>C01652:1</v>
      </c>
      <c r="D298" s="20" t="str">
        <f t="shared" si="10"/>
        <v>C01652 : tRNA(Trp)</v>
      </c>
    </row>
    <row r="299" spans="1:4" x14ac:dyDescent="0.45">
      <c r="A299" t="s">
        <v>2390</v>
      </c>
      <c r="B299" s="21" t="s">
        <v>2720</v>
      </c>
      <c r="C299" s="19" t="str">
        <f t="shared" si="9"/>
        <v>C01653:1</v>
      </c>
      <c r="D299" s="20" t="str">
        <f t="shared" si="10"/>
        <v>C01653 : tRNA(Val)</v>
      </c>
    </row>
    <row r="300" spans="1:4" x14ac:dyDescent="0.45">
      <c r="A300" t="s">
        <v>2232</v>
      </c>
      <c r="B300" s="21" t="s">
        <v>2721</v>
      </c>
      <c r="C300" s="19" t="str">
        <f t="shared" si="9"/>
        <v>C01762:1</v>
      </c>
      <c r="D300" s="20" t="str">
        <f t="shared" si="10"/>
        <v>C01762 : Xanthosine</v>
      </c>
    </row>
    <row r="301" spans="1:4" x14ac:dyDescent="0.45">
      <c r="A301" t="s">
        <v>2038</v>
      </c>
      <c r="B301" s="21" t="s">
        <v>2722</v>
      </c>
      <c r="C301" s="19" t="str">
        <f t="shared" si="9"/>
        <v>C01801:1</v>
      </c>
      <c r="D301" s="20" t="str">
        <f t="shared" si="10"/>
        <v>C01801 : Deoxyribose</v>
      </c>
    </row>
    <row r="302" spans="1:4" x14ac:dyDescent="0.45">
      <c r="A302" t="s">
        <v>2136</v>
      </c>
      <c r="B302" s="21" t="s">
        <v>2723</v>
      </c>
      <c r="C302" s="19" t="str">
        <f t="shared" si="9"/>
        <v>C01921:1</v>
      </c>
      <c r="D302" s="20" t="str">
        <f t="shared" si="10"/>
        <v>C01921 : Glycocholate</v>
      </c>
    </row>
    <row r="303" spans="1:4" x14ac:dyDescent="0.45">
      <c r="A303" t="s">
        <v>2391</v>
      </c>
      <c r="B303" s="21" t="s">
        <v>2724</v>
      </c>
      <c r="C303" s="19" t="str">
        <f t="shared" si="9"/>
        <v>C01931:1</v>
      </c>
      <c r="D303" s="20" t="str">
        <f t="shared" si="10"/>
        <v>C01931 : L-Lysyl-tRNA</v>
      </c>
    </row>
    <row r="304" spans="1:4" x14ac:dyDescent="0.45">
      <c r="A304" t="s">
        <v>2314</v>
      </c>
      <c r="B304" s="21" t="s">
        <v>2725</v>
      </c>
      <c r="C304" s="19" t="str">
        <f t="shared" si="9"/>
        <v>C01977:1</v>
      </c>
      <c r="D304" s="20" t="str">
        <f t="shared" si="10"/>
        <v>C01977 : tRNA guanine</v>
      </c>
    </row>
    <row r="305" spans="1:4" x14ac:dyDescent="0.45">
      <c r="A305" t="s">
        <v>2315</v>
      </c>
      <c r="B305" s="21" t="s">
        <v>2726</v>
      </c>
      <c r="C305" s="19" t="str">
        <f t="shared" si="9"/>
        <v>C01997:1</v>
      </c>
      <c r="D305" s="20" t="str">
        <f t="shared" si="10"/>
        <v>C01997 : Histone N6-acetyl-L-lysine</v>
      </c>
    </row>
    <row r="306" spans="1:4" x14ac:dyDescent="0.45">
      <c r="A306" t="s">
        <v>2392</v>
      </c>
      <c r="B306" s="21" t="s">
        <v>2727</v>
      </c>
      <c r="C306" s="19" t="str">
        <f t="shared" si="9"/>
        <v>C02047:1</v>
      </c>
      <c r="D306" s="20" t="str">
        <f t="shared" si="10"/>
        <v>C02047 : L-Leucyl-tRNA</v>
      </c>
    </row>
    <row r="307" spans="1:4" x14ac:dyDescent="0.45">
      <c r="A307" t="s">
        <v>2316</v>
      </c>
      <c r="B307" s="21" t="s">
        <v>2728</v>
      </c>
      <c r="C307" s="19" t="str">
        <f t="shared" si="9"/>
        <v>C02090:1</v>
      </c>
      <c r="D307" s="20" t="str">
        <f t="shared" si="10"/>
        <v>C02090 : Trypanothione</v>
      </c>
    </row>
    <row r="308" spans="1:4" x14ac:dyDescent="0.45">
      <c r="A308" t="s">
        <v>1116</v>
      </c>
      <c r="B308" s="21" t="s">
        <v>2729</v>
      </c>
      <c r="C308" s="19" t="str">
        <f t="shared" si="9"/>
        <v>C02097:1</v>
      </c>
      <c r="D308" s="20" t="str">
        <f t="shared" si="10"/>
        <v>C02097 : dTDP-galactose</v>
      </c>
    </row>
    <row r="309" spans="1:4" x14ac:dyDescent="0.45">
      <c r="A309" t="s">
        <v>2393</v>
      </c>
      <c r="B309" s="21" t="s">
        <v>2730</v>
      </c>
      <c r="C309" s="19" t="str">
        <f t="shared" si="9"/>
        <v>C02128:1</v>
      </c>
      <c r="D309" s="20" t="str">
        <f t="shared" si="10"/>
        <v>C02128 : 5'-Phospho-DNA</v>
      </c>
    </row>
    <row r="310" spans="1:4" x14ac:dyDescent="0.45">
      <c r="A310" t="s">
        <v>2095</v>
      </c>
      <c r="B310" s="21" t="s">
        <v>2731</v>
      </c>
      <c r="C310" s="19" t="str">
        <f t="shared" si="9"/>
        <v>C02133:1</v>
      </c>
      <c r="D310" s="20" t="str">
        <f t="shared" si="10"/>
        <v xml:space="preserve">C02133 : Acyl phosphate </v>
      </c>
    </row>
    <row r="311" spans="1:4" x14ac:dyDescent="0.45">
      <c r="A311" t="s">
        <v>2394</v>
      </c>
      <c r="B311" s="21" t="s">
        <v>2732</v>
      </c>
      <c r="C311" s="19" t="str">
        <f t="shared" si="9"/>
        <v>C02163:1</v>
      </c>
      <c r="D311" s="20" t="str">
        <f t="shared" si="10"/>
        <v>C02163 : L-Arginyl-tRNA(Arg)</v>
      </c>
    </row>
    <row r="312" spans="1:4" x14ac:dyDescent="0.45">
      <c r="A312" t="s">
        <v>2317</v>
      </c>
      <c r="B312" s="21" t="s">
        <v>2733</v>
      </c>
      <c r="C312" s="19" t="str">
        <f t="shared" si="9"/>
        <v>C02188:1</v>
      </c>
      <c r="D312" s="20" t="str">
        <f t="shared" si="10"/>
        <v>C02188 : Protein lysine</v>
      </c>
    </row>
    <row r="313" spans="1:4" x14ac:dyDescent="0.45">
      <c r="A313" t="s">
        <v>2122</v>
      </c>
      <c r="B313" s="21" t="s">
        <v>2734</v>
      </c>
      <c r="C313" s="19" t="str">
        <f t="shared" si="9"/>
        <v>C02211:1</v>
      </c>
      <c r="D313" s="20" t="str">
        <f t="shared" si="10"/>
        <v>C02211 : tRNA precursor</v>
      </c>
    </row>
    <row r="314" spans="1:4" x14ac:dyDescent="0.45">
      <c r="A314" t="s">
        <v>2246</v>
      </c>
      <c r="B314" s="21" t="s">
        <v>2735</v>
      </c>
      <c r="C314" s="19" t="str">
        <f t="shared" si="9"/>
        <v>C02323:1</v>
      </c>
      <c r="D314" s="20" t="str">
        <f t="shared" si="10"/>
        <v>C02323 : Salicyl alcohol</v>
      </c>
    </row>
    <row r="315" spans="1:4" x14ac:dyDescent="0.45">
      <c r="A315" t="s">
        <v>1932</v>
      </c>
      <c r="B315" s="21" t="s">
        <v>2736</v>
      </c>
      <c r="C315" s="19" t="str">
        <f t="shared" si="9"/>
        <v>C02336:1</v>
      </c>
      <c r="D315" s="20" t="str">
        <f t="shared" si="10"/>
        <v>C02336 : beta-D-Fructose</v>
      </c>
    </row>
    <row r="316" spans="1:4" x14ac:dyDescent="0.45">
      <c r="A316" t="s">
        <v>2318</v>
      </c>
      <c r="B316" s="22" t="s">
        <v>2737</v>
      </c>
      <c r="C316" s="19" t="str">
        <f t="shared" si="9"/>
        <v>C02342:1</v>
      </c>
      <c r="D316" s="20" t="str">
        <f t="shared" si="10"/>
        <v>C02342 :  'Activated'  tRNA</v>
      </c>
    </row>
    <row r="317" spans="1:4" x14ac:dyDescent="0.45">
      <c r="A317" t="s">
        <v>1985</v>
      </c>
      <c r="B317" s="22" t="s">
        <v>2761</v>
      </c>
      <c r="C317" s="19" t="str">
        <f t="shared" si="9"/>
        <v>C02356:1</v>
      </c>
      <c r="D317" s="20" t="str">
        <f t="shared" si="10"/>
        <v>C02356 : (S)-2-Aminobutanoate</v>
      </c>
    </row>
    <row r="318" spans="1:4" x14ac:dyDescent="0.45">
      <c r="A318" t="s">
        <v>2108</v>
      </c>
      <c r="B318" s="21" t="s">
        <v>2738</v>
      </c>
      <c r="C318" s="19" t="str">
        <f t="shared" si="9"/>
        <v>C02380:1</v>
      </c>
      <c r="D318" s="20" t="str">
        <f t="shared" si="10"/>
        <v>C02380 : 6-Mercaptopurine</v>
      </c>
    </row>
    <row r="319" spans="1:4" x14ac:dyDescent="0.45">
      <c r="A319" t="s">
        <v>2395</v>
      </c>
      <c r="B319" s="21" t="s">
        <v>2739</v>
      </c>
      <c r="C319" s="19" t="str">
        <f t="shared" si="9"/>
        <v>C02412:1</v>
      </c>
      <c r="D319" s="20" t="str">
        <f t="shared" si="10"/>
        <v>C02412 : Glycyl-tRNA(Gly)</v>
      </c>
    </row>
    <row r="320" spans="1:4" x14ac:dyDescent="0.45">
      <c r="A320" t="s">
        <v>2319</v>
      </c>
      <c r="B320" s="21" t="s">
        <v>2740</v>
      </c>
      <c r="C320" s="19" t="str">
        <f t="shared" si="9"/>
        <v>C02415:1</v>
      </c>
      <c r="D320" s="20" t="str">
        <f t="shared" si="10"/>
        <v>C02415 : Histone-L-lysine</v>
      </c>
    </row>
    <row r="321" spans="1:4" x14ac:dyDescent="0.45">
      <c r="A321" t="s">
        <v>2090</v>
      </c>
      <c r="B321" s="21" t="s">
        <v>2741</v>
      </c>
      <c r="C321" s="19" t="str">
        <f t="shared" si="9"/>
        <v>C02430:1</v>
      </c>
      <c r="D321" s="20" t="str">
        <f t="shared" si="10"/>
        <v>C02430 : L-Methionyl-tRNA</v>
      </c>
    </row>
    <row r="322" spans="1:4" x14ac:dyDescent="0.45">
      <c r="A322" t="s">
        <v>1129</v>
      </c>
      <c r="B322" s="21" t="s">
        <v>2742</v>
      </c>
      <c r="C322" s="19" t="str">
        <f t="shared" si="9"/>
        <v>C02501:1</v>
      </c>
      <c r="D322" s="20" t="str">
        <f t="shared" si="10"/>
        <v>C02501 : 2-Hydroxymuconate</v>
      </c>
    </row>
    <row r="323" spans="1:4" x14ac:dyDescent="0.45">
      <c r="A323" t="s">
        <v>2009</v>
      </c>
      <c r="B323" s="21" t="s">
        <v>2743</v>
      </c>
      <c r="C323" s="19" t="str">
        <f t="shared" ref="C323:C386" si="11">CONCATENATE(A323,":","1")</f>
        <v>C02520:1</v>
      </c>
      <c r="D323" s="20" t="str">
        <f t="shared" ref="D323:D386" si="12">CONCATENATE(A323," : ",B323)</f>
        <v>C02520 : 5'-Ribonucleotide</v>
      </c>
    </row>
    <row r="324" spans="1:4" x14ac:dyDescent="0.45">
      <c r="A324" t="s">
        <v>2249</v>
      </c>
      <c r="B324" s="21" t="s">
        <v>2744</v>
      </c>
      <c r="C324" s="19" t="str">
        <f t="shared" si="11"/>
        <v>C02528:1</v>
      </c>
      <c r="D324" s="20" t="str">
        <f t="shared" si="12"/>
        <v>C02528 : Chenodeoxycholate</v>
      </c>
    </row>
    <row r="325" spans="1:4" x14ac:dyDescent="0.45">
      <c r="A325" t="s">
        <v>2396</v>
      </c>
      <c r="B325" s="21" t="s">
        <v>2745</v>
      </c>
      <c r="C325" s="19" t="str">
        <f t="shared" si="11"/>
        <v>C02553:1</v>
      </c>
      <c r="D325" s="20" t="str">
        <f t="shared" si="12"/>
        <v>C02553 : L-Seryl-tRNA(Ser)</v>
      </c>
    </row>
    <row r="326" spans="1:4" x14ac:dyDescent="0.45">
      <c r="A326" t="s">
        <v>2397</v>
      </c>
      <c r="B326" s="21" t="s">
        <v>2746</v>
      </c>
      <c r="C326" s="19" t="str">
        <f t="shared" si="11"/>
        <v>C02554:1</v>
      </c>
      <c r="D326" s="20" t="str">
        <f t="shared" si="12"/>
        <v xml:space="preserve">C02554 : L-Valyl-tRNA(Val) </v>
      </c>
    </row>
    <row r="327" spans="1:4" x14ac:dyDescent="0.45">
      <c r="A327" t="s">
        <v>2084</v>
      </c>
      <c r="B327" s="21" t="s">
        <v>2747</v>
      </c>
      <c r="C327" s="19" t="str">
        <f t="shared" si="11"/>
        <v>C02583:1</v>
      </c>
      <c r="D327" s="20" t="str">
        <f t="shared" si="12"/>
        <v>C02583 : Protein glutamine</v>
      </c>
    </row>
    <row r="328" spans="1:4" x14ac:dyDescent="0.45">
      <c r="A328" t="s">
        <v>2398</v>
      </c>
      <c r="B328" s="21" t="s">
        <v>2748</v>
      </c>
      <c r="C328" s="19" t="str">
        <f t="shared" si="11"/>
        <v>C02702:1</v>
      </c>
      <c r="D328" s="20" t="str">
        <f t="shared" si="12"/>
        <v>C02702 : L-Prolyl-tRNA(Pro)</v>
      </c>
    </row>
    <row r="329" spans="1:4" x14ac:dyDescent="0.45">
      <c r="A329" t="s">
        <v>2320</v>
      </c>
      <c r="B329" s="21" t="s">
        <v>2749</v>
      </c>
      <c r="C329" s="19" t="str">
        <f t="shared" si="11"/>
        <v>C02743:1</v>
      </c>
      <c r="D329" s="20" t="str">
        <f t="shared" si="12"/>
        <v>C02743 : [Protein]-L-cysteine </v>
      </c>
    </row>
    <row r="330" spans="1:4" x14ac:dyDescent="0.45">
      <c r="A330" t="s">
        <v>1139</v>
      </c>
      <c r="B330" s="21" t="s">
        <v>2750</v>
      </c>
      <c r="C330" s="19" t="str">
        <f t="shared" si="11"/>
        <v>C02764:1</v>
      </c>
      <c r="D330" s="20" t="str">
        <f t="shared" si="12"/>
        <v>C02764 : tRNA pseudouridine</v>
      </c>
    </row>
    <row r="331" spans="1:4" x14ac:dyDescent="0.45">
      <c r="A331" t="s">
        <v>2399</v>
      </c>
      <c r="B331" s="21" t="s">
        <v>2751</v>
      </c>
      <c r="C331" s="19" t="str">
        <f t="shared" si="11"/>
        <v>C02839:1</v>
      </c>
      <c r="D331" s="20" t="str">
        <f t="shared" si="12"/>
        <v>C02839 : L-Tyrosyl-tRNA(Tyr)</v>
      </c>
    </row>
    <row r="332" spans="1:4" x14ac:dyDescent="0.45">
      <c r="A332" t="s">
        <v>2191</v>
      </c>
      <c r="B332" s="21" t="s">
        <v>2752</v>
      </c>
      <c r="C332" s="19" t="str">
        <f t="shared" si="11"/>
        <v>C02876:1</v>
      </c>
      <c r="D332" s="20" t="str">
        <f t="shared" si="12"/>
        <v>C02876 : Propanoyl phosphate</v>
      </c>
    </row>
    <row r="333" spans="1:4" x14ac:dyDescent="0.45">
      <c r="A333" t="s">
        <v>1978</v>
      </c>
      <c r="B333" s="21" t="s">
        <v>2753</v>
      </c>
      <c r="C333" s="19" t="str">
        <f t="shared" si="11"/>
        <v>C02909:1</v>
      </c>
      <c r="D333" s="20" t="str">
        <f t="shared" si="12"/>
        <v>C02909 : (2-Naphthyl)methanol</v>
      </c>
    </row>
    <row r="334" spans="1:4" x14ac:dyDescent="0.45">
      <c r="A334" t="s">
        <v>2182</v>
      </c>
      <c r="B334" s="21" t="s">
        <v>2754</v>
      </c>
      <c r="C334" s="19" t="str">
        <f t="shared" si="11"/>
        <v>C02953:1</v>
      </c>
      <c r="D334" s="20" t="str">
        <f t="shared" si="12"/>
        <v>C02953 : 7,8-Dihydrobiopterin</v>
      </c>
    </row>
    <row r="335" spans="1:4" x14ac:dyDescent="0.45">
      <c r="A335" t="s">
        <v>1122</v>
      </c>
      <c r="B335" s="21" t="s">
        <v>2755</v>
      </c>
      <c r="C335" s="19" t="str">
        <f t="shared" si="11"/>
        <v>C02962:1</v>
      </c>
      <c r="D335" s="20" t="str">
        <f t="shared" si="12"/>
        <v>C02962 : D-Allose 6-phosphate</v>
      </c>
    </row>
    <row r="336" spans="1:4" x14ac:dyDescent="0.45">
      <c r="A336" t="s">
        <v>2260</v>
      </c>
      <c r="B336" s="21" t="s">
        <v>2756</v>
      </c>
      <c r="C336" s="19" t="str">
        <f t="shared" si="11"/>
        <v>C02984:1</v>
      </c>
      <c r="D336" s="20" t="str">
        <f t="shared" si="12"/>
        <v>C02984 : L-Aspartyl-tRNA(Asp)</v>
      </c>
    </row>
    <row r="337" spans="1:4" x14ac:dyDescent="0.45">
      <c r="A337" t="s">
        <v>2261</v>
      </c>
      <c r="B337" s="21" t="s">
        <v>2757</v>
      </c>
      <c r="C337" s="19" t="str">
        <f t="shared" si="11"/>
        <v>C02987:1</v>
      </c>
      <c r="D337" s="20" t="str">
        <f t="shared" si="12"/>
        <v>C02987 : L-Glutamyl-tRNA(Glu)</v>
      </c>
    </row>
    <row r="338" spans="1:4" x14ac:dyDescent="0.45">
      <c r="A338" t="s">
        <v>2400</v>
      </c>
      <c r="B338" s="21" t="s">
        <v>2758</v>
      </c>
      <c r="C338" s="19" t="str">
        <f t="shared" si="11"/>
        <v>C02992:1</v>
      </c>
      <c r="D338" s="20" t="str">
        <f t="shared" si="12"/>
        <v>C02992 : L-Threonyl-tRNA(Thr)</v>
      </c>
    </row>
    <row r="339" spans="1:4" x14ac:dyDescent="0.45">
      <c r="A339" t="s">
        <v>2080</v>
      </c>
      <c r="B339" t="s">
        <v>2759</v>
      </c>
      <c r="C339" s="19" t="str">
        <f t="shared" si="11"/>
        <v>C03023:1</v>
      </c>
      <c r="D339" s="20" t="str">
        <f t="shared" si="12"/>
        <v xml:space="preserve">C03023 : Peptide-L-methionine </v>
      </c>
    </row>
    <row r="340" spans="1:4" x14ac:dyDescent="0.45">
      <c r="A340" t="s">
        <v>2216</v>
      </c>
      <c r="B340" t="s">
        <v>2760</v>
      </c>
      <c r="C340" s="19" t="str">
        <f t="shared" si="11"/>
        <v>C03028:1</v>
      </c>
      <c r="D340" s="20" t="str">
        <f t="shared" si="12"/>
        <v xml:space="preserve">C03028 : Thiamine Triphosphate </v>
      </c>
    </row>
    <row r="341" spans="1:4" x14ac:dyDescent="0.45">
      <c r="A341" t="s">
        <v>1955</v>
      </c>
      <c r="B341" s="21" t="s">
        <v>2762</v>
      </c>
      <c r="C341" s="19" t="str">
        <f t="shared" si="11"/>
        <v>C03082:1</v>
      </c>
      <c r="D341" s="20" t="str">
        <f t="shared" si="12"/>
        <v>C03082 : 4-Phospho-L-aspartate</v>
      </c>
    </row>
    <row r="342" spans="1:4" x14ac:dyDescent="0.45">
      <c r="A342" t="s">
        <v>2321</v>
      </c>
      <c r="B342" s="21" t="s">
        <v>2763</v>
      </c>
      <c r="C342" s="19" t="str">
        <f t="shared" si="11"/>
        <v>C03089:1</v>
      </c>
      <c r="D342" s="20" t="str">
        <f t="shared" si="12"/>
        <v>C03089 : 5-Methylthio-D-ribose</v>
      </c>
    </row>
    <row r="343" spans="1:4" x14ac:dyDescent="0.45">
      <c r="A343" t="s">
        <v>2106</v>
      </c>
      <c r="B343" s="21" t="s">
        <v>2764</v>
      </c>
      <c r="C343" s="19" t="str">
        <f t="shared" si="11"/>
        <v>C03090:1</v>
      </c>
      <c r="D343" s="20" t="str">
        <f t="shared" si="12"/>
        <v>C03090 : 5-Phosphoribosylamine</v>
      </c>
    </row>
    <row r="344" spans="1:4" x14ac:dyDescent="0.45">
      <c r="A344" t="s">
        <v>2401</v>
      </c>
      <c r="B344" t="s">
        <v>2765</v>
      </c>
      <c r="C344" s="19" t="str">
        <f t="shared" si="11"/>
        <v>C03125:1</v>
      </c>
      <c r="D344" s="20" t="str">
        <f t="shared" si="12"/>
        <v>C03125 : L-Cysteinyl-tRNA(Cys)</v>
      </c>
    </row>
    <row r="345" spans="1:4" x14ac:dyDescent="0.45">
      <c r="A345" t="s">
        <v>2402</v>
      </c>
      <c r="B345" s="21" t="s">
        <v>2766</v>
      </c>
      <c r="C345" s="19" t="str">
        <f t="shared" si="11"/>
        <v>C03127:1</v>
      </c>
      <c r="D345" s="20" t="str">
        <f t="shared" si="12"/>
        <v>C03127 : L-Isoleucyl-tRNA(Ile)</v>
      </c>
    </row>
    <row r="346" spans="1:4" x14ac:dyDescent="0.45">
      <c r="A346" t="s">
        <v>2231</v>
      </c>
      <c r="B346" s="21" t="s">
        <v>2767</v>
      </c>
      <c r="C346" s="19" t="str">
        <f t="shared" si="11"/>
        <v>C03150:1</v>
      </c>
      <c r="D346" s="20" t="str">
        <f t="shared" si="12"/>
        <v>C03150 : Nicotinamide-beta-riboside</v>
      </c>
    </row>
    <row r="347" spans="1:4" x14ac:dyDescent="0.45">
      <c r="A347" t="s">
        <v>2322</v>
      </c>
      <c r="B347" s="21" t="s">
        <v>2768</v>
      </c>
      <c r="C347" s="19" t="str">
        <f t="shared" si="11"/>
        <v>C03170:1</v>
      </c>
      <c r="D347" s="20" t="str">
        <f t="shared" si="12"/>
        <v>C03170 : Trypanothione disulfide</v>
      </c>
    </row>
    <row r="348" spans="1:4" x14ac:dyDescent="0.45">
      <c r="A348" t="s">
        <v>2081</v>
      </c>
      <c r="B348" s="21" t="s">
        <v>2769</v>
      </c>
      <c r="C348" s="19" t="str">
        <f t="shared" si="11"/>
        <v>C03172:1</v>
      </c>
      <c r="D348" s="20" t="str">
        <f t="shared" si="12"/>
        <v>C03172 : S-Methyl-L-methionine</v>
      </c>
    </row>
    <row r="349" spans="1:4" x14ac:dyDescent="0.45">
      <c r="A349" t="s">
        <v>1098</v>
      </c>
      <c r="B349" s="21" t="s">
        <v>2770</v>
      </c>
      <c r="C349" s="19" t="str">
        <f t="shared" si="11"/>
        <v>C03195:1</v>
      </c>
      <c r="D349" s="20" t="str">
        <f t="shared" si="12"/>
        <v>C03195 : (R)-10-Hydroxystearate</v>
      </c>
    </row>
    <row r="350" spans="1:4" x14ac:dyDescent="0.45">
      <c r="A350" t="s">
        <v>2323</v>
      </c>
      <c r="B350" s="21" t="s">
        <v>2771</v>
      </c>
      <c r="C350" s="19" t="str">
        <f t="shared" si="11"/>
        <v>C03294:1</v>
      </c>
      <c r="D350" s="20" t="str">
        <f t="shared" si="12"/>
        <v>C03294 : N-Formylmethionyl-tRNA</v>
      </c>
    </row>
    <row r="351" spans="1:4" x14ac:dyDescent="0.45">
      <c r="A351" t="s">
        <v>1097</v>
      </c>
      <c r="B351" s="21" t="s">
        <v>2772</v>
      </c>
      <c r="C351" s="19" t="str">
        <f t="shared" si="11"/>
        <v>C03356:1</v>
      </c>
      <c r="D351" s="20" t="str">
        <f t="shared" si="12"/>
        <v>C03356 : 3-Phospho-D-erythronate</v>
      </c>
    </row>
    <row r="352" spans="1:4" x14ac:dyDescent="0.45">
      <c r="A352" t="s">
        <v>2252</v>
      </c>
      <c r="B352" s="21" t="s">
        <v>2773</v>
      </c>
      <c r="C352" s="19" t="str">
        <f t="shared" si="11"/>
        <v>C03373:1</v>
      </c>
      <c r="D352" s="20" t="str">
        <f t="shared" si="12"/>
        <v>C03373 : Aminoimidazole Ribotide</v>
      </c>
    </row>
    <row r="353" spans="1:4" x14ac:dyDescent="0.45">
      <c r="A353" t="s">
        <v>1130</v>
      </c>
      <c r="B353" s="21" t="s">
        <v>2774</v>
      </c>
      <c r="C353" s="19" t="str">
        <f t="shared" si="11"/>
        <v>C03453:1</v>
      </c>
      <c r="D353" s="20" t="str">
        <f t="shared" si="12"/>
        <v>C03453 : gamma-Oxalocrotonate</v>
      </c>
    </row>
    <row r="354" spans="1:4" x14ac:dyDescent="0.45">
      <c r="A354" t="s">
        <v>2324</v>
      </c>
      <c r="B354" s="21" t="s">
        <v>2775</v>
      </c>
      <c r="C354" s="19" t="str">
        <f t="shared" si="11"/>
        <v>C03479:1</v>
      </c>
      <c r="D354" s="20" t="str">
        <f t="shared" si="12"/>
        <v>C03479 : Folinic Acid</v>
      </c>
    </row>
    <row r="355" spans="1:4" x14ac:dyDescent="0.45">
      <c r="A355" t="s">
        <v>2325</v>
      </c>
      <c r="B355" s="21" t="s">
        <v>2776</v>
      </c>
      <c r="C355" s="19" t="str">
        <f t="shared" si="11"/>
        <v>C03492:1</v>
      </c>
      <c r="D355" s="20" t="str">
        <f t="shared" si="12"/>
        <v>C03492 : D-4'-Phosphopantothenate</v>
      </c>
    </row>
    <row r="356" spans="1:4" x14ac:dyDescent="0.45">
      <c r="A356" t="s">
        <v>2403</v>
      </c>
      <c r="B356" s="21" t="s">
        <v>2777</v>
      </c>
      <c r="C356" s="19" t="str">
        <f t="shared" si="11"/>
        <v>C03511:1</v>
      </c>
      <c r="D356" s="20" t="str">
        <f t="shared" si="12"/>
        <v>C03511 : L-Phenylalanyl-tRNA(Phe)</v>
      </c>
    </row>
    <row r="357" spans="1:4" x14ac:dyDescent="0.45">
      <c r="A357" t="s">
        <v>2404</v>
      </c>
      <c r="B357" s="21" t="s">
        <v>2778</v>
      </c>
      <c r="C357" s="19" t="str">
        <f t="shared" si="11"/>
        <v>C03512:1</v>
      </c>
      <c r="D357" s="20" t="str">
        <f t="shared" si="12"/>
        <v>C03512 : L-Tryptophanyl-tRNA(Trp)</v>
      </c>
    </row>
    <row r="358" spans="1:4" x14ac:dyDescent="0.45">
      <c r="A358" t="s">
        <v>2223</v>
      </c>
      <c r="B358" t="s">
        <v>2779</v>
      </c>
      <c r="C358" s="19" t="str">
        <f t="shared" si="11"/>
        <v>C03523:1</v>
      </c>
      <c r="D358" s="20" t="str">
        <f t="shared" si="12"/>
        <v xml:space="preserve">C03523 : N-Substituted amino acid </v>
      </c>
    </row>
    <row r="359" spans="1:4" x14ac:dyDescent="0.45">
      <c r="A359" t="s">
        <v>1102</v>
      </c>
      <c r="B359" s="21" t="s">
        <v>2780</v>
      </c>
      <c r="C359" s="19" t="str">
        <f t="shared" si="11"/>
        <v>C03539:1</v>
      </c>
      <c r="D359" s="20" t="str">
        <f t="shared" si="12"/>
        <v>C03539 : S-Ribosyl-L-homocysteine</v>
      </c>
    </row>
    <row r="360" spans="1:4" x14ac:dyDescent="0.45">
      <c r="A360" t="s">
        <v>2326</v>
      </c>
      <c r="B360" s="21" t="s">
        <v>2781</v>
      </c>
      <c r="C360" s="19" t="str">
        <f t="shared" si="11"/>
        <v>C03617:1</v>
      </c>
      <c r="D360" s="20" t="str">
        <f t="shared" si="12"/>
        <v>C03617 : L-Methionylaminoacyl-tRNA</v>
      </c>
    </row>
    <row r="361" spans="1:4" x14ac:dyDescent="0.45">
      <c r="A361" t="s">
        <v>1118</v>
      </c>
      <c r="B361" s="21" t="s">
        <v>2782</v>
      </c>
      <c r="C361" s="19" t="str">
        <f t="shared" si="11"/>
        <v>C03633:1</v>
      </c>
      <c r="D361" s="20" t="str">
        <f t="shared" si="12"/>
        <v>C03633 : Peptidylproline (omega=0)</v>
      </c>
    </row>
    <row r="362" spans="1:4" x14ac:dyDescent="0.45">
      <c r="A362" t="s">
        <v>2327</v>
      </c>
      <c r="B362" s="21" t="s">
        <v>2783</v>
      </c>
      <c r="C362" s="19" t="str">
        <f t="shared" si="11"/>
        <v>C03688:1</v>
      </c>
      <c r="D362" s="20" t="str">
        <f t="shared" si="12"/>
        <v>C03688 : Apo-[acyl-carrier protein]</v>
      </c>
    </row>
    <row r="363" spans="1:4" x14ac:dyDescent="0.45">
      <c r="A363" t="s">
        <v>2177</v>
      </c>
      <c r="B363" s="21" t="s">
        <v>2784</v>
      </c>
      <c r="C363" s="19" t="str">
        <f t="shared" si="11"/>
        <v>C03723:1</v>
      </c>
      <c r="D363" s="20" t="str">
        <f t="shared" si="12"/>
        <v>C03723 : Ribonucleoside diphosphate</v>
      </c>
    </row>
    <row r="364" spans="1:4" x14ac:dyDescent="0.45">
      <c r="A364" t="s">
        <v>2033</v>
      </c>
      <c r="B364" s="21" t="s">
        <v>2785</v>
      </c>
      <c r="C364" s="19" t="str">
        <f t="shared" si="11"/>
        <v>C03785:1</v>
      </c>
      <c r="D364" s="20" t="str">
        <f t="shared" si="12"/>
        <v>C03785 : D-Tagatose 1,6-bisphosphate</v>
      </c>
    </row>
    <row r="365" spans="1:4" x14ac:dyDescent="0.45">
      <c r="A365" t="s">
        <v>1099</v>
      </c>
      <c r="B365" s="21" t="s">
        <v>2786</v>
      </c>
      <c r="C365" s="19" t="str">
        <f t="shared" si="11"/>
        <v>C03794:1</v>
      </c>
      <c r="D365" s="20" t="str">
        <f t="shared" si="12"/>
        <v>C03794 : N6-(1,2-Dicarboxyethyl)-AMP</v>
      </c>
    </row>
    <row r="366" spans="1:4" x14ac:dyDescent="0.45">
      <c r="A366" t="s">
        <v>1117</v>
      </c>
      <c r="B366" s="21" t="s">
        <v>2787</v>
      </c>
      <c r="C366" s="19" t="str">
        <f t="shared" si="11"/>
        <v>C03798:1</v>
      </c>
      <c r="D366" s="20" t="str">
        <f t="shared" si="12"/>
        <v>C03798 : Peptidylproline (omega=180)</v>
      </c>
    </row>
    <row r="367" spans="1:4" x14ac:dyDescent="0.45">
      <c r="A367" t="s">
        <v>1930</v>
      </c>
      <c r="B367" s="21" t="s">
        <v>2788</v>
      </c>
      <c r="C367" s="19" t="str">
        <f t="shared" si="11"/>
        <v>C03800:1</v>
      </c>
      <c r="D367" s="20" t="str">
        <f t="shared" si="12"/>
        <v>C03800 : Protein S-methyl-L-cysteine</v>
      </c>
    </row>
    <row r="368" spans="1:4" x14ac:dyDescent="0.45">
      <c r="A368" t="s">
        <v>2179</v>
      </c>
      <c r="B368" s="21" t="s">
        <v>2789</v>
      </c>
      <c r="C368" s="19" t="str">
        <f t="shared" si="11"/>
        <v>C03802:1</v>
      </c>
      <c r="D368" s="20" t="str">
        <f t="shared" si="12"/>
        <v>C03802 : Ribonucleoside triphosphate</v>
      </c>
    </row>
    <row r="369" spans="1:4" x14ac:dyDescent="0.45">
      <c r="A369" t="s">
        <v>2328</v>
      </c>
      <c r="B369" s="21" t="s">
        <v>2790</v>
      </c>
      <c r="C369" s="19" t="str">
        <f t="shared" si="11"/>
        <v>C03803:1</v>
      </c>
      <c r="D369" s="20" t="str">
        <f t="shared" si="12"/>
        <v>C03803 : Ribosomal-protein L-alanine</v>
      </c>
    </row>
    <row r="370" spans="1:4" x14ac:dyDescent="0.45">
      <c r="A370" t="s">
        <v>2089</v>
      </c>
      <c r="B370" s="21" t="s">
        <v>2791</v>
      </c>
      <c r="C370" s="19" t="str">
        <f t="shared" si="11"/>
        <v>C03838:1</v>
      </c>
      <c r="D370" s="20" t="str">
        <f t="shared" si="12"/>
        <v>C03838 : 5'-Phosphoribosylglycinamide</v>
      </c>
    </row>
    <row r="371" spans="1:4" x14ac:dyDescent="0.45">
      <c r="A371" t="s">
        <v>2037</v>
      </c>
      <c r="B371" s="21" t="s">
        <v>2792</v>
      </c>
      <c r="C371" s="19" t="str">
        <f t="shared" si="11"/>
        <v>C03880:1</v>
      </c>
      <c r="D371" s="20" t="str">
        <f t="shared" si="12"/>
        <v>C03880 : N-Substituted aminoacyl-tRNA</v>
      </c>
    </row>
    <row r="372" spans="1:4" x14ac:dyDescent="0.45">
      <c r="A372" t="s">
        <v>2329</v>
      </c>
      <c r="B372" s="21" t="s">
        <v>2793</v>
      </c>
      <c r="C372" s="19" t="str">
        <f t="shared" si="11"/>
        <v>C03892:1</v>
      </c>
      <c r="D372" s="20" t="str">
        <f t="shared" si="12"/>
        <v>C03892 : Phosphatidylglycerophosphate</v>
      </c>
    </row>
    <row r="373" spans="1:4" x14ac:dyDescent="0.45">
      <c r="A373" t="s">
        <v>2005</v>
      </c>
      <c r="B373" s="21" t="s">
        <v>2794</v>
      </c>
      <c r="C373" s="19" t="str">
        <f t="shared" si="11"/>
        <v>C03895:1</v>
      </c>
      <c r="D373" s="20" t="str">
        <f t="shared" si="12"/>
        <v>C03895 : Peptide-L-methionine (S)-S-oxide</v>
      </c>
    </row>
    <row r="374" spans="1:4" x14ac:dyDescent="0.45">
      <c r="A374" t="s">
        <v>2059</v>
      </c>
      <c r="B374" s="21" t="s">
        <v>2795</v>
      </c>
      <c r="C374" s="19" t="str">
        <f t="shared" si="11"/>
        <v>C03972:1</v>
      </c>
      <c r="D374" s="20" t="str">
        <f t="shared" si="12"/>
        <v>C03972 : 2,3,4,5-Tetrahydrodipicolinate</v>
      </c>
    </row>
    <row r="375" spans="1:4" x14ac:dyDescent="0.45">
      <c r="A375" t="s">
        <v>2197</v>
      </c>
      <c r="B375" t="s">
        <v>2796</v>
      </c>
      <c r="C375" s="19" t="str">
        <f t="shared" si="11"/>
        <v>C04051:1</v>
      </c>
      <c r="D375" s="20" t="str">
        <f t="shared" si="12"/>
        <v>C04051 : 5-Amino-4-imidazolecarboxyamide</v>
      </c>
    </row>
    <row r="376" spans="1:4" x14ac:dyDescent="0.45">
      <c r="A376" t="s">
        <v>2330</v>
      </c>
      <c r="B376" s="21" t="s">
        <v>2797</v>
      </c>
      <c r="C376" s="19" t="str">
        <f t="shared" si="11"/>
        <v>C04079:1</v>
      </c>
      <c r="D376" s="20" t="str">
        <f t="shared" si="12"/>
        <v>C04079 : N-((R)-Pantothenoyl)-L-cysteine</v>
      </c>
    </row>
    <row r="377" spans="1:4" x14ac:dyDescent="0.45">
      <c r="A377" t="s">
        <v>2185</v>
      </c>
      <c r="B377" s="21" t="s">
        <v>2798</v>
      </c>
      <c r="C377" s="19" t="str">
        <f t="shared" si="11"/>
        <v>C04144:1</v>
      </c>
      <c r="D377" s="20" t="str">
        <f t="shared" si="12"/>
        <v>C04144 : Tetrahydropteroyltri-L-glutamate</v>
      </c>
    </row>
    <row r="378" spans="1:4" x14ac:dyDescent="0.45">
      <c r="A378" t="s">
        <v>2331</v>
      </c>
      <c r="B378" t="s">
        <v>2799</v>
      </c>
      <c r="C378" s="19" t="str">
        <f t="shared" si="11"/>
        <v>C04153:1</v>
      </c>
      <c r="D378" s="20" t="str">
        <f t="shared" si="12"/>
        <v>C04153 : rRNA containing N2-methylguanine</v>
      </c>
    </row>
    <row r="379" spans="1:4" x14ac:dyDescent="0.45">
      <c r="A379" t="s">
        <v>2332</v>
      </c>
      <c r="B379" s="21" t="s">
        <v>2800</v>
      </c>
      <c r="C379" s="19" t="str">
        <f t="shared" si="11"/>
        <v>C04157:1</v>
      </c>
      <c r="D379" s="20" t="str">
        <f t="shared" si="12"/>
        <v>C04157 : tRNA containing N1-methylguanine</v>
      </c>
    </row>
    <row r="380" spans="1:4" x14ac:dyDescent="0.45">
      <c r="A380" t="s">
        <v>2333</v>
      </c>
      <c r="B380" s="21" t="s">
        <v>2801</v>
      </c>
      <c r="C380" s="19" t="str">
        <f t="shared" si="11"/>
        <v>C04160:1</v>
      </c>
      <c r="D380" s="20" t="str">
        <f t="shared" si="12"/>
        <v>C04160 : tRNA containing N7-methylguanine</v>
      </c>
    </row>
    <row r="381" spans="1:4" x14ac:dyDescent="0.45">
      <c r="A381" t="s">
        <v>2334</v>
      </c>
      <c r="B381" s="21" t="s">
        <v>2802</v>
      </c>
      <c r="C381" s="19" t="str">
        <f t="shared" si="11"/>
        <v>C04161:1</v>
      </c>
      <c r="D381" s="20" t="str">
        <f t="shared" si="12"/>
        <v>C04161 : tRNA containing a thionucleotide</v>
      </c>
    </row>
    <row r="382" spans="1:4" x14ac:dyDescent="0.45">
      <c r="A382" t="s">
        <v>2063</v>
      </c>
      <c r="B382" s="21" t="s">
        <v>2803</v>
      </c>
      <c r="C382" s="19" t="str">
        <f t="shared" si="11"/>
        <v>C04232:1</v>
      </c>
      <c r="D382" s="20" t="str">
        <f t="shared" si="12"/>
        <v>C04232 : 2'-Deoxyribonucleoside diphosphate</v>
      </c>
    </row>
    <row r="383" spans="1:4" x14ac:dyDescent="0.45">
      <c r="A383" t="s">
        <v>2040</v>
      </c>
      <c r="B383" s="21" t="s">
        <v>2804</v>
      </c>
      <c r="C383" s="19" t="str">
        <f t="shared" si="11"/>
        <v>C04242:1</v>
      </c>
      <c r="D383" s="20" t="str">
        <f t="shared" si="12"/>
        <v>C04242 : 5-Fluorodeoxyuridine monophosphate</v>
      </c>
    </row>
    <row r="384" spans="1:4" x14ac:dyDescent="0.45">
      <c r="A384" t="s">
        <v>2085</v>
      </c>
      <c r="B384" s="21" t="s">
        <v>2805</v>
      </c>
      <c r="C384" s="19" t="str">
        <f t="shared" si="11"/>
        <v>C04250:1</v>
      </c>
      <c r="D384" s="20" t="str">
        <f t="shared" si="12"/>
        <v>C04250 : DNA containing 6-O-methylguanine</v>
      </c>
    </row>
    <row r="385" spans="1:4" x14ac:dyDescent="0.45">
      <c r="A385" t="s">
        <v>2142</v>
      </c>
      <c r="B385" s="21" t="s">
        <v>2806</v>
      </c>
      <c r="C385" s="19" t="str">
        <f t="shared" si="11"/>
        <v>C04258:1</v>
      </c>
      <c r="D385" s="20" t="str">
        <f t="shared" si="12"/>
        <v>C04258 : N-Formyl-L-methionylaminoacyl-tRNA</v>
      </c>
    </row>
    <row r="386" spans="1:4" x14ac:dyDescent="0.45">
      <c r="A386" t="s">
        <v>2405</v>
      </c>
      <c r="B386" s="21" t="s">
        <v>2807</v>
      </c>
      <c r="C386" s="19" t="str">
        <f t="shared" si="11"/>
        <v>C04260:1</v>
      </c>
      <c r="D386" s="20" t="str">
        <f t="shared" si="12"/>
        <v>C04260 : O-D-Alanyl-poly(ribitol phosphate)</v>
      </c>
    </row>
    <row r="387" spans="1:4" x14ac:dyDescent="0.45">
      <c r="A387" t="s">
        <v>2335</v>
      </c>
      <c r="B387" s="21" t="s">
        <v>2808</v>
      </c>
      <c r="C387" s="19" t="str">
        <f t="shared" ref="C387:C450" si="13">CONCATENATE(A387,":","1")</f>
        <v>C04261:1</v>
      </c>
      <c r="D387" s="20" t="str">
        <f t="shared" ref="D387:D450" si="14">CONCATENATE(A387," : ",B387)</f>
        <v>C04261 : Protein N(pi)-phospho-L-histidine</v>
      </c>
    </row>
    <row r="388" spans="1:4" x14ac:dyDescent="0.45">
      <c r="A388" t="s">
        <v>2406</v>
      </c>
      <c r="B388" s="21" t="s">
        <v>2809</v>
      </c>
      <c r="C388" s="19" t="str">
        <f t="shared" si="13"/>
        <v>C04298:1</v>
      </c>
      <c r="D388" s="20" t="str">
        <f t="shared" si="14"/>
        <v>C04298 : Holo-[citrate (pro-3S)-lyase]</v>
      </c>
    </row>
    <row r="389" spans="1:4" x14ac:dyDescent="0.45">
      <c r="A389" t="s">
        <v>2254</v>
      </c>
      <c r="B389" s="21" t="s">
        <v>2810</v>
      </c>
      <c r="C389" s="19" t="str">
        <f t="shared" si="13"/>
        <v>C04309:1</v>
      </c>
      <c r="D389" s="20" t="str">
        <f t="shared" si="14"/>
        <v>C04309 : Phosphoenol-4-deoxy-3-tetrulosonate</v>
      </c>
    </row>
    <row r="390" spans="1:4" x14ac:dyDescent="0.45">
      <c r="A390" t="s">
        <v>2407</v>
      </c>
      <c r="B390" s="21" t="s">
        <v>2811</v>
      </c>
      <c r="C390" s="19" t="str">
        <f t="shared" si="13"/>
        <v>C04334:1</v>
      </c>
      <c r="D390" s="20" t="str">
        <f t="shared" si="14"/>
        <v>C04334 : Acetyl-[citrate (pro-3S)-lyase]</v>
      </c>
    </row>
    <row r="391" spans="1:4" x14ac:dyDescent="0.45">
      <c r="A391" t="s">
        <v>2336</v>
      </c>
      <c r="B391" s="21" t="s">
        <v>2812</v>
      </c>
      <c r="C391" s="19" t="str">
        <f t="shared" si="13"/>
        <v>C04341:1</v>
      </c>
      <c r="D391" s="20" t="str">
        <f t="shared" si="14"/>
        <v>C04341 : Ribosomal-protein N-acetyl-L-alanine</v>
      </c>
    </row>
    <row r="392" spans="1:4" x14ac:dyDescent="0.45">
      <c r="A392" t="s">
        <v>1092</v>
      </c>
      <c r="B392" s="21" t="s">
        <v>2813</v>
      </c>
      <c r="C392" s="19" t="str">
        <f t="shared" si="13"/>
        <v>C04352:1</v>
      </c>
      <c r="D392" s="20" t="str">
        <f t="shared" si="14"/>
        <v>C04352 : ( R )- 4' - Phosphopantothenoyl -L-cysteine</v>
      </c>
    </row>
    <row r="393" spans="1:4" x14ac:dyDescent="0.45">
      <c r="A393" t="s">
        <v>1959</v>
      </c>
      <c r="B393" s="21" t="s">
        <v>2814</v>
      </c>
      <c r="C393" s="19" t="str">
        <f t="shared" si="13"/>
        <v>C04376:1</v>
      </c>
      <c r="D393" s="20" t="str">
        <f t="shared" si="14"/>
        <v>C04376 : 5'-Phosphoribosyl-N-formylglycinamide</v>
      </c>
    </row>
    <row r="394" spans="1:4" x14ac:dyDescent="0.45">
      <c r="A394" t="s">
        <v>2007</v>
      </c>
      <c r="B394" s="21" t="s">
        <v>2815</v>
      </c>
      <c r="C394" s="19" t="str">
        <f t="shared" si="13"/>
        <v>C04377:1</v>
      </c>
      <c r="D394" s="20" t="str">
        <f t="shared" si="14"/>
        <v>C04377 : 5,10-Methylenetetrahydromenthanopterin</v>
      </c>
    </row>
    <row r="395" spans="1:4" x14ac:dyDescent="0.45">
      <c r="A395" t="s">
        <v>2337</v>
      </c>
      <c r="B395" s="21" t="s">
        <v>2816</v>
      </c>
      <c r="C395" s="19" t="str">
        <f t="shared" si="13"/>
        <v>C04432:1</v>
      </c>
      <c r="D395" s="20" t="str">
        <f t="shared" si="14"/>
        <v>C04432 : tRNA containing 6-isopentenyladenosine</v>
      </c>
    </row>
    <row r="396" spans="1:4" x14ac:dyDescent="0.45">
      <c r="A396" t="s">
        <v>2001</v>
      </c>
      <c r="B396" s="21" t="s">
        <v>2817</v>
      </c>
      <c r="C396" s="19" t="str">
        <f t="shared" si="13"/>
        <v>C04483:1</v>
      </c>
      <c r="D396" s="20" t="str">
        <f t="shared" si="14"/>
        <v>C04483 : Deoxycholic acid</v>
      </c>
    </row>
    <row r="397" spans="1:4" x14ac:dyDescent="0.45">
      <c r="A397" t="s">
        <v>2082</v>
      </c>
      <c r="B397" s="21" t="s">
        <v>2818</v>
      </c>
      <c r="C397" s="19" t="str">
        <f t="shared" si="13"/>
        <v>C04489:1</v>
      </c>
      <c r="D397" s="20" t="str">
        <f t="shared" si="14"/>
        <v>C04489 : 5-Methyltetrahydropteroyltri-L-glutamate</v>
      </c>
    </row>
    <row r="398" spans="1:4" x14ac:dyDescent="0.45">
      <c r="A398" t="s">
        <v>2338</v>
      </c>
      <c r="B398" t="s">
        <v>2819</v>
      </c>
      <c r="C398" s="19" t="str">
        <f t="shared" si="13"/>
        <v>C04501:1</v>
      </c>
      <c r="D398" s="20" t="str">
        <f t="shared" si="14"/>
        <v>C04501 : N-Acetyl-alpha-D-glucosamine 1-phosphate</v>
      </c>
    </row>
    <row r="399" spans="1:4" x14ac:dyDescent="0.45">
      <c r="A399" t="s">
        <v>2129</v>
      </c>
      <c r="B399" s="21" t="s">
        <v>2820</v>
      </c>
      <c r="C399" s="19" t="str">
        <f t="shared" si="13"/>
        <v>C04534:1</v>
      </c>
      <c r="D399" s="20" t="str">
        <f t="shared" si="14"/>
        <v>C04534 : 6-Phospho-beta-D-glucosyl-(1,4)-D-glucose</v>
      </c>
    </row>
    <row r="400" spans="1:4" x14ac:dyDescent="0.45">
      <c r="A400" t="s">
        <v>2339</v>
      </c>
      <c r="B400" s="21" t="s">
        <v>2821</v>
      </c>
      <c r="C400" s="19" t="str">
        <f t="shared" si="13"/>
        <v>C04556:1</v>
      </c>
      <c r="D400" s="20" t="str">
        <f t="shared" si="14"/>
        <v>C04556 : 4-Amino-2-methyl-5-(phosphooxymethyl)pyrimidine</v>
      </c>
    </row>
    <row r="401" spans="1:4" x14ac:dyDescent="0.45">
      <c r="A401" t="s">
        <v>2203</v>
      </c>
      <c r="B401" s="21" t="s">
        <v>2822</v>
      </c>
      <c r="C401" s="19" t="str">
        <f t="shared" si="13"/>
        <v>C04574:1</v>
      </c>
      <c r="D401" s="20" t="str">
        <f t="shared" si="14"/>
        <v>C04574 : di-trans,poly-cis-Undecaprenyl diphosphate</v>
      </c>
    </row>
    <row r="402" spans="1:4" x14ac:dyDescent="0.45">
      <c r="A402" t="s">
        <v>1956</v>
      </c>
      <c r="B402" s="21" t="s">
        <v>2823</v>
      </c>
      <c r="C402" s="19" t="str">
        <f t="shared" si="13"/>
        <v>C04631:1</v>
      </c>
      <c r="D402" s="20" t="str">
        <f t="shared" si="14"/>
        <v>C04631 : UDP-N-acetyl-3-(1-carboxyvinyl)-D-glucosamine</v>
      </c>
    </row>
    <row r="403" spans="1:4" x14ac:dyDescent="0.45">
      <c r="A403" t="s">
        <v>2340</v>
      </c>
      <c r="B403" s="21" t="s">
        <v>2824</v>
      </c>
      <c r="C403" s="19" t="str">
        <f t="shared" si="13"/>
        <v>C04640:1</v>
      </c>
      <c r="D403" s="20" t="str">
        <f t="shared" si="14"/>
        <v>C04640 : 2-(Formamido)-N1-(5'-phosphoribosyl)acetamidine</v>
      </c>
    </row>
    <row r="404" spans="1:4" x14ac:dyDescent="0.45">
      <c r="A404" t="s">
        <v>2199</v>
      </c>
      <c r="B404" s="21" t="s">
        <v>2825</v>
      </c>
      <c r="C404" s="19" t="str">
        <f t="shared" si="13"/>
        <v>C04646:1</v>
      </c>
      <c r="D404" s="20" t="str">
        <f t="shared" si="14"/>
        <v>C04646 : 6-Thioinosine-5'-monophosphate</v>
      </c>
    </row>
    <row r="405" spans="1:4" x14ac:dyDescent="0.45">
      <c r="A405" t="s">
        <v>2107</v>
      </c>
      <c r="B405" s="21" t="s">
        <v>2826</v>
      </c>
      <c r="C405" s="19" t="str">
        <f t="shared" si="13"/>
        <v>C04677:1</v>
      </c>
      <c r="D405" s="20" t="str">
        <f t="shared" si="14"/>
        <v>C04677 : 1-(5'-Phosphoribosyl)-5-amino-4-imidazolecarboxamide</v>
      </c>
    </row>
    <row r="406" spans="1:4" x14ac:dyDescent="0.45">
      <c r="A406" t="s">
        <v>1935</v>
      </c>
      <c r="B406" s="21" t="s">
        <v>2827</v>
      </c>
      <c r="C406" s="19" t="str">
        <f t="shared" si="13"/>
        <v>C04702:1</v>
      </c>
      <c r="D406" s="20" t="str">
        <f t="shared" si="14"/>
        <v>C04702 : UDPMurNAc(oyl-L-Ala-D-gamma-Glu-L-Lys-D-Ala-D-Ala)</v>
      </c>
    </row>
    <row r="407" spans="1:4" x14ac:dyDescent="0.45">
      <c r="A407" t="s">
        <v>1071</v>
      </c>
      <c r="B407" s="21" t="s">
        <v>2828</v>
      </c>
      <c r="C407" s="19" t="str">
        <f t="shared" si="13"/>
        <v>C04734:1</v>
      </c>
      <c r="D407" s="20" t="str">
        <f t="shared" si="14"/>
        <v>C04734 : 1-(5'-Phosphoribosyl)-5-formamido-4-imidazolecarboxamide</v>
      </c>
    </row>
    <row r="408" spans="1:4" ht="28.5" x14ac:dyDescent="0.45">
      <c r="A408" t="s">
        <v>1089</v>
      </c>
      <c r="B408" s="13" t="s">
        <v>2829</v>
      </c>
      <c r="C408" s="19" t="str">
        <f t="shared" si="13"/>
        <v>C04751:1</v>
      </c>
      <c r="D408" s="20" t="str">
        <f t="shared" si="14"/>
        <v>C04751 : 1-(5-Phospho-D-ribosyl)-5-amino-4-imidazolecarboxylate</v>
      </c>
    </row>
    <row r="409" spans="1:4" x14ac:dyDescent="0.45">
      <c r="A409" t="s">
        <v>2341</v>
      </c>
      <c r="B409" s="21" t="s">
        <v>2830</v>
      </c>
      <c r="C409" s="19" t="str">
        <f t="shared" si="13"/>
        <v>C04752:1</v>
      </c>
      <c r="D409" s="20" t="str">
        <f t="shared" si="14"/>
        <v>C04752 : 4-Amino-5-hydroxymethyl-2-methylpyrimidine diphosphate</v>
      </c>
    </row>
    <row r="410" spans="1:4" x14ac:dyDescent="0.45">
      <c r="A410" t="s">
        <v>2025</v>
      </c>
      <c r="B410" s="21" t="s">
        <v>2831</v>
      </c>
      <c r="C410" s="19" t="str">
        <f t="shared" si="13"/>
        <v>C04756:1</v>
      </c>
      <c r="D410" s="20" t="str">
        <f t="shared" si="14"/>
        <v>C04756 : O-1-Alk-1-enyl-2-acyl-sn-glycero-3-phosphoethanolamine</v>
      </c>
    </row>
    <row r="411" spans="1:4" x14ac:dyDescent="0.45">
      <c r="A411" t="s">
        <v>1100</v>
      </c>
      <c r="B411" s="21" t="s">
        <v>2832</v>
      </c>
      <c r="C411" s="19" t="str">
        <f t="shared" si="13"/>
        <v>C04823:1</v>
      </c>
      <c r="D411" s="20" t="str">
        <f t="shared" si="14"/>
        <v>C04823 : 1-(5'-Phosphoribosyl)-5-amino-4-(N-succinocarboxamide)-imidazole</v>
      </c>
    </row>
    <row r="412" spans="1:4" x14ac:dyDescent="0.45">
      <c r="A412" t="s">
        <v>2102</v>
      </c>
      <c r="B412" s="21" t="s">
        <v>2833</v>
      </c>
      <c r="C412" s="19" t="str">
        <f t="shared" si="13"/>
        <v>C04851:1</v>
      </c>
      <c r="D412" s="20" t="str">
        <f t="shared" si="14"/>
        <v>C04851 : MurAc(oyl-L-Ala-D-gamma-Glu-L-Lys-D-Ala-D-Ala)-diphospho-undecaprenol</v>
      </c>
    </row>
    <row r="413" spans="1:4" x14ac:dyDescent="0.45">
      <c r="A413" t="s">
        <v>2342</v>
      </c>
      <c r="B413" s="21" t="s">
        <v>2834</v>
      </c>
      <c r="C413" s="19" t="str">
        <f t="shared" si="13"/>
        <v>C04877:1</v>
      </c>
      <c r="D413" s="20" t="str">
        <f t="shared" si="14"/>
        <v>C04877 : UDP-N-acetylmuramoyl-L-alanyl-gamma-D-glutamyl-meso-2,6-diaminopimelate</v>
      </c>
    </row>
    <row r="414" spans="1:4" x14ac:dyDescent="0.45">
      <c r="A414" t="s">
        <v>2026</v>
      </c>
      <c r="B414" s="21" t="s">
        <v>2835</v>
      </c>
      <c r="C414" s="19" t="str">
        <f t="shared" si="13"/>
        <v>C04882:1</v>
      </c>
      <c r="D414" s="20" t="str">
        <f t="shared" si="14"/>
        <v xml:space="preserve">C04882 : UDP-N-acetylmuramoyl-L-alanyl-D-glutamyl-6-carboxyl-L-lysyl-D-alanyl-D-alanine </v>
      </c>
    </row>
    <row r="415" spans="1:4" x14ac:dyDescent="0.45">
      <c r="A415" t="s">
        <v>2137</v>
      </c>
      <c r="B415" s="21" t="s">
        <v>2836</v>
      </c>
      <c r="C415" s="19" t="str">
        <f t="shared" si="13"/>
        <v>C05122:1</v>
      </c>
      <c r="D415" s="20" t="str">
        <f t="shared" si="14"/>
        <v>C05122 : Taurocholate</v>
      </c>
    </row>
    <row r="416" spans="1:4" x14ac:dyDescent="0.45">
      <c r="A416" t="s">
        <v>2132</v>
      </c>
      <c r="B416" s="21" t="s">
        <v>2837</v>
      </c>
      <c r="C416" s="19" t="str">
        <f t="shared" si="13"/>
        <v>C05198:1</v>
      </c>
      <c r="D416" s="20" t="str">
        <f t="shared" si="14"/>
        <v>C05198 : 5'-Deoxyadenosine</v>
      </c>
    </row>
    <row r="417" spans="1:4" x14ac:dyDescent="0.45">
      <c r="A417" t="s">
        <v>2186</v>
      </c>
      <c r="B417" s="21" t="s">
        <v>2838</v>
      </c>
      <c r="C417" s="19" t="str">
        <f t="shared" si="13"/>
        <v>C05335:1</v>
      </c>
      <c r="D417" s="20" t="str">
        <f t="shared" si="14"/>
        <v>C05335 : L-Selenomethionine</v>
      </c>
    </row>
    <row r="418" spans="1:4" x14ac:dyDescent="0.45">
      <c r="A418" t="s">
        <v>2408</v>
      </c>
      <c r="B418" s="21" t="s">
        <v>2839</v>
      </c>
      <c r="C418" s="19" t="str">
        <f t="shared" si="13"/>
        <v>C05336:1</v>
      </c>
      <c r="D418" s="20" t="str">
        <f t="shared" si="14"/>
        <v>C05336 : Selenomethionyl-tRNA(Met)</v>
      </c>
    </row>
    <row r="419" spans="1:4" x14ac:dyDescent="0.45">
      <c r="A419" t="s">
        <v>1125</v>
      </c>
      <c r="B419" s="21" t="s">
        <v>2840</v>
      </c>
      <c r="C419" s="19" t="str">
        <f t="shared" si="13"/>
        <v>C05345:1</v>
      </c>
      <c r="D419" s="20" t="str">
        <f t="shared" si="14"/>
        <v>C05345 : beta-D-Fructose 6-phosphate</v>
      </c>
    </row>
    <row r="420" spans="1:4" x14ac:dyDescent="0.45">
      <c r="A420" t="s">
        <v>2343</v>
      </c>
      <c r="B420" s="21" t="s">
        <v>2841</v>
      </c>
      <c r="C420" s="19" t="str">
        <f t="shared" si="13"/>
        <v>C05378:1</v>
      </c>
      <c r="D420" s="20" t="str">
        <f t="shared" si="14"/>
        <v>C05378 : beta-D-Fructose 1,6-bisphosphate</v>
      </c>
    </row>
    <row r="421" spans="1:4" x14ac:dyDescent="0.45">
      <c r="A421" t="s">
        <v>2344</v>
      </c>
      <c r="B421" s="21" t="s">
        <v>2842</v>
      </c>
      <c r="C421" s="19" t="str">
        <f t="shared" si="13"/>
        <v>C05382:1</v>
      </c>
      <c r="D421" s="20" t="str">
        <f t="shared" si="14"/>
        <v>C05382 : Sedoheptulose 7-phosphate</v>
      </c>
    </row>
    <row r="422" spans="1:4" x14ac:dyDescent="0.45">
      <c r="A422" t="s">
        <v>2240</v>
      </c>
      <c r="B422" s="21" t="s">
        <v>2843</v>
      </c>
      <c r="C422" s="19" t="str">
        <f t="shared" si="13"/>
        <v>C05402:1</v>
      </c>
      <c r="D422" s="20" t="str">
        <f t="shared" si="14"/>
        <v>C05402 : Melibiose</v>
      </c>
    </row>
    <row r="423" spans="1:4" x14ac:dyDescent="0.45">
      <c r="A423" t="s">
        <v>2241</v>
      </c>
      <c r="B423" s="21" t="s">
        <v>2844</v>
      </c>
      <c r="C423" s="19" t="str">
        <f t="shared" si="13"/>
        <v>C05404:1</v>
      </c>
      <c r="D423" s="20" t="str">
        <f t="shared" si="14"/>
        <v>C05404 : D-Gal alpha 1-&gt;6D-Gal alpha 1-&gt;6D-Glucose</v>
      </c>
    </row>
    <row r="424" spans="1:4" x14ac:dyDescent="0.45">
      <c r="A424" t="s">
        <v>1979</v>
      </c>
      <c r="B424" s="21" t="s">
        <v>2845</v>
      </c>
      <c r="C424" s="19" t="str">
        <f t="shared" si="13"/>
        <v>C05444:1</v>
      </c>
      <c r="D424" s="20" t="str">
        <f t="shared" si="14"/>
        <v>C05444 : 3alpha,7alpha,26-Trihydroxy-5beta-cholestane</v>
      </c>
    </row>
    <row r="425" spans="1:4" x14ac:dyDescent="0.45">
      <c r="A425" t="s">
        <v>2161</v>
      </c>
      <c r="B425" s="21" t="s">
        <v>2846</v>
      </c>
      <c r="C425" s="19" t="str">
        <f t="shared" si="13"/>
        <v>C05445:1</v>
      </c>
      <c r="D425" s="20" t="str">
        <f t="shared" si="14"/>
        <v>C05445 : 3alpha,7alpha-Dihydroxy-5beta-cholestan-26-al</v>
      </c>
    </row>
    <row r="426" spans="1:4" x14ac:dyDescent="0.45">
      <c r="A426" t="s">
        <v>2138</v>
      </c>
      <c r="B426" s="21" t="s">
        <v>2847</v>
      </c>
      <c r="C426" s="19" t="str">
        <f t="shared" si="13"/>
        <v>C05463:1</v>
      </c>
      <c r="D426" s="20" t="str">
        <f t="shared" si="14"/>
        <v>C05463 : Taurodeoxycholate</v>
      </c>
    </row>
    <row r="427" spans="1:4" x14ac:dyDescent="0.45">
      <c r="A427" t="s">
        <v>1927</v>
      </c>
      <c r="B427" s="21" t="s">
        <v>2848</v>
      </c>
      <c r="C427" s="19" t="str">
        <f t="shared" si="13"/>
        <v>C05464:1</v>
      </c>
      <c r="D427" s="20" t="str">
        <f t="shared" si="14"/>
        <v>C05464 : Glycodeoxycholate</v>
      </c>
    </row>
    <row r="428" spans="1:4" x14ac:dyDescent="0.45">
      <c r="A428" t="s">
        <v>1938</v>
      </c>
      <c r="B428" s="21" t="s">
        <v>2849</v>
      </c>
      <c r="C428" s="19" t="str">
        <f t="shared" si="13"/>
        <v>C05465:1</v>
      </c>
      <c r="D428" s="20" t="str">
        <f t="shared" si="14"/>
        <v>C05465 : Taurochenodeoxycholate</v>
      </c>
    </row>
    <row r="429" spans="1:4" x14ac:dyDescent="0.45">
      <c r="A429" t="s">
        <v>2139</v>
      </c>
      <c r="B429" s="21" t="s">
        <v>2850</v>
      </c>
      <c r="C429" s="19" t="str">
        <f t="shared" si="13"/>
        <v>C05466:1</v>
      </c>
      <c r="D429" s="20" t="str">
        <f t="shared" si="14"/>
        <v>C05466 : Glycochenodeoxycholate</v>
      </c>
    </row>
    <row r="430" spans="1:4" x14ac:dyDescent="0.45">
      <c r="A430" t="s">
        <v>2235</v>
      </c>
      <c r="B430" s="21" t="s">
        <v>2851</v>
      </c>
      <c r="C430" s="19" t="str">
        <f t="shared" si="13"/>
        <v>C05512:1</v>
      </c>
      <c r="D430" s="20" t="str">
        <f t="shared" si="14"/>
        <v>C05512 : Deoxyinosine</v>
      </c>
    </row>
    <row r="431" spans="1:4" x14ac:dyDescent="0.45">
      <c r="A431" t="s">
        <v>2002</v>
      </c>
      <c r="B431" s="21" t="s">
        <v>2852</v>
      </c>
      <c r="C431" s="19" t="str">
        <f t="shared" si="13"/>
        <v>C05526:1</v>
      </c>
      <c r="D431" s="20" t="str">
        <f t="shared" si="14"/>
        <v>C05526 : S-Glutathionyl-L-cysteine</v>
      </c>
    </row>
    <row r="432" spans="1:4" x14ac:dyDescent="0.45">
      <c r="A432" t="s">
        <v>2209</v>
      </c>
      <c r="B432" s="21" t="s">
        <v>2853</v>
      </c>
      <c r="C432" s="19" t="str">
        <f t="shared" si="13"/>
        <v>C05527:1</v>
      </c>
      <c r="D432" s="20" t="str">
        <f t="shared" si="14"/>
        <v>C05527 : 3-Sulfinylpyruvate</v>
      </c>
    </row>
    <row r="433" spans="1:7" x14ac:dyDescent="0.45">
      <c r="A433" t="s">
        <v>2208</v>
      </c>
      <c r="B433" s="21" t="s">
        <v>2854</v>
      </c>
      <c r="C433" s="19" t="str">
        <f t="shared" si="13"/>
        <v>C05528:1</v>
      </c>
      <c r="D433" s="20" t="str">
        <f t="shared" si="14"/>
        <v>C05528 : 3-Sulfopyruvate</v>
      </c>
    </row>
    <row r="434" spans="1:7" x14ac:dyDescent="0.45">
      <c r="A434" t="s">
        <v>1949</v>
      </c>
      <c r="B434" s="21" t="s">
        <v>2855</v>
      </c>
      <c r="C434" s="19" t="str">
        <f t="shared" si="13"/>
        <v>C05576:1</v>
      </c>
      <c r="D434" s="20" t="str">
        <f t="shared" si="14"/>
        <v>C05576 : 3,4-Dihydroxyphenylethyleneglycol</v>
      </c>
    </row>
    <row r="435" spans="1:7" x14ac:dyDescent="0.45">
      <c r="A435" t="s">
        <v>2162</v>
      </c>
      <c r="B435" s="21" t="s">
        <v>2856</v>
      </c>
      <c r="C435" s="19" t="str">
        <f t="shared" si="13"/>
        <v>C05577:1</v>
      </c>
      <c r="D435" s="20" t="str">
        <f t="shared" si="14"/>
        <v>C05577 : 3,4-Dihydroxymandelaldehyde</v>
      </c>
    </row>
    <row r="436" spans="1:7" x14ac:dyDescent="0.45">
      <c r="A436" t="s">
        <v>1933</v>
      </c>
      <c r="B436" s="21" t="s">
        <v>2857</v>
      </c>
      <c r="C436" s="19" t="str">
        <f t="shared" si="13"/>
        <v>C05684:1</v>
      </c>
      <c r="D436" s="20" t="str">
        <f t="shared" si="14"/>
        <v>C05684 : Selenite</v>
      </c>
    </row>
    <row r="437" spans="1:7" x14ac:dyDescent="0.45">
      <c r="A437" t="s">
        <v>2204</v>
      </c>
      <c r="B437" s="21" t="s">
        <v>2858</v>
      </c>
      <c r="C437" s="19" t="str">
        <f t="shared" si="13"/>
        <v>C05688:1</v>
      </c>
      <c r="D437" s="20" t="str">
        <f t="shared" si="14"/>
        <v>C05688 : L-Selenocysteine</v>
      </c>
    </row>
    <row r="438" spans="1:7" x14ac:dyDescent="0.45">
      <c r="A438" t="s">
        <v>2409</v>
      </c>
      <c r="B438" s="21" t="s">
        <v>2859</v>
      </c>
      <c r="C438" s="19" t="str">
        <f t="shared" si="13"/>
        <v>C05691:1</v>
      </c>
      <c r="D438" s="20" t="str">
        <f t="shared" si="14"/>
        <v>C05691 : Se-Adenosylselenomethionine</v>
      </c>
      <c r="G438" s="15"/>
    </row>
    <row r="439" spans="1:7" x14ac:dyDescent="0.45">
      <c r="A439" t="s">
        <v>2083</v>
      </c>
      <c r="B439" s="21" t="s">
        <v>2860</v>
      </c>
      <c r="C439" s="19" t="str">
        <f t="shared" si="13"/>
        <v>C05698:1</v>
      </c>
      <c r="D439" s="20" t="str">
        <f t="shared" si="14"/>
        <v>C05698 : Selenohomocysteine</v>
      </c>
    </row>
    <row r="440" spans="1:7" x14ac:dyDescent="0.45">
      <c r="A440" t="s">
        <v>2410</v>
      </c>
      <c r="B440" s="21" t="s">
        <v>2861</v>
      </c>
      <c r="C440" s="19" t="str">
        <f t="shared" si="13"/>
        <v>C05703:1</v>
      </c>
      <c r="D440" s="20" t="str">
        <f t="shared" si="14"/>
        <v>C05703 : Methaneselenol</v>
      </c>
    </row>
    <row r="441" spans="1:7" x14ac:dyDescent="0.45">
      <c r="A441" t="s">
        <v>2052</v>
      </c>
      <c r="B441" s="21" t="s">
        <v>2862</v>
      </c>
      <c r="C441" s="19" t="str">
        <f t="shared" si="13"/>
        <v>C05823:1</v>
      </c>
      <c r="D441" s="20" t="str">
        <f t="shared" si="14"/>
        <v>C05823 : 3-Mercaptolactate</v>
      </c>
    </row>
    <row r="442" spans="1:7" x14ac:dyDescent="0.45">
      <c r="A442" t="s">
        <v>2233</v>
      </c>
      <c r="B442" s="21" t="s">
        <v>2863</v>
      </c>
      <c r="C442" s="19" t="str">
        <f t="shared" si="13"/>
        <v>C05841:1</v>
      </c>
      <c r="D442" s="20" t="str">
        <f t="shared" si="14"/>
        <v>C05841 : Nicotinate D-ribonucleoside</v>
      </c>
    </row>
    <row r="443" spans="1:7" x14ac:dyDescent="0.45">
      <c r="A443" t="s">
        <v>2345</v>
      </c>
      <c r="B443" s="21" t="s">
        <v>2864</v>
      </c>
      <c r="C443" s="19" t="str">
        <f t="shared" si="13"/>
        <v>C05892:1</v>
      </c>
      <c r="D443" s="20" t="str">
        <f t="shared" si="14"/>
        <v>C05892 : UDP-N-acetylmuramoyl-L-alanyl-gamma-D-glutamyl-L-lysine</v>
      </c>
    </row>
    <row r="444" spans="1:7" x14ac:dyDescent="0.45">
      <c r="A444" t="s">
        <v>2003</v>
      </c>
      <c r="B444" s="21" t="s">
        <v>2865</v>
      </c>
      <c r="C444" s="19" t="str">
        <f t="shared" si="13"/>
        <v>C05893:1</v>
      </c>
      <c r="D444" s="20" t="str">
        <f t="shared" si="14"/>
        <v>C05893 : Undecaprenyl-diphospho-N-acetylmuramoyl-(N-acetylglucosamine)-L-alanyl-gamma-D-glutamyl-L-lysyl-D-alanyl-D-alanine</v>
      </c>
    </row>
    <row r="445" spans="1:7" x14ac:dyDescent="0.45">
      <c r="A445" t="s">
        <v>1963</v>
      </c>
      <c r="B445" s="21" t="s">
        <v>2866</v>
      </c>
      <c r="C445" s="19" t="str">
        <f t="shared" si="13"/>
        <v>C05897:1</v>
      </c>
      <c r="D445" s="20" t="str">
        <f t="shared" si="14"/>
        <v>C05897 : Undecaprenyl-diphospho-N-acetylmuramoyl-L-alanyl-D-glutamyl-meso-2,6-diaminopimeloyl-D-alanyl-D-alanine</v>
      </c>
    </row>
    <row r="446" spans="1:7" x14ac:dyDescent="0.45">
      <c r="A446" t="s">
        <v>2111</v>
      </c>
      <c r="B446" s="21" t="s">
        <v>2867</v>
      </c>
      <c r="C446" s="19" t="str">
        <f t="shared" si="13"/>
        <v>C05898:1</v>
      </c>
      <c r="D446" s="20" t="str">
        <f t="shared" si="14"/>
        <v>C05898 : Undecaprenyl-diphospho-N-acetylmuramoyl-(N-acetylglucosamine)-L-alanyl-D-glutamyl-meso-2,6-diaminopimeloyl-D-alanyl-D-alanine</v>
      </c>
    </row>
    <row r="447" spans="1:7" x14ac:dyDescent="0.45">
      <c r="A447" t="s">
        <v>2210</v>
      </c>
      <c r="B447" s="21" t="s">
        <v>2868</v>
      </c>
      <c r="C447" s="19" t="str">
        <f t="shared" si="13"/>
        <v>C05946:1</v>
      </c>
      <c r="D447" s="20" t="str">
        <f t="shared" si="14"/>
        <v>C05946 : (4R)-4-Hydroxy-2-oxoglutarate</v>
      </c>
    </row>
    <row r="448" spans="1:7" x14ac:dyDescent="0.45">
      <c r="A448" t="s">
        <v>1980</v>
      </c>
      <c r="B448" s="21" t="s">
        <v>2869</v>
      </c>
      <c r="C448" s="19" t="str">
        <f t="shared" si="13"/>
        <v>C05947:1</v>
      </c>
      <c r="D448" s="20" t="str">
        <f t="shared" si="14"/>
        <v>C05947 : L-erythro-4-Hydroxyglutamate</v>
      </c>
    </row>
    <row r="449" spans="1:4" x14ac:dyDescent="0.45">
      <c r="A449" t="s">
        <v>2053</v>
      </c>
      <c r="B449" s="21" t="s">
        <v>2870</v>
      </c>
      <c r="C449" s="19" t="str">
        <f t="shared" si="13"/>
        <v>C05984:1</v>
      </c>
      <c r="D449" s="20" t="str">
        <f t="shared" si="14"/>
        <v xml:space="preserve">C05984 : 2-Hydroxybutanoic acid </v>
      </c>
    </row>
    <row r="450" spans="1:4" x14ac:dyDescent="0.45">
      <c r="A450" t="s">
        <v>2148</v>
      </c>
      <c r="B450" s="21" t="s">
        <v>2871</v>
      </c>
      <c r="C450" s="19" t="str">
        <f t="shared" si="13"/>
        <v>C06055:1</v>
      </c>
      <c r="D450" s="20" t="str">
        <f t="shared" si="14"/>
        <v>C06055 : O-Phospho-4-hydroxy-L-threonine</v>
      </c>
    </row>
    <row r="451" spans="1:4" x14ac:dyDescent="0.45">
      <c r="A451" t="s">
        <v>2258</v>
      </c>
      <c r="B451" s="21" t="s">
        <v>2872</v>
      </c>
      <c r="C451" s="19" t="str">
        <f t="shared" ref="C451:C514" si="15">CONCATENATE(A451,":","1")</f>
        <v>C06056:1</v>
      </c>
      <c r="D451" s="20" t="str">
        <f t="shared" ref="D451:D514" si="16">CONCATENATE(A451," : ",B451)</f>
        <v>C06056 : 4-Hydroxy-L-threonine</v>
      </c>
    </row>
    <row r="452" spans="1:4" x14ac:dyDescent="0.45">
      <c r="A452" t="s">
        <v>1135</v>
      </c>
      <c r="B452" s="21" t="s">
        <v>2873</v>
      </c>
      <c r="C452" s="19" t="str">
        <f t="shared" si="15"/>
        <v>C06156:1</v>
      </c>
      <c r="D452" s="20" t="str">
        <f t="shared" si="16"/>
        <v>C06156 : alpha-D-Glucosamine 1-phosphate</v>
      </c>
    </row>
    <row r="453" spans="1:4" x14ac:dyDescent="0.45">
      <c r="A453" t="s">
        <v>2130</v>
      </c>
      <c r="B453" s="21" t="s">
        <v>2874</v>
      </c>
      <c r="C453" s="19" t="str">
        <f t="shared" si="15"/>
        <v>C06187:1</v>
      </c>
      <c r="D453" s="20" t="str">
        <f t="shared" si="16"/>
        <v>C06187 : Arbutin 6-phosphate</v>
      </c>
    </row>
    <row r="454" spans="1:4" x14ac:dyDescent="0.45">
      <c r="A454" t="s">
        <v>1960</v>
      </c>
      <c r="B454" s="21" t="s">
        <v>2875</v>
      </c>
      <c r="C454" s="19" t="str">
        <f t="shared" si="15"/>
        <v>C06188:1</v>
      </c>
      <c r="D454" s="20" t="str">
        <f t="shared" si="16"/>
        <v>C06188 : Salicin 6-phosphate</v>
      </c>
    </row>
    <row r="455" spans="1:4" x14ac:dyDescent="0.45">
      <c r="A455" t="s">
        <v>2000</v>
      </c>
      <c r="B455" s="21" t="s">
        <v>2876</v>
      </c>
      <c r="C455" s="19" t="str">
        <f t="shared" si="15"/>
        <v>C06196:1</v>
      </c>
      <c r="D455" s="20" t="str">
        <f t="shared" si="16"/>
        <v>C06196 : 2'-Deoxyinosine 5'-phosphate</v>
      </c>
    </row>
    <row r="456" spans="1:4" x14ac:dyDescent="0.45">
      <c r="A456" t="s">
        <v>2141</v>
      </c>
      <c r="B456" s="21" t="s">
        <v>2877</v>
      </c>
      <c r="C456" s="19" t="str">
        <f t="shared" si="15"/>
        <v>C06376:1</v>
      </c>
      <c r="D456" s="20" t="str">
        <f t="shared" si="16"/>
        <v>C06376 : N-Acetyl-D-galactosamine 6-phosphate</v>
      </c>
    </row>
    <row r="457" spans="1:4" x14ac:dyDescent="0.45">
      <c r="A457" t="s">
        <v>1937</v>
      </c>
      <c r="B457" s="21" t="s">
        <v>2878</v>
      </c>
      <c r="C457" s="19" t="str">
        <f t="shared" si="15"/>
        <v>C06377:1</v>
      </c>
      <c r="D457" s="20" t="str">
        <f t="shared" si="16"/>
        <v xml:space="preserve">C06377 : D-Galactosamine 6-phosphate </v>
      </c>
    </row>
    <row r="458" spans="1:4" x14ac:dyDescent="0.45">
      <c r="A458" t="s">
        <v>2411</v>
      </c>
      <c r="B458" s="21" t="s">
        <v>2879</v>
      </c>
      <c r="C458" s="19" t="str">
        <f t="shared" si="15"/>
        <v>C06481:1</v>
      </c>
      <c r="D458" s="20" t="str">
        <f t="shared" si="16"/>
        <v>C06481 : L-Seryl-tRNA(Sec)</v>
      </c>
    </row>
    <row r="459" spans="1:4" x14ac:dyDescent="0.45">
      <c r="A459" t="s">
        <v>1950</v>
      </c>
      <c r="B459" s="21" t="s">
        <v>2880</v>
      </c>
      <c r="C459" s="19" t="str">
        <f t="shared" si="15"/>
        <v>C06611:1</v>
      </c>
      <c r="D459" s="20" t="str">
        <f t="shared" si="16"/>
        <v>C06611 : trans-3-Chloro-2-propene-1-ol</v>
      </c>
    </row>
    <row r="460" spans="1:4" x14ac:dyDescent="0.45">
      <c r="A460" t="s">
        <v>2044</v>
      </c>
      <c r="B460" s="21" t="s">
        <v>2881</v>
      </c>
      <c r="C460" s="19" t="str">
        <f t="shared" si="15"/>
        <v>C06612:1</v>
      </c>
      <c r="D460" s="20" t="str">
        <f t="shared" si="16"/>
        <v>C06612 : cis-3-Chloro-2-propene-1-ol</v>
      </c>
    </row>
    <row r="461" spans="1:4" x14ac:dyDescent="0.45">
      <c r="A461" t="s">
        <v>2163</v>
      </c>
      <c r="B461" s="21" t="s">
        <v>2882</v>
      </c>
      <c r="C461" s="19" t="str">
        <f t="shared" si="15"/>
        <v>C06613:1</v>
      </c>
      <c r="D461" s="20" t="str">
        <f t="shared" si="16"/>
        <v>C06613 : trans-3-Chloroallyl aldehyde</v>
      </c>
    </row>
    <row r="462" spans="1:4" x14ac:dyDescent="0.45">
      <c r="A462" t="s">
        <v>2045</v>
      </c>
      <c r="B462" s="21" t="s">
        <v>2883</v>
      </c>
      <c r="C462" s="19" t="str">
        <f t="shared" si="15"/>
        <v>C06899:1</v>
      </c>
      <c r="D462" s="20" t="str">
        <f t="shared" si="16"/>
        <v>C06899 : Chloral hydrate</v>
      </c>
    </row>
    <row r="463" spans="1:4" x14ac:dyDescent="0.45">
      <c r="A463" t="s">
        <v>1131</v>
      </c>
      <c r="B463" s="21" t="s">
        <v>2884</v>
      </c>
      <c r="C463" s="19" t="str">
        <f t="shared" si="15"/>
        <v>C07478:1</v>
      </c>
      <c r="D463" s="20" t="str">
        <f t="shared" si="16"/>
        <v>C07478 : 2-Hydroxy-5-methyl-cis,cis-muconate</v>
      </c>
    </row>
    <row r="464" spans="1:4" x14ac:dyDescent="0.45">
      <c r="A464" t="s">
        <v>1132</v>
      </c>
      <c r="B464" s="21" t="s">
        <v>2885</v>
      </c>
      <c r="C464" s="19" t="str">
        <f t="shared" si="15"/>
        <v>C07479:1</v>
      </c>
      <c r="D464" s="20" t="str">
        <f t="shared" si="16"/>
        <v>C07479 : 2-Oxo-5-methyl-cis-muconate</v>
      </c>
    </row>
    <row r="465" spans="1:4" x14ac:dyDescent="0.45">
      <c r="A465" t="s">
        <v>2165</v>
      </c>
      <c r="B465" s="21" t="s">
        <v>2886</v>
      </c>
      <c r="C465" s="19" t="str">
        <f t="shared" si="15"/>
        <v>C07490:1</v>
      </c>
      <c r="D465" s="20" t="str">
        <f t="shared" si="16"/>
        <v>C07490 : Trichloroethanol</v>
      </c>
    </row>
    <row r="466" spans="1:4" x14ac:dyDescent="0.45">
      <c r="A466" t="s">
        <v>2046</v>
      </c>
      <c r="B466" s="21" t="s">
        <v>2887</v>
      </c>
      <c r="C466" s="19" t="str">
        <f t="shared" si="15"/>
        <v>C07645:1</v>
      </c>
      <c r="D466" s="20" t="str">
        <f t="shared" si="16"/>
        <v>C07645 : Aldophosphamide</v>
      </c>
    </row>
    <row r="467" spans="1:4" x14ac:dyDescent="0.45">
      <c r="A467" t="s">
        <v>2109</v>
      </c>
      <c r="B467" t="s">
        <v>2888</v>
      </c>
      <c r="C467" s="19" t="str">
        <f t="shared" si="15"/>
        <v>C07648:1</v>
      </c>
      <c r="D467" s="20" t="str">
        <f t="shared" si="16"/>
        <v>C07648 : Thioguanine</v>
      </c>
    </row>
    <row r="468" spans="1:4" x14ac:dyDescent="0.45">
      <c r="A468" t="s">
        <v>2105</v>
      </c>
      <c r="B468" s="21" t="s">
        <v>2889</v>
      </c>
      <c r="C468" s="19" t="str">
        <f t="shared" si="15"/>
        <v>C07649:1</v>
      </c>
      <c r="D468" s="20" t="str">
        <f t="shared" si="16"/>
        <v>C07649 : 5-FU</v>
      </c>
    </row>
    <row r="469" spans="1:4" x14ac:dyDescent="0.45">
      <c r="A469" t="s">
        <v>1140</v>
      </c>
      <c r="B469" s="21" t="s">
        <v>2890</v>
      </c>
      <c r="C469" s="19" t="str">
        <f t="shared" si="15"/>
        <v>C08353:1</v>
      </c>
      <c r="D469" s="20" t="str">
        <f t="shared" si="16"/>
        <v>C08353 : beta-D-Ribopyranose</v>
      </c>
    </row>
    <row r="470" spans="1:4" x14ac:dyDescent="0.45">
      <c r="A470" t="s">
        <v>2168</v>
      </c>
      <c r="B470" s="21" t="s">
        <v>2891</v>
      </c>
      <c r="C470" s="19" t="str">
        <f t="shared" si="15"/>
        <v>C08492:1</v>
      </c>
      <c r="D470" s="20" t="str">
        <f t="shared" si="16"/>
        <v>C08492 : 3-Hexenol</v>
      </c>
    </row>
    <row r="471" spans="1:4" x14ac:dyDescent="0.45">
      <c r="A471" t="s">
        <v>2346</v>
      </c>
      <c r="B471" s="21" t="s">
        <v>2970</v>
      </c>
      <c r="C471" s="19" t="str">
        <f t="shared" si="15"/>
        <v>C09306:1</v>
      </c>
      <c r="D471" s="20" t="str">
        <f t="shared" si="16"/>
        <v xml:space="preserve">C09306 : Sulfur Dioxide </v>
      </c>
    </row>
    <row r="472" spans="1:4" x14ac:dyDescent="0.45">
      <c r="A472" t="s">
        <v>1078</v>
      </c>
      <c r="B472" s="21" t="s">
        <v>2892</v>
      </c>
      <c r="C472" s="19" t="str">
        <f t="shared" si="15"/>
        <v>C11039:1</v>
      </c>
      <c r="D472" s="20" t="str">
        <f t="shared" si="16"/>
        <v>C11039 : 2'-Deoxy-5-hydroxymethylcytidine-5'-triphosphate</v>
      </c>
    </row>
    <row r="473" spans="1:4" x14ac:dyDescent="0.45">
      <c r="A473" t="s">
        <v>2188</v>
      </c>
      <c r="B473" s="21" t="s">
        <v>2893</v>
      </c>
      <c r="C473" s="19" t="str">
        <f t="shared" si="15"/>
        <v>C11437:1</v>
      </c>
      <c r="D473" s="20" t="str">
        <f t="shared" si="16"/>
        <v>C11437 : 1-Deoxy-D-xylulose 5-phosphate</v>
      </c>
    </row>
    <row r="474" spans="1:4" x14ac:dyDescent="0.45">
      <c r="A474" t="s">
        <v>2143</v>
      </c>
      <c r="B474" s="21" t="s">
        <v>2894</v>
      </c>
      <c r="C474" s="19" t="str">
        <f t="shared" si="15"/>
        <v>C11439:1</v>
      </c>
      <c r="D474" s="20" t="str">
        <f t="shared" si="16"/>
        <v>C11439 : Formyl-L-methionyl peptide</v>
      </c>
    </row>
    <row r="475" spans="1:4" x14ac:dyDescent="0.45">
      <c r="A475" t="s">
        <v>1973</v>
      </c>
      <c r="B475" s="21" t="s">
        <v>2895</v>
      </c>
      <c r="C475" s="19" t="str">
        <f t="shared" si="15"/>
        <v>C11440:1</v>
      </c>
      <c r="D475" s="20" t="str">
        <f t="shared" si="16"/>
        <v>C11440 : Methionyl peptide</v>
      </c>
    </row>
    <row r="476" spans="1:4" x14ac:dyDescent="0.45">
      <c r="A476" t="s">
        <v>2347</v>
      </c>
      <c r="B476" s="21" t="s">
        <v>2896</v>
      </c>
      <c r="C476" s="19" t="str">
        <f t="shared" si="15"/>
        <v>C11475:1</v>
      </c>
      <c r="D476" s="20" t="str">
        <f t="shared" si="16"/>
        <v>C11475 : DNA containing guanine</v>
      </c>
    </row>
    <row r="477" spans="1:4" x14ac:dyDescent="0.45">
      <c r="A477" t="s">
        <v>2225</v>
      </c>
      <c r="B477" t="s">
        <v>2897</v>
      </c>
      <c r="C477" s="19" t="str">
        <f t="shared" si="15"/>
        <v>C11477:1</v>
      </c>
      <c r="D477" s="20" t="str">
        <f t="shared" si="16"/>
        <v>C11477 : Sugar</v>
      </c>
    </row>
    <row r="478" spans="1:4" x14ac:dyDescent="0.45">
      <c r="A478" t="s">
        <v>1990</v>
      </c>
      <c r="B478" s="21" t="s">
        <v>2898</v>
      </c>
      <c r="C478" s="19" t="str">
        <f t="shared" si="15"/>
        <v>C11736:1</v>
      </c>
      <c r="D478" s="20" t="str">
        <f t="shared" si="16"/>
        <v>C11736 : 5-Fluorodeoxyuridine</v>
      </c>
    </row>
    <row r="479" spans="1:4" x14ac:dyDescent="0.45">
      <c r="A479" t="s">
        <v>2348</v>
      </c>
      <c r="B479" s="21" t="s">
        <v>2899</v>
      </c>
      <c r="C479" s="19" t="str">
        <f t="shared" si="15"/>
        <v>C11826:1</v>
      </c>
      <c r="D479" s="20" t="str">
        <f t="shared" si="16"/>
        <v>C11826 : [GlcNAc-(1-&gt;4)-Mur2Ac(oyl-L-Ala-g-D-Glu-L-Lys-D-Ala-D-Ala)]n-diphosphoundecaprenol</v>
      </c>
    </row>
    <row r="480" spans="1:4" x14ac:dyDescent="0.45">
      <c r="A480" t="s">
        <v>2349</v>
      </c>
      <c r="B480" s="21" t="s">
        <v>2900</v>
      </c>
      <c r="C480" s="19" t="str">
        <f t="shared" si="15"/>
        <v>C11827:1</v>
      </c>
      <c r="D480" s="20" t="str">
        <f t="shared" si="16"/>
        <v>C11827 : [GlcNAc-(1-&gt;4)-Mur2Ac(oyl-L-Ala-g-D-Glu-A2pm-D-Ala-D-Ala)]n-diphosphoundecaprenol</v>
      </c>
    </row>
    <row r="481" spans="1:4" x14ac:dyDescent="0.45">
      <c r="A481" t="s">
        <v>2259</v>
      </c>
      <c r="B481" s="21" t="s">
        <v>2901</v>
      </c>
      <c r="C481" s="19" t="str">
        <f t="shared" si="15"/>
        <v>C11838:1</v>
      </c>
      <c r="D481" s="20" t="str">
        <f t="shared" si="16"/>
        <v>C11838 : (S)-4,5-Dihydroxypentane-2,3-dione</v>
      </c>
    </row>
    <row r="482" spans="1:4" x14ac:dyDescent="0.45">
      <c r="A482" t="s">
        <v>2412</v>
      </c>
      <c r="B482" s="21" t="s">
        <v>2902</v>
      </c>
      <c r="C482" s="19" t="str">
        <f t="shared" si="15"/>
        <v>C13179:1</v>
      </c>
      <c r="D482" s="20" t="str">
        <f t="shared" si="16"/>
        <v>C13179 : Fleroxacin</v>
      </c>
    </row>
    <row r="483" spans="1:4" x14ac:dyDescent="0.45">
      <c r="A483" t="s">
        <v>2047</v>
      </c>
      <c r="B483" s="21" t="s">
        <v>2903</v>
      </c>
      <c r="C483" s="19" t="str">
        <f t="shared" si="15"/>
        <v>C14089:1</v>
      </c>
      <c r="D483" s="20" t="str">
        <f t="shared" si="16"/>
        <v>C14089 : 1-Hydroxymethylnaphthalene</v>
      </c>
    </row>
    <row r="484" spans="1:4" x14ac:dyDescent="0.45">
      <c r="A484" t="s">
        <v>2167</v>
      </c>
      <c r="B484" s="21" t="s">
        <v>2904</v>
      </c>
      <c r="C484" s="19" t="str">
        <f t="shared" si="15"/>
        <v>C14090:1</v>
      </c>
      <c r="D484" s="20" t="str">
        <f t="shared" si="16"/>
        <v>C14090 : 1-Naphthaldehyde</v>
      </c>
    </row>
    <row r="485" spans="1:4" x14ac:dyDescent="0.45">
      <c r="A485" t="s">
        <v>2160</v>
      </c>
      <c r="B485" s="21" t="s">
        <v>2905</v>
      </c>
      <c r="C485" s="19" t="str">
        <f t="shared" si="15"/>
        <v>C14099:1</v>
      </c>
      <c r="D485" s="20" t="str">
        <f t="shared" si="16"/>
        <v>C14099 : 2-Naphthaldehyde</v>
      </c>
    </row>
    <row r="486" spans="1:4" x14ac:dyDescent="0.45">
      <c r="A486" t="s">
        <v>2058</v>
      </c>
      <c r="B486" s="21" t="s">
        <v>2906</v>
      </c>
      <c r="C486" s="19" t="str">
        <f t="shared" si="15"/>
        <v>C15565:1</v>
      </c>
      <c r="D486" s="20" t="str">
        <f t="shared" si="16"/>
        <v>C15565 : (S)-2-Hydroxyacid</v>
      </c>
    </row>
    <row r="487" spans="1:4" x14ac:dyDescent="0.45">
      <c r="A487" t="s">
        <v>2239</v>
      </c>
      <c r="B487" t="s">
        <v>2907</v>
      </c>
      <c r="C487" s="19" t="str">
        <f t="shared" si="15"/>
        <v>C15647:1</v>
      </c>
      <c r="D487" s="20" t="str">
        <f t="shared" si="16"/>
        <v>C15647 : 2-Acyl-1-(1-alkenyl)-sn-glycero-3-phosphate</v>
      </c>
    </row>
    <row r="488" spans="1:4" x14ac:dyDescent="0.45">
      <c r="A488" t="s">
        <v>2030</v>
      </c>
      <c r="B488" s="21" t="s">
        <v>2908</v>
      </c>
      <c r="C488" s="19" t="str">
        <f t="shared" si="15"/>
        <v>C15653:1</v>
      </c>
      <c r="D488" s="20" t="str">
        <f t="shared" si="16"/>
        <v>C15653 : Peptide-L-methionine (R)-S-oxide</v>
      </c>
    </row>
    <row r="489" spans="1:4" x14ac:dyDescent="0.45">
      <c r="A489" t="s">
        <v>1090</v>
      </c>
      <c r="B489" t="s">
        <v>2909</v>
      </c>
      <c r="C489" s="19" t="str">
        <f t="shared" si="15"/>
        <v>C15667:1</v>
      </c>
      <c r="D489" s="20" t="str">
        <f t="shared" si="16"/>
        <v>C15667 : 5-Carboxyamino-1-(5-phospho-D-ribosyl)imidazole</v>
      </c>
    </row>
    <row r="490" spans="1:4" x14ac:dyDescent="0.45">
      <c r="A490" t="s">
        <v>2350</v>
      </c>
      <c r="B490" s="21" t="s">
        <v>2910</v>
      </c>
      <c r="C490" s="19" t="str">
        <f t="shared" si="15"/>
        <v>C15811:1</v>
      </c>
      <c r="D490" s="20" t="str">
        <f t="shared" si="16"/>
        <v>C15811 : [Enzyme]-cysteine</v>
      </c>
    </row>
    <row r="491" spans="1:4" x14ac:dyDescent="0.45">
      <c r="A491" t="s">
        <v>2013</v>
      </c>
      <c r="B491" t="s">
        <v>2911</v>
      </c>
      <c r="C491" s="19" t="str">
        <f t="shared" si="15"/>
        <v>C15812:1</v>
      </c>
      <c r="D491" s="20" t="str">
        <f t="shared" si="16"/>
        <v>C15812 : [Enzyme]-S-sulfanylcysteine</v>
      </c>
    </row>
    <row r="492" spans="1:4" x14ac:dyDescent="0.45">
      <c r="A492" t="s">
        <v>2351</v>
      </c>
      <c r="B492" s="21" t="s">
        <v>2912</v>
      </c>
      <c r="C492" s="19" t="str">
        <f t="shared" si="15"/>
        <v>C15813:1</v>
      </c>
      <c r="D492" s="20" t="str">
        <f t="shared" si="16"/>
        <v>C15813 : Adenylyl-[sulfur-carrier protein]</v>
      </c>
    </row>
    <row r="493" spans="1:4" x14ac:dyDescent="0.45">
      <c r="A493" t="s">
        <v>2352</v>
      </c>
      <c r="B493" s="21" t="s">
        <v>2913</v>
      </c>
      <c r="C493" s="19" t="str">
        <f t="shared" si="15"/>
        <v>C15814:1</v>
      </c>
      <c r="D493" s="20" t="str">
        <f t="shared" si="16"/>
        <v>C15814 : Thiocarboxy-[sulfur-carrier protein]</v>
      </c>
    </row>
    <row r="494" spans="1:4" x14ac:dyDescent="0.45">
      <c r="A494" t="s">
        <v>2184</v>
      </c>
      <c r="B494" t="s">
        <v>2914</v>
      </c>
      <c r="C494" s="19" t="str">
        <f t="shared" si="15"/>
        <v>C15999:1</v>
      </c>
      <c r="D494" s="20" t="str">
        <f t="shared" si="16"/>
        <v>C15999 : L-Methionine (S)-S-oxide</v>
      </c>
    </row>
    <row r="495" spans="1:4" x14ac:dyDescent="0.45">
      <c r="A495" t="s">
        <v>2048</v>
      </c>
      <c r="B495" t="s">
        <v>2915</v>
      </c>
      <c r="C495" s="19" t="str">
        <f t="shared" si="15"/>
        <v>C16310:1</v>
      </c>
      <c r="D495" s="20" t="str">
        <f t="shared" si="16"/>
        <v>C16310 : 3-Hexenal</v>
      </c>
    </row>
    <row r="496" spans="1:4" x14ac:dyDescent="0.45">
      <c r="A496" t="s">
        <v>2164</v>
      </c>
      <c r="B496" s="21" t="s">
        <v>2916</v>
      </c>
      <c r="C496" s="19" t="str">
        <f t="shared" si="15"/>
        <v>C16348:1</v>
      </c>
      <c r="D496" s="20" t="str">
        <f t="shared" si="16"/>
        <v>C16348 : cis-3-Chloroallyl aldehyde</v>
      </c>
    </row>
    <row r="497" spans="1:4" x14ac:dyDescent="0.45">
      <c r="A497" t="s">
        <v>2219</v>
      </c>
      <c r="B497" s="21" t="s">
        <v>2917</v>
      </c>
      <c r="C497" s="19" t="str">
        <f t="shared" si="15"/>
        <v>C16463:1</v>
      </c>
      <c r="D497" s="20" t="str">
        <f t="shared" si="16"/>
        <v>C16463 : 3',5'-Cyclic diGMP</v>
      </c>
    </row>
    <row r="498" spans="1:4" x14ac:dyDescent="0.45">
      <c r="A498" t="s">
        <v>2166</v>
      </c>
      <c r="B498" s="21" t="s">
        <v>2918</v>
      </c>
      <c r="C498" s="19" t="str">
        <f t="shared" si="15"/>
        <v>C16551:1</v>
      </c>
      <c r="D498" s="20" t="str">
        <f t="shared" si="16"/>
        <v>C16551 : Alcophosphamide</v>
      </c>
    </row>
    <row r="499" spans="1:4" x14ac:dyDescent="0.45">
      <c r="A499" t="s">
        <v>2049</v>
      </c>
      <c r="B499" s="21" t="s">
        <v>2919</v>
      </c>
      <c r="C499" s="19" t="str">
        <f t="shared" si="15"/>
        <v>C16586:1</v>
      </c>
      <c r="D499" s="20" t="str">
        <f t="shared" si="16"/>
        <v>C16586 : 2-Phenyl-1,3-propanediol monocarbamate</v>
      </c>
    </row>
    <row r="500" spans="1:4" x14ac:dyDescent="0.45">
      <c r="A500" t="s">
        <v>2169</v>
      </c>
      <c r="B500" t="s">
        <v>2920</v>
      </c>
      <c r="C500" s="19" t="str">
        <f t="shared" si="15"/>
        <v>C16587:1</v>
      </c>
      <c r="D500" s="20" t="str">
        <f t="shared" si="16"/>
        <v>C16587 : 3-Carbamoyl-2-phenylpropionaldehyde</v>
      </c>
    </row>
    <row r="501" spans="1:4" x14ac:dyDescent="0.45">
      <c r="A501" t="s">
        <v>2050</v>
      </c>
      <c r="B501" s="21" t="s">
        <v>2921</v>
      </c>
      <c r="C501" s="19" t="str">
        <f t="shared" si="15"/>
        <v>C16595:1</v>
      </c>
      <c r="D501" s="20" t="str">
        <f t="shared" si="16"/>
        <v>C16595 : 4-Hydroxy-5-phenyltetrahydro-1,3-oxazin-2-one</v>
      </c>
    </row>
    <row r="502" spans="1:4" x14ac:dyDescent="0.45">
      <c r="A502" t="s">
        <v>2170</v>
      </c>
      <c r="B502" s="21" t="s">
        <v>2922</v>
      </c>
      <c r="C502" s="19" t="str">
        <f t="shared" si="15"/>
        <v>C16596:1</v>
      </c>
      <c r="D502" s="20" t="str">
        <f t="shared" si="16"/>
        <v>C16596 : 5-Phenyl-1,3-oxazinane-2,4-dione</v>
      </c>
    </row>
    <row r="503" spans="1:4" x14ac:dyDescent="0.45">
      <c r="A503" t="s">
        <v>2110</v>
      </c>
      <c r="B503" t="s">
        <v>2923</v>
      </c>
      <c r="C503" s="19" t="str">
        <f t="shared" si="15"/>
        <v>C16614:1</v>
      </c>
      <c r="D503" s="20" t="str">
        <f t="shared" si="16"/>
        <v>C16614 : 6-Methylmercaptopurine</v>
      </c>
    </row>
    <row r="504" spans="1:4" x14ac:dyDescent="0.45">
      <c r="A504" t="s">
        <v>2201</v>
      </c>
      <c r="B504" s="21" t="s">
        <v>2924</v>
      </c>
      <c r="C504" s="19" t="str">
        <f t="shared" si="15"/>
        <v>C16615:1</v>
      </c>
      <c r="D504" s="20" t="str">
        <f t="shared" si="16"/>
        <v>C16615 : 6-Methylthiopurine 5'-monophosphate ribonucleotide</v>
      </c>
    </row>
    <row r="505" spans="1:4" x14ac:dyDescent="0.45">
      <c r="A505" t="s">
        <v>2152</v>
      </c>
      <c r="B505" s="21" t="s">
        <v>2925</v>
      </c>
      <c r="C505" s="19" t="str">
        <f t="shared" si="15"/>
        <v>C16618:1</v>
      </c>
      <c r="D505" s="20" t="str">
        <f t="shared" si="16"/>
        <v>C16618 : 6-Thioxanthine 5'-monophosphate</v>
      </c>
    </row>
    <row r="506" spans="1:4" x14ac:dyDescent="0.45">
      <c r="A506" t="s">
        <v>2200</v>
      </c>
      <c r="B506" s="21" t="s">
        <v>2926</v>
      </c>
      <c r="C506" s="19" t="str">
        <f t="shared" si="15"/>
        <v>C16619:1</v>
      </c>
      <c r="D506" s="20" t="str">
        <f t="shared" si="16"/>
        <v>C16619 : 6-Thioguanosine monophosphate</v>
      </c>
    </row>
    <row r="507" spans="1:4" x14ac:dyDescent="0.45">
      <c r="A507" t="s">
        <v>2119</v>
      </c>
      <c r="B507" t="s">
        <v>2927</v>
      </c>
      <c r="C507" s="19" t="str">
        <f t="shared" si="15"/>
        <v>C16633:1</v>
      </c>
      <c r="D507" s="20" t="str">
        <f t="shared" si="16"/>
        <v>C16633 : 5-Fluorouridine</v>
      </c>
    </row>
    <row r="508" spans="1:4" x14ac:dyDescent="0.45">
      <c r="A508" t="s">
        <v>2193</v>
      </c>
      <c r="B508" t="s">
        <v>2928</v>
      </c>
      <c r="C508" s="19" t="str">
        <f t="shared" si="15"/>
        <v>C16634:1</v>
      </c>
      <c r="D508" s="20" t="str">
        <f t="shared" si="16"/>
        <v>C16634 : 5-Fluorouridine monophosphate</v>
      </c>
    </row>
    <row r="509" spans="1:4" x14ac:dyDescent="0.45">
      <c r="A509" t="s">
        <v>2413</v>
      </c>
      <c r="B509" t="s">
        <v>2929</v>
      </c>
      <c r="C509" s="19" t="str">
        <f t="shared" si="15"/>
        <v>C16636:1</v>
      </c>
      <c r="D509" s="20" t="str">
        <f t="shared" si="16"/>
        <v>C16636 : tRNA(Sec)</v>
      </c>
    </row>
    <row r="510" spans="1:4" x14ac:dyDescent="0.45">
      <c r="A510" t="s">
        <v>1141</v>
      </c>
      <c r="B510" t="s">
        <v>2930</v>
      </c>
      <c r="C510" s="19" t="str">
        <f t="shared" si="15"/>
        <v>C16639:1</v>
      </c>
      <c r="D510" s="20" t="str">
        <f t="shared" si="16"/>
        <v>C16639 : beta-D-Ribofuranose</v>
      </c>
    </row>
    <row r="511" spans="1:4" x14ac:dyDescent="0.45">
      <c r="A511" t="s">
        <v>2353</v>
      </c>
      <c r="B511" t="s">
        <v>2931</v>
      </c>
      <c r="C511" s="19" t="str">
        <f t="shared" si="15"/>
        <v>C16663:1</v>
      </c>
      <c r="D511" s="20" t="str">
        <f t="shared" si="16"/>
        <v xml:space="preserve">C16663 : Tryparedoxin </v>
      </c>
    </row>
    <row r="512" spans="1:4" x14ac:dyDescent="0.45">
      <c r="A512" t="s">
        <v>2354</v>
      </c>
      <c r="B512" s="21" t="s">
        <v>2932</v>
      </c>
      <c r="C512" s="19" t="str">
        <f t="shared" si="15"/>
        <v>C16664:1</v>
      </c>
      <c r="D512" s="20" t="str">
        <f t="shared" si="16"/>
        <v>C16664 : Tryparedoxin disulfide</v>
      </c>
    </row>
    <row r="513" spans="1:4" x14ac:dyDescent="0.45">
      <c r="A513" t="s">
        <v>2041</v>
      </c>
      <c r="B513" s="21" t="s">
        <v>2933</v>
      </c>
      <c r="C513" s="19" t="str">
        <f t="shared" si="15"/>
        <v>C16688:1</v>
      </c>
      <c r="D513" s="20" t="str">
        <f t="shared" si="16"/>
        <v>C16688 : Sucrose 6-phosphate</v>
      </c>
    </row>
    <row r="514" spans="1:4" x14ac:dyDescent="0.45">
      <c r="A514" t="s">
        <v>2255</v>
      </c>
      <c r="B514" s="21" t="s">
        <v>2934</v>
      </c>
      <c r="C514" s="19" t="str">
        <f t="shared" si="15"/>
        <v>C16698:1</v>
      </c>
      <c r="D514" s="20" t="str">
        <f t="shared" si="16"/>
        <v>C16698 : N-Acetylmuramic acid 6-phosphate</v>
      </c>
    </row>
    <row r="515" spans="1:4" x14ac:dyDescent="0.45">
      <c r="A515" t="s">
        <v>2221</v>
      </c>
      <c r="B515" s="12" t="s">
        <v>2935</v>
      </c>
      <c r="C515" s="19" t="str">
        <f t="shared" ref="C515:C578" si="17">CONCATENATE(A515,":","1")</f>
        <v>C17322:1</v>
      </c>
      <c r="D515" s="20" t="str">
        <f t="shared" ref="D515:D578" si="18">CONCATENATE(A515," : ",B515)</f>
        <v>C17322 : tRNA containing 2-thiouridine</v>
      </c>
    </row>
    <row r="516" spans="1:4" x14ac:dyDescent="0.45">
      <c r="A516" t="s">
        <v>2144</v>
      </c>
      <c r="B516" t="s">
        <v>2936</v>
      </c>
      <c r="C516" s="19" t="str">
        <f t="shared" si="17"/>
        <v>C17324:1</v>
      </c>
      <c r="D516" s="20" t="str">
        <f t="shared" si="18"/>
        <v>C17324 : tRNA adenine</v>
      </c>
    </row>
    <row r="517" spans="1:4" x14ac:dyDescent="0.45">
      <c r="A517" t="s">
        <v>2355</v>
      </c>
      <c r="B517" s="21" t="s">
        <v>2937</v>
      </c>
      <c r="C517" s="19" t="str">
        <f t="shared" si="17"/>
        <v>C17556:1</v>
      </c>
      <c r="D517" s="20" t="str">
        <f t="shared" si="18"/>
        <v>C17556 : di-trans,poly-cis-Undecaprenyl phosphate</v>
      </c>
    </row>
    <row r="518" spans="1:4" x14ac:dyDescent="0.45">
      <c r="A518" t="s">
        <v>1123</v>
      </c>
      <c r="B518" s="21" t="s">
        <v>2938</v>
      </c>
      <c r="C518" s="19" t="str">
        <f t="shared" si="17"/>
        <v>C18096:1</v>
      </c>
      <c r="D518" s="20" t="str">
        <f t="shared" si="18"/>
        <v>C18096 : D-Allulose 6-phosphate</v>
      </c>
    </row>
    <row r="519" spans="1:4" x14ac:dyDescent="0.45">
      <c r="A519" t="s">
        <v>2414</v>
      </c>
      <c r="B519" t="s">
        <v>2939</v>
      </c>
      <c r="C519" s="19" t="str">
        <f t="shared" si="17"/>
        <v>C18902:1</v>
      </c>
      <c r="D519" s="20" t="str">
        <f t="shared" si="18"/>
        <v xml:space="preserve">C18902 : Methylselenic acid </v>
      </c>
    </row>
    <row r="520" spans="1:4" x14ac:dyDescent="0.45">
      <c r="A520" t="s">
        <v>2123</v>
      </c>
      <c r="B520" s="21" t="s">
        <v>2940</v>
      </c>
      <c r="C520" s="19" t="str">
        <f t="shared" si="17"/>
        <v>C19078:1</v>
      </c>
      <c r="D520" s="20" t="str">
        <f t="shared" si="18"/>
        <v>C19078 : tRNA with a 3' cytidine</v>
      </c>
    </row>
    <row r="521" spans="1:4" x14ac:dyDescent="0.45">
      <c r="A521" t="s">
        <v>2124</v>
      </c>
      <c r="B521" s="21" t="s">
        <v>2941</v>
      </c>
      <c r="C521" s="19" t="str">
        <f t="shared" si="17"/>
        <v>C19080:1</v>
      </c>
      <c r="D521" s="20" t="str">
        <f t="shared" si="18"/>
        <v>C19080 : tRNA with a 3' CC end</v>
      </c>
    </row>
    <row r="522" spans="1:4" x14ac:dyDescent="0.45">
      <c r="A522" t="s">
        <v>2220</v>
      </c>
      <c r="B522" s="21" t="s">
        <v>2942</v>
      </c>
      <c r="C522" s="19" t="str">
        <f t="shared" si="17"/>
        <v>C19085:1</v>
      </c>
      <c r="D522" s="20" t="str">
        <f t="shared" si="18"/>
        <v>C19085 : tRNA with a 3' CCA end</v>
      </c>
    </row>
    <row r="523" spans="1:4" x14ac:dyDescent="0.45">
      <c r="A523" t="s">
        <v>2151</v>
      </c>
      <c r="B523" s="21" t="s">
        <v>2943</v>
      </c>
      <c r="C523" s="19" t="str">
        <f t="shared" si="17"/>
        <v>C19722:1</v>
      </c>
      <c r="D523" s="20" t="str">
        <f t="shared" si="18"/>
        <v>C19722 : [tRNA(Ile2)]-cytidine34</v>
      </c>
    </row>
    <row r="524" spans="1:4" x14ac:dyDescent="0.45">
      <c r="A524" t="s">
        <v>2262</v>
      </c>
      <c r="B524" s="12" t="s">
        <v>2944</v>
      </c>
      <c r="C524" s="19" t="str">
        <f t="shared" si="17"/>
        <v>C19723:1</v>
      </c>
      <c r="D524" s="20" t="str">
        <f t="shared" si="18"/>
        <v>C19723 : [tRNA(Ile2)]-lysidine34</v>
      </c>
    </row>
    <row r="525" spans="1:4" x14ac:dyDescent="0.45">
      <c r="A525" t="s">
        <v>2022</v>
      </c>
      <c r="B525" s="21" t="s">
        <v>2945</v>
      </c>
      <c r="C525" s="19" t="str">
        <f t="shared" si="17"/>
        <v>C19771:1</v>
      </c>
      <c r="D525" s="20" t="str">
        <f t="shared" si="18"/>
        <v>C19771 : 2'-(5-Triphosphoribosyl)-3'-dephospho-CoA</v>
      </c>
    </row>
    <row r="526" spans="1:4" x14ac:dyDescent="0.45">
      <c r="A526" t="s">
        <v>2176</v>
      </c>
      <c r="B526" s="21" t="s">
        <v>2946</v>
      </c>
      <c r="C526" s="19" t="str">
        <f t="shared" si="17"/>
        <v>C20258:1</v>
      </c>
      <c r="D526" s="20" t="str">
        <f t="shared" si="18"/>
        <v>C20258 : (2S,4S)-4-Hydroxy-2,3,4,5-tetrahydrodipicolinate</v>
      </c>
    </row>
    <row r="527" spans="1:4" x14ac:dyDescent="0.45">
      <c r="A527" t="s">
        <v>2250</v>
      </c>
      <c r="B527" t="s">
        <v>2947</v>
      </c>
      <c r="C527" s="19" t="str">
        <f t="shared" si="17"/>
        <v>C20451:1</v>
      </c>
      <c r="D527" s="20" t="str">
        <f t="shared" si="18"/>
        <v>C20451 : tRNA hypoxanthine</v>
      </c>
    </row>
    <row r="528" spans="1:4" x14ac:dyDescent="0.45">
      <c r="A528" t="s">
        <v>2356</v>
      </c>
      <c r="B528" s="12" t="s">
        <v>2948</v>
      </c>
      <c r="C528" s="19" t="str">
        <f t="shared" si="17"/>
        <v>C20565:1</v>
      </c>
      <c r="D528" s="20" t="str">
        <f t="shared" si="18"/>
        <v>C20565 : Cyclic di-3',5'-adenylate</v>
      </c>
    </row>
    <row r="529" spans="1:4" x14ac:dyDescent="0.45">
      <c r="A529" t="s">
        <v>2094</v>
      </c>
      <c r="B529" s="21" t="s">
        <v>2949</v>
      </c>
      <c r="C529" s="19" t="str">
        <f t="shared" si="17"/>
        <v>C20641:1</v>
      </c>
      <c r="D529" s="20" t="str">
        <f t="shared" si="18"/>
        <v>C20641 : L-Threonylcarbamoyladenylate</v>
      </c>
    </row>
    <row r="530" spans="1:4" x14ac:dyDescent="0.45">
      <c r="A530" t="s">
        <v>2357</v>
      </c>
      <c r="B530" t="s">
        <v>2950</v>
      </c>
      <c r="C530" s="19" t="str">
        <f t="shared" si="17"/>
        <v>C20648:1</v>
      </c>
      <c r="D530" s="20" t="str">
        <f t="shared" si="18"/>
        <v>C20648 : Adenine in rRNA</v>
      </c>
    </row>
    <row r="531" spans="1:4" x14ac:dyDescent="0.45">
      <c r="A531" t="s">
        <v>2035</v>
      </c>
      <c r="B531" t="s">
        <v>2951</v>
      </c>
      <c r="C531" s="19" t="str">
        <f t="shared" si="17"/>
        <v>C20658:1</v>
      </c>
      <c r="D531" s="20" t="str">
        <f t="shared" si="18"/>
        <v>C20658 : O-Acetyl-ADP-ribose</v>
      </c>
    </row>
    <row r="532" spans="1:4" x14ac:dyDescent="0.45">
      <c r="A532" t="s">
        <v>2358</v>
      </c>
      <c r="B532" t="s">
        <v>2952</v>
      </c>
      <c r="C532" s="19" t="str">
        <f t="shared" si="17"/>
        <v>C20743:1</v>
      </c>
      <c r="D532" s="20" t="str">
        <f t="shared" si="18"/>
        <v>C20743 : Protein N6-acetyl-L-lysine</v>
      </c>
    </row>
    <row r="533" spans="1:4" x14ac:dyDescent="0.45">
      <c r="A533" t="s">
        <v>2359</v>
      </c>
      <c r="B533" s="21" t="s">
        <v>2953</v>
      </c>
      <c r="C533" s="19" t="str">
        <f t="shared" si="17"/>
        <v>C20751:1</v>
      </c>
      <c r="D533" s="20" t="str">
        <f t="shared" si="18"/>
        <v>C20751 : N6-L-Threonylcarbamoyladenine in tRNA</v>
      </c>
    </row>
    <row r="534" spans="1:4" x14ac:dyDescent="0.45">
      <c r="A534" t="s">
        <v>2360</v>
      </c>
      <c r="B534" s="21" t="s">
        <v>2954</v>
      </c>
      <c r="C534" s="19" t="str">
        <f t="shared" si="17"/>
        <v>C20796:1</v>
      </c>
      <c r="D534" s="20" t="str">
        <f t="shared" si="18"/>
        <v>C20796 : N6-Dimethyladenine in rRNA</v>
      </c>
    </row>
    <row r="535" spans="1:4" x14ac:dyDescent="0.45">
      <c r="A535" t="s">
        <v>2187</v>
      </c>
      <c r="B535" s="21" t="s">
        <v>2955</v>
      </c>
      <c r="C535" s="19" t="str">
        <f t="shared" si="17"/>
        <v>C20858:1</v>
      </c>
      <c r="D535" s="20" t="str">
        <f t="shared" si="18"/>
        <v>C20858 : Protein N5-methyl-L-glutamine</v>
      </c>
    </row>
    <row r="536" spans="1:4" x14ac:dyDescent="0.45">
      <c r="A536" t="s">
        <v>2361</v>
      </c>
      <c r="B536" s="21" t="s">
        <v>2956</v>
      </c>
      <c r="C536" s="19" t="str">
        <f t="shared" si="17"/>
        <v>C20864:1</v>
      </c>
      <c r="D536" s="20" t="str">
        <f t="shared" si="18"/>
        <v>C20864 : 5'Triphospho-[mRNA]</v>
      </c>
    </row>
    <row r="537" spans="1:4" x14ac:dyDescent="0.45">
      <c r="A537" t="s">
        <v>2362</v>
      </c>
      <c r="B537" s="21" t="s">
        <v>2957</v>
      </c>
      <c r="C537" s="19" t="str">
        <f t="shared" si="17"/>
        <v>C20969:1</v>
      </c>
      <c r="D537" s="20" t="str">
        <f t="shared" si="18"/>
        <v>C20969 : Carboxyphosphate</v>
      </c>
    </row>
    <row r="538" spans="1:4" x14ac:dyDescent="0.45">
      <c r="A538" t="s">
        <v>1079</v>
      </c>
      <c r="B538" s="12" t="s">
        <v>2958</v>
      </c>
      <c r="C538" s="19" t="str">
        <f t="shared" si="17"/>
        <v>C21031:1</v>
      </c>
      <c r="D538" s="20" t="str">
        <f t="shared" si="18"/>
        <v>C21031 : 5-Hydroxymethylcytosine in DNA</v>
      </c>
    </row>
    <row r="539" spans="1:4" x14ac:dyDescent="0.45">
      <c r="A539" t="s">
        <v>2178</v>
      </c>
      <c r="B539" s="14" t="s">
        <v>2959</v>
      </c>
      <c r="C539" s="19" t="str">
        <f t="shared" si="17"/>
        <v>C21748:1</v>
      </c>
      <c r="D539" s="20" t="str">
        <f t="shared" si="18"/>
        <v>C21748 : 5-Fluorouridine diphosphate</v>
      </c>
    </row>
    <row r="540" spans="1:4" x14ac:dyDescent="0.45">
      <c r="A540" t="s">
        <v>2064</v>
      </c>
      <c r="B540" t="s">
        <v>2960</v>
      </c>
      <c r="C540" s="19" t="str">
        <f t="shared" si="17"/>
        <v>C21750:1</v>
      </c>
      <c r="D540" s="20" t="str">
        <f t="shared" si="18"/>
        <v>C21750 : 5-Fluorodeoxyuridine diphosphate</v>
      </c>
    </row>
    <row r="541" spans="1:4" x14ac:dyDescent="0.45">
      <c r="A541" t="s">
        <v>2023</v>
      </c>
      <c r="B541" s="21" t="s">
        <v>2961</v>
      </c>
      <c r="C541" s="19" t="str">
        <f t="shared" si="17"/>
        <v>C21811:1</v>
      </c>
      <c r="D541" s="20" t="str">
        <f t="shared" si="18"/>
        <v>C21811 : [(4-D-Ala)-(2-GlcNAc)-Rib-ol-P]n-[Gro-P]m-beta-ManNAc-(1-&gt;4)-alpha-GlcNAc-P-peptidoglycan</v>
      </c>
    </row>
    <row r="542" spans="1:4" x14ac:dyDescent="0.45">
      <c r="A542" t="s">
        <v>1947</v>
      </c>
      <c r="B542" s="21" t="s">
        <v>2962</v>
      </c>
      <c r="C542" s="19" t="str">
        <f t="shared" si="17"/>
        <v>C21812:1</v>
      </c>
      <c r="D542" s="20" t="str">
        <f t="shared" si="18"/>
        <v>C21812 : [(2-GlcNAc)-Rib-ol-P]n-[Gro-P]m-beta-ManNAc-(1-&gt;4)-alpha-GlcNAc-P-peptidoglycan</v>
      </c>
    </row>
    <row r="543" spans="1:4" x14ac:dyDescent="0.45">
      <c r="A543" t="s">
        <v>2036</v>
      </c>
      <c r="B543" s="14" t="s">
        <v>2963</v>
      </c>
      <c r="C543" s="19" t="str">
        <f t="shared" si="17"/>
        <v>C22131:1</v>
      </c>
      <c r="D543" s="20" t="str">
        <f t="shared" si="18"/>
        <v>C22131 : Protodeoxyviolaceinic acid</v>
      </c>
    </row>
    <row r="544" spans="1:4" x14ac:dyDescent="0.45">
      <c r="A544" t="s">
        <v>1975</v>
      </c>
      <c r="B544" s="14" t="s">
        <v>2964</v>
      </c>
      <c r="C544" s="19" t="str">
        <f t="shared" si="17"/>
        <v>C22288:1</v>
      </c>
      <c r="D544" s="20" t="str">
        <f t="shared" si="18"/>
        <v>C22288 : 5-Deoxy-D-ribose</v>
      </c>
    </row>
    <row r="545" spans="1:4" ht="28.5" x14ac:dyDescent="0.45">
      <c r="A545" t="s">
        <v>1101</v>
      </c>
      <c r="B545" s="12" t="s">
        <v>2965</v>
      </c>
      <c r="C545" s="19" t="str">
        <f t="shared" si="17"/>
        <v>C22395:1</v>
      </c>
      <c r="D545" s="20" t="str">
        <f t="shared" si="18"/>
        <v>C22395 :  N6-Succino-2-amino-2'-deoxyadenylate</v>
      </c>
    </row>
    <row r="546" spans="1:4" x14ac:dyDescent="0.45">
      <c r="A546" t="s">
        <v>2121</v>
      </c>
      <c r="B546" s="21" t="s">
        <v>2966</v>
      </c>
      <c r="C546" s="19" t="str">
        <f t="shared" si="17"/>
        <v>C22441:1</v>
      </c>
      <c r="D546" s="20" t="str">
        <f t="shared" si="18"/>
        <v>C22441 : dZMP</v>
      </c>
    </row>
    <row r="547" spans="1:4" x14ac:dyDescent="0.45">
      <c r="A547" t="s">
        <v>2217</v>
      </c>
      <c r="B547" s="21" t="s">
        <v>2967</v>
      </c>
      <c r="C547" s="19" t="str">
        <f t="shared" si="17"/>
        <v>C22442:1</v>
      </c>
      <c r="D547" s="20" t="str">
        <f t="shared" si="18"/>
        <v>C22442 : dZDP</v>
      </c>
    </row>
    <row r="548" spans="1:4" x14ac:dyDescent="0.45">
      <c r="A548" t="s">
        <v>2126</v>
      </c>
      <c r="B548" s="21" t="s">
        <v>2625</v>
      </c>
      <c r="C548" s="19" t="str">
        <f t="shared" si="17"/>
        <v>G00249:1</v>
      </c>
      <c r="D548" s="20" t="str">
        <f t="shared" si="18"/>
        <v>G00249 : Raffinose</v>
      </c>
    </row>
    <row r="549" spans="1:4" x14ac:dyDescent="0.45">
      <c r="A549" t="s">
        <v>2127</v>
      </c>
      <c r="B549" t="s">
        <v>2704</v>
      </c>
      <c r="C549" s="19" t="str">
        <f t="shared" si="17"/>
        <v>G00278:1</v>
      </c>
      <c r="D549" s="20" t="str">
        <f t="shared" si="18"/>
        <v>G00278 : Stachyose</v>
      </c>
    </row>
    <row r="550" spans="1:4" x14ac:dyDescent="0.45">
      <c r="A550" t="s">
        <v>2104</v>
      </c>
      <c r="B550" s="21" t="s">
        <v>2494</v>
      </c>
      <c r="C550" s="19" t="str">
        <f t="shared" si="17"/>
        <v>G00370:1</v>
      </c>
      <c r="D550" s="20" t="str">
        <f t="shared" si="18"/>
        <v xml:space="preserve">G00370 : Sucrose </v>
      </c>
    </row>
    <row r="551" spans="1:4" x14ac:dyDescent="0.45">
      <c r="A551" t="s">
        <v>2243</v>
      </c>
      <c r="B551" s="21" t="s">
        <v>2972</v>
      </c>
      <c r="C551" s="19" t="str">
        <f t="shared" si="17"/>
        <v>G00501:1</v>
      </c>
      <c r="D551" s="20" t="str">
        <f t="shared" si="18"/>
        <v>G00501 : Manninotriose</v>
      </c>
    </row>
    <row r="552" spans="1:4" x14ac:dyDescent="0.45">
      <c r="A552" t="s">
        <v>2242</v>
      </c>
      <c r="B552" s="21" t="s">
        <v>2843</v>
      </c>
      <c r="C552" s="19" t="str">
        <f t="shared" si="17"/>
        <v>G01275:1</v>
      </c>
      <c r="D552" s="20" t="str">
        <f t="shared" si="18"/>
        <v>G01275 : Melibiose</v>
      </c>
    </row>
    <row r="553" spans="1:4" x14ac:dyDescent="0.45">
      <c r="A553" t="s">
        <v>2099</v>
      </c>
      <c r="B553" s="21" t="s">
        <v>2973</v>
      </c>
      <c r="C553" s="19" t="str">
        <f t="shared" si="17"/>
        <v>G10495:1</v>
      </c>
      <c r="D553" s="20" t="str">
        <f t="shared" si="18"/>
        <v>G10495 : 1,4-alpha-D-Glucan</v>
      </c>
    </row>
    <row r="554" spans="1:4" x14ac:dyDescent="0.45">
      <c r="A554" t="s">
        <v>2128</v>
      </c>
      <c r="B554" s="21" t="s">
        <v>2974</v>
      </c>
      <c r="C554" s="19" t="str">
        <f t="shared" si="17"/>
        <v>G10508:1</v>
      </c>
      <c r="D554" s="20" t="str">
        <f t="shared" si="18"/>
        <v>G10508 : Sucrose 6'-phosphate</v>
      </c>
    </row>
    <row r="555" spans="1:4" x14ac:dyDescent="0.45">
      <c r="A555" t="s">
        <v>1972</v>
      </c>
      <c r="B555" s="12" t="s">
        <v>2981</v>
      </c>
      <c r="C555" s="19" t="str">
        <f t="shared" si="17"/>
        <v>G10518:1</v>
      </c>
      <c r="D555" s="20" t="str">
        <f t="shared" si="18"/>
        <v>G10518 :  (Glc)2 (P)1</v>
      </c>
    </row>
    <row r="556" spans="1:4" x14ac:dyDescent="0.45">
      <c r="A556" t="s">
        <v>2100</v>
      </c>
      <c r="B556" s="21" t="s">
        <v>2602</v>
      </c>
      <c r="C556" s="19" t="str">
        <f t="shared" si="17"/>
        <v>G10545:1</v>
      </c>
      <c r="D556" s="20" t="str">
        <f t="shared" si="18"/>
        <v>G10545 : Starch</v>
      </c>
    </row>
    <row r="557" spans="1:4" x14ac:dyDescent="0.45">
      <c r="A557" t="s">
        <v>2192</v>
      </c>
      <c r="B557" s="21" t="s">
        <v>2982</v>
      </c>
      <c r="C557" s="19" t="str">
        <f t="shared" si="17"/>
        <v>G10550:1</v>
      </c>
      <c r="D557" s="20" t="str">
        <f t="shared" si="18"/>
        <v>G10550 : (GlcNAc)1 (MurNAc)1 (D-Ala-D-Ala-Lys-D-Glu-Ala)1 (PP-Und)1</v>
      </c>
    </row>
    <row r="558" spans="1:4" ht="28.5" x14ac:dyDescent="0.45">
      <c r="A558" t="s">
        <v>1964</v>
      </c>
      <c r="B558" s="12" t="s">
        <v>2983</v>
      </c>
      <c r="C558" s="19" t="str">
        <f t="shared" si="17"/>
        <v>G10551:1</v>
      </c>
      <c r="D558" s="20" t="str">
        <f t="shared" si="18"/>
        <v>G10551 : (MurNAc)1 (D-Ala-D-Ala-Lys-D-Glu-Ala)1 (PP-Und)1</v>
      </c>
    </row>
    <row r="559" spans="1:4" ht="28.5" x14ac:dyDescent="0.45">
      <c r="A559" t="s">
        <v>1997</v>
      </c>
      <c r="B559" s="12" t="s">
        <v>2987</v>
      </c>
      <c r="C559" s="19" t="str">
        <f t="shared" si="17"/>
        <v>G10552:1</v>
      </c>
      <c r="D559" s="20" t="str">
        <f t="shared" si="18"/>
        <v>G10552 : (MurNAc)1 (D-Ala-D-Ala-Lys-gamma-D-Glu-Ala)1 (PP-Und)1</v>
      </c>
    </row>
    <row r="560" spans="1:4" ht="42.75" x14ac:dyDescent="0.45">
      <c r="A560" t="s">
        <v>2112</v>
      </c>
      <c r="B560" s="12" t="s">
        <v>2984</v>
      </c>
      <c r="C560" s="19" t="str">
        <f t="shared" si="17"/>
        <v>G10553:1</v>
      </c>
      <c r="D560" s="20" t="str">
        <f t="shared" si="18"/>
        <v>G10553 : (GlcNAc)1 (MurNAc)1 (D-Ala-D-Ala-Lys-gamma-D-Glu-Ala)1 (PP-Und)1</v>
      </c>
    </row>
    <row r="561" spans="1:4" x14ac:dyDescent="0.45">
      <c r="A561" t="s">
        <v>2363</v>
      </c>
      <c r="B561" t="s">
        <v>2985</v>
      </c>
      <c r="C561" s="19" t="str">
        <f t="shared" si="17"/>
        <v>G10554:1</v>
      </c>
      <c r="D561" s="20" t="str">
        <f t="shared" si="18"/>
        <v>G10554 : (GlcNAc)1 (MurNAc)1 (*)1 (D-Ala-D-Ala-Lys-gamma-D-Glu-Ala)1 (PP-Und)1</v>
      </c>
    </row>
    <row r="562" spans="1:4" x14ac:dyDescent="0.45">
      <c r="A562" t="s">
        <v>2113</v>
      </c>
      <c r="B562" s="21" t="s">
        <v>2986</v>
      </c>
      <c r="C562" s="19" t="str">
        <f t="shared" si="17"/>
        <v>G10555:1</v>
      </c>
      <c r="D562" s="20" t="str">
        <f t="shared" si="18"/>
        <v>G10555 : (GlcNAc)1 (MurNAc)1 (D-Ala-D-Ala-A2pm-gamma-D-Glu-Ala)1 (PP-Und)1</v>
      </c>
    </row>
    <row r="563" spans="1:4" ht="28.5" x14ac:dyDescent="0.45">
      <c r="A563" t="s">
        <v>2103</v>
      </c>
      <c r="B563" s="12" t="s">
        <v>2988</v>
      </c>
      <c r="C563" s="19" t="str">
        <f t="shared" si="17"/>
        <v>G10556:1</v>
      </c>
      <c r="D563" s="20" t="str">
        <f t="shared" si="18"/>
        <v>G10556 : (MurNAc)1 (D-Ala-D-Ala-A2pm-gamma-D-Glu-Ala)1 (PP-Und)1</v>
      </c>
    </row>
    <row r="564" spans="1:4" x14ac:dyDescent="0.45">
      <c r="A564" t="s">
        <v>2364</v>
      </c>
      <c r="B564" s="21" t="s">
        <v>2980</v>
      </c>
      <c r="C564" s="19" t="str">
        <f t="shared" si="17"/>
        <v>G10557:1</v>
      </c>
      <c r="D564" s="20" t="str">
        <f t="shared" si="18"/>
        <v>G10557 : (GlcNAc)1 (MurNAc)1 (*)1 (D-Ala-D-Ala-A2pm-gamma-D-Glu-Ala)1 (PP-Und)1</v>
      </c>
    </row>
    <row r="565" spans="1:4" x14ac:dyDescent="0.45">
      <c r="A565" t="s">
        <v>2365</v>
      </c>
      <c r="B565" s="21" t="s">
        <v>2975</v>
      </c>
      <c r="C565" s="19" t="str">
        <f t="shared" si="17"/>
        <v>G10610:1</v>
      </c>
      <c r="D565" s="20" t="str">
        <f t="shared" si="18"/>
        <v>G10610 : UDP-N-acetyl-D-glucosamine</v>
      </c>
    </row>
    <row r="566" spans="1:4" x14ac:dyDescent="0.45">
      <c r="A566" t="s">
        <v>2366</v>
      </c>
      <c r="B566" s="21" t="s">
        <v>2443</v>
      </c>
      <c r="C566" s="19" t="str">
        <f t="shared" si="17"/>
        <v>G10619:1</v>
      </c>
      <c r="D566" s="20" t="str">
        <f t="shared" si="18"/>
        <v>G10619 : UDP</v>
      </c>
    </row>
    <row r="567" spans="1:4" x14ac:dyDescent="0.45">
      <c r="A567" t="s">
        <v>2367</v>
      </c>
      <c r="B567" s="21" t="s">
        <v>2626</v>
      </c>
      <c r="C567" s="19" t="str">
        <f t="shared" si="17"/>
        <v>G11109:1</v>
      </c>
      <c r="D567" s="20" t="str">
        <f t="shared" si="18"/>
        <v>G11109 : ADP-glucose</v>
      </c>
    </row>
    <row r="568" spans="1:4" x14ac:dyDescent="0.45">
      <c r="A568" t="s">
        <v>2368</v>
      </c>
      <c r="B568" s="21" t="s">
        <v>2436</v>
      </c>
      <c r="C568" s="19" t="str">
        <f t="shared" si="17"/>
        <v>G11113:1</v>
      </c>
      <c r="D568" s="20" t="str">
        <f t="shared" si="18"/>
        <v>G11113 : ADP</v>
      </c>
    </row>
    <row r="569" spans="1:4" x14ac:dyDescent="0.45">
      <c r="A569" t="s">
        <v>2415</v>
      </c>
      <c r="B569" s="21" t="s">
        <v>2976</v>
      </c>
      <c r="C569" s="19" t="str">
        <f t="shared" si="17"/>
        <v>G13167:1</v>
      </c>
      <c r="D569" s="20" t="str">
        <f t="shared" si="18"/>
        <v>G13167 : alpha-Glycosylated WTA</v>
      </c>
    </row>
    <row r="570" spans="1:4" x14ac:dyDescent="0.45">
      <c r="A570" t="s">
        <v>2416</v>
      </c>
      <c r="B570" s="21" t="s">
        <v>2977</v>
      </c>
      <c r="C570" s="19" t="str">
        <f t="shared" si="17"/>
        <v>G13170:1</v>
      </c>
      <c r="D570" s="20" t="str">
        <f t="shared" si="18"/>
        <v>G13170 : beta-Glycosylated WTA</v>
      </c>
    </row>
    <row r="571" spans="1:4" ht="42.75" x14ac:dyDescent="0.45">
      <c r="A571" t="s">
        <v>2417</v>
      </c>
      <c r="B571" s="12" t="s">
        <v>2989</v>
      </c>
      <c r="C571" s="19" t="str">
        <f t="shared" si="17"/>
        <v>G13171:1</v>
      </c>
      <c r="D571" s="20" t="str">
        <f t="shared" si="18"/>
        <v>G13171 : (Ala)1 (Glc)1 (GlcNAc)1 (Gro)1 (ManNAc)1 (Rib-ol)2 (*)1 (P)3 (PP-Und)1</v>
      </c>
    </row>
    <row r="572" spans="1:4" x14ac:dyDescent="0.45">
      <c r="A572" t="s">
        <v>2418</v>
      </c>
      <c r="B572" s="21" t="s">
        <v>2978</v>
      </c>
      <c r="C572" s="19" t="str">
        <f t="shared" si="17"/>
        <v>G13174:1</v>
      </c>
      <c r="D572" s="20" t="str">
        <f t="shared" si="18"/>
        <v>G13174 : alpha-O-GlcNAcylated WTA</v>
      </c>
    </row>
    <row r="573" spans="1:4" ht="42.75" x14ac:dyDescent="0.45">
      <c r="A573" t="s">
        <v>2419</v>
      </c>
      <c r="B573" s="12" t="s">
        <v>2990</v>
      </c>
      <c r="C573" s="19" t="str">
        <f t="shared" si="17"/>
        <v>G13175:1</v>
      </c>
      <c r="D573" s="20" t="str">
        <f t="shared" si="18"/>
        <v>G13175 : (Ala)1 (GlcNAc)2 (Gro)2 (ManNAc)1 (Rib-ol)1 (*)1 (P)3 (PP-Und)1</v>
      </c>
    </row>
    <row r="574" spans="1:4" x14ac:dyDescent="0.45">
      <c r="A574" t="s">
        <v>2420</v>
      </c>
      <c r="B574" s="21" t="s">
        <v>2979</v>
      </c>
      <c r="C574" s="19" t="str">
        <f t="shared" si="17"/>
        <v>G13176:1</v>
      </c>
      <c r="D574" s="20" t="str">
        <f t="shared" si="18"/>
        <v>G13176 : beta-O-GlcNAcylated WTA</v>
      </c>
    </row>
    <row r="575" spans="1:4" x14ac:dyDescent="0.45">
      <c r="A575" t="s">
        <v>2421</v>
      </c>
      <c r="B575" s="21" t="s">
        <v>2990</v>
      </c>
      <c r="C575" s="19" t="str">
        <f t="shared" si="17"/>
        <v>G13177:1</v>
      </c>
      <c r="D575" s="20" t="str">
        <f t="shared" si="18"/>
        <v>G13177 : (Ala)1 (GlcNAc)2 (Gro)2 (ManNAc)1 (Rib-ol)1 (*)1 (P)3 (PP-Und)1</v>
      </c>
    </row>
    <row r="576" spans="1:4" ht="28.5" x14ac:dyDescent="0.45">
      <c r="A576" t="s">
        <v>2422</v>
      </c>
      <c r="B576" s="12" t="s">
        <v>2991</v>
      </c>
      <c r="C576" s="19" t="str">
        <f t="shared" si="17"/>
        <v>G13178:1</v>
      </c>
      <c r="D576" s="20" t="str">
        <f t="shared" si="18"/>
        <v>G13178 :  (GlcNAc)2 (Gro)2 (ManNAc)1 (Rib-ol)1 (*)1 (P)3 (PP-Und)1</v>
      </c>
    </row>
    <row r="577" spans="1:4" ht="28.5" x14ac:dyDescent="0.45">
      <c r="A577" t="s">
        <v>2423</v>
      </c>
      <c r="B577" s="12" t="s">
        <v>2992</v>
      </c>
      <c r="C577" s="19" t="str">
        <f t="shared" si="17"/>
        <v>G13180:1</v>
      </c>
      <c r="D577" s="20" t="str">
        <f t="shared" si="18"/>
        <v>G13180 : (Ala)1 (Glc)1 (GlcNAc)1 (Gro)2 (ManNAc)1 (*)1 (P)2 (PP-Und)1</v>
      </c>
    </row>
    <row r="578" spans="1:4" ht="28.5" x14ac:dyDescent="0.45">
      <c r="A578" t="s">
        <v>2424</v>
      </c>
      <c r="B578" s="12" t="s">
        <v>2993</v>
      </c>
      <c r="C578" s="19" t="str">
        <f t="shared" si="17"/>
        <v>G13185:1</v>
      </c>
      <c r="D578" s="20" t="str">
        <f t="shared" si="18"/>
        <v>G13185 :  (DAG)1 (Glc)2 (GlcNAc)1 (Gro)2 (*)1 (P)2</v>
      </c>
    </row>
    <row r="579" spans="1:4" ht="28.5" x14ac:dyDescent="0.45">
      <c r="A579" t="s">
        <v>2425</v>
      </c>
      <c r="B579" s="12" t="s">
        <v>2994</v>
      </c>
      <c r="C579" s="19" t="str">
        <f>CONCATENATE(A579,":","1")</f>
        <v>G13186:1</v>
      </c>
      <c r="D579" s="20" t="str">
        <f>CONCATENATE(A579," : ",B579)</f>
        <v>G13186 : (Ala)1 (DAG)1 (Glc)2 (GlcNAc)1 (Gro)2 (*)1 (P)2</v>
      </c>
    </row>
    <row r="580" spans="1:4" ht="28.5" x14ac:dyDescent="0.45">
      <c r="A580" t="s">
        <v>2426</v>
      </c>
      <c r="B580" s="12" t="s">
        <v>2995</v>
      </c>
      <c r="C580" s="19" t="str">
        <f>CONCATENATE(A580,":","1")</f>
        <v>G13192:1</v>
      </c>
      <c r="D580" s="20" t="str">
        <f>CONCATENATE(A580," : ",B580)</f>
        <v>G13192 : (DAG)1 (Gal)2 (Glc)1 (Gro)2 (*)1 (P)2</v>
      </c>
    </row>
    <row r="581" spans="1:4" ht="28.5" x14ac:dyDescent="0.45">
      <c r="A581" t="s">
        <v>2427</v>
      </c>
      <c r="B581" s="12" t="s">
        <v>2996</v>
      </c>
      <c r="C581" s="19" t="str">
        <f>CONCATENATE(A581,":","1")</f>
        <v>G13193:1</v>
      </c>
      <c r="D581" s="20" t="str">
        <f>CONCATENATE(A581," : ",B581)</f>
        <v>G13193 : (Ala)1 (DAG)1 (Gal)2 (Glc)1 (Gro)2 (*)1 (P)2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01"/>
  <sheetViews>
    <sheetView workbookViewId="0">
      <pane ySplit="1" topLeftCell="A6" activePane="bottomLeft" state="frozen"/>
      <selection pane="bottomLeft" activeCell="C314" sqref="C314"/>
    </sheetView>
  </sheetViews>
  <sheetFormatPr defaultRowHeight="14.25" x14ac:dyDescent="0.45"/>
  <cols>
    <col min="1" max="1" width="4.265625" customWidth="1"/>
    <col min="2" max="2" width="10.796875" customWidth="1"/>
    <col min="3" max="3" width="19.19921875" customWidth="1"/>
    <col min="4" max="4" width="14.73046875" customWidth="1"/>
    <col min="5" max="5" width="21.73046875" style="39" customWidth="1"/>
    <col min="6" max="6" width="19.19921875" style="41" customWidth="1"/>
    <col min="7" max="7" width="34.53125" style="34" customWidth="1"/>
    <col min="8" max="8" width="25.796875" style="35" customWidth="1"/>
    <col min="9" max="9" width="24.265625" style="36" customWidth="1"/>
    <col min="10" max="10" width="24.265625" style="19" customWidth="1"/>
    <col min="11" max="11" width="34.53125" style="37" customWidth="1"/>
    <col min="12" max="12" width="45.796875" style="34" customWidth="1"/>
    <col min="13" max="13" width="59" style="38" customWidth="1"/>
    <col min="14" max="14" width="75.53125" style="39" customWidth="1"/>
  </cols>
  <sheetData>
    <row r="1" spans="1:14" s="26" customFormat="1" ht="28.5" x14ac:dyDescent="0.45">
      <c r="A1" s="26" t="s">
        <v>3597</v>
      </c>
      <c r="B1" s="26" t="s">
        <v>1909</v>
      </c>
      <c r="C1" s="26" t="s">
        <v>1911</v>
      </c>
      <c r="D1" s="26" t="s">
        <v>1908</v>
      </c>
      <c r="E1" s="33" t="s">
        <v>3599</v>
      </c>
      <c r="F1" s="40" t="s">
        <v>3600</v>
      </c>
      <c r="G1" s="27" t="s">
        <v>3019</v>
      </c>
      <c r="H1" s="28" t="s">
        <v>3020</v>
      </c>
      <c r="I1" s="29" t="s">
        <v>3021</v>
      </c>
      <c r="J1" s="30" t="s">
        <v>3022</v>
      </c>
      <c r="K1" s="31" t="s">
        <v>3023</v>
      </c>
      <c r="L1" s="27" t="s">
        <v>1910</v>
      </c>
      <c r="M1" s="32" t="s">
        <v>3024</v>
      </c>
      <c r="N1" s="33" t="s">
        <v>3025</v>
      </c>
    </row>
    <row r="2" spans="1:14" x14ac:dyDescent="0.45">
      <c r="A2">
        <v>1</v>
      </c>
      <c r="B2" t="s">
        <v>1834</v>
      </c>
      <c r="C2" t="str">
        <f t="shared" ref="C2:C65" si="0">CONCATENATE(D2,"_mRNA")</f>
        <v>E1_1_1_1_mRNA</v>
      </c>
      <c r="D2" t="str">
        <f t="shared" ref="D2:D65" si="1">CONCATENATE("E",B2)</f>
        <v>E1_1_1_1</v>
      </c>
      <c r="E2" s="39" t="str">
        <f t="shared" ref="E2:E65" si="2">CONCATENATE("E",B2,"_kcat : 13.7")</f>
        <v>E1_1_1_1_kcat : 13.7</v>
      </c>
      <c r="F2" s="41" t="str">
        <f t="shared" ref="F2:F65" si="3">CONCATENATE("E",B2,"_km : 1")</f>
        <v>E1_1_1_1_km : 1</v>
      </c>
      <c r="G2" s="34" t="str">
        <f t="shared" ref="G2:G65" si="4">CONCATENATE(C2," : ",C2)</f>
        <v>E1_1_1_1_mRNA : E1_1_1_1_mRNA</v>
      </c>
      <c r="H2" s="35" t="str">
        <f t="shared" ref="H2:H65" si="5">CONCATENATE(D2," : ",D2)</f>
        <v>E1_1_1_1 : E1_1_1_1</v>
      </c>
      <c r="I2" s="36" t="str">
        <f t="shared" ref="I2:I65" si="6">CONCATENATE(C2," : ","0")</f>
        <v>E1_1_1_1_mRNA : 0</v>
      </c>
      <c r="J2" s="19" t="str">
        <f t="shared" ref="J2:J65" si="7">CONCATENATE(D2," : ","0")</f>
        <v>E1_1_1_1 : 0</v>
      </c>
      <c r="K2" s="37" t="str">
        <f t="shared" ref="K2:K65" si="8">CONCATENATE("0.00292 - (0.0093 * ",C2,")")</f>
        <v>0.00292 - (0.0093 * E1_1_1_1_mRNA)</v>
      </c>
      <c r="L2" s="34" t="str">
        <f t="shared" ref="L2:L65" si="9">CONCATENATE("(0.278 * ",C2,")"," - (0.00000278 * ",D2,")")</f>
        <v>(0.278 * E1_1_1_1_mRNA) - (0.00000278 * E1_1_1_1)</v>
      </c>
      <c r="M2" s="38" t="str">
        <f t="shared" ref="M2:M65" si="10">CONCATENATE("mRNA",A2,": -&gt; ",C2," | ","0.00292"," - ","(","0.0093"," * ",C2,")")</f>
        <v>mRNA1: -&gt; E1_1_1_1_mRNA | 0.00292 - (0.0093 * E1_1_1_1_mRNA)</v>
      </c>
      <c r="N2" s="39" t="str">
        <f t="shared" ref="N2:N65" si="11">CONCATENATE("Peptide",A2,": ",C2," -&gt; ",D2," | ","(","0.278"," * ",C2,")"," - ","(","0.000000278"," * ",D2,")")</f>
        <v>Peptide1: E1_1_1_1_mRNA -&gt; E1_1_1_1 | (0.278 * E1_1_1_1_mRNA) - (0.000000278 * E1_1_1_1)</v>
      </c>
    </row>
    <row r="3" spans="1:14" x14ac:dyDescent="0.45">
      <c r="A3">
        <v>2</v>
      </c>
      <c r="B3" t="s">
        <v>10309</v>
      </c>
      <c r="C3" t="str">
        <f t="shared" si="0"/>
        <v>E1_1_1_100_mRNA</v>
      </c>
      <c r="D3" t="str">
        <f t="shared" si="1"/>
        <v>E1_1_1_100</v>
      </c>
      <c r="E3" s="39" t="str">
        <f t="shared" si="2"/>
        <v>E1_1_1_100_kcat : 13.7</v>
      </c>
      <c r="F3" s="41" t="str">
        <f t="shared" si="3"/>
        <v>E1_1_1_100_km : 1</v>
      </c>
      <c r="G3" s="34" t="str">
        <f t="shared" si="4"/>
        <v>E1_1_1_100_mRNA : E1_1_1_100_mRNA</v>
      </c>
      <c r="H3" s="35" t="str">
        <f t="shared" si="5"/>
        <v>E1_1_1_100 : E1_1_1_100</v>
      </c>
      <c r="I3" s="36" t="str">
        <f t="shared" si="6"/>
        <v>E1_1_1_100_mRNA : 0</v>
      </c>
      <c r="J3" s="19" t="str">
        <f t="shared" si="7"/>
        <v>E1_1_1_100 : 0</v>
      </c>
      <c r="K3" s="37" t="str">
        <f t="shared" si="8"/>
        <v>0.00292 - (0.0093 * E1_1_1_100_mRNA)</v>
      </c>
      <c r="L3" s="34" t="str">
        <f t="shared" si="9"/>
        <v>(0.278 * E1_1_1_100_mRNA) - (0.00000278 * E1_1_1_100)</v>
      </c>
      <c r="M3" s="38" t="str">
        <f t="shared" si="10"/>
        <v>mRNA2: -&gt; E1_1_1_100_mRNA | 0.00292 - (0.0093 * E1_1_1_100_mRNA)</v>
      </c>
      <c r="N3" s="39" t="str">
        <f t="shared" si="11"/>
        <v>Peptide2: E1_1_1_100_mRNA -&gt; E1_1_1_100 | (0.278 * E1_1_1_100_mRNA) - (0.000000278 * E1_1_1_100)</v>
      </c>
    </row>
    <row r="4" spans="1:14" x14ac:dyDescent="0.45">
      <c r="A4">
        <v>3</v>
      </c>
      <c r="B4" t="s">
        <v>10310</v>
      </c>
      <c r="C4" t="str">
        <f t="shared" si="0"/>
        <v>E1_1_1_133_mRNA</v>
      </c>
      <c r="D4" t="str">
        <f t="shared" si="1"/>
        <v>E1_1_1_133</v>
      </c>
      <c r="E4" s="39" t="str">
        <f t="shared" si="2"/>
        <v>E1_1_1_133_kcat : 13.7</v>
      </c>
      <c r="F4" s="41" t="str">
        <f t="shared" si="3"/>
        <v>E1_1_1_133_km : 1</v>
      </c>
      <c r="G4" s="34" t="str">
        <f t="shared" si="4"/>
        <v>E1_1_1_133_mRNA : E1_1_1_133_mRNA</v>
      </c>
      <c r="H4" s="35" t="str">
        <f t="shared" si="5"/>
        <v>E1_1_1_133 : E1_1_1_133</v>
      </c>
      <c r="I4" s="36" t="str">
        <f t="shared" si="6"/>
        <v>E1_1_1_133_mRNA : 0</v>
      </c>
      <c r="J4" s="19" t="str">
        <f t="shared" si="7"/>
        <v>E1_1_1_133 : 0</v>
      </c>
      <c r="K4" s="37" t="str">
        <f t="shared" si="8"/>
        <v>0.00292 - (0.0093 * E1_1_1_133_mRNA)</v>
      </c>
      <c r="L4" s="34" t="str">
        <f t="shared" si="9"/>
        <v>(0.278 * E1_1_1_133_mRNA) - (0.00000278 * E1_1_1_133)</v>
      </c>
      <c r="M4" s="38" t="str">
        <f t="shared" si="10"/>
        <v>mRNA3: -&gt; E1_1_1_133_mRNA | 0.00292 - (0.0093 * E1_1_1_133_mRNA)</v>
      </c>
      <c r="N4" s="39" t="str">
        <f t="shared" si="11"/>
        <v>Peptide3: E1_1_1_133_mRNA -&gt; E1_1_1_133 | (0.278 * E1_1_1_133_mRNA) - (0.000000278 * E1_1_1_133)</v>
      </c>
    </row>
    <row r="5" spans="1:14" x14ac:dyDescent="0.45">
      <c r="A5">
        <v>4</v>
      </c>
      <c r="B5" t="s">
        <v>10311</v>
      </c>
      <c r="C5" t="str">
        <f t="shared" si="0"/>
        <v>E1_1_1_169_mRNA</v>
      </c>
      <c r="D5" t="str">
        <f t="shared" si="1"/>
        <v>E1_1_1_169</v>
      </c>
      <c r="E5" s="39" t="str">
        <f t="shared" si="2"/>
        <v>E1_1_1_169_kcat : 13.7</v>
      </c>
      <c r="F5" s="41" t="str">
        <f t="shared" si="3"/>
        <v>E1_1_1_169_km : 1</v>
      </c>
      <c r="G5" s="34" t="str">
        <f t="shared" si="4"/>
        <v>E1_1_1_169_mRNA : E1_1_1_169_mRNA</v>
      </c>
      <c r="H5" s="35" t="str">
        <f t="shared" si="5"/>
        <v>E1_1_1_169 : E1_1_1_169</v>
      </c>
      <c r="I5" s="36" t="str">
        <f t="shared" si="6"/>
        <v>E1_1_1_169_mRNA : 0</v>
      </c>
      <c r="J5" s="19" t="str">
        <f t="shared" si="7"/>
        <v>E1_1_1_169 : 0</v>
      </c>
      <c r="K5" s="37" t="str">
        <f t="shared" si="8"/>
        <v>0.00292 - (0.0093 * E1_1_1_169_mRNA)</v>
      </c>
      <c r="L5" s="34" t="str">
        <f t="shared" si="9"/>
        <v>(0.278 * E1_1_1_169_mRNA) - (0.00000278 * E1_1_1_169)</v>
      </c>
      <c r="M5" s="38" t="str">
        <f t="shared" si="10"/>
        <v>mRNA4: -&gt; E1_1_1_169_mRNA | 0.00292 - (0.0093 * E1_1_1_169_mRNA)</v>
      </c>
      <c r="N5" s="39" t="str">
        <f t="shared" si="11"/>
        <v>Peptide4: E1_1_1_169_mRNA -&gt; E1_1_1_169 | (0.278 * E1_1_1_169_mRNA) - (0.000000278 * E1_1_1_169)</v>
      </c>
    </row>
    <row r="6" spans="1:14" x14ac:dyDescent="0.45">
      <c r="A6">
        <v>5</v>
      </c>
      <c r="B6" t="s">
        <v>10312</v>
      </c>
      <c r="C6" t="str">
        <f t="shared" si="0"/>
        <v>E1_1_1_205_mRNA</v>
      </c>
      <c r="D6" t="str">
        <f t="shared" si="1"/>
        <v>E1_1_1_205</v>
      </c>
      <c r="E6" s="39" t="str">
        <f t="shared" si="2"/>
        <v>E1_1_1_205_kcat : 13.7</v>
      </c>
      <c r="F6" s="41" t="str">
        <f t="shared" si="3"/>
        <v>E1_1_1_205_km : 1</v>
      </c>
      <c r="G6" s="34" t="str">
        <f t="shared" si="4"/>
        <v>E1_1_1_205_mRNA : E1_1_1_205_mRNA</v>
      </c>
      <c r="H6" s="35" t="str">
        <f t="shared" si="5"/>
        <v>E1_1_1_205 : E1_1_1_205</v>
      </c>
      <c r="I6" s="36" t="str">
        <f t="shared" si="6"/>
        <v>E1_1_1_205_mRNA : 0</v>
      </c>
      <c r="J6" s="19" t="str">
        <f t="shared" si="7"/>
        <v>E1_1_1_205 : 0</v>
      </c>
      <c r="K6" s="37" t="str">
        <f t="shared" si="8"/>
        <v>0.00292 - (0.0093 * E1_1_1_205_mRNA)</v>
      </c>
      <c r="L6" s="34" t="str">
        <f t="shared" si="9"/>
        <v>(0.278 * E1_1_1_205_mRNA) - (0.00000278 * E1_1_1_205)</v>
      </c>
      <c r="M6" s="38" t="str">
        <f t="shared" si="10"/>
        <v>mRNA5: -&gt; E1_1_1_205_mRNA | 0.00292 - (0.0093 * E1_1_1_205_mRNA)</v>
      </c>
      <c r="N6" s="39" t="str">
        <f t="shared" si="11"/>
        <v>Peptide5: E1_1_1_205_mRNA -&gt; E1_1_1_205 | (0.278 * E1_1_1_205_mRNA) - (0.000000278 * E1_1_1_205)</v>
      </c>
    </row>
    <row r="7" spans="1:14" x14ac:dyDescent="0.45">
      <c r="A7">
        <v>6</v>
      </c>
      <c r="B7" t="s">
        <v>10313</v>
      </c>
      <c r="C7" t="str">
        <f t="shared" si="0"/>
        <v>E1_1_1_25_mRNA</v>
      </c>
      <c r="D7" t="str">
        <f t="shared" si="1"/>
        <v>E1_1_1_25</v>
      </c>
      <c r="E7" s="39" t="str">
        <f t="shared" si="2"/>
        <v>E1_1_1_25_kcat : 13.7</v>
      </c>
      <c r="F7" s="41" t="str">
        <f t="shared" si="3"/>
        <v>E1_1_1_25_km : 1</v>
      </c>
      <c r="G7" s="34" t="str">
        <f t="shared" si="4"/>
        <v>E1_1_1_25_mRNA : E1_1_1_25_mRNA</v>
      </c>
      <c r="H7" s="35" t="str">
        <f t="shared" si="5"/>
        <v>E1_1_1_25 : E1_1_1_25</v>
      </c>
      <c r="I7" s="36" t="str">
        <f t="shared" si="6"/>
        <v>E1_1_1_25_mRNA : 0</v>
      </c>
      <c r="J7" s="19" t="str">
        <f t="shared" si="7"/>
        <v>E1_1_1_25 : 0</v>
      </c>
      <c r="K7" s="37" t="str">
        <f t="shared" si="8"/>
        <v>0.00292 - (0.0093 * E1_1_1_25_mRNA)</v>
      </c>
      <c r="L7" s="34" t="str">
        <f t="shared" si="9"/>
        <v>(0.278 * E1_1_1_25_mRNA) - (0.00000278 * E1_1_1_25)</v>
      </c>
      <c r="M7" s="38" t="str">
        <f t="shared" si="10"/>
        <v>mRNA6: -&gt; E1_1_1_25_mRNA | 0.00292 - (0.0093 * E1_1_1_25_mRNA)</v>
      </c>
      <c r="N7" s="39" t="str">
        <f t="shared" si="11"/>
        <v>Peptide6: E1_1_1_25_mRNA -&gt; E1_1_1_25 | (0.278 * E1_1_1_25_mRNA) - (0.000000278 * E1_1_1_25)</v>
      </c>
    </row>
    <row r="8" spans="1:14" x14ac:dyDescent="0.45">
      <c r="A8">
        <v>7</v>
      </c>
      <c r="B8" t="s">
        <v>1847</v>
      </c>
      <c r="C8" t="str">
        <f t="shared" si="0"/>
        <v>E1_1_1_27_mRNA</v>
      </c>
      <c r="D8" t="str">
        <f t="shared" si="1"/>
        <v>E1_1_1_27</v>
      </c>
      <c r="E8" s="39" t="str">
        <f t="shared" si="2"/>
        <v>E1_1_1_27_kcat : 13.7</v>
      </c>
      <c r="F8" s="41" t="str">
        <f t="shared" si="3"/>
        <v>E1_1_1_27_km : 1</v>
      </c>
      <c r="G8" s="34" t="str">
        <f t="shared" si="4"/>
        <v>E1_1_1_27_mRNA : E1_1_1_27_mRNA</v>
      </c>
      <c r="H8" s="35" t="str">
        <f t="shared" si="5"/>
        <v>E1_1_1_27 : E1_1_1_27</v>
      </c>
      <c r="I8" s="36" t="str">
        <f t="shared" si="6"/>
        <v>E1_1_1_27_mRNA : 0</v>
      </c>
      <c r="J8" s="19" t="str">
        <f t="shared" si="7"/>
        <v>E1_1_1_27 : 0</v>
      </c>
      <c r="K8" s="37" t="str">
        <f t="shared" si="8"/>
        <v>0.00292 - (0.0093 * E1_1_1_27_mRNA)</v>
      </c>
      <c r="L8" s="34" t="str">
        <f t="shared" si="9"/>
        <v>(0.278 * E1_1_1_27_mRNA) - (0.00000278 * E1_1_1_27)</v>
      </c>
      <c r="M8" s="38" t="str">
        <f t="shared" si="10"/>
        <v>mRNA7: -&gt; E1_1_1_27_mRNA | 0.00292 - (0.0093 * E1_1_1_27_mRNA)</v>
      </c>
      <c r="N8" s="39" t="str">
        <f t="shared" si="11"/>
        <v>Peptide7: E1_1_1_27_mRNA -&gt; E1_1_1_27 | (0.278 * E1_1_1_27_mRNA) - (0.000000278 * E1_1_1_27)</v>
      </c>
    </row>
    <row r="9" spans="1:14" x14ac:dyDescent="0.45">
      <c r="A9">
        <v>8</v>
      </c>
      <c r="B9" t="s">
        <v>1855</v>
      </c>
      <c r="C9" t="str">
        <f t="shared" si="0"/>
        <v>E1_1_1_3_mRNA</v>
      </c>
      <c r="D9" t="str">
        <f t="shared" si="1"/>
        <v>E1_1_1_3</v>
      </c>
      <c r="E9" s="39" t="str">
        <f t="shared" si="2"/>
        <v>E1_1_1_3_kcat : 13.7</v>
      </c>
      <c r="F9" s="41" t="str">
        <f t="shared" si="3"/>
        <v>E1_1_1_3_km : 1</v>
      </c>
      <c r="G9" s="34" t="str">
        <f t="shared" si="4"/>
        <v>E1_1_1_3_mRNA : E1_1_1_3_mRNA</v>
      </c>
      <c r="H9" s="35" t="str">
        <f t="shared" si="5"/>
        <v>E1_1_1_3 : E1_1_1_3</v>
      </c>
      <c r="I9" s="36" t="str">
        <f t="shared" si="6"/>
        <v>E1_1_1_3_mRNA : 0</v>
      </c>
      <c r="J9" s="19" t="str">
        <f t="shared" si="7"/>
        <v>E1_1_1_3 : 0</v>
      </c>
      <c r="K9" s="37" t="str">
        <f t="shared" si="8"/>
        <v>0.00292 - (0.0093 * E1_1_1_3_mRNA)</v>
      </c>
      <c r="L9" s="34" t="str">
        <f t="shared" si="9"/>
        <v>(0.278 * E1_1_1_3_mRNA) - (0.00000278 * E1_1_1_3)</v>
      </c>
      <c r="M9" s="38" t="str">
        <f t="shared" si="10"/>
        <v>mRNA8: -&gt; E1_1_1_3_mRNA | 0.00292 - (0.0093 * E1_1_1_3_mRNA)</v>
      </c>
      <c r="N9" s="39" t="str">
        <f t="shared" si="11"/>
        <v>Peptide8: E1_1_1_3_mRNA -&gt; E1_1_1_3 | (0.278 * E1_1_1_3_mRNA) - (0.000000278 * E1_1_1_3)</v>
      </c>
    </row>
    <row r="10" spans="1:14" x14ac:dyDescent="0.45">
      <c r="A10">
        <v>9</v>
      </c>
      <c r="B10" t="s">
        <v>10314</v>
      </c>
      <c r="C10" t="str">
        <f t="shared" si="0"/>
        <v>E1_1_1_6_mRNA</v>
      </c>
      <c r="D10" t="str">
        <f t="shared" si="1"/>
        <v>E1_1_1_6</v>
      </c>
      <c r="E10" s="39" t="str">
        <f t="shared" si="2"/>
        <v>E1_1_1_6_kcat : 13.7</v>
      </c>
      <c r="F10" s="41" t="str">
        <f t="shared" si="3"/>
        <v>E1_1_1_6_km : 1</v>
      </c>
      <c r="G10" s="34" t="str">
        <f t="shared" si="4"/>
        <v>E1_1_1_6_mRNA : E1_1_1_6_mRNA</v>
      </c>
      <c r="H10" s="35" t="str">
        <f t="shared" si="5"/>
        <v>E1_1_1_6 : E1_1_1_6</v>
      </c>
      <c r="I10" s="36" t="str">
        <f t="shared" si="6"/>
        <v>E1_1_1_6_mRNA : 0</v>
      </c>
      <c r="J10" s="19" t="str">
        <f t="shared" si="7"/>
        <v>E1_1_1_6 : 0</v>
      </c>
      <c r="K10" s="37" t="str">
        <f t="shared" si="8"/>
        <v>0.00292 - (0.0093 * E1_1_1_6_mRNA)</v>
      </c>
      <c r="L10" s="34" t="str">
        <f t="shared" si="9"/>
        <v>(0.278 * E1_1_1_6_mRNA) - (0.00000278 * E1_1_1_6)</v>
      </c>
      <c r="M10" s="38" t="str">
        <f t="shared" si="10"/>
        <v>mRNA9: -&gt; E1_1_1_6_mRNA | 0.00292 - (0.0093 * E1_1_1_6_mRNA)</v>
      </c>
      <c r="N10" s="39" t="str">
        <f t="shared" si="11"/>
        <v>Peptide9: E1_1_1_6_mRNA -&gt; E1_1_1_6 | (0.278 * E1_1_1_6_mRNA) - (0.000000278 * E1_1_1_6)</v>
      </c>
    </row>
    <row r="11" spans="1:14" x14ac:dyDescent="0.45">
      <c r="A11">
        <v>10</v>
      </c>
      <c r="B11" t="s">
        <v>10315</v>
      </c>
      <c r="C11" t="str">
        <f t="shared" si="0"/>
        <v>E1_1_1_69_mRNA</v>
      </c>
      <c r="D11" t="str">
        <f t="shared" si="1"/>
        <v>E1_1_1_69</v>
      </c>
      <c r="E11" s="39" t="str">
        <f t="shared" si="2"/>
        <v>E1_1_1_69_kcat : 13.7</v>
      </c>
      <c r="F11" s="41" t="str">
        <f t="shared" si="3"/>
        <v>E1_1_1_69_km : 1</v>
      </c>
      <c r="G11" s="34" t="str">
        <f t="shared" si="4"/>
        <v>E1_1_1_69_mRNA : E1_1_1_69_mRNA</v>
      </c>
      <c r="H11" s="35" t="str">
        <f t="shared" si="5"/>
        <v>E1_1_1_69 : E1_1_1_69</v>
      </c>
      <c r="I11" s="36" t="str">
        <f t="shared" si="6"/>
        <v>E1_1_1_69_mRNA : 0</v>
      </c>
      <c r="J11" s="19" t="str">
        <f t="shared" si="7"/>
        <v>E1_1_1_69 : 0</v>
      </c>
      <c r="K11" s="37" t="str">
        <f t="shared" si="8"/>
        <v>0.00292 - (0.0093 * E1_1_1_69_mRNA)</v>
      </c>
      <c r="L11" s="34" t="str">
        <f t="shared" si="9"/>
        <v>(0.278 * E1_1_1_69_mRNA) - (0.00000278 * E1_1_1_69)</v>
      </c>
      <c r="M11" s="38" t="str">
        <f t="shared" si="10"/>
        <v>mRNA10: -&gt; E1_1_1_69_mRNA | 0.00292 - (0.0093 * E1_1_1_69_mRNA)</v>
      </c>
      <c r="N11" s="39" t="str">
        <f t="shared" si="11"/>
        <v>Peptide10: E1_1_1_69_mRNA -&gt; E1_1_1_69 | (0.278 * E1_1_1_69_mRNA) - (0.000000278 * E1_1_1_69)</v>
      </c>
    </row>
    <row r="12" spans="1:14" x14ac:dyDescent="0.45">
      <c r="A12">
        <v>11</v>
      </c>
      <c r="B12" t="s">
        <v>10316</v>
      </c>
      <c r="C12" t="str">
        <f t="shared" si="0"/>
        <v>E1_1_1_88_mRNA</v>
      </c>
      <c r="D12" t="str">
        <f t="shared" si="1"/>
        <v>E1_1_1_88</v>
      </c>
      <c r="E12" s="39" t="str">
        <f t="shared" si="2"/>
        <v>E1_1_1_88_kcat : 13.7</v>
      </c>
      <c r="F12" s="41" t="str">
        <f t="shared" si="3"/>
        <v>E1_1_1_88_km : 1</v>
      </c>
      <c r="G12" s="34" t="str">
        <f t="shared" si="4"/>
        <v>E1_1_1_88_mRNA : E1_1_1_88_mRNA</v>
      </c>
      <c r="H12" s="35" t="str">
        <f t="shared" si="5"/>
        <v>E1_1_1_88 : E1_1_1_88</v>
      </c>
      <c r="I12" s="36" t="str">
        <f t="shared" si="6"/>
        <v>E1_1_1_88_mRNA : 0</v>
      </c>
      <c r="J12" s="19" t="str">
        <f t="shared" si="7"/>
        <v>E1_1_1_88 : 0</v>
      </c>
      <c r="K12" s="37" t="str">
        <f t="shared" si="8"/>
        <v>0.00292 - (0.0093 * E1_1_1_88_mRNA)</v>
      </c>
      <c r="L12" s="34" t="str">
        <f t="shared" si="9"/>
        <v>(0.278 * E1_1_1_88_mRNA) - (0.00000278 * E1_1_1_88)</v>
      </c>
      <c r="M12" s="38" t="str">
        <f t="shared" si="10"/>
        <v>mRNA11: -&gt; E1_1_1_88_mRNA | 0.00292 - (0.0093 * E1_1_1_88_mRNA)</v>
      </c>
      <c r="N12" s="39" t="str">
        <f t="shared" si="11"/>
        <v>Peptide11: E1_1_1_88_mRNA -&gt; E1_1_1_88 | (0.278 * E1_1_1_88_mRNA) - (0.000000278 * E1_1_1_88)</v>
      </c>
    </row>
    <row r="13" spans="1:14" x14ac:dyDescent="0.45">
      <c r="A13">
        <v>12</v>
      </c>
      <c r="B13" t="s">
        <v>1828</v>
      </c>
      <c r="C13" t="str">
        <f t="shared" si="0"/>
        <v>E1_1_1_94_mRNA</v>
      </c>
      <c r="D13" t="str">
        <f t="shared" si="1"/>
        <v>E1_1_1_94</v>
      </c>
      <c r="E13" s="39" t="str">
        <f t="shared" si="2"/>
        <v>E1_1_1_94_kcat : 13.7</v>
      </c>
      <c r="F13" s="41" t="str">
        <f t="shared" si="3"/>
        <v>E1_1_1_94_km : 1</v>
      </c>
      <c r="G13" s="34" t="str">
        <f t="shared" si="4"/>
        <v>E1_1_1_94_mRNA : E1_1_1_94_mRNA</v>
      </c>
      <c r="H13" s="35" t="str">
        <f t="shared" si="5"/>
        <v>E1_1_1_94 : E1_1_1_94</v>
      </c>
      <c r="I13" s="36" t="str">
        <f t="shared" si="6"/>
        <v>E1_1_1_94_mRNA : 0</v>
      </c>
      <c r="J13" s="19" t="str">
        <f t="shared" si="7"/>
        <v>E1_1_1_94 : 0</v>
      </c>
      <c r="K13" s="37" t="str">
        <f t="shared" si="8"/>
        <v>0.00292 - (0.0093 * E1_1_1_94_mRNA)</v>
      </c>
      <c r="L13" s="34" t="str">
        <f t="shared" si="9"/>
        <v>(0.278 * E1_1_1_94_mRNA) - (0.00000278 * E1_1_1_94)</v>
      </c>
      <c r="M13" s="38" t="str">
        <f t="shared" si="10"/>
        <v>mRNA12: -&gt; E1_1_1_94_mRNA | 0.00292 - (0.0093 * E1_1_1_94_mRNA)</v>
      </c>
      <c r="N13" s="39" t="str">
        <f t="shared" si="11"/>
        <v>Peptide12: E1_1_1_94_mRNA -&gt; E1_1_1_94 | (0.278 * E1_1_1_94_mRNA) - (0.000000278 * E1_1_1_94)</v>
      </c>
    </row>
    <row r="14" spans="1:14" x14ac:dyDescent="0.45">
      <c r="A14">
        <v>13</v>
      </c>
      <c r="B14" t="s">
        <v>10317</v>
      </c>
      <c r="C14" t="str">
        <f t="shared" si="0"/>
        <v>E1_11_1_26_mRNA</v>
      </c>
      <c r="D14" t="str">
        <f t="shared" si="1"/>
        <v>E1_11_1_26</v>
      </c>
      <c r="E14" s="39" t="str">
        <f t="shared" si="2"/>
        <v>E1_11_1_26_kcat : 13.7</v>
      </c>
      <c r="F14" s="41" t="str">
        <f t="shared" si="3"/>
        <v>E1_11_1_26_km : 1</v>
      </c>
      <c r="G14" s="34" t="str">
        <f t="shared" si="4"/>
        <v>E1_11_1_26_mRNA : E1_11_1_26_mRNA</v>
      </c>
      <c r="H14" s="35" t="str">
        <f t="shared" si="5"/>
        <v>E1_11_1_26 : E1_11_1_26</v>
      </c>
      <c r="I14" s="36" t="str">
        <f t="shared" si="6"/>
        <v>E1_11_1_26_mRNA : 0</v>
      </c>
      <c r="J14" s="19" t="str">
        <f t="shared" si="7"/>
        <v>E1_11_1_26 : 0</v>
      </c>
      <c r="K14" s="37" t="str">
        <f t="shared" si="8"/>
        <v>0.00292 - (0.0093 * E1_11_1_26_mRNA)</v>
      </c>
      <c r="L14" s="34" t="str">
        <f t="shared" si="9"/>
        <v>(0.278 * E1_11_1_26_mRNA) - (0.00000278 * E1_11_1_26)</v>
      </c>
      <c r="M14" s="38" t="str">
        <f t="shared" si="10"/>
        <v>mRNA13: -&gt; E1_11_1_26_mRNA | 0.00292 - (0.0093 * E1_11_1_26_mRNA)</v>
      </c>
      <c r="N14" s="39" t="str">
        <f t="shared" si="11"/>
        <v>Peptide13: E1_11_1_26_mRNA -&gt; E1_11_1_26 | (0.278 * E1_11_1_26_mRNA) - (0.000000278 * E1_11_1_26)</v>
      </c>
    </row>
    <row r="15" spans="1:14" x14ac:dyDescent="0.45">
      <c r="A15">
        <v>14</v>
      </c>
      <c r="B15" t="s">
        <v>10318</v>
      </c>
      <c r="C15" t="str">
        <f t="shared" si="0"/>
        <v>E1_15_1_1_mRNA</v>
      </c>
      <c r="D15" t="str">
        <f t="shared" si="1"/>
        <v>E1_15_1_1</v>
      </c>
      <c r="E15" s="39" t="str">
        <f t="shared" si="2"/>
        <v>E1_15_1_1_kcat : 13.7</v>
      </c>
      <c r="F15" s="41" t="str">
        <f t="shared" si="3"/>
        <v>E1_15_1_1_km : 1</v>
      </c>
      <c r="G15" s="34" t="str">
        <f t="shared" si="4"/>
        <v>E1_15_1_1_mRNA : E1_15_1_1_mRNA</v>
      </c>
      <c r="H15" s="35" t="str">
        <f t="shared" si="5"/>
        <v>E1_15_1_1 : E1_15_1_1</v>
      </c>
      <c r="I15" s="36" t="str">
        <f t="shared" si="6"/>
        <v>E1_15_1_1_mRNA : 0</v>
      </c>
      <c r="J15" s="19" t="str">
        <f t="shared" si="7"/>
        <v>E1_15_1_1 : 0</v>
      </c>
      <c r="K15" s="37" t="str">
        <f t="shared" si="8"/>
        <v>0.00292 - (0.0093 * E1_15_1_1_mRNA)</v>
      </c>
      <c r="L15" s="34" t="str">
        <f t="shared" si="9"/>
        <v>(0.278 * E1_15_1_1_mRNA) - (0.00000278 * E1_15_1_1)</v>
      </c>
      <c r="M15" s="38" t="str">
        <f t="shared" si="10"/>
        <v>mRNA14: -&gt; E1_15_1_1_mRNA | 0.00292 - (0.0093 * E1_15_1_1_mRNA)</v>
      </c>
      <c r="N15" s="39" t="str">
        <f t="shared" si="11"/>
        <v>Peptide14: E1_15_1_1_mRNA -&gt; E1_15_1_1 | (0.278 * E1_15_1_1_mRNA) - (0.000000278 * E1_15_1_1)</v>
      </c>
    </row>
    <row r="16" spans="1:14" x14ac:dyDescent="0.45">
      <c r="A16">
        <v>15</v>
      </c>
      <c r="B16" t="s">
        <v>1850</v>
      </c>
      <c r="C16" t="str">
        <f t="shared" si="0"/>
        <v>E1_17_4_1_mRNA</v>
      </c>
      <c r="D16" t="str">
        <f t="shared" si="1"/>
        <v>E1_17_4_1</v>
      </c>
      <c r="E16" s="39" t="str">
        <f t="shared" si="2"/>
        <v>E1_17_4_1_kcat : 13.7</v>
      </c>
      <c r="F16" s="41" t="str">
        <f t="shared" si="3"/>
        <v>E1_17_4_1_km : 1</v>
      </c>
      <c r="G16" s="34" t="str">
        <f t="shared" si="4"/>
        <v>E1_17_4_1_mRNA : E1_17_4_1_mRNA</v>
      </c>
      <c r="H16" s="35" t="str">
        <f t="shared" si="5"/>
        <v>E1_17_4_1 : E1_17_4_1</v>
      </c>
      <c r="I16" s="36" t="str">
        <f t="shared" si="6"/>
        <v>E1_17_4_1_mRNA : 0</v>
      </c>
      <c r="J16" s="19" t="str">
        <f t="shared" si="7"/>
        <v>E1_17_4_1 : 0</v>
      </c>
      <c r="K16" s="37" t="str">
        <f t="shared" si="8"/>
        <v>0.00292 - (0.0093 * E1_17_4_1_mRNA)</v>
      </c>
      <c r="L16" s="34" t="str">
        <f t="shared" si="9"/>
        <v>(0.278 * E1_17_4_1_mRNA) - (0.00000278 * E1_17_4_1)</v>
      </c>
      <c r="M16" s="38" t="str">
        <f t="shared" si="10"/>
        <v>mRNA15: -&gt; E1_17_4_1_mRNA | 0.00292 - (0.0093 * E1_17_4_1_mRNA)</v>
      </c>
      <c r="N16" s="39" t="str">
        <f t="shared" si="11"/>
        <v>Peptide15: E1_17_4_1_mRNA -&gt; E1_17_4_1 | (0.278 * E1_17_4_1_mRNA) - (0.000000278 * E1_17_4_1)</v>
      </c>
    </row>
    <row r="17" spans="1:14" x14ac:dyDescent="0.45">
      <c r="A17">
        <v>16</v>
      </c>
      <c r="B17" t="s">
        <v>1842</v>
      </c>
      <c r="C17" t="str">
        <f t="shared" si="0"/>
        <v>E1_17_4_2_mRNA</v>
      </c>
      <c r="D17" t="str">
        <f t="shared" si="1"/>
        <v>E1_17_4_2</v>
      </c>
      <c r="E17" s="39" t="str">
        <f t="shared" si="2"/>
        <v>E1_17_4_2_kcat : 13.7</v>
      </c>
      <c r="F17" s="41" t="str">
        <f t="shared" si="3"/>
        <v>E1_17_4_2_km : 1</v>
      </c>
      <c r="G17" s="34" t="str">
        <f t="shared" si="4"/>
        <v>E1_17_4_2_mRNA : E1_17_4_2_mRNA</v>
      </c>
      <c r="H17" s="35" t="str">
        <f t="shared" si="5"/>
        <v>E1_17_4_2 : E1_17_4_2</v>
      </c>
      <c r="I17" s="36" t="str">
        <f t="shared" si="6"/>
        <v>E1_17_4_2_mRNA : 0</v>
      </c>
      <c r="J17" s="19" t="str">
        <f t="shared" si="7"/>
        <v>E1_17_4_2 : 0</v>
      </c>
      <c r="K17" s="37" t="str">
        <f t="shared" si="8"/>
        <v>0.00292 - (0.0093 * E1_17_4_2_mRNA)</v>
      </c>
      <c r="L17" s="34" t="str">
        <f t="shared" si="9"/>
        <v>(0.278 * E1_17_4_2_mRNA) - (0.00000278 * E1_17_4_2)</v>
      </c>
      <c r="M17" s="38" t="str">
        <f t="shared" si="10"/>
        <v>mRNA16: -&gt; E1_17_4_2_mRNA | 0.00292 - (0.0093 * E1_17_4_2_mRNA)</v>
      </c>
      <c r="N17" s="39" t="str">
        <f t="shared" si="11"/>
        <v>Peptide16: E1_17_4_2_mRNA -&gt; E1_17_4_2 | (0.278 * E1_17_4_2_mRNA) - (0.000000278 * E1_17_4_2)</v>
      </c>
    </row>
    <row r="18" spans="1:14" x14ac:dyDescent="0.45">
      <c r="A18">
        <v>17</v>
      </c>
      <c r="B18" t="s">
        <v>10319</v>
      </c>
      <c r="C18" t="str">
        <f t="shared" si="0"/>
        <v>E1_17_99_6_mRNA</v>
      </c>
      <c r="D18" t="str">
        <f t="shared" si="1"/>
        <v>E1_17_99_6</v>
      </c>
      <c r="E18" s="39" t="str">
        <f t="shared" si="2"/>
        <v>E1_17_99_6_kcat : 13.7</v>
      </c>
      <c r="F18" s="41" t="str">
        <f t="shared" si="3"/>
        <v>E1_17_99_6_km : 1</v>
      </c>
      <c r="G18" s="34" t="str">
        <f t="shared" si="4"/>
        <v>E1_17_99_6_mRNA : E1_17_99_6_mRNA</v>
      </c>
      <c r="H18" s="35" t="str">
        <f t="shared" si="5"/>
        <v>E1_17_99_6 : E1_17_99_6</v>
      </c>
      <c r="I18" s="36" t="str">
        <f t="shared" si="6"/>
        <v>E1_17_99_6_mRNA : 0</v>
      </c>
      <c r="J18" s="19" t="str">
        <f t="shared" si="7"/>
        <v>E1_17_99_6 : 0</v>
      </c>
      <c r="K18" s="37" t="str">
        <f t="shared" si="8"/>
        <v>0.00292 - (0.0093 * E1_17_99_6_mRNA)</v>
      </c>
      <c r="L18" s="34" t="str">
        <f t="shared" si="9"/>
        <v>(0.278 * E1_17_99_6_mRNA) - (0.00000278 * E1_17_99_6)</v>
      </c>
      <c r="M18" s="38" t="str">
        <f t="shared" si="10"/>
        <v>mRNA17: -&gt; E1_17_99_6_mRNA | 0.00292 - (0.0093 * E1_17_99_6_mRNA)</v>
      </c>
      <c r="N18" s="39" t="str">
        <f t="shared" si="11"/>
        <v>Peptide17: E1_17_99_6_mRNA -&gt; E1_17_99_6 | (0.278 * E1_17_99_6_mRNA) - (0.000000278 * E1_17_99_6)</v>
      </c>
    </row>
    <row r="19" spans="1:14" x14ac:dyDescent="0.45">
      <c r="A19">
        <v>18</v>
      </c>
      <c r="B19" t="s">
        <v>1824</v>
      </c>
      <c r="C19" t="str">
        <f t="shared" si="0"/>
        <v>E1_2_1_10_mRNA</v>
      </c>
      <c r="D19" t="str">
        <f t="shared" si="1"/>
        <v>E1_2_1_10</v>
      </c>
      <c r="E19" s="39" t="str">
        <f t="shared" si="2"/>
        <v>E1_2_1_10_kcat : 13.7</v>
      </c>
      <c r="F19" s="41" t="str">
        <f t="shared" si="3"/>
        <v>E1_2_1_10_km : 1</v>
      </c>
      <c r="G19" s="34" t="str">
        <f t="shared" si="4"/>
        <v>E1_2_1_10_mRNA : E1_2_1_10_mRNA</v>
      </c>
      <c r="H19" s="35" t="str">
        <f t="shared" si="5"/>
        <v>E1_2_1_10 : E1_2_1_10</v>
      </c>
      <c r="I19" s="36" t="str">
        <f t="shared" si="6"/>
        <v>E1_2_1_10_mRNA : 0</v>
      </c>
      <c r="J19" s="19" t="str">
        <f t="shared" si="7"/>
        <v>E1_2_1_10 : 0</v>
      </c>
      <c r="K19" s="37" t="str">
        <f t="shared" si="8"/>
        <v>0.00292 - (0.0093 * E1_2_1_10_mRNA)</v>
      </c>
      <c r="L19" s="34" t="str">
        <f t="shared" si="9"/>
        <v>(0.278 * E1_2_1_10_mRNA) - (0.00000278 * E1_2_1_10)</v>
      </c>
      <c r="M19" s="38" t="str">
        <f t="shared" si="10"/>
        <v>mRNA18: -&gt; E1_2_1_10_mRNA | 0.00292 - (0.0093 * E1_2_1_10_mRNA)</v>
      </c>
      <c r="N19" s="39" t="str">
        <f t="shared" si="11"/>
        <v>Peptide18: E1_2_1_10_mRNA -&gt; E1_2_1_10 | (0.278 * E1_2_1_10_mRNA) - (0.000000278 * E1_2_1_10)</v>
      </c>
    </row>
    <row r="20" spans="1:14" x14ac:dyDescent="0.45">
      <c r="A20">
        <v>19</v>
      </c>
      <c r="B20" t="s">
        <v>1863</v>
      </c>
      <c r="C20" t="str">
        <f t="shared" si="0"/>
        <v>E1_2_1_11_mRNA</v>
      </c>
      <c r="D20" t="str">
        <f t="shared" si="1"/>
        <v>E1_2_1_11</v>
      </c>
      <c r="E20" s="39" t="str">
        <f t="shared" si="2"/>
        <v>E1_2_1_11_kcat : 13.7</v>
      </c>
      <c r="F20" s="41" t="str">
        <f t="shared" si="3"/>
        <v>E1_2_1_11_km : 1</v>
      </c>
      <c r="G20" s="34" t="str">
        <f t="shared" si="4"/>
        <v>E1_2_1_11_mRNA : E1_2_1_11_mRNA</v>
      </c>
      <c r="H20" s="35" t="str">
        <f t="shared" si="5"/>
        <v>E1_2_1_11 : E1_2_1_11</v>
      </c>
      <c r="I20" s="36" t="str">
        <f t="shared" si="6"/>
        <v>E1_2_1_11_mRNA : 0</v>
      </c>
      <c r="J20" s="19" t="str">
        <f t="shared" si="7"/>
        <v>E1_2_1_11 : 0</v>
      </c>
      <c r="K20" s="37" t="str">
        <f t="shared" si="8"/>
        <v>0.00292 - (0.0093 * E1_2_1_11_mRNA)</v>
      </c>
      <c r="L20" s="34" t="str">
        <f t="shared" si="9"/>
        <v>(0.278 * E1_2_1_11_mRNA) - (0.00000278 * E1_2_1_11)</v>
      </c>
      <c r="M20" s="38" t="str">
        <f t="shared" si="10"/>
        <v>mRNA19: -&gt; E1_2_1_11_mRNA | 0.00292 - (0.0093 * E1_2_1_11_mRNA)</v>
      </c>
      <c r="N20" s="39" t="str">
        <f t="shared" si="11"/>
        <v>Peptide19: E1_2_1_11_mRNA -&gt; E1_2_1_11 | (0.278 * E1_2_1_11_mRNA) - (0.000000278 * E1_2_1_11)</v>
      </c>
    </row>
    <row r="21" spans="1:14" x14ac:dyDescent="0.45">
      <c r="A21">
        <v>20</v>
      </c>
      <c r="B21" t="s">
        <v>10320</v>
      </c>
      <c r="C21" t="str">
        <f t="shared" si="0"/>
        <v>E1_2_1_41_mRNA</v>
      </c>
      <c r="D21" t="str">
        <f t="shared" si="1"/>
        <v>E1_2_1_41</v>
      </c>
      <c r="E21" s="39" t="str">
        <f t="shared" si="2"/>
        <v>E1_2_1_41_kcat : 13.7</v>
      </c>
      <c r="F21" s="41" t="str">
        <f t="shared" si="3"/>
        <v>E1_2_1_41_km : 1</v>
      </c>
      <c r="G21" s="34" t="str">
        <f t="shared" si="4"/>
        <v>E1_2_1_41_mRNA : E1_2_1_41_mRNA</v>
      </c>
      <c r="H21" s="35" t="str">
        <f t="shared" si="5"/>
        <v>E1_2_1_41 : E1_2_1_41</v>
      </c>
      <c r="I21" s="36" t="str">
        <f t="shared" si="6"/>
        <v>E1_2_1_41_mRNA : 0</v>
      </c>
      <c r="J21" s="19" t="str">
        <f t="shared" si="7"/>
        <v>E1_2_1_41 : 0</v>
      </c>
      <c r="K21" s="37" t="str">
        <f t="shared" si="8"/>
        <v>0.00292 - (0.0093 * E1_2_1_41_mRNA)</v>
      </c>
      <c r="L21" s="34" t="str">
        <f t="shared" si="9"/>
        <v>(0.278 * E1_2_1_41_mRNA) - (0.00000278 * E1_2_1_41)</v>
      </c>
      <c r="M21" s="38" t="str">
        <f t="shared" si="10"/>
        <v>mRNA20: -&gt; E1_2_1_41_mRNA | 0.00292 - (0.0093 * E1_2_1_41_mRNA)</v>
      </c>
      <c r="N21" s="39" t="str">
        <f t="shared" si="11"/>
        <v>Peptide20: E1_2_1_41_mRNA -&gt; E1_2_1_41 | (0.278 * E1_2_1_41_mRNA) - (0.000000278 * E1_2_1_41)</v>
      </c>
    </row>
    <row r="22" spans="1:14" x14ac:dyDescent="0.45">
      <c r="A22">
        <v>21</v>
      </c>
      <c r="B22" t="s">
        <v>1872</v>
      </c>
      <c r="C22" t="str">
        <f t="shared" si="0"/>
        <v>E1_3_1_98_mRNA</v>
      </c>
      <c r="D22" t="str">
        <f t="shared" si="1"/>
        <v>E1_3_1_98</v>
      </c>
      <c r="E22" s="39" t="str">
        <f t="shared" si="2"/>
        <v>E1_3_1_98_kcat : 13.7</v>
      </c>
      <c r="F22" s="41" t="str">
        <f t="shared" si="3"/>
        <v>E1_3_1_98_km : 1</v>
      </c>
      <c r="G22" s="34" t="str">
        <f t="shared" si="4"/>
        <v>E1_3_1_98_mRNA : E1_3_1_98_mRNA</v>
      </c>
      <c r="H22" s="35" t="str">
        <f t="shared" si="5"/>
        <v>E1_3_1_98 : E1_3_1_98</v>
      </c>
      <c r="I22" s="36" t="str">
        <f t="shared" si="6"/>
        <v>E1_3_1_98_mRNA : 0</v>
      </c>
      <c r="J22" s="19" t="str">
        <f t="shared" si="7"/>
        <v>E1_3_1_98 : 0</v>
      </c>
      <c r="K22" s="37" t="str">
        <f t="shared" si="8"/>
        <v>0.00292 - (0.0093 * E1_3_1_98_mRNA)</v>
      </c>
      <c r="L22" s="34" t="str">
        <f t="shared" si="9"/>
        <v>(0.278 * E1_3_1_98_mRNA) - (0.00000278 * E1_3_1_98)</v>
      </c>
      <c r="M22" s="38" t="str">
        <f t="shared" si="10"/>
        <v>mRNA21: -&gt; E1_3_1_98_mRNA | 0.00292 - (0.0093 * E1_3_1_98_mRNA)</v>
      </c>
      <c r="N22" s="39" t="str">
        <f t="shared" si="11"/>
        <v>Peptide21: E1_3_1_98_mRNA -&gt; E1_3_1_98 | (0.278 * E1_3_1_98_mRNA) - (0.000000278 * E1_3_1_98)</v>
      </c>
    </row>
    <row r="23" spans="1:14" x14ac:dyDescent="0.45">
      <c r="A23">
        <v>22</v>
      </c>
      <c r="B23" t="s">
        <v>10321</v>
      </c>
      <c r="C23" t="str">
        <f t="shared" si="0"/>
        <v>E1_3_98_1_mRNA</v>
      </c>
      <c r="D23" t="str">
        <f t="shared" si="1"/>
        <v>E1_3_98_1</v>
      </c>
      <c r="E23" s="39" t="str">
        <f t="shared" si="2"/>
        <v>E1_3_98_1_kcat : 13.7</v>
      </c>
      <c r="F23" s="41" t="str">
        <f t="shared" si="3"/>
        <v>E1_3_98_1_km : 1</v>
      </c>
      <c r="G23" s="34" t="str">
        <f t="shared" si="4"/>
        <v>E1_3_98_1_mRNA : E1_3_98_1_mRNA</v>
      </c>
      <c r="H23" s="35" t="str">
        <f t="shared" si="5"/>
        <v>E1_3_98_1 : E1_3_98_1</v>
      </c>
      <c r="I23" s="36" t="str">
        <f t="shared" si="6"/>
        <v>E1_3_98_1_mRNA : 0</v>
      </c>
      <c r="J23" s="19" t="str">
        <f t="shared" si="7"/>
        <v>E1_3_98_1 : 0</v>
      </c>
      <c r="K23" s="37" t="str">
        <f t="shared" si="8"/>
        <v>0.00292 - (0.0093 * E1_3_98_1_mRNA)</v>
      </c>
      <c r="L23" s="34" t="str">
        <f t="shared" si="9"/>
        <v>(0.278 * E1_3_98_1_mRNA) - (0.00000278 * E1_3_98_1)</v>
      </c>
      <c r="M23" s="38" t="str">
        <f t="shared" si="10"/>
        <v>mRNA22: -&gt; E1_3_98_1_mRNA | 0.00292 - (0.0093 * E1_3_98_1_mRNA)</v>
      </c>
      <c r="N23" s="39" t="str">
        <f t="shared" si="11"/>
        <v>Peptide22: E1_3_98_1_mRNA -&gt; E1_3_98_1 | (0.278 * E1_3_98_1_mRNA) - (0.000000278 * E1_3_98_1)</v>
      </c>
    </row>
    <row r="24" spans="1:14" x14ac:dyDescent="0.45">
      <c r="A24">
        <v>23</v>
      </c>
      <c r="B24" t="s">
        <v>10322</v>
      </c>
      <c r="C24" t="str">
        <f t="shared" si="0"/>
        <v>E1_4_1_4_mRNA</v>
      </c>
      <c r="D24" t="str">
        <f t="shared" si="1"/>
        <v>E1_4_1_4</v>
      </c>
      <c r="E24" s="39" t="str">
        <f t="shared" si="2"/>
        <v>E1_4_1_4_kcat : 13.7</v>
      </c>
      <c r="F24" s="41" t="str">
        <f t="shared" si="3"/>
        <v>E1_4_1_4_km : 1</v>
      </c>
      <c r="G24" s="34" t="str">
        <f t="shared" si="4"/>
        <v>E1_4_1_4_mRNA : E1_4_1_4_mRNA</v>
      </c>
      <c r="H24" s="35" t="str">
        <f t="shared" si="5"/>
        <v>E1_4_1_4 : E1_4_1_4</v>
      </c>
      <c r="I24" s="36" t="str">
        <f t="shared" si="6"/>
        <v>E1_4_1_4_mRNA : 0</v>
      </c>
      <c r="J24" s="19" t="str">
        <f t="shared" si="7"/>
        <v>E1_4_1_4 : 0</v>
      </c>
      <c r="K24" s="37" t="str">
        <f t="shared" si="8"/>
        <v>0.00292 - (0.0093 * E1_4_1_4_mRNA)</v>
      </c>
      <c r="L24" s="34" t="str">
        <f t="shared" si="9"/>
        <v>(0.278 * E1_4_1_4_mRNA) - (0.00000278 * E1_4_1_4)</v>
      </c>
      <c r="M24" s="38" t="str">
        <f t="shared" si="10"/>
        <v>mRNA23: -&gt; E1_4_1_4_mRNA | 0.00292 - (0.0093 * E1_4_1_4_mRNA)</v>
      </c>
      <c r="N24" s="39" t="str">
        <f t="shared" si="11"/>
        <v>Peptide23: E1_4_1_4_mRNA -&gt; E1_4_1_4 | (0.278 * E1_4_1_4_mRNA) - (0.000000278 * E1_4_1_4)</v>
      </c>
    </row>
    <row r="25" spans="1:14" x14ac:dyDescent="0.45">
      <c r="A25">
        <v>24</v>
      </c>
      <c r="B25" t="s">
        <v>10323</v>
      </c>
      <c r="C25" t="str">
        <f t="shared" si="0"/>
        <v>E1_5_1_2_mRNA</v>
      </c>
      <c r="D25" t="str">
        <f t="shared" si="1"/>
        <v>E1_5_1_2</v>
      </c>
      <c r="E25" s="39" t="str">
        <f t="shared" si="2"/>
        <v>E1_5_1_2_kcat : 13.7</v>
      </c>
      <c r="F25" s="41" t="str">
        <f t="shared" si="3"/>
        <v>E1_5_1_2_km : 1</v>
      </c>
      <c r="G25" s="34" t="str">
        <f t="shared" si="4"/>
        <v>E1_5_1_2_mRNA : E1_5_1_2_mRNA</v>
      </c>
      <c r="H25" s="35" t="str">
        <f t="shared" si="5"/>
        <v>E1_5_1_2 : E1_5_1_2</v>
      </c>
      <c r="I25" s="36" t="str">
        <f t="shared" si="6"/>
        <v>E1_5_1_2_mRNA : 0</v>
      </c>
      <c r="J25" s="19" t="str">
        <f t="shared" si="7"/>
        <v>E1_5_1_2 : 0</v>
      </c>
      <c r="K25" s="37" t="str">
        <f t="shared" si="8"/>
        <v>0.00292 - (0.0093 * E1_5_1_2_mRNA)</v>
      </c>
      <c r="L25" s="34" t="str">
        <f t="shared" si="9"/>
        <v>(0.278 * E1_5_1_2_mRNA) - (0.00000278 * E1_5_1_2)</v>
      </c>
      <c r="M25" s="38" t="str">
        <f t="shared" si="10"/>
        <v>mRNA24: -&gt; E1_5_1_2_mRNA | 0.00292 - (0.0093 * E1_5_1_2_mRNA)</v>
      </c>
      <c r="N25" s="39" t="str">
        <f t="shared" si="11"/>
        <v>Peptide24: E1_5_1_2_mRNA -&gt; E1_5_1_2 | (0.278 * E1_5_1_2_mRNA) - (0.000000278 * E1_5_1_2)</v>
      </c>
    </row>
    <row r="26" spans="1:14" x14ac:dyDescent="0.45">
      <c r="A26">
        <v>25</v>
      </c>
      <c r="B26" t="s">
        <v>1831</v>
      </c>
      <c r="C26" t="str">
        <f t="shared" si="0"/>
        <v>E1_5_1_3_mRNA</v>
      </c>
      <c r="D26" t="str">
        <f t="shared" si="1"/>
        <v>E1_5_1_3</v>
      </c>
      <c r="E26" s="39" t="str">
        <f t="shared" si="2"/>
        <v>E1_5_1_3_kcat : 13.7</v>
      </c>
      <c r="F26" s="41" t="str">
        <f t="shared" si="3"/>
        <v>E1_5_1_3_km : 1</v>
      </c>
      <c r="G26" s="34" t="str">
        <f t="shared" si="4"/>
        <v>E1_5_1_3_mRNA : E1_5_1_3_mRNA</v>
      </c>
      <c r="H26" s="35" t="str">
        <f t="shared" si="5"/>
        <v>E1_5_1_3 : E1_5_1_3</v>
      </c>
      <c r="I26" s="36" t="str">
        <f t="shared" si="6"/>
        <v>E1_5_1_3_mRNA : 0</v>
      </c>
      <c r="J26" s="19" t="str">
        <f t="shared" si="7"/>
        <v>E1_5_1_3 : 0</v>
      </c>
      <c r="K26" s="37" t="str">
        <f t="shared" si="8"/>
        <v>0.00292 - (0.0093 * E1_5_1_3_mRNA)</v>
      </c>
      <c r="L26" s="34" t="str">
        <f t="shared" si="9"/>
        <v>(0.278 * E1_5_1_3_mRNA) - (0.00000278 * E1_5_1_3)</v>
      </c>
      <c r="M26" s="38" t="str">
        <f t="shared" si="10"/>
        <v>mRNA25: -&gt; E1_5_1_3_mRNA | 0.00292 - (0.0093 * E1_5_1_3_mRNA)</v>
      </c>
      <c r="N26" s="39" t="str">
        <f t="shared" si="11"/>
        <v>Peptide25: E1_5_1_3_mRNA -&gt; E1_5_1_3 | (0.278 * E1_5_1_3_mRNA) - (0.000000278 * E1_5_1_3)</v>
      </c>
    </row>
    <row r="27" spans="1:14" x14ac:dyDescent="0.45">
      <c r="A27">
        <v>26</v>
      </c>
      <c r="B27" t="s">
        <v>10324</v>
      </c>
      <c r="C27" t="str">
        <f t="shared" si="0"/>
        <v>E1_6_3_4_mRNA</v>
      </c>
      <c r="D27" t="str">
        <f t="shared" si="1"/>
        <v>E1_6_3_4</v>
      </c>
      <c r="E27" s="39" t="str">
        <f t="shared" si="2"/>
        <v>E1_6_3_4_kcat : 13.7</v>
      </c>
      <c r="F27" s="41" t="str">
        <f t="shared" si="3"/>
        <v>E1_6_3_4_km : 1</v>
      </c>
      <c r="G27" s="34" t="str">
        <f t="shared" si="4"/>
        <v>E1_6_3_4_mRNA : E1_6_3_4_mRNA</v>
      </c>
      <c r="H27" s="35" t="str">
        <f t="shared" si="5"/>
        <v>E1_6_3_4 : E1_6_3_4</v>
      </c>
      <c r="I27" s="36" t="str">
        <f t="shared" si="6"/>
        <v>E1_6_3_4_mRNA : 0</v>
      </c>
      <c r="J27" s="19" t="str">
        <f t="shared" si="7"/>
        <v>E1_6_3_4 : 0</v>
      </c>
      <c r="K27" s="37" t="str">
        <f t="shared" si="8"/>
        <v>0.00292 - (0.0093 * E1_6_3_4_mRNA)</v>
      </c>
      <c r="L27" s="34" t="str">
        <f t="shared" si="9"/>
        <v>(0.278 * E1_6_3_4_mRNA) - (0.00000278 * E1_6_3_4)</v>
      </c>
      <c r="M27" s="38" t="str">
        <f t="shared" si="10"/>
        <v>mRNA26: -&gt; E1_6_3_4_mRNA | 0.00292 - (0.0093 * E1_6_3_4_mRNA)</v>
      </c>
      <c r="N27" s="39" t="str">
        <f t="shared" si="11"/>
        <v>Peptide26: E1_6_3_4_mRNA -&gt; E1_6_3_4 | (0.278 * E1_6_3_4_mRNA) - (0.000000278 * E1_6_3_4)</v>
      </c>
    </row>
    <row r="28" spans="1:14" x14ac:dyDescent="0.45">
      <c r="A28">
        <v>27</v>
      </c>
      <c r="B28" t="s">
        <v>1840</v>
      </c>
      <c r="C28" t="str">
        <f t="shared" si="0"/>
        <v>E1_7_1_7_mRNA</v>
      </c>
      <c r="D28" t="str">
        <f t="shared" si="1"/>
        <v>E1_7_1_7</v>
      </c>
      <c r="E28" s="39" t="str">
        <f t="shared" si="2"/>
        <v>E1_7_1_7_kcat : 13.7</v>
      </c>
      <c r="F28" s="41" t="str">
        <f t="shared" si="3"/>
        <v>E1_7_1_7_km : 1</v>
      </c>
      <c r="G28" s="34" t="str">
        <f t="shared" si="4"/>
        <v>E1_7_1_7_mRNA : E1_7_1_7_mRNA</v>
      </c>
      <c r="H28" s="35" t="str">
        <f t="shared" si="5"/>
        <v>E1_7_1_7 : E1_7_1_7</v>
      </c>
      <c r="I28" s="36" t="str">
        <f t="shared" si="6"/>
        <v>E1_7_1_7_mRNA : 0</v>
      </c>
      <c r="J28" s="19" t="str">
        <f t="shared" si="7"/>
        <v>E1_7_1_7 : 0</v>
      </c>
      <c r="K28" s="37" t="str">
        <f t="shared" si="8"/>
        <v>0.00292 - (0.0093 * E1_7_1_7_mRNA)</v>
      </c>
      <c r="L28" s="34" t="str">
        <f t="shared" si="9"/>
        <v>(0.278 * E1_7_1_7_mRNA) - (0.00000278 * E1_7_1_7)</v>
      </c>
      <c r="M28" s="38" t="str">
        <f t="shared" si="10"/>
        <v>mRNA27: -&gt; E1_7_1_7_mRNA | 0.00292 - (0.0093 * E1_7_1_7_mRNA)</v>
      </c>
      <c r="N28" s="39" t="str">
        <f t="shared" si="11"/>
        <v>Peptide27: E1_7_1_7_mRNA -&gt; E1_7_1_7 | (0.278 * E1_7_1_7_mRNA) - (0.000000278 * E1_7_1_7)</v>
      </c>
    </row>
    <row r="29" spans="1:14" x14ac:dyDescent="0.45">
      <c r="A29">
        <v>28</v>
      </c>
      <c r="B29" t="s">
        <v>10325</v>
      </c>
      <c r="C29" t="str">
        <f t="shared" si="0"/>
        <v>E1_8_1_4_mRNA</v>
      </c>
      <c r="D29" t="str">
        <f t="shared" si="1"/>
        <v>E1_8_1_4</v>
      </c>
      <c r="E29" s="39" t="str">
        <f t="shared" si="2"/>
        <v>E1_8_1_4_kcat : 13.7</v>
      </c>
      <c r="F29" s="41" t="str">
        <f t="shared" si="3"/>
        <v>E1_8_1_4_km : 1</v>
      </c>
      <c r="G29" s="34" t="str">
        <f t="shared" si="4"/>
        <v>E1_8_1_4_mRNA : E1_8_1_4_mRNA</v>
      </c>
      <c r="H29" s="35" t="str">
        <f t="shared" si="5"/>
        <v>E1_8_1_4 : E1_8_1_4</v>
      </c>
      <c r="I29" s="36" t="str">
        <f t="shared" si="6"/>
        <v>E1_8_1_4_mRNA : 0</v>
      </c>
      <c r="J29" s="19" t="str">
        <f t="shared" si="7"/>
        <v>E1_8_1_4 : 0</v>
      </c>
      <c r="K29" s="37" t="str">
        <f t="shared" si="8"/>
        <v>0.00292 - (0.0093 * E1_8_1_4_mRNA)</v>
      </c>
      <c r="L29" s="34" t="str">
        <f t="shared" si="9"/>
        <v>(0.278 * E1_8_1_4_mRNA) - (0.00000278 * E1_8_1_4)</v>
      </c>
      <c r="M29" s="38" t="str">
        <f t="shared" si="10"/>
        <v>mRNA28: -&gt; E1_8_1_4_mRNA | 0.00292 - (0.0093 * E1_8_1_4_mRNA)</v>
      </c>
      <c r="N29" s="39" t="str">
        <f t="shared" si="11"/>
        <v>Peptide28: E1_8_1_4_mRNA -&gt; E1_8_1_4 | (0.278 * E1_8_1_4_mRNA) - (0.000000278 * E1_8_1_4)</v>
      </c>
    </row>
    <row r="30" spans="1:14" x14ac:dyDescent="0.45">
      <c r="A30">
        <v>29</v>
      </c>
      <c r="B30" t="s">
        <v>10326</v>
      </c>
      <c r="C30" t="str">
        <f t="shared" si="0"/>
        <v>E1_8_1_7_mRNA</v>
      </c>
      <c r="D30" t="str">
        <f t="shared" si="1"/>
        <v>E1_8_1_7</v>
      </c>
      <c r="E30" s="39" t="str">
        <f t="shared" si="2"/>
        <v>E1_8_1_7_kcat : 13.7</v>
      </c>
      <c r="F30" s="41" t="str">
        <f t="shared" si="3"/>
        <v>E1_8_1_7_km : 1</v>
      </c>
      <c r="G30" s="34" t="str">
        <f t="shared" si="4"/>
        <v>E1_8_1_7_mRNA : E1_8_1_7_mRNA</v>
      </c>
      <c r="H30" s="35" t="str">
        <f t="shared" si="5"/>
        <v>E1_8_1_7 : E1_8_1_7</v>
      </c>
      <c r="I30" s="36" t="str">
        <f t="shared" si="6"/>
        <v>E1_8_1_7_mRNA : 0</v>
      </c>
      <c r="J30" s="19" t="str">
        <f t="shared" si="7"/>
        <v>E1_8_1_7 : 0</v>
      </c>
      <c r="K30" s="37" t="str">
        <f t="shared" si="8"/>
        <v>0.00292 - (0.0093 * E1_8_1_7_mRNA)</v>
      </c>
      <c r="L30" s="34" t="str">
        <f t="shared" si="9"/>
        <v>(0.278 * E1_8_1_7_mRNA) - (0.00000278 * E1_8_1_7)</v>
      </c>
      <c r="M30" s="38" t="str">
        <f t="shared" si="10"/>
        <v>mRNA29: -&gt; E1_8_1_7_mRNA | 0.00292 - (0.0093 * E1_8_1_7_mRNA)</v>
      </c>
      <c r="N30" s="39" t="str">
        <f t="shared" si="11"/>
        <v>Peptide29: E1_8_1_7_mRNA -&gt; E1_8_1_7 | (0.278 * E1_8_1_7_mRNA) - (0.000000278 * E1_8_1_7)</v>
      </c>
    </row>
    <row r="31" spans="1:14" x14ac:dyDescent="0.45">
      <c r="A31">
        <v>30</v>
      </c>
      <c r="B31" t="s">
        <v>1718</v>
      </c>
      <c r="C31" t="str">
        <f t="shared" si="0"/>
        <v>E1_8_1_9_mRNA</v>
      </c>
      <c r="D31" t="str">
        <f t="shared" si="1"/>
        <v>E1_8_1_9</v>
      </c>
      <c r="E31" s="39" t="str">
        <f t="shared" si="2"/>
        <v>E1_8_1_9_kcat : 13.7</v>
      </c>
      <c r="F31" s="41" t="str">
        <f t="shared" si="3"/>
        <v>E1_8_1_9_km : 1</v>
      </c>
      <c r="G31" s="34" t="str">
        <f t="shared" si="4"/>
        <v>E1_8_1_9_mRNA : E1_8_1_9_mRNA</v>
      </c>
      <c r="H31" s="35" t="str">
        <f t="shared" si="5"/>
        <v>E1_8_1_9 : E1_8_1_9</v>
      </c>
      <c r="I31" s="36" t="str">
        <f t="shared" si="6"/>
        <v>E1_8_1_9_mRNA : 0</v>
      </c>
      <c r="J31" s="19" t="str">
        <f t="shared" si="7"/>
        <v>E1_8_1_9 : 0</v>
      </c>
      <c r="K31" s="37" t="str">
        <f t="shared" si="8"/>
        <v>0.00292 - (0.0093 * E1_8_1_9_mRNA)</v>
      </c>
      <c r="L31" s="34" t="str">
        <f t="shared" si="9"/>
        <v>(0.278 * E1_8_1_9_mRNA) - (0.00000278 * E1_8_1_9)</v>
      </c>
      <c r="M31" s="38" t="str">
        <f t="shared" si="10"/>
        <v>mRNA30: -&gt; E1_8_1_9_mRNA | 0.00292 - (0.0093 * E1_8_1_9_mRNA)</v>
      </c>
      <c r="N31" s="39" t="str">
        <f t="shared" si="11"/>
        <v>Peptide30: E1_8_1_9_mRNA -&gt; E1_8_1_9 | (0.278 * E1_8_1_9_mRNA) - (0.000000278 * E1_8_1_9)</v>
      </c>
    </row>
    <row r="32" spans="1:14" x14ac:dyDescent="0.45">
      <c r="A32">
        <v>31</v>
      </c>
      <c r="B32" t="s">
        <v>1819</v>
      </c>
      <c r="C32" t="str">
        <f t="shared" si="0"/>
        <v>E1_8_4_11_mRNA</v>
      </c>
      <c r="D32" t="str">
        <f t="shared" si="1"/>
        <v>E1_8_4_11</v>
      </c>
      <c r="E32" s="39" t="str">
        <f t="shared" si="2"/>
        <v>E1_8_4_11_kcat : 13.7</v>
      </c>
      <c r="F32" s="41" t="str">
        <f t="shared" si="3"/>
        <v>E1_8_4_11_km : 1</v>
      </c>
      <c r="G32" s="34" t="str">
        <f t="shared" si="4"/>
        <v>E1_8_4_11_mRNA : E1_8_4_11_mRNA</v>
      </c>
      <c r="H32" s="35" t="str">
        <f t="shared" si="5"/>
        <v>E1_8_4_11 : E1_8_4_11</v>
      </c>
      <c r="I32" s="36" t="str">
        <f t="shared" si="6"/>
        <v>E1_8_4_11_mRNA : 0</v>
      </c>
      <c r="J32" s="19" t="str">
        <f t="shared" si="7"/>
        <v>E1_8_4_11 : 0</v>
      </c>
      <c r="K32" s="37" t="str">
        <f t="shared" si="8"/>
        <v>0.00292 - (0.0093 * E1_8_4_11_mRNA)</v>
      </c>
      <c r="L32" s="34" t="str">
        <f t="shared" si="9"/>
        <v>(0.278 * E1_8_4_11_mRNA) - (0.00000278 * E1_8_4_11)</v>
      </c>
      <c r="M32" s="38" t="str">
        <f t="shared" si="10"/>
        <v>mRNA31: -&gt; E1_8_4_11_mRNA | 0.00292 - (0.0093 * E1_8_4_11_mRNA)</v>
      </c>
      <c r="N32" s="39" t="str">
        <f t="shared" si="11"/>
        <v>Peptide31: E1_8_4_11_mRNA -&gt; E1_8_4_11 | (0.278 * E1_8_4_11_mRNA) - (0.000000278 * E1_8_4_11)</v>
      </c>
    </row>
    <row r="33" spans="1:14" x14ac:dyDescent="0.45">
      <c r="A33">
        <v>32</v>
      </c>
      <c r="B33" t="s">
        <v>1885</v>
      </c>
      <c r="C33" t="str">
        <f t="shared" si="0"/>
        <v>E1_8_4_12_mRNA</v>
      </c>
      <c r="D33" t="str">
        <f t="shared" si="1"/>
        <v>E1_8_4_12</v>
      </c>
      <c r="E33" s="39" t="str">
        <f t="shared" si="2"/>
        <v>E1_8_4_12_kcat : 13.7</v>
      </c>
      <c r="F33" s="41" t="str">
        <f t="shared" si="3"/>
        <v>E1_8_4_12_km : 1</v>
      </c>
      <c r="G33" s="34" t="str">
        <f t="shared" si="4"/>
        <v>E1_8_4_12_mRNA : E1_8_4_12_mRNA</v>
      </c>
      <c r="H33" s="35" t="str">
        <f t="shared" si="5"/>
        <v>E1_8_4_12 : E1_8_4_12</v>
      </c>
      <c r="I33" s="36" t="str">
        <f t="shared" si="6"/>
        <v>E1_8_4_12_mRNA : 0</v>
      </c>
      <c r="J33" s="19" t="str">
        <f t="shared" si="7"/>
        <v>E1_8_4_12 : 0</v>
      </c>
      <c r="K33" s="37" t="str">
        <f t="shared" si="8"/>
        <v>0.00292 - (0.0093 * E1_8_4_12_mRNA)</v>
      </c>
      <c r="L33" s="34" t="str">
        <f t="shared" si="9"/>
        <v>(0.278 * E1_8_4_12_mRNA) - (0.00000278 * E1_8_4_12)</v>
      </c>
      <c r="M33" s="38" t="str">
        <f t="shared" si="10"/>
        <v>mRNA32: -&gt; E1_8_4_12_mRNA | 0.00292 - (0.0093 * E1_8_4_12_mRNA)</v>
      </c>
      <c r="N33" s="39" t="str">
        <f t="shared" si="11"/>
        <v>Peptide32: E1_8_4_12_mRNA -&gt; E1_8_4_12 | (0.278 * E1_8_4_12_mRNA) - (0.000000278 * E1_8_4_12)</v>
      </c>
    </row>
    <row r="34" spans="1:14" x14ac:dyDescent="0.45">
      <c r="A34">
        <v>33</v>
      </c>
      <c r="B34" t="s">
        <v>10327</v>
      </c>
      <c r="C34" t="str">
        <f t="shared" si="0"/>
        <v>E1_97_1_4_mRNA</v>
      </c>
      <c r="D34" t="str">
        <f t="shared" si="1"/>
        <v>E1_97_1_4</v>
      </c>
      <c r="E34" s="39" t="str">
        <f t="shared" si="2"/>
        <v>E1_97_1_4_kcat : 13.7</v>
      </c>
      <c r="F34" s="41" t="str">
        <f t="shared" si="3"/>
        <v>E1_97_1_4_km : 1</v>
      </c>
      <c r="G34" s="34" t="str">
        <f t="shared" si="4"/>
        <v>E1_97_1_4_mRNA : E1_97_1_4_mRNA</v>
      </c>
      <c r="H34" s="35" t="str">
        <f t="shared" si="5"/>
        <v>E1_97_1_4 : E1_97_1_4</v>
      </c>
      <c r="I34" s="36" t="str">
        <f t="shared" si="6"/>
        <v>E1_97_1_4_mRNA : 0</v>
      </c>
      <c r="J34" s="19" t="str">
        <f t="shared" si="7"/>
        <v>E1_97_1_4 : 0</v>
      </c>
      <c r="K34" s="37" t="str">
        <f t="shared" si="8"/>
        <v>0.00292 - (0.0093 * E1_97_1_4_mRNA)</v>
      </c>
      <c r="L34" s="34" t="str">
        <f t="shared" si="9"/>
        <v>(0.278 * E1_97_1_4_mRNA) - (0.00000278 * E1_97_1_4)</v>
      </c>
      <c r="M34" s="38" t="str">
        <f t="shared" si="10"/>
        <v>mRNA33: -&gt; E1_97_1_4_mRNA | 0.00292 - (0.0093 * E1_97_1_4_mRNA)</v>
      </c>
      <c r="N34" s="39" t="str">
        <f t="shared" si="11"/>
        <v>Peptide33: E1_97_1_4_mRNA -&gt; E1_97_1_4 | (0.278 * E1_97_1_4_mRNA) - (0.000000278 * E1_97_1_4)</v>
      </c>
    </row>
    <row r="35" spans="1:14" x14ac:dyDescent="0.45">
      <c r="A35">
        <v>34</v>
      </c>
      <c r="B35" t="s">
        <v>1794</v>
      </c>
      <c r="C35" t="str">
        <f t="shared" si="0"/>
        <v>E2_1_1_170_mRNA</v>
      </c>
      <c r="D35" t="str">
        <f t="shared" si="1"/>
        <v>E2_1_1_170</v>
      </c>
      <c r="E35" s="39" t="str">
        <f t="shared" si="2"/>
        <v>E2_1_1_170_kcat : 13.7</v>
      </c>
      <c r="F35" s="41" t="str">
        <f t="shared" si="3"/>
        <v>E2_1_1_170_km : 1</v>
      </c>
      <c r="G35" s="34" t="str">
        <f t="shared" si="4"/>
        <v>E2_1_1_170_mRNA : E2_1_1_170_mRNA</v>
      </c>
      <c r="H35" s="35" t="str">
        <f t="shared" si="5"/>
        <v>E2_1_1_170 : E2_1_1_170</v>
      </c>
      <c r="I35" s="36" t="str">
        <f t="shared" si="6"/>
        <v>E2_1_1_170_mRNA : 0</v>
      </c>
      <c r="J35" s="19" t="str">
        <f t="shared" si="7"/>
        <v>E2_1_1_170 : 0</v>
      </c>
      <c r="K35" s="37" t="str">
        <f t="shared" si="8"/>
        <v>0.00292 - (0.0093 * E2_1_1_170_mRNA)</v>
      </c>
      <c r="L35" s="34" t="str">
        <f t="shared" si="9"/>
        <v>(0.278 * E2_1_1_170_mRNA) - (0.00000278 * E2_1_1_170)</v>
      </c>
      <c r="M35" s="38" t="str">
        <f t="shared" si="10"/>
        <v>mRNA34: -&gt; E2_1_1_170_mRNA | 0.00292 - (0.0093 * E2_1_1_170_mRNA)</v>
      </c>
      <c r="N35" s="39" t="str">
        <f t="shared" si="11"/>
        <v>Peptide34: E2_1_1_170_mRNA -&gt; E2_1_1_170 | (0.278 * E2_1_1_170_mRNA) - (0.000000278 * E2_1_1_170)</v>
      </c>
    </row>
    <row r="36" spans="1:14" x14ac:dyDescent="0.45">
      <c r="A36">
        <v>35</v>
      </c>
      <c r="B36" t="s">
        <v>1800</v>
      </c>
      <c r="C36" t="str">
        <f t="shared" si="0"/>
        <v>E2_1_1_171_mRNA</v>
      </c>
      <c r="D36" t="str">
        <f t="shared" si="1"/>
        <v>E2_1_1_171</v>
      </c>
      <c r="E36" s="39" t="str">
        <f t="shared" si="2"/>
        <v>E2_1_1_171_kcat : 13.7</v>
      </c>
      <c r="F36" s="41" t="str">
        <f t="shared" si="3"/>
        <v>E2_1_1_171_km : 1</v>
      </c>
      <c r="G36" s="34" t="str">
        <f t="shared" si="4"/>
        <v>E2_1_1_171_mRNA : E2_1_1_171_mRNA</v>
      </c>
      <c r="H36" s="35" t="str">
        <f t="shared" si="5"/>
        <v>E2_1_1_171 : E2_1_1_171</v>
      </c>
      <c r="I36" s="36" t="str">
        <f t="shared" si="6"/>
        <v>E2_1_1_171_mRNA : 0</v>
      </c>
      <c r="J36" s="19" t="str">
        <f t="shared" si="7"/>
        <v>E2_1_1_171 : 0</v>
      </c>
      <c r="K36" s="37" t="str">
        <f t="shared" si="8"/>
        <v>0.00292 - (0.0093 * E2_1_1_171_mRNA)</v>
      </c>
      <c r="L36" s="34" t="str">
        <f t="shared" si="9"/>
        <v>(0.278 * E2_1_1_171_mRNA) - (0.00000278 * E2_1_1_171)</v>
      </c>
      <c r="M36" s="38" t="str">
        <f t="shared" si="10"/>
        <v>mRNA35: -&gt; E2_1_1_171_mRNA | 0.00292 - (0.0093 * E2_1_1_171_mRNA)</v>
      </c>
      <c r="N36" s="39" t="str">
        <f t="shared" si="11"/>
        <v>Peptide35: E2_1_1_171_mRNA -&gt; E2_1_1_171 | (0.278 * E2_1_1_171_mRNA) - (0.000000278 * E2_1_1_171)</v>
      </c>
    </row>
    <row r="37" spans="1:14" x14ac:dyDescent="0.45">
      <c r="A37">
        <v>36</v>
      </c>
      <c r="B37" t="s">
        <v>1795</v>
      </c>
      <c r="C37" t="str">
        <f t="shared" si="0"/>
        <v>E2_1_1_176_mRNA</v>
      </c>
      <c r="D37" t="str">
        <f t="shared" si="1"/>
        <v>E2_1_1_176</v>
      </c>
      <c r="E37" s="39" t="str">
        <f t="shared" si="2"/>
        <v>E2_1_1_176_kcat : 13.7</v>
      </c>
      <c r="F37" s="41" t="str">
        <f t="shared" si="3"/>
        <v>E2_1_1_176_km : 1</v>
      </c>
      <c r="G37" s="34" t="str">
        <f t="shared" si="4"/>
        <v>E2_1_1_176_mRNA : E2_1_1_176_mRNA</v>
      </c>
      <c r="H37" s="35" t="str">
        <f t="shared" si="5"/>
        <v>E2_1_1_176 : E2_1_1_176</v>
      </c>
      <c r="I37" s="36" t="str">
        <f t="shared" si="6"/>
        <v>E2_1_1_176_mRNA : 0</v>
      </c>
      <c r="J37" s="19" t="str">
        <f t="shared" si="7"/>
        <v>E2_1_1_176 : 0</v>
      </c>
      <c r="K37" s="37" t="str">
        <f t="shared" si="8"/>
        <v>0.00292 - (0.0093 * E2_1_1_176_mRNA)</v>
      </c>
      <c r="L37" s="34" t="str">
        <f t="shared" si="9"/>
        <v>(0.278 * E2_1_1_176_mRNA) - (0.00000278 * E2_1_1_176)</v>
      </c>
      <c r="M37" s="38" t="str">
        <f t="shared" si="10"/>
        <v>mRNA36: -&gt; E2_1_1_176_mRNA | 0.00292 - (0.0093 * E2_1_1_176_mRNA)</v>
      </c>
      <c r="N37" s="39" t="str">
        <f t="shared" si="11"/>
        <v>Peptide36: E2_1_1_176_mRNA -&gt; E2_1_1_176 | (0.278 * E2_1_1_176_mRNA) - (0.000000278 * E2_1_1_176)</v>
      </c>
    </row>
    <row r="38" spans="1:14" x14ac:dyDescent="0.45">
      <c r="A38">
        <v>37</v>
      </c>
      <c r="B38" t="s">
        <v>1796</v>
      </c>
      <c r="C38" t="str">
        <f t="shared" si="0"/>
        <v>E2_1_1_177_mRNA</v>
      </c>
      <c r="D38" t="str">
        <f t="shared" si="1"/>
        <v>E2_1_1_177</v>
      </c>
      <c r="E38" s="39" t="str">
        <f t="shared" si="2"/>
        <v>E2_1_1_177_kcat : 13.7</v>
      </c>
      <c r="F38" s="41" t="str">
        <f t="shared" si="3"/>
        <v>E2_1_1_177_km : 1</v>
      </c>
      <c r="G38" s="34" t="str">
        <f t="shared" si="4"/>
        <v>E2_1_1_177_mRNA : E2_1_1_177_mRNA</v>
      </c>
      <c r="H38" s="35" t="str">
        <f t="shared" si="5"/>
        <v>E2_1_1_177 : E2_1_1_177</v>
      </c>
      <c r="I38" s="36" t="str">
        <f t="shared" si="6"/>
        <v>E2_1_1_177_mRNA : 0</v>
      </c>
      <c r="J38" s="19" t="str">
        <f t="shared" si="7"/>
        <v>E2_1_1_177 : 0</v>
      </c>
      <c r="K38" s="37" t="str">
        <f t="shared" si="8"/>
        <v>0.00292 - (0.0093 * E2_1_1_177_mRNA)</v>
      </c>
      <c r="L38" s="34" t="str">
        <f t="shared" si="9"/>
        <v>(0.278 * E2_1_1_177_mRNA) - (0.00000278 * E2_1_1_177)</v>
      </c>
      <c r="M38" s="38" t="str">
        <f t="shared" si="10"/>
        <v>mRNA37: -&gt; E2_1_1_177_mRNA | 0.00292 - (0.0093 * E2_1_1_177_mRNA)</v>
      </c>
      <c r="N38" s="39" t="str">
        <f t="shared" si="11"/>
        <v>Peptide37: E2_1_1_177_mRNA -&gt; E2_1_1_177 | (0.278 * E2_1_1_177_mRNA) - (0.000000278 * E2_1_1_177)</v>
      </c>
    </row>
    <row r="39" spans="1:14" x14ac:dyDescent="0.45">
      <c r="A39">
        <v>38</v>
      </c>
      <c r="B39" t="s">
        <v>1719</v>
      </c>
      <c r="C39" t="str">
        <f t="shared" si="0"/>
        <v>E2_1_1_182_mRNA</v>
      </c>
      <c r="D39" t="str">
        <f t="shared" si="1"/>
        <v>E2_1_1_182</v>
      </c>
      <c r="E39" s="39" t="str">
        <f t="shared" si="2"/>
        <v>E2_1_1_182_kcat : 13.7</v>
      </c>
      <c r="F39" s="41" t="str">
        <f t="shared" si="3"/>
        <v>E2_1_1_182_km : 1</v>
      </c>
      <c r="G39" s="34" t="str">
        <f t="shared" si="4"/>
        <v>E2_1_1_182_mRNA : E2_1_1_182_mRNA</v>
      </c>
      <c r="H39" s="35" t="str">
        <f t="shared" si="5"/>
        <v>E2_1_1_182 : E2_1_1_182</v>
      </c>
      <c r="I39" s="36" t="str">
        <f t="shared" si="6"/>
        <v>E2_1_1_182_mRNA : 0</v>
      </c>
      <c r="J39" s="19" t="str">
        <f t="shared" si="7"/>
        <v>E2_1_1_182 : 0</v>
      </c>
      <c r="K39" s="37" t="str">
        <f t="shared" si="8"/>
        <v>0.00292 - (0.0093 * E2_1_1_182_mRNA)</v>
      </c>
      <c r="L39" s="34" t="str">
        <f t="shared" si="9"/>
        <v>(0.278 * E2_1_1_182_mRNA) - (0.00000278 * E2_1_1_182)</v>
      </c>
      <c r="M39" s="38" t="str">
        <f t="shared" si="10"/>
        <v>mRNA38: -&gt; E2_1_1_182_mRNA | 0.00292 - (0.0093 * E2_1_1_182_mRNA)</v>
      </c>
      <c r="N39" s="39" t="str">
        <f t="shared" si="11"/>
        <v>Peptide38: E2_1_1_182_mRNA -&gt; E2_1_1_182 | (0.278 * E2_1_1_182_mRNA) - (0.000000278 * E2_1_1_182)</v>
      </c>
    </row>
    <row r="40" spans="1:14" x14ac:dyDescent="0.45">
      <c r="A40">
        <v>39</v>
      </c>
      <c r="B40" t="s">
        <v>1797</v>
      </c>
      <c r="C40" t="str">
        <f t="shared" si="0"/>
        <v>E2_1_1_190_mRNA</v>
      </c>
      <c r="D40" t="str">
        <f t="shared" si="1"/>
        <v>E2_1_1_190</v>
      </c>
      <c r="E40" s="39" t="str">
        <f t="shared" si="2"/>
        <v>E2_1_1_190_kcat : 13.7</v>
      </c>
      <c r="F40" s="41" t="str">
        <f t="shared" si="3"/>
        <v>E2_1_1_190_km : 1</v>
      </c>
      <c r="G40" s="34" t="str">
        <f t="shared" si="4"/>
        <v>E2_1_1_190_mRNA : E2_1_1_190_mRNA</v>
      </c>
      <c r="H40" s="35" t="str">
        <f t="shared" si="5"/>
        <v>E2_1_1_190 : E2_1_1_190</v>
      </c>
      <c r="I40" s="36" t="str">
        <f t="shared" si="6"/>
        <v>E2_1_1_190_mRNA : 0</v>
      </c>
      <c r="J40" s="19" t="str">
        <f t="shared" si="7"/>
        <v>E2_1_1_190 : 0</v>
      </c>
      <c r="K40" s="37" t="str">
        <f t="shared" si="8"/>
        <v>0.00292 - (0.0093 * E2_1_1_190_mRNA)</v>
      </c>
      <c r="L40" s="34" t="str">
        <f t="shared" si="9"/>
        <v>(0.278 * E2_1_1_190_mRNA) - (0.00000278 * E2_1_1_190)</v>
      </c>
      <c r="M40" s="38" t="str">
        <f t="shared" si="10"/>
        <v>mRNA39: -&gt; E2_1_1_190_mRNA | 0.00292 - (0.0093 * E2_1_1_190_mRNA)</v>
      </c>
      <c r="N40" s="39" t="str">
        <f t="shared" si="11"/>
        <v>Peptide39: E2_1_1_190_mRNA -&gt; E2_1_1_190 | (0.278 * E2_1_1_190_mRNA) - (0.000000278 * E2_1_1_190)</v>
      </c>
    </row>
    <row r="41" spans="1:14" x14ac:dyDescent="0.45">
      <c r="A41">
        <v>40</v>
      </c>
      <c r="B41" t="s">
        <v>10328</v>
      </c>
      <c r="C41" t="str">
        <f t="shared" si="0"/>
        <v>E2_1_1_192_mRNA</v>
      </c>
      <c r="D41" t="str">
        <f t="shared" si="1"/>
        <v>E2_1_1_192</v>
      </c>
      <c r="E41" s="39" t="str">
        <f t="shared" si="2"/>
        <v>E2_1_1_192_kcat : 13.7</v>
      </c>
      <c r="F41" s="41" t="str">
        <f t="shared" si="3"/>
        <v>E2_1_1_192_km : 1</v>
      </c>
      <c r="G41" s="34" t="str">
        <f t="shared" si="4"/>
        <v>E2_1_1_192_mRNA : E2_1_1_192_mRNA</v>
      </c>
      <c r="H41" s="35" t="str">
        <f t="shared" si="5"/>
        <v>E2_1_1_192 : E2_1_1_192</v>
      </c>
      <c r="I41" s="36" t="str">
        <f t="shared" si="6"/>
        <v>E2_1_1_192_mRNA : 0</v>
      </c>
      <c r="J41" s="19" t="str">
        <f t="shared" si="7"/>
        <v>E2_1_1_192 : 0</v>
      </c>
      <c r="K41" s="37" t="str">
        <f t="shared" si="8"/>
        <v>0.00292 - (0.0093 * E2_1_1_192_mRNA)</v>
      </c>
      <c r="L41" s="34" t="str">
        <f t="shared" si="9"/>
        <v>(0.278 * E2_1_1_192_mRNA) - (0.00000278 * E2_1_1_192)</v>
      </c>
      <c r="M41" s="38" t="str">
        <f t="shared" si="10"/>
        <v>mRNA40: -&gt; E2_1_1_192_mRNA | 0.00292 - (0.0093 * E2_1_1_192_mRNA)</v>
      </c>
      <c r="N41" s="39" t="str">
        <f t="shared" si="11"/>
        <v>Peptide40: E2_1_1_192_mRNA -&gt; E2_1_1_192 | (0.278 * E2_1_1_192_mRNA) - (0.000000278 * E2_1_1_192)</v>
      </c>
    </row>
    <row r="42" spans="1:14" x14ac:dyDescent="0.45">
      <c r="A42">
        <v>41</v>
      </c>
      <c r="B42" t="s">
        <v>10329</v>
      </c>
      <c r="C42" t="str">
        <f t="shared" si="0"/>
        <v>E2_1_1_193_mRNA</v>
      </c>
      <c r="D42" t="str">
        <f t="shared" si="1"/>
        <v>E2_1_1_193</v>
      </c>
      <c r="E42" s="39" t="str">
        <f t="shared" si="2"/>
        <v>E2_1_1_193_kcat : 13.7</v>
      </c>
      <c r="F42" s="41" t="str">
        <f t="shared" si="3"/>
        <v>E2_1_1_193_km : 1</v>
      </c>
      <c r="G42" s="34" t="str">
        <f t="shared" si="4"/>
        <v>E2_1_1_193_mRNA : E2_1_1_193_mRNA</v>
      </c>
      <c r="H42" s="35" t="str">
        <f t="shared" si="5"/>
        <v>E2_1_1_193 : E2_1_1_193</v>
      </c>
      <c r="I42" s="36" t="str">
        <f t="shared" si="6"/>
        <v>E2_1_1_193_mRNA : 0</v>
      </c>
      <c r="J42" s="19" t="str">
        <f t="shared" si="7"/>
        <v>E2_1_1_193 : 0</v>
      </c>
      <c r="K42" s="37" t="str">
        <f t="shared" si="8"/>
        <v>0.00292 - (0.0093 * E2_1_1_193_mRNA)</v>
      </c>
      <c r="L42" s="34" t="str">
        <f t="shared" si="9"/>
        <v>(0.278 * E2_1_1_193_mRNA) - (0.00000278 * E2_1_1_193)</v>
      </c>
      <c r="M42" s="38" t="str">
        <f t="shared" si="10"/>
        <v>mRNA41: -&gt; E2_1_1_193_mRNA | 0.00292 - (0.0093 * E2_1_1_193_mRNA)</v>
      </c>
      <c r="N42" s="39" t="str">
        <f t="shared" si="11"/>
        <v>Peptide41: E2_1_1_193_mRNA -&gt; E2_1_1_193 | (0.278 * E2_1_1_193_mRNA) - (0.000000278 * E2_1_1_193)</v>
      </c>
    </row>
    <row r="43" spans="1:14" x14ac:dyDescent="0.45">
      <c r="A43">
        <v>42</v>
      </c>
      <c r="B43" t="s">
        <v>1798</v>
      </c>
      <c r="C43" t="str">
        <f t="shared" si="0"/>
        <v>E2_1_1_199_mRNA</v>
      </c>
      <c r="D43" t="str">
        <f t="shared" si="1"/>
        <v>E2_1_1_199</v>
      </c>
      <c r="E43" s="39" t="str">
        <f t="shared" si="2"/>
        <v>E2_1_1_199_kcat : 13.7</v>
      </c>
      <c r="F43" s="41" t="str">
        <f t="shared" si="3"/>
        <v>E2_1_1_199_km : 1</v>
      </c>
      <c r="G43" s="34" t="str">
        <f t="shared" si="4"/>
        <v>E2_1_1_199_mRNA : E2_1_1_199_mRNA</v>
      </c>
      <c r="H43" s="35" t="str">
        <f t="shared" si="5"/>
        <v>E2_1_1_199 : E2_1_1_199</v>
      </c>
      <c r="I43" s="36" t="str">
        <f t="shared" si="6"/>
        <v>E2_1_1_199_mRNA : 0</v>
      </c>
      <c r="J43" s="19" t="str">
        <f t="shared" si="7"/>
        <v>E2_1_1_199 : 0</v>
      </c>
      <c r="K43" s="37" t="str">
        <f t="shared" si="8"/>
        <v>0.00292 - (0.0093 * E2_1_1_199_mRNA)</v>
      </c>
      <c r="L43" s="34" t="str">
        <f t="shared" si="9"/>
        <v>(0.278 * E2_1_1_199_mRNA) - (0.00000278 * E2_1_1_199)</v>
      </c>
      <c r="M43" s="38" t="str">
        <f t="shared" si="10"/>
        <v>mRNA42: -&gt; E2_1_1_199_mRNA | 0.00292 - (0.0093 * E2_1_1_199_mRNA)</v>
      </c>
      <c r="N43" s="39" t="str">
        <f t="shared" si="11"/>
        <v>Peptide42: E2_1_1_199_mRNA -&gt; E2_1_1_199 | (0.278 * E2_1_1_199_mRNA) - (0.000000278 * E2_1_1_199)</v>
      </c>
    </row>
    <row r="44" spans="1:14" x14ac:dyDescent="0.45">
      <c r="A44">
        <v>43</v>
      </c>
      <c r="B44" t="s">
        <v>1799</v>
      </c>
      <c r="C44" t="str">
        <f t="shared" si="0"/>
        <v>E2_1_1_207_mRNA</v>
      </c>
      <c r="D44" t="str">
        <f t="shared" si="1"/>
        <v>E2_1_1_207</v>
      </c>
      <c r="E44" s="39" t="str">
        <f t="shared" si="2"/>
        <v>E2_1_1_207_kcat : 13.7</v>
      </c>
      <c r="F44" s="41" t="str">
        <f t="shared" si="3"/>
        <v>E2_1_1_207_km : 1</v>
      </c>
      <c r="G44" s="34" t="str">
        <f t="shared" si="4"/>
        <v>E2_1_1_207_mRNA : E2_1_1_207_mRNA</v>
      </c>
      <c r="H44" s="35" t="str">
        <f t="shared" si="5"/>
        <v>E2_1_1_207 : E2_1_1_207</v>
      </c>
      <c r="I44" s="36" t="str">
        <f t="shared" si="6"/>
        <v>E2_1_1_207_mRNA : 0</v>
      </c>
      <c r="J44" s="19" t="str">
        <f t="shared" si="7"/>
        <v>E2_1_1_207 : 0</v>
      </c>
      <c r="K44" s="37" t="str">
        <f t="shared" si="8"/>
        <v>0.00292 - (0.0093 * E2_1_1_207_mRNA)</v>
      </c>
      <c r="L44" s="34" t="str">
        <f t="shared" si="9"/>
        <v>(0.278 * E2_1_1_207_mRNA) - (0.00000278 * E2_1_1_207)</v>
      </c>
      <c r="M44" s="38" t="str">
        <f t="shared" si="10"/>
        <v>mRNA43: -&gt; E2_1_1_207_mRNA | 0.00292 - (0.0093 * E2_1_1_207_mRNA)</v>
      </c>
      <c r="N44" s="39" t="str">
        <f t="shared" si="11"/>
        <v>Peptide43: E2_1_1_207_mRNA -&gt; E2_1_1_207 | (0.278 * E2_1_1_207_mRNA) - (0.000000278 * E2_1_1_207)</v>
      </c>
    </row>
    <row r="45" spans="1:14" x14ac:dyDescent="0.45">
      <c r="A45">
        <v>44</v>
      </c>
      <c r="B45" t="s">
        <v>10330</v>
      </c>
      <c r="C45" t="str">
        <f t="shared" si="0"/>
        <v>E2_1_1_217_mRNA</v>
      </c>
      <c r="D45" t="str">
        <f t="shared" si="1"/>
        <v>E2_1_1_217</v>
      </c>
      <c r="E45" s="39" t="str">
        <f t="shared" si="2"/>
        <v>E2_1_1_217_kcat : 13.7</v>
      </c>
      <c r="F45" s="41" t="str">
        <f t="shared" si="3"/>
        <v>E2_1_1_217_km : 1</v>
      </c>
      <c r="G45" s="34" t="str">
        <f t="shared" si="4"/>
        <v>E2_1_1_217_mRNA : E2_1_1_217_mRNA</v>
      </c>
      <c r="H45" s="35" t="str">
        <f t="shared" si="5"/>
        <v>E2_1_1_217 : E2_1_1_217</v>
      </c>
      <c r="I45" s="36" t="str">
        <f t="shared" si="6"/>
        <v>E2_1_1_217_mRNA : 0</v>
      </c>
      <c r="J45" s="19" t="str">
        <f t="shared" si="7"/>
        <v>E2_1_1_217 : 0</v>
      </c>
      <c r="K45" s="37" t="str">
        <f t="shared" si="8"/>
        <v>0.00292 - (0.0093 * E2_1_1_217_mRNA)</v>
      </c>
      <c r="L45" s="34" t="str">
        <f t="shared" si="9"/>
        <v>(0.278 * E2_1_1_217_mRNA) - (0.00000278 * E2_1_1_217)</v>
      </c>
      <c r="M45" s="38" t="str">
        <f t="shared" si="10"/>
        <v>mRNA44: -&gt; E2_1_1_217_mRNA | 0.00292 - (0.0093 * E2_1_1_217_mRNA)</v>
      </c>
      <c r="N45" s="39" t="str">
        <f t="shared" si="11"/>
        <v>Peptide44: E2_1_1_217_mRNA -&gt; E2_1_1_217 | (0.278 * E2_1_1_217_mRNA) - (0.000000278 * E2_1_1_217)</v>
      </c>
    </row>
    <row r="46" spans="1:14" x14ac:dyDescent="0.45">
      <c r="A46">
        <v>45</v>
      </c>
      <c r="B46" t="s">
        <v>10331</v>
      </c>
      <c r="C46" t="str">
        <f t="shared" si="0"/>
        <v>E2_1_1_223_mRNA</v>
      </c>
      <c r="D46" t="str">
        <f t="shared" si="1"/>
        <v>E2_1_1_223</v>
      </c>
      <c r="E46" s="39" t="str">
        <f t="shared" si="2"/>
        <v>E2_1_1_223_kcat : 13.7</v>
      </c>
      <c r="F46" s="41" t="str">
        <f t="shared" si="3"/>
        <v>E2_1_1_223_km : 1</v>
      </c>
      <c r="G46" s="34" t="str">
        <f t="shared" si="4"/>
        <v>E2_1_1_223_mRNA : E2_1_1_223_mRNA</v>
      </c>
      <c r="H46" s="35" t="str">
        <f t="shared" si="5"/>
        <v>E2_1_1_223 : E2_1_1_223</v>
      </c>
      <c r="I46" s="36" t="str">
        <f t="shared" si="6"/>
        <v>E2_1_1_223_mRNA : 0</v>
      </c>
      <c r="J46" s="19" t="str">
        <f t="shared" si="7"/>
        <v>E2_1_1_223 : 0</v>
      </c>
      <c r="K46" s="37" t="str">
        <f t="shared" si="8"/>
        <v>0.00292 - (0.0093 * E2_1_1_223_mRNA)</v>
      </c>
      <c r="L46" s="34" t="str">
        <f t="shared" si="9"/>
        <v>(0.278 * E2_1_1_223_mRNA) - (0.00000278 * E2_1_1_223)</v>
      </c>
      <c r="M46" s="38" t="str">
        <f t="shared" si="10"/>
        <v>mRNA45: -&gt; E2_1_1_223_mRNA | 0.00292 - (0.0093 * E2_1_1_223_mRNA)</v>
      </c>
      <c r="N46" s="39" t="str">
        <f t="shared" si="11"/>
        <v>Peptide45: E2_1_1_223_mRNA -&gt; E2_1_1_223 | (0.278 * E2_1_1_223_mRNA) - (0.000000278 * E2_1_1_223)</v>
      </c>
    </row>
    <row r="47" spans="1:14" x14ac:dyDescent="0.45">
      <c r="A47">
        <v>46</v>
      </c>
      <c r="B47" t="s">
        <v>1801</v>
      </c>
      <c r="C47" t="str">
        <f t="shared" si="0"/>
        <v>E2_1_1_228_mRNA</v>
      </c>
      <c r="D47" t="str">
        <f t="shared" si="1"/>
        <v>E2_1_1_228</v>
      </c>
      <c r="E47" s="39" t="str">
        <f t="shared" si="2"/>
        <v>E2_1_1_228_kcat : 13.7</v>
      </c>
      <c r="F47" s="41" t="str">
        <f t="shared" si="3"/>
        <v>E2_1_1_228_km : 1</v>
      </c>
      <c r="G47" s="34" t="str">
        <f t="shared" si="4"/>
        <v>E2_1_1_228_mRNA : E2_1_1_228_mRNA</v>
      </c>
      <c r="H47" s="35" t="str">
        <f t="shared" si="5"/>
        <v>E2_1_1_228 : E2_1_1_228</v>
      </c>
      <c r="I47" s="36" t="str">
        <f t="shared" si="6"/>
        <v>E2_1_1_228_mRNA : 0</v>
      </c>
      <c r="J47" s="19" t="str">
        <f t="shared" si="7"/>
        <v>E2_1_1_228 : 0</v>
      </c>
      <c r="K47" s="37" t="str">
        <f t="shared" si="8"/>
        <v>0.00292 - (0.0093 * E2_1_1_228_mRNA)</v>
      </c>
      <c r="L47" s="34" t="str">
        <f t="shared" si="9"/>
        <v>(0.278 * E2_1_1_228_mRNA) - (0.00000278 * E2_1_1_228)</v>
      </c>
      <c r="M47" s="38" t="str">
        <f t="shared" si="10"/>
        <v>mRNA46: -&gt; E2_1_1_228_mRNA | 0.00292 - (0.0093 * E2_1_1_228_mRNA)</v>
      </c>
      <c r="N47" s="39" t="str">
        <f t="shared" si="11"/>
        <v>Peptide46: E2_1_1_228_mRNA -&gt; E2_1_1_228 | (0.278 * E2_1_1_228_mRNA) - (0.000000278 * E2_1_1_228)</v>
      </c>
    </row>
    <row r="48" spans="1:14" x14ac:dyDescent="0.45">
      <c r="A48">
        <v>47</v>
      </c>
      <c r="B48" t="s">
        <v>1884</v>
      </c>
      <c r="C48" t="str">
        <f t="shared" si="0"/>
        <v>E2_1_1_297_mRNA</v>
      </c>
      <c r="D48" t="str">
        <f t="shared" si="1"/>
        <v>E2_1_1_297</v>
      </c>
      <c r="E48" s="39" t="str">
        <f t="shared" si="2"/>
        <v>E2_1_1_297_kcat : 13.7</v>
      </c>
      <c r="F48" s="41" t="str">
        <f t="shared" si="3"/>
        <v>E2_1_1_297_km : 1</v>
      </c>
      <c r="G48" s="34" t="str">
        <f t="shared" si="4"/>
        <v>E2_1_1_297_mRNA : E2_1_1_297_mRNA</v>
      </c>
      <c r="H48" s="35" t="str">
        <f t="shared" si="5"/>
        <v>E2_1_1_297 : E2_1_1_297</v>
      </c>
      <c r="I48" s="36" t="str">
        <f t="shared" si="6"/>
        <v>E2_1_1_297_mRNA : 0</v>
      </c>
      <c r="J48" s="19" t="str">
        <f t="shared" si="7"/>
        <v>E2_1_1_297 : 0</v>
      </c>
      <c r="K48" s="37" t="str">
        <f t="shared" si="8"/>
        <v>0.00292 - (0.0093 * E2_1_1_297_mRNA)</v>
      </c>
      <c r="L48" s="34" t="str">
        <f t="shared" si="9"/>
        <v>(0.278 * E2_1_1_297_mRNA) - (0.00000278 * E2_1_1_297)</v>
      </c>
      <c r="M48" s="38" t="str">
        <f t="shared" si="10"/>
        <v>mRNA47: -&gt; E2_1_1_297_mRNA | 0.00292 - (0.0093 * E2_1_1_297_mRNA)</v>
      </c>
      <c r="N48" s="39" t="str">
        <f t="shared" si="11"/>
        <v>Peptide47: E2_1_1_297_mRNA -&gt; E2_1_1_297 | (0.278 * E2_1_1_297_mRNA) - (0.000000278 * E2_1_1_297)</v>
      </c>
    </row>
    <row r="49" spans="1:14" x14ac:dyDescent="0.45">
      <c r="A49">
        <v>48</v>
      </c>
      <c r="B49" t="s">
        <v>1802</v>
      </c>
      <c r="C49" t="str">
        <f t="shared" si="0"/>
        <v>E2_1_1_33_mRNA</v>
      </c>
      <c r="D49" t="str">
        <f t="shared" si="1"/>
        <v>E2_1_1_33</v>
      </c>
      <c r="E49" s="39" t="str">
        <f t="shared" si="2"/>
        <v>E2_1_1_33_kcat : 13.7</v>
      </c>
      <c r="F49" s="41" t="str">
        <f t="shared" si="3"/>
        <v>E2_1_1_33_km : 1</v>
      </c>
      <c r="G49" s="34" t="str">
        <f t="shared" si="4"/>
        <v>E2_1_1_33_mRNA : E2_1_1_33_mRNA</v>
      </c>
      <c r="H49" s="35" t="str">
        <f t="shared" si="5"/>
        <v>E2_1_1_33 : E2_1_1_33</v>
      </c>
      <c r="I49" s="36" t="str">
        <f t="shared" si="6"/>
        <v>E2_1_1_33_mRNA : 0</v>
      </c>
      <c r="J49" s="19" t="str">
        <f t="shared" si="7"/>
        <v>E2_1_1_33 : 0</v>
      </c>
      <c r="K49" s="37" t="str">
        <f t="shared" si="8"/>
        <v>0.00292 - (0.0093 * E2_1_1_33_mRNA)</v>
      </c>
      <c r="L49" s="34" t="str">
        <f t="shared" si="9"/>
        <v>(0.278 * E2_1_1_33_mRNA) - (0.00000278 * E2_1_1_33)</v>
      </c>
      <c r="M49" s="38" t="str">
        <f t="shared" si="10"/>
        <v>mRNA48: -&gt; E2_1_1_33_mRNA | 0.00292 - (0.0093 * E2_1_1_33_mRNA)</v>
      </c>
      <c r="N49" s="39" t="str">
        <f t="shared" si="11"/>
        <v>Peptide48: E2_1_1_33_mRNA -&gt; E2_1_1_33 | (0.278 * E2_1_1_33_mRNA) - (0.000000278 * E2_1_1_33)</v>
      </c>
    </row>
    <row r="50" spans="1:14" x14ac:dyDescent="0.45">
      <c r="A50">
        <v>49</v>
      </c>
      <c r="B50" t="s">
        <v>1861</v>
      </c>
      <c r="C50" t="str">
        <f t="shared" si="0"/>
        <v>E2_1_1_45_mRNA</v>
      </c>
      <c r="D50" t="str">
        <f t="shared" si="1"/>
        <v>E2_1_1_45</v>
      </c>
      <c r="E50" s="39" t="str">
        <f t="shared" si="2"/>
        <v>E2_1_1_45_kcat : 13.7</v>
      </c>
      <c r="F50" s="41" t="str">
        <f t="shared" si="3"/>
        <v>E2_1_1_45_km : 1</v>
      </c>
      <c r="G50" s="34" t="str">
        <f t="shared" si="4"/>
        <v>E2_1_1_45_mRNA : E2_1_1_45_mRNA</v>
      </c>
      <c r="H50" s="35" t="str">
        <f t="shared" si="5"/>
        <v>E2_1_1_45 : E2_1_1_45</v>
      </c>
      <c r="I50" s="36" t="str">
        <f t="shared" si="6"/>
        <v>E2_1_1_45_mRNA : 0</v>
      </c>
      <c r="J50" s="19" t="str">
        <f t="shared" si="7"/>
        <v>E2_1_1_45 : 0</v>
      </c>
      <c r="K50" s="37" t="str">
        <f t="shared" si="8"/>
        <v>0.00292 - (0.0093 * E2_1_1_45_mRNA)</v>
      </c>
      <c r="L50" s="34" t="str">
        <f t="shared" si="9"/>
        <v>(0.278 * E2_1_1_45_mRNA) - (0.00000278 * E2_1_1_45)</v>
      </c>
      <c r="M50" s="38" t="str">
        <f t="shared" si="10"/>
        <v>mRNA49: -&gt; E2_1_1_45_mRNA | 0.00292 - (0.0093 * E2_1_1_45_mRNA)</v>
      </c>
      <c r="N50" s="39" t="str">
        <f t="shared" si="11"/>
        <v>Peptide49: E2_1_1_45_mRNA -&gt; E2_1_1_45 | (0.278 * E2_1_1_45_mRNA) - (0.000000278 * E2_1_1_45)</v>
      </c>
    </row>
    <row r="51" spans="1:14" x14ac:dyDescent="0.45">
      <c r="A51">
        <v>50</v>
      </c>
      <c r="B51" t="s">
        <v>10332</v>
      </c>
      <c r="C51" t="str">
        <f t="shared" si="0"/>
        <v>E2_1_1_72_mRNA</v>
      </c>
      <c r="D51" t="str">
        <f t="shared" si="1"/>
        <v>E2_1_1_72</v>
      </c>
      <c r="E51" s="39" t="str">
        <f t="shared" si="2"/>
        <v>E2_1_1_72_kcat : 13.7</v>
      </c>
      <c r="F51" s="41" t="str">
        <f t="shared" si="3"/>
        <v>E2_1_1_72_km : 1</v>
      </c>
      <c r="G51" s="34" t="str">
        <f t="shared" si="4"/>
        <v>E2_1_1_72_mRNA : E2_1_1_72_mRNA</v>
      </c>
      <c r="H51" s="35" t="str">
        <f t="shared" si="5"/>
        <v>E2_1_1_72 : E2_1_1_72</v>
      </c>
      <c r="I51" s="36" t="str">
        <f t="shared" si="6"/>
        <v>E2_1_1_72_mRNA : 0</v>
      </c>
      <c r="J51" s="19" t="str">
        <f t="shared" si="7"/>
        <v>E2_1_1_72 : 0</v>
      </c>
      <c r="K51" s="37" t="str">
        <f t="shared" si="8"/>
        <v>0.00292 - (0.0093 * E2_1_1_72_mRNA)</v>
      </c>
      <c r="L51" s="34" t="str">
        <f t="shared" si="9"/>
        <v>(0.278 * E2_1_1_72_mRNA) - (0.00000278 * E2_1_1_72)</v>
      </c>
      <c r="M51" s="38" t="str">
        <f t="shared" si="10"/>
        <v>mRNA50: -&gt; E2_1_1_72_mRNA | 0.00292 - (0.0093 * E2_1_1_72_mRNA)</v>
      </c>
      <c r="N51" s="39" t="str">
        <f t="shared" si="11"/>
        <v>Peptide50: E2_1_1_72_mRNA -&gt; E2_1_1_72 | (0.278 * E2_1_1_72_mRNA) - (0.000000278 * E2_1_1_72)</v>
      </c>
    </row>
    <row r="52" spans="1:14" x14ac:dyDescent="0.45">
      <c r="A52">
        <v>51</v>
      </c>
      <c r="B52" t="s">
        <v>1818</v>
      </c>
      <c r="C52" t="str">
        <f t="shared" si="0"/>
        <v>E2_1_2_1_mRNA</v>
      </c>
      <c r="D52" t="str">
        <f t="shared" si="1"/>
        <v>E2_1_2_1</v>
      </c>
      <c r="E52" s="39" t="str">
        <f t="shared" si="2"/>
        <v>E2_1_2_1_kcat : 13.7</v>
      </c>
      <c r="F52" s="41" t="str">
        <f t="shared" si="3"/>
        <v>E2_1_2_1_km : 1</v>
      </c>
      <c r="G52" s="34" t="str">
        <f t="shared" si="4"/>
        <v>E2_1_2_1_mRNA : E2_1_2_1_mRNA</v>
      </c>
      <c r="H52" s="35" t="str">
        <f t="shared" si="5"/>
        <v>E2_1_2_1 : E2_1_2_1</v>
      </c>
      <c r="I52" s="36" t="str">
        <f t="shared" si="6"/>
        <v>E2_1_2_1_mRNA : 0</v>
      </c>
      <c r="J52" s="19" t="str">
        <f t="shared" si="7"/>
        <v>E2_1_2_1 : 0</v>
      </c>
      <c r="K52" s="37" t="str">
        <f t="shared" si="8"/>
        <v>0.00292 - (0.0093 * E2_1_2_1_mRNA)</v>
      </c>
      <c r="L52" s="34" t="str">
        <f t="shared" si="9"/>
        <v>(0.278 * E2_1_2_1_mRNA) - (0.00000278 * E2_1_2_1)</v>
      </c>
      <c r="M52" s="38" t="str">
        <f t="shared" si="10"/>
        <v>mRNA51: -&gt; E2_1_2_1_mRNA | 0.00292 - (0.0093 * E2_1_2_1_mRNA)</v>
      </c>
      <c r="N52" s="39" t="str">
        <f t="shared" si="11"/>
        <v>Peptide51: E2_1_2_1_mRNA -&gt; E2_1_2_1 | (0.278 * E2_1_2_1_mRNA) - (0.000000278 * E2_1_2_1)</v>
      </c>
    </row>
    <row r="53" spans="1:14" x14ac:dyDescent="0.45">
      <c r="A53">
        <v>52</v>
      </c>
      <c r="B53" t="s">
        <v>1852</v>
      </c>
      <c r="C53" t="str">
        <f t="shared" si="0"/>
        <v>E2_1_2_2_mRNA</v>
      </c>
      <c r="D53" t="str">
        <f t="shared" si="1"/>
        <v>E2_1_2_2</v>
      </c>
      <c r="E53" s="39" t="str">
        <f t="shared" si="2"/>
        <v>E2_1_2_2_kcat : 13.7</v>
      </c>
      <c r="F53" s="41" t="str">
        <f t="shared" si="3"/>
        <v>E2_1_2_2_km : 1</v>
      </c>
      <c r="G53" s="34" t="str">
        <f t="shared" si="4"/>
        <v>E2_1_2_2_mRNA : E2_1_2_2_mRNA</v>
      </c>
      <c r="H53" s="35" t="str">
        <f t="shared" si="5"/>
        <v>E2_1_2_2 : E2_1_2_2</v>
      </c>
      <c r="I53" s="36" t="str">
        <f t="shared" si="6"/>
        <v>E2_1_2_2_mRNA : 0</v>
      </c>
      <c r="J53" s="19" t="str">
        <f t="shared" si="7"/>
        <v>E2_1_2_2 : 0</v>
      </c>
      <c r="K53" s="37" t="str">
        <f t="shared" si="8"/>
        <v>0.00292 - (0.0093 * E2_1_2_2_mRNA)</v>
      </c>
      <c r="L53" s="34" t="str">
        <f t="shared" si="9"/>
        <v>(0.278 * E2_1_2_2_mRNA) - (0.00000278 * E2_1_2_2)</v>
      </c>
      <c r="M53" s="38" t="str">
        <f t="shared" si="10"/>
        <v>mRNA52: -&gt; E2_1_2_2_mRNA | 0.00292 - (0.0093 * E2_1_2_2_mRNA)</v>
      </c>
      <c r="N53" s="39" t="str">
        <f t="shared" si="11"/>
        <v>Peptide52: E2_1_2_2_mRNA -&gt; E2_1_2_2 | (0.278 * E2_1_2_2_mRNA) - (0.000000278 * E2_1_2_2)</v>
      </c>
    </row>
    <row r="54" spans="1:14" x14ac:dyDescent="0.45">
      <c r="A54">
        <v>53</v>
      </c>
      <c r="B54" t="s">
        <v>1853</v>
      </c>
      <c r="C54" t="str">
        <f t="shared" si="0"/>
        <v>E2_1_2_3_mRNA</v>
      </c>
      <c r="D54" t="str">
        <f t="shared" si="1"/>
        <v>E2_1_2_3</v>
      </c>
      <c r="E54" s="39" t="str">
        <f t="shared" si="2"/>
        <v>E2_1_2_3_kcat : 13.7</v>
      </c>
      <c r="F54" s="41" t="str">
        <f t="shared" si="3"/>
        <v>E2_1_2_3_km : 1</v>
      </c>
      <c r="G54" s="34" t="str">
        <f t="shared" si="4"/>
        <v>E2_1_2_3_mRNA : E2_1_2_3_mRNA</v>
      </c>
      <c r="H54" s="35" t="str">
        <f t="shared" si="5"/>
        <v>E2_1_2_3 : E2_1_2_3</v>
      </c>
      <c r="I54" s="36" t="str">
        <f t="shared" si="6"/>
        <v>E2_1_2_3_mRNA : 0</v>
      </c>
      <c r="J54" s="19" t="str">
        <f t="shared" si="7"/>
        <v>E2_1_2_3 : 0</v>
      </c>
      <c r="K54" s="37" t="str">
        <f t="shared" si="8"/>
        <v>0.00292 - (0.0093 * E2_1_2_3_mRNA)</v>
      </c>
      <c r="L54" s="34" t="str">
        <f t="shared" si="9"/>
        <v>(0.278 * E2_1_2_3_mRNA) - (0.00000278 * E2_1_2_3)</v>
      </c>
      <c r="M54" s="38" t="str">
        <f t="shared" si="10"/>
        <v>mRNA53: -&gt; E2_1_2_3_mRNA | 0.00292 - (0.0093 * E2_1_2_3_mRNA)</v>
      </c>
      <c r="N54" s="39" t="str">
        <f t="shared" si="11"/>
        <v>Peptide53: E2_1_2_3_mRNA -&gt; E2_1_2_3 | (0.278 * E2_1_2_3_mRNA) - (0.000000278 * E2_1_2_3)</v>
      </c>
    </row>
    <row r="55" spans="1:14" x14ac:dyDescent="0.45">
      <c r="A55">
        <v>54</v>
      </c>
      <c r="B55" t="s">
        <v>1882</v>
      </c>
      <c r="C55" t="str">
        <f t="shared" si="0"/>
        <v>E2_1_2_9_mRNA</v>
      </c>
      <c r="D55" t="str">
        <f t="shared" si="1"/>
        <v>E2_1_2_9</v>
      </c>
      <c r="E55" s="39" t="str">
        <f t="shared" si="2"/>
        <v>E2_1_2_9_kcat : 13.7</v>
      </c>
      <c r="F55" s="41" t="str">
        <f t="shared" si="3"/>
        <v>E2_1_2_9_km : 1</v>
      </c>
      <c r="G55" s="34" t="str">
        <f t="shared" si="4"/>
        <v>E2_1_2_9_mRNA : E2_1_2_9_mRNA</v>
      </c>
      <c r="H55" s="35" t="str">
        <f t="shared" si="5"/>
        <v>E2_1_2_9 : E2_1_2_9</v>
      </c>
      <c r="I55" s="36" t="str">
        <f t="shared" si="6"/>
        <v>E2_1_2_9_mRNA : 0</v>
      </c>
      <c r="J55" s="19" t="str">
        <f t="shared" si="7"/>
        <v>E2_1_2_9 : 0</v>
      </c>
      <c r="K55" s="37" t="str">
        <f t="shared" si="8"/>
        <v>0.00292 - (0.0093 * E2_1_2_9_mRNA)</v>
      </c>
      <c r="L55" s="34" t="str">
        <f t="shared" si="9"/>
        <v>(0.278 * E2_1_2_9_mRNA) - (0.00000278 * E2_1_2_9)</v>
      </c>
      <c r="M55" s="38" t="str">
        <f t="shared" si="10"/>
        <v>mRNA54: -&gt; E2_1_2_9_mRNA | 0.00292 - (0.0093 * E2_1_2_9_mRNA)</v>
      </c>
      <c r="N55" s="39" t="str">
        <f t="shared" si="11"/>
        <v>Peptide54: E2_1_2_9_mRNA -&gt; E2_1_2_9 | (0.278 * E2_1_2_9_mRNA) - (0.000000278 * E2_1_2_9)</v>
      </c>
    </row>
    <row r="56" spans="1:14" x14ac:dyDescent="0.45">
      <c r="A56">
        <v>55</v>
      </c>
      <c r="B56" t="s">
        <v>1845</v>
      </c>
      <c r="C56" t="str">
        <f t="shared" si="0"/>
        <v>E2_1_3_2_mRNA</v>
      </c>
      <c r="D56" t="str">
        <f t="shared" si="1"/>
        <v>E2_1_3_2</v>
      </c>
      <c r="E56" s="39" t="str">
        <f t="shared" si="2"/>
        <v>E2_1_3_2_kcat : 13.7</v>
      </c>
      <c r="F56" s="41" t="str">
        <f t="shared" si="3"/>
        <v>E2_1_3_2_km : 1</v>
      </c>
      <c r="G56" s="34" t="str">
        <f t="shared" si="4"/>
        <v>E2_1_3_2_mRNA : E2_1_3_2_mRNA</v>
      </c>
      <c r="H56" s="35" t="str">
        <f t="shared" si="5"/>
        <v>E2_1_3_2 : E2_1_3_2</v>
      </c>
      <c r="I56" s="36" t="str">
        <f t="shared" si="6"/>
        <v>E2_1_3_2_mRNA : 0</v>
      </c>
      <c r="J56" s="19" t="str">
        <f t="shared" si="7"/>
        <v>E2_1_3_2 : 0</v>
      </c>
      <c r="K56" s="37" t="str">
        <f t="shared" si="8"/>
        <v>0.00292 - (0.0093 * E2_1_3_2_mRNA)</v>
      </c>
      <c r="L56" s="34" t="str">
        <f t="shared" si="9"/>
        <v>(0.278 * E2_1_3_2_mRNA) - (0.00000278 * E2_1_3_2)</v>
      </c>
      <c r="M56" s="38" t="str">
        <f t="shared" si="10"/>
        <v>mRNA55: -&gt; E2_1_3_2_mRNA | 0.00292 - (0.0093 * E2_1_3_2_mRNA)</v>
      </c>
      <c r="N56" s="39" t="str">
        <f t="shared" si="11"/>
        <v>Peptide55: E2_1_3_2_mRNA -&gt; E2_1_3_2 | (0.278 * E2_1_3_2_mRNA) - (0.000000278 * E2_1_3_2)</v>
      </c>
    </row>
    <row r="57" spans="1:14" x14ac:dyDescent="0.45">
      <c r="A57">
        <v>56</v>
      </c>
      <c r="B57" t="s">
        <v>10333</v>
      </c>
      <c r="C57" t="str">
        <f t="shared" si="0"/>
        <v>E2_1_3_3_mRNA</v>
      </c>
      <c r="D57" t="str">
        <f t="shared" si="1"/>
        <v>E2_1_3_3</v>
      </c>
      <c r="E57" s="39" t="str">
        <f t="shared" si="2"/>
        <v>E2_1_3_3_kcat : 13.7</v>
      </c>
      <c r="F57" s="41" t="str">
        <f t="shared" si="3"/>
        <v>E2_1_3_3_km : 1</v>
      </c>
      <c r="G57" s="34" t="str">
        <f t="shared" si="4"/>
        <v>E2_1_3_3_mRNA : E2_1_3_3_mRNA</v>
      </c>
      <c r="H57" s="35" t="str">
        <f t="shared" si="5"/>
        <v>E2_1_3_3 : E2_1_3_3</v>
      </c>
      <c r="I57" s="36" t="str">
        <f t="shared" si="6"/>
        <v>E2_1_3_3_mRNA : 0</v>
      </c>
      <c r="J57" s="19" t="str">
        <f t="shared" si="7"/>
        <v>E2_1_3_3 : 0</v>
      </c>
      <c r="K57" s="37" t="str">
        <f t="shared" si="8"/>
        <v>0.00292 - (0.0093 * E2_1_3_3_mRNA)</v>
      </c>
      <c r="L57" s="34" t="str">
        <f t="shared" si="9"/>
        <v>(0.278 * E2_1_3_3_mRNA) - (0.00000278 * E2_1_3_3)</v>
      </c>
      <c r="M57" s="38" t="str">
        <f t="shared" si="10"/>
        <v>mRNA56: -&gt; E2_1_3_3_mRNA | 0.00292 - (0.0093 * E2_1_3_3_mRNA)</v>
      </c>
      <c r="N57" s="39" t="str">
        <f t="shared" si="11"/>
        <v>Peptide56: E2_1_3_3_mRNA -&gt; E2_1_3_3 | (0.278 * E2_1_3_3_mRNA) - (0.000000278 * E2_1_3_3)</v>
      </c>
    </row>
    <row r="58" spans="1:14" x14ac:dyDescent="0.45">
      <c r="A58">
        <v>57</v>
      </c>
      <c r="B58" t="s">
        <v>10334</v>
      </c>
      <c r="C58" t="str">
        <f t="shared" si="0"/>
        <v>E2_2_1_1_mRNA</v>
      </c>
      <c r="D58" t="str">
        <f t="shared" si="1"/>
        <v>E2_2_1_1</v>
      </c>
      <c r="E58" s="39" t="str">
        <f t="shared" si="2"/>
        <v>E2_2_1_1_kcat : 13.7</v>
      </c>
      <c r="F58" s="41" t="str">
        <f t="shared" si="3"/>
        <v>E2_2_1_1_km : 1</v>
      </c>
      <c r="G58" s="34" t="str">
        <f t="shared" si="4"/>
        <v>E2_2_1_1_mRNA : E2_2_1_1_mRNA</v>
      </c>
      <c r="H58" s="35" t="str">
        <f t="shared" si="5"/>
        <v>E2_2_1_1 : E2_2_1_1</v>
      </c>
      <c r="I58" s="36" t="str">
        <f t="shared" si="6"/>
        <v>E2_2_1_1_mRNA : 0</v>
      </c>
      <c r="J58" s="19" t="str">
        <f t="shared" si="7"/>
        <v>E2_2_1_1 : 0</v>
      </c>
      <c r="K58" s="37" t="str">
        <f t="shared" si="8"/>
        <v>0.00292 - (0.0093 * E2_2_1_1_mRNA)</v>
      </c>
      <c r="L58" s="34" t="str">
        <f t="shared" si="9"/>
        <v>(0.278 * E2_2_1_1_mRNA) - (0.00000278 * E2_2_1_1)</v>
      </c>
      <c r="M58" s="38" t="str">
        <f t="shared" si="10"/>
        <v>mRNA57: -&gt; E2_2_1_1_mRNA | 0.00292 - (0.0093 * E2_2_1_1_mRNA)</v>
      </c>
      <c r="N58" s="39" t="str">
        <f t="shared" si="11"/>
        <v>Peptide57: E2_2_1_1_mRNA -&gt; E2_2_1_1 | (0.278 * E2_2_1_1_mRNA) - (0.000000278 * E2_2_1_1)</v>
      </c>
    </row>
    <row r="59" spans="1:14" x14ac:dyDescent="0.45">
      <c r="A59">
        <v>58</v>
      </c>
      <c r="B59" t="s">
        <v>1829</v>
      </c>
      <c r="C59" t="str">
        <f t="shared" si="0"/>
        <v>E2_3_1_15_mRNA</v>
      </c>
      <c r="D59" t="str">
        <f t="shared" si="1"/>
        <v>E2_3_1_15</v>
      </c>
      <c r="E59" s="39" t="str">
        <f t="shared" si="2"/>
        <v>E2_3_1_15_kcat : 13.7</v>
      </c>
      <c r="F59" s="41" t="str">
        <f t="shared" si="3"/>
        <v>E2_3_1_15_km : 1</v>
      </c>
      <c r="G59" s="34" t="str">
        <f t="shared" si="4"/>
        <v>E2_3_1_15_mRNA : E2_3_1_15_mRNA</v>
      </c>
      <c r="H59" s="35" t="str">
        <f t="shared" si="5"/>
        <v>E2_3_1_15 : E2_3_1_15</v>
      </c>
      <c r="I59" s="36" t="str">
        <f t="shared" si="6"/>
        <v>E2_3_1_15_mRNA : 0</v>
      </c>
      <c r="J59" s="19" t="str">
        <f t="shared" si="7"/>
        <v>E2_3_1_15 : 0</v>
      </c>
      <c r="K59" s="37" t="str">
        <f t="shared" si="8"/>
        <v>0.00292 - (0.0093 * E2_3_1_15_mRNA)</v>
      </c>
      <c r="L59" s="34" t="str">
        <f t="shared" si="9"/>
        <v>(0.278 * E2_3_1_15_mRNA) - (0.00000278 * E2_3_1_15)</v>
      </c>
      <c r="M59" s="38" t="str">
        <f t="shared" si="10"/>
        <v>mRNA58: -&gt; E2_3_1_15_mRNA | 0.00292 - (0.0093 * E2_3_1_15_mRNA)</v>
      </c>
      <c r="N59" s="39" t="str">
        <f t="shared" si="11"/>
        <v>Peptide58: E2_3_1_15_mRNA -&gt; E2_3_1_15 | (0.278 * E2_3_1_15_mRNA) - (0.000000278 * E2_3_1_15)</v>
      </c>
    </row>
    <row r="60" spans="1:14" x14ac:dyDescent="0.45">
      <c r="A60">
        <v>59</v>
      </c>
      <c r="B60" t="s">
        <v>1809</v>
      </c>
      <c r="C60" t="str">
        <f t="shared" si="0"/>
        <v>E2_3_1_157_mRNA</v>
      </c>
      <c r="D60" t="str">
        <f t="shared" si="1"/>
        <v>E2_3_1_157</v>
      </c>
      <c r="E60" s="39" t="str">
        <f t="shared" si="2"/>
        <v>E2_3_1_157_kcat : 13.7</v>
      </c>
      <c r="F60" s="41" t="str">
        <f t="shared" si="3"/>
        <v>E2_3_1_157_km : 1</v>
      </c>
      <c r="G60" s="34" t="str">
        <f t="shared" si="4"/>
        <v>E2_3_1_157_mRNA : E2_3_1_157_mRNA</v>
      </c>
      <c r="H60" s="35" t="str">
        <f t="shared" si="5"/>
        <v>E2_3_1_157 : E2_3_1_157</v>
      </c>
      <c r="I60" s="36" t="str">
        <f t="shared" si="6"/>
        <v>E2_3_1_157_mRNA : 0</v>
      </c>
      <c r="J60" s="19" t="str">
        <f t="shared" si="7"/>
        <v>E2_3_1_157 : 0</v>
      </c>
      <c r="K60" s="37" t="str">
        <f t="shared" si="8"/>
        <v>0.00292 - (0.0093 * E2_3_1_157_mRNA)</v>
      </c>
      <c r="L60" s="34" t="str">
        <f t="shared" si="9"/>
        <v>(0.278 * E2_3_1_157_mRNA) - (0.00000278 * E2_3_1_157)</v>
      </c>
      <c r="M60" s="38" t="str">
        <f t="shared" si="10"/>
        <v>mRNA59: -&gt; E2_3_1_157_mRNA | 0.00292 - (0.0093 * E2_3_1_157_mRNA)</v>
      </c>
      <c r="N60" s="39" t="str">
        <f t="shared" si="11"/>
        <v>Peptide59: E2_3_1_157_mRNA -&gt; E2_3_1_157 | (0.278 * E2_3_1_157_mRNA) - (0.000000278 * E2_3_1_157)</v>
      </c>
    </row>
    <row r="61" spans="1:14" x14ac:dyDescent="0.45">
      <c r="A61">
        <v>60</v>
      </c>
      <c r="B61" t="s">
        <v>10335</v>
      </c>
      <c r="C61" t="str">
        <f t="shared" si="0"/>
        <v>E2_3_1_16_mRNA</v>
      </c>
      <c r="D61" t="str">
        <f t="shared" si="1"/>
        <v>E2_3_1_16</v>
      </c>
      <c r="E61" s="39" t="str">
        <f t="shared" si="2"/>
        <v>E2_3_1_16_kcat : 13.7</v>
      </c>
      <c r="F61" s="41" t="str">
        <f t="shared" si="3"/>
        <v>E2_3_1_16_km : 1</v>
      </c>
      <c r="G61" s="34" t="str">
        <f t="shared" si="4"/>
        <v>E2_3_1_16_mRNA : E2_3_1_16_mRNA</v>
      </c>
      <c r="H61" s="35" t="str">
        <f t="shared" si="5"/>
        <v>E2_3_1_16 : E2_3_1_16</v>
      </c>
      <c r="I61" s="36" t="str">
        <f t="shared" si="6"/>
        <v>E2_3_1_16_mRNA : 0</v>
      </c>
      <c r="J61" s="19" t="str">
        <f t="shared" si="7"/>
        <v>E2_3_1_16 : 0</v>
      </c>
      <c r="K61" s="37" t="str">
        <f t="shared" si="8"/>
        <v>0.00292 - (0.0093 * E2_3_1_16_mRNA)</v>
      </c>
      <c r="L61" s="34" t="str">
        <f t="shared" si="9"/>
        <v>(0.278 * E2_3_1_16_mRNA) - (0.00000278 * E2_3_1_16)</v>
      </c>
      <c r="M61" s="38" t="str">
        <f t="shared" si="10"/>
        <v>mRNA60: -&gt; E2_3_1_16_mRNA | 0.00292 - (0.0093 * E2_3_1_16_mRNA)</v>
      </c>
      <c r="N61" s="39" t="str">
        <f t="shared" si="11"/>
        <v>Peptide60: E2_3_1_16_mRNA -&gt; E2_3_1_16 | (0.278 * E2_3_1_16_mRNA) - (0.000000278 * E2_3_1_16)</v>
      </c>
    </row>
    <row r="62" spans="1:14" x14ac:dyDescent="0.45">
      <c r="A62">
        <v>61</v>
      </c>
      <c r="B62" t="s">
        <v>10336</v>
      </c>
      <c r="C62" t="str">
        <f t="shared" si="0"/>
        <v>E2_3_1_179_mRNA</v>
      </c>
      <c r="D62" t="str">
        <f t="shared" si="1"/>
        <v>E2_3_1_179</v>
      </c>
      <c r="E62" s="39" t="str">
        <f t="shared" si="2"/>
        <v>E2_3_1_179_kcat : 13.7</v>
      </c>
      <c r="F62" s="41" t="str">
        <f t="shared" si="3"/>
        <v>E2_3_1_179_km : 1</v>
      </c>
      <c r="G62" s="34" t="str">
        <f t="shared" si="4"/>
        <v>E2_3_1_179_mRNA : E2_3_1_179_mRNA</v>
      </c>
      <c r="H62" s="35" t="str">
        <f t="shared" si="5"/>
        <v>E2_3_1_179 : E2_3_1_179</v>
      </c>
      <c r="I62" s="36" t="str">
        <f t="shared" si="6"/>
        <v>E2_3_1_179_mRNA : 0</v>
      </c>
      <c r="J62" s="19" t="str">
        <f t="shared" si="7"/>
        <v>E2_3_1_179 : 0</v>
      </c>
      <c r="K62" s="37" t="str">
        <f t="shared" si="8"/>
        <v>0.00292 - (0.0093 * E2_3_1_179_mRNA)</v>
      </c>
      <c r="L62" s="34" t="str">
        <f t="shared" si="9"/>
        <v>(0.278 * E2_3_1_179_mRNA) - (0.00000278 * E2_3_1_179)</v>
      </c>
      <c r="M62" s="38" t="str">
        <f t="shared" si="10"/>
        <v>mRNA61: -&gt; E2_3_1_179_mRNA | 0.00292 - (0.0093 * E2_3_1_179_mRNA)</v>
      </c>
      <c r="N62" s="39" t="str">
        <f t="shared" si="11"/>
        <v>Peptide61: E2_3_1_179_mRNA -&gt; E2_3_1_179 | (0.278 * E2_3_1_179_mRNA) - (0.000000278 * E2_3_1_179)</v>
      </c>
    </row>
    <row r="63" spans="1:14" x14ac:dyDescent="0.45">
      <c r="A63">
        <v>62</v>
      </c>
      <c r="B63" t="s">
        <v>10337</v>
      </c>
      <c r="C63" t="str">
        <f t="shared" si="0"/>
        <v>E2_3_1_180_mRNA</v>
      </c>
      <c r="D63" t="str">
        <f t="shared" si="1"/>
        <v>E2_3_1_180</v>
      </c>
      <c r="E63" s="39" t="str">
        <f t="shared" si="2"/>
        <v>E2_3_1_180_kcat : 13.7</v>
      </c>
      <c r="F63" s="41" t="str">
        <f t="shared" si="3"/>
        <v>E2_3_1_180_km : 1</v>
      </c>
      <c r="G63" s="34" t="str">
        <f t="shared" si="4"/>
        <v>E2_3_1_180_mRNA : E2_3_1_180_mRNA</v>
      </c>
      <c r="H63" s="35" t="str">
        <f t="shared" si="5"/>
        <v>E2_3_1_180 : E2_3_1_180</v>
      </c>
      <c r="I63" s="36" t="str">
        <f t="shared" si="6"/>
        <v>E2_3_1_180_mRNA : 0</v>
      </c>
      <c r="J63" s="19" t="str">
        <f t="shared" si="7"/>
        <v>E2_3_1_180 : 0</v>
      </c>
      <c r="K63" s="37" t="str">
        <f t="shared" si="8"/>
        <v>0.00292 - (0.0093 * E2_3_1_180_mRNA)</v>
      </c>
      <c r="L63" s="34" t="str">
        <f t="shared" si="9"/>
        <v>(0.278 * E2_3_1_180_mRNA) - (0.00000278 * E2_3_1_180)</v>
      </c>
      <c r="M63" s="38" t="str">
        <f t="shared" si="10"/>
        <v>mRNA62: -&gt; E2_3_1_180_mRNA | 0.00292 - (0.0093 * E2_3_1_180_mRNA)</v>
      </c>
      <c r="N63" s="39" t="str">
        <f t="shared" si="11"/>
        <v>Peptide62: E2_3_1_180_mRNA -&gt; E2_3_1_180 | (0.278 * E2_3_1_180_mRNA) - (0.000000278 * E2_3_1_180)</v>
      </c>
    </row>
    <row r="64" spans="1:14" x14ac:dyDescent="0.45">
      <c r="A64">
        <v>63</v>
      </c>
      <c r="B64" t="s">
        <v>1903</v>
      </c>
      <c r="C64" t="str">
        <f t="shared" si="0"/>
        <v>E2_3_1_234_mRNA</v>
      </c>
      <c r="D64" t="str">
        <f t="shared" si="1"/>
        <v>E2_3_1_234</v>
      </c>
      <c r="E64" s="39" t="str">
        <f t="shared" si="2"/>
        <v>E2_3_1_234_kcat : 13.7</v>
      </c>
      <c r="F64" s="41" t="str">
        <f t="shared" si="3"/>
        <v>E2_3_1_234_km : 1</v>
      </c>
      <c r="G64" s="34" t="str">
        <f t="shared" si="4"/>
        <v>E2_3_1_234_mRNA : E2_3_1_234_mRNA</v>
      </c>
      <c r="H64" s="35" t="str">
        <f t="shared" si="5"/>
        <v>E2_3_1_234 : E2_3_1_234</v>
      </c>
      <c r="I64" s="36" t="str">
        <f t="shared" si="6"/>
        <v>E2_3_1_234_mRNA : 0</v>
      </c>
      <c r="J64" s="19" t="str">
        <f t="shared" si="7"/>
        <v>E2_3_1_234 : 0</v>
      </c>
      <c r="K64" s="37" t="str">
        <f t="shared" si="8"/>
        <v>0.00292 - (0.0093 * E2_3_1_234_mRNA)</v>
      </c>
      <c r="L64" s="34" t="str">
        <f t="shared" si="9"/>
        <v>(0.278 * E2_3_1_234_mRNA) - (0.00000278 * E2_3_1_234)</v>
      </c>
      <c r="M64" s="38" t="str">
        <f t="shared" si="10"/>
        <v>mRNA63: -&gt; E2_3_1_234_mRNA | 0.00292 - (0.0093 * E2_3_1_234_mRNA)</v>
      </c>
      <c r="N64" s="39" t="str">
        <f t="shared" si="11"/>
        <v>Peptide63: E2_3_1_234_mRNA -&gt; E2_3_1_234 | (0.278 * E2_3_1_234_mRNA) - (0.000000278 * E2_3_1_234)</v>
      </c>
    </row>
    <row r="65" spans="1:14" x14ac:dyDescent="0.45">
      <c r="A65">
        <v>64</v>
      </c>
      <c r="B65" t="s">
        <v>1808</v>
      </c>
      <c r="C65" t="str">
        <f t="shared" si="0"/>
        <v>E2_3_1_266_mRNA</v>
      </c>
      <c r="D65" t="str">
        <f t="shared" si="1"/>
        <v>E2_3_1_266</v>
      </c>
      <c r="E65" s="39" t="str">
        <f t="shared" si="2"/>
        <v>E2_3_1_266_kcat : 13.7</v>
      </c>
      <c r="F65" s="41" t="str">
        <f t="shared" si="3"/>
        <v>E2_3_1_266_km : 1</v>
      </c>
      <c r="G65" s="34" t="str">
        <f t="shared" si="4"/>
        <v>E2_3_1_266_mRNA : E2_3_1_266_mRNA</v>
      </c>
      <c r="H65" s="35" t="str">
        <f t="shared" si="5"/>
        <v>E2_3_1_266 : E2_3_1_266</v>
      </c>
      <c r="I65" s="36" t="str">
        <f t="shared" si="6"/>
        <v>E2_3_1_266_mRNA : 0</v>
      </c>
      <c r="J65" s="19" t="str">
        <f t="shared" si="7"/>
        <v>E2_3_1_266 : 0</v>
      </c>
      <c r="K65" s="37" t="str">
        <f t="shared" si="8"/>
        <v>0.00292 - (0.0093 * E2_3_1_266_mRNA)</v>
      </c>
      <c r="L65" s="34" t="str">
        <f t="shared" si="9"/>
        <v>(0.278 * E2_3_1_266_mRNA) - (0.00000278 * E2_3_1_266)</v>
      </c>
      <c r="M65" s="38" t="str">
        <f t="shared" si="10"/>
        <v>mRNA64: -&gt; E2_3_1_266_mRNA | 0.00292 - (0.0093 * E2_3_1_266_mRNA)</v>
      </c>
      <c r="N65" s="39" t="str">
        <f t="shared" si="11"/>
        <v>Peptide64: E2_3_1_266_mRNA -&gt; E2_3_1_266 | (0.278 * E2_3_1_266_mRNA) - (0.000000278 * E2_3_1_266)</v>
      </c>
    </row>
    <row r="66" spans="1:14" x14ac:dyDescent="0.45">
      <c r="A66">
        <v>65</v>
      </c>
      <c r="B66" t="s">
        <v>1846</v>
      </c>
      <c r="C66" t="str">
        <f t="shared" ref="C66:C129" si="12">CONCATENATE(D66,"_mRNA")</f>
        <v>E2_3_1_274_mRNA</v>
      </c>
      <c r="D66" t="str">
        <f t="shared" ref="D66:D129" si="13">CONCATENATE("E",B66)</f>
        <v>E2_3_1_274</v>
      </c>
      <c r="E66" s="39" t="str">
        <f t="shared" ref="E66:E129" si="14">CONCATENATE("E",B66,"_kcat : 13.7")</f>
        <v>E2_3_1_274_kcat : 13.7</v>
      </c>
      <c r="F66" s="41" t="str">
        <f t="shared" ref="F66:F129" si="15">CONCATENATE("E",B66,"_km : 1")</f>
        <v>E2_3_1_274_km : 1</v>
      </c>
      <c r="G66" s="34" t="str">
        <f t="shared" ref="G66:G129" si="16">CONCATENATE(C66," : ",C66)</f>
        <v>E2_3_1_274_mRNA : E2_3_1_274_mRNA</v>
      </c>
      <c r="H66" s="35" t="str">
        <f t="shared" ref="H66:H129" si="17">CONCATENATE(D66," : ",D66)</f>
        <v>E2_3_1_274 : E2_3_1_274</v>
      </c>
      <c r="I66" s="36" t="str">
        <f t="shared" ref="I66:I129" si="18">CONCATENATE(C66," : ","0")</f>
        <v>E2_3_1_274_mRNA : 0</v>
      </c>
      <c r="J66" s="19" t="str">
        <f t="shared" ref="J66:J129" si="19">CONCATENATE(D66," : ","0")</f>
        <v>E2_3_1_274 : 0</v>
      </c>
      <c r="K66" s="37" t="str">
        <f t="shared" ref="K66:K129" si="20">CONCATENATE("0.00292 - (0.0093 * ",C66,")")</f>
        <v>0.00292 - (0.0093 * E2_3_1_274_mRNA)</v>
      </c>
      <c r="L66" s="34" t="str">
        <f t="shared" ref="L66:L129" si="21">CONCATENATE("(0.278 * ",C66,")"," - (0.00000278 * ",D66,")")</f>
        <v>(0.278 * E2_3_1_274_mRNA) - (0.00000278 * E2_3_1_274)</v>
      </c>
      <c r="M66" s="38" t="str">
        <f t="shared" ref="M66:M129" si="22">CONCATENATE("mRNA",A66,": -&gt; ",C66," | ","0.00292"," - ","(","0.0093"," * ",C66,")")</f>
        <v>mRNA65: -&gt; E2_3_1_274_mRNA | 0.00292 - (0.0093 * E2_3_1_274_mRNA)</v>
      </c>
      <c r="N66" s="39" t="str">
        <f t="shared" ref="N66:N129" si="23">CONCATENATE("Peptide",A66,": ",C66," -&gt; ",D66," | ","(","0.278"," * ",C66,")"," - ","(","0.000000278"," * ",D66,")")</f>
        <v>Peptide65: E2_3_1_274_mRNA -&gt; E2_3_1_274 | (0.278 * E2_3_1_274_mRNA) - (0.000000278 * E2_3_1_274)</v>
      </c>
    </row>
    <row r="67" spans="1:14" x14ac:dyDescent="0.45">
      <c r="A67">
        <v>66</v>
      </c>
      <c r="B67" t="s">
        <v>10338</v>
      </c>
      <c r="C67" t="str">
        <f t="shared" si="12"/>
        <v>E2_3_1_30_mRNA</v>
      </c>
      <c r="D67" t="str">
        <f t="shared" si="13"/>
        <v>E2_3_1_30</v>
      </c>
      <c r="E67" s="39" t="str">
        <f t="shared" si="14"/>
        <v>E2_3_1_30_kcat : 13.7</v>
      </c>
      <c r="F67" s="41" t="str">
        <f t="shared" si="15"/>
        <v>E2_3_1_30_km : 1</v>
      </c>
      <c r="G67" s="34" t="str">
        <f t="shared" si="16"/>
        <v>E2_3_1_30_mRNA : E2_3_1_30_mRNA</v>
      </c>
      <c r="H67" s="35" t="str">
        <f t="shared" si="17"/>
        <v>E2_3_1_30 : E2_3_1_30</v>
      </c>
      <c r="I67" s="36" t="str">
        <f t="shared" si="18"/>
        <v>E2_3_1_30_mRNA : 0</v>
      </c>
      <c r="J67" s="19" t="str">
        <f t="shared" si="19"/>
        <v>E2_3_1_30 : 0</v>
      </c>
      <c r="K67" s="37" t="str">
        <f t="shared" si="20"/>
        <v>0.00292 - (0.0093 * E2_3_1_30_mRNA)</v>
      </c>
      <c r="L67" s="34" t="str">
        <f t="shared" si="21"/>
        <v>(0.278 * E2_3_1_30_mRNA) - (0.00000278 * E2_3_1_30)</v>
      </c>
      <c r="M67" s="38" t="str">
        <f t="shared" si="22"/>
        <v>mRNA66: -&gt; E2_3_1_30_mRNA | 0.00292 - (0.0093 * E2_3_1_30_mRNA)</v>
      </c>
      <c r="N67" s="39" t="str">
        <f t="shared" si="23"/>
        <v>Peptide66: E2_3_1_30_mRNA -&gt; E2_3_1_30 | (0.278 * E2_3_1_30_mRNA) - (0.000000278 * E2_3_1_30)</v>
      </c>
    </row>
    <row r="68" spans="1:14" x14ac:dyDescent="0.45">
      <c r="A68">
        <v>67</v>
      </c>
      <c r="B68" t="s">
        <v>10339</v>
      </c>
      <c r="C68" t="str">
        <f t="shared" si="12"/>
        <v>E2_3_1_39_mRNA</v>
      </c>
      <c r="D68" t="str">
        <f t="shared" si="13"/>
        <v>E2_3_1_39</v>
      </c>
      <c r="E68" s="39" t="str">
        <f t="shared" si="14"/>
        <v>E2_3_1_39_kcat : 13.7</v>
      </c>
      <c r="F68" s="41" t="str">
        <f t="shared" si="15"/>
        <v>E2_3_1_39_km : 1</v>
      </c>
      <c r="G68" s="34" t="str">
        <f t="shared" si="16"/>
        <v>E2_3_1_39_mRNA : E2_3_1_39_mRNA</v>
      </c>
      <c r="H68" s="35" t="str">
        <f t="shared" si="17"/>
        <v>E2_3_1_39 : E2_3_1_39</v>
      </c>
      <c r="I68" s="36" t="str">
        <f t="shared" si="18"/>
        <v>E2_3_1_39_mRNA : 0</v>
      </c>
      <c r="J68" s="19" t="str">
        <f t="shared" si="19"/>
        <v>E2_3_1_39 : 0</v>
      </c>
      <c r="K68" s="37" t="str">
        <f t="shared" si="20"/>
        <v>0.00292 - (0.0093 * E2_3_1_39_mRNA)</v>
      </c>
      <c r="L68" s="34" t="str">
        <f t="shared" si="21"/>
        <v>(0.278 * E2_3_1_39_mRNA) - (0.00000278 * E2_3_1_39)</v>
      </c>
      <c r="M68" s="38" t="str">
        <f t="shared" si="22"/>
        <v>mRNA67: -&gt; E2_3_1_39_mRNA | 0.00292 - (0.0093 * E2_3_1_39_mRNA)</v>
      </c>
      <c r="N68" s="39" t="str">
        <f t="shared" si="23"/>
        <v>Peptide67: E2_3_1_39_mRNA -&gt; E2_3_1_39 | (0.278 * E2_3_1_39_mRNA) - (0.000000278 * E2_3_1_39)</v>
      </c>
    </row>
    <row r="69" spans="1:14" x14ac:dyDescent="0.45">
      <c r="A69">
        <v>68</v>
      </c>
      <c r="B69" t="s">
        <v>10340</v>
      </c>
      <c r="C69" t="str">
        <f t="shared" si="12"/>
        <v>E2_3_1_54_mRNA</v>
      </c>
      <c r="D69" t="str">
        <f t="shared" si="13"/>
        <v>E2_3_1_54</v>
      </c>
      <c r="E69" s="39" t="str">
        <f t="shared" si="14"/>
        <v>E2_3_1_54_kcat : 13.7</v>
      </c>
      <c r="F69" s="41" t="str">
        <f t="shared" si="15"/>
        <v>E2_3_1_54_km : 1</v>
      </c>
      <c r="G69" s="34" t="str">
        <f t="shared" si="16"/>
        <v>E2_3_1_54_mRNA : E2_3_1_54_mRNA</v>
      </c>
      <c r="H69" s="35" t="str">
        <f t="shared" si="17"/>
        <v>E2_3_1_54 : E2_3_1_54</v>
      </c>
      <c r="I69" s="36" t="str">
        <f t="shared" si="18"/>
        <v>E2_3_1_54_mRNA : 0</v>
      </c>
      <c r="J69" s="19" t="str">
        <f t="shared" si="19"/>
        <v>E2_3_1_54 : 0</v>
      </c>
      <c r="K69" s="37" t="str">
        <f t="shared" si="20"/>
        <v>0.00292 - (0.0093 * E2_3_1_54_mRNA)</v>
      </c>
      <c r="L69" s="34" t="str">
        <f t="shared" si="21"/>
        <v>(0.278 * E2_3_1_54_mRNA) - (0.00000278 * E2_3_1_54)</v>
      </c>
      <c r="M69" s="38" t="str">
        <f t="shared" si="22"/>
        <v>mRNA68: -&gt; E2_3_1_54_mRNA | 0.00292 - (0.0093 * E2_3_1_54_mRNA)</v>
      </c>
      <c r="N69" s="39" t="str">
        <f t="shared" si="23"/>
        <v>Peptide68: E2_3_1_54_mRNA -&gt; E2_3_1_54 | (0.278 * E2_3_1_54_mRNA) - (0.000000278 * E2_3_1_54)</v>
      </c>
    </row>
    <row r="70" spans="1:14" x14ac:dyDescent="0.45">
      <c r="A70">
        <v>69</v>
      </c>
      <c r="B70" t="s">
        <v>1806</v>
      </c>
      <c r="C70" t="str">
        <f t="shared" si="12"/>
        <v>E2_3_1_8_mRNA</v>
      </c>
      <c r="D70" t="str">
        <f t="shared" si="13"/>
        <v>E2_3_1_8</v>
      </c>
      <c r="E70" s="39" t="str">
        <f t="shared" si="14"/>
        <v>E2_3_1_8_kcat : 13.7</v>
      </c>
      <c r="F70" s="41" t="str">
        <f t="shared" si="15"/>
        <v>E2_3_1_8_km : 1</v>
      </c>
      <c r="G70" s="34" t="str">
        <f t="shared" si="16"/>
        <v>E2_3_1_8_mRNA : E2_3_1_8_mRNA</v>
      </c>
      <c r="H70" s="35" t="str">
        <f t="shared" si="17"/>
        <v>E2_3_1_8 : E2_3_1_8</v>
      </c>
      <c r="I70" s="36" t="str">
        <f t="shared" si="18"/>
        <v>E2_3_1_8_mRNA : 0</v>
      </c>
      <c r="J70" s="19" t="str">
        <f t="shared" si="19"/>
        <v>E2_3_1_8 : 0</v>
      </c>
      <c r="K70" s="37" t="str">
        <f t="shared" si="20"/>
        <v>0.00292 - (0.0093 * E2_3_1_8_mRNA)</v>
      </c>
      <c r="L70" s="34" t="str">
        <f t="shared" si="21"/>
        <v>(0.278 * E2_3_1_8_mRNA) - (0.00000278 * E2_3_1_8)</v>
      </c>
      <c r="M70" s="38" t="str">
        <f t="shared" si="22"/>
        <v>mRNA69: -&gt; E2_3_1_8_mRNA | 0.00292 - (0.0093 * E2_3_1_8_mRNA)</v>
      </c>
      <c r="N70" s="39" t="str">
        <f t="shared" si="23"/>
        <v>Peptide69: E2_3_1_8_mRNA -&gt; E2_3_1_8 | (0.278 * E2_3_1_8_mRNA) - (0.000000278 * E2_3_1_8)</v>
      </c>
    </row>
    <row r="71" spans="1:14" x14ac:dyDescent="0.45">
      <c r="A71">
        <v>70</v>
      </c>
      <c r="B71" t="s">
        <v>10341</v>
      </c>
      <c r="C71" t="str">
        <f t="shared" si="12"/>
        <v>E2_3_1_9_mRNA</v>
      </c>
      <c r="D71" t="str">
        <f t="shared" si="13"/>
        <v>E2_3_1_9</v>
      </c>
      <c r="E71" s="39" t="str">
        <f t="shared" si="14"/>
        <v>E2_3_1_9_kcat : 13.7</v>
      </c>
      <c r="F71" s="41" t="str">
        <f t="shared" si="15"/>
        <v>E2_3_1_9_km : 1</v>
      </c>
      <c r="G71" s="34" t="str">
        <f t="shared" si="16"/>
        <v>E2_3_1_9_mRNA : E2_3_1_9_mRNA</v>
      </c>
      <c r="H71" s="35" t="str">
        <f t="shared" si="17"/>
        <v>E2_3_1_9 : E2_3_1_9</v>
      </c>
      <c r="I71" s="36" t="str">
        <f t="shared" si="18"/>
        <v>E2_3_1_9_mRNA : 0</v>
      </c>
      <c r="J71" s="19" t="str">
        <f t="shared" si="19"/>
        <v>E2_3_1_9 : 0</v>
      </c>
      <c r="K71" s="37" t="str">
        <f t="shared" si="20"/>
        <v>0.00292 - (0.0093 * E2_3_1_9_mRNA)</v>
      </c>
      <c r="L71" s="34" t="str">
        <f t="shared" si="21"/>
        <v>(0.278 * E2_3_1_9_mRNA) - (0.00000278 * E2_3_1_9)</v>
      </c>
      <c r="M71" s="38" t="str">
        <f t="shared" si="22"/>
        <v>mRNA70: -&gt; E2_3_1_9_mRNA | 0.00292 - (0.0093 * E2_3_1_9_mRNA)</v>
      </c>
      <c r="N71" s="39" t="str">
        <f t="shared" si="23"/>
        <v>Peptide70: E2_3_1_9_mRNA -&gt; E2_3_1_9 | (0.278 * E2_3_1_9_mRNA) - (0.000000278 * E2_3_1_9)</v>
      </c>
    </row>
    <row r="72" spans="1:14" x14ac:dyDescent="0.45">
      <c r="A72">
        <v>71</v>
      </c>
      <c r="B72" t="s">
        <v>1859</v>
      </c>
      <c r="C72" t="str">
        <f t="shared" si="12"/>
        <v>E2_3_3_10_mRNA</v>
      </c>
      <c r="D72" t="str">
        <f t="shared" si="13"/>
        <v>E2_3_3_10</v>
      </c>
      <c r="E72" s="39" t="str">
        <f t="shared" si="14"/>
        <v>E2_3_3_10_kcat : 13.7</v>
      </c>
      <c r="F72" s="41" t="str">
        <f t="shared" si="15"/>
        <v>E2_3_3_10_km : 1</v>
      </c>
      <c r="G72" s="34" t="str">
        <f t="shared" si="16"/>
        <v>E2_3_3_10_mRNA : E2_3_3_10_mRNA</v>
      </c>
      <c r="H72" s="35" t="str">
        <f t="shared" si="17"/>
        <v>E2_3_3_10 : E2_3_3_10</v>
      </c>
      <c r="I72" s="36" t="str">
        <f t="shared" si="18"/>
        <v>E2_3_3_10_mRNA : 0</v>
      </c>
      <c r="J72" s="19" t="str">
        <f t="shared" si="19"/>
        <v>E2_3_3_10 : 0</v>
      </c>
      <c r="K72" s="37" t="str">
        <f t="shared" si="20"/>
        <v>0.00292 - (0.0093 * E2_3_3_10_mRNA)</v>
      </c>
      <c r="L72" s="34" t="str">
        <f t="shared" si="21"/>
        <v>(0.278 * E2_3_3_10_mRNA) - (0.00000278 * E2_3_3_10)</v>
      </c>
      <c r="M72" s="38" t="str">
        <f t="shared" si="22"/>
        <v>mRNA71: -&gt; E2_3_3_10_mRNA | 0.00292 - (0.0093 * E2_3_3_10_mRNA)</v>
      </c>
      <c r="N72" s="39" t="str">
        <f t="shared" si="23"/>
        <v>Peptide71: E2_3_3_10_mRNA -&gt; E2_3_3_10 | (0.278 * E2_3_3_10_mRNA) - (0.000000278 * E2_3_3_10)</v>
      </c>
    </row>
    <row r="73" spans="1:14" x14ac:dyDescent="0.45">
      <c r="A73">
        <v>72</v>
      </c>
      <c r="B73" t="s">
        <v>1862</v>
      </c>
      <c r="C73" t="str">
        <f t="shared" si="12"/>
        <v>E2_4_1_1_mRNA</v>
      </c>
      <c r="D73" t="str">
        <f t="shared" si="13"/>
        <v>E2_4_1_1</v>
      </c>
      <c r="E73" s="39" t="str">
        <f t="shared" si="14"/>
        <v>E2_4_1_1_kcat : 13.7</v>
      </c>
      <c r="F73" s="41" t="str">
        <f t="shared" si="15"/>
        <v>E2_4_1_1_km : 1</v>
      </c>
      <c r="G73" s="34" t="str">
        <f t="shared" si="16"/>
        <v>E2_4_1_1_mRNA : E2_4_1_1_mRNA</v>
      </c>
      <c r="H73" s="35" t="str">
        <f t="shared" si="17"/>
        <v>E2_4_1_1 : E2_4_1_1</v>
      </c>
      <c r="I73" s="36" t="str">
        <f t="shared" si="18"/>
        <v>E2_4_1_1_mRNA : 0</v>
      </c>
      <c r="J73" s="19" t="str">
        <f t="shared" si="19"/>
        <v>E2_4_1_1 : 0</v>
      </c>
      <c r="K73" s="37" t="str">
        <f t="shared" si="20"/>
        <v>0.00292 - (0.0093 * E2_4_1_1_mRNA)</v>
      </c>
      <c r="L73" s="34" t="str">
        <f t="shared" si="21"/>
        <v>(0.278 * E2_4_1_1_mRNA) - (0.00000278 * E2_4_1_1)</v>
      </c>
      <c r="M73" s="38" t="str">
        <f t="shared" si="22"/>
        <v>mRNA72: -&gt; E2_4_1_1_mRNA | 0.00292 - (0.0093 * E2_4_1_1_mRNA)</v>
      </c>
      <c r="N73" s="39" t="str">
        <f t="shared" si="23"/>
        <v>Peptide72: E2_4_1_1_mRNA -&gt; E2_4_1_1 | (0.278 * E2_4_1_1_mRNA) - (0.000000278 * E2_4_1_1)</v>
      </c>
    </row>
    <row r="74" spans="1:14" x14ac:dyDescent="0.45">
      <c r="A74">
        <v>73</v>
      </c>
      <c r="B74" t="s">
        <v>1864</v>
      </c>
      <c r="C74" t="str">
        <f t="shared" si="12"/>
        <v>E2_4_1_21_mRNA</v>
      </c>
      <c r="D74" t="str">
        <f t="shared" si="13"/>
        <v>E2_4_1_21</v>
      </c>
      <c r="E74" s="39" t="str">
        <f t="shared" si="14"/>
        <v>E2_4_1_21_kcat : 13.7</v>
      </c>
      <c r="F74" s="41" t="str">
        <f t="shared" si="15"/>
        <v>E2_4_1_21_km : 1</v>
      </c>
      <c r="G74" s="34" t="str">
        <f t="shared" si="16"/>
        <v>E2_4_1_21_mRNA : E2_4_1_21_mRNA</v>
      </c>
      <c r="H74" s="35" t="str">
        <f t="shared" si="17"/>
        <v>E2_4_1_21 : E2_4_1_21</v>
      </c>
      <c r="I74" s="36" t="str">
        <f t="shared" si="18"/>
        <v>E2_4_1_21_mRNA : 0</v>
      </c>
      <c r="J74" s="19" t="str">
        <f t="shared" si="19"/>
        <v>E2_4_1_21 : 0</v>
      </c>
      <c r="K74" s="37" t="str">
        <f t="shared" si="20"/>
        <v>0.00292 - (0.0093 * E2_4_1_21_mRNA)</v>
      </c>
      <c r="L74" s="34" t="str">
        <f t="shared" si="21"/>
        <v>(0.278 * E2_4_1_21_mRNA) - (0.00000278 * E2_4_1_21)</v>
      </c>
      <c r="M74" s="38" t="str">
        <f t="shared" si="22"/>
        <v>mRNA73: -&gt; E2_4_1_21_mRNA | 0.00292 - (0.0093 * E2_4_1_21_mRNA)</v>
      </c>
      <c r="N74" s="39" t="str">
        <f t="shared" si="23"/>
        <v>Peptide73: E2_4_1_21_mRNA -&gt; E2_4_1_21 | (0.278 * E2_4_1_21_mRNA) - (0.000000278 * E2_4_1_21)</v>
      </c>
    </row>
    <row r="75" spans="1:14" x14ac:dyDescent="0.45">
      <c r="A75">
        <v>74</v>
      </c>
      <c r="B75" t="s">
        <v>1895</v>
      </c>
      <c r="C75" t="str">
        <f t="shared" si="12"/>
        <v>E2_4_1_227_mRNA</v>
      </c>
      <c r="D75" t="str">
        <f t="shared" si="13"/>
        <v>E2_4_1_227</v>
      </c>
      <c r="E75" s="39" t="str">
        <f t="shared" si="14"/>
        <v>E2_4_1_227_kcat : 13.7</v>
      </c>
      <c r="F75" s="41" t="str">
        <f t="shared" si="15"/>
        <v>E2_4_1_227_km : 1</v>
      </c>
      <c r="G75" s="34" t="str">
        <f t="shared" si="16"/>
        <v>E2_4_1_227_mRNA : E2_4_1_227_mRNA</v>
      </c>
      <c r="H75" s="35" t="str">
        <f t="shared" si="17"/>
        <v>E2_4_1_227 : E2_4_1_227</v>
      </c>
      <c r="I75" s="36" t="str">
        <f t="shared" si="18"/>
        <v>E2_4_1_227_mRNA : 0</v>
      </c>
      <c r="J75" s="19" t="str">
        <f t="shared" si="19"/>
        <v>E2_4_1_227 : 0</v>
      </c>
      <c r="K75" s="37" t="str">
        <f t="shared" si="20"/>
        <v>0.00292 - (0.0093 * E2_4_1_227_mRNA)</v>
      </c>
      <c r="L75" s="34" t="str">
        <f t="shared" si="21"/>
        <v>(0.278 * E2_4_1_227_mRNA) - (0.00000278 * E2_4_1_227)</v>
      </c>
      <c r="M75" s="38" t="str">
        <f t="shared" si="22"/>
        <v>mRNA74: -&gt; E2_4_1_227_mRNA | 0.00292 - (0.0093 * E2_4_1_227_mRNA)</v>
      </c>
      <c r="N75" s="39" t="str">
        <f t="shared" si="23"/>
        <v>Peptide74: E2_4_1_227_mRNA -&gt; E2_4_1_227 | (0.278 * E2_4_1_227_mRNA) - (0.000000278 * E2_4_1_227)</v>
      </c>
    </row>
    <row r="76" spans="1:14" x14ac:dyDescent="0.45">
      <c r="A76">
        <v>75</v>
      </c>
      <c r="B76" t="s">
        <v>10342</v>
      </c>
      <c r="C76" t="str">
        <f t="shared" si="12"/>
        <v>E2_4_2_1_mRNA</v>
      </c>
      <c r="D76" t="str">
        <f t="shared" si="13"/>
        <v>E2_4_2_1</v>
      </c>
      <c r="E76" s="39" t="str">
        <f t="shared" si="14"/>
        <v>E2_4_2_1_kcat : 13.7</v>
      </c>
      <c r="F76" s="41" t="str">
        <f t="shared" si="15"/>
        <v>E2_4_2_1_km : 1</v>
      </c>
      <c r="G76" s="34" t="str">
        <f t="shared" si="16"/>
        <v>E2_4_2_1_mRNA : E2_4_2_1_mRNA</v>
      </c>
      <c r="H76" s="35" t="str">
        <f t="shared" si="17"/>
        <v>E2_4_2_1 : E2_4_2_1</v>
      </c>
      <c r="I76" s="36" t="str">
        <f t="shared" si="18"/>
        <v>E2_4_2_1_mRNA : 0</v>
      </c>
      <c r="J76" s="19" t="str">
        <f t="shared" si="19"/>
        <v>E2_4_2_1 : 0</v>
      </c>
      <c r="K76" s="37" t="str">
        <f t="shared" si="20"/>
        <v>0.00292 - (0.0093 * E2_4_2_1_mRNA)</v>
      </c>
      <c r="L76" s="34" t="str">
        <f t="shared" si="21"/>
        <v>(0.278 * E2_4_2_1_mRNA) - (0.00000278 * E2_4_2_1)</v>
      </c>
      <c r="M76" s="38" t="str">
        <f t="shared" si="22"/>
        <v>mRNA75: -&gt; E2_4_2_1_mRNA | 0.00292 - (0.0093 * E2_4_2_1_mRNA)</v>
      </c>
      <c r="N76" s="39" t="str">
        <f t="shared" si="23"/>
        <v>Peptide75: E2_4_2_1_mRNA -&gt; E2_4_2_1 | (0.278 * E2_4_2_1_mRNA) - (0.000000278 * E2_4_2_1)</v>
      </c>
    </row>
    <row r="77" spans="1:14" x14ac:dyDescent="0.45">
      <c r="A77">
        <v>76</v>
      </c>
      <c r="B77" t="s">
        <v>1875</v>
      </c>
      <c r="C77" t="str">
        <f t="shared" si="12"/>
        <v>E2_4_2_10_mRNA</v>
      </c>
      <c r="D77" t="str">
        <f t="shared" si="13"/>
        <v>E2_4_2_10</v>
      </c>
      <c r="E77" s="39" t="str">
        <f t="shared" si="14"/>
        <v>E2_4_2_10_kcat : 13.7</v>
      </c>
      <c r="F77" s="41" t="str">
        <f t="shared" si="15"/>
        <v>E2_4_2_10_km : 1</v>
      </c>
      <c r="G77" s="34" t="str">
        <f t="shared" si="16"/>
        <v>E2_4_2_10_mRNA : E2_4_2_10_mRNA</v>
      </c>
      <c r="H77" s="35" t="str">
        <f t="shared" si="17"/>
        <v>E2_4_2_10 : E2_4_2_10</v>
      </c>
      <c r="I77" s="36" t="str">
        <f t="shared" si="18"/>
        <v>E2_4_2_10_mRNA : 0</v>
      </c>
      <c r="J77" s="19" t="str">
        <f t="shared" si="19"/>
        <v>E2_4_2_10 : 0</v>
      </c>
      <c r="K77" s="37" t="str">
        <f t="shared" si="20"/>
        <v>0.00292 - (0.0093 * E2_4_2_10_mRNA)</v>
      </c>
      <c r="L77" s="34" t="str">
        <f t="shared" si="21"/>
        <v>(0.278 * E2_4_2_10_mRNA) - (0.00000278 * E2_4_2_10)</v>
      </c>
      <c r="M77" s="38" t="str">
        <f t="shared" si="22"/>
        <v>mRNA76: -&gt; E2_4_2_10_mRNA | 0.00292 - (0.0093 * E2_4_2_10_mRNA)</v>
      </c>
      <c r="N77" s="39" t="str">
        <f t="shared" si="23"/>
        <v>Peptide76: E2_4_2_10_mRNA -&gt; E2_4_2_10 | (0.278 * E2_4_2_10_mRNA) - (0.000000278 * E2_4_2_10)</v>
      </c>
    </row>
    <row r="78" spans="1:14" x14ac:dyDescent="0.45">
      <c r="A78">
        <v>77</v>
      </c>
      <c r="B78" t="s">
        <v>1886</v>
      </c>
      <c r="C78" t="str">
        <f t="shared" si="12"/>
        <v>E2_4_2_14_mRNA</v>
      </c>
      <c r="D78" t="str">
        <f t="shared" si="13"/>
        <v>E2_4_2_14</v>
      </c>
      <c r="E78" s="39" t="str">
        <f t="shared" si="14"/>
        <v>E2_4_2_14_kcat : 13.7</v>
      </c>
      <c r="F78" s="41" t="str">
        <f t="shared" si="15"/>
        <v>E2_4_2_14_km : 1</v>
      </c>
      <c r="G78" s="34" t="str">
        <f t="shared" si="16"/>
        <v>E2_4_2_14_mRNA : E2_4_2_14_mRNA</v>
      </c>
      <c r="H78" s="35" t="str">
        <f t="shared" si="17"/>
        <v>E2_4_2_14 : E2_4_2_14</v>
      </c>
      <c r="I78" s="36" t="str">
        <f t="shared" si="18"/>
        <v>E2_4_2_14_mRNA : 0</v>
      </c>
      <c r="J78" s="19" t="str">
        <f t="shared" si="19"/>
        <v>E2_4_2_14 : 0</v>
      </c>
      <c r="K78" s="37" t="str">
        <f t="shared" si="20"/>
        <v>0.00292 - (0.0093 * E2_4_2_14_mRNA)</v>
      </c>
      <c r="L78" s="34" t="str">
        <f t="shared" si="21"/>
        <v>(0.278 * E2_4_2_14_mRNA) - (0.00000278 * E2_4_2_14)</v>
      </c>
      <c r="M78" s="38" t="str">
        <f t="shared" si="22"/>
        <v>mRNA77: -&gt; E2_4_2_14_mRNA | 0.00292 - (0.0093 * E2_4_2_14_mRNA)</v>
      </c>
      <c r="N78" s="39" t="str">
        <f t="shared" si="23"/>
        <v>Peptide77: E2_4_2_14_mRNA -&gt; E2_4_2_14 | (0.278 * E2_4_2_14_mRNA) - (0.000000278 * E2_4_2_14)</v>
      </c>
    </row>
    <row r="79" spans="1:14" x14ac:dyDescent="0.45">
      <c r="A79">
        <v>78</v>
      </c>
      <c r="B79" t="s">
        <v>10343</v>
      </c>
      <c r="C79" t="str">
        <f t="shared" si="12"/>
        <v>E2_4_2_2_mRNA</v>
      </c>
      <c r="D79" t="str">
        <f t="shared" si="13"/>
        <v>E2_4_2_2</v>
      </c>
      <c r="E79" s="39" t="str">
        <f t="shared" si="14"/>
        <v>E2_4_2_2_kcat : 13.7</v>
      </c>
      <c r="F79" s="41" t="str">
        <f t="shared" si="15"/>
        <v>E2_4_2_2_km : 1</v>
      </c>
      <c r="G79" s="34" t="str">
        <f t="shared" si="16"/>
        <v>E2_4_2_2_mRNA : E2_4_2_2_mRNA</v>
      </c>
      <c r="H79" s="35" t="str">
        <f t="shared" si="17"/>
        <v>E2_4_2_2 : E2_4_2_2</v>
      </c>
      <c r="I79" s="36" t="str">
        <f t="shared" si="18"/>
        <v>E2_4_2_2_mRNA : 0</v>
      </c>
      <c r="J79" s="19" t="str">
        <f t="shared" si="19"/>
        <v>E2_4_2_2 : 0</v>
      </c>
      <c r="K79" s="37" t="str">
        <f t="shared" si="20"/>
        <v>0.00292 - (0.0093 * E2_4_2_2_mRNA)</v>
      </c>
      <c r="L79" s="34" t="str">
        <f t="shared" si="21"/>
        <v>(0.278 * E2_4_2_2_mRNA) - (0.00000278 * E2_4_2_2)</v>
      </c>
      <c r="M79" s="38" t="str">
        <f t="shared" si="22"/>
        <v>mRNA78: -&gt; E2_4_2_2_mRNA | 0.00292 - (0.0093 * E2_4_2_2_mRNA)</v>
      </c>
      <c r="N79" s="39" t="str">
        <f t="shared" si="23"/>
        <v>Peptide78: E2_4_2_2_mRNA -&gt; E2_4_2_2 | (0.278 * E2_4_2_2_mRNA) - (0.000000278 * E2_4_2_2)</v>
      </c>
    </row>
    <row r="80" spans="1:14" x14ac:dyDescent="0.45">
      <c r="A80">
        <v>79</v>
      </c>
      <c r="B80" t="s">
        <v>1843</v>
      </c>
      <c r="C80" t="str">
        <f t="shared" si="12"/>
        <v>E2_4_2_22_mRNA</v>
      </c>
      <c r="D80" t="str">
        <f t="shared" si="13"/>
        <v>E2_4_2_22</v>
      </c>
      <c r="E80" s="39" t="str">
        <f t="shared" si="14"/>
        <v>E2_4_2_22_kcat : 13.7</v>
      </c>
      <c r="F80" s="41" t="str">
        <f t="shared" si="15"/>
        <v>E2_4_2_22_km : 1</v>
      </c>
      <c r="G80" s="34" t="str">
        <f t="shared" si="16"/>
        <v>E2_4_2_22_mRNA : E2_4_2_22_mRNA</v>
      </c>
      <c r="H80" s="35" t="str">
        <f t="shared" si="17"/>
        <v>E2_4_2_22 : E2_4_2_22</v>
      </c>
      <c r="I80" s="36" t="str">
        <f t="shared" si="18"/>
        <v>E2_4_2_22_mRNA : 0</v>
      </c>
      <c r="J80" s="19" t="str">
        <f t="shared" si="19"/>
        <v>E2_4_2_22 : 0</v>
      </c>
      <c r="K80" s="37" t="str">
        <f t="shared" si="20"/>
        <v>0.00292 - (0.0093 * E2_4_2_22_mRNA)</v>
      </c>
      <c r="L80" s="34" t="str">
        <f t="shared" si="21"/>
        <v>(0.278 * E2_4_2_22_mRNA) - (0.00000278 * E2_4_2_22)</v>
      </c>
      <c r="M80" s="38" t="str">
        <f t="shared" si="22"/>
        <v>mRNA79: -&gt; E2_4_2_22_mRNA | 0.00292 - (0.0093 * E2_4_2_22_mRNA)</v>
      </c>
      <c r="N80" s="39" t="str">
        <f t="shared" si="23"/>
        <v>Peptide79: E2_4_2_22_mRNA -&gt; E2_4_2_22 | (0.278 * E2_4_2_22_mRNA) - (0.000000278 * E2_4_2_22)</v>
      </c>
    </row>
    <row r="81" spans="1:14" x14ac:dyDescent="0.45">
      <c r="A81">
        <v>80</v>
      </c>
      <c r="B81" t="s">
        <v>10344</v>
      </c>
      <c r="C81" t="str">
        <f t="shared" si="12"/>
        <v>E2_4_2_29_mRNA</v>
      </c>
      <c r="D81" t="str">
        <f t="shared" si="13"/>
        <v>E2_4_2_29</v>
      </c>
      <c r="E81" s="39" t="str">
        <f t="shared" si="14"/>
        <v>E2_4_2_29_kcat : 13.7</v>
      </c>
      <c r="F81" s="41" t="str">
        <f t="shared" si="15"/>
        <v>E2_4_2_29_km : 1</v>
      </c>
      <c r="G81" s="34" t="str">
        <f t="shared" si="16"/>
        <v>E2_4_2_29_mRNA : E2_4_2_29_mRNA</v>
      </c>
      <c r="H81" s="35" t="str">
        <f t="shared" si="17"/>
        <v>E2_4_2_29 : E2_4_2_29</v>
      </c>
      <c r="I81" s="36" t="str">
        <f t="shared" si="18"/>
        <v>E2_4_2_29_mRNA : 0</v>
      </c>
      <c r="J81" s="19" t="str">
        <f t="shared" si="19"/>
        <v>E2_4_2_29 : 0</v>
      </c>
      <c r="K81" s="37" t="str">
        <f t="shared" si="20"/>
        <v>0.00292 - (0.0093 * E2_4_2_29_mRNA)</v>
      </c>
      <c r="L81" s="34" t="str">
        <f t="shared" si="21"/>
        <v>(0.278 * E2_4_2_29_mRNA) - (0.00000278 * E2_4_2_29)</v>
      </c>
      <c r="M81" s="38" t="str">
        <f t="shared" si="22"/>
        <v>mRNA80: -&gt; E2_4_2_29_mRNA | 0.00292 - (0.0093 * E2_4_2_29_mRNA)</v>
      </c>
      <c r="N81" s="39" t="str">
        <f t="shared" si="23"/>
        <v>Peptide80: E2_4_2_29_mRNA -&gt; E2_4_2_29 | (0.278 * E2_4_2_29_mRNA) - (0.000000278 * E2_4_2_29)</v>
      </c>
    </row>
    <row r="82" spans="1:14" x14ac:dyDescent="0.45">
      <c r="A82">
        <v>81</v>
      </c>
      <c r="B82" t="s">
        <v>1771</v>
      </c>
      <c r="C82" t="str">
        <f t="shared" si="12"/>
        <v>E2_4_2_52_mRNA</v>
      </c>
      <c r="D82" t="str">
        <f t="shared" si="13"/>
        <v>E2_4_2_52</v>
      </c>
      <c r="E82" s="39" t="str">
        <f t="shared" si="14"/>
        <v>E2_4_2_52_kcat : 13.7</v>
      </c>
      <c r="F82" s="41" t="str">
        <f t="shared" si="15"/>
        <v>E2_4_2_52_km : 1</v>
      </c>
      <c r="G82" s="34" t="str">
        <f t="shared" si="16"/>
        <v>E2_4_2_52_mRNA : E2_4_2_52_mRNA</v>
      </c>
      <c r="H82" s="35" t="str">
        <f t="shared" si="17"/>
        <v>E2_4_2_52 : E2_4_2_52</v>
      </c>
      <c r="I82" s="36" t="str">
        <f t="shared" si="18"/>
        <v>E2_4_2_52_mRNA : 0</v>
      </c>
      <c r="J82" s="19" t="str">
        <f t="shared" si="19"/>
        <v>E2_4_2_52 : 0</v>
      </c>
      <c r="K82" s="37" t="str">
        <f t="shared" si="20"/>
        <v>0.00292 - (0.0093 * E2_4_2_52_mRNA)</v>
      </c>
      <c r="L82" s="34" t="str">
        <f t="shared" si="21"/>
        <v>(0.278 * E2_4_2_52_mRNA) - (0.00000278 * E2_4_2_52)</v>
      </c>
      <c r="M82" s="38" t="str">
        <f t="shared" si="22"/>
        <v>mRNA81: -&gt; E2_4_2_52_mRNA | 0.00292 - (0.0093 * E2_4_2_52_mRNA)</v>
      </c>
      <c r="N82" s="39" t="str">
        <f t="shared" si="23"/>
        <v>Peptide81: E2_4_2_52_mRNA -&gt; E2_4_2_52 | (0.278 * E2_4_2_52_mRNA) - (0.000000278 * E2_4_2_52)</v>
      </c>
    </row>
    <row r="83" spans="1:14" x14ac:dyDescent="0.45">
      <c r="A83">
        <v>82</v>
      </c>
      <c r="B83" t="s">
        <v>1804</v>
      </c>
      <c r="C83" t="str">
        <f t="shared" si="12"/>
        <v>E2_4_2_7_mRNA</v>
      </c>
      <c r="D83" t="str">
        <f t="shared" si="13"/>
        <v>E2_4_2_7</v>
      </c>
      <c r="E83" s="39" t="str">
        <f t="shared" si="14"/>
        <v>E2_4_2_7_kcat : 13.7</v>
      </c>
      <c r="F83" s="41" t="str">
        <f t="shared" si="15"/>
        <v>E2_4_2_7_km : 1</v>
      </c>
      <c r="G83" s="34" t="str">
        <f t="shared" si="16"/>
        <v>E2_4_2_7_mRNA : E2_4_2_7_mRNA</v>
      </c>
      <c r="H83" s="35" t="str">
        <f t="shared" si="17"/>
        <v>E2_4_2_7 : E2_4_2_7</v>
      </c>
      <c r="I83" s="36" t="str">
        <f t="shared" si="18"/>
        <v>E2_4_2_7_mRNA : 0</v>
      </c>
      <c r="J83" s="19" t="str">
        <f t="shared" si="19"/>
        <v>E2_4_2_7 : 0</v>
      </c>
      <c r="K83" s="37" t="str">
        <f t="shared" si="20"/>
        <v>0.00292 - (0.0093 * E2_4_2_7_mRNA)</v>
      </c>
      <c r="L83" s="34" t="str">
        <f t="shared" si="21"/>
        <v>(0.278 * E2_4_2_7_mRNA) - (0.00000278 * E2_4_2_7)</v>
      </c>
      <c r="M83" s="38" t="str">
        <f t="shared" si="22"/>
        <v>mRNA82: -&gt; E2_4_2_7_mRNA | 0.00292 - (0.0093 * E2_4_2_7_mRNA)</v>
      </c>
      <c r="N83" s="39" t="str">
        <f t="shared" si="23"/>
        <v>Peptide82: E2_4_2_7_mRNA -&gt; E2_4_2_7 | (0.278 * E2_4_2_7_mRNA) - (0.000000278 * E2_4_2_7)</v>
      </c>
    </row>
    <row r="84" spans="1:14" x14ac:dyDescent="0.45">
      <c r="A84">
        <v>83</v>
      </c>
      <c r="B84" t="s">
        <v>1839</v>
      </c>
      <c r="C84" t="str">
        <f t="shared" si="12"/>
        <v>E2_4_2_8_mRNA</v>
      </c>
      <c r="D84" t="str">
        <f t="shared" si="13"/>
        <v>E2_4_2_8</v>
      </c>
      <c r="E84" s="39" t="str">
        <f t="shared" si="14"/>
        <v>E2_4_2_8_kcat : 13.7</v>
      </c>
      <c r="F84" s="41" t="str">
        <f t="shared" si="15"/>
        <v>E2_4_2_8_km : 1</v>
      </c>
      <c r="G84" s="34" t="str">
        <f t="shared" si="16"/>
        <v>E2_4_2_8_mRNA : E2_4_2_8_mRNA</v>
      </c>
      <c r="H84" s="35" t="str">
        <f t="shared" si="17"/>
        <v>E2_4_2_8 : E2_4_2_8</v>
      </c>
      <c r="I84" s="36" t="str">
        <f t="shared" si="18"/>
        <v>E2_4_2_8_mRNA : 0</v>
      </c>
      <c r="J84" s="19" t="str">
        <f t="shared" si="19"/>
        <v>E2_4_2_8 : 0</v>
      </c>
      <c r="K84" s="37" t="str">
        <f t="shared" si="20"/>
        <v>0.00292 - (0.0093 * E2_4_2_8_mRNA)</v>
      </c>
      <c r="L84" s="34" t="str">
        <f t="shared" si="21"/>
        <v>(0.278 * E2_4_2_8_mRNA) - (0.00000278 * E2_4_2_8)</v>
      </c>
      <c r="M84" s="38" t="str">
        <f t="shared" si="22"/>
        <v>mRNA83: -&gt; E2_4_2_8_mRNA | 0.00292 - (0.0093 * E2_4_2_8_mRNA)</v>
      </c>
      <c r="N84" s="39" t="str">
        <f t="shared" si="23"/>
        <v>Peptide83: E2_4_2_8_mRNA -&gt; E2_4_2_8 | (0.278 * E2_4_2_8_mRNA) - (0.000000278 * E2_4_2_8)</v>
      </c>
    </row>
    <row r="85" spans="1:14" x14ac:dyDescent="0.45">
      <c r="A85">
        <v>84</v>
      </c>
      <c r="B85" t="s">
        <v>1833</v>
      </c>
      <c r="C85" t="str">
        <f t="shared" si="12"/>
        <v>E2_4_2_9_mRNA</v>
      </c>
      <c r="D85" t="str">
        <f t="shared" si="13"/>
        <v>E2_4_2_9</v>
      </c>
      <c r="E85" s="39" t="str">
        <f t="shared" si="14"/>
        <v>E2_4_2_9_kcat : 13.7</v>
      </c>
      <c r="F85" s="41" t="str">
        <f t="shared" si="15"/>
        <v>E2_4_2_9_km : 1</v>
      </c>
      <c r="G85" s="34" t="str">
        <f t="shared" si="16"/>
        <v>E2_4_2_9_mRNA : E2_4_2_9_mRNA</v>
      </c>
      <c r="H85" s="35" t="str">
        <f t="shared" si="17"/>
        <v>E2_4_2_9 : E2_4_2_9</v>
      </c>
      <c r="I85" s="36" t="str">
        <f t="shared" si="18"/>
        <v>E2_4_2_9_mRNA : 0</v>
      </c>
      <c r="J85" s="19" t="str">
        <f t="shared" si="19"/>
        <v>E2_4_2_9 : 0</v>
      </c>
      <c r="K85" s="37" t="str">
        <f t="shared" si="20"/>
        <v>0.00292 - (0.0093 * E2_4_2_9_mRNA)</v>
      </c>
      <c r="L85" s="34" t="str">
        <f t="shared" si="21"/>
        <v>(0.278 * E2_4_2_9_mRNA) - (0.00000278 * E2_4_2_9)</v>
      </c>
      <c r="M85" s="38" t="str">
        <f t="shared" si="22"/>
        <v>mRNA84: -&gt; E2_4_2_9_mRNA | 0.00292 - (0.0093 * E2_4_2_9_mRNA)</v>
      </c>
      <c r="N85" s="39" t="str">
        <f t="shared" si="23"/>
        <v>Peptide84: E2_4_2_9_mRNA -&gt; E2_4_2_9 | (0.278 * E2_4_2_9_mRNA) - (0.000000278 * E2_4_2_9)</v>
      </c>
    </row>
    <row r="86" spans="1:14" x14ac:dyDescent="0.45">
      <c r="A86">
        <v>85</v>
      </c>
      <c r="B86" t="s">
        <v>10345</v>
      </c>
      <c r="C86" t="str">
        <f t="shared" si="12"/>
        <v>E2_4_99_17_mRNA</v>
      </c>
      <c r="D86" t="str">
        <f t="shared" si="13"/>
        <v>E2_4_99_17</v>
      </c>
      <c r="E86" s="39" t="str">
        <f t="shared" si="14"/>
        <v>E2_4_99_17_kcat : 13.7</v>
      </c>
      <c r="F86" s="41" t="str">
        <f t="shared" si="15"/>
        <v>E2_4_99_17_km : 1</v>
      </c>
      <c r="G86" s="34" t="str">
        <f t="shared" si="16"/>
        <v>E2_4_99_17_mRNA : E2_4_99_17_mRNA</v>
      </c>
      <c r="H86" s="35" t="str">
        <f t="shared" si="17"/>
        <v>E2_4_99_17 : E2_4_99_17</v>
      </c>
      <c r="I86" s="36" t="str">
        <f t="shared" si="18"/>
        <v>E2_4_99_17_mRNA : 0</v>
      </c>
      <c r="J86" s="19" t="str">
        <f t="shared" si="19"/>
        <v>E2_4_99_17 : 0</v>
      </c>
      <c r="K86" s="37" t="str">
        <f t="shared" si="20"/>
        <v>0.00292 - (0.0093 * E2_4_99_17_mRNA)</v>
      </c>
      <c r="L86" s="34" t="str">
        <f t="shared" si="21"/>
        <v>(0.278 * E2_4_99_17_mRNA) - (0.00000278 * E2_4_99_17)</v>
      </c>
      <c r="M86" s="38" t="str">
        <f t="shared" si="22"/>
        <v>mRNA85: -&gt; E2_4_99_17_mRNA | 0.00292 - (0.0093 * E2_4_99_17_mRNA)</v>
      </c>
      <c r="N86" s="39" t="str">
        <f t="shared" si="23"/>
        <v>Peptide85: E2_4_99_17_mRNA -&gt; E2_4_99_17 | (0.278 * E2_4_99_17_mRNA) - (0.000000278 * E2_4_99_17)</v>
      </c>
    </row>
    <row r="87" spans="1:14" x14ac:dyDescent="0.45">
      <c r="A87">
        <v>86</v>
      </c>
      <c r="B87" t="s">
        <v>1896</v>
      </c>
      <c r="C87" t="str">
        <f t="shared" si="12"/>
        <v>E2_4_99_28_mRNA</v>
      </c>
      <c r="D87" t="str">
        <f t="shared" si="13"/>
        <v>E2_4_99_28</v>
      </c>
      <c r="E87" s="39" t="str">
        <f t="shared" si="14"/>
        <v>E2_4_99_28_kcat : 13.7</v>
      </c>
      <c r="F87" s="41" t="str">
        <f t="shared" si="15"/>
        <v>E2_4_99_28_km : 1</v>
      </c>
      <c r="G87" s="34" t="str">
        <f t="shared" si="16"/>
        <v>E2_4_99_28_mRNA : E2_4_99_28_mRNA</v>
      </c>
      <c r="H87" s="35" t="str">
        <f t="shared" si="17"/>
        <v>E2_4_99_28 : E2_4_99_28</v>
      </c>
      <c r="I87" s="36" t="str">
        <f t="shared" si="18"/>
        <v>E2_4_99_28_mRNA : 0</v>
      </c>
      <c r="J87" s="19" t="str">
        <f t="shared" si="19"/>
        <v>E2_4_99_28 : 0</v>
      </c>
      <c r="K87" s="37" t="str">
        <f t="shared" si="20"/>
        <v>0.00292 - (0.0093 * E2_4_99_28_mRNA)</v>
      </c>
      <c r="L87" s="34" t="str">
        <f t="shared" si="21"/>
        <v>(0.278 * E2_4_99_28_mRNA) - (0.00000278 * E2_4_99_28)</v>
      </c>
      <c r="M87" s="38" t="str">
        <f t="shared" si="22"/>
        <v>mRNA86: -&gt; E2_4_99_28_mRNA | 0.00292 - (0.0093 * E2_4_99_28_mRNA)</v>
      </c>
      <c r="N87" s="39" t="str">
        <f t="shared" si="23"/>
        <v>Peptide86: E2_4_99_28_mRNA -&gt; E2_4_99_28 | (0.278 * E2_4_99_28_mRNA) - (0.000000278 * E2_4_99_28)</v>
      </c>
    </row>
    <row r="88" spans="1:14" x14ac:dyDescent="0.45">
      <c r="A88">
        <v>87</v>
      </c>
      <c r="B88" t="s">
        <v>10346</v>
      </c>
      <c r="C88" t="str">
        <f t="shared" si="12"/>
        <v>E2_5_1_145_mRNA</v>
      </c>
      <c r="D88" t="str">
        <f t="shared" si="13"/>
        <v>E2_5_1_145</v>
      </c>
      <c r="E88" s="39" t="str">
        <f t="shared" si="14"/>
        <v>E2_5_1_145_kcat : 13.7</v>
      </c>
      <c r="F88" s="41" t="str">
        <f t="shared" si="15"/>
        <v>E2_5_1_145_km : 1</v>
      </c>
      <c r="G88" s="34" t="str">
        <f t="shared" si="16"/>
        <v>E2_5_1_145_mRNA : E2_5_1_145_mRNA</v>
      </c>
      <c r="H88" s="35" t="str">
        <f t="shared" si="17"/>
        <v>E2_5_1_145 : E2_5_1_145</v>
      </c>
      <c r="I88" s="36" t="str">
        <f t="shared" si="18"/>
        <v>E2_5_1_145_mRNA : 0</v>
      </c>
      <c r="J88" s="19" t="str">
        <f t="shared" si="19"/>
        <v>E2_5_1_145 : 0</v>
      </c>
      <c r="K88" s="37" t="str">
        <f t="shared" si="20"/>
        <v>0.00292 - (0.0093 * E2_5_1_145_mRNA)</v>
      </c>
      <c r="L88" s="34" t="str">
        <f t="shared" si="21"/>
        <v>(0.278 * E2_5_1_145_mRNA) - (0.00000278 * E2_5_1_145)</v>
      </c>
      <c r="M88" s="38" t="str">
        <f t="shared" si="22"/>
        <v>mRNA87: -&gt; E2_5_1_145_mRNA | 0.00292 - (0.0093 * E2_5_1_145_mRNA)</v>
      </c>
      <c r="N88" s="39" t="str">
        <f t="shared" si="23"/>
        <v>Peptide87: E2_5_1_145_mRNA -&gt; E2_5_1_145 | (0.278 * E2_5_1_145_mRNA) - (0.000000278 * E2_5_1_145)</v>
      </c>
    </row>
    <row r="89" spans="1:14" x14ac:dyDescent="0.45">
      <c r="A89">
        <v>88</v>
      </c>
      <c r="B89" t="s">
        <v>10347</v>
      </c>
      <c r="C89" t="str">
        <f t="shared" si="12"/>
        <v>E2_5_1_15_mRNA</v>
      </c>
      <c r="D89" t="str">
        <f t="shared" si="13"/>
        <v>E2_5_1_15</v>
      </c>
      <c r="E89" s="39" t="str">
        <f t="shared" si="14"/>
        <v>E2_5_1_15_kcat : 13.7</v>
      </c>
      <c r="F89" s="41" t="str">
        <f t="shared" si="15"/>
        <v>E2_5_1_15_km : 1</v>
      </c>
      <c r="G89" s="34" t="str">
        <f t="shared" si="16"/>
        <v>E2_5_1_15_mRNA : E2_5_1_15_mRNA</v>
      </c>
      <c r="H89" s="35" t="str">
        <f t="shared" si="17"/>
        <v>E2_5_1_15 : E2_5_1_15</v>
      </c>
      <c r="I89" s="36" t="str">
        <f t="shared" si="18"/>
        <v>E2_5_1_15_mRNA : 0</v>
      </c>
      <c r="J89" s="19" t="str">
        <f t="shared" si="19"/>
        <v>E2_5_1_15 : 0</v>
      </c>
      <c r="K89" s="37" t="str">
        <f t="shared" si="20"/>
        <v>0.00292 - (0.0093 * E2_5_1_15_mRNA)</v>
      </c>
      <c r="L89" s="34" t="str">
        <f t="shared" si="21"/>
        <v>(0.278 * E2_5_1_15_mRNA) - (0.00000278 * E2_5_1_15)</v>
      </c>
      <c r="M89" s="38" t="str">
        <f t="shared" si="22"/>
        <v>mRNA88: -&gt; E2_5_1_15_mRNA | 0.00292 - (0.0093 * E2_5_1_15_mRNA)</v>
      </c>
      <c r="N89" s="39" t="str">
        <f t="shared" si="23"/>
        <v>Peptide88: E2_5_1_15_mRNA -&gt; E2_5_1_15 | (0.278 * E2_5_1_15_mRNA) - (0.000000278 * E2_5_1_15)</v>
      </c>
    </row>
    <row r="90" spans="1:14" x14ac:dyDescent="0.45">
      <c r="A90">
        <v>89</v>
      </c>
      <c r="B90" t="s">
        <v>10348</v>
      </c>
      <c r="C90" t="str">
        <f t="shared" si="12"/>
        <v>E2_5_1_19_mRNA</v>
      </c>
      <c r="D90" t="str">
        <f t="shared" si="13"/>
        <v>E2_5_1_19</v>
      </c>
      <c r="E90" s="39" t="str">
        <f t="shared" si="14"/>
        <v>E2_5_1_19_kcat : 13.7</v>
      </c>
      <c r="F90" s="41" t="str">
        <f t="shared" si="15"/>
        <v>E2_5_1_19_km : 1</v>
      </c>
      <c r="G90" s="34" t="str">
        <f t="shared" si="16"/>
        <v>E2_5_1_19_mRNA : E2_5_1_19_mRNA</v>
      </c>
      <c r="H90" s="35" t="str">
        <f t="shared" si="17"/>
        <v>E2_5_1_19 : E2_5_1_19</v>
      </c>
      <c r="I90" s="36" t="str">
        <f t="shared" si="18"/>
        <v>E2_5_1_19_mRNA : 0</v>
      </c>
      <c r="J90" s="19" t="str">
        <f t="shared" si="19"/>
        <v>E2_5_1_19 : 0</v>
      </c>
      <c r="K90" s="37" t="str">
        <f t="shared" si="20"/>
        <v>0.00292 - (0.0093 * E2_5_1_19_mRNA)</v>
      </c>
      <c r="L90" s="34" t="str">
        <f t="shared" si="21"/>
        <v>(0.278 * E2_5_1_19_mRNA) - (0.00000278 * E2_5_1_19)</v>
      </c>
      <c r="M90" s="38" t="str">
        <f t="shared" si="22"/>
        <v>mRNA89: -&gt; E2_5_1_19_mRNA | 0.00292 - (0.0093 * E2_5_1_19_mRNA)</v>
      </c>
      <c r="N90" s="39" t="str">
        <f t="shared" si="23"/>
        <v>Peptide89: E2_5_1_19_mRNA -&gt; E2_5_1_19 | (0.278 * E2_5_1_19_mRNA) - (0.000000278 * E2_5_1_19)</v>
      </c>
    </row>
    <row r="91" spans="1:14" x14ac:dyDescent="0.45">
      <c r="A91">
        <v>90</v>
      </c>
      <c r="B91" t="s">
        <v>1871</v>
      </c>
      <c r="C91" t="str">
        <f t="shared" si="12"/>
        <v>E2_5_1_47_mRNA</v>
      </c>
      <c r="D91" t="str">
        <f t="shared" si="13"/>
        <v>E2_5_1_47</v>
      </c>
      <c r="E91" s="39" t="str">
        <f t="shared" si="14"/>
        <v>E2_5_1_47_kcat : 13.7</v>
      </c>
      <c r="F91" s="41" t="str">
        <f t="shared" si="15"/>
        <v>E2_5_1_47_km : 1</v>
      </c>
      <c r="G91" s="34" t="str">
        <f t="shared" si="16"/>
        <v>E2_5_1_47_mRNA : E2_5_1_47_mRNA</v>
      </c>
      <c r="H91" s="35" t="str">
        <f t="shared" si="17"/>
        <v>E2_5_1_47 : E2_5_1_47</v>
      </c>
      <c r="I91" s="36" t="str">
        <f t="shared" si="18"/>
        <v>E2_5_1_47_mRNA : 0</v>
      </c>
      <c r="J91" s="19" t="str">
        <f t="shared" si="19"/>
        <v>E2_5_1_47 : 0</v>
      </c>
      <c r="K91" s="37" t="str">
        <f t="shared" si="20"/>
        <v>0.00292 - (0.0093 * E2_5_1_47_mRNA)</v>
      </c>
      <c r="L91" s="34" t="str">
        <f t="shared" si="21"/>
        <v>(0.278 * E2_5_1_47_mRNA) - (0.00000278 * E2_5_1_47)</v>
      </c>
      <c r="M91" s="38" t="str">
        <f t="shared" si="22"/>
        <v>mRNA90: -&gt; E2_5_1_47_mRNA | 0.00292 - (0.0093 * E2_5_1_47_mRNA)</v>
      </c>
      <c r="N91" s="39" t="str">
        <f t="shared" si="23"/>
        <v>Peptide90: E2_5_1_47_mRNA -&gt; E2_5_1_47 | (0.278 * E2_5_1_47_mRNA) - (0.000000278 * E2_5_1_47)</v>
      </c>
    </row>
    <row r="92" spans="1:14" x14ac:dyDescent="0.45">
      <c r="A92">
        <v>91</v>
      </c>
      <c r="B92" t="s">
        <v>1789</v>
      </c>
      <c r="C92" t="str">
        <f t="shared" si="12"/>
        <v>E2_5_1_6_mRNA</v>
      </c>
      <c r="D92" t="str">
        <f t="shared" si="13"/>
        <v>E2_5_1_6</v>
      </c>
      <c r="E92" s="39" t="str">
        <f t="shared" si="14"/>
        <v>E2_5_1_6_kcat : 13.7</v>
      </c>
      <c r="F92" s="41" t="str">
        <f t="shared" si="15"/>
        <v>E2_5_1_6_km : 1</v>
      </c>
      <c r="G92" s="34" t="str">
        <f t="shared" si="16"/>
        <v>E2_5_1_6_mRNA : E2_5_1_6_mRNA</v>
      </c>
      <c r="H92" s="35" t="str">
        <f t="shared" si="17"/>
        <v>E2_5_1_6 : E2_5_1_6</v>
      </c>
      <c r="I92" s="36" t="str">
        <f t="shared" si="18"/>
        <v>E2_5_1_6_mRNA : 0</v>
      </c>
      <c r="J92" s="19" t="str">
        <f t="shared" si="19"/>
        <v>E2_5_1_6 : 0</v>
      </c>
      <c r="K92" s="37" t="str">
        <f t="shared" si="20"/>
        <v>0.00292 - (0.0093 * E2_5_1_6_mRNA)</v>
      </c>
      <c r="L92" s="34" t="str">
        <f t="shared" si="21"/>
        <v>(0.278 * E2_5_1_6_mRNA) - (0.00000278 * E2_5_1_6)</v>
      </c>
      <c r="M92" s="38" t="str">
        <f t="shared" si="22"/>
        <v>mRNA91: -&gt; E2_5_1_6_mRNA | 0.00292 - (0.0093 * E2_5_1_6_mRNA)</v>
      </c>
      <c r="N92" s="39" t="str">
        <f t="shared" si="23"/>
        <v>Peptide91: E2_5_1_6_mRNA -&gt; E2_5_1_6 | (0.278 * E2_5_1_6_mRNA) - (0.000000278 * E2_5_1_6)</v>
      </c>
    </row>
    <row r="93" spans="1:14" x14ac:dyDescent="0.45">
      <c r="A93">
        <v>92</v>
      </c>
      <c r="B93" t="s">
        <v>1820</v>
      </c>
      <c r="C93" t="str">
        <f t="shared" si="12"/>
        <v>E2_5_1_7_mRNA</v>
      </c>
      <c r="D93" t="str">
        <f t="shared" si="13"/>
        <v>E2_5_1_7</v>
      </c>
      <c r="E93" s="39" t="str">
        <f t="shared" si="14"/>
        <v>E2_5_1_7_kcat : 13.7</v>
      </c>
      <c r="F93" s="41" t="str">
        <f t="shared" si="15"/>
        <v>E2_5_1_7_km : 1</v>
      </c>
      <c r="G93" s="34" t="str">
        <f t="shared" si="16"/>
        <v>E2_5_1_7_mRNA : E2_5_1_7_mRNA</v>
      </c>
      <c r="H93" s="35" t="str">
        <f t="shared" si="17"/>
        <v>E2_5_1_7 : E2_5_1_7</v>
      </c>
      <c r="I93" s="36" t="str">
        <f t="shared" si="18"/>
        <v>E2_5_1_7_mRNA : 0</v>
      </c>
      <c r="J93" s="19" t="str">
        <f t="shared" si="19"/>
        <v>E2_5_1_7 : 0</v>
      </c>
      <c r="K93" s="37" t="str">
        <f t="shared" si="20"/>
        <v>0.00292 - (0.0093 * E2_5_1_7_mRNA)</v>
      </c>
      <c r="L93" s="34" t="str">
        <f t="shared" si="21"/>
        <v>(0.278 * E2_5_1_7_mRNA) - (0.00000278 * E2_5_1_7)</v>
      </c>
      <c r="M93" s="38" t="str">
        <f t="shared" si="22"/>
        <v>mRNA92: -&gt; E2_5_1_7_mRNA | 0.00292 - (0.0093 * E2_5_1_7_mRNA)</v>
      </c>
      <c r="N93" s="39" t="str">
        <f t="shared" si="23"/>
        <v>Peptide92: E2_5_1_7_mRNA -&gt; E2_5_1_7 | (0.278 * E2_5_1_7_mRNA) - (0.000000278 * E2_5_1_7)</v>
      </c>
    </row>
    <row r="94" spans="1:14" x14ac:dyDescent="0.45">
      <c r="A94">
        <v>93</v>
      </c>
      <c r="B94" t="s">
        <v>1854</v>
      </c>
      <c r="C94" t="str">
        <f t="shared" si="12"/>
        <v>E2_5_1_75_mRNA</v>
      </c>
      <c r="D94" t="str">
        <f t="shared" si="13"/>
        <v>E2_5_1_75</v>
      </c>
      <c r="E94" s="39" t="str">
        <f t="shared" si="14"/>
        <v>E2_5_1_75_kcat : 13.7</v>
      </c>
      <c r="F94" s="41" t="str">
        <f t="shared" si="15"/>
        <v>E2_5_1_75_km : 1</v>
      </c>
      <c r="G94" s="34" t="str">
        <f t="shared" si="16"/>
        <v>E2_5_1_75_mRNA : E2_5_1_75_mRNA</v>
      </c>
      <c r="H94" s="35" t="str">
        <f t="shared" si="17"/>
        <v>E2_5_1_75 : E2_5_1_75</v>
      </c>
      <c r="I94" s="36" t="str">
        <f t="shared" si="18"/>
        <v>E2_5_1_75_mRNA : 0</v>
      </c>
      <c r="J94" s="19" t="str">
        <f t="shared" si="19"/>
        <v>E2_5_1_75 : 0</v>
      </c>
      <c r="K94" s="37" t="str">
        <f t="shared" si="20"/>
        <v>0.00292 - (0.0093 * E2_5_1_75_mRNA)</v>
      </c>
      <c r="L94" s="34" t="str">
        <f t="shared" si="21"/>
        <v>(0.278 * E2_5_1_75_mRNA) - (0.00000278 * E2_5_1_75)</v>
      </c>
      <c r="M94" s="38" t="str">
        <f t="shared" si="22"/>
        <v>mRNA93: -&gt; E2_5_1_75_mRNA | 0.00292 - (0.0093 * E2_5_1_75_mRNA)</v>
      </c>
      <c r="N94" s="39" t="str">
        <f t="shared" si="23"/>
        <v>Peptide93: E2_5_1_75_mRNA -&gt; E2_5_1_75 | (0.278 * E2_5_1_75_mRNA) - (0.000000278 * E2_5_1_75)</v>
      </c>
    </row>
    <row r="95" spans="1:14" x14ac:dyDescent="0.45">
      <c r="A95">
        <v>94</v>
      </c>
      <c r="B95" t="s">
        <v>1817</v>
      </c>
      <c r="C95" t="str">
        <f t="shared" si="12"/>
        <v>E2_6_1_16_mRNA</v>
      </c>
      <c r="D95" t="str">
        <f t="shared" si="13"/>
        <v>E2_6_1_16</v>
      </c>
      <c r="E95" s="39" t="str">
        <f t="shared" si="14"/>
        <v>E2_6_1_16_kcat : 13.7</v>
      </c>
      <c r="F95" s="41" t="str">
        <f t="shared" si="15"/>
        <v>E2_6_1_16_km : 1</v>
      </c>
      <c r="G95" s="34" t="str">
        <f t="shared" si="16"/>
        <v>E2_6_1_16_mRNA : E2_6_1_16_mRNA</v>
      </c>
      <c r="H95" s="35" t="str">
        <f t="shared" si="17"/>
        <v>E2_6_1_16 : E2_6_1_16</v>
      </c>
      <c r="I95" s="36" t="str">
        <f t="shared" si="18"/>
        <v>E2_6_1_16_mRNA : 0</v>
      </c>
      <c r="J95" s="19" t="str">
        <f t="shared" si="19"/>
        <v>E2_6_1_16 : 0</v>
      </c>
      <c r="K95" s="37" t="str">
        <f t="shared" si="20"/>
        <v>0.00292 - (0.0093 * E2_6_1_16_mRNA)</v>
      </c>
      <c r="L95" s="34" t="str">
        <f t="shared" si="21"/>
        <v>(0.278 * E2_6_1_16_mRNA) - (0.00000278 * E2_6_1_16)</v>
      </c>
      <c r="M95" s="38" t="str">
        <f t="shared" si="22"/>
        <v>mRNA94: -&gt; E2_6_1_16_mRNA | 0.00292 - (0.0093 * E2_6_1_16_mRNA)</v>
      </c>
      <c r="N95" s="39" t="str">
        <f t="shared" si="23"/>
        <v>Peptide94: E2_6_1_16_mRNA -&gt; E2_6_1_16 | (0.278 * E2_6_1_16_mRNA) - (0.000000278 * E2_6_1_16)</v>
      </c>
    </row>
    <row r="96" spans="1:14" x14ac:dyDescent="0.45">
      <c r="A96">
        <v>95</v>
      </c>
      <c r="B96" t="s">
        <v>10349</v>
      </c>
      <c r="C96" t="str">
        <f t="shared" si="12"/>
        <v>E2_6_1_85_mRNA</v>
      </c>
      <c r="D96" t="str">
        <f t="shared" si="13"/>
        <v>E2_6_1_85</v>
      </c>
      <c r="E96" s="39" t="str">
        <f t="shared" si="14"/>
        <v>E2_6_1_85_kcat : 13.7</v>
      </c>
      <c r="F96" s="41" t="str">
        <f t="shared" si="15"/>
        <v>E2_6_1_85_km : 1</v>
      </c>
      <c r="G96" s="34" t="str">
        <f t="shared" si="16"/>
        <v>E2_6_1_85_mRNA : E2_6_1_85_mRNA</v>
      </c>
      <c r="H96" s="35" t="str">
        <f t="shared" si="17"/>
        <v>E2_6_1_85 : E2_6_1_85</v>
      </c>
      <c r="I96" s="36" t="str">
        <f t="shared" si="18"/>
        <v>E2_6_1_85_mRNA : 0</v>
      </c>
      <c r="J96" s="19" t="str">
        <f t="shared" si="19"/>
        <v>E2_6_1_85 : 0</v>
      </c>
      <c r="K96" s="37" t="str">
        <f t="shared" si="20"/>
        <v>0.00292 - (0.0093 * E2_6_1_85_mRNA)</v>
      </c>
      <c r="L96" s="34" t="str">
        <f t="shared" si="21"/>
        <v>(0.278 * E2_6_1_85_mRNA) - (0.00000278 * E2_6_1_85)</v>
      </c>
      <c r="M96" s="38" t="str">
        <f t="shared" si="22"/>
        <v>mRNA95: -&gt; E2_6_1_85_mRNA | 0.00292 - (0.0093 * E2_6_1_85_mRNA)</v>
      </c>
      <c r="N96" s="39" t="str">
        <f t="shared" si="23"/>
        <v>Peptide95: E2_6_1_85_mRNA -&gt; E2_6_1_85 | (0.278 * E2_6_1_85_mRNA) - (0.000000278 * E2_6_1_85)</v>
      </c>
    </row>
    <row r="97" spans="1:14" x14ac:dyDescent="0.45">
      <c r="A97">
        <v>96</v>
      </c>
      <c r="B97" t="s">
        <v>10350</v>
      </c>
      <c r="C97" t="str">
        <f t="shared" si="12"/>
        <v>E2_7_1_107_mRNA</v>
      </c>
      <c r="D97" t="str">
        <f t="shared" si="13"/>
        <v>E2_7_1_107</v>
      </c>
      <c r="E97" s="39" t="str">
        <f t="shared" si="14"/>
        <v>E2_7_1_107_kcat : 13.7</v>
      </c>
      <c r="F97" s="41" t="str">
        <f t="shared" si="15"/>
        <v>E2_7_1_107_km : 1</v>
      </c>
      <c r="G97" s="34" t="str">
        <f t="shared" si="16"/>
        <v>E2_7_1_107_mRNA : E2_7_1_107_mRNA</v>
      </c>
      <c r="H97" s="35" t="str">
        <f t="shared" si="17"/>
        <v>E2_7_1_107 : E2_7_1_107</v>
      </c>
      <c r="I97" s="36" t="str">
        <f t="shared" si="18"/>
        <v>E2_7_1_107_mRNA : 0</v>
      </c>
      <c r="J97" s="19" t="str">
        <f t="shared" si="19"/>
        <v>E2_7_1_107 : 0</v>
      </c>
      <c r="K97" s="37" t="str">
        <f t="shared" si="20"/>
        <v>0.00292 - (0.0093 * E2_7_1_107_mRNA)</v>
      </c>
      <c r="L97" s="34" t="str">
        <f t="shared" si="21"/>
        <v>(0.278 * E2_7_1_107_mRNA) - (0.00000278 * E2_7_1_107)</v>
      </c>
      <c r="M97" s="38" t="str">
        <f t="shared" si="22"/>
        <v>mRNA96: -&gt; E2_7_1_107_mRNA | 0.00292 - (0.0093 * E2_7_1_107_mRNA)</v>
      </c>
      <c r="N97" s="39" t="str">
        <f t="shared" si="23"/>
        <v>Peptide96: E2_7_1_107_mRNA -&gt; E2_7_1_107 | (0.278 * E2_7_1_107_mRNA) - (0.000000278 * E2_7_1_107)</v>
      </c>
    </row>
    <row r="98" spans="1:14" x14ac:dyDescent="0.45">
      <c r="A98">
        <v>97</v>
      </c>
      <c r="B98" t="s">
        <v>1745</v>
      </c>
      <c r="C98" t="str">
        <f t="shared" si="12"/>
        <v>E2_7_1_11_mRNA</v>
      </c>
      <c r="D98" t="str">
        <f t="shared" si="13"/>
        <v>E2_7_1_11</v>
      </c>
      <c r="E98" s="39" t="str">
        <f t="shared" si="14"/>
        <v>E2_7_1_11_kcat : 13.7</v>
      </c>
      <c r="F98" s="41" t="str">
        <f t="shared" si="15"/>
        <v>E2_7_1_11_km : 1</v>
      </c>
      <c r="G98" s="34" t="str">
        <f t="shared" si="16"/>
        <v>E2_7_1_11_mRNA : E2_7_1_11_mRNA</v>
      </c>
      <c r="H98" s="35" t="str">
        <f t="shared" si="17"/>
        <v>E2_7_1_11 : E2_7_1_11</v>
      </c>
      <c r="I98" s="36" t="str">
        <f t="shared" si="18"/>
        <v>E2_7_1_11_mRNA : 0</v>
      </c>
      <c r="J98" s="19" t="str">
        <f t="shared" si="19"/>
        <v>E2_7_1_11 : 0</v>
      </c>
      <c r="K98" s="37" t="str">
        <f t="shared" si="20"/>
        <v>0.00292 - (0.0093 * E2_7_1_11_mRNA)</v>
      </c>
      <c r="L98" s="34" t="str">
        <f t="shared" si="21"/>
        <v>(0.278 * E2_7_1_11_mRNA) - (0.00000278 * E2_7_1_11)</v>
      </c>
      <c r="M98" s="38" t="str">
        <f t="shared" si="22"/>
        <v>mRNA97: -&gt; E2_7_1_11_mRNA | 0.00292 - (0.0093 * E2_7_1_11_mRNA)</v>
      </c>
      <c r="N98" s="39" t="str">
        <f t="shared" si="23"/>
        <v>Peptide97: E2_7_1_11_mRNA -&gt; E2_7_1_11 | (0.278 * E2_7_1_11_mRNA) - (0.000000278 * E2_7_1_11)</v>
      </c>
    </row>
    <row r="99" spans="1:14" x14ac:dyDescent="0.45">
      <c r="A99">
        <v>98</v>
      </c>
      <c r="B99" t="s">
        <v>10351</v>
      </c>
      <c r="C99" t="str">
        <f t="shared" si="12"/>
        <v>E2_7_1_144_mRNA</v>
      </c>
      <c r="D99" t="str">
        <f t="shared" si="13"/>
        <v>E2_7_1_144</v>
      </c>
      <c r="E99" s="39" t="str">
        <f t="shared" si="14"/>
        <v>E2_7_1_144_kcat : 13.7</v>
      </c>
      <c r="F99" s="41" t="str">
        <f t="shared" si="15"/>
        <v>E2_7_1_144_km : 1</v>
      </c>
      <c r="G99" s="34" t="str">
        <f t="shared" si="16"/>
        <v>E2_7_1_144_mRNA : E2_7_1_144_mRNA</v>
      </c>
      <c r="H99" s="35" t="str">
        <f t="shared" si="17"/>
        <v>E2_7_1_144 : E2_7_1_144</v>
      </c>
      <c r="I99" s="36" t="str">
        <f t="shared" si="18"/>
        <v>E2_7_1_144_mRNA : 0</v>
      </c>
      <c r="J99" s="19" t="str">
        <f t="shared" si="19"/>
        <v>E2_7_1_144 : 0</v>
      </c>
      <c r="K99" s="37" t="str">
        <f t="shared" si="20"/>
        <v>0.00292 - (0.0093 * E2_7_1_144_mRNA)</v>
      </c>
      <c r="L99" s="34" t="str">
        <f t="shared" si="21"/>
        <v>(0.278 * E2_7_1_144_mRNA) - (0.00000278 * E2_7_1_144)</v>
      </c>
      <c r="M99" s="38" t="str">
        <f t="shared" si="22"/>
        <v>mRNA98: -&gt; E2_7_1_144_mRNA | 0.00292 - (0.0093 * E2_7_1_144_mRNA)</v>
      </c>
      <c r="N99" s="39" t="str">
        <f t="shared" si="23"/>
        <v>Peptide98: E2_7_1_144_mRNA -&gt; E2_7_1_144 | (0.278 * E2_7_1_144_mRNA) - (0.000000278 * E2_7_1_144)</v>
      </c>
    </row>
    <row r="100" spans="1:14" x14ac:dyDescent="0.45">
      <c r="A100">
        <v>99</v>
      </c>
      <c r="B100" t="s">
        <v>10352</v>
      </c>
      <c r="C100" t="str">
        <f t="shared" si="12"/>
        <v>E2_7_1_148_mRNA</v>
      </c>
      <c r="D100" t="str">
        <f t="shared" si="13"/>
        <v>E2_7_1_148</v>
      </c>
      <c r="E100" s="39" t="str">
        <f t="shared" si="14"/>
        <v>E2_7_1_148_kcat : 13.7</v>
      </c>
      <c r="F100" s="41" t="str">
        <f t="shared" si="15"/>
        <v>E2_7_1_148_km : 1</v>
      </c>
      <c r="G100" s="34" t="str">
        <f t="shared" si="16"/>
        <v>E2_7_1_148_mRNA : E2_7_1_148_mRNA</v>
      </c>
      <c r="H100" s="35" t="str">
        <f t="shared" si="17"/>
        <v>E2_7_1_148 : E2_7_1_148</v>
      </c>
      <c r="I100" s="36" t="str">
        <f t="shared" si="18"/>
        <v>E2_7_1_148_mRNA : 0</v>
      </c>
      <c r="J100" s="19" t="str">
        <f t="shared" si="19"/>
        <v>E2_7_1_148 : 0</v>
      </c>
      <c r="K100" s="37" t="str">
        <f t="shared" si="20"/>
        <v>0.00292 - (0.0093 * E2_7_1_148_mRNA)</v>
      </c>
      <c r="L100" s="34" t="str">
        <f t="shared" si="21"/>
        <v>(0.278 * E2_7_1_148_mRNA) - (0.00000278 * E2_7_1_148)</v>
      </c>
      <c r="M100" s="38" t="str">
        <f t="shared" si="22"/>
        <v>mRNA99: -&gt; E2_7_1_148_mRNA | 0.00292 - (0.0093 * E2_7_1_148_mRNA)</v>
      </c>
      <c r="N100" s="39" t="str">
        <f t="shared" si="23"/>
        <v>Peptide99: E2_7_1_148_mRNA -&gt; E2_7_1_148 | (0.278 * E2_7_1_148_mRNA) - (0.000000278 * E2_7_1_148)</v>
      </c>
    </row>
    <row r="101" spans="1:14" x14ac:dyDescent="0.45">
      <c r="A101">
        <v>100</v>
      </c>
      <c r="B101" t="s">
        <v>1751</v>
      </c>
      <c r="C101" t="str">
        <f t="shared" si="12"/>
        <v>E2_7_1_15_mRNA</v>
      </c>
      <c r="D101" t="str">
        <f t="shared" si="13"/>
        <v>E2_7_1_15</v>
      </c>
      <c r="E101" s="39" t="str">
        <f t="shared" si="14"/>
        <v>E2_7_1_15_kcat : 13.7</v>
      </c>
      <c r="F101" s="41" t="str">
        <f t="shared" si="15"/>
        <v>E2_7_1_15_km : 1</v>
      </c>
      <c r="G101" s="34" t="str">
        <f t="shared" si="16"/>
        <v>E2_7_1_15_mRNA : E2_7_1_15_mRNA</v>
      </c>
      <c r="H101" s="35" t="str">
        <f t="shared" si="17"/>
        <v>E2_7_1_15 : E2_7_1_15</v>
      </c>
      <c r="I101" s="36" t="str">
        <f t="shared" si="18"/>
        <v>E2_7_1_15_mRNA : 0</v>
      </c>
      <c r="J101" s="19" t="str">
        <f t="shared" si="19"/>
        <v>E2_7_1_15 : 0</v>
      </c>
      <c r="K101" s="37" t="str">
        <f t="shared" si="20"/>
        <v>0.00292 - (0.0093 * E2_7_1_15_mRNA)</v>
      </c>
      <c r="L101" s="34" t="str">
        <f t="shared" si="21"/>
        <v>(0.278 * E2_7_1_15_mRNA) - (0.00000278 * E2_7_1_15)</v>
      </c>
      <c r="M101" s="38" t="str">
        <f t="shared" si="22"/>
        <v>mRNA100: -&gt; E2_7_1_15_mRNA | 0.00292 - (0.0093 * E2_7_1_15_mRNA)</v>
      </c>
      <c r="N101" s="39" t="str">
        <f t="shared" si="23"/>
        <v>Peptide100: E2_7_1_15_mRNA -&gt; E2_7_1_15 | (0.278 * E2_7_1_15_mRNA) - (0.000000278 * E2_7_1_15)</v>
      </c>
    </row>
    <row r="102" spans="1:14" x14ac:dyDescent="0.45">
      <c r="A102">
        <v>101</v>
      </c>
      <c r="B102" t="s">
        <v>10353</v>
      </c>
      <c r="C102" t="str">
        <f t="shared" si="12"/>
        <v>E2_7_1_180_mRNA</v>
      </c>
      <c r="D102" t="str">
        <f t="shared" si="13"/>
        <v>E2_7_1_180</v>
      </c>
      <c r="E102" s="39" t="str">
        <f t="shared" si="14"/>
        <v>E2_7_1_180_kcat : 13.7</v>
      </c>
      <c r="F102" s="41" t="str">
        <f t="shared" si="15"/>
        <v>E2_7_1_180_km : 1</v>
      </c>
      <c r="G102" s="34" t="str">
        <f t="shared" si="16"/>
        <v>E2_7_1_180_mRNA : E2_7_1_180_mRNA</v>
      </c>
      <c r="H102" s="35" t="str">
        <f t="shared" si="17"/>
        <v>E2_7_1_180 : E2_7_1_180</v>
      </c>
      <c r="I102" s="36" t="str">
        <f t="shared" si="18"/>
        <v>E2_7_1_180_mRNA : 0</v>
      </c>
      <c r="J102" s="19" t="str">
        <f t="shared" si="19"/>
        <v>E2_7_1_180 : 0</v>
      </c>
      <c r="K102" s="37" t="str">
        <f t="shared" si="20"/>
        <v>0.00292 - (0.0093 * E2_7_1_180_mRNA)</v>
      </c>
      <c r="L102" s="34" t="str">
        <f t="shared" si="21"/>
        <v>(0.278 * E2_7_1_180_mRNA) - (0.00000278 * E2_7_1_180)</v>
      </c>
      <c r="M102" s="38" t="str">
        <f t="shared" si="22"/>
        <v>mRNA101: -&gt; E2_7_1_180_mRNA | 0.00292 - (0.0093 * E2_7_1_180_mRNA)</v>
      </c>
      <c r="N102" s="39" t="str">
        <f t="shared" si="23"/>
        <v>Peptide101: E2_7_1_180_mRNA -&gt; E2_7_1_180 | (0.278 * E2_7_1_180_mRNA) - (0.000000278 * E2_7_1_180)</v>
      </c>
    </row>
    <row r="103" spans="1:14" x14ac:dyDescent="0.45">
      <c r="A103">
        <v>102</v>
      </c>
      <c r="B103" t="s">
        <v>10354</v>
      </c>
      <c r="C103" t="str">
        <f t="shared" si="12"/>
        <v>E2_7_1_2_mRNA</v>
      </c>
      <c r="D103" t="str">
        <f t="shared" si="13"/>
        <v>E2_7_1_2</v>
      </c>
      <c r="E103" s="39" t="str">
        <f t="shared" si="14"/>
        <v>E2_7_1_2_kcat : 13.7</v>
      </c>
      <c r="F103" s="41" t="str">
        <f t="shared" si="15"/>
        <v>E2_7_1_2_km : 1</v>
      </c>
      <c r="G103" s="34" t="str">
        <f t="shared" si="16"/>
        <v>E2_7_1_2_mRNA : E2_7_1_2_mRNA</v>
      </c>
      <c r="H103" s="35" t="str">
        <f t="shared" si="17"/>
        <v>E2_7_1_2 : E2_7_1_2</v>
      </c>
      <c r="I103" s="36" t="str">
        <f t="shared" si="18"/>
        <v>E2_7_1_2_mRNA : 0</v>
      </c>
      <c r="J103" s="19" t="str">
        <f t="shared" si="19"/>
        <v>E2_7_1_2 : 0</v>
      </c>
      <c r="K103" s="37" t="str">
        <f t="shared" si="20"/>
        <v>0.00292 - (0.0093 * E2_7_1_2_mRNA)</v>
      </c>
      <c r="L103" s="34" t="str">
        <f t="shared" si="21"/>
        <v>(0.278 * E2_7_1_2_mRNA) - (0.00000278 * E2_7_1_2)</v>
      </c>
      <c r="M103" s="38" t="str">
        <f t="shared" si="22"/>
        <v>mRNA102: -&gt; E2_7_1_2_mRNA | 0.00292 - (0.0093 * E2_7_1_2_mRNA)</v>
      </c>
      <c r="N103" s="39" t="str">
        <f t="shared" si="23"/>
        <v>Peptide102: E2_7_1_2_mRNA -&gt; E2_7_1_2 | (0.278 * E2_7_1_2_mRNA) - (0.000000278 * E2_7_1_2)</v>
      </c>
    </row>
    <row r="104" spans="1:14" x14ac:dyDescent="0.45">
      <c r="A104">
        <v>103</v>
      </c>
      <c r="B104" t="s">
        <v>10355</v>
      </c>
      <c r="C104" t="str">
        <f t="shared" si="12"/>
        <v>E2_7_1_202_mRNA</v>
      </c>
      <c r="D104" t="str">
        <f t="shared" si="13"/>
        <v>E2_7_1_202</v>
      </c>
      <c r="E104" s="39" t="str">
        <f t="shared" si="14"/>
        <v>E2_7_1_202_kcat : 13.7</v>
      </c>
      <c r="F104" s="41" t="str">
        <f t="shared" si="15"/>
        <v>E2_7_1_202_km : 1</v>
      </c>
      <c r="G104" s="34" t="str">
        <f t="shared" si="16"/>
        <v>E2_7_1_202_mRNA : E2_7_1_202_mRNA</v>
      </c>
      <c r="H104" s="35" t="str">
        <f t="shared" si="17"/>
        <v>E2_7_1_202 : E2_7_1_202</v>
      </c>
      <c r="I104" s="36" t="str">
        <f t="shared" si="18"/>
        <v>E2_7_1_202_mRNA : 0</v>
      </c>
      <c r="J104" s="19" t="str">
        <f t="shared" si="19"/>
        <v>E2_7_1_202 : 0</v>
      </c>
      <c r="K104" s="37" t="str">
        <f t="shared" si="20"/>
        <v>0.00292 - (0.0093 * E2_7_1_202_mRNA)</v>
      </c>
      <c r="L104" s="34" t="str">
        <f t="shared" si="21"/>
        <v>(0.278 * E2_7_1_202_mRNA) - (0.00000278 * E2_7_1_202)</v>
      </c>
      <c r="M104" s="38" t="str">
        <f t="shared" si="22"/>
        <v>mRNA103: -&gt; E2_7_1_202_mRNA | 0.00292 - (0.0093 * E2_7_1_202_mRNA)</v>
      </c>
      <c r="N104" s="39" t="str">
        <f t="shared" si="23"/>
        <v>Peptide103: E2_7_1_202_mRNA -&gt; E2_7_1_202 | (0.278 * E2_7_1_202_mRNA) - (0.000000278 * E2_7_1_202)</v>
      </c>
    </row>
    <row r="105" spans="1:14" x14ac:dyDescent="0.45">
      <c r="A105">
        <v>104</v>
      </c>
      <c r="B105" t="s">
        <v>10356</v>
      </c>
      <c r="C105" t="str">
        <f t="shared" si="12"/>
        <v>E2_7_1_207_mRNA</v>
      </c>
      <c r="D105" t="str">
        <f t="shared" si="13"/>
        <v>E2_7_1_207</v>
      </c>
      <c r="E105" s="39" t="str">
        <f t="shared" si="14"/>
        <v>E2_7_1_207_kcat : 13.7</v>
      </c>
      <c r="F105" s="41" t="str">
        <f t="shared" si="15"/>
        <v>E2_7_1_207_km : 1</v>
      </c>
      <c r="G105" s="34" t="str">
        <f t="shared" si="16"/>
        <v>E2_7_1_207_mRNA : E2_7_1_207_mRNA</v>
      </c>
      <c r="H105" s="35" t="str">
        <f t="shared" si="17"/>
        <v>E2_7_1_207 : E2_7_1_207</v>
      </c>
      <c r="I105" s="36" t="str">
        <f t="shared" si="18"/>
        <v>E2_7_1_207_mRNA : 0</v>
      </c>
      <c r="J105" s="19" t="str">
        <f t="shared" si="19"/>
        <v>E2_7_1_207 : 0</v>
      </c>
      <c r="K105" s="37" t="str">
        <f t="shared" si="20"/>
        <v>0.00292 - (0.0093 * E2_7_1_207_mRNA)</v>
      </c>
      <c r="L105" s="34" t="str">
        <f t="shared" si="21"/>
        <v>(0.278 * E2_7_1_207_mRNA) - (0.00000278 * E2_7_1_207)</v>
      </c>
      <c r="M105" s="38" t="str">
        <f t="shared" si="22"/>
        <v>mRNA104: -&gt; E2_7_1_207_mRNA | 0.00292 - (0.0093 * E2_7_1_207_mRNA)</v>
      </c>
      <c r="N105" s="39" t="str">
        <f t="shared" si="23"/>
        <v>Peptide104: E2_7_1_207_mRNA -&gt; E2_7_1_207 | (0.278 * E2_7_1_207_mRNA) - (0.000000278 * E2_7_1_207)</v>
      </c>
    </row>
    <row r="106" spans="1:14" x14ac:dyDescent="0.45">
      <c r="A106">
        <v>105</v>
      </c>
      <c r="B106" t="s">
        <v>1759</v>
      </c>
      <c r="C106" t="str">
        <f t="shared" si="12"/>
        <v>E2_7_1_21_mRNA</v>
      </c>
      <c r="D106" t="str">
        <f t="shared" si="13"/>
        <v>E2_7_1_21</v>
      </c>
      <c r="E106" s="39" t="str">
        <f t="shared" si="14"/>
        <v>E2_7_1_21_kcat : 13.7</v>
      </c>
      <c r="F106" s="41" t="str">
        <f t="shared" si="15"/>
        <v>E2_7_1_21_km : 1</v>
      </c>
      <c r="G106" s="34" t="str">
        <f t="shared" si="16"/>
        <v>E2_7_1_21_mRNA : E2_7_1_21_mRNA</v>
      </c>
      <c r="H106" s="35" t="str">
        <f t="shared" si="17"/>
        <v>E2_7_1_21 : E2_7_1_21</v>
      </c>
      <c r="I106" s="36" t="str">
        <f t="shared" si="18"/>
        <v>E2_7_1_21_mRNA : 0</v>
      </c>
      <c r="J106" s="19" t="str">
        <f t="shared" si="19"/>
        <v>E2_7_1_21 : 0</v>
      </c>
      <c r="K106" s="37" t="str">
        <f t="shared" si="20"/>
        <v>0.00292 - (0.0093 * E2_7_1_21_mRNA)</v>
      </c>
      <c r="L106" s="34" t="str">
        <f t="shared" si="21"/>
        <v>(0.278 * E2_7_1_21_mRNA) - (0.00000278 * E2_7_1_21)</v>
      </c>
      <c r="M106" s="38" t="str">
        <f t="shared" si="22"/>
        <v>mRNA105: -&gt; E2_7_1_21_mRNA | 0.00292 - (0.0093 * E2_7_1_21_mRNA)</v>
      </c>
      <c r="N106" s="39" t="str">
        <f t="shared" si="23"/>
        <v>Peptide105: E2_7_1_21_mRNA -&gt; E2_7_1_21 | (0.278 * E2_7_1_21_mRNA) - (0.000000278 * E2_7_1_21)</v>
      </c>
    </row>
    <row r="107" spans="1:14" x14ac:dyDescent="0.45">
      <c r="A107">
        <v>106</v>
      </c>
      <c r="B107" t="s">
        <v>1826</v>
      </c>
      <c r="C107" t="str">
        <f t="shared" si="12"/>
        <v>E2_7_1_211_mRNA</v>
      </c>
      <c r="D107" t="str">
        <f t="shared" si="13"/>
        <v>E2_7_1_211</v>
      </c>
      <c r="E107" s="39" t="str">
        <f t="shared" si="14"/>
        <v>E2_7_1_211_kcat : 13.7</v>
      </c>
      <c r="F107" s="41" t="str">
        <f t="shared" si="15"/>
        <v>E2_7_1_211_km : 1</v>
      </c>
      <c r="G107" s="34" t="str">
        <f t="shared" si="16"/>
        <v>E2_7_1_211_mRNA : E2_7_1_211_mRNA</v>
      </c>
      <c r="H107" s="35" t="str">
        <f t="shared" si="17"/>
        <v>E2_7_1_211 : E2_7_1_211</v>
      </c>
      <c r="I107" s="36" t="str">
        <f t="shared" si="18"/>
        <v>E2_7_1_211_mRNA : 0</v>
      </c>
      <c r="J107" s="19" t="str">
        <f t="shared" si="19"/>
        <v>E2_7_1_211 : 0</v>
      </c>
      <c r="K107" s="37" t="str">
        <f t="shared" si="20"/>
        <v>0.00292 - (0.0093 * E2_7_1_211_mRNA)</v>
      </c>
      <c r="L107" s="34" t="str">
        <f t="shared" si="21"/>
        <v>(0.278 * E2_7_1_211_mRNA) - (0.00000278 * E2_7_1_211)</v>
      </c>
      <c r="M107" s="38" t="str">
        <f t="shared" si="22"/>
        <v>mRNA106: -&gt; E2_7_1_211_mRNA | 0.00292 - (0.0093 * E2_7_1_211_mRNA)</v>
      </c>
      <c r="N107" s="39" t="str">
        <f t="shared" si="23"/>
        <v>Peptide106: E2_7_1_211_mRNA -&gt; E2_7_1_211 | (0.278 * E2_7_1_211_mRNA) - (0.000000278 * E2_7_1_211)</v>
      </c>
    </row>
    <row r="108" spans="1:14" x14ac:dyDescent="0.45">
      <c r="A108">
        <v>107</v>
      </c>
      <c r="B108" t="s">
        <v>10357</v>
      </c>
      <c r="C108" t="str">
        <f t="shared" si="12"/>
        <v>E2_7_1_229_mRNA</v>
      </c>
      <c r="D108" t="str">
        <f t="shared" si="13"/>
        <v>E2_7_1_229</v>
      </c>
      <c r="E108" s="39" t="str">
        <f t="shared" si="14"/>
        <v>E2_7_1_229_kcat : 13.7</v>
      </c>
      <c r="F108" s="41" t="str">
        <f t="shared" si="15"/>
        <v>E2_7_1_229_km : 1</v>
      </c>
      <c r="G108" s="34" t="str">
        <f t="shared" si="16"/>
        <v>E2_7_1_229_mRNA : E2_7_1_229_mRNA</v>
      </c>
      <c r="H108" s="35" t="str">
        <f t="shared" si="17"/>
        <v>E2_7_1_229 : E2_7_1_229</v>
      </c>
      <c r="I108" s="36" t="str">
        <f t="shared" si="18"/>
        <v>E2_7_1_229_mRNA : 0</v>
      </c>
      <c r="J108" s="19" t="str">
        <f t="shared" si="19"/>
        <v>E2_7_1_229 : 0</v>
      </c>
      <c r="K108" s="37" t="str">
        <f t="shared" si="20"/>
        <v>0.00292 - (0.0093 * E2_7_1_229_mRNA)</v>
      </c>
      <c r="L108" s="34" t="str">
        <f t="shared" si="21"/>
        <v>(0.278 * E2_7_1_229_mRNA) - (0.00000278 * E2_7_1_229)</v>
      </c>
      <c r="M108" s="38" t="str">
        <f t="shared" si="22"/>
        <v>mRNA107: -&gt; E2_7_1_229_mRNA | 0.00292 - (0.0093 * E2_7_1_229_mRNA)</v>
      </c>
      <c r="N108" s="39" t="str">
        <f t="shared" si="23"/>
        <v>Peptide107: E2_7_1_229_mRNA -&gt; E2_7_1_229 | (0.278 * E2_7_1_229_mRNA) - (0.000000278 * E2_7_1_229)</v>
      </c>
    </row>
    <row r="109" spans="1:14" x14ac:dyDescent="0.45">
      <c r="A109">
        <v>108</v>
      </c>
      <c r="B109" t="s">
        <v>1723</v>
      </c>
      <c r="C109" t="str">
        <f t="shared" si="12"/>
        <v>E2_7_1_23_mRNA</v>
      </c>
      <c r="D109" t="str">
        <f t="shared" si="13"/>
        <v>E2_7_1_23</v>
      </c>
      <c r="E109" s="39" t="str">
        <f t="shared" si="14"/>
        <v>E2_7_1_23_kcat : 13.7</v>
      </c>
      <c r="F109" s="41" t="str">
        <f t="shared" si="15"/>
        <v>E2_7_1_23_km : 1</v>
      </c>
      <c r="G109" s="34" t="str">
        <f t="shared" si="16"/>
        <v>E2_7_1_23_mRNA : E2_7_1_23_mRNA</v>
      </c>
      <c r="H109" s="35" t="str">
        <f t="shared" si="17"/>
        <v>E2_7_1_23 : E2_7_1_23</v>
      </c>
      <c r="I109" s="36" t="str">
        <f t="shared" si="18"/>
        <v>E2_7_1_23_mRNA : 0</v>
      </c>
      <c r="J109" s="19" t="str">
        <f t="shared" si="19"/>
        <v>E2_7_1_23 : 0</v>
      </c>
      <c r="K109" s="37" t="str">
        <f t="shared" si="20"/>
        <v>0.00292 - (0.0093 * E2_7_1_23_mRNA)</v>
      </c>
      <c r="L109" s="34" t="str">
        <f t="shared" si="21"/>
        <v>(0.278 * E2_7_1_23_mRNA) - (0.00000278 * E2_7_1_23)</v>
      </c>
      <c r="M109" s="38" t="str">
        <f t="shared" si="22"/>
        <v>mRNA108: -&gt; E2_7_1_23_mRNA | 0.00292 - (0.0093 * E2_7_1_23_mRNA)</v>
      </c>
      <c r="N109" s="39" t="str">
        <f t="shared" si="23"/>
        <v>Peptide108: E2_7_1_23_mRNA -&gt; E2_7_1_23 | (0.278 * E2_7_1_23_mRNA) - (0.000000278 * E2_7_1_23)</v>
      </c>
    </row>
    <row r="110" spans="1:14" x14ac:dyDescent="0.45">
      <c r="A110">
        <v>109</v>
      </c>
      <c r="B110" t="s">
        <v>1772</v>
      </c>
      <c r="C110" t="str">
        <f t="shared" si="12"/>
        <v>E2_7_1_24_mRNA</v>
      </c>
      <c r="D110" t="str">
        <f t="shared" si="13"/>
        <v>E2_7_1_24</v>
      </c>
      <c r="E110" s="39" t="str">
        <f t="shared" si="14"/>
        <v>E2_7_1_24_kcat : 13.7</v>
      </c>
      <c r="F110" s="41" t="str">
        <f t="shared" si="15"/>
        <v>E2_7_1_24_km : 1</v>
      </c>
      <c r="G110" s="34" t="str">
        <f t="shared" si="16"/>
        <v>E2_7_1_24_mRNA : E2_7_1_24_mRNA</v>
      </c>
      <c r="H110" s="35" t="str">
        <f t="shared" si="17"/>
        <v>E2_7_1_24 : E2_7_1_24</v>
      </c>
      <c r="I110" s="36" t="str">
        <f t="shared" si="18"/>
        <v>E2_7_1_24_mRNA : 0</v>
      </c>
      <c r="J110" s="19" t="str">
        <f t="shared" si="19"/>
        <v>E2_7_1_24 : 0</v>
      </c>
      <c r="K110" s="37" t="str">
        <f t="shared" si="20"/>
        <v>0.00292 - (0.0093 * E2_7_1_24_mRNA)</v>
      </c>
      <c r="L110" s="34" t="str">
        <f t="shared" si="21"/>
        <v>(0.278 * E2_7_1_24_mRNA) - (0.00000278 * E2_7_1_24)</v>
      </c>
      <c r="M110" s="38" t="str">
        <f t="shared" si="22"/>
        <v>mRNA109: -&gt; E2_7_1_24_mRNA | 0.00292 - (0.0093 * E2_7_1_24_mRNA)</v>
      </c>
      <c r="N110" s="39" t="str">
        <f t="shared" si="23"/>
        <v>Peptide109: E2_7_1_24_mRNA -&gt; E2_7_1_24 | (0.278 * E2_7_1_24_mRNA) - (0.000000278 * E2_7_1_24)</v>
      </c>
    </row>
    <row r="111" spans="1:14" x14ac:dyDescent="0.45">
      <c r="A111">
        <v>110</v>
      </c>
      <c r="B111" t="s">
        <v>1760</v>
      </c>
      <c r="C111" t="str">
        <f t="shared" si="12"/>
        <v>E2_7_1_26_mRNA</v>
      </c>
      <c r="D111" t="str">
        <f t="shared" si="13"/>
        <v>E2_7_1_26</v>
      </c>
      <c r="E111" s="39" t="str">
        <f t="shared" si="14"/>
        <v>E2_7_1_26_kcat : 13.7</v>
      </c>
      <c r="F111" s="41" t="str">
        <f t="shared" si="15"/>
        <v>E2_7_1_26_km : 1</v>
      </c>
      <c r="G111" s="34" t="str">
        <f t="shared" si="16"/>
        <v>E2_7_1_26_mRNA : E2_7_1_26_mRNA</v>
      </c>
      <c r="H111" s="35" t="str">
        <f t="shared" si="17"/>
        <v>E2_7_1_26 : E2_7_1_26</v>
      </c>
      <c r="I111" s="36" t="str">
        <f t="shared" si="18"/>
        <v>E2_7_1_26_mRNA : 0</v>
      </c>
      <c r="J111" s="19" t="str">
        <f t="shared" si="19"/>
        <v>E2_7_1_26 : 0</v>
      </c>
      <c r="K111" s="37" t="str">
        <f t="shared" si="20"/>
        <v>0.00292 - (0.0093 * E2_7_1_26_mRNA)</v>
      </c>
      <c r="L111" s="34" t="str">
        <f t="shared" si="21"/>
        <v>(0.278 * E2_7_1_26_mRNA) - (0.00000278 * E2_7_1_26)</v>
      </c>
      <c r="M111" s="38" t="str">
        <f t="shared" si="22"/>
        <v>mRNA110: -&gt; E2_7_1_26_mRNA | 0.00292 - (0.0093 * E2_7_1_26_mRNA)</v>
      </c>
      <c r="N111" s="39" t="str">
        <f t="shared" si="23"/>
        <v>Peptide110: E2_7_1_26_mRNA -&gt; E2_7_1_26 | (0.278 * E2_7_1_26_mRNA) - (0.000000278 * E2_7_1_26)</v>
      </c>
    </row>
    <row r="112" spans="1:14" x14ac:dyDescent="0.45">
      <c r="A112">
        <v>111</v>
      </c>
      <c r="B112" t="s">
        <v>1749</v>
      </c>
      <c r="C112" t="str">
        <f t="shared" si="12"/>
        <v>E2_7_1_30_mRNA</v>
      </c>
      <c r="D112" t="str">
        <f t="shared" si="13"/>
        <v>E2_7_1_30</v>
      </c>
      <c r="E112" s="39" t="str">
        <f t="shared" si="14"/>
        <v>E2_7_1_30_kcat : 13.7</v>
      </c>
      <c r="F112" s="41" t="str">
        <f t="shared" si="15"/>
        <v>E2_7_1_30_km : 1</v>
      </c>
      <c r="G112" s="34" t="str">
        <f t="shared" si="16"/>
        <v>E2_7_1_30_mRNA : E2_7_1_30_mRNA</v>
      </c>
      <c r="H112" s="35" t="str">
        <f t="shared" si="17"/>
        <v>E2_7_1_30 : E2_7_1_30</v>
      </c>
      <c r="I112" s="36" t="str">
        <f t="shared" si="18"/>
        <v>E2_7_1_30_mRNA : 0</v>
      </c>
      <c r="J112" s="19" t="str">
        <f t="shared" si="19"/>
        <v>E2_7_1_30 : 0</v>
      </c>
      <c r="K112" s="37" t="str">
        <f t="shared" si="20"/>
        <v>0.00292 - (0.0093 * E2_7_1_30_mRNA)</v>
      </c>
      <c r="L112" s="34" t="str">
        <f t="shared" si="21"/>
        <v>(0.278 * E2_7_1_30_mRNA) - (0.00000278 * E2_7_1_30)</v>
      </c>
      <c r="M112" s="38" t="str">
        <f t="shared" si="22"/>
        <v>mRNA111: -&gt; E2_7_1_30_mRNA | 0.00292 - (0.0093 * E2_7_1_30_mRNA)</v>
      </c>
      <c r="N112" s="39" t="str">
        <f t="shared" si="23"/>
        <v>Peptide111: E2_7_1_30_mRNA -&gt; E2_7_1_30 | (0.278 * E2_7_1_30_mRNA) - (0.000000278 * E2_7_1_30)</v>
      </c>
    </row>
    <row r="113" spans="1:14" x14ac:dyDescent="0.45">
      <c r="A113">
        <v>112</v>
      </c>
      <c r="B113" t="s">
        <v>1769</v>
      </c>
      <c r="C113" t="str">
        <f t="shared" si="12"/>
        <v>E2_7_1_33_mRNA</v>
      </c>
      <c r="D113" t="str">
        <f t="shared" si="13"/>
        <v>E2_7_1_33</v>
      </c>
      <c r="E113" s="39" t="str">
        <f t="shared" si="14"/>
        <v>E2_7_1_33_kcat : 13.7</v>
      </c>
      <c r="F113" s="41" t="str">
        <f t="shared" si="15"/>
        <v>E2_7_1_33_km : 1</v>
      </c>
      <c r="G113" s="34" t="str">
        <f t="shared" si="16"/>
        <v>E2_7_1_33_mRNA : E2_7_1_33_mRNA</v>
      </c>
      <c r="H113" s="35" t="str">
        <f t="shared" si="17"/>
        <v>E2_7_1_33 : E2_7_1_33</v>
      </c>
      <c r="I113" s="36" t="str">
        <f t="shared" si="18"/>
        <v>E2_7_1_33_mRNA : 0</v>
      </c>
      <c r="J113" s="19" t="str">
        <f t="shared" si="19"/>
        <v>E2_7_1_33 : 0</v>
      </c>
      <c r="K113" s="37" t="str">
        <f t="shared" si="20"/>
        <v>0.00292 - (0.0093 * E2_7_1_33_mRNA)</v>
      </c>
      <c r="L113" s="34" t="str">
        <f t="shared" si="21"/>
        <v>(0.278 * E2_7_1_33_mRNA) - (0.00000278 * E2_7_1_33)</v>
      </c>
      <c r="M113" s="38" t="str">
        <f t="shared" si="22"/>
        <v>mRNA112: -&gt; E2_7_1_33_mRNA | 0.00292 - (0.0093 * E2_7_1_33_mRNA)</v>
      </c>
      <c r="N113" s="39" t="str">
        <f t="shared" si="23"/>
        <v>Peptide112: E2_7_1_33_mRNA -&gt; E2_7_1_33 | (0.278 * E2_7_1_33_mRNA) - (0.000000278 * E2_7_1_33)</v>
      </c>
    </row>
    <row r="114" spans="1:14" x14ac:dyDescent="0.45">
      <c r="A114">
        <v>113</v>
      </c>
      <c r="B114" t="s">
        <v>10358</v>
      </c>
      <c r="C114" t="str">
        <f t="shared" si="12"/>
        <v>E2_7_1_35_mRNA</v>
      </c>
      <c r="D114" t="str">
        <f t="shared" si="13"/>
        <v>E2_7_1_35</v>
      </c>
      <c r="E114" s="39" t="str">
        <f t="shared" si="14"/>
        <v>E2_7_1_35_kcat : 13.7</v>
      </c>
      <c r="F114" s="41" t="str">
        <f t="shared" si="15"/>
        <v>E2_7_1_35_km : 1</v>
      </c>
      <c r="G114" s="34" t="str">
        <f t="shared" si="16"/>
        <v>E2_7_1_35_mRNA : E2_7_1_35_mRNA</v>
      </c>
      <c r="H114" s="35" t="str">
        <f t="shared" si="17"/>
        <v>E2_7_1_35 : E2_7_1_35</v>
      </c>
      <c r="I114" s="36" t="str">
        <f t="shared" si="18"/>
        <v>E2_7_1_35_mRNA : 0</v>
      </c>
      <c r="J114" s="19" t="str">
        <f t="shared" si="19"/>
        <v>E2_7_1_35 : 0</v>
      </c>
      <c r="K114" s="37" t="str">
        <f t="shared" si="20"/>
        <v>0.00292 - (0.0093 * E2_7_1_35_mRNA)</v>
      </c>
      <c r="L114" s="34" t="str">
        <f t="shared" si="21"/>
        <v>(0.278 * E2_7_1_35_mRNA) - (0.00000278 * E2_7_1_35)</v>
      </c>
      <c r="M114" s="38" t="str">
        <f t="shared" si="22"/>
        <v>mRNA113: -&gt; E2_7_1_35_mRNA | 0.00292 - (0.0093 * E2_7_1_35_mRNA)</v>
      </c>
      <c r="N114" s="39" t="str">
        <f t="shared" si="23"/>
        <v>Peptide113: E2_7_1_35_mRNA -&gt; E2_7_1_35 | (0.278 * E2_7_1_35_mRNA) - (0.000000278 * E2_7_1_35)</v>
      </c>
    </row>
    <row r="115" spans="1:14" x14ac:dyDescent="0.45">
      <c r="A115">
        <v>114</v>
      </c>
      <c r="B115" t="s">
        <v>1765</v>
      </c>
      <c r="C115" t="str">
        <f t="shared" si="12"/>
        <v>E2_7_1_36_mRNA</v>
      </c>
      <c r="D115" t="str">
        <f t="shared" si="13"/>
        <v>E2_7_1_36</v>
      </c>
      <c r="E115" s="39" t="str">
        <f t="shared" si="14"/>
        <v>E2_7_1_36_kcat : 13.7</v>
      </c>
      <c r="F115" s="41" t="str">
        <f t="shared" si="15"/>
        <v>E2_7_1_36_km : 1</v>
      </c>
      <c r="G115" s="34" t="str">
        <f t="shared" si="16"/>
        <v>E2_7_1_36_mRNA : E2_7_1_36_mRNA</v>
      </c>
      <c r="H115" s="35" t="str">
        <f t="shared" si="17"/>
        <v>E2_7_1_36 : E2_7_1_36</v>
      </c>
      <c r="I115" s="36" t="str">
        <f t="shared" si="18"/>
        <v>E2_7_1_36_mRNA : 0</v>
      </c>
      <c r="J115" s="19" t="str">
        <f t="shared" si="19"/>
        <v>E2_7_1_36 : 0</v>
      </c>
      <c r="K115" s="37" t="str">
        <f t="shared" si="20"/>
        <v>0.00292 - (0.0093 * E2_7_1_36_mRNA)</v>
      </c>
      <c r="L115" s="34" t="str">
        <f t="shared" si="21"/>
        <v>(0.278 * E2_7_1_36_mRNA) - (0.00000278 * E2_7_1_36)</v>
      </c>
      <c r="M115" s="38" t="str">
        <f t="shared" si="22"/>
        <v>mRNA114: -&gt; E2_7_1_36_mRNA | 0.00292 - (0.0093 * E2_7_1_36_mRNA)</v>
      </c>
      <c r="N115" s="39" t="str">
        <f t="shared" si="23"/>
        <v>Peptide114: E2_7_1_36_mRNA -&gt; E2_7_1_36 | (0.278 * E2_7_1_36_mRNA) - (0.000000278 * E2_7_1_36)</v>
      </c>
    </row>
    <row r="116" spans="1:14" x14ac:dyDescent="0.45">
      <c r="A116">
        <v>115</v>
      </c>
      <c r="B116" t="s">
        <v>1761</v>
      </c>
      <c r="C116" t="str">
        <f t="shared" si="12"/>
        <v>E2_7_1_39_mRNA</v>
      </c>
      <c r="D116" t="str">
        <f t="shared" si="13"/>
        <v>E2_7_1_39</v>
      </c>
      <c r="E116" s="39" t="str">
        <f t="shared" si="14"/>
        <v>E2_7_1_39_kcat : 13.7</v>
      </c>
      <c r="F116" s="41" t="str">
        <f t="shared" si="15"/>
        <v>E2_7_1_39_km : 1</v>
      </c>
      <c r="G116" s="34" t="str">
        <f t="shared" si="16"/>
        <v>E2_7_1_39_mRNA : E2_7_1_39_mRNA</v>
      </c>
      <c r="H116" s="35" t="str">
        <f t="shared" si="17"/>
        <v>E2_7_1_39 : E2_7_1_39</v>
      </c>
      <c r="I116" s="36" t="str">
        <f t="shared" si="18"/>
        <v>E2_7_1_39_mRNA : 0</v>
      </c>
      <c r="J116" s="19" t="str">
        <f t="shared" si="19"/>
        <v>E2_7_1_39 : 0</v>
      </c>
      <c r="K116" s="37" t="str">
        <f t="shared" si="20"/>
        <v>0.00292 - (0.0093 * E2_7_1_39_mRNA)</v>
      </c>
      <c r="L116" s="34" t="str">
        <f t="shared" si="21"/>
        <v>(0.278 * E2_7_1_39_mRNA) - (0.00000278 * E2_7_1_39)</v>
      </c>
      <c r="M116" s="38" t="str">
        <f t="shared" si="22"/>
        <v>mRNA115: -&gt; E2_7_1_39_mRNA | 0.00292 - (0.0093 * E2_7_1_39_mRNA)</v>
      </c>
      <c r="N116" s="39" t="str">
        <f t="shared" si="23"/>
        <v>Peptide115: E2_7_1_39_mRNA -&gt; E2_7_1_39 | (0.278 * E2_7_1_39_mRNA) - (0.000000278 * E2_7_1_39)</v>
      </c>
    </row>
    <row r="117" spans="1:14" x14ac:dyDescent="0.45">
      <c r="A117">
        <v>116</v>
      </c>
      <c r="B117" t="s">
        <v>10359</v>
      </c>
      <c r="C117" t="str">
        <f t="shared" si="12"/>
        <v>E2_7_1_4_mRNA</v>
      </c>
      <c r="D117" t="str">
        <f t="shared" si="13"/>
        <v>E2_7_1_4</v>
      </c>
      <c r="E117" s="39" t="str">
        <f t="shared" si="14"/>
        <v>E2_7_1_4_kcat : 13.7</v>
      </c>
      <c r="F117" s="41" t="str">
        <f t="shared" si="15"/>
        <v>E2_7_1_4_km : 1</v>
      </c>
      <c r="G117" s="34" t="str">
        <f t="shared" si="16"/>
        <v>E2_7_1_4_mRNA : E2_7_1_4_mRNA</v>
      </c>
      <c r="H117" s="35" t="str">
        <f t="shared" si="17"/>
        <v>E2_7_1_4 : E2_7_1_4</v>
      </c>
      <c r="I117" s="36" t="str">
        <f t="shared" si="18"/>
        <v>E2_7_1_4_mRNA : 0</v>
      </c>
      <c r="J117" s="19" t="str">
        <f t="shared" si="19"/>
        <v>E2_7_1_4 : 0</v>
      </c>
      <c r="K117" s="37" t="str">
        <f t="shared" si="20"/>
        <v>0.00292 - (0.0093 * E2_7_1_4_mRNA)</v>
      </c>
      <c r="L117" s="34" t="str">
        <f t="shared" si="21"/>
        <v>(0.278 * E2_7_1_4_mRNA) - (0.00000278 * E2_7_1_4)</v>
      </c>
      <c r="M117" s="38" t="str">
        <f t="shared" si="22"/>
        <v>mRNA116: -&gt; E2_7_1_4_mRNA | 0.00292 - (0.0093 * E2_7_1_4_mRNA)</v>
      </c>
      <c r="N117" s="39" t="str">
        <f t="shared" si="23"/>
        <v>Peptide116: E2_7_1_4_mRNA -&gt; E2_7_1_4 | (0.278 * E2_7_1_4_mRNA) - (0.000000278 * E2_7_1_4)</v>
      </c>
    </row>
    <row r="118" spans="1:14" x14ac:dyDescent="0.45">
      <c r="A118">
        <v>117</v>
      </c>
      <c r="B118" t="s">
        <v>1725</v>
      </c>
      <c r="C118" t="str">
        <f t="shared" si="12"/>
        <v>E2_7_1_40_mRNA</v>
      </c>
      <c r="D118" t="str">
        <f t="shared" si="13"/>
        <v>E2_7_1_40</v>
      </c>
      <c r="E118" s="39" t="str">
        <f t="shared" si="14"/>
        <v>E2_7_1_40_kcat : 13.7</v>
      </c>
      <c r="F118" s="41" t="str">
        <f t="shared" si="15"/>
        <v>E2_7_1_40_km : 1</v>
      </c>
      <c r="G118" s="34" t="str">
        <f t="shared" si="16"/>
        <v>E2_7_1_40_mRNA : E2_7_1_40_mRNA</v>
      </c>
      <c r="H118" s="35" t="str">
        <f t="shared" si="17"/>
        <v>E2_7_1_40 : E2_7_1_40</v>
      </c>
      <c r="I118" s="36" t="str">
        <f t="shared" si="18"/>
        <v>E2_7_1_40_mRNA : 0</v>
      </c>
      <c r="J118" s="19" t="str">
        <f t="shared" si="19"/>
        <v>E2_7_1_40 : 0</v>
      </c>
      <c r="K118" s="37" t="str">
        <f t="shared" si="20"/>
        <v>0.00292 - (0.0093 * E2_7_1_40_mRNA)</v>
      </c>
      <c r="L118" s="34" t="str">
        <f t="shared" si="21"/>
        <v>(0.278 * E2_7_1_40_mRNA) - (0.00000278 * E2_7_1_40)</v>
      </c>
      <c r="M118" s="38" t="str">
        <f t="shared" si="22"/>
        <v>mRNA117: -&gt; E2_7_1_40_mRNA | 0.00292 - (0.0093 * E2_7_1_40_mRNA)</v>
      </c>
      <c r="N118" s="39" t="str">
        <f t="shared" si="23"/>
        <v>Peptide117: E2_7_1_40_mRNA -&gt; E2_7_1_40 | (0.278 * E2_7_1_40_mRNA) - (0.000000278 * E2_7_1_40)</v>
      </c>
    </row>
    <row r="119" spans="1:14" x14ac:dyDescent="0.45">
      <c r="A119">
        <v>118</v>
      </c>
      <c r="B119" t="s">
        <v>1762</v>
      </c>
      <c r="C119" t="str">
        <f t="shared" si="12"/>
        <v>E2_7_1_48_mRNA</v>
      </c>
      <c r="D119" t="str">
        <f t="shared" si="13"/>
        <v>E2_7_1_48</v>
      </c>
      <c r="E119" s="39" t="str">
        <f t="shared" si="14"/>
        <v>E2_7_1_48_kcat : 13.7</v>
      </c>
      <c r="F119" s="41" t="str">
        <f t="shared" si="15"/>
        <v>E2_7_1_48_km : 1</v>
      </c>
      <c r="G119" s="34" t="str">
        <f t="shared" si="16"/>
        <v>E2_7_1_48_mRNA : E2_7_1_48_mRNA</v>
      </c>
      <c r="H119" s="35" t="str">
        <f t="shared" si="17"/>
        <v>E2_7_1_48 : E2_7_1_48</v>
      </c>
      <c r="I119" s="36" t="str">
        <f t="shared" si="18"/>
        <v>E2_7_1_48_mRNA : 0</v>
      </c>
      <c r="J119" s="19" t="str">
        <f t="shared" si="19"/>
        <v>E2_7_1_48 : 0</v>
      </c>
      <c r="K119" s="37" t="str">
        <f t="shared" si="20"/>
        <v>0.00292 - (0.0093 * E2_7_1_48_mRNA)</v>
      </c>
      <c r="L119" s="34" t="str">
        <f t="shared" si="21"/>
        <v>(0.278 * E2_7_1_48_mRNA) - (0.00000278 * E2_7_1_48)</v>
      </c>
      <c r="M119" s="38" t="str">
        <f t="shared" si="22"/>
        <v>mRNA118: -&gt; E2_7_1_48_mRNA | 0.00292 - (0.0093 * E2_7_1_48_mRNA)</v>
      </c>
      <c r="N119" s="39" t="str">
        <f t="shared" si="23"/>
        <v>Peptide118: E2_7_1_48_mRNA -&gt; E2_7_1_48 | (0.278 * E2_7_1_48_mRNA) - (0.000000278 * E2_7_1_48)</v>
      </c>
    </row>
    <row r="120" spans="1:14" x14ac:dyDescent="0.45">
      <c r="A120">
        <v>119</v>
      </c>
      <c r="B120" t="s">
        <v>1780</v>
      </c>
      <c r="C120" t="str">
        <f t="shared" si="12"/>
        <v>E2_7_1_49_mRNA</v>
      </c>
      <c r="D120" t="str">
        <f t="shared" si="13"/>
        <v>E2_7_1_49</v>
      </c>
      <c r="E120" s="39" t="str">
        <f t="shared" si="14"/>
        <v>E2_7_1_49_kcat : 13.7</v>
      </c>
      <c r="F120" s="41" t="str">
        <f t="shared" si="15"/>
        <v>E2_7_1_49_km : 1</v>
      </c>
      <c r="G120" s="34" t="str">
        <f t="shared" si="16"/>
        <v>E2_7_1_49_mRNA : E2_7_1_49_mRNA</v>
      </c>
      <c r="H120" s="35" t="str">
        <f t="shared" si="17"/>
        <v>E2_7_1_49 : E2_7_1_49</v>
      </c>
      <c r="I120" s="36" t="str">
        <f t="shared" si="18"/>
        <v>E2_7_1_49_mRNA : 0</v>
      </c>
      <c r="J120" s="19" t="str">
        <f t="shared" si="19"/>
        <v>E2_7_1_49 : 0</v>
      </c>
      <c r="K120" s="37" t="str">
        <f t="shared" si="20"/>
        <v>0.00292 - (0.0093 * E2_7_1_49_mRNA)</v>
      </c>
      <c r="L120" s="34" t="str">
        <f t="shared" si="21"/>
        <v>(0.278 * E2_7_1_49_mRNA) - (0.00000278 * E2_7_1_49)</v>
      </c>
      <c r="M120" s="38" t="str">
        <f t="shared" si="22"/>
        <v>mRNA119: -&gt; E2_7_1_49_mRNA | 0.00292 - (0.0093 * E2_7_1_49_mRNA)</v>
      </c>
      <c r="N120" s="39" t="str">
        <f t="shared" si="23"/>
        <v>Peptide119: E2_7_1_49_mRNA -&gt; E2_7_1_49 | (0.278 * E2_7_1_49_mRNA) - (0.000000278 * E2_7_1_49)</v>
      </c>
    </row>
    <row r="121" spans="1:14" x14ac:dyDescent="0.45">
      <c r="A121">
        <v>120</v>
      </c>
      <c r="B121" t="s">
        <v>1775</v>
      </c>
      <c r="C121" t="str">
        <f t="shared" si="12"/>
        <v>E2_7_1_56_mRNA</v>
      </c>
      <c r="D121" t="str">
        <f t="shared" si="13"/>
        <v>E2_7_1_56</v>
      </c>
      <c r="E121" s="39" t="str">
        <f t="shared" si="14"/>
        <v>E2_7_1_56_kcat : 13.7</v>
      </c>
      <c r="F121" s="41" t="str">
        <f t="shared" si="15"/>
        <v>E2_7_1_56_km : 1</v>
      </c>
      <c r="G121" s="34" t="str">
        <f t="shared" si="16"/>
        <v>E2_7_1_56_mRNA : E2_7_1_56_mRNA</v>
      </c>
      <c r="H121" s="35" t="str">
        <f t="shared" si="17"/>
        <v>E2_7_1_56 : E2_7_1_56</v>
      </c>
      <c r="I121" s="36" t="str">
        <f t="shared" si="18"/>
        <v>E2_7_1_56_mRNA : 0</v>
      </c>
      <c r="J121" s="19" t="str">
        <f t="shared" si="19"/>
        <v>E2_7_1_56 : 0</v>
      </c>
      <c r="K121" s="37" t="str">
        <f t="shared" si="20"/>
        <v>0.00292 - (0.0093 * E2_7_1_56_mRNA)</v>
      </c>
      <c r="L121" s="34" t="str">
        <f t="shared" si="21"/>
        <v>(0.278 * E2_7_1_56_mRNA) - (0.00000278 * E2_7_1_56)</v>
      </c>
      <c r="M121" s="38" t="str">
        <f t="shared" si="22"/>
        <v>mRNA120: -&gt; E2_7_1_56_mRNA | 0.00292 - (0.0093 * E2_7_1_56_mRNA)</v>
      </c>
      <c r="N121" s="39" t="str">
        <f t="shared" si="23"/>
        <v>Peptide120: E2_7_1_56_mRNA -&gt; E2_7_1_56 | (0.278 * E2_7_1_56_mRNA) - (0.000000278 * E2_7_1_56)</v>
      </c>
    </row>
    <row r="122" spans="1:14" x14ac:dyDescent="0.45">
      <c r="A122">
        <v>121</v>
      </c>
      <c r="B122" t="s">
        <v>1773</v>
      </c>
      <c r="C122" t="str">
        <f t="shared" si="12"/>
        <v>E2_7_1_6_mRNA</v>
      </c>
      <c r="D122" t="str">
        <f t="shared" si="13"/>
        <v>E2_7_1_6</v>
      </c>
      <c r="E122" s="39" t="str">
        <f t="shared" si="14"/>
        <v>E2_7_1_6_kcat : 13.7</v>
      </c>
      <c r="F122" s="41" t="str">
        <f t="shared" si="15"/>
        <v>E2_7_1_6_km : 1</v>
      </c>
      <c r="G122" s="34" t="str">
        <f t="shared" si="16"/>
        <v>E2_7_1_6_mRNA : E2_7_1_6_mRNA</v>
      </c>
      <c r="H122" s="35" t="str">
        <f t="shared" si="17"/>
        <v>E2_7_1_6 : E2_7_1_6</v>
      </c>
      <c r="I122" s="36" t="str">
        <f t="shared" si="18"/>
        <v>E2_7_1_6_mRNA : 0</v>
      </c>
      <c r="J122" s="19" t="str">
        <f t="shared" si="19"/>
        <v>E2_7_1_6 : 0</v>
      </c>
      <c r="K122" s="37" t="str">
        <f t="shared" si="20"/>
        <v>0.00292 - (0.0093 * E2_7_1_6_mRNA)</v>
      </c>
      <c r="L122" s="34" t="str">
        <f t="shared" si="21"/>
        <v>(0.278 * E2_7_1_6_mRNA) - (0.00000278 * E2_7_1_6)</v>
      </c>
      <c r="M122" s="38" t="str">
        <f t="shared" si="22"/>
        <v>mRNA121: -&gt; E2_7_1_6_mRNA | 0.00292 - (0.0093 * E2_7_1_6_mRNA)</v>
      </c>
      <c r="N122" s="39" t="str">
        <f t="shared" si="23"/>
        <v>Peptide121: E2_7_1_6_mRNA -&gt; E2_7_1_6 | (0.278 * E2_7_1_6_mRNA) - (0.000000278 * E2_7_1_6)</v>
      </c>
    </row>
    <row r="123" spans="1:14" x14ac:dyDescent="0.45">
      <c r="A123">
        <v>122</v>
      </c>
      <c r="B123" t="s">
        <v>10360</v>
      </c>
      <c r="C123" t="str">
        <f t="shared" si="12"/>
        <v>E2_7_1_71_mRNA</v>
      </c>
      <c r="D123" t="str">
        <f t="shared" si="13"/>
        <v>E2_7_1_71</v>
      </c>
      <c r="E123" s="39" t="str">
        <f t="shared" si="14"/>
        <v>E2_7_1_71_kcat : 13.7</v>
      </c>
      <c r="F123" s="41" t="str">
        <f t="shared" si="15"/>
        <v>E2_7_1_71_km : 1</v>
      </c>
      <c r="G123" s="34" t="str">
        <f t="shared" si="16"/>
        <v>E2_7_1_71_mRNA : E2_7_1_71_mRNA</v>
      </c>
      <c r="H123" s="35" t="str">
        <f t="shared" si="17"/>
        <v>E2_7_1_71 : E2_7_1_71</v>
      </c>
      <c r="I123" s="36" t="str">
        <f t="shared" si="18"/>
        <v>E2_7_1_71_mRNA : 0</v>
      </c>
      <c r="J123" s="19" t="str">
        <f t="shared" si="19"/>
        <v>E2_7_1_71 : 0</v>
      </c>
      <c r="K123" s="37" t="str">
        <f t="shared" si="20"/>
        <v>0.00292 - (0.0093 * E2_7_1_71_mRNA)</v>
      </c>
      <c r="L123" s="34" t="str">
        <f t="shared" si="21"/>
        <v>(0.278 * E2_7_1_71_mRNA) - (0.00000278 * E2_7_1_71)</v>
      </c>
      <c r="M123" s="38" t="str">
        <f t="shared" si="22"/>
        <v>mRNA122: -&gt; E2_7_1_71_mRNA | 0.00292 - (0.0093 * E2_7_1_71_mRNA)</v>
      </c>
      <c r="N123" s="39" t="str">
        <f t="shared" si="23"/>
        <v>Peptide122: E2_7_1_71_mRNA -&gt; E2_7_1_71 | (0.278 * E2_7_1_71_mRNA) - (0.000000278 * E2_7_1_71)</v>
      </c>
    </row>
    <row r="124" spans="1:14" x14ac:dyDescent="0.45">
      <c r="A124">
        <v>123</v>
      </c>
      <c r="B124" t="s">
        <v>1767</v>
      </c>
      <c r="C124" t="str">
        <f t="shared" si="12"/>
        <v>E2_7_13_3_mRNA</v>
      </c>
      <c r="D124" t="str">
        <f t="shared" si="13"/>
        <v>E2_7_13_3</v>
      </c>
      <c r="E124" s="39" t="str">
        <f t="shared" si="14"/>
        <v>E2_7_13_3_kcat : 13.7</v>
      </c>
      <c r="F124" s="41" t="str">
        <f t="shared" si="15"/>
        <v>E2_7_13_3_km : 1</v>
      </c>
      <c r="G124" s="34" t="str">
        <f t="shared" si="16"/>
        <v>E2_7_13_3_mRNA : E2_7_13_3_mRNA</v>
      </c>
      <c r="H124" s="35" t="str">
        <f t="shared" si="17"/>
        <v>E2_7_13_3 : E2_7_13_3</v>
      </c>
      <c r="I124" s="36" t="str">
        <f t="shared" si="18"/>
        <v>E2_7_13_3_mRNA : 0</v>
      </c>
      <c r="J124" s="19" t="str">
        <f t="shared" si="19"/>
        <v>E2_7_13_3 : 0</v>
      </c>
      <c r="K124" s="37" t="str">
        <f t="shared" si="20"/>
        <v>0.00292 - (0.0093 * E2_7_13_3_mRNA)</v>
      </c>
      <c r="L124" s="34" t="str">
        <f t="shared" si="21"/>
        <v>(0.278 * E2_7_13_3_mRNA) - (0.00000278 * E2_7_13_3)</v>
      </c>
      <c r="M124" s="38" t="str">
        <f t="shared" si="22"/>
        <v>mRNA123: -&gt; E2_7_13_3_mRNA | 0.00292 - (0.0093 * E2_7_13_3_mRNA)</v>
      </c>
      <c r="N124" s="39" t="str">
        <f t="shared" si="23"/>
        <v>Peptide123: E2_7_13_3_mRNA -&gt; E2_7_13_3 | (0.278 * E2_7_13_3_mRNA) - (0.000000278 * E2_7_13_3)</v>
      </c>
    </row>
    <row r="125" spans="1:14" x14ac:dyDescent="0.45">
      <c r="A125">
        <v>124</v>
      </c>
      <c r="B125" t="s">
        <v>1727</v>
      </c>
      <c r="C125" t="str">
        <f t="shared" si="12"/>
        <v>E2_7_2_1_mRNA</v>
      </c>
      <c r="D125" t="str">
        <f t="shared" si="13"/>
        <v>E2_7_2_1</v>
      </c>
      <c r="E125" s="39" t="str">
        <f t="shared" si="14"/>
        <v>E2_7_2_1_kcat : 13.7</v>
      </c>
      <c r="F125" s="41" t="str">
        <f t="shared" si="15"/>
        <v>E2_7_2_1_km : 1</v>
      </c>
      <c r="G125" s="34" t="str">
        <f t="shared" si="16"/>
        <v>E2_7_2_1_mRNA : E2_7_2_1_mRNA</v>
      </c>
      <c r="H125" s="35" t="str">
        <f t="shared" si="17"/>
        <v>E2_7_2_1 : E2_7_2_1</v>
      </c>
      <c r="I125" s="36" t="str">
        <f t="shared" si="18"/>
        <v>E2_7_2_1_mRNA : 0</v>
      </c>
      <c r="J125" s="19" t="str">
        <f t="shared" si="19"/>
        <v>E2_7_2_1 : 0</v>
      </c>
      <c r="K125" s="37" t="str">
        <f t="shared" si="20"/>
        <v>0.00292 - (0.0093 * E2_7_2_1_mRNA)</v>
      </c>
      <c r="L125" s="34" t="str">
        <f t="shared" si="21"/>
        <v>(0.278 * E2_7_2_1_mRNA) - (0.00000278 * E2_7_2_1)</v>
      </c>
      <c r="M125" s="38" t="str">
        <f t="shared" si="22"/>
        <v>mRNA124: -&gt; E2_7_2_1_mRNA | 0.00292 - (0.0093 * E2_7_2_1_mRNA)</v>
      </c>
      <c r="N125" s="39" t="str">
        <f t="shared" si="23"/>
        <v>Peptide124: E2_7_2_1_mRNA -&gt; E2_7_2_1 | (0.278 * E2_7_2_1_mRNA) - (0.000000278 * E2_7_2_1)</v>
      </c>
    </row>
    <row r="126" spans="1:14" x14ac:dyDescent="0.45">
      <c r="A126">
        <v>125</v>
      </c>
      <c r="B126" t="s">
        <v>10361</v>
      </c>
      <c r="C126" t="str">
        <f t="shared" si="12"/>
        <v>E2_7_2_11_mRNA</v>
      </c>
      <c r="D126" t="str">
        <f t="shared" si="13"/>
        <v>E2_7_2_11</v>
      </c>
      <c r="E126" s="39" t="str">
        <f t="shared" si="14"/>
        <v>E2_7_2_11_kcat : 13.7</v>
      </c>
      <c r="F126" s="41" t="str">
        <f t="shared" si="15"/>
        <v>E2_7_2_11_km : 1</v>
      </c>
      <c r="G126" s="34" t="str">
        <f t="shared" si="16"/>
        <v>E2_7_2_11_mRNA : E2_7_2_11_mRNA</v>
      </c>
      <c r="H126" s="35" t="str">
        <f t="shared" si="17"/>
        <v>E2_7_2_11 : E2_7_2_11</v>
      </c>
      <c r="I126" s="36" t="str">
        <f t="shared" si="18"/>
        <v>E2_7_2_11_mRNA : 0</v>
      </c>
      <c r="J126" s="19" t="str">
        <f t="shared" si="19"/>
        <v>E2_7_2_11 : 0</v>
      </c>
      <c r="K126" s="37" t="str">
        <f t="shared" si="20"/>
        <v>0.00292 - (0.0093 * E2_7_2_11_mRNA)</v>
      </c>
      <c r="L126" s="34" t="str">
        <f t="shared" si="21"/>
        <v>(0.278 * E2_7_2_11_mRNA) - (0.00000278 * E2_7_2_11)</v>
      </c>
      <c r="M126" s="38" t="str">
        <f t="shared" si="22"/>
        <v>mRNA125: -&gt; E2_7_2_11_mRNA | 0.00292 - (0.0093 * E2_7_2_11_mRNA)</v>
      </c>
      <c r="N126" s="39" t="str">
        <f t="shared" si="23"/>
        <v>Peptide125: E2_7_2_11_mRNA -&gt; E2_7_2_11 | (0.278 * E2_7_2_11_mRNA) - (0.000000278 * E2_7_2_11)</v>
      </c>
    </row>
    <row r="127" spans="1:14" x14ac:dyDescent="0.45">
      <c r="A127">
        <v>126</v>
      </c>
      <c r="B127" t="s">
        <v>10362</v>
      </c>
      <c r="C127" t="str">
        <f t="shared" si="12"/>
        <v>E2_7_2_2_mRNA</v>
      </c>
      <c r="D127" t="str">
        <f t="shared" si="13"/>
        <v>E2_7_2_2</v>
      </c>
      <c r="E127" s="39" t="str">
        <f t="shared" si="14"/>
        <v>E2_7_2_2_kcat : 13.7</v>
      </c>
      <c r="F127" s="41" t="str">
        <f t="shared" si="15"/>
        <v>E2_7_2_2_km : 1</v>
      </c>
      <c r="G127" s="34" t="str">
        <f t="shared" si="16"/>
        <v>E2_7_2_2_mRNA : E2_7_2_2_mRNA</v>
      </c>
      <c r="H127" s="35" t="str">
        <f t="shared" si="17"/>
        <v>E2_7_2_2 : E2_7_2_2</v>
      </c>
      <c r="I127" s="36" t="str">
        <f t="shared" si="18"/>
        <v>E2_7_2_2_mRNA : 0</v>
      </c>
      <c r="J127" s="19" t="str">
        <f t="shared" si="19"/>
        <v>E2_7_2_2 : 0</v>
      </c>
      <c r="K127" s="37" t="str">
        <f t="shared" si="20"/>
        <v>0.00292 - (0.0093 * E2_7_2_2_mRNA)</v>
      </c>
      <c r="L127" s="34" t="str">
        <f t="shared" si="21"/>
        <v>(0.278 * E2_7_2_2_mRNA) - (0.00000278 * E2_7_2_2)</v>
      </c>
      <c r="M127" s="38" t="str">
        <f t="shared" si="22"/>
        <v>mRNA126: -&gt; E2_7_2_2_mRNA | 0.00292 - (0.0093 * E2_7_2_2_mRNA)</v>
      </c>
      <c r="N127" s="39" t="str">
        <f t="shared" si="23"/>
        <v>Peptide126: E2_7_2_2_mRNA -&gt; E2_7_2_2 | (0.278 * E2_7_2_2_mRNA) - (0.000000278 * E2_7_2_2)</v>
      </c>
    </row>
    <row r="128" spans="1:14" x14ac:dyDescent="0.45">
      <c r="A128">
        <v>127</v>
      </c>
      <c r="B128" t="s">
        <v>1758</v>
      </c>
      <c r="C128" t="str">
        <f t="shared" si="12"/>
        <v>E2_7_2_3_mRNA</v>
      </c>
      <c r="D128" t="str">
        <f t="shared" si="13"/>
        <v>E2_7_2_3</v>
      </c>
      <c r="E128" s="39" t="str">
        <f t="shared" si="14"/>
        <v>E2_7_2_3_kcat : 13.7</v>
      </c>
      <c r="F128" s="41" t="str">
        <f t="shared" si="15"/>
        <v>E2_7_2_3_km : 1</v>
      </c>
      <c r="G128" s="34" t="str">
        <f t="shared" si="16"/>
        <v>E2_7_2_3_mRNA : E2_7_2_3_mRNA</v>
      </c>
      <c r="H128" s="35" t="str">
        <f t="shared" si="17"/>
        <v>E2_7_2_3 : E2_7_2_3</v>
      </c>
      <c r="I128" s="36" t="str">
        <f t="shared" si="18"/>
        <v>E2_7_2_3_mRNA : 0</v>
      </c>
      <c r="J128" s="19" t="str">
        <f t="shared" si="19"/>
        <v>E2_7_2_3 : 0</v>
      </c>
      <c r="K128" s="37" t="str">
        <f t="shared" si="20"/>
        <v>0.00292 - (0.0093 * E2_7_2_3_mRNA)</v>
      </c>
      <c r="L128" s="34" t="str">
        <f t="shared" si="21"/>
        <v>(0.278 * E2_7_2_3_mRNA) - (0.00000278 * E2_7_2_3)</v>
      </c>
      <c r="M128" s="38" t="str">
        <f t="shared" si="22"/>
        <v>mRNA127: -&gt; E2_7_2_3_mRNA | 0.00292 - (0.0093 * E2_7_2_3_mRNA)</v>
      </c>
      <c r="N128" s="39" t="str">
        <f t="shared" si="23"/>
        <v>Peptide127: E2_7_2_3_mRNA -&gt; E2_7_2_3 | (0.278 * E2_7_2_3_mRNA) - (0.000000278 * E2_7_2_3)</v>
      </c>
    </row>
    <row r="129" spans="1:14" x14ac:dyDescent="0.45">
      <c r="A129">
        <v>128</v>
      </c>
      <c r="B129" t="s">
        <v>1733</v>
      </c>
      <c r="C129" t="str">
        <f t="shared" si="12"/>
        <v>E2_7_2_4_mRNA</v>
      </c>
      <c r="D129" t="str">
        <f t="shared" si="13"/>
        <v>E2_7_2_4</v>
      </c>
      <c r="E129" s="39" t="str">
        <f t="shared" si="14"/>
        <v>E2_7_2_4_kcat : 13.7</v>
      </c>
      <c r="F129" s="41" t="str">
        <f t="shared" si="15"/>
        <v>E2_7_2_4_km : 1</v>
      </c>
      <c r="G129" s="34" t="str">
        <f t="shared" si="16"/>
        <v>E2_7_2_4_mRNA : E2_7_2_4_mRNA</v>
      </c>
      <c r="H129" s="35" t="str">
        <f t="shared" si="17"/>
        <v>E2_7_2_4 : E2_7_2_4</v>
      </c>
      <c r="I129" s="36" t="str">
        <f t="shared" si="18"/>
        <v>E2_7_2_4_mRNA : 0</v>
      </c>
      <c r="J129" s="19" t="str">
        <f t="shared" si="19"/>
        <v>E2_7_2_4 : 0</v>
      </c>
      <c r="K129" s="37" t="str">
        <f t="shared" si="20"/>
        <v>0.00292 - (0.0093 * E2_7_2_4_mRNA)</v>
      </c>
      <c r="L129" s="34" t="str">
        <f t="shared" si="21"/>
        <v>(0.278 * E2_7_2_4_mRNA) - (0.00000278 * E2_7_2_4)</v>
      </c>
      <c r="M129" s="38" t="str">
        <f t="shared" si="22"/>
        <v>mRNA128: -&gt; E2_7_2_4_mRNA | 0.00292 - (0.0093 * E2_7_2_4_mRNA)</v>
      </c>
      <c r="N129" s="39" t="str">
        <f t="shared" si="23"/>
        <v>Peptide128: E2_7_2_4_mRNA -&gt; E2_7_2_4 | (0.278 * E2_7_2_4_mRNA) - (0.000000278 * E2_7_2_4)</v>
      </c>
    </row>
    <row r="130" spans="1:14" x14ac:dyDescent="0.45">
      <c r="A130">
        <v>129</v>
      </c>
      <c r="B130" t="s">
        <v>1821</v>
      </c>
      <c r="C130" t="str">
        <f t="shared" ref="C130:C193" si="24">CONCATENATE(D130,"_mRNA")</f>
        <v>E2_7_3_9_mRNA</v>
      </c>
      <c r="D130" t="str">
        <f t="shared" ref="D130:D193" si="25">CONCATENATE("E",B130)</f>
        <v>E2_7_3_9</v>
      </c>
      <c r="E130" s="39" t="str">
        <f t="shared" ref="E130:E193" si="26">CONCATENATE("E",B130,"_kcat : 13.7")</f>
        <v>E2_7_3_9_kcat : 13.7</v>
      </c>
      <c r="F130" s="41" t="str">
        <f t="shared" ref="F130:F193" si="27">CONCATENATE("E",B130,"_km : 1")</f>
        <v>E2_7_3_9_km : 1</v>
      </c>
      <c r="G130" s="34" t="str">
        <f t="shared" ref="G130:G193" si="28">CONCATENATE(C130," : ",C130)</f>
        <v>E2_7_3_9_mRNA : E2_7_3_9_mRNA</v>
      </c>
      <c r="H130" s="35" t="str">
        <f t="shared" ref="H130:H193" si="29">CONCATENATE(D130," : ",D130)</f>
        <v>E2_7_3_9 : E2_7_3_9</v>
      </c>
      <c r="I130" s="36" t="str">
        <f t="shared" ref="I130:I193" si="30">CONCATENATE(C130," : ","0")</f>
        <v>E2_7_3_9_mRNA : 0</v>
      </c>
      <c r="J130" s="19" t="str">
        <f t="shared" ref="J130:J193" si="31">CONCATENATE(D130," : ","0")</f>
        <v>E2_7_3_9 : 0</v>
      </c>
      <c r="K130" s="37" t="str">
        <f t="shared" ref="K130:K193" si="32">CONCATENATE("0.00292 - (0.0093 * ",C130,")")</f>
        <v>0.00292 - (0.0093 * E2_7_3_9_mRNA)</v>
      </c>
      <c r="L130" s="34" t="str">
        <f t="shared" ref="L130:L193" si="33">CONCATENATE("(0.278 * ",C130,")"," - (0.00000278 * ",D130,")")</f>
        <v>(0.278 * E2_7_3_9_mRNA) - (0.00000278 * E2_7_3_9)</v>
      </c>
      <c r="M130" s="38" t="str">
        <f t="shared" ref="M130:M193" si="34">CONCATENATE("mRNA",A130,": -&gt; ",C130," | ","0.00292"," - ","(","0.0093"," * ",C130,")")</f>
        <v>mRNA129: -&gt; E2_7_3_9_mRNA | 0.00292 - (0.0093 * E2_7_3_9_mRNA)</v>
      </c>
      <c r="N130" s="39" t="str">
        <f t="shared" ref="N130:N193" si="35">CONCATENATE("Peptide",A130,": ",C130," -&gt; ",D130," | ","(","0.278"," * ",C130,")"," - ","(","0.000000278"," * ",D130,")")</f>
        <v>Peptide129: E2_7_3_9_mRNA -&gt; E2_7_3_9 | (0.278 * E2_7_3_9_mRNA) - (0.000000278 * E2_7_3_9)</v>
      </c>
    </row>
    <row r="131" spans="1:14" x14ac:dyDescent="0.45">
      <c r="A131">
        <v>130</v>
      </c>
      <c r="B131" t="s">
        <v>1776</v>
      </c>
      <c r="C131" t="str">
        <f t="shared" si="24"/>
        <v>E2_7_4_2_mRNA</v>
      </c>
      <c r="D131" t="str">
        <f t="shared" si="25"/>
        <v>E2_7_4_2</v>
      </c>
      <c r="E131" s="39" t="str">
        <f t="shared" si="26"/>
        <v>E2_7_4_2_kcat : 13.7</v>
      </c>
      <c r="F131" s="41" t="str">
        <f t="shared" si="27"/>
        <v>E2_7_4_2_km : 1</v>
      </c>
      <c r="G131" s="34" t="str">
        <f t="shared" si="28"/>
        <v>E2_7_4_2_mRNA : E2_7_4_2_mRNA</v>
      </c>
      <c r="H131" s="35" t="str">
        <f t="shared" si="29"/>
        <v>E2_7_4_2 : E2_7_4_2</v>
      </c>
      <c r="I131" s="36" t="str">
        <f t="shared" si="30"/>
        <v>E2_7_4_2_mRNA : 0</v>
      </c>
      <c r="J131" s="19" t="str">
        <f t="shared" si="31"/>
        <v>E2_7_4_2 : 0</v>
      </c>
      <c r="K131" s="37" t="str">
        <f t="shared" si="32"/>
        <v>0.00292 - (0.0093 * E2_7_4_2_mRNA)</v>
      </c>
      <c r="L131" s="34" t="str">
        <f t="shared" si="33"/>
        <v>(0.278 * E2_7_4_2_mRNA) - (0.00000278 * E2_7_4_2)</v>
      </c>
      <c r="M131" s="38" t="str">
        <f t="shared" si="34"/>
        <v>mRNA130: -&gt; E2_7_4_2_mRNA | 0.00292 - (0.0093 * E2_7_4_2_mRNA)</v>
      </c>
      <c r="N131" s="39" t="str">
        <f t="shared" si="35"/>
        <v>Peptide130: E2_7_4_2_mRNA -&gt; E2_7_4_2 | (0.278 * E2_7_4_2_mRNA) - (0.000000278 * E2_7_4_2)</v>
      </c>
    </row>
    <row r="132" spans="1:14" x14ac:dyDescent="0.45">
      <c r="A132">
        <v>131</v>
      </c>
      <c r="B132" t="s">
        <v>1748</v>
      </c>
      <c r="C132" t="str">
        <f t="shared" si="24"/>
        <v>E2_7_4_22_mRNA</v>
      </c>
      <c r="D132" t="str">
        <f t="shared" si="25"/>
        <v>E2_7_4_22</v>
      </c>
      <c r="E132" s="39" t="str">
        <f t="shared" si="26"/>
        <v>E2_7_4_22_kcat : 13.7</v>
      </c>
      <c r="F132" s="41" t="str">
        <f t="shared" si="27"/>
        <v>E2_7_4_22_km : 1</v>
      </c>
      <c r="G132" s="34" t="str">
        <f t="shared" si="28"/>
        <v>E2_7_4_22_mRNA : E2_7_4_22_mRNA</v>
      </c>
      <c r="H132" s="35" t="str">
        <f t="shared" si="29"/>
        <v>E2_7_4_22 : E2_7_4_22</v>
      </c>
      <c r="I132" s="36" t="str">
        <f t="shared" si="30"/>
        <v>E2_7_4_22_mRNA : 0</v>
      </c>
      <c r="J132" s="19" t="str">
        <f t="shared" si="31"/>
        <v>E2_7_4_22 : 0</v>
      </c>
      <c r="K132" s="37" t="str">
        <f t="shared" si="32"/>
        <v>0.00292 - (0.0093 * E2_7_4_22_mRNA)</v>
      </c>
      <c r="L132" s="34" t="str">
        <f t="shared" si="33"/>
        <v>(0.278 * E2_7_4_22_mRNA) - (0.00000278 * E2_7_4_22)</v>
      </c>
      <c r="M132" s="38" t="str">
        <f t="shared" si="34"/>
        <v>mRNA131: -&gt; E2_7_4_22_mRNA | 0.00292 - (0.0093 * E2_7_4_22_mRNA)</v>
      </c>
      <c r="N132" s="39" t="str">
        <f t="shared" si="35"/>
        <v>Peptide131: E2_7_4_22_mRNA -&gt; E2_7_4_22 | (0.278 * E2_7_4_22_mRNA) - (0.000000278 * E2_7_4_22)</v>
      </c>
    </row>
    <row r="133" spans="1:14" x14ac:dyDescent="0.45">
      <c r="A133">
        <v>132</v>
      </c>
      <c r="B133" t="s">
        <v>1735</v>
      </c>
      <c r="C133" t="str">
        <f t="shared" si="24"/>
        <v>E2_7_4_25_mRNA</v>
      </c>
      <c r="D133" t="str">
        <f t="shared" si="25"/>
        <v>E2_7_4_25</v>
      </c>
      <c r="E133" s="39" t="str">
        <f t="shared" si="26"/>
        <v>E2_7_4_25_kcat : 13.7</v>
      </c>
      <c r="F133" s="41" t="str">
        <f t="shared" si="27"/>
        <v>E2_7_4_25_km : 1</v>
      </c>
      <c r="G133" s="34" t="str">
        <f t="shared" si="28"/>
        <v>E2_7_4_25_mRNA : E2_7_4_25_mRNA</v>
      </c>
      <c r="H133" s="35" t="str">
        <f t="shared" si="29"/>
        <v>E2_7_4_25 : E2_7_4_25</v>
      </c>
      <c r="I133" s="36" t="str">
        <f t="shared" si="30"/>
        <v>E2_7_4_25_mRNA : 0</v>
      </c>
      <c r="J133" s="19" t="str">
        <f t="shared" si="31"/>
        <v>E2_7_4_25 : 0</v>
      </c>
      <c r="K133" s="37" t="str">
        <f t="shared" si="32"/>
        <v>0.00292 - (0.0093 * E2_7_4_25_mRNA)</v>
      </c>
      <c r="L133" s="34" t="str">
        <f t="shared" si="33"/>
        <v>(0.278 * E2_7_4_25_mRNA) - (0.00000278 * E2_7_4_25)</v>
      </c>
      <c r="M133" s="38" t="str">
        <f t="shared" si="34"/>
        <v>mRNA132: -&gt; E2_7_4_25_mRNA | 0.00292 - (0.0093 * E2_7_4_25_mRNA)</v>
      </c>
      <c r="N133" s="39" t="str">
        <f t="shared" si="35"/>
        <v>Peptide132: E2_7_4_25_mRNA -&gt; E2_7_4_25 | (0.278 * E2_7_4_25_mRNA) - (0.000000278 * E2_7_4_25)</v>
      </c>
    </row>
    <row r="134" spans="1:14" x14ac:dyDescent="0.45">
      <c r="A134">
        <v>133</v>
      </c>
      <c r="B134" t="s">
        <v>1724</v>
      </c>
      <c r="C134" t="str">
        <f t="shared" si="24"/>
        <v>E2_7_4_3_mRNA</v>
      </c>
      <c r="D134" t="str">
        <f t="shared" si="25"/>
        <v>E2_7_4_3</v>
      </c>
      <c r="E134" s="39" t="str">
        <f t="shared" si="26"/>
        <v>E2_7_4_3_kcat : 13.7</v>
      </c>
      <c r="F134" s="41" t="str">
        <f t="shared" si="27"/>
        <v>E2_7_4_3_km : 1</v>
      </c>
      <c r="G134" s="34" t="str">
        <f t="shared" si="28"/>
        <v>E2_7_4_3_mRNA : E2_7_4_3_mRNA</v>
      </c>
      <c r="H134" s="35" t="str">
        <f t="shared" si="29"/>
        <v>E2_7_4_3 : E2_7_4_3</v>
      </c>
      <c r="I134" s="36" t="str">
        <f t="shared" si="30"/>
        <v>E2_7_4_3_mRNA : 0</v>
      </c>
      <c r="J134" s="19" t="str">
        <f t="shared" si="31"/>
        <v>E2_7_4_3 : 0</v>
      </c>
      <c r="K134" s="37" t="str">
        <f t="shared" si="32"/>
        <v>0.00292 - (0.0093 * E2_7_4_3_mRNA)</v>
      </c>
      <c r="L134" s="34" t="str">
        <f t="shared" si="33"/>
        <v>(0.278 * E2_7_4_3_mRNA) - (0.00000278 * E2_7_4_3)</v>
      </c>
      <c r="M134" s="38" t="str">
        <f t="shared" si="34"/>
        <v>mRNA133: -&gt; E2_7_4_3_mRNA | 0.00292 - (0.0093 * E2_7_4_3_mRNA)</v>
      </c>
      <c r="N134" s="39" t="str">
        <f t="shared" si="35"/>
        <v>Peptide133: E2_7_4_3_mRNA -&gt; E2_7_4_3 | (0.278 * E2_7_4_3_mRNA) - (0.000000278 * E2_7_4_3)</v>
      </c>
    </row>
    <row r="135" spans="1:14" x14ac:dyDescent="0.45">
      <c r="A135">
        <v>134</v>
      </c>
      <c r="B135" t="s">
        <v>10363</v>
      </c>
      <c r="C135" t="str">
        <f t="shared" si="24"/>
        <v>E2_7_4_6_mRNA</v>
      </c>
      <c r="D135" t="str">
        <f t="shared" si="25"/>
        <v>E2_7_4_6</v>
      </c>
      <c r="E135" s="39" t="str">
        <f t="shared" si="26"/>
        <v>E2_7_4_6_kcat : 13.7</v>
      </c>
      <c r="F135" s="41" t="str">
        <f t="shared" si="27"/>
        <v>E2_7_4_6_km : 1</v>
      </c>
      <c r="G135" s="34" t="str">
        <f t="shared" si="28"/>
        <v>E2_7_4_6_mRNA : E2_7_4_6_mRNA</v>
      </c>
      <c r="H135" s="35" t="str">
        <f t="shared" si="29"/>
        <v>E2_7_4_6 : E2_7_4_6</v>
      </c>
      <c r="I135" s="36" t="str">
        <f t="shared" si="30"/>
        <v>E2_7_4_6_mRNA : 0</v>
      </c>
      <c r="J135" s="19" t="str">
        <f t="shared" si="31"/>
        <v>E2_7_4_6 : 0</v>
      </c>
      <c r="K135" s="37" t="str">
        <f t="shared" si="32"/>
        <v>0.00292 - (0.0093 * E2_7_4_6_mRNA)</v>
      </c>
      <c r="L135" s="34" t="str">
        <f t="shared" si="33"/>
        <v>(0.278 * E2_7_4_6_mRNA) - (0.00000278 * E2_7_4_6)</v>
      </c>
      <c r="M135" s="38" t="str">
        <f t="shared" si="34"/>
        <v>mRNA134: -&gt; E2_7_4_6_mRNA | 0.00292 - (0.0093 * E2_7_4_6_mRNA)</v>
      </c>
      <c r="N135" s="39" t="str">
        <f t="shared" si="35"/>
        <v>Peptide134: E2_7_4_6_mRNA -&gt; E2_7_4_6 | (0.278 * E2_7_4_6_mRNA) - (0.000000278 * E2_7_4_6)</v>
      </c>
    </row>
    <row r="136" spans="1:14" x14ac:dyDescent="0.45">
      <c r="A136">
        <v>135</v>
      </c>
      <c r="B136" t="s">
        <v>1785</v>
      </c>
      <c r="C136" t="str">
        <f t="shared" si="24"/>
        <v>E2_7_4_7_mRNA</v>
      </c>
      <c r="D136" t="str">
        <f t="shared" si="25"/>
        <v>E2_7_4_7</v>
      </c>
      <c r="E136" s="39" t="str">
        <f t="shared" si="26"/>
        <v>E2_7_4_7_kcat : 13.7</v>
      </c>
      <c r="F136" s="41" t="str">
        <f t="shared" si="27"/>
        <v>E2_7_4_7_km : 1</v>
      </c>
      <c r="G136" s="34" t="str">
        <f t="shared" si="28"/>
        <v>E2_7_4_7_mRNA : E2_7_4_7_mRNA</v>
      </c>
      <c r="H136" s="35" t="str">
        <f t="shared" si="29"/>
        <v>E2_7_4_7 : E2_7_4_7</v>
      </c>
      <c r="I136" s="36" t="str">
        <f t="shared" si="30"/>
        <v>E2_7_4_7_mRNA : 0</v>
      </c>
      <c r="J136" s="19" t="str">
        <f t="shared" si="31"/>
        <v>E2_7_4_7 : 0</v>
      </c>
      <c r="K136" s="37" t="str">
        <f t="shared" si="32"/>
        <v>0.00292 - (0.0093 * E2_7_4_7_mRNA)</v>
      </c>
      <c r="L136" s="34" t="str">
        <f t="shared" si="33"/>
        <v>(0.278 * E2_7_4_7_mRNA) - (0.00000278 * E2_7_4_7)</v>
      </c>
      <c r="M136" s="38" t="str">
        <f t="shared" si="34"/>
        <v>mRNA135: -&gt; E2_7_4_7_mRNA | 0.00292 - (0.0093 * E2_7_4_7_mRNA)</v>
      </c>
      <c r="N136" s="39" t="str">
        <f t="shared" si="35"/>
        <v>Peptide135: E2_7_4_7_mRNA -&gt; E2_7_4_7 | (0.278 * E2_7_4_7_mRNA) - (0.000000278 * E2_7_4_7)</v>
      </c>
    </row>
    <row r="137" spans="1:14" x14ac:dyDescent="0.45">
      <c r="A137">
        <v>136</v>
      </c>
      <c r="B137" t="s">
        <v>1754</v>
      </c>
      <c r="C137" t="str">
        <f t="shared" si="24"/>
        <v>E2_7_4_8_mRNA</v>
      </c>
      <c r="D137" t="str">
        <f t="shared" si="25"/>
        <v>E2_7_4_8</v>
      </c>
      <c r="E137" s="39" t="str">
        <f t="shared" si="26"/>
        <v>E2_7_4_8_kcat : 13.7</v>
      </c>
      <c r="F137" s="41" t="str">
        <f t="shared" si="27"/>
        <v>E2_7_4_8_km : 1</v>
      </c>
      <c r="G137" s="34" t="str">
        <f t="shared" si="28"/>
        <v>E2_7_4_8_mRNA : E2_7_4_8_mRNA</v>
      </c>
      <c r="H137" s="35" t="str">
        <f t="shared" si="29"/>
        <v>E2_7_4_8 : E2_7_4_8</v>
      </c>
      <c r="I137" s="36" t="str">
        <f t="shared" si="30"/>
        <v>E2_7_4_8_mRNA : 0</v>
      </c>
      <c r="J137" s="19" t="str">
        <f t="shared" si="31"/>
        <v>E2_7_4_8 : 0</v>
      </c>
      <c r="K137" s="37" t="str">
        <f t="shared" si="32"/>
        <v>0.00292 - (0.0093 * E2_7_4_8_mRNA)</v>
      </c>
      <c r="L137" s="34" t="str">
        <f t="shared" si="33"/>
        <v>(0.278 * E2_7_4_8_mRNA) - (0.00000278 * E2_7_4_8)</v>
      </c>
      <c r="M137" s="38" t="str">
        <f t="shared" si="34"/>
        <v>mRNA136: -&gt; E2_7_4_8_mRNA | 0.00292 - (0.0093 * E2_7_4_8_mRNA)</v>
      </c>
      <c r="N137" s="39" t="str">
        <f t="shared" si="35"/>
        <v>Peptide136: E2_7_4_8_mRNA -&gt; E2_7_4_8 | (0.278 * E2_7_4_8_mRNA) - (0.000000278 * E2_7_4_8)</v>
      </c>
    </row>
    <row r="138" spans="1:14" x14ac:dyDescent="0.45">
      <c r="A138">
        <v>137</v>
      </c>
      <c r="B138" t="s">
        <v>10364</v>
      </c>
      <c r="C138" t="str">
        <f t="shared" si="24"/>
        <v>E2_7_4_9_mRNA</v>
      </c>
      <c r="D138" t="str">
        <f t="shared" si="25"/>
        <v>E2_7_4_9</v>
      </c>
      <c r="E138" s="39" t="str">
        <f t="shared" si="26"/>
        <v>E2_7_4_9_kcat : 13.7</v>
      </c>
      <c r="F138" s="41" t="str">
        <f t="shared" si="27"/>
        <v>E2_7_4_9_km : 1</v>
      </c>
      <c r="G138" s="34" t="str">
        <f t="shared" si="28"/>
        <v>E2_7_4_9_mRNA : E2_7_4_9_mRNA</v>
      </c>
      <c r="H138" s="35" t="str">
        <f t="shared" si="29"/>
        <v>E2_7_4_9 : E2_7_4_9</v>
      </c>
      <c r="I138" s="36" t="str">
        <f t="shared" si="30"/>
        <v>E2_7_4_9_mRNA : 0</v>
      </c>
      <c r="J138" s="19" t="str">
        <f t="shared" si="31"/>
        <v>E2_7_4_9 : 0</v>
      </c>
      <c r="K138" s="37" t="str">
        <f t="shared" si="32"/>
        <v>0.00292 - (0.0093 * E2_7_4_9_mRNA)</v>
      </c>
      <c r="L138" s="34" t="str">
        <f t="shared" si="33"/>
        <v>(0.278 * E2_7_4_9_mRNA) - (0.00000278 * E2_7_4_9)</v>
      </c>
      <c r="M138" s="38" t="str">
        <f t="shared" si="34"/>
        <v>mRNA137: -&gt; E2_7_4_9_mRNA | 0.00292 - (0.0093 * E2_7_4_9_mRNA)</v>
      </c>
      <c r="N138" s="39" t="str">
        <f t="shared" si="35"/>
        <v>Peptide137: E2_7_4_9_mRNA -&gt; E2_7_4_9 | (0.278 * E2_7_4_9_mRNA) - (0.000000278 * E2_7_4_9)</v>
      </c>
    </row>
    <row r="139" spans="1:14" x14ac:dyDescent="0.45">
      <c r="A139">
        <v>138</v>
      </c>
      <c r="B139" t="s">
        <v>1750</v>
      </c>
      <c r="C139" t="str">
        <f t="shared" si="24"/>
        <v>E2_7_6_1_mRNA</v>
      </c>
      <c r="D139" t="str">
        <f t="shared" si="25"/>
        <v>E2_7_6_1</v>
      </c>
      <c r="E139" s="39" t="str">
        <f t="shared" si="26"/>
        <v>E2_7_6_1_kcat : 13.7</v>
      </c>
      <c r="F139" s="41" t="str">
        <f t="shared" si="27"/>
        <v>E2_7_6_1_km : 1</v>
      </c>
      <c r="G139" s="34" t="str">
        <f t="shared" si="28"/>
        <v>E2_7_6_1_mRNA : E2_7_6_1_mRNA</v>
      </c>
      <c r="H139" s="35" t="str">
        <f t="shared" si="29"/>
        <v>E2_7_6_1 : E2_7_6_1</v>
      </c>
      <c r="I139" s="36" t="str">
        <f t="shared" si="30"/>
        <v>E2_7_6_1_mRNA : 0</v>
      </c>
      <c r="J139" s="19" t="str">
        <f t="shared" si="31"/>
        <v>E2_7_6_1 : 0</v>
      </c>
      <c r="K139" s="37" t="str">
        <f t="shared" si="32"/>
        <v>0.00292 - (0.0093 * E2_7_6_1_mRNA)</v>
      </c>
      <c r="L139" s="34" t="str">
        <f t="shared" si="33"/>
        <v>(0.278 * E2_7_6_1_mRNA) - (0.00000278 * E2_7_6_1)</v>
      </c>
      <c r="M139" s="38" t="str">
        <f t="shared" si="34"/>
        <v>mRNA138: -&gt; E2_7_6_1_mRNA | 0.00292 - (0.0093 * E2_7_6_1_mRNA)</v>
      </c>
      <c r="N139" s="39" t="str">
        <f t="shared" si="35"/>
        <v>Peptide138: E2_7_6_1_mRNA -&gt; E2_7_6_1 | (0.278 * E2_7_6_1_mRNA) - (0.000000278 * E2_7_6_1)</v>
      </c>
    </row>
    <row r="140" spans="1:14" x14ac:dyDescent="0.45">
      <c r="A140">
        <v>139</v>
      </c>
      <c r="B140" t="s">
        <v>1763</v>
      </c>
      <c r="C140" t="str">
        <f t="shared" si="24"/>
        <v>E2_7_6_2_mRNA</v>
      </c>
      <c r="D140" t="str">
        <f t="shared" si="25"/>
        <v>E2_7_6_2</v>
      </c>
      <c r="E140" s="39" t="str">
        <f t="shared" si="26"/>
        <v>E2_7_6_2_kcat : 13.7</v>
      </c>
      <c r="F140" s="41" t="str">
        <f t="shared" si="27"/>
        <v>E2_7_6_2_km : 1</v>
      </c>
      <c r="G140" s="34" t="str">
        <f t="shared" si="28"/>
        <v>E2_7_6_2_mRNA : E2_7_6_2_mRNA</v>
      </c>
      <c r="H140" s="35" t="str">
        <f t="shared" si="29"/>
        <v>E2_7_6_2 : E2_7_6_2</v>
      </c>
      <c r="I140" s="36" t="str">
        <f t="shared" si="30"/>
        <v>E2_7_6_2_mRNA : 0</v>
      </c>
      <c r="J140" s="19" t="str">
        <f t="shared" si="31"/>
        <v>E2_7_6_2 : 0</v>
      </c>
      <c r="K140" s="37" t="str">
        <f t="shared" si="32"/>
        <v>0.00292 - (0.0093 * E2_7_6_2_mRNA)</v>
      </c>
      <c r="L140" s="34" t="str">
        <f t="shared" si="33"/>
        <v>(0.278 * E2_7_6_2_mRNA) - (0.00000278 * E2_7_6_2)</v>
      </c>
      <c r="M140" s="38" t="str">
        <f t="shared" si="34"/>
        <v>mRNA139: -&gt; E2_7_6_2_mRNA | 0.00292 - (0.0093 * E2_7_6_2_mRNA)</v>
      </c>
      <c r="N140" s="39" t="str">
        <f t="shared" si="35"/>
        <v>Peptide139: E2_7_6_2_mRNA -&gt; E2_7_6_2 | (0.278 * E2_7_6_2_mRNA) - (0.000000278 * E2_7_6_2)</v>
      </c>
    </row>
    <row r="141" spans="1:14" x14ac:dyDescent="0.45">
      <c r="A141">
        <v>140</v>
      </c>
      <c r="B141" t="s">
        <v>10365</v>
      </c>
      <c r="C141" t="str">
        <f t="shared" si="24"/>
        <v>E2_7_6_3_mRNA</v>
      </c>
      <c r="D141" t="str">
        <f t="shared" si="25"/>
        <v>E2_7_6_3</v>
      </c>
      <c r="E141" s="39" t="str">
        <f t="shared" si="26"/>
        <v>E2_7_6_3_kcat : 13.7</v>
      </c>
      <c r="F141" s="41" t="str">
        <f t="shared" si="27"/>
        <v>E2_7_6_3_km : 1</v>
      </c>
      <c r="G141" s="34" t="str">
        <f t="shared" si="28"/>
        <v>E2_7_6_3_mRNA : E2_7_6_3_mRNA</v>
      </c>
      <c r="H141" s="35" t="str">
        <f t="shared" si="29"/>
        <v>E2_7_6_3 : E2_7_6_3</v>
      </c>
      <c r="I141" s="36" t="str">
        <f t="shared" si="30"/>
        <v>E2_7_6_3_mRNA : 0</v>
      </c>
      <c r="J141" s="19" t="str">
        <f t="shared" si="31"/>
        <v>E2_7_6_3 : 0</v>
      </c>
      <c r="K141" s="37" t="str">
        <f t="shared" si="32"/>
        <v>0.00292 - (0.0093 * E2_7_6_3_mRNA)</v>
      </c>
      <c r="L141" s="34" t="str">
        <f t="shared" si="33"/>
        <v>(0.278 * E2_7_6_3_mRNA) - (0.00000278 * E2_7_6_3)</v>
      </c>
      <c r="M141" s="38" t="str">
        <f t="shared" si="34"/>
        <v>mRNA140: -&gt; E2_7_6_3_mRNA | 0.00292 - (0.0093 * E2_7_6_3_mRNA)</v>
      </c>
      <c r="N141" s="39" t="str">
        <f t="shared" si="35"/>
        <v>Peptide140: E2_7_6_3_mRNA -&gt; E2_7_6_3 | (0.278 * E2_7_6_3_mRNA) - (0.000000278 * E2_7_6_3)</v>
      </c>
    </row>
    <row r="142" spans="1:14" x14ac:dyDescent="0.45">
      <c r="A142">
        <v>141</v>
      </c>
      <c r="B142" t="s">
        <v>10366</v>
      </c>
      <c r="C142" t="str">
        <f t="shared" si="24"/>
        <v>E2_7_6_5_mRNA</v>
      </c>
      <c r="D142" t="str">
        <f t="shared" si="25"/>
        <v>E2_7_6_5</v>
      </c>
      <c r="E142" s="39" t="str">
        <f t="shared" si="26"/>
        <v>E2_7_6_5_kcat : 13.7</v>
      </c>
      <c r="F142" s="41" t="str">
        <f t="shared" si="27"/>
        <v>E2_7_6_5_km : 1</v>
      </c>
      <c r="G142" s="34" t="str">
        <f t="shared" si="28"/>
        <v>E2_7_6_5_mRNA : E2_7_6_5_mRNA</v>
      </c>
      <c r="H142" s="35" t="str">
        <f t="shared" si="29"/>
        <v>E2_7_6_5 : E2_7_6_5</v>
      </c>
      <c r="I142" s="36" t="str">
        <f t="shared" si="30"/>
        <v>E2_7_6_5_mRNA : 0</v>
      </c>
      <c r="J142" s="19" t="str">
        <f t="shared" si="31"/>
        <v>E2_7_6_5 : 0</v>
      </c>
      <c r="K142" s="37" t="str">
        <f t="shared" si="32"/>
        <v>0.00292 - (0.0093 * E2_7_6_5_mRNA)</v>
      </c>
      <c r="L142" s="34" t="str">
        <f t="shared" si="33"/>
        <v>(0.278 * E2_7_6_5_mRNA) - (0.00000278 * E2_7_6_5)</v>
      </c>
      <c r="M142" s="38" t="str">
        <f t="shared" si="34"/>
        <v>mRNA141: -&gt; E2_7_6_5_mRNA | 0.00292 - (0.0093 * E2_7_6_5_mRNA)</v>
      </c>
      <c r="N142" s="39" t="str">
        <f t="shared" si="35"/>
        <v>Peptide141: E2_7_6_5_mRNA -&gt; E2_7_6_5 | (0.278 * E2_7_6_5_mRNA) - (0.000000278 * E2_7_6_5)</v>
      </c>
    </row>
    <row r="143" spans="1:14" x14ac:dyDescent="0.45">
      <c r="A143">
        <v>142</v>
      </c>
      <c r="B143" t="s">
        <v>1812</v>
      </c>
      <c r="C143" t="str">
        <f t="shared" si="24"/>
        <v>E2_7_7_12_mRNA</v>
      </c>
      <c r="D143" t="str">
        <f t="shared" si="25"/>
        <v>E2_7_7_12</v>
      </c>
      <c r="E143" s="39" t="str">
        <f t="shared" si="26"/>
        <v>E2_7_7_12_kcat : 13.7</v>
      </c>
      <c r="F143" s="41" t="str">
        <f t="shared" si="27"/>
        <v>E2_7_7_12_km : 1</v>
      </c>
      <c r="G143" s="34" t="str">
        <f t="shared" si="28"/>
        <v>E2_7_7_12_mRNA : E2_7_7_12_mRNA</v>
      </c>
      <c r="H143" s="35" t="str">
        <f t="shared" si="29"/>
        <v>E2_7_7_12 : E2_7_7_12</v>
      </c>
      <c r="I143" s="36" t="str">
        <f t="shared" si="30"/>
        <v>E2_7_7_12_mRNA : 0</v>
      </c>
      <c r="J143" s="19" t="str">
        <f t="shared" si="31"/>
        <v>E2_7_7_12 : 0</v>
      </c>
      <c r="K143" s="37" t="str">
        <f t="shared" si="32"/>
        <v>0.00292 - (0.0093 * E2_7_7_12_mRNA)</v>
      </c>
      <c r="L143" s="34" t="str">
        <f t="shared" si="33"/>
        <v>(0.278 * E2_7_7_12_mRNA) - (0.00000278 * E2_7_7_12)</v>
      </c>
      <c r="M143" s="38" t="str">
        <f t="shared" si="34"/>
        <v>mRNA142: -&gt; E2_7_7_12_mRNA | 0.00292 - (0.0093 * E2_7_7_12_mRNA)</v>
      </c>
      <c r="N143" s="39" t="str">
        <f t="shared" si="35"/>
        <v>Peptide142: E2_7_7_12_mRNA -&gt; E2_7_7_12 | (0.278 * E2_7_7_12_mRNA) - (0.000000278 * E2_7_7_12)</v>
      </c>
    </row>
    <row r="144" spans="1:14" x14ac:dyDescent="0.45">
      <c r="A144">
        <v>143</v>
      </c>
      <c r="B144" t="s">
        <v>1766</v>
      </c>
      <c r="C144" t="str">
        <f t="shared" si="24"/>
        <v>E2_7_7_18_mRNA</v>
      </c>
      <c r="D144" t="str">
        <f t="shared" si="25"/>
        <v>E2_7_7_18</v>
      </c>
      <c r="E144" s="39" t="str">
        <f t="shared" si="26"/>
        <v>E2_7_7_18_kcat : 13.7</v>
      </c>
      <c r="F144" s="41" t="str">
        <f t="shared" si="27"/>
        <v>E2_7_7_18_km : 1</v>
      </c>
      <c r="G144" s="34" t="str">
        <f t="shared" si="28"/>
        <v>E2_7_7_18_mRNA : E2_7_7_18_mRNA</v>
      </c>
      <c r="H144" s="35" t="str">
        <f t="shared" si="29"/>
        <v>E2_7_7_18 : E2_7_7_18</v>
      </c>
      <c r="I144" s="36" t="str">
        <f t="shared" si="30"/>
        <v>E2_7_7_18_mRNA : 0</v>
      </c>
      <c r="J144" s="19" t="str">
        <f t="shared" si="31"/>
        <v>E2_7_7_18 : 0</v>
      </c>
      <c r="K144" s="37" t="str">
        <f t="shared" si="32"/>
        <v>0.00292 - (0.0093 * E2_7_7_18_mRNA)</v>
      </c>
      <c r="L144" s="34" t="str">
        <f t="shared" si="33"/>
        <v>(0.278 * E2_7_7_18_mRNA) - (0.00000278 * E2_7_7_18)</v>
      </c>
      <c r="M144" s="38" t="str">
        <f t="shared" si="34"/>
        <v>mRNA143: -&gt; E2_7_7_18_mRNA | 0.00292 - (0.0093 * E2_7_7_18_mRNA)</v>
      </c>
      <c r="N144" s="39" t="str">
        <f t="shared" si="35"/>
        <v>Peptide143: E2_7_7_18_mRNA -&gt; E2_7_7_18 | (0.278 * E2_7_7_18_mRNA) - (0.000000278 * E2_7_7_18)</v>
      </c>
    </row>
    <row r="145" spans="1:14" x14ac:dyDescent="0.45">
      <c r="A145">
        <v>144</v>
      </c>
      <c r="B145" t="s">
        <v>1736</v>
      </c>
      <c r="C145" t="str">
        <f t="shared" si="24"/>
        <v>E2_7_7_2_mRNA</v>
      </c>
      <c r="D145" t="str">
        <f t="shared" si="25"/>
        <v>E2_7_7_2</v>
      </c>
      <c r="E145" s="39" t="str">
        <f t="shared" si="26"/>
        <v>E2_7_7_2_kcat : 13.7</v>
      </c>
      <c r="F145" s="41" t="str">
        <f t="shared" si="27"/>
        <v>E2_7_7_2_km : 1</v>
      </c>
      <c r="G145" s="34" t="str">
        <f t="shared" si="28"/>
        <v>E2_7_7_2_mRNA : E2_7_7_2_mRNA</v>
      </c>
      <c r="H145" s="35" t="str">
        <f t="shared" si="29"/>
        <v>E2_7_7_2 : E2_7_7_2</v>
      </c>
      <c r="I145" s="36" t="str">
        <f t="shared" si="30"/>
        <v>E2_7_7_2_mRNA : 0</v>
      </c>
      <c r="J145" s="19" t="str">
        <f t="shared" si="31"/>
        <v>E2_7_7_2 : 0</v>
      </c>
      <c r="K145" s="37" t="str">
        <f t="shared" si="32"/>
        <v>0.00292 - (0.0093 * E2_7_7_2_mRNA)</v>
      </c>
      <c r="L145" s="34" t="str">
        <f t="shared" si="33"/>
        <v>(0.278 * E2_7_7_2_mRNA) - (0.00000278 * E2_7_7_2)</v>
      </c>
      <c r="M145" s="38" t="str">
        <f t="shared" si="34"/>
        <v>mRNA144: -&gt; E2_7_7_2_mRNA | 0.00292 - (0.0093 * E2_7_7_2_mRNA)</v>
      </c>
      <c r="N145" s="39" t="str">
        <f t="shared" si="35"/>
        <v>Peptide144: E2_7_7_2_mRNA -&gt; E2_7_7_2 | (0.278 * E2_7_7_2_mRNA) - (0.000000278 * E2_7_7_2)</v>
      </c>
    </row>
    <row r="146" spans="1:14" x14ac:dyDescent="0.45">
      <c r="A146">
        <v>145</v>
      </c>
      <c r="B146" t="s">
        <v>1823</v>
      </c>
      <c r="C146" t="str">
        <f t="shared" si="24"/>
        <v>E2_7_7_23_mRNA</v>
      </c>
      <c r="D146" t="str">
        <f t="shared" si="25"/>
        <v>E2_7_7_23</v>
      </c>
      <c r="E146" s="39" t="str">
        <f t="shared" si="26"/>
        <v>E2_7_7_23_kcat : 13.7</v>
      </c>
      <c r="F146" s="41" t="str">
        <f t="shared" si="27"/>
        <v>E2_7_7_23_km : 1</v>
      </c>
      <c r="G146" s="34" t="str">
        <f t="shared" si="28"/>
        <v>E2_7_7_23_mRNA : E2_7_7_23_mRNA</v>
      </c>
      <c r="H146" s="35" t="str">
        <f t="shared" si="29"/>
        <v>E2_7_7_23 : E2_7_7_23</v>
      </c>
      <c r="I146" s="36" t="str">
        <f t="shared" si="30"/>
        <v>E2_7_7_23_mRNA : 0</v>
      </c>
      <c r="J146" s="19" t="str">
        <f t="shared" si="31"/>
        <v>E2_7_7_23 : 0</v>
      </c>
      <c r="K146" s="37" t="str">
        <f t="shared" si="32"/>
        <v>0.00292 - (0.0093 * E2_7_7_23_mRNA)</v>
      </c>
      <c r="L146" s="34" t="str">
        <f t="shared" si="33"/>
        <v>(0.278 * E2_7_7_23_mRNA) - (0.00000278 * E2_7_7_23)</v>
      </c>
      <c r="M146" s="38" t="str">
        <f t="shared" si="34"/>
        <v>mRNA145: -&gt; E2_7_7_23_mRNA | 0.00292 - (0.0093 * E2_7_7_23_mRNA)</v>
      </c>
      <c r="N146" s="39" t="str">
        <f t="shared" si="35"/>
        <v>Peptide145: E2_7_7_23_mRNA -&gt; E2_7_7_23 | (0.278 * E2_7_7_23_mRNA) - (0.000000278 * E2_7_7_23)</v>
      </c>
    </row>
    <row r="147" spans="1:14" x14ac:dyDescent="0.45">
      <c r="A147">
        <v>146</v>
      </c>
      <c r="B147" t="s">
        <v>10367</v>
      </c>
      <c r="C147" t="str">
        <f t="shared" si="24"/>
        <v>E2_7_7_24_mRNA</v>
      </c>
      <c r="D147" t="str">
        <f t="shared" si="25"/>
        <v>E2_7_7_24</v>
      </c>
      <c r="E147" s="39" t="str">
        <f t="shared" si="26"/>
        <v>E2_7_7_24_kcat : 13.7</v>
      </c>
      <c r="F147" s="41" t="str">
        <f t="shared" si="27"/>
        <v>E2_7_7_24_km : 1</v>
      </c>
      <c r="G147" s="34" t="str">
        <f t="shared" si="28"/>
        <v>E2_7_7_24_mRNA : E2_7_7_24_mRNA</v>
      </c>
      <c r="H147" s="35" t="str">
        <f t="shared" si="29"/>
        <v>E2_7_7_24 : E2_7_7_24</v>
      </c>
      <c r="I147" s="36" t="str">
        <f t="shared" si="30"/>
        <v>E2_7_7_24_mRNA : 0</v>
      </c>
      <c r="J147" s="19" t="str">
        <f t="shared" si="31"/>
        <v>E2_7_7_24 : 0</v>
      </c>
      <c r="K147" s="37" t="str">
        <f t="shared" si="32"/>
        <v>0.00292 - (0.0093 * E2_7_7_24_mRNA)</v>
      </c>
      <c r="L147" s="34" t="str">
        <f t="shared" si="33"/>
        <v>(0.278 * E2_7_7_24_mRNA) - (0.00000278 * E2_7_7_24)</v>
      </c>
      <c r="M147" s="38" t="str">
        <f t="shared" si="34"/>
        <v>mRNA146: -&gt; E2_7_7_24_mRNA | 0.00292 - (0.0093 * E2_7_7_24_mRNA)</v>
      </c>
      <c r="N147" s="39" t="str">
        <f t="shared" si="35"/>
        <v>Peptide146: E2_7_7_24_mRNA -&gt; E2_7_7_24 | (0.278 * E2_7_7_24_mRNA) - (0.000000278 * E2_7_7_24)</v>
      </c>
    </row>
    <row r="148" spans="1:14" x14ac:dyDescent="0.45">
      <c r="A148">
        <v>147</v>
      </c>
      <c r="B148" t="s">
        <v>1747</v>
      </c>
      <c r="C148" t="str">
        <f t="shared" si="24"/>
        <v>E2_7_7_27_mRNA</v>
      </c>
      <c r="D148" t="str">
        <f t="shared" si="25"/>
        <v>E2_7_7_27</v>
      </c>
      <c r="E148" s="39" t="str">
        <f t="shared" si="26"/>
        <v>E2_7_7_27_kcat : 13.7</v>
      </c>
      <c r="F148" s="41" t="str">
        <f t="shared" si="27"/>
        <v>E2_7_7_27_km : 1</v>
      </c>
      <c r="G148" s="34" t="str">
        <f t="shared" si="28"/>
        <v>E2_7_7_27_mRNA : E2_7_7_27_mRNA</v>
      </c>
      <c r="H148" s="35" t="str">
        <f t="shared" si="29"/>
        <v>E2_7_7_27 : E2_7_7_27</v>
      </c>
      <c r="I148" s="36" t="str">
        <f t="shared" si="30"/>
        <v>E2_7_7_27_mRNA : 0</v>
      </c>
      <c r="J148" s="19" t="str">
        <f t="shared" si="31"/>
        <v>E2_7_7_27 : 0</v>
      </c>
      <c r="K148" s="37" t="str">
        <f t="shared" si="32"/>
        <v>0.00292 - (0.0093 * E2_7_7_27_mRNA)</v>
      </c>
      <c r="L148" s="34" t="str">
        <f t="shared" si="33"/>
        <v>(0.278 * E2_7_7_27_mRNA) - (0.00000278 * E2_7_7_27)</v>
      </c>
      <c r="M148" s="38" t="str">
        <f t="shared" si="34"/>
        <v>mRNA147: -&gt; E2_7_7_27_mRNA | 0.00292 - (0.0093 * E2_7_7_27_mRNA)</v>
      </c>
      <c r="N148" s="39" t="str">
        <f t="shared" si="35"/>
        <v>Peptide147: E2_7_7_27_mRNA -&gt; E2_7_7_27 | (0.278 * E2_7_7_27_mRNA) - (0.000000278 * E2_7_7_27)</v>
      </c>
    </row>
    <row r="149" spans="1:14" x14ac:dyDescent="0.45">
      <c r="A149">
        <v>148</v>
      </c>
      <c r="B149" t="s">
        <v>1777</v>
      </c>
      <c r="C149" t="str">
        <f t="shared" si="24"/>
        <v>E2_7_7_3_mRNA</v>
      </c>
      <c r="D149" t="str">
        <f t="shared" si="25"/>
        <v>E2_7_7_3</v>
      </c>
      <c r="E149" s="39" t="str">
        <f t="shared" si="26"/>
        <v>E2_7_7_3_kcat : 13.7</v>
      </c>
      <c r="F149" s="41" t="str">
        <f t="shared" si="27"/>
        <v>E2_7_7_3_km : 1</v>
      </c>
      <c r="G149" s="34" t="str">
        <f t="shared" si="28"/>
        <v>E2_7_7_3_mRNA : E2_7_7_3_mRNA</v>
      </c>
      <c r="H149" s="35" t="str">
        <f t="shared" si="29"/>
        <v>E2_7_7_3 : E2_7_7_3</v>
      </c>
      <c r="I149" s="36" t="str">
        <f t="shared" si="30"/>
        <v>E2_7_7_3_mRNA : 0</v>
      </c>
      <c r="J149" s="19" t="str">
        <f t="shared" si="31"/>
        <v>E2_7_7_3 : 0</v>
      </c>
      <c r="K149" s="37" t="str">
        <f t="shared" si="32"/>
        <v>0.00292 - (0.0093 * E2_7_7_3_mRNA)</v>
      </c>
      <c r="L149" s="34" t="str">
        <f t="shared" si="33"/>
        <v>(0.278 * E2_7_7_3_mRNA) - (0.00000278 * E2_7_7_3)</v>
      </c>
      <c r="M149" s="38" t="str">
        <f t="shared" si="34"/>
        <v>mRNA148: -&gt; E2_7_7_3_mRNA | 0.00292 - (0.0093 * E2_7_7_3_mRNA)</v>
      </c>
      <c r="N149" s="39" t="str">
        <f t="shared" si="35"/>
        <v>Peptide148: E2_7_7_3_mRNA -&gt; E2_7_7_3 | (0.278 * E2_7_7_3_mRNA) - (0.000000278 * E2_7_7_3)</v>
      </c>
    </row>
    <row r="150" spans="1:14" x14ac:dyDescent="0.45">
      <c r="A150">
        <v>149</v>
      </c>
      <c r="B150" t="s">
        <v>1815</v>
      </c>
      <c r="C150" t="str">
        <f t="shared" si="24"/>
        <v>E2_7_7_41_mRNA</v>
      </c>
      <c r="D150" t="str">
        <f t="shared" si="25"/>
        <v>E2_7_7_41</v>
      </c>
      <c r="E150" s="39" t="str">
        <f t="shared" si="26"/>
        <v>E2_7_7_41_kcat : 13.7</v>
      </c>
      <c r="F150" s="41" t="str">
        <f t="shared" si="27"/>
        <v>E2_7_7_41_km : 1</v>
      </c>
      <c r="G150" s="34" t="str">
        <f t="shared" si="28"/>
        <v>E2_7_7_41_mRNA : E2_7_7_41_mRNA</v>
      </c>
      <c r="H150" s="35" t="str">
        <f t="shared" si="29"/>
        <v>E2_7_7_41 : E2_7_7_41</v>
      </c>
      <c r="I150" s="36" t="str">
        <f t="shared" si="30"/>
        <v>E2_7_7_41_mRNA : 0</v>
      </c>
      <c r="J150" s="19" t="str">
        <f t="shared" si="31"/>
        <v>E2_7_7_41 : 0</v>
      </c>
      <c r="K150" s="37" t="str">
        <f t="shared" si="32"/>
        <v>0.00292 - (0.0093 * E2_7_7_41_mRNA)</v>
      </c>
      <c r="L150" s="34" t="str">
        <f t="shared" si="33"/>
        <v>(0.278 * E2_7_7_41_mRNA) - (0.00000278 * E2_7_7_41)</v>
      </c>
      <c r="M150" s="38" t="str">
        <f t="shared" si="34"/>
        <v>mRNA149: -&gt; E2_7_7_41_mRNA | 0.00292 - (0.0093 * E2_7_7_41_mRNA)</v>
      </c>
      <c r="N150" s="39" t="str">
        <f t="shared" si="35"/>
        <v>Peptide149: E2_7_7_41_mRNA -&gt; E2_7_7_41 | (0.278 * E2_7_7_41_mRNA) - (0.000000278 * E2_7_7_41)</v>
      </c>
    </row>
    <row r="151" spans="1:14" x14ac:dyDescent="0.45">
      <c r="A151">
        <v>150</v>
      </c>
      <c r="B151" t="s">
        <v>10368</v>
      </c>
      <c r="C151" t="str">
        <f t="shared" si="24"/>
        <v>E2_7_7_49_mRNA</v>
      </c>
      <c r="D151" t="str">
        <f t="shared" si="25"/>
        <v>E2_7_7_49</v>
      </c>
      <c r="E151" s="39" t="str">
        <f t="shared" si="26"/>
        <v>E2_7_7_49_kcat : 13.7</v>
      </c>
      <c r="F151" s="41" t="str">
        <f t="shared" si="27"/>
        <v>E2_7_7_49_km : 1</v>
      </c>
      <c r="G151" s="34" t="str">
        <f t="shared" si="28"/>
        <v>E2_7_7_49_mRNA : E2_7_7_49_mRNA</v>
      </c>
      <c r="H151" s="35" t="str">
        <f t="shared" si="29"/>
        <v>E2_7_7_49 : E2_7_7_49</v>
      </c>
      <c r="I151" s="36" t="str">
        <f t="shared" si="30"/>
        <v>E2_7_7_49_mRNA : 0</v>
      </c>
      <c r="J151" s="19" t="str">
        <f t="shared" si="31"/>
        <v>E2_7_7_49 : 0</v>
      </c>
      <c r="K151" s="37" t="str">
        <f t="shared" si="32"/>
        <v>0.00292 - (0.0093 * E2_7_7_49_mRNA)</v>
      </c>
      <c r="L151" s="34" t="str">
        <f t="shared" si="33"/>
        <v>(0.278 * E2_7_7_49_mRNA) - (0.00000278 * E2_7_7_49)</v>
      </c>
      <c r="M151" s="38" t="str">
        <f t="shared" si="34"/>
        <v>mRNA150: -&gt; E2_7_7_49_mRNA | 0.00292 - (0.0093 * E2_7_7_49_mRNA)</v>
      </c>
      <c r="N151" s="39" t="str">
        <f t="shared" si="35"/>
        <v>Peptide150: E2_7_7_49_mRNA -&gt; E2_7_7_49 | (0.278 * E2_7_7_49_mRNA) - (0.000000278 * E2_7_7_49)</v>
      </c>
    </row>
    <row r="152" spans="1:14" x14ac:dyDescent="0.45">
      <c r="A152">
        <v>151</v>
      </c>
      <c r="B152" t="s">
        <v>1731</v>
      </c>
      <c r="C152" t="str">
        <f t="shared" si="24"/>
        <v>E2_7_7_6_mRNA</v>
      </c>
      <c r="D152" t="str">
        <f t="shared" si="25"/>
        <v>E2_7_7_6</v>
      </c>
      <c r="E152" s="39" t="str">
        <f t="shared" si="26"/>
        <v>E2_7_7_6_kcat : 13.7</v>
      </c>
      <c r="F152" s="41" t="str">
        <f t="shared" si="27"/>
        <v>E2_7_7_6_km : 1</v>
      </c>
      <c r="G152" s="34" t="str">
        <f t="shared" si="28"/>
        <v>E2_7_7_6_mRNA : E2_7_7_6_mRNA</v>
      </c>
      <c r="H152" s="35" t="str">
        <f t="shared" si="29"/>
        <v>E2_7_7_6 : E2_7_7_6</v>
      </c>
      <c r="I152" s="36" t="str">
        <f t="shared" si="30"/>
        <v>E2_7_7_6_mRNA : 0</v>
      </c>
      <c r="J152" s="19" t="str">
        <f t="shared" si="31"/>
        <v>E2_7_7_6 : 0</v>
      </c>
      <c r="K152" s="37" t="str">
        <f t="shared" si="32"/>
        <v>0.00292 - (0.0093 * E2_7_7_6_mRNA)</v>
      </c>
      <c r="L152" s="34" t="str">
        <f t="shared" si="33"/>
        <v>(0.278 * E2_7_7_6_mRNA) - (0.00000278 * E2_7_7_6)</v>
      </c>
      <c r="M152" s="38" t="str">
        <f t="shared" si="34"/>
        <v>mRNA151: -&gt; E2_7_7_6_mRNA | 0.00292 - (0.0093 * E2_7_7_6_mRNA)</v>
      </c>
      <c r="N152" s="39" t="str">
        <f t="shared" si="35"/>
        <v>Peptide151: E2_7_7_6_mRNA -&gt; E2_7_7_6 | (0.278 * E2_7_7_6_mRNA) - (0.000000278 * E2_7_7_6)</v>
      </c>
    </row>
    <row r="153" spans="1:14" x14ac:dyDescent="0.45">
      <c r="A153">
        <v>152</v>
      </c>
      <c r="B153" t="s">
        <v>1902</v>
      </c>
      <c r="C153" t="str">
        <f t="shared" si="24"/>
        <v>E2_7_7_61_mRNA</v>
      </c>
      <c r="D153" t="str">
        <f t="shared" si="25"/>
        <v>E2_7_7_61</v>
      </c>
      <c r="E153" s="39" t="str">
        <f t="shared" si="26"/>
        <v>E2_7_7_61_kcat : 13.7</v>
      </c>
      <c r="F153" s="41" t="str">
        <f t="shared" si="27"/>
        <v>E2_7_7_61_km : 1</v>
      </c>
      <c r="G153" s="34" t="str">
        <f t="shared" si="28"/>
        <v>E2_7_7_61_mRNA : E2_7_7_61_mRNA</v>
      </c>
      <c r="H153" s="35" t="str">
        <f t="shared" si="29"/>
        <v>E2_7_7_61 : E2_7_7_61</v>
      </c>
      <c r="I153" s="36" t="str">
        <f t="shared" si="30"/>
        <v>E2_7_7_61_mRNA : 0</v>
      </c>
      <c r="J153" s="19" t="str">
        <f t="shared" si="31"/>
        <v>E2_7_7_61 : 0</v>
      </c>
      <c r="K153" s="37" t="str">
        <f t="shared" si="32"/>
        <v>0.00292 - (0.0093 * E2_7_7_61_mRNA)</v>
      </c>
      <c r="L153" s="34" t="str">
        <f t="shared" si="33"/>
        <v>(0.278 * E2_7_7_61_mRNA) - (0.00000278 * E2_7_7_61)</v>
      </c>
      <c r="M153" s="38" t="str">
        <f t="shared" si="34"/>
        <v>mRNA152: -&gt; E2_7_7_61_mRNA | 0.00292 - (0.0093 * E2_7_7_61_mRNA)</v>
      </c>
      <c r="N153" s="39" t="str">
        <f t="shared" si="35"/>
        <v>Peptide152: E2_7_7_61_mRNA -&gt; E2_7_7_61 | (0.278 * E2_7_7_61_mRNA) - (0.000000278 * E2_7_7_61)</v>
      </c>
    </row>
    <row r="154" spans="1:14" x14ac:dyDescent="0.45">
      <c r="A154">
        <v>153</v>
      </c>
      <c r="B154" t="s">
        <v>1841</v>
      </c>
      <c r="C154" t="str">
        <f t="shared" si="24"/>
        <v>E2_7_7_7_mRNA</v>
      </c>
      <c r="D154" t="str">
        <f t="shared" si="25"/>
        <v>E2_7_7_7</v>
      </c>
      <c r="E154" s="39" t="str">
        <f t="shared" si="26"/>
        <v>E2_7_7_7_kcat : 13.7</v>
      </c>
      <c r="F154" s="41" t="str">
        <f t="shared" si="27"/>
        <v>E2_7_7_7_km : 1</v>
      </c>
      <c r="G154" s="34" t="str">
        <f t="shared" si="28"/>
        <v>E2_7_7_7_mRNA : E2_7_7_7_mRNA</v>
      </c>
      <c r="H154" s="35" t="str">
        <f t="shared" si="29"/>
        <v>E2_7_7_7 : E2_7_7_7</v>
      </c>
      <c r="I154" s="36" t="str">
        <f t="shared" si="30"/>
        <v>E2_7_7_7_mRNA : 0</v>
      </c>
      <c r="J154" s="19" t="str">
        <f t="shared" si="31"/>
        <v>E2_7_7_7 : 0</v>
      </c>
      <c r="K154" s="37" t="str">
        <f t="shared" si="32"/>
        <v>0.00292 - (0.0093 * E2_7_7_7_mRNA)</v>
      </c>
      <c r="L154" s="34" t="str">
        <f t="shared" si="33"/>
        <v>(0.278 * E2_7_7_7_mRNA) - (0.00000278 * E2_7_7_7)</v>
      </c>
      <c r="M154" s="38" t="str">
        <f t="shared" si="34"/>
        <v>mRNA153: -&gt; E2_7_7_7_mRNA | 0.00292 - (0.0093 * E2_7_7_7_mRNA)</v>
      </c>
      <c r="N154" s="39" t="str">
        <f t="shared" si="35"/>
        <v>Peptide153: E2_7_7_7_mRNA -&gt; E2_7_7_7 | (0.278 * E2_7_7_7_mRNA) - (0.000000278 * E2_7_7_7)</v>
      </c>
    </row>
    <row r="155" spans="1:14" x14ac:dyDescent="0.45">
      <c r="A155">
        <v>154</v>
      </c>
      <c r="B155" t="s">
        <v>1881</v>
      </c>
      <c r="C155" t="str">
        <f t="shared" si="24"/>
        <v>E2_7_7_72_mRNA</v>
      </c>
      <c r="D155" t="str">
        <f t="shared" si="25"/>
        <v>E2_7_7_72</v>
      </c>
      <c r="E155" s="39" t="str">
        <f t="shared" si="26"/>
        <v>E2_7_7_72_kcat : 13.7</v>
      </c>
      <c r="F155" s="41" t="str">
        <f t="shared" si="27"/>
        <v>E2_7_7_72_km : 1</v>
      </c>
      <c r="G155" s="34" t="str">
        <f t="shared" si="28"/>
        <v>E2_7_7_72_mRNA : E2_7_7_72_mRNA</v>
      </c>
      <c r="H155" s="35" t="str">
        <f t="shared" si="29"/>
        <v>E2_7_7_72 : E2_7_7_72</v>
      </c>
      <c r="I155" s="36" t="str">
        <f t="shared" si="30"/>
        <v>E2_7_7_72_mRNA : 0</v>
      </c>
      <c r="J155" s="19" t="str">
        <f t="shared" si="31"/>
        <v>E2_7_7_72 : 0</v>
      </c>
      <c r="K155" s="37" t="str">
        <f t="shared" si="32"/>
        <v>0.00292 - (0.0093 * E2_7_7_72_mRNA)</v>
      </c>
      <c r="L155" s="34" t="str">
        <f t="shared" si="33"/>
        <v>(0.278 * E2_7_7_72_mRNA) - (0.00000278 * E2_7_7_72)</v>
      </c>
      <c r="M155" s="38" t="str">
        <f t="shared" si="34"/>
        <v>mRNA154: -&gt; E2_7_7_72_mRNA | 0.00292 - (0.0093 * E2_7_7_72_mRNA)</v>
      </c>
      <c r="N155" s="39" t="str">
        <f t="shared" si="35"/>
        <v>Peptide154: E2_7_7_72_mRNA -&gt; E2_7_7_72 | (0.278 * E2_7_7_72_mRNA) - (0.000000278 * E2_7_7_72)</v>
      </c>
    </row>
    <row r="156" spans="1:14" x14ac:dyDescent="0.45">
      <c r="A156">
        <v>155</v>
      </c>
      <c r="B156" t="s">
        <v>10369</v>
      </c>
      <c r="C156" t="str">
        <f t="shared" si="24"/>
        <v>E2_7_7_8_mRNA</v>
      </c>
      <c r="D156" t="str">
        <f t="shared" si="25"/>
        <v>E2_7_7_8</v>
      </c>
      <c r="E156" s="39" t="str">
        <f t="shared" si="26"/>
        <v>E2_7_7_8_kcat : 13.7</v>
      </c>
      <c r="F156" s="41" t="str">
        <f t="shared" si="27"/>
        <v>E2_7_7_8_km : 1</v>
      </c>
      <c r="G156" s="34" t="str">
        <f t="shared" si="28"/>
        <v>E2_7_7_8_mRNA : E2_7_7_8_mRNA</v>
      </c>
      <c r="H156" s="35" t="str">
        <f t="shared" si="29"/>
        <v>E2_7_7_8 : E2_7_7_8</v>
      </c>
      <c r="I156" s="36" t="str">
        <f t="shared" si="30"/>
        <v>E2_7_7_8_mRNA : 0</v>
      </c>
      <c r="J156" s="19" t="str">
        <f t="shared" si="31"/>
        <v>E2_7_7_8 : 0</v>
      </c>
      <c r="K156" s="37" t="str">
        <f t="shared" si="32"/>
        <v>0.00292 - (0.0093 * E2_7_7_8_mRNA)</v>
      </c>
      <c r="L156" s="34" t="str">
        <f t="shared" si="33"/>
        <v>(0.278 * E2_7_7_8_mRNA) - (0.00000278 * E2_7_7_8)</v>
      </c>
      <c r="M156" s="38" t="str">
        <f t="shared" si="34"/>
        <v>mRNA155: -&gt; E2_7_7_8_mRNA | 0.00292 - (0.0093 * E2_7_7_8_mRNA)</v>
      </c>
      <c r="N156" s="39" t="str">
        <f t="shared" si="35"/>
        <v>Peptide155: E2_7_7_8_mRNA -&gt; E2_7_7_8 | (0.278 * E2_7_7_8_mRNA) - (0.000000278 * E2_7_7_8)</v>
      </c>
    </row>
    <row r="157" spans="1:14" x14ac:dyDescent="0.45">
      <c r="A157">
        <v>156</v>
      </c>
      <c r="B157" t="s">
        <v>1721</v>
      </c>
      <c r="C157" t="str">
        <f t="shared" si="24"/>
        <v>E2_7_7_85_mRNA</v>
      </c>
      <c r="D157" t="str">
        <f t="shared" si="25"/>
        <v>E2_7_7_85</v>
      </c>
      <c r="E157" s="39" t="str">
        <f t="shared" si="26"/>
        <v>E2_7_7_85_kcat : 13.7</v>
      </c>
      <c r="F157" s="41" t="str">
        <f t="shared" si="27"/>
        <v>E2_7_7_85_km : 1</v>
      </c>
      <c r="G157" s="34" t="str">
        <f t="shared" si="28"/>
        <v>E2_7_7_85_mRNA : E2_7_7_85_mRNA</v>
      </c>
      <c r="H157" s="35" t="str">
        <f t="shared" si="29"/>
        <v>E2_7_7_85 : E2_7_7_85</v>
      </c>
      <c r="I157" s="36" t="str">
        <f t="shared" si="30"/>
        <v>E2_7_7_85_mRNA : 0</v>
      </c>
      <c r="J157" s="19" t="str">
        <f t="shared" si="31"/>
        <v>E2_7_7_85 : 0</v>
      </c>
      <c r="K157" s="37" t="str">
        <f t="shared" si="32"/>
        <v>0.00292 - (0.0093 * E2_7_7_85_mRNA)</v>
      </c>
      <c r="L157" s="34" t="str">
        <f t="shared" si="33"/>
        <v>(0.278 * E2_7_7_85_mRNA) - (0.00000278 * E2_7_7_85)</v>
      </c>
      <c r="M157" s="38" t="str">
        <f t="shared" si="34"/>
        <v>mRNA156: -&gt; E2_7_7_85_mRNA | 0.00292 - (0.0093 * E2_7_7_85_mRNA)</v>
      </c>
      <c r="N157" s="39" t="str">
        <f t="shared" si="35"/>
        <v>Peptide156: E2_7_7_85_mRNA -&gt; E2_7_7_85 | (0.278 * E2_7_7_85_mRNA) - (0.000000278 * E2_7_7_85)</v>
      </c>
    </row>
    <row r="158" spans="1:14" x14ac:dyDescent="0.45">
      <c r="A158">
        <v>157</v>
      </c>
      <c r="B158" t="s">
        <v>1848</v>
      </c>
      <c r="C158" t="str">
        <f t="shared" si="24"/>
        <v>E2_7_7_87_mRNA</v>
      </c>
      <c r="D158" t="str">
        <f t="shared" si="25"/>
        <v>E2_7_7_87</v>
      </c>
      <c r="E158" s="39" t="str">
        <f t="shared" si="26"/>
        <v>E2_7_7_87_kcat : 13.7</v>
      </c>
      <c r="F158" s="41" t="str">
        <f t="shared" si="27"/>
        <v>E2_7_7_87_km : 1</v>
      </c>
      <c r="G158" s="34" t="str">
        <f t="shared" si="28"/>
        <v>E2_7_7_87_mRNA : E2_7_7_87_mRNA</v>
      </c>
      <c r="H158" s="35" t="str">
        <f t="shared" si="29"/>
        <v>E2_7_7_87 : E2_7_7_87</v>
      </c>
      <c r="I158" s="36" t="str">
        <f t="shared" si="30"/>
        <v>E2_7_7_87_mRNA : 0</v>
      </c>
      <c r="J158" s="19" t="str">
        <f t="shared" si="31"/>
        <v>E2_7_7_87 : 0</v>
      </c>
      <c r="K158" s="37" t="str">
        <f t="shared" si="32"/>
        <v>0.00292 - (0.0093 * E2_7_7_87_mRNA)</v>
      </c>
      <c r="L158" s="34" t="str">
        <f t="shared" si="33"/>
        <v>(0.278 * E2_7_7_87_mRNA) - (0.00000278 * E2_7_7_87)</v>
      </c>
      <c r="M158" s="38" t="str">
        <f t="shared" si="34"/>
        <v>mRNA157: -&gt; E2_7_7_87_mRNA | 0.00292 - (0.0093 * E2_7_7_87_mRNA)</v>
      </c>
      <c r="N158" s="39" t="str">
        <f t="shared" si="35"/>
        <v>Peptide157: E2_7_7_87_mRNA -&gt; E2_7_7_87 | (0.278 * E2_7_7_87_mRNA) - (0.000000278 * E2_7_7_87)</v>
      </c>
    </row>
    <row r="159" spans="1:14" x14ac:dyDescent="0.45">
      <c r="A159">
        <v>158</v>
      </c>
      <c r="B159" t="s">
        <v>1822</v>
      </c>
      <c r="C159" t="str">
        <f t="shared" si="24"/>
        <v>E2_7_7_9_mRNA</v>
      </c>
      <c r="D159" t="str">
        <f t="shared" si="25"/>
        <v>E2_7_7_9</v>
      </c>
      <c r="E159" s="39" t="str">
        <f t="shared" si="26"/>
        <v>E2_7_7_9_kcat : 13.7</v>
      </c>
      <c r="F159" s="41" t="str">
        <f t="shared" si="27"/>
        <v>E2_7_7_9_km : 1</v>
      </c>
      <c r="G159" s="34" t="str">
        <f t="shared" si="28"/>
        <v>E2_7_7_9_mRNA : E2_7_7_9_mRNA</v>
      </c>
      <c r="H159" s="35" t="str">
        <f t="shared" si="29"/>
        <v>E2_7_7_9 : E2_7_7_9</v>
      </c>
      <c r="I159" s="36" t="str">
        <f t="shared" si="30"/>
        <v>E2_7_7_9_mRNA : 0</v>
      </c>
      <c r="J159" s="19" t="str">
        <f t="shared" si="31"/>
        <v>E2_7_7_9 : 0</v>
      </c>
      <c r="K159" s="37" t="str">
        <f t="shared" si="32"/>
        <v>0.00292 - (0.0093 * E2_7_7_9_mRNA)</v>
      </c>
      <c r="L159" s="34" t="str">
        <f t="shared" si="33"/>
        <v>(0.278 * E2_7_7_9_mRNA) - (0.00000278 * E2_7_7_9)</v>
      </c>
      <c r="M159" s="38" t="str">
        <f t="shared" si="34"/>
        <v>mRNA158: -&gt; E2_7_7_9_mRNA | 0.00292 - (0.0093 * E2_7_7_9_mRNA)</v>
      </c>
      <c r="N159" s="39" t="str">
        <f t="shared" si="35"/>
        <v>Peptide158: E2_7_7_9_mRNA -&gt; E2_7_7_9 | (0.278 * E2_7_7_9_mRNA) - (0.000000278 * E2_7_7_9)</v>
      </c>
    </row>
    <row r="160" spans="1:14" x14ac:dyDescent="0.45">
      <c r="A160">
        <v>159</v>
      </c>
      <c r="B160" t="s">
        <v>1893</v>
      </c>
      <c r="C160" t="str">
        <f t="shared" si="24"/>
        <v>E2_7_8_13_mRNA</v>
      </c>
      <c r="D160" t="str">
        <f t="shared" si="25"/>
        <v>E2_7_8_13</v>
      </c>
      <c r="E160" s="39" t="str">
        <f t="shared" si="26"/>
        <v>E2_7_8_13_kcat : 13.7</v>
      </c>
      <c r="F160" s="41" t="str">
        <f t="shared" si="27"/>
        <v>E2_7_8_13_km : 1</v>
      </c>
      <c r="G160" s="34" t="str">
        <f t="shared" si="28"/>
        <v>E2_7_8_13_mRNA : E2_7_8_13_mRNA</v>
      </c>
      <c r="H160" s="35" t="str">
        <f t="shared" si="29"/>
        <v>E2_7_8_13 : E2_7_8_13</v>
      </c>
      <c r="I160" s="36" t="str">
        <f t="shared" si="30"/>
        <v>E2_7_8_13_mRNA : 0</v>
      </c>
      <c r="J160" s="19" t="str">
        <f t="shared" si="31"/>
        <v>E2_7_8_13 : 0</v>
      </c>
      <c r="K160" s="37" t="str">
        <f t="shared" si="32"/>
        <v>0.00292 - (0.0093 * E2_7_8_13_mRNA)</v>
      </c>
      <c r="L160" s="34" t="str">
        <f t="shared" si="33"/>
        <v>(0.278 * E2_7_8_13_mRNA) - (0.00000278 * E2_7_8_13)</v>
      </c>
      <c r="M160" s="38" t="str">
        <f t="shared" si="34"/>
        <v>mRNA159: -&gt; E2_7_8_13_mRNA | 0.00292 - (0.0093 * E2_7_8_13_mRNA)</v>
      </c>
      <c r="N160" s="39" t="str">
        <f t="shared" si="35"/>
        <v>Peptide159: E2_7_8_13_mRNA -&gt; E2_7_8_13 | (0.278 * E2_7_8_13_mRNA) - (0.000000278 * E2_7_8_13)</v>
      </c>
    </row>
    <row r="161" spans="1:14" x14ac:dyDescent="0.45">
      <c r="A161">
        <v>160</v>
      </c>
      <c r="B161" t="s">
        <v>1856</v>
      </c>
      <c r="C161" t="str">
        <f t="shared" si="24"/>
        <v>E2_7_8_5_mRNA</v>
      </c>
      <c r="D161" t="str">
        <f t="shared" si="25"/>
        <v>E2_7_8_5</v>
      </c>
      <c r="E161" s="39" t="str">
        <f t="shared" si="26"/>
        <v>E2_7_8_5_kcat : 13.7</v>
      </c>
      <c r="F161" s="41" t="str">
        <f t="shared" si="27"/>
        <v>E2_7_8_5_km : 1</v>
      </c>
      <c r="G161" s="34" t="str">
        <f t="shared" si="28"/>
        <v>E2_7_8_5_mRNA : E2_7_8_5_mRNA</v>
      </c>
      <c r="H161" s="35" t="str">
        <f t="shared" si="29"/>
        <v>E2_7_8_5 : E2_7_8_5</v>
      </c>
      <c r="I161" s="36" t="str">
        <f t="shared" si="30"/>
        <v>E2_7_8_5_mRNA : 0</v>
      </c>
      <c r="J161" s="19" t="str">
        <f t="shared" si="31"/>
        <v>E2_7_8_5 : 0</v>
      </c>
      <c r="K161" s="37" t="str">
        <f t="shared" si="32"/>
        <v>0.00292 - (0.0093 * E2_7_8_5_mRNA)</v>
      </c>
      <c r="L161" s="34" t="str">
        <f t="shared" si="33"/>
        <v>(0.278 * E2_7_8_5_mRNA) - (0.00000278 * E2_7_8_5)</v>
      </c>
      <c r="M161" s="38" t="str">
        <f t="shared" si="34"/>
        <v>mRNA160: -&gt; E2_7_8_5_mRNA | 0.00292 - (0.0093 * E2_7_8_5_mRNA)</v>
      </c>
      <c r="N161" s="39" t="str">
        <f t="shared" si="35"/>
        <v>Peptide160: E2_7_8_5_mRNA -&gt; E2_7_8_5 | (0.278 * E2_7_8_5_mRNA) - (0.000000278 * E2_7_8_5)</v>
      </c>
    </row>
    <row r="162" spans="1:14" x14ac:dyDescent="0.45">
      <c r="A162">
        <v>161</v>
      </c>
      <c r="B162" t="s">
        <v>1792</v>
      </c>
      <c r="C162" t="str">
        <f t="shared" si="24"/>
        <v>E2_7_8_7_mRNA</v>
      </c>
      <c r="D162" t="str">
        <f t="shared" si="25"/>
        <v>E2_7_8_7</v>
      </c>
      <c r="E162" s="39" t="str">
        <f t="shared" si="26"/>
        <v>E2_7_8_7_kcat : 13.7</v>
      </c>
      <c r="F162" s="41" t="str">
        <f t="shared" si="27"/>
        <v>E2_7_8_7_km : 1</v>
      </c>
      <c r="G162" s="34" t="str">
        <f t="shared" si="28"/>
        <v>E2_7_8_7_mRNA : E2_7_8_7_mRNA</v>
      </c>
      <c r="H162" s="35" t="str">
        <f t="shared" si="29"/>
        <v>E2_7_8_7 : E2_7_8_7</v>
      </c>
      <c r="I162" s="36" t="str">
        <f t="shared" si="30"/>
        <v>E2_7_8_7_mRNA : 0</v>
      </c>
      <c r="J162" s="19" t="str">
        <f t="shared" si="31"/>
        <v>E2_7_8_7 : 0</v>
      </c>
      <c r="K162" s="37" t="str">
        <f t="shared" si="32"/>
        <v>0.00292 - (0.0093 * E2_7_8_7_mRNA)</v>
      </c>
      <c r="L162" s="34" t="str">
        <f t="shared" si="33"/>
        <v>(0.278 * E2_7_8_7_mRNA) - (0.00000278 * E2_7_8_7)</v>
      </c>
      <c r="M162" s="38" t="str">
        <f t="shared" si="34"/>
        <v>mRNA161: -&gt; E2_7_8_7_mRNA | 0.00292 - (0.0093 * E2_7_8_7_mRNA)</v>
      </c>
      <c r="N162" s="39" t="str">
        <f t="shared" si="35"/>
        <v>Peptide161: E2_7_8_7_mRNA -&gt; E2_7_8_7 | (0.278 * E2_7_8_7_mRNA) - (0.000000278 * E2_7_8_7)</v>
      </c>
    </row>
    <row r="163" spans="1:14" x14ac:dyDescent="0.45">
      <c r="A163">
        <v>162</v>
      </c>
      <c r="B163" t="s">
        <v>1869</v>
      </c>
      <c r="C163" t="str">
        <f t="shared" si="24"/>
        <v>E2_8_1_13_mRNA</v>
      </c>
      <c r="D163" t="str">
        <f t="shared" si="25"/>
        <v>E2_8_1_13</v>
      </c>
      <c r="E163" s="39" t="str">
        <f t="shared" si="26"/>
        <v>E2_8_1_13_kcat : 13.7</v>
      </c>
      <c r="F163" s="41" t="str">
        <f t="shared" si="27"/>
        <v>E2_8_1_13_km : 1</v>
      </c>
      <c r="G163" s="34" t="str">
        <f t="shared" si="28"/>
        <v>E2_8_1_13_mRNA : E2_8_1_13_mRNA</v>
      </c>
      <c r="H163" s="35" t="str">
        <f t="shared" si="29"/>
        <v>E2_8_1_13 : E2_8_1_13</v>
      </c>
      <c r="I163" s="36" t="str">
        <f t="shared" si="30"/>
        <v>E2_8_1_13_mRNA : 0</v>
      </c>
      <c r="J163" s="19" t="str">
        <f t="shared" si="31"/>
        <v>E2_8_1_13 : 0</v>
      </c>
      <c r="K163" s="37" t="str">
        <f t="shared" si="32"/>
        <v>0.00292 - (0.0093 * E2_8_1_13_mRNA)</v>
      </c>
      <c r="L163" s="34" t="str">
        <f t="shared" si="33"/>
        <v>(0.278 * E2_8_1_13_mRNA) - (0.00000278 * E2_8_1_13)</v>
      </c>
      <c r="M163" s="38" t="str">
        <f t="shared" si="34"/>
        <v>mRNA162: -&gt; E2_8_1_13_mRNA | 0.00292 - (0.0093 * E2_8_1_13_mRNA)</v>
      </c>
      <c r="N163" s="39" t="str">
        <f t="shared" si="35"/>
        <v>Peptide162: E2_8_1_13_mRNA -&gt; E2_8_1_13 | (0.278 * E2_8_1_13_mRNA) - (0.000000278 * E2_8_1_13)</v>
      </c>
    </row>
    <row r="164" spans="1:14" x14ac:dyDescent="0.45">
      <c r="A164">
        <v>163</v>
      </c>
      <c r="B164" t="s">
        <v>1830</v>
      </c>
      <c r="C164" t="str">
        <f t="shared" si="24"/>
        <v>E2_8_1_4_mRNA</v>
      </c>
      <c r="D164" t="str">
        <f t="shared" si="25"/>
        <v>E2_8_1_4</v>
      </c>
      <c r="E164" s="39" t="str">
        <f t="shared" si="26"/>
        <v>E2_8_1_4_kcat : 13.7</v>
      </c>
      <c r="F164" s="41" t="str">
        <f t="shared" si="27"/>
        <v>E2_8_1_4_km : 1</v>
      </c>
      <c r="G164" s="34" t="str">
        <f t="shared" si="28"/>
        <v>E2_8_1_4_mRNA : E2_8_1_4_mRNA</v>
      </c>
      <c r="H164" s="35" t="str">
        <f t="shared" si="29"/>
        <v>E2_8_1_4 : E2_8_1_4</v>
      </c>
      <c r="I164" s="36" t="str">
        <f t="shared" si="30"/>
        <v>E2_8_1_4_mRNA : 0</v>
      </c>
      <c r="J164" s="19" t="str">
        <f t="shared" si="31"/>
        <v>E2_8_1_4 : 0</v>
      </c>
      <c r="K164" s="37" t="str">
        <f t="shared" si="32"/>
        <v>0.00292 - (0.0093 * E2_8_1_4_mRNA)</v>
      </c>
      <c r="L164" s="34" t="str">
        <f t="shared" si="33"/>
        <v>(0.278 * E2_8_1_4_mRNA) - (0.00000278 * E2_8_1_4)</v>
      </c>
      <c r="M164" s="38" t="str">
        <f t="shared" si="34"/>
        <v>mRNA163: -&gt; E2_8_1_4_mRNA | 0.00292 - (0.0093 * E2_8_1_4_mRNA)</v>
      </c>
      <c r="N164" s="39" t="str">
        <f t="shared" si="35"/>
        <v>Peptide163: E2_8_1_4_mRNA -&gt; E2_8_1_4 | (0.278 * E2_8_1_4_mRNA) - (0.000000278 * E2_8_1_4)</v>
      </c>
    </row>
    <row r="165" spans="1:14" x14ac:dyDescent="0.45">
      <c r="A165">
        <v>164</v>
      </c>
      <c r="B165" t="s">
        <v>10370</v>
      </c>
      <c r="C165" t="str">
        <f t="shared" si="24"/>
        <v>E2_8_1_7_mRNA</v>
      </c>
      <c r="D165" t="str">
        <f t="shared" si="25"/>
        <v>E2_8_1_7</v>
      </c>
      <c r="E165" s="39" t="str">
        <f t="shared" si="26"/>
        <v>E2_8_1_7_kcat : 13.7</v>
      </c>
      <c r="F165" s="41" t="str">
        <f t="shared" si="27"/>
        <v>E2_8_1_7_km : 1</v>
      </c>
      <c r="G165" s="34" t="str">
        <f t="shared" si="28"/>
        <v>E2_8_1_7_mRNA : E2_8_1_7_mRNA</v>
      </c>
      <c r="H165" s="35" t="str">
        <f t="shared" si="29"/>
        <v>E2_8_1_7 : E2_8_1_7</v>
      </c>
      <c r="I165" s="36" t="str">
        <f t="shared" si="30"/>
        <v>E2_8_1_7_mRNA : 0</v>
      </c>
      <c r="J165" s="19" t="str">
        <f t="shared" si="31"/>
        <v>E2_8_1_7 : 0</v>
      </c>
      <c r="K165" s="37" t="str">
        <f t="shared" si="32"/>
        <v>0.00292 - (0.0093 * E2_8_1_7_mRNA)</v>
      </c>
      <c r="L165" s="34" t="str">
        <f t="shared" si="33"/>
        <v>(0.278 * E2_8_1_7_mRNA) - (0.00000278 * E2_8_1_7)</v>
      </c>
      <c r="M165" s="38" t="str">
        <f t="shared" si="34"/>
        <v>mRNA164: -&gt; E2_8_1_7_mRNA | 0.00292 - (0.0093 * E2_8_1_7_mRNA)</v>
      </c>
      <c r="N165" s="39" t="str">
        <f t="shared" si="35"/>
        <v>Peptide164: E2_8_1_7_mRNA -&gt; E2_8_1_7 | (0.278 * E2_8_1_7_mRNA) - (0.000000278 * E2_8_1_7)</v>
      </c>
    </row>
    <row r="166" spans="1:14" x14ac:dyDescent="0.45">
      <c r="A166">
        <v>165</v>
      </c>
      <c r="B166" t="s">
        <v>1807</v>
      </c>
      <c r="C166" t="str">
        <f t="shared" si="24"/>
        <v>E2_8_3_10_mRNA</v>
      </c>
      <c r="D166" t="str">
        <f t="shared" si="25"/>
        <v>E2_8_3_10</v>
      </c>
      <c r="E166" s="39" t="str">
        <f t="shared" si="26"/>
        <v>E2_8_3_10_kcat : 13.7</v>
      </c>
      <c r="F166" s="41" t="str">
        <f t="shared" si="27"/>
        <v>E2_8_3_10_km : 1</v>
      </c>
      <c r="G166" s="34" t="str">
        <f t="shared" si="28"/>
        <v>E2_8_3_10_mRNA : E2_8_3_10_mRNA</v>
      </c>
      <c r="H166" s="35" t="str">
        <f t="shared" si="29"/>
        <v>E2_8_3_10 : E2_8_3_10</v>
      </c>
      <c r="I166" s="36" t="str">
        <f t="shared" si="30"/>
        <v>E2_8_3_10_mRNA : 0</v>
      </c>
      <c r="J166" s="19" t="str">
        <f t="shared" si="31"/>
        <v>E2_8_3_10 : 0</v>
      </c>
      <c r="K166" s="37" t="str">
        <f t="shared" si="32"/>
        <v>0.00292 - (0.0093 * E2_8_3_10_mRNA)</v>
      </c>
      <c r="L166" s="34" t="str">
        <f t="shared" si="33"/>
        <v>(0.278 * E2_8_3_10_mRNA) - (0.00000278 * E2_8_3_10)</v>
      </c>
      <c r="M166" s="38" t="str">
        <f t="shared" si="34"/>
        <v>mRNA165: -&gt; E2_8_3_10_mRNA | 0.00292 - (0.0093 * E2_8_3_10_mRNA)</v>
      </c>
      <c r="N166" s="39" t="str">
        <f t="shared" si="35"/>
        <v>Peptide165: E2_8_3_10_mRNA -&gt; E2_8_3_10 | (0.278 * E2_8_3_10_mRNA) - (0.000000278 * E2_8_3_10)</v>
      </c>
    </row>
    <row r="167" spans="1:14" x14ac:dyDescent="0.45">
      <c r="A167">
        <v>166</v>
      </c>
      <c r="B167" t="s">
        <v>1890</v>
      </c>
      <c r="C167" t="str">
        <f t="shared" si="24"/>
        <v>E3_1_1_29_mRNA</v>
      </c>
      <c r="D167" t="str">
        <f t="shared" si="25"/>
        <v>E3_1_1_29</v>
      </c>
      <c r="E167" s="39" t="str">
        <f t="shared" si="26"/>
        <v>E3_1_1_29_kcat : 13.7</v>
      </c>
      <c r="F167" s="41" t="str">
        <f t="shared" si="27"/>
        <v>E3_1_1_29_km : 1</v>
      </c>
      <c r="G167" s="34" t="str">
        <f t="shared" si="28"/>
        <v>E3_1_1_29_mRNA : E3_1_1_29_mRNA</v>
      </c>
      <c r="H167" s="35" t="str">
        <f t="shared" si="29"/>
        <v>E3_1_1_29 : E3_1_1_29</v>
      </c>
      <c r="I167" s="36" t="str">
        <f t="shared" si="30"/>
        <v>E3_1_1_29_mRNA : 0</v>
      </c>
      <c r="J167" s="19" t="str">
        <f t="shared" si="31"/>
        <v>E3_1_1_29 : 0</v>
      </c>
      <c r="K167" s="37" t="str">
        <f t="shared" si="32"/>
        <v>0.00292 - (0.0093 * E3_1_1_29_mRNA)</v>
      </c>
      <c r="L167" s="34" t="str">
        <f t="shared" si="33"/>
        <v>(0.278 * E3_1_1_29_mRNA) - (0.00000278 * E3_1_1_29)</v>
      </c>
      <c r="M167" s="38" t="str">
        <f t="shared" si="34"/>
        <v>mRNA166: -&gt; E3_1_1_29_mRNA | 0.00292 - (0.0093 * E3_1_1_29_mRNA)</v>
      </c>
      <c r="N167" s="39" t="str">
        <f t="shared" si="35"/>
        <v>Peptide166: E3_1_1_29_mRNA -&gt; E3_1_1_29 | (0.278 * E3_1_1_29_mRNA) - (0.000000278 * E3_1_1_29)</v>
      </c>
    </row>
    <row r="168" spans="1:14" x14ac:dyDescent="0.45">
      <c r="A168">
        <v>167</v>
      </c>
      <c r="B168" t="s">
        <v>1720</v>
      </c>
      <c r="C168" t="str">
        <f t="shared" si="24"/>
        <v>E3_1_1_96_mRNA</v>
      </c>
      <c r="D168" t="str">
        <f t="shared" si="25"/>
        <v>E3_1_1_96</v>
      </c>
      <c r="E168" s="39" t="str">
        <f t="shared" si="26"/>
        <v>E3_1_1_96_kcat : 13.7</v>
      </c>
      <c r="F168" s="41" t="str">
        <f t="shared" si="27"/>
        <v>E3_1_1_96_km : 1</v>
      </c>
      <c r="G168" s="34" t="str">
        <f t="shared" si="28"/>
        <v>E3_1_1_96_mRNA : E3_1_1_96_mRNA</v>
      </c>
      <c r="H168" s="35" t="str">
        <f t="shared" si="29"/>
        <v>E3_1_1_96 : E3_1_1_96</v>
      </c>
      <c r="I168" s="36" t="str">
        <f t="shared" si="30"/>
        <v>E3_1_1_96_mRNA : 0</v>
      </c>
      <c r="J168" s="19" t="str">
        <f t="shared" si="31"/>
        <v>E3_1_1_96 : 0</v>
      </c>
      <c r="K168" s="37" t="str">
        <f t="shared" si="32"/>
        <v>0.00292 - (0.0093 * E3_1_1_96_mRNA)</v>
      </c>
      <c r="L168" s="34" t="str">
        <f t="shared" si="33"/>
        <v>(0.278 * E3_1_1_96_mRNA) - (0.00000278 * E3_1_1_96)</v>
      </c>
      <c r="M168" s="38" t="str">
        <f t="shared" si="34"/>
        <v>mRNA167: -&gt; E3_1_1_96_mRNA | 0.00292 - (0.0093 * E3_1_1_96_mRNA)</v>
      </c>
      <c r="N168" s="39" t="str">
        <f t="shared" si="35"/>
        <v>Peptide167: E3_1_1_96_mRNA -&gt; E3_1_1_96 | (0.278 * E3_1_1_96_mRNA) - (0.000000278 * E3_1_1_96)</v>
      </c>
    </row>
    <row r="169" spans="1:14" x14ac:dyDescent="0.45">
      <c r="A169">
        <v>168</v>
      </c>
      <c r="B169" t="s">
        <v>10371</v>
      </c>
      <c r="C169" t="str">
        <f t="shared" si="24"/>
        <v>E3_1_11_2_mRNA</v>
      </c>
      <c r="D169" t="str">
        <f t="shared" si="25"/>
        <v>E3_1_11_2</v>
      </c>
      <c r="E169" s="39" t="str">
        <f t="shared" si="26"/>
        <v>E3_1_11_2_kcat : 13.7</v>
      </c>
      <c r="F169" s="41" t="str">
        <f t="shared" si="27"/>
        <v>E3_1_11_2_km : 1</v>
      </c>
      <c r="G169" s="34" t="str">
        <f t="shared" si="28"/>
        <v>E3_1_11_2_mRNA : E3_1_11_2_mRNA</v>
      </c>
      <c r="H169" s="35" t="str">
        <f t="shared" si="29"/>
        <v>E3_1_11_2 : E3_1_11_2</v>
      </c>
      <c r="I169" s="36" t="str">
        <f t="shared" si="30"/>
        <v>E3_1_11_2_mRNA : 0</v>
      </c>
      <c r="J169" s="19" t="str">
        <f t="shared" si="31"/>
        <v>E3_1_11_2 : 0</v>
      </c>
      <c r="K169" s="37" t="str">
        <f t="shared" si="32"/>
        <v>0.00292 - (0.0093 * E3_1_11_2_mRNA)</v>
      </c>
      <c r="L169" s="34" t="str">
        <f t="shared" si="33"/>
        <v>(0.278 * E3_1_11_2_mRNA) - (0.00000278 * E3_1_11_2)</v>
      </c>
      <c r="M169" s="38" t="str">
        <f t="shared" si="34"/>
        <v>mRNA168: -&gt; E3_1_11_2_mRNA | 0.00292 - (0.0093 * E3_1_11_2_mRNA)</v>
      </c>
      <c r="N169" s="39" t="str">
        <f t="shared" si="35"/>
        <v>Peptide168: E3_1_11_2_mRNA -&gt; E3_1_11_2 | (0.278 * E3_1_11_2_mRNA) - (0.000000278 * E3_1_11_2)</v>
      </c>
    </row>
    <row r="170" spans="1:14" x14ac:dyDescent="0.45">
      <c r="A170">
        <v>169</v>
      </c>
      <c r="B170" t="s">
        <v>10372</v>
      </c>
      <c r="C170" t="str">
        <f t="shared" si="24"/>
        <v>E3_1_11_6_mRNA</v>
      </c>
      <c r="D170" t="str">
        <f t="shared" si="25"/>
        <v>E3_1_11_6</v>
      </c>
      <c r="E170" s="39" t="str">
        <f t="shared" si="26"/>
        <v>E3_1_11_6_kcat : 13.7</v>
      </c>
      <c r="F170" s="41" t="str">
        <f t="shared" si="27"/>
        <v>E3_1_11_6_km : 1</v>
      </c>
      <c r="G170" s="34" t="str">
        <f t="shared" si="28"/>
        <v>E3_1_11_6_mRNA : E3_1_11_6_mRNA</v>
      </c>
      <c r="H170" s="35" t="str">
        <f t="shared" si="29"/>
        <v>E3_1_11_6 : E3_1_11_6</v>
      </c>
      <c r="I170" s="36" t="str">
        <f t="shared" si="30"/>
        <v>E3_1_11_6_mRNA : 0</v>
      </c>
      <c r="J170" s="19" t="str">
        <f t="shared" si="31"/>
        <v>E3_1_11_6 : 0</v>
      </c>
      <c r="K170" s="37" t="str">
        <f t="shared" si="32"/>
        <v>0.00292 - (0.0093 * E3_1_11_6_mRNA)</v>
      </c>
      <c r="L170" s="34" t="str">
        <f t="shared" si="33"/>
        <v>(0.278 * E3_1_11_6_mRNA) - (0.00000278 * E3_1_11_6)</v>
      </c>
      <c r="M170" s="38" t="str">
        <f t="shared" si="34"/>
        <v>mRNA169: -&gt; E3_1_11_6_mRNA | 0.00292 - (0.0093 * E3_1_11_6_mRNA)</v>
      </c>
      <c r="N170" s="39" t="str">
        <f t="shared" si="35"/>
        <v>Peptide169: E3_1_11_6_mRNA -&gt; E3_1_11_6 | (0.278 * E3_1_11_6_mRNA) - (0.000000278 * E3_1_11_6)</v>
      </c>
    </row>
    <row r="171" spans="1:14" x14ac:dyDescent="0.45">
      <c r="A171">
        <v>170</v>
      </c>
      <c r="B171" t="s">
        <v>10373</v>
      </c>
      <c r="C171" t="str">
        <f t="shared" si="24"/>
        <v>E3_1_13_1_mRNA</v>
      </c>
      <c r="D171" t="str">
        <f t="shared" si="25"/>
        <v>E3_1_13_1</v>
      </c>
      <c r="E171" s="39" t="str">
        <f t="shared" si="26"/>
        <v>E3_1_13_1_kcat : 13.7</v>
      </c>
      <c r="F171" s="41" t="str">
        <f t="shared" si="27"/>
        <v>E3_1_13_1_km : 1</v>
      </c>
      <c r="G171" s="34" t="str">
        <f t="shared" si="28"/>
        <v>E3_1_13_1_mRNA : E3_1_13_1_mRNA</v>
      </c>
      <c r="H171" s="35" t="str">
        <f t="shared" si="29"/>
        <v>E3_1_13_1 : E3_1_13_1</v>
      </c>
      <c r="I171" s="36" t="str">
        <f t="shared" si="30"/>
        <v>E3_1_13_1_mRNA : 0</v>
      </c>
      <c r="J171" s="19" t="str">
        <f t="shared" si="31"/>
        <v>E3_1_13_1 : 0</v>
      </c>
      <c r="K171" s="37" t="str">
        <f t="shared" si="32"/>
        <v>0.00292 - (0.0093 * E3_1_13_1_mRNA)</v>
      </c>
      <c r="L171" s="34" t="str">
        <f t="shared" si="33"/>
        <v>(0.278 * E3_1_13_1_mRNA) - (0.00000278 * E3_1_13_1)</v>
      </c>
      <c r="M171" s="38" t="str">
        <f t="shared" si="34"/>
        <v>mRNA170: -&gt; E3_1_13_1_mRNA | 0.00292 - (0.0093 * E3_1_13_1_mRNA)</v>
      </c>
      <c r="N171" s="39" t="str">
        <f t="shared" si="35"/>
        <v>Peptide170: E3_1_13_1_mRNA -&gt; E3_1_13_1 | (0.278 * E3_1_13_1_mRNA) - (0.000000278 * E3_1_13_1)</v>
      </c>
    </row>
    <row r="172" spans="1:14" x14ac:dyDescent="0.45">
      <c r="A172">
        <v>171</v>
      </c>
      <c r="B172" t="s">
        <v>10374</v>
      </c>
      <c r="C172" t="str">
        <f t="shared" si="24"/>
        <v>E3_1_21_10_mRNA</v>
      </c>
      <c r="D172" t="str">
        <f t="shared" si="25"/>
        <v>E3_1_21_10</v>
      </c>
      <c r="E172" s="39" t="str">
        <f t="shared" si="26"/>
        <v>E3_1_21_10_kcat : 13.7</v>
      </c>
      <c r="F172" s="41" t="str">
        <f t="shared" si="27"/>
        <v>E3_1_21_10_km : 1</v>
      </c>
      <c r="G172" s="34" t="str">
        <f t="shared" si="28"/>
        <v>E3_1_21_10_mRNA : E3_1_21_10_mRNA</v>
      </c>
      <c r="H172" s="35" t="str">
        <f t="shared" si="29"/>
        <v>E3_1_21_10 : E3_1_21_10</v>
      </c>
      <c r="I172" s="36" t="str">
        <f t="shared" si="30"/>
        <v>E3_1_21_10_mRNA : 0</v>
      </c>
      <c r="J172" s="19" t="str">
        <f t="shared" si="31"/>
        <v>E3_1_21_10 : 0</v>
      </c>
      <c r="K172" s="37" t="str">
        <f t="shared" si="32"/>
        <v>0.00292 - (0.0093 * E3_1_21_10_mRNA)</v>
      </c>
      <c r="L172" s="34" t="str">
        <f t="shared" si="33"/>
        <v>(0.278 * E3_1_21_10_mRNA) - (0.00000278 * E3_1_21_10)</v>
      </c>
      <c r="M172" s="38" t="str">
        <f t="shared" si="34"/>
        <v>mRNA171: -&gt; E3_1_21_10_mRNA | 0.00292 - (0.0093 * E3_1_21_10_mRNA)</v>
      </c>
      <c r="N172" s="39" t="str">
        <f t="shared" si="35"/>
        <v>Peptide171: E3_1_21_10_mRNA -&gt; E3_1_21_10 | (0.278 * E3_1_21_10_mRNA) - (0.000000278 * E3_1_21_10)</v>
      </c>
    </row>
    <row r="173" spans="1:14" x14ac:dyDescent="0.45">
      <c r="A173">
        <v>172</v>
      </c>
      <c r="B173" t="s">
        <v>10375</v>
      </c>
      <c r="C173" t="str">
        <f t="shared" si="24"/>
        <v>E3_1_21_3_mRNA</v>
      </c>
      <c r="D173" t="str">
        <f t="shared" si="25"/>
        <v>E3_1_21_3</v>
      </c>
      <c r="E173" s="39" t="str">
        <f t="shared" si="26"/>
        <v>E3_1_21_3_kcat : 13.7</v>
      </c>
      <c r="F173" s="41" t="str">
        <f t="shared" si="27"/>
        <v>E3_1_21_3_km : 1</v>
      </c>
      <c r="G173" s="34" t="str">
        <f t="shared" si="28"/>
        <v>E3_1_21_3_mRNA : E3_1_21_3_mRNA</v>
      </c>
      <c r="H173" s="35" t="str">
        <f t="shared" si="29"/>
        <v>E3_1_21_3 : E3_1_21_3</v>
      </c>
      <c r="I173" s="36" t="str">
        <f t="shared" si="30"/>
        <v>E3_1_21_3_mRNA : 0</v>
      </c>
      <c r="J173" s="19" t="str">
        <f t="shared" si="31"/>
        <v>E3_1_21_3 : 0</v>
      </c>
      <c r="K173" s="37" t="str">
        <f t="shared" si="32"/>
        <v>0.00292 - (0.0093 * E3_1_21_3_mRNA)</v>
      </c>
      <c r="L173" s="34" t="str">
        <f t="shared" si="33"/>
        <v>(0.278 * E3_1_21_3_mRNA) - (0.00000278 * E3_1_21_3)</v>
      </c>
      <c r="M173" s="38" t="str">
        <f t="shared" si="34"/>
        <v>mRNA172: -&gt; E3_1_21_3_mRNA | 0.00292 - (0.0093 * E3_1_21_3_mRNA)</v>
      </c>
      <c r="N173" s="39" t="str">
        <f t="shared" si="35"/>
        <v>Peptide172: E3_1_21_3_mRNA -&gt; E3_1_21_3 | (0.278 * E3_1_21_3_mRNA) - (0.000000278 * E3_1_21_3)</v>
      </c>
    </row>
    <row r="174" spans="1:14" x14ac:dyDescent="0.45">
      <c r="A174">
        <v>173</v>
      </c>
      <c r="B174" t="s">
        <v>10376</v>
      </c>
      <c r="C174" t="str">
        <f t="shared" si="24"/>
        <v>E3_1_26_11_mRNA</v>
      </c>
      <c r="D174" t="str">
        <f t="shared" si="25"/>
        <v>E3_1_26_11</v>
      </c>
      <c r="E174" s="39" t="str">
        <f t="shared" si="26"/>
        <v>E3_1_26_11_kcat : 13.7</v>
      </c>
      <c r="F174" s="41" t="str">
        <f t="shared" si="27"/>
        <v>E3_1_26_11_km : 1</v>
      </c>
      <c r="G174" s="34" t="str">
        <f t="shared" si="28"/>
        <v>E3_1_26_11_mRNA : E3_1_26_11_mRNA</v>
      </c>
      <c r="H174" s="35" t="str">
        <f t="shared" si="29"/>
        <v>E3_1_26_11 : E3_1_26_11</v>
      </c>
      <c r="I174" s="36" t="str">
        <f t="shared" si="30"/>
        <v>E3_1_26_11_mRNA : 0</v>
      </c>
      <c r="J174" s="19" t="str">
        <f t="shared" si="31"/>
        <v>E3_1_26_11 : 0</v>
      </c>
      <c r="K174" s="37" t="str">
        <f t="shared" si="32"/>
        <v>0.00292 - (0.0093 * E3_1_26_11_mRNA)</v>
      </c>
      <c r="L174" s="34" t="str">
        <f t="shared" si="33"/>
        <v>(0.278 * E3_1_26_11_mRNA) - (0.00000278 * E3_1_26_11)</v>
      </c>
      <c r="M174" s="38" t="str">
        <f t="shared" si="34"/>
        <v>mRNA173: -&gt; E3_1_26_11_mRNA | 0.00292 - (0.0093 * E3_1_26_11_mRNA)</v>
      </c>
      <c r="N174" s="39" t="str">
        <f t="shared" si="35"/>
        <v>Peptide173: E3_1_26_11_mRNA -&gt; E3_1_26_11 | (0.278 * E3_1_26_11_mRNA) - (0.000000278 * E3_1_26_11)</v>
      </c>
    </row>
    <row r="175" spans="1:14" x14ac:dyDescent="0.45">
      <c r="A175">
        <v>174</v>
      </c>
      <c r="B175" t="s">
        <v>10377</v>
      </c>
      <c r="C175" t="str">
        <f t="shared" si="24"/>
        <v>E3_1_26_3_mRNA</v>
      </c>
      <c r="D175" t="str">
        <f t="shared" si="25"/>
        <v>E3_1_26_3</v>
      </c>
      <c r="E175" s="39" t="str">
        <f t="shared" si="26"/>
        <v>E3_1_26_3_kcat : 13.7</v>
      </c>
      <c r="F175" s="41" t="str">
        <f t="shared" si="27"/>
        <v>E3_1_26_3_km : 1</v>
      </c>
      <c r="G175" s="34" t="str">
        <f t="shared" si="28"/>
        <v>E3_1_26_3_mRNA : E3_1_26_3_mRNA</v>
      </c>
      <c r="H175" s="35" t="str">
        <f t="shared" si="29"/>
        <v>E3_1_26_3 : E3_1_26_3</v>
      </c>
      <c r="I175" s="36" t="str">
        <f t="shared" si="30"/>
        <v>E3_1_26_3_mRNA : 0</v>
      </c>
      <c r="J175" s="19" t="str">
        <f t="shared" si="31"/>
        <v>E3_1_26_3 : 0</v>
      </c>
      <c r="K175" s="37" t="str">
        <f t="shared" si="32"/>
        <v>0.00292 - (0.0093 * E3_1_26_3_mRNA)</v>
      </c>
      <c r="L175" s="34" t="str">
        <f t="shared" si="33"/>
        <v>(0.278 * E3_1_26_3_mRNA) - (0.00000278 * E3_1_26_3)</v>
      </c>
      <c r="M175" s="38" t="str">
        <f t="shared" si="34"/>
        <v>mRNA174: -&gt; E3_1_26_3_mRNA | 0.00292 - (0.0093 * E3_1_26_3_mRNA)</v>
      </c>
      <c r="N175" s="39" t="str">
        <f t="shared" si="35"/>
        <v>Peptide174: E3_1_26_3_mRNA -&gt; E3_1_26_3 | (0.278 * E3_1_26_3_mRNA) - (0.000000278 * E3_1_26_3)</v>
      </c>
    </row>
    <row r="176" spans="1:14" x14ac:dyDescent="0.45">
      <c r="A176">
        <v>175</v>
      </c>
      <c r="B176" t="s">
        <v>10378</v>
      </c>
      <c r="C176" t="str">
        <f t="shared" si="24"/>
        <v>E3_1_26_4_mRNA</v>
      </c>
      <c r="D176" t="str">
        <f t="shared" si="25"/>
        <v>E3_1_26_4</v>
      </c>
      <c r="E176" s="39" t="str">
        <f t="shared" si="26"/>
        <v>E3_1_26_4_kcat : 13.7</v>
      </c>
      <c r="F176" s="41" t="str">
        <f t="shared" si="27"/>
        <v>E3_1_26_4_km : 1</v>
      </c>
      <c r="G176" s="34" t="str">
        <f t="shared" si="28"/>
        <v>E3_1_26_4_mRNA : E3_1_26_4_mRNA</v>
      </c>
      <c r="H176" s="35" t="str">
        <f t="shared" si="29"/>
        <v>E3_1_26_4 : E3_1_26_4</v>
      </c>
      <c r="I176" s="36" t="str">
        <f t="shared" si="30"/>
        <v>E3_1_26_4_mRNA : 0</v>
      </c>
      <c r="J176" s="19" t="str">
        <f t="shared" si="31"/>
        <v>E3_1_26_4 : 0</v>
      </c>
      <c r="K176" s="37" t="str">
        <f t="shared" si="32"/>
        <v>0.00292 - (0.0093 * E3_1_26_4_mRNA)</v>
      </c>
      <c r="L176" s="34" t="str">
        <f t="shared" si="33"/>
        <v>(0.278 * E3_1_26_4_mRNA) - (0.00000278 * E3_1_26_4)</v>
      </c>
      <c r="M176" s="38" t="str">
        <f t="shared" si="34"/>
        <v>mRNA175: -&gt; E3_1_26_4_mRNA | 0.00292 - (0.0093 * E3_1_26_4_mRNA)</v>
      </c>
      <c r="N176" s="39" t="str">
        <f t="shared" si="35"/>
        <v>Peptide175: E3_1_26_4_mRNA -&gt; E3_1_26_4 | (0.278 * E3_1_26_4_mRNA) - (0.000000278 * E3_1_26_4)</v>
      </c>
    </row>
    <row r="177" spans="1:14" x14ac:dyDescent="0.45">
      <c r="A177">
        <v>176</v>
      </c>
      <c r="B177" t="s">
        <v>10379</v>
      </c>
      <c r="C177" t="str">
        <f t="shared" si="24"/>
        <v>E3_1_26_5_mRNA</v>
      </c>
      <c r="D177" t="str">
        <f t="shared" si="25"/>
        <v>E3_1_26_5</v>
      </c>
      <c r="E177" s="39" t="str">
        <f t="shared" si="26"/>
        <v>E3_1_26_5_kcat : 13.7</v>
      </c>
      <c r="F177" s="41" t="str">
        <f t="shared" si="27"/>
        <v>E3_1_26_5_km : 1</v>
      </c>
      <c r="G177" s="34" t="str">
        <f t="shared" si="28"/>
        <v>E3_1_26_5_mRNA : E3_1_26_5_mRNA</v>
      </c>
      <c r="H177" s="35" t="str">
        <f t="shared" si="29"/>
        <v>E3_1_26_5 : E3_1_26_5</v>
      </c>
      <c r="I177" s="36" t="str">
        <f t="shared" si="30"/>
        <v>E3_1_26_5_mRNA : 0</v>
      </c>
      <c r="J177" s="19" t="str">
        <f t="shared" si="31"/>
        <v>E3_1_26_5 : 0</v>
      </c>
      <c r="K177" s="37" t="str">
        <f t="shared" si="32"/>
        <v>0.00292 - (0.0093 * E3_1_26_5_mRNA)</v>
      </c>
      <c r="L177" s="34" t="str">
        <f t="shared" si="33"/>
        <v>(0.278 * E3_1_26_5_mRNA) - (0.00000278 * E3_1_26_5)</v>
      </c>
      <c r="M177" s="38" t="str">
        <f t="shared" si="34"/>
        <v>mRNA176: -&gt; E3_1_26_5_mRNA | 0.00292 - (0.0093 * E3_1_26_5_mRNA)</v>
      </c>
      <c r="N177" s="39" t="str">
        <f t="shared" si="35"/>
        <v>Peptide176: E3_1_26_5_mRNA -&gt; E3_1_26_5 | (0.278 * E3_1_26_5_mRNA) - (0.000000278 * E3_1_26_5)</v>
      </c>
    </row>
    <row r="178" spans="1:14" x14ac:dyDescent="0.45">
      <c r="A178">
        <v>177</v>
      </c>
      <c r="B178" t="s">
        <v>10380</v>
      </c>
      <c r="C178" t="str">
        <f t="shared" si="24"/>
        <v>E3_1_26_8_mRNA</v>
      </c>
      <c r="D178" t="str">
        <f t="shared" si="25"/>
        <v>E3_1_26_8</v>
      </c>
      <c r="E178" s="39" t="str">
        <f t="shared" si="26"/>
        <v>E3_1_26_8_kcat : 13.7</v>
      </c>
      <c r="F178" s="41" t="str">
        <f t="shared" si="27"/>
        <v>E3_1_26_8_km : 1</v>
      </c>
      <c r="G178" s="34" t="str">
        <f t="shared" si="28"/>
        <v>E3_1_26_8_mRNA : E3_1_26_8_mRNA</v>
      </c>
      <c r="H178" s="35" t="str">
        <f t="shared" si="29"/>
        <v>E3_1_26_8 : E3_1_26_8</v>
      </c>
      <c r="I178" s="36" t="str">
        <f t="shared" si="30"/>
        <v>E3_1_26_8_mRNA : 0</v>
      </c>
      <c r="J178" s="19" t="str">
        <f t="shared" si="31"/>
        <v>E3_1_26_8 : 0</v>
      </c>
      <c r="K178" s="37" t="str">
        <f t="shared" si="32"/>
        <v>0.00292 - (0.0093 * E3_1_26_8_mRNA)</v>
      </c>
      <c r="L178" s="34" t="str">
        <f t="shared" si="33"/>
        <v>(0.278 * E3_1_26_8_mRNA) - (0.00000278 * E3_1_26_8)</v>
      </c>
      <c r="M178" s="38" t="str">
        <f t="shared" si="34"/>
        <v>mRNA177: -&gt; E3_1_26_8_mRNA | 0.00292 - (0.0093 * E3_1_26_8_mRNA)</v>
      </c>
      <c r="N178" s="39" t="str">
        <f t="shared" si="35"/>
        <v>Peptide177: E3_1_26_8_mRNA -&gt; E3_1_26_8 | (0.278 * E3_1_26_8_mRNA) - (0.000000278 * E3_1_26_8)</v>
      </c>
    </row>
    <row r="179" spans="1:14" x14ac:dyDescent="0.45">
      <c r="A179">
        <v>178</v>
      </c>
      <c r="B179" t="s">
        <v>1870</v>
      </c>
      <c r="C179" t="str">
        <f t="shared" si="24"/>
        <v>E3_1_3_23_mRNA</v>
      </c>
      <c r="D179" t="str">
        <f t="shared" si="25"/>
        <v>E3_1_3_23</v>
      </c>
      <c r="E179" s="39" t="str">
        <f t="shared" si="26"/>
        <v>E3_1_3_23_kcat : 13.7</v>
      </c>
      <c r="F179" s="41" t="str">
        <f t="shared" si="27"/>
        <v>E3_1_3_23_km : 1</v>
      </c>
      <c r="G179" s="34" t="str">
        <f t="shared" si="28"/>
        <v>E3_1_3_23_mRNA : E3_1_3_23_mRNA</v>
      </c>
      <c r="H179" s="35" t="str">
        <f t="shared" si="29"/>
        <v>E3_1_3_23 : E3_1_3_23</v>
      </c>
      <c r="I179" s="36" t="str">
        <f t="shared" si="30"/>
        <v>E3_1_3_23_mRNA : 0</v>
      </c>
      <c r="J179" s="19" t="str">
        <f t="shared" si="31"/>
        <v>E3_1_3_23 : 0</v>
      </c>
      <c r="K179" s="37" t="str">
        <f t="shared" si="32"/>
        <v>0.00292 - (0.0093 * E3_1_3_23_mRNA)</v>
      </c>
      <c r="L179" s="34" t="str">
        <f t="shared" si="33"/>
        <v>(0.278 * E3_1_3_23_mRNA) - (0.00000278 * E3_1_3_23)</v>
      </c>
      <c r="M179" s="38" t="str">
        <f t="shared" si="34"/>
        <v>mRNA178: -&gt; E3_1_3_23_mRNA | 0.00292 - (0.0093 * E3_1_3_23_mRNA)</v>
      </c>
      <c r="N179" s="39" t="str">
        <f t="shared" si="35"/>
        <v>Peptide178: E3_1_3_23_mRNA -&gt; E3_1_3_23 | (0.278 * E3_1_3_23_mRNA) - (0.000000278 * E3_1_3_23)</v>
      </c>
    </row>
    <row r="180" spans="1:14" x14ac:dyDescent="0.45">
      <c r="A180">
        <v>179</v>
      </c>
      <c r="B180" t="s">
        <v>1876</v>
      </c>
      <c r="C180" t="str">
        <f t="shared" si="24"/>
        <v>E3_1_3_48_mRNA</v>
      </c>
      <c r="D180" t="str">
        <f t="shared" si="25"/>
        <v>E3_1_3_48</v>
      </c>
      <c r="E180" s="39" t="str">
        <f t="shared" si="26"/>
        <v>E3_1_3_48_kcat : 13.7</v>
      </c>
      <c r="F180" s="41" t="str">
        <f t="shared" si="27"/>
        <v>E3_1_3_48_km : 1</v>
      </c>
      <c r="G180" s="34" t="str">
        <f t="shared" si="28"/>
        <v>E3_1_3_48_mRNA : E3_1_3_48_mRNA</v>
      </c>
      <c r="H180" s="35" t="str">
        <f t="shared" si="29"/>
        <v>E3_1_3_48 : E3_1_3_48</v>
      </c>
      <c r="I180" s="36" t="str">
        <f t="shared" si="30"/>
        <v>E3_1_3_48_mRNA : 0</v>
      </c>
      <c r="J180" s="19" t="str">
        <f t="shared" si="31"/>
        <v>E3_1_3_48 : 0</v>
      </c>
      <c r="K180" s="37" t="str">
        <f t="shared" si="32"/>
        <v>0.00292 - (0.0093 * E3_1_3_48_mRNA)</v>
      </c>
      <c r="L180" s="34" t="str">
        <f t="shared" si="33"/>
        <v>(0.278 * E3_1_3_48_mRNA) - (0.00000278 * E3_1_3_48)</v>
      </c>
      <c r="M180" s="38" t="str">
        <f t="shared" si="34"/>
        <v>mRNA179: -&gt; E3_1_3_48_mRNA | 0.00292 - (0.0093 * E3_1_3_48_mRNA)</v>
      </c>
      <c r="N180" s="39" t="str">
        <f t="shared" si="35"/>
        <v>Peptide179: E3_1_3_48_mRNA -&gt; E3_1_3_48 | (0.278 * E3_1_3_48_mRNA) - (0.000000278 * E3_1_3_48)</v>
      </c>
    </row>
    <row r="181" spans="1:14" x14ac:dyDescent="0.45">
      <c r="A181">
        <v>180</v>
      </c>
      <c r="B181" t="s">
        <v>1803</v>
      </c>
      <c r="C181" t="str">
        <f t="shared" si="24"/>
        <v>E3_1_3_5_mRNA</v>
      </c>
      <c r="D181" t="str">
        <f t="shared" si="25"/>
        <v>E3_1_3_5</v>
      </c>
      <c r="E181" s="39" t="str">
        <f t="shared" si="26"/>
        <v>E3_1_3_5_kcat : 13.7</v>
      </c>
      <c r="F181" s="41" t="str">
        <f t="shared" si="27"/>
        <v>E3_1_3_5_km : 1</v>
      </c>
      <c r="G181" s="34" t="str">
        <f t="shared" si="28"/>
        <v>E3_1_3_5_mRNA : E3_1_3_5_mRNA</v>
      </c>
      <c r="H181" s="35" t="str">
        <f t="shared" si="29"/>
        <v>E3_1_3_5 : E3_1_3_5</v>
      </c>
      <c r="I181" s="36" t="str">
        <f t="shared" si="30"/>
        <v>E3_1_3_5_mRNA : 0</v>
      </c>
      <c r="J181" s="19" t="str">
        <f t="shared" si="31"/>
        <v>E3_1_3_5 : 0</v>
      </c>
      <c r="K181" s="37" t="str">
        <f t="shared" si="32"/>
        <v>0.00292 - (0.0093 * E3_1_3_5_mRNA)</v>
      </c>
      <c r="L181" s="34" t="str">
        <f t="shared" si="33"/>
        <v>(0.278 * E3_1_3_5_mRNA) - (0.00000278 * E3_1_3_5)</v>
      </c>
      <c r="M181" s="38" t="str">
        <f t="shared" si="34"/>
        <v>mRNA180: -&gt; E3_1_3_5_mRNA | 0.00292 - (0.0093 * E3_1_3_5_mRNA)</v>
      </c>
      <c r="N181" s="39" t="str">
        <f t="shared" si="35"/>
        <v>Peptide180: E3_1_3_5_mRNA -&gt; E3_1_3_5 | (0.278 * E3_1_3_5_mRNA) - (0.000000278 * E3_1_3_5)</v>
      </c>
    </row>
    <row r="182" spans="1:14" x14ac:dyDescent="0.45">
      <c r="A182">
        <v>181</v>
      </c>
      <c r="B182" t="s">
        <v>10381</v>
      </c>
      <c r="C182" t="str">
        <f t="shared" si="24"/>
        <v>E3_2_1_1_mRNA</v>
      </c>
      <c r="D182" t="str">
        <f t="shared" si="25"/>
        <v>E3_2_1_1</v>
      </c>
      <c r="E182" s="39" t="str">
        <f t="shared" si="26"/>
        <v>E3_2_1_1_kcat : 13.7</v>
      </c>
      <c r="F182" s="41" t="str">
        <f t="shared" si="27"/>
        <v>E3_2_1_1_km : 1</v>
      </c>
      <c r="G182" s="34" t="str">
        <f t="shared" si="28"/>
        <v>E3_2_1_1_mRNA : E3_2_1_1_mRNA</v>
      </c>
      <c r="H182" s="35" t="str">
        <f t="shared" si="29"/>
        <v>E3_2_1_1 : E3_2_1_1</v>
      </c>
      <c r="I182" s="36" t="str">
        <f t="shared" si="30"/>
        <v>E3_2_1_1_mRNA : 0</v>
      </c>
      <c r="J182" s="19" t="str">
        <f t="shared" si="31"/>
        <v>E3_2_1_1 : 0</v>
      </c>
      <c r="K182" s="37" t="str">
        <f t="shared" si="32"/>
        <v>0.00292 - (0.0093 * E3_2_1_1_mRNA)</v>
      </c>
      <c r="L182" s="34" t="str">
        <f t="shared" si="33"/>
        <v>(0.278 * E3_2_1_1_mRNA) - (0.00000278 * E3_2_1_1)</v>
      </c>
      <c r="M182" s="38" t="str">
        <f t="shared" si="34"/>
        <v>mRNA181: -&gt; E3_2_1_1_mRNA | 0.00292 - (0.0093 * E3_2_1_1_mRNA)</v>
      </c>
      <c r="N182" s="39" t="str">
        <f t="shared" si="35"/>
        <v>Peptide181: E3_2_1_1_mRNA -&gt; E3_2_1_1 | (0.278 * E3_2_1_1_mRNA) - (0.000000278 * E3_2_1_1)</v>
      </c>
    </row>
    <row r="183" spans="1:14" x14ac:dyDescent="0.45">
      <c r="A183">
        <v>182</v>
      </c>
      <c r="B183" t="s">
        <v>10382</v>
      </c>
      <c r="C183" t="str">
        <f t="shared" si="24"/>
        <v>E3_2_1_163_mRNA</v>
      </c>
      <c r="D183" t="str">
        <f t="shared" si="25"/>
        <v>E3_2_1_163</v>
      </c>
      <c r="E183" s="39" t="str">
        <f t="shared" si="26"/>
        <v>E3_2_1_163_kcat : 13.7</v>
      </c>
      <c r="F183" s="41" t="str">
        <f t="shared" si="27"/>
        <v>E3_2_1_163_km : 1</v>
      </c>
      <c r="G183" s="34" t="str">
        <f t="shared" si="28"/>
        <v>E3_2_1_163_mRNA : E3_2_1_163_mRNA</v>
      </c>
      <c r="H183" s="35" t="str">
        <f t="shared" si="29"/>
        <v>E3_2_1_163 : E3_2_1_163</v>
      </c>
      <c r="I183" s="36" t="str">
        <f t="shared" si="30"/>
        <v>E3_2_1_163_mRNA : 0</v>
      </c>
      <c r="J183" s="19" t="str">
        <f t="shared" si="31"/>
        <v>E3_2_1_163 : 0</v>
      </c>
      <c r="K183" s="37" t="str">
        <f t="shared" si="32"/>
        <v>0.00292 - (0.0093 * E3_2_1_163_mRNA)</v>
      </c>
      <c r="L183" s="34" t="str">
        <f t="shared" si="33"/>
        <v>(0.278 * E3_2_1_163_mRNA) - (0.00000278 * E3_2_1_163)</v>
      </c>
      <c r="M183" s="38" t="str">
        <f t="shared" si="34"/>
        <v>mRNA182: -&gt; E3_2_1_163_mRNA | 0.00292 - (0.0093 * E3_2_1_163_mRNA)</v>
      </c>
      <c r="N183" s="39" t="str">
        <f t="shared" si="35"/>
        <v>Peptide182: E3_2_1_163_mRNA -&gt; E3_2_1_163 | (0.278 * E3_2_1_163_mRNA) - (0.000000278 * E3_2_1_163)</v>
      </c>
    </row>
    <row r="184" spans="1:14" x14ac:dyDescent="0.45">
      <c r="A184">
        <v>183</v>
      </c>
      <c r="B184" t="s">
        <v>10383</v>
      </c>
      <c r="C184" t="str">
        <f t="shared" si="24"/>
        <v>E3_2_1_18_mRNA</v>
      </c>
      <c r="D184" t="str">
        <f t="shared" si="25"/>
        <v>E3_2_1_18</v>
      </c>
      <c r="E184" s="39" t="str">
        <f t="shared" si="26"/>
        <v>E3_2_1_18_kcat : 13.7</v>
      </c>
      <c r="F184" s="41" t="str">
        <f t="shared" si="27"/>
        <v>E3_2_1_18_km : 1</v>
      </c>
      <c r="G184" s="34" t="str">
        <f t="shared" si="28"/>
        <v>E3_2_1_18_mRNA : E3_2_1_18_mRNA</v>
      </c>
      <c r="H184" s="35" t="str">
        <f t="shared" si="29"/>
        <v>E3_2_1_18 : E3_2_1_18</v>
      </c>
      <c r="I184" s="36" t="str">
        <f t="shared" si="30"/>
        <v>E3_2_1_18_mRNA : 0</v>
      </c>
      <c r="J184" s="19" t="str">
        <f t="shared" si="31"/>
        <v>E3_2_1_18 : 0</v>
      </c>
      <c r="K184" s="37" t="str">
        <f t="shared" si="32"/>
        <v>0.00292 - (0.0093 * E3_2_1_18_mRNA)</v>
      </c>
      <c r="L184" s="34" t="str">
        <f t="shared" si="33"/>
        <v>(0.278 * E3_2_1_18_mRNA) - (0.00000278 * E3_2_1_18)</v>
      </c>
      <c r="M184" s="38" t="str">
        <f t="shared" si="34"/>
        <v>mRNA183: -&gt; E3_2_1_18_mRNA | 0.00292 - (0.0093 * E3_2_1_18_mRNA)</v>
      </c>
      <c r="N184" s="39" t="str">
        <f t="shared" si="35"/>
        <v>Peptide183: E3_2_1_18_mRNA -&gt; E3_2_1_18 | (0.278 * E3_2_1_18_mRNA) - (0.000000278 * E3_2_1_18)</v>
      </c>
    </row>
    <row r="185" spans="1:14" x14ac:dyDescent="0.45">
      <c r="A185">
        <v>184</v>
      </c>
      <c r="B185" t="s">
        <v>1825</v>
      </c>
      <c r="C185" t="str">
        <f t="shared" si="24"/>
        <v>E3_2_1_26_mRNA</v>
      </c>
      <c r="D185" t="str">
        <f t="shared" si="25"/>
        <v>E3_2_1_26</v>
      </c>
      <c r="E185" s="39" t="str">
        <f t="shared" si="26"/>
        <v>E3_2_1_26_kcat : 13.7</v>
      </c>
      <c r="F185" s="41" t="str">
        <f t="shared" si="27"/>
        <v>E3_2_1_26_km : 1</v>
      </c>
      <c r="G185" s="34" t="str">
        <f t="shared" si="28"/>
        <v>E3_2_1_26_mRNA : E3_2_1_26_mRNA</v>
      </c>
      <c r="H185" s="35" t="str">
        <f t="shared" si="29"/>
        <v>E3_2_1_26 : E3_2_1_26</v>
      </c>
      <c r="I185" s="36" t="str">
        <f t="shared" si="30"/>
        <v>E3_2_1_26_mRNA : 0</v>
      </c>
      <c r="J185" s="19" t="str">
        <f t="shared" si="31"/>
        <v>E3_2_1_26 : 0</v>
      </c>
      <c r="K185" s="37" t="str">
        <f t="shared" si="32"/>
        <v>0.00292 - (0.0093 * E3_2_1_26_mRNA)</v>
      </c>
      <c r="L185" s="34" t="str">
        <f t="shared" si="33"/>
        <v>(0.278 * E3_2_1_26_mRNA) - (0.00000278 * E3_2_1_26)</v>
      </c>
      <c r="M185" s="38" t="str">
        <f t="shared" si="34"/>
        <v>mRNA184: -&gt; E3_2_1_26_mRNA | 0.00292 - (0.0093 * E3_2_1_26_mRNA)</v>
      </c>
      <c r="N185" s="39" t="str">
        <f t="shared" si="35"/>
        <v>Peptide184: E3_2_1_26_mRNA -&gt; E3_2_1_26 | (0.278 * E3_2_1_26_mRNA) - (0.000000278 * E3_2_1_26)</v>
      </c>
    </row>
    <row r="186" spans="1:14" x14ac:dyDescent="0.45">
      <c r="A186">
        <v>185</v>
      </c>
      <c r="B186" t="s">
        <v>10384</v>
      </c>
      <c r="C186" t="str">
        <f t="shared" si="24"/>
        <v>E3_2_1_31_mRNA</v>
      </c>
      <c r="D186" t="str">
        <f t="shared" si="25"/>
        <v>E3_2_1_31</v>
      </c>
      <c r="E186" s="39" t="str">
        <f t="shared" si="26"/>
        <v>E3_2_1_31_kcat : 13.7</v>
      </c>
      <c r="F186" s="41" t="str">
        <f t="shared" si="27"/>
        <v>E3_2_1_31_km : 1</v>
      </c>
      <c r="G186" s="34" t="str">
        <f t="shared" si="28"/>
        <v>E3_2_1_31_mRNA : E3_2_1_31_mRNA</v>
      </c>
      <c r="H186" s="35" t="str">
        <f t="shared" si="29"/>
        <v>E3_2_1_31 : E3_2_1_31</v>
      </c>
      <c r="I186" s="36" t="str">
        <f t="shared" si="30"/>
        <v>E3_2_1_31_mRNA : 0</v>
      </c>
      <c r="J186" s="19" t="str">
        <f t="shared" si="31"/>
        <v>E3_2_1_31 : 0</v>
      </c>
      <c r="K186" s="37" t="str">
        <f t="shared" si="32"/>
        <v>0.00292 - (0.0093 * E3_2_1_31_mRNA)</v>
      </c>
      <c r="L186" s="34" t="str">
        <f t="shared" si="33"/>
        <v>(0.278 * E3_2_1_31_mRNA) - (0.00000278 * E3_2_1_31)</v>
      </c>
      <c r="M186" s="38" t="str">
        <f t="shared" si="34"/>
        <v>mRNA185: -&gt; E3_2_1_31_mRNA | 0.00292 - (0.0093 * E3_2_1_31_mRNA)</v>
      </c>
      <c r="N186" s="39" t="str">
        <f t="shared" si="35"/>
        <v>Peptide185: E3_2_1_31_mRNA -&gt; E3_2_1_31 | (0.278 * E3_2_1_31_mRNA) - (0.000000278 * E3_2_1_31)</v>
      </c>
    </row>
    <row r="187" spans="1:14" x14ac:dyDescent="0.45">
      <c r="A187">
        <v>186</v>
      </c>
      <c r="B187" t="s">
        <v>10385</v>
      </c>
      <c r="C187" t="str">
        <f t="shared" si="24"/>
        <v>E3_2_1_41_mRNA</v>
      </c>
      <c r="D187" t="str">
        <f t="shared" si="25"/>
        <v>E3_2_1_41</v>
      </c>
      <c r="E187" s="39" t="str">
        <f t="shared" si="26"/>
        <v>E3_2_1_41_kcat : 13.7</v>
      </c>
      <c r="F187" s="41" t="str">
        <f t="shared" si="27"/>
        <v>E3_2_1_41_km : 1</v>
      </c>
      <c r="G187" s="34" t="str">
        <f t="shared" si="28"/>
        <v>E3_2_1_41_mRNA : E3_2_1_41_mRNA</v>
      </c>
      <c r="H187" s="35" t="str">
        <f t="shared" si="29"/>
        <v>E3_2_1_41 : E3_2_1_41</v>
      </c>
      <c r="I187" s="36" t="str">
        <f t="shared" si="30"/>
        <v>E3_2_1_41_mRNA : 0</v>
      </c>
      <c r="J187" s="19" t="str">
        <f t="shared" si="31"/>
        <v>E3_2_1_41 : 0</v>
      </c>
      <c r="K187" s="37" t="str">
        <f t="shared" si="32"/>
        <v>0.00292 - (0.0093 * E3_2_1_41_mRNA)</v>
      </c>
      <c r="L187" s="34" t="str">
        <f t="shared" si="33"/>
        <v>(0.278 * E3_2_1_41_mRNA) - (0.00000278 * E3_2_1_41)</v>
      </c>
      <c r="M187" s="38" t="str">
        <f t="shared" si="34"/>
        <v>mRNA186: -&gt; E3_2_1_41_mRNA | 0.00292 - (0.0093 * E3_2_1_41_mRNA)</v>
      </c>
      <c r="N187" s="39" t="str">
        <f t="shared" si="35"/>
        <v>Peptide186: E3_2_1_41_mRNA -&gt; E3_2_1_41 | (0.278 * E3_2_1_41_mRNA) - (0.000000278 * E3_2_1_41)</v>
      </c>
    </row>
    <row r="188" spans="1:14" x14ac:dyDescent="0.45">
      <c r="A188">
        <v>187</v>
      </c>
      <c r="B188" t="s">
        <v>10386</v>
      </c>
      <c r="C188" t="str">
        <f t="shared" si="24"/>
        <v>E3_2_1_70_mRNA</v>
      </c>
      <c r="D188" t="str">
        <f t="shared" si="25"/>
        <v>E3_2_1_70</v>
      </c>
      <c r="E188" s="39" t="str">
        <f t="shared" si="26"/>
        <v>E3_2_1_70_kcat : 13.7</v>
      </c>
      <c r="F188" s="41" t="str">
        <f t="shared" si="27"/>
        <v>E3_2_1_70_km : 1</v>
      </c>
      <c r="G188" s="34" t="str">
        <f t="shared" si="28"/>
        <v>E3_2_1_70_mRNA : E3_2_1_70_mRNA</v>
      </c>
      <c r="H188" s="35" t="str">
        <f t="shared" si="29"/>
        <v>E3_2_1_70 : E3_2_1_70</v>
      </c>
      <c r="I188" s="36" t="str">
        <f t="shared" si="30"/>
        <v>E3_2_1_70_mRNA : 0</v>
      </c>
      <c r="J188" s="19" t="str">
        <f t="shared" si="31"/>
        <v>E3_2_1_70 : 0</v>
      </c>
      <c r="K188" s="37" t="str">
        <f t="shared" si="32"/>
        <v>0.00292 - (0.0093 * E3_2_1_70_mRNA)</v>
      </c>
      <c r="L188" s="34" t="str">
        <f t="shared" si="33"/>
        <v>(0.278 * E3_2_1_70_mRNA) - (0.00000278 * E3_2_1_70)</v>
      </c>
      <c r="M188" s="38" t="str">
        <f t="shared" si="34"/>
        <v>mRNA187: -&gt; E3_2_1_70_mRNA | 0.00292 - (0.0093 * E3_2_1_70_mRNA)</v>
      </c>
      <c r="N188" s="39" t="str">
        <f t="shared" si="35"/>
        <v>Peptide187: E3_2_1_70_mRNA -&gt; E3_2_1_70 | (0.278 * E3_2_1_70_mRNA) - (0.000000278 * E3_2_1_70)</v>
      </c>
    </row>
    <row r="189" spans="1:14" x14ac:dyDescent="0.45">
      <c r="A189">
        <v>188</v>
      </c>
      <c r="B189" t="s">
        <v>10387</v>
      </c>
      <c r="C189" t="str">
        <f t="shared" si="24"/>
        <v>E3_2_1_85_mRNA</v>
      </c>
      <c r="D189" t="str">
        <f t="shared" si="25"/>
        <v>E3_2_1_85</v>
      </c>
      <c r="E189" s="39" t="str">
        <f t="shared" si="26"/>
        <v>E3_2_1_85_kcat : 13.7</v>
      </c>
      <c r="F189" s="41" t="str">
        <f t="shared" si="27"/>
        <v>E3_2_1_85_km : 1</v>
      </c>
      <c r="G189" s="34" t="str">
        <f t="shared" si="28"/>
        <v>E3_2_1_85_mRNA : E3_2_1_85_mRNA</v>
      </c>
      <c r="H189" s="35" t="str">
        <f t="shared" si="29"/>
        <v>E3_2_1_85 : E3_2_1_85</v>
      </c>
      <c r="I189" s="36" t="str">
        <f t="shared" si="30"/>
        <v>E3_2_1_85_mRNA : 0</v>
      </c>
      <c r="J189" s="19" t="str">
        <f t="shared" si="31"/>
        <v>E3_2_1_85 : 0</v>
      </c>
      <c r="K189" s="37" t="str">
        <f t="shared" si="32"/>
        <v>0.00292 - (0.0093 * E3_2_1_85_mRNA)</v>
      </c>
      <c r="L189" s="34" t="str">
        <f t="shared" si="33"/>
        <v>(0.278 * E3_2_1_85_mRNA) - (0.00000278 * E3_2_1_85)</v>
      </c>
      <c r="M189" s="38" t="str">
        <f t="shared" si="34"/>
        <v>mRNA188: -&gt; E3_2_1_85_mRNA | 0.00292 - (0.0093 * E3_2_1_85_mRNA)</v>
      </c>
      <c r="N189" s="39" t="str">
        <f t="shared" si="35"/>
        <v>Peptide188: E3_2_1_85_mRNA -&gt; E3_2_1_85 | (0.278 * E3_2_1_85_mRNA) - (0.000000278 * E3_2_1_85)</v>
      </c>
    </row>
    <row r="190" spans="1:14" x14ac:dyDescent="0.45">
      <c r="A190">
        <v>189</v>
      </c>
      <c r="B190" t="s">
        <v>10388</v>
      </c>
      <c r="C190" t="str">
        <f t="shared" si="24"/>
        <v>E3_2_2_20_mRNA</v>
      </c>
      <c r="D190" t="str">
        <f t="shared" si="25"/>
        <v>E3_2_2_20</v>
      </c>
      <c r="E190" s="39" t="str">
        <f t="shared" si="26"/>
        <v>E3_2_2_20_kcat : 13.7</v>
      </c>
      <c r="F190" s="41" t="str">
        <f t="shared" si="27"/>
        <v>E3_2_2_20_km : 1</v>
      </c>
      <c r="G190" s="34" t="str">
        <f t="shared" si="28"/>
        <v>E3_2_2_20_mRNA : E3_2_2_20_mRNA</v>
      </c>
      <c r="H190" s="35" t="str">
        <f t="shared" si="29"/>
        <v>E3_2_2_20 : E3_2_2_20</v>
      </c>
      <c r="I190" s="36" t="str">
        <f t="shared" si="30"/>
        <v>E3_2_2_20_mRNA : 0</v>
      </c>
      <c r="J190" s="19" t="str">
        <f t="shared" si="31"/>
        <v>E3_2_2_20 : 0</v>
      </c>
      <c r="K190" s="37" t="str">
        <f t="shared" si="32"/>
        <v>0.00292 - (0.0093 * E3_2_2_20_mRNA)</v>
      </c>
      <c r="L190" s="34" t="str">
        <f t="shared" si="33"/>
        <v>(0.278 * E3_2_2_20_mRNA) - (0.00000278 * E3_2_2_20)</v>
      </c>
      <c r="M190" s="38" t="str">
        <f t="shared" si="34"/>
        <v>mRNA189: -&gt; E3_2_2_20_mRNA | 0.00292 - (0.0093 * E3_2_2_20_mRNA)</v>
      </c>
      <c r="N190" s="39" t="str">
        <f t="shared" si="35"/>
        <v>Peptide189: E3_2_2_20_mRNA -&gt; E3_2_2_20 | (0.278 * E3_2_2_20_mRNA) - (0.000000278 * E3_2_2_20)</v>
      </c>
    </row>
    <row r="191" spans="1:14" x14ac:dyDescent="0.45">
      <c r="A191">
        <v>190</v>
      </c>
      <c r="B191" t="s">
        <v>10389</v>
      </c>
      <c r="C191" t="str">
        <f t="shared" si="24"/>
        <v>E3_2_2_23_mRNA</v>
      </c>
      <c r="D191" t="str">
        <f t="shared" si="25"/>
        <v>E3_2_2_23</v>
      </c>
      <c r="E191" s="39" t="str">
        <f t="shared" si="26"/>
        <v>E3_2_2_23_kcat : 13.7</v>
      </c>
      <c r="F191" s="41" t="str">
        <f t="shared" si="27"/>
        <v>E3_2_2_23_km : 1</v>
      </c>
      <c r="G191" s="34" t="str">
        <f t="shared" si="28"/>
        <v>E3_2_2_23_mRNA : E3_2_2_23_mRNA</v>
      </c>
      <c r="H191" s="35" t="str">
        <f t="shared" si="29"/>
        <v>E3_2_2_23 : E3_2_2_23</v>
      </c>
      <c r="I191" s="36" t="str">
        <f t="shared" si="30"/>
        <v>E3_2_2_23_mRNA : 0</v>
      </c>
      <c r="J191" s="19" t="str">
        <f t="shared" si="31"/>
        <v>E3_2_2_23 : 0</v>
      </c>
      <c r="K191" s="37" t="str">
        <f t="shared" si="32"/>
        <v>0.00292 - (0.0093 * E3_2_2_23_mRNA)</v>
      </c>
      <c r="L191" s="34" t="str">
        <f t="shared" si="33"/>
        <v>(0.278 * E3_2_2_23_mRNA) - (0.00000278 * E3_2_2_23)</v>
      </c>
      <c r="M191" s="38" t="str">
        <f t="shared" si="34"/>
        <v>mRNA190: -&gt; E3_2_2_23_mRNA | 0.00292 - (0.0093 * E3_2_2_23_mRNA)</v>
      </c>
      <c r="N191" s="39" t="str">
        <f t="shared" si="35"/>
        <v>Peptide190: E3_2_2_23_mRNA -&gt; E3_2_2_23 | (0.278 * E3_2_2_23_mRNA) - (0.000000278 * E3_2_2_23)</v>
      </c>
    </row>
    <row r="192" spans="1:14" x14ac:dyDescent="0.45">
      <c r="A192">
        <v>191</v>
      </c>
      <c r="B192" t="s">
        <v>10390</v>
      </c>
      <c r="C192" t="str">
        <f t="shared" si="24"/>
        <v>E3_2_2_27_mRNA</v>
      </c>
      <c r="D192" t="str">
        <f t="shared" si="25"/>
        <v>E3_2_2_27</v>
      </c>
      <c r="E192" s="39" t="str">
        <f t="shared" si="26"/>
        <v>E3_2_2_27_kcat : 13.7</v>
      </c>
      <c r="F192" s="41" t="str">
        <f t="shared" si="27"/>
        <v>E3_2_2_27_km : 1</v>
      </c>
      <c r="G192" s="34" t="str">
        <f t="shared" si="28"/>
        <v>E3_2_2_27_mRNA : E3_2_2_27_mRNA</v>
      </c>
      <c r="H192" s="35" t="str">
        <f t="shared" si="29"/>
        <v>E3_2_2_27 : E3_2_2_27</v>
      </c>
      <c r="I192" s="36" t="str">
        <f t="shared" si="30"/>
        <v>E3_2_2_27_mRNA : 0</v>
      </c>
      <c r="J192" s="19" t="str">
        <f t="shared" si="31"/>
        <v>E3_2_2_27 : 0</v>
      </c>
      <c r="K192" s="37" t="str">
        <f t="shared" si="32"/>
        <v>0.00292 - (0.0093 * E3_2_2_27_mRNA)</v>
      </c>
      <c r="L192" s="34" t="str">
        <f t="shared" si="33"/>
        <v>(0.278 * E3_2_2_27_mRNA) - (0.00000278 * E3_2_2_27)</v>
      </c>
      <c r="M192" s="38" t="str">
        <f t="shared" si="34"/>
        <v>mRNA191: -&gt; E3_2_2_27_mRNA | 0.00292 - (0.0093 * E3_2_2_27_mRNA)</v>
      </c>
      <c r="N192" s="39" t="str">
        <f t="shared" si="35"/>
        <v>Peptide191: E3_2_2_27_mRNA -&gt; E3_2_2_27 | (0.278 * E3_2_2_27_mRNA) - (0.000000278 * E3_2_2_27)</v>
      </c>
    </row>
    <row r="193" spans="1:14" x14ac:dyDescent="0.45">
      <c r="A193">
        <v>192</v>
      </c>
      <c r="B193" t="s">
        <v>10391</v>
      </c>
      <c r="C193" t="str">
        <f t="shared" si="24"/>
        <v>E3_2_2_31_mRNA</v>
      </c>
      <c r="D193" t="str">
        <f t="shared" si="25"/>
        <v>E3_2_2_31</v>
      </c>
      <c r="E193" s="39" t="str">
        <f t="shared" si="26"/>
        <v>E3_2_2_31_kcat : 13.7</v>
      </c>
      <c r="F193" s="41" t="str">
        <f t="shared" si="27"/>
        <v>E3_2_2_31_km : 1</v>
      </c>
      <c r="G193" s="34" t="str">
        <f t="shared" si="28"/>
        <v>E3_2_2_31_mRNA : E3_2_2_31_mRNA</v>
      </c>
      <c r="H193" s="35" t="str">
        <f t="shared" si="29"/>
        <v>E3_2_2_31 : E3_2_2_31</v>
      </c>
      <c r="I193" s="36" t="str">
        <f t="shared" si="30"/>
        <v>E3_2_2_31_mRNA : 0</v>
      </c>
      <c r="J193" s="19" t="str">
        <f t="shared" si="31"/>
        <v>E3_2_2_31 : 0</v>
      </c>
      <c r="K193" s="37" t="str">
        <f t="shared" si="32"/>
        <v>0.00292 - (0.0093 * E3_2_2_31_mRNA)</v>
      </c>
      <c r="L193" s="34" t="str">
        <f t="shared" si="33"/>
        <v>(0.278 * E3_2_2_31_mRNA) - (0.00000278 * E3_2_2_31)</v>
      </c>
      <c r="M193" s="38" t="str">
        <f t="shared" si="34"/>
        <v>mRNA192: -&gt; E3_2_2_31_mRNA | 0.00292 - (0.0093 * E3_2_2_31_mRNA)</v>
      </c>
      <c r="N193" s="39" t="str">
        <f t="shared" si="35"/>
        <v>Peptide192: E3_2_2_31_mRNA -&gt; E3_2_2_31 | (0.278 * E3_2_2_31_mRNA) - (0.000000278 * E3_2_2_31)</v>
      </c>
    </row>
    <row r="194" spans="1:14" x14ac:dyDescent="0.45">
      <c r="A194">
        <v>193</v>
      </c>
      <c r="B194" t="s">
        <v>1805</v>
      </c>
      <c r="C194" t="str">
        <f t="shared" ref="C194:C232" si="36">CONCATENATE(D194,"_mRNA")</f>
        <v>E3_2_2_9_mRNA</v>
      </c>
      <c r="D194" t="str">
        <f t="shared" ref="D194:D232" si="37">CONCATENATE("E",B194)</f>
        <v>E3_2_2_9</v>
      </c>
      <c r="E194" s="39" t="str">
        <f t="shared" ref="E194:E232" si="38">CONCATENATE("E",B194,"_kcat : 13.7")</f>
        <v>E3_2_2_9_kcat : 13.7</v>
      </c>
      <c r="F194" s="41" t="str">
        <f t="shared" ref="F194:F232" si="39">CONCATENATE("E",B194,"_km : 1")</f>
        <v>E3_2_2_9_km : 1</v>
      </c>
      <c r="G194" s="34" t="str">
        <f t="shared" ref="G194:G232" si="40">CONCATENATE(C194," : ",C194)</f>
        <v>E3_2_2_9_mRNA : E3_2_2_9_mRNA</v>
      </c>
      <c r="H194" s="35" t="str">
        <f t="shared" ref="H194:H232" si="41">CONCATENATE(D194," : ",D194)</f>
        <v>E3_2_2_9 : E3_2_2_9</v>
      </c>
      <c r="I194" s="36" t="str">
        <f t="shared" ref="I194:I232" si="42">CONCATENATE(C194," : ","0")</f>
        <v>E3_2_2_9_mRNA : 0</v>
      </c>
      <c r="J194" s="19" t="str">
        <f t="shared" ref="J194:J232" si="43">CONCATENATE(D194," : ","0")</f>
        <v>E3_2_2_9 : 0</v>
      </c>
      <c r="K194" s="37" t="str">
        <f t="shared" ref="K194:K232" si="44">CONCATENATE("0.00292 - (0.0093 * ",C194,")")</f>
        <v>0.00292 - (0.0093 * E3_2_2_9_mRNA)</v>
      </c>
      <c r="L194" s="34" t="str">
        <f t="shared" ref="L194:L232" si="45">CONCATENATE("(0.278 * ",C194,")"," - (0.00000278 * ",D194,")")</f>
        <v>(0.278 * E3_2_2_9_mRNA) - (0.00000278 * E3_2_2_9)</v>
      </c>
      <c r="M194" s="38" t="str">
        <f t="shared" ref="M194:M232" si="46">CONCATENATE("mRNA",A194,": -&gt; ",C194," | ","0.00292"," - ","(","0.0093"," * ",C194,")")</f>
        <v>mRNA193: -&gt; E3_2_2_9_mRNA | 0.00292 - (0.0093 * E3_2_2_9_mRNA)</v>
      </c>
      <c r="N194" s="39" t="str">
        <f t="shared" ref="N194:N232" si="47">CONCATENATE("Peptide",A194,": ",C194," -&gt; ",D194," | ","(","0.278"," * ",C194,")"," - ","(","0.000000278"," * ",D194,")")</f>
        <v>Peptide193: E3_2_2_9_mRNA -&gt; E3_2_2_9 | (0.278 * E3_2_2_9_mRNA) - (0.000000278 * E3_2_2_9)</v>
      </c>
    </row>
    <row r="195" spans="1:14" x14ac:dyDescent="0.45">
      <c r="A195">
        <v>194</v>
      </c>
      <c r="B195" t="s">
        <v>10392</v>
      </c>
      <c r="C195" t="str">
        <f t="shared" si="36"/>
        <v>E3_4_11_4_mRNA</v>
      </c>
      <c r="D195" t="str">
        <f t="shared" si="37"/>
        <v>E3_4_11_4</v>
      </c>
      <c r="E195" s="39" t="str">
        <f t="shared" si="38"/>
        <v>E3_4_11_4_kcat : 13.7</v>
      </c>
      <c r="F195" s="41" t="str">
        <f t="shared" si="39"/>
        <v>E3_4_11_4_km : 1</v>
      </c>
      <c r="G195" s="34" t="str">
        <f t="shared" si="40"/>
        <v>E3_4_11_4_mRNA : E3_4_11_4_mRNA</v>
      </c>
      <c r="H195" s="35" t="str">
        <f t="shared" si="41"/>
        <v>E3_4_11_4 : E3_4_11_4</v>
      </c>
      <c r="I195" s="36" t="str">
        <f t="shared" si="42"/>
        <v>E3_4_11_4_mRNA : 0</v>
      </c>
      <c r="J195" s="19" t="str">
        <f t="shared" si="43"/>
        <v>E3_4_11_4 : 0</v>
      </c>
      <c r="K195" s="37" t="str">
        <f t="shared" si="44"/>
        <v>0.00292 - (0.0093 * E3_4_11_4_mRNA)</v>
      </c>
      <c r="L195" s="34" t="str">
        <f t="shared" si="45"/>
        <v>(0.278 * E3_4_11_4_mRNA) - (0.00000278 * E3_4_11_4)</v>
      </c>
      <c r="M195" s="38" t="str">
        <f t="shared" si="46"/>
        <v>mRNA194: -&gt; E3_4_11_4_mRNA | 0.00292 - (0.0093 * E3_4_11_4_mRNA)</v>
      </c>
      <c r="N195" s="39" t="str">
        <f t="shared" si="47"/>
        <v>Peptide194: E3_4_11_4_mRNA -&gt; E3_4_11_4 | (0.278 * E3_4_11_4_mRNA) - (0.000000278 * E3_4_11_4)</v>
      </c>
    </row>
    <row r="196" spans="1:14" x14ac:dyDescent="0.45">
      <c r="A196">
        <v>195</v>
      </c>
      <c r="B196" t="s">
        <v>10393</v>
      </c>
      <c r="C196" t="str">
        <f t="shared" si="36"/>
        <v>E3_4_11_7_mRNA</v>
      </c>
      <c r="D196" t="str">
        <f t="shared" si="37"/>
        <v>E3_4_11_7</v>
      </c>
      <c r="E196" s="39" t="str">
        <f t="shared" si="38"/>
        <v>E3_4_11_7_kcat : 13.7</v>
      </c>
      <c r="F196" s="41" t="str">
        <f t="shared" si="39"/>
        <v>E3_4_11_7_km : 1</v>
      </c>
      <c r="G196" s="34" t="str">
        <f t="shared" si="40"/>
        <v>E3_4_11_7_mRNA : E3_4_11_7_mRNA</v>
      </c>
      <c r="H196" s="35" t="str">
        <f t="shared" si="41"/>
        <v>E3_4_11_7 : E3_4_11_7</v>
      </c>
      <c r="I196" s="36" t="str">
        <f t="shared" si="42"/>
        <v>E3_4_11_7_mRNA : 0</v>
      </c>
      <c r="J196" s="19" t="str">
        <f t="shared" si="43"/>
        <v>E3_4_11_7 : 0</v>
      </c>
      <c r="K196" s="37" t="str">
        <f t="shared" si="44"/>
        <v>0.00292 - (0.0093 * E3_4_11_7_mRNA)</v>
      </c>
      <c r="L196" s="34" t="str">
        <f t="shared" si="45"/>
        <v>(0.278 * E3_4_11_7_mRNA) - (0.00000278 * E3_4_11_7)</v>
      </c>
      <c r="M196" s="38" t="str">
        <f t="shared" si="46"/>
        <v>mRNA195: -&gt; E3_4_11_7_mRNA | 0.00292 - (0.0093 * E3_4_11_7_mRNA)</v>
      </c>
      <c r="N196" s="39" t="str">
        <f t="shared" si="47"/>
        <v>Peptide195: E3_4_11_7_mRNA -&gt; E3_4_11_7 | (0.278 * E3_4_11_7_mRNA) - (0.000000278 * E3_4_11_7)</v>
      </c>
    </row>
    <row r="197" spans="1:14" x14ac:dyDescent="0.45">
      <c r="A197">
        <v>196</v>
      </c>
      <c r="B197" t="s">
        <v>10394</v>
      </c>
      <c r="C197" t="str">
        <f t="shared" si="36"/>
        <v>E3_4_14_11_mRNA</v>
      </c>
      <c r="D197" t="str">
        <f t="shared" si="37"/>
        <v>E3_4_14_11</v>
      </c>
      <c r="E197" s="39" t="str">
        <f t="shared" si="38"/>
        <v>E3_4_14_11_kcat : 13.7</v>
      </c>
      <c r="F197" s="41" t="str">
        <f t="shared" si="39"/>
        <v>E3_4_14_11_km : 1</v>
      </c>
      <c r="G197" s="34" t="str">
        <f t="shared" si="40"/>
        <v>E3_4_14_11_mRNA : E3_4_14_11_mRNA</v>
      </c>
      <c r="H197" s="35" t="str">
        <f t="shared" si="41"/>
        <v>E3_4_14_11 : E3_4_14_11</v>
      </c>
      <c r="I197" s="36" t="str">
        <f t="shared" si="42"/>
        <v>E3_4_14_11_mRNA : 0</v>
      </c>
      <c r="J197" s="19" t="str">
        <f t="shared" si="43"/>
        <v>E3_4_14_11 : 0</v>
      </c>
      <c r="K197" s="37" t="str">
        <f t="shared" si="44"/>
        <v>0.00292 - (0.0093 * E3_4_14_11_mRNA)</v>
      </c>
      <c r="L197" s="34" t="str">
        <f t="shared" si="45"/>
        <v>(0.278 * E3_4_14_11_mRNA) - (0.00000278 * E3_4_14_11)</v>
      </c>
      <c r="M197" s="38" t="str">
        <f t="shared" si="46"/>
        <v>mRNA196: -&gt; E3_4_14_11_mRNA | 0.00292 - (0.0093 * E3_4_14_11_mRNA)</v>
      </c>
      <c r="N197" s="39" t="str">
        <f t="shared" si="47"/>
        <v>Peptide196: E3_4_14_11_mRNA -&gt; E3_4_14_11 | (0.278 * E3_4_14_11_mRNA) - (0.000000278 * E3_4_14_11)</v>
      </c>
    </row>
    <row r="198" spans="1:14" x14ac:dyDescent="0.45">
      <c r="A198">
        <v>197</v>
      </c>
      <c r="B198" t="s">
        <v>10395</v>
      </c>
      <c r="C198" t="str">
        <f t="shared" si="36"/>
        <v>E3_4_16_4_mRNA</v>
      </c>
      <c r="D198" t="str">
        <f t="shared" si="37"/>
        <v>E3_4_16_4</v>
      </c>
      <c r="E198" s="39" t="str">
        <f t="shared" si="38"/>
        <v>E3_4_16_4_kcat : 13.7</v>
      </c>
      <c r="F198" s="41" t="str">
        <f t="shared" si="39"/>
        <v>E3_4_16_4_km : 1</v>
      </c>
      <c r="G198" s="34" t="str">
        <f t="shared" si="40"/>
        <v>E3_4_16_4_mRNA : E3_4_16_4_mRNA</v>
      </c>
      <c r="H198" s="35" t="str">
        <f t="shared" si="41"/>
        <v>E3_4_16_4 : E3_4_16_4</v>
      </c>
      <c r="I198" s="36" t="str">
        <f t="shared" si="42"/>
        <v>E3_4_16_4_mRNA : 0</v>
      </c>
      <c r="J198" s="19" t="str">
        <f t="shared" si="43"/>
        <v>E3_4_16_4 : 0</v>
      </c>
      <c r="K198" s="37" t="str">
        <f t="shared" si="44"/>
        <v>0.00292 - (0.0093 * E3_4_16_4_mRNA)</v>
      </c>
      <c r="L198" s="34" t="str">
        <f t="shared" si="45"/>
        <v>(0.278 * E3_4_16_4_mRNA) - (0.00000278 * E3_4_16_4)</v>
      </c>
      <c r="M198" s="38" t="str">
        <f t="shared" si="46"/>
        <v>mRNA197: -&gt; E3_4_16_4_mRNA | 0.00292 - (0.0093 * E3_4_16_4_mRNA)</v>
      </c>
      <c r="N198" s="39" t="str">
        <f t="shared" si="47"/>
        <v>Peptide197: E3_4_16_4_mRNA -&gt; E3_4_16_4 | (0.278 * E3_4_16_4_mRNA) - (0.000000278 * E3_4_16_4)</v>
      </c>
    </row>
    <row r="199" spans="1:14" x14ac:dyDescent="0.45">
      <c r="A199">
        <v>198</v>
      </c>
      <c r="B199" t="s">
        <v>10396</v>
      </c>
      <c r="C199" t="str">
        <f t="shared" si="36"/>
        <v>E3_4_21_105_mRNA</v>
      </c>
      <c r="D199" t="str">
        <f t="shared" si="37"/>
        <v>E3_4_21_105</v>
      </c>
      <c r="E199" s="39" t="str">
        <f t="shared" si="38"/>
        <v>E3_4_21_105_kcat : 13.7</v>
      </c>
      <c r="F199" s="41" t="str">
        <f t="shared" si="39"/>
        <v>E3_4_21_105_km : 1</v>
      </c>
      <c r="G199" s="34" t="str">
        <f t="shared" si="40"/>
        <v>E3_4_21_105_mRNA : E3_4_21_105_mRNA</v>
      </c>
      <c r="H199" s="35" t="str">
        <f t="shared" si="41"/>
        <v>E3_4_21_105 : E3_4_21_105</v>
      </c>
      <c r="I199" s="36" t="str">
        <f t="shared" si="42"/>
        <v>E3_4_21_105_mRNA : 0</v>
      </c>
      <c r="J199" s="19" t="str">
        <f t="shared" si="43"/>
        <v>E3_4_21_105 : 0</v>
      </c>
      <c r="K199" s="37" t="str">
        <f t="shared" si="44"/>
        <v>0.00292 - (0.0093 * E3_4_21_105_mRNA)</v>
      </c>
      <c r="L199" s="34" t="str">
        <f t="shared" si="45"/>
        <v>(0.278 * E3_4_21_105_mRNA) - (0.00000278 * E3_4_21_105)</v>
      </c>
      <c r="M199" s="38" t="str">
        <f t="shared" si="46"/>
        <v>mRNA198: -&gt; E3_4_21_105_mRNA | 0.00292 - (0.0093 * E3_4_21_105_mRNA)</v>
      </c>
      <c r="N199" s="39" t="str">
        <f t="shared" si="47"/>
        <v>Peptide198: E3_4_21_105_mRNA -&gt; E3_4_21_105 | (0.278 * E3_4_21_105_mRNA) - (0.000000278 * E3_4_21_105)</v>
      </c>
    </row>
    <row r="200" spans="1:14" x14ac:dyDescent="0.45">
      <c r="A200">
        <v>199</v>
      </c>
      <c r="B200" t="s">
        <v>10397</v>
      </c>
      <c r="C200" t="str">
        <f t="shared" si="36"/>
        <v>E3_4_21_88_mRNA</v>
      </c>
      <c r="D200" t="str">
        <f t="shared" si="37"/>
        <v>E3_4_21_88</v>
      </c>
      <c r="E200" s="39" t="str">
        <f t="shared" si="38"/>
        <v>E3_4_21_88_kcat : 13.7</v>
      </c>
      <c r="F200" s="41" t="str">
        <f t="shared" si="39"/>
        <v>E3_4_21_88_km : 1</v>
      </c>
      <c r="G200" s="34" t="str">
        <f t="shared" si="40"/>
        <v>E3_4_21_88_mRNA : E3_4_21_88_mRNA</v>
      </c>
      <c r="H200" s="35" t="str">
        <f t="shared" si="41"/>
        <v>E3_4_21_88 : E3_4_21_88</v>
      </c>
      <c r="I200" s="36" t="str">
        <f t="shared" si="42"/>
        <v>E3_4_21_88_mRNA : 0</v>
      </c>
      <c r="J200" s="19" t="str">
        <f t="shared" si="43"/>
        <v>E3_4_21_88 : 0</v>
      </c>
      <c r="K200" s="37" t="str">
        <f t="shared" si="44"/>
        <v>0.00292 - (0.0093 * E3_4_21_88_mRNA)</v>
      </c>
      <c r="L200" s="34" t="str">
        <f t="shared" si="45"/>
        <v>(0.278 * E3_4_21_88_mRNA) - (0.00000278 * E3_4_21_88)</v>
      </c>
      <c r="M200" s="38" t="str">
        <f t="shared" si="46"/>
        <v>mRNA199: -&gt; E3_4_21_88_mRNA | 0.00292 - (0.0093 * E3_4_21_88_mRNA)</v>
      </c>
      <c r="N200" s="39" t="str">
        <f t="shared" si="47"/>
        <v>Peptide199: E3_4_21_88_mRNA -&gt; E3_4_21_88 | (0.278 * E3_4_21_88_mRNA) - (0.000000278 * E3_4_21_88)</v>
      </c>
    </row>
    <row r="201" spans="1:14" x14ac:dyDescent="0.45">
      <c r="A201">
        <v>200</v>
      </c>
      <c r="B201" t="s">
        <v>10398</v>
      </c>
      <c r="C201" t="str">
        <f t="shared" si="36"/>
        <v>E3_4_21_89_mRNA</v>
      </c>
      <c r="D201" t="str">
        <f t="shared" si="37"/>
        <v>E3_4_21_89</v>
      </c>
      <c r="E201" s="39" t="str">
        <f t="shared" si="38"/>
        <v>E3_4_21_89_kcat : 13.7</v>
      </c>
      <c r="F201" s="41" t="str">
        <f t="shared" si="39"/>
        <v>E3_4_21_89_km : 1</v>
      </c>
      <c r="G201" s="34" t="str">
        <f t="shared" si="40"/>
        <v>E3_4_21_89_mRNA : E3_4_21_89_mRNA</v>
      </c>
      <c r="H201" s="35" t="str">
        <f t="shared" si="41"/>
        <v>E3_4_21_89 : E3_4_21_89</v>
      </c>
      <c r="I201" s="36" t="str">
        <f t="shared" si="42"/>
        <v>E3_4_21_89_mRNA : 0</v>
      </c>
      <c r="J201" s="19" t="str">
        <f t="shared" si="43"/>
        <v>E3_4_21_89 : 0</v>
      </c>
      <c r="K201" s="37" t="str">
        <f t="shared" si="44"/>
        <v>0.00292 - (0.0093 * E3_4_21_89_mRNA)</v>
      </c>
      <c r="L201" s="34" t="str">
        <f t="shared" si="45"/>
        <v>(0.278 * E3_4_21_89_mRNA) - (0.00000278 * E3_4_21_89)</v>
      </c>
      <c r="M201" s="38" t="str">
        <f t="shared" si="46"/>
        <v>mRNA200: -&gt; E3_4_21_89_mRNA | 0.00292 - (0.0093 * E3_4_21_89_mRNA)</v>
      </c>
      <c r="N201" s="39" t="str">
        <f t="shared" si="47"/>
        <v>Peptide200: E3_4_21_89_mRNA -&gt; E3_4_21_89 | (0.278 * E3_4_21_89_mRNA) - (0.000000278 * E3_4_21_89)</v>
      </c>
    </row>
    <row r="202" spans="1:14" x14ac:dyDescent="0.45">
      <c r="A202">
        <v>201</v>
      </c>
      <c r="B202" t="s">
        <v>10399</v>
      </c>
      <c r="C202" t="str">
        <f t="shared" si="36"/>
        <v>E3_4_23_36_mRNA</v>
      </c>
      <c r="D202" t="str">
        <f t="shared" si="37"/>
        <v>E3_4_23_36</v>
      </c>
      <c r="E202" s="39" t="str">
        <f t="shared" si="38"/>
        <v>E3_4_23_36_kcat : 13.7</v>
      </c>
      <c r="F202" s="41" t="str">
        <f t="shared" si="39"/>
        <v>E3_4_23_36_km : 1</v>
      </c>
      <c r="G202" s="34" t="str">
        <f t="shared" si="40"/>
        <v>E3_4_23_36_mRNA : E3_4_23_36_mRNA</v>
      </c>
      <c r="H202" s="35" t="str">
        <f t="shared" si="41"/>
        <v>E3_4_23_36 : E3_4_23_36</v>
      </c>
      <c r="I202" s="36" t="str">
        <f t="shared" si="42"/>
        <v>E3_4_23_36_mRNA : 0</v>
      </c>
      <c r="J202" s="19" t="str">
        <f t="shared" si="43"/>
        <v>E3_4_23_36 : 0</v>
      </c>
      <c r="K202" s="37" t="str">
        <f t="shared" si="44"/>
        <v>0.00292 - (0.0093 * E3_4_23_36_mRNA)</v>
      </c>
      <c r="L202" s="34" t="str">
        <f t="shared" si="45"/>
        <v>(0.278 * E3_4_23_36_mRNA) - (0.00000278 * E3_4_23_36)</v>
      </c>
      <c r="M202" s="38" t="str">
        <f t="shared" si="46"/>
        <v>mRNA201: -&gt; E3_4_23_36_mRNA | 0.00292 - (0.0093 * E3_4_23_36_mRNA)</v>
      </c>
      <c r="N202" s="39" t="str">
        <f t="shared" si="47"/>
        <v>Peptide201: E3_4_23_36_mRNA -&gt; E3_4_23_36 | (0.278 * E3_4_23_36_mRNA) - (0.000000278 * E3_4_23_36)</v>
      </c>
    </row>
    <row r="203" spans="1:14" x14ac:dyDescent="0.45">
      <c r="A203">
        <v>202</v>
      </c>
      <c r="B203" t="s">
        <v>1860</v>
      </c>
      <c r="C203" t="str">
        <f t="shared" si="36"/>
        <v>E3_5_1_25_mRNA</v>
      </c>
      <c r="D203" t="str">
        <f t="shared" si="37"/>
        <v>E3_5_1_25</v>
      </c>
      <c r="E203" s="39" t="str">
        <f t="shared" si="38"/>
        <v>E3_5_1_25_kcat : 13.7</v>
      </c>
      <c r="F203" s="41" t="str">
        <f t="shared" si="39"/>
        <v>E3_5_1_25_km : 1</v>
      </c>
      <c r="G203" s="34" t="str">
        <f t="shared" si="40"/>
        <v>E3_5_1_25_mRNA : E3_5_1_25_mRNA</v>
      </c>
      <c r="H203" s="35" t="str">
        <f t="shared" si="41"/>
        <v>E3_5_1_25 : E3_5_1_25</v>
      </c>
      <c r="I203" s="36" t="str">
        <f t="shared" si="42"/>
        <v>E3_5_1_25_mRNA : 0</v>
      </c>
      <c r="J203" s="19" t="str">
        <f t="shared" si="43"/>
        <v>E3_5_1_25 : 0</v>
      </c>
      <c r="K203" s="37" t="str">
        <f t="shared" si="44"/>
        <v>0.00292 - (0.0093 * E3_5_1_25_mRNA)</v>
      </c>
      <c r="L203" s="34" t="str">
        <f t="shared" si="45"/>
        <v>(0.278 * E3_5_1_25_mRNA) - (0.00000278 * E3_5_1_25)</v>
      </c>
      <c r="M203" s="38" t="str">
        <f t="shared" si="46"/>
        <v>mRNA202: -&gt; E3_5_1_25_mRNA | 0.00292 - (0.0093 * E3_5_1_25_mRNA)</v>
      </c>
      <c r="N203" s="39" t="str">
        <f t="shared" si="47"/>
        <v>Peptide202: E3_5_1_25_mRNA -&gt; E3_5_1_25 | (0.278 * E3_5_1_25_mRNA) - (0.000000278 * E3_5_1_25)</v>
      </c>
    </row>
    <row r="204" spans="1:14" x14ac:dyDescent="0.45">
      <c r="A204">
        <v>203</v>
      </c>
      <c r="B204" t="s">
        <v>10400</v>
      </c>
      <c r="C204" t="str">
        <f t="shared" si="36"/>
        <v>E3_5_1_4_mRNA</v>
      </c>
      <c r="D204" t="str">
        <f t="shared" si="37"/>
        <v>E3_5_1_4</v>
      </c>
      <c r="E204" s="39" t="str">
        <f t="shared" si="38"/>
        <v>E3_5_1_4_kcat : 13.7</v>
      </c>
      <c r="F204" s="41" t="str">
        <f t="shared" si="39"/>
        <v>E3_5_1_4_km : 1</v>
      </c>
      <c r="G204" s="34" t="str">
        <f t="shared" si="40"/>
        <v>E3_5_1_4_mRNA : E3_5_1_4_mRNA</v>
      </c>
      <c r="H204" s="35" t="str">
        <f t="shared" si="41"/>
        <v>E3_5_1_4 : E3_5_1_4</v>
      </c>
      <c r="I204" s="36" t="str">
        <f t="shared" si="42"/>
        <v>E3_5_1_4_mRNA : 0</v>
      </c>
      <c r="J204" s="19" t="str">
        <f t="shared" si="43"/>
        <v>E3_5_1_4 : 0</v>
      </c>
      <c r="K204" s="37" t="str">
        <f t="shared" si="44"/>
        <v>0.00292 - (0.0093 * E3_5_1_4_mRNA)</v>
      </c>
      <c r="L204" s="34" t="str">
        <f t="shared" si="45"/>
        <v>(0.278 * E3_5_1_4_mRNA) - (0.00000278 * E3_5_1_4)</v>
      </c>
      <c r="M204" s="38" t="str">
        <f t="shared" si="46"/>
        <v>mRNA203: -&gt; E3_5_1_4_mRNA | 0.00292 - (0.0093 * E3_5_1_4_mRNA)</v>
      </c>
      <c r="N204" s="39" t="str">
        <f t="shared" si="47"/>
        <v>Peptide203: E3_5_1_4_mRNA -&gt; E3_5_1_4 | (0.278 * E3_5_1_4_mRNA) - (0.000000278 * E3_5_1_4)</v>
      </c>
    </row>
    <row r="205" spans="1:14" x14ac:dyDescent="0.45">
      <c r="A205">
        <v>204</v>
      </c>
      <c r="B205" t="s">
        <v>1891</v>
      </c>
      <c r="C205" t="str">
        <f t="shared" si="36"/>
        <v>E3_5_1_88_mRNA</v>
      </c>
      <c r="D205" t="str">
        <f t="shared" si="37"/>
        <v>E3_5_1_88</v>
      </c>
      <c r="E205" s="39" t="str">
        <f t="shared" si="38"/>
        <v>E3_5_1_88_kcat : 13.7</v>
      </c>
      <c r="F205" s="41" t="str">
        <f t="shared" si="39"/>
        <v>E3_5_1_88_km : 1</v>
      </c>
      <c r="G205" s="34" t="str">
        <f t="shared" si="40"/>
        <v>E3_5_1_88_mRNA : E3_5_1_88_mRNA</v>
      </c>
      <c r="H205" s="35" t="str">
        <f t="shared" si="41"/>
        <v>E3_5_1_88 : E3_5_1_88</v>
      </c>
      <c r="I205" s="36" t="str">
        <f t="shared" si="42"/>
        <v>E3_5_1_88_mRNA : 0</v>
      </c>
      <c r="J205" s="19" t="str">
        <f t="shared" si="43"/>
        <v>E3_5_1_88 : 0</v>
      </c>
      <c r="K205" s="37" t="str">
        <f t="shared" si="44"/>
        <v>0.00292 - (0.0093 * E3_5_1_88_mRNA)</v>
      </c>
      <c r="L205" s="34" t="str">
        <f t="shared" si="45"/>
        <v>(0.278 * E3_5_1_88_mRNA) - (0.00000278 * E3_5_1_88)</v>
      </c>
      <c r="M205" s="38" t="str">
        <f t="shared" si="46"/>
        <v>mRNA204: -&gt; E3_5_1_88_mRNA | 0.00292 - (0.0093 * E3_5_1_88_mRNA)</v>
      </c>
      <c r="N205" s="39" t="str">
        <f t="shared" si="47"/>
        <v>Peptide204: E3_5_1_88_mRNA -&gt; E3_5_1_88 | (0.278 * E3_5_1_88_mRNA) - (0.000000278 * E3_5_1_88)</v>
      </c>
    </row>
    <row r="206" spans="1:14" x14ac:dyDescent="0.45">
      <c r="A206">
        <v>205</v>
      </c>
      <c r="B206" t="s">
        <v>1857</v>
      </c>
      <c r="C206" t="str">
        <f t="shared" si="36"/>
        <v>E3_5_2_3_mRNA</v>
      </c>
      <c r="D206" t="str">
        <f t="shared" si="37"/>
        <v>E3_5_2_3</v>
      </c>
      <c r="E206" s="39" t="str">
        <f t="shared" si="38"/>
        <v>E3_5_2_3_kcat : 13.7</v>
      </c>
      <c r="F206" s="41" t="str">
        <f t="shared" si="39"/>
        <v>E3_5_2_3_km : 1</v>
      </c>
      <c r="G206" s="34" t="str">
        <f t="shared" si="40"/>
        <v>E3_5_2_3_mRNA : E3_5_2_3_mRNA</v>
      </c>
      <c r="H206" s="35" t="str">
        <f t="shared" si="41"/>
        <v>E3_5_2_3 : E3_5_2_3</v>
      </c>
      <c r="I206" s="36" t="str">
        <f t="shared" si="42"/>
        <v>E3_5_2_3_mRNA : 0</v>
      </c>
      <c r="J206" s="19" t="str">
        <f t="shared" si="43"/>
        <v>E3_5_2_3 : 0</v>
      </c>
      <c r="K206" s="37" t="str">
        <f t="shared" si="44"/>
        <v>0.00292 - (0.0093 * E3_5_2_3_mRNA)</v>
      </c>
      <c r="L206" s="34" t="str">
        <f t="shared" si="45"/>
        <v>(0.278 * E3_5_2_3_mRNA) - (0.00000278 * E3_5_2_3)</v>
      </c>
      <c r="M206" s="38" t="str">
        <f t="shared" si="46"/>
        <v>mRNA205: -&gt; E3_5_2_3_mRNA | 0.00292 - (0.0093 * E3_5_2_3_mRNA)</v>
      </c>
      <c r="N206" s="39" t="str">
        <f t="shared" si="47"/>
        <v>Peptide205: E3_5_2_3_mRNA -&gt; E3_5_2_3 | (0.278 * E3_5_2_3_mRNA) - (0.000000278 * E3_5_2_3)</v>
      </c>
    </row>
    <row r="207" spans="1:14" x14ac:dyDescent="0.45">
      <c r="A207">
        <v>206</v>
      </c>
      <c r="B207" t="s">
        <v>10401</v>
      </c>
      <c r="C207" t="str">
        <f t="shared" si="36"/>
        <v>E3_5_3_6_mRNA</v>
      </c>
      <c r="D207" t="str">
        <f t="shared" si="37"/>
        <v>E3_5_3_6</v>
      </c>
      <c r="E207" s="39" t="str">
        <f t="shared" si="38"/>
        <v>E3_5_3_6_kcat : 13.7</v>
      </c>
      <c r="F207" s="41" t="str">
        <f t="shared" si="39"/>
        <v>E3_5_3_6_km : 1</v>
      </c>
      <c r="G207" s="34" t="str">
        <f t="shared" si="40"/>
        <v>E3_5_3_6_mRNA : E3_5_3_6_mRNA</v>
      </c>
      <c r="H207" s="35" t="str">
        <f t="shared" si="41"/>
        <v>E3_5_3_6 : E3_5_3_6</v>
      </c>
      <c r="I207" s="36" t="str">
        <f t="shared" si="42"/>
        <v>E3_5_3_6_mRNA : 0</v>
      </c>
      <c r="J207" s="19" t="str">
        <f t="shared" si="43"/>
        <v>E3_5_3_6 : 0</v>
      </c>
      <c r="K207" s="37" t="str">
        <f t="shared" si="44"/>
        <v>0.00292 - (0.0093 * E3_5_3_6_mRNA)</v>
      </c>
      <c r="L207" s="34" t="str">
        <f t="shared" si="45"/>
        <v>(0.278 * E3_5_3_6_mRNA) - (0.00000278 * E3_5_3_6)</v>
      </c>
      <c r="M207" s="38" t="str">
        <f t="shared" si="46"/>
        <v>mRNA206: -&gt; E3_5_3_6_mRNA | 0.00292 - (0.0093 * E3_5_3_6_mRNA)</v>
      </c>
      <c r="N207" s="39" t="str">
        <f t="shared" si="47"/>
        <v>Peptide206: E3_5_3_6_mRNA -&gt; E3_5_3_6 | (0.278 * E3_5_3_6_mRNA) - (0.000000278 * E3_5_3_6)</v>
      </c>
    </row>
    <row r="208" spans="1:14" x14ac:dyDescent="0.45">
      <c r="A208">
        <v>207</v>
      </c>
      <c r="B208" t="s">
        <v>1838</v>
      </c>
      <c r="C208" t="str">
        <f t="shared" si="36"/>
        <v>E3_5_4_10_mRNA</v>
      </c>
      <c r="D208" t="str">
        <f t="shared" si="37"/>
        <v>E3_5_4_10</v>
      </c>
      <c r="E208" s="39" t="str">
        <f t="shared" si="38"/>
        <v>E3_5_4_10_kcat : 13.7</v>
      </c>
      <c r="F208" s="41" t="str">
        <f t="shared" si="39"/>
        <v>E3_5_4_10_km : 1</v>
      </c>
      <c r="G208" s="34" t="str">
        <f t="shared" si="40"/>
        <v>E3_5_4_10_mRNA : E3_5_4_10_mRNA</v>
      </c>
      <c r="H208" s="35" t="str">
        <f t="shared" si="41"/>
        <v>E3_5_4_10 : E3_5_4_10</v>
      </c>
      <c r="I208" s="36" t="str">
        <f t="shared" si="42"/>
        <v>E3_5_4_10_mRNA : 0</v>
      </c>
      <c r="J208" s="19" t="str">
        <f t="shared" si="43"/>
        <v>E3_5_4_10 : 0</v>
      </c>
      <c r="K208" s="37" t="str">
        <f t="shared" si="44"/>
        <v>0.00292 - (0.0093 * E3_5_4_10_mRNA)</v>
      </c>
      <c r="L208" s="34" t="str">
        <f t="shared" si="45"/>
        <v>(0.278 * E3_5_4_10_mRNA) - (0.00000278 * E3_5_4_10)</v>
      </c>
      <c r="M208" s="38" t="str">
        <f t="shared" si="46"/>
        <v>mRNA207: -&gt; E3_5_4_10_mRNA | 0.00292 - (0.0093 * E3_5_4_10_mRNA)</v>
      </c>
      <c r="N208" s="39" t="str">
        <f t="shared" si="47"/>
        <v>Peptide207: E3_5_4_10_mRNA -&gt; E3_5_4_10 | (0.278 * E3_5_4_10_mRNA) - (0.000000278 * E3_5_4_10)</v>
      </c>
    </row>
    <row r="209" spans="1:14" x14ac:dyDescent="0.45">
      <c r="A209">
        <v>208</v>
      </c>
      <c r="B209" t="s">
        <v>10402</v>
      </c>
      <c r="C209" t="str">
        <f t="shared" si="36"/>
        <v>E3_5_4_12_mRNA</v>
      </c>
      <c r="D209" t="str">
        <f t="shared" si="37"/>
        <v>E3_5_4_12</v>
      </c>
      <c r="E209" s="39" t="str">
        <f t="shared" si="38"/>
        <v>E3_5_4_12_kcat : 13.7</v>
      </c>
      <c r="F209" s="41" t="str">
        <f t="shared" si="39"/>
        <v>E3_5_4_12_km : 1</v>
      </c>
      <c r="G209" s="34" t="str">
        <f t="shared" si="40"/>
        <v>E3_5_4_12_mRNA : E3_5_4_12_mRNA</v>
      </c>
      <c r="H209" s="35" t="str">
        <f t="shared" si="41"/>
        <v>E3_5_4_12 : E3_5_4_12</v>
      </c>
      <c r="I209" s="36" t="str">
        <f t="shared" si="42"/>
        <v>E3_5_4_12_mRNA : 0</v>
      </c>
      <c r="J209" s="19" t="str">
        <f t="shared" si="43"/>
        <v>E3_5_4_12 : 0</v>
      </c>
      <c r="K209" s="37" t="str">
        <f t="shared" si="44"/>
        <v>0.00292 - (0.0093 * E3_5_4_12_mRNA)</v>
      </c>
      <c r="L209" s="34" t="str">
        <f t="shared" si="45"/>
        <v>(0.278 * E3_5_4_12_mRNA) - (0.00000278 * E3_5_4_12)</v>
      </c>
      <c r="M209" s="38" t="str">
        <f t="shared" si="46"/>
        <v>mRNA208: -&gt; E3_5_4_12_mRNA | 0.00292 - (0.0093 * E3_5_4_12_mRNA)</v>
      </c>
      <c r="N209" s="39" t="str">
        <f t="shared" si="47"/>
        <v>Peptide208: E3_5_4_12_mRNA -&gt; E3_5_4_12 | (0.278 * E3_5_4_12_mRNA) - (0.000000278 * E3_5_4_12)</v>
      </c>
    </row>
    <row r="210" spans="1:14" x14ac:dyDescent="0.45">
      <c r="A210">
        <v>209</v>
      </c>
      <c r="B210" t="s">
        <v>10403</v>
      </c>
      <c r="C210" t="str">
        <f t="shared" si="36"/>
        <v>E3_5_4_16_mRNA</v>
      </c>
      <c r="D210" t="str">
        <f t="shared" si="37"/>
        <v>E3_5_4_16</v>
      </c>
      <c r="E210" s="39" t="str">
        <f t="shared" si="38"/>
        <v>E3_5_4_16_kcat : 13.7</v>
      </c>
      <c r="F210" s="41" t="str">
        <f t="shared" si="39"/>
        <v>E3_5_4_16_km : 1</v>
      </c>
      <c r="G210" s="34" t="str">
        <f t="shared" si="40"/>
        <v>E3_5_4_16_mRNA : E3_5_4_16_mRNA</v>
      </c>
      <c r="H210" s="35" t="str">
        <f t="shared" si="41"/>
        <v>E3_5_4_16 : E3_5_4_16</v>
      </c>
      <c r="I210" s="36" t="str">
        <f t="shared" si="42"/>
        <v>E3_5_4_16_mRNA : 0</v>
      </c>
      <c r="J210" s="19" t="str">
        <f t="shared" si="43"/>
        <v>E3_5_4_16 : 0</v>
      </c>
      <c r="K210" s="37" t="str">
        <f t="shared" si="44"/>
        <v>0.00292 - (0.0093 * E3_5_4_16_mRNA)</v>
      </c>
      <c r="L210" s="34" t="str">
        <f t="shared" si="45"/>
        <v>(0.278 * E3_5_4_16_mRNA) - (0.00000278 * E3_5_4_16)</v>
      </c>
      <c r="M210" s="38" t="str">
        <f t="shared" si="46"/>
        <v>mRNA209: -&gt; E3_5_4_16_mRNA | 0.00292 - (0.0093 * E3_5_4_16_mRNA)</v>
      </c>
      <c r="N210" s="39" t="str">
        <f t="shared" si="47"/>
        <v>Peptide209: E3_5_4_16_mRNA -&gt; E3_5_4_16 | (0.278 * E3_5_4_16_mRNA) - (0.000000278 * E3_5_4_16)</v>
      </c>
    </row>
    <row r="211" spans="1:14" x14ac:dyDescent="0.45">
      <c r="A211">
        <v>210</v>
      </c>
      <c r="B211" t="s">
        <v>1900</v>
      </c>
      <c r="C211" t="str">
        <f t="shared" si="36"/>
        <v>E3_5_4_33_mRNA</v>
      </c>
      <c r="D211" t="str">
        <f t="shared" si="37"/>
        <v>E3_5_4_33</v>
      </c>
      <c r="E211" s="39" t="str">
        <f t="shared" si="38"/>
        <v>E3_5_4_33_kcat : 13.7</v>
      </c>
      <c r="F211" s="41" t="str">
        <f t="shared" si="39"/>
        <v>E3_5_4_33_km : 1</v>
      </c>
      <c r="G211" s="34" t="str">
        <f t="shared" si="40"/>
        <v>E3_5_4_33_mRNA : E3_5_4_33_mRNA</v>
      </c>
      <c r="H211" s="35" t="str">
        <f t="shared" si="41"/>
        <v>E3_5_4_33 : E3_5_4_33</v>
      </c>
      <c r="I211" s="36" t="str">
        <f t="shared" si="42"/>
        <v>E3_5_4_33_mRNA : 0</v>
      </c>
      <c r="J211" s="19" t="str">
        <f t="shared" si="43"/>
        <v>E3_5_4_33 : 0</v>
      </c>
      <c r="K211" s="37" t="str">
        <f t="shared" si="44"/>
        <v>0.00292 - (0.0093 * E3_5_4_33_mRNA)</v>
      </c>
      <c r="L211" s="34" t="str">
        <f t="shared" si="45"/>
        <v>(0.278 * E3_5_4_33_mRNA) - (0.00000278 * E3_5_4_33)</v>
      </c>
      <c r="M211" s="38" t="str">
        <f t="shared" si="46"/>
        <v>mRNA210: -&gt; E3_5_4_33_mRNA | 0.00292 - (0.0093 * E3_5_4_33_mRNA)</v>
      </c>
      <c r="N211" s="39" t="str">
        <f t="shared" si="47"/>
        <v>Peptide210: E3_5_4_33_mRNA -&gt; E3_5_4_33 | (0.278 * E3_5_4_33_mRNA) - (0.000000278 * E3_5_4_33)</v>
      </c>
    </row>
    <row r="212" spans="1:14" x14ac:dyDescent="0.45">
      <c r="A212">
        <v>211</v>
      </c>
      <c r="B212" t="s">
        <v>1851</v>
      </c>
      <c r="C212" t="str">
        <f t="shared" si="36"/>
        <v>E3_5_4_4_mRNA</v>
      </c>
      <c r="D212" t="str">
        <f t="shared" si="37"/>
        <v>E3_5_4_4</v>
      </c>
      <c r="E212" s="39" t="str">
        <f t="shared" si="38"/>
        <v>E3_5_4_4_kcat : 13.7</v>
      </c>
      <c r="F212" s="41" t="str">
        <f t="shared" si="39"/>
        <v>E3_5_4_4_km : 1</v>
      </c>
      <c r="G212" s="34" t="str">
        <f t="shared" si="40"/>
        <v>E3_5_4_4_mRNA : E3_5_4_4_mRNA</v>
      </c>
      <c r="H212" s="35" t="str">
        <f t="shared" si="41"/>
        <v>E3_5_4_4 : E3_5_4_4</v>
      </c>
      <c r="I212" s="36" t="str">
        <f t="shared" si="42"/>
        <v>E3_5_4_4_mRNA : 0</v>
      </c>
      <c r="J212" s="19" t="str">
        <f t="shared" si="43"/>
        <v>E3_5_4_4 : 0</v>
      </c>
      <c r="K212" s="37" t="str">
        <f t="shared" si="44"/>
        <v>0.00292 - (0.0093 * E3_5_4_4_mRNA)</v>
      </c>
      <c r="L212" s="34" t="str">
        <f t="shared" si="45"/>
        <v>(0.278 * E3_5_4_4_mRNA) - (0.00000278 * E3_5_4_4)</v>
      </c>
      <c r="M212" s="38" t="str">
        <f t="shared" si="46"/>
        <v>mRNA211: -&gt; E3_5_4_4_mRNA | 0.00292 - (0.0093 * E3_5_4_4_mRNA)</v>
      </c>
      <c r="N212" s="39" t="str">
        <f t="shared" si="47"/>
        <v>Peptide211: E3_5_4_4_mRNA -&gt; E3_5_4_4 | (0.278 * E3_5_4_4_mRNA) - (0.000000278 * E3_5_4_4)</v>
      </c>
    </row>
    <row r="213" spans="1:14" x14ac:dyDescent="0.45">
      <c r="A213">
        <v>212</v>
      </c>
      <c r="B213" t="s">
        <v>10404</v>
      </c>
      <c r="C213" t="str">
        <f t="shared" si="36"/>
        <v>E3_5_4_5_mRNA</v>
      </c>
      <c r="D213" t="str">
        <f t="shared" si="37"/>
        <v>E3_5_4_5</v>
      </c>
      <c r="E213" s="39" t="str">
        <f t="shared" si="38"/>
        <v>E3_5_4_5_kcat : 13.7</v>
      </c>
      <c r="F213" s="41" t="str">
        <f t="shared" si="39"/>
        <v>E3_5_4_5_km : 1</v>
      </c>
      <c r="G213" s="34" t="str">
        <f t="shared" si="40"/>
        <v>E3_5_4_5_mRNA : E3_5_4_5_mRNA</v>
      </c>
      <c r="H213" s="35" t="str">
        <f t="shared" si="41"/>
        <v>E3_5_4_5 : E3_5_4_5</v>
      </c>
      <c r="I213" s="36" t="str">
        <f t="shared" si="42"/>
        <v>E3_5_4_5_mRNA : 0</v>
      </c>
      <c r="J213" s="19" t="str">
        <f t="shared" si="43"/>
        <v>E3_5_4_5 : 0</v>
      </c>
      <c r="K213" s="37" t="str">
        <f t="shared" si="44"/>
        <v>0.00292 - (0.0093 * E3_5_4_5_mRNA)</v>
      </c>
      <c r="L213" s="34" t="str">
        <f t="shared" si="45"/>
        <v>(0.278 * E3_5_4_5_mRNA) - (0.00000278 * E3_5_4_5)</v>
      </c>
      <c r="M213" s="38" t="str">
        <f t="shared" si="46"/>
        <v>mRNA212: -&gt; E3_5_4_5_mRNA | 0.00292 - (0.0093 * E3_5_4_5_mRNA)</v>
      </c>
      <c r="N213" s="39" t="str">
        <f t="shared" si="47"/>
        <v>Peptide212: E3_5_4_5_mRNA -&gt; E3_5_4_5 | (0.278 * E3_5_4_5_mRNA) - (0.000000278 * E3_5_4_5)</v>
      </c>
    </row>
    <row r="214" spans="1:14" x14ac:dyDescent="0.45">
      <c r="A214">
        <v>213</v>
      </c>
      <c r="B214" t="s">
        <v>1858</v>
      </c>
      <c r="C214" t="str">
        <f t="shared" si="36"/>
        <v>E3_5_99_6_mRNA</v>
      </c>
      <c r="D214" t="str">
        <f t="shared" si="37"/>
        <v>E3_5_99_6</v>
      </c>
      <c r="E214" s="39" t="str">
        <f t="shared" si="38"/>
        <v>E3_5_99_6_kcat : 13.7</v>
      </c>
      <c r="F214" s="41" t="str">
        <f t="shared" si="39"/>
        <v>E3_5_99_6_km : 1</v>
      </c>
      <c r="G214" s="34" t="str">
        <f t="shared" si="40"/>
        <v>E3_5_99_6_mRNA : E3_5_99_6_mRNA</v>
      </c>
      <c r="H214" s="35" t="str">
        <f t="shared" si="41"/>
        <v>E3_5_99_6 : E3_5_99_6</v>
      </c>
      <c r="I214" s="36" t="str">
        <f t="shared" si="42"/>
        <v>E3_5_99_6_mRNA : 0</v>
      </c>
      <c r="J214" s="19" t="str">
        <f t="shared" si="43"/>
        <v>E3_5_99_6 : 0</v>
      </c>
      <c r="K214" s="37" t="str">
        <f t="shared" si="44"/>
        <v>0.00292 - (0.0093 * E3_5_99_6_mRNA)</v>
      </c>
      <c r="L214" s="34" t="str">
        <f t="shared" si="45"/>
        <v>(0.278 * E3_5_99_6_mRNA) - (0.00000278 * E3_5_99_6)</v>
      </c>
      <c r="M214" s="38" t="str">
        <f t="shared" si="46"/>
        <v>mRNA213: -&gt; E3_5_99_6_mRNA | 0.00292 - (0.0093 * E3_5_99_6_mRNA)</v>
      </c>
      <c r="N214" s="39" t="str">
        <f t="shared" si="47"/>
        <v>Peptide213: E3_5_99_6_mRNA -&gt; E3_5_99_6 | (0.278 * E3_5_99_6_mRNA) - (0.000000278 * E3_5_99_6)</v>
      </c>
    </row>
    <row r="215" spans="1:14" x14ac:dyDescent="0.45">
      <c r="A215">
        <v>214</v>
      </c>
      <c r="B215" t="s">
        <v>1793</v>
      </c>
      <c r="C215" t="str">
        <f t="shared" si="36"/>
        <v>E3_6_1_1_mRNA</v>
      </c>
      <c r="D215" t="str">
        <f t="shared" si="37"/>
        <v>E3_6_1_1</v>
      </c>
      <c r="E215" s="39" t="str">
        <f t="shared" si="38"/>
        <v>E3_6_1_1_kcat : 13.7</v>
      </c>
      <c r="F215" s="41" t="str">
        <f t="shared" si="39"/>
        <v>E3_6_1_1_km : 1</v>
      </c>
      <c r="G215" s="34" t="str">
        <f t="shared" si="40"/>
        <v>E3_6_1_1_mRNA : E3_6_1_1_mRNA</v>
      </c>
      <c r="H215" s="35" t="str">
        <f t="shared" si="41"/>
        <v>E3_6_1_1 : E3_6_1_1</v>
      </c>
      <c r="I215" s="36" t="str">
        <f t="shared" si="42"/>
        <v>E3_6_1_1_mRNA : 0</v>
      </c>
      <c r="J215" s="19" t="str">
        <f t="shared" si="43"/>
        <v>E3_6_1_1 : 0</v>
      </c>
      <c r="K215" s="37" t="str">
        <f t="shared" si="44"/>
        <v>0.00292 - (0.0093 * E3_6_1_1_mRNA)</v>
      </c>
      <c r="L215" s="34" t="str">
        <f t="shared" si="45"/>
        <v>(0.278 * E3_6_1_1_mRNA) - (0.00000278 * E3_6_1_1)</v>
      </c>
      <c r="M215" s="38" t="str">
        <f t="shared" si="46"/>
        <v>mRNA214: -&gt; E3_6_1_1_mRNA | 0.00292 - (0.0093 * E3_6_1_1_mRNA)</v>
      </c>
      <c r="N215" s="39" t="str">
        <f t="shared" si="47"/>
        <v>Peptide214: E3_6_1_1_mRNA -&gt; E3_6_1_1 | (0.278 * E3_6_1_1_mRNA) - (0.000000278 * E3_6_1_1)</v>
      </c>
    </row>
    <row r="216" spans="1:14" x14ac:dyDescent="0.45">
      <c r="A216">
        <v>215</v>
      </c>
      <c r="B216" t="s">
        <v>10405</v>
      </c>
      <c r="C216" t="str">
        <f t="shared" si="36"/>
        <v>E3_6_1_23_mRNA</v>
      </c>
      <c r="D216" t="str">
        <f t="shared" si="37"/>
        <v>E3_6_1_23</v>
      </c>
      <c r="E216" s="39" t="str">
        <f t="shared" si="38"/>
        <v>E3_6_1_23_kcat : 13.7</v>
      </c>
      <c r="F216" s="41" t="str">
        <f t="shared" si="39"/>
        <v>E3_6_1_23_km : 1</v>
      </c>
      <c r="G216" s="34" t="str">
        <f t="shared" si="40"/>
        <v>E3_6_1_23_mRNA : E3_6_1_23_mRNA</v>
      </c>
      <c r="H216" s="35" t="str">
        <f t="shared" si="41"/>
        <v>E3_6_1_23 : E3_6_1_23</v>
      </c>
      <c r="I216" s="36" t="str">
        <f t="shared" si="42"/>
        <v>E3_6_1_23_mRNA : 0</v>
      </c>
      <c r="J216" s="19" t="str">
        <f t="shared" si="43"/>
        <v>E3_6_1_23 : 0</v>
      </c>
      <c r="K216" s="37" t="str">
        <f t="shared" si="44"/>
        <v>0.00292 - (0.0093 * E3_6_1_23_mRNA)</v>
      </c>
      <c r="L216" s="34" t="str">
        <f t="shared" si="45"/>
        <v>(0.278 * E3_6_1_23_mRNA) - (0.00000278 * E3_6_1_23)</v>
      </c>
      <c r="M216" s="38" t="str">
        <f t="shared" si="46"/>
        <v>mRNA215: -&gt; E3_6_1_23_mRNA | 0.00292 - (0.0093 * E3_6_1_23_mRNA)</v>
      </c>
      <c r="N216" s="39" t="str">
        <f t="shared" si="47"/>
        <v>Peptide215: E3_6_1_23_mRNA -&gt; E3_6_1_23 | (0.278 * E3_6_1_23_mRNA) - (0.000000278 * E3_6_1_23)</v>
      </c>
    </row>
    <row r="217" spans="1:14" x14ac:dyDescent="0.45">
      <c r="A217">
        <v>216</v>
      </c>
      <c r="B217" t="s">
        <v>10406</v>
      </c>
      <c r="C217" t="str">
        <f t="shared" si="36"/>
        <v>E3_6_1_25_mRNA</v>
      </c>
      <c r="D217" t="str">
        <f t="shared" si="37"/>
        <v>E3_6_1_25</v>
      </c>
      <c r="E217" s="39" t="str">
        <f t="shared" si="38"/>
        <v>E3_6_1_25_kcat : 13.7</v>
      </c>
      <c r="F217" s="41" t="str">
        <f t="shared" si="39"/>
        <v>E3_6_1_25_km : 1</v>
      </c>
      <c r="G217" s="34" t="str">
        <f t="shared" si="40"/>
        <v>E3_6_1_25_mRNA : E3_6_1_25_mRNA</v>
      </c>
      <c r="H217" s="35" t="str">
        <f t="shared" si="41"/>
        <v>E3_6_1_25 : E3_6_1_25</v>
      </c>
      <c r="I217" s="36" t="str">
        <f t="shared" si="42"/>
        <v>E3_6_1_25_mRNA : 0</v>
      </c>
      <c r="J217" s="19" t="str">
        <f t="shared" si="43"/>
        <v>E3_6_1_25 : 0</v>
      </c>
      <c r="K217" s="37" t="str">
        <f t="shared" si="44"/>
        <v>0.00292 - (0.0093 * E3_6_1_25_mRNA)</v>
      </c>
      <c r="L217" s="34" t="str">
        <f t="shared" si="45"/>
        <v>(0.278 * E3_6_1_25_mRNA) - (0.00000278 * E3_6_1_25)</v>
      </c>
      <c r="M217" s="38" t="str">
        <f t="shared" si="46"/>
        <v>mRNA216: -&gt; E3_6_1_25_mRNA | 0.00292 - (0.0093 * E3_6_1_25_mRNA)</v>
      </c>
      <c r="N217" s="39" t="str">
        <f t="shared" si="47"/>
        <v>Peptide216: E3_6_1_25_mRNA -&gt; E3_6_1_25 | (0.278 * E3_6_1_25_mRNA) - (0.000000278 * E3_6_1_25)</v>
      </c>
    </row>
    <row r="218" spans="1:14" x14ac:dyDescent="0.45">
      <c r="A218">
        <v>217</v>
      </c>
      <c r="B218" t="s">
        <v>10407</v>
      </c>
      <c r="C218" t="str">
        <f t="shared" si="36"/>
        <v>E3_6_1_27_mRNA</v>
      </c>
      <c r="D218" t="str">
        <f t="shared" si="37"/>
        <v>E3_6_1_27</v>
      </c>
      <c r="E218" s="39" t="str">
        <f t="shared" si="38"/>
        <v>E3_6_1_27_kcat : 13.7</v>
      </c>
      <c r="F218" s="41" t="str">
        <f t="shared" si="39"/>
        <v>E3_6_1_27_km : 1</v>
      </c>
      <c r="G218" s="34" t="str">
        <f t="shared" si="40"/>
        <v>E3_6_1_27_mRNA : E3_6_1_27_mRNA</v>
      </c>
      <c r="H218" s="35" t="str">
        <f t="shared" si="41"/>
        <v>E3_6_1_27 : E3_6_1_27</v>
      </c>
      <c r="I218" s="36" t="str">
        <f t="shared" si="42"/>
        <v>E3_6_1_27_mRNA : 0</v>
      </c>
      <c r="J218" s="19" t="str">
        <f t="shared" si="43"/>
        <v>E3_6_1_27 : 0</v>
      </c>
      <c r="K218" s="37" t="str">
        <f t="shared" si="44"/>
        <v>0.00292 - (0.0093 * E3_6_1_27_mRNA)</v>
      </c>
      <c r="L218" s="34" t="str">
        <f t="shared" si="45"/>
        <v>(0.278 * E3_6_1_27_mRNA) - (0.00000278 * E3_6_1_27)</v>
      </c>
      <c r="M218" s="38" t="str">
        <f t="shared" si="46"/>
        <v>mRNA217: -&gt; E3_6_1_27_mRNA | 0.00292 - (0.0093 * E3_6_1_27_mRNA)</v>
      </c>
      <c r="N218" s="39" t="str">
        <f t="shared" si="47"/>
        <v>Peptide217: E3_6_1_27_mRNA -&gt; E3_6_1_27 | (0.278 * E3_6_1_27_mRNA) - (0.000000278 * E3_6_1_27)</v>
      </c>
    </row>
    <row r="219" spans="1:14" x14ac:dyDescent="0.45">
      <c r="A219">
        <v>218</v>
      </c>
      <c r="B219" t="s">
        <v>1878</v>
      </c>
      <c r="C219" t="str">
        <f t="shared" si="36"/>
        <v>E3_6_1_41_mRNA</v>
      </c>
      <c r="D219" t="str">
        <f t="shared" si="37"/>
        <v>E3_6_1_41</v>
      </c>
      <c r="E219" s="39" t="str">
        <f t="shared" si="38"/>
        <v>E3_6_1_41_kcat : 13.7</v>
      </c>
      <c r="F219" s="41" t="str">
        <f t="shared" si="39"/>
        <v>E3_6_1_41_km : 1</v>
      </c>
      <c r="G219" s="34" t="str">
        <f t="shared" si="40"/>
        <v>E3_6_1_41_mRNA : E3_6_1_41_mRNA</v>
      </c>
      <c r="H219" s="35" t="str">
        <f t="shared" si="41"/>
        <v>E3_6_1_41 : E3_6_1_41</v>
      </c>
      <c r="I219" s="36" t="str">
        <f t="shared" si="42"/>
        <v>E3_6_1_41_mRNA : 0</v>
      </c>
      <c r="J219" s="19" t="str">
        <f t="shared" si="43"/>
        <v>E3_6_1_41 : 0</v>
      </c>
      <c r="K219" s="37" t="str">
        <f t="shared" si="44"/>
        <v>0.00292 - (0.0093 * E3_6_1_41_mRNA)</v>
      </c>
      <c r="L219" s="34" t="str">
        <f t="shared" si="45"/>
        <v>(0.278 * E3_6_1_41_mRNA) - (0.00000278 * E3_6_1_41)</v>
      </c>
      <c r="M219" s="38" t="str">
        <f t="shared" si="46"/>
        <v>mRNA218: -&gt; E3_6_1_41_mRNA | 0.00292 - (0.0093 * E3_6_1_41_mRNA)</v>
      </c>
      <c r="N219" s="39" t="str">
        <f t="shared" si="47"/>
        <v>Peptide218: E3_6_1_41_mRNA -&gt; E3_6_1_41 | (0.278 * E3_6_1_41_mRNA) - (0.000000278 * E3_6_1_41)</v>
      </c>
    </row>
    <row r="220" spans="1:14" x14ac:dyDescent="0.45">
      <c r="A220">
        <v>219</v>
      </c>
      <c r="B220" t="s">
        <v>10408</v>
      </c>
      <c r="C220" t="str">
        <f t="shared" si="36"/>
        <v>E3_6_4_12_mRNA</v>
      </c>
      <c r="D220" t="str">
        <f t="shared" si="37"/>
        <v>E3_6_4_12</v>
      </c>
      <c r="E220" s="39" t="str">
        <f t="shared" si="38"/>
        <v>E3_6_4_12_kcat : 13.7</v>
      </c>
      <c r="F220" s="41" t="str">
        <f t="shared" si="39"/>
        <v>E3_6_4_12_km : 1</v>
      </c>
      <c r="G220" s="34" t="str">
        <f t="shared" si="40"/>
        <v>E3_6_4_12_mRNA : E3_6_4_12_mRNA</v>
      </c>
      <c r="H220" s="35" t="str">
        <f t="shared" si="41"/>
        <v>E3_6_4_12 : E3_6_4_12</v>
      </c>
      <c r="I220" s="36" t="str">
        <f t="shared" si="42"/>
        <v>E3_6_4_12_mRNA : 0</v>
      </c>
      <c r="J220" s="19" t="str">
        <f t="shared" si="43"/>
        <v>E3_6_4_12 : 0</v>
      </c>
      <c r="K220" s="37" t="str">
        <f t="shared" si="44"/>
        <v>0.00292 - (0.0093 * E3_6_4_12_mRNA)</v>
      </c>
      <c r="L220" s="34" t="str">
        <f t="shared" si="45"/>
        <v>(0.278 * E3_6_4_12_mRNA) - (0.00000278 * E3_6_4_12)</v>
      </c>
      <c r="M220" s="38" t="str">
        <f t="shared" si="46"/>
        <v>mRNA219: -&gt; E3_6_4_12_mRNA | 0.00292 - (0.0093 * E3_6_4_12_mRNA)</v>
      </c>
      <c r="N220" s="39" t="str">
        <f t="shared" si="47"/>
        <v>Peptide219: E3_6_4_12_mRNA -&gt; E3_6_4_12 | (0.278 * E3_6_4_12_mRNA) - (0.000000278 * E3_6_4_12)</v>
      </c>
    </row>
    <row r="221" spans="1:14" x14ac:dyDescent="0.45">
      <c r="A221">
        <v>220</v>
      </c>
      <c r="B221" t="s">
        <v>10409</v>
      </c>
      <c r="C221" t="str">
        <f t="shared" si="36"/>
        <v>E3_6_5_n1_mRNA</v>
      </c>
      <c r="D221" t="str">
        <f t="shared" si="37"/>
        <v>E3_6_5_n1</v>
      </c>
      <c r="E221" s="39" t="str">
        <f t="shared" si="38"/>
        <v>E3_6_5_n1_kcat : 13.7</v>
      </c>
      <c r="F221" s="41" t="str">
        <f t="shared" si="39"/>
        <v>E3_6_5_n1_km : 1</v>
      </c>
      <c r="G221" s="34" t="str">
        <f t="shared" si="40"/>
        <v>E3_6_5_n1_mRNA : E3_6_5_n1_mRNA</v>
      </c>
      <c r="H221" s="35" t="str">
        <f t="shared" si="41"/>
        <v>E3_6_5_n1 : E3_6_5_n1</v>
      </c>
      <c r="I221" s="36" t="str">
        <f t="shared" si="42"/>
        <v>E3_6_5_n1_mRNA : 0</v>
      </c>
      <c r="J221" s="19" t="str">
        <f t="shared" si="43"/>
        <v>E3_6_5_n1 : 0</v>
      </c>
      <c r="K221" s="37" t="str">
        <f t="shared" si="44"/>
        <v>0.00292 - (0.0093 * E3_6_5_n1_mRNA)</v>
      </c>
      <c r="L221" s="34" t="str">
        <f t="shared" si="45"/>
        <v>(0.278 * E3_6_5_n1_mRNA) - (0.00000278 * E3_6_5_n1)</v>
      </c>
      <c r="M221" s="38" t="str">
        <f t="shared" si="46"/>
        <v>mRNA220: -&gt; E3_6_5_n1_mRNA | 0.00292 - (0.0093 * E3_6_5_n1_mRNA)</v>
      </c>
      <c r="N221" s="39" t="str">
        <f t="shared" si="47"/>
        <v>Peptide220: E3_6_5_n1_mRNA -&gt; E3_6_5_n1 | (0.278 * E3_6_5_n1_mRNA) - (0.000000278 * E3_6_5_n1)</v>
      </c>
    </row>
    <row r="222" spans="1:14" x14ac:dyDescent="0.45">
      <c r="A222">
        <v>221</v>
      </c>
      <c r="B222" t="s">
        <v>10410</v>
      </c>
      <c r="C222" t="str">
        <f t="shared" si="36"/>
        <v>E4_1_1_112_mRNA</v>
      </c>
      <c r="D222" t="str">
        <f t="shared" si="37"/>
        <v>E4_1_1_112</v>
      </c>
      <c r="E222" s="39" t="str">
        <f t="shared" si="38"/>
        <v>E4_1_1_112_kcat : 13.7</v>
      </c>
      <c r="F222" s="41" t="str">
        <f t="shared" si="39"/>
        <v>E4_1_1_112_km : 1</v>
      </c>
      <c r="G222" s="34" t="str">
        <f t="shared" si="40"/>
        <v>E4_1_1_112_mRNA : E4_1_1_112_mRNA</v>
      </c>
      <c r="H222" s="35" t="str">
        <f t="shared" si="41"/>
        <v>E4_1_1_112 : E4_1_1_112</v>
      </c>
      <c r="I222" s="36" t="str">
        <f t="shared" si="42"/>
        <v>E4_1_1_112_mRNA : 0</v>
      </c>
      <c r="J222" s="19" t="str">
        <f t="shared" si="43"/>
        <v>E4_1_1_112 : 0</v>
      </c>
      <c r="K222" s="37" t="str">
        <f t="shared" si="44"/>
        <v>0.00292 - (0.0093 * E4_1_1_112_mRNA)</v>
      </c>
      <c r="L222" s="34" t="str">
        <f t="shared" si="45"/>
        <v>(0.278 * E4_1_1_112_mRNA) - (0.00000278 * E4_1_1_112)</v>
      </c>
      <c r="M222" s="38" t="str">
        <f t="shared" si="46"/>
        <v>mRNA221: -&gt; E4_1_1_112_mRNA | 0.00292 - (0.0093 * E4_1_1_112_mRNA)</v>
      </c>
      <c r="N222" s="39" t="str">
        <f t="shared" si="47"/>
        <v>Peptide221: E4_1_1_112_mRNA -&gt; E4_1_1_112 | (0.278 * E4_1_1_112_mRNA) - (0.000000278 * E4_1_1_112)</v>
      </c>
    </row>
    <row r="223" spans="1:14" x14ac:dyDescent="0.45">
      <c r="A223">
        <v>222</v>
      </c>
      <c r="B223" t="s">
        <v>1894</v>
      </c>
      <c r="C223" t="str">
        <f t="shared" si="36"/>
        <v>E4_1_1_21_mRNA</v>
      </c>
      <c r="D223" t="str">
        <f t="shared" si="37"/>
        <v>E4_1_1_21</v>
      </c>
      <c r="E223" s="39" t="str">
        <f t="shared" si="38"/>
        <v>E4_1_1_21_kcat : 13.7</v>
      </c>
      <c r="F223" s="41" t="str">
        <f t="shared" si="39"/>
        <v>E4_1_1_21_km : 1</v>
      </c>
      <c r="G223" s="34" t="str">
        <f t="shared" si="40"/>
        <v>E4_1_1_21_mRNA : E4_1_1_21_mRNA</v>
      </c>
      <c r="H223" s="35" t="str">
        <f t="shared" si="41"/>
        <v>E4_1_1_21 : E4_1_1_21</v>
      </c>
      <c r="I223" s="36" t="str">
        <f t="shared" si="42"/>
        <v>E4_1_1_21_mRNA : 0</v>
      </c>
      <c r="J223" s="19" t="str">
        <f t="shared" si="43"/>
        <v>E4_1_1_21 : 0</v>
      </c>
      <c r="K223" s="37" t="str">
        <f t="shared" si="44"/>
        <v>0.00292 - (0.0093 * E4_1_1_21_mRNA)</v>
      </c>
      <c r="L223" s="34" t="str">
        <f t="shared" si="45"/>
        <v>(0.278 * E4_1_1_21_mRNA) - (0.00000278 * E4_1_1_21)</v>
      </c>
      <c r="M223" s="38" t="str">
        <f t="shared" si="46"/>
        <v>mRNA222: -&gt; E4_1_1_21_mRNA | 0.00292 - (0.0093 * E4_1_1_21_mRNA)</v>
      </c>
      <c r="N223" s="39" t="str">
        <f t="shared" si="47"/>
        <v>Peptide222: E4_1_1_21_mRNA -&gt; E4_1_1_21 | (0.278 * E4_1_1_21_mRNA) - (0.000000278 * E4_1_1_21)</v>
      </c>
    </row>
    <row r="224" spans="1:14" x14ac:dyDescent="0.45">
      <c r="A224">
        <v>223</v>
      </c>
      <c r="B224" t="s">
        <v>1874</v>
      </c>
      <c r="C224" t="str">
        <f t="shared" si="36"/>
        <v>E4_1_1_23_mRNA</v>
      </c>
      <c r="D224" t="str">
        <f t="shared" si="37"/>
        <v>E4_1_1_23</v>
      </c>
      <c r="E224" s="39" t="str">
        <f t="shared" si="38"/>
        <v>E4_1_1_23_kcat : 13.7</v>
      </c>
      <c r="F224" s="41" t="str">
        <f t="shared" si="39"/>
        <v>E4_1_1_23_km : 1</v>
      </c>
      <c r="G224" s="34" t="str">
        <f t="shared" si="40"/>
        <v>E4_1_1_23_mRNA : E4_1_1_23_mRNA</v>
      </c>
      <c r="H224" s="35" t="str">
        <f t="shared" si="41"/>
        <v>E4_1_1_23 : E4_1_1_23</v>
      </c>
      <c r="I224" s="36" t="str">
        <f t="shared" si="42"/>
        <v>E4_1_1_23_mRNA : 0</v>
      </c>
      <c r="J224" s="19" t="str">
        <f t="shared" si="43"/>
        <v>E4_1_1_23 : 0</v>
      </c>
      <c r="K224" s="37" t="str">
        <f t="shared" si="44"/>
        <v>0.00292 - (0.0093 * E4_1_1_23_mRNA)</v>
      </c>
      <c r="L224" s="34" t="str">
        <f t="shared" si="45"/>
        <v>(0.278 * E4_1_1_23_mRNA) - (0.00000278 * E4_1_1_23)</v>
      </c>
      <c r="M224" s="38" t="str">
        <f t="shared" si="46"/>
        <v>mRNA223: -&gt; E4_1_1_23_mRNA | 0.00292 - (0.0093 * E4_1_1_23_mRNA)</v>
      </c>
      <c r="N224" s="39" t="str">
        <f t="shared" si="47"/>
        <v>Peptide223: E4_1_1_23_mRNA -&gt; E4_1_1_23 | (0.278 * E4_1_1_23_mRNA) - (0.000000278 * E4_1_1_23)</v>
      </c>
    </row>
    <row r="225" spans="1:14" x14ac:dyDescent="0.45">
      <c r="A225">
        <v>224</v>
      </c>
      <c r="B225" t="s">
        <v>1791</v>
      </c>
      <c r="C225" t="str">
        <f t="shared" si="36"/>
        <v>E4_1_1_31_mRNA</v>
      </c>
      <c r="D225" t="str">
        <f t="shared" si="37"/>
        <v>E4_1_1_31</v>
      </c>
      <c r="E225" s="39" t="str">
        <f t="shared" si="38"/>
        <v>E4_1_1_31_kcat : 13.7</v>
      </c>
      <c r="F225" s="41" t="str">
        <f t="shared" si="39"/>
        <v>E4_1_1_31_km : 1</v>
      </c>
      <c r="G225" s="34" t="str">
        <f t="shared" si="40"/>
        <v>E4_1_1_31_mRNA : E4_1_1_31_mRNA</v>
      </c>
      <c r="H225" s="35" t="str">
        <f t="shared" si="41"/>
        <v>E4_1_1_31 : E4_1_1_31</v>
      </c>
      <c r="I225" s="36" t="str">
        <f t="shared" si="42"/>
        <v>E4_1_1_31_mRNA : 0</v>
      </c>
      <c r="J225" s="19" t="str">
        <f t="shared" si="43"/>
        <v>E4_1_1_31 : 0</v>
      </c>
      <c r="K225" s="37" t="str">
        <f t="shared" si="44"/>
        <v>0.00292 - (0.0093 * E4_1_1_31_mRNA)</v>
      </c>
      <c r="L225" s="34" t="str">
        <f t="shared" si="45"/>
        <v>(0.278 * E4_1_1_31_mRNA) - (0.00000278 * E4_1_1_31)</v>
      </c>
      <c r="M225" s="38" t="str">
        <f t="shared" si="46"/>
        <v>mRNA224: -&gt; E4_1_1_31_mRNA | 0.00292 - (0.0093 * E4_1_1_31_mRNA)</v>
      </c>
      <c r="N225" s="39" t="str">
        <f t="shared" si="47"/>
        <v>Peptide224: E4_1_1_31_mRNA -&gt; E4_1_1_31 | (0.278 * E4_1_1_31_mRNA) - (0.000000278 * E4_1_1_31)</v>
      </c>
    </row>
    <row r="226" spans="1:14" x14ac:dyDescent="0.45">
      <c r="A226">
        <v>225</v>
      </c>
      <c r="B226" t="s">
        <v>1778</v>
      </c>
      <c r="C226" t="str">
        <f t="shared" si="36"/>
        <v>E4_1_1_33_mRNA</v>
      </c>
      <c r="D226" t="str">
        <f t="shared" si="37"/>
        <v>E4_1_1_33</v>
      </c>
      <c r="E226" s="39" t="str">
        <f t="shared" si="38"/>
        <v>E4_1_1_33_kcat : 13.7</v>
      </c>
      <c r="F226" s="41" t="str">
        <f t="shared" si="39"/>
        <v>E4_1_1_33_km : 1</v>
      </c>
      <c r="G226" s="34" t="str">
        <f t="shared" si="40"/>
        <v>E4_1_1_33_mRNA : E4_1_1_33_mRNA</v>
      </c>
      <c r="H226" s="35" t="str">
        <f t="shared" si="41"/>
        <v>E4_1_1_33 : E4_1_1_33</v>
      </c>
      <c r="I226" s="36" t="str">
        <f t="shared" si="42"/>
        <v>E4_1_1_33_mRNA : 0</v>
      </c>
      <c r="J226" s="19" t="str">
        <f t="shared" si="43"/>
        <v>E4_1_1_33 : 0</v>
      </c>
      <c r="K226" s="37" t="str">
        <f t="shared" si="44"/>
        <v>0.00292 - (0.0093 * E4_1_1_33_mRNA)</v>
      </c>
      <c r="L226" s="34" t="str">
        <f t="shared" si="45"/>
        <v>(0.278 * E4_1_1_33_mRNA) - (0.00000278 * E4_1_1_33)</v>
      </c>
      <c r="M226" s="38" t="str">
        <f t="shared" si="46"/>
        <v>mRNA225: -&gt; E4_1_1_33_mRNA | 0.00292 - (0.0093 * E4_1_1_33_mRNA)</v>
      </c>
      <c r="N226" s="39" t="str">
        <f t="shared" si="47"/>
        <v>Peptide225: E4_1_1_33_mRNA -&gt; E4_1_1_33 | (0.278 * E4_1_1_33_mRNA) - (0.000000278 * E4_1_1_33)</v>
      </c>
    </row>
    <row r="227" spans="1:14" x14ac:dyDescent="0.45">
      <c r="A227">
        <v>226</v>
      </c>
      <c r="B227" t="s">
        <v>1892</v>
      </c>
      <c r="C227" t="str">
        <f t="shared" si="36"/>
        <v>E4_1_1_36_mRNA</v>
      </c>
      <c r="D227" t="str">
        <f t="shared" si="37"/>
        <v>E4_1_1_36</v>
      </c>
      <c r="E227" s="39" t="str">
        <f t="shared" si="38"/>
        <v>E4_1_1_36_kcat : 13.7</v>
      </c>
      <c r="F227" s="41" t="str">
        <f t="shared" si="39"/>
        <v>E4_1_1_36_km : 1</v>
      </c>
      <c r="G227" s="34" t="str">
        <f t="shared" si="40"/>
        <v>E4_1_1_36_mRNA : E4_1_1_36_mRNA</v>
      </c>
      <c r="H227" s="35" t="str">
        <f t="shared" si="41"/>
        <v>E4_1_1_36 : E4_1_1_36</v>
      </c>
      <c r="I227" s="36" t="str">
        <f t="shared" si="42"/>
        <v>E4_1_1_36_mRNA : 0</v>
      </c>
      <c r="J227" s="19" t="str">
        <f t="shared" si="43"/>
        <v>E4_1_1_36 : 0</v>
      </c>
      <c r="K227" s="37" t="str">
        <f t="shared" si="44"/>
        <v>0.00292 - (0.0093 * E4_1_1_36_mRNA)</v>
      </c>
      <c r="L227" s="34" t="str">
        <f t="shared" si="45"/>
        <v>(0.278 * E4_1_1_36_mRNA) - (0.00000278 * E4_1_1_36)</v>
      </c>
      <c r="M227" s="38" t="str">
        <f t="shared" si="46"/>
        <v>mRNA226: -&gt; E4_1_1_36_mRNA | 0.00292 - (0.0093 * E4_1_1_36_mRNA)</v>
      </c>
      <c r="N227" s="39" t="str">
        <f t="shared" si="47"/>
        <v>Peptide226: E4_1_1_36_mRNA -&gt; E4_1_1_36 | (0.278 * E4_1_1_36_mRNA) - (0.000000278 * E4_1_1_36)</v>
      </c>
    </row>
    <row r="228" spans="1:14" x14ac:dyDescent="0.45">
      <c r="A228">
        <v>227</v>
      </c>
      <c r="B228" t="s">
        <v>10411</v>
      </c>
      <c r="C228" t="str">
        <f t="shared" si="36"/>
        <v>E4_1_1_85_mRNA</v>
      </c>
      <c r="D228" t="str">
        <f t="shared" si="37"/>
        <v>E4_1_1_85</v>
      </c>
      <c r="E228" s="39" t="str">
        <f t="shared" si="38"/>
        <v>E4_1_1_85_kcat : 13.7</v>
      </c>
      <c r="F228" s="41" t="str">
        <f t="shared" si="39"/>
        <v>E4_1_1_85_km : 1</v>
      </c>
      <c r="G228" s="34" t="str">
        <f t="shared" si="40"/>
        <v>E4_1_1_85_mRNA : E4_1_1_85_mRNA</v>
      </c>
      <c r="H228" s="35" t="str">
        <f t="shared" si="41"/>
        <v>E4_1_1_85 : E4_1_1_85</v>
      </c>
      <c r="I228" s="36" t="str">
        <f t="shared" si="42"/>
        <v>E4_1_1_85_mRNA : 0</v>
      </c>
      <c r="J228" s="19" t="str">
        <f t="shared" si="43"/>
        <v>E4_1_1_85 : 0</v>
      </c>
      <c r="K228" s="37" t="str">
        <f t="shared" si="44"/>
        <v>0.00292 - (0.0093 * E4_1_1_85_mRNA)</v>
      </c>
      <c r="L228" s="34" t="str">
        <f t="shared" si="45"/>
        <v>(0.278 * E4_1_1_85_mRNA) - (0.00000278 * E4_1_1_85)</v>
      </c>
      <c r="M228" s="38" t="str">
        <f t="shared" si="46"/>
        <v>mRNA227: -&gt; E4_1_1_85_mRNA | 0.00292 - (0.0093 * E4_1_1_85_mRNA)</v>
      </c>
      <c r="N228" s="39" t="str">
        <f t="shared" si="47"/>
        <v>Peptide227: E4_1_1_85_mRNA -&gt; E4_1_1_85 | (0.278 * E4_1_1_85_mRNA) - (0.000000278 * E4_1_1_85)</v>
      </c>
    </row>
    <row r="229" spans="1:14" x14ac:dyDescent="0.45">
      <c r="A229">
        <v>228</v>
      </c>
      <c r="B229" t="s">
        <v>10412</v>
      </c>
      <c r="C229" t="str">
        <f t="shared" si="36"/>
        <v>E4_1_2_13_mRNA</v>
      </c>
      <c r="D229" t="str">
        <f t="shared" si="37"/>
        <v>E4_1_2_13</v>
      </c>
      <c r="E229" s="39" t="str">
        <f t="shared" si="38"/>
        <v>E4_1_2_13_kcat : 13.7</v>
      </c>
      <c r="F229" s="41" t="str">
        <f t="shared" si="39"/>
        <v>E4_1_2_13_km : 1</v>
      </c>
      <c r="G229" s="34" t="str">
        <f t="shared" si="40"/>
        <v>E4_1_2_13_mRNA : E4_1_2_13_mRNA</v>
      </c>
      <c r="H229" s="35" t="str">
        <f t="shared" si="41"/>
        <v>E4_1_2_13 : E4_1_2_13</v>
      </c>
      <c r="I229" s="36" t="str">
        <f t="shared" si="42"/>
        <v>E4_1_2_13_mRNA : 0</v>
      </c>
      <c r="J229" s="19" t="str">
        <f t="shared" si="43"/>
        <v>E4_1_2_13 : 0</v>
      </c>
      <c r="K229" s="37" t="str">
        <f t="shared" si="44"/>
        <v>0.00292 - (0.0093 * E4_1_2_13_mRNA)</v>
      </c>
      <c r="L229" s="34" t="str">
        <f t="shared" si="45"/>
        <v>(0.278 * E4_1_2_13_mRNA) - (0.00000278 * E4_1_2_13)</v>
      </c>
      <c r="M229" s="38" t="str">
        <f t="shared" si="46"/>
        <v>mRNA228: -&gt; E4_1_2_13_mRNA | 0.00292 - (0.0093 * E4_1_2_13_mRNA)</v>
      </c>
      <c r="N229" s="39" t="str">
        <f t="shared" si="47"/>
        <v>Peptide228: E4_1_2_13_mRNA -&gt; E4_1_2_13 | (0.278 * E4_1_2_13_mRNA) - (0.000000278 * E4_1_2_13)</v>
      </c>
    </row>
    <row r="230" spans="1:14" x14ac:dyDescent="0.45">
      <c r="A230">
        <v>229</v>
      </c>
      <c r="B230" t="s">
        <v>10413</v>
      </c>
      <c r="C230" t="str">
        <f t="shared" si="36"/>
        <v>E4_1_2_14_mRNA</v>
      </c>
      <c r="D230" t="str">
        <f t="shared" si="37"/>
        <v>E4_1_2_14</v>
      </c>
      <c r="E230" s="39" t="str">
        <f t="shared" si="38"/>
        <v>E4_1_2_14_kcat : 13.7</v>
      </c>
      <c r="F230" s="41" t="str">
        <f t="shared" si="39"/>
        <v>E4_1_2_14_km : 1</v>
      </c>
      <c r="G230" s="34" t="str">
        <f t="shared" si="40"/>
        <v>E4_1_2_14_mRNA : E4_1_2_14_mRNA</v>
      </c>
      <c r="H230" s="35" t="str">
        <f t="shared" si="41"/>
        <v>E4_1_2_14 : E4_1_2_14</v>
      </c>
      <c r="I230" s="36" t="str">
        <f t="shared" si="42"/>
        <v>E4_1_2_14_mRNA : 0</v>
      </c>
      <c r="J230" s="19" t="str">
        <f t="shared" si="43"/>
        <v>E4_1_2_14 : 0</v>
      </c>
      <c r="K230" s="37" t="str">
        <f t="shared" si="44"/>
        <v>0.00292 - (0.0093 * E4_1_2_14_mRNA)</v>
      </c>
      <c r="L230" s="34" t="str">
        <f t="shared" si="45"/>
        <v>(0.278 * E4_1_2_14_mRNA) - (0.00000278 * E4_1_2_14)</v>
      </c>
      <c r="M230" s="38" t="str">
        <f t="shared" si="46"/>
        <v>mRNA229: -&gt; E4_1_2_14_mRNA | 0.00292 - (0.0093 * E4_1_2_14_mRNA)</v>
      </c>
      <c r="N230" s="39" t="str">
        <f t="shared" si="47"/>
        <v>Peptide229: E4_1_2_14_mRNA -&gt; E4_1_2_14 | (0.278 * E4_1_2_14_mRNA) - (0.000000278 * E4_1_2_14)</v>
      </c>
    </row>
    <row r="231" spans="1:14" x14ac:dyDescent="0.45">
      <c r="A231">
        <v>230</v>
      </c>
      <c r="B231" t="s">
        <v>10414</v>
      </c>
      <c r="C231" t="str">
        <f t="shared" si="36"/>
        <v>E4_1_2_25_mRNA</v>
      </c>
      <c r="D231" t="str">
        <f t="shared" si="37"/>
        <v>E4_1_2_25</v>
      </c>
      <c r="E231" s="39" t="str">
        <f t="shared" si="38"/>
        <v>E4_1_2_25_kcat : 13.7</v>
      </c>
      <c r="F231" s="41" t="str">
        <f t="shared" si="39"/>
        <v>E4_1_2_25_km : 1</v>
      </c>
      <c r="G231" s="34" t="str">
        <f t="shared" si="40"/>
        <v>E4_1_2_25_mRNA : E4_1_2_25_mRNA</v>
      </c>
      <c r="H231" s="35" t="str">
        <f t="shared" si="41"/>
        <v>E4_1_2_25 : E4_1_2_25</v>
      </c>
      <c r="I231" s="36" t="str">
        <f t="shared" si="42"/>
        <v>E4_1_2_25_mRNA : 0</v>
      </c>
      <c r="J231" s="19" t="str">
        <f t="shared" si="43"/>
        <v>E4_1_2_25 : 0</v>
      </c>
      <c r="K231" s="37" t="str">
        <f t="shared" si="44"/>
        <v>0.00292 - (0.0093 * E4_1_2_25_mRNA)</v>
      </c>
      <c r="L231" s="34" t="str">
        <f t="shared" si="45"/>
        <v>(0.278 * E4_1_2_25_mRNA) - (0.00000278 * E4_1_2_25)</v>
      </c>
      <c r="M231" s="38" t="str">
        <f t="shared" si="46"/>
        <v>mRNA230: -&gt; E4_1_2_25_mRNA | 0.00292 - (0.0093 * E4_1_2_25_mRNA)</v>
      </c>
      <c r="N231" s="39" t="str">
        <f t="shared" si="47"/>
        <v>Peptide230: E4_1_2_25_mRNA -&gt; E4_1_2_25 | (0.278 * E4_1_2_25_mRNA) - (0.000000278 * E4_1_2_25)</v>
      </c>
    </row>
    <row r="232" spans="1:14" x14ac:dyDescent="0.45">
      <c r="A232">
        <v>231</v>
      </c>
      <c r="B232" t="s">
        <v>1867</v>
      </c>
      <c r="C232" t="str">
        <f t="shared" si="36"/>
        <v>E4_1_2_4_mRNA</v>
      </c>
      <c r="D232" t="str">
        <f t="shared" si="37"/>
        <v>E4_1_2_4</v>
      </c>
      <c r="E232" s="39" t="str">
        <f t="shared" si="38"/>
        <v>E4_1_2_4_kcat : 13.7</v>
      </c>
      <c r="F232" s="41" t="str">
        <f t="shared" si="39"/>
        <v>E4_1_2_4_km : 1</v>
      </c>
      <c r="G232" s="34" t="str">
        <f t="shared" si="40"/>
        <v>E4_1_2_4_mRNA : E4_1_2_4_mRNA</v>
      </c>
      <c r="H232" s="35" t="str">
        <f t="shared" si="41"/>
        <v>E4_1_2_4 : E4_1_2_4</v>
      </c>
      <c r="I232" s="36" t="str">
        <f t="shared" si="42"/>
        <v>E4_1_2_4_mRNA : 0</v>
      </c>
      <c r="J232" s="19" t="str">
        <f t="shared" si="43"/>
        <v>E4_1_2_4 : 0</v>
      </c>
      <c r="K232" s="37" t="str">
        <f t="shared" si="44"/>
        <v>0.00292 - (0.0093 * E4_1_2_4_mRNA)</v>
      </c>
      <c r="L232" s="34" t="str">
        <f t="shared" si="45"/>
        <v>(0.278 * E4_1_2_4_mRNA) - (0.00000278 * E4_1_2_4)</v>
      </c>
      <c r="M232" s="38" t="str">
        <f t="shared" si="46"/>
        <v>mRNA231: -&gt; E4_1_2_4_mRNA | 0.00292 - (0.0093 * E4_1_2_4_mRNA)</v>
      </c>
      <c r="N232" s="39" t="str">
        <f t="shared" si="47"/>
        <v>Peptide231: E4_1_2_4_mRNA -&gt; E4_1_2_4 | (0.278 * E4_1_2_4_mRNA) - (0.000000278 * E4_1_2_4)</v>
      </c>
    </row>
    <row r="233" spans="1:14" x14ac:dyDescent="0.45">
      <c r="A233">
        <v>232</v>
      </c>
      <c r="B233" t="s">
        <v>10415</v>
      </c>
      <c r="C233" t="str">
        <f t="shared" ref="C233:C296" si="48">CONCATENATE(D233,"_mRNA")</f>
        <v>E4_1_2_40_mRNA</v>
      </c>
      <c r="D233" t="str">
        <f t="shared" ref="D233:D296" si="49">CONCATENATE("E",B233)</f>
        <v>E4_1_2_40</v>
      </c>
      <c r="E233" s="39" t="str">
        <f t="shared" ref="E233:E296" si="50">CONCATENATE("E",B233,"_kcat : 13.7")</f>
        <v>E4_1_2_40_kcat : 13.7</v>
      </c>
      <c r="F233" s="41" t="str">
        <f t="shared" ref="F233:F296" si="51">CONCATENATE("E",B233,"_km : 1")</f>
        <v>E4_1_2_40_km : 1</v>
      </c>
      <c r="G233" s="34" t="str">
        <f t="shared" ref="G233:G296" si="52">CONCATENATE(C233," : ",C233)</f>
        <v>E4_1_2_40_mRNA : E4_1_2_40_mRNA</v>
      </c>
      <c r="H233" s="35" t="str">
        <f t="shared" ref="H233:H296" si="53">CONCATENATE(D233," : ",D233)</f>
        <v>E4_1_2_40 : E4_1_2_40</v>
      </c>
      <c r="I233" s="36" t="str">
        <f t="shared" ref="I233:I296" si="54">CONCATENATE(C233," : ","0")</f>
        <v>E4_1_2_40_mRNA : 0</v>
      </c>
      <c r="J233" s="19" t="str">
        <f t="shared" ref="J233:J296" si="55">CONCATENATE(D233," : ","0")</f>
        <v>E4_1_2_40 : 0</v>
      </c>
      <c r="K233" s="37" t="str">
        <f t="shared" ref="K233:K296" si="56">CONCATENATE("0.00292 - (0.0093 * ",C233,")")</f>
        <v>0.00292 - (0.0093 * E4_1_2_40_mRNA)</v>
      </c>
      <c r="L233" s="34" t="str">
        <f t="shared" ref="L233:L296" si="57">CONCATENATE("(0.278 * ",C233,")"," - (0.00000278 * ",D233,")")</f>
        <v>(0.278 * E4_1_2_40_mRNA) - (0.00000278 * E4_1_2_40)</v>
      </c>
      <c r="M233" s="38" t="str">
        <f t="shared" ref="M233:M296" si="58">CONCATENATE("mRNA",A233,": -&gt; ",C233," | ","0.00292"," - ","(","0.0093"," * ",C233,")")</f>
        <v>mRNA232: -&gt; E4_1_2_40_mRNA | 0.00292 - (0.0093 * E4_1_2_40_mRNA)</v>
      </c>
      <c r="N233" s="39" t="str">
        <f t="shared" ref="N233:N296" si="59">CONCATENATE("Peptide",A233,": ",C233," -&gt; ",D233," | ","(","0.278"," * ",C233,")"," - ","(","0.000000278"," * ",D233,")")</f>
        <v>Peptide232: E4_1_2_40_mRNA -&gt; E4_1_2_40 | (0.278 * E4_1_2_40_mRNA) - (0.000000278 * E4_1_2_40)</v>
      </c>
    </row>
    <row r="234" spans="1:14" x14ac:dyDescent="0.45">
      <c r="A234">
        <v>233</v>
      </c>
      <c r="B234" t="s">
        <v>10416</v>
      </c>
      <c r="C234" t="str">
        <f t="shared" si="48"/>
        <v>E4_1_3_16_mRNA</v>
      </c>
      <c r="D234" t="str">
        <f t="shared" si="49"/>
        <v>E4_1_3_16</v>
      </c>
      <c r="E234" s="39" t="str">
        <f t="shared" si="50"/>
        <v>E4_1_3_16_kcat : 13.7</v>
      </c>
      <c r="F234" s="41" t="str">
        <f t="shared" si="51"/>
        <v>E4_1_3_16_km : 1</v>
      </c>
      <c r="G234" s="34" t="str">
        <f t="shared" si="52"/>
        <v>E4_1_3_16_mRNA : E4_1_3_16_mRNA</v>
      </c>
      <c r="H234" s="35" t="str">
        <f t="shared" si="53"/>
        <v>E4_1_3_16 : E4_1_3_16</v>
      </c>
      <c r="I234" s="36" t="str">
        <f t="shared" si="54"/>
        <v>E4_1_3_16_mRNA : 0</v>
      </c>
      <c r="J234" s="19" t="str">
        <f t="shared" si="55"/>
        <v>E4_1_3_16 : 0</v>
      </c>
      <c r="K234" s="37" t="str">
        <f t="shared" si="56"/>
        <v>0.00292 - (0.0093 * E4_1_3_16_mRNA)</v>
      </c>
      <c r="L234" s="34" t="str">
        <f t="shared" si="57"/>
        <v>(0.278 * E4_1_3_16_mRNA) - (0.00000278 * E4_1_3_16)</v>
      </c>
      <c r="M234" s="38" t="str">
        <f t="shared" si="58"/>
        <v>mRNA233: -&gt; E4_1_3_16_mRNA | 0.00292 - (0.0093 * E4_1_3_16_mRNA)</v>
      </c>
      <c r="N234" s="39" t="str">
        <f t="shared" si="59"/>
        <v>Peptide233: E4_1_3_16_mRNA -&gt; E4_1_3_16 | (0.278 * E4_1_3_16_mRNA) - (0.000000278 * E4_1_3_16)</v>
      </c>
    </row>
    <row r="235" spans="1:14" x14ac:dyDescent="0.45">
      <c r="A235">
        <v>234</v>
      </c>
      <c r="B235" t="s">
        <v>10417</v>
      </c>
      <c r="C235" t="str">
        <f t="shared" si="48"/>
        <v>E4_1_3_27_mRNA</v>
      </c>
      <c r="D235" t="str">
        <f t="shared" si="49"/>
        <v>E4_1_3_27</v>
      </c>
      <c r="E235" s="39" t="str">
        <f t="shared" si="50"/>
        <v>E4_1_3_27_kcat : 13.7</v>
      </c>
      <c r="F235" s="41" t="str">
        <f t="shared" si="51"/>
        <v>E4_1_3_27_km : 1</v>
      </c>
      <c r="G235" s="34" t="str">
        <f t="shared" si="52"/>
        <v>E4_1_3_27_mRNA : E4_1_3_27_mRNA</v>
      </c>
      <c r="H235" s="35" t="str">
        <f t="shared" si="53"/>
        <v>E4_1_3_27 : E4_1_3_27</v>
      </c>
      <c r="I235" s="36" t="str">
        <f t="shared" si="54"/>
        <v>E4_1_3_27_mRNA : 0</v>
      </c>
      <c r="J235" s="19" t="str">
        <f t="shared" si="55"/>
        <v>E4_1_3_27 : 0</v>
      </c>
      <c r="K235" s="37" t="str">
        <f t="shared" si="56"/>
        <v>0.00292 - (0.0093 * E4_1_3_27_mRNA)</v>
      </c>
      <c r="L235" s="34" t="str">
        <f t="shared" si="57"/>
        <v>(0.278 * E4_1_3_27_mRNA) - (0.00000278 * E4_1_3_27)</v>
      </c>
      <c r="M235" s="38" t="str">
        <f t="shared" si="58"/>
        <v>mRNA234: -&gt; E4_1_3_27_mRNA | 0.00292 - (0.0093 * E4_1_3_27_mRNA)</v>
      </c>
      <c r="N235" s="39" t="str">
        <f t="shared" si="59"/>
        <v>Peptide234: E4_1_3_27_mRNA -&gt; E4_1_3_27 | (0.278 * E4_1_3_27_mRNA) - (0.000000278 * E4_1_3_27)</v>
      </c>
    </row>
    <row r="236" spans="1:14" x14ac:dyDescent="0.45">
      <c r="A236">
        <v>235</v>
      </c>
      <c r="B236" t="s">
        <v>1865</v>
      </c>
      <c r="C236" t="str">
        <f t="shared" si="48"/>
        <v>E4_1_3_34_mRNA</v>
      </c>
      <c r="D236" t="str">
        <f t="shared" si="49"/>
        <v>E4_1_3_34</v>
      </c>
      <c r="E236" s="39" t="str">
        <f t="shared" si="50"/>
        <v>E4_1_3_34_kcat : 13.7</v>
      </c>
      <c r="F236" s="41" t="str">
        <f t="shared" si="51"/>
        <v>E4_1_3_34_km : 1</v>
      </c>
      <c r="G236" s="34" t="str">
        <f t="shared" si="52"/>
        <v>E4_1_3_34_mRNA : E4_1_3_34_mRNA</v>
      </c>
      <c r="H236" s="35" t="str">
        <f t="shared" si="53"/>
        <v>E4_1_3_34 : E4_1_3_34</v>
      </c>
      <c r="I236" s="36" t="str">
        <f t="shared" si="54"/>
        <v>E4_1_3_34_mRNA : 0</v>
      </c>
      <c r="J236" s="19" t="str">
        <f t="shared" si="55"/>
        <v>E4_1_3_34 : 0</v>
      </c>
      <c r="K236" s="37" t="str">
        <f t="shared" si="56"/>
        <v>0.00292 - (0.0093 * E4_1_3_34_mRNA)</v>
      </c>
      <c r="L236" s="34" t="str">
        <f t="shared" si="57"/>
        <v>(0.278 * E4_1_3_34_mRNA) - (0.00000278 * E4_1_3_34)</v>
      </c>
      <c r="M236" s="38" t="str">
        <f t="shared" si="58"/>
        <v>mRNA235: -&gt; E4_1_3_34_mRNA | 0.00292 - (0.0093 * E4_1_3_34_mRNA)</v>
      </c>
      <c r="N236" s="39" t="str">
        <f t="shared" si="59"/>
        <v>Peptide235: E4_1_3_34_mRNA -&gt; E4_1_3_34 | (0.278 * E4_1_3_34_mRNA) - (0.000000278 * E4_1_3_34)</v>
      </c>
    </row>
    <row r="237" spans="1:14" x14ac:dyDescent="0.45">
      <c r="A237">
        <v>236</v>
      </c>
      <c r="B237" t="s">
        <v>1844</v>
      </c>
      <c r="C237" t="str">
        <f t="shared" si="48"/>
        <v>E4_1_3_6_mRNA</v>
      </c>
      <c r="D237" t="str">
        <f t="shared" si="49"/>
        <v>E4_1_3_6</v>
      </c>
      <c r="E237" s="39" t="str">
        <f t="shared" si="50"/>
        <v>E4_1_3_6_kcat : 13.7</v>
      </c>
      <c r="F237" s="41" t="str">
        <f t="shared" si="51"/>
        <v>E4_1_3_6_km : 1</v>
      </c>
      <c r="G237" s="34" t="str">
        <f t="shared" si="52"/>
        <v>E4_1_3_6_mRNA : E4_1_3_6_mRNA</v>
      </c>
      <c r="H237" s="35" t="str">
        <f t="shared" si="53"/>
        <v>E4_1_3_6 : E4_1_3_6</v>
      </c>
      <c r="I237" s="36" t="str">
        <f t="shared" si="54"/>
        <v>E4_1_3_6_mRNA : 0</v>
      </c>
      <c r="J237" s="19" t="str">
        <f t="shared" si="55"/>
        <v>E4_1_3_6 : 0</v>
      </c>
      <c r="K237" s="37" t="str">
        <f t="shared" si="56"/>
        <v>0.00292 - (0.0093 * E4_1_3_6_mRNA)</v>
      </c>
      <c r="L237" s="34" t="str">
        <f t="shared" si="57"/>
        <v>(0.278 * E4_1_3_6_mRNA) - (0.00000278 * E4_1_3_6)</v>
      </c>
      <c r="M237" s="38" t="str">
        <f t="shared" si="58"/>
        <v>mRNA236: -&gt; E4_1_3_6_mRNA | 0.00292 - (0.0093 * E4_1_3_6_mRNA)</v>
      </c>
      <c r="N237" s="39" t="str">
        <f t="shared" si="59"/>
        <v>Peptide236: E4_1_3_6_mRNA -&gt; E4_1_3_6 | (0.278 * E4_1_3_6_mRNA) - (0.000000278 * E4_1_3_6)</v>
      </c>
    </row>
    <row r="238" spans="1:14" x14ac:dyDescent="0.45">
      <c r="A238">
        <v>237</v>
      </c>
      <c r="B238" t="s">
        <v>10418</v>
      </c>
      <c r="C238" t="str">
        <f t="shared" si="48"/>
        <v>E4_2_1_10_mRNA</v>
      </c>
      <c r="D238" t="str">
        <f t="shared" si="49"/>
        <v>E4_2_1_10</v>
      </c>
      <c r="E238" s="39" t="str">
        <f t="shared" si="50"/>
        <v>E4_2_1_10_kcat : 13.7</v>
      </c>
      <c r="F238" s="41" t="str">
        <f t="shared" si="51"/>
        <v>E4_2_1_10_km : 1</v>
      </c>
      <c r="G238" s="34" t="str">
        <f t="shared" si="52"/>
        <v>E4_2_1_10_mRNA : E4_2_1_10_mRNA</v>
      </c>
      <c r="H238" s="35" t="str">
        <f t="shared" si="53"/>
        <v>E4_2_1_10 : E4_2_1_10</v>
      </c>
      <c r="I238" s="36" t="str">
        <f t="shared" si="54"/>
        <v>E4_2_1_10_mRNA : 0</v>
      </c>
      <c r="J238" s="19" t="str">
        <f t="shared" si="55"/>
        <v>E4_2_1_10 : 0</v>
      </c>
      <c r="K238" s="37" t="str">
        <f t="shared" si="56"/>
        <v>0.00292 - (0.0093 * E4_2_1_10_mRNA)</v>
      </c>
      <c r="L238" s="34" t="str">
        <f t="shared" si="57"/>
        <v>(0.278 * E4_2_1_10_mRNA) - (0.00000278 * E4_2_1_10)</v>
      </c>
      <c r="M238" s="38" t="str">
        <f t="shared" si="58"/>
        <v>mRNA237: -&gt; E4_2_1_10_mRNA | 0.00292 - (0.0093 * E4_2_1_10_mRNA)</v>
      </c>
      <c r="N238" s="39" t="str">
        <f t="shared" si="59"/>
        <v>Peptide237: E4_2_1_10_mRNA -&gt; E4_2_1_10 | (0.278 * E4_2_1_10_mRNA) - (0.000000278 * E4_2_1_10)</v>
      </c>
    </row>
    <row r="239" spans="1:14" x14ac:dyDescent="0.45">
      <c r="A239">
        <v>238</v>
      </c>
      <c r="B239" t="s">
        <v>1866</v>
      </c>
      <c r="C239" t="str">
        <f t="shared" si="48"/>
        <v>E4_2_1_11_mRNA</v>
      </c>
      <c r="D239" t="str">
        <f t="shared" si="49"/>
        <v>E4_2_1_11</v>
      </c>
      <c r="E239" s="39" t="str">
        <f t="shared" si="50"/>
        <v>E4_2_1_11_kcat : 13.7</v>
      </c>
      <c r="F239" s="41" t="str">
        <f t="shared" si="51"/>
        <v>E4_2_1_11_km : 1</v>
      </c>
      <c r="G239" s="34" t="str">
        <f t="shared" si="52"/>
        <v>E4_2_1_11_mRNA : E4_2_1_11_mRNA</v>
      </c>
      <c r="H239" s="35" t="str">
        <f t="shared" si="53"/>
        <v>E4_2_1_11 : E4_2_1_11</v>
      </c>
      <c r="I239" s="36" t="str">
        <f t="shared" si="54"/>
        <v>E4_2_1_11_mRNA : 0</v>
      </c>
      <c r="J239" s="19" t="str">
        <f t="shared" si="55"/>
        <v>E4_2_1_11 : 0</v>
      </c>
      <c r="K239" s="37" t="str">
        <f t="shared" si="56"/>
        <v>0.00292 - (0.0093 * E4_2_1_11_mRNA)</v>
      </c>
      <c r="L239" s="34" t="str">
        <f t="shared" si="57"/>
        <v>(0.278 * E4_2_1_11_mRNA) - (0.00000278 * E4_2_1_11)</v>
      </c>
      <c r="M239" s="38" t="str">
        <f t="shared" si="58"/>
        <v>mRNA238: -&gt; E4_2_1_11_mRNA | 0.00292 - (0.0093 * E4_2_1_11_mRNA)</v>
      </c>
      <c r="N239" s="39" t="str">
        <f t="shared" si="59"/>
        <v>Peptide238: E4_2_1_11_mRNA -&gt; E4_2_1_11 | (0.278 * E4_2_1_11_mRNA) - (0.000000278 * E4_2_1_11)</v>
      </c>
    </row>
    <row r="240" spans="1:14" x14ac:dyDescent="0.45">
      <c r="A240">
        <v>239</v>
      </c>
      <c r="B240" t="s">
        <v>10419</v>
      </c>
      <c r="C240" t="str">
        <f t="shared" si="48"/>
        <v>E4_2_1_17_mRNA</v>
      </c>
      <c r="D240" t="str">
        <f t="shared" si="49"/>
        <v>E4_2_1_17</v>
      </c>
      <c r="E240" s="39" t="str">
        <f t="shared" si="50"/>
        <v>E4_2_1_17_kcat : 13.7</v>
      </c>
      <c r="F240" s="41" t="str">
        <f t="shared" si="51"/>
        <v>E4_2_1_17_km : 1</v>
      </c>
      <c r="G240" s="34" t="str">
        <f t="shared" si="52"/>
        <v>E4_2_1_17_mRNA : E4_2_1_17_mRNA</v>
      </c>
      <c r="H240" s="35" t="str">
        <f t="shared" si="53"/>
        <v>E4_2_1_17 : E4_2_1_17</v>
      </c>
      <c r="I240" s="36" t="str">
        <f t="shared" si="54"/>
        <v>E4_2_1_17_mRNA : 0</v>
      </c>
      <c r="J240" s="19" t="str">
        <f t="shared" si="55"/>
        <v>E4_2_1_17 : 0</v>
      </c>
      <c r="K240" s="37" t="str">
        <f t="shared" si="56"/>
        <v>0.00292 - (0.0093 * E4_2_1_17_mRNA)</v>
      </c>
      <c r="L240" s="34" t="str">
        <f t="shared" si="57"/>
        <v>(0.278 * E4_2_1_17_mRNA) - (0.00000278 * E4_2_1_17)</v>
      </c>
      <c r="M240" s="38" t="str">
        <f t="shared" si="58"/>
        <v>mRNA239: -&gt; E4_2_1_17_mRNA | 0.00292 - (0.0093 * E4_2_1_17_mRNA)</v>
      </c>
      <c r="N240" s="39" t="str">
        <f t="shared" si="59"/>
        <v>Peptide239: E4_2_1_17_mRNA -&gt; E4_2_1_17 | (0.278 * E4_2_1_17_mRNA) - (0.000000278 * E4_2_1_17)</v>
      </c>
    </row>
    <row r="241" spans="1:14" x14ac:dyDescent="0.45">
      <c r="A241">
        <v>240</v>
      </c>
      <c r="B241" t="s">
        <v>10420</v>
      </c>
      <c r="C241" t="str">
        <f t="shared" si="48"/>
        <v>E4_2_1_46_mRNA</v>
      </c>
      <c r="D241" t="str">
        <f t="shared" si="49"/>
        <v>E4_2_1_46</v>
      </c>
      <c r="E241" s="39" t="str">
        <f t="shared" si="50"/>
        <v>E4_2_1_46_kcat : 13.7</v>
      </c>
      <c r="F241" s="41" t="str">
        <f t="shared" si="51"/>
        <v>E4_2_1_46_km : 1</v>
      </c>
      <c r="G241" s="34" t="str">
        <f t="shared" si="52"/>
        <v>E4_2_1_46_mRNA : E4_2_1_46_mRNA</v>
      </c>
      <c r="H241" s="35" t="str">
        <f t="shared" si="53"/>
        <v>E4_2_1_46 : E4_2_1_46</v>
      </c>
      <c r="I241" s="36" t="str">
        <f t="shared" si="54"/>
        <v>E4_2_1_46_mRNA : 0</v>
      </c>
      <c r="J241" s="19" t="str">
        <f t="shared" si="55"/>
        <v>E4_2_1_46 : 0</v>
      </c>
      <c r="K241" s="37" t="str">
        <f t="shared" si="56"/>
        <v>0.00292 - (0.0093 * E4_2_1_46_mRNA)</v>
      </c>
      <c r="L241" s="34" t="str">
        <f t="shared" si="57"/>
        <v>(0.278 * E4_2_1_46_mRNA) - (0.00000278 * E4_2_1_46)</v>
      </c>
      <c r="M241" s="38" t="str">
        <f t="shared" si="58"/>
        <v>mRNA240: -&gt; E4_2_1_46_mRNA | 0.00292 - (0.0093 * E4_2_1_46_mRNA)</v>
      </c>
      <c r="N241" s="39" t="str">
        <f t="shared" si="59"/>
        <v>Peptide240: E4_2_1_46_mRNA -&gt; E4_2_1_46 | (0.278 * E4_2_1_46_mRNA) - (0.000000278 * E4_2_1_46)</v>
      </c>
    </row>
    <row r="242" spans="1:14" x14ac:dyDescent="0.45">
      <c r="A242">
        <v>241</v>
      </c>
      <c r="B242" t="s">
        <v>10421</v>
      </c>
      <c r="C242" t="str">
        <f t="shared" si="48"/>
        <v>E4_2_1_59_mRNA</v>
      </c>
      <c r="D242" t="str">
        <f t="shared" si="49"/>
        <v>E4_2_1_59</v>
      </c>
      <c r="E242" s="39" t="str">
        <f t="shared" si="50"/>
        <v>E4_2_1_59_kcat : 13.7</v>
      </c>
      <c r="F242" s="41" t="str">
        <f t="shared" si="51"/>
        <v>E4_2_1_59_km : 1</v>
      </c>
      <c r="G242" s="34" t="str">
        <f t="shared" si="52"/>
        <v>E4_2_1_59_mRNA : E4_2_1_59_mRNA</v>
      </c>
      <c r="H242" s="35" t="str">
        <f t="shared" si="53"/>
        <v>E4_2_1_59 : E4_2_1_59</v>
      </c>
      <c r="I242" s="36" t="str">
        <f t="shared" si="54"/>
        <v>E4_2_1_59_mRNA : 0</v>
      </c>
      <c r="J242" s="19" t="str">
        <f t="shared" si="55"/>
        <v>E4_2_1_59 : 0</v>
      </c>
      <c r="K242" s="37" t="str">
        <f t="shared" si="56"/>
        <v>0.00292 - (0.0093 * E4_2_1_59_mRNA)</v>
      </c>
      <c r="L242" s="34" t="str">
        <f t="shared" si="57"/>
        <v>(0.278 * E4_2_1_59_mRNA) - (0.00000278 * E4_2_1_59)</v>
      </c>
      <c r="M242" s="38" t="str">
        <f t="shared" si="58"/>
        <v>mRNA241: -&gt; E4_2_1_59_mRNA | 0.00292 - (0.0093 * E4_2_1_59_mRNA)</v>
      </c>
      <c r="N242" s="39" t="str">
        <f t="shared" si="59"/>
        <v>Peptide241: E4_2_1_59_mRNA -&gt; E4_2_1_59 | (0.278 * E4_2_1_59_mRNA) - (0.000000278 * E4_2_1_59)</v>
      </c>
    </row>
    <row r="243" spans="1:14" x14ac:dyDescent="0.45">
      <c r="A243">
        <v>242</v>
      </c>
      <c r="B243" t="s">
        <v>10422</v>
      </c>
      <c r="C243" t="str">
        <f t="shared" si="48"/>
        <v>E4_2_1_8_mRNA</v>
      </c>
      <c r="D243" t="str">
        <f t="shared" si="49"/>
        <v>E4_2_1_8</v>
      </c>
      <c r="E243" s="39" t="str">
        <f t="shared" si="50"/>
        <v>E4_2_1_8_kcat : 13.7</v>
      </c>
      <c r="F243" s="41" t="str">
        <f t="shared" si="51"/>
        <v>E4_2_1_8_km : 1</v>
      </c>
      <c r="G243" s="34" t="str">
        <f t="shared" si="52"/>
        <v>E4_2_1_8_mRNA : E4_2_1_8_mRNA</v>
      </c>
      <c r="H243" s="35" t="str">
        <f t="shared" si="53"/>
        <v>E4_2_1_8 : E4_2_1_8</v>
      </c>
      <c r="I243" s="36" t="str">
        <f t="shared" si="54"/>
        <v>E4_2_1_8_mRNA : 0</v>
      </c>
      <c r="J243" s="19" t="str">
        <f t="shared" si="55"/>
        <v>E4_2_1_8 : 0</v>
      </c>
      <c r="K243" s="37" t="str">
        <f t="shared" si="56"/>
        <v>0.00292 - (0.0093 * E4_2_1_8_mRNA)</v>
      </c>
      <c r="L243" s="34" t="str">
        <f t="shared" si="57"/>
        <v>(0.278 * E4_2_1_8_mRNA) - (0.00000278 * E4_2_1_8)</v>
      </c>
      <c r="M243" s="38" t="str">
        <f t="shared" si="58"/>
        <v>mRNA242: -&gt; E4_2_1_8_mRNA | 0.00292 - (0.0093 * E4_2_1_8_mRNA)</v>
      </c>
      <c r="N243" s="39" t="str">
        <f t="shared" si="59"/>
        <v>Peptide242: E4_2_1_8_mRNA -&gt; E4_2_1_8 | (0.278 * E4_2_1_8_mRNA) - (0.000000278 * E4_2_1_8)</v>
      </c>
    </row>
    <row r="244" spans="1:14" x14ac:dyDescent="0.45">
      <c r="A244">
        <v>243</v>
      </c>
      <c r="B244" t="s">
        <v>10423</v>
      </c>
      <c r="C244" t="str">
        <f t="shared" si="48"/>
        <v>E4_2_2_1_mRNA</v>
      </c>
      <c r="D244" t="str">
        <f t="shared" si="49"/>
        <v>E4_2_2_1</v>
      </c>
      <c r="E244" s="39" t="str">
        <f t="shared" si="50"/>
        <v>E4_2_2_1_kcat : 13.7</v>
      </c>
      <c r="F244" s="41" t="str">
        <f t="shared" si="51"/>
        <v>E4_2_2_1_km : 1</v>
      </c>
      <c r="G244" s="34" t="str">
        <f t="shared" si="52"/>
        <v>E4_2_2_1_mRNA : E4_2_2_1_mRNA</v>
      </c>
      <c r="H244" s="35" t="str">
        <f t="shared" si="53"/>
        <v>E4_2_2_1 : E4_2_2_1</v>
      </c>
      <c r="I244" s="36" t="str">
        <f t="shared" si="54"/>
        <v>E4_2_2_1_mRNA : 0</v>
      </c>
      <c r="J244" s="19" t="str">
        <f t="shared" si="55"/>
        <v>E4_2_2_1 : 0</v>
      </c>
      <c r="K244" s="37" t="str">
        <f t="shared" si="56"/>
        <v>0.00292 - (0.0093 * E4_2_2_1_mRNA)</v>
      </c>
      <c r="L244" s="34" t="str">
        <f t="shared" si="57"/>
        <v>(0.278 * E4_2_2_1_mRNA) - (0.00000278 * E4_2_2_1)</v>
      </c>
      <c r="M244" s="38" t="str">
        <f t="shared" si="58"/>
        <v>mRNA243: -&gt; E4_2_2_1_mRNA | 0.00292 - (0.0093 * E4_2_2_1_mRNA)</v>
      </c>
      <c r="N244" s="39" t="str">
        <f t="shared" si="59"/>
        <v>Peptide243: E4_2_2_1_mRNA -&gt; E4_2_2_1 | (0.278 * E4_2_2_1_mRNA) - (0.000000278 * E4_2_2_1)</v>
      </c>
    </row>
    <row r="245" spans="1:14" x14ac:dyDescent="0.45">
      <c r="A245">
        <v>244</v>
      </c>
      <c r="B245" t="s">
        <v>1873</v>
      </c>
      <c r="C245" t="str">
        <f t="shared" si="48"/>
        <v>E4_2_3_1_mRNA</v>
      </c>
      <c r="D245" t="str">
        <f t="shared" si="49"/>
        <v>E4_2_3_1</v>
      </c>
      <c r="E245" s="39" t="str">
        <f t="shared" si="50"/>
        <v>E4_2_3_1_kcat : 13.7</v>
      </c>
      <c r="F245" s="41" t="str">
        <f t="shared" si="51"/>
        <v>E4_2_3_1_km : 1</v>
      </c>
      <c r="G245" s="34" t="str">
        <f t="shared" si="52"/>
        <v>E4_2_3_1_mRNA : E4_2_3_1_mRNA</v>
      </c>
      <c r="H245" s="35" t="str">
        <f t="shared" si="53"/>
        <v>E4_2_3_1 : E4_2_3_1</v>
      </c>
      <c r="I245" s="36" t="str">
        <f t="shared" si="54"/>
        <v>E4_2_3_1_mRNA : 0</v>
      </c>
      <c r="J245" s="19" t="str">
        <f t="shared" si="55"/>
        <v>E4_2_3_1 : 0</v>
      </c>
      <c r="K245" s="37" t="str">
        <f t="shared" si="56"/>
        <v>0.00292 - (0.0093 * E4_2_3_1_mRNA)</v>
      </c>
      <c r="L245" s="34" t="str">
        <f t="shared" si="57"/>
        <v>(0.278 * E4_2_3_1_mRNA) - (0.00000278 * E4_2_3_1)</v>
      </c>
      <c r="M245" s="38" t="str">
        <f t="shared" si="58"/>
        <v>mRNA244: -&gt; E4_2_3_1_mRNA | 0.00292 - (0.0093 * E4_2_3_1_mRNA)</v>
      </c>
      <c r="N245" s="39" t="str">
        <f t="shared" si="59"/>
        <v>Peptide244: E4_2_3_1_mRNA -&gt; E4_2_3_1 | (0.278 * E4_2_3_1_mRNA) - (0.000000278 * E4_2_3_1)</v>
      </c>
    </row>
    <row r="246" spans="1:14" x14ac:dyDescent="0.45">
      <c r="A246">
        <v>245</v>
      </c>
      <c r="B246" t="s">
        <v>10424</v>
      </c>
      <c r="C246" t="str">
        <f t="shared" si="48"/>
        <v>E4_2_3_4_mRNA</v>
      </c>
      <c r="D246" t="str">
        <f t="shared" si="49"/>
        <v>E4_2_3_4</v>
      </c>
      <c r="E246" s="39" t="str">
        <f t="shared" si="50"/>
        <v>E4_2_3_4_kcat : 13.7</v>
      </c>
      <c r="F246" s="41" t="str">
        <f t="shared" si="51"/>
        <v>E4_2_3_4_km : 1</v>
      </c>
      <c r="G246" s="34" t="str">
        <f t="shared" si="52"/>
        <v>E4_2_3_4_mRNA : E4_2_3_4_mRNA</v>
      </c>
      <c r="H246" s="35" t="str">
        <f t="shared" si="53"/>
        <v>E4_2_3_4 : E4_2_3_4</v>
      </c>
      <c r="I246" s="36" t="str">
        <f t="shared" si="54"/>
        <v>E4_2_3_4_mRNA : 0</v>
      </c>
      <c r="J246" s="19" t="str">
        <f t="shared" si="55"/>
        <v>E4_2_3_4 : 0</v>
      </c>
      <c r="K246" s="37" t="str">
        <f t="shared" si="56"/>
        <v>0.00292 - (0.0093 * E4_2_3_4_mRNA)</v>
      </c>
      <c r="L246" s="34" t="str">
        <f t="shared" si="57"/>
        <v>(0.278 * E4_2_3_4_mRNA) - (0.00000278 * E4_2_3_4)</v>
      </c>
      <c r="M246" s="38" t="str">
        <f t="shared" si="58"/>
        <v>mRNA245: -&gt; E4_2_3_4_mRNA | 0.00292 - (0.0093 * E4_2_3_4_mRNA)</v>
      </c>
      <c r="N246" s="39" t="str">
        <f t="shared" si="59"/>
        <v>Peptide245: E4_2_3_4_mRNA -&gt; E4_2_3_4 | (0.278 * E4_2_3_4_mRNA) - (0.000000278 * E4_2_3_4)</v>
      </c>
    </row>
    <row r="247" spans="1:14" x14ac:dyDescent="0.45">
      <c r="A247">
        <v>246</v>
      </c>
      <c r="B247" t="s">
        <v>10425</v>
      </c>
      <c r="C247" t="str">
        <f t="shared" si="48"/>
        <v>E4_2_3_5_mRNA</v>
      </c>
      <c r="D247" t="str">
        <f t="shared" si="49"/>
        <v>E4_2_3_5</v>
      </c>
      <c r="E247" s="39" t="str">
        <f t="shared" si="50"/>
        <v>E4_2_3_5_kcat : 13.7</v>
      </c>
      <c r="F247" s="41" t="str">
        <f t="shared" si="51"/>
        <v>E4_2_3_5_km : 1</v>
      </c>
      <c r="G247" s="34" t="str">
        <f t="shared" si="52"/>
        <v>E4_2_3_5_mRNA : E4_2_3_5_mRNA</v>
      </c>
      <c r="H247" s="35" t="str">
        <f t="shared" si="53"/>
        <v>E4_2_3_5 : E4_2_3_5</v>
      </c>
      <c r="I247" s="36" t="str">
        <f t="shared" si="54"/>
        <v>E4_2_3_5_mRNA : 0</v>
      </c>
      <c r="J247" s="19" t="str">
        <f t="shared" si="55"/>
        <v>E4_2_3_5 : 0</v>
      </c>
      <c r="K247" s="37" t="str">
        <f t="shared" si="56"/>
        <v>0.00292 - (0.0093 * E4_2_3_5_mRNA)</v>
      </c>
      <c r="L247" s="34" t="str">
        <f t="shared" si="57"/>
        <v>(0.278 * E4_2_3_5_mRNA) - (0.00000278 * E4_2_3_5)</v>
      </c>
      <c r="M247" s="38" t="str">
        <f t="shared" si="58"/>
        <v>mRNA246: -&gt; E4_2_3_5_mRNA | 0.00292 - (0.0093 * E4_2_3_5_mRNA)</v>
      </c>
      <c r="N247" s="39" t="str">
        <f t="shared" si="59"/>
        <v>Peptide246: E4_2_3_5_mRNA -&gt; E4_2_3_5 | (0.278 * E4_2_3_5_mRNA) - (0.000000278 * E4_2_3_5)</v>
      </c>
    </row>
    <row r="248" spans="1:14" x14ac:dyDescent="0.45">
      <c r="A248">
        <v>247</v>
      </c>
      <c r="B248" t="s">
        <v>10426</v>
      </c>
      <c r="C248" t="str">
        <f t="shared" si="48"/>
        <v>E4_2_99_18_mRNA</v>
      </c>
      <c r="D248" t="str">
        <f t="shared" si="49"/>
        <v>E4_2_99_18</v>
      </c>
      <c r="E248" s="39" t="str">
        <f t="shared" si="50"/>
        <v>E4_2_99_18_kcat : 13.7</v>
      </c>
      <c r="F248" s="41" t="str">
        <f t="shared" si="51"/>
        <v>E4_2_99_18_km : 1</v>
      </c>
      <c r="G248" s="34" t="str">
        <f t="shared" si="52"/>
        <v>E4_2_99_18_mRNA : E4_2_99_18_mRNA</v>
      </c>
      <c r="H248" s="35" t="str">
        <f t="shared" si="53"/>
        <v>E4_2_99_18 : E4_2_99_18</v>
      </c>
      <c r="I248" s="36" t="str">
        <f t="shared" si="54"/>
        <v>E4_2_99_18_mRNA : 0</v>
      </c>
      <c r="J248" s="19" t="str">
        <f t="shared" si="55"/>
        <v>E4_2_99_18 : 0</v>
      </c>
      <c r="K248" s="37" t="str">
        <f t="shared" si="56"/>
        <v>0.00292 - (0.0093 * E4_2_99_18_mRNA)</v>
      </c>
      <c r="L248" s="34" t="str">
        <f t="shared" si="57"/>
        <v>(0.278 * E4_2_99_18_mRNA) - (0.00000278 * E4_2_99_18)</v>
      </c>
      <c r="M248" s="38" t="str">
        <f t="shared" si="58"/>
        <v>mRNA247: -&gt; E4_2_99_18_mRNA | 0.00292 - (0.0093 * E4_2_99_18_mRNA)</v>
      </c>
      <c r="N248" s="39" t="str">
        <f t="shared" si="59"/>
        <v>Peptide247: E4_2_99_18_mRNA -&gt; E4_2_99_18 | (0.278 * E4_2_99_18_mRNA) - (0.000000278 * E4_2_99_18)</v>
      </c>
    </row>
    <row r="249" spans="1:14" x14ac:dyDescent="0.45">
      <c r="A249">
        <v>248</v>
      </c>
      <c r="B249" t="s">
        <v>10427</v>
      </c>
      <c r="C249" t="str">
        <f t="shared" si="48"/>
        <v>E4_3_1_17_mRNA</v>
      </c>
      <c r="D249" t="str">
        <f t="shared" si="49"/>
        <v>E4_3_1_17</v>
      </c>
      <c r="E249" s="39" t="str">
        <f t="shared" si="50"/>
        <v>E4_3_1_17_kcat : 13.7</v>
      </c>
      <c r="F249" s="41" t="str">
        <f t="shared" si="51"/>
        <v>E4_3_1_17_km : 1</v>
      </c>
      <c r="G249" s="34" t="str">
        <f t="shared" si="52"/>
        <v>E4_3_1_17_mRNA : E4_3_1_17_mRNA</v>
      </c>
      <c r="H249" s="35" t="str">
        <f t="shared" si="53"/>
        <v>E4_3_1_17 : E4_3_1_17</v>
      </c>
      <c r="I249" s="36" t="str">
        <f t="shared" si="54"/>
        <v>E4_3_1_17_mRNA : 0</v>
      </c>
      <c r="J249" s="19" t="str">
        <f t="shared" si="55"/>
        <v>E4_3_1_17 : 0</v>
      </c>
      <c r="K249" s="37" t="str">
        <f t="shared" si="56"/>
        <v>0.00292 - (0.0093 * E4_3_1_17_mRNA)</v>
      </c>
      <c r="L249" s="34" t="str">
        <f t="shared" si="57"/>
        <v>(0.278 * E4_3_1_17_mRNA) - (0.00000278 * E4_3_1_17)</v>
      </c>
      <c r="M249" s="38" t="str">
        <f t="shared" si="58"/>
        <v>mRNA248: -&gt; E4_3_1_17_mRNA | 0.00292 - (0.0093 * E4_3_1_17_mRNA)</v>
      </c>
      <c r="N249" s="39" t="str">
        <f t="shared" si="59"/>
        <v>Peptide248: E4_3_1_17_mRNA -&gt; E4_3_1_17 | (0.278 * E4_3_1_17_mRNA) - (0.000000278 * E4_3_1_17)</v>
      </c>
    </row>
    <row r="250" spans="1:14" x14ac:dyDescent="0.45">
      <c r="A250">
        <v>249</v>
      </c>
      <c r="B250" t="s">
        <v>1888</v>
      </c>
      <c r="C250" t="str">
        <f t="shared" si="48"/>
        <v>E4_3_2_2_mRNA</v>
      </c>
      <c r="D250" t="str">
        <f t="shared" si="49"/>
        <v>E4_3_2_2</v>
      </c>
      <c r="E250" s="39" t="str">
        <f t="shared" si="50"/>
        <v>E4_3_2_2_kcat : 13.7</v>
      </c>
      <c r="F250" s="41" t="str">
        <f t="shared" si="51"/>
        <v>E4_3_2_2_km : 1</v>
      </c>
      <c r="G250" s="34" t="str">
        <f t="shared" si="52"/>
        <v>E4_3_2_2_mRNA : E4_3_2_2_mRNA</v>
      </c>
      <c r="H250" s="35" t="str">
        <f t="shared" si="53"/>
        <v>E4_3_2_2 : E4_3_2_2</v>
      </c>
      <c r="I250" s="36" t="str">
        <f t="shared" si="54"/>
        <v>E4_3_2_2_mRNA : 0</v>
      </c>
      <c r="J250" s="19" t="str">
        <f t="shared" si="55"/>
        <v>E4_3_2_2 : 0</v>
      </c>
      <c r="K250" s="37" t="str">
        <f t="shared" si="56"/>
        <v>0.00292 - (0.0093 * E4_3_2_2_mRNA)</v>
      </c>
      <c r="L250" s="34" t="str">
        <f t="shared" si="57"/>
        <v>(0.278 * E4_3_2_2_mRNA) - (0.00000278 * E4_3_2_2)</v>
      </c>
      <c r="M250" s="38" t="str">
        <f t="shared" si="58"/>
        <v>mRNA249: -&gt; E4_3_2_2_mRNA | 0.00292 - (0.0093 * E4_3_2_2_mRNA)</v>
      </c>
      <c r="N250" s="39" t="str">
        <f t="shared" si="59"/>
        <v>Peptide249: E4_3_2_2_mRNA -&gt; E4_3_2_2 | (0.278 * E4_3_2_2_mRNA) - (0.000000278 * E4_3_2_2)</v>
      </c>
    </row>
    <row r="251" spans="1:14" x14ac:dyDescent="0.45">
      <c r="A251">
        <v>250</v>
      </c>
      <c r="B251" t="s">
        <v>1887</v>
      </c>
      <c r="C251" t="str">
        <f t="shared" si="48"/>
        <v>E4_4_1_21_mRNA</v>
      </c>
      <c r="D251" t="str">
        <f t="shared" si="49"/>
        <v>E4_4_1_21</v>
      </c>
      <c r="E251" s="39" t="str">
        <f t="shared" si="50"/>
        <v>E4_4_1_21_kcat : 13.7</v>
      </c>
      <c r="F251" s="41" t="str">
        <f t="shared" si="51"/>
        <v>E4_4_1_21_km : 1</v>
      </c>
      <c r="G251" s="34" t="str">
        <f t="shared" si="52"/>
        <v>E4_4_1_21_mRNA : E4_4_1_21_mRNA</v>
      </c>
      <c r="H251" s="35" t="str">
        <f t="shared" si="53"/>
        <v>E4_4_1_21 : E4_4_1_21</v>
      </c>
      <c r="I251" s="36" t="str">
        <f t="shared" si="54"/>
        <v>E4_4_1_21_mRNA : 0</v>
      </c>
      <c r="J251" s="19" t="str">
        <f t="shared" si="55"/>
        <v>E4_4_1_21 : 0</v>
      </c>
      <c r="K251" s="37" t="str">
        <f t="shared" si="56"/>
        <v>0.00292 - (0.0093 * E4_4_1_21_mRNA)</v>
      </c>
      <c r="L251" s="34" t="str">
        <f t="shared" si="57"/>
        <v>(0.278 * E4_4_1_21_mRNA) - (0.00000278 * E4_4_1_21)</v>
      </c>
      <c r="M251" s="38" t="str">
        <f t="shared" si="58"/>
        <v>mRNA250: -&gt; E4_4_1_21_mRNA | 0.00292 - (0.0093 * E4_4_1_21_mRNA)</v>
      </c>
      <c r="N251" s="39" t="str">
        <f t="shared" si="59"/>
        <v>Peptide250: E4_4_1_21_mRNA -&gt; E4_4_1_21 | (0.278 * E4_4_1_21_mRNA) - (0.000000278 * E4_4_1_21)</v>
      </c>
    </row>
    <row r="252" spans="1:14" x14ac:dyDescent="0.45">
      <c r="A252">
        <v>251</v>
      </c>
      <c r="B252" t="s">
        <v>1813</v>
      </c>
      <c r="C252" t="str">
        <f t="shared" si="48"/>
        <v>E5_1_1_1_mRNA</v>
      </c>
      <c r="D252" t="str">
        <f t="shared" si="49"/>
        <v>E5_1_1_1</v>
      </c>
      <c r="E252" s="39" t="str">
        <f t="shared" si="50"/>
        <v>E5_1_1_1_kcat : 13.7</v>
      </c>
      <c r="F252" s="41" t="str">
        <f t="shared" si="51"/>
        <v>E5_1_1_1_km : 1</v>
      </c>
      <c r="G252" s="34" t="str">
        <f t="shared" si="52"/>
        <v>E5_1_1_1_mRNA : E5_1_1_1_mRNA</v>
      </c>
      <c r="H252" s="35" t="str">
        <f t="shared" si="53"/>
        <v>E5_1_1_1 : E5_1_1_1</v>
      </c>
      <c r="I252" s="36" t="str">
        <f t="shared" si="54"/>
        <v>E5_1_1_1_mRNA : 0</v>
      </c>
      <c r="J252" s="19" t="str">
        <f t="shared" si="55"/>
        <v>E5_1_1_1 : 0</v>
      </c>
      <c r="K252" s="37" t="str">
        <f t="shared" si="56"/>
        <v>0.00292 - (0.0093 * E5_1_1_1_mRNA)</v>
      </c>
      <c r="L252" s="34" t="str">
        <f t="shared" si="57"/>
        <v>(0.278 * E5_1_1_1_mRNA) - (0.00000278 * E5_1_1_1)</v>
      </c>
      <c r="M252" s="38" t="str">
        <f t="shared" si="58"/>
        <v>mRNA251: -&gt; E5_1_1_1_mRNA | 0.00292 - (0.0093 * E5_1_1_1_mRNA)</v>
      </c>
      <c r="N252" s="39" t="str">
        <f t="shared" si="59"/>
        <v>Peptide251: E5_1_1_1_mRNA -&gt; E5_1_1_1 | (0.278 * E5_1_1_1_mRNA) - (0.000000278 * E5_1_1_1)</v>
      </c>
    </row>
    <row r="253" spans="1:14" x14ac:dyDescent="0.45">
      <c r="A253">
        <v>252</v>
      </c>
      <c r="B253" t="s">
        <v>1810</v>
      </c>
      <c r="C253" t="str">
        <f t="shared" si="48"/>
        <v>E5_1_1_3_mRNA</v>
      </c>
      <c r="D253" t="str">
        <f t="shared" si="49"/>
        <v>E5_1_1_3</v>
      </c>
      <c r="E253" s="39" t="str">
        <f t="shared" si="50"/>
        <v>E5_1_1_3_kcat : 13.7</v>
      </c>
      <c r="F253" s="41" t="str">
        <f t="shared" si="51"/>
        <v>E5_1_1_3_km : 1</v>
      </c>
      <c r="G253" s="34" t="str">
        <f t="shared" si="52"/>
        <v>E5_1_1_3_mRNA : E5_1_1_3_mRNA</v>
      </c>
      <c r="H253" s="35" t="str">
        <f t="shared" si="53"/>
        <v>E5_1_1_3 : E5_1_1_3</v>
      </c>
      <c r="I253" s="36" t="str">
        <f t="shared" si="54"/>
        <v>E5_1_1_3_mRNA : 0</v>
      </c>
      <c r="J253" s="19" t="str">
        <f t="shared" si="55"/>
        <v>E5_1_1_3 : 0</v>
      </c>
      <c r="K253" s="37" t="str">
        <f t="shared" si="56"/>
        <v>0.00292 - (0.0093 * E5_1_1_3_mRNA)</v>
      </c>
      <c r="L253" s="34" t="str">
        <f t="shared" si="57"/>
        <v>(0.278 * E5_1_1_3_mRNA) - (0.00000278 * E5_1_1_3)</v>
      </c>
      <c r="M253" s="38" t="str">
        <f t="shared" si="58"/>
        <v>mRNA252: -&gt; E5_1_1_3_mRNA | 0.00292 - (0.0093 * E5_1_1_3_mRNA)</v>
      </c>
      <c r="N253" s="39" t="str">
        <f t="shared" si="59"/>
        <v>Peptide252: E5_1_1_3_mRNA -&gt; E5_1_1_3 | (0.278 * E5_1_1_3_mRNA) - (0.000000278 * E5_1_1_3)</v>
      </c>
    </row>
    <row r="254" spans="1:14" x14ac:dyDescent="0.45">
      <c r="A254">
        <v>253</v>
      </c>
      <c r="B254" t="s">
        <v>1849</v>
      </c>
      <c r="C254" t="str">
        <f t="shared" si="48"/>
        <v>E5_1_3_1_mRNA</v>
      </c>
      <c r="D254" t="str">
        <f t="shared" si="49"/>
        <v>E5_1_3_1</v>
      </c>
      <c r="E254" s="39" t="str">
        <f t="shared" si="50"/>
        <v>E5_1_3_1_kcat : 13.7</v>
      </c>
      <c r="F254" s="41" t="str">
        <f t="shared" si="51"/>
        <v>E5_1_3_1_km : 1</v>
      </c>
      <c r="G254" s="34" t="str">
        <f t="shared" si="52"/>
        <v>E5_1_3_1_mRNA : E5_1_3_1_mRNA</v>
      </c>
      <c r="H254" s="35" t="str">
        <f t="shared" si="53"/>
        <v>E5_1_3_1 : E5_1_3_1</v>
      </c>
      <c r="I254" s="36" t="str">
        <f t="shared" si="54"/>
        <v>E5_1_3_1_mRNA : 0</v>
      </c>
      <c r="J254" s="19" t="str">
        <f t="shared" si="55"/>
        <v>E5_1_3_1 : 0</v>
      </c>
      <c r="K254" s="37" t="str">
        <f t="shared" si="56"/>
        <v>0.00292 - (0.0093 * E5_1_3_1_mRNA)</v>
      </c>
      <c r="L254" s="34" t="str">
        <f t="shared" si="57"/>
        <v>(0.278 * E5_1_3_1_mRNA) - (0.00000278 * E5_1_3_1)</v>
      </c>
      <c r="M254" s="38" t="str">
        <f t="shared" si="58"/>
        <v>mRNA253: -&gt; E5_1_3_1_mRNA | 0.00292 - (0.0093 * E5_1_3_1_mRNA)</v>
      </c>
      <c r="N254" s="39" t="str">
        <f t="shared" si="59"/>
        <v>Peptide253: E5_1_3_1_mRNA -&gt; E5_1_3_1 | (0.278 * E5_1_3_1_mRNA) - (0.000000278 * E5_1_3_1)</v>
      </c>
    </row>
    <row r="255" spans="1:14" x14ac:dyDescent="0.45">
      <c r="A255">
        <v>254</v>
      </c>
      <c r="B255" t="s">
        <v>1811</v>
      </c>
      <c r="C255" t="str">
        <f t="shared" si="48"/>
        <v>E5_1_3_2_mRNA</v>
      </c>
      <c r="D255" t="str">
        <f t="shared" si="49"/>
        <v>E5_1_3_2</v>
      </c>
      <c r="E255" s="39" t="str">
        <f t="shared" si="50"/>
        <v>E5_1_3_2_kcat : 13.7</v>
      </c>
      <c r="F255" s="41" t="str">
        <f t="shared" si="51"/>
        <v>E5_1_3_2_km : 1</v>
      </c>
      <c r="G255" s="34" t="str">
        <f t="shared" si="52"/>
        <v>E5_1_3_2_mRNA : E5_1_3_2_mRNA</v>
      </c>
      <c r="H255" s="35" t="str">
        <f t="shared" si="53"/>
        <v>E5_1_3_2 : E5_1_3_2</v>
      </c>
      <c r="I255" s="36" t="str">
        <f t="shared" si="54"/>
        <v>E5_1_3_2_mRNA : 0</v>
      </c>
      <c r="J255" s="19" t="str">
        <f t="shared" si="55"/>
        <v>E5_1_3_2 : 0</v>
      </c>
      <c r="K255" s="37" t="str">
        <f t="shared" si="56"/>
        <v>0.00292 - (0.0093 * E5_1_3_2_mRNA)</v>
      </c>
      <c r="L255" s="34" t="str">
        <f t="shared" si="57"/>
        <v>(0.278 * E5_1_3_2_mRNA) - (0.00000278 * E5_1_3_2)</v>
      </c>
      <c r="M255" s="38" t="str">
        <f t="shared" si="58"/>
        <v>mRNA254: -&gt; E5_1_3_2_mRNA | 0.00292 - (0.0093 * E5_1_3_2_mRNA)</v>
      </c>
      <c r="N255" s="39" t="str">
        <f t="shared" si="59"/>
        <v>Peptide254: E5_1_3_2_mRNA -&gt; E5_1_3_2 | (0.278 * E5_1_3_2_mRNA) - (0.000000278 * E5_1_3_2)</v>
      </c>
    </row>
    <row r="256" spans="1:14" x14ac:dyDescent="0.45">
      <c r="A256">
        <v>255</v>
      </c>
      <c r="B256" t="s">
        <v>10428</v>
      </c>
      <c r="C256" t="str">
        <f t="shared" si="48"/>
        <v>E5_1_3_4_mRNA</v>
      </c>
      <c r="D256" t="str">
        <f t="shared" si="49"/>
        <v>E5_1_3_4</v>
      </c>
      <c r="E256" s="39" t="str">
        <f t="shared" si="50"/>
        <v>E5_1_3_4_kcat : 13.7</v>
      </c>
      <c r="F256" s="41" t="str">
        <f t="shared" si="51"/>
        <v>E5_1_3_4_km : 1</v>
      </c>
      <c r="G256" s="34" t="str">
        <f t="shared" si="52"/>
        <v>E5_1_3_4_mRNA : E5_1_3_4_mRNA</v>
      </c>
      <c r="H256" s="35" t="str">
        <f t="shared" si="53"/>
        <v>E5_1_3_4 : E5_1_3_4</v>
      </c>
      <c r="I256" s="36" t="str">
        <f t="shared" si="54"/>
        <v>E5_1_3_4_mRNA : 0</v>
      </c>
      <c r="J256" s="19" t="str">
        <f t="shared" si="55"/>
        <v>E5_1_3_4 : 0</v>
      </c>
      <c r="K256" s="37" t="str">
        <f t="shared" si="56"/>
        <v>0.00292 - (0.0093 * E5_1_3_4_mRNA)</v>
      </c>
      <c r="L256" s="34" t="str">
        <f t="shared" si="57"/>
        <v>(0.278 * E5_1_3_4_mRNA) - (0.00000278 * E5_1_3_4)</v>
      </c>
      <c r="M256" s="38" t="str">
        <f t="shared" si="58"/>
        <v>mRNA255: -&gt; E5_1_3_4_mRNA | 0.00292 - (0.0093 * E5_1_3_4_mRNA)</v>
      </c>
      <c r="N256" s="39" t="str">
        <f t="shared" si="59"/>
        <v>Peptide255: E5_1_3_4_mRNA -&gt; E5_1_3_4 | (0.278 * E5_1_3_4_mRNA) - (0.000000278 * E5_1_3_4)</v>
      </c>
    </row>
    <row r="257" spans="1:14" x14ac:dyDescent="0.45">
      <c r="A257">
        <v>256</v>
      </c>
      <c r="B257" t="s">
        <v>10429</v>
      </c>
      <c r="C257" t="str">
        <f t="shared" si="48"/>
        <v>E5_1_3_9_mRNA</v>
      </c>
      <c r="D257" t="str">
        <f t="shared" si="49"/>
        <v>E5_1_3_9</v>
      </c>
      <c r="E257" s="39" t="str">
        <f t="shared" si="50"/>
        <v>E5_1_3_9_kcat : 13.7</v>
      </c>
      <c r="F257" s="41" t="str">
        <f t="shared" si="51"/>
        <v>E5_1_3_9_km : 1</v>
      </c>
      <c r="G257" s="34" t="str">
        <f t="shared" si="52"/>
        <v>E5_1_3_9_mRNA : E5_1_3_9_mRNA</v>
      </c>
      <c r="H257" s="35" t="str">
        <f t="shared" si="53"/>
        <v>E5_1_3_9 : E5_1_3_9</v>
      </c>
      <c r="I257" s="36" t="str">
        <f t="shared" si="54"/>
        <v>E5_1_3_9_mRNA : 0</v>
      </c>
      <c r="J257" s="19" t="str">
        <f t="shared" si="55"/>
        <v>E5_1_3_9 : 0</v>
      </c>
      <c r="K257" s="37" t="str">
        <f t="shared" si="56"/>
        <v>0.00292 - (0.0093 * E5_1_3_9_mRNA)</v>
      </c>
      <c r="L257" s="34" t="str">
        <f t="shared" si="57"/>
        <v>(0.278 * E5_1_3_9_mRNA) - (0.00000278 * E5_1_3_9)</v>
      </c>
      <c r="M257" s="38" t="str">
        <f t="shared" si="58"/>
        <v>mRNA256: -&gt; E5_1_3_9_mRNA | 0.00292 - (0.0093 * E5_1_3_9_mRNA)</v>
      </c>
      <c r="N257" s="39" t="str">
        <f t="shared" si="59"/>
        <v>Peptide256: E5_1_3_9_mRNA -&gt; E5_1_3_9 | (0.278 * E5_1_3_9_mRNA) - (0.000000278 * E5_1_3_9)</v>
      </c>
    </row>
    <row r="258" spans="1:14" x14ac:dyDescent="0.45">
      <c r="A258">
        <v>257</v>
      </c>
      <c r="B258" t="s">
        <v>1889</v>
      </c>
      <c r="C258" t="str">
        <f t="shared" si="48"/>
        <v>E5_2_1_8_mRNA</v>
      </c>
      <c r="D258" t="str">
        <f t="shared" si="49"/>
        <v>E5_2_1_8</v>
      </c>
      <c r="E258" s="39" t="str">
        <f t="shared" si="50"/>
        <v>E5_2_1_8_kcat : 13.7</v>
      </c>
      <c r="F258" s="41" t="str">
        <f t="shared" si="51"/>
        <v>E5_2_1_8_km : 1</v>
      </c>
      <c r="G258" s="34" t="str">
        <f t="shared" si="52"/>
        <v>E5_2_1_8_mRNA : E5_2_1_8_mRNA</v>
      </c>
      <c r="H258" s="35" t="str">
        <f t="shared" si="53"/>
        <v>E5_2_1_8 : E5_2_1_8</v>
      </c>
      <c r="I258" s="36" t="str">
        <f t="shared" si="54"/>
        <v>E5_2_1_8_mRNA : 0</v>
      </c>
      <c r="J258" s="19" t="str">
        <f t="shared" si="55"/>
        <v>E5_2_1_8 : 0</v>
      </c>
      <c r="K258" s="37" t="str">
        <f t="shared" si="56"/>
        <v>0.00292 - (0.0093 * E5_2_1_8_mRNA)</v>
      </c>
      <c r="L258" s="34" t="str">
        <f t="shared" si="57"/>
        <v>(0.278 * E5_2_1_8_mRNA) - (0.00000278 * E5_2_1_8)</v>
      </c>
      <c r="M258" s="38" t="str">
        <f t="shared" si="58"/>
        <v>mRNA257: -&gt; E5_2_1_8_mRNA | 0.00292 - (0.0093 * E5_2_1_8_mRNA)</v>
      </c>
      <c r="N258" s="39" t="str">
        <f t="shared" si="59"/>
        <v>Peptide257: E5_2_1_8_mRNA -&gt; E5_2_1_8 | (0.278 * E5_2_1_8_mRNA) - (0.000000278 * E5_2_1_8)</v>
      </c>
    </row>
    <row r="259" spans="1:14" x14ac:dyDescent="0.45">
      <c r="A259">
        <v>258</v>
      </c>
      <c r="B259" t="s">
        <v>1836</v>
      </c>
      <c r="C259" t="str">
        <f t="shared" si="48"/>
        <v>E5_3_1_1_mRNA</v>
      </c>
      <c r="D259" t="str">
        <f t="shared" si="49"/>
        <v>E5_3_1_1</v>
      </c>
      <c r="E259" s="39" t="str">
        <f t="shared" si="50"/>
        <v>E5_3_1_1_kcat : 13.7</v>
      </c>
      <c r="F259" s="41" t="str">
        <f t="shared" si="51"/>
        <v>E5_3_1_1_km : 1</v>
      </c>
      <c r="G259" s="34" t="str">
        <f t="shared" si="52"/>
        <v>E5_3_1_1_mRNA : E5_3_1_1_mRNA</v>
      </c>
      <c r="H259" s="35" t="str">
        <f t="shared" si="53"/>
        <v>E5_3_1_1 : E5_3_1_1</v>
      </c>
      <c r="I259" s="36" t="str">
        <f t="shared" si="54"/>
        <v>E5_3_1_1_mRNA : 0</v>
      </c>
      <c r="J259" s="19" t="str">
        <f t="shared" si="55"/>
        <v>E5_3_1_1 : 0</v>
      </c>
      <c r="K259" s="37" t="str">
        <f t="shared" si="56"/>
        <v>0.00292 - (0.0093 * E5_3_1_1_mRNA)</v>
      </c>
      <c r="L259" s="34" t="str">
        <f t="shared" si="57"/>
        <v>(0.278 * E5_3_1_1_mRNA) - (0.00000278 * E5_3_1_1)</v>
      </c>
      <c r="M259" s="38" t="str">
        <f t="shared" si="58"/>
        <v>mRNA258: -&gt; E5_3_1_1_mRNA | 0.00292 - (0.0093 * E5_3_1_1_mRNA)</v>
      </c>
      <c r="N259" s="39" t="str">
        <f t="shared" si="59"/>
        <v>Peptide258: E5_3_1_1_mRNA -&gt; E5_3_1_1 | (0.278 * E5_3_1_1_mRNA) - (0.000000278 * E5_3_1_1)</v>
      </c>
    </row>
    <row r="260" spans="1:14" x14ac:dyDescent="0.45">
      <c r="A260">
        <v>259</v>
      </c>
      <c r="B260" t="s">
        <v>10430</v>
      </c>
      <c r="C260" t="str">
        <f t="shared" si="48"/>
        <v>E5_3_1_12_mRNA</v>
      </c>
      <c r="D260" t="str">
        <f t="shared" si="49"/>
        <v>E5_3_1_12</v>
      </c>
      <c r="E260" s="39" t="str">
        <f t="shared" si="50"/>
        <v>E5_3_1_12_kcat : 13.7</v>
      </c>
      <c r="F260" s="41" t="str">
        <f t="shared" si="51"/>
        <v>E5_3_1_12_km : 1</v>
      </c>
      <c r="G260" s="34" t="str">
        <f t="shared" si="52"/>
        <v>E5_3_1_12_mRNA : E5_3_1_12_mRNA</v>
      </c>
      <c r="H260" s="35" t="str">
        <f t="shared" si="53"/>
        <v>E5_3_1_12 : E5_3_1_12</v>
      </c>
      <c r="I260" s="36" t="str">
        <f t="shared" si="54"/>
        <v>E5_3_1_12_mRNA : 0</v>
      </c>
      <c r="J260" s="19" t="str">
        <f t="shared" si="55"/>
        <v>E5_3_1_12 : 0</v>
      </c>
      <c r="K260" s="37" t="str">
        <f t="shared" si="56"/>
        <v>0.00292 - (0.0093 * E5_3_1_12_mRNA)</v>
      </c>
      <c r="L260" s="34" t="str">
        <f t="shared" si="57"/>
        <v>(0.278 * E5_3_1_12_mRNA) - (0.00000278 * E5_3_1_12)</v>
      </c>
      <c r="M260" s="38" t="str">
        <f t="shared" si="58"/>
        <v>mRNA259: -&gt; E5_3_1_12_mRNA | 0.00292 - (0.0093 * E5_3_1_12_mRNA)</v>
      </c>
      <c r="N260" s="39" t="str">
        <f t="shared" si="59"/>
        <v>Peptide259: E5_3_1_12_mRNA -&gt; E5_3_1_12 | (0.278 * E5_3_1_12_mRNA) - (0.000000278 * E5_3_1_12)</v>
      </c>
    </row>
    <row r="261" spans="1:14" x14ac:dyDescent="0.45">
      <c r="A261">
        <v>260</v>
      </c>
      <c r="B261" t="s">
        <v>1835</v>
      </c>
      <c r="C261" t="str">
        <f t="shared" si="48"/>
        <v>E5_3_1_6_mRNA</v>
      </c>
      <c r="D261" t="str">
        <f t="shared" si="49"/>
        <v>E5_3_1_6</v>
      </c>
      <c r="E261" s="39" t="str">
        <f t="shared" si="50"/>
        <v>E5_3_1_6_kcat : 13.7</v>
      </c>
      <c r="F261" s="41" t="str">
        <f t="shared" si="51"/>
        <v>E5_3_1_6_km : 1</v>
      </c>
      <c r="G261" s="34" t="str">
        <f t="shared" si="52"/>
        <v>E5_3_1_6_mRNA : E5_3_1_6_mRNA</v>
      </c>
      <c r="H261" s="35" t="str">
        <f t="shared" si="53"/>
        <v>E5_3_1_6 : E5_3_1_6</v>
      </c>
      <c r="I261" s="36" t="str">
        <f t="shared" si="54"/>
        <v>E5_3_1_6_mRNA : 0</v>
      </c>
      <c r="J261" s="19" t="str">
        <f t="shared" si="55"/>
        <v>E5_3_1_6 : 0</v>
      </c>
      <c r="K261" s="37" t="str">
        <f t="shared" si="56"/>
        <v>0.00292 - (0.0093 * E5_3_1_6_mRNA)</v>
      </c>
      <c r="L261" s="34" t="str">
        <f t="shared" si="57"/>
        <v>(0.278 * E5_3_1_6_mRNA) - (0.00000278 * E5_3_1_6)</v>
      </c>
      <c r="M261" s="38" t="str">
        <f t="shared" si="58"/>
        <v>mRNA260: -&gt; E5_3_1_6_mRNA | 0.00292 - (0.0093 * E5_3_1_6_mRNA)</v>
      </c>
      <c r="N261" s="39" t="str">
        <f t="shared" si="59"/>
        <v>Peptide260: E5_3_1_6_mRNA -&gt; E5_3_1_6 | (0.278 * E5_3_1_6_mRNA) - (0.000000278 * E5_3_1_6)</v>
      </c>
    </row>
    <row r="262" spans="1:14" x14ac:dyDescent="0.45">
      <c r="A262">
        <v>261</v>
      </c>
      <c r="B262" t="s">
        <v>10431</v>
      </c>
      <c r="C262" t="str">
        <f t="shared" si="48"/>
        <v>E5_3_1_8_mRNA</v>
      </c>
      <c r="D262" t="str">
        <f t="shared" si="49"/>
        <v>E5_3_1_8</v>
      </c>
      <c r="E262" s="39" t="str">
        <f t="shared" si="50"/>
        <v>E5_3_1_8_kcat : 13.7</v>
      </c>
      <c r="F262" s="41" t="str">
        <f t="shared" si="51"/>
        <v>E5_3_1_8_km : 1</v>
      </c>
      <c r="G262" s="34" t="str">
        <f t="shared" si="52"/>
        <v>E5_3_1_8_mRNA : E5_3_1_8_mRNA</v>
      </c>
      <c r="H262" s="35" t="str">
        <f t="shared" si="53"/>
        <v>E5_3_1_8 : E5_3_1_8</v>
      </c>
      <c r="I262" s="36" t="str">
        <f t="shared" si="54"/>
        <v>E5_3_1_8_mRNA : 0</v>
      </c>
      <c r="J262" s="19" t="str">
        <f t="shared" si="55"/>
        <v>E5_3_1_8 : 0</v>
      </c>
      <c r="K262" s="37" t="str">
        <f t="shared" si="56"/>
        <v>0.00292 - (0.0093 * E5_3_1_8_mRNA)</v>
      </c>
      <c r="L262" s="34" t="str">
        <f t="shared" si="57"/>
        <v>(0.278 * E5_3_1_8_mRNA) - (0.00000278 * E5_3_1_8)</v>
      </c>
      <c r="M262" s="38" t="str">
        <f t="shared" si="58"/>
        <v>mRNA261: -&gt; E5_3_1_8_mRNA | 0.00292 - (0.0093 * E5_3_1_8_mRNA)</v>
      </c>
      <c r="N262" s="39" t="str">
        <f t="shared" si="59"/>
        <v>Peptide261: E5_3_1_8_mRNA -&gt; E5_3_1_8 | (0.278 * E5_3_1_8_mRNA) - (0.000000278 * E5_3_1_8)</v>
      </c>
    </row>
    <row r="263" spans="1:14" x14ac:dyDescent="0.45">
      <c r="A263">
        <v>262</v>
      </c>
      <c r="B263" t="s">
        <v>1827</v>
      </c>
      <c r="C263" t="str">
        <f t="shared" si="48"/>
        <v>E5_3_1_9_mRNA</v>
      </c>
      <c r="D263" t="str">
        <f t="shared" si="49"/>
        <v>E5_3_1_9</v>
      </c>
      <c r="E263" s="39" t="str">
        <f t="shared" si="50"/>
        <v>E5_3_1_9_kcat : 13.7</v>
      </c>
      <c r="F263" s="41" t="str">
        <f t="shared" si="51"/>
        <v>E5_3_1_9_km : 1</v>
      </c>
      <c r="G263" s="34" t="str">
        <f t="shared" si="52"/>
        <v>E5_3_1_9_mRNA : E5_3_1_9_mRNA</v>
      </c>
      <c r="H263" s="35" t="str">
        <f t="shared" si="53"/>
        <v>E5_3_1_9 : E5_3_1_9</v>
      </c>
      <c r="I263" s="36" t="str">
        <f t="shared" si="54"/>
        <v>E5_3_1_9_mRNA : 0</v>
      </c>
      <c r="J263" s="19" t="str">
        <f t="shared" si="55"/>
        <v>E5_3_1_9 : 0</v>
      </c>
      <c r="K263" s="37" t="str">
        <f t="shared" si="56"/>
        <v>0.00292 - (0.0093 * E5_3_1_9_mRNA)</v>
      </c>
      <c r="L263" s="34" t="str">
        <f t="shared" si="57"/>
        <v>(0.278 * E5_3_1_9_mRNA) - (0.00000278 * E5_3_1_9)</v>
      </c>
      <c r="M263" s="38" t="str">
        <f t="shared" si="58"/>
        <v>mRNA262: -&gt; E5_3_1_9_mRNA | 0.00292 - (0.0093 * E5_3_1_9_mRNA)</v>
      </c>
      <c r="N263" s="39" t="str">
        <f t="shared" si="59"/>
        <v>Peptide262: E5_3_1_9_mRNA -&gt; E5_3_1_9 | (0.278 * E5_3_1_9_mRNA) - (0.000000278 * E5_3_1_9)</v>
      </c>
    </row>
    <row r="264" spans="1:14" x14ac:dyDescent="0.45">
      <c r="A264">
        <v>263</v>
      </c>
      <c r="B264" t="s">
        <v>1883</v>
      </c>
      <c r="C264" t="str">
        <f t="shared" si="48"/>
        <v>E5_3_2_6_mRNA</v>
      </c>
      <c r="D264" t="str">
        <f t="shared" si="49"/>
        <v>E5_3_2_6</v>
      </c>
      <c r="E264" s="39" t="str">
        <f t="shared" si="50"/>
        <v>E5_3_2_6_kcat : 13.7</v>
      </c>
      <c r="F264" s="41" t="str">
        <f t="shared" si="51"/>
        <v>E5_3_2_6_km : 1</v>
      </c>
      <c r="G264" s="34" t="str">
        <f t="shared" si="52"/>
        <v>E5_3_2_6_mRNA : E5_3_2_6_mRNA</v>
      </c>
      <c r="H264" s="35" t="str">
        <f t="shared" si="53"/>
        <v>E5_3_2_6 : E5_3_2_6</v>
      </c>
      <c r="I264" s="36" t="str">
        <f t="shared" si="54"/>
        <v>E5_3_2_6_mRNA : 0</v>
      </c>
      <c r="J264" s="19" t="str">
        <f t="shared" si="55"/>
        <v>E5_3_2_6 : 0</v>
      </c>
      <c r="K264" s="37" t="str">
        <f t="shared" si="56"/>
        <v>0.00292 - (0.0093 * E5_3_2_6_mRNA)</v>
      </c>
      <c r="L264" s="34" t="str">
        <f t="shared" si="57"/>
        <v>(0.278 * E5_3_2_6_mRNA) - (0.00000278 * E5_3_2_6)</v>
      </c>
      <c r="M264" s="38" t="str">
        <f t="shared" si="58"/>
        <v>mRNA263: -&gt; E5_3_2_6_mRNA | 0.00292 - (0.0093 * E5_3_2_6_mRNA)</v>
      </c>
      <c r="N264" s="39" t="str">
        <f t="shared" si="59"/>
        <v>Peptide263: E5_3_2_6_mRNA -&gt; E5_3_2_6 | (0.278 * E5_3_2_6_mRNA) - (0.000000278 * E5_3_2_6)</v>
      </c>
    </row>
    <row r="265" spans="1:14" x14ac:dyDescent="0.45">
      <c r="A265">
        <v>264</v>
      </c>
      <c r="B265" t="s">
        <v>1837</v>
      </c>
      <c r="C265" t="str">
        <f t="shared" si="48"/>
        <v>E5_3_3_2_mRNA</v>
      </c>
      <c r="D265" t="str">
        <f t="shared" si="49"/>
        <v>E5_3_3_2</v>
      </c>
      <c r="E265" s="39" t="str">
        <f t="shared" si="50"/>
        <v>E5_3_3_2_kcat : 13.7</v>
      </c>
      <c r="F265" s="41" t="str">
        <f t="shared" si="51"/>
        <v>E5_3_3_2_km : 1</v>
      </c>
      <c r="G265" s="34" t="str">
        <f t="shared" si="52"/>
        <v>E5_3_3_2_mRNA : E5_3_3_2_mRNA</v>
      </c>
      <c r="H265" s="35" t="str">
        <f t="shared" si="53"/>
        <v>E5_3_3_2 : E5_3_3_2</v>
      </c>
      <c r="I265" s="36" t="str">
        <f t="shared" si="54"/>
        <v>E5_3_3_2_mRNA : 0</v>
      </c>
      <c r="J265" s="19" t="str">
        <f t="shared" si="55"/>
        <v>E5_3_3_2 : 0</v>
      </c>
      <c r="K265" s="37" t="str">
        <f t="shared" si="56"/>
        <v>0.00292 - (0.0093 * E5_3_3_2_mRNA)</v>
      </c>
      <c r="L265" s="34" t="str">
        <f t="shared" si="57"/>
        <v>(0.278 * E5_3_3_2_mRNA) - (0.00000278 * E5_3_3_2)</v>
      </c>
      <c r="M265" s="38" t="str">
        <f t="shared" si="58"/>
        <v>mRNA264: -&gt; E5_3_3_2_mRNA | 0.00292 - (0.0093 * E5_3_3_2_mRNA)</v>
      </c>
      <c r="N265" s="39" t="str">
        <f t="shared" si="59"/>
        <v>Peptide264: E5_3_3_2_mRNA -&gt; E5_3_3_2 | (0.278 * E5_3_3_2_mRNA) - (0.000000278 * E5_3_3_2)</v>
      </c>
    </row>
    <row r="266" spans="1:14" x14ac:dyDescent="0.45">
      <c r="A266">
        <v>265</v>
      </c>
      <c r="B266" t="s">
        <v>1897</v>
      </c>
      <c r="C266" t="str">
        <f t="shared" si="48"/>
        <v>E5_4_2_10_mRNA</v>
      </c>
      <c r="D266" t="str">
        <f t="shared" si="49"/>
        <v>E5_4_2_10</v>
      </c>
      <c r="E266" s="39" t="str">
        <f t="shared" si="50"/>
        <v>E5_4_2_10_kcat : 13.7</v>
      </c>
      <c r="F266" s="41" t="str">
        <f t="shared" si="51"/>
        <v>E5_4_2_10_km : 1</v>
      </c>
      <c r="G266" s="34" t="str">
        <f t="shared" si="52"/>
        <v>E5_4_2_10_mRNA : E5_4_2_10_mRNA</v>
      </c>
      <c r="H266" s="35" t="str">
        <f t="shared" si="53"/>
        <v>E5_4_2_10 : E5_4_2_10</v>
      </c>
      <c r="I266" s="36" t="str">
        <f t="shared" si="54"/>
        <v>E5_4_2_10_mRNA : 0</v>
      </c>
      <c r="J266" s="19" t="str">
        <f t="shared" si="55"/>
        <v>E5_4_2_10 : 0</v>
      </c>
      <c r="K266" s="37" t="str">
        <f t="shared" si="56"/>
        <v>0.00292 - (0.0093 * E5_4_2_10_mRNA)</v>
      </c>
      <c r="L266" s="34" t="str">
        <f t="shared" si="57"/>
        <v>(0.278 * E5_4_2_10_mRNA) - (0.00000278 * E5_4_2_10)</v>
      </c>
      <c r="M266" s="38" t="str">
        <f t="shared" si="58"/>
        <v>mRNA265: -&gt; E5_4_2_10_mRNA | 0.00292 - (0.0093 * E5_4_2_10_mRNA)</v>
      </c>
      <c r="N266" s="39" t="str">
        <f t="shared" si="59"/>
        <v>Peptide265: E5_4_2_10_mRNA -&gt; E5_4_2_10 | (0.278 * E5_4_2_10_mRNA) - (0.000000278 * E5_4_2_10)</v>
      </c>
    </row>
    <row r="267" spans="1:14" x14ac:dyDescent="0.45">
      <c r="A267">
        <v>266</v>
      </c>
      <c r="B267" t="s">
        <v>10432</v>
      </c>
      <c r="C267" t="str">
        <f t="shared" si="48"/>
        <v>E5_4_2_12_mRNA</v>
      </c>
      <c r="D267" t="str">
        <f t="shared" si="49"/>
        <v>E5_4_2_12</v>
      </c>
      <c r="E267" s="39" t="str">
        <f t="shared" si="50"/>
        <v>E5_4_2_12_kcat : 13.7</v>
      </c>
      <c r="F267" s="41" t="str">
        <f t="shared" si="51"/>
        <v>E5_4_2_12_km : 1</v>
      </c>
      <c r="G267" s="34" t="str">
        <f t="shared" si="52"/>
        <v>E5_4_2_12_mRNA : E5_4_2_12_mRNA</v>
      </c>
      <c r="H267" s="35" t="str">
        <f t="shared" si="53"/>
        <v>E5_4_2_12 : E5_4_2_12</v>
      </c>
      <c r="I267" s="36" t="str">
        <f t="shared" si="54"/>
        <v>E5_4_2_12_mRNA : 0</v>
      </c>
      <c r="J267" s="19" t="str">
        <f t="shared" si="55"/>
        <v>E5_4_2_12 : 0</v>
      </c>
      <c r="K267" s="37" t="str">
        <f t="shared" si="56"/>
        <v>0.00292 - (0.0093 * E5_4_2_12_mRNA)</v>
      </c>
      <c r="L267" s="34" t="str">
        <f t="shared" si="57"/>
        <v>(0.278 * E5_4_2_12_mRNA) - (0.00000278 * E5_4_2_12)</v>
      </c>
      <c r="M267" s="38" t="str">
        <f t="shared" si="58"/>
        <v>mRNA266: -&gt; E5_4_2_12_mRNA | 0.00292 - (0.0093 * E5_4_2_12_mRNA)</v>
      </c>
      <c r="N267" s="39" t="str">
        <f t="shared" si="59"/>
        <v>Peptide266: E5_4_2_12_mRNA -&gt; E5_4_2_12 | (0.278 * E5_4_2_12_mRNA) - (0.000000278 * E5_4_2_12)</v>
      </c>
    </row>
    <row r="268" spans="1:14" x14ac:dyDescent="0.45">
      <c r="A268">
        <v>267</v>
      </c>
      <c r="B268" t="s">
        <v>10433</v>
      </c>
      <c r="C268" t="str">
        <f t="shared" si="48"/>
        <v>E5_4_2_7_mRNA</v>
      </c>
      <c r="D268" t="str">
        <f t="shared" si="49"/>
        <v>E5_4_2_7</v>
      </c>
      <c r="E268" s="39" t="str">
        <f t="shared" si="50"/>
        <v>E5_4_2_7_kcat : 13.7</v>
      </c>
      <c r="F268" s="41" t="str">
        <f t="shared" si="51"/>
        <v>E5_4_2_7_km : 1</v>
      </c>
      <c r="G268" s="34" t="str">
        <f t="shared" si="52"/>
        <v>E5_4_2_7_mRNA : E5_4_2_7_mRNA</v>
      </c>
      <c r="H268" s="35" t="str">
        <f t="shared" si="53"/>
        <v>E5_4_2_7 : E5_4_2_7</v>
      </c>
      <c r="I268" s="36" t="str">
        <f t="shared" si="54"/>
        <v>E5_4_2_7_mRNA : 0</v>
      </c>
      <c r="J268" s="19" t="str">
        <f t="shared" si="55"/>
        <v>E5_4_2_7 : 0</v>
      </c>
      <c r="K268" s="37" t="str">
        <f t="shared" si="56"/>
        <v>0.00292 - (0.0093 * E5_4_2_7_mRNA)</v>
      </c>
      <c r="L268" s="34" t="str">
        <f t="shared" si="57"/>
        <v>(0.278 * E5_4_2_7_mRNA) - (0.00000278 * E5_4_2_7)</v>
      </c>
      <c r="M268" s="38" t="str">
        <f t="shared" si="58"/>
        <v>mRNA267: -&gt; E5_4_2_7_mRNA | 0.00292 - (0.0093 * E5_4_2_7_mRNA)</v>
      </c>
      <c r="N268" s="39" t="str">
        <f t="shared" si="59"/>
        <v>Peptide267: E5_4_2_7_mRNA -&gt; E5_4_2_7 | (0.278 * E5_4_2_7_mRNA) - (0.000000278 * E5_4_2_7)</v>
      </c>
    </row>
    <row r="269" spans="1:14" x14ac:dyDescent="0.45">
      <c r="A269">
        <v>268</v>
      </c>
      <c r="B269" t="s">
        <v>1868</v>
      </c>
      <c r="C269" t="str">
        <f t="shared" si="48"/>
        <v>E5_4_99_12_mRNA</v>
      </c>
      <c r="D269" t="str">
        <f t="shared" si="49"/>
        <v>E5_4_99_12</v>
      </c>
      <c r="E269" s="39" t="str">
        <f t="shared" si="50"/>
        <v>E5_4_99_12_kcat : 13.7</v>
      </c>
      <c r="F269" s="41" t="str">
        <f t="shared" si="51"/>
        <v>E5_4_99_12_km : 1</v>
      </c>
      <c r="G269" s="34" t="str">
        <f t="shared" si="52"/>
        <v>E5_4_99_12_mRNA : E5_4_99_12_mRNA</v>
      </c>
      <c r="H269" s="35" t="str">
        <f t="shared" si="53"/>
        <v>E5_4_99_12 : E5_4_99_12</v>
      </c>
      <c r="I269" s="36" t="str">
        <f t="shared" si="54"/>
        <v>E5_4_99_12_mRNA : 0</v>
      </c>
      <c r="J269" s="19" t="str">
        <f t="shared" si="55"/>
        <v>E5_4_99_12 : 0</v>
      </c>
      <c r="K269" s="37" t="str">
        <f t="shared" si="56"/>
        <v>0.00292 - (0.0093 * E5_4_99_12_mRNA)</v>
      </c>
      <c r="L269" s="34" t="str">
        <f t="shared" si="57"/>
        <v>(0.278 * E5_4_99_12_mRNA) - (0.00000278 * E5_4_99_12)</v>
      </c>
      <c r="M269" s="38" t="str">
        <f t="shared" si="58"/>
        <v>mRNA268: -&gt; E5_4_99_12_mRNA | 0.00292 - (0.0093 * E5_4_99_12_mRNA)</v>
      </c>
      <c r="N269" s="39" t="str">
        <f t="shared" si="59"/>
        <v>Peptide268: E5_4_99_12_mRNA -&gt; E5_4_99_12 | (0.278 * E5_4_99_12_mRNA) - (0.000000278 * E5_4_99_12)</v>
      </c>
    </row>
    <row r="270" spans="1:14" x14ac:dyDescent="0.45">
      <c r="A270">
        <v>269</v>
      </c>
      <c r="B270" t="s">
        <v>1899</v>
      </c>
      <c r="C270" t="str">
        <f t="shared" si="48"/>
        <v>E5_4_99_18_mRNA</v>
      </c>
      <c r="D270" t="str">
        <f t="shared" si="49"/>
        <v>E5_4_99_18</v>
      </c>
      <c r="E270" s="39" t="str">
        <f t="shared" si="50"/>
        <v>E5_4_99_18_kcat : 13.7</v>
      </c>
      <c r="F270" s="41" t="str">
        <f t="shared" si="51"/>
        <v>E5_4_99_18_km : 1</v>
      </c>
      <c r="G270" s="34" t="str">
        <f t="shared" si="52"/>
        <v>E5_4_99_18_mRNA : E5_4_99_18_mRNA</v>
      </c>
      <c r="H270" s="35" t="str">
        <f t="shared" si="53"/>
        <v>E5_4_99_18 : E5_4_99_18</v>
      </c>
      <c r="I270" s="36" t="str">
        <f t="shared" si="54"/>
        <v>E5_4_99_18_mRNA : 0</v>
      </c>
      <c r="J270" s="19" t="str">
        <f t="shared" si="55"/>
        <v>E5_4_99_18 : 0</v>
      </c>
      <c r="K270" s="37" t="str">
        <f t="shared" si="56"/>
        <v>0.00292 - (0.0093 * E5_4_99_18_mRNA)</v>
      </c>
      <c r="L270" s="34" t="str">
        <f t="shared" si="57"/>
        <v>(0.278 * E5_4_99_18_mRNA) - (0.00000278 * E5_4_99_18)</v>
      </c>
      <c r="M270" s="38" t="str">
        <f t="shared" si="58"/>
        <v>mRNA269: -&gt; E5_4_99_18_mRNA | 0.00292 - (0.0093 * E5_4_99_18_mRNA)</v>
      </c>
      <c r="N270" s="39" t="str">
        <f t="shared" si="59"/>
        <v>Peptide269: E5_4_99_18_mRNA -&gt; E5_4_99_18 | (0.278 * E5_4_99_18_mRNA) - (0.000000278 * E5_4_99_18)</v>
      </c>
    </row>
    <row r="271" spans="1:14" x14ac:dyDescent="0.45">
      <c r="A271">
        <v>270</v>
      </c>
      <c r="B271" t="s">
        <v>10434</v>
      </c>
      <c r="C271" t="str">
        <f t="shared" si="48"/>
        <v>E5_4_99_25_mRNA</v>
      </c>
      <c r="D271" t="str">
        <f t="shared" si="49"/>
        <v>E5_4_99_25</v>
      </c>
      <c r="E271" s="39" t="str">
        <f t="shared" si="50"/>
        <v>E5_4_99_25_kcat : 13.7</v>
      </c>
      <c r="F271" s="41" t="str">
        <f t="shared" si="51"/>
        <v>E5_4_99_25_km : 1</v>
      </c>
      <c r="G271" s="34" t="str">
        <f t="shared" si="52"/>
        <v>E5_4_99_25_mRNA : E5_4_99_25_mRNA</v>
      </c>
      <c r="H271" s="35" t="str">
        <f t="shared" si="53"/>
        <v>E5_4_99_25 : E5_4_99_25</v>
      </c>
      <c r="I271" s="36" t="str">
        <f t="shared" si="54"/>
        <v>E5_4_99_25_mRNA : 0</v>
      </c>
      <c r="J271" s="19" t="str">
        <f t="shared" si="55"/>
        <v>E5_4_99_25 : 0</v>
      </c>
      <c r="K271" s="37" t="str">
        <f t="shared" si="56"/>
        <v>0.00292 - (0.0093 * E5_4_99_25_mRNA)</v>
      </c>
      <c r="L271" s="34" t="str">
        <f t="shared" si="57"/>
        <v>(0.278 * E5_4_99_25_mRNA) - (0.00000278 * E5_4_99_25)</v>
      </c>
      <c r="M271" s="38" t="str">
        <f t="shared" si="58"/>
        <v>mRNA270: -&gt; E5_4_99_25_mRNA | 0.00292 - (0.0093 * E5_4_99_25_mRNA)</v>
      </c>
      <c r="N271" s="39" t="str">
        <f t="shared" si="59"/>
        <v>Peptide270: E5_4_99_25_mRNA -&gt; E5_4_99_25 | (0.278 * E5_4_99_25_mRNA) - (0.000000278 * E5_4_99_25)</v>
      </c>
    </row>
    <row r="272" spans="1:14" x14ac:dyDescent="0.45">
      <c r="A272">
        <v>271</v>
      </c>
      <c r="B272" t="s">
        <v>10435</v>
      </c>
      <c r="C272" t="str">
        <f t="shared" si="48"/>
        <v>E5_4_99_5_mRNA</v>
      </c>
      <c r="D272" t="str">
        <f t="shared" si="49"/>
        <v>E5_4_99_5</v>
      </c>
      <c r="E272" s="39" t="str">
        <f t="shared" si="50"/>
        <v>E5_4_99_5_kcat : 13.7</v>
      </c>
      <c r="F272" s="41" t="str">
        <f t="shared" si="51"/>
        <v>E5_4_99_5_km : 1</v>
      </c>
      <c r="G272" s="34" t="str">
        <f t="shared" si="52"/>
        <v>E5_4_99_5_mRNA : E5_4_99_5_mRNA</v>
      </c>
      <c r="H272" s="35" t="str">
        <f t="shared" si="53"/>
        <v>E5_4_99_5 : E5_4_99_5</v>
      </c>
      <c r="I272" s="36" t="str">
        <f t="shared" si="54"/>
        <v>E5_4_99_5_mRNA : 0</v>
      </c>
      <c r="J272" s="19" t="str">
        <f t="shared" si="55"/>
        <v>E5_4_99_5 : 0</v>
      </c>
      <c r="K272" s="37" t="str">
        <f t="shared" si="56"/>
        <v>0.00292 - (0.0093 * E5_4_99_5_mRNA)</v>
      </c>
      <c r="L272" s="34" t="str">
        <f t="shared" si="57"/>
        <v>(0.278 * E5_4_99_5_mRNA) - (0.00000278 * E5_4_99_5)</v>
      </c>
      <c r="M272" s="38" t="str">
        <f t="shared" si="58"/>
        <v>mRNA271: -&gt; E5_4_99_5_mRNA | 0.00292 - (0.0093 * E5_4_99_5_mRNA)</v>
      </c>
      <c r="N272" s="39" t="str">
        <f t="shared" si="59"/>
        <v>Peptide271: E5_4_99_5_mRNA -&gt; E5_4_99_5 | (0.278 * E5_4_99_5_mRNA) - (0.000000278 * E5_4_99_5)</v>
      </c>
    </row>
    <row r="273" spans="1:14" x14ac:dyDescent="0.45">
      <c r="A273">
        <v>272</v>
      </c>
      <c r="B273" t="s">
        <v>1898</v>
      </c>
      <c r="C273" t="str">
        <f t="shared" si="48"/>
        <v>E5_4_99_62_mRNA</v>
      </c>
      <c r="D273" t="str">
        <f t="shared" si="49"/>
        <v>E5_4_99_62</v>
      </c>
      <c r="E273" s="39" t="str">
        <f t="shared" si="50"/>
        <v>E5_4_99_62_kcat : 13.7</v>
      </c>
      <c r="F273" s="41" t="str">
        <f t="shared" si="51"/>
        <v>E5_4_99_62_km : 1</v>
      </c>
      <c r="G273" s="34" t="str">
        <f t="shared" si="52"/>
        <v>E5_4_99_62_mRNA : E5_4_99_62_mRNA</v>
      </c>
      <c r="H273" s="35" t="str">
        <f t="shared" si="53"/>
        <v>E5_4_99_62 : E5_4_99_62</v>
      </c>
      <c r="I273" s="36" t="str">
        <f t="shared" si="54"/>
        <v>E5_4_99_62_mRNA : 0</v>
      </c>
      <c r="J273" s="19" t="str">
        <f t="shared" si="55"/>
        <v>E5_4_99_62 : 0</v>
      </c>
      <c r="K273" s="37" t="str">
        <f t="shared" si="56"/>
        <v>0.00292 - (0.0093 * E5_4_99_62_mRNA)</v>
      </c>
      <c r="L273" s="34" t="str">
        <f t="shared" si="57"/>
        <v>(0.278 * E5_4_99_62_mRNA) - (0.00000278 * E5_4_99_62)</v>
      </c>
      <c r="M273" s="38" t="str">
        <f t="shared" si="58"/>
        <v>mRNA272: -&gt; E5_4_99_62_mRNA | 0.00292 - (0.0093 * E5_4_99_62_mRNA)</v>
      </c>
      <c r="N273" s="39" t="str">
        <f t="shared" si="59"/>
        <v>Peptide272: E5_4_99_62_mRNA -&gt; E5_4_99_62 | (0.278 * E5_4_99_62_mRNA) - (0.000000278 * E5_4_99_62)</v>
      </c>
    </row>
    <row r="274" spans="1:14" x14ac:dyDescent="0.45">
      <c r="A274">
        <v>273</v>
      </c>
      <c r="B274" t="s">
        <v>10436</v>
      </c>
      <c r="C274" t="str">
        <f t="shared" si="48"/>
        <v>E5_6_2_1_mRNA</v>
      </c>
      <c r="D274" t="str">
        <f t="shared" si="49"/>
        <v>E5_6_2_1</v>
      </c>
      <c r="E274" s="39" t="str">
        <f t="shared" si="50"/>
        <v>E5_6_2_1_kcat : 13.7</v>
      </c>
      <c r="F274" s="41" t="str">
        <f t="shared" si="51"/>
        <v>E5_6_2_1_km : 1</v>
      </c>
      <c r="G274" s="34" t="str">
        <f t="shared" si="52"/>
        <v>E5_6_2_1_mRNA : E5_6_2_1_mRNA</v>
      </c>
      <c r="H274" s="35" t="str">
        <f t="shared" si="53"/>
        <v>E5_6_2_1 : E5_6_2_1</v>
      </c>
      <c r="I274" s="36" t="str">
        <f t="shared" si="54"/>
        <v>E5_6_2_1_mRNA : 0</v>
      </c>
      <c r="J274" s="19" t="str">
        <f t="shared" si="55"/>
        <v>E5_6_2_1 : 0</v>
      </c>
      <c r="K274" s="37" t="str">
        <f t="shared" si="56"/>
        <v>0.00292 - (0.0093 * E5_6_2_1_mRNA)</v>
      </c>
      <c r="L274" s="34" t="str">
        <f t="shared" si="57"/>
        <v>(0.278 * E5_6_2_1_mRNA) - (0.00000278 * E5_6_2_1)</v>
      </c>
      <c r="M274" s="38" t="str">
        <f t="shared" si="58"/>
        <v>mRNA273: -&gt; E5_6_2_1_mRNA | 0.00292 - (0.0093 * E5_6_2_1_mRNA)</v>
      </c>
      <c r="N274" s="39" t="str">
        <f t="shared" si="59"/>
        <v>Peptide273: E5_6_2_1_mRNA -&gt; E5_6_2_1 | (0.278 * E5_6_2_1_mRNA) - (0.000000278 * E5_6_2_1)</v>
      </c>
    </row>
    <row r="275" spans="1:14" x14ac:dyDescent="0.45">
      <c r="A275">
        <v>274</v>
      </c>
      <c r="B275" t="s">
        <v>10437</v>
      </c>
      <c r="C275" t="str">
        <f t="shared" si="48"/>
        <v>E5_6_2_2_mRNA</v>
      </c>
      <c r="D275" t="str">
        <f t="shared" si="49"/>
        <v>E5_6_2_2</v>
      </c>
      <c r="E275" s="39" t="str">
        <f t="shared" si="50"/>
        <v>E5_6_2_2_kcat : 13.7</v>
      </c>
      <c r="F275" s="41" t="str">
        <f t="shared" si="51"/>
        <v>E5_6_2_2_km : 1</v>
      </c>
      <c r="G275" s="34" t="str">
        <f t="shared" si="52"/>
        <v>E5_6_2_2_mRNA : E5_6_2_2_mRNA</v>
      </c>
      <c r="H275" s="35" t="str">
        <f t="shared" si="53"/>
        <v>E5_6_2_2 : E5_6_2_2</v>
      </c>
      <c r="I275" s="36" t="str">
        <f t="shared" si="54"/>
        <v>E5_6_2_2_mRNA : 0</v>
      </c>
      <c r="J275" s="19" t="str">
        <f t="shared" si="55"/>
        <v>E5_6_2_2 : 0</v>
      </c>
      <c r="K275" s="37" t="str">
        <f t="shared" si="56"/>
        <v>0.00292 - (0.0093 * E5_6_2_2_mRNA)</v>
      </c>
      <c r="L275" s="34" t="str">
        <f t="shared" si="57"/>
        <v>(0.278 * E5_6_2_2_mRNA) - (0.00000278 * E5_6_2_2)</v>
      </c>
      <c r="M275" s="38" t="str">
        <f t="shared" si="58"/>
        <v>mRNA274: -&gt; E5_6_2_2_mRNA | 0.00292 - (0.0093 * E5_6_2_2_mRNA)</v>
      </c>
      <c r="N275" s="39" t="str">
        <f t="shared" si="59"/>
        <v>Peptide274: E5_6_2_2_mRNA -&gt; E5_6_2_2 | (0.278 * E5_6_2_2_mRNA) - (0.000000278 * E5_6_2_2)</v>
      </c>
    </row>
    <row r="276" spans="1:14" x14ac:dyDescent="0.45">
      <c r="A276">
        <v>275</v>
      </c>
      <c r="B276" t="s">
        <v>1744</v>
      </c>
      <c r="C276" t="str">
        <f t="shared" si="48"/>
        <v>E6_1_1_1_mRNA</v>
      </c>
      <c r="D276" t="str">
        <f t="shared" si="49"/>
        <v>E6_1_1_1</v>
      </c>
      <c r="E276" s="39" t="str">
        <f t="shared" si="50"/>
        <v>E6_1_1_1_kcat : 13.7</v>
      </c>
      <c r="F276" s="41" t="str">
        <f t="shared" si="51"/>
        <v>E6_1_1_1_km : 1</v>
      </c>
      <c r="G276" s="34" t="str">
        <f t="shared" si="52"/>
        <v>E6_1_1_1_mRNA : E6_1_1_1_mRNA</v>
      </c>
      <c r="H276" s="35" t="str">
        <f t="shared" si="53"/>
        <v>E6_1_1_1 : E6_1_1_1</v>
      </c>
      <c r="I276" s="36" t="str">
        <f t="shared" si="54"/>
        <v>E6_1_1_1_mRNA : 0</v>
      </c>
      <c r="J276" s="19" t="str">
        <f t="shared" si="55"/>
        <v>E6_1_1_1 : 0</v>
      </c>
      <c r="K276" s="37" t="str">
        <f t="shared" si="56"/>
        <v>0.00292 - (0.0093 * E6_1_1_1_mRNA)</v>
      </c>
      <c r="L276" s="34" t="str">
        <f t="shared" si="57"/>
        <v>(0.278 * E6_1_1_1_mRNA) - (0.00000278 * E6_1_1_1)</v>
      </c>
      <c r="M276" s="38" t="str">
        <f t="shared" si="58"/>
        <v>mRNA275: -&gt; E6_1_1_1_mRNA | 0.00292 - (0.0093 * E6_1_1_1_mRNA)</v>
      </c>
      <c r="N276" s="39" t="str">
        <f t="shared" si="59"/>
        <v>Peptide275: E6_1_1_1_mRNA -&gt; E6_1_1_1 | (0.278 * E6_1_1_1_mRNA) - (0.000000278 * E6_1_1_1)</v>
      </c>
    </row>
    <row r="277" spans="1:14" x14ac:dyDescent="0.45">
      <c r="A277">
        <v>276</v>
      </c>
      <c r="B277" t="s">
        <v>1740</v>
      </c>
      <c r="C277" t="str">
        <f t="shared" si="48"/>
        <v>E6_1_1_10_mRNA</v>
      </c>
      <c r="D277" t="str">
        <f t="shared" si="49"/>
        <v>E6_1_1_10</v>
      </c>
      <c r="E277" s="39" t="str">
        <f t="shared" si="50"/>
        <v>E6_1_1_10_kcat : 13.7</v>
      </c>
      <c r="F277" s="41" t="str">
        <f t="shared" si="51"/>
        <v>E6_1_1_10_km : 1</v>
      </c>
      <c r="G277" s="34" t="str">
        <f t="shared" si="52"/>
        <v>E6_1_1_10_mRNA : E6_1_1_10_mRNA</v>
      </c>
      <c r="H277" s="35" t="str">
        <f t="shared" si="53"/>
        <v>E6_1_1_10 : E6_1_1_10</v>
      </c>
      <c r="I277" s="36" t="str">
        <f t="shared" si="54"/>
        <v>E6_1_1_10_mRNA : 0</v>
      </c>
      <c r="J277" s="19" t="str">
        <f t="shared" si="55"/>
        <v>E6_1_1_10 : 0</v>
      </c>
      <c r="K277" s="37" t="str">
        <f t="shared" si="56"/>
        <v>0.00292 - (0.0093 * E6_1_1_10_mRNA)</v>
      </c>
      <c r="L277" s="34" t="str">
        <f t="shared" si="57"/>
        <v>(0.278 * E6_1_1_10_mRNA) - (0.00000278 * E6_1_1_10)</v>
      </c>
      <c r="M277" s="38" t="str">
        <f t="shared" si="58"/>
        <v>mRNA276: -&gt; E6_1_1_10_mRNA | 0.00292 - (0.0093 * E6_1_1_10_mRNA)</v>
      </c>
      <c r="N277" s="39" t="str">
        <f t="shared" si="59"/>
        <v>Peptide276: E6_1_1_10_mRNA -&gt; E6_1_1_10 | (0.278 * E6_1_1_10_mRNA) - (0.000000278 * E6_1_1_10)</v>
      </c>
    </row>
    <row r="278" spans="1:14" x14ac:dyDescent="0.45">
      <c r="A278">
        <v>277</v>
      </c>
      <c r="B278" t="s">
        <v>1739</v>
      </c>
      <c r="C278" t="str">
        <f t="shared" si="48"/>
        <v>E6_1_1_11_mRNA</v>
      </c>
      <c r="D278" t="str">
        <f t="shared" si="49"/>
        <v>E6_1_1_11</v>
      </c>
      <c r="E278" s="39" t="str">
        <f t="shared" si="50"/>
        <v>E6_1_1_11_kcat : 13.7</v>
      </c>
      <c r="F278" s="41" t="str">
        <f t="shared" si="51"/>
        <v>E6_1_1_11_km : 1</v>
      </c>
      <c r="G278" s="34" t="str">
        <f t="shared" si="52"/>
        <v>E6_1_1_11_mRNA : E6_1_1_11_mRNA</v>
      </c>
      <c r="H278" s="35" t="str">
        <f t="shared" si="53"/>
        <v>E6_1_1_11 : E6_1_1_11</v>
      </c>
      <c r="I278" s="36" t="str">
        <f t="shared" si="54"/>
        <v>E6_1_1_11_mRNA : 0</v>
      </c>
      <c r="J278" s="19" t="str">
        <f t="shared" si="55"/>
        <v>E6_1_1_11 : 0</v>
      </c>
      <c r="K278" s="37" t="str">
        <f t="shared" si="56"/>
        <v>0.00292 - (0.0093 * E6_1_1_11_mRNA)</v>
      </c>
      <c r="L278" s="34" t="str">
        <f t="shared" si="57"/>
        <v>(0.278 * E6_1_1_11_mRNA) - (0.00000278 * E6_1_1_11)</v>
      </c>
      <c r="M278" s="38" t="str">
        <f t="shared" si="58"/>
        <v>mRNA277: -&gt; E6_1_1_11_mRNA | 0.00292 - (0.0093 * E6_1_1_11_mRNA)</v>
      </c>
      <c r="N278" s="39" t="str">
        <f t="shared" si="59"/>
        <v>Peptide277: E6_1_1_11_mRNA -&gt; E6_1_1_11 | (0.278 * E6_1_1_11_mRNA) - (0.000000278 * E6_1_1_11)</v>
      </c>
    </row>
    <row r="279" spans="1:14" x14ac:dyDescent="0.45">
      <c r="A279">
        <v>278</v>
      </c>
      <c r="B279" t="s">
        <v>1879</v>
      </c>
      <c r="C279" t="str">
        <f t="shared" si="48"/>
        <v>E6_1_1_12_mRNA</v>
      </c>
      <c r="D279" t="str">
        <f t="shared" si="49"/>
        <v>E6_1_1_12</v>
      </c>
      <c r="E279" s="39" t="str">
        <f t="shared" si="50"/>
        <v>E6_1_1_12_kcat : 13.7</v>
      </c>
      <c r="F279" s="41" t="str">
        <f t="shared" si="51"/>
        <v>E6_1_1_12_km : 1</v>
      </c>
      <c r="G279" s="34" t="str">
        <f t="shared" si="52"/>
        <v>E6_1_1_12_mRNA : E6_1_1_12_mRNA</v>
      </c>
      <c r="H279" s="35" t="str">
        <f t="shared" si="53"/>
        <v>E6_1_1_12 : E6_1_1_12</v>
      </c>
      <c r="I279" s="36" t="str">
        <f t="shared" si="54"/>
        <v>E6_1_1_12_mRNA : 0</v>
      </c>
      <c r="J279" s="19" t="str">
        <f t="shared" si="55"/>
        <v>E6_1_1_12 : 0</v>
      </c>
      <c r="K279" s="37" t="str">
        <f t="shared" si="56"/>
        <v>0.00292 - (0.0093 * E6_1_1_12_mRNA)</v>
      </c>
      <c r="L279" s="34" t="str">
        <f t="shared" si="57"/>
        <v>(0.278 * E6_1_1_12_mRNA) - (0.00000278 * E6_1_1_12)</v>
      </c>
      <c r="M279" s="38" t="str">
        <f t="shared" si="58"/>
        <v>mRNA278: -&gt; E6_1_1_12_mRNA | 0.00292 - (0.0093 * E6_1_1_12_mRNA)</v>
      </c>
      <c r="N279" s="39" t="str">
        <f t="shared" si="59"/>
        <v>Peptide278: E6_1_1_12_mRNA -&gt; E6_1_1_12 | (0.278 * E6_1_1_12_mRNA) - (0.000000278 * E6_1_1_12)</v>
      </c>
    </row>
    <row r="280" spans="1:14" x14ac:dyDescent="0.45">
      <c r="A280">
        <v>279</v>
      </c>
      <c r="B280" t="s">
        <v>1753</v>
      </c>
      <c r="C280" t="str">
        <f t="shared" si="48"/>
        <v>E6_1_1_13_mRNA</v>
      </c>
      <c r="D280" t="str">
        <f t="shared" si="49"/>
        <v>E6_1_1_13</v>
      </c>
      <c r="E280" s="39" t="str">
        <f t="shared" si="50"/>
        <v>E6_1_1_13_kcat : 13.7</v>
      </c>
      <c r="F280" s="41" t="str">
        <f t="shared" si="51"/>
        <v>E6_1_1_13_km : 1</v>
      </c>
      <c r="G280" s="34" t="str">
        <f t="shared" si="52"/>
        <v>E6_1_1_13_mRNA : E6_1_1_13_mRNA</v>
      </c>
      <c r="H280" s="35" t="str">
        <f t="shared" si="53"/>
        <v>E6_1_1_13 : E6_1_1_13</v>
      </c>
      <c r="I280" s="36" t="str">
        <f t="shared" si="54"/>
        <v>E6_1_1_13_mRNA : 0</v>
      </c>
      <c r="J280" s="19" t="str">
        <f t="shared" si="55"/>
        <v>E6_1_1_13 : 0</v>
      </c>
      <c r="K280" s="37" t="str">
        <f t="shared" si="56"/>
        <v>0.00292 - (0.0093 * E6_1_1_13_mRNA)</v>
      </c>
      <c r="L280" s="34" t="str">
        <f t="shared" si="57"/>
        <v>(0.278 * E6_1_1_13_mRNA) - (0.00000278 * E6_1_1_13)</v>
      </c>
      <c r="M280" s="38" t="str">
        <f t="shared" si="58"/>
        <v>mRNA279: -&gt; E6_1_1_13_mRNA | 0.00292 - (0.0093 * E6_1_1_13_mRNA)</v>
      </c>
      <c r="N280" s="39" t="str">
        <f t="shared" si="59"/>
        <v>Peptide279: E6_1_1_13_mRNA -&gt; E6_1_1_13 | (0.278 * E6_1_1_13_mRNA) - (0.000000278 * E6_1_1_13)</v>
      </c>
    </row>
    <row r="281" spans="1:14" x14ac:dyDescent="0.45">
      <c r="A281">
        <v>280</v>
      </c>
      <c r="B281" t="s">
        <v>1729</v>
      </c>
      <c r="C281" t="str">
        <f t="shared" si="48"/>
        <v>E6_1_1_14_mRNA</v>
      </c>
      <c r="D281" t="str">
        <f t="shared" si="49"/>
        <v>E6_1_1_14</v>
      </c>
      <c r="E281" s="39" t="str">
        <f t="shared" si="50"/>
        <v>E6_1_1_14_kcat : 13.7</v>
      </c>
      <c r="F281" s="41" t="str">
        <f t="shared" si="51"/>
        <v>E6_1_1_14_km : 1</v>
      </c>
      <c r="G281" s="34" t="str">
        <f t="shared" si="52"/>
        <v>E6_1_1_14_mRNA : E6_1_1_14_mRNA</v>
      </c>
      <c r="H281" s="35" t="str">
        <f t="shared" si="53"/>
        <v>E6_1_1_14 : E6_1_1_14</v>
      </c>
      <c r="I281" s="36" t="str">
        <f t="shared" si="54"/>
        <v>E6_1_1_14_mRNA : 0</v>
      </c>
      <c r="J281" s="19" t="str">
        <f t="shared" si="55"/>
        <v>E6_1_1_14 : 0</v>
      </c>
      <c r="K281" s="37" t="str">
        <f t="shared" si="56"/>
        <v>0.00292 - (0.0093 * E6_1_1_14_mRNA)</v>
      </c>
      <c r="L281" s="34" t="str">
        <f t="shared" si="57"/>
        <v>(0.278 * E6_1_1_14_mRNA) - (0.00000278 * E6_1_1_14)</v>
      </c>
      <c r="M281" s="38" t="str">
        <f t="shared" si="58"/>
        <v>mRNA280: -&gt; E6_1_1_14_mRNA | 0.00292 - (0.0093 * E6_1_1_14_mRNA)</v>
      </c>
      <c r="N281" s="39" t="str">
        <f t="shared" si="59"/>
        <v>Peptide280: E6_1_1_14_mRNA -&gt; E6_1_1_14 | (0.278 * E6_1_1_14_mRNA) - (0.000000278 * E6_1_1_14)</v>
      </c>
    </row>
    <row r="282" spans="1:14" x14ac:dyDescent="0.45">
      <c r="A282">
        <v>281</v>
      </c>
      <c r="B282" t="s">
        <v>1755</v>
      </c>
      <c r="C282" t="str">
        <f t="shared" si="48"/>
        <v>E6_1_1_15_mRNA</v>
      </c>
      <c r="D282" t="str">
        <f t="shared" si="49"/>
        <v>E6_1_1_15</v>
      </c>
      <c r="E282" s="39" t="str">
        <f t="shared" si="50"/>
        <v>E6_1_1_15_kcat : 13.7</v>
      </c>
      <c r="F282" s="41" t="str">
        <f t="shared" si="51"/>
        <v>E6_1_1_15_km : 1</v>
      </c>
      <c r="G282" s="34" t="str">
        <f t="shared" si="52"/>
        <v>E6_1_1_15_mRNA : E6_1_1_15_mRNA</v>
      </c>
      <c r="H282" s="35" t="str">
        <f t="shared" si="53"/>
        <v>E6_1_1_15 : E6_1_1_15</v>
      </c>
      <c r="I282" s="36" t="str">
        <f t="shared" si="54"/>
        <v>E6_1_1_15_mRNA : 0</v>
      </c>
      <c r="J282" s="19" t="str">
        <f t="shared" si="55"/>
        <v>E6_1_1_15 : 0</v>
      </c>
      <c r="K282" s="37" t="str">
        <f t="shared" si="56"/>
        <v>0.00292 - (0.0093 * E6_1_1_15_mRNA)</v>
      </c>
      <c r="L282" s="34" t="str">
        <f t="shared" si="57"/>
        <v>(0.278 * E6_1_1_15_mRNA) - (0.00000278 * E6_1_1_15)</v>
      </c>
      <c r="M282" s="38" t="str">
        <f t="shared" si="58"/>
        <v>mRNA281: -&gt; E6_1_1_15_mRNA | 0.00292 - (0.0093 * E6_1_1_15_mRNA)</v>
      </c>
      <c r="N282" s="39" t="str">
        <f t="shared" si="59"/>
        <v>Peptide281: E6_1_1_15_mRNA -&gt; E6_1_1_15 | (0.278 * E6_1_1_15_mRNA) - (0.000000278 * E6_1_1_15)</v>
      </c>
    </row>
    <row r="283" spans="1:14" x14ac:dyDescent="0.45">
      <c r="A283">
        <v>282</v>
      </c>
      <c r="B283" t="s">
        <v>1746</v>
      </c>
      <c r="C283" t="str">
        <f t="shared" si="48"/>
        <v>E6_1_1_16_mRNA</v>
      </c>
      <c r="D283" t="str">
        <f t="shared" si="49"/>
        <v>E6_1_1_16</v>
      </c>
      <c r="E283" s="39" t="str">
        <f t="shared" si="50"/>
        <v>E6_1_1_16_kcat : 13.7</v>
      </c>
      <c r="F283" s="41" t="str">
        <f t="shared" si="51"/>
        <v>E6_1_1_16_km : 1</v>
      </c>
      <c r="G283" s="34" t="str">
        <f t="shared" si="52"/>
        <v>E6_1_1_16_mRNA : E6_1_1_16_mRNA</v>
      </c>
      <c r="H283" s="35" t="str">
        <f t="shared" si="53"/>
        <v>E6_1_1_16 : E6_1_1_16</v>
      </c>
      <c r="I283" s="36" t="str">
        <f t="shared" si="54"/>
        <v>E6_1_1_16_mRNA : 0</v>
      </c>
      <c r="J283" s="19" t="str">
        <f t="shared" si="55"/>
        <v>E6_1_1_16 : 0</v>
      </c>
      <c r="K283" s="37" t="str">
        <f t="shared" si="56"/>
        <v>0.00292 - (0.0093 * E6_1_1_16_mRNA)</v>
      </c>
      <c r="L283" s="34" t="str">
        <f t="shared" si="57"/>
        <v>(0.278 * E6_1_1_16_mRNA) - (0.00000278 * E6_1_1_16)</v>
      </c>
      <c r="M283" s="38" t="str">
        <f t="shared" si="58"/>
        <v>mRNA282: -&gt; E6_1_1_16_mRNA | 0.00292 - (0.0093 * E6_1_1_16_mRNA)</v>
      </c>
      <c r="N283" s="39" t="str">
        <f t="shared" si="59"/>
        <v>Peptide282: E6_1_1_16_mRNA -&gt; E6_1_1_16 | (0.278 * E6_1_1_16_mRNA) - (0.000000278 * E6_1_1_16)</v>
      </c>
    </row>
    <row r="284" spans="1:14" x14ac:dyDescent="0.45">
      <c r="A284">
        <v>283</v>
      </c>
      <c r="B284" t="s">
        <v>1880</v>
      </c>
      <c r="C284" t="str">
        <f t="shared" si="48"/>
        <v>E6_1_1_17_mRNA</v>
      </c>
      <c r="D284" t="str">
        <f t="shared" si="49"/>
        <v>E6_1_1_17</v>
      </c>
      <c r="E284" s="39" t="str">
        <f t="shared" si="50"/>
        <v>E6_1_1_17_kcat : 13.7</v>
      </c>
      <c r="F284" s="41" t="str">
        <f t="shared" si="51"/>
        <v>E6_1_1_17_km : 1</v>
      </c>
      <c r="G284" s="34" t="str">
        <f t="shared" si="52"/>
        <v>E6_1_1_17_mRNA : E6_1_1_17_mRNA</v>
      </c>
      <c r="H284" s="35" t="str">
        <f t="shared" si="53"/>
        <v>E6_1_1_17 : E6_1_1_17</v>
      </c>
      <c r="I284" s="36" t="str">
        <f t="shared" si="54"/>
        <v>E6_1_1_17_mRNA : 0</v>
      </c>
      <c r="J284" s="19" t="str">
        <f t="shared" si="55"/>
        <v>E6_1_1_17 : 0</v>
      </c>
      <c r="K284" s="37" t="str">
        <f t="shared" si="56"/>
        <v>0.00292 - (0.0093 * E6_1_1_17_mRNA)</v>
      </c>
      <c r="L284" s="34" t="str">
        <f t="shared" si="57"/>
        <v>(0.278 * E6_1_1_17_mRNA) - (0.00000278 * E6_1_1_17)</v>
      </c>
      <c r="M284" s="38" t="str">
        <f t="shared" si="58"/>
        <v>mRNA283: -&gt; E6_1_1_17_mRNA | 0.00292 - (0.0093 * E6_1_1_17_mRNA)</v>
      </c>
      <c r="N284" s="39" t="str">
        <f t="shared" si="59"/>
        <v>Peptide283: E6_1_1_17_mRNA -&gt; E6_1_1_17 | (0.278 * E6_1_1_17_mRNA) - (0.000000278 * E6_1_1_17)</v>
      </c>
    </row>
    <row r="285" spans="1:14" x14ac:dyDescent="0.45">
      <c r="A285">
        <v>284</v>
      </c>
      <c r="B285" t="s">
        <v>1737</v>
      </c>
      <c r="C285" t="str">
        <f t="shared" si="48"/>
        <v>E6_1_1_19_mRNA</v>
      </c>
      <c r="D285" t="str">
        <f t="shared" si="49"/>
        <v>E6_1_1_19</v>
      </c>
      <c r="E285" s="39" t="str">
        <f t="shared" si="50"/>
        <v>E6_1_1_19_kcat : 13.7</v>
      </c>
      <c r="F285" s="41" t="str">
        <f t="shared" si="51"/>
        <v>E6_1_1_19_km : 1</v>
      </c>
      <c r="G285" s="34" t="str">
        <f t="shared" si="52"/>
        <v>E6_1_1_19_mRNA : E6_1_1_19_mRNA</v>
      </c>
      <c r="H285" s="35" t="str">
        <f t="shared" si="53"/>
        <v>E6_1_1_19 : E6_1_1_19</v>
      </c>
      <c r="I285" s="36" t="str">
        <f t="shared" si="54"/>
        <v>E6_1_1_19_mRNA : 0</v>
      </c>
      <c r="J285" s="19" t="str">
        <f t="shared" si="55"/>
        <v>E6_1_1_19 : 0</v>
      </c>
      <c r="K285" s="37" t="str">
        <f t="shared" si="56"/>
        <v>0.00292 - (0.0093 * E6_1_1_19_mRNA)</v>
      </c>
      <c r="L285" s="34" t="str">
        <f t="shared" si="57"/>
        <v>(0.278 * E6_1_1_19_mRNA) - (0.00000278 * E6_1_1_19)</v>
      </c>
      <c r="M285" s="38" t="str">
        <f t="shared" si="58"/>
        <v>mRNA284: -&gt; E6_1_1_19_mRNA | 0.00292 - (0.0093 * E6_1_1_19_mRNA)</v>
      </c>
      <c r="N285" s="39" t="str">
        <f t="shared" si="59"/>
        <v>Peptide284: E6_1_1_19_mRNA -&gt; E6_1_1_19 | (0.278 * E6_1_1_19_mRNA) - (0.000000278 * E6_1_1_19)</v>
      </c>
    </row>
    <row r="286" spans="1:14" x14ac:dyDescent="0.45">
      <c r="A286">
        <v>285</v>
      </c>
      <c r="B286" t="s">
        <v>1742</v>
      </c>
      <c r="C286" t="str">
        <f t="shared" si="48"/>
        <v>E6_1_1_2_mRNA</v>
      </c>
      <c r="D286" t="str">
        <f t="shared" si="49"/>
        <v>E6_1_1_2</v>
      </c>
      <c r="E286" s="39" t="str">
        <f t="shared" si="50"/>
        <v>E6_1_1_2_kcat : 13.7</v>
      </c>
      <c r="F286" s="41" t="str">
        <f t="shared" si="51"/>
        <v>E6_1_1_2_km : 1</v>
      </c>
      <c r="G286" s="34" t="str">
        <f t="shared" si="52"/>
        <v>E6_1_1_2_mRNA : E6_1_1_2_mRNA</v>
      </c>
      <c r="H286" s="35" t="str">
        <f t="shared" si="53"/>
        <v>E6_1_1_2 : E6_1_1_2</v>
      </c>
      <c r="I286" s="36" t="str">
        <f t="shared" si="54"/>
        <v>E6_1_1_2_mRNA : 0</v>
      </c>
      <c r="J286" s="19" t="str">
        <f t="shared" si="55"/>
        <v>E6_1_1_2 : 0</v>
      </c>
      <c r="K286" s="37" t="str">
        <f t="shared" si="56"/>
        <v>0.00292 - (0.0093 * E6_1_1_2_mRNA)</v>
      </c>
      <c r="L286" s="34" t="str">
        <f t="shared" si="57"/>
        <v>(0.278 * E6_1_1_2_mRNA) - (0.00000278 * E6_1_1_2)</v>
      </c>
      <c r="M286" s="38" t="str">
        <f t="shared" si="58"/>
        <v>mRNA285: -&gt; E6_1_1_2_mRNA | 0.00292 - (0.0093 * E6_1_1_2_mRNA)</v>
      </c>
      <c r="N286" s="39" t="str">
        <f t="shared" si="59"/>
        <v>Peptide285: E6_1_1_2_mRNA -&gt; E6_1_1_2 | (0.278 * E6_1_1_2_mRNA) - (0.000000278 * E6_1_1_2)</v>
      </c>
    </row>
    <row r="287" spans="1:14" x14ac:dyDescent="0.45">
      <c r="A287">
        <v>286</v>
      </c>
      <c r="B287" t="s">
        <v>1743</v>
      </c>
      <c r="C287" t="str">
        <f t="shared" si="48"/>
        <v>E6_1_1_20_mRNA</v>
      </c>
      <c r="D287" t="str">
        <f t="shared" si="49"/>
        <v>E6_1_1_20</v>
      </c>
      <c r="E287" s="39" t="str">
        <f t="shared" si="50"/>
        <v>E6_1_1_20_kcat : 13.7</v>
      </c>
      <c r="F287" s="41" t="str">
        <f t="shared" si="51"/>
        <v>E6_1_1_20_km : 1</v>
      </c>
      <c r="G287" s="34" t="str">
        <f t="shared" si="52"/>
        <v>E6_1_1_20_mRNA : E6_1_1_20_mRNA</v>
      </c>
      <c r="H287" s="35" t="str">
        <f t="shared" si="53"/>
        <v>E6_1_1_20 : E6_1_1_20</v>
      </c>
      <c r="I287" s="36" t="str">
        <f t="shared" si="54"/>
        <v>E6_1_1_20_mRNA : 0</v>
      </c>
      <c r="J287" s="19" t="str">
        <f t="shared" si="55"/>
        <v>E6_1_1_20 : 0</v>
      </c>
      <c r="K287" s="37" t="str">
        <f t="shared" si="56"/>
        <v>0.00292 - (0.0093 * E6_1_1_20_mRNA)</v>
      </c>
      <c r="L287" s="34" t="str">
        <f t="shared" si="57"/>
        <v>(0.278 * E6_1_1_20_mRNA) - (0.00000278 * E6_1_1_20)</v>
      </c>
      <c r="M287" s="38" t="str">
        <f t="shared" si="58"/>
        <v>mRNA286: -&gt; E6_1_1_20_mRNA | 0.00292 - (0.0093 * E6_1_1_20_mRNA)</v>
      </c>
      <c r="N287" s="39" t="str">
        <f t="shared" si="59"/>
        <v>Peptide286: E6_1_1_20_mRNA -&gt; E6_1_1_20 | (0.278 * E6_1_1_20_mRNA) - (0.000000278 * E6_1_1_20)</v>
      </c>
    </row>
    <row r="288" spans="1:14" x14ac:dyDescent="0.45">
      <c r="A288">
        <v>287</v>
      </c>
      <c r="B288" t="s">
        <v>10438</v>
      </c>
      <c r="C288" t="str">
        <f t="shared" si="48"/>
        <v>E6_1_1_21_mRNA</v>
      </c>
      <c r="D288" t="str">
        <f t="shared" si="49"/>
        <v>E6_1_1_21</v>
      </c>
      <c r="E288" s="39" t="str">
        <f t="shared" si="50"/>
        <v>E6_1_1_21_kcat : 13.7</v>
      </c>
      <c r="F288" s="41" t="str">
        <f t="shared" si="51"/>
        <v>E6_1_1_21_km : 1</v>
      </c>
      <c r="G288" s="34" t="str">
        <f t="shared" si="52"/>
        <v>E6_1_1_21_mRNA : E6_1_1_21_mRNA</v>
      </c>
      <c r="H288" s="35" t="str">
        <f t="shared" si="53"/>
        <v>E6_1_1_21 : E6_1_1_21</v>
      </c>
      <c r="I288" s="36" t="str">
        <f t="shared" si="54"/>
        <v>E6_1_1_21_mRNA : 0</v>
      </c>
      <c r="J288" s="19" t="str">
        <f t="shared" si="55"/>
        <v>E6_1_1_21 : 0</v>
      </c>
      <c r="K288" s="37" t="str">
        <f t="shared" si="56"/>
        <v>0.00292 - (0.0093 * E6_1_1_21_mRNA)</v>
      </c>
      <c r="L288" s="34" t="str">
        <f t="shared" si="57"/>
        <v>(0.278 * E6_1_1_21_mRNA) - (0.00000278 * E6_1_1_21)</v>
      </c>
      <c r="M288" s="38" t="str">
        <f t="shared" si="58"/>
        <v>mRNA287: -&gt; E6_1_1_21_mRNA | 0.00292 - (0.0093 * E6_1_1_21_mRNA)</v>
      </c>
      <c r="N288" s="39" t="str">
        <f t="shared" si="59"/>
        <v>Peptide287: E6_1_1_21_mRNA -&gt; E6_1_1_21 | (0.278 * E6_1_1_21_mRNA) - (0.000000278 * E6_1_1_21)</v>
      </c>
    </row>
    <row r="289" spans="1:14" x14ac:dyDescent="0.45">
      <c r="A289">
        <v>288</v>
      </c>
      <c r="B289" t="s">
        <v>10439</v>
      </c>
      <c r="C289" t="str">
        <f t="shared" si="48"/>
        <v>E6_1_1_22_mRNA</v>
      </c>
      <c r="D289" t="str">
        <f t="shared" si="49"/>
        <v>E6_1_1_22</v>
      </c>
      <c r="E289" s="39" t="str">
        <f t="shared" si="50"/>
        <v>E6_1_1_22_kcat : 13.7</v>
      </c>
      <c r="F289" s="41" t="str">
        <f t="shared" si="51"/>
        <v>E6_1_1_22_km : 1</v>
      </c>
      <c r="G289" s="34" t="str">
        <f t="shared" si="52"/>
        <v>E6_1_1_22_mRNA : E6_1_1_22_mRNA</v>
      </c>
      <c r="H289" s="35" t="str">
        <f t="shared" si="53"/>
        <v>E6_1_1_22 : E6_1_1_22</v>
      </c>
      <c r="I289" s="36" t="str">
        <f t="shared" si="54"/>
        <v>E6_1_1_22_mRNA : 0</v>
      </c>
      <c r="J289" s="19" t="str">
        <f t="shared" si="55"/>
        <v>E6_1_1_22 : 0</v>
      </c>
      <c r="K289" s="37" t="str">
        <f t="shared" si="56"/>
        <v>0.00292 - (0.0093 * E6_1_1_22_mRNA)</v>
      </c>
      <c r="L289" s="34" t="str">
        <f t="shared" si="57"/>
        <v>(0.278 * E6_1_1_22_mRNA) - (0.00000278 * E6_1_1_22)</v>
      </c>
      <c r="M289" s="38" t="str">
        <f t="shared" si="58"/>
        <v>mRNA288: -&gt; E6_1_1_22_mRNA | 0.00292 - (0.0093 * E6_1_1_22_mRNA)</v>
      </c>
      <c r="N289" s="39" t="str">
        <f t="shared" si="59"/>
        <v>Peptide288: E6_1_1_22_mRNA -&gt; E6_1_1_22 | (0.278 * E6_1_1_22_mRNA) - (0.000000278 * E6_1_1_22)</v>
      </c>
    </row>
    <row r="290" spans="1:14" x14ac:dyDescent="0.45">
      <c r="A290">
        <v>289</v>
      </c>
      <c r="B290" t="s">
        <v>1757</v>
      </c>
      <c r="C290" t="str">
        <f t="shared" si="48"/>
        <v>E6_1_1_3_mRNA</v>
      </c>
      <c r="D290" t="str">
        <f t="shared" si="49"/>
        <v>E6_1_1_3</v>
      </c>
      <c r="E290" s="39" t="str">
        <f t="shared" si="50"/>
        <v>E6_1_1_3_kcat : 13.7</v>
      </c>
      <c r="F290" s="41" t="str">
        <f t="shared" si="51"/>
        <v>E6_1_1_3_km : 1</v>
      </c>
      <c r="G290" s="34" t="str">
        <f t="shared" si="52"/>
        <v>E6_1_1_3_mRNA : E6_1_1_3_mRNA</v>
      </c>
      <c r="H290" s="35" t="str">
        <f t="shared" si="53"/>
        <v>E6_1_1_3 : E6_1_1_3</v>
      </c>
      <c r="I290" s="36" t="str">
        <f t="shared" si="54"/>
        <v>E6_1_1_3_mRNA : 0</v>
      </c>
      <c r="J290" s="19" t="str">
        <f t="shared" si="55"/>
        <v>E6_1_1_3 : 0</v>
      </c>
      <c r="K290" s="37" t="str">
        <f t="shared" si="56"/>
        <v>0.00292 - (0.0093 * E6_1_1_3_mRNA)</v>
      </c>
      <c r="L290" s="34" t="str">
        <f t="shared" si="57"/>
        <v>(0.278 * E6_1_1_3_mRNA) - (0.00000278 * E6_1_1_3)</v>
      </c>
      <c r="M290" s="38" t="str">
        <f t="shared" si="58"/>
        <v>mRNA289: -&gt; E6_1_1_3_mRNA | 0.00292 - (0.0093 * E6_1_1_3_mRNA)</v>
      </c>
      <c r="N290" s="39" t="str">
        <f t="shared" si="59"/>
        <v>Peptide289: E6_1_1_3_mRNA -&gt; E6_1_1_3 | (0.278 * E6_1_1_3_mRNA) - (0.000000278 * E6_1_1_3)</v>
      </c>
    </row>
    <row r="291" spans="1:14" x14ac:dyDescent="0.45">
      <c r="A291">
        <v>290</v>
      </c>
      <c r="B291" t="s">
        <v>1752</v>
      </c>
      <c r="C291" t="str">
        <f t="shared" si="48"/>
        <v>E6_1_1_4_mRNA</v>
      </c>
      <c r="D291" t="str">
        <f t="shared" si="49"/>
        <v>E6_1_1_4</v>
      </c>
      <c r="E291" s="39" t="str">
        <f t="shared" si="50"/>
        <v>E6_1_1_4_kcat : 13.7</v>
      </c>
      <c r="F291" s="41" t="str">
        <f t="shared" si="51"/>
        <v>E6_1_1_4_km : 1</v>
      </c>
      <c r="G291" s="34" t="str">
        <f t="shared" si="52"/>
        <v>E6_1_1_4_mRNA : E6_1_1_4_mRNA</v>
      </c>
      <c r="H291" s="35" t="str">
        <f t="shared" si="53"/>
        <v>E6_1_1_4 : E6_1_1_4</v>
      </c>
      <c r="I291" s="36" t="str">
        <f t="shared" si="54"/>
        <v>E6_1_1_4_mRNA : 0</v>
      </c>
      <c r="J291" s="19" t="str">
        <f t="shared" si="55"/>
        <v>E6_1_1_4 : 0</v>
      </c>
      <c r="K291" s="37" t="str">
        <f t="shared" si="56"/>
        <v>0.00292 - (0.0093 * E6_1_1_4_mRNA)</v>
      </c>
      <c r="L291" s="34" t="str">
        <f t="shared" si="57"/>
        <v>(0.278 * E6_1_1_4_mRNA) - (0.00000278 * E6_1_1_4)</v>
      </c>
      <c r="M291" s="38" t="str">
        <f t="shared" si="58"/>
        <v>mRNA290: -&gt; E6_1_1_4_mRNA | 0.00292 - (0.0093 * E6_1_1_4_mRNA)</v>
      </c>
      <c r="N291" s="39" t="str">
        <f t="shared" si="59"/>
        <v>Peptide290: E6_1_1_4_mRNA -&gt; E6_1_1_4 | (0.278 * E6_1_1_4_mRNA) - (0.000000278 * E6_1_1_4)</v>
      </c>
    </row>
    <row r="292" spans="1:14" x14ac:dyDescent="0.45">
      <c r="A292">
        <v>291</v>
      </c>
      <c r="B292" t="s">
        <v>1764</v>
      </c>
      <c r="C292" t="str">
        <f t="shared" si="48"/>
        <v>E6_1_1_5_mRNA</v>
      </c>
      <c r="D292" t="str">
        <f t="shared" si="49"/>
        <v>E6_1_1_5</v>
      </c>
      <c r="E292" s="39" t="str">
        <f t="shared" si="50"/>
        <v>E6_1_1_5_kcat : 13.7</v>
      </c>
      <c r="F292" s="41" t="str">
        <f t="shared" si="51"/>
        <v>E6_1_1_5_km : 1</v>
      </c>
      <c r="G292" s="34" t="str">
        <f t="shared" si="52"/>
        <v>E6_1_1_5_mRNA : E6_1_1_5_mRNA</v>
      </c>
      <c r="H292" s="35" t="str">
        <f t="shared" si="53"/>
        <v>E6_1_1_5 : E6_1_1_5</v>
      </c>
      <c r="I292" s="36" t="str">
        <f t="shared" si="54"/>
        <v>E6_1_1_5_mRNA : 0</v>
      </c>
      <c r="J292" s="19" t="str">
        <f t="shared" si="55"/>
        <v>E6_1_1_5 : 0</v>
      </c>
      <c r="K292" s="37" t="str">
        <f t="shared" si="56"/>
        <v>0.00292 - (0.0093 * E6_1_1_5_mRNA)</v>
      </c>
      <c r="L292" s="34" t="str">
        <f t="shared" si="57"/>
        <v>(0.278 * E6_1_1_5_mRNA) - (0.00000278 * E6_1_1_5)</v>
      </c>
      <c r="M292" s="38" t="str">
        <f t="shared" si="58"/>
        <v>mRNA291: -&gt; E6_1_1_5_mRNA | 0.00292 - (0.0093 * E6_1_1_5_mRNA)</v>
      </c>
      <c r="N292" s="39" t="str">
        <f t="shared" si="59"/>
        <v>Peptide291: E6_1_1_5_mRNA -&gt; E6_1_1_5 | (0.278 * E6_1_1_5_mRNA) - (0.000000278 * E6_1_1_5)</v>
      </c>
    </row>
    <row r="293" spans="1:14" x14ac:dyDescent="0.45">
      <c r="A293">
        <v>292</v>
      </c>
      <c r="B293" t="s">
        <v>1732</v>
      </c>
      <c r="C293" t="str">
        <f t="shared" si="48"/>
        <v>E6_1_1_6_mRNA</v>
      </c>
      <c r="D293" t="str">
        <f t="shared" si="49"/>
        <v>E6_1_1_6</v>
      </c>
      <c r="E293" s="39" t="str">
        <f t="shared" si="50"/>
        <v>E6_1_1_6_kcat : 13.7</v>
      </c>
      <c r="F293" s="41" t="str">
        <f t="shared" si="51"/>
        <v>E6_1_1_6_km : 1</v>
      </c>
      <c r="G293" s="34" t="str">
        <f t="shared" si="52"/>
        <v>E6_1_1_6_mRNA : E6_1_1_6_mRNA</v>
      </c>
      <c r="H293" s="35" t="str">
        <f t="shared" si="53"/>
        <v>E6_1_1_6 : E6_1_1_6</v>
      </c>
      <c r="I293" s="36" t="str">
        <f t="shared" si="54"/>
        <v>E6_1_1_6_mRNA : 0</v>
      </c>
      <c r="J293" s="19" t="str">
        <f t="shared" si="55"/>
        <v>E6_1_1_6 : 0</v>
      </c>
      <c r="K293" s="37" t="str">
        <f t="shared" si="56"/>
        <v>0.00292 - (0.0093 * E6_1_1_6_mRNA)</v>
      </c>
      <c r="L293" s="34" t="str">
        <f t="shared" si="57"/>
        <v>(0.278 * E6_1_1_6_mRNA) - (0.00000278 * E6_1_1_6)</v>
      </c>
      <c r="M293" s="38" t="str">
        <f t="shared" si="58"/>
        <v>mRNA292: -&gt; E6_1_1_6_mRNA | 0.00292 - (0.0093 * E6_1_1_6_mRNA)</v>
      </c>
      <c r="N293" s="39" t="str">
        <f t="shared" si="59"/>
        <v>Peptide292: E6_1_1_6_mRNA -&gt; E6_1_1_6 | (0.278 * E6_1_1_6_mRNA) - (0.000000278 * E6_1_1_6)</v>
      </c>
    </row>
    <row r="294" spans="1:14" x14ac:dyDescent="0.45">
      <c r="A294">
        <v>293</v>
      </c>
      <c r="B294" t="s">
        <v>1730</v>
      </c>
      <c r="C294" t="str">
        <f t="shared" si="48"/>
        <v>E6_1_1_7_mRNA</v>
      </c>
      <c r="D294" t="str">
        <f t="shared" si="49"/>
        <v>E6_1_1_7</v>
      </c>
      <c r="E294" s="39" t="str">
        <f t="shared" si="50"/>
        <v>E6_1_1_7_kcat : 13.7</v>
      </c>
      <c r="F294" s="41" t="str">
        <f t="shared" si="51"/>
        <v>E6_1_1_7_km : 1</v>
      </c>
      <c r="G294" s="34" t="str">
        <f t="shared" si="52"/>
        <v>E6_1_1_7_mRNA : E6_1_1_7_mRNA</v>
      </c>
      <c r="H294" s="35" t="str">
        <f t="shared" si="53"/>
        <v>E6_1_1_7 : E6_1_1_7</v>
      </c>
      <c r="I294" s="36" t="str">
        <f t="shared" si="54"/>
        <v>E6_1_1_7_mRNA : 0</v>
      </c>
      <c r="J294" s="19" t="str">
        <f t="shared" si="55"/>
        <v>E6_1_1_7 : 0</v>
      </c>
      <c r="K294" s="37" t="str">
        <f t="shared" si="56"/>
        <v>0.00292 - (0.0093 * E6_1_1_7_mRNA)</v>
      </c>
      <c r="L294" s="34" t="str">
        <f t="shared" si="57"/>
        <v>(0.278 * E6_1_1_7_mRNA) - (0.00000278 * E6_1_1_7)</v>
      </c>
      <c r="M294" s="38" t="str">
        <f t="shared" si="58"/>
        <v>mRNA293: -&gt; E6_1_1_7_mRNA | 0.00292 - (0.0093 * E6_1_1_7_mRNA)</v>
      </c>
      <c r="N294" s="39" t="str">
        <f t="shared" si="59"/>
        <v>Peptide293: E6_1_1_7_mRNA -&gt; E6_1_1_7 | (0.278 * E6_1_1_7_mRNA) - (0.000000278 * E6_1_1_7)</v>
      </c>
    </row>
    <row r="295" spans="1:14" x14ac:dyDescent="0.45">
      <c r="A295">
        <v>294</v>
      </c>
      <c r="B295" t="s">
        <v>1756</v>
      </c>
      <c r="C295" t="str">
        <f t="shared" si="48"/>
        <v>E6_1_1_9_mRNA</v>
      </c>
      <c r="D295" t="str">
        <f t="shared" si="49"/>
        <v>E6_1_1_9</v>
      </c>
      <c r="E295" s="39" t="str">
        <f t="shared" si="50"/>
        <v>E6_1_1_9_kcat : 13.7</v>
      </c>
      <c r="F295" s="41" t="str">
        <f t="shared" si="51"/>
        <v>E6_1_1_9_km : 1</v>
      </c>
      <c r="G295" s="34" t="str">
        <f t="shared" si="52"/>
        <v>E6_1_1_9_mRNA : E6_1_1_9_mRNA</v>
      </c>
      <c r="H295" s="35" t="str">
        <f t="shared" si="53"/>
        <v>E6_1_1_9 : E6_1_1_9</v>
      </c>
      <c r="I295" s="36" t="str">
        <f t="shared" si="54"/>
        <v>E6_1_1_9_mRNA : 0</v>
      </c>
      <c r="J295" s="19" t="str">
        <f t="shared" si="55"/>
        <v>E6_1_1_9 : 0</v>
      </c>
      <c r="K295" s="37" t="str">
        <f t="shared" si="56"/>
        <v>0.00292 - (0.0093 * E6_1_1_9_mRNA)</v>
      </c>
      <c r="L295" s="34" t="str">
        <f t="shared" si="57"/>
        <v>(0.278 * E6_1_1_9_mRNA) - (0.00000278 * E6_1_1_9)</v>
      </c>
      <c r="M295" s="38" t="str">
        <f t="shared" si="58"/>
        <v>mRNA294: -&gt; E6_1_1_9_mRNA | 0.00292 - (0.0093 * E6_1_1_9_mRNA)</v>
      </c>
      <c r="N295" s="39" t="str">
        <f t="shared" si="59"/>
        <v>Peptide294: E6_1_1_9_mRNA -&gt; E6_1_1_9 | (0.278 * E6_1_1_9_mRNA) - (0.000000278 * E6_1_1_9)</v>
      </c>
    </row>
    <row r="296" spans="1:14" x14ac:dyDescent="0.45">
      <c r="A296">
        <v>295</v>
      </c>
      <c r="B296" t="s">
        <v>1728</v>
      </c>
      <c r="C296" t="str">
        <f t="shared" si="48"/>
        <v>E6_2_1_22_mRNA</v>
      </c>
      <c r="D296" t="str">
        <f t="shared" si="49"/>
        <v>E6_2_1_22</v>
      </c>
      <c r="E296" s="39" t="str">
        <f t="shared" si="50"/>
        <v>E6_2_1_22_kcat : 13.7</v>
      </c>
      <c r="F296" s="41" t="str">
        <f t="shared" si="51"/>
        <v>E6_2_1_22_km : 1</v>
      </c>
      <c r="G296" s="34" t="str">
        <f t="shared" si="52"/>
        <v>E6_2_1_22_mRNA : E6_2_1_22_mRNA</v>
      </c>
      <c r="H296" s="35" t="str">
        <f t="shared" si="53"/>
        <v>E6_2_1_22 : E6_2_1_22</v>
      </c>
      <c r="I296" s="36" t="str">
        <f t="shared" si="54"/>
        <v>E6_2_1_22_mRNA : 0</v>
      </c>
      <c r="J296" s="19" t="str">
        <f t="shared" si="55"/>
        <v>E6_2_1_22 : 0</v>
      </c>
      <c r="K296" s="37" t="str">
        <f t="shared" si="56"/>
        <v>0.00292 - (0.0093 * E6_2_1_22_mRNA)</v>
      </c>
      <c r="L296" s="34" t="str">
        <f t="shared" si="57"/>
        <v>(0.278 * E6_2_1_22_mRNA) - (0.00000278 * E6_2_1_22)</v>
      </c>
      <c r="M296" s="38" t="str">
        <f t="shared" si="58"/>
        <v>mRNA295: -&gt; E6_2_1_22_mRNA | 0.00292 - (0.0093 * E6_2_1_22_mRNA)</v>
      </c>
      <c r="N296" s="39" t="str">
        <f t="shared" si="59"/>
        <v>Peptide295: E6_2_1_22_mRNA -&gt; E6_2_1_22 | (0.278 * E6_2_1_22_mRNA) - (0.000000278 * E6_2_1_22)</v>
      </c>
    </row>
    <row r="297" spans="1:14" x14ac:dyDescent="0.45">
      <c r="A297">
        <v>296</v>
      </c>
      <c r="B297" t="s">
        <v>1734</v>
      </c>
      <c r="C297" t="str">
        <f t="shared" ref="C297:C326" si="60">CONCATENATE(D297,"_mRNA")</f>
        <v>E6_3_1_1_mRNA</v>
      </c>
      <c r="D297" t="str">
        <f t="shared" ref="D297:D326" si="61">CONCATENATE("E",B297)</f>
        <v>E6_3_1_1</v>
      </c>
      <c r="E297" s="39" t="str">
        <f t="shared" ref="E297:E326" si="62">CONCATENATE("E",B297,"_kcat : 13.7")</f>
        <v>E6_3_1_1_kcat : 13.7</v>
      </c>
      <c r="F297" s="41" t="str">
        <f t="shared" ref="F297:F326" si="63">CONCATENATE("E",B297,"_km : 1")</f>
        <v>E6_3_1_1_km : 1</v>
      </c>
      <c r="G297" s="34" t="str">
        <f t="shared" ref="G297:G326" si="64">CONCATENATE(C297," : ",C297)</f>
        <v>E6_3_1_1_mRNA : E6_3_1_1_mRNA</v>
      </c>
      <c r="H297" s="35" t="str">
        <f t="shared" ref="H297:H326" si="65">CONCATENATE(D297," : ",D297)</f>
        <v>E6_3_1_1 : E6_3_1_1</v>
      </c>
      <c r="I297" s="36" t="str">
        <f t="shared" ref="I297:I326" si="66">CONCATENATE(C297," : ","0")</f>
        <v>E6_3_1_1_mRNA : 0</v>
      </c>
      <c r="J297" s="19" t="str">
        <f t="shared" ref="J297:J326" si="67">CONCATENATE(D297," : ","0")</f>
        <v>E6_3_1_1 : 0</v>
      </c>
      <c r="K297" s="37" t="str">
        <f t="shared" ref="K297:K326" si="68">CONCATENATE("0.00292 - (0.0093 * ",C297,")")</f>
        <v>0.00292 - (0.0093 * E6_3_1_1_mRNA)</v>
      </c>
      <c r="L297" s="34" t="str">
        <f t="shared" ref="L297:L326" si="69">CONCATENATE("(0.278 * ",C297,")"," - (0.00000278 * ",D297,")")</f>
        <v>(0.278 * E6_3_1_1_mRNA) - (0.00000278 * E6_3_1_1)</v>
      </c>
      <c r="M297" s="38" t="str">
        <f t="shared" ref="M297:M326" si="70">CONCATENATE("mRNA",A297,": -&gt; ",C297," | ","0.00292"," - ","(","0.0093"," * ",C297,")")</f>
        <v>mRNA296: -&gt; E6_3_1_1_mRNA | 0.00292 - (0.0093 * E6_3_1_1_mRNA)</v>
      </c>
      <c r="N297" s="39" t="str">
        <f t="shared" ref="N297:N326" si="71">CONCATENATE("Peptide",A297,": ",C297," -&gt; ",D297," | ","(","0.278"," * ",C297,")"," - ","(","0.000000278"," * ",D297,")")</f>
        <v>Peptide296: E6_3_1_1_mRNA -&gt; E6_3_1_1 | (0.278 * E6_3_1_1_mRNA) - (0.000000278 * E6_3_1_1)</v>
      </c>
    </row>
    <row r="298" spans="1:14" x14ac:dyDescent="0.45">
      <c r="A298">
        <v>297</v>
      </c>
      <c r="B298" t="s">
        <v>1726</v>
      </c>
      <c r="C298" t="str">
        <f t="shared" si="60"/>
        <v>E6_3_1_2_mRNA</v>
      </c>
      <c r="D298" t="str">
        <f t="shared" si="61"/>
        <v>E6_3_1_2</v>
      </c>
      <c r="E298" s="39" t="str">
        <f t="shared" si="62"/>
        <v>E6_3_1_2_kcat : 13.7</v>
      </c>
      <c r="F298" s="41" t="str">
        <f t="shared" si="63"/>
        <v>E6_3_1_2_km : 1</v>
      </c>
      <c r="G298" s="34" t="str">
        <f t="shared" si="64"/>
        <v>E6_3_1_2_mRNA : E6_3_1_2_mRNA</v>
      </c>
      <c r="H298" s="35" t="str">
        <f t="shared" si="65"/>
        <v>E6_3_1_2 : E6_3_1_2</v>
      </c>
      <c r="I298" s="36" t="str">
        <f t="shared" si="66"/>
        <v>E6_3_1_2_mRNA : 0</v>
      </c>
      <c r="J298" s="19" t="str">
        <f t="shared" si="67"/>
        <v>E6_3_1_2 : 0</v>
      </c>
      <c r="K298" s="37" t="str">
        <f t="shared" si="68"/>
        <v>0.00292 - (0.0093 * E6_3_1_2_mRNA)</v>
      </c>
      <c r="L298" s="34" t="str">
        <f t="shared" si="69"/>
        <v>(0.278 * E6_3_1_2_mRNA) - (0.00000278 * E6_3_1_2)</v>
      </c>
      <c r="M298" s="38" t="str">
        <f t="shared" si="70"/>
        <v>mRNA297: -&gt; E6_3_1_2_mRNA | 0.00292 - (0.0093 * E6_3_1_2_mRNA)</v>
      </c>
      <c r="N298" s="39" t="str">
        <f t="shared" si="71"/>
        <v>Peptide297: E6_3_1_2_mRNA -&gt; E6_3_1_2 | (0.278 * E6_3_1_2_mRNA) - (0.000000278 * E6_3_1_2)</v>
      </c>
    </row>
    <row r="299" spans="1:14" x14ac:dyDescent="0.45">
      <c r="A299">
        <v>298</v>
      </c>
      <c r="B299" t="s">
        <v>1770</v>
      </c>
      <c r="C299" t="str">
        <f t="shared" si="60"/>
        <v>E6_3_1_5_mRNA</v>
      </c>
      <c r="D299" t="str">
        <f t="shared" si="61"/>
        <v>E6_3_1_5</v>
      </c>
      <c r="E299" s="39" t="str">
        <f t="shared" si="62"/>
        <v>E6_3_1_5_kcat : 13.7</v>
      </c>
      <c r="F299" s="41" t="str">
        <f t="shared" si="63"/>
        <v>E6_3_1_5_km : 1</v>
      </c>
      <c r="G299" s="34" t="str">
        <f t="shared" si="64"/>
        <v>E6_3_1_5_mRNA : E6_3_1_5_mRNA</v>
      </c>
      <c r="H299" s="35" t="str">
        <f t="shared" si="65"/>
        <v>E6_3_1_5 : E6_3_1_5</v>
      </c>
      <c r="I299" s="36" t="str">
        <f t="shared" si="66"/>
        <v>E6_3_1_5_mRNA : 0</v>
      </c>
      <c r="J299" s="19" t="str">
        <f t="shared" si="67"/>
        <v>E6_3_1_5 : 0</v>
      </c>
      <c r="K299" s="37" t="str">
        <f t="shared" si="68"/>
        <v>0.00292 - (0.0093 * E6_3_1_5_mRNA)</v>
      </c>
      <c r="L299" s="34" t="str">
        <f t="shared" si="69"/>
        <v>(0.278 * E6_3_1_5_mRNA) - (0.00000278 * E6_3_1_5)</v>
      </c>
      <c r="M299" s="38" t="str">
        <f t="shared" si="70"/>
        <v>mRNA298: -&gt; E6_3_1_5_mRNA | 0.00292 - (0.0093 * E6_3_1_5_mRNA)</v>
      </c>
      <c r="N299" s="39" t="str">
        <f t="shared" si="71"/>
        <v>Peptide298: E6_3_1_5_mRNA -&gt; E6_3_1_5 | (0.278 * E6_3_1_5_mRNA) - (0.000000278 * E6_3_1_5)</v>
      </c>
    </row>
    <row r="300" spans="1:14" x14ac:dyDescent="0.45">
      <c r="A300">
        <v>299</v>
      </c>
      <c r="B300" t="s">
        <v>1788</v>
      </c>
      <c r="C300" t="str">
        <f t="shared" si="60"/>
        <v>E6_3_2_10_mRNA</v>
      </c>
      <c r="D300" t="str">
        <f t="shared" si="61"/>
        <v>E6_3_2_10</v>
      </c>
      <c r="E300" s="39" t="str">
        <f t="shared" si="62"/>
        <v>E6_3_2_10_kcat : 13.7</v>
      </c>
      <c r="F300" s="41" t="str">
        <f t="shared" si="63"/>
        <v>E6_3_2_10_km : 1</v>
      </c>
      <c r="G300" s="34" t="str">
        <f t="shared" si="64"/>
        <v>E6_3_2_10_mRNA : E6_3_2_10_mRNA</v>
      </c>
      <c r="H300" s="35" t="str">
        <f t="shared" si="65"/>
        <v>E6_3_2_10 : E6_3_2_10</v>
      </c>
      <c r="I300" s="36" t="str">
        <f t="shared" si="66"/>
        <v>E6_3_2_10_mRNA : 0</v>
      </c>
      <c r="J300" s="19" t="str">
        <f t="shared" si="67"/>
        <v>E6_3_2_10 : 0</v>
      </c>
      <c r="K300" s="37" t="str">
        <f t="shared" si="68"/>
        <v>0.00292 - (0.0093 * E6_3_2_10_mRNA)</v>
      </c>
      <c r="L300" s="34" t="str">
        <f t="shared" si="69"/>
        <v>(0.278 * E6_3_2_10_mRNA) - (0.00000278 * E6_3_2_10)</v>
      </c>
      <c r="M300" s="38" t="str">
        <f t="shared" si="70"/>
        <v>mRNA299: -&gt; E6_3_2_10_mRNA | 0.00292 - (0.0093 * E6_3_2_10_mRNA)</v>
      </c>
      <c r="N300" s="39" t="str">
        <f t="shared" si="71"/>
        <v>Peptide299: E6_3_2_10_mRNA -&gt; E6_3_2_10 | (0.278 * E6_3_2_10_mRNA) - (0.000000278 * E6_3_2_10)</v>
      </c>
    </row>
    <row r="301" spans="1:14" x14ac:dyDescent="0.45">
      <c r="A301">
        <v>300</v>
      </c>
      <c r="B301" t="s">
        <v>10440</v>
      </c>
      <c r="C301" t="str">
        <f t="shared" si="60"/>
        <v>E6_3_2_4_mRNA</v>
      </c>
      <c r="D301" t="str">
        <f t="shared" si="61"/>
        <v>E6_3_2_4</v>
      </c>
      <c r="E301" s="39" t="str">
        <f t="shared" si="62"/>
        <v>E6_3_2_4_kcat : 13.7</v>
      </c>
      <c r="F301" s="41" t="str">
        <f t="shared" si="63"/>
        <v>E6_3_2_4_km : 1</v>
      </c>
      <c r="G301" s="34" t="str">
        <f t="shared" si="64"/>
        <v>E6_3_2_4_mRNA : E6_3_2_4_mRNA</v>
      </c>
      <c r="H301" s="35" t="str">
        <f t="shared" si="65"/>
        <v>E6_3_2_4 : E6_3_2_4</v>
      </c>
      <c r="I301" s="36" t="str">
        <f t="shared" si="66"/>
        <v>E6_3_2_4_mRNA : 0</v>
      </c>
      <c r="J301" s="19" t="str">
        <f t="shared" si="67"/>
        <v>E6_3_2_4 : 0</v>
      </c>
      <c r="K301" s="37" t="str">
        <f t="shared" si="68"/>
        <v>0.00292 - (0.0093 * E6_3_2_4_mRNA)</v>
      </c>
      <c r="L301" s="34" t="str">
        <f t="shared" si="69"/>
        <v>(0.278 * E6_3_2_4_mRNA) - (0.00000278 * E6_3_2_4)</v>
      </c>
      <c r="M301" s="38" t="str">
        <f t="shared" si="70"/>
        <v>mRNA300: -&gt; E6_3_2_4_mRNA | 0.00292 - (0.0093 * E6_3_2_4_mRNA)</v>
      </c>
      <c r="N301" s="39" t="str">
        <f t="shared" si="71"/>
        <v>Peptide300: E6_3_2_4_mRNA -&gt; E6_3_2_4 | (0.278 * E6_3_2_4_mRNA) - (0.000000278 * E6_3_2_4)</v>
      </c>
    </row>
    <row r="302" spans="1:14" x14ac:dyDescent="0.45">
      <c r="A302">
        <v>301</v>
      </c>
      <c r="B302" t="s">
        <v>1816</v>
      </c>
      <c r="C302" t="str">
        <f t="shared" si="60"/>
        <v>E6_3_2_5_mRNA</v>
      </c>
      <c r="D302" t="str">
        <f t="shared" si="61"/>
        <v>E6_3_2_5</v>
      </c>
      <c r="E302" s="39" t="str">
        <f t="shared" si="62"/>
        <v>E6_3_2_5_kcat : 13.7</v>
      </c>
      <c r="F302" s="41" t="str">
        <f t="shared" si="63"/>
        <v>E6_3_2_5_km : 1</v>
      </c>
      <c r="G302" s="34" t="str">
        <f t="shared" si="64"/>
        <v>E6_3_2_5_mRNA : E6_3_2_5_mRNA</v>
      </c>
      <c r="H302" s="35" t="str">
        <f t="shared" si="65"/>
        <v>E6_3_2_5 : E6_3_2_5</v>
      </c>
      <c r="I302" s="36" t="str">
        <f t="shared" si="66"/>
        <v>E6_3_2_5_mRNA : 0</v>
      </c>
      <c r="J302" s="19" t="str">
        <f t="shared" si="67"/>
        <v>E6_3_2_5 : 0</v>
      </c>
      <c r="K302" s="37" t="str">
        <f t="shared" si="68"/>
        <v>0.00292 - (0.0093 * E6_3_2_5_mRNA)</v>
      </c>
      <c r="L302" s="34" t="str">
        <f t="shared" si="69"/>
        <v>(0.278 * E6_3_2_5_mRNA) - (0.00000278 * E6_3_2_5)</v>
      </c>
      <c r="M302" s="38" t="str">
        <f t="shared" si="70"/>
        <v>mRNA301: -&gt; E6_3_2_5_mRNA | 0.00292 - (0.0093 * E6_3_2_5_mRNA)</v>
      </c>
      <c r="N302" s="39" t="str">
        <f t="shared" si="71"/>
        <v>Peptide301: E6_3_2_5_mRNA -&gt; E6_3_2_5 | (0.278 * E6_3_2_5_mRNA) - (0.000000278 * E6_3_2_5)</v>
      </c>
    </row>
    <row r="303" spans="1:14" x14ac:dyDescent="0.45">
      <c r="A303">
        <v>302</v>
      </c>
      <c r="B303" t="s">
        <v>1787</v>
      </c>
      <c r="C303" t="str">
        <f t="shared" si="60"/>
        <v>E6_3_2_6_mRNA</v>
      </c>
      <c r="D303" t="str">
        <f t="shared" si="61"/>
        <v>E6_3_2_6</v>
      </c>
      <c r="E303" s="39" t="str">
        <f t="shared" si="62"/>
        <v>E6_3_2_6_kcat : 13.7</v>
      </c>
      <c r="F303" s="41" t="str">
        <f t="shared" si="63"/>
        <v>E6_3_2_6_km : 1</v>
      </c>
      <c r="G303" s="34" t="str">
        <f t="shared" si="64"/>
        <v>E6_3_2_6_mRNA : E6_3_2_6_mRNA</v>
      </c>
      <c r="H303" s="35" t="str">
        <f t="shared" si="65"/>
        <v>E6_3_2_6 : E6_3_2_6</v>
      </c>
      <c r="I303" s="36" t="str">
        <f t="shared" si="66"/>
        <v>E6_3_2_6_mRNA : 0</v>
      </c>
      <c r="J303" s="19" t="str">
        <f t="shared" si="67"/>
        <v>E6_3_2_6 : 0</v>
      </c>
      <c r="K303" s="37" t="str">
        <f t="shared" si="68"/>
        <v>0.00292 - (0.0093 * E6_3_2_6_mRNA)</v>
      </c>
      <c r="L303" s="34" t="str">
        <f t="shared" si="69"/>
        <v>(0.278 * E6_3_2_6_mRNA) - (0.00000278 * E6_3_2_6)</v>
      </c>
      <c r="M303" s="38" t="str">
        <f t="shared" si="70"/>
        <v>mRNA302: -&gt; E6_3_2_6_mRNA | 0.00292 - (0.0093 * E6_3_2_6_mRNA)</v>
      </c>
      <c r="N303" s="39" t="str">
        <f t="shared" si="71"/>
        <v>Peptide302: E6_3_2_6_mRNA -&gt; E6_3_2_6 | (0.278 * E6_3_2_6_mRNA) - (0.000000278 * E6_3_2_6)</v>
      </c>
    </row>
    <row r="304" spans="1:14" x14ac:dyDescent="0.45">
      <c r="A304">
        <v>303</v>
      </c>
      <c r="B304" t="s">
        <v>10441</v>
      </c>
      <c r="C304" t="str">
        <f t="shared" si="60"/>
        <v>E6_3_2_7_mRNA</v>
      </c>
      <c r="D304" t="str">
        <f t="shared" si="61"/>
        <v>E6_3_2_7</v>
      </c>
      <c r="E304" s="39" t="str">
        <f t="shared" si="62"/>
        <v>E6_3_2_7_kcat : 13.7</v>
      </c>
      <c r="F304" s="41" t="str">
        <f t="shared" si="63"/>
        <v>E6_3_2_7_km : 1</v>
      </c>
      <c r="G304" s="34" t="str">
        <f t="shared" si="64"/>
        <v>E6_3_2_7_mRNA : E6_3_2_7_mRNA</v>
      </c>
      <c r="H304" s="35" t="str">
        <f t="shared" si="65"/>
        <v>E6_3_2_7 : E6_3_2_7</v>
      </c>
      <c r="I304" s="36" t="str">
        <f t="shared" si="66"/>
        <v>E6_3_2_7_mRNA : 0</v>
      </c>
      <c r="J304" s="19" t="str">
        <f t="shared" si="67"/>
        <v>E6_3_2_7 : 0</v>
      </c>
      <c r="K304" s="37" t="str">
        <f t="shared" si="68"/>
        <v>0.00292 - (0.0093 * E6_3_2_7_mRNA)</v>
      </c>
      <c r="L304" s="34" t="str">
        <f t="shared" si="69"/>
        <v>(0.278 * E6_3_2_7_mRNA) - (0.00000278 * E6_3_2_7)</v>
      </c>
      <c r="M304" s="38" t="str">
        <f t="shared" si="70"/>
        <v>mRNA303: -&gt; E6_3_2_7_mRNA | 0.00292 - (0.0093 * E6_3_2_7_mRNA)</v>
      </c>
      <c r="N304" s="39" t="str">
        <f t="shared" si="71"/>
        <v>Peptide303: E6_3_2_7_mRNA -&gt; E6_3_2_7 | (0.278 * E6_3_2_7_mRNA) - (0.000000278 * E6_3_2_7)</v>
      </c>
    </row>
    <row r="305" spans="1:14" x14ac:dyDescent="0.45">
      <c r="A305">
        <v>304</v>
      </c>
      <c r="B305" t="s">
        <v>1774</v>
      </c>
      <c r="C305" t="str">
        <f t="shared" si="60"/>
        <v>E6_3_2_8_mRNA</v>
      </c>
      <c r="D305" t="str">
        <f t="shared" si="61"/>
        <v>E6_3_2_8</v>
      </c>
      <c r="E305" s="39" t="str">
        <f t="shared" si="62"/>
        <v>E6_3_2_8_kcat : 13.7</v>
      </c>
      <c r="F305" s="41" t="str">
        <f t="shared" si="63"/>
        <v>E6_3_2_8_km : 1</v>
      </c>
      <c r="G305" s="34" t="str">
        <f t="shared" si="64"/>
        <v>E6_3_2_8_mRNA : E6_3_2_8_mRNA</v>
      </c>
      <c r="H305" s="35" t="str">
        <f t="shared" si="65"/>
        <v>E6_3_2_8 : E6_3_2_8</v>
      </c>
      <c r="I305" s="36" t="str">
        <f t="shared" si="66"/>
        <v>E6_3_2_8_mRNA : 0</v>
      </c>
      <c r="J305" s="19" t="str">
        <f t="shared" si="67"/>
        <v>E6_3_2_8 : 0</v>
      </c>
      <c r="K305" s="37" t="str">
        <f t="shared" si="68"/>
        <v>0.00292 - (0.0093 * E6_3_2_8_mRNA)</v>
      </c>
      <c r="L305" s="34" t="str">
        <f t="shared" si="69"/>
        <v>(0.278 * E6_3_2_8_mRNA) - (0.00000278 * E6_3_2_8)</v>
      </c>
      <c r="M305" s="38" t="str">
        <f t="shared" si="70"/>
        <v>mRNA304: -&gt; E6_3_2_8_mRNA | 0.00292 - (0.0093 * E6_3_2_8_mRNA)</v>
      </c>
      <c r="N305" s="39" t="str">
        <f t="shared" si="71"/>
        <v>Peptide304: E6_3_2_8_mRNA -&gt; E6_3_2_8 | (0.278 * E6_3_2_8_mRNA) - (0.000000278 * E6_3_2_8)</v>
      </c>
    </row>
    <row r="306" spans="1:14" x14ac:dyDescent="0.45">
      <c r="A306">
        <v>305</v>
      </c>
      <c r="B306" t="s">
        <v>1779</v>
      </c>
      <c r="C306" t="str">
        <f t="shared" si="60"/>
        <v>E6_3_2_9_mRNA</v>
      </c>
      <c r="D306" t="str">
        <f t="shared" si="61"/>
        <v>E6_3_2_9</v>
      </c>
      <c r="E306" s="39" t="str">
        <f t="shared" si="62"/>
        <v>E6_3_2_9_kcat : 13.7</v>
      </c>
      <c r="F306" s="41" t="str">
        <f t="shared" si="63"/>
        <v>E6_3_2_9_km : 1</v>
      </c>
      <c r="G306" s="34" t="str">
        <f t="shared" si="64"/>
        <v>E6_3_2_9_mRNA : E6_3_2_9_mRNA</v>
      </c>
      <c r="H306" s="35" t="str">
        <f t="shared" si="65"/>
        <v>E6_3_2_9 : E6_3_2_9</v>
      </c>
      <c r="I306" s="36" t="str">
        <f t="shared" si="66"/>
        <v>E6_3_2_9_mRNA : 0</v>
      </c>
      <c r="J306" s="19" t="str">
        <f t="shared" si="67"/>
        <v>E6_3_2_9 : 0</v>
      </c>
      <c r="K306" s="37" t="str">
        <f t="shared" si="68"/>
        <v>0.00292 - (0.0093 * E6_3_2_9_mRNA)</v>
      </c>
      <c r="L306" s="34" t="str">
        <f t="shared" si="69"/>
        <v>(0.278 * E6_3_2_9_mRNA) - (0.00000278 * E6_3_2_9)</v>
      </c>
      <c r="M306" s="38" t="str">
        <f t="shared" si="70"/>
        <v>mRNA305: -&gt; E6_3_2_9_mRNA | 0.00292 - (0.0093 * E6_3_2_9_mRNA)</v>
      </c>
      <c r="N306" s="39" t="str">
        <f t="shared" si="71"/>
        <v>Peptide305: E6_3_2_9_mRNA -&gt; E6_3_2_9 | (0.278 * E6_3_2_9_mRNA) - (0.000000278 * E6_3_2_9)</v>
      </c>
    </row>
    <row r="307" spans="1:14" x14ac:dyDescent="0.45">
      <c r="A307">
        <v>306</v>
      </c>
      <c r="B307" t="s">
        <v>1786</v>
      </c>
      <c r="C307" t="str">
        <f t="shared" si="60"/>
        <v>E6_3_3_1_mRNA</v>
      </c>
      <c r="D307" t="str">
        <f t="shared" si="61"/>
        <v>E6_3_3_1</v>
      </c>
      <c r="E307" s="39" t="str">
        <f t="shared" si="62"/>
        <v>E6_3_3_1_kcat : 13.7</v>
      </c>
      <c r="F307" s="41" t="str">
        <f t="shared" si="63"/>
        <v>E6_3_3_1_km : 1</v>
      </c>
      <c r="G307" s="34" t="str">
        <f t="shared" si="64"/>
        <v>E6_3_3_1_mRNA : E6_3_3_1_mRNA</v>
      </c>
      <c r="H307" s="35" t="str">
        <f t="shared" si="65"/>
        <v>E6_3_3_1 : E6_3_3_1</v>
      </c>
      <c r="I307" s="36" t="str">
        <f t="shared" si="66"/>
        <v>E6_3_3_1_mRNA : 0</v>
      </c>
      <c r="J307" s="19" t="str">
        <f t="shared" si="67"/>
        <v>E6_3_3_1 : 0</v>
      </c>
      <c r="K307" s="37" t="str">
        <f t="shared" si="68"/>
        <v>0.00292 - (0.0093 * E6_3_3_1_mRNA)</v>
      </c>
      <c r="L307" s="34" t="str">
        <f t="shared" si="69"/>
        <v>(0.278 * E6_3_3_1_mRNA) - (0.00000278 * E6_3_3_1)</v>
      </c>
      <c r="M307" s="38" t="str">
        <f t="shared" si="70"/>
        <v>mRNA306: -&gt; E6_3_3_1_mRNA | 0.00292 - (0.0093 * E6_3_3_1_mRNA)</v>
      </c>
      <c r="N307" s="39" t="str">
        <f t="shared" si="71"/>
        <v>Peptide306: E6_3_3_1_mRNA -&gt; E6_3_3_1 | (0.278 * E6_3_3_1_mRNA) - (0.000000278 * E6_3_3_1)</v>
      </c>
    </row>
    <row r="308" spans="1:14" x14ac:dyDescent="0.45">
      <c r="A308">
        <v>307</v>
      </c>
      <c r="B308" t="s">
        <v>1783</v>
      </c>
      <c r="C308" t="str">
        <f t="shared" si="60"/>
        <v>E6_3_3_2_mRNA</v>
      </c>
      <c r="D308" t="str">
        <f t="shared" si="61"/>
        <v>E6_3_3_2</v>
      </c>
      <c r="E308" s="39" t="str">
        <f t="shared" si="62"/>
        <v>E6_3_3_2_kcat : 13.7</v>
      </c>
      <c r="F308" s="41" t="str">
        <f t="shared" si="63"/>
        <v>E6_3_3_2_km : 1</v>
      </c>
      <c r="G308" s="34" t="str">
        <f t="shared" si="64"/>
        <v>E6_3_3_2_mRNA : E6_3_3_2_mRNA</v>
      </c>
      <c r="H308" s="35" t="str">
        <f t="shared" si="65"/>
        <v>E6_3_3_2 : E6_3_3_2</v>
      </c>
      <c r="I308" s="36" t="str">
        <f t="shared" si="66"/>
        <v>E6_3_3_2_mRNA : 0</v>
      </c>
      <c r="J308" s="19" t="str">
        <f t="shared" si="67"/>
        <v>E6_3_3_2 : 0</v>
      </c>
      <c r="K308" s="37" t="str">
        <f t="shared" si="68"/>
        <v>0.00292 - (0.0093 * E6_3_3_2_mRNA)</v>
      </c>
      <c r="L308" s="34" t="str">
        <f t="shared" si="69"/>
        <v>(0.278 * E6_3_3_2_mRNA) - (0.00000278 * E6_3_3_2)</v>
      </c>
      <c r="M308" s="38" t="str">
        <f t="shared" si="70"/>
        <v>mRNA307: -&gt; E6_3_3_2_mRNA | 0.00292 - (0.0093 * E6_3_3_2_mRNA)</v>
      </c>
      <c r="N308" s="39" t="str">
        <f t="shared" si="71"/>
        <v>Peptide307: E6_3_3_2_mRNA -&gt; E6_3_3_2 | (0.278 * E6_3_3_2_mRNA) - (0.000000278 * E6_3_3_2)</v>
      </c>
    </row>
    <row r="309" spans="1:14" x14ac:dyDescent="0.45">
      <c r="A309">
        <v>308</v>
      </c>
      <c r="B309" t="s">
        <v>1781</v>
      </c>
      <c r="C309" t="str">
        <f t="shared" si="60"/>
        <v>E6_3_4_13_mRNA</v>
      </c>
      <c r="D309" t="str">
        <f t="shared" si="61"/>
        <v>E6_3_4_13</v>
      </c>
      <c r="E309" s="39" t="str">
        <f t="shared" si="62"/>
        <v>E6_3_4_13_kcat : 13.7</v>
      </c>
      <c r="F309" s="41" t="str">
        <f t="shared" si="63"/>
        <v>E6_3_4_13_km : 1</v>
      </c>
      <c r="G309" s="34" t="str">
        <f t="shared" si="64"/>
        <v>E6_3_4_13_mRNA : E6_3_4_13_mRNA</v>
      </c>
      <c r="H309" s="35" t="str">
        <f t="shared" si="65"/>
        <v>E6_3_4_13 : E6_3_4_13</v>
      </c>
      <c r="I309" s="36" t="str">
        <f t="shared" si="66"/>
        <v>E6_3_4_13_mRNA : 0</v>
      </c>
      <c r="J309" s="19" t="str">
        <f t="shared" si="67"/>
        <v>E6_3_4_13 : 0</v>
      </c>
      <c r="K309" s="37" t="str">
        <f t="shared" si="68"/>
        <v>0.00292 - (0.0093 * E6_3_4_13_mRNA)</v>
      </c>
      <c r="L309" s="34" t="str">
        <f t="shared" si="69"/>
        <v>(0.278 * E6_3_4_13_mRNA) - (0.00000278 * E6_3_4_13)</v>
      </c>
      <c r="M309" s="38" t="str">
        <f t="shared" si="70"/>
        <v>mRNA308: -&gt; E6_3_4_13_mRNA | 0.00292 - (0.0093 * E6_3_4_13_mRNA)</v>
      </c>
      <c r="N309" s="39" t="str">
        <f t="shared" si="71"/>
        <v>Peptide308: E6_3_4_13_mRNA -&gt; E6_3_4_13 | (0.278 * E6_3_4_13_mRNA) - (0.000000278 * E6_3_4_13)</v>
      </c>
    </row>
    <row r="310" spans="1:14" x14ac:dyDescent="0.45">
      <c r="A310">
        <v>309</v>
      </c>
      <c r="B310" t="s">
        <v>10442</v>
      </c>
      <c r="C310" t="str">
        <f t="shared" si="60"/>
        <v>E6_3_4_15_mRNA</v>
      </c>
      <c r="D310" t="str">
        <f t="shared" si="61"/>
        <v>E6_3_4_15</v>
      </c>
      <c r="E310" s="39" t="str">
        <f t="shared" si="62"/>
        <v>E6_3_4_15_kcat : 13.7</v>
      </c>
      <c r="F310" s="41" t="str">
        <f t="shared" si="63"/>
        <v>E6_3_4_15_km : 1</v>
      </c>
      <c r="G310" s="34" t="str">
        <f t="shared" si="64"/>
        <v>E6_3_4_15_mRNA : E6_3_4_15_mRNA</v>
      </c>
      <c r="H310" s="35" t="str">
        <f t="shared" si="65"/>
        <v>E6_3_4_15 : E6_3_4_15</v>
      </c>
      <c r="I310" s="36" t="str">
        <f t="shared" si="66"/>
        <v>E6_3_4_15_mRNA : 0</v>
      </c>
      <c r="J310" s="19" t="str">
        <f t="shared" si="67"/>
        <v>E6_3_4_15 : 0</v>
      </c>
      <c r="K310" s="37" t="str">
        <f t="shared" si="68"/>
        <v>0.00292 - (0.0093 * E6_3_4_15_mRNA)</v>
      </c>
      <c r="L310" s="34" t="str">
        <f t="shared" si="69"/>
        <v>(0.278 * E6_3_4_15_mRNA) - (0.00000278 * E6_3_4_15)</v>
      </c>
      <c r="M310" s="38" t="str">
        <f t="shared" si="70"/>
        <v>mRNA309: -&gt; E6_3_4_15_mRNA | 0.00292 - (0.0093 * E6_3_4_15_mRNA)</v>
      </c>
      <c r="N310" s="39" t="str">
        <f t="shared" si="71"/>
        <v>Peptide309: E6_3_4_15_mRNA -&gt; E6_3_4_15 | (0.278 * E6_3_4_15_mRNA) - (0.000000278 * E6_3_4_15)</v>
      </c>
    </row>
    <row r="311" spans="1:14" x14ac:dyDescent="0.45">
      <c r="A311">
        <v>310</v>
      </c>
      <c r="B311" t="s">
        <v>1782</v>
      </c>
      <c r="C311" t="str">
        <f t="shared" si="60"/>
        <v>E6_3_4_18_mRNA</v>
      </c>
      <c r="D311" t="str">
        <f t="shared" si="61"/>
        <v>E6_3_4_18</v>
      </c>
      <c r="E311" s="39" t="str">
        <f t="shared" si="62"/>
        <v>E6_3_4_18_kcat : 13.7</v>
      </c>
      <c r="F311" s="41" t="str">
        <f t="shared" si="63"/>
        <v>E6_3_4_18_km : 1</v>
      </c>
      <c r="G311" s="34" t="str">
        <f t="shared" si="64"/>
        <v>E6_3_4_18_mRNA : E6_3_4_18_mRNA</v>
      </c>
      <c r="H311" s="35" t="str">
        <f t="shared" si="65"/>
        <v>E6_3_4_18 : E6_3_4_18</v>
      </c>
      <c r="I311" s="36" t="str">
        <f t="shared" si="66"/>
        <v>E6_3_4_18_mRNA : 0</v>
      </c>
      <c r="J311" s="19" t="str">
        <f t="shared" si="67"/>
        <v>E6_3_4_18 : 0</v>
      </c>
      <c r="K311" s="37" t="str">
        <f t="shared" si="68"/>
        <v>0.00292 - (0.0093 * E6_3_4_18_mRNA)</v>
      </c>
      <c r="L311" s="34" t="str">
        <f t="shared" si="69"/>
        <v>(0.278 * E6_3_4_18_mRNA) - (0.00000278 * E6_3_4_18)</v>
      </c>
      <c r="M311" s="38" t="str">
        <f t="shared" si="70"/>
        <v>mRNA310: -&gt; E6_3_4_18_mRNA | 0.00292 - (0.0093 * E6_3_4_18_mRNA)</v>
      </c>
      <c r="N311" s="39" t="str">
        <f t="shared" si="71"/>
        <v>Peptide310: E6_3_4_18_mRNA -&gt; E6_3_4_18 | (0.278 * E6_3_4_18_mRNA) - (0.000000278 * E6_3_4_18)</v>
      </c>
    </row>
    <row r="312" spans="1:14" x14ac:dyDescent="0.45">
      <c r="A312">
        <v>311</v>
      </c>
      <c r="B312" t="s">
        <v>1901</v>
      </c>
      <c r="C312" t="str">
        <f t="shared" si="60"/>
        <v>E6_3_4_19_mRNA</v>
      </c>
      <c r="D312" t="str">
        <f t="shared" si="61"/>
        <v>E6_3_4_19</v>
      </c>
      <c r="E312" s="39" t="str">
        <f t="shared" si="62"/>
        <v>E6_3_4_19_kcat : 13.7</v>
      </c>
      <c r="F312" s="41" t="str">
        <f t="shared" si="63"/>
        <v>E6_3_4_19_km : 1</v>
      </c>
      <c r="G312" s="34" t="str">
        <f t="shared" si="64"/>
        <v>E6_3_4_19_mRNA : E6_3_4_19_mRNA</v>
      </c>
      <c r="H312" s="35" t="str">
        <f t="shared" si="65"/>
        <v>E6_3_4_19 : E6_3_4_19</v>
      </c>
      <c r="I312" s="36" t="str">
        <f t="shared" si="66"/>
        <v>E6_3_4_19_mRNA : 0</v>
      </c>
      <c r="J312" s="19" t="str">
        <f t="shared" si="67"/>
        <v>E6_3_4_19 : 0</v>
      </c>
      <c r="K312" s="37" t="str">
        <f t="shared" si="68"/>
        <v>0.00292 - (0.0093 * E6_3_4_19_mRNA)</v>
      </c>
      <c r="L312" s="34" t="str">
        <f t="shared" si="69"/>
        <v>(0.278 * E6_3_4_19_mRNA) - (0.00000278 * E6_3_4_19)</v>
      </c>
      <c r="M312" s="38" t="str">
        <f t="shared" si="70"/>
        <v>mRNA311: -&gt; E6_3_4_19_mRNA | 0.00292 - (0.0093 * E6_3_4_19_mRNA)</v>
      </c>
      <c r="N312" s="39" t="str">
        <f t="shared" si="71"/>
        <v>Peptide311: E6_3_4_19_mRNA -&gt; E6_3_4_19 | (0.278 * E6_3_4_19_mRNA) - (0.000000278 * E6_3_4_19)</v>
      </c>
    </row>
    <row r="313" spans="1:14" x14ac:dyDescent="0.45">
      <c r="A313">
        <v>312</v>
      </c>
      <c r="B313" t="s">
        <v>1741</v>
      </c>
      <c r="C313" t="str">
        <f t="shared" si="60"/>
        <v>E6_3_4_2_mRNA</v>
      </c>
      <c r="D313" t="str">
        <f t="shared" si="61"/>
        <v>E6_3_4_2</v>
      </c>
      <c r="E313" s="39" t="str">
        <f t="shared" si="62"/>
        <v>E6_3_4_2_kcat : 13.7</v>
      </c>
      <c r="F313" s="41" t="str">
        <f t="shared" si="63"/>
        <v>E6_3_4_2_km : 1</v>
      </c>
      <c r="G313" s="34" t="str">
        <f t="shared" si="64"/>
        <v>E6_3_4_2_mRNA : E6_3_4_2_mRNA</v>
      </c>
      <c r="H313" s="35" t="str">
        <f t="shared" si="65"/>
        <v>E6_3_4_2 : E6_3_4_2</v>
      </c>
      <c r="I313" s="36" t="str">
        <f t="shared" si="66"/>
        <v>E6_3_4_2_mRNA : 0</v>
      </c>
      <c r="J313" s="19" t="str">
        <f t="shared" si="67"/>
        <v>E6_3_4_2 : 0</v>
      </c>
      <c r="K313" s="37" t="str">
        <f t="shared" si="68"/>
        <v>0.00292 - (0.0093 * E6_3_4_2_mRNA)</v>
      </c>
      <c r="L313" s="34" t="str">
        <f t="shared" si="69"/>
        <v>(0.278 * E6_3_4_2_mRNA) - (0.00000278 * E6_3_4_2)</v>
      </c>
      <c r="M313" s="38" t="str">
        <f t="shared" si="70"/>
        <v>mRNA312: -&gt; E6_3_4_2_mRNA | 0.00292 - (0.0093 * E6_3_4_2_mRNA)</v>
      </c>
      <c r="N313" s="39" t="str">
        <f t="shared" si="71"/>
        <v>Peptide312: E6_3_4_2_mRNA -&gt; E6_3_4_2 | (0.278 * E6_3_4_2_mRNA) - (0.000000278 * E6_3_4_2)</v>
      </c>
    </row>
    <row r="314" spans="1:14" x14ac:dyDescent="0.45">
      <c r="A314">
        <v>313</v>
      </c>
      <c r="B314" t="s">
        <v>1877</v>
      </c>
      <c r="C314" t="str">
        <f t="shared" si="60"/>
        <v>E6_3_4_21_mRNA</v>
      </c>
      <c r="D314" t="str">
        <f t="shared" si="61"/>
        <v>E6_3_4_21</v>
      </c>
      <c r="E314" s="39" t="str">
        <f t="shared" si="62"/>
        <v>E6_3_4_21_kcat : 13.7</v>
      </c>
      <c r="F314" s="41" t="str">
        <f t="shared" si="63"/>
        <v>E6_3_4_21_km : 1</v>
      </c>
      <c r="G314" s="34" t="str">
        <f t="shared" si="64"/>
        <v>E6_3_4_21_mRNA : E6_3_4_21_mRNA</v>
      </c>
      <c r="H314" s="35" t="str">
        <f t="shared" si="65"/>
        <v>E6_3_4_21 : E6_3_4_21</v>
      </c>
      <c r="I314" s="36" t="str">
        <f t="shared" si="66"/>
        <v>E6_3_4_21_mRNA : 0</v>
      </c>
      <c r="J314" s="19" t="str">
        <f t="shared" si="67"/>
        <v>E6_3_4_21 : 0</v>
      </c>
      <c r="K314" s="37" t="str">
        <f t="shared" si="68"/>
        <v>0.00292 - (0.0093 * E6_3_4_21_mRNA)</v>
      </c>
      <c r="L314" s="34" t="str">
        <f t="shared" si="69"/>
        <v>(0.278 * E6_3_4_21_mRNA) - (0.00000278 * E6_3_4_21)</v>
      </c>
      <c r="M314" s="38" t="str">
        <f t="shared" si="70"/>
        <v>mRNA313: -&gt; E6_3_4_21_mRNA | 0.00292 - (0.0093 * E6_3_4_21_mRNA)</v>
      </c>
      <c r="N314" s="39" t="str">
        <f t="shared" si="71"/>
        <v>Peptide313: E6_3_4_21_mRNA -&gt; E6_3_4_21 | (0.278 * E6_3_4_21_mRNA) - (0.000000278 * E6_3_4_21)</v>
      </c>
    </row>
    <row r="315" spans="1:14" x14ac:dyDescent="0.45">
      <c r="A315">
        <v>314</v>
      </c>
      <c r="B315" t="s">
        <v>1832</v>
      </c>
      <c r="C315" t="str">
        <f t="shared" si="60"/>
        <v>E6_3_4_3_mRNA</v>
      </c>
      <c r="D315" t="str">
        <f t="shared" si="61"/>
        <v>E6_3_4_3</v>
      </c>
      <c r="E315" s="39" t="str">
        <f t="shared" si="62"/>
        <v>E6_3_4_3_kcat : 13.7</v>
      </c>
      <c r="F315" s="41" t="str">
        <f t="shared" si="63"/>
        <v>E6_3_4_3_km : 1</v>
      </c>
      <c r="G315" s="34" t="str">
        <f t="shared" si="64"/>
        <v>E6_3_4_3_mRNA : E6_3_4_3_mRNA</v>
      </c>
      <c r="H315" s="35" t="str">
        <f t="shared" si="65"/>
        <v>E6_3_4_3 : E6_3_4_3</v>
      </c>
      <c r="I315" s="36" t="str">
        <f t="shared" si="66"/>
        <v>E6_3_4_3_mRNA : 0</v>
      </c>
      <c r="J315" s="19" t="str">
        <f t="shared" si="67"/>
        <v>E6_3_4_3 : 0</v>
      </c>
      <c r="K315" s="37" t="str">
        <f t="shared" si="68"/>
        <v>0.00292 - (0.0093 * E6_3_4_3_mRNA)</v>
      </c>
      <c r="L315" s="34" t="str">
        <f t="shared" si="69"/>
        <v>(0.278 * E6_3_4_3_mRNA) - (0.00000278 * E6_3_4_3)</v>
      </c>
      <c r="M315" s="38" t="str">
        <f t="shared" si="70"/>
        <v>mRNA314: -&gt; E6_3_4_3_mRNA | 0.00292 - (0.0093 * E6_3_4_3_mRNA)</v>
      </c>
      <c r="N315" s="39" t="str">
        <f t="shared" si="71"/>
        <v>Peptide314: E6_3_4_3_mRNA -&gt; E6_3_4_3 | (0.278 * E6_3_4_3_mRNA) - (0.000000278 * E6_3_4_3)</v>
      </c>
    </row>
    <row r="316" spans="1:14" x14ac:dyDescent="0.45">
      <c r="A316">
        <v>315</v>
      </c>
      <c r="B316" t="s">
        <v>1814</v>
      </c>
      <c r="C316" t="str">
        <f t="shared" si="60"/>
        <v>E6_3_4_4_mRNA</v>
      </c>
      <c r="D316" t="str">
        <f t="shared" si="61"/>
        <v>E6_3_4_4</v>
      </c>
      <c r="E316" s="39" t="str">
        <f t="shared" si="62"/>
        <v>E6_3_4_4_kcat : 13.7</v>
      </c>
      <c r="F316" s="41" t="str">
        <f t="shared" si="63"/>
        <v>E6_3_4_4_km : 1</v>
      </c>
      <c r="G316" s="34" t="str">
        <f t="shared" si="64"/>
        <v>E6_3_4_4_mRNA : E6_3_4_4_mRNA</v>
      </c>
      <c r="H316" s="35" t="str">
        <f t="shared" si="65"/>
        <v>E6_3_4_4 : E6_3_4_4</v>
      </c>
      <c r="I316" s="36" t="str">
        <f t="shared" si="66"/>
        <v>E6_3_4_4_mRNA : 0</v>
      </c>
      <c r="J316" s="19" t="str">
        <f t="shared" si="67"/>
        <v>E6_3_4_4 : 0</v>
      </c>
      <c r="K316" s="37" t="str">
        <f t="shared" si="68"/>
        <v>0.00292 - (0.0093 * E6_3_4_4_mRNA)</v>
      </c>
      <c r="L316" s="34" t="str">
        <f t="shared" si="69"/>
        <v>(0.278 * E6_3_4_4_mRNA) - (0.00000278 * E6_3_4_4)</v>
      </c>
      <c r="M316" s="38" t="str">
        <f t="shared" si="70"/>
        <v>mRNA315: -&gt; E6_3_4_4_mRNA | 0.00292 - (0.0093 * E6_3_4_4_mRNA)</v>
      </c>
      <c r="N316" s="39" t="str">
        <f t="shared" si="71"/>
        <v>Peptide315: E6_3_4_4_mRNA -&gt; E6_3_4_4 | (0.278 * E6_3_4_4_mRNA) - (0.000000278 * E6_3_4_4)</v>
      </c>
    </row>
    <row r="317" spans="1:14" x14ac:dyDescent="0.45">
      <c r="A317">
        <v>316</v>
      </c>
      <c r="B317" t="s">
        <v>10443</v>
      </c>
      <c r="C317" t="str">
        <f t="shared" si="60"/>
        <v>E6_3_5_13_mRNA</v>
      </c>
      <c r="D317" t="str">
        <f t="shared" si="61"/>
        <v>E6_3_5_13</v>
      </c>
      <c r="E317" s="39" t="str">
        <f t="shared" si="62"/>
        <v>E6_3_5_13_kcat : 13.7</v>
      </c>
      <c r="F317" s="41" t="str">
        <f t="shared" si="63"/>
        <v>E6_3_5_13_km : 1</v>
      </c>
      <c r="G317" s="34" t="str">
        <f t="shared" si="64"/>
        <v>E6_3_5_13_mRNA : E6_3_5_13_mRNA</v>
      </c>
      <c r="H317" s="35" t="str">
        <f t="shared" si="65"/>
        <v>E6_3_5_13 : E6_3_5_13</v>
      </c>
      <c r="I317" s="36" t="str">
        <f t="shared" si="66"/>
        <v>E6_3_5_13_mRNA : 0</v>
      </c>
      <c r="J317" s="19" t="str">
        <f t="shared" si="67"/>
        <v>E6_3_5_13 : 0</v>
      </c>
      <c r="K317" s="37" t="str">
        <f t="shared" si="68"/>
        <v>0.00292 - (0.0093 * E6_3_5_13_mRNA)</v>
      </c>
      <c r="L317" s="34" t="str">
        <f t="shared" si="69"/>
        <v>(0.278 * E6_3_5_13_mRNA) - (0.00000278 * E6_3_5_13)</v>
      </c>
      <c r="M317" s="38" t="str">
        <f t="shared" si="70"/>
        <v>mRNA316: -&gt; E6_3_5_13_mRNA | 0.00292 - (0.0093 * E6_3_5_13_mRNA)</v>
      </c>
      <c r="N317" s="39" t="str">
        <f t="shared" si="71"/>
        <v>Peptide316: E6_3_5_13_mRNA -&gt; E6_3_5_13 | (0.278 * E6_3_5_13_mRNA) - (0.000000278 * E6_3_5_13)</v>
      </c>
    </row>
    <row r="318" spans="1:14" x14ac:dyDescent="0.45">
      <c r="A318">
        <v>317</v>
      </c>
      <c r="B318" t="s">
        <v>1768</v>
      </c>
      <c r="C318" t="str">
        <f t="shared" si="60"/>
        <v>E6_3_5_2_mRNA</v>
      </c>
      <c r="D318" t="str">
        <f t="shared" si="61"/>
        <v>E6_3_5_2</v>
      </c>
      <c r="E318" s="39" t="str">
        <f t="shared" si="62"/>
        <v>E6_3_5_2_kcat : 13.7</v>
      </c>
      <c r="F318" s="41" t="str">
        <f t="shared" si="63"/>
        <v>E6_3_5_2_km : 1</v>
      </c>
      <c r="G318" s="34" t="str">
        <f t="shared" si="64"/>
        <v>E6_3_5_2_mRNA : E6_3_5_2_mRNA</v>
      </c>
      <c r="H318" s="35" t="str">
        <f t="shared" si="65"/>
        <v>E6_3_5_2 : E6_3_5_2</v>
      </c>
      <c r="I318" s="36" t="str">
        <f t="shared" si="66"/>
        <v>E6_3_5_2_mRNA : 0</v>
      </c>
      <c r="J318" s="19" t="str">
        <f t="shared" si="67"/>
        <v>E6_3_5_2 : 0</v>
      </c>
      <c r="K318" s="37" t="str">
        <f t="shared" si="68"/>
        <v>0.00292 - (0.0093 * E6_3_5_2_mRNA)</v>
      </c>
      <c r="L318" s="34" t="str">
        <f t="shared" si="69"/>
        <v>(0.278 * E6_3_5_2_mRNA) - (0.00000278 * E6_3_5_2)</v>
      </c>
      <c r="M318" s="38" t="str">
        <f t="shared" si="70"/>
        <v>mRNA317: -&gt; E6_3_5_2_mRNA | 0.00292 - (0.0093 * E6_3_5_2_mRNA)</v>
      </c>
      <c r="N318" s="39" t="str">
        <f t="shared" si="71"/>
        <v>Peptide317: E6_3_5_2_mRNA -&gt; E6_3_5_2 | (0.278 * E6_3_5_2_mRNA) - (0.000000278 * E6_3_5_2)</v>
      </c>
    </row>
    <row r="319" spans="1:14" x14ac:dyDescent="0.45">
      <c r="A319">
        <v>318</v>
      </c>
      <c r="B319" t="s">
        <v>1784</v>
      </c>
      <c r="C319" t="str">
        <f t="shared" si="60"/>
        <v>E6_3_5_3_mRNA</v>
      </c>
      <c r="D319" t="str">
        <f t="shared" si="61"/>
        <v>E6_3_5_3</v>
      </c>
      <c r="E319" s="39" t="str">
        <f t="shared" si="62"/>
        <v>E6_3_5_3_kcat : 13.7</v>
      </c>
      <c r="F319" s="41" t="str">
        <f t="shared" si="63"/>
        <v>E6_3_5_3_km : 1</v>
      </c>
      <c r="G319" s="34" t="str">
        <f t="shared" si="64"/>
        <v>E6_3_5_3_mRNA : E6_3_5_3_mRNA</v>
      </c>
      <c r="H319" s="35" t="str">
        <f t="shared" si="65"/>
        <v>E6_3_5_3 : E6_3_5_3</v>
      </c>
      <c r="I319" s="36" t="str">
        <f t="shared" si="66"/>
        <v>E6_3_5_3_mRNA : 0</v>
      </c>
      <c r="J319" s="19" t="str">
        <f t="shared" si="67"/>
        <v>E6_3_5_3 : 0</v>
      </c>
      <c r="K319" s="37" t="str">
        <f t="shared" si="68"/>
        <v>0.00292 - (0.0093 * E6_3_5_3_mRNA)</v>
      </c>
      <c r="L319" s="34" t="str">
        <f t="shared" si="69"/>
        <v>(0.278 * E6_3_5_3_mRNA) - (0.00000278 * E6_3_5_3)</v>
      </c>
      <c r="M319" s="38" t="str">
        <f t="shared" si="70"/>
        <v>mRNA318: -&gt; E6_3_5_3_mRNA | 0.00292 - (0.0093 * E6_3_5_3_mRNA)</v>
      </c>
      <c r="N319" s="39" t="str">
        <f t="shared" si="71"/>
        <v>Peptide318: E6_3_5_3_mRNA -&gt; E6_3_5_3 | (0.278 * E6_3_5_3_mRNA) - (0.000000278 * E6_3_5_3)</v>
      </c>
    </row>
    <row r="320" spans="1:14" x14ac:dyDescent="0.45">
      <c r="A320">
        <v>319</v>
      </c>
      <c r="B320" t="s">
        <v>1738</v>
      </c>
      <c r="C320" t="str">
        <f t="shared" si="60"/>
        <v>E6_3_5_5_mRNA</v>
      </c>
      <c r="D320" t="str">
        <f t="shared" si="61"/>
        <v>E6_3_5_5</v>
      </c>
      <c r="E320" s="39" t="str">
        <f t="shared" si="62"/>
        <v>E6_3_5_5_kcat : 13.7</v>
      </c>
      <c r="F320" s="41" t="str">
        <f t="shared" si="63"/>
        <v>E6_3_5_5_km : 1</v>
      </c>
      <c r="G320" s="34" t="str">
        <f t="shared" si="64"/>
        <v>E6_3_5_5_mRNA : E6_3_5_5_mRNA</v>
      </c>
      <c r="H320" s="35" t="str">
        <f t="shared" si="65"/>
        <v>E6_3_5_5 : E6_3_5_5</v>
      </c>
      <c r="I320" s="36" t="str">
        <f t="shared" si="66"/>
        <v>E6_3_5_5_mRNA : 0</v>
      </c>
      <c r="J320" s="19" t="str">
        <f t="shared" si="67"/>
        <v>E6_3_5_5 : 0</v>
      </c>
      <c r="K320" s="37" t="str">
        <f t="shared" si="68"/>
        <v>0.00292 - (0.0093 * E6_3_5_5_mRNA)</v>
      </c>
      <c r="L320" s="34" t="str">
        <f t="shared" si="69"/>
        <v>(0.278 * E6_3_5_5_mRNA) - (0.00000278 * E6_3_5_5)</v>
      </c>
      <c r="M320" s="38" t="str">
        <f t="shared" si="70"/>
        <v>mRNA319: -&gt; E6_3_5_5_mRNA | 0.00292 - (0.0093 * E6_3_5_5_mRNA)</v>
      </c>
      <c r="N320" s="39" t="str">
        <f t="shared" si="71"/>
        <v>Peptide319: E6_3_5_5_mRNA -&gt; E6_3_5_5 | (0.278 * E6_3_5_5_mRNA) - (0.000000278 * E6_3_5_5)</v>
      </c>
    </row>
    <row r="321" spans="1:14" x14ac:dyDescent="0.45">
      <c r="A321">
        <v>320</v>
      </c>
      <c r="B321" t="s">
        <v>10444</v>
      </c>
      <c r="C321" t="str">
        <f t="shared" si="60"/>
        <v>E6_4_1_2_mRNA</v>
      </c>
      <c r="D321" t="str">
        <f t="shared" si="61"/>
        <v>E6_4_1_2</v>
      </c>
      <c r="E321" s="39" t="str">
        <f t="shared" si="62"/>
        <v>E6_4_1_2_kcat : 13.7</v>
      </c>
      <c r="F321" s="41" t="str">
        <f t="shared" si="63"/>
        <v>E6_4_1_2_km : 1</v>
      </c>
      <c r="G321" s="34" t="str">
        <f t="shared" si="64"/>
        <v>E6_4_1_2_mRNA : E6_4_1_2_mRNA</v>
      </c>
      <c r="H321" s="35" t="str">
        <f t="shared" si="65"/>
        <v>E6_4_1_2 : E6_4_1_2</v>
      </c>
      <c r="I321" s="36" t="str">
        <f t="shared" si="66"/>
        <v>E6_4_1_2_mRNA : 0</v>
      </c>
      <c r="J321" s="19" t="str">
        <f t="shared" si="67"/>
        <v>E6_4_1_2 : 0</v>
      </c>
      <c r="K321" s="37" t="str">
        <f t="shared" si="68"/>
        <v>0.00292 - (0.0093 * E6_4_1_2_mRNA)</v>
      </c>
      <c r="L321" s="34" t="str">
        <f t="shared" si="69"/>
        <v>(0.278 * E6_4_1_2_mRNA) - (0.00000278 * E6_4_1_2)</v>
      </c>
      <c r="M321" s="38" t="str">
        <f t="shared" si="70"/>
        <v>mRNA320: -&gt; E6_4_1_2_mRNA | 0.00292 - (0.0093 * E6_4_1_2_mRNA)</v>
      </c>
      <c r="N321" s="39" t="str">
        <f t="shared" si="71"/>
        <v>Peptide320: E6_4_1_2_mRNA -&gt; E6_4_1_2 | (0.278 * E6_4_1_2_mRNA) - (0.000000278 * E6_4_1_2)</v>
      </c>
    </row>
    <row r="322" spans="1:14" x14ac:dyDescent="0.45">
      <c r="A322">
        <v>321</v>
      </c>
      <c r="B322" t="s">
        <v>1790</v>
      </c>
      <c r="C322" t="str">
        <f t="shared" si="60"/>
        <v>E6_5_1_2_mRNA</v>
      </c>
      <c r="D322" t="str">
        <f t="shared" si="61"/>
        <v>E6_5_1_2</v>
      </c>
      <c r="E322" s="39" t="str">
        <f t="shared" si="62"/>
        <v>E6_5_1_2_kcat : 13.7</v>
      </c>
      <c r="F322" s="41" t="str">
        <f t="shared" si="63"/>
        <v>E6_5_1_2_km : 1</v>
      </c>
      <c r="G322" s="34" t="str">
        <f t="shared" si="64"/>
        <v>E6_5_1_2_mRNA : E6_5_1_2_mRNA</v>
      </c>
      <c r="H322" s="35" t="str">
        <f t="shared" si="65"/>
        <v>E6_5_1_2 : E6_5_1_2</v>
      </c>
      <c r="I322" s="36" t="str">
        <f t="shared" si="66"/>
        <v>E6_5_1_2_mRNA : 0</v>
      </c>
      <c r="J322" s="19" t="str">
        <f t="shared" si="67"/>
        <v>E6_5_1_2 : 0</v>
      </c>
      <c r="K322" s="37" t="str">
        <f t="shared" si="68"/>
        <v>0.00292 - (0.0093 * E6_5_1_2_mRNA)</v>
      </c>
      <c r="L322" s="34" t="str">
        <f t="shared" si="69"/>
        <v>(0.278 * E6_5_1_2_mRNA) - (0.00000278 * E6_5_1_2)</v>
      </c>
      <c r="M322" s="38" t="str">
        <f t="shared" si="70"/>
        <v>mRNA321: -&gt; E6_5_1_2_mRNA | 0.00292 - (0.0093 * E6_5_1_2_mRNA)</v>
      </c>
      <c r="N322" s="39" t="str">
        <f t="shared" si="71"/>
        <v>Peptide321: E6_5_1_2_mRNA -&gt; E6_5_1_2 | (0.278 * E6_5_1_2_mRNA) - (0.000000278 * E6_5_1_2)</v>
      </c>
    </row>
    <row r="323" spans="1:14" x14ac:dyDescent="0.45">
      <c r="A323">
        <v>322</v>
      </c>
      <c r="B323" t="s">
        <v>1722</v>
      </c>
      <c r="C323" t="str">
        <f t="shared" si="60"/>
        <v>E7_1_2_2_mRNA</v>
      </c>
      <c r="D323" t="str">
        <f t="shared" si="61"/>
        <v>E7_1_2_2</v>
      </c>
      <c r="E323" s="39" t="str">
        <f t="shared" si="62"/>
        <v>E7_1_2_2_kcat : 13.7</v>
      </c>
      <c r="F323" s="41" t="str">
        <f t="shared" si="63"/>
        <v>E7_1_2_2_km : 1</v>
      </c>
      <c r="G323" s="34" t="str">
        <f t="shared" si="64"/>
        <v>E7_1_2_2_mRNA : E7_1_2_2_mRNA</v>
      </c>
      <c r="H323" s="35" t="str">
        <f t="shared" si="65"/>
        <v>E7_1_2_2 : E7_1_2_2</v>
      </c>
      <c r="I323" s="36" t="str">
        <f t="shared" si="66"/>
        <v>E7_1_2_2_mRNA : 0</v>
      </c>
      <c r="J323" s="19" t="str">
        <f t="shared" si="67"/>
        <v>E7_1_2_2 : 0</v>
      </c>
      <c r="K323" s="37" t="str">
        <f t="shared" si="68"/>
        <v>0.00292 - (0.0093 * E7_1_2_2_mRNA)</v>
      </c>
      <c r="L323" s="34" t="str">
        <f t="shared" si="69"/>
        <v>(0.278 * E7_1_2_2_mRNA) - (0.00000278 * E7_1_2_2)</v>
      </c>
      <c r="M323" s="38" t="str">
        <f t="shared" si="70"/>
        <v>mRNA322: -&gt; E7_1_2_2_mRNA | 0.00292 - (0.0093 * E7_1_2_2_mRNA)</v>
      </c>
      <c r="N323" s="39" t="str">
        <f t="shared" si="71"/>
        <v>Peptide322: E7_1_2_2_mRNA -&gt; E7_1_2_2 | (0.278 * E7_1_2_2_mRNA) - (0.000000278 * E7_1_2_2)</v>
      </c>
    </row>
    <row r="324" spans="1:14" x14ac:dyDescent="0.45">
      <c r="A324">
        <v>323</v>
      </c>
      <c r="B324" t="s">
        <v>10445</v>
      </c>
      <c r="C324" t="str">
        <f t="shared" si="60"/>
        <v>E7_3_2_1_mRNA</v>
      </c>
      <c r="D324" t="str">
        <f t="shared" si="61"/>
        <v>E7_3_2_1</v>
      </c>
      <c r="E324" s="39" t="str">
        <f t="shared" si="62"/>
        <v>E7_3_2_1_kcat : 13.7</v>
      </c>
      <c r="F324" s="41" t="str">
        <f t="shared" si="63"/>
        <v>E7_3_2_1_km : 1</v>
      </c>
      <c r="G324" s="34" t="str">
        <f t="shared" si="64"/>
        <v>E7_3_2_1_mRNA : E7_3_2_1_mRNA</v>
      </c>
      <c r="H324" s="35" t="str">
        <f t="shared" si="65"/>
        <v>E7_3_2_1 : E7_3_2_1</v>
      </c>
      <c r="I324" s="36" t="str">
        <f t="shared" si="66"/>
        <v>E7_3_2_1_mRNA : 0</v>
      </c>
      <c r="J324" s="19" t="str">
        <f t="shared" si="67"/>
        <v>E7_3_2_1 : 0</v>
      </c>
      <c r="K324" s="37" t="str">
        <f t="shared" si="68"/>
        <v>0.00292 - (0.0093 * E7_3_2_1_mRNA)</v>
      </c>
      <c r="L324" s="34" t="str">
        <f t="shared" si="69"/>
        <v>(0.278 * E7_3_2_1_mRNA) - (0.00000278 * E7_3_2_1)</v>
      </c>
      <c r="M324" s="38" t="str">
        <f t="shared" si="70"/>
        <v>mRNA323: -&gt; E7_3_2_1_mRNA | 0.00292 - (0.0093 * E7_3_2_1_mRNA)</v>
      </c>
      <c r="N324" s="39" t="str">
        <f t="shared" si="71"/>
        <v>Peptide323: E7_3_2_1_mRNA -&gt; E7_3_2_1 | (0.278 * E7_3_2_1_mRNA) - (0.000000278 * E7_3_2_1)</v>
      </c>
    </row>
    <row r="325" spans="1:14" x14ac:dyDescent="0.45">
      <c r="A325">
        <v>324</v>
      </c>
      <c r="B325" t="s">
        <v>10446</v>
      </c>
      <c r="C325" t="str">
        <f t="shared" si="60"/>
        <v>E7_4_2_11_mRNA</v>
      </c>
      <c r="D325" t="str">
        <f t="shared" si="61"/>
        <v>E7_4_2_11</v>
      </c>
      <c r="E325" s="39" t="str">
        <f t="shared" si="62"/>
        <v>E7_4_2_11_kcat : 13.7</v>
      </c>
      <c r="F325" s="41" t="str">
        <f t="shared" si="63"/>
        <v>E7_4_2_11_km : 1</v>
      </c>
      <c r="G325" s="34" t="str">
        <f t="shared" si="64"/>
        <v>E7_4_2_11_mRNA : E7_4_2_11_mRNA</v>
      </c>
      <c r="H325" s="35" t="str">
        <f t="shared" si="65"/>
        <v>E7_4_2_11 : E7_4_2_11</v>
      </c>
      <c r="I325" s="36" t="str">
        <f t="shared" si="66"/>
        <v>E7_4_2_11_mRNA : 0</v>
      </c>
      <c r="J325" s="19" t="str">
        <f t="shared" si="67"/>
        <v>E7_4_2_11 : 0</v>
      </c>
      <c r="K325" s="37" t="str">
        <f t="shared" si="68"/>
        <v>0.00292 - (0.0093 * E7_4_2_11_mRNA)</v>
      </c>
      <c r="L325" s="34" t="str">
        <f t="shared" si="69"/>
        <v>(0.278 * E7_4_2_11_mRNA) - (0.00000278 * E7_4_2_11)</v>
      </c>
      <c r="M325" s="38" t="str">
        <f t="shared" si="70"/>
        <v>mRNA324: -&gt; E7_4_2_11_mRNA | 0.00292 - (0.0093 * E7_4_2_11_mRNA)</v>
      </c>
      <c r="N325" s="39" t="str">
        <f t="shared" si="71"/>
        <v>Peptide324: E7_4_2_11_mRNA -&gt; E7_4_2_11 | (0.278 * E7_4_2_11_mRNA) - (0.000000278 * E7_4_2_11)</v>
      </c>
    </row>
    <row r="326" spans="1:14" x14ac:dyDescent="0.45">
      <c r="A326">
        <v>325</v>
      </c>
      <c r="B326" t="s">
        <v>10447</v>
      </c>
      <c r="C326" t="str">
        <f t="shared" si="60"/>
        <v>E7_6_2_9_mRNA</v>
      </c>
      <c r="D326" t="str">
        <f t="shared" si="61"/>
        <v>E7_6_2_9</v>
      </c>
      <c r="E326" s="39" t="str">
        <f t="shared" si="62"/>
        <v>E7_6_2_9_kcat : 13.7</v>
      </c>
      <c r="F326" s="41" t="str">
        <f t="shared" si="63"/>
        <v>E7_6_2_9_km : 1</v>
      </c>
      <c r="G326" s="34" t="str">
        <f t="shared" si="64"/>
        <v>E7_6_2_9_mRNA : E7_6_2_9_mRNA</v>
      </c>
      <c r="H326" s="35" t="str">
        <f t="shared" si="65"/>
        <v>E7_6_2_9 : E7_6_2_9</v>
      </c>
      <c r="I326" s="36" t="str">
        <f t="shared" si="66"/>
        <v>E7_6_2_9_mRNA : 0</v>
      </c>
      <c r="J326" s="19" t="str">
        <f t="shared" si="67"/>
        <v>E7_6_2_9 : 0</v>
      </c>
      <c r="K326" s="37" t="str">
        <f t="shared" si="68"/>
        <v>0.00292 - (0.0093 * E7_6_2_9_mRNA)</v>
      </c>
      <c r="L326" s="34" t="str">
        <f t="shared" si="69"/>
        <v>(0.278 * E7_6_2_9_mRNA) - (0.00000278 * E7_6_2_9)</v>
      </c>
      <c r="M326" s="38" t="str">
        <f t="shared" si="70"/>
        <v>mRNA325: -&gt; E7_6_2_9_mRNA | 0.00292 - (0.0093 * E7_6_2_9_mRNA)</v>
      </c>
      <c r="N326" s="39" t="str">
        <f t="shared" si="71"/>
        <v>Peptide325: E7_6_2_9_mRNA -&gt; E7_6_2_9 | (0.278 * E7_6_2_9_mRNA) - (0.000000278 * E7_6_2_9)</v>
      </c>
    </row>
    <row r="327" spans="1:14" x14ac:dyDescent="0.45">
      <c r="G327"/>
      <c r="H327"/>
      <c r="I327"/>
      <c r="J327"/>
      <c r="K327"/>
      <c r="L327"/>
      <c r="M327"/>
      <c r="N327"/>
    </row>
    <row r="328" spans="1:14" x14ac:dyDescent="0.45">
      <c r="G328"/>
      <c r="H328"/>
      <c r="I328"/>
      <c r="J328"/>
      <c r="K328"/>
      <c r="L328"/>
      <c r="M328"/>
      <c r="N328"/>
    </row>
    <row r="329" spans="1:14" x14ac:dyDescent="0.45">
      <c r="G329"/>
      <c r="H329"/>
      <c r="I329"/>
      <c r="J329"/>
      <c r="K329"/>
      <c r="L329"/>
      <c r="M329"/>
      <c r="N329"/>
    </row>
    <row r="330" spans="1:14" x14ac:dyDescent="0.45">
      <c r="G330"/>
      <c r="H330"/>
      <c r="I330"/>
      <c r="J330"/>
      <c r="K330"/>
      <c r="L330"/>
      <c r="M330"/>
      <c r="N330"/>
    </row>
    <row r="331" spans="1:14" x14ac:dyDescent="0.45">
      <c r="G331"/>
      <c r="H331"/>
      <c r="I331"/>
      <c r="J331"/>
      <c r="K331"/>
      <c r="L331"/>
      <c r="M331"/>
      <c r="N331"/>
    </row>
    <row r="332" spans="1:14" x14ac:dyDescent="0.45">
      <c r="G332"/>
      <c r="H332"/>
      <c r="I332"/>
      <c r="J332"/>
      <c r="K332"/>
      <c r="L332"/>
      <c r="M332"/>
      <c r="N332"/>
    </row>
    <row r="333" spans="1:14" x14ac:dyDescent="0.45">
      <c r="G333"/>
      <c r="H333"/>
      <c r="I333"/>
      <c r="J333"/>
      <c r="K333"/>
      <c r="L333"/>
      <c r="M333"/>
      <c r="N333"/>
    </row>
    <row r="334" spans="1:14" x14ac:dyDescent="0.45">
      <c r="G334"/>
      <c r="H334"/>
      <c r="I334"/>
      <c r="J334"/>
      <c r="K334"/>
      <c r="L334"/>
      <c r="M334"/>
      <c r="N334"/>
    </row>
    <row r="335" spans="1:14" x14ac:dyDescent="0.45">
      <c r="G335"/>
      <c r="H335"/>
      <c r="I335"/>
      <c r="J335"/>
      <c r="K335"/>
      <c r="L335"/>
      <c r="M335"/>
      <c r="N335"/>
    </row>
    <row r="336" spans="1:14" x14ac:dyDescent="0.45">
      <c r="G336"/>
      <c r="H336"/>
      <c r="I336"/>
      <c r="J336"/>
      <c r="K336"/>
      <c r="L336"/>
      <c r="M336"/>
      <c r="N336"/>
    </row>
    <row r="337" spans="7:14" x14ac:dyDescent="0.45">
      <c r="G337"/>
      <c r="H337"/>
      <c r="I337"/>
      <c r="J337"/>
      <c r="K337"/>
      <c r="L337"/>
      <c r="M337"/>
      <c r="N337"/>
    </row>
    <row r="338" spans="7:14" x14ac:dyDescent="0.45">
      <c r="G338"/>
      <c r="H338"/>
      <c r="I338"/>
      <c r="J338"/>
      <c r="K338"/>
      <c r="L338"/>
      <c r="M338"/>
      <c r="N338"/>
    </row>
    <row r="339" spans="7:14" x14ac:dyDescent="0.45">
      <c r="G339"/>
      <c r="H339"/>
      <c r="I339"/>
      <c r="J339"/>
      <c r="K339"/>
      <c r="L339"/>
      <c r="M339"/>
      <c r="N339"/>
    </row>
    <row r="340" spans="7:14" x14ac:dyDescent="0.45">
      <c r="G340"/>
      <c r="H340"/>
      <c r="I340"/>
      <c r="J340"/>
      <c r="K340"/>
      <c r="L340"/>
      <c r="M340"/>
      <c r="N340"/>
    </row>
    <row r="341" spans="7:14" x14ac:dyDescent="0.45">
      <c r="G341"/>
      <c r="H341"/>
      <c r="I341"/>
      <c r="J341"/>
      <c r="K341"/>
      <c r="L341"/>
      <c r="M341"/>
      <c r="N341"/>
    </row>
    <row r="342" spans="7:14" x14ac:dyDescent="0.45">
      <c r="G342"/>
      <c r="H342"/>
      <c r="I342"/>
      <c r="J342"/>
      <c r="K342"/>
      <c r="L342"/>
      <c r="M342"/>
      <c r="N342"/>
    </row>
    <row r="343" spans="7:14" x14ac:dyDescent="0.45">
      <c r="G343"/>
      <c r="H343"/>
      <c r="I343"/>
      <c r="J343"/>
      <c r="K343"/>
      <c r="L343"/>
      <c r="M343"/>
      <c r="N343"/>
    </row>
    <row r="344" spans="7:14" x14ac:dyDescent="0.45">
      <c r="G344"/>
      <c r="H344"/>
      <c r="I344"/>
      <c r="J344"/>
      <c r="K344"/>
      <c r="L344"/>
      <c r="M344"/>
      <c r="N344"/>
    </row>
    <row r="345" spans="7:14" x14ac:dyDescent="0.45">
      <c r="G345"/>
      <c r="H345"/>
      <c r="I345"/>
      <c r="J345"/>
      <c r="K345"/>
      <c r="L345"/>
      <c r="M345"/>
      <c r="N345"/>
    </row>
    <row r="346" spans="7:14" x14ac:dyDescent="0.45">
      <c r="G346"/>
      <c r="H346"/>
      <c r="I346"/>
      <c r="J346"/>
      <c r="K346"/>
      <c r="L346"/>
      <c r="M346"/>
      <c r="N346"/>
    </row>
    <row r="347" spans="7:14" x14ac:dyDescent="0.45">
      <c r="G347"/>
      <c r="H347"/>
      <c r="I347"/>
      <c r="J347"/>
      <c r="K347"/>
      <c r="L347"/>
      <c r="M347"/>
      <c r="N347"/>
    </row>
    <row r="348" spans="7:14" x14ac:dyDescent="0.45">
      <c r="G348"/>
      <c r="H348"/>
      <c r="I348"/>
      <c r="J348"/>
      <c r="K348"/>
      <c r="L348"/>
      <c r="M348"/>
      <c r="N348"/>
    </row>
    <row r="349" spans="7:14" x14ac:dyDescent="0.45">
      <c r="G349"/>
      <c r="H349"/>
      <c r="I349"/>
      <c r="J349"/>
      <c r="K349"/>
      <c r="L349"/>
      <c r="M349"/>
      <c r="N349"/>
    </row>
    <row r="350" spans="7:14" x14ac:dyDescent="0.45">
      <c r="G350"/>
      <c r="H350"/>
      <c r="I350"/>
      <c r="J350"/>
      <c r="K350"/>
      <c r="L350"/>
      <c r="M350"/>
      <c r="N350"/>
    </row>
    <row r="351" spans="7:14" x14ac:dyDescent="0.45">
      <c r="G351"/>
      <c r="H351"/>
      <c r="I351"/>
      <c r="J351"/>
      <c r="K351"/>
      <c r="L351"/>
      <c r="M351"/>
      <c r="N351"/>
    </row>
    <row r="352" spans="7:14" x14ac:dyDescent="0.45">
      <c r="G352"/>
      <c r="H352"/>
      <c r="I352"/>
      <c r="J352"/>
      <c r="K352"/>
      <c r="L352"/>
      <c r="M352"/>
      <c r="N352"/>
    </row>
    <row r="353" spans="7:14" x14ac:dyDescent="0.45">
      <c r="G353"/>
      <c r="H353"/>
      <c r="I353"/>
      <c r="J353"/>
      <c r="K353"/>
      <c r="L353"/>
      <c r="M353"/>
      <c r="N353"/>
    </row>
    <row r="354" spans="7:14" x14ac:dyDescent="0.45">
      <c r="G354"/>
      <c r="H354"/>
      <c r="I354"/>
      <c r="J354"/>
      <c r="K354"/>
      <c r="L354"/>
      <c r="M354"/>
      <c r="N354"/>
    </row>
    <row r="355" spans="7:14" x14ac:dyDescent="0.45">
      <c r="G355"/>
      <c r="H355"/>
      <c r="I355"/>
      <c r="J355"/>
      <c r="K355"/>
      <c r="L355"/>
      <c r="M355"/>
      <c r="N355"/>
    </row>
    <row r="356" spans="7:14" x14ac:dyDescent="0.45">
      <c r="G356"/>
      <c r="H356"/>
      <c r="I356"/>
      <c r="J356"/>
      <c r="K356"/>
      <c r="L356"/>
      <c r="M356"/>
      <c r="N356"/>
    </row>
    <row r="357" spans="7:14" x14ac:dyDescent="0.45">
      <c r="G357"/>
      <c r="H357"/>
      <c r="I357"/>
      <c r="J357"/>
      <c r="K357"/>
      <c r="L357"/>
      <c r="M357"/>
      <c r="N357"/>
    </row>
    <row r="358" spans="7:14" x14ac:dyDescent="0.45">
      <c r="G358"/>
      <c r="H358"/>
      <c r="I358"/>
      <c r="J358"/>
      <c r="K358"/>
      <c r="L358"/>
      <c r="M358"/>
      <c r="N358"/>
    </row>
    <row r="359" spans="7:14" x14ac:dyDescent="0.45">
      <c r="G359"/>
      <c r="H359"/>
      <c r="I359"/>
      <c r="J359"/>
      <c r="K359"/>
      <c r="L359"/>
      <c r="M359"/>
      <c r="N359"/>
    </row>
    <row r="360" spans="7:14" x14ac:dyDescent="0.45">
      <c r="G360"/>
      <c r="H360"/>
      <c r="I360"/>
      <c r="J360"/>
      <c r="K360"/>
      <c r="L360"/>
      <c r="M360"/>
      <c r="N360"/>
    </row>
    <row r="361" spans="7:14" x14ac:dyDescent="0.45">
      <c r="G361"/>
      <c r="H361"/>
      <c r="I361"/>
      <c r="J361"/>
      <c r="K361"/>
      <c r="L361"/>
      <c r="M361"/>
      <c r="N361"/>
    </row>
    <row r="362" spans="7:14" x14ac:dyDescent="0.45">
      <c r="G362"/>
      <c r="H362"/>
      <c r="I362"/>
      <c r="J362"/>
      <c r="K362"/>
      <c r="L362"/>
      <c r="M362"/>
      <c r="N362"/>
    </row>
    <row r="363" spans="7:14" x14ac:dyDescent="0.45">
      <c r="G363"/>
      <c r="H363"/>
      <c r="I363"/>
      <c r="J363"/>
      <c r="K363"/>
      <c r="L363"/>
      <c r="M363"/>
      <c r="N363"/>
    </row>
    <row r="364" spans="7:14" x14ac:dyDescent="0.45">
      <c r="G364"/>
      <c r="H364"/>
      <c r="I364"/>
      <c r="J364"/>
      <c r="K364"/>
      <c r="L364"/>
      <c r="M364"/>
      <c r="N364"/>
    </row>
    <row r="365" spans="7:14" x14ac:dyDescent="0.45">
      <c r="G365"/>
      <c r="H365"/>
      <c r="I365"/>
      <c r="J365"/>
      <c r="K365"/>
      <c r="L365"/>
      <c r="M365"/>
      <c r="N365"/>
    </row>
    <row r="366" spans="7:14" x14ac:dyDescent="0.45">
      <c r="G366"/>
      <c r="H366"/>
      <c r="I366"/>
      <c r="J366"/>
      <c r="K366"/>
      <c r="L366"/>
      <c r="M366"/>
      <c r="N366"/>
    </row>
    <row r="367" spans="7:14" x14ac:dyDescent="0.45">
      <c r="G367"/>
      <c r="H367"/>
      <c r="I367"/>
      <c r="J367"/>
      <c r="K367"/>
      <c r="L367"/>
      <c r="M367"/>
      <c r="N367"/>
    </row>
    <row r="368" spans="7:14" x14ac:dyDescent="0.45">
      <c r="G368"/>
      <c r="H368"/>
      <c r="I368"/>
      <c r="J368"/>
      <c r="K368"/>
      <c r="L368"/>
      <c r="M368"/>
      <c r="N368"/>
    </row>
    <row r="369" spans="7:14" x14ac:dyDescent="0.45">
      <c r="G369"/>
      <c r="H369"/>
      <c r="I369"/>
      <c r="J369"/>
      <c r="K369"/>
      <c r="L369"/>
      <c r="M369"/>
      <c r="N369"/>
    </row>
    <row r="370" spans="7:14" x14ac:dyDescent="0.45">
      <c r="G370"/>
      <c r="H370"/>
      <c r="I370"/>
      <c r="J370"/>
      <c r="K370"/>
      <c r="L370"/>
      <c r="M370"/>
      <c r="N370"/>
    </row>
    <row r="371" spans="7:14" x14ac:dyDescent="0.45">
      <c r="G371"/>
      <c r="H371"/>
      <c r="I371"/>
      <c r="J371"/>
      <c r="K371"/>
      <c r="L371"/>
      <c r="M371"/>
      <c r="N371"/>
    </row>
    <row r="372" spans="7:14" x14ac:dyDescent="0.45">
      <c r="G372"/>
      <c r="H372"/>
      <c r="I372"/>
      <c r="J372"/>
      <c r="K372"/>
      <c r="L372"/>
      <c r="M372"/>
      <c r="N372"/>
    </row>
    <row r="373" spans="7:14" x14ac:dyDescent="0.45">
      <c r="G373"/>
      <c r="H373"/>
      <c r="I373"/>
      <c r="J373"/>
      <c r="K373"/>
      <c r="L373"/>
      <c r="M373"/>
      <c r="N373"/>
    </row>
    <row r="374" spans="7:14" x14ac:dyDescent="0.45">
      <c r="G374"/>
      <c r="H374"/>
      <c r="I374"/>
      <c r="J374"/>
      <c r="K374"/>
      <c r="L374"/>
      <c r="M374"/>
      <c r="N374"/>
    </row>
    <row r="375" spans="7:14" x14ac:dyDescent="0.45">
      <c r="G375"/>
      <c r="H375"/>
      <c r="I375"/>
      <c r="J375"/>
      <c r="K375"/>
      <c r="L375"/>
      <c r="M375"/>
      <c r="N375"/>
    </row>
    <row r="376" spans="7:14" x14ac:dyDescent="0.45">
      <c r="G376"/>
      <c r="H376"/>
      <c r="I376"/>
      <c r="J376"/>
      <c r="K376"/>
      <c r="L376"/>
      <c r="M376"/>
      <c r="N376"/>
    </row>
    <row r="377" spans="7:14" x14ac:dyDescent="0.45">
      <c r="G377"/>
      <c r="H377"/>
      <c r="I377"/>
      <c r="J377"/>
      <c r="K377"/>
      <c r="L377"/>
      <c r="M377"/>
      <c r="N377"/>
    </row>
    <row r="378" spans="7:14" x14ac:dyDescent="0.45">
      <c r="G378"/>
      <c r="H378"/>
      <c r="I378"/>
      <c r="J378"/>
      <c r="K378"/>
      <c r="L378"/>
      <c r="M378"/>
      <c r="N378"/>
    </row>
    <row r="379" spans="7:14" x14ac:dyDescent="0.45">
      <c r="G379"/>
      <c r="H379"/>
      <c r="I379"/>
      <c r="J379"/>
      <c r="K379"/>
      <c r="L379"/>
      <c r="M379"/>
      <c r="N379"/>
    </row>
    <row r="380" spans="7:14" x14ac:dyDescent="0.45">
      <c r="G380"/>
      <c r="H380"/>
      <c r="I380"/>
      <c r="J380"/>
      <c r="K380"/>
      <c r="L380"/>
      <c r="M380"/>
      <c r="N380"/>
    </row>
    <row r="381" spans="7:14" x14ac:dyDescent="0.45">
      <c r="G381"/>
      <c r="H381"/>
      <c r="I381"/>
      <c r="J381"/>
      <c r="K381"/>
      <c r="L381"/>
      <c r="M381"/>
      <c r="N381"/>
    </row>
    <row r="382" spans="7:14" x14ac:dyDescent="0.45">
      <c r="G382"/>
      <c r="H382"/>
      <c r="I382"/>
      <c r="J382"/>
      <c r="K382"/>
      <c r="L382"/>
      <c r="M382"/>
      <c r="N382"/>
    </row>
    <row r="383" spans="7:14" x14ac:dyDescent="0.45">
      <c r="G383"/>
      <c r="H383"/>
      <c r="I383"/>
      <c r="J383"/>
      <c r="K383"/>
      <c r="L383"/>
      <c r="M383"/>
      <c r="N383"/>
    </row>
    <row r="384" spans="7:14" x14ac:dyDescent="0.45">
      <c r="G384"/>
      <c r="H384"/>
      <c r="I384"/>
      <c r="J384"/>
      <c r="K384"/>
      <c r="L384"/>
      <c r="M384"/>
      <c r="N384"/>
    </row>
    <row r="385" spans="7:14" x14ac:dyDescent="0.45">
      <c r="G385"/>
      <c r="H385"/>
      <c r="I385"/>
      <c r="J385"/>
      <c r="K385"/>
      <c r="L385"/>
      <c r="M385"/>
      <c r="N385"/>
    </row>
    <row r="386" spans="7:14" x14ac:dyDescent="0.45">
      <c r="G386"/>
      <c r="H386"/>
      <c r="I386"/>
      <c r="J386"/>
      <c r="K386"/>
      <c r="L386"/>
      <c r="M386"/>
      <c r="N386"/>
    </row>
    <row r="387" spans="7:14" x14ac:dyDescent="0.45">
      <c r="G387"/>
      <c r="H387"/>
      <c r="I387"/>
      <c r="J387"/>
      <c r="K387"/>
      <c r="L387"/>
      <c r="M387"/>
      <c r="N387"/>
    </row>
    <row r="388" spans="7:14" x14ac:dyDescent="0.45">
      <c r="G388"/>
      <c r="H388"/>
      <c r="I388"/>
      <c r="J388"/>
      <c r="K388"/>
      <c r="L388"/>
      <c r="M388"/>
      <c r="N388"/>
    </row>
    <row r="389" spans="7:14" x14ac:dyDescent="0.45">
      <c r="G389"/>
      <c r="H389"/>
      <c r="I389"/>
      <c r="J389"/>
      <c r="K389"/>
      <c r="L389"/>
      <c r="M389"/>
      <c r="N389"/>
    </row>
    <row r="390" spans="7:14" x14ac:dyDescent="0.45">
      <c r="G390"/>
      <c r="H390"/>
      <c r="I390"/>
      <c r="J390"/>
      <c r="K390"/>
      <c r="L390"/>
      <c r="M390"/>
      <c r="N390"/>
    </row>
    <row r="391" spans="7:14" x14ac:dyDescent="0.45">
      <c r="G391"/>
      <c r="H391"/>
      <c r="I391"/>
      <c r="J391"/>
      <c r="K391"/>
      <c r="L391"/>
      <c r="M391"/>
      <c r="N391"/>
    </row>
    <row r="392" spans="7:14" x14ac:dyDescent="0.45">
      <c r="G392"/>
      <c r="H392"/>
      <c r="I392"/>
      <c r="J392"/>
      <c r="K392"/>
      <c r="L392"/>
      <c r="M392"/>
      <c r="N392"/>
    </row>
    <row r="393" spans="7:14" x14ac:dyDescent="0.45">
      <c r="G393"/>
      <c r="H393"/>
      <c r="I393"/>
      <c r="J393"/>
      <c r="K393"/>
      <c r="L393"/>
      <c r="M393"/>
      <c r="N393"/>
    </row>
    <row r="394" spans="7:14" x14ac:dyDescent="0.45">
      <c r="G394"/>
      <c r="H394"/>
      <c r="I394"/>
      <c r="J394"/>
      <c r="K394"/>
      <c r="L394"/>
      <c r="M394"/>
      <c r="N394"/>
    </row>
    <row r="395" spans="7:14" x14ac:dyDescent="0.45">
      <c r="G395"/>
      <c r="H395"/>
      <c r="I395"/>
      <c r="J395"/>
      <c r="K395"/>
      <c r="L395"/>
      <c r="M395"/>
      <c r="N395"/>
    </row>
    <row r="396" spans="7:14" x14ac:dyDescent="0.45">
      <c r="G396"/>
      <c r="H396"/>
      <c r="I396"/>
      <c r="J396"/>
      <c r="K396"/>
      <c r="L396"/>
      <c r="M396"/>
      <c r="N396"/>
    </row>
    <row r="397" spans="7:14" x14ac:dyDescent="0.45">
      <c r="G397"/>
      <c r="H397"/>
      <c r="I397"/>
      <c r="J397"/>
      <c r="K397"/>
      <c r="L397"/>
      <c r="M397"/>
      <c r="N397"/>
    </row>
    <row r="398" spans="7:14" x14ac:dyDescent="0.45">
      <c r="G398"/>
      <c r="H398"/>
      <c r="I398"/>
      <c r="J398"/>
      <c r="K398"/>
      <c r="L398"/>
      <c r="M398"/>
      <c r="N398"/>
    </row>
    <row r="399" spans="7:14" x14ac:dyDescent="0.45">
      <c r="G399"/>
      <c r="H399"/>
      <c r="I399"/>
      <c r="J399"/>
      <c r="K399"/>
      <c r="L399"/>
      <c r="M399"/>
      <c r="N399"/>
    </row>
    <row r="400" spans="7:14" x14ac:dyDescent="0.45">
      <c r="G400"/>
      <c r="H400"/>
      <c r="I400"/>
      <c r="J400"/>
      <c r="K400"/>
      <c r="L400"/>
      <c r="M400"/>
      <c r="N400"/>
    </row>
    <row r="401" spans="7:14" x14ac:dyDescent="0.45">
      <c r="G401"/>
      <c r="H401"/>
      <c r="I401"/>
      <c r="J401"/>
      <c r="K401"/>
      <c r="L401"/>
      <c r="M401"/>
      <c r="N401"/>
    </row>
    <row r="402" spans="7:14" x14ac:dyDescent="0.45">
      <c r="G402"/>
      <c r="H402"/>
      <c r="I402"/>
      <c r="J402"/>
      <c r="K402"/>
      <c r="L402"/>
      <c r="M402"/>
      <c r="N402"/>
    </row>
    <row r="403" spans="7:14" x14ac:dyDescent="0.45">
      <c r="G403"/>
      <c r="H403"/>
      <c r="I403"/>
      <c r="J403"/>
      <c r="K403"/>
      <c r="L403"/>
      <c r="M403"/>
      <c r="N403"/>
    </row>
    <row r="404" spans="7:14" x14ac:dyDescent="0.45">
      <c r="G404"/>
      <c r="H404"/>
      <c r="I404"/>
      <c r="J404"/>
      <c r="K404"/>
      <c r="L404"/>
      <c r="M404"/>
      <c r="N404"/>
    </row>
    <row r="405" spans="7:14" x14ac:dyDescent="0.45">
      <c r="G405"/>
      <c r="H405"/>
      <c r="I405"/>
      <c r="J405"/>
      <c r="K405"/>
      <c r="L405"/>
      <c r="M405"/>
      <c r="N405"/>
    </row>
    <row r="406" spans="7:14" x14ac:dyDescent="0.45">
      <c r="G406"/>
      <c r="H406"/>
      <c r="I406"/>
      <c r="J406"/>
      <c r="K406"/>
      <c r="L406"/>
      <c r="M406"/>
      <c r="N406"/>
    </row>
    <row r="407" spans="7:14" x14ac:dyDescent="0.45">
      <c r="G407"/>
      <c r="H407"/>
      <c r="I407"/>
      <c r="J407"/>
      <c r="K407"/>
      <c r="L407"/>
      <c r="M407"/>
      <c r="N407"/>
    </row>
    <row r="408" spans="7:14" x14ac:dyDescent="0.45">
      <c r="G408"/>
      <c r="H408"/>
      <c r="I408"/>
      <c r="J408"/>
      <c r="K408"/>
      <c r="L408"/>
      <c r="M408"/>
      <c r="N408"/>
    </row>
    <row r="409" spans="7:14" x14ac:dyDescent="0.45">
      <c r="G409"/>
      <c r="H409"/>
      <c r="I409"/>
      <c r="J409"/>
      <c r="K409"/>
      <c r="L409"/>
      <c r="M409"/>
      <c r="N409"/>
    </row>
    <row r="410" spans="7:14" x14ac:dyDescent="0.45">
      <c r="G410"/>
      <c r="H410"/>
      <c r="I410"/>
      <c r="J410"/>
      <c r="K410"/>
      <c r="L410"/>
      <c r="M410"/>
      <c r="N410"/>
    </row>
    <row r="411" spans="7:14" x14ac:dyDescent="0.45">
      <c r="G411"/>
      <c r="H411"/>
      <c r="I411"/>
      <c r="J411"/>
      <c r="K411"/>
      <c r="L411"/>
      <c r="M411"/>
      <c r="N411"/>
    </row>
    <row r="412" spans="7:14" x14ac:dyDescent="0.45">
      <c r="G412"/>
      <c r="H412"/>
      <c r="I412"/>
      <c r="J412"/>
      <c r="K412"/>
      <c r="L412"/>
      <c r="M412"/>
      <c r="N412"/>
    </row>
    <row r="413" spans="7:14" x14ac:dyDescent="0.45">
      <c r="G413"/>
      <c r="H413"/>
      <c r="I413"/>
      <c r="J413"/>
      <c r="K413"/>
      <c r="L413"/>
      <c r="M413"/>
      <c r="N413"/>
    </row>
    <row r="414" spans="7:14" x14ac:dyDescent="0.45">
      <c r="G414"/>
      <c r="H414"/>
      <c r="I414"/>
      <c r="J414"/>
      <c r="K414"/>
      <c r="L414"/>
      <c r="M414"/>
      <c r="N414"/>
    </row>
    <row r="415" spans="7:14" x14ac:dyDescent="0.45">
      <c r="G415"/>
      <c r="H415"/>
      <c r="I415"/>
      <c r="J415"/>
      <c r="K415"/>
      <c r="L415"/>
      <c r="M415"/>
      <c r="N415"/>
    </row>
    <row r="416" spans="7:14" x14ac:dyDescent="0.45">
      <c r="G416"/>
      <c r="H416"/>
      <c r="I416"/>
      <c r="J416"/>
      <c r="K416"/>
      <c r="L416"/>
      <c r="M416"/>
      <c r="N416"/>
    </row>
    <row r="417" spans="7:14" x14ac:dyDescent="0.45">
      <c r="G417"/>
      <c r="H417"/>
      <c r="I417"/>
      <c r="J417"/>
      <c r="K417"/>
      <c r="L417"/>
      <c r="M417"/>
      <c r="N417"/>
    </row>
    <row r="418" spans="7:14" x14ac:dyDescent="0.45">
      <c r="G418"/>
      <c r="H418"/>
      <c r="I418"/>
      <c r="J418"/>
      <c r="K418"/>
      <c r="L418"/>
      <c r="M418"/>
      <c r="N418"/>
    </row>
    <row r="419" spans="7:14" x14ac:dyDescent="0.45">
      <c r="G419"/>
      <c r="H419"/>
      <c r="I419"/>
      <c r="J419"/>
      <c r="K419"/>
      <c r="L419"/>
      <c r="M419"/>
      <c r="N419"/>
    </row>
    <row r="420" spans="7:14" x14ac:dyDescent="0.45">
      <c r="G420"/>
      <c r="H420"/>
      <c r="I420"/>
      <c r="J420"/>
      <c r="K420"/>
      <c r="L420"/>
      <c r="M420"/>
      <c r="N420"/>
    </row>
    <row r="421" spans="7:14" x14ac:dyDescent="0.45">
      <c r="G421"/>
      <c r="H421"/>
      <c r="I421"/>
      <c r="J421"/>
      <c r="K421"/>
      <c r="L421"/>
      <c r="M421"/>
      <c r="N421"/>
    </row>
    <row r="422" spans="7:14" x14ac:dyDescent="0.45">
      <c r="G422"/>
      <c r="H422"/>
      <c r="I422"/>
      <c r="J422"/>
      <c r="K422"/>
      <c r="L422"/>
      <c r="M422"/>
      <c r="N422"/>
    </row>
    <row r="423" spans="7:14" x14ac:dyDescent="0.45">
      <c r="G423"/>
      <c r="H423"/>
      <c r="I423"/>
      <c r="J423"/>
      <c r="K423"/>
      <c r="L423"/>
      <c r="M423"/>
      <c r="N423"/>
    </row>
    <row r="424" spans="7:14" x14ac:dyDescent="0.45">
      <c r="G424"/>
      <c r="H424"/>
      <c r="I424"/>
      <c r="J424"/>
      <c r="K424"/>
      <c r="L424"/>
      <c r="M424"/>
      <c r="N424"/>
    </row>
    <row r="425" spans="7:14" x14ac:dyDescent="0.45">
      <c r="G425"/>
      <c r="H425"/>
      <c r="I425"/>
      <c r="J425"/>
      <c r="K425"/>
      <c r="L425"/>
      <c r="M425"/>
      <c r="N425"/>
    </row>
    <row r="426" spans="7:14" x14ac:dyDescent="0.45">
      <c r="G426"/>
      <c r="H426"/>
      <c r="I426"/>
      <c r="J426"/>
      <c r="K426"/>
      <c r="L426"/>
      <c r="M426"/>
      <c r="N426"/>
    </row>
    <row r="427" spans="7:14" x14ac:dyDescent="0.45">
      <c r="G427"/>
      <c r="H427"/>
      <c r="I427"/>
      <c r="J427"/>
      <c r="K427"/>
      <c r="L427"/>
      <c r="M427"/>
      <c r="N427"/>
    </row>
    <row r="428" spans="7:14" x14ac:dyDescent="0.45">
      <c r="G428"/>
      <c r="H428"/>
      <c r="I428"/>
      <c r="J428"/>
      <c r="K428"/>
      <c r="L428"/>
      <c r="M428"/>
      <c r="N428"/>
    </row>
    <row r="429" spans="7:14" x14ac:dyDescent="0.45">
      <c r="G429"/>
      <c r="H429"/>
      <c r="I429"/>
      <c r="J429"/>
      <c r="K429"/>
      <c r="L429"/>
      <c r="M429"/>
      <c r="N429"/>
    </row>
    <row r="430" spans="7:14" x14ac:dyDescent="0.45">
      <c r="G430"/>
      <c r="H430"/>
      <c r="I430"/>
      <c r="J430"/>
      <c r="K430"/>
      <c r="L430"/>
      <c r="M430"/>
      <c r="N430"/>
    </row>
    <row r="431" spans="7:14" x14ac:dyDescent="0.45">
      <c r="G431"/>
      <c r="H431"/>
      <c r="I431"/>
      <c r="J431"/>
      <c r="K431"/>
      <c r="L431"/>
      <c r="M431"/>
      <c r="N431"/>
    </row>
    <row r="432" spans="7:14" x14ac:dyDescent="0.45">
      <c r="G432"/>
      <c r="H432"/>
      <c r="I432"/>
      <c r="J432"/>
      <c r="K432"/>
      <c r="L432"/>
      <c r="M432"/>
      <c r="N432"/>
    </row>
    <row r="433" spans="7:14" x14ac:dyDescent="0.45">
      <c r="G433"/>
      <c r="H433"/>
      <c r="I433"/>
      <c r="J433"/>
      <c r="K433"/>
      <c r="L433"/>
      <c r="M433"/>
      <c r="N433"/>
    </row>
    <row r="434" spans="7:14" x14ac:dyDescent="0.45">
      <c r="G434"/>
      <c r="H434"/>
      <c r="I434"/>
      <c r="J434"/>
      <c r="K434"/>
      <c r="L434"/>
      <c r="M434"/>
      <c r="N434"/>
    </row>
    <row r="435" spans="7:14" x14ac:dyDescent="0.45">
      <c r="G435"/>
      <c r="H435"/>
      <c r="I435"/>
      <c r="J435"/>
      <c r="K435"/>
      <c r="L435"/>
      <c r="M435"/>
      <c r="N435"/>
    </row>
    <row r="436" spans="7:14" x14ac:dyDescent="0.45">
      <c r="G436"/>
      <c r="H436"/>
      <c r="I436"/>
      <c r="J436"/>
      <c r="K436"/>
      <c r="L436"/>
      <c r="M436"/>
      <c r="N436"/>
    </row>
    <row r="437" spans="7:14" x14ac:dyDescent="0.45">
      <c r="G437"/>
      <c r="H437"/>
      <c r="I437"/>
      <c r="J437"/>
      <c r="K437"/>
      <c r="L437"/>
      <c r="M437"/>
      <c r="N437"/>
    </row>
    <row r="438" spans="7:14" x14ac:dyDescent="0.45">
      <c r="G438"/>
      <c r="H438"/>
      <c r="I438"/>
      <c r="J438"/>
      <c r="K438"/>
      <c r="L438"/>
      <c r="M438"/>
      <c r="N438"/>
    </row>
    <row r="439" spans="7:14" x14ac:dyDescent="0.45">
      <c r="G439"/>
      <c r="H439"/>
      <c r="I439"/>
      <c r="J439"/>
      <c r="K439"/>
      <c r="L439"/>
      <c r="M439"/>
      <c r="N439"/>
    </row>
    <row r="440" spans="7:14" x14ac:dyDescent="0.45">
      <c r="G440"/>
      <c r="H440"/>
      <c r="I440"/>
      <c r="J440"/>
      <c r="K440"/>
      <c r="L440"/>
      <c r="M440"/>
      <c r="N440"/>
    </row>
    <row r="441" spans="7:14" x14ac:dyDescent="0.45">
      <c r="G441"/>
      <c r="H441"/>
      <c r="I441"/>
      <c r="J441"/>
      <c r="K441"/>
      <c r="L441"/>
      <c r="M441"/>
      <c r="N441"/>
    </row>
    <row r="442" spans="7:14" x14ac:dyDescent="0.45">
      <c r="G442"/>
      <c r="H442"/>
      <c r="I442"/>
      <c r="J442"/>
      <c r="K442"/>
      <c r="L442"/>
      <c r="M442"/>
      <c r="N442"/>
    </row>
    <row r="443" spans="7:14" x14ac:dyDescent="0.45">
      <c r="G443"/>
      <c r="H443"/>
      <c r="I443"/>
      <c r="J443"/>
      <c r="K443"/>
      <c r="L443"/>
      <c r="M443"/>
      <c r="N443"/>
    </row>
    <row r="444" spans="7:14" x14ac:dyDescent="0.45">
      <c r="G444"/>
      <c r="H444"/>
      <c r="I444"/>
      <c r="J444"/>
      <c r="K444"/>
      <c r="L444"/>
      <c r="M444"/>
      <c r="N444"/>
    </row>
    <row r="445" spans="7:14" x14ac:dyDescent="0.45">
      <c r="G445"/>
      <c r="H445"/>
      <c r="I445"/>
      <c r="J445"/>
      <c r="K445"/>
      <c r="L445"/>
      <c r="M445"/>
      <c r="N445"/>
    </row>
    <row r="446" spans="7:14" x14ac:dyDescent="0.45">
      <c r="G446"/>
      <c r="H446"/>
      <c r="I446"/>
      <c r="J446"/>
      <c r="K446"/>
      <c r="L446"/>
      <c r="M446"/>
      <c r="N446"/>
    </row>
    <row r="447" spans="7:14" x14ac:dyDescent="0.45">
      <c r="G447"/>
      <c r="H447"/>
      <c r="I447"/>
      <c r="J447"/>
      <c r="K447"/>
      <c r="L447"/>
      <c r="M447"/>
      <c r="N447"/>
    </row>
    <row r="448" spans="7:14" x14ac:dyDescent="0.45">
      <c r="G448"/>
      <c r="H448"/>
      <c r="I448"/>
      <c r="J448"/>
      <c r="K448"/>
      <c r="L448"/>
      <c r="M448"/>
      <c r="N448"/>
    </row>
    <row r="449" spans="7:14" x14ac:dyDescent="0.45">
      <c r="G449"/>
      <c r="H449"/>
      <c r="I449"/>
      <c r="J449"/>
      <c r="K449"/>
      <c r="L449"/>
      <c r="M449"/>
      <c r="N449"/>
    </row>
    <row r="450" spans="7:14" x14ac:dyDescent="0.45">
      <c r="G450"/>
      <c r="H450"/>
      <c r="I450"/>
      <c r="J450"/>
      <c r="K450"/>
      <c r="L450"/>
      <c r="M450"/>
      <c r="N450"/>
    </row>
    <row r="451" spans="7:14" x14ac:dyDescent="0.45">
      <c r="G451"/>
      <c r="H451"/>
      <c r="I451"/>
      <c r="J451"/>
      <c r="K451"/>
      <c r="L451"/>
      <c r="M451"/>
      <c r="N451"/>
    </row>
    <row r="452" spans="7:14" x14ac:dyDescent="0.45">
      <c r="G452"/>
      <c r="H452"/>
      <c r="I452"/>
      <c r="J452"/>
      <c r="K452"/>
      <c r="L452"/>
      <c r="M452"/>
      <c r="N452"/>
    </row>
    <row r="453" spans="7:14" x14ac:dyDescent="0.45">
      <c r="G453"/>
      <c r="H453"/>
      <c r="I453"/>
      <c r="J453"/>
      <c r="K453"/>
      <c r="L453"/>
      <c r="M453"/>
      <c r="N453"/>
    </row>
    <row r="454" spans="7:14" x14ac:dyDescent="0.45">
      <c r="G454"/>
      <c r="H454"/>
      <c r="I454"/>
      <c r="J454"/>
      <c r="K454"/>
      <c r="L454"/>
      <c r="M454"/>
      <c r="N454"/>
    </row>
    <row r="455" spans="7:14" x14ac:dyDescent="0.45">
      <c r="G455"/>
      <c r="H455"/>
      <c r="I455"/>
      <c r="J455"/>
      <c r="K455"/>
      <c r="L455"/>
      <c r="M455"/>
      <c r="N455"/>
    </row>
    <row r="456" spans="7:14" x14ac:dyDescent="0.45">
      <c r="G456"/>
      <c r="H456"/>
      <c r="I456"/>
      <c r="J456"/>
      <c r="K456"/>
      <c r="L456"/>
      <c r="M456"/>
      <c r="N456"/>
    </row>
    <row r="457" spans="7:14" x14ac:dyDescent="0.45">
      <c r="G457"/>
      <c r="H457"/>
      <c r="I457"/>
      <c r="J457"/>
      <c r="K457"/>
      <c r="L457"/>
      <c r="M457"/>
      <c r="N457"/>
    </row>
    <row r="458" spans="7:14" x14ac:dyDescent="0.45">
      <c r="G458"/>
      <c r="H458"/>
      <c r="I458"/>
      <c r="J458"/>
      <c r="K458"/>
      <c r="L458"/>
      <c r="M458"/>
      <c r="N458"/>
    </row>
    <row r="459" spans="7:14" x14ac:dyDescent="0.45">
      <c r="G459"/>
      <c r="H459"/>
      <c r="I459"/>
      <c r="J459"/>
      <c r="K459"/>
      <c r="L459"/>
      <c r="M459"/>
      <c r="N459"/>
    </row>
    <row r="460" spans="7:14" x14ac:dyDescent="0.45">
      <c r="G460"/>
      <c r="H460"/>
      <c r="I460"/>
      <c r="J460"/>
      <c r="K460"/>
      <c r="L460"/>
      <c r="M460"/>
      <c r="N460"/>
    </row>
    <row r="461" spans="7:14" x14ac:dyDescent="0.45">
      <c r="G461"/>
      <c r="H461"/>
      <c r="I461"/>
      <c r="J461"/>
      <c r="K461"/>
      <c r="L461"/>
      <c r="M461"/>
      <c r="N461"/>
    </row>
    <row r="462" spans="7:14" x14ac:dyDescent="0.45">
      <c r="G462"/>
      <c r="H462"/>
      <c r="I462"/>
      <c r="J462"/>
      <c r="K462"/>
      <c r="L462"/>
      <c r="M462"/>
      <c r="N462"/>
    </row>
    <row r="463" spans="7:14" x14ac:dyDescent="0.45">
      <c r="G463"/>
      <c r="H463"/>
      <c r="I463"/>
      <c r="J463"/>
      <c r="K463"/>
      <c r="L463"/>
      <c r="M463"/>
      <c r="N463"/>
    </row>
    <row r="464" spans="7:14" x14ac:dyDescent="0.45">
      <c r="G464"/>
      <c r="H464"/>
      <c r="I464"/>
      <c r="J464"/>
      <c r="K464"/>
      <c r="L464"/>
      <c r="M464"/>
      <c r="N464"/>
    </row>
    <row r="465" spans="7:14" x14ac:dyDescent="0.45">
      <c r="G465"/>
      <c r="H465"/>
      <c r="I465"/>
      <c r="J465"/>
      <c r="K465"/>
      <c r="L465"/>
      <c r="M465"/>
      <c r="N465"/>
    </row>
    <row r="466" spans="7:14" x14ac:dyDescent="0.45">
      <c r="G466"/>
      <c r="H466"/>
      <c r="I466"/>
      <c r="J466"/>
      <c r="K466"/>
      <c r="L466"/>
      <c r="M466"/>
      <c r="N466"/>
    </row>
    <row r="467" spans="7:14" x14ac:dyDescent="0.45">
      <c r="G467"/>
      <c r="H467"/>
      <c r="I467"/>
      <c r="J467"/>
      <c r="K467"/>
      <c r="L467"/>
      <c r="M467"/>
      <c r="N467"/>
    </row>
    <row r="468" spans="7:14" x14ac:dyDescent="0.45">
      <c r="G468"/>
      <c r="H468"/>
      <c r="I468"/>
      <c r="J468"/>
      <c r="K468"/>
      <c r="L468"/>
      <c r="M468"/>
      <c r="N468"/>
    </row>
    <row r="469" spans="7:14" x14ac:dyDescent="0.45">
      <c r="G469"/>
      <c r="H469"/>
      <c r="I469"/>
      <c r="J469"/>
      <c r="K469"/>
      <c r="L469"/>
      <c r="M469"/>
      <c r="N469"/>
    </row>
    <row r="470" spans="7:14" x14ac:dyDescent="0.45">
      <c r="G470"/>
      <c r="H470"/>
      <c r="I470"/>
      <c r="J470"/>
      <c r="K470"/>
      <c r="L470"/>
      <c r="M470"/>
      <c r="N470"/>
    </row>
    <row r="471" spans="7:14" x14ac:dyDescent="0.45">
      <c r="G471"/>
      <c r="H471"/>
      <c r="I471"/>
      <c r="J471"/>
      <c r="K471"/>
      <c r="L471"/>
      <c r="M471"/>
      <c r="N471"/>
    </row>
    <row r="472" spans="7:14" x14ac:dyDescent="0.45">
      <c r="G472"/>
      <c r="H472"/>
      <c r="I472"/>
      <c r="J472"/>
      <c r="K472"/>
      <c r="L472"/>
      <c r="M472"/>
      <c r="N472"/>
    </row>
    <row r="473" spans="7:14" x14ac:dyDescent="0.45">
      <c r="G473"/>
      <c r="H473"/>
      <c r="I473"/>
      <c r="J473"/>
      <c r="K473"/>
      <c r="L473"/>
      <c r="M473"/>
      <c r="N473"/>
    </row>
    <row r="474" spans="7:14" x14ac:dyDescent="0.45">
      <c r="G474"/>
      <c r="H474"/>
      <c r="I474"/>
      <c r="J474"/>
      <c r="K474"/>
      <c r="L474"/>
      <c r="M474"/>
      <c r="N474"/>
    </row>
    <row r="475" spans="7:14" x14ac:dyDescent="0.45">
      <c r="G475"/>
      <c r="H475"/>
      <c r="I475"/>
      <c r="J475"/>
      <c r="K475"/>
      <c r="L475"/>
      <c r="M475"/>
      <c r="N475"/>
    </row>
    <row r="476" spans="7:14" x14ac:dyDescent="0.45">
      <c r="G476"/>
      <c r="H476"/>
      <c r="I476"/>
      <c r="J476"/>
      <c r="K476"/>
      <c r="L476"/>
      <c r="M476"/>
      <c r="N476"/>
    </row>
    <row r="477" spans="7:14" x14ac:dyDescent="0.45">
      <c r="G477"/>
      <c r="H477"/>
      <c r="I477"/>
      <c r="J477"/>
      <c r="K477"/>
      <c r="L477"/>
      <c r="M477"/>
      <c r="N477"/>
    </row>
    <row r="478" spans="7:14" x14ac:dyDescent="0.45">
      <c r="G478"/>
      <c r="H478"/>
      <c r="I478"/>
      <c r="J478"/>
      <c r="K478"/>
      <c r="L478"/>
      <c r="M478"/>
      <c r="N478"/>
    </row>
    <row r="479" spans="7:14" x14ac:dyDescent="0.45">
      <c r="G479"/>
      <c r="H479"/>
      <c r="I479"/>
      <c r="J479"/>
      <c r="K479"/>
      <c r="L479"/>
      <c r="M479"/>
      <c r="N479"/>
    </row>
    <row r="480" spans="7:14" x14ac:dyDescent="0.45">
      <c r="G480"/>
      <c r="H480"/>
      <c r="I480"/>
      <c r="J480"/>
      <c r="K480"/>
      <c r="L480"/>
      <c r="M480"/>
      <c r="N480"/>
    </row>
    <row r="481" spans="7:14" x14ac:dyDescent="0.45">
      <c r="G481"/>
      <c r="H481"/>
      <c r="I481"/>
      <c r="J481"/>
      <c r="K481"/>
      <c r="L481"/>
      <c r="M481"/>
      <c r="N481"/>
    </row>
    <row r="482" spans="7:14" x14ac:dyDescent="0.45">
      <c r="G482"/>
      <c r="H482"/>
      <c r="I482"/>
      <c r="J482"/>
      <c r="K482"/>
      <c r="L482"/>
      <c r="M482"/>
      <c r="N482"/>
    </row>
    <row r="483" spans="7:14" x14ac:dyDescent="0.45">
      <c r="G483"/>
      <c r="H483"/>
      <c r="I483"/>
      <c r="J483"/>
      <c r="K483"/>
      <c r="L483"/>
      <c r="M483"/>
      <c r="N483"/>
    </row>
    <row r="484" spans="7:14" x14ac:dyDescent="0.45">
      <c r="G484"/>
      <c r="H484"/>
      <c r="I484"/>
      <c r="J484"/>
      <c r="K484"/>
      <c r="L484"/>
      <c r="M484"/>
      <c r="N484"/>
    </row>
    <row r="485" spans="7:14" x14ac:dyDescent="0.45">
      <c r="G485"/>
      <c r="H485"/>
      <c r="I485"/>
      <c r="J485"/>
      <c r="K485"/>
      <c r="L485"/>
      <c r="M485"/>
      <c r="N485"/>
    </row>
    <row r="486" spans="7:14" x14ac:dyDescent="0.45">
      <c r="G486"/>
      <c r="H486"/>
      <c r="I486"/>
      <c r="J486"/>
      <c r="K486"/>
      <c r="L486"/>
      <c r="M486"/>
      <c r="N486"/>
    </row>
    <row r="487" spans="7:14" x14ac:dyDescent="0.45">
      <c r="G487"/>
      <c r="H487"/>
      <c r="I487"/>
      <c r="J487"/>
      <c r="K487"/>
      <c r="L487"/>
      <c r="M487"/>
      <c r="N487"/>
    </row>
    <row r="488" spans="7:14" x14ac:dyDescent="0.45">
      <c r="G488"/>
      <c r="H488"/>
      <c r="I488"/>
      <c r="J488"/>
      <c r="K488"/>
      <c r="L488"/>
      <c r="M488"/>
      <c r="N488"/>
    </row>
    <row r="489" spans="7:14" x14ac:dyDescent="0.45">
      <c r="G489"/>
      <c r="H489"/>
      <c r="I489"/>
      <c r="J489"/>
      <c r="K489"/>
      <c r="L489"/>
      <c r="M489"/>
      <c r="N489"/>
    </row>
    <row r="490" spans="7:14" x14ac:dyDescent="0.45">
      <c r="G490"/>
      <c r="H490"/>
      <c r="I490"/>
      <c r="J490"/>
      <c r="K490"/>
      <c r="L490"/>
      <c r="M490"/>
      <c r="N490"/>
    </row>
    <row r="491" spans="7:14" x14ac:dyDescent="0.45">
      <c r="G491"/>
      <c r="H491"/>
      <c r="I491"/>
      <c r="J491"/>
      <c r="K491"/>
      <c r="L491"/>
      <c r="M491"/>
      <c r="N491"/>
    </row>
    <row r="492" spans="7:14" x14ac:dyDescent="0.45">
      <c r="G492"/>
      <c r="H492"/>
      <c r="I492"/>
      <c r="J492"/>
      <c r="K492"/>
      <c r="L492"/>
      <c r="M492"/>
      <c r="N492"/>
    </row>
    <row r="493" spans="7:14" x14ac:dyDescent="0.45">
      <c r="G493"/>
      <c r="H493"/>
      <c r="I493"/>
      <c r="J493"/>
      <c r="K493"/>
      <c r="L493"/>
      <c r="M493"/>
      <c r="N493"/>
    </row>
    <row r="494" spans="7:14" x14ac:dyDescent="0.45">
      <c r="G494"/>
      <c r="H494"/>
      <c r="I494"/>
      <c r="J494"/>
      <c r="K494"/>
      <c r="L494"/>
      <c r="M494"/>
      <c r="N494"/>
    </row>
    <row r="495" spans="7:14" x14ac:dyDescent="0.45">
      <c r="G495"/>
      <c r="H495"/>
      <c r="I495"/>
      <c r="J495"/>
      <c r="K495"/>
      <c r="L495"/>
      <c r="M495"/>
      <c r="N495"/>
    </row>
    <row r="496" spans="7:14" x14ac:dyDescent="0.45">
      <c r="G496"/>
      <c r="H496"/>
      <c r="I496"/>
      <c r="J496"/>
      <c r="K496"/>
      <c r="L496"/>
      <c r="M496"/>
      <c r="N496"/>
    </row>
    <row r="497" spans="7:14" x14ac:dyDescent="0.45">
      <c r="G497"/>
      <c r="H497"/>
      <c r="I497"/>
      <c r="J497"/>
      <c r="K497"/>
      <c r="L497"/>
      <c r="M497"/>
      <c r="N497"/>
    </row>
    <row r="498" spans="7:14" x14ac:dyDescent="0.45">
      <c r="G498"/>
      <c r="H498"/>
      <c r="I498"/>
      <c r="J498"/>
      <c r="K498"/>
      <c r="L498"/>
      <c r="M498"/>
      <c r="N498"/>
    </row>
    <row r="499" spans="7:14" x14ac:dyDescent="0.45">
      <c r="G499"/>
      <c r="H499"/>
      <c r="I499"/>
      <c r="J499"/>
      <c r="K499"/>
      <c r="L499"/>
      <c r="M499"/>
      <c r="N499"/>
    </row>
    <row r="500" spans="7:14" x14ac:dyDescent="0.45">
      <c r="G500"/>
      <c r="H500"/>
      <c r="I500"/>
      <c r="J500"/>
      <c r="K500"/>
      <c r="L500"/>
      <c r="M500"/>
      <c r="N500"/>
    </row>
    <row r="501" spans="7:14" x14ac:dyDescent="0.45">
      <c r="G501"/>
      <c r="H501"/>
      <c r="I501"/>
      <c r="J501"/>
      <c r="K501"/>
      <c r="L501"/>
      <c r="M501"/>
      <c r="N501"/>
    </row>
    <row r="502" spans="7:14" x14ac:dyDescent="0.45">
      <c r="G502"/>
      <c r="H502"/>
      <c r="I502"/>
      <c r="J502"/>
      <c r="K502"/>
      <c r="L502"/>
      <c r="M502"/>
      <c r="N502"/>
    </row>
    <row r="503" spans="7:14" x14ac:dyDescent="0.45">
      <c r="G503"/>
      <c r="H503"/>
      <c r="I503"/>
      <c r="J503"/>
      <c r="K503"/>
      <c r="L503"/>
      <c r="M503"/>
      <c r="N503"/>
    </row>
    <row r="504" spans="7:14" x14ac:dyDescent="0.45">
      <c r="G504"/>
      <c r="H504"/>
      <c r="I504"/>
      <c r="J504"/>
      <c r="K504"/>
      <c r="L504"/>
      <c r="M504"/>
      <c r="N504"/>
    </row>
    <row r="505" spans="7:14" x14ac:dyDescent="0.45">
      <c r="G505"/>
      <c r="H505"/>
      <c r="I505"/>
      <c r="J505"/>
      <c r="K505"/>
      <c r="L505"/>
      <c r="M505"/>
      <c r="N505"/>
    </row>
    <row r="506" spans="7:14" x14ac:dyDescent="0.45">
      <c r="G506"/>
      <c r="H506"/>
      <c r="I506"/>
      <c r="J506"/>
      <c r="K506"/>
      <c r="L506"/>
      <c r="M506"/>
      <c r="N506"/>
    </row>
    <row r="507" spans="7:14" x14ac:dyDescent="0.45">
      <c r="G507"/>
      <c r="H507"/>
      <c r="I507"/>
      <c r="J507"/>
      <c r="K507"/>
      <c r="L507"/>
      <c r="M507"/>
      <c r="N507"/>
    </row>
    <row r="508" spans="7:14" x14ac:dyDescent="0.45">
      <c r="G508"/>
      <c r="H508"/>
      <c r="I508"/>
      <c r="J508"/>
      <c r="K508"/>
      <c r="L508"/>
      <c r="M508"/>
      <c r="N508"/>
    </row>
    <row r="509" spans="7:14" x14ac:dyDescent="0.45">
      <c r="G509"/>
      <c r="H509"/>
      <c r="I509"/>
      <c r="J509"/>
      <c r="K509"/>
      <c r="L509"/>
      <c r="M509"/>
      <c r="N509"/>
    </row>
    <row r="510" spans="7:14" x14ac:dyDescent="0.45">
      <c r="G510"/>
      <c r="H510"/>
      <c r="I510"/>
      <c r="J510"/>
      <c r="K510"/>
      <c r="L510"/>
      <c r="M510"/>
      <c r="N510"/>
    </row>
    <row r="511" spans="7:14" x14ac:dyDescent="0.45">
      <c r="G511"/>
      <c r="H511"/>
      <c r="I511"/>
      <c r="J511"/>
      <c r="K511"/>
      <c r="L511"/>
      <c r="M511"/>
      <c r="N511"/>
    </row>
    <row r="512" spans="7:14" x14ac:dyDescent="0.45">
      <c r="G512"/>
      <c r="H512"/>
      <c r="I512"/>
      <c r="J512"/>
      <c r="K512"/>
      <c r="L512"/>
      <c r="M512"/>
      <c r="N512"/>
    </row>
    <row r="513" spans="7:14" x14ac:dyDescent="0.45">
      <c r="G513"/>
      <c r="H513"/>
      <c r="I513"/>
      <c r="J513"/>
      <c r="K513"/>
      <c r="L513"/>
      <c r="M513"/>
      <c r="N513"/>
    </row>
    <row r="514" spans="7:14" x14ac:dyDescent="0.45">
      <c r="G514"/>
      <c r="H514"/>
      <c r="I514"/>
      <c r="J514"/>
      <c r="K514"/>
      <c r="L514"/>
      <c r="M514"/>
      <c r="N514"/>
    </row>
    <row r="515" spans="7:14" x14ac:dyDescent="0.45">
      <c r="G515"/>
      <c r="H515"/>
      <c r="I515"/>
      <c r="J515"/>
      <c r="K515"/>
      <c r="L515"/>
      <c r="M515"/>
      <c r="N515"/>
    </row>
    <row r="516" spans="7:14" x14ac:dyDescent="0.45">
      <c r="G516"/>
      <c r="H516"/>
      <c r="I516"/>
      <c r="J516"/>
      <c r="K516"/>
      <c r="L516"/>
      <c r="M516"/>
      <c r="N516"/>
    </row>
    <row r="517" spans="7:14" x14ac:dyDescent="0.45">
      <c r="G517"/>
      <c r="H517"/>
      <c r="I517"/>
      <c r="J517"/>
      <c r="K517"/>
      <c r="L517"/>
      <c r="M517"/>
      <c r="N517"/>
    </row>
    <row r="518" spans="7:14" x14ac:dyDescent="0.45">
      <c r="G518"/>
      <c r="H518"/>
      <c r="I518"/>
      <c r="J518"/>
      <c r="K518"/>
      <c r="L518"/>
      <c r="M518"/>
      <c r="N518"/>
    </row>
    <row r="519" spans="7:14" x14ac:dyDescent="0.45">
      <c r="G519"/>
      <c r="H519"/>
      <c r="I519"/>
      <c r="J519"/>
      <c r="K519"/>
      <c r="L519"/>
      <c r="M519"/>
      <c r="N519"/>
    </row>
    <row r="520" spans="7:14" x14ac:dyDescent="0.45">
      <c r="G520"/>
      <c r="H520"/>
      <c r="I520"/>
      <c r="J520"/>
      <c r="K520"/>
      <c r="L520"/>
      <c r="M520"/>
      <c r="N520"/>
    </row>
    <row r="521" spans="7:14" x14ac:dyDescent="0.45">
      <c r="G521"/>
      <c r="H521"/>
      <c r="I521"/>
      <c r="J521"/>
      <c r="K521"/>
      <c r="L521"/>
      <c r="M521"/>
      <c r="N521"/>
    </row>
    <row r="522" spans="7:14" x14ac:dyDescent="0.45">
      <c r="G522"/>
      <c r="H522"/>
      <c r="I522"/>
      <c r="J522"/>
      <c r="K522"/>
      <c r="L522"/>
      <c r="M522"/>
      <c r="N522"/>
    </row>
    <row r="523" spans="7:14" x14ac:dyDescent="0.45">
      <c r="G523"/>
      <c r="H523"/>
      <c r="I523"/>
      <c r="J523"/>
      <c r="K523"/>
      <c r="L523"/>
      <c r="M523"/>
      <c r="N523"/>
    </row>
    <row r="524" spans="7:14" x14ac:dyDescent="0.45">
      <c r="G524"/>
      <c r="H524"/>
      <c r="I524"/>
      <c r="J524"/>
      <c r="K524"/>
      <c r="L524"/>
      <c r="M524"/>
      <c r="N524"/>
    </row>
    <row r="525" spans="7:14" x14ac:dyDescent="0.45">
      <c r="G525"/>
      <c r="H525"/>
      <c r="I525"/>
      <c r="J525"/>
      <c r="K525"/>
      <c r="L525"/>
      <c r="M525"/>
      <c r="N525"/>
    </row>
    <row r="526" spans="7:14" x14ac:dyDescent="0.45">
      <c r="G526"/>
      <c r="H526"/>
      <c r="I526"/>
      <c r="J526"/>
      <c r="K526"/>
      <c r="L526"/>
      <c r="M526"/>
      <c r="N526"/>
    </row>
    <row r="527" spans="7:14" x14ac:dyDescent="0.45">
      <c r="G527"/>
      <c r="H527"/>
      <c r="I527"/>
      <c r="J527"/>
      <c r="K527"/>
      <c r="L527"/>
      <c r="M527"/>
      <c r="N527"/>
    </row>
    <row r="528" spans="7:14" x14ac:dyDescent="0.45">
      <c r="G528"/>
      <c r="H528"/>
      <c r="I528"/>
      <c r="J528"/>
      <c r="K528"/>
      <c r="L528"/>
      <c r="M528"/>
      <c r="N528"/>
    </row>
    <row r="529" spans="7:14" x14ac:dyDescent="0.45">
      <c r="G529"/>
      <c r="H529"/>
      <c r="I529"/>
      <c r="J529"/>
      <c r="K529"/>
      <c r="L529"/>
      <c r="M529"/>
      <c r="N529"/>
    </row>
    <row r="530" spans="7:14" x14ac:dyDescent="0.45">
      <c r="G530"/>
      <c r="H530"/>
      <c r="I530"/>
      <c r="J530"/>
      <c r="K530"/>
      <c r="L530"/>
      <c r="M530"/>
      <c r="N530"/>
    </row>
    <row r="531" spans="7:14" x14ac:dyDescent="0.45">
      <c r="G531"/>
      <c r="H531"/>
      <c r="I531"/>
      <c r="J531"/>
      <c r="K531"/>
      <c r="L531"/>
      <c r="M531"/>
      <c r="N531"/>
    </row>
    <row r="532" spans="7:14" x14ac:dyDescent="0.45">
      <c r="G532"/>
      <c r="H532"/>
      <c r="I532"/>
      <c r="J532"/>
      <c r="K532"/>
      <c r="L532"/>
      <c r="M532"/>
      <c r="N532"/>
    </row>
    <row r="533" spans="7:14" x14ac:dyDescent="0.45">
      <c r="G533"/>
      <c r="H533"/>
      <c r="I533"/>
      <c r="J533"/>
      <c r="K533"/>
      <c r="L533"/>
      <c r="M533"/>
      <c r="N533"/>
    </row>
    <row r="534" spans="7:14" x14ac:dyDescent="0.45">
      <c r="G534"/>
      <c r="H534"/>
      <c r="I534"/>
      <c r="J534"/>
      <c r="K534"/>
      <c r="L534"/>
      <c r="M534"/>
      <c r="N534"/>
    </row>
    <row r="535" spans="7:14" x14ac:dyDescent="0.45">
      <c r="G535"/>
      <c r="H535"/>
      <c r="I535"/>
      <c r="J535"/>
      <c r="K535"/>
      <c r="L535"/>
      <c r="M535"/>
      <c r="N535"/>
    </row>
    <row r="536" spans="7:14" x14ac:dyDescent="0.45">
      <c r="G536"/>
      <c r="H536"/>
      <c r="I536"/>
      <c r="J536"/>
      <c r="K536"/>
      <c r="L536"/>
      <c r="M536"/>
      <c r="N536"/>
    </row>
    <row r="537" spans="7:14" x14ac:dyDescent="0.45">
      <c r="G537"/>
      <c r="H537"/>
      <c r="I537"/>
      <c r="J537"/>
      <c r="K537"/>
      <c r="L537"/>
      <c r="M537"/>
      <c r="N537"/>
    </row>
    <row r="538" spans="7:14" x14ac:dyDescent="0.45">
      <c r="G538"/>
      <c r="H538"/>
      <c r="I538"/>
      <c r="J538"/>
      <c r="K538"/>
      <c r="L538"/>
      <c r="M538"/>
      <c r="N538"/>
    </row>
    <row r="539" spans="7:14" x14ac:dyDescent="0.45">
      <c r="G539"/>
      <c r="H539"/>
      <c r="I539"/>
      <c r="J539"/>
      <c r="K539"/>
      <c r="L539"/>
      <c r="M539"/>
      <c r="N539"/>
    </row>
    <row r="540" spans="7:14" x14ac:dyDescent="0.45">
      <c r="G540"/>
      <c r="H540"/>
      <c r="I540"/>
      <c r="J540"/>
      <c r="K540"/>
      <c r="L540"/>
      <c r="M540"/>
      <c r="N540"/>
    </row>
    <row r="541" spans="7:14" x14ac:dyDescent="0.45">
      <c r="G541"/>
      <c r="H541"/>
      <c r="I541"/>
      <c r="J541"/>
      <c r="K541"/>
      <c r="L541"/>
      <c r="M541"/>
      <c r="N541"/>
    </row>
    <row r="542" spans="7:14" x14ac:dyDescent="0.45">
      <c r="G542"/>
      <c r="H542"/>
      <c r="I542"/>
      <c r="J542"/>
      <c r="K542"/>
      <c r="L542"/>
      <c r="M542"/>
      <c r="N542"/>
    </row>
    <row r="543" spans="7:14" x14ac:dyDescent="0.45">
      <c r="G543"/>
      <c r="H543"/>
      <c r="I543"/>
      <c r="J543"/>
      <c r="K543"/>
      <c r="L543"/>
      <c r="M543"/>
      <c r="N543"/>
    </row>
    <row r="544" spans="7:14" x14ac:dyDescent="0.45">
      <c r="G544"/>
      <c r="H544"/>
      <c r="I544"/>
      <c r="J544"/>
      <c r="K544"/>
      <c r="L544"/>
      <c r="M544"/>
      <c r="N544"/>
    </row>
    <row r="545" spans="7:14" x14ac:dyDescent="0.45">
      <c r="G545"/>
      <c r="H545"/>
      <c r="I545"/>
      <c r="J545"/>
      <c r="K545"/>
      <c r="L545"/>
      <c r="M545"/>
      <c r="N545"/>
    </row>
    <row r="546" spans="7:14" x14ac:dyDescent="0.45">
      <c r="G546"/>
      <c r="H546"/>
      <c r="I546"/>
      <c r="J546"/>
      <c r="K546"/>
      <c r="L546"/>
      <c r="M546"/>
      <c r="N546"/>
    </row>
    <row r="547" spans="7:14" x14ac:dyDescent="0.45">
      <c r="G547"/>
      <c r="H547"/>
      <c r="I547"/>
      <c r="J547"/>
      <c r="K547"/>
      <c r="L547"/>
      <c r="M547"/>
      <c r="N547"/>
    </row>
    <row r="548" spans="7:14" x14ac:dyDescent="0.45">
      <c r="G548"/>
      <c r="H548"/>
      <c r="I548"/>
      <c r="J548"/>
      <c r="K548"/>
      <c r="L548"/>
      <c r="M548"/>
      <c r="N548"/>
    </row>
    <row r="549" spans="7:14" x14ac:dyDescent="0.45">
      <c r="G549"/>
      <c r="H549"/>
      <c r="I549"/>
      <c r="J549"/>
      <c r="K549"/>
      <c r="L549"/>
      <c r="M549"/>
      <c r="N549"/>
    </row>
    <row r="550" spans="7:14" x14ac:dyDescent="0.45">
      <c r="G550"/>
      <c r="H550"/>
      <c r="I550"/>
      <c r="J550"/>
      <c r="K550"/>
      <c r="L550"/>
      <c r="M550"/>
      <c r="N550"/>
    </row>
    <row r="551" spans="7:14" x14ac:dyDescent="0.45">
      <c r="G551"/>
      <c r="H551"/>
      <c r="I551"/>
      <c r="J551"/>
      <c r="K551"/>
      <c r="L551"/>
      <c r="M551"/>
      <c r="N551"/>
    </row>
    <row r="552" spans="7:14" x14ac:dyDescent="0.45">
      <c r="G552"/>
      <c r="H552"/>
      <c r="I552"/>
      <c r="J552"/>
      <c r="K552"/>
      <c r="L552"/>
      <c r="M552"/>
      <c r="N552"/>
    </row>
    <row r="553" spans="7:14" x14ac:dyDescent="0.45">
      <c r="G553"/>
      <c r="H553"/>
      <c r="I553"/>
      <c r="J553"/>
      <c r="K553"/>
      <c r="L553"/>
      <c r="M553"/>
      <c r="N553"/>
    </row>
    <row r="554" spans="7:14" x14ac:dyDescent="0.45">
      <c r="G554"/>
      <c r="H554"/>
      <c r="I554"/>
      <c r="J554"/>
      <c r="K554"/>
      <c r="L554"/>
      <c r="M554"/>
      <c r="N554"/>
    </row>
    <row r="555" spans="7:14" x14ac:dyDescent="0.45">
      <c r="G555"/>
      <c r="H555"/>
      <c r="I555"/>
      <c r="J555"/>
      <c r="K555"/>
      <c r="L555"/>
      <c r="M555"/>
      <c r="N555"/>
    </row>
    <row r="556" spans="7:14" x14ac:dyDescent="0.45">
      <c r="G556"/>
      <c r="H556"/>
      <c r="I556"/>
      <c r="J556"/>
      <c r="K556"/>
      <c r="L556"/>
      <c r="M556"/>
      <c r="N556"/>
    </row>
    <row r="557" spans="7:14" x14ac:dyDescent="0.45">
      <c r="G557"/>
      <c r="H557"/>
      <c r="I557"/>
      <c r="J557"/>
      <c r="K557"/>
      <c r="L557"/>
      <c r="M557"/>
      <c r="N557"/>
    </row>
    <row r="558" spans="7:14" x14ac:dyDescent="0.45">
      <c r="G558"/>
      <c r="H558"/>
      <c r="I558"/>
      <c r="J558"/>
      <c r="K558"/>
      <c r="L558"/>
      <c r="M558"/>
      <c r="N558"/>
    </row>
    <row r="559" spans="7:14" x14ac:dyDescent="0.45">
      <c r="G559"/>
      <c r="H559"/>
      <c r="I559"/>
      <c r="J559"/>
      <c r="K559"/>
      <c r="L559"/>
      <c r="M559"/>
      <c r="N559"/>
    </row>
    <row r="560" spans="7:14" x14ac:dyDescent="0.45">
      <c r="G560"/>
      <c r="H560"/>
      <c r="I560"/>
      <c r="J560"/>
      <c r="K560"/>
      <c r="L560"/>
      <c r="M560"/>
      <c r="N560"/>
    </row>
    <row r="561" spans="7:14" x14ac:dyDescent="0.45">
      <c r="G561"/>
      <c r="H561"/>
      <c r="I561"/>
      <c r="J561"/>
      <c r="K561"/>
      <c r="L561"/>
      <c r="M561"/>
      <c r="N561"/>
    </row>
    <row r="562" spans="7:14" x14ac:dyDescent="0.45">
      <c r="G562"/>
      <c r="H562"/>
      <c r="I562"/>
      <c r="J562"/>
      <c r="K562"/>
      <c r="L562"/>
      <c r="M562"/>
      <c r="N562"/>
    </row>
    <row r="563" spans="7:14" x14ac:dyDescent="0.45">
      <c r="G563"/>
      <c r="H563"/>
      <c r="I563"/>
      <c r="J563"/>
      <c r="K563"/>
      <c r="L563"/>
      <c r="M563"/>
      <c r="N563"/>
    </row>
    <row r="564" spans="7:14" x14ac:dyDescent="0.45">
      <c r="G564"/>
      <c r="H564"/>
      <c r="I564"/>
      <c r="J564"/>
      <c r="K564"/>
      <c r="L564"/>
      <c r="M564"/>
      <c r="N564"/>
    </row>
    <row r="565" spans="7:14" x14ac:dyDescent="0.45">
      <c r="G565"/>
      <c r="H565"/>
      <c r="I565"/>
      <c r="J565"/>
      <c r="K565"/>
      <c r="L565"/>
      <c r="M565"/>
      <c r="N565"/>
    </row>
    <row r="566" spans="7:14" x14ac:dyDescent="0.45">
      <c r="G566"/>
      <c r="H566"/>
      <c r="I566"/>
      <c r="J566"/>
      <c r="K566"/>
      <c r="L566"/>
      <c r="M566"/>
      <c r="N566"/>
    </row>
    <row r="567" spans="7:14" x14ac:dyDescent="0.45">
      <c r="G567"/>
      <c r="H567"/>
      <c r="I567"/>
      <c r="J567"/>
      <c r="K567"/>
      <c r="L567"/>
      <c r="M567"/>
      <c r="N567"/>
    </row>
    <row r="568" spans="7:14" x14ac:dyDescent="0.45">
      <c r="G568"/>
      <c r="H568"/>
      <c r="I568"/>
      <c r="J568"/>
      <c r="K568"/>
      <c r="L568"/>
      <c r="M568"/>
      <c r="N568"/>
    </row>
    <row r="569" spans="7:14" x14ac:dyDescent="0.45">
      <c r="G569"/>
      <c r="H569"/>
      <c r="I569"/>
      <c r="J569"/>
      <c r="K569"/>
      <c r="L569"/>
      <c r="M569"/>
      <c r="N569"/>
    </row>
    <row r="570" spans="7:14" x14ac:dyDescent="0.45">
      <c r="G570"/>
      <c r="H570"/>
      <c r="I570"/>
      <c r="J570"/>
      <c r="K570"/>
      <c r="L570"/>
      <c r="M570"/>
      <c r="N570"/>
    </row>
    <row r="571" spans="7:14" x14ac:dyDescent="0.45">
      <c r="G571"/>
      <c r="H571"/>
      <c r="I571"/>
      <c r="J571"/>
      <c r="K571"/>
      <c r="L571"/>
      <c r="M571"/>
      <c r="N571"/>
    </row>
    <row r="572" spans="7:14" x14ac:dyDescent="0.45">
      <c r="G572"/>
      <c r="H572"/>
      <c r="I572"/>
      <c r="J572"/>
      <c r="K572"/>
      <c r="L572"/>
      <c r="M572"/>
      <c r="N572"/>
    </row>
    <row r="573" spans="7:14" x14ac:dyDescent="0.45">
      <c r="G573"/>
      <c r="H573"/>
      <c r="I573"/>
      <c r="J573"/>
      <c r="K573"/>
      <c r="L573"/>
      <c r="M573"/>
      <c r="N573"/>
    </row>
    <row r="574" spans="7:14" x14ac:dyDescent="0.45">
      <c r="G574"/>
      <c r="H574"/>
      <c r="I574"/>
      <c r="J574"/>
      <c r="K574"/>
      <c r="L574"/>
      <c r="M574"/>
      <c r="N574"/>
    </row>
    <row r="575" spans="7:14" x14ac:dyDescent="0.45">
      <c r="G575"/>
      <c r="H575"/>
      <c r="I575"/>
      <c r="J575"/>
      <c r="K575"/>
      <c r="L575"/>
      <c r="M575"/>
      <c r="N575"/>
    </row>
    <row r="576" spans="7:14" x14ac:dyDescent="0.45">
      <c r="G576"/>
      <c r="H576"/>
      <c r="I576"/>
      <c r="J576"/>
      <c r="K576"/>
      <c r="L576"/>
      <c r="M576"/>
      <c r="N576"/>
    </row>
    <row r="577" spans="7:14" x14ac:dyDescent="0.45">
      <c r="G577"/>
      <c r="H577"/>
      <c r="I577"/>
      <c r="J577"/>
      <c r="K577"/>
      <c r="L577"/>
      <c r="M577"/>
      <c r="N577"/>
    </row>
    <row r="578" spans="7:14" x14ac:dyDescent="0.45">
      <c r="G578"/>
      <c r="H578"/>
      <c r="I578"/>
      <c r="J578"/>
      <c r="K578"/>
      <c r="L578"/>
      <c r="M578"/>
      <c r="N578"/>
    </row>
    <row r="579" spans="7:14" x14ac:dyDescent="0.45">
      <c r="G579"/>
      <c r="H579"/>
      <c r="I579"/>
      <c r="J579"/>
      <c r="K579"/>
      <c r="L579"/>
      <c r="M579"/>
      <c r="N579"/>
    </row>
    <row r="580" spans="7:14" x14ac:dyDescent="0.45">
      <c r="G580"/>
      <c r="H580"/>
      <c r="I580"/>
      <c r="J580"/>
      <c r="K580"/>
      <c r="L580"/>
      <c r="M580"/>
      <c r="N580"/>
    </row>
    <row r="581" spans="7:14" x14ac:dyDescent="0.45">
      <c r="G581"/>
      <c r="H581"/>
      <c r="I581"/>
      <c r="J581"/>
      <c r="K581"/>
      <c r="L581"/>
      <c r="M581"/>
      <c r="N581"/>
    </row>
    <row r="582" spans="7:14" x14ac:dyDescent="0.45">
      <c r="G582"/>
      <c r="H582"/>
      <c r="I582"/>
      <c r="J582"/>
      <c r="K582"/>
      <c r="L582"/>
      <c r="M582"/>
      <c r="N582"/>
    </row>
    <row r="583" spans="7:14" x14ac:dyDescent="0.45">
      <c r="G583"/>
      <c r="H583"/>
      <c r="I583"/>
      <c r="J583"/>
      <c r="K583"/>
      <c r="L583"/>
      <c r="M583"/>
      <c r="N583"/>
    </row>
    <row r="584" spans="7:14" x14ac:dyDescent="0.45">
      <c r="G584"/>
      <c r="H584"/>
      <c r="I584"/>
      <c r="J584"/>
      <c r="K584"/>
      <c r="L584"/>
      <c r="M584"/>
      <c r="N584"/>
    </row>
    <row r="585" spans="7:14" x14ac:dyDescent="0.45">
      <c r="G585"/>
      <c r="H585"/>
      <c r="I585"/>
      <c r="J585"/>
      <c r="K585"/>
      <c r="L585"/>
      <c r="M585"/>
      <c r="N585"/>
    </row>
    <row r="586" spans="7:14" x14ac:dyDescent="0.45">
      <c r="G586"/>
      <c r="H586"/>
      <c r="I586"/>
      <c r="J586"/>
      <c r="K586"/>
      <c r="L586"/>
      <c r="M586"/>
      <c r="N586"/>
    </row>
    <row r="587" spans="7:14" x14ac:dyDescent="0.45">
      <c r="G587"/>
      <c r="H587"/>
      <c r="I587"/>
      <c r="J587"/>
      <c r="K587"/>
      <c r="L587"/>
      <c r="M587"/>
      <c r="N587"/>
    </row>
    <row r="588" spans="7:14" x14ac:dyDescent="0.45">
      <c r="G588"/>
      <c r="H588"/>
      <c r="I588"/>
      <c r="J588"/>
      <c r="K588"/>
      <c r="L588"/>
      <c r="M588"/>
      <c r="N588"/>
    </row>
    <row r="589" spans="7:14" x14ac:dyDescent="0.45">
      <c r="G589"/>
      <c r="H589"/>
      <c r="I589"/>
      <c r="J589"/>
      <c r="K589"/>
      <c r="L589"/>
      <c r="M589"/>
      <c r="N589"/>
    </row>
    <row r="590" spans="7:14" x14ac:dyDescent="0.45">
      <c r="G590"/>
      <c r="H590"/>
      <c r="I590"/>
      <c r="J590"/>
      <c r="K590"/>
      <c r="L590"/>
      <c r="M590"/>
      <c r="N590"/>
    </row>
    <row r="591" spans="7:14" x14ac:dyDescent="0.45">
      <c r="G591"/>
      <c r="H591"/>
      <c r="I591"/>
      <c r="J591"/>
      <c r="K591"/>
      <c r="L591"/>
      <c r="M591"/>
      <c r="N591"/>
    </row>
    <row r="592" spans="7:14" x14ac:dyDescent="0.45">
      <c r="G592"/>
      <c r="H592"/>
      <c r="I592"/>
      <c r="J592"/>
      <c r="K592"/>
      <c r="L592"/>
      <c r="M592"/>
      <c r="N592"/>
    </row>
    <row r="593" spans="7:14" x14ac:dyDescent="0.45">
      <c r="G593"/>
      <c r="H593"/>
      <c r="I593"/>
      <c r="J593"/>
      <c r="K593"/>
      <c r="L593"/>
      <c r="M593"/>
      <c r="N593"/>
    </row>
    <row r="594" spans="7:14" x14ac:dyDescent="0.45">
      <c r="G594"/>
      <c r="H594"/>
      <c r="I594"/>
      <c r="J594"/>
      <c r="K594"/>
      <c r="L594"/>
      <c r="M594"/>
      <c r="N594"/>
    </row>
    <row r="595" spans="7:14" x14ac:dyDescent="0.45">
      <c r="G595"/>
      <c r="H595"/>
      <c r="I595"/>
      <c r="J595"/>
      <c r="K595"/>
      <c r="L595"/>
      <c r="M595"/>
      <c r="N595"/>
    </row>
    <row r="596" spans="7:14" x14ac:dyDescent="0.45">
      <c r="G596"/>
      <c r="H596"/>
      <c r="I596"/>
      <c r="J596"/>
      <c r="K596"/>
      <c r="L596"/>
      <c r="M596"/>
      <c r="N596"/>
    </row>
    <row r="597" spans="7:14" x14ac:dyDescent="0.45">
      <c r="G597"/>
      <c r="H597"/>
      <c r="I597"/>
      <c r="J597"/>
      <c r="K597"/>
      <c r="L597"/>
      <c r="M597"/>
      <c r="N597"/>
    </row>
    <row r="598" spans="7:14" x14ac:dyDescent="0.45">
      <c r="G598"/>
      <c r="H598"/>
      <c r="I598"/>
      <c r="J598"/>
      <c r="K598"/>
      <c r="L598"/>
      <c r="M598"/>
      <c r="N598"/>
    </row>
    <row r="599" spans="7:14" x14ac:dyDescent="0.45">
      <c r="G599"/>
      <c r="H599"/>
      <c r="I599"/>
      <c r="J599"/>
      <c r="K599"/>
      <c r="L599"/>
      <c r="M599"/>
      <c r="N599"/>
    </row>
    <row r="600" spans="7:14" x14ac:dyDescent="0.45">
      <c r="G600"/>
      <c r="H600"/>
      <c r="I600"/>
      <c r="J600"/>
      <c r="K600"/>
      <c r="L600"/>
      <c r="M600"/>
      <c r="N600"/>
    </row>
    <row r="601" spans="7:14" x14ac:dyDescent="0.45">
      <c r="G601"/>
      <c r="H601"/>
      <c r="I601"/>
      <c r="J601"/>
      <c r="K601"/>
      <c r="L601"/>
      <c r="M601"/>
      <c r="N601"/>
    </row>
  </sheetData>
  <sortState ref="A2:N232">
    <sortCondition ref="B2:B2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19"/>
  <sheetViews>
    <sheetView tabSelected="1" zoomScale="68" zoomScaleNormal="100" workbookViewId="0">
      <pane ySplit="1" topLeftCell="A479" activePane="bottomLeft" state="frozen"/>
      <selection pane="bottomLeft" activeCell="H486" sqref="H486"/>
    </sheetView>
  </sheetViews>
  <sheetFormatPr defaultColWidth="8.73046875" defaultRowHeight="14.25" x14ac:dyDescent="0.45"/>
  <cols>
    <col min="1" max="1" width="17.59765625" style="12" customWidth="1"/>
    <col min="2" max="2" width="15.33203125" style="12" customWidth="1"/>
    <col min="3" max="3" width="10.73046875" style="12" customWidth="1"/>
    <col min="4" max="4" width="5.06640625" style="12" customWidth="1"/>
    <col min="5" max="5" width="10.06640625" style="12" customWidth="1"/>
    <col min="6" max="9" width="17.33203125" style="12" customWidth="1"/>
    <col min="10" max="10" width="52.46484375" style="12" customWidth="1"/>
    <col min="11" max="11" width="67.796875" style="43" customWidth="1"/>
    <col min="12" max="16384" width="8.73046875" style="12"/>
  </cols>
  <sheetData>
    <row r="1" spans="1:11" s="26" customFormat="1" ht="28.5" x14ac:dyDescent="0.45">
      <c r="A1" s="26" t="s">
        <v>10</v>
      </c>
      <c r="B1" s="26" t="s">
        <v>12</v>
      </c>
      <c r="C1" s="26" t="s">
        <v>1062</v>
      </c>
      <c r="D1" s="26" t="s">
        <v>1905</v>
      </c>
      <c r="E1" s="26" t="s">
        <v>1904</v>
      </c>
      <c r="F1" s="26" t="s">
        <v>3307</v>
      </c>
      <c r="G1" s="26" t="s">
        <v>3596</v>
      </c>
      <c r="H1" s="26" t="s">
        <v>3594</v>
      </c>
      <c r="I1" s="26" t="s">
        <v>3595</v>
      </c>
      <c r="J1" s="26" t="s">
        <v>1906</v>
      </c>
      <c r="K1" s="42" t="s">
        <v>1907</v>
      </c>
    </row>
    <row r="2" spans="1:11" ht="42.75" x14ac:dyDescent="0.45">
      <c r="A2" s="53" t="s">
        <v>3725</v>
      </c>
      <c r="B2" s="54" t="s">
        <v>3726</v>
      </c>
      <c r="C2" t="s">
        <v>1834</v>
      </c>
      <c r="D2" s="12">
        <v>1</v>
      </c>
      <c r="E2" s="12" t="str">
        <f>CONCATENATE("E",C2)</f>
        <v>E1_1_1_1</v>
      </c>
      <c r="F2" t="s">
        <v>3028</v>
      </c>
      <c r="G2" t="s">
        <v>1451</v>
      </c>
      <c r="H2" t="s">
        <v>3310</v>
      </c>
      <c r="I2" t="s">
        <v>1452</v>
      </c>
      <c r="J2" s="12" t="str">
        <f>CONCATENATE("(${Variables:",E2,"_kcat","} * ",E2," * ",G2,")","/(${Variables:",E2,"_km","} + (",E2," * ",G2,"))")</f>
        <v>(${Variables:E1_1_1_1_kcat} * E1_1_1_1 * C00226 * C00003)/(${Variables:E1_1_1_1_km} + (E1_1_1_1 * C00226 * C00003))</v>
      </c>
      <c r="K2" s="43" t="str">
        <f>CONCATENATE("r",D2,": ",F2," -&gt; ",H2," | ",J2)</f>
        <v>r1: C00226 + C00003 -&gt; C00071 + C00004 + C00080 | (${Variables:E1_1_1_1_kcat} * E1_1_1_1 * C00226 * C00003)/(${Variables:E1_1_1_1_km} + (E1_1_1_1 * C00226 * C00003))</v>
      </c>
    </row>
    <row r="3" spans="1:11" ht="42.75" x14ac:dyDescent="0.45">
      <c r="A3" s="53" t="s">
        <v>3725</v>
      </c>
      <c r="B3" s="54" t="s">
        <v>3726</v>
      </c>
      <c r="C3" t="s">
        <v>1834</v>
      </c>
      <c r="D3" s="12">
        <v>2</v>
      </c>
      <c r="E3" s="12" t="str">
        <f>CONCATENATE("E",C3)</f>
        <v>E1_1_1_1</v>
      </c>
      <c r="F3" t="s">
        <v>3030</v>
      </c>
      <c r="G3" t="s">
        <v>1515</v>
      </c>
      <c r="H3" t="s">
        <v>3312</v>
      </c>
      <c r="I3" t="s">
        <v>1516</v>
      </c>
      <c r="J3" s="12" t="str">
        <f>CONCATENATE("(${Variables:",E3,"_kcat","} * ",E3," * ",G3,")","/(${Variables:",E3,"_km","} + (",E3," * ",G3,"))")</f>
        <v>(${Variables:E1_1_1_1_kcat} * E1_1_1_1 * C00469 * C00003)/(${Variables:E1_1_1_1_km} + (E1_1_1_1 * C00469 * C00003))</v>
      </c>
      <c r="K3" s="43" t="str">
        <f>CONCATENATE("r",D3,": ",F3," -&gt; ",H3," | ",J3)</f>
        <v>r2: C00469 + C00003 -&gt; C00084 + C00004 + C00080 | (${Variables:E1_1_1_1_kcat} * E1_1_1_1 * C00469 * C00003)/(${Variables:E1_1_1_1_km} + (E1_1_1_1 * C00469 * C00003))</v>
      </c>
    </row>
    <row r="4" spans="1:11" ht="42.75" x14ac:dyDescent="0.45">
      <c r="A4" s="53" t="s">
        <v>3725</v>
      </c>
      <c r="B4" s="54" t="s">
        <v>3726</v>
      </c>
      <c r="C4" t="s">
        <v>1834</v>
      </c>
      <c r="D4" s="12">
        <v>3</v>
      </c>
      <c r="E4" s="12" t="str">
        <f>CONCATENATE("E",C4)</f>
        <v>E1_1_1_1</v>
      </c>
      <c r="F4" t="s">
        <v>3031</v>
      </c>
      <c r="G4" t="s">
        <v>1517</v>
      </c>
      <c r="H4" t="s">
        <v>3313</v>
      </c>
      <c r="I4" t="s">
        <v>1518</v>
      </c>
      <c r="J4" s="12" t="str">
        <f>CONCATENATE("(${Variables:",E4,"_kcat","} * ",E4," * ",G4,")","/(${Variables:",E4,"_km","} + (",E4," * ",G4,"))")</f>
        <v>(${Variables:E1_1_1_1_kcat} * E1_1_1_1 * C00473 * C00003)/(${Variables:E1_1_1_1_km} + (E1_1_1_1 * C00473 * C00003))</v>
      </c>
      <c r="K4" s="43" t="str">
        <f>CONCATENATE("r",D4,": ",F4," -&gt; ",H4," | ",J4)</f>
        <v>r3: C00473 + C00003 -&gt; C00376 + C00004 + C00080 | (${Variables:E1_1_1_1_kcat} * E1_1_1_1 * C00473 * C00003)/(${Variables:E1_1_1_1_km} + (E1_1_1_1 * C00473 * C00003))</v>
      </c>
    </row>
    <row r="5" spans="1:11" ht="42.75" x14ac:dyDescent="0.45">
      <c r="A5" s="53" t="s">
        <v>3725</v>
      </c>
      <c r="B5" s="54" t="s">
        <v>3726</v>
      </c>
      <c r="C5" t="s">
        <v>1834</v>
      </c>
      <c r="D5" s="12">
        <v>4</v>
      </c>
      <c r="E5" s="12" t="str">
        <f>CONCATENATE("E",C5)</f>
        <v>E1_1_1_1</v>
      </c>
      <c r="F5" t="s">
        <v>3032</v>
      </c>
      <c r="G5" t="s">
        <v>1542</v>
      </c>
      <c r="H5" t="s">
        <v>3314</v>
      </c>
      <c r="I5" t="s">
        <v>1543</v>
      </c>
      <c r="J5" s="12" t="str">
        <f>CONCATENATE("(${Variables:",E5,"_kcat","} * ",E5," * ",G5,")","/(${Variables:",E5,"_km","} + (",E5," * ",G5,"))")</f>
        <v>(${Variables:E1_1_1_1_kcat} * E1_1_1_1 * C00756 * C00003)/(${Variables:E1_1_1_1_km} + (E1_1_1_1 * C00756 * C00003))</v>
      </c>
      <c r="K5" s="43" t="str">
        <f>CONCATENATE("r",D5,": ",F5," -&gt; ",H5," | ",J5)</f>
        <v>r4: C00756 + C00003 -&gt; C01545 + C00004 + C00080 | (${Variables:E1_1_1_1_kcat} * E1_1_1_1 * C00756 * C00003)/(${Variables:E1_1_1_1_km} + (E1_1_1_1 * C00756 * C00003))</v>
      </c>
    </row>
    <row r="6" spans="1:11" ht="42.75" x14ac:dyDescent="0.45">
      <c r="A6" s="53" t="s">
        <v>3725</v>
      </c>
      <c r="B6" s="54" t="s">
        <v>3726</v>
      </c>
      <c r="C6" t="s">
        <v>1834</v>
      </c>
      <c r="D6" s="12">
        <v>5</v>
      </c>
      <c r="E6" s="12" t="str">
        <f>CONCATENATE("E",C6)</f>
        <v>E1_1_1_1</v>
      </c>
      <c r="F6" t="s">
        <v>3035</v>
      </c>
      <c r="G6" t="s">
        <v>1631</v>
      </c>
      <c r="H6" t="s">
        <v>3317</v>
      </c>
      <c r="I6" t="s">
        <v>1632</v>
      </c>
      <c r="J6" s="12" t="str">
        <f>CONCATENATE("(${Variables:",E6,"_kcat","} * ",E6," * ",G6,")","/(${Variables:",E6,"_km","} + (",E6," * ",G6,"))")</f>
        <v>(${Variables:E1_1_1_1_kcat} * E1_1_1_1 * C05444 * C00003)/(${Variables:E1_1_1_1_km} + (E1_1_1_1 * C05444 * C00003))</v>
      </c>
      <c r="K6" s="43" t="str">
        <f>CONCATENATE("r",D6,": ",F6," -&gt; ",H6," | ",J6)</f>
        <v>r5: C05444 + C00003 -&gt; C05445 + C00004 + C00080 | (${Variables:E1_1_1_1_kcat} * E1_1_1_1 * C05444 * C00003)/(${Variables:E1_1_1_1_km} + (E1_1_1_1 * C05444 * C00003))</v>
      </c>
    </row>
    <row r="7" spans="1:11" ht="42.75" x14ac:dyDescent="0.45">
      <c r="A7" s="53" t="s">
        <v>3725</v>
      </c>
      <c r="B7" s="54" t="s">
        <v>3726</v>
      </c>
      <c r="C7" t="s">
        <v>1834</v>
      </c>
      <c r="D7" s="12">
        <v>6</v>
      </c>
      <c r="E7" s="12" t="str">
        <f>CONCATENATE("E",C7)</f>
        <v>E1_1_1_1</v>
      </c>
      <c r="F7" t="s">
        <v>3036</v>
      </c>
      <c r="G7" t="s">
        <v>1633</v>
      </c>
      <c r="H7" t="s">
        <v>3318</v>
      </c>
      <c r="I7" t="s">
        <v>1634</v>
      </c>
      <c r="J7" s="12" t="str">
        <f>CONCATENATE("(${Variables:",E7,"_kcat","} * ",E7," * ",G7,")","/(${Variables:",E7,"_km","} + (",E7," * ",G7,"))")</f>
        <v>(${Variables:E1_1_1_1_kcat} * E1_1_1_1 * C05576 * C00003)/(${Variables:E1_1_1_1_km} + (E1_1_1_1 * C05576 * C00003))</v>
      </c>
      <c r="K7" s="43" t="str">
        <f>CONCATENATE("r",D7,": ",F7," -&gt; ",H7," | ",J7)</f>
        <v>r6: C05576 + C00003 -&gt; C05577 + C00004 + C00080 | (${Variables:E1_1_1_1_kcat} * E1_1_1_1 * C05576 * C00003)/(${Variables:E1_1_1_1_km} + (E1_1_1_1 * C05576 * C00003))</v>
      </c>
    </row>
    <row r="8" spans="1:11" ht="42.75" x14ac:dyDescent="0.45">
      <c r="A8" s="53" t="s">
        <v>3725</v>
      </c>
      <c r="B8" s="54" t="s">
        <v>3726</v>
      </c>
      <c r="C8" t="s">
        <v>1834</v>
      </c>
      <c r="D8" s="12">
        <v>7</v>
      </c>
      <c r="E8" s="12" t="str">
        <f>CONCATENATE("E",C8)</f>
        <v>E1_1_1_1</v>
      </c>
      <c r="F8" t="s">
        <v>3037</v>
      </c>
      <c r="G8" t="s">
        <v>1649</v>
      </c>
      <c r="H8" t="s">
        <v>3319</v>
      </c>
      <c r="I8" t="s">
        <v>1650</v>
      </c>
      <c r="J8" s="12" t="str">
        <f>CONCATENATE("(${Variables:",E8,"_kcat","} * ",E8," * ",G8,")","/(${Variables:",E8,"_km","} + (",E8," * ",G8,"))")</f>
        <v>(${Variables:E1_1_1_1_kcat} * E1_1_1_1 * C06611 * C00003)/(${Variables:E1_1_1_1_km} + (E1_1_1_1 * C06611 * C00003))</v>
      </c>
      <c r="K8" s="43" t="str">
        <f>CONCATENATE("r",D8,": ",F8," -&gt; ",H8," | ",J8)</f>
        <v>r7: C06611 + C00003 -&gt; C06613 + C00004 + C00080 | (${Variables:E1_1_1_1_kcat} * E1_1_1_1 * C06611 * C00003)/(${Variables:E1_1_1_1_km} + (E1_1_1_1 * C06611 * C00003))</v>
      </c>
    </row>
    <row r="9" spans="1:11" ht="42.75" x14ac:dyDescent="0.45">
      <c r="A9" s="53" t="s">
        <v>3725</v>
      </c>
      <c r="B9" s="54" t="s">
        <v>3726</v>
      </c>
      <c r="C9" t="s">
        <v>1834</v>
      </c>
      <c r="D9" s="12">
        <v>8</v>
      </c>
      <c r="E9" s="12" t="str">
        <f>CONCATENATE("E",C9)</f>
        <v>E1_1_1_1</v>
      </c>
      <c r="F9" t="s">
        <v>3038</v>
      </c>
      <c r="G9" t="s">
        <v>1651</v>
      </c>
      <c r="H9" t="s">
        <v>3320</v>
      </c>
      <c r="I9" t="s">
        <v>1652</v>
      </c>
      <c r="J9" s="12" t="str">
        <f>CONCATENATE("(${Variables:",E9,"_kcat","} * ",E9," * ",G9,")","/(${Variables:",E9,"_km","} + (",E9," * ",G9,"))")</f>
        <v>(${Variables:E1_1_1_1_kcat} * E1_1_1_1 * C06612 * C00003)/(${Variables:E1_1_1_1_km} + (E1_1_1_1 * C06612 * C00003))</v>
      </c>
      <c r="K9" s="43" t="str">
        <f>CONCATENATE("r",D9,": ",F9," -&gt; ",H9," | ",J9)</f>
        <v>r8: C06612 + C00003 -&gt; C16348 + C00004 + C00080 | (${Variables:E1_1_1_1_kcat} * E1_1_1_1 * C06612 * C00003)/(${Variables:E1_1_1_1_km} + (E1_1_1_1 * C06612 * C00003))</v>
      </c>
    </row>
    <row r="10" spans="1:11" ht="42.75" x14ac:dyDescent="0.45">
      <c r="A10" s="53" t="s">
        <v>3725</v>
      </c>
      <c r="B10" s="54" t="s">
        <v>3726</v>
      </c>
      <c r="C10" t="s">
        <v>1834</v>
      </c>
      <c r="D10" s="12">
        <v>9</v>
      </c>
      <c r="E10" s="12" t="str">
        <f>CONCATENATE("E",C10)</f>
        <v>E1_1_1_1</v>
      </c>
      <c r="F10" t="s">
        <v>3041</v>
      </c>
      <c r="G10" t="s">
        <v>1665</v>
      </c>
      <c r="H10" t="s">
        <v>3323</v>
      </c>
      <c r="I10" t="s">
        <v>1666</v>
      </c>
      <c r="J10" s="12" t="str">
        <f>CONCATENATE("(${Variables:",E10,"_kcat","} * ",E10," * ",G10,")","/(${Variables:",E10,"_km","} + (",E10," * ",G10,"))")</f>
        <v>(${Variables:E1_1_1_1_kcat} * E1_1_1_1 * C14089 * C00003)/(${Variables:E1_1_1_1_km} + (E1_1_1_1 * C14089 * C00003))</v>
      </c>
      <c r="K10" s="43" t="str">
        <f>CONCATENATE("r",D10,": ",F10," -&gt; ",H10," | ",J10)</f>
        <v>r9: C14089 + C00003 -&gt; C14090 + C00004 + C00080 | (${Variables:E1_1_1_1_kcat} * E1_1_1_1 * C14089 * C00003)/(${Variables:E1_1_1_1_km} + (E1_1_1_1 * C14089 * C00003))</v>
      </c>
    </row>
    <row r="11" spans="1:11" ht="42.75" x14ac:dyDescent="0.45">
      <c r="A11" s="53" t="s">
        <v>3725</v>
      </c>
      <c r="B11" s="54" t="s">
        <v>3726</v>
      </c>
      <c r="C11" t="s">
        <v>1834</v>
      </c>
      <c r="D11" s="12">
        <v>10</v>
      </c>
      <c r="E11" s="12" t="str">
        <f>CONCATENATE("E",C11)</f>
        <v>E1_1_1_1</v>
      </c>
      <c r="F11" t="s">
        <v>3034</v>
      </c>
      <c r="G11" t="s">
        <v>1598</v>
      </c>
      <c r="H11" t="s">
        <v>3316</v>
      </c>
      <c r="I11" t="s">
        <v>1599</v>
      </c>
      <c r="J11" s="12" t="str">
        <f>CONCATENATE("(${Variables:",E11,"_kcat","} * ",E11," * ",G11,")","/(${Variables:",E11,"_km","} + (",E11," * ",G11,"))")</f>
        <v>(${Variables:E1_1_1_1_kcat} * E1_1_1_1 * C02909 * C00003)/(${Variables:E1_1_1_1_km} + (E1_1_1_1 * C02909 * C00003))</v>
      </c>
      <c r="K11" s="43" t="str">
        <f>CONCATENATE("r",D11,": ",F11," -&gt; ",H11," | ",J11)</f>
        <v>r10: C02909 + C00003 -&gt; C14099 + C00004 + C00080 | (${Variables:E1_1_1_1_kcat} * E1_1_1_1 * C02909 * C00003)/(${Variables:E1_1_1_1_km} + (E1_1_1_1 * C02909 * C00003))</v>
      </c>
    </row>
    <row r="12" spans="1:11" ht="42.75" x14ac:dyDescent="0.45">
      <c r="A12" s="53" t="s">
        <v>3725</v>
      </c>
      <c r="B12" s="54" t="s">
        <v>3726</v>
      </c>
      <c r="C12" t="s">
        <v>1834</v>
      </c>
      <c r="D12" s="12">
        <v>11</v>
      </c>
      <c r="E12" s="12" t="str">
        <f>CONCATENATE("E",C12)</f>
        <v>E1_1_1_1</v>
      </c>
      <c r="F12" t="s">
        <v>3040</v>
      </c>
      <c r="G12" t="s">
        <v>1655</v>
      </c>
      <c r="H12" t="s">
        <v>3322</v>
      </c>
      <c r="I12" t="s">
        <v>1656</v>
      </c>
      <c r="J12" s="12" t="str">
        <f>CONCATENATE("(${Variables:",E12,"_kcat","} * ",E12," * ",G12,")","/(${Variables:",E12,"_km","} + (",E12," * ",G12,"))")</f>
        <v>(${Variables:E1_1_1_1_kcat} * E1_1_1_1 * C07645 * C00004 * C00080)/(${Variables:E1_1_1_1_km} + (E1_1_1_1 * C07645 * C00004 * C00080))</v>
      </c>
      <c r="K12" s="43" t="str">
        <f>CONCATENATE("r",D12,": ",F12," -&gt; ",H12," | ",J12)</f>
        <v>r11: C07645 + C00004 + C00080 -&gt; C16551 + C00003 | (${Variables:E1_1_1_1_kcat} * E1_1_1_1 * C07645 * C00004 * C00080)/(${Variables:E1_1_1_1_km} + (E1_1_1_1 * C07645 * C00004 * C00080))</v>
      </c>
    </row>
    <row r="13" spans="1:11" ht="42.75" x14ac:dyDescent="0.45">
      <c r="A13" s="53" t="s">
        <v>3725</v>
      </c>
      <c r="B13" s="54" t="s">
        <v>3726</v>
      </c>
      <c r="C13" t="s">
        <v>1834</v>
      </c>
      <c r="D13" s="12">
        <v>12</v>
      </c>
      <c r="E13" s="12" t="str">
        <f>CONCATENATE("E",C13)</f>
        <v>E1_1_1_1</v>
      </c>
      <c r="F13" t="s">
        <v>3043</v>
      </c>
      <c r="G13" t="s">
        <v>1671</v>
      </c>
      <c r="H13" t="s">
        <v>3325</v>
      </c>
      <c r="I13" t="s">
        <v>1672</v>
      </c>
      <c r="J13" s="12" t="str">
        <f>CONCATENATE("(${Variables:",E13,"_kcat","} * ",E13," * ",G13,")","/(${Variables:",E13,"_km","} + (",E13," * ",G13,"))")</f>
        <v>(${Variables:E1_1_1_1_kcat} * E1_1_1_1 * C16586 * C00003)/(${Variables:E1_1_1_1_km} + (E1_1_1_1 * C16586 * C00003))</v>
      </c>
      <c r="K13" s="43" t="str">
        <f>CONCATENATE("r",D13,": ",F13," -&gt; ",H13," | ",J13)</f>
        <v>r12: C16586 + C00003 -&gt; C16587 + C00004 + C00080 | (${Variables:E1_1_1_1_kcat} * E1_1_1_1 * C16586 * C00003)/(${Variables:E1_1_1_1_km} + (E1_1_1_1 * C16586 * C00003))</v>
      </c>
    </row>
    <row r="14" spans="1:11" ht="42.75" x14ac:dyDescent="0.45">
      <c r="A14" s="53" t="s">
        <v>3725</v>
      </c>
      <c r="B14" s="54" t="s">
        <v>3726</v>
      </c>
      <c r="C14" t="s">
        <v>1834</v>
      </c>
      <c r="D14" s="12">
        <v>13</v>
      </c>
      <c r="E14" s="12" t="str">
        <f>CONCATENATE("E",C14)</f>
        <v>E1_1_1_1</v>
      </c>
      <c r="F14" t="s">
        <v>3026</v>
      </c>
      <c r="G14" t="s">
        <v>1412</v>
      </c>
      <c r="H14" t="s">
        <v>3308</v>
      </c>
      <c r="I14" t="s">
        <v>1413</v>
      </c>
      <c r="J14" s="12" t="str">
        <f>CONCATENATE("(${Variables:",E14,"_kcat","} * ",E14," * ",G14,")","/(${Variables:",E14,"_km","} + (",E14," * ",G14,"))")</f>
        <v>(${Variables:E1_1_1_1_kcat} * E1_1_1_1 * C00114 * C00003)/(${Variables:E1_1_1_1_km} + (E1_1_1_1 * C00114 * C00003))</v>
      </c>
      <c r="K14" s="43" t="str">
        <f>CONCATENATE("r",D14,": ",F14," -&gt; ",H14," | ",J14)</f>
        <v>r13: C00114 + C00003 -&gt; C00576 + C00004 + C00080 | (${Variables:E1_1_1_1_kcat} * E1_1_1_1 * C00114 * C00003)/(${Variables:E1_1_1_1_km} + (E1_1_1_1 * C00114 * C00003))</v>
      </c>
    </row>
    <row r="15" spans="1:11" ht="42.75" x14ac:dyDescent="0.45">
      <c r="A15" s="53" t="s">
        <v>3725</v>
      </c>
      <c r="B15" s="54" t="s">
        <v>3726</v>
      </c>
      <c r="C15" t="s">
        <v>1834</v>
      </c>
      <c r="D15" s="12">
        <v>14</v>
      </c>
      <c r="E15" s="12" t="str">
        <f>CONCATENATE("E",C15)</f>
        <v>E1_1_1_1</v>
      </c>
      <c r="F15" t="s">
        <v>3027</v>
      </c>
      <c r="G15" t="s">
        <v>1414</v>
      </c>
      <c r="H15" t="s">
        <v>3309</v>
      </c>
      <c r="I15" t="s">
        <v>1415</v>
      </c>
      <c r="J15" s="12" t="str">
        <f>CONCATENATE("(${Variables:",E15,"_kcat","} * ",E15," * ",G15,")","/(${Variables:",E15,"_km","} + (",E15," * ",G15,"))")</f>
        <v>(${Variables:E1_1_1_1_kcat} * E1_1_1_1 * C00114 * C00006)/(${Variables:E1_1_1_1_km} + (E1_1_1_1 * C00114 * C00006))</v>
      </c>
      <c r="K15" s="43" t="str">
        <f>CONCATENATE("r",D15,": ",F15," -&gt; ",H15," | ",J15)</f>
        <v>r14: C00114 + C00006 -&gt; C00576 + C00005 + C00080 | (${Variables:E1_1_1_1_kcat} * E1_1_1_1 * C00114 * C00006)/(${Variables:E1_1_1_1_km} + (E1_1_1_1 * C00114 * C00006))</v>
      </c>
    </row>
    <row r="16" spans="1:11" ht="42.75" x14ac:dyDescent="0.45">
      <c r="A16" s="53" t="s">
        <v>3725</v>
      </c>
      <c r="B16" s="54" t="s">
        <v>3726</v>
      </c>
      <c r="C16" t="s">
        <v>1834</v>
      </c>
      <c r="D16" s="12">
        <v>15</v>
      </c>
      <c r="E16" s="12" t="str">
        <f>CONCATENATE("E",C16)</f>
        <v>E1_1_1_1</v>
      </c>
      <c r="F16" s="12" t="s">
        <v>3042</v>
      </c>
      <c r="G16" s="12" t="s">
        <v>1669</v>
      </c>
      <c r="H16" t="s">
        <v>3324</v>
      </c>
      <c r="I16" t="s">
        <v>1670</v>
      </c>
      <c r="J16" s="12" t="str">
        <f>CONCATENATE("(${Variables:",E16,"_kcat","} * ",E16," * ",G16,")","/(${Variables:",E16,"_km","} + (",E16," * ",G16,"))")</f>
        <v>(${Variables:E1_1_1_1_kcat} * E1_1_1_1 * C16310 * C00004 * C00080)/(${Variables:E1_1_1_1_km} + (E1_1_1_1 * C16310 * C00004 * C00080))</v>
      </c>
      <c r="K16" s="43" t="str">
        <f>CONCATENATE("r",D16,": ",F16," -&gt; ",H16," | ",J16)</f>
        <v>r15: C16310 + C00004 + C00080 -&gt; C08492 + C00003 | (${Variables:E1_1_1_1_kcat} * E1_1_1_1 * C16310 * C00004 * C00080)/(${Variables:E1_1_1_1_km} + (E1_1_1_1 * C16310 * C00004 * C00080))</v>
      </c>
    </row>
    <row r="17" spans="1:11" ht="42.75" x14ac:dyDescent="0.45">
      <c r="A17" s="53" t="s">
        <v>3725</v>
      </c>
      <c r="B17" s="54" t="s">
        <v>3726</v>
      </c>
      <c r="C17" t="s">
        <v>1834</v>
      </c>
      <c r="D17" s="12">
        <v>16</v>
      </c>
      <c r="E17" s="12" t="str">
        <f>CONCATENATE("E",C17)</f>
        <v>E1_1_1_1</v>
      </c>
      <c r="F17" t="s">
        <v>3033</v>
      </c>
      <c r="G17" t="s">
        <v>1578</v>
      </c>
      <c r="H17" t="s">
        <v>3315</v>
      </c>
      <c r="I17" t="s">
        <v>1579</v>
      </c>
      <c r="J17" s="12" t="str">
        <f>CONCATENATE("(${Variables:",E17,"_kcat","} * ",E17," * ",G17,")","/(${Variables:",E17,"_km","} + (",E17," * ",G17,"))")</f>
        <v>(${Variables:E1_1_1_1_kcat} * E1_1_1_1 * C01612 * C00003)/(${Variables:E1_1_1_1_km} + (E1_1_1_1 * C01612 * C00003))</v>
      </c>
      <c r="K17" s="43" t="str">
        <f>CONCATENATE("r",D17,": ",F17," -&gt; ",H17," | ",J17)</f>
        <v>r16: C01612 + C00003 -&gt; C01450 + C00004 + C00080 | (${Variables:E1_1_1_1_kcat} * E1_1_1_1 * C01612 * C00003)/(${Variables:E1_1_1_1_km} + (E1_1_1_1 * C01612 * C00003))</v>
      </c>
    </row>
    <row r="18" spans="1:11" ht="42.75" x14ac:dyDescent="0.45">
      <c r="A18" s="53" t="s">
        <v>3725</v>
      </c>
      <c r="B18" s="54" t="s">
        <v>3726</v>
      </c>
      <c r="C18" t="s">
        <v>1834</v>
      </c>
      <c r="D18" s="12">
        <v>17</v>
      </c>
      <c r="E18" s="12" t="str">
        <f>CONCATENATE("E",C18)</f>
        <v>E1_1_1_1</v>
      </c>
      <c r="F18" s="12" t="s">
        <v>3044</v>
      </c>
      <c r="G18" s="12" t="s">
        <v>1673</v>
      </c>
      <c r="H18" t="s">
        <v>3326</v>
      </c>
      <c r="I18" t="s">
        <v>1674</v>
      </c>
      <c r="J18" s="12" t="str">
        <f>CONCATENATE("(${Variables:",E18,"_kcat","} * ",E18," * ",G18,")","/(${Variables:",E18,"_km","} + (",E18," * ",G18,"))")</f>
        <v>(${Variables:E1_1_1_1_kcat} * E1_1_1_1 * C16595 * C00003)/(${Variables:E1_1_1_1_km} + (E1_1_1_1 * C16595 * C00003))</v>
      </c>
      <c r="K18" s="43" t="str">
        <f>CONCATENATE("r",D18,": ",F18," -&gt; ",H18," | ",J18)</f>
        <v>r17: C16595 + C00003 -&gt; C16596 + C00004 + C00080 | (${Variables:E1_1_1_1_kcat} * E1_1_1_1 * C16595 * C00003)/(${Variables:E1_1_1_1_km} + (E1_1_1_1 * C16595 * C00003))</v>
      </c>
    </row>
    <row r="19" spans="1:11" ht="42.75" x14ac:dyDescent="0.45">
      <c r="A19" s="53" t="s">
        <v>3725</v>
      </c>
      <c r="B19" s="54" t="s">
        <v>3726</v>
      </c>
      <c r="C19" t="s">
        <v>1834</v>
      </c>
      <c r="D19" s="12">
        <v>18</v>
      </c>
      <c r="E19" s="12" t="str">
        <f>CONCATENATE("E",C19)</f>
        <v>E1_1_1_1</v>
      </c>
      <c r="F19" s="12" t="s">
        <v>3029</v>
      </c>
      <c r="G19" s="12" t="s">
        <v>1503</v>
      </c>
      <c r="H19" t="s">
        <v>3311</v>
      </c>
      <c r="I19" t="s">
        <v>1504</v>
      </c>
      <c r="J19" s="12" t="str">
        <f>CONCATENATE("(${Variables:",E19,"_kcat","} * ",E19," * ",G19,")","/(${Variables:",E19,"_km","} + (",E19," * ",G19,"))")</f>
        <v>(${Variables:E1_1_1_1_kcat} * E1_1_1_1 * C00418 * C00003)/(${Variables:E1_1_1_1_km} + (E1_1_1_1 * C00418 * C00003))</v>
      </c>
      <c r="K19" s="43" t="str">
        <f>CONCATENATE("r",D19,": ",F19," -&gt; ",H19," | ",J19)</f>
        <v>r18: C00418 + C00003 -&gt; C00772 + C00004 + C00080 | (${Variables:E1_1_1_1_kcat} * E1_1_1_1 * C00418 * C00003)/(${Variables:E1_1_1_1_km} + (E1_1_1_1 * C00418 * C00003))</v>
      </c>
    </row>
    <row r="20" spans="1:11" ht="42.75" x14ac:dyDescent="0.45">
      <c r="A20" s="53" t="s">
        <v>3725</v>
      </c>
      <c r="B20" s="54" t="s">
        <v>3726</v>
      </c>
      <c r="C20" t="s">
        <v>1834</v>
      </c>
      <c r="D20" s="12">
        <v>19</v>
      </c>
      <c r="E20" s="12" t="str">
        <f>CONCATENATE("E",C20)</f>
        <v>E1_1_1_1</v>
      </c>
      <c r="F20" s="12" t="s">
        <v>3039</v>
      </c>
      <c r="G20" s="12" t="s">
        <v>1653</v>
      </c>
      <c r="H20" t="s">
        <v>3321</v>
      </c>
      <c r="I20" t="s">
        <v>1654</v>
      </c>
      <c r="J20" s="12" t="str">
        <f>CONCATENATE("(${Variables:",E20,"_kcat","} * ",E20," * ",G20,")","/(${Variables:",E20,"_km","} + (",E20," * ",G20,"))")</f>
        <v>(${Variables:E1_1_1_1_kcat} * E1_1_1_1 * C06899 * C00004 * C00080)/(${Variables:E1_1_1_1_km} + (E1_1_1_1 * C06899 * C00004 * C00080))</v>
      </c>
      <c r="K20" s="43" t="str">
        <f>CONCATENATE("r",D20,": ",F20," -&gt; ",H20," | ",J20)</f>
        <v>r19: C06899 + C00004 + C00080 -&gt; C07490 + C00003 + C00001 | (${Variables:E1_1_1_1_kcat} * E1_1_1_1 * C06899 * C00004 * C00080)/(${Variables:E1_1_1_1_km} + (E1_1_1_1 * C06899 * C00004 * C00080))</v>
      </c>
    </row>
    <row r="21" spans="1:11" ht="42.75" x14ac:dyDescent="0.45">
      <c r="A21" s="53" t="s">
        <v>3718</v>
      </c>
      <c r="B21" s="54" t="s">
        <v>3719</v>
      </c>
      <c r="C21" t="s">
        <v>1834</v>
      </c>
      <c r="D21" s="12">
        <v>20</v>
      </c>
      <c r="E21" s="12" t="str">
        <f>CONCATENATE("E",C21)</f>
        <v>E1_1_1_1</v>
      </c>
      <c r="F21" t="s">
        <v>3028</v>
      </c>
      <c r="G21" t="s">
        <v>1451</v>
      </c>
      <c r="H21" t="s">
        <v>3310</v>
      </c>
      <c r="I21" t="s">
        <v>1452</v>
      </c>
      <c r="J21" s="12" t="str">
        <f>CONCATENATE("(${Variables:",E21,"_kcat","} * ",E21," * ",G21,")","/(${Variables:",E21,"_km","} + (",E21," * ",G21,"))")</f>
        <v>(${Variables:E1_1_1_1_kcat} * E1_1_1_1 * C00226 * C00003)/(${Variables:E1_1_1_1_km} + (E1_1_1_1 * C00226 * C00003))</v>
      </c>
      <c r="K21" s="43" t="str">
        <f>CONCATENATE("r",D21,": ",F21," -&gt; ",H21," | ",J21)</f>
        <v>r20: C00226 + C00003 -&gt; C00071 + C00004 + C00080 | (${Variables:E1_1_1_1_kcat} * E1_1_1_1 * C00226 * C00003)/(${Variables:E1_1_1_1_km} + (E1_1_1_1 * C00226 * C00003))</v>
      </c>
    </row>
    <row r="22" spans="1:11" ht="42.75" x14ac:dyDescent="0.45">
      <c r="A22" s="53" t="s">
        <v>3718</v>
      </c>
      <c r="B22" s="54" t="s">
        <v>3719</v>
      </c>
      <c r="C22" t="s">
        <v>1834</v>
      </c>
      <c r="D22" s="12">
        <v>21</v>
      </c>
      <c r="E22" s="12" t="str">
        <f>CONCATENATE("E",C22)</f>
        <v>E1_1_1_1</v>
      </c>
      <c r="F22" s="12" t="s">
        <v>3030</v>
      </c>
      <c r="G22" s="12" t="s">
        <v>1515</v>
      </c>
      <c r="H22" t="s">
        <v>3312</v>
      </c>
      <c r="I22" t="s">
        <v>1516</v>
      </c>
      <c r="J22" s="12" t="str">
        <f>CONCATENATE("(${Variables:",E22,"_kcat","} * ",E22," * ",G22,")","/(${Variables:",E22,"_km","} + (",E22," * ",G22,"))")</f>
        <v>(${Variables:E1_1_1_1_kcat} * E1_1_1_1 * C00469 * C00003)/(${Variables:E1_1_1_1_km} + (E1_1_1_1 * C00469 * C00003))</v>
      </c>
      <c r="K22" s="43" t="str">
        <f>CONCATENATE("r",D22,": ",F22," -&gt; ",H22," | ",J22)</f>
        <v>r21: C00469 + C00003 -&gt; C00084 + C00004 + C00080 | (${Variables:E1_1_1_1_kcat} * E1_1_1_1 * C00469 * C00003)/(${Variables:E1_1_1_1_km} + (E1_1_1_1 * C00469 * C00003))</v>
      </c>
    </row>
    <row r="23" spans="1:11" ht="42.75" x14ac:dyDescent="0.45">
      <c r="A23" s="53" t="s">
        <v>3718</v>
      </c>
      <c r="B23" s="54" t="s">
        <v>3719</v>
      </c>
      <c r="C23" t="s">
        <v>1834</v>
      </c>
      <c r="D23" s="12">
        <v>22</v>
      </c>
      <c r="E23" s="12" t="str">
        <f>CONCATENATE("E",C23)</f>
        <v>E1_1_1_1</v>
      </c>
      <c r="F23" t="s">
        <v>3031</v>
      </c>
      <c r="G23" t="s">
        <v>1517</v>
      </c>
      <c r="H23" t="s">
        <v>3313</v>
      </c>
      <c r="I23" t="s">
        <v>1518</v>
      </c>
      <c r="J23" s="12" t="str">
        <f>CONCATENATE("(${Variables:",E23,"_kcat","} * ",E23," * ",G23,")","/(${Variables:",E23,"_km","} + (",E23," * ",G23,"))")</f>
        <v>(${Variables:E1_1_1_1_kcat} * E1_1_1_1 * C00473 * C00003)/(${Variables:E1_1_1_1_km} + (E1_1_1_1 * C00473 * C00003))</v>
      </c>
      <c r="K23" s="43" t="str">
        <f>CONCATENATE("r",D23,": ",F23," -&gt; ",H23," | ",J23)</f>
        <v>r22: C00473 + C00003 -&gt; C00376 + C00004 + C00080 | (${Variables:E1_1_1_1_kcat} * E1_1_1_1 * C00473 * C00003)/(${Variables:E1_1_1_1_km} + (E1_1_1_1 * C00473 * C00003))</v>
      </c>
    </row>
    <row r="24" spans="1:11" ht="42.75" x14ac:dyDescent="0.45">
      <c r="A24" s="53" t="s">
        <v>3718</v>
      </c>
      <c r="B24" s="54" t="s">
        <v>3719</v>
      </c>
      <c r="C24" t="s">
        <v>1834</v>
      </c>
      <c r="D24" s="12">
        <v>23</v>
      </c>
      <c r="E24" s="12" t="str">
        <f>CONCATENATE("E",C24)</f>
        <v>E1_1_1_1</v>
      </c>
      <c r="F24" t="s">
        <v>3032</v>
      </c>
      <c r="G24" t="s">
        <v>1542</v>
      </c>
      <c r="H24" t="s">
        <v>3314</v>
      </c>
      <c r="I24" t="s">
        <v>1543</v>
      </c>
      <c r="J24" s="12" t="str">
        <f>CONCATENATE("(${Variables:",E24,"_kcat","} * ",E24," * ",G24,")","/(${Variables:",E24,"_km","} + (",E24," * ",G24,"))")</f>
        <v>(${Variables:E1_1_1_1_kcat} * E1_1_1_1 * C00756 * C00003)/(${Variables:E1_1_1_1_km} + (E1_1_1_1 * C00756 * C00003))</v>
      </c>
      <c r="K24" s="43" t="str">
        <f>CONCATENATE("r",D24,": ",F24," -&gt; ",H24," | ",J24)</f>
        <v>r23: C00756 + C00003 -&gt; C01545 + C00004 + C00080 | (${Variables:E1_1_1_1_kcat} * E1_1_1_1 * C00756 * C00003)/(${Variables:E1_1_1_1_km} + (E1_1_1_1 * C00756 * C00003))</v>
      </c>
    </row>
    <row r="25" spans="1:11" ht="42.75" x14ac:dyDescent="0.45">
      <c r="A25" s="53" t="s">
        <v>3718</v>
      </c>
      <c r="B25" s="54" t="s">
        <v>3719</v>
      </c>
      <c r="C25" t="s">
        <v>1834</v>
      </c>
      <c r="D25" s="12">
        <v>24</v>
      </c>
      <c r="E25" s="12" t="str">
        <f>CONCATENATE("E",C25)</f>
        <v>E1_1_1_1</v>
      </c>
      <c r="F25" t="s">
        <v>3035</v>
      </c>
      <c r="G25" t="s">
        <v>1631</v>
      </c>
      <c r="H25" t="s">
        <v>3317</v>
      </c>
      <c r="I25" t="s">
        <v>1632</v>
      </c>
      <c r="J25" s="12" t="str">
        <f>CONCATENATE("(${Variables:",E25,"_kcat","} * ",E25," * ",G25,")","/(${Variables:",E25,"_km","} + (",E25," * ",G25,"))")</f>
        <v>(${Variables:E1_1_1_1_kcat} * E1_1_1_1 * C05444 * C00003)/(${Variables:E1_1_1_1_km} + (E1_1_1_1 * C05444 * C00003))</v>
      </c>
      <c r="K25" s="43" t="str">
        <f>CONCATENATE("r",D25,": ",F25," -&gt; ",H25," | ",J25)</f>
        <v>r24: C05444 + C00003 -&gt; C05445 + C00004 + C00080 | (${Variables:E1_1_1_1_kcat} * E1_1_1_1 * C05444 * C00003)/(${Variables:E1_1_1_1_km} + (E1_1_1_1 * C05444 * C00003))</v>
      </c>
    </row>
    <row r="26" spans="1:11" ht="42.75" x14ac:dyDescent="0.45">
      <c r="A26" s="53" t="s">
        <v>3718</v>
      </c>
      <c r="B26" s="54" t="s">
        <v>3719</v>
      </c>
      <c r="C26" t="s">
        <v>1834</v>
      </c>
      <c r="D26" s="12">
        <v>25</v>
      </c>
      <c r="E26" s="12" t="str">
        <f>CONCATENATE("E",C26)</f>
        <v>E1_1_1_1</v>
      </c>
      <c r="F26" s="12" t="s">
        <v>3036</v>
      </c>
      <c r="G26" s="12" t="s">
        <v>1633</v>
      </c>
      <c r="H26" t="s">
        <v>3318</v>
      </c>
      <c r="I26" t="s">
        <v>1634</v>
      </c>
      <c r="J26" s="12" t="str">
        <f>CONCATENATE("(${Variables:",E26,"_kcat","} * ",E26," * ",G26,")","/(${Variables:",E26,"_km","} + (",E26," * ",G26,"))")</f>
        <v>(${Variables:E1_1_1_1_kcat} * E1_1_1_1 * C05576 * C00003)/(${Variables:E1_1_1_1_km} + (E1_1_1_1 * C05576 * C00003))</v>
      </c>
      <c r="K26" s="43" t="str">
        <f>CONCATENATE("r",D26,": ",F26," -&gt; ",H26," | ",J26)</f>
        <v>r25: C05576 + C00003 -&gt; C05577 + C00004 + C00080 | (${Variables:E1_1_1_1_kcat} * E1_1_1_1 * C05576 * C00003)/(${Variables:E1_1_1_1_km} + (E1_1_1_1 * C05576 * C00003))</v>
      </c>
    </row>
    <row r="27" spans="1:11" ht="42.75" x14ac:dyDescent="0.45">
      <c r="A27" s="53" t="s">
        <v>3718</v>
      </c>
      <c r="B27" s="54" t="s">
        <v>3719</v>
      </c>
      <c r="C27" t="s">
        <v>1834</v>
      </c>
      <c r="D27" s="12">
        <v>26</v>
      </c>
      <c r="E27" s="12" t="str">
        <f>CONCATENATE("E",C27)</f>
        <v>E1_1_1_1</v>
      </c>
      <c r="F27" t="s">
        <v>3037</v>
      </c>
      <c r="G27" t="s">
        <v>1649</v>
      </c>
      <c r="H27" t="s">
        <v>3319</v>
      </c>
      <c r="I27" t="s">
        <v>1650</v>
      </c>
      <c r="J27" s="12" t="str">
        <f>CONCATENATE("(${Variables:",E27,"_kcat","} * ",E27," * ",G27,")","/(${Variables:",E27,"_km","} + (",E27," * ",G27,"))")</f>
        <v>(${Variables:E1_1_1_1_kcat} * E1_1_1_1 * C06611 * C00003)/(${Variables:E1_1_1_1_km} + (E1_1_1_1 * C06611 * C00003))</v>
      </c>
      <c r="K27" s="43" t="str">
        <f>CONCATENATE("r",D27,": ",F27," -&gt; ",H27," | ",J27)</f>
        <v>r26: C06611 + C00003 -&gt; C06613 + C00004 + C00080 | (${Variables:E1_1_1_1_kcat} * E1_1_1_1 * C06611 * C00003)/(${Variables:E1_1_1_1_km} + (E1_1_1_1 * C06611 * C00003))</v>
      </c>
    </row>
    <row r="28" spans="1:11" ht="42.75" x14ac:dyDescent="0.45">
      <c r="A28" s="53" t="s">
        <v>3718</v>
      </c>
      <c r="B28" s="54" t="s">
        <v>3719</v>
      </c>
      <c r="C28" t="s">
        <v>1834</v>
      </c>
      <c r="D28" s="12">
        <v>27</v>
      </c>
      <c r="E28" s="12" t="str">
        <f>CONCATENATE("E",C28)</f>
        <v>E1_1_1_1</v>
      </c>
      <c r="F28" t="s">
        <v>3038</v>
      </c>
      <c r="G28" t="s">
        <v>1651</v>
      </c>
      <c r="H28" t="s">
        <v>3320</v>
      </c>
      <c r="I28" t="s">
        <v>1652</v>
      </c>
      <c r="J28" s="12" t="str">
        <f>CONCATENATE("(${Variables:",E28,"_kcat","} * ",E28," * ",G28,")","/(${Variables:",E28,"_km","} + (",E28," * ",G28,"))")</f>
        <v>(${Variables:E1_1_1_1_kcat} * E1_1_1_1 * C06612 * C00003)/(${Variables:E1_1_1_1_km} + (E1_1_1_1 * C06612 * C00003))</v>
      </c>
      <c r="K28" s="43" t="str">
        <f>CONCATENATE("r",D28,": ",F28," -&gt; ",H28," | ",J28)</f>
        <v>r27: C06612 + C00003 -&gt; C16348 + C00004 + C00080 | (${Variables:E1_1_1_1_kcat} * E1_1_1_1 * C06612 * C00003)/(${Variables:E1_1_1_1_km} + (E1_1_1_1 * C06612 * C00003))</v>
      </c>
    </row>
    <row r="29" spans="1:11" ht="42.75" x14ac:dyDescent="0.45">
      <c r="A29" s="53" t="s">
        <v>3718</v>
      </c>
      <c r="B29" s="54" t="s">
        <v>3719</v>
      </c>
      <c r="C29" t="s">
        <v>1834</v>
      </c>
      <c r="D29" s="12">
        <v>28</v>
      </c>
      <c r="E29" s="12" t="str">
        <f>CONCATENATE("E",C29)</f>
        <v>E1_1_1_1</v>
      </c>
      <c r="F29" s="12" t="s">
        <v>3041</v>
      </c>
      <c r="G29" s="12" t="s">
        <v>1665</v>
      </c>
      <c r="H29" t="s">
        <v>3323</v>
      </c>
      <c r="I29" t="s">
        <v>1666</v>
      </c>
      <c r="J29" s="12" t="str">
        <f>CONCATENATE("(${Variables:",E29,"_kcat","} * ",E29," * ",G29,")","/(${Variables:",E29,"_km","} + (",E29," * ",G29,"))")</f>
        <v>(${Variables:E1_1_1_1_kcat} * E1_1_1_1 * C14089 * C00003)/(${Variables:E1_1_1_1_km} + (E1_1_1_1 * C14089 * C00003))</v>
      </c>
      <c r="K29" s="43" t="str">
        <f>CONCATENATE("r",D29,": ",F29," -&gt; ",H29," | ",J29)</f>
        <v>r28: C14089 + C00003 -&gt; C14090 + C00004 + C00080 | (${Variables:E1_1_1_1_kcat} * E1_1_1_1 * C14089 * C00003)/(${Variables:E1_1_1_1_km} + (E1_1_1_1 * C14089 * C00003))</v>
      </c>
    </row>
    <row r="30" spans="1:11" ht="42.75" x14ac:dyDescent="0.45">
      <c r="A30" s="53" t="s">
        <v>3718</v>
      </c>
      <c r="B30" s="54" t="s">
        <v>3719</v>
      </c>
      <c r="C30" t="s">
        <v>1834</v>
      </c>
      <c r="D30" s="12">
        <v>29</v>
      </c>
      <c r="E30" s="12" t="str">
        <f>CONCATENATE("E",C30)</f>
        <v>E1_1_1_1</v>
      </c>
      <c r="F30" t="s">
        <v>3034</v>
      </c>
      <c r="G30" t="s">
        <v>1598</v>
      </c>
      <c r="H30" t="s">
        <v>3316</v>
      </c>
      <c r="I30" t="s">
        <v>1599</v>
      </c>
      <c r="J30" s="12" t="str">
        <f>CONCATENATE("(${Variables:",E30,"_kcat","} * ",E30," * ",G30,")","/(${Variables:",E30,"_km","} + (",E30," * ",G30,"))")</f>
        <v>(${Variables:E1_1_1_1_kcat} * E1_1_1_1 * C02909 * C00003)/(${Variables:E1_1_1_1_km} + (E1_1_1_1 * C02909 * C00003))</v>
      </c>
      <c r="K30" s="43" t="str">
        <f>CONCATENATE("r",D30,": ",F30," -&gt; ",H30," | ",J30)</f>
        <v>r29: C02909 + C00003 -&gt; C14099 + C00004 + C00080 | (${Variables:E1_1_1_1_kcat} * E1_1_1_1 * C02909 * C00003)/(${Variables:E1_1_1_1_km} + (E1_1_1_1 * C02909 * C00003))</v>
      </c>
    </row>
    <row r="31" spans="1:11" ht="42.75" x14ac:dyDescent="0.45">
      <c r="A31" s="53" t="s">
        <v>3718</v>
      </c>
      <c r="B31" s="54" t="s">
        <v>3719</v>
      </c>
      <c r="C31" t="s">
        <v>1834</v>
      </c>
      <c r="D31" s="12">
        <v>30</v>
      </c>
      <c r="E31" s="12" t="str">
        <f>CONCATENATE("E",C31)</f>
        <v>E1_1_1_1</v>
      </c>
      <c r="F31" t="s">
        <v>3040</v>
      </c>
      <c r="G31" t="s">
        <v>1655</v>
      </c>
      <c r="H31" t="s">
        <v>3322</v>
      </c>
      <c r="I31" t="s">
        <v>1656</v>
      </c>
      <c r="J31" s="12" t="str">
        <f>CONCATENATE("(${Variables:",E31,"_kcat","} * ",E31," * ",G31,")","/(${Variables:",E31,"_km","} + (",E31," * ",G31,"))")</f>
        <v>(${Variables:E1_1_1_1_kcat} * E1_1_1_1 * C07645 * C00004 * C00080)/(${Variables:E1_1_1_1_km} + (E1_1_1_1 * C07645 * C00004 * C00080))</v>
      </c>
      <c r="K31" s="43" t="str">
        <f>CONCATENATE("r",D31,": ",F31," -&gt; ",H31," | ",J31)</f>
        <v>r30: C07645 + C00004 + C00080 -&gt; C16551 + C00003 | (${Variables:E1_1_1_1_kcat} * E1_1_1_1 * C07645 * C00004 * C00080)/(${Variables:E1_1_1_1_km} + (E1_1_1_1 * C07645 * C00004 * C00080))</v>
      </c>
    </row>
    <row r="32" spans="1:11" ht="42.75" x14ac:dyDescent="0.45">
      <c r="A32" s="53" t="s">
        <v>3718</v>
      </c>
      <c r="B32" s="54" t="s">
        <v>3719</v>
      </c>
      <c r="C32" t="s">
        <v>1834</v>
      </c>
      <c r="D32" s="12">
        <v>31</v>
      </c>
      <c r="E32" s="12" t="str">
        <f>CONCATENATE("E",C32)</f>
        <v>E1_1_1_1</v>
      </c>
      <c r="F32" t="s">
        <v>3043</v>
      </c>
      <c r="G32" t="s">
        <v>1671</v>
      </c>
      <c r="H32" t="s">
        <v>3325</v>
      </c>
      <c r="I32" t="s">
        <v>1672</v>
      </c>
      <c r="J32" s="12" t="str">
        <f>CONCATENATE("(${Variables:",E32,"_kcat","} * ",E32," * ",G32,")","/(${Variables:",E32,"_km","} + (",E32," * ",G32,"))")</f>
        <v>(${Variables:E1_1_1_1_kcat} * E1_1_1_1 * C16586 * C00003)/(${Variables:E1_1_1_1_km} + (E1_1_1_1 * C16586 * C00003))</v>
      </c>
      <c r="K32" s="43" t="str">
        <f>CONCATENATE("r",D32,": ",F32," -&gt; ",H32," | ",J32)</f>
        <v>r31: C16586 + C00003 -&gt; C16587 + C00004 + C00080 | (${Variables:E1_1_1_1_kcat} * E1_1_1_1 * C16586 * C00003)/(${Variables:E1_1_1_1_km} + (E1_1_1_1 * C16586 * C00003))</v>
      </c>
    </row>
    <row r="33" spans="1:11" ht="42.75" x14ac:dyDescent="0.45">
      <c r="A33" s="53" t="s">
        <v>3718</v>
      </c>
      <c r="B33" s="54" t="s">
        <v>3719</v>
      </c>
      <c r="C33" t="s">
        <v>1834</v>
      </c>
      <c r="D33" s="12">
        <v>32</v>
      </c>
      <c r="E33" s="12" t="str">
        <f>CONCATENATE("E",C33)</f>
        <v>E1_1_1_1</v>
      </c>
      <c r="F33" t="s">
        <v>3026</v>
      </c>
      <c r="G33" t="s">
        <v>1412</v>
      </c>
      <c r="H33" t="s">
        <v>3308</v>
      </c>
      <c r="I33" t="s">
        <v>1413</v>
      </c>
      <c r="J33" s="12" t="str">
        <f>CONCATENATE("(${Variables:",E33,"_kcat","} * ",E33," * ",G33,")","/(${Variables:",E33,"_km","} + (",E33," * ",G33,"))")</f>
        <v>(${Variables:E1_1_1_1_kcat} * E1_1_1_1 * C00114 * C00003)/(${Variables:E1_1_1_1_km} + (E1_1_1_1 * C00114 * C00003))</v>
      </c>
      <c r="K33" s="43" t="str">
        <f>CONCATENATE("r",D33,": ",F33," -&gt; ",H33," | ",J33)</f>
        <v>r32: C00114 + C00003 -&gt; C00576 + C00004 + C00080 | (${Variables:E1_1_1_1_kcat} * E1_1_1_1 * C00114 * C00003)/(${Variables:E1_1_1_1_km} + (E1_1_1_1 * C00114 * C00003))</v>
      </c>
    </row>
    <row r="34" spans="1:11" ht="42.75" x14ac:dyDescent="0.45">
      <c r="A34" s="53" t="s">
        <v>3718</v>
      </c>
      <c r="B34" s="54" t="s">
        <v>3719</v>
      </c>
      <c r="C34" t="s">
        <v>1834</v>
      </c>
      <c r="D34" s="12">
        <v>33</v>
      </c>
      <c r="E34" s="12" t="str">
        <f>CONCATENATE("E",C34)</f>
        <v>E1_1_1_1</v>
      </c>
      <c r="F34" t="s">
        <v>3027</v>
      </c>
      <c r="G34" t="s">
        <v>1414</v>
      </c>
      <c r="H34" t="s">
        <v>3309</v>
      </c>
      <c r="I34" t="s">
        <v>1415</v>
      </c>
      <c r="J34" s="12" t="str">
        <f>CONCATENATE("(${Variables:",E34,"_kcat","} * ",E34," * ",G34,")","/(${Variables:",E34,"_km","} + (",E34," * ",G34,"))")</f>
        <v>(${Variables:E1_1_1_1_kcat} * E1_1_1_1 * C00114 * C00006)/(${Variables:E1_1_1_1_km} + (E1_1_1_1 * C00114 * C00006))</v>
      </c>
      <c r="K34" s="43" t="str">
        <f>CONCATENATE("r",D34,": ",F34," -&gt; ",H34," | ",J34)</f>
        <v>r33: C00114 + C00006 -&gt; C00576 + C00005 + C00080 | (${Variables:E1_1_1_1_kcat} * E1_1_1_1 * C00114 * C00006)/(${Variables:E1_1_1_1_km} + (E1_1_1_1 * C00114 * C00006))</v>
      </c>
    </row>
    <row r="35" spans="1:11" ht="42.75" x14ac:dyDescent="0.45">
      <c r="A35" s="53" t="s">
        <v>3718</v>
      </c>
      <c r="B35" s="54" t="s">
        <v>3719</v>
      </c>
      <c r="C35" t="s">
        <v>1834</v>
      </c>
      <c r="D35" s="12">
        <v>34</v>
      </c>
      <c r="E35" s="12" t="str">
        <f>CONCATENATE("E",C35)</f>
        <v>E1_1_1_1</v>
      </c>
      <c r="F35" t="s">
        <v>8464</v>
      </c>
      <c r="G35" t="s">
        <v>10451</v>
      </c>
      <c r="H35" t="s">
        <v>3324</v>
      </c>
      <c r="I35" t="s">
        <v>1670</v>
      </c>
      <c r="J35" s="12" t="str">
        <f>CONCATENATE("(${Variables:",E35,"_kcat","} * ",E35," * ",G35,")","/(${Variables:",E35,"_km","} + (",E35," * ",G35,"))")</f>
        <v>(${Variables:E1_1_1_1_kcat} * E1_1_1_1 * C16310 * C00004 * C00080 )/(${Variables:E1_1_1_1_km} + (E1_1_1_1 * C16310 * C00004 * C00080 ))</v>
      </c>
      <c r="K35" s="43" t="str">
        <f>CONCATENATE("r",D35,": ",F35," -&gt; ",H35," | ",J35)</f>
        <v>r34: C16310 + C00004 + C00080  -&gt; C08492 + C00003 | (${Variables:E1_1_1_1_kcat} * E1_1_1_1 * C16310 * C00004 * C00080 )/(${Variables:E1_1_1_1_km} + (E1_1_1_1 * C16310 * C00004 * C00080 ))</v>
      </c>
    </row>
    <row r="36" spans="1:11" ht="42.75" x14ac:dyDescent="0.45">
      <c r="A36" s="53" t="s">
        <v>3718</v>
      </c>
      <c r="B36" s="54" t="s">
        <v>3719</v>
      </c>
      <c r="C36" t="s">
        <v>1834</v>
      </c>
      <c r="D36" s="12">
        <v>35</v>
      </c>
      <c r="E36" s="12" t="str">
        <f>CONCATENATE("E",C36)</f>
        <v>E1_1_1_1</v>
      </c>
      <c r="F36" t="s">
        <v>8466</v>
      </c>
      <c r="G36" t="s">
        <v>10452</v>
      </c>
      <c r="H36" t="s">
        <v>3315</v>
      </c>
      <c r="I36" t="s">
        <v>1579</v>
      </c>
      <c r="J36" s="12" t="str">
        <f>CONCATENATE("(${Variables:",E36,"_kcat","} * ",E36," * ",G36,")","/(${Variables:",E36,"_km","} + (",E36," * ",G36,"))")</f>
        <v>(${Variables:E1_1_1_1_kcat} * E1_1_1_1 * C01612 * C00003 )/(${Variables:E1_1_1_1_km} + (E1_1_1_1 * C01612 * C00003 ))</v>
      </c>
      <c r="K36" s="43" t="str">
        <f>CONCATENATE("r",D36,": ",F36," -&gt; ",H36," | ",J36)</f>
        <v>r35: C01612 + C00003  -&gt; C01450 + C00004 + C00080 | (${Variables:E1_1_1_1_kcat} * E1_1_1_1 * C01612 * C00003 )/(${Variables:E1_1_1_1_km} + (E1_1_1_1 * C01612 * C00003 ))</v>
      </c>
    </row>
    <row r="37" spans="1:11" ht="42.75" x14ac:dyDescent="0.45">
      <c r="A37" s="53" t="s">
        <v>3718</v>
      </c>
      <c r="B37" s="54" t="s">
        <v>3719</v>
      </c>
      <c r="C37" t="s">
        <v>1834</v>
      </c>
      <c r="D37" s="12">
        <v>36</v>
      </c>
      <c r="E37" s="12" t="str">
        <f>CONCATENATE("E",C37)</f>
        <v>E1_1_1_1</v>
      </c>
      <c r="F37" t="s">
        <v>3044</v>
      </c>
      <c r="G37" t="s">
        <v>1673</v>
      </c>
      <c r="H37" t="s">
        <v>3044</v>
      </c>
      <c r="I37" t="s">
        <v>1673</v>
      </c>
      <c r="J37" s="12" t="str">
        <f>CONCATENATE("(${Variables:",E37,"_kcat","} * ",E37," * ",G37,")","/(${Variables:",E37,"_km","} + (",E37," * ",G37,"))")</f>
        <v>(${Variables:E1_1_1_1_kcat} * E1_1_1_1 * C16595 * C00003)/(${Variables:E1_1_1_1_km} + (E1_1_1_1 * C16595 * C00003))</v>
      </c>
      <c r="K37" s="43" t="str">
        <f>CONCATENATE("r",D37,": ",F37," -&gt; ",H37," | ",J37)</f>
        <v>r36: C16595 + C00003 -&gt; C16595 + C00003 | (${Variables:E1_1_1_1_kcat} * E1_1_1_1 * C16595 * C00003)/(${Variables:E1_1_1_1_km} + (E1_1_1_1 * C16595 * C00003))</v>
      </c>
    </row>
    <row r="38" spans="1:11" ht="42.75" x14ac:dyDescent="0.45">
      <c r="A38" s="53" t="s">
        <v>3718</v>
      </c>
      <c r="B38" s="54" t="s">
        <v>3719</v>
      </c>
      <c r="C38" t="s">
        <v>1834</v>
      </c>
      <c r="D38" s="12">
        <v>37</v>
      </c>
      <c r="E38" s="12" t="str">
        <f>CONCATENATE("E",C38)</f>
        <v>E1_1_1_1</v>
      </c>
      <c r="F38" t="s">
        <v>3029</v>
      </c>
      <c r="G38" t="s">
        <v>1503</v>
      </c>
      <c r="H38" t="s">
        <v>3311</v>
      </c>
      <c r="I38" t="s">
        <v>1504</v>
      </c>
      <c r="J38" s="12" t="str">
        <f>CONCATENATE("(${Variables:",E38,"_kcat","} * ",E38," * ",G38,")","/(${Variables:",E38,"_km","} + (",E38," * ",G38,"))")</f>
        <v>(${Variables:E1_1_1_1_kcat} * E1_1_1_1 * C00418 * C00003)/(${Variables:E1_1_1_1_km} + (E1_1_1_1 * C00418 * C00003))</v>
      </c>
      <c r="K38" s="43" t="str">
        <f>CONCATENATE("r",D38,": ",F38," -&gt; ",H38," | ",J38)</f>
        <v>r37: C00418 + C00003 -&gt; C00772 + C00004 + C00080 | (${Variables:E1_1_1_1_kcat} * E1_1_1_1 * C00418 * C00003)/(${Variables:E1_1_1_1_km} + (E1_1_1_1 * C00418 * C00003))</v>
      </c>
    </row>
    <row r="39" spans="1:11" ht="42.75" x14ac:dyDescent="0.45">
      <c r="A39" s="53" t="s">
        <v>3718</v>
      </c>
      <c r="B39" s="54" t="s">
        <v>3719</v>
      </c>
      <c r="C39" t="s">
        <v>1834</v>
      </c>
      <c r="D39" s="12">
        <v>38</v>
      </c>
      <c r="E39" s="12" t="str">
        <f>CONCATENATE("E",C39)</f>
        <v>E1_1_1_1</v>
      </c>
      <c r="F39" t="s">
        <v>3039</v>
      </c>
      <c r="G39" t="s">
        <v>1653</v>
      </c>
      <c r="H39" t="s">
        <v>3321</v>
      </c>
      <c r="I39" t="s">
        <v>1654</v>
      </c>
      <c r="J39" s="12" t="str">
        <f>CONCATENATE("(${Variables:",E39,"_kcat","} * ",E39," * ",G39,")","/(${Variables:",E39,"_km","} + (",E39," * ",G39,"))")</f>
        <v>(${Variables:E1_1_1_1_kcat} * E1_1_1_1 * C06899 * C00004 * C00080)/(${Variables:E1_1_1_1_km} + (E1_1_1_1 * C06899 * C00004 * C00080))</v>
      </c>
      <c r="K39" s="43" t="str">
        <f>CONCATENATE("r",D39,": ",F39," -&gt; ",H39," | ",J39)</f>
        <v>r38: C06899 + C00004 + C00080 -&gt; C07490 + C00003 + C00001 | (${Variables:E1_1_1_1_kcat} * E1_1_1_1 * C06899 * C00004 * C00080)/(${Variables:E1_1_1_1_km} + (E1_1_1_1 * C06899 * C00004 * C00080))</v>
      </c>
    </row>
    <row r="40" spans="1:11" ht="42.75" x14ac:dyDescent="0.45">
      <c r="A40" s="53" t="s">
        <v>7216</v>
      </c>
      <c r="B40" s="54" t="s">
        <v>7217</v>
      </c>
      <c r="C40" t="s">
        <v>10309</v>
      </c>
      <c r="D40" s="12">
        <v>39</v>
      </c>
      <c r="E40" s="12" t="str">
        <f>CONCATENATE("E",C40)</f>
        <v>E1_1_1_100</v>
      </c>
      <c r="F40" s="12" t="s">
        <v>8799</v>
      </c>
      <c r="G40" s="12" t="s">
        <v>10453</v>
      </c>
      <c r="H40" t="s">
        <v>8800</v>
      </c>
      <c r="I40" t="s">
        <v>10673</v>
      </c>
      <c r="J40" s="12" t="str">
        <f>CONCATENATE("(${Variables:",E40,"_kcat","} * ",E40," * ",G40,")","/(${Variables:",E40,"_km","} + (",E40," * ",G40,"))")</f>
        <v>(${Variables:E1_1_1_100_kcat} * E1_1_1_100 * C01271 * C00006)/(${Variables:E1_1_1_100_km} + (E1_1_1_100 * C01271 * C00006))</v>
      </c>
      <c r="K40" s="43" t="str">
        <f>CONCATENATE("r",D40,": ",F40," -&gt; ",H40," | ",J40)</f>
        <v>r39: C01271 + C00006 -&gt; C00685 + C00005 + C00080 | (${Variables:E1_1_1_100_kcat} * E1_1_1_100 * C01271 * C00006)/(${Variables:E1_1_1_100_km} + (E1_1_1_100 * C01271 * C00006))</v>
      </c>
    </row>
    <row r="41" spans="1:11" ht="42.75" x14ac:dyDescent="0.45">
      <c r="A41" s="53" t="s">
        <v>7216</v>
      </c>
      <c r="B41" s="54" t="s">
        <v>7217</v>
      </c>
      <c r="C41" t="s">
        <v>10309</v>
      </c>
      <c r="D41" s="12">
        <v>40</v>
      </c>
      <c r="E41" s="12" t="str">
        <f>CONCATENATE("E",C41)</f>
        <v>E1_1_1_100</v>
      </c>
      <c r="F41" s="12" t="s">
        <v>8802</v>
      </c>
      <c r="G41" s="12" t="s">
        <v>10454</v>
      </c>
      <c r="H41" t="s">
        <v>8803</v>
      </c>
      <c r="I41" t="s">
        <v>10674</v>
      </c>
      <c r="J41" s="12" t="str">
        <f>CONCATENATE("(${Variables:",E41,"_kcat","} * ",E41," * ",G41,")","/(${Variables:",E41,"_km","} + (",E41," * ",G41,"))")</f>
        <v>(${Variables:E1_1_1_100_kcat} * E1_1_1_100 * C04618 * C00006)/(${Variables:E1_1_1_100_km} + (E1_1_1_100 * C04618 * C00006))</v>
      </c>
      <c r="K41" s="43" t="str">
        <f>CONCATENATE("r",D41,": ",F41," -&gt; ",H41," | ",J41)</f>
        <v>r40: C04618 + C00006 -&gt; C05744 + C00005 + C00080 | (${Variables:E1_1_1_100_kcat} * E1_1_1_100 * C04618 * C00006)/(${Variables:E1_1_1_100_km} + (E1_1_1_100 * C04618 * C00006))</v>
      </c>
    </row>
    <row r="42" spans="1:11" ht="42.75" x14ac:dyDescent="0.45">
      <c r="A42" s="53" t="s">
        <v>7216</v>
      </c>
      <c r="B42" s="54" t="s">
        <v>7217</v>
      </c>
      <c r="C42" t="s">
        <v>10309</v>
      </c>
      <c r="D42" s="12">
        <v>41</v>
      </c>
      <c r="E42" s="12" t="str">
        <f>CONCATENATE("E",C42)</f>
        <v>E1_1_1_100</v>
      </c>
      <c r="F42" s="12" t="s">
        <v>8805</v>
      </c>
      <c r="G42" s="12" t="s">
        <v>10455</v>
      </c>
      <c r="H42" t="s">
        <v>8806</v>
      </c>
      <c r="I42" t="s">
        <v>10675</v>
      </c>
      <c r="J42" s="12" t="str">
        <f>CONCATENATE("(${Variables:",E42,"_kcat","} * ",E42," * ",G42,")","/(${Variables:",E42,"_km","} + (",E42," * ",G42,"))")</f>
        <v>(${Variables:E1_1_1_100_kcat} * E1_1_1_100 * C04619 * C00006)/(${Variables:E1_1_1_100_km} + (E1_1_1_100 * C04619 * C00006))</v>
      </c>
      <c r="K42" s="43" t="str">
        <f>CONCATENATE("r",D42,": ",F42," -&gt; ",H42," | ",J42)</f>
        <v>r41: C04619 + C00006 -&gt; C05753 + C00005 | (${Variables:E1_1_1_100_kcat} * E1_1_1_100 * C04619 * C00006)/(${Variables:E1_1_1_100_km} + (E1_1_1_100 * C04619 * C00006))</v>
      </c>
    </row>
    <row r="43" spans="1:11" ht="42.75" x14ac:dyDescent="0.45">
      <c r="A43" s="53" t="s">
        <v>7216</v>
      </c>
      <c r="B43" s="54" t="s">
        <v>7217</v>
      </c>
      <c r="C43" t="s">
        <v>10309</v>
      </c>
      <c r="D43" s="12">
        <v>42</v>
      </c>
      <c r="E43" s="12" t="str">
        <f>CONCATENATE("E",C43)</f>
        <v>E1_1_1_100</v>
      </c>
      <c r="F43" s="12" t="s">
        <v>8808</v>
      </c>
      <c r="G43" s="12" t="s">
        <v>10456</v>
      </c>
      <c r="H43" t="s">
        <v>8809</v>
      </c>
      <c r="I43" t="s">
        <v>10676</v>
      </c>
      <c r="J43" s="12" t="str">
        <f>CONCATENATE("(${Variables:",E43,"_kcat","} * ",E43," * ",G43,")","/(${Variables:",E43,"_km","} + (",E43," * ",G43,"))")</f>
        <v>(${Variables:E1_1_1_100_kcat} * E1_1_1_100 * C04620 * C00006)/(${Variables:E1_1_1_100_km} + (E1_1_1_100 * C04620 * C00006))</v>
      </c>
      <c r="K43" s="43" t="str">
        <f>CONCATENATE("r",D43,": ",F43," -&gt; ",H43," | ",J43)</f>
        <v>r42: C04620 + C00006 -&gt; C05750 + C00005 + C00080 | (${Variables:E1_1_1_100_kcat} * E1_1_1_100 * C04620 * C00006)/(${Variables:E1_1_1_100_km} + (E1_1_1_100 * C04620 * C00006))</v>
      </c>
    </row>
    <row r="44" spans="1:11" ht="42.75" x14ac:dyDescent="0.45">
      <c r="A44" s="53" t="s">
        <v>7216</v>
      </c>
      <c r="B44" s="54" t="s">
        <v>7217</v>
      </c>
      <c r="C44" t="s">
        <v>10309</v>
      </c>
      <c r="D44" s="12">
        <v>43</v>
      </c>
      <c r="E44" s="12" t="str">
        <f>CONCATENATE("E",C44)</f>
        <v>E1_1_1_100</v>
      </c>
      <c r="F44" s="12" t="s">
        <v>8811</v>
      </c>
      <c r="G44" s="12" t="s">
        <v>10457</v>
      </c>
      <c r="H44" t="s">
        <v>8812</v>
      </c>
      <c r="I44" t="s">
        <v>10677</v>
      </c>
      <c r="J44" s="12" t="str">
        <f>CONCATENATE("(${Variables:",E44,"_kcat","} * ",E44," * ",G44,")","/(${Variables:",E44,"_km","} + (",E44," * ",G44,"))")</f>
        <v>(${Variables:E1_1_1_100_kcat} * E1_1_1_100 * C04633 * C00006)/(${Variables:E1_1_1_100_km} + (E1_1_1_100 * C04633 * C00006))</v>
      </c>
      <c r="K44" s="43" t="str">
        <f>CONCATENATE("r",D44,": ",F44," -&gt; ",H44," | ",J44)</f>
        <v>r43: C04633 + C00006 -&gt; C05762 + C00005 + C00080 | (${Variables:E1_1_1_100_kcat} * E1_1_1_100 * C04633 * C00006)/(${Variables:E1_1_1_100_km} + (E1_1_1_100 * C04633 * C00006))</v>
      </c>
    </row>
    <row r="45" spans="1:11" ht="42.75" x14ac:dyDescent="0.45">
      <c r="A45" s="53" t="s">
        <v>7216</v>
      </c>
      <c r="B45" s="54" t="s">
        <v>7217</v>
      </c>
      <c r="C45" t="s">
        <v>10309</v>
      </c>
      <c r="D45" s="12">
        <v>44</v>
      </c>
      <c r="E45" s="12" t="str">
        <f>CONCATENATE("E",C45)</f>
        <v>E1_1_1_100</v>
      </c>
      <c r="F45" s="12" t="s">
        <v>8814</v>
      </c>
      <c r="G45" s="12" t="s">
        <v>10458</v>
      </c>
      <c r="H45" t="s">
        <v>8815</v>
      </c>
      <c r="I45" t="s">
        <v>10678</v>
      </c>
      <c r="J45" s="12" t="str">
        <f>CONCATENATE("(${Variables:",E45,"_kcat","} * ",E45," * ",G45,")","/(${Variables:",E45,"_km","} + (",E45," * ",G45,"))")</f>
        <v>(${Variables:E1_1_1_100_kcat} * E1_1_1_100 * C04688 * C00006)/(${Variables:E1_1_1_100_km} + (E1_1_1_100 * C04688 * C00006))</v>
      </c>
      <c r="K45" s="43" t="str">
        <f>CONCATENATE("r",D45,": ",F45," -&gt; ",H45," | ",J45)</f>
        <v>r44: C04688 + C00006 -&gt; C05759 + C00005 + C00080 | (${Variables:E1_1_1_100_kcat} * E1_1_1_100 * C04688 * C00006)/(${Variables:E1_1_1_100_km} + (E1_1_1_100 * C04688 * C00006))</v>
      </c>
    </row>
    <row r="46" spans="1:11" ht="42.75" x14ac:dyDescent="0.45">
      <c r="A46" s="53" t="s">
        <v>7216</v>
      </c>
      <c r="B46" s="54" t="s">
        <v>7217</v>
      </c>
      <c r="C46" t="s">
        <v>10309</v>
      </c>
      <c r="D46" s="12">
        <v>45</v>
      </c>
      <c r="E46" s="12" t="str">
        <f>CONCATENATE("E",C46)</f>
        <v>E1_1_1_100</v>
      </c>
      <c r="F46" s="12" t="s">
        <v>8817</v>
      </c>
      <c r="G46" s="12" t="s">
        <v>10459</v>
      </c>
      <c r="H46" t="s">
        <v>8818</v>
      </c>
      <c r="I46" t="s">
        <v>10679</v>
      </c>
      <c r="J46" s="12" t="str">
        <f>CONCATENATE("(${Variables:",E46,"_kcat","} * ",E46," * ",G46,")","/(${Variables:",E46,"_km","} + (",E46," * ",G46,"))")</f>
        <v>(${Variables:E1_1_1_100_kcat} * E1_1_1_100 * C05747 * C00006)/(${Variables:E1_1_1_100_km} + (E1_1_1_100 * C05747 * C00006))</v>
      </c>
      <c r="K46" s="43" t="str">
        <f>CONCATENATE("r",D46,": ",F46," -&gt; ",H46," | ",J46)</f>
        <v>r45: C05747 + C00006 -&gt; C05746 + C00005 + C00080 | (${Variables:E1_1_1_100_kcat} * E1_1_1_100 * C05747 * C00006)/(${Variables:E1_1_1_100_km} + (E1_1_1_100 * C05747 * C00006))</v>
      </c>
    </row>
    <row r="47" spans="1:11" ht="42.75" x14ac:dyDescent="0.45">
      <c r="A47" s="53" t="s">
        <v>7216</v>
      </c>
      <c r="B47" s="54" t="s">
        <v>7217</v>
      </c>
      <c r="C47" t="s">
        <v>10309</v>
      </c>
      <c r="D47" s="12">
        <v>46</v>
      </c>
      <c r="E47" s="12" t="str">
        <f>CONCATENATE("E",C47)</f>
        <v>E1_1_1_100</v>
      </c>
      <c r="F47" s="12" t="s">
        <v>8820</v>
      </c>
      <c r="G47" s="12" t="s">
        <v>10460</v>
      </c>
      <c r="H47" t="s">
        <v>8821</v>
      </c>
      <c r="I47" t="s">
        <v>10680</v>
      </c>
      <c r="J47" s="12" t="str">
        <f>CONCATENATE("(${Variables:",E47,"_kcat","} * ",E47," * ",G47,")","/(${Variables:",E47,"_km","} + (",E47," * ",G47,"))")</f>
        <v>(${Variables:E1_1_1_100_kcat} * E1_1_1_100 * C05757 * C00006)/(${Variables:E1_1_1_100_km} + (E1_1_1_100 * C05757 * C00006))</v>
      </c>
      <c r="K47" s="43" t="str">
        <f>CONCATENATE("r",D47,": ",F47," -&gt; ",H47," | ",J47)</f>
        <v>r46: C05757 + C00006 -&gt; C05756 + C00005 + C00080 | (${Variables:E1_1_1_100_kcat} * E1_1_1_100 * C05757 * C00006)/(${Variables:E1_1_1_100_km} + (E1_1_1_100 * C05757 * C00006))</v>
      </c>
    </row>
    <row r="48" spans="1:11" ht="57" x14ac:dyDescent="0.45">
      <c r="A48" s="53" t="s">
        <v>7216</v>
      </c>
      <c r="B48" s="54" t="s">
        <v>7217</v>
      </c>
      <c r="C48" t="s">
        <v>10309</v>
      </c>
      <c r="D48" s="12">
        <v>47</v>
      </c>
      <c r="E48" s="12" t="str">
        <f>CONCATENATE("E",C48)</f>
        <v>E1_1_1_100</v>
      </c>
      <c r="F48" s="12" t="s">
        <v>8823</v>
      </c>
      <c r="G48" s="12" t="s">
        <v>10461</v>
      </c>
      <c r="H48" t="s">
        <v>8824</v>
      </c>
      <c r="I48" t="s">
        <v>10681</v>
      </c>
      <c r="J48" s="12" t="str">
        <f>CONCATENATE("(${Variables:",E48,"_kcat","} * ",E48," * ",G48,")","/(${Variables:",E48,"_km","} + (",E48," * ",G48,"))")</f>
        <v>(${Variables:E1_1_1_100_kcat} * E1_1_1_100 * C16219 * C00005 * C00080)/(${Variables:E1_1_1_100_km} + (E1_1_1_100 * C16219 * C00005 * C00080))</v>
      </c>
      <c r="K48" s="43" t="str">
        <f>CONCATENATE("r",D48,": ",F48," -&gt; ",H48," | ",J48)</f>
        <v>r47: C16219 + C00005 + C00080 -&gt; C16220 + C00006 | (${Variables:E1_1_1_100_kcat} * E1_1_1_100 * C16219 * C00005 * C00080)/(${Variables:E1_1_1_100_km} + (E1_1_1_100 * C16219 * C00005 * C00080))</v>
      </c>
    </row>
    <row r="49" spans="1:11" ht="57" x14ac:dyDescent="0.45">
      <c r="A49" s="53" t="s">
        <v>7216</v>
      </c>
      <c r="B49" s="54" t="s">
        <v>7217</v>
      </c>
      <c r="C49" t="s">
        <v>10309</v>
      </c>
      <c r="D49" s="12">
        <v>48</v>
      </c>
      <c r="E49" s="12" t="str">
        <f>CONCATENATE("E",C49)</f>
        <v>E1_1_1_100</v>
      </c>
      <c r="F49" s="12" t="s">
        <v>8826</v>
      </c>
      <c r="G49" s="12" t="s">
        <v>10462</v>
      </c>
      <c r="H49" t="s">
        <v>8827</v>
      </c>
      <c r="I49" t="s">
        <v>10682</v>
      </c>
      <c r="J49" s="12" t="str">
        <f>CONCATENATE("(${Variables:",E49,"_kcat","} * ",E49," * ",G49,")","/(${Variables:",E49,"_km","} + (",E49," * ",G49,"))")</f>
        <v>(${Variables:E1_1_1_100_kcat} * E1_1_1_100 * C20372 * C00005 * C00080)/(${Variables:E1_1_1_100_km} + (E1_1_1_100 * C20372 * C00005 * C00080))</v>
      </c>
      <c r="K49" s="43" t="str">
        <f>CONCATENATE("r",D49,": ",F49," -&gt; ",H49," | ",J49)</f>
        <v>r48: C20372 + C00005 + C00080 -&gt; C20373 + C00006 | (${Variables:E1_1_1_100_kcat} * E1_1_1_100 * C20372 * C00005 * C00080)/(${Variables:E1_1_1_100_km} + (E1_1_1_100 * C20372 * C00005 * C00080))</v>
      </c>
    </row>
    <row r="50" spans="1:11" ht="57" x14ac:dyDescent="0.45">
      <c r="A50" s="53" t="s">
        <v>7216</v>
      </c>
      <c r="B50" s="54" t="s">
        <v>7217</v>
      </c>
      <c r="C50" t="s">
        <v>10309</v>
      </c>
      <c r="D50" s="12">
        <v>49</v>
      </c>
      <c r="E50" s="12" t="str">
        <f>CONCATENATE("E",C50)</f>
        <v>E1_1_1_100</v>
      </c>
      <c r="F50" s="12" t="s">
        <v>8829</v>
      </c>
      <c r="G50" s="12" t="s">
        <v>10463</v>
      </c>
      <c r="H50" t="s">
        <v>8830</v>
      </c>
      <c r="I50" t="s">
        <v>10683</v>
      </c>
      <c r="J50" s="12" t="str">
        <f>CONCATENATE("(${Variables:",E50,"_kcat","} * ",E50," * ",G50,")","/(${Variables:",E50,"_km","} + (",E50," * ",G50,"))")</f>
        <v>(${Variables:E1_1_1_100_kcat} * E1_1_1_100 * C20376 * C00005 * C00080)/(${Variables:E1_1_1_100_km} + (E1_1_1_100 * C20376 * C00005 * C00080))</v>
      </c>
      <c r="K50" s="43" t="str">
        <f>CONCATENATE("r",D50,": ",F50," -&gt; ",H50," | ",J50)</f>
        <v>r49: C20376 + C00005 + C00080 -&gt; C20377 + C00006 | (${Variables:E1_1_1_100_kcat} * E1_1_1_100 * C20376 * C00005 * C00080)/(${Variables:E1_1_1_100_km} + (E1_1_1_100 * C20376 * C00005 * C00080))</v>
      </c>
    </row>
    <row r="51" spans="1:11" ht="42.75" x14ac:dyDescent="0.45">
      <c r="A51" s="53" t="s">
        <v>4676</v>
      </c>
      <c r="B51" s="54" t="s">
        <v>4677</v>
      </c>
      <c r="C51" t="s">
        <v>10309</v>
      </c>
      <c r="D51" s="12">
        <v>50</v>
      </c>
      <c r="E51" s="12" t="str">
        <f>CONCATENATE("E",C51)</f>
        <v>E1_1_1_100</v>
      </c>
      <c r="F51" t="s">
        <v>8799</v>
      </c>
      <c r="G51" t="s">
        <v>10453</v>
      </c>
      <c r="H51" t="s">
        <v>8800</v>
      </c>
      <c r="I51" t="s">
        <v>10673</v>
      </c>
      <c r="J51" s="12" t="str">
        <f>CONCATENATE("(${Variables:",E51,"_kcat","} * ",E51," * ",G51,")","/(${Variables:",E51,"_km","} + (",E51," * ",G51,"))")</f>
        <v>(${Variables:E1_1_1_100_kcat} * E1_1_1_100 * C01271 * C00006)/(${Variables:E1_1_1_100_km} + (E1_1_1_100 * C01271 * C00006))</v>
      </c>
      <c r="K51" s="43" t="str">
        <f>CONCATENATE("r",D51,": ",F51," -&gt; ",H51," | ",J51)</f>
        <v>r50: C01271 + C00006 -&gt; C00685 + C00005 + C00080 | (${Variables:E1_1_1_100_kcat} * E1_1_1_100 * C01271 * C00006)/(${Variables:E1_1_1_100_km} + (E1_1_1_100 * C01271 * C00006))</v>
      </c>
    </row>
    <row r="52" spans="1:11" ht="42.75" x14ac:dyDescent="0.45">
      <c r="A52" s="53" t="s">
        <v>4676</v>
      </c>
      <c r="B52" s="54" t="s">
        <v>4677</v>
      </c>
      <c r="C52" t="s">
        <v>10309</v>
      </c>
      <c r="D52" s="12">
        <v>51</v>
      </c>
      <c r="E52" s="12" t="str">
        <f>CONCATENATE("E",C52)</f>
        <v>E1_1_1_100</v>
      </c>
      <c r="F52" s="12" t="s">
        <v>8802</v>
      </c>
      <c r="G52" s="12" t="s">
        <v>10454</v>
      </c>
      <c r="H52" t="s">
        <v>8803</v>
      </c>
      <c r="I52" t="s">
        <v>10674</v>
      </c>
      <c r="J52" s="12" t="str">
        <f>CONCATENATE("(${Variables:",E52,"_kcat","} * ",E52," * ",G52,")","/(${Variables:",E52,"_km","} + (",E52," * ",G52,"))")</f>
        <v>(${Variables:E1_1_1_100_kcat} * E1_1_1_100 * C04618 * C00006)/(${Variables:E1_1_1_100_km} + (E1_1_1_100 * C04618 * C00006))</v>
      </c>
      <c r="K52" s="43" t="str">
        <f>CONCATENATE("r",D52,": ",F52," -&gt; ",H52," | ",J52)</f>
        <v>r51: C04618 + C00006 -&gt; C05744 + C00005 + C00080 | (${Variables:E1_1_1_100_kcat} * E1_1_1_100 * C04618 * C00006)/(${Variables:E1_1_1_100_km} + (E1_1_1_100 * C04618 * C00006))</v>
      </c>
    </row>
    <row r="53" spans="1:11" ht="42.75" x14ac:dyDescent="0.45">
      <c r="A53" s="53" t="s">
        <v>4676</v>
      </c>
      <c r="B53" s="54" t="s">
        <v>4677</v>
      </c>
      <c r="C53" t="s">
        <v>10309</v>
      </c>
      <c r="D53" s="12">
        <v>52</v>
      </c>
      <c r="E53" s="12" t="str">
        <f>CONCATENATE("E",C53)</f>
        <v>E1_1_1_100</v>
      </c>
      <c r="F53" s="12" t="s">
        <v>8805</v>
      </c>
      <c r="G53" s="12" t="s">
        <v>10455</v>
      </c>
      <c r="H53" t="s">
        <v>8806</v>
      </c>
      <c r="I53" t="s">
        <v>10675</v>
      </c>
      <c r="J53" s="12" t="str">
        <f>CONCATENATE("(${Variables:",E53,"_kcat","} * ",E53," * ",G53,")","/(${Variables:",E53,"_km","} + (",E53," * ",G53,"))")</f>
        <v>(${Variables:E1_1_1_100_kcat} * E1_1_1_100 * C04619 * C00006)/(${Variables:E1_1_1_100_km} + (E1_1_1_100 * C04619 * C00006))</v>
      </c>
      <c r="K53" s="43" t="str">
        <f>CONCATENATE("r",D53,": ",F53," -&gt; ",H53," | ",J53)</f>
        <v>r52: C04619 + C00006 -&gt; C05753 + C00005 | (${Variables:E1_1_1_100_kcat} * E1_1_1_100 * C04619 * C00006)/(${Variables:E1_1_1_100_km} + (E1_1_1_100 * C04619 * C00006))</v>
      </c>
    </row>
    <row r="54" spans="1:11" ht="42.75" x14ac:dyDescent="0.45">
      <c r="A54" s="53" t="s">
        <v>4676</v>
      </c>
      <c r="B54" s="54" t="s">
        <v>4677</v>
      </c>
      <c r="C54" t="s">
        <v>10309</v>
      </c>
      <c r="D54" s="12">
        <v>53</v>
      </c>
      <c r="E54" s="12" t="str">
        <f>CONCATENATE("E",C54)</f>
        <v>E1_1_1_100</v>
      </c>
      <c r="F54" t="s">
        <v>8808</v>
      </c>
      <c r="G54" t="s">
        <v>10456</v>
      </c>
      <c r="H54" t="s">
        <v>8809</v>
      </c>
      <c r="I54" t="s">
        <v>10676</v>
      </c>
      <c r="J54" s="12" t="str">
        <f>CONCATENATE("(${Variables:",E54,"_kcat","} * ",E54," * ",G54,")","/(${Variables:",E54,"_km","} + (",E54," * ",G54,"))")</f>
        <v>(${Variables:E1_1_1_100_kcat} * E1_1_1_100 * C04620 * C00006)/(${Variables:E1_1_1_100_km} + (E1_1_1_100 * C04620 * C00006))</v>
      </c>
      <c r="K54" s="43" t="str">
        <f>CONCATENATE("r",D54,": ",F54," -&gt; ",H54," | ",J54)</f>
        <v>r53: C04620 + C00006 -&gt; C05750 + C00005 + C00080 | (${Variables:E1_1_1_100_kcat} * E1_1_1_100 * C04620 * C00006)/(${Variables:E1_1_1_100_km} + (E1_1_1_100 * C04620 * C00006))</v>
      </c>
    </row>
    <row r="55" spans="1:11" ht="42.75" x14ac:dyDescent="0.45">
      <c r="A55" s="53" t="s">
        <v>4676</v>
      </c>
      <c r="B55" s="54" t="s">
        <v>4677</v>
      </c>
      <c r="C55" t="s">
        <v>10309</v>
      </c>
      <c r="D55" s="12">
        <v>54</v>
      </c>
      <c r="E55" s="12" t="str">
        <f>CONCATENATE("E",C55)</f>
        <v>E1_1_1_100</v>
      </c>
      <c r="F55" s="12" t="s">
        <v>8811</v>
      </c>
      <c r="G55" s="12" t="s">
        <v>10457</v>
      </c>
      <c r="H55" t="s">
        <v>8812</v>
      </c>
      <c r="I55" t="s">
        <v>10677</v>
      </c>
      <c r="J55" s="12" t="str">
        <f>CONCATENATE("(${Variables:",E55,"_kcat","} * ",E55," * ",G55,")","/(${Variables:",E55,"_km","} + (",E55," * ",G55,"))")</f>
        <v>(${Variables:E1_1_1_100_kcat} * E1_1_1_100 * C04633 * C00006)/(${Variables:E1_1_1_100_km} + (E1_1_1_100 * C04633 * C00006))</v>
      </c>
      <c r="K55" s="43" t="str">
        <f>CONCATENATE("r",D55,": ",F55," -&gt; ",H55," | ",J55)</f>
        <v>r54: C04633 + C00006 -&gt; C05762 + C00005 + C00080 | (${Variables:E1_1_1_100_kcat} * E1_1_1_100 * C04633 * C00006)/(${Variables:E1_1_1_100_km} + (E1_1_1_100 * C04633 * C00006))</v>
      </c>
    </row>
    <row r="56" spans="1:11" ht="42.75" x14ac:dyDescent="0.45">
      <c r="A56" s="53" t="s">
        <v>4676</v>
      </c>
      <c r="B56" s="54" t="s">
        <v>4677</v>
      </c>
      <c r="C56" t="s">
        <v>10309</v>
      </c>
      <c r="D56" s="12">
        <v>55</v>
      </c>
      <c r="E56" s="12" t="str">
        <f>CONCATENATE("E",C56)</f>
        <v>E1_1_1_100</v>
      </c>
      <c r="F56" s="12" t="s">
        <v>8814</v>
      </c>
      <c r="G56" s="12" t="s">
        <v>10458</v>
      </c>
      <c r="H56" t="s">
        <v>8815</v>
      </c>
      <c r="I56" t="s">
        <v>10678</v>
      </c>
      <c r="J56" s="12" t="str">
        <f>CONCATENATE("(${Variables:",E56,"_kcat","} * ",E56," * ",G56,")","/(${Variables:",E56,"_km","} + (",E56," * ",G56,"))")</f>
        <v>(${Variables:E1_1_1_100_kcat} * E1_1_1_100 * C04688 * C00006)/(${Variables:E1_1_1_100_km} + (E1_1_1_100 * C04688 * C00006))</v>
      </c>
      <c r="K56" s="43" t="str">
        <f>CONCATENATE("r",D56,": ",F56," -&gt; ",H56," | ",J56)</f>
        <v>r55: C04688 + C00006 -&gt; C05759 + C00005 + C00080 | (${Variables:E1_1_1_100_kcat} * E1_1_1_100 * C04688 * C00006)/(${Variables:E1_1_1_100_km} + (E1_1_1_100 * C04688 * C00006))</v>
      </c>
    </row>
    <row r="57" spans="1:11" ht="42.75" x14ac:dyDescent="0.45">
      <c r="A57" s="53" t="s">
        <v>4676</v>
      </c>
      <c r="B57" s="54" t="s">
        <v>4677</v>
      </c>
      <c r="C57" t="s">
        <v>10309</v>
      </c>
      <c r="D57" s="12">
        <v>56</v>
      </c>
      <c r="E57" s="12" t="str">
        <f>CONCATENATE("E",C57)</f>
        <v>E1_1_1_100</v>
      </c>
      <c r="F57" s="12" t="s">
        <v>8817</v>
      </c>
      <c r="G57" s="12" t="s">
        <v>10459</v>
      </c>
      <c r="H57" t="s">
        <v>8818</v>
      </c>
      <c r="I57" t="s">
        <v>10679</v>
      </c>
      <c r="J57" s="12" t="str">
        <f>CONCATENATE("(${Variables:",E57,"_kcat","} * ",E57," * ",G57,")","/(${Variables:",E57,"_km","} + (",E57," * ",G57,"))")</f>
        <v>(${Variables:E1_1_1_100_kcat} * E1_1_1_100 * C05747 * C00006)/(${Variables:E1_1_1_100_km} + (E1_1_1_100 * C05747 * C00006))</v>
      </c>
      <c r="K57" s="43" t="str">
        <f>CONCATENATE("r",D57,": ",F57," -&gt; ",H57," | ",J57)</f>
        <v>r56: C05747 + C00006 -&gt; C05746 + C00005 + C00080 | (${Variables:E1_1_1_100_kcat} * E1_1_1_100 * C05747 * C00006)/(${Variables:E1_1_1_100_km} + (E1_1_1_100 * C05747 * C00006))</v>
      </c>
    </row>
    <row r="58" spans="1:11" ht="42.75" x14ac:dyDescent="0.45">
      <c r="A58" s="53" t="s">
        <v>4676</v>
      </c>
      <c r="B58" s="54" t="s">
        <v>4677</v>
      </c>
      <c r="C58" t="s">
        <v>10309</v>
      </c>
      <c r="D58" s="12">
        <v>57</v>
      </c>
      <c r="E58" s="12" t="str">
        <f>CONCATENATE("E",C58)</f>
        <v>E1_1_1_100</v>
      </c>
      <c r="F58" s="12" t="s">
        <v>8820</v>
      </c>
      <c r="G58" s="12" t="s">
        <v>10460</v>
      </c>
      <c r="H58" t="s">
        <v>8821</v>
      </c>
      <c r="I58" t="s">
        <v>10680</v>
      </c>
      <c r="J58" s="12" t="str">
        <f>CONCATENATE("(${Variables:",E58,"_kcat","} * ",E58," * ",G58,")","/(${Variables:",E58,"_km","} + (",E58," * ",G58,"))")</f>
        <v>(${Variables:E1_1_1_100_kcat} * E1_1_1_100 * C05757 * C00006)/(${Variables:E1_1_1_100_km} + (E1_1_1_100 * C05757 * C00006))</v>
      </c>
      <c r="K58" s="43" t="str">
        <f>CONCATENATE("r",D58,": ",F58," -&gt; ",H58," | ",J58)</f>
        <v>r57: C05757 + C00006 -&gt; C05756 + C00005 + C00080 | (${Variables:E1_1_1_100_kcat} * E1_1_1_100 * C05757 * C00006)/(${Variables:E1_1_1_100_km} + (E1_1_1_100 * C05757 * C00006))</v>
      </c>
    </row>
    <row r="59" spans="1:11" ht="57" x14ac:dyDescent="0.45">
      <c r="A59" s="53" t="s">
        <v>4676</v>
      </c>
      <c r="B59" s="54" t="s">
        <v>4677</v>
      </c>
      <c r="C59" t="s">
        <v>10309</v>
      </c>
      <c r="D59" s="12">
        <v>58</v>
      </c>
      <c r="E59" s="12" t="str">
        <f>CONCATENATE("E",C59)</f>
        <v>E1_1_1_100</v>
      </c>
      <c r="F59" s="12" t="s">
        <v>8823</v>
      </c>
      <c r="G59" s="12" t="s">
        <v>10461</v>
      </c>
      <c r="H59" t="s">
        <v>8824</v>
      </c>
      <c r="I59" t="s">
        <v>10681</v>
      </c>
      <c r="J59" s="12" t="str">
        <f>CONCATENATE("(${Variables:",E59,"_kcat","} * ",E59," * ",G59,")","/(${Variables:",E59,"_km","} + (",E59," * ",G59,"))")</f>
        <v>(${Variables:E1_1_1_100_kcat} * E1_1_1_100 * C16219 * C00005 * C00080)/(${Variables:E1_1_1_100_km} + (E1_1_1_100 * C16219 * C00005 * C00080))</v>
      </c>
      <c r="K59" s="43" t="str">
        <f>CONCATENATE("r",D59,": ",F59," -&gt; ",H59," | ",J59)</f>
        <v>r58: C16219 + C00005 + C00080 -&gt; C16220 + C00006 | (${Variables:E1_1_1_100_kcat} * E1_1_1_100 * C16219 * C00005 * C00080)/(${Variables:E1_1_1_100_km} + (E1_1_1_100 * C16219 * C00005 * C00080))</v>
      </c>
    </row>
    <row r="60" spans="1:11" ht="57" x14ac:dyDescent="0.45">
      <c r="A60" s="53" t="s">
        <v>4676</v>
      </c>
      <c r="B60" s="54" t="s">
        <v>4677</v>
      </c>
      <c r="C60" t="s">
        <v>10309</v>
      </c>
      <c r="D60" s="12">
        <v>59</v>
      </c>
      <c r="E60" s="12" t="str">
        <f>CONCATENATE("E",C60)</f>
        <v>E1_1_1_100</v>
      </c>
      <c r="F60" s="12" t="s">
        <v>8826</v>
      </c>
      <c r="G60" s="12" t="s">
        <v>10462</v>
      </c>
      <c r="H60" t="s">
        <v>8827</v>
      </c>
      <c r="I60" t="s">
        <v>10682</v>
      </c>
      <c r="J60" s="12" t="str">
        <f>CONCATENATE("(${Variables:",E60,"_kcat","} * ",E60," * ",G60,")","/(${Variables:",E60,"_km","} + (",E60," * ",G60,"))")</f>
        <v>(${Variables:E1_1_1_100_kcat} * E1_1_1_100 * C20372 * C00005 * C00080)/(${Variables:E1_1_1_100_km} + (E1_1_1_100 * C20372 * C00005 * C00080))</v>
      </c>
      <c r="K60" s="43" t="str">
        <f>CONCATENATE("r",D60,": ",F60," -&gt; ",H60," | ",J60)</f>
        <v>r59: C20372 + C00005 + C00080 -&gt; C20373 + C00006 | (${Variables:E1_1_1_100_kcat} * E1_1_1_100 * C20372 * C00005 * C00080)/(${Variables:E1_1_1_100_km} + (E1_1_1_100 * C20372 * C00005 * C00080))</v>
      </c>
    </row>
    <row r="61" spans="1:11" ht="57" x14ac:dyDescent="0.45">
      <c r="A61" s="53" t="s">
        <v>4676</v>
      </c>
      <c r="B61" s="54" t="s">
        <v>4677</v>
      </c>
      <c r="C61" t="s">
        <v>10309</v>
      </c>
      <c r="D61" s="12">
        <v>60</v>
      </c>
      <c r="E61" s="12" t="str">
        <f>CONCATENATE("E",C61)</f>
        <v>E1_1_1_100</v>
      </c>
      <c r="F61" s="12" t="s">
        <v>8829</v>
      </c>
      <c r="G61" s="12" t="s">
        <v>10463</v>
      </c>
      <c r="H61" t="s">
        <v>8830</v>
      </c>
      <c r="I61" t="s">
        <v>10683</v>
      </c>
      <c r="J61" s="12" t="str">
        <f>CONCATENATE("(${Variables:",E61,"_kcat","} * ",E61," * ",G61,")","/(${Variables:",E61,"_km","} + (",E61," * ",G61,"))")</f>
        <v>(${Variables:E1_1_1_100_kcat} * E1_1_1_100 * C20376 * C00005 * C00080)/(${Variables:E1_1_1_100_km} + (E1_1_1_100 * C20376 * C00005 * C00080))</v>
      </c>
      <c r="K61" s="43" t="str">
        <f>CONCATENATE("r",D61,": ",F61," -&gt; ",H61," | ",J61)</f>
        <v>r60: C20376 + C00005 + C00080 -&gt; C20377 + C00006 | (${Variables:E1_1_1_100_kcat} * E1_1_1_100 * C20376 * C00005 * C00080)/(${Variables:E1_1_1_100_km} + (E1_1_1_100 * C20376 * C00005 * C00080))</v>
      </c>
    </row>
    <row r="62" spans="1:11" ht="42.75" x14ac:dyDescent="0.45">
      <c r="A62" s="53" t="s">
        <v>5741</v>
      </c>
      <c r="B62" s="54" t="s">
        <v>5742</v>
      </c>
      <c r="C62" t="s">
        <v>10310</v>
      </c>
      <c r="D62" s="12">
        <v>61</v>
      </c>
      <c r="E62" s="12" t="str">
        <f>CONCATENATE("E",C62)</f>
        <v>E1_1_1_133</v>
      </c>
      <c r="F62" t="s">
        <v>9249</v>
      </c>
      <c r="G62" t="s">
        <v>10464</v>
      </c>
      <c r="H62" t="s">
        <v>9250</v>
      </c>
      <c r="I62" t="s">
        <v>10684</v>
      </c>
      <c r="J62" s="12" t="str">
        <f>CONCATENATE("(${Variables:",E62,"_kcat","} * ",E62," * ",G62,")","/(${Variables:",E62,"_km","} + (",E62," * ",G62,"))")</f>
        <v>(${Variables:E1_1_1_133_kcat} * E1_1_1_133 * C03319 * C00006)/(${Variables:E1_1_1_133_km} + (E1_1_1_133 * C03319 * C00006))</v>
      </c>
      <c r="K62" s="43" t="str">
        <f>CONCATENATE("r",D62,": ",F62," -&gt; ",H62," | ",J62)</f>
        <v>r61: C03319 + C00006 -&gt; C00688 + C00005 + C00080 | (${Variables:E1_1_1_133_kcat} * E1_1_1_133 * C03319 * C00006)/(${Variables:E1_1_1_133_km} + (E1_1_1_133 * C03319 * C00006))</v>
      </c>
    </row>
    <row r="63" spans="1:11" ht="42.75" x14ac:dyDescent="0.45">
      <c r="A63" s="53" t="s">
        <v>6443</v>
      </c>
      <c r="B63" s="54" t="s">
        <v>6444</v>
      </c>
      <c r="C63" t="s">
        <v>10311</v>
      </c>
      <c r="D63" s="12">
        <v>62</v>
      </c>
      <c r="E63" s="12" t="str">
        <f>CONCATENATE("E",C63)</f>
        <v>E1_1_1_169</v>
      </c>
      <c r="F63" s="12" t="s">
        <v>9654</v>
      </c>
      <c r="G63" s="12" t="s">
        <v>10465</v>
      </c>
      <c r="H63" t="s">
        <v>9655</v>
      </c>
      <c r="I63" t="s">
        <v>10685</v>
      </c>
      <c r="J63" s="12" t="str">
        <f>CONCATENATE("(${Variables:",E63,"_kcat","} * ",E63," * ",G63,")","/(${Variables:",E63,"_km","} + (",E63," * ",G63,"))")</f>
        <v>(${Variables:E1_1_1_169_kcat} * E1_1_1_169 * C00522 * C00006)/(${Variables:E1_1_1_169_km} + (E1_1_1_169 * C00522 * C00006))</v>
      </c>
      <c r="K63" s="43" t="str">
        <f>CONCATENATE("r",D63,": ",F63," -&gt; ",H63," | ",J63)</f>
        <v>r62: C00522 + C00006 -&gt; C00966 + C00005 + C00080 | (${Variables:E1_1_1_169_kcat} * E1_1_1_169 * C00522 * C00006)/(${Variables:E1_1_1_169_km} + (E1_1_1_169 * C00522 * C00006))</v>
      </c>
    </row>
    <row r="64" spans="1:11" ht="57" x14ac:dyDescent="0.45">
      <c r="A64" s="53" t="s">
        <v>8337</v>
      </c>
      <c r="B64" s="54" t="s">
        <v>8338</v>
      </c>
      <c r="C64" t="s">
        <v>10312</v>
      </c>
      <c r="D64" s="12">
        <v>63</v>
      </c>
      <c r="E64" s="12" t="str">
        <f>CONCATENATE("E",C64)</f>
        <v>E1_1_1_205</v>
      </c>
      <c r="F64" s="12" t="s">
        <v>10299</v>
      </c>
      <c r="G64" s="12" t="s">
        <v>10466</v>
      </c>
      <c r="H64" t="s">
        <v>10300</v>
      </c>
      <c r="I64" t="s">
        <v>10686</v>
      </c>
      <c r="J64" s="12" t="str">
        <f>CONCATENATE("(${Variables:",E64,"_kcat","} * ",E64," * ",G64,")","/(${Variables:",E64,"_km","} + (",E64," * ",G64,"))")</f>
        <v>(${Variables:E1_1_1_205_kcat} * E1_1_1_205 * C00130 * C00003 * C00001)/(${Variables:E1_1_1_205_km} + (E1_1_1_205 * C00130 * C00003 * C00001))</v>
      </c>
      <c r="K64" s="43" t="str">
        <f>CONCATENATE("r",D64,": ",F64," -&gt; ",H64," | ",J64)</f>
        <v>r63: C00130 + C00003 + C00001 -&gt; C00655 + C00004 + C00080 | (${Variables:E1_1_1_205_kcat} * E1_1_1_205 * C00130 * C00003 * C00001)/(${Variables:E1_1_1_205_km} + (E1_1_1_205 * C00130 * C00003 * C00001))</v>
      </c>
    </row>
    <row r="65" spans="1:11" ht="57" x14ac:dyDescent="0.45">
      <c r="A65" s="53" t="s">
        <v>8337</v>
      </c>
      <c r="B65" s="54" t="s">
        <v>8338</v>
      </c>
      <c r="C65" t="s">
        <v>10312</v>
      </c>
      <c r="D65" s="12">
        <v>64</v>
      </c>
      <c r="E65" s="12" t="str">
        <f>CONCATENATE("E",C65)</f>
        <v>E1_1_1_205</v>
      </c>
      <c r="F65" s="12" t="s">
        <v>10302</v>
      </c>
      <c r="G65" s="12" t="s">
        <v>10467</v>
      </c>
      <c r="H65" t="s">
        <v>10303</v>
      </c>
      <c r="I65" t="s">
        <v>10687</v>
      </c>
      <c r="J65" s="12" t="str">
        <f>CONCATENATE("(${Variables:",E65,"_kcat","} * ",E65," * ",G65,")","/(${Variables:",E65,"_km","} + (",E65," * ",G65,"))")</f>
        <v>(${Variables:E1_1_1_205_kcat} * E1_1_1_205 * C04646 * C00003 * C00001)/(${Variables:E1_1_1_205_km} + (E1_1_1_205 * C04646 * C00003 * C00001))</v>
      </c>
      <c r="K65" s="43" t="str">
        <f>CONCATENATE("r",D65,": ",F65," -&gt; ",H65," | ",J65)</f>
        <v>r64: C04646 + C00003 + C00001 -&gt; C16618 + C00004 + C00080 | (${Variables:E1_1_1_205_kcat} * E1_1_1_205 * C04646 * C00003 * C00001)/(${Variables:E1_1_1_205_km} + (E1_1_1_205 * C04646 * C00003 * C00001))</v>
      </c>
    </row>
    <row r="66" spans="1:11" ht="42.75" x14ac:dyDescent="0.45">
      <c r="A66" s="53" t="s">
        <v>7252</v>
      </c>
      <c r="B66" s="54" t="s">
        <v>7253</v>
      </c>
      <c r="C66" t="s">
        <v>10313</v>
      </c>
      <c r="D66" s="12">
        <v>65</v>
      </c>
      <c r="E66" s="12" t="str">
        <f>CONCATENATE("E",C66)</f>
        <v>E1_1_1_25</v>
      </c>
      <c r="F66" s="12" t="s">
        <v>10020</v>
      </c>
      <c r="G66" s="12" t="s">
        <v>10468</v>
      </c>
      <c r="H66" t="s">
        <v>10021</v>
      </c>
      <c r="I66" t="s">
        <v>10688</v>
      </c>
      <c r="J66" s="12" t="str">
        <f>CONCATENATE("(${Variables:",E66,"_kcat","} * ",E66," * ",G66,")","/(${Variables:",E66,"_km","} + (",E66," * ",G66,"))")</f>
        <v>(${Variables:E1_1_1_25_kcat} * E1_1_1_25 * C00493 * C00006)/(${Variables:E1_1_1_25_km} + (E1_1_1_25 * C00493 * C00006))</v>
      </c>
      <c r="K66" s="43" t="str">
        <f>CONCATENATE("r",D66,": ",F66," -&gt; ",H66," | ",J66)</f>
        <v>r65: C00493 + C00006 -&gt; C02637 + C00005 + C00080 | (${Variables:E1_1_1_25_kcat} * E1_1_1_25 * C00493 * C00006)/(${Variables:E1_1_1_25_km} + (E1_1_1_25 * C00493 * C00006))</v>
      </c>
    </row>
    <row r="67" spans="1:11" ht="42.75" x14ac:dyDescent="0.45">
      <c r="A67" s="53" t="s">
        <v>7252</v>
      </c>
      <c r="B67" s="54" t="s">
        <v>7253</v>
      </c>
      <c r="C67" t="s">
        <v>10313</v>
      </c>
      <c r="D67" s="12">
        <v>66</v>
      </c>
      <c r="E67" s="12" t="str">
        <f>CONCATENATE("E",C67)</f>
        <v>E1_1_1_25</v>
      </c>
      <c r="F67" s="12" t="s">
        <v>10023</v>
      </c>
      <c r="G67" s="12" t="s">
        <v>10469</v>
      </c>
      <c r="H67" t="s">
        <v>10024</v>
      </c>
      <c r="I67" t="s">
        <v>10689</v>
      </c>
      <c r="J67" s="12" t="str">
        <f>CONCATENATE("(${Variables:",E67,"_kcat","} * ",E67," * ",G67,")","/(${Variables:",E67,"_km","} + (",E67," * ",G67,"))")</f>
        <v>(${Variables:E1_1_1_25_kcat} * E1_1_1_25 * C02637 * C00006)/(${Variables:E1_1_1_25_km} + (E1_1_1_25 * C02637 * C00006))</v>
      </c>
      <c r="K67" s="43" t="str">
        <f>CONCATENATE("r",D67,": ",F67," -&gt; ",H67," | ",J67)</f>
        <v>r66: C02637 + C00006 -&gt; C22438 + C00005 + C00080 | (${Variables:E1_1_1_25_kcat} * E1_1_1_25 * C02637 * C00006)/(${Variables:E1_1_1_25_km} + (E1_1_1_25 * C02637 * C00006))</v>
      </c>
    </row>
    <row r="68" spans="1:11" ht="42.75" x14ac:dyDescent="0.45">
      <c r="A68" s="53" t="s">
        <v>6254</v>
      </c>
      <c r="B68" s="54" t="s">
        <v>6255</v>
      </c>
      <c r="C68" t="s">
        <v>1847</v>
      </c>
      <c r="D68" s="12">
        <v>67</v>
      </c>
      <c r="E68" s="12" t="str">
        <f>CONCATENATE("E",C68)</f>
        <v>E1_1_1_27</v>
      </c>
      <c r="F68" s="12" t="s">
        <v>9422</v>
      </c>
      <c r="G68" s="12" t="s">
        <v>10470</v>
      </c>
      <c r="H68" t="s">
        <v>3327</v>
      </c>
      <c r="I68" t="s">
        <v>1442</v>
      </c>
      <c r="J68" s="12" t="str">
        <f>CONCATENATE("(${Variables:",E68,"_kcat","} * ",E68," * ",G68,")","/(${Variables:",E68,"_km","} + (",E68," * ",G68,"))")</f>
        <v>(${Variables:E1_1_1_27_kcat} * E1_1_1_27 * C00186 * C00003)/(${Variables:E1_1_1_27_km} + (E1_1_1_27 * C00186 * C00003))</v>
      </c>
      <c r="K68" s="43" t="str">
        <f>CONCATENATE("r",D68,": ",F68," -&gt; ",H68," | ",J68)</f>
        <v>r67: C00186 + C00003 -&gt; C00022 + C00004 + C00080 | (${Variables:E1_1_1_27_kcat} * E1_1_1_27 * C00186 * C00003)/(${Variables:E1_1_1_27_km} + (E1_1_1_27 * C00186 * C00003))</v>
      </c>
    </row>
    <row r="69" spans="1:11" ht="42.75" x14ac:dyDescent="0.45">
      <c r="A69" s="53" t="s">
        <v>6254</v>
      </c>
      <c r="B69" s="54" t="s">
        <v>6255</v>
      </c>
      <c r="C69" t="s">
        <v>1847</v>
      </c>
      <c r="D69" s="12">
        <v>68</v>
      </c>
      <c r="E69" s="12" t="str">
        <f>CONCATENATE("E",C69)</f>
        <v>E1_1_1_27</v>
      </c>
      <c r="F69" s="12" t="s">
        <v>3046</v>
      </c>
      <c r="G69" s="12" t="s">
        <v>1643</v>
      </c>
      <c r="H69" t="s">
        <v>3329</v>
      </c>
      <c r="I69" t="s">
        <v>1644</v>
      </c>
      <c r="J69" s="12" t="str">
        <f>CONCATENATE("(${Variables:",E69,"_kcat","} * ",E69," * ",G69,")","/(${Variables:",E69,"_km","} + (",E69," * ",G69,"))")</f>
        <v>(${Variables:E1_1_1_27_kcat} * E1_1_1_27 * C05984 * C00003)/(${Variables:E1_1_1_27_km} + (E1_1_1_27 * C05984 * C00003))</v>
      </c>
      <c r="K69" s="43" t="str">
        <f>CONCATENATE("r",D69,": ",F69," -&gt; ",H69," | ",J69)</f>
        <v>r68: C05984 + C00003 -&gt; C00109 + C00004 + C00080 | (${Variables:E1_1_1_27_kcat} * E1_1_1_27 * C05984 * C00003)/(${Variables:E1_1_1_27_km} + (E1_1_1_27 * C05984 * C00003))</v>
      </c>
    </row>
    <row r="70" spans="1:11" ht="42.75" x14ac:dyDescent="0.45">
      <c r="A70" s="53" t="s">
        <v>6254</v>
      </c>
      <c r="B70" s="54" t="s">
        <v>6255</v>
      </c>
      <c r="C70" t="s">
        <v>1847</v>
      </c>
      <c r="D70" s="12">
        <v>69</v>
      </c>
      <c r="E70" s="12" t="str">
        <f>CONCATENATE("E",C70)</f>
        <v>E1_1_1_27</v>
      </c>
      <c r="F70" t="s">
        <v>3045</v>
      </c>
      <c r="G70" t="s">
        <v>1635</v>
      </c>
      <c r="H70" t="s">
        <v>3328</v>
      </c>
      <c r="I70" t="s">
        <v>1636</v>
      </c>
      <c r="J70" s="12" t="str">
        <f>CONCATENATE("(${Variables:",E70,"_kcat","} * ",E70," * ",G70,")","/(${Variables:",E70,"_km","} + (",E70," * ",G70,"))")</f>
        <v>(${Variables:E1_1_1_27_kcat} * E1_1_1_27 * C05823 * C00003)/(${Variables:E1_1_1_27_km} + (E1_1_1_27 * C05823 * C00003))</v>
      </c>
      <c r="K70" s="43" t="str">
        <f>CONCATENATE("r",D70,": ",F70," -&gt; ",H70," | ",J70)</f>
        <v>r69: C05823 + C00003 -&gt; C00957 + C00004 + C00080 | (${Variables:E1_1_1_27_kcat} * E1_1_1_27 * C05823 * C00003)/(${Variables:E1_1_1_27_km} + (E1_1_1_27 * C05823 * C00003))</v>
      </c>
    </row>
    <row r="71" spans="1:11" ht="42.75" x14ac:dyDescent="0.45">
      <c r="A71" s="53" t="s">
        <v>6360</v>
      </c>
      <c r="B71" s="54" t="s">
        <v>6361</v>
      </c>
      <c r="C71" t="s">
        <v>1855</v>
      </c>
      <c r="D71" s="12">
        <v>70</v>
      </c>
      <c r="E71" s="12" t="str">
        <f>CONCATENATE("E",C71)</f>
        <v>E1_1_1_3</v>
      </c>
      <c r="F71" s="12" t="s">
        <v>3047</v>
      </c>
      <c r="G71" s="12" t="s">
        <v>1463</v>
      </c>
      <c r="H71" t="s">
        <v>3330</v>
      </c>
      <c r="I71" t="s">
        <v>1464</v>
      </c>
      <c r="J71" s="12" t="str">
        <f>CONCATENATE("(${Variables:",E71,"_kcat","} * ",E71," * ",G71,")","/(${Variables:",E71,"_km","} + (",E71," * ",G71,"))")</f>
        <v>(${Variables:E1_1_1_3_kcat} * E1_1_1_3 * C00263 * C00003)/(${Variables:E1_1_1_3_km} + (E1_1_1_3 * C00263 * C00003))</v>
      </c>
      <c r="K71" s="43" t="str">
        <f>CONCATENATE("r",D71,": ",F71," -&gt; ",H71," | ",J71)</f>
        <v>r70: C00263 + C00003 -&gt; C00441 + C00004 + C00080 | (${Variables:E1_1_1_3_kcat} * E1_1_1_3 * C00263 * C00003)/(${Variables:E1_1_1_3_km} + (E1_1_1_3 * C00263 * C00003))</v>
      </c>
    </row>
    <row r="72" spans="1:11" ht="42.75" x14ac:dyDescent="0.45">
      <c r="A72" s="53" t="s">
        <v>6360</v>
      </c>
      <c r="B72" s="54" t="s">
        <v>6361</v>
      </c>
      <c r="C72" t="s">
        <v>1855</v>
      </c>
      <c r="D72" s="12">
        <v>71</v>
      </c>
      <c r="E72" s="12" t="str">
        <f>CONCATENATE("E",C72)</f>
        <v>E1_1_1_3</v>
      </c>
      <c r="F72" s="12" t="s">
        <v>3048</v>
      </c>
      <c r="G72" s="12" t="s">
        <v>1465</v>
      </c>
      <c r="H72" t="s">
        <v>3331</v>
      </c>
      <c r="I72" t="s">
        <v>1466</v>
      </c>
      <c r="J72" s="12" t="str">
        <f>CONCATENATE("(${Variables:",E72,"_kcat","} * ",E72," * ",G72,")","/(${Variables:",E72,"_km","} + (",E72," * ",G72,"))")</f>
        <v>(${Variables:E1_1_1_3_kcat} * E1_1_1_3 * C00263 * C00006)/(${Variables:E1_1_1_3_km} + (E1_1_1_3 * C00263 * C00006))</v>
      </c>
      <c r="K72" s="43" t="str">
        <f>CONCATENATE("r",D72,": ",F72," -&gt; ",H72," | ",J72)</f>
        <v>r71: C00263 + C00006 -&gt; C00441 + C00005 + C00080 | (${Variables:E1_1_1_3_kcat} * E1_1_1_3 * C00263 * C00006)/(${Variables:E1_1_1_3_km} + (E1_1_1_3 * C00263 * C00006))</v>
      </c>
    </row>
    <row r="73" spans="1:11" ht="42.75" x14ac:dyDescent="0.45">
      <c r="A73" s="53" t="s">
        <v>8051</v>
      </c>
      <c r="B73" s="54" t="s">
        <v>8052</v>
      </c>
      <c r="C73" t="s">
        <v>10314</v>
      </c>
      <c r="D73" s="12">
        <v>72</v>
      </c>
      <c r="E73" s="12" t="str">
        <f>CONCATENATE("E",C73)</f>
        <v>E1_1_1_6</v>
      </c>
      <c r="F73" t="s">
        <v>10226</v>
      </c>
      <c r="G73" t="s">
        <v>10471</v>
      </c>
      <c r="H73" t="s">
        <v>10227</v>
      </c>
      <c r="I73" t="s">
        <v>10690</v>
      </c>
      <c r="J73" s="12" t="str">
        <f>CONCATENATE("(${Variables:",E73,"_kcat","} * ",E73," * ",G73,")","/(${Variables:",E73,"_km","} + (",E73," * ",G73,"))")</f>
        <v>(${Variables:E1_1_1_6_kcat} * E1_1_1_6 * C00116 * C00003)/(${Variables:E1_1_1_6_km} + (E1_1_1_6 * C00116 * C00003))</v>
      </c>
      <c r="K73" s="43" t="str">
        <f>CONCATENATE("r",D73,": ",F73," -&gt; ",H73," | ",J73)</f>
        <v>r72: C00116 + C00003 -&gt; C00184 + C00004 + C00080 | (${Variables:E1_1_1_6_kcat} * E1_1_1_6 * C00116 * C00003)/(${Variables:E1_1_1_6_km} + (E1_1_1_6 * C00116 * C00003))</v>
      </c>
    </row>
    <row r="74" spans="1:11" ht="42.75" x14ac:dyDescent="0.45">
      <c r="A74" s="53" t="s">
        <v>8051</v>
      </c>
      <c r="B74" s="54" t="s">
        <v>8052</v>
      </c>
      <c r="C74" t="s">
        <v>10314</v>
      </c>
      <c r="D74" s="12">
        <v>73</v>
      </c>
      <c r="E74" s="12" t="str">
        <f>CONCATENATE("E",C74)</f>
        <v>E1_1_1_6</v>
      </c>
      <c r="F74" t="s">
        <v>10229</v>
      </c>
      <c r="G74" t="s">
        <v>10472</v>
      </c>
      <c r="H74" t="s">
        <v>10230</v>
      </c>
      <c r="I74" t="s">
        <v>10691</v>
      </c>
      <c r="J74" s="12" t="str">
        <f>CONCATENATE("(${Variables:",E74,"_kcat","} * ",E74," * ",G74,")","/(${Variables:",E74,"_km","} + (",E74," * ",G74,"))")</f>
        <v>(${Variables:E1_1_1_6_kcat} * E1_1_1_6 * C00424 * C00003)/(${Variables:E1_1_1_6_km} + (E1_1_1_6 * C00424 * C00003))</v>
      </c>
      <c r="K74" s="43" t="str">
        <f>CONCATENATE("r",D74,": ",F74," -&gt; ",H74," | ",J74)</f>
        <v>r73: C00424 + C00003 -&gt; C00546 + C00004 + C00080 | (${Variables:E1_1_1_6_kcat} * E1_1_1_6 * C00424 * C00003)/(${Variables:E1_1_1_6_km} + (E1_1_1_6 * C00424 * C00003))</v>
      </c>
    </row>
    <row r="75" spans="1:11" ht="42.75" x14ac:dyDescent="0.45">
      <c r="A75" s="53" t="s">
        <v>8051</v>
      </c>
      <c r="B75" s="54" t="s">
        <v>8052</v>
      </c>
      <c r="C75" t="s">
        <v>10314</v>
      </c>
      <c r="D75" s="12">
        <v>74</v>
      </c>
      <c r="E75" s="12" t="str">
        <f>CONCATENATE("E",C75)</f>
        <v>E1_1_1_6</v>
      </c>
      <c r="F75" s="12" t="s">
        <v>10232</v>
      </c>
      <c r="G75" s="12" t="s">
        <v>10473</v>
      </c>
      <c r="H75" t="s">
        <v>10233</v>
      </c>
      <c r="I75" t="s">
        <v>10692</v>
      </c>
      <c r="J75" s="12" t="str">
        <f>CONCATENATE("(${Variables:",E75,"_kcat","} * ",E75," * ",G75,")","/(${Variables:",E75,"_km","} + (",E75," * ",G75,"))")</f>
        <v>(${Variables:E1_1_1_6_kcat} * E1_1_1_6 * C00583 * C00003)/(${Variables:E1_1_1_6_km} + (E1_1_1_6 * C00583 * C00003))</v>
      </c>
      <c r="K75" s="43" t="str">
        <f>CONCATENATE("r",D75,": ",F75," -&gt; ",H75," | ",J75)</f>
        <v>r74: C00583 + C00003 -&gt; C05235 + C00004 + C00080 | (${Variables:E1_1_1_6_kcat} * E1_1_1_6 * C00583 * C00003)/(${Variables:E1_1_1_6_km} + (E1_1_1_6 * C00583 * C00003))</v>
      </c>
    </row>
    <row r="76" spans="1:11" ht="42.75" x14ac:dyDescent="0.45">
      <c r="A76" s="53" t="s">
        <v>6842</v>
      </c>
      <c r="B76" s="54" t="s">
        <v>6843</v>
      </c>
      <c r="C76" t="s">
        <v>10315</v>
      </c>
      <c r="D76" s="12">
        <v>75</v>
      </c>
      <c r="E76" s="12" t="str">
        <f>CONCATENATE("E",C76)</f>
        <v>E1_1_1_69</v>
      </c>
      <c r="F76" s="12" t="s">
        <v>9846</v>
      </c>
      <c r="G76" s="12" t="s">
        <v>10474</v>
      </c>
      <c r="H76" t="s">
        <v>9847</v>
      </c>
      <c r="I76" t="s">
        <v>10693</v>
      </c>
      <c r="J76" s="12" t="str">
        <f>CONCATENATE("(${Variables:",E76,"_kcat","} * ",E76," * ",G76,")","/(${Variables:",E76,"_km","} + (",E76," * ",G76,"))")</f>
        <v>(${Variables:E1_1_1_69_kcat} * E1_1_1_69 * C00257 * C00003)/(${Variables:E1_1_1_69_km} + (E1_1_1_69 * C00257 * C00003))</v>
      </c>
      <c r="K76" s="43" t="str">
        <f>CONCATENATE("r",D76,": ",F76," -&gt; ",H76," | ",J76)</f>
        <v>r75: C00257 + C00003 -&gt; C01062 + C00004 + C00080 | (${Variables:E1_1_1_69_kcat} * E1_1_1_69 * C00257 * C00003)/(${Variables:E1_1_1_69_km} + (E1_1_1_69 * C00257 * C00003))</v>
      </c>
    </row>
    <row r="77" spans="1:11" ht="42.75" x14ac:dyDescent="0.45">
      <c r="A77" s="53" t="s">
        <v>6842</v>
      </c>
      <c r="B77" s="54" t="s">
        <v>6843</v>
      </c>
      <c r="C77" t="s">
        <v>10315</v>
      </c>
      <c r="D77" s="12">
        <v>76</v>
      </c>
      <c r="E77" s="12" t="str">
        <f>CONCATENATE("E",C77)</f>
        <v>E1_1_1_69</v>
      </c>
      <c r="F77" s="12" t="s">
        <v>9849</v>
      </c>
      <c r="G77" s="12" t="s">
        <v>10475</v>
      </c>
      <c r="H77" t="s">
        <v>9850</v>
      </c>
      <c r="I77" t="s">
        <v>10694</v>
      </c>
      <c r="J77" s="12" t="str">
        <f>CONCATENATE("(${Variables:",E77,"_kcat","} * ",E77," * ",G77,")","/(${Variables:",E77,"_km","} + (",E77," * ",G77,"))")</f>
        <v>(${Variables:E1_1_1_69_kcat} * E1_1_1_69 * C00257 * C00006)/(${Variables:E1_1_1_69_km} + (E1_1_1_69 * C00257 * C00006))</v>
      </c>
      <c r="K77" s="43" t="str">
        <f>CONCATENATE("r",D77,": ",F77," -&gt; ",H77," | ",J77)</f>
        <v>r76: C00257 + C00006 -&gt; C01062 + C00005 + C00080 | (${Variables:E1_1_1_69_kcat} * E1_1_1_69 * C00257 * C00006)/(${Variables:E1_1_1_69_km} + (E1_1_1_69 * C00257 * C00006))</v>
      </c>
    </row>
    <row r="78" spans="1:11" ht="42.75" x14ac:dyDescent="0.45">
      <c r="A78" s="53" t="s">
        <v>6389</v>
      </c>
      <c r="B78" s="54" t="s">
        <v>6390</v>
      </c>
      <c r="C78" t="s">
        <v>10316</v>
      </c>
      <c r="D78" s="12">
        <v>77</v>
      </c>
      <c r="E78" s="12" t="str">
        <f>CONCATENATE("E",C78)</f>
        <v>E1_1_1_88</v>
      </c>
      <c r="F78" s="12" t="s">
        <v>9591</v>
      </c>
      <c r="G78" s="12" t="s">
        <v>10476</v>
      </c>
      <c r="H78" t="s">
        <v>9592</v>
      </c>
      <c r="I78" t="s">
        <v>10695</v>
      </c>
      <c r="J78" s="12" t="str">
        <f>CONCATENATE("(${Variables:",E78,"_kcat","} * ",E78," * ",G78,")","/(${Variables:",E78,"_km","} + (",E78," * ",G78,"))")</f>
        <v>(${Variables:E1_1_1_88_kcat} * E1_1_1_88 * C00418 * C00010 * C00003)/(${Variables:E1_1_1_88_km} + (E1_1_1_88 * C00418 * C00010 * C00003))</v>
      </c>
      <c r="K78" s="43" t="str">
        <f>CONCATENATE("r",D78,": ",F78," -&gt; ",H78," | ",J78)</f>
        <v>r77: C00418 + C00010 + C00003 -&gt; C00356 + C00004 + C00080 | (${Variables:E1_1_1_88_kcat} * E1_1_1_88 * C00418 * C00010 * C00003)/(${Variables:E1_1_1_88_km} + (E1_1_1_88 * C00418 * C00010 * C00003))</v>
      </c>
    </row>
    <row r="79" spans="1:11" ht="42.75" x14ac:dyDescent="0.45">
      <c r="A79" s="53" t="s">
        <v>4140</v>
      </c>
      <c r="B79" s="54" t="s">
        <v>4141</v>
      </c>
      <c r="C79" t="s">
        <v>1828</v>
      </c>
      <c r="D79" s="12">
        <v>78</v>
      </c>
      <c r="E79" s="12" t="str">
        <f>CONCATENATE("E",C79)</f>
        <v>E1_1_1_94</v>
      </c>
      <c r="F79" s="12" t="s">
        <v>3049</v>
      </c>
      <c r="G79" s="12" t="s">
        <v>1390</v>
      </c>
      <c r="H79" t="s">
        <v>3332</v>
      </c>
      <c r="I79" t="s">
        <v>1391</v>
      </c>
      <c r="J79" s="12" t="str">
        <f>CONCATENATE("(${Variables:",E79,"_kcat","} * ",E79," * ",G79,")","/(${Variables:",E79,"_km","} + (",E79," * ",G79,"))")</f>
        <v>(${Variables:E1_1_1_94_kcat} * E1_1_1_94 * C00093 * C00003)/(${Variables:E1_1_1_94_km} + (E1_1_1_94 * C00093 * C00003))</v>
      </c>
      <c r="K79" s="43" t="str">
        <f>CONCATENATE("r",D79,": ",F79," -&gt; ",H79," | ",J79)</f>
        <v>r78: C00093 + C00003 -&gt; C00111 + C00004 + C00080 | (${Variables:E1_1_1_94_kcat} * E1_1_1_94 * C00093 * C00003)/(${Variables:E1_1_1_94_km} + (E1_1_1_94 * C00093 * C00003))</v>
      </c>
    </row>
    <row r="80" spans="1:11" ht="42.75" x14ac:dyDescent="0.45">
      <c r="A80" s="53" t="s">
        <v>4140</v>
      </c>
      <c r="B80" s="54" t="s">
        <v>4141</v>
      </c>
      <c r="C80" t="s">
        <v>1828</v>
      </c>
      <c r="D80" s="12">
        <v>79</v>
      </c>
      <c r="E80" s="12" t="str">
        <f>CONCATENATE("E",C80)</f>
        <v>E1_1_1_94</v>
      </c>
      <c r="F80" s="12" t="s">
        <v>3050</v>
      </c>
      <c r="G80" s="12" t="s">
        <v>1392</v>
      </c>
      <c r="H80" t="s">
        <v>3333</v>
      </c>
      <c r="I80" t="s">
        <v>1393</v>
      </c>
      <c r="J80" s="12" t="str">
        <f>CONCATENATE("(${Variables:",E80,"_kcat","} * ",E80," * ",G80,")","/(${Variables:",E80,"_km","} + (",E80," * ",G80,"))")</f>
        <v>(${Variables:E1_1_1_94_kcat} * E1_1_1_94 * C00093 * C00006)/(${Variables:E1_1_1_94_km} + (E1_1_1_94 * C00093 * C00006))</v>
      </c>
      <c r="K80" s="43" t="str">
        <f>CONCATENATE("r",D80,": ",F80," -&gt; ",H80," | ",J80)</f>
        <v>r79: C00093 + C00006 -&gt; C00111 + C00005 + C00080 | (${Variables:E1_1_1_94_kcat} * E1_1_1_94 * C00093 * C00006)/(${Variables:E1_1_1_94_km} + (E1_1_1_94 * C00093 * C00006))</v>
      </c>
    </row>
    <row r="81" spans="1:11" ht="57" x14ac:dyDescent="0.45">
      <c r="A81" s="53" t="s">
        <v>3951</v>
      </c>
      <c r="B81" s="54" t="s">
        <v>3952</v>
      </c>
      <c r="C81" t="s">
        <v>10317</v>
      </c>
      <c r="D81" s="12">
        <v>80</v>
      </c>
      <c r="E81" s="12" t="str">
        <f>CONCATENATE("E",C81)</f>
        <v>E1_11_1_26</v>
      </c>
      <c r="F81" s="12" t="s">
        <v>8532</v>
      </c>
      <c r="G81" s="12" t="s">
        <v>10477</v>
      </c>
      <c r="H81" t="s">
        <v>8533</v>
      </c>
      <c r="I81" t="s">
        <v>10696</v>
      </c>
      <c r="J81" s="12" t="str">
        <f>CONCATENATE("(${Variables:",E81,"_kcat","} * ",E81," * ",G81,")","/(${Variables:",E81,"_km","} + (",E81," * ",G81,"))")</f>
        <v>(${Variables:E1_11_1_26_kcat} * E1_11_1_26 * C00004 * C15498 * C00080)/(${Variables:E1_11_1_26_km} + (E1_11_1_26 * C00004 * C15498 * C00080))</v>
      </c>
      <c r="K81" s="43" t="str">
        <f>CONCATENATE("r",D81,": ",F81," -&gt; ",H81," | ",J81)</f>
        <v>r80: C00004 + C15498 + C00080 -&gt; C00003 + C00001 + C01335 | (${Variables:E1_11_1_26_kcat} * E1_11_1_26 * C00004 * C15498 * C00080)/(${Variables:E1_11_1_26_km} + (E1_11_1_26 * C00004 * C15498 * C00080))</v>
      </c>
    </row>
    <row r="82" spans="1:11" ht="42.75" x14ac:dyDescent="0.45">
      <c r="A82" s="53" t="s">
        <v>5208</v>
      </c>
      <c r="B82" s="54" t="s">
        <v>5209</v>
      </c>
      <c r="C82" t="s">
        <v>10318</v>
      </c>
      <c r="D82" s="12">
        <v>81</v>
      </c>
      <c r="E82" s="12" t="str">
        <f>CONCATENATE("E",C82)</f>
        <v>E1_15_1_1</v>
      </c>
      <c r="F82" t="s">
        <v>9065</v>
      </c>
      <c r="G82" t="s">
        <v>10478</v>
      </c>
      <c r="H82" t="s">
        <v>9066</v>
      </c>
      <c r="I82" t="s">
        <v>10697</v>
      </c>
      <c r="J82" s="12" t="str">
        <f>CONCATENATE("(${Variables:",E82,"_kcat","} * ",E82," * ",G82,")","/(${Variables:",E82,"_km","} + (",E82," * ",G82,"))")</f>
        <v>(${Variables:E1_15_1_1_kcat} * E1_15_1_1 * C00704 * C00080)/(${Variables:E1_15_1_1_km} + (E1_15_1_1 * C00704 * C00080))</v>
      </c>
      <c r="K82" s="43" t="str">
        <f>CONCATENATE("r",D82,": ",F82," -&gt; ",H82," | ",J82)</f>
        <v>r81: C00704 + C00080 -&gt; C00027 + C00007 | (${Variables:E1_15_1_1_kcat} * E1_15_1_1 * C00704 * C00080)/(${Variables:E1_15_1_1_km} + (E1_15_1_1 * C00704 * C00080))</v>
      </c>
    </row>
    <row r="83" spans="1:11" ht="42.75" x14ac:dyDescent="0.45">
      <c r="A83" s="53" t="s">
        <v>4924</v>
      </c>
      <c r="B83" s="54" t="s">
        <v>4925</v>
      </c>
      <c r="C83" t="s">
        <v>1850</v>
      </c>
      <c r="D83" s="12">
        <v>82</v>
      </c>
      <c r="E83" s="12" t="str">
        <f>CONCATENATE("E",C83)</f>
        <v>E1_17_4_1</v>
      </c>
      <c r="F83" s="12" t="s">
        <v>3055</v>
      </c>
      <c r="G83" s="12" t="s">
        <v>1610</v>
      </c>
      <c r="H83" t="s">
        <v>3338</v>
      </c>
      <c r="I83" t="s">
        <v>1611</v>
      </c>
      <c r="J83" s="12" t="str">
        <f>CONCATENATE("(${Variables:",E83,"_kcat","} * ",E83," * ",G83,")","/(${Variables:",E83,"_km","} + (",E83," * ",G83,"))")</f>
        <v>(${Variables:E1_17_4_1_kcat} * E1_17_4_1 * C04232 * C00343 * C00001)/(${Variables:E1_17_4_1_km} + (E1_17_4_1 * C04232 * C00343 * C00001))</v>
      </c>
      <c r="K83" s="43" t="str">
        <f>CONCATENATE("r",D83,": ",F83," -&gt; ",H83," | ",J83)</f>
        <v>r82: C04232 + C00343 + C00001 -&gt; C03723 + C00342 | (${Variables:E1_17_4_1_kcat} * E1_17_4_1 * C04232 * C00343 * C00001)/(${Variables:E1_17_4_1_km} + (E1_17_4_1 * C04232 * C00343 * C00001))</v>
      </c>
    </row>
    <row r="84" spans="1:11" ht="42.75" x14ac:dyDescent="0.45">
      <c r="A84" s="53" t="s">
        <v>4924</v>
      </c>
      <c r="B84" s="54" t="s">
        <v>4925</v>
      </c>
      <c r="C84" t="s">
        <v>1850</v>
      </c>
      <c r="D84" s="12">
        <v>83</v>
      </c>
      <c r="E84" s="12" t="str">
        <f>CONCATENATE("E",C84)</f>
        <v>E1_17_4_1</v>
      </c>
      <c r="F84" s="12" t="s">
        <v>3051</v>
      </c>
      <c r="G84" s="12" t="s">
        <v>1447</v>
      </c>
      <c r="H84" t="s">
        <v>3334</v>
      </c>
      <c r="I84" t="s">
        <v>1448</v>
      </c>
      <c r="J84" s="12" t="str">
        <f>CONCATENATE("(${Variables:",E84,"_kcat","} * ",E84," * ",G84,")","/(${Variables:",E84,"_km","} + (",E84," * ",G84,"))")</f>
        <v>(${Variables:E1_17_4_1_kcat} * E1_17_4_1 * C00206 * C00343 * C00001)/(${Variables:E1_17_4_1_km} + (E1_17_4_1 * C00206 * C00343 * C00001))</v>
      </c>
      <c r="K84" s="43" t="str">
        <f>CONCATENATE("r",D84,": ",F84," -&gt; ",H84," | ",J84)</f>
        <v>r83: C00206 + C00343 + C00001 -&gt; C00342 + C00008 | (${Variables:E1_17_4_1_kcat} * E1_17_4_1 * C00206 * C00343 * C00001)/(${Variables:E1_17_4_1_km} + (E1_17_4_1 * C00206 * C00343 * C00001))</v>
      </c>
    </row>
    <row r="85" spans="1:11" ht="42.75" x14ac:dyDescent="0.45">
      <c r="A85" s="53" t="s">
        <v>4924</v>
      </c>
      <c r="B85" s="54" t="s">
        <v>4925</v>
      </c>
      <c r="C85" t="s">
        <v>1850</v>
      </c>
      <c r="D85" s="12">
        <v>84</v>
      </c>
      <c r="E85" s="12" t="str">
        <f>CONCATENATE("E",C85)</f>
        <v>E1_17_4_1</v>
      </c>
      <c r="F85" s="12" t="s">
        <v>3054</v>
      </c>
      <c r="G85" s="12" t="s">
        <v>1574</v>
      </c>
      <c r="H85" t="s">
        <v>3337</v>
      </c>
      <c r="I85" t="s">
        <v>1575</v>
      </c>
      <c r="J85" s="12" t="str">
        <f>CONCATENATE("(${Variables:",E85,"_kcat","} * ",E85," * ",G85,")","/(${Variables:",E85,"_km","} + (",E85," * ",G85,"))")</f>
        <v>(${Variables:E1_17_4_1_kcat} * E1_17_4_1 * C01346 * C00343 * C00001)/(${Variables:E1_17_4_1_km} + (E1_17_4_1 * C01346 * C00343 * C00001))</v>
      </c>
      <c r="K85" s="43" t="str">
        <f>CONCATENATE("r",D85,": ",F85," -&gt; ",H85," | ",J85)</f>
        <v>r84: C01346 + C00343 + C00001 -&gt; C00342 + C00015 | (${Variables:E1_17_4_1_kcat} * E1_17_4_1 * C01346 * C00343 * C00001)/(${Variables:E1_17_4_1_km} + (E1_17_4_1 * C01346 * C00343 * C00001))</v>
      </c>
    </row>
    <row r="86" spans="1:11" ht="42.75" x14ac:dyDescent="0.45">
      <c r="A86" s="53" t="s">
        <v>4924</v>
      </c>
      <c r="B86" s="54" t="s">
        <v>4925</v>
      </c>
      <c r="C86" t="s">
        <v>1850</v>
      </c>
      <c r="D86" s="12">
        <v>85</v>
      </c>
      <c r="E86" s="12" t="str">
        <f>CONCATENATE("E",C86)</f>
        <v>E1_17_4_1</v>
      </c>
      <c r="F86" s="12" t="s">
        <v>3052</v>
      </c>
      <c r="G86" s="12" t="s">
        <v>1487</v>
      </c>
      <c r="H86" t="s">
        <v>3335</v>
      </c>
      <c r="I86" t="s">
        <v>1488</v>
      </c>
      <c r="J86" s="12" t="str">
        <f>CONCATENATE("(${Variables:",E86,"_kcat","} * ",E86," * ",G86,")","/(${Variables:",E86,"_km","} + (",E86," * ",G86,"))")</f>
        <v>(${Variables:E1_17_4_1_kcat} * E1_17_4_1 * C00361 * C00343 * C00001)/(${Variables:E1_17_4_1_km} + (E1_17_4_1 * C00361 * C00343 * C00001))</v>
      </c>
      <c r="K86" s="43" t="str">
        <f>CONCATENATE("r",D86,": ",F86," -&gt; ",H86," | ",J86)</f>
        <v>r85: C00361 + C00343 + C00001 -&gt; C00035 + C00342 | (${Variables:E1_17_4_1_kcat} * E1_17_4_1 * C00361 * C00343 * C00001)/(${Variables:E1_17_4_1_km} + (E1_17_4_1 * C00361 * C00343 * C00001))</v>
      </c>
    </row>
    <row r="87" spans="1:11" ht="42.75" x14ac:dyDescent="0.45">
      <c r="A87" s="53" t="s">
        <v>4924</v>
      </c>
      <c r="B87" s="54" t="s">
        <v>4925</v>
      </c>
      <c r="C87" t="s">
        <v>1850</v>
      </c>
      <c r="D87" s="12">
        <v>86</v>
      </c>
      <c r="E87" s="12" t="str">
        <f>CONCATENATE("E",C87)</f>
        <v>E1_17_4_1</v>
      </c>
      <c r="F87" s="12" t="s">
        <v>3053</v>
      </c>
      <c r="G87" s="12" t="s">
        <v>1539</v>
      </c>
      <c r="H87" t="s">
        <v>3336</v>
      </c>
      <c r="I87" t="s">
        <v>1540</v>
      </c>
      <c r="J87" s="12" t="str">
        <f>CONCATENATE("(${Variables:",E87,"_kcat","} * ",E87," * ",G87,")","/(${Variables:",E87,"_km","} + (",E87," * ",G87,"))")</f>
        <v>(${Variables:E1_17_4_1_kcat} * E1_17_4_1 * C00705 * C00343 * C00001)/(${Variables:E1_17_4_1_km} + (E1_17_4_1 * C00705 * C00343 * C00001))</v>
      </c>
      <c r="K87" s="43" t="str">
        <f>CONCATENATE("r",D87,": ",F87," -&gt; ",H87," | ",J87)</f>
        <v>r86: C00705 + C00343 + C00001 -&gt; C00342 + C00112 | (${Variables:E1_17_4_1_kcat} * E1_17_4_1 * C00705 * C00343 * C00001)/(${Variables:E1_17_4_1_km} + (E1_17_4_1 * C00705 * C00343 * C00001))</v>
      </c>
    </row>
    <row r="88" spans="1:11" ht="42.75" x14ac:dyDescent="0.45">
      <c r="A88" s="53" t="s">
        <v>4924</v>
      </c>
      <c r="B88" s="54" t="s">
        <v>4925</v>
      </c>
      <c r="C88" t="s">
        <v>1850</v>
      </c>
      <c r="D88" s="12">
        <v>87</v>
      </c>
      <c r="E88" s="12" t="str">
        <f>CONCATENATE("E",C88)</f>
        <v>E1_17_4_1</v>
      </c>
      <c r="F88" s="12" t="s">
        <v>3057</v>
      </c>
      <c r="G88" s="12" t="s">
        <v>1614</v>
      </c>
      <c r="H88" t="s">
        <v>3340</v>
      </c>
      <c r="I88" t="s">
        <v>1615</v>
      </c>
      <c r="J88" s="12" t="str">
        <f>CONCATENATE("(${Variables:",E88,"_kcat","} * ",E88," * ",G88,")","/(${Variables:",E88,"_km","} + (",E88," * ",G88,"))")</f>
        <v>(${Variables:E1_17_4_1_kcat} * E1_17_4_1 * C04232 * C16664 * C00001)/(${Variables:E1_17_4_1_km} + (E1_17_4_1 * C04232 * C16664 * C00001))</v>
      </c>
      <c r="K88" s="43" t="str">
        <f>CONCATENATE("r",D88,": ",F88," -&gt; ",H88," | ",J88)</f>
        <v>r87: C04232 + C16664 + C00001 -&gt; C03723 + C16663 | (${Variables:E1_17_4_1_kcat} * E1_17_4_1 * C04232 * C16664 * C00001)/(${Variables:E1_17_4_1_km} + (E1_17_4_1 * C04232 * C16664 * C00001))</v>
      </c>
    </row>
    <row r="89" spans="1:11" ht="42.75" x14ac:dyDescent="0.45">
      <c r="A89" s="53" t="s">
        <v>4924</v>
      </c>
      <c r="B89" s="54" t="s">
        <v>4925</v>
      </c>
      <c r="C89" t="s">
        <v>1850</v>
      </c>
      <c r="D89" s="12">
        <v>88</v>
      </c>
      <c r="E89" s="12" t="str">
        <f>CONCATENATE("E",C89)</f>
        <v>E1_17_4_1</v>
      </c>
      <c r="F89" s="12" t="s">
        <v>3056</v>
      </c>
      <c r="G89" s="12" t="s">
        <v>1612</v>
      </c>
      <c r="H89" t="s">
        <v>3339</v>
      </c>
      <c r="I89" t="s">
        <v>1613</v>
      </c>
      <c r="J89" s="12" t="str">
        <f>CONCATENATE("(${Variables:",E89,"_kcat","} * ",E89," * ",G89,")","/(${Variables:",E89,"_km","} + (",E89," * ",G89,"))")</f>
        <v>(${Variables:E1_17_4_1_kcat} * E1_17_4_1 * C04232 * C03170 * C00001)/(${Variables:E1_17_4_1_km} + (E1_17_4_1 * C04232 * C03170 * C00001))</v>
      </c>
      <c r="K89" s="43" t="str">
        <f>CONCATENATE("r",D89,": ",F89," -&gt; ",H89," | ",J89)</f>
        <v>r88: C04232 + C03170 + C00001 -&gt; C03723 + C02090 | (${Variables:E1_17_4_1_kcat} * E1_17_4_1 * C04232 * C03170 * C00001)/(${Variables:E1_17_4_1_km} + (E1_17_4_1 * C04232 * C03170 * C00001))</v>
      </c>
    </row>
    <row r="90" spans="1:11" ht="42.75" x14ac:dyDescent="0.45">
      <c r="A90" s="53" t="s">
        <v>4924</v>
      </c>
      <c r="B90" s="54" t="s">
        <v>4925</v>
      </c>
      <c r="C90" t="s">
        <v>1850</v>
      </c>
      <c r="D90" s="12">
        <v>89</v>
      </c>
      <c r="E90" s="12" t="str">
        <f>CONCATENATE("E",C90)</f>
        <v>E1_17_4_1</v>
      </c>
      <c r="F90" s="12" t="s">
        <v>3058</v>
      </c>
      <c r="G90" s="12" t="s">
        <v>1692</v>
      </c>
      <c r="H90" t="s">
        <v>3341</v>
      </c>
      <c r="I90" t="s">
        <v>1693</v>
      </c>
      <c r="J90" s="12" t="str">
        <f>CONCATENATE("(${Variables:",E90,"_kcat","} * ",E90," * ",G90,")","/(${Variables:",E90,"_km","} + (",E90," * ",G90,"))")</f>
        <v>(${Variables:E1_17_4_1_kcat} * E1_17_4_1 * C21750 * C00343 * C00001)/(${Variables:E1_17_4_1_km} + (E1_17_4_1 * C21750 * C00343 * C00001))</v>
      </c>
      <c r="K90" s="43" t="str">
        <f>CONCATENATE("r",D90,": ",F90," -&gt; ",H90," | ",J90)</f>
        <v>r89: C21750 + C00343 + C00001 -&gt; C21748 + C00342 | (${Variables:E1_17_4_1_kcat} * E1_17_4_1 * C21750 * C00343 * C00001)/(${Variables:E1_17_4_1_km} + (E1_17_4_1 * C21750 * C00343 * C00001))</v>
      </c>
    </row>
    <row r="91" spans="1:11" ht="42.75" x14ac:dyDescent="0.45">
      <c r="A91" s="53" t="s">
        <v>5573</v>
      </c>
      <c r="B91" s="54" t="s">
        <v>5574</v>
      </c>
      <c r="C91" t="s">
        <v>1850</v>
      </c>
      <c r="D91" s="12">
        <v>90</v>
      </c>
      <c r="E91" s="12" t="str">
        <f>CONCATENATE("E",C91)</f>
        <v>E1_17_4_1</v>
      </c>
      <c r="F91" s="12" t="s">
        <v>3055</v>
      </c>
      <c r="G91" s="12" t="s">
        <v>1610</v>
      </c>
      <c r="H91" t="s">
        <v>3338</v>
      </c>
      <c r="I91" t="s">
        <v>1611</v>
      </c>
      <c r="J91" s="12" t="str">
        <f>CONCATENATE("(${Variables:",E91,"_kcat","} * ",E91," * ",G91,")","/(${Variables:",E91,"_km","} + (",E91," * ",G91,"))")</f>
        <v>(${Variables:E1_17_4_1_kcat} * E1_17_4_1 * C04232 * C00343 * C00001)/(${Variables:E1_17_4_1_km} + (E1_17_4_1 * C04232 * C00343 * C00001))</v>
      </c>
      <c r="K91" s="43" t="str">
        <f>CONCATENATE("r",D91,": ",F91," -&gt; ",H91," | ",J91)</f>
        <v>r90: C04232 + C00343 + C00001 -&gt; C03723 + C00342 | (${Variables:E1_17_4_1_kcat} * E1_17_4_1 * C04232 * C00343 * C00001)/(${Variables:E1_17_4_1_km} + (E1_17_4_1 * C04232 * C00343 * C00001))</v>
      </c>
    </row>
    <row r="92" spans="1:11" ht="42.75" x14ac:dyDescent="0.45">
      <c r="A92" s="53" t="s">
        <v>5573</v>
      </c>
      <c r="B92" s="54" t="s">
        <v>5574</v>
      </c>
      <c r="C92" t="s">
        <v>1850</v>
      </c>
      <c r="D92" s="12">
        <v>91</v>
      </c>
      <c r="E92" s="12" t="str">
        <f>CONCATENATE("E",C92)</f>
        <v>E1_17_4_1</v>
      </c>
      <c r="F92" t="s">
        <v>3051</v>
      </c>
      <c r="G92" t="s">
        <v>1447</v>
      </c>
      <c r="H92" t="s">
        <v>3334</v>
      </c>
      <c r="I92" t="s">
        <v>10698</v>
      </c>
      <c r="J92" s="12" t="str">
        <f>CONCATENATE("(${Variables:",E92,"_kcat","} * ",E92," * ",G92,")","/(${Variables:",E92,"_km","} + (",E92," * ",G92,"))")</f>
        <v>(${Variables:E1_17_4_1_kcat} * E1_17_4_1 * C00206 * C00343 * C00001)/(${Variables:E1_17_4_1_km} + (E1_17_4_1 * C00206 * C00343 * C00001))</v>
      </c>
      <c r="K92" s="43" t="str">
        <f>CONCATENATE("r",D92,": ",F92," -&gt; ",H92," | ",J92)</f>
        <v>r91: C00206 + C00343 + C00001 -&gt; C00342 + C00008 | (${Variables:E1_17_4_1_kcat} * E1_17_4_1 * C00206 * C00343 * C00001)/(${Variables:E1_17_4_1_km} + (E1_17_4_1 * C00206 * C00343 * C00001))</v>
      </c>
    </row>
    <row r="93" spans="1:11" ht="42.75" x14ac:dyDescent="0.45">
      <c r="A93" s="53" t="s">
        <v>5573</v>
      </c>
      <c r="B93" s="54" t="s">
        <v>5574</v>
      </c>
      <c r="C93" t="s">
        <v>1850</v>
      </c>
      <c r="D93" s="12">
        <v>92</v>
      </c>
      <c r="E93" s="12" t="str">
        <f>CONCATENATE("E",C93)</f>
        <v>E1_17_4_1</v>
      </c>
      <c r="F93" t="s">
        <v>3054</v>
      </c>
      <c r="G93" t="s">
        <v>1574</v>
      </c>
      <c r="H93" t="s">
        <v>3337</v>
      </c>
      <c r="I93" t="s">
        <v>1575</v>
      </c>
      <c r="J93" s="12" t="str">
        <f>CONCATENATE("(${Variables:",E93,"_kcat","} * ",E93," * ",G93,")","/(${Variables:",E93,"_km","} + (",E93," * ",G93,"))")</f>
        <v>(${Variables:E1_17_4_1_kcat} * E1_17_4_1 * C01346 * C00343 * C00001)/(${Variables:E1_17_4_1_km} + (E1_17_4_1 * C01346 * C00343 * C00001))</v>
      </c>
      <c r="K93" s="43" t="str">
        <f>CONCATENATE("r",D93,": ",F93," -&gt; ",H93," | ",J93)</f>
        <v>r92: C01346 + C00343 + C00001 -&gt; C00342 + C00015 | (${Variables:E1_17_4_1_kcat} * E1_17_4_1 * C01346 * C00343 * C00001)/(${Variables:E1_17_4_1_km} + (E1_17_4_1 * C01346 * C00343 * C00001))</v>
      </c>
    </row>
    <row r="94" spans="1:11" ht="42.75" x14ac:dyDescent="0.45">
      <c r="A94" s="53" t="s">
        <v>5573</v>
      </c>
      <c r="B94" s="54" t="s">
        <v>5574</v>
      </c>
      <c r="C94" t="s">
        <v>1850</v>
      </c>
      <c r="D94" s="12">
        <v>93</v>
      </c>
      <c r="E94" s="12" t="str">
        <f>CONCATENATE("E",C94)</f>
        <v>E1_17_4_1</v>
      </c>
      <c r="F94" s="12" t="s">
        <v>3052</v>
      </c>
      <c r="G94" s="12" t="s">
        <v>1487</v>
      </c>
      <c r="H94" t="s">
        <v>3335</v>
      </c>
      <c r="I94" t="s">
        <v>1488</v>
      </c>
      <c r="J94" s="12" t="str">
        <f>CONCATENATE("(${Variables:",E94,"_kcat","} * ",E94," * ",G94,")","/(${Variables:",E94,"_km","} + (",E94," * ",G94,"))")</f>
        <v>(${Variables:E1_17_4_1_kcat} * E1_17_4_1 * C00361 * C00343 * C00001)/(${Variables:E1_17_4_1_km} + (E1_17_4_1 * C00361 * C00343 * C00001))</v>
      </c>
      <c r="K94" s="43" t="str">
        <f>CONCATENATE("r",D94,": ",F94," -&gt; ",H94," | ",J94)</f>
        <v>r93: C00361 + C00343 + C00001 -&gt; C00035 + C00342 | (${Variables:E1_17_4_1_kcat} * E1_17_4_1 * C00361 * C00343 * C00001)/(${Variables:E1_17_4_1_km} + (E1_17_4_1 * C00361 * C00343 * C00001))</v>
      </c>
    </row>
    <row r="95" spans="1:11" ht="42.75" x14ac:dyDescent="0.45">
      <c r="A95" s="53" t="s">
        <v>5573</v>
      </c>
      <c r="B95" s="54" t="s">
        <v>5574</v>
      </c>
      <c r="C95" t="s">
        <v>1850</v>
      </c>
      <c r="D95" s="12">
        <v>94</v>
      </c>
      <c r="E95" s="12" t="str">
        <f>CONCATENATE("E",C95)</f>
        <v>E1_17_4_1</v>
      </c>
      <c r="F95" t="s">
        <v>3053</v>
      </c>
      <c r="G95" t="s">
        <v>1539</v>
      </c>
      <c r="H95" t="s">
        <v>3336</v>
      </c>
      <c r="I95" t="s">
        <v>1540</v>
      </c>
      <c r="J95" s="12" t="str">
        <f>CONCATENATE("(${Variables:",E95,"_kcat","} * ",E95," * ",G95,")","/(${Variables:",E95,"_km","} + (",E95," * ",G95,"))")</f>
        <v>(${Variables:E1_17_4_1_kcat} * E1_17_4_1 * C00705 * C00343 * C00001)/(${Variables:E1_17_4_1_km} + (E1_17_4_1 * C00705 * C00343 * C00001))</v>
      </c>
      <c r="K95" s="43" t="str">
        <f>CONCATENATE("r",D95,": ",F95," -&gt; ",H95," | ",J95)</f>
        <v>r94: C00705 + C00343 + C00001 -&gt; C00342 + C00112 | (${Variables:E1_17_4_1_kcat} * E1_17_4_1 * C00705 * C00343 * C00001)/(${Variables:E1_17_4_1_km} + (E1_17_4_1 * C00705 * C00343 * C00001))</v>
      </c>
    </row>
    <row r="96" spans="1:11" ht="42.75" x14ac:dyDescent="0.45">
      <c r="A96" s="53" t="s">
        <v>5573</v>
      </c>
      <c r="B96" s="54" t="s">
        <v>5574</v>
      </c>
      <c r="C96" t="s">
        <v>1850</v>
      </c>
      <c r="D96" s="12">
        <v>95</v>
      </c>
      <c r="E96" s="12" t="str">
        <f>CONCATENATE("E",C96)</f>
        <v>E1_17_4_1</v>
      </c>
      <c r="F96" s="12" t="s">
        <v>3057</v>
      </c>
      <c r="G96" s="12" t="s">
        <v>1614</v>
      </c>
      <c r="H96" t="s">
        <v>3340</v>
      </c>
      <c r="I96" t="s">
        <v>1615</v>
      </c>
      <c r="J96" s="12" t="str">
        <f>CONCATENATE("(${Variables:",E96,"_kcat","} * ",E96," * ",G96,")","/(${Variables:",E96,"_km","} + (",E96," * ",G96,"))")</f>
        <v>(${Variables:E1_17_4_1_kcat} * E1_17_4_1 * C04232 * C16664 * C00001)/(${Variables:E1_17_4_1_km} + (E1_17_4_1 * C04232 * C16664 * C00001))</v>
      </c>
      <c r="K96" s="43" t="str">
        <f>CONCATENATE("r",D96,": ",F96," -&gt; ",H96," | ",J96)</f>
        <v>r95: C04232 + C16664 + C00001 -&gt; C03723 + C16663 | (${Variables:E1_17_4_1_kcat} * E1_17_4_1 * C04232 * C16664 * C00001)/(${Variables:E1_17_4_1_km} + (E1_17_4_1 * C04232 * C16664 * C00001))</v>
      </c>
    </row>
    <row r="97" spans="1:11" ht="42.75" x14ac:dyDescent="0.45">
      <c r="A97" s="53" t="s">
        <v>5573</v>
      </c>
      <c r="B97" s="54" t="s">
        <v>5574</v>
      </c>
      <c r="C97" t="s">
        <v>1850</v>
      </c>
      <c r="D97" s="12">
        <v>96</v>
      </c>
      <c r="E97" s="12" t="str">
        <f>CONCATENATE("E",C97)</f>
        <v>E1_17_4_1</v>
      </c>
      <c r="F97" s="12" t="s">
        <v>3056</v>
      </c>
      <c r="G97" s="12" t="s">
        <v>1612</v>
      </c>
      <c r="H97" t="s">
        <v>3339</v>
      </c>
      <c r="I97" t="s">
        <v>1613</v>
      </c>
      <c r="J97" s="12" t="str">
        <f>CONCATENATE("(${Variables:",E97,"_kcat","} * ",E97," * ",G97,")","/(${Variables:",E97,"_km","} + (",E97," * ",G97,"))")</f>
        <v>(${Variables:E1_17_4_1_kcat} * E1_17_4_1 * C04232 * C03170 * C00001)/(${Variables:E1_17_4_1_km} + (E1_17_4_1 * C04232 * C03170 * C00001))</v>
      </c>
      <c r="K97" s="43" t="str">
        <f>CONCATENATE("r",D97,": ",F97," -&gt; ",H97," | ",J97)</f>
        <v>r96: C04232 + C03170 + C00001 -&gt; C03723 + C02090 | (${Variables:E1_17_4_1_kcat} * E1_17_4_1 * C04232 * C03170 * C00001)/(${Variables:E1_17_4_1_km} + (E1_17_4_1 * C04232 * C03170 * C00001))</v>
      </c>
    </row>
    <row r="98" spans="1:11" ht="42.75" x14ac:dyDescent="0.45">
      <c r="A98" s="53" t="s">
        <v>5573</v>
      </c>
      <c r="B98" s="54" t="s">
        <v>5574</v>
      </c>
      <c r="C98" t="s">
        <v>1850</v>
      </c>
      <c r="D98" s="12">
        <v>97</v>
      </c>
      <c r="E98" s="12" t="str">
        <f>CONCATENATE("E",C98)</f>
        <v>E1_17_4_1</v>
      </c>
      <c r="F98" s="12" t="s">
        <v>3058</v>
      </c>
      <c r="G98" s="12" t="s">
        <v>1692</v>
      </c>
      <c r="H98" t="s">
        <v>3341</v>
      </c>
      <c r="I98" t="s">
        <v>1693</v>
      </c>
      <c r="J98" s="12" t="str">
        <f>CONCATENATE("(${Variables:",E98,"_kcat","} * ",E98," * ",G98,")","/(${Variables:",E98,"_km","} + (",E98," * ",G98,"))")</f>
        <v>(${Variables:E1_17_4_1_kcat} * E1_17_4_1 * C21750 * C00343 * C00001)/(${Variables:E1_17_4_1_km} + (E1_17_4_1 * C21750 * C00343 * C00001))</v>
      </c>
      <c r="K98" s="43" t="str">
        <f>CONCATENATE("r",D98,": ",F98," -&gt; ",H98," | ",J98)</f>
        <v>r97: C21750 + C00343 + C00001 -&gt; C21748 + C00342 | (${Variables:E1_17_4_1_kcat} * E1_17_4_1 * C21750 * C00343 * C00001)/(${Variables:E1_17_4_1_km} + (E1_17_4_1 * C21750 * C00343 * C00001))</v>
      </c>
    </row>
    <row r="99" spans="1:11" ht="42.75" x14ac:dyDescent="0.45">
      <c r="A99" s="53" t="s">
        <v>4930</v>
      </c>
      <c r="B99" s="54" t="s">
        <v>4931</v>
      </c>
      <c r="C99" t="s">
        <v>1850</v>
      </c>
      <c r="D99" s="12">
        <v>98</v>
      </c>
      <c r="E99" s="12" t="str">
        <f>CONCATENATE("E",C99)</f>
        <v>E1_17_4_1</v>
      </c>
      <c r="F99" s="12" t="s">
        <v>3055</v>
      </c>
      <c r="G99" s="12" t="s">
        <v>1610</v>
      </c>
      <c r="H99" t="s">
        <v>3338</v>
      </c>
      <c r="I99" t="s">
        <v>1611</v>
      </c>
      <c r="J99" s="12" t="str">
        <f>CONCATENATE("(${Variables:",E99,"_kcat","} * ",E99," * ",G99,")","/(${Variables:",E99,"_km","} + (",E99," * ",G99,"))")</f>
        <v>(${Variables:E1_17_4_1_kcat} * E1_17_4_1 * C04232 * C00343 * C00001)/(${Variables:E1_17_4_1_km} + (E1_17_4_1 * C04232 * C00343 * C00001))</v>
      </c>
      <c r="K99" s="43" t="str">
        <f>CONCATENATE("r",D99,": ",F99," -&gt; ",H99," | ",J99)</f>
        <v>r98: C04232 + C00343 + C00001 -&gt; C03723 + C00342 | (${Variables:E1_17_4_1_kcat} * E1_17_4_1 * C04232 * C00343 * C00001)/(${Variables:E1_17_4_1_km} + (E1_17_4_1 * C04232 * C00343 * C00001))</v>
      </c>
    </row>
    <row r="100" spans="1:11" ht="42.75" x14ac:dyDescent="0.45">
      <c r="A100" s="53" t="s">
        <v>4930</v>
      </c>
      <c r="B100" s="54" t="s">
        <v>4931</v>
      </c>
      <c r="C100" t="s">
        <v>1850</v>
      </c>
      <c r="D100" s="12">
        <v>99</v>
      </c>
      <c r="E100" s="12" t="str">
        <f>CONCATENATE("E",C100)</f>
        <v>E1_17_4_1</v>
      </c>
      <c r="F100" s="12" t="s">
        <v>3051</v>
      </c>
      <c r="G100" s="12" t="s">
        <v>1447</v>
      </c>
      <c r="H100" t="s">
        <v>3334</v>
      </c>
      <c r="I100" t="s">
        <v>1448</v>
      </c>
      <c r="J100" s="12" t="str">
        <f>CONCATENATE("(${Variables:",E100,"_kcat","} * ",E100," * ",G100,")","/(${Variables:",E100,"_km","} + (",E100," * ",G100,"))")</f>
        <v>(${Variables:E1_17_4_1_kcat} * E1_17_4_1 * C00206 * C00343 * C00001)/(${Variables:E1_17_4_1_km} + (E1_17_4_1 * C00206 * C00343 * C00001))</v>
      </c>
      <c r="K100" s="43" t="str">
        <f>CONCATENATE("r",D100,": ",F100," -&gt; ",H100," | ",J100)</f>
        <v>r99: C00206 + C00343 + C00001 -&gt; C00342 + C00008 | (${Variables:E1_17_4_1_kcat} * E1_17_4_1 * C00206 * C00343 * C00001)/(${Variables:E1_17_4_1_km} + (E1_17_4_1 * C00206 * C00343 * C00001))</v>
      </c>
    </row>
    <row r="101" spans="1:11" ht="42.75" x14ac:dyDescent="0.45">
      <c r="A101" s="53" t="s">
        <v>4930</v>
      </c>
      <c r="B101" s="54" t="s">
        <v>4931</v>
      </c>
      <c r="C101" t="s">
        <v>1850</v>
      </c>
      <c r="D101" s="12">
        <v>100</v>
      </c>
      <c r="E101" s="12" t="str">
        <f>CONCATENATE("E",C101)</f>
        <v>E1_17_4_1</v>
      </c>
      <c r="F101" s="12" t="s">
        <v>3054</v>
      </c>
      <c r="G101" s="12" t="s">
        <v>1574</v>
      </c>
      <c r="H101" t="s">
        <v>3337</v>
      </c>
      <c r="I101" t="s">
        <v>1575</v>
      </c>
      <c r="J101" s="12" t="str">
        <f>CONCATENATE("(${Variables:",E101,"_kcat","} * ",E101," * ",G101,")","/(${Variables:",E101,"_km","} + (",E101," * ",G101,"))")</f>
        <v>(${Variables:E1_17_4_1_kcat} * E1_17_4_1 * C01346 * C00343 * C00001)/(${Variables:E1_17_4_1_km} + (E1_17_4_1 * C01346 * C00343 * C00001))</v>
      </c>
      <c r="K101" s="43" t="str">
        <f>CONCATENATE("r",D101,": ",F101," -&gt; ",H101," | ",J101)</f>
        <v>r100: C01346 + C00343 + C00001 -&gt; C00342 + C00015 | (${Variables:E1_17_4_1_kcat} * E1_17_4_1 * C01346 * C00343 * C00001)/(${Variables:E1_17_4_1_km} + (E1_17_4_1 * C01346 * C00343 * C00001))</v>
      </c>
    </row>
    <row r="102" spans="1:11" ht="42.75" x14ac:dyDescent="0.45">
      <c r="A102" s="53" t="s">
        <v>4930</v>
      </c>
      <c r="B102" s="54" t="s">
        <v>4931</v>
      </c>
      <c r="C102" t="s">
        <v>1850</v>
      </c>
      <c r="D102" s="12">
        <v>101</v>
      </c>
      <c r="E102" s="12" t="str">
        <f>CONCATENATE("E",C102)</f>
        <v>E1_17_4_1</v>
      </c>
      <c r="F102" s="12" t="s">
        <v>3052</v>
      </c>
      <c r="G102" s="12" t="s">
        <v>1487</v>
      </c>
      <c r="H102" t="s">
        <v>3335</v>
      </c>
      <c r="I102" t="s">
        <v>1488</v>
      </c>
      <c r="J102" s="12" t="str">
        <f>CONCATENATE("(${Variables:",E102,"_kcat","} * ",E102," * ",G102,")","/(${Variables:",E102,"_km","} + (",E102," * ",G102,"))")</f>
        <v>(${Variables:E1_17_4_1_kcat} * E1_17_4_1 * C00361 * C00343 * C00001)/(${Variables:E1_17_4_1_km} + (E1_17_4_1 * C00361 * C00343 * C00001))</v>
      </c>
      <c r="K102" s="43" t="str">
        <f>CONCATENATE("r",D102,": ",F102," -&gt; ",H102," | ",J102)</f>
        <v>r101: C00361 + C00343 + C00001 -&gt; C00035 + C00342 | (${Variables:E1_17_4_1_kcat} * E1_17_4_1 * C00361 * C00343 * C00001)/(${Variables:E1_17_4_1_km} + (E1_17_4_1 * C00361 * C00343 * C00001))</v>
      </c>
    </row>
    <row r="103" spans="1:11" ht="42.75" x14ac:dyDescent="0.45">
      <c r="A103" s="53" t="s">
        <v>4930</v>
      </c>
      <c r="B103" s="54" t="s">
        <v>4931</v>
      </c>
      <c r="C103" t="s">
        <v>1850</v>
      </c>
      <c r="D103" s="12">
        <v>102</v>
      </c>
      <c r="E103" s="12" t="str">
        <f>CONCATENATE("E",C103)</f>
        <v>E1_17_4_1</v>
      </c>
      <c r="F103" s="12" t="s">
        <v>3053</v>
      </c>
      <c r="G103" s="12" t="s">
        <v>1539</v>
      </c>
      <c r="H103" t="s">
        <v>3336</v>
      </c>
      <c r="I103" t="s">
        <v>1540</v>
      </c>
      <c r="J103" s="12" t="str">
        <f>CONCATENATE("(${Variables:",E103,"_kcat","} * ",E103," * ",G103,")","/(${Variables:",E103,"_km","} + (",E103," * ",G103,"))")</f>
        <v>(${Variables:E1_17_4_1_kcat} * E1_17_4_1 * C00705 * C00343 * C00001)/(${Variables:E1_17_4_1_km} + (E1_17_4_1 * C00705 * C00343 * C00001))</v>
      </c>
      <c r="K103" s="43" t="str">
        <f>CONCATENATE("r",D103,": ",F103," -&gt; ",H103," | ",J103)</f>
        <v>r102: C00705 + C00343 + C00001 -&gt; C00342 + C00112 | (${Variables:E1_17_4_1_kcat} * E1_17_4_1 * C00705 * C00343 * C00001)/(${Variables:E1_17_4_1_km} + (E1_17_4_1 * C00705 * C00343 * C00001))</v>
      </c>
    </row>
    <row r="104" spans="1:11" ht="42.75" x14ac:dyDescent="0.45">
      <c r="A104" s="53" t="s">
        <v>4930</v>
      </c>
      <c r="B104" s="54" t="s">
        <v>4931</v>
      </c>
      <c r="C104" t="s">
        <v>1850</v>
      </c>
      <c r="D104" s="12">
        <v>103</v>
      </c>
      <c r="E104" s="12" t="str">
        <f>CONCATENATE("E",C104)</f>
        <v>E1_17_4_1</v>
      </c>
      <c r="F104" s="12" t="s">
        <v>3057</v>
      </c>
      <c r="G104" s="12" t="s">
        <v>1614</v>
      </c>
      <c r="H104" t="s">
        <v>3340</v>
      </c>
      <c r="I104" t="s">
        <v>1615</v>
      </c>
      <c r="J104" s="12" t="str">
        <f>CONCATENATE("(${Variables:",E104,"_kcat","} * ",E104," * ",G104,")","/(${Variables:",E104,"_km","} + (",E104," * ",G104,"))")</f>
        <v>(${Variables:E1_17_4_1_kcat} * E1_17_4_1 * C04232 * C16664 * C00001)/(${Variables:E1_17_4_1_km} + (E1_17_4_1 * C04232 * C16664 * C00001))</v>
      </c>
      <c r="K104" s="43" t="str">
        <f>CONCATENATE("r",D104,": ",F104," -&gt; ",H104," | ",J104)</f>
        <v>r103: C04232 + C16664 + C00001 -&gt; C03723 + C16663 | (${Variables:E1_17_4_1_kcat} * E1_17_4_1 * C04232 * C16664 * C00001)/(${Variables:E1_17_4_1_km} + (E1_17_4_1 * C04232 * C16664 * C00001))</v>
      </c>
    </row>
    <row r="105" spans="1:11" ht="42.75" x14ac:dyDescent="0.45">
      <c r="A105" s="53" t="s">
        <v>4930</v>
      </c>
      <c r="B105" s="54" t="s">
        <v>4931</v>
      </c>
      <c r="C105" t="s">
        <v>1850</v>
      </c>
      <c r="D105" s="12">
        <v>104</v>
      </c>
      <c r="E105" s="12" t="str">
        <f>CONCATENATE("E",C105)</f>
        <v>E1_17_4_1</v>
      </c>
      <c r="F105" s="12" t="s">
        <v>3056</v>
      </c>
      <c r="G105" s="12" t="s">
        <v>1612</v>
      </c>
      <c r="H105" t="s">
        <v>3339</v>
      </c>
      <c r="I105" t="s">
        <v>1613</v>
      </c>
      <c r="J105" s="12" t="str">
        <f>CONCATENATE("(${Variables:",E105,"_kcat","} * ",E105," * ",G105,")","/(${Variables:",E105,"_km","} + (",E105," * ",G105,"))")</f>
        <v>(${Variables:E1_17_4_1_kcat} * E1_17_4_1 * C04232 * C03170 * C00001)/(${Variables:E1_17_4_1_km} + (E1_17_4_1 * C04232 * C03170 * C00001))</v>
      </c>
      <c r="K105" s="43" t="str">
        <f>CONCATENATE("r",D105,": ",F105," -&gt; ",H105," | ",J105)</f>
        <v>r104: C04232 + C03170 + C00001 -&gt; C03723 + C02090 | (${Variables:E1_17_4_1_kcat} * E1_17_4_1 * C04232 * C03170 * C00001)/(${Variables:E1_17_4_1_km} + (E1_17_4_1 * C04232 * C03170 * C00001))</v>
      </c>
    </row>
    <row r="106" spans="1:11" ht="42.75" x14ac:dyDescent="0.45">
      <c r="A106" s="53" t="s">
        <v>4930</v>
      </c>
      <c r="B106" s="54" t="s">
        <v>4931</v>
      </c>
      <c r="C106" t="s">
        <v>1850</v>
      </c>
      <c r="D106" s="12">
        <v>105</v>
      </c>
      <c r="E106" s="12" t="str">
        <f>CONCATENATE("E",C106)</f>
        <v>E1_17_4_1</v>
      </c>
      <c r="F106" s="12" t="s">
        <v>3058</v>
      </c>
      <c r="G106" s="12" t="s">
        <v>1692</v>
      </c>
      <c r="H106" t="s">
        <v>3341</v>
      </c>
      <c r="I106" t="s">
        <v>1693</v>
      </c>
      <c r="J106" s="12" t="str">
        <f>CONCATENATE("(${Variables:",E106,"_kcat","} * ",E106," * ",G106,")","/(${Variables:",E106,"_km","} + (",E106," * ",G106,"))")</f>
        <v>(${Variables:E1_17_4_1_kcat} * E1_17_4_1 * C21750 * C00343 * C00001)/(${Variables:E1_17_4_1_km} + (E1_17_4_1 * C21750 * C00343 * C00001))</v>
      </c>
      <c r="K106" s="43" t="str">
        <f>CONCATENATE("r",D106,": ",F106," -&gt; ",H106," | ",J106)</f>
        <v>r105: C21750 + C00343 + C00001 -&gt; C21748 + C00342 | (${Variables:E1_17_4_1_kcat} * E1_17_4_1 * C21750 * C00343 * C00001)/(${Variables:E1_17_4_1_km} + (E1_17_4_1 * C21750 * C00343 * C00001))</v>
      </c>
    </row>
    <row r="107" spans="1:11" ht="42.75" x14ac:dyDescent="0.45">
      <c r="A107" s="53" t="s">
        <v>5575</v>
      </c>
      <c r="B107" s="54" t="s">
        <v>5576</v>
      </c>
      <c r="C107" t="s">
        <v>1850</v>
      </c>
      <c r="D107" s="12">
        <v>106</v>
      </c>
      <c r="E107" s="12" t="str">
        <f>CONCATENATE("E",C107)</f>
        <v>E1_17_4_1</v>
      </c>
      <c r="F107" s="12" t="s">
        <v>3055</v>
      </c>
      <c r="G107" s="12" t="s">
        <v>1610</v>
      </c>
      <c r="H107" t="s">
        <v>3338</v>
      </c>
      <c r="I107" t="s">
        <v>1611</v>
      </c>
      <c r="J107" s="12" t="str">
        <f>CONCATENATE("(${Variables:",E107,"_kcat","} * ",E107," * ",G107,")","/(${Variables:",E107,"_km","} + (",E107," * ",G107,"))")</f>
        <v>(${Variables:E1_17_4_1_kcat} * E1_17_4_1 * C04232 * C00343 * C00001)/(${Variables:E1_17_4_1_km} + (E1_17_4_1 * C04232 * C00343 * C00001))</v>
      </c>
      <c r="K107" s="43" t="str">
        <f>CONCATENATE("r",D107,": ",F107," -&gt; ",H107," | ",J107)</f>
        <v>r106: C04232 + C00343 + C00001 -&gt; C03723 + C00342 | (${Variables:E1_17_4_1_kcat} * E1_17_4_1 * C04232 * C00343 * C00001)/(${Variables:E1_17_4_1_km} + (E1_17_4_1 * C04232 * C00343 * C00001))</v>
      </c>
    </row>
    <row r="108" spans="1:11" ht="42.75" x14ac:dyDescent="0.45">
      <c r="A108" s="53" t="s">
        <v>5575</v>
      </c>
      <c r="B108" s="54" t="s">
        <v>5576</v>
      </c>
      <c r="C108" t="s">
        <v>1850</v>
      </c>
      <c r="D108" s="12">
        <v>107</v>
      </c>
      <c r="E108" s="12" t="str">
        <f>CONCATENATE("E",C108)</f>
        <v>E1_17_4_1</v>
      </c>
      <c r="F108" s="12" t="s">
        <v>3051</v>
      </c>
      <c r="G108" s="12" t="s">
        <v>1447</v>
      </c>
      <c r="H108" t="s">
        <v>3334</v>
      </c>
      <c r="I108" t="s">
        <v>1448</v>
      </c>
      <c r="J108" s="12" t="str">
        <f>CONCATENATE("(${Variables:",E108,"_kcat","} * ",E108," * ",G108,")","/(${Variables:",E108,"_km","} + (",E108," * ",G108,"))")</f>
        <v>(${Variables:E1_17_4_1_kcat} * E1_17_4_1 * C00206 * C00343 * C00001)/(${Variables:E1_17_4_1_km} + (E1_17_4_1 * C00206 * C00343 * C00001))</v>
      </c>
      <c r="K108" s="43" t="str">
        <f>CONCATENATE("r",D108,": ",F108," -&gt; ",H108," | ",J108)</f>
        <v>r107: C00206 + C00343 + C00001 -&gt; C00342 + C00008 | (${Variables:E1_17_4_1_kcat} * E1_17_4_1 * C00206 * C00343 * C00001)/(${Variables:E1_17_4_1_km} + (E1_17_4_1 * C00206 * C00343 * C00001))</v>
      </c>
    </row>
    <row r="109" spans="1:11" ht="42.75" x14ac:dyDescent="0.45">
      <c r="A109" s="53" t="s">
        <v>5575</v>
      </c>
      <c r="B109" s="54" t="s">
        <v>5576</v>
      </c>
      <c r="C109" t="s">
        <v>1850</v>
      </c>
      <c r="D109" s="12">
        <v>108</v>
      </c>
      <c r="E109" s="12" t="str">
        <f>CONCATENATE("E",C109)</f>
        <v>E1_17_4_1</v>
      </c>
      <c r="F109" s="12" t="s">
        <v>3054</v>
      </c>
      <c r="G109" s="12" t="s">
        <v>1574</v>
      </c>
      <c r="H109" t="s">
        <v>3337</v>
      </c>
      <c r="I109" t="s">
        <v>1575</v>
      </c>
      <c r="J109" s="12" t="str">
        <f>CONCATENATE("(${Variables:",E109,"_kcat","} * ",E109," * ",G109,")","/(${Variables:",E109,"_km","} + (",E109," * ",G109,"))")</f>
        <v>(${Variables:E1_17_4_1_kcat} * E1_17_4_1 * C01346 * C00343 * C00001)/(${Variables:E1_17_4_1_km} + (E1_17_4_1 * C01346 * C00343 * C00001))</v>
      </c>
      <c r="K109" s="43" t="str">
        <f>CONCATENATE("r",D109,": ",F109," -&gt; ",H109," | ",J109)</f>
        <v>r108: C01346 + C00343 + C00001 -&gt; C00342 + C00015 | (${Variables:E1_17_4_1_kcat} * E1_17_4_1 * C01346 * C00343 * C00001)/(${Variables:E1_17_4_1_km} + (E1_17_4_1 * C01346 * C00343 * C00001))</v>
      </c>
    </row>
    <row r="110" spans="1:11" ht="42.75" x14ac:dyDescent="0.45">
      <c r="A110" s="53" t="s">
        <v>5575</v>
      </c>
      <c r="B110" s="54" t="s">
        <v>5576</v>
      </c>
      <c r="C110" t="s">
        <v>1850</v>
      </c>
      <c r="D110" s="12">
        <v>109</v>
      </c>
      <c r="E110" s="12" t="str">
        <f>CONCATENATE("E",C110)</f>
        <v>E1_17_4_1</v>
      </c>
      <c r="F110" s="12" t="s">
        <v>3052</v>
      </c>
      <c r="G110" s="12" t="s">
        <v>1487</v>
      </c>
      <c r="H110" t="s">
        <v>3335</v>
      </c>
      <c r="I110" t="s">
        <v>1488</v>
      </c>
      <c r="J110" s="12" t="str">
        <f>CONCATENATE("(${Variables:",E110,"_kcat","} * ",E110," * ",G110,")","/(${Variables:",E110,"_km","} + (",E110," * ",G110,"))")</f>
        <v>(${Variables:E1_17_4_1_kcat} * E1_17_4_1 * C00361 * C00343 * C00001)/(${Variables:E1_17_4_1_km} + (E1_17_4_1 * C00361 * C00343 * C00001))</v>
      </c>
      <c r="K110" s="43" t="str">
        <f>CONCATENATE("r",D110,": ",F110," -&gt; ",H110," | ",J110)</f>
        <v>r109: C00361 + C00343 + C00001 -&gt; C00035 + C00342 | (${Variables:E1_17_4_1_kcat} * E1_17_4_1 * C00361 * C00343 * C00001)/(${Variables:E1_17_4_1_km} + (E1_17_4_1 * C00361 * C00343 * C00001))</v>
      </c>
    </row>
    <row r="111" spans="1:11" ht="42.75" x14ac:dyDescent="0.45">
      <c r="A111" s="53" t="s">
        <v>5575</v>
      </c>
      <c r="B111" s="54" t="s">
        <v>5576</v>
      </c>
      <c r="C111" t="s">
        <v>1850</v>
      </c>
      <c r="D111" s="12">
        <v>110</v>
      </c>
      <c r="E111" s="12" t="str">
        <f>CONCATENATE("E",C111)</f>
        <v>E1_17_4_1</v>
      </c>
      <c r="F111" s="12" t="s">
        <v>3053</v>
      </c>
      <c r="G111" s="12" t="s">
        <v>1539</v>
      </c>
      <c r="H111" t="s">
        <v>3336</v>
      </c>
      <c r="I111" t="s">
        <v>1540</v>
      </c>
      <c r="J111" s="12" t="str">
        <f>CONCATENATE("(${Variables:",E111,"_kcat","} * ",E111," * ",G111,")","/(${Variables:",E111,"_km","} + (",E111," * ",G111,"))")</f>
        <v>(${Variables:E1_17_4_1_kcat} * E1_17_4_1 * C00705 * C00343 * C00001)/(${Variables:E1_17_4_1_km} + (E1_17_4_1 * C00705 * C00343 * C00001))</v>
      </c>
      <c r="K111" s="43" t="str">
        <f>CONCATENATE("r",D111,": ",F111," -&gt; ",H111," | ",J111)</f>
        <v>r110: C00705 + C00343 + C00001 -&gt; C00342 + C00112 | (${Variables:E1_17_4_1_kcat} * E1_17_4_1 * C00705 * C00343 * C00001)/(${Variables:E1_17_4_1_km} + (E1_17_4_1 * C00705 * C00343 * C00001))</v>
      </c>
    </row>
    <row r="112" spans="1:11" ht="42.75" x14ac:dyDescent="0.45">
      <c r="A112" s="53" t="s">
        <v>5575</v>
      </c>
      <c r="B112" s="54" t="s">
        <v>5576</v>
      </c>
      <c r="C112" t="s">
        <v>1850</v>
      </c>
      <c r="D112" s="12">
        <v>111</v>
      </c>
      <c r="E112" s="12" t="str">
        <f>CONCATENATE("E",C112)</f>
        <v>E1_17_4_1</v>
      </c>
      <c r="F112" s="12" t="s">
        <v>3057</v>
      </c>
      <c r="G112" s="12" t="s">
        <v>1614</v>
      </c>
      <c r="H112" t="s">
        <v>3340</v>
      </c>
      <c r="I112" t="s">
        <v>1615</v>
      </c>
      <c r="J112" s="12" t="str">
        <f>CONCATENATE("(${Variables:",E112,"_kcat","} * ",E112," * ",G112,")","/(${Variables:",E112,"_km","} + (",E112," * ",G112,"))")</f>
        <v>(${Variables:E1_17_4_1_kcat} * E1_17_4_1 * C04232 * C16664 * C00001)/(${Variables:E1_17_4_1_km} + (E1_17_4_1 * C04232 * C16664 * C00001))</v>
      </c>
      <c r="K112" s="43" t="str">
        <f>CONCATENATE("r",D112,": ",F112," -&gt; ",H112," | ",J112)</f>
        <v>r111: C04232 + C16664 + C00001 -&gt; C03723 + C16663 | (${Variables:E1_17_4_1_kcat} * E1_17_4_1 * C04232 * C16664 * C00001)/(${Variables:E1_17_4_1_km} + (E1_17_4_1 * C04232 * C16664 * C00001))</v>
      </c>
    </row>
    <row r="113" spans="1:11" ht="42.75" x14ac:dyDescent="0.45">
      <c r="A113" s="53" t="s">
        <v>5575</v>
      </c>
      <c r="B113" s="54" t="s">
        <v>5576</v>
      </c>
      <c r="C113" t="s">
        <v>1850</v>
      </c>
      <c r="D113" s="12">
        <v>112</v>
      </c>
      <c r="E113" s="12" t="str">
        <f>CONCATENATE("E",C113)</f>
        <v>E1_17_4_1</v>
      </c>
      <c r="F113" s="12" t="s">
        <v>3056</v>
      </c>
      <c r="G113" s="12" t="s">
        <v>1612</v>
      </c>
      <c r="H113" t="s">
        <v>3339</v>
      </c>
      <c r="I113" t="s">
        <v>1613</v>
      </c>
      <c r="J113" s="12" t="str">
        <f>CONCATENATE("(${Variables:",E113,"_kcat","} * ",E113," * ",G113,")","/(${Variables:",E113,"_km","} + (",E113," * ",G113,"))")</f>
        <v>(${Variables:E1_17_4_1_kcat} * E1_17_4_1 * C04232 * C03170 * C00001)/(${Variables:E1_17_4_1_km} + (E1_17_4_1 * C04232 * C03170 * C00001))</v>
      </c>
      <c r="K113" s="43" t="str">
        <f>CONCATENATE("r",D113,": ",F113," -&gt; ",H113," | ",J113)</f>
        <v>r112: C04232 + C03170 + C00001 -&gt; C03723 + C02090 | (${Variables:E1_17_4_1_kcat} * E1_17_4_1 * C04232 * C03170 * C00001)/(${Variables:E1_17_4_1_km} + (E1_17_4_1 * C04232 * C03170 * C00001))</v>
      </c>
    </row>
    <row r="114" spans="1:11" ht="42.75" x14ac:dyDescent="0.45">
      <c r="A114" s="53" t="s">
        <v>5575</v>
      </c>
      <c r="B114" s="54" t="s">
        <v>5576</v>
      </c>
      <c r="C114" t="s">
        <v>1850</v>
      </c>
      <c r="D114" s="12">
        <v>113</v>
      </c>
      <c r="E114" s="12" t="str">
        <f>CONCATENATE("E",C114)</f>
        <v>E1_17_4_1</v>
      </c>
      <c r="F114" s="12" t="s">
        <v>3058</v>
      </c>
      <c r="G114" s="12" t="s">
        <v>1692</v>
      </c>
      <c r="H114" t="s">
        <v>3341</v>
      </c>
      <c r="I114" t="s">
        <v>1693</v>
      </c>
      <c r="J114" s="12" t="str">
        <f>CONCATENATE("(${Variables:",E114,"_kcat","} * ",E114," * ",G114,")","/(${Variables:",E114,"_km","} + (",E114," * ",G114,"))")</f>
        <v>(${Variables:E1_17_4_1_kcat} * E1_17_4_1 * C21750 * C00343 * C00001)/(${Variables:E1_17_4_1_km} + (E1_17_4_1 * C21750 * C00343 * C00001))</v>
      </c>
      <c r="K114" s="43" t="str">
        <f>CONCATENATE("r",D114,": ",F114," -&gt; ",H114," | ",J114)</f>
        <v>r113: C21750 + C00343 + C00001 -&gt; C21748 + C00342 | (${Variables:E1_17_4_1_kcat} * E1_17_4_1 * C21750 * C00343 * C00001)/(${Variables:E1_17_4_1_km} + (E1_17_4_1 * C21750 * C00343 * C00001))</v>
      </c>
    </row>
    <row r="115" spans="1:11" ht="42.75" x14ac:dyDescent="0.45">
      <c r="A115" s="53" t="s">
        <v>8154</v>
      </c>
      <c r="B115" s="54" t="s">
        <v>8155</v>
      </c>
      <c r="C115" t="s">
        <v>1842</v>
      </c>
      <c r="D115" s="12">
        <v>114</v>
      </c>
      <c r="E115" s="12" t="str">
        <f>CONCATENATE("E",C115)</f>
        <v>E1_17_4_2</v>
      </c>
      <c r="F115" t="s">
        <v>3063</v>
      </c>
      <c r="G115" t="s">
        <v>1537</v>
      </c>
      <c r="H115" t="s">
        <v>3346</v>
      </c>
      <c r="I115" t="s">
        <v>1538</v>
      </c>
      <c r="J115" s="12" t="str">
        <f>CONCATENATE("(${Variables:",E115,"_kcat","} * ",E115," * ",G115,")","/(${Variables:",E115,"_km","} + (",E115," * ",G115,"))")</f>
        <v>(${Variables:E1_17_4_2_kcat} * E1_17_4_2 * C00677 * C00343 * C00001)/(${Variables:E1_17_4_2_km} + (E1_17_4_2 * C00677 * C00343 * C00001))</v>
      </c>
      <c r="K115" s="43" t="str">
        <f>CONCATENATE("r",D115,": ",F115," -&gt; ",H115," | ",J115)</f>
        <v>r114: C00677 + C00343 + C00001 -&gt; C03802 + C00342 | (${Variables:E1_17_4_2_kcat} * E1_17_4_2 * C00677 * C00343 * C00001)/(${Variables:E1_17_4_2_km} + (E1_17_4_2 * C00677 * C00343 * C00001))</v>
      </c>
    </row>
    <row r="116" spans="1:11" ht="42.75" x14ac:dyDescent="0.45">
      <c r="A116" s="53" t="s">
        <v>8154</v>
      </c>
      <c r="B116" s="54" t="s">
        <v>8155</v>
      </c>
      <c r="C116" t="s">
        <v>1842</v>
      </c>
      <c r="D116" s="12">
        <v>115</v>
      </c>
      <c r="E116" s="12" t="str">
        <f>CONCATENATE("E",C116)</f>
        <v>E1_17_4_2</v>
      </c>
      <c r="F116" s="12" t="s">
        <v>3059</v>
      </c>
      <c r="G116" s="12" t="s">
        <v>1425</v>
      </c>
      <c r="H116" s="58" t="s">
        <v>3342</v>
      </c>
      <c r="I116" s="58" t="s">
        <v>1426</v>
      </c>
      <c r="J116" s="12" t="str">
        <f>CONCATENATE("(${Variables:",E116,"_kcat","} * ",E116," * ",G116,")","/(${Variables:",E116,"_km","} + (",E116," * ",G116,"))")</f>
        <v>(${Variables:E1_17_4_2_kcat} * E1_17_4_2 * C00131 * C00343 * C00001)/(${Variables:E1_17_4_2_km} + (E1_17_4_2 * C00131 * C00343 * C00001))</v>
      </c>
      <c r="K116" s="43" t="str">
        <f>CONCATENATE("r",D116,": ",F116," -&gt; ",H116," | ",J116)</f>
        <v>r115: C00131 + C00343 + C00001 -&gt; C00002 + C00342 | (${Variables:E1_17_4_2_kcat} * E1_17_4_2 * C00131 * C00343 * C00001)/(${Variables:E1_17_4_2_km} + (E1_17_4_2 * C00131 * C00343 * C00001))</v>
      </c>
    </row>
    <row r="117" spans="1:11" ht="42.75" x14ac:dyDescent="0.45">
      <c r="A117" s="53" t="s">
        <v>8154</v>
      </c>
      <c r="B117" s="54" t="s">
        <v>8155</v>
      </c>
      <c r="C117" t="s">
        <v>1842</v>
      </c>
      <c r="D117" s="12">
        <v>116</v>
      </c>
      <c r="E117" s="12" t="str">
        <f>CONCATENATE("E",C117)</f>
        <v>E1_17_4_2</v>
      </c>
      <c r="F117" s="12" t="s">
        <v>3060</v>
      </c>
      <c r="G117" s="12" t="s">
        <v>1474</v>
      </c>
      <c r="H117" t="s">
        <v>3343</v>
      </c>
      <c r="I117" t="s">
        <v>1475</v>
      </c>
      <c r="J117" s="12" t="str">
        <f>CONCATENATE("(${Variables:",E117,"_kcat","} * ",E117," * ",G117,")","/(${Variables:",E117,"_km","} + (",E117," * ",G117,"))")</f>
        <v>(${Variables:E1_17_4_2_kcat} * E1_17_4_2 * C00286 * C00343 * C00001)/(${Variables:E1_17_4_2_km} + (E1_17_4_2 * C00286 * C00343 * C00001))</v>
      </c>
      <c r="K117" s="43" t="str">
        <f>CONCATENATE("r",D117,": ",F117," -&gt; ",H117," | ",J117)</f>
        <v>r116: C00286 + C00343 + C00001 -&gt; C00044 + C00342 | (${Variables:E1_17_4_2_kcat} * E1_17_4_2 * C00286 * C00343 * C00001)/(${Variables:E1_17_4_2_km} + (E1_17_4_2 * C00286 * C00343 * C00001))</v>
      </c>
    </row>
    <row r="118" spans="1:11" ht="42.75" x14ac:dyDescent="0.45">
      <c r="A118" s="53" t="s">
        <v>8154</v>
      </c>
      <c r="B118" s="54" t="s">
        <v>8155</v>
      </c>
      <c r="C118" t="s">
        <v>1842</v>
      </c>
      <c r="D118" s="12">
        <v>117</v>
      </c>
      <c r="E118" s="12" t="str">
        <f>CONCATENATE("E",C118)</f>
        <v>E1_17_4_2</v>
      </c>
      <c r="F118" s="12" t="s">
        <v>3061</v>
      </c>
      <c r="G118" s="12" t="s">
        <v>1510</v>
      </c>
      <c r="H118" t="s">
        <v>3344</v>
      </c>
      <c r="I118" t="s">
        <v>1511</v>
      </c>
      <c r="J118" s="12" t="str">
        <f>CONCATENATE("(${Variables:",E118,"_kcat","} * ",E118," * ",G118,")","/(${Variables:",E118,"_km","} + (",E118," * ",G118,"))")</f>
        <v>(${Variables:E1_17_4_2_kcat} * E1_17_4_2 * C00458 * C00343 * C00001)/(${Variables:E1_17_4_2_km} + (E1_17_4_2 * C00458 * C00343 * C00001))</v>
      </c>
      <c r="K118" s="43" t="str">
        <f>CONCATENATE("r",D118,": ",F118," -&gt; ",H118," | ",J118)</f>
        <v>r117: C00458 + C00343 + C00001 -&gt; C00063 + C00342 | (${Variables:E1_17_4_2_kcat} * E1_17_4_2 * C00458 * C00343 * C00001)/(${Variables:E1_17_4_2_km} + (E1_17_4_2 * C00458 * C00343 * C00001))</v>
      </c>
    </row>
    <row r="119" spans="1:11" ht="42.75" x14ac:dyDescent="0.45">
      <c r="A119" s="53" t="s">
        <v>8154</v>
      </c>
      <c r="B119" s="54" t="s">
        <v>8155</v>
      </c>
      <c r="C119" t="s">
        <v>1842</v>
      </c>
      <c r="D119" s="12">
        <v>118</v>
      </c>
      <c r="E119" s="12" t="str">
        <f>CONCATENATE("E",C119)</f>
        <v>E1_17_4_2</v>
      </c>
      <c r="F119" s="12" t="s">
        <v>3062</v>
      </c>
      <c r="G119" s="12" t="s">
        <v>1513</v>
      </c>
      <c r="H119" t="s">
        <v>3345</v>
      </c>
      <c r="I119" t="s">
        <v>1514</v>
      </c>
      <c r="J119" s="12" t="str">
        <f>CONCATENATE("(${Variables:",E119,"_kcat","} * ",E119," * ",G119,")","/(${Variables:",E119,"_km","} + (",E119," * ",G119,"))")</f>
        <v>(${Variables:E1_17_4_2_kcat} * E1_17_4_2 * C00460 * C00343 * C00001)/(${Variables:E1_17_4_2_km} + (E1_17_4_2 * C00460 * C00343 * C00001))</v>
      </c>
      <c r="K119" s="43" t="str">
        <f>CONCATENATE("r",D119,": ",F119," -&gt; ",H119," | ",J119)</f>
        <v>r118: C00460 + C00343 + C00001 -&gt; C00075 + C00342 | (${Variables:E1_17_4_2_kcat} * E1_17_4_2 * C00460 * C00343 * C00001)/(${Variables:E1_17_4_2_km} + (E1_17_4_2 * C00460 * C00343 * C00001))</v>
      </c>
    </row>
    <row r="120" spans="1:11" ht="57" x14ac:dyDescent="0.45">
      <c r="A120" s="53" t="s">
        <v>4149</v>
      </c>
      <c r="B120" s="54" t="s">
        <v>4150</v>
      </c>
      <c r="C120" t="s">
        <v>10319</v>
      </c>
      <c r="D120" s="12">
        <v>119</v>
      </c>
      <c r="E120" s="12" t="str">
        <f>CONCATENATE("E",C120)</f>
        <v>E1_17_99_6</v>
      </c>
      <c r="F120" s="12" t="s">
        <v>8599</v>
      </c>
      <c r="G120" s="12" t="s">
        <v>10479</v>
      </c>
      <c r="H120" t="s">
        <v>8600</v>
      </c>
      <c r="I120" t="s">
        <v>10699</v>
      </c>
      <c r="J120" s="12" t="str">
        <f>CONCATENATE("(${Variables:",E120,"_kcat","} * ",E120," * ",G120,")","/(${Variables:",E120,"_km","} + (",E120," * ",G120,"))")</f>
        <v>(${Variables:E1_17_99_6_kcat} * E1_17_99_6 * C01978 * C00028 * C00001)/(${Variables:E1_17_99_6_km} + (E1_17_99_6 * C01978 * C00028 * C00001))</v>
      </c>
      <c r="K120" s="43" t="str">
        <f>CONCATENATE("r",D120,": ",F120," -&gt; ",H120," | ",J120)</f>
        <v>r119: C01978 + C00028 + C00001 -&gt; C19647 + C00030 | (${Variables:E1_17_99_6_kcat} * E1_17_99_6 * C01978 * C00028 * C00001)/(${Variables:E1_17_99_6_km} + (E1_17_99_6 * C01978 * C00028 * C00001))</v>
      </c>
    </row>
    <row r="121" spans="1:11" ht="42.75" x14ac:dyDescent="0.45">
      <c r="A121" s="53" t="s">
        <v>3718</v>
      </c>
      <c r="B121" s="54" t="s">
        <v>3719</v>
      </c>
      <c r="C121" t="s">
        <v>1824</v>
      </c>
      <c r="D121" s="12">
        <v>120</v>
      </c>
      <c r="E121" s="12" t="str">
        <f>CONCATENATE("E",C121)</f>
        <v>E1_2_1_10</v>
      </c>
      <c r="F121" t="s">
        <v>3064</v>
      </c>
      <c r="G121" t="s">
        <v>1385</v>
      </c>
      <c r="H121" t="s">
        <v>3347</v>
      </c>
      <c r="I121" t="s">
        <v>1386</v>
      </c>
      <c r="J121" s="12" t="str">
        <f>CONCATENATE("(${Variables:",E121,"_kcat","} * ",E121," * ",G121,")","/(${Variables:",E121,"_km","} + (",E121," * ",G121,"))")</f>
        <v>(${Variables:E1_2_1_10_kcat} * E1_2_1_10 * C00084 * C00010 * C00003)/(${Variables:E1_2_1_10_km} + (E1_2_1_10 * C00084 * C00010 * C00003))</v>
      </c>
      <c r="K121" s="43" t="str">
        <f>CONCATENATE("r",D121,": ",F121," -&gt; ",H121," | ",J121)</f>
        <v>r120: C00084 + C00010 + C00003 -&gt; C00024 + C00004 + C00080 | (${Variables:E1_2_1_10_kcat} * E1_2_1_10 * C00084 * C00010 * C00003)/(${Variables:E1_2_1_10_km} + (E1_2_1_10 * C00084 * C00010 * C00003))</v>
      </c>
    </row>
    <row r="122" spans="1:11" ht="42.75" x14ac:dyDescent="0.45">
      <c r="A122" s="53" t="s">
        <v>10449</v>
      </c>
      <c r="B122" s="54" t="s">
        <v>3719</v>
      </c>
      <c r="C122" t="s">
        <v>1824</v>
      </c>
      <c r="D122" s="12">
        <v>121</v>
      </c>
      <c r="E122" s="12" t="str">
        <f>CONCATENATE("E",C122)</f>
        <v>E1_2_1_10</v>
      </c>
      <c r="F122" t="s">
        <v>3065</v>
      </c>
      <c r="G122" t="s">
        <v>1576</v>
      </c>
      <c r="H122" t="s">
        <v>3348</v>
      </c>
      <c r="I122" t="s">
        <v>1577</v>
      </c>
      <c r="J122" s="12" t="str">
        <f>CONCATENATE("(${Variables:",E122,"_kcat","} * ",E122," * ",G122,")","/(${Variables:",E122,"_km","} + (",E122," * ",G122,"))")</f>
        <v>(${Variables:E1_2_1_10_kcat} * E1_2_1_10 * C01412 * C00010 * C00003)/(${Variables:E1_2_1_10_km} + (E1_2_1_10 * C01412 * C00010 * C00003))</v>
      </c>
      <c r="K122" s="43" t="str">
        <f>CONCATENATE("r",D122,": ",F122," -&gt; ",H122," | ",J122)</f>
        <v>r121: C01412 + C00010 + C00003 -&gt; C00136 + C00004 + C00080 | (${Variables:E1_2_1_10_kcat} * E1_2_1_10 * C01412 * C00010 * C00003)/(${Variables:E1_2_1_10_km} + (E1_2_1_10 * C01412 * C00010 * C00003))</v>
      </c>
    </row>
    <row r="123" spans="1:11" ht="42.75" x14ac:dyDescent="0.45">
      <c r="A123" s="53" t="s">
        <v>6121</v>
      </c>
      <c r="B123" s="54" t="s">
        <v>6122</v>
      </c>
      <c r="C123" t="s">
        <v>1863</v>
      </c>
      <c r="D123" s="12">
        <v>122</v>
      </c>
      <c r="E123" s="12" t="str">
        <f>CONCATENATE("E",C123)</f>
        <v>E1_2_1_11</v>
      </c>
      <c r="F123" s="12" t="s">
        <v>3066</v>
      </c>
      <c r="G123" s="12" t="s">
        <v>1505</v>
      </c>
      <c r="H123" t="s">
        <v>3349</v>
      </c>
      <c r="I123" t="s">
        <v>1506</v>
      </c>
      <c r="J123" s="12" t="str">
        <f>CONCATENATE("(${Variables:",E123,"_kcat","} * ",E123," * ",G123,")","/(${Variables:",E123,"_km","} + (",E123," * ",G123,"))")</f>
        <v>(${Variables:E1_2_1_11_kcat} * E1_2_1_11 * C00441 * C00009 * C00006)/(${Variables:E1_2_1_11_km} + (E1_2_1_11 * C00441 * C00009 * C00006))</v>
      </c>
      <c r="K123" s="43" t="str">
        <f>CONCATENATE("r",D123,": ",F123," -&gt; ",H123," | ",J123)</f>
        <v>r122: C00441 + C00009 + C00006 -&gt; C03082 + C00005 + C00080 | (${Variables:E1_2_1_11_kcat} * E1_2_1_11 * C00441 * C00009 * C00006)/(${Variables:E1_2_1_11_km} + (E1_2_1_11 * C00441 * C00009 * C00006))</v>
      </c>
    </row>
    <row r="124" spans="1:11" ht="42.75" x14ac:dyDescent="0.45">
      <c r="A124" s="53" t="s">
        <v>7463</v>
      </c>
      <c r="B124" s="54" t="s">
        <v>7464</v>
      </c>
      <c r="C124" t="s">
        <v>10320</v>
      </c>
      <c r="D124" s="12">
        <v>123</v>
      </c>
      <c r="E124" s="12" t="str">
        <f>CONCATENATE("E",C124)</f>
        <v>E1_2_1_41</v>
      </c>
      <c r="F124" t="s">
        <v>10073</v>
      </c>
      <c r="G124" t="s">
        <v>10480</v>
      </c>
      <c r="H124" t="s">
        <v>10074</v>
      </c>
      <c r="I124" t="s">
        <v>10700</v>
      </c>
      <c r="J124" s="12" t="str">
        <f>CONCATENATE("(${Variables:",E124,"_kcat","} * ",E124," * ",G124,")","/(${Variables:",E124,"_km","} + (",E124," * ",G124,"))")</f>
        <v>(${Variables:E1_2_1_41_kcat} * E1_2_1_41 * C01165 * C00009 * C00006)/(${Variables:E1_2_1_41_km} + (E1_2_1_41 * C01165 * C00009 * C00006))</v>
      </c>
      <c r="K124" s="43" t="str">
        <f>CONCATENATE("r",D124,": ",F124," -&gt; ",H124," | ",J124)</f>
        <v>r123: C01165 + C00009 + C00006 -&gt; C03287 + C00005 + C00080 | (${Variables:E1_2_1_41_kcat} * E1_2_1_41 * C01165 * C00009 * C00006)/(${Variables:E1_2_1_41_km} + (E1_2_1_41 * C01165 * C00009 * C00006))</v>
      </c>
    </row>
    <row r="125" spans="1:11" ht="42.75" x14ac:dyDescent="0.45">
      <c r="A125" s="53" t="s">
        <v>6337</v>
      </c>
      <c r="B125" s="54" t="s">
        <v>6338</v>
      </c>
      <c r="C125" t="s">
        <v>1872</v>
      </c>
      <c r="D125" s="12">
        <v>124</v>
      </c>
      <c r="E125" s="12" t="str">
        <f>CONCATENATE("E",C125)</f>
        <v>E1_3_1_98</v>
      </c>
      <c r="F125" s="12" t="s">
        <v>3068</v>
      </c>
      <c r="G125" s="12" t="s">
        <v>1558</v>
      </c>
      <c r="H125" t="s">
        <v>3351</v>
      </c>
      <c r="I125" t="s">
        <v>1559</v>
      </c>
      <c r="J125" s="12" t="str">
        <f>CONCATENATE("(${Variables:",E125,"_kcat","} * ",E125," * ",G125,")","/(${Variables:",E125,"_km","} + (",E125," * ",G125,"))")</f>
        <v>(${Variables:E1_3_1_98_kcat} * E1_3_1_98 * C01050 * C00006)/(${Variables:E1_3_1_98_km} + (E1_3_1_98 * C01050 * C00006))</v>
      </c>
      <c r="K125" s="43" t="str">
        <f>CONCATENATE("r",D125,": ",F125," -&gt; ",H125," | ",J125)</f>
        <v>r124: C01050 + C00006 -&gt; C04631 + C00005 + C00080 | (${Variables:E1_3_1_98_kcat} * E1_3_1_98 * C01050 * C00006)/(${Variables:E1_3_1_98_km} + (E1_3_1_98 * C01050 * C00006))</v>
      </c>
    </row>
    <row r="126" spans="1:11" ht="42.75" x14ac:dyDescent="0.45">
      <c r="A126" s="53" t="s">
        <v>6337</v>
      </c>
      <c r="B126" s="54" t="s">
        <v>6338</v>
      </c>
      <c r="C126" t="s">
        <v>1872</v>
      </c>
      <c r="D126" s="12">
        <v>125</v>
      </c>
      <c r="E126" s="12" t="str">
        <f>CONCATENATE("E",C126)</f>
        <v>E1_3_1_98</v>
      </c>
      <c r="F126" t="s">
        <v>3067</v>
      </c>
      <c r="G126" t="s">
        <v>1556</v>
      </c>
      <c r="H126" t="s">
        <v>3350</v>
      </c>
      <c r="I126" t="s">
        <v>1557</v>
      </c>
      <c r="J126" s="12" t="str">
        <f>CONCATENATE("(${Variables:",E126,"_kcat","} * ",E126," * ",G126,")","/(${Variables:",E126,"_km","} + (",E126," * ",G126,"))")</f>
        <v>(${Variables:E1_3_1_98_kcat} * E1_3_1_98 * C01050 * C00003)/(${Variables:E1_3_1_98_km} + (E1_3_1_98 * C01050 * C00003))</v>
      </c>
      <c r="K126" s="43" t="str">
        <f>CONCATENATE("r",D126,": ",F126," -&gt; ",H126," | ",J126)</f>
        <v>r125: C01050 + C00003 -&gt; C04631 + C00004 + C00080 | (${Variables:E1_3_1_98_kcat} * E1_3_1_98 * C01050 * C00003)/(${Variables:E1_3_1_98_km} + (E1_3_1_98 * C01050 * C00003))</v>
      </c>
    </row>
    <row r="127" spans="1:11" ht="42.75" x14ac:dyDescent="0.45">
      <c r="A127" s="53" t="s">
        <v>5155</v>
      </c>
      <c r="B127" s="54" t="s">
        <v>5156</v>
      </c>
      <c r="C127" t="s">
        <v>10321</v>
      </c>
      <c r="D127" s="12">
        <v>126</v>
      </c>
      <c r="E127" s="12" t="str">
        <f>CONCATENATE("E",C127)</f>
        <v>E1_3_98_1</v>
      </c>
      <c r="F127" t="s">
        <v>9047</v>
      </c>
      <c r="G127" t="s">
        <v>10481</v>
      </c>
      <c r="H127" t="s">
        <v>9048</v>
      </c>
      <c r="I127" t="s">
        <v>10701</v>
      </c>
      <c r="J127" s="12" t="str">
        <f>CONCATENATE("(${Variables:",E127,"_kcat","} * ",E127," * ",G127,")","/(${Variables:",E127,"_km","} + (",E127," * ",G127,"))")</f>
        <v>(${Variables:E1_3_98_1_kcat} * E1_3_98_1 * C00337 * C00122)/(${Variables:E1_3_98_1_km} + (E1_3_98_1 * C00337 * C00122))</v>
      </c>
      <c r="K127" s="43" t="str">
        <f>CONCATENATE("r",D127,": ",F127," -&gt; ",H127," | ",J127)</f>
        <v>r126: C00337 + C00122 -&gt; C00295 + C00042 | (${Variables:E1_3_98_1_kcat} * E1_3_98_1 * C00337 * C00122)/(${Variables:E1_3_98_1_km} + (E1_3_98_1 * C00337 * C00122))</v>
      </c>
    </row>
    <row r="128" spans="1:11" ht="42.75" x14ac:dyDescent="0.45">
      <c r="A128" s="53" t="s">
        <v>6410</v>
      </c>
      <c r="B128" s="54" t="s">
        <v>6411</v>
      </c>
      <c r="C128" t="s">
        <v>10322</v>
      </c>
      <c r="D128" s="12">
        <v>127</v>
      </c>
      <c r="E128" s="12" t="str">
        <f>CONCATENATE("E",C128)</f>
        <v>E1_4_1_4</v>
      </c>
      <c r="F128" s="12" t="s">
        <v>9628</v>
      </c>
      <c r="G128" s="12" t="s">
        <v>10482</v>
      </c>
      <c r="H128" t="s">
        <v>9629</v>
      </c>
      <c r="I128" t="s">
        <v>10702</v>
      </c>
      <c r="J128" s="12" t="str">
        <f>CONCATENATE("(${Variables:",E128,"_kcat","} * ",E128," * ",G128,")","/(${Variables:",E128,"_km","} + (",E128," * ",G128,"))")</f>
        <v>(${Variables:E1_4_1_4_kcat} * E1_4_1_4 * C00025 * C00006 * C00001)/(${Variables:E1_4_1_4_km} + (E1_4_1_4 * C00025 * C00006 * C00001))</v>
      </c>
      <c r="K128" s="43" t="str">
        <f>CONCATENATE("r",D128,": ",F128," -&gt; ",H128," | ",J128)</f>
        <v>r127: C00025 + C00006 + C00001 -&gt; C00026 + C00014 + C00005 + C00080 | (${Variables:E1_4_1_4_kcat} * E1_4_1_4 * C00025 * C00006 * C00001)/(${Variables:E1_4_1_4_km} + (E1_4_1_4 * C00025 * C00006 * C00001))</v>
      </c>
    </row>
    <row r="129" spans="1:11" ht="42.75" x14ac:dyDescent="0.45">
      <c r="A129" s="53" t="s">
        <v>6410</v>
      </c>
      <c r="B129" s="54" t="s">
        <v>6411</v>
      </c>
      <c r="C129" t="s">
        <v>10322</v>
      </c>
      <c r="D129" s="12">
        <v>128</v>
      </c>
      <c r="E129" s="12" t="str">
        <f>CONCATENATE("E",C129)</f>
        <v>E1_4_1_4</v>
      </c>
      <c r="F129" s="12" t="s">
        <v>9631</v>
      </c>
      <c r="G129" s="12" t="s">
        <v>10483</v>
      </c>
      <c r="H129" t="s">
        <v>9632</v>
      </c>
      <c r="I129" t="s">
        <v>10703</v>
      </c>
      <c r="J129" s="12" t="str">
        <f>CONCATENATE("(${Variables:",E129,"_kcat","} * ",E129," * ",G129,")","/(${Variables:",E129,"_km","} + (",E129," * ",G129,"))")</f>
        <v>(${Variables:E1_4_1_4_kcat} * E1_4_1_4 * C05167 * C00001 * C00003)/(${Variables:E1_4_1_4_km} + (E1_4_1_4 * C05167 * C00001 * C00003))</v>
      </c>
      <c r="K129" s="43" t="str">
        <f>CONCATENATE("r",D129,": ",F129," -&gt; ",H129," | ",J129)</f>
        <v>r128: C05167 + C00001 + C00003 -&gt; C00161 + C00014 + C00004 + C00080 | (${Variables:E1_4_1_4_kcat} * E1_4_1_4 * C05167 * C00001 * C00003)/(${Variables:E1_4_1_4_km} + (E1_4_1_4 * C05167 * C00001 * C00003))</v>
      </c>
    </row>
    <row r="130" spans="1:11" ht="42.75" x14ac:dyDescent="0.45">
      <c r="A130" s="53" t="s">
        <v>6410</v>
      </c>
      <c r="B130" s="54" t="s">
        <v>6411</v>
      </c>
      <c r="C130" t="s">
        <v>10322</v>
      </c>
      <c r="D130" s="12">
        <v>129</v>
      </c>
      <c r="E130" s="12" t="str">
        <f>CONCATENATE("E",C130)</f>
        <v>E1_4_1_4</v>
      </c>
      <c r="F130" s="12" t="s">
        <v>9634</v>
      </c>
      <c r="G130" s="12" t="s">
        <v>10484</v>
      </c>
      <c r="H130" t="s">
        <v>9635</v>
      </c>
      <c r="I130" t="s">
        <v>10704</v>
      </c>
      <c r="J130" s="12" t="str">
        <f>CONCATENATE("(${Variables:",E130,"_kcat","} * ",E130," * ",G130,")","/(${Variables:",E130,"_km","} + (",E130," * ",G130,"))")</f>
        <v>(${Variables:E1_4_1_4_kcat} * E1_4_1_4 * C05167 * C00001 * C00006)/(${Variables:E1_4_1_4_km} + (E1_4_1_4 * C05167 * C00001 * C00006))</v>
      </c>
      <c r="K130" s="43" t="str">
        <f>CONCATENATE("r",D130,": ",F130," -&gt; ",H130," | ",J130)</f>
        <v>r129: C05167 + C00001 + C00006 -&gt; C00161 + C00014 + C00005 + C00080 | (${Variables:E1_4_1_4_kcat} * E1_4_1_4 * C05167 * C00001 * C00006)/(${Variables:E1_4_1_4_km} + (E1_4_1_4 * C05167 * C00001 * C00006))</v>
      </c>
    </row>
    <row r="131" spans="1:11" ht="42.75" x14ac:dyDescent="0.45">
      <c r="A131" s="53" t="s">
        <v>8134</v>
      </c>
      <c r="B131" s="54" t="s">
        <v>8135</v>
      </c>
      <c r="C131" t="s">
        <v>10323</v>
      </c>
      <c r="D131" s="12">
        <v>130</v>
      </c>
      <c r="E131" s="12" t="str">
        <f>CONCATENATE("E",C131)</f>
        <v>E1_5_1_2</v>
      </c>
      <c r="F131" s="12" t="s">
        <v>10244</v>
      </c>
      <c r="G131" s="12" t="s">
        <v>10485</v>
      </c>
      <c r="H131" t="s">
        <v>10245</v>
      </c>
      <c r="I131" t="s">
        <v>10705</v>
      </c>
      <c r="J131" s="12" t="str">
        <f>CONCATENATE("(${Variables:",E131,"_kcat","} * ",E131," * ",G131,")","/(${Variables:",E131,"_km","} + (",E131," * ",G131,"))")</f>
        <v>(${Variables:E1_5_1_2_kcat} * E1_5_1_2 * C00148 * C00003)/(${Variables:E1_5_1_2_km} + (E1_5_1_2 * C00148 * C00003))</v>
      </c>
      <c r="K131" s="43" t="str">
        <f>CONCATENATE("r",D131,": ",F131," -&gt; ",H131," | ",J131)</f>
        <v>r130: C00148 + C00003 -&gt; C03912 + C00004 + C00080 | (${Variables:E1_5_1_2_kcat} * E1_5_1_2 * C00148 * C00003)/(${Variables:E1_5_1_2_km} + (E1_5_1_2 * C00148 * C00003))</v>
      </c>
    </row>
    <row r="132" spans="1:11" ht="42.75" x14ac:dyDescent="0.45">
      <c r="A132" s="53" t="s">
        <v>8134</v>
      </c>
      <c r="B132" s="54" t="s">
        <v>8135</v>
      </c>
      <c r="C132" t="s">
        <v>10323</v>
      </c>
      <c r="D132" s="12">
        <v>131</v>
      </c>
      <c r="E132" s="12" t="str">
        <f>CONCATENATE("E",C132)</f>
        <v>E1_5_1_2</v>
      </c>
      <c r="F132" s="12" t="s">
        <v>10247</v>
      </c>
      <c r="G132" s="12" t="s">
        <v>10486</v>
      </c>
      <c r="H132" t="s">
        <v>10248</v>
      </c>
      <c r="I132" t="s">
        <v>10706</v>
      </c>
      <c r="J132" s="12" t="str">
        <f>CONCATENATE("(${Variables:",E132,"_kcat","} * ",E132," * ",G132,")","/(${Variables:",E132,"_km","} + (",E132," * ",G132,"))")</f>
        <v>(${Variables:E1_5_1_2_kcat} * E1_5_1_2 * C00148 * C00006)/(${Variables:E1_5_1_2_km} + (E1_5_1_2 * C00148 * C00006))</v>
      </c>
      <c r="K132" s="43" t="str">
        <f>CONCATENATE("r",D132,": ",F132," -&gt; ",H132," | ",J132)</f>
        <v>r131: C00148 + C00006 -&gt; C03912 + C00005 + C00080 | (${Variables:E1_5_1_2_kcat} * E1_5_1_2 * C00148 * C00006)/(${Variables:E1_5_1_2_km} + (E1_5_1_2 * C00148 * C00006))</v>
      </c>
    </row>
    <row r="133" spans="1:11" ht="42.75" x14ac:dyDescent="0.45">
      <c r="A133" s="53" t="s">
        <v>8134</v>
      </c>
      <c r="B133" s="54" t="s">
        <v>8135</v>
      </c>
      <c r="C133" t="s">
        <v>10323</v>
      </c>
      <c r="D133" s="12">
        <v>132</v>
      </c>
      <c r="E133" s="12" t="str">
        <f>CONCATENATE("E",C133)</f>
        <v>E1_5_1_2</v>
      </c>
      <c r="F133" s="12" t="s">
        <v>10250</v>
      </c>
      <c r="G133" s="12" t="s">
        <v>10487</v>
      </c>
      <c r="H133" t="s">
        <v>10251</v>
      </c>
      <c r="I133" t="s">
        <v>10707</v>
      </c>
      <c r="J133" s="12" t="str">
        <f>CONCATENATE("(${Variables:",E133,"_kcat","} * ",E133," * ",G133,")","/(${Variables:",E133,"_km","} + (",E133," * ",G133,"))")</f>
        <v>(${Variables:E1_5_1_2_kcat} * E1_5_1_2 * C01157 * C00003)/(${Variables:E1_5_1_2_km} + (E1_5_1_2 * C01157 * C00003))</v>
      </c>
      <c r="K133" s="43" t="str">
        <f>CONCATENATE("r",D133,": ",F133," -&gt; ",H133," | ",J133)</f>
        <v>r132: C01157 + C00003 -&gt; C04281 + C00004 + C00080 | (${Variables:E1_5_1_2_kcat} * E1_5_1_2 * C01157 * C00003)/(${Variables:E1_5_1_2_km} + (E1_5_1_2 * C01157 * C00003))</v>
      </c>
    </row>
    <row r="134" spans="1:11" ht="42.75" x14ac:dyDescent="0.45">
      <c r="A134" s="53" t="s">
        <v>8134</v>
      </c>
      <c r="B134" s="54" t="s">
        <v>8135</v>
      </c>
      <c r="C134" t="s">
        <v>10323</v>
      </c>
      <c r="D134" s="12">
        <v>133</v>
      </c>
      <c r="E134" s="12" t="str">
        <f>CONCATENATE("E",C134)</f>
        <v>E1_5_1_2</v>
      </c>
      <c r="F134" s="12" t="s">
        <v>10253</v>
      </c>
      <c r="G134" s="12" t="s">
        <v>10488</v>
      </c>
      <c r="H134" t="s">
        <v>10254</v>
      </c>
      <c r="I134" t="s">
        <v>10708</v>
      </c>
      <c r="J134" s="12" t="str">
        <f>CONCATENATE("(${Variables:",E134,"_kcat","} * ",E134," * ",G134,")","/(${Variables:",E134,"_km","} + (",E134," * ",G134,"))")</f>
        <v>(${Variables:E1_5_1_2_kcat} * E1_5_1_2 * C01157 * C00006)/(${Variables:E1_5_1_2_km} + (E1_5_1_2 * C01157 * C00006))</v>
      </c>
      <c r="K134" s="43" t="str">
        <f>CONCATENATE("r",D134,": ",F134," -&gt; ",H134," | ",J134)</f>
        <v>r133: C01157 + C00006 -&gt; C04281 + C00005 + C00080 | (${Variables:E1_5_1_2_kcat} * E1_5_1_2 * C01157 * C00006)/(${Variables:E1_5_1_2_km} + (E1_5_1_2 * C01157 * C00006))</v>
      </c>
    </row>
    <row r="135" spans="1:11" ht="42.75" x14ac:dyDescent="0.45">
      <c r="A135" s="53" t="s">
        <v>6382</v>
      </c>
      <c r="B135" s="54" t="s">
        <v>6383</v>
      </c>
      <c r="C135" t="s">
        <v>1831</v>
      </c>
      <c r="D135" s="12">
        <v>134</v>
      </c>
      <c r="E135" s="12" t="str">
        <f>CONCATENATE("E",C135)</f>
        <v>E1_5_1_3</v>
      </c>
      <c r="F135" s="12" t="s">
        <v>3070</v>
      </c>
      <c r="G135" s="12" t="s">
        <v>1404</v>
      </c>
      <c r="H135" t="s">
        <v>3355</v>
      </c>
      <c r="I135" t="s">
        <v>1405</v>
      </c>
      <c r="J135" s="12" t="str">
        <f>CONCATENATE("(${Variables:",E135,"_kcat","} * ",E135," * ",G135,")","/(${Variables:",E135,"_km","} + (",E135," * ",G135,"))")</f>
        <v>(${Variables:E1_5_1_3_kcat} * E1_5_1_3 * C00101 * C00006)/(${Variables:E1_5_1_3_km} + (E1_5_1_3 * C00101 * C00006))</v>
      </c>
      <c r="K135" s="43" t="str">
        <f>CONCATENATE("r",D135,": ",F135," -&gt; ",H135," | ",J135)</f>
        <v>r134: C00101 + C00006 -&gt; C00415 + C00005 + C00080 | (${Variables:E1_5_1_3_kcat} * E1_5_1_3 * C00101 * C00006)/(${Variables:E1_5_1_3_km} + (E1_5_1_3 * C00101 * C00006))</v>
      </c>
    </row>
    <row r="136" spans="1:11" ht="42.75" x14ac:dyDescent="0.45">
      <c r="A136" s="53" t="s">
        <v>6382</v>
      </c>
      <c r="B136" s="54" t="s">
        <v>6383</v>
      </c>
      <c r="C136" t="s">
        <v>1831</v>
      </c>
      <c r="D136" s="12">
        <v>135</v>
      </c>
      <c r="E136" s="12" t="str">
        <f>CONCATENATE("E",C136)</f>
        <v>E1_5_1_3</v>
      </c>
      <c r="F136" t="s">
        <v>3069</v>
      </c>
      <c r="G136" t="s">
        <v>1402</v>
      </c>
      <c r="H136" t="s">
        <v>3354</v>
      </c>
      <c r="I136" t="s">
        <v>1403</v>
      </c>
      <c r="J136" s="12" t="str">
        <f>CONCATENATE("(${Variables:",E136,"_kcat","} * ",E136," * ",G136,")","/(${Variables:",E136,"_km","} + (",E136," * ",G136,"))")</f>
        <v>(${Variables:E1_5_1_3_kcat} * E1_5_1_3 * C00101 * C00003)/(${Variables:E1_5_1_3_km} + (E1_5_1_3 * C00101 * C00003))</v>
      </c>
      <c r="K136" s="43" t="str">
        <f>CONCATENATE("r",D136,": ",F136," -&gt; ",H136," | ",J136)</f>
        <v>r135: C00101 + C00003 -&gt; C00415 + C00004 + C00080 | (${Variables:E1_5_1_3_kcat} * E1_5_1_3 * C00101 * C00003)/(${Variables:E1_5_1_3_km} + (E1_5_1_3 * C00101 * C00003))</v>
      </c>
    </row>
    <row r="137" spans="1:11" ht="42.75" x14ac:dyDescent="0.45">
      <c r="A137" s="53" t="s">
        <v>6382</v>
      </c>
      <c r="B137" s="54" t="s">
        <v>6383</v>
      </c>
      <c r="C137" t="s">
        <v>1831</v>
      </c>
      <c r="D137" s="12">
        <v>136</v>
      </c>
      <c r="E137" s="12" t="str">
        <f>CONCATENATE("E",C137)</f>
        <v>E1_5_1_3</v>
      </c>
      <c r="F137" s="12" t="s">
        <v>3069</v>
      </c>
      <c r="G137" s="12" t="s">
        <v>1402</v>
      </c>
      <c r="H137" t="s">
        <v>3352</v>
      </c>
      <c r="I137" t="s">
        <v>1500</v>
      </c>
      <c r="J137" s="12" t="str">
        <f>CONCATENATE("(${Variables:",E137,"_kcat","} * ",E137," * ",G137,")","/(${Variables:",E137,"_km","} + (",E137," * ",G137,"))")</f>
        <v>(${Variables:E1_5_1_3_kcat} * E1_5_1_3 * C00101 * C00003)/(${Variables:E1_5_1_3_km} + (E1_5_1_3 * C00101 * C00003))</v>
      </c>
      <c r="K137" s="43" t="str">
        <f>CONCATENATE("r",D137,": ",F137," -&gt; ",H137," | ",J137)</f>
        <v>r136: C00101 + C00003 -&gt; C00504 + C00004 + C00080 | (${Variables:E1_5_1_3_kcat} * E1_5_1_3 * C00101 * C00003)/(${Variables:E1_5_1_3_km} + (E1_5_1_3 * C00101 * C00003))</v>
      </c>
    </row>
    <row r="138" spans="1:11" ht="42.75" x14ac:dyDescent="0.45">
      <c r="A138" s="53" t="s">
        <v>6382</v>
      </c>
      <c r="B138" s="54" t="s">
        <v>6383</v>
      </c>
      <c r="C138" t="s">
        <v>1831</v>
      </c>
      <c r="D138" s="12">
        <v>137</v>
      </c>
      <c r="E138" s="12" t="str">
        <f>CONCATENATE("E",C138)</f>
        <v>E1_5_1_3</v>
      </c>
      <c r="F138" t="s">
        <v>3070</v>
      </c>
      <c r="G138" t="s">
        <v>1404</v>
      </c>
      <c r="H138" t="s">
        <v>3353</v>
      </c>
      <c r="I138" t="s">
        <v>1502</v>
      </c>
      <c r="J138" s="12" t="str">
        <f>CONCATENATE("(${Variables:",E138,"_kcat","} * ",E138," * ",G138,")","/(${Variables:",E138,"_km","} + (",E138," * ",G138,"))")</f>
        <v>(${Variables:E1_5_1_3_kcat} * E1_5_1_3 * C00101 * C00006)/(${Variables:E1_5_1_3_km} + (E1_5_1_3 * C00101 * C00006))</v>
      </c>
      <c r="K138" s="43" t="str">
        <f>CONCATENATE("r",D138,": ",F138," -&gt; ",H138," | ",J138)</f>
        <v>r137: C00101 + C00006 -&gt; C00504 + C00005 + C00080 | (${Variables:E1_5_1_3_kcat} * E1_5_1_3 * C00101 * C00006)/(${Variables:E1_5_1_3_km} + (E1_5_1_3 * C00101 * C00006))</v>
      </c>
    </row>
    <row r="139" spans="1:11" ht="42.75" x14ac:dyDescent="0.45">
      <c r="A139" s="53" t="s">
        <v>6382</v>
      </c>
      <c r="B139" s="54" t="s">
        <v>6383</v>
      </c>
      <c r="C139" t="s">
        <v>1831</v>
      </c>
      <c r="D139" s="12">
        <v>138</v>
      </c>
      <c r="E139" s="12" t="str">
        <f>CONCATENATE("E",C139)</f>
        <v>E1_5_1_3</v>
      </c>
      <c r="F139" s="12" t="s">
        <v>3072</v>
      </c>
      <c r="G139" s="12" t="s">
        <v>1499</v>
      </c>
      <c r="H139" t="s">
        <v>3352</v>
      </c>
      <c r="I139" t="s">
        <v>1500</v>
      </c>
      <c r="J139" s="12" t="str">
        <f>CONCATENATE("(${Variables:",E139,"_kcat","} * ",E139," * ",G139,")","/(${Variables:",E139,"_km","} + (",E139," * ",G139,"))")</f>
        <v>(${Variables:E1_5_1_3_kcat} * E1_5_1_3 * C00415 * C00003)/(${Variables:E1_5_1_3_km} + (E1_5_1_3 * C00415 * C00003))</v>
      </c>
      <c r="K139" s="43" t="str">
        <f>CONCATENATE("r",D139,": ",F139," -&gt; ",H139," | ",J139)</f>
        <v>r138: C00415 + C00003 -&gt; C00504 + C00004 + C00080 | (${Variables:E1_5_1_3_kcat} * E1_5_1_3 * C00415 * C00003)/(${Variables:E1_5_1_3_km} + (E1_5_1_3 * C00415 * C00003))</v>
      </c>
    </row>
    <row r="140" spans="1:11" ht="42.75" x14ac:dyDescent="0.45">
      <c r="A140" s="53" t="s">
        <v>6382</v>
      </c>
      <c r="B140" s="54" t="s">
        <v>6383</v>
      </c>
      <c r="C140" t="s">
        <v>1831</v>
      </c>
      <c r="D140" s="12">
        <v>139</v>
      </c>
      <c r="E140" s="12" t="str">
        <f>CONCATENATE("E",C140)</f>
        <v>E1_5_1_3</v>
      </c>
      <c r="F140" t="s">
        <v>3073</v>
      </c>
      <c r="G140" t="s">
        <v>1501</v>
      </c>
      <c r="H140" t="s">
        <v>3353</v>
      </c>
      <c r="I140" t="s">
        <v>1502</v>
      </c>
      <c r="J140" s="12" t="str">
        <f>CONCATENATE("(${Variables:",E140,"_kcat","} * ",E140," * ",G140,")","/(${Variables:",E140,"_km","} + (",E140," * ",G140,"))")</f>
        <v>(${Variables:E1_5_1_3_kcat} * E1_5_1_3 * C00415 * C00006)/(${Variables:E1_5_1_3_km} + (E1_5_1_3 * C00415 * C00006))</v>
      </c>
      <c r="K140" s="43" t="str">
        <f>CONCATENATE("r",D140,": ",F140," -&gt; ",H140," | ",J140)</f>
        <v>r139: C00415 + C00006 -&gt; C00504 + C00005 + C00080 | (${Variables:E1_5_1_3_kcat} * E1_5_1_3 * C00415 * C00006)/(${Variables:E1_5_1_3_km} + (E1_5_1_3 * C00415 * C00006))</v>
      </c>
    </row>
    <row r="141" spans="1:11" ht="42.75" x14ac:dyDescent="0.45">
      <c r="A141" s="53" t="s">
        <v>6382</v>
      </c>
      <c r="B141" s="54" t="s">
        <v>6383</v>
      </c>
      <c r="C141" t="s">
        <v>1831</v>
      </c>
      <c r="D141" s="12">
        <v>140</v>
      </c>
      <c r="E141" s="12" t="str">
        <f>CONCATENATE("E",C141)</f>
        <v>E1_5_1_3</v>
      </c>
      <c r="F141" s="12" t="s">
        <v>3071</v>
      </c>
      <c r="G141" s="12" t="s">
        <v>1469</v>
      </c>
      <c r="H141" t="s">
        <v>3356</v>
      </c>
      <c r="I141" t="s">
        <v>1470</v>
      </c>
      <c r="J141" s="12" t="str">
        <f>CONCATENATE("(${Variables:",E141,"_kcat","} * ",E141," * ",G141,")","/(${Variables:",E141,"_km","} + (",E141," * ",G141,"))")</f>
        <v>(${Variables:E1_5_1_3_kcat} * E1_5_1_3 * C00272 * C00006)/(${Variables:E1_5_1_3_km} + (E1_5_1_3 * C00272 * C00006))</v>
      </c>
      <c r="K141" s="43" t="str">
        <f>CONCATENATE("r",D141,": ",F141," -&gt; ",H141," | ",J141)</f>
        <v>r140: C00272 + C00006 -&gt; C02953 + C00005 + C00080 | (${Variables:E1_5_1_3_kcat} * E1_5_1_3 * C00272 * C00006)/(${Variables:E1_5_1_3_km} + (E1_5_1_3 * C00272 * C00006))</v>
      </c>
    </row>
    <row r="142" spans="1:11" ht="42.75" x14ac:dyDescent="0.45">
      <c r="A142" s="53" t="s">
        <v>6260</v>
      </c>
      <c r="B142" s="54" t="s">
        <v>6261</v>
      </c>
      <c r="C142" t="s">
        <v>10324</v>
      </c>
      <c r="D142" s="12">
        <v>141</v>
      </c>
      <c r="E142" s="12" t="str">
        <f>CONCATENATE("E",C142)</f>
        <v>E1_6_3_4</v>
      </c>
      <c r="F142" t="s">
        <v>9428</v>
      </c>
      <c r="G142" t="s">
        <v>10489</v>
      </c>
      <c r="H142" t="s">
        <v>9429</v>
      </c>
      <c r="I142" t="s">
        <v>10709</v>
      </c>
      <c r="J142" s="12" t="str">
        <f>CONCATENATE("(${Variables:",E142,"_kcat","} * ",E142," * ",G142,")","/(${Variables:",E142,"_km","} + (",E142," * ",G142,"))")</f>
        <v>(${Variables:E1_6_3_4_kcat} * E1_6_3_4 * C00004 * C00080 * C00007)/(${Variables:E1_6_3_4_km} + (E1_6_3_4 * C00004 * C00080 * C00007))</v>
      </c>
      <c r="K142" s="43" t="str">
        <f>CONCATENATE("r",D142,": ",F142," -&gt; ",H142," | ",J142)</f>
        <v>r141: C00004 + C00080 + C00007 -&gt; C00003 + C00001 | (${Variables:E1_6_3_4_kcat} * E1_6_3_4 * C00004 * C00080 * C00007)/(${Variables:E1_6_3_4_km} + (E1_6_3_4 * C00004 * C00080 * C00007))</v>
      </c>
    </row>
    <row r="143" spans="1:11" ht="42.75" x14ac:dyDescent="0.45">
      <c r="A143" s="53" t="s">
        <v>6288</v>
      </c>
      <c r="B143" s="54" t="s">
        <v>6289</v>
      </c>
      <c r="C143" t="s">
        <v>1840</v>
      </c>
      <c r="D143" s="12">
        <v>142</v>
      </c>
      <c r="E143" s="12" t="str">
        <f>CONCATENATE("E",C143)</f>
        <v>E1_7_1_7</v>
      </c>
      <c r="F143" t="s">
        <v>3074</v>
      </c>
      <c r="G143" t="s">
        <v>1419</v>
      </c>
      <c r="H143" t="s">
        <v>3357</v>
      </c>
      <c r="I143" t="s">
        <v>1420</v>
      </c>
      <c r="J143" s="12" t="str">
        <f>CONCATENATE("(${Variables:",E143,"_kcat","} * ",E143," * ",G143,")","/(${Variables:",E143,"_km","} + (",E143," * ",G143,"))")</f>
        <v>(${Variables:E1_7_1_7_kcat} * E1_7_1_7 * C00130 * C00014 * C00006)/(${Variables:E1_7_1_7_km} + (E1_7_1_7 * C00130 * C00014 * C00006))</v>
      </c>
      <c r="K143" s="43" t="str">
        <f>CONCATENATE("r",D143,": ",F143," -&gt; ",H143," | ",J143)</f>
        <v>r142: C00130 + C00014 + C00006 -&gt; C00144 + C00005 + C00080 | (${Variables:E1_7_1_7_kcat} * E1_7_1_7 * C00130 * C00014 * C00006)/(${Variables:E1_7_1_7_km} + (E1_7_1_7 * C00130 * C00014 * C00006))</v>
      </c>
    </row>
    <row r="144" spans="1:11" ht="42.75" x14ac:dyDescent="0.45">
      <c r="A144" s="53" t="s">
        <v>6657</v>
      </c>
      <c r="B144" s="54" t="s">
        <v>6658</v>
      </c>
      <c r="C144" t="s">
        <v>10325</v>
      </c>
      <c r="D144" s="12">
        <v>143</v>
      </c>
      <c r="E144" s="12" t="str">
        <f>CONCATENATE("E",C144)</f>
        <v>E1_8_1_4</v>
      </c>
      <c r="F144" t="s">
        <v>9772</v>
      </c>
      <c r="G144" t="s">
        <v>10490</v>
      </c>
      <c r="H144" t="s">
        <v>9773</v>
      </c>
      <c r="I144" t="s">
        <v>10710</v>
      </c>
      <c r="J144" s="12" t="str">
        <f>CONCATENATE("(${Variables:",E144,"_kcat","} * ",E144," * ",G144,")","/(${Variables:",E144,"_km","} + (",E144," * ",G144,"))")</f>
        <v>(${Variables:E1_8_1_4_kcat} * E1_8_1_4 * C16832 * C00003)/(${Variables:E1_8_1_4_km} + (E1_8_1_4 * C16832 * C00003))</v>
      </c>
      <c r="K144" s="43" t="str">
        <f>CONCATENATE("r",D144,": ",F144," -&gt; ",H144," | ",J144)</f>
        <v>r143: C16832 + C00003 -&gt; C16237 + C00004 + C00080 | (${Variables:E1_8_1_4_kcat} * E1_8_1_4 * C16832 * C00003)/(${Variables:E1_8_1_4_km} + (E1_8_1_4 * C16832 * C00003))</v>
      </c>
    </row>
    <row r="145" spans="1:11" ht="42.75" x14ac:dyDescent="0.45">
      <c r="A145" s="53" t="s">
        <v>6657</v>
      </c>
      <c r="B145" s="54" t="s">
        <v>6658</v>
      </c>
      <c r="C145" t="s">
        <v>10325</v>
      </c>
      <c r="D145" s="12">
        <v>144</v>
      </c>
      <c r="E145" s="12" t="str">
        <f>CONCATENATE("E",C145)</f>
        <v>E1_8_1_4</v>
      </c>
      <c r="F145" t="s">
        <v>9774</v>
      </c>
      <c r="G145" t="s">
        <v>10491</v>
      </c>
      <c r="H145" t="s">
        <v>9776</v>
      </c>
      <c r="I145" t="s">
        <v>10711</v>
      </c>
      <c r="J145" s="12" t="str">
        <f>CONCATENATE("(${Variables:",E145,"_kcat","} * ",E145," * ",G145,")","/(${Variables:",E145,"_km","} + (",E145," * ",G145,"))")</f>
        <v>(${Variables:E1_8_1_4_kcat} * E1_8_1_4 * C02972 * C00003)/(${Variables:E1_8_1_4_km} + (E1_8_1_4 * C02972 * C00003))</v>
      </c>
      <c r="K145" s="43" t="str">
        <f>CONCATENATE("r",D145,": ",F145," -&gt; ",H145," | ",J145)</f>
        <v>r144: C02972 + C00003 -&gt; C02051 + C00004 + C00080 | (${Variables:E1_8_1_4_kcat} * E1_8_1_4 * C02972 * C00003)/(${Variables:E1_8_1_4_km} + (E1_8_1_4 * C02972 * C00003))</v>
      </c>
    </row>
    <row r="146" spans="1:11" ht="42.75" x14ac:dyDescent="0.45">
      <c r="A146" s="53" t="s">
        <v>6657</v>
      </c>
      <c r="B146" s="54" t="s">
        <v>6658</v>
      </c>
      <c r="C146" t="s">
        <v>10325</v>
      </c>
      <c r="D146" s="12">
        <v>145</v>
      </c>
      <c r="E146" s="12" t="str">
        <f>CONCATENATE("E",C146)</f>
        <v>E1_8_1_4</v>
      </c>
      <c r="F146" s="12" t="s">
        <v>9778</v>
      </c>
      <c r="G146" s="12" t="s">
        <v>10492</v>
      </c>
      <c r="H146" t="s">
        <v>9779</v>
      </c>
      <c r="I146" t="s">
        <v>10712</v>
      </c>
      <c r="J146" s="12" t="str">
        <f>CONCATENATE("(${Variables:",E146,"_kcat","} * ",E146," * ",G146,")","/(${Variables:",E146,"_km","} + (",E146," * ",G146,"))")</f>
        <v>(${Variables:E1_8_1_4_kcat} * E1_8_1_4 * C15973 * C00003)/(${Variables:E1_8_1_4_km} + (E1_8_1_4 * C15973 * C00003))</v>
      </c>
      <c r="K146" s="43" t="str">
        <f>CONCATENATE("r",D146,": ",F146," -&gt; ",H146," | ",J146)</f>
        <v>r145: C15973 + C00003 -&gt; C15972 + C00004 + C00080 | (${Variables:E1_8_1_4_kcat} * E1_8_1_4 * C15973 * C00003)/(${Variables:E1_8_1_4_km} + (E1_8_1_4 * C15973 * C00003))</v>
      </c>
    </row>
    <row r="147" spans="1:11" ht="42.75" x14ac:dyDescent="0.45">
      <c r="A147" s="53" t="s">
        <v>6657</v>
      </c>
      <c r="B147" s="54" t="s">
        <v>6658</v>
      </c>
      <c r="C147" t="s">
        <v>10325</v>
      </c>
      <c r="D147" s="12">
        <v>146</v>
      </c>
      <c r="E147" s="12" t="str">
        <f>CONCATENATE("E",C147)</f>
        <v>E1_8_1_4</v>
      </c>
      <c r="F147" s="12" t="s">
        <v>9781</v>
      </c>
      <c r="G147" s="12" t="s">
        <v>10493</v>
      </c>
      <c r="H147" t="s">
        <v>9782</v>
      </c>
      <c r="I147" t="s">
        <v>10713</v>
      </c>
      <c r="J147" s="12" t="str">
        <f>CONCATENATE("(${Variables:",E147,"_kcat","} * ",E147," * ",G147,")","/(${Variables:",E147,"_km","} + (",E147," * ",G147,"))")</f>
        <v>(${Variables:E1_8_1_4_kcat} * E1_8_1_4 * C00579 * C00003)/(${Variables:E1_8_1_4_km} + (E1_8_1_4 * C00579 * C00003))</v>
      </c>
      <c r="K147" s="43" t="str">
        <f>CONCATENATE("r",D147,": ",F147," -&gt; ",H147," | ",J147)</f>
        <v>r146: C00579 + C00003 -&gt; C00248 + C00004 + C00080 | (${Variables:E1_8_1_4_kcat} * E1_8_1_4 * C00579 * C00003)/(${Variables:E1_8_1_4_km} + (E1_8_1_4 * C00579 * C00003))</v>
      </c>
    </row>
    <row r="148" spans="1:11" ht="42.75" x14ac:dyDescent="0.45">
      <c r="A148" s="53" t="s">
        <v>5813</v>
      </c>
      <c r="B148" s="54" t="s">
        <v>5814</v>
      </c>
      <c r="C148" t="s">
        <v>10326</v>
      </c>
      <c r="D148" s="12">
        <v>147</v>
      </c>
      <c r="E148" s="12" t="str">
        <f>CONCATENATE("E",C148)</f>
        <v>E1_8_1_7</v>
      </c>
      <c r="F148" t="s">
        <v>9275</v>
      </c>
      <c r="G148" t="s">
        <v>10494</v>
      </c>
      <c r="H148" t="s">
        <v>9276</v>
      </c>
      <c r="I148" t="s">
        <v>10714</v>
      </c>
      <c r="J148" s="12" t="str">
        <f>CONCATENATE("(${Variables:",E148,"_kcat","} * ",E148," * ",G148,")","/(${Variables:",E148,"_km","} + (",E148," * ",G148,"))")</f>
        <v>(${Variables:E1_8_1_7_kcat} * E1_8_1_7 * C00051 * C00006)/(${Variables:E1_8_1_7_km} + (E1_8_1_7 * C00051 * C00006))</v>
      </c>
      <c r="K148" s="43" t="str">
        <f>CONCATENATE("r",D148,": ",F148," -&gt; ",H148," | ",J148)</f>
        <v>r147: C00051 + C00006 -&gt; C00127 + C00005 + C00080 | (${Variables:E1_8_1_7_kcat} * E1_8_1_7 * C00051 * C00006)/(${Variables:E1_8_1_7_km} + (E1_8_1_7 * C00051 * C00006))</v>
      </c>
    </row>
    <row r="149" spans="1:11" ht="42.75" x14ac:dyDescent="0.45">
      <c r="A149" s="53" t="s">
        <v>5813</v>
      </c>
      <c r="B149" s="54" t="s">
        <v>5814</v>
      </c>
      <c r="C149" t="s">
        <v>10326</v>
      </c>
      <c r="D149" s="12">
        <v>148</v>
      </c>
      <c r="E149" s="12" t="str">
        <f>CONCATENATE("E",C149)</f>
        <v>E1_8_1_7</v>
      </c>
      <c r="F149" t="s">
        <v>9278</v>
      </c>
      <c r="G149" t="s">
        <v>10495</v>
      </c>
      <c r="H149" t="s">
        <v>9279</v>
      </c>
      <c r="I149" t="s">
        <v>10715</v>
      </c>
      <c r="J149" s="12" t="str">
        <f>CONCATENATE("(${Variables:",E149,"_kcat","} * ",E149," * ",G149,")","/(${Variables:",E149,"_km","} + (",E149," * ",G149,"))")</f>
        <v>(${Variables:E1_8_1_7_kcat} * E1_8_1_7 * C00051 * C00003)/(${Variables:E1_8_1_7_km} + (E1_8_1_7 * C00051 * C00003))</v>
      </c>
      <c r="K149" s="43" t="str">
        <f>CONCATENATE("r",D149,": ",F149," -&gt; ",H149," | ",J149)</f>
        <v>r148: C00051 + C00003 -&gt; C00127 + C00004 + C00080 | (${Variables:E1_8_1_7_kcat} * E1_8_1_7 * C00051 * C00003)/(${Variables:E1_8_1_7_km} + (E1_8_1_7 * C00051 * C00003))</v>
      </c>
    </row>
    <row r="150" spans="1:11" ht="42.75" x14ac:dyDescent="0.45">
      <c r="A150" s="53" t="s">
        <v>7435</v>
      </c>
      <c r="B150" s="54" t="s">
        <v>7436</v>
      </c>
      <c r="C150" t="s">
        <v>1718</v>
      </c>
      <c r="D150" s="12">
        <v>149</v>
      </c>
      <c r="E150" s="12" t="str">
        <f>CONCATENATE("E",C150)</f>
        <v>E1_8_1_9</v>
      </c>
      <c r="F150" s="12" t="s">
        <v>3077</v>
      </c>
      <c r="G150" s="12" t="s">
        <v>1477</v>
      </c>
      <c r="H150" t="s">
        <v>3360</v>
      </c>
      <c r="I150" t="s">
        <v>1478</v>
      </c>
      <c r="J150" s="12" t="str">
        <f>CONCATENATE("(${Variables:",E150,"_kcat","} * ",E150," * ",G150,")","/(${Variables:",E150,"_km","} + (",E150," * ",G150,"))")</f>
        <v>(${Variables:E1_8_1_9_kcat} * E1_8_1_9 * C00342 * C00006)/(${Variables:E1_8_1_9_km} + (E1_8_1_9 * C00342 * C00006))</v>
      </c>
      <c r="K150" s="43" t="str">
        <f>CONCATENATE("r",D150,": ",F150," -&gt; ",H150," | ",J150)</f>
        <v>r149: C00342 + C00006 -&gt; C00343 + C00005 + C00080 | (${Variables:E1_8_1_9_kcat} * E1_8_1_9 * C00342 * C00006)/(${Variables:E1_8_1_9_km} + (E1_8_1_9 * C00342 * C00006))</v>
      </c>
    </row>
    <row r="151" spans="1:11" ht="42.75" x14ac:dyDescent="0.45">
      <c r="A151" s="53" t="s">
        <v>7435</v>
      </c>
      <c r="B151" s="54" t="s">
        <v>7436</v>
      </c>
      <c r="C151" t="s">
        <v>1718</v>
      </c>
      <c r="D151" s="12">
        <v>150</v>
      </c>
      <c r="E151" s="12" t="str">
        <f>CONCATENATE("E",C151)</f>
        <v>E1_8_1_9</v>
      </c>
      <c r="F151" s="12" t="s">
        <v>3076</v>
      </c>
      <c r="G151" s="12" t="s">
        <v>1396</v>
      </c>
      <c r="H151" t="s">
        <v>3359</v>
      </c>
      <c r="I151" t="s">
        <v>1397</v>
      </c>
      <c r="J151" s="12" t="str">
        <f>CONCATENATE("(${Variables:",E151,"_kcat","} * ",E151," * ",G151,")","/(${Variables:",E151,"_km","} + (",E151," * ",G151,"))")</f>
        <v>(${Variables:E1_8_1_9_kcat} * E1_8_1_9 * C00097 * C00051 * C00006)/(${Variables:E1_8_1_9_km} + (E1_8_1_9 * C00097 * C00051 * C00006))</v>
      </c>
      <c r="K151" s="43" t="str">
        <f>CONCATENATE("r",D151,": ",F151," -&gt; ",H151," | ",J151)</f>
        <v>r150: C00097 + C00051 + C00006 -&gt; C05526 + C00005 | (${Variables:E1_8_1_9_kcat} * E1_8_1_9 * C00097 * C00051 * C00006)/(${Variables:E1_8_1_9_km} + (E1_8_1_9 * C00097 * C00051 * C00006))</v>
      </c>
    </row>
    <row r="152" spans="1:11" ht="42.75" x14ac:dyDescent="0.45">
      <c r="A152" s="53" t="s">
        <v>7435</v>
      </c>
      <c r="B152" s="54" t="s">
        <v>7436</v>
      </c>
      <c r="C152" t="s">
        <v>1718</v>
      </c>
      <c r="D152" s="12">
        <v>151</v>
      </c>
      <c r="E152" s="12" t="str">
        <f>CONCATENATE("E",C152)</f>
        <v>E1_8_1_9</v>
      </c>
      <c r="F152" s="12" t="s">
        <v>3078</v>
      </c>
      <c r="G152" s="12" t="s">
        <v>1925</v>
      </c>
      <c r="H152" t="s">
        <v>3361</v>
      </c>
      <c r="I152" t="s">
        <v>1926</v>
      </c>
      <c r="J152" s="12" t="str">
        <f>CONCATENATE("(${Variables:",E152,"_kcat","} * ",E152," * ",G152,")","/(${Variables:",E152,"_km","} + (",E152," * ",G152,"))")</f>
        <v>(${Variables:E1_8_1_9_kcat} * E1_8_1_9 * C01528 * C00006 * C00001)/(${Variables:E1_8_1_9_km} + (E1_8_1_9 * C01528 * C00006 * C00001))</v>
      </c>
      <c r="K152" s="43" t="str">
        <f>CONCATENATE("r",D152,": ",F152," -&gt; ",H152," | ",J152)</f>
        <v>r151: C01528 + C00006 + C00001 -&gt; C05684 + C00005 + C00080 | (${Variables:E1_8_1_9_kcat} * E1_8_1_9 * C01528 * C00006 * C00001)/(${Variables:E1_8_1_9_km} + (E1_8_1_9 * C01528 * C00006 * C00001))</v>
      </c>
    </row>
    <row r="153" spans="1:11" ht="42.75" x14ac:dyDescent="0.45">
      <c r="A153" s="53" t="s">
        <v>7435</v>
      </c>
      <c r="B153" s="54" t="s">
        <v>7436</v>
      </c>
      <c r="C153" t="s">
        <v>1718</v>
      </c>
      <c r="D153" s="12">
        <v>152</v>
      </c>
      <c r="E153" s="12" t="str">
        <f>CONCATENATE("E",C153)</f>
        <v>E1_8_1_9</v>
      </c>
      <c r="F153" s="12" t="s">
        <v>3075</v>
      </c>
      <c r="G153" s="12" t="s">
        <v>1920</v>
      </c>
      <c r="H153" t="s">
        <v>3358</v>
      </c>
      <c r="I153" t="s">
        <v>1921</v>
      </c>
      <c r="J153" s="12" t="str">
        <f>CONCATENATE("(${Variables:",E153,"_kcat","} * ",E153," * ",G153,")","/(${Variables:",E153,"_km","} + (",E153," * ",G153,"))")</f>
        <v>(${Variables:E1_8_1_9_kcat} * E1_8_1_9 * C00005 * C00080 * C18902)/(${Variables:E1_8_1_9_km} + (E1_8_1_9 * C00005 * C00080 * C18902))</v>
      </c>
      <c r="K153" s="43" t="str">
        <f>CONCATENATE("r",D153,": ",F153," -&gt; ",H153," | ",J153)</f>
        <v>r152: C00005 + C00080 + C18902 -&gt; C00006 + C00001 + C05703 | (${Variables:E1_8_1_9_kcat} * E1_8_1_9 * C00005 * C00080 * C18902)/(${Variables:E1_8_1_9_km} + (E1_8_1_9 * C00005 * C00080 * C18902))</v>
      </c>
    </row>
    <row r="154" spans="1:11" ht="42.75" x14ac:dyDescent="0.45">
      <c r="A154" s="53" t="s">
        <v>7151</v>
      </c>
      <c r="B154" s="54" t="s">
        <v>7152</v>
      </c>
      <c r="C154" t="s">
        <v>1819</v>
      </c>
      <c r="D154" s="12">
        <v>153</v>
      </c>
      <c r="E154" s="12" t="str">
        <f>CONCATENATE("E",C154)</f>
        <v>E1_8_4_11</v>
      </c>
      <c r="F154" s="12" t="s">
        <v>3080</v>
      </c>
      <c r="G154" s="12" t="s">
        <v>1600</v>
      </c>
      <c r="H154" t="s">
        <v>3363</v>
      </c>
      <c r="I154" t="s">
        <v>1601</v>
      </c>
      <c r="J154" s="12" t="str">
        <f>CONCATENATE("(${Variables:",E154,"_kcat","} * ",E154," * ",G154,")","/(${Variables:",E154,"_km","} + (",E154," * ",G154,"))")</f>
        <v>(${Variables:E1_8_4_11_kcat} * E1_8_4_11 * C03023 * C00343 * C00001)/(${Variables:E1_8_4_11_km} + (E1_8_4_11 * C03023 * C00343 * C00001))</v>
      </c>
      <c r="K154" s="43" t="str">
        <f>CONCATENATE("r",D154,": ",F154," -&gt; ",H154," | ",J154)</f>
        <v>r153: C03023 + C00343 + C00001 -&gt; C03895 + C00342 | (${Variables:E1_8_4_11_kcat} * E1_8_4_11 * C03023 * C00343 * C00001)/(${Variables:E1_8_4_11_km} + (E1_8_4_11 * C03023 * C00343 * C00001))</v>
      </c>
    </row>
    <row r="155" spans="1:11" ht="42.75" x14ac:dyDescent="0.45">
      <c r="A155" s="53" t="s">
        <v>7151</v>
      </c>
      <c r="B155" s="54" t="s">
        <v>7152</v>
      </c>
      <c r="C155" t="s">
        <v>1819</v>
      </c>
      <c r="D155" s="12">
        <v>154</v>
      </c>
      <c r="E155" s="12" t="str">
        <f>CONCATENATE("E",C155)</f>
        <v>E1_8_4_11</v>
      </c>
      <c r="F155" t="s">
        <v>3079</v>
      </c>
      <c r="G155" t="s">
        <v>1366</v>
      </c>
      <c r="H155" t="s">
        <v>3362</v>
      </c>
      <c r="I155" t="s">
        <v>1367</v>
      </c>
      <c r="J155" s="12" t="str">
        <f>CONCATENATE("(${Variables:",E155,"_kcat","} * ",E155," * ",G155,")","/(${Variables:",E155,"_km","} + (",E155," * ",G155,"))")</f>
        <v>(${Variables:E1_8_4_11_kcat} * E1_8_4_11 * C00073 * C00343 * C00001)/(${Variables:E1_8_4_11_km} + (E1_8_4_11 * C00073 * C00343 * C00001))</v>
      </c>
      <c r="K155" s="43" t="str">
        <f>CONCATENATE("r",D155,": ",F155," -&gt; ",H155," | ",J155)</f>
        <v>r154: C00073 + C00343 + C00001 -&gt; C15999 + C00342 | (${Variables:E1_8_4_11_kcat} * E1_8_4_11 * C00073 * C00343 * C00001)/(${Variables:E1_8_4_11_km} + (E1_8_4_11 * C00073 * C00343 * C00001))</v>
      </c>
    </row>
    <row r="156" spans="1:11" ht="42.75" x14ac:dyDescent="0.45">
      <c r="A156" s="53" t="s">
        <v>6606</v>
      </c>
      <c r="B156" s="54" t="s">
        <v>6607</v>
      </c>
      <c r="C156" t="s">
        <v>1885</v>
      </c>
      <c r="D156" s="12">
        <v>155</v>
      </c>
      <c r="E156" s="12" t="str">
        <f>CONCATENATE("E",C156)</f>
        <v>E1_8_4_12</v>
      </c>
      <c r="F156" t="s">
        <v>3080</v>
      </c>
      <c r="G156" t="s">
        <v>1600</v>
      </c>
      <c r="H156" t="s">
        <v>3364</v>
      </c>
      <c r="I156" t="s">
        <v>1602</v>
      </c>
      <c r="J156" s="12" t="str">
        <f>CONCATENATE("(${Variables:",E156,"_kcat","} * ",E156," * ",G156,")","/(${Variables:",E156,"_km","} + (",E156," * ",G156,"))")</f>
        <v>(${Variables:E1_8_4_12_kcat} * E1_8_4_12 * C03023 * C00343 * C00001)/(${Variables:E1_8_4_12_km} + (E1_8_4_12 * C03023 * C00343 * C00001))</v>
      </c>
      <c r="K156" s="43" t="str">
        <f>CONCATENATE("r",D156,": ",F156," -&gt; ",H156," | ",J156)</f>
        <v>r155: C03023 + C00343 + C00001 -&gt; C15653 + C00342 | (${Variables:E1_8_4_12_kcat} * E1_8_4_12 * C03023 * C00343 * C00001)/(${Variables:E1_8_4_12_km} + (E1_8_4_12 * C03023 * C00343 * C00001))</v>
      </c>
    </row>
    <row r="157" spans="1:11" ht="42.75" x14ac:dyDescent="0.45">
      <c r="A157" s="53" t="s">
        <v>4998</v>
      </c>
      <c r="B157" s="54" t="s">
        <v>4999</v>
      </c>
      <c r="C157" t="s">
        <v>1885</v>
      </c>
      <c r="D157" s="12">
        <v>156</v>
      </c>
      <c r="E157" s="12" t="str">
        <f>CONCATENATE("E",C157)</f>
        <v>E1_8_4_12</v>
      </c>
      <c r="F157" s="12" t="s">
        <v>3080</v>
      </c>
      <c r="G157" s="12" t="s">
        <v>1600</v>
      </c>
      <c r="H157" t="s">
        <v>3364</v>
      </c>
      <c r="I157" t="s">
        <v>1602</v>
      </c>
      <c r="J157" s="12" t="str">
        <f>CONCATENATE("(${Variables:",E157,"_kcat","} * ",E157," * ",G157,")","/(${Variables:",E157,"_km","} + (",E157," * ",G157,"))")</f>
        <v>(${Variables:E1_8_4_12_kcat} * E1_8_4_12 * C03023 * C00343 * C00001)/(${Variables:E1_8_4_12_km} + (E1_8_4_12 * C03023 * C00343 * C00001))</v>
      </c>
      <c r="K157" s="43" t="str">
        <f>CONCATENATE("r",D157,": ",F157," -&gt; ",H157," | ",J157)</f>
        <v>r156: C03023 + C00343 + C00001 -&gt; C15653 + C00342 | (${Variables:E1_8_4_12_kcat} * E1_8_4_12 * C03023 * C00343 * C00001)/(${Variables:E1_8_4_12_km} + (E1_8_4_12 * C03023 * C00343 * C00001))</v>
      </c>
    </row>
    <row r="158" spans="1:11" ht="42.75" x14ac:dyDescent="0.45">
      <c r="A158" s="53" t="s">
        <v>7538</v>
      </c>
      <c r="B158" s="54" t="s">
        <v>7539</v>
      </c>
      <c r="C158" t="s">
        <v>10327</v>
      </c>
      <c r="D158" s="12">
        <v>157</v>
      </c>
      <c r="E158" s="12" t="str">
        <f>CONCATENATE("E",C158)</f>
        <v>E1_97_1_4</v>
      </c>
      <c r="F158" s="12" t="s">
        <v>10101</v>
      </c>
      <c r="G158" s="12" t="s">
        <v>10496</v>
      </c>
      <c r="H158" t="s">
        <v>10102</v>
      </c>
      <c r="I158" t="s">
        <v>10716</v>
      </c>
      <c r="J158" s="12" t="str">
        <f>CONCATENATE("(${Variables:",E158,"_kcat","} * ",E158," * ",G158,")","/(${Variables:",E158,"_km","} + (",E158," * ",G158,"))")</f>
        <v>(${Variables:E1_97_1_4_kcat} * E1_97_1_4 * C00019 * C05196 * C05197)/(${Variables:E1_97_1_4_km} + (E1_97_1_4 * C00019 * C05196 * C05197))</v>
      </c>
      <c r="K158" s="43" t="str">
        <f>CONCATENATE("r",D158,": ",F158," -&gt; ",H158," | ",J158)</f>
        <v>r157: C00019 + C05196 + C05197 -&gt; C05198 + C00073 + C05199 + C05312 | (${Variables:E1_97_1_4_kcat} * E1_97_1_4 * C00019 * C05196 * C05197)/(${Variables:E1_97_1_4_km} + (E1_97_1_4 * C00019 * C05196 * C05197))</v>
      </c>
    </row>
    <row r="159" spans="1:11" ht="42.75" x14ac:dyDescent="0.45">
      <c r="A159" s="53" t="s">
        <v>5041</v>
      </c>
      <c r="B159" s="54" t="s">
        <v>5042</v>
      </c>
      <c r="C159" t="s">
        <v>1800</v>
      </c>
      <c r="D159" s="12">
        <v>158</v>
      </c>
      <c r="E159" s="12" t="str">
        <f>CONCATENATE("E",C159)</f>
        <v>E2_1_1_171</v>
      </c>
      <c r="F159" t="s">
        <v>3081</v>
      </c>
      <c r="G159" t="s">
        <v>1320</v>
      </c>
      <c r="H159" t="s">
        <v>3365</v>
      </c>
      <c r="I159" t="s">
        <v>1321</v>
      </c>
      <c r="J159" s="12" t="str">
        <f>CONCATENATE("(${Variables:",E159,"_kcat","} * ",E159," * ",G159,")","/(${Variables:",E159,"_km","} + (",E159," * ",G159,"))")</f>
        <v>(${Variables:E2_1_1_171_kcat} * E2_1_1_171 * C00019 * C00240)/(${Variables:E2_1_1_171_km} + (E2_1_1_171 * C00019 * C00240))</v>
      </c>
      <c r="K159" s="43" t="str">
        <f>CONCATENATE("r",D159,": ",F159," -&gt; ",H159," | ",J159)</f>
        <v>r158: C00019 + C00240 -&gt; C00021 + C04153 | (${Variables:E2_1_1_171_kcat} * E2_1_1_171 * C00019 * C00240)/(${Variables:E2_1_1_171_km} + (E2_1_1_171 * C00019 * C00240))</v>
      </c>
    </row>
    <row r="160" spans="1:11" ht="42.75" x14ac:dyDescent="0.45">
      <c r="A160" s="53" t="s">
        <v>4355</v>
      </c>
      <c r="B160" s="54" t="s">
        <v>4356</v>
      </c>
      <c r="C160" t="s">
        <v>1719</v>
      </c>
      <c r="D160" s="12">
        <v>159</v>
      </c>
      <c r="E160" s="12" t="str">
        <f>CONCATENATE("E",C160)</f>
        <v>E2_1_1_182</v>
      </c>
      <c r="F160" t="s">
        <v>3082</v>
      </c>
      <c r="G160" t="s">
        <v>1923</v>
      </c>
      <c r="H160" t="s">
        <v>3366</v>
      </c>
      <c r="I160" t="s">
        <v>1924</v>
      </c>
      <c r="J160" s="12" t="str">
        <f>CONCATENATE("(${Variables:",E160,"_kcat","} * ",E160," * ",G160,")","/(${Variables:",E160,"_km","} + (",E160," * ",G160,"))")</f>
        <v>(${Variables:E2_1_1_182_kcat} * E2_1_1_182 * C00019 * C20648)/(${Variables:E2_1_1_182_km} + (E2_1_1_182 * C00019 * C20648))</v>
      </c>
      <c r="K160" s="43" t="str">
        <f>CONCATENATE("r",D160,": ",F160," -&gt; ",H160," | ",J160)</f>
        <v>r159: C00019 + C20648 -&gt; C00021 + C20796 | (${Variables:E2_1_1_182_kcat} * E2_1_1_182 * C00019 * C20648)/(${Variables:E2_1_1_182_km} + (E2_1_1_182 * C00019 * C20648))</v>
      </c>
    </row>
    <row r="161" spans="1:11" ht="42.75" x14ac:dyDescent="0.45">
      <c r="A161" s="53" t="s">
        <v>6450</v>
      </c>
      <c r="B161" s="54" t="s">
        <v>6451</v>
      </c>
      <c r="C161" t="s">
        <v>1801</v>
      </c>
      <c r="D161" s="12">
        <v>160</v>
      </c>
      <c r="E161" s="12" t="str">
        <f>CONCATENATE("E",C161)</f>
        <v>E2_1_1_228</v>
      </c>
      <c r="F161" s="12" t="s">
        <v>3083</v>
      </c>
      <c r="G161" s="12" t="s">
        <v>1322</v>
      </c>
      <c r="H161" t="s">
        <v>3367</v>
      </c>
      <c r="I161" t="s">
        <v>1323</v>
      </c>
      <c r="J161" s="12" t="str">
        <f>CONCATENATE("(${Variables:",E161,"_kcat","} * ",E161," * ",G161,")","/(${Variables:",E161,"_km","} + (",E161," * ",G161,"))")</f>
        <v>(${Variables:E2_1_1_228_kcat} * E2_1_1_228 * C00019 * C01977)/(${Variables:E2_1_1_228_km} + (E2_1_1_228 * C00019 * C01977))</v>
      </c>
      <c r="K161" s="43" t="str">
        <f>CONCATENATE("r",D161,": ",F161," -&gt; ",H161," | ",J161)</f>
        <v>r160: C00019 + C01977 -&gt; C00021 + C04157 | (${Variables:E2_1_1_228_kcat} * E2_1_1_228 * C00019 * C01977)/(${Variables:E2_1_1_228_km} + (E2_1_1_228 * C00019 * C01977))</v>
      </c>
    </row>
    <row r="162" spans="1:11" ht="42.75" x14ac:dyDescent="0.45">
      <c r="A162" s="53" t="s">
        <v>6274</v>
      </c>
      <c r="B162" s="54" t="s">
        <v>6275</v>
      </c>
      <c r="C162" t="s">
        <v>1884</v>
      </c>
      <c r="D162" s="12">
        <v>163</v>
      </c>
      <c r="E162" s="12" t="str">
        <f>CONCATENATE("E",C162)</f>
        <v>E2_1_1_297</v>
      </c>
      <c r="F162" s="12" t="s">
        <v>3084</v>
      </c>
      <c r="G162" s="12" t="s">
        <v>1596</v>
      </c>
      <c r="H162" t="s">
        <v>3368</v>
      </c>
      <c r="I162" t="s">
        <v>1597</v>
      </c>
      <c r="J162" s="12" t="str">
        <f>CONCATENATE("(${Variables:",E162,"_kcat","} * ",E162," * ",G162,")","/(${Variables:",E162,"_km","} + (",E162," * ",G162,"))")</f>
        <v>(${Variables:E2_1_1_297_kcat} * E2_1_1_297 * C02583 * C00019)/(${Variables:E2_1_1_297_km} + (E2_1_1_297 * C02583 * C00019))</v>
      </c>
      <c r="K162" s="43" t="str">
        <f>CONCATENATE("r",D162,": ",F162," -&gt; ",H162," | ",J162)</f>
        <v>r163: C02583 + C00019 -&gt; C20858 + C00021 | (${Variables:E2_1_1_297_kcat} * E2_1_1_297 * C02583 * C00019)/(${Variables:E2_1_1_297_km} + (E2_1_1_297 * C02583 * C00019))</v>
      </c>
    </row>
    <row r="163" spans="1:11" ht="42.75" x14ac:dyDescent="0.45">
      <c r="A163" s="53" t="s">
        <v>4740</v>
      </c>
      <c r="B163" s="54" t="s">
        <v>4741</v>
      </c>
      <c r="C163" t="s">
        <v>1802</v>
      </c>
      <c r="D163" s="12">
        <v>171</v>
      </c>
      <c r="E163" s="12" t="str">
        <f>CONCATENATE("E",C163)</f>
        <v>E2_1_1_33</v>
      </c>
      <c r="F163" t="s">
        <v>3083</v>
      </c>
      <c r="G163" t="s">
        <v>1322</v>
      </c>
      <c r="H163" t="s">
        <v>3369</v>
      </c>
      <c r="I163" t="s">
        <v>1324</v>
      </c>
      <c r="J163" s="12" t="str">
        <f>CONCATENATE("(${Variables:",E163,"_kcat","} * ",E163," * ",G163,")","/(${Variables:",E163,"_km","} + (",E163," * ",G163,"))")</f>
        <v>(${Variables:E2_1_1_33_kcat} * E2_1_1_33 * C00019 * C01977)/(${Variables:E2_1_1_33_km} + (E2_1_1_33 * C00019 * C01977))</v>
      </c>
      <c r="K163" s="43" t="str">
        <f>CONCATENATE("r",D163,": ",F163," -&gt; ",H163," | ",J163)</f>
        <v>r171: C00019 + C01977 -&gt; C00021 + C04160 | (${Variables:E2_1_1_33_kcat} * E2_1_1_33 * C00019 * C01977)/(${Variables:E2_1_1_33_km} + (E2_1_1_33 * C00019 * C01977))</v>
      </c>
    </row>
    <row r="164" spans="1:11" ht="42.75" x14ac:dyDescent="0.45">
      <c r="A164" s="53" t="s">
        <v>6384</v>
      </c>
      <c r="B164" s="54" t="s">
        <v>6385</v>
      </c>
      <c r="C164" t="s">
        <v>1861</v>
      </c>
      <c r="D164" s="12">
        <v>172</v>
      </c>
      <c r="E164" s="12" t="str">
        <f>CONCATENATE("E",C164)</f>
        <v>E2_1_1_45</v>
      </c>
      <c r="F164" s="12" t="s">
        <v>3085</v>
      </c>
      <c r="G164" s="12" t="s">
        <v>1495</v>
      </c>
      <c r="H164" t="s">
        <v>3370</v>
      </c>
      <c r="I164" t="s">
        <v>1496</v>
      </c>
      <c r="J164" s="12" t="str">
        <f>CONCATENATE("(${Variables:",E164,"_kcat","} * ",E164," * ",G164,")","/(${Variables:",E164,"_km","} + (",E164," * ",G164,"))")</f>
        <v>(${Variables:E2_1_1_45_kcat} * E2_1_1_45 * C00365 * C00143)/(${Variables:E2_1_1_45_km} + (E2_1_1_45 * C00365 * C00143))</v>
      </c>
      <c r="K164" s="43" t="str">
        <f>CONCATENATE("r",D164,": ",F164," -&gt; ",H164," | ",J164)</f>
        <v>r172: C00365 + C00143 -&gt; C00415 + C00364 | (${Variables:E2_1_1_45_kcat} * E2_1_1_45 * C00365 * C00143)/(${Variables:E2_1_1_45_km} + (E2_1_1_45 * C00365 * C00143))</v>
      </c>
    </row>
    <row r="165" spans="1:11" ht="42.75" x14ac:dyDescent="0.45">
      <c r="A165" s="53" t="s">
        <v>7003</v>
      </c>
      <c r="B165" s="54" t="s">
        <v>7004</v>
      </c>
      <c r="C165" t="s">
        <v>10332</v>
      </c>
      <c r="D165" s="12">
        <v>173</v>
      </c>
      <c r="E165" s="12" t="str">
        <f>CONCATENATE("E",C165)</f>
        <v>E2_1_1_72</v>
      </c>
      <c r="F165" s="12" t="s">
        <v>9288</v>
      </c>
      <c r="G165" s="12" t="s">
        <v>10497</v>
      </c>
      <c r="H165" t="s">
        <v>9289</v>
      </c>
      <c r="I165" t="s">
        <v>10717</v>
      </c>
      <c r="J165" s="12" t="str">
        <f>CONCATENATE("(${Variables:",E165,"_kcat","} * ",E165," * ",G165,")","/(${Variables:",E165,"_km","} + (",E165," * ",G165,"))")</f>
        <v>(${Variables:E2_1_1_72_kcat} * E2_1_1_72 * C00019 * C00821)/(${Variables:E2_1_1_72_km} + (E2_1_1_72 * C00019 * C00821))</v>
      </c>
      <c r="K165" s="43" t="str">
        <f>CONCATENATE("r",D165,": ",F165," -&gt; ",H165," | ",J165)</f>
        <v>r173: C00019 + C00821 -&gt; C00021 + C03391 | (${Variables:E2_1_1_72_kcat} * E2_1_1_72 * C00019 * C00821)/(${Variables:E2_1_1_72_km} + (E2_1_1_72 * C00019 * C00821))</v>
      </c>
    </row>
    <row r="166" spans="1:11" ht="42.75" x14ac:dyDescent="0.45">
      <c r="A166" s="53" t="s">
        <v>5828</v>
      </c>
      <c r="B166" s="54" t="s">
        <v>5829</v>
      </c>
      <c r="C166" t="s">
        <v>10332</v>
      </c>
      <c r="D166" s="12">
        <v>174</v>
      </c>
      <c r="E166" s="12" t="str">
        <f>CONCATENATE("E",C166)</f>
        <v>E2_1_1_72</v>
      </c>
      <c r="F166" t="s">
        <v>9288</v>
      </c>
      <c r="G166" t="s">
        <v>10497</v>
      </c>
      <c r="H166" t="s">
        <v>9289</v>
      </c>
      <c r="I166" t="s">
        <v>10717</v>
      </c>
      <c r="J166" s="12" t="str">
        <f>CONCATENATE("(${Variables:",E166,"_kcat","} * ",E166," * ",G166,")","/(${Variables:",E166,"_km","} + (",E166," * ",G166,"))")</f>
        <v>(${Variables:E2_1_1_72_kcat} * E2_1_1_72 * C00019 * C00821)/(${Variables:E2_1_1_72_km} + (E2_1_1_72 * C00019 * C00821))</v>
      </c>
      <c r="K166" s="43" t="str">
        <f>CONCATENATE("r",D166,": ",F166," -&gt; ",H166," | ",J166)</f>
        <v>r174: C00019 + C00821 -&gt; C00021 + C03391 | (${Variables:E2_1_1_72_kcat} * E2_1_1_72 * C00019 * C00821)/(${Variables:E2_1_1_72_km} + (E2_1_1_72 * C00019 * C00821))</v>
      </c>
    </row>
    <row r="167" spans="1:11" ht="42.75" x14ac:dyDescent="0.45">
      <c r="A167" s="53" t="s">
        <v>6268</v>
      </c>
      <c r="B167" s="54" t="s">
        <v>6269</v>
      </c>
      <c r="C167" t="s">
        <v>1818</v>
      </c>
      <c r="D167" s="12">
        <v>175</v>
      </c>
      <c r="E167" s="12" t="str">
        <f>CONCATENATE("E",C167)</f>
        <v>E2_1_2_1</v>
      </c>
      <c r="F167" s="12" t="s">
        <v>3087</v>
      </c>
      <c r="G167" s="12" t="s">
        <v>1427</v>
      </c>
      <c r="H167" t="s">
        <v>3372</v>
      </c>
      <c r="I167" t="s">
        <v>1428</v>
      </c>
      <c r="J167" s="12" t="str">
        <f>CONCATENATE("(${Variables:",E167,"_kcat","} * ",E167," * ",G167,")","/(${Variables:",E167,"_km","} + (",E167," * ",G167,"))")</f>
        <v>(${Variables:E2_1_2_1_kcat} * E2_1_2_1 * C00143 * C00037 * C00001)/(${Variables:E2_1_2_1_km} + (E2_1_2_1 * C00143 * C00037 * C00001))</v>
      </c>
      <c r="K167" s="43" t="str">
        <f>CONCATENATE("r",D167,": ",F167," -&gt; ",H167," | ",J167)</f>
        <v>r175: C00143 + C00037 + C00001 -&gt; C00101 + C00065 | (${Variables:E2_1_2_1_kcat} * E2_1_2_1 * C00143 * C00037 * C00001)/(${Variables:E2_1_2_1_km} + (E2_1_2_1 * C00143 * C00037 * C00001))</v>
      </c>
    </row>
    <row r="168" spans="1:11" ht="42.75" x14ac:dyDescent="0.45">
      <c r="A168" s="53" t="s">
        <v>6268</v>
      </c>
      <c r="B168" s="54" t="s">
        <v>6269</v>
      </c>
      <c r="C168" t="s">
        <v>1818</v>
      </c>
      <c r="D168" s="12">
        <v>176</v>
      </c>
      <c r="E168" s="12" t="str">
        <f>CONCATENATE("E",C168)</f>
        <v>E2_1_2_1</v>
      </c>
      <c r="F168" t="s">
        <v>3086</v>
      </c>
      <c r="G168" t="s">
        <v>1362</v>
      </c>
      <c r="H168" t="s">
        <v>3371</v>
      </c>
      <c r="I168" t="s">
        <v>1363</v>
      </c>
      <c r="J168" s="12" t="str">
        <f>CONCATENATE("(${Variables:",E168,"_kcat","} * ",E168," * ",G168,")","/(${Variables:",E168,"_km","} + (",E168," * ",G168,"))")</f>
        <v>(${Variables:E2_1_2_1_kcat} * E2_1_2_1 * C00065 * C01217)/(${Variables:E2_1_2_1_km} + (E2_1_2_1 * C00065 * C01217))</v>
      </c>
      <c r="K168" s="43" t="str">
        <f>CONCATENATE("r",D168,": ",F168," -&gt; ",H168," | ",J168)</f>
        <v>r176: C00065 + C01217 -&gt; C04377 + C00037 + C00001 | (${Variables:E2_1_2_1_kcat} * E2_1_2_1 * C00065 * C01217)/(${Variables:E2_1_2_1_km} + (E2_1_2_1 * C00065 * C01217))</v>
      </c>
    </row>
    <row r="169" spans="1:11" ht="42.75" x14ac:dyDescent="0.45">
      <c r="A169" s="53" t="s">
        <v>3683</v>
      </c>
      <c r="B169" s="54" t="s">
        <v>3684</v>
      </c>
      <c r="C169" t="s">
        <v>1852</v>
      </c>
      <c r="D169" s="12">
        <v>177</v>
      </c>
      <c r="E169" s="12" t="str">
        <f>CONCATENATE("E",C169)</f>
        <v>E2_1_2_2</v>
      </c>
      <c r="F169" s="12" t="s">
        <v>3088</v>
      </c>
      <c r="G169" s="12" t="s">
        <v>1453</v>
      </c>
      <c r="H169" t="s">
        <v>3373</v>
      </c>
      <c r="I169" t="s">
        <v>1454</v>
      </c>
      <c r="J169" s="12" t="str">
        <f>CONCATENATE("(${Variables:",E169,"_kcat","} * ",E169," * ",G169,")","/(${Variables:",E169,"_km","} + (",E169," * ",G169,"))")</f>
        <v>(${Variables:E2_1_2_2_kcat} * E2_1_2_2 * C00234 * C03838)/(${Variables:E2_1_2_2_km} + (E2_1_2_2 * C00234 * C03838))</v>
      </c>
      <c r="K169" s="43" t="str">
        <f>CONCATENATE("r",D169,": ",F169," -&gt; ",H169," | ",J169)</f>
        <v>r177: C00234 + C03838 -&gt; C00101 + C04376 | (${Variables:E2_1_2_2_kcat} * E2_1_2_2 * C00234 * C03838)/(${Variables:E2_1_2_2_km} + (E2_1_2_2 * C00234 * C03838))</v>
      </c>
    </row>
    <row r="170" spans="1:11" ht="42.75" x14ac:dyDescent="0.45">
      <c r="A170" s="53" t="s">
        <v>3683</v>
      </c>
      <c r="B170" s="54" t="s">
        <v>3684</v>
      </c>
      <c r="C170" t="s">
        <v>1852</v>
      </c>
      <c r="D170" s="12">
        <v>178</v>
      </c>
      <c r="E170" s="12" t="str">
        <f>CONCATENATE("E",C170)</f>
        <v>E2_1_2_2</v>
      </c>
      <c r="F170" t="s">
        <v>3089</v>
      </c>
      <c r="G170" t="s">
        <v>1608</v>
      </c>
      <c r="H170" t="s">
        <v>3374</v>
      </c>
      <c r="I170" t="s">
        <v>1609</v>
      </c>
      <c r="J170" s="12" t="str">
        <f>CONCATENATE("(${Variables:",E170,"_kcat","} * ",E170," * ",G170,")","/(${Variables:",E170,"_km","} + (",E170," * ",G170,"))")</f>
        <v>(${Variables:E2_1_2_2_kcat} * E2_1_2_2 * C03838 * C00445 * C00001)/(${Variables:E2_1_2_2_km} + (E2_1_2_2 * C03838 * C00445 * C00001))</v>
      </c>
      <c r="K170" s="43" t="str">
        <f>CONCATENATE("r",D170,": ",F170," -&gt; ",H170," | ",J170)</f>
        <v>r178: C03838 + C00445 + C00001 -&gt; C04376 + C00101 | (${Variables:E2_1_2_2_kcat} * E2_1_2_2 * C03838 * C00445 * C00001)/(${Variables:E2_1_2_2_km} + (E2_1_2_2 * C03838 * C00445 * C00001))</v>
      </c>
    </row>
    <row r="171" spans="1:11" ht="42.75" x14ac:dyDescent="0.45">
      <c r="A171" s="53" t="s">
        <v>3685</v>
      </c>
      <c r="B171" s="54" t="s">
        <v>3686</v>
      </c>
      <c r="C171" t="s">
        <v>1853</v>
      </c>
      <c r="D171" s="12">
        <v>179</v>
      </c>
      <c r="E171" s="12" t="str">
        <f>CONCATENATE("E",C171)</f>
        <v>E2_1_2_3</v>
      </c>
      <c r="F171" s="12" t="s">
        <v>3090</v>
      </c>
      <c r="G171" s="12" t="s">
        <v>1455</v>
      </c>
      <c r="H171" t="s">
        <v>3375</v>
      </c>
      <c r="I171" t="s">
        <v>1456</v>
      </c>
      <c r="J171" s="12" t="str">
        <f>CONCATENATE("(${Variables:",E171,"_kcat","} * ",E171," * ",G171,")","/(${Variables:",E171,"_km","} + (",E171," * ",G171,"))")</f>
        <v>(${Variables:E2_1_2_3_kcat} * E2_1_2_3 * C00234 * C04677)/(${Variables:E2_1_2_3_km} + (E2_1_2_3 * C00234 * C04677))</v>
      </c>
      <c r="K171" s="43" t="str">
        <f>CONCATENATE("r",D171,": ",F171," -&gt; ",H171," | ",J171)</f>
        <v>r179: C00234 + C04677 -&gt; C00101 + C04734 | (${Variables:E2_1_2_3_kcat} * E2_1_2_3 * C00234 * C04677)/(${Variables:E2_1_2_3_km} + (E2_1_2_3 * C00234 * C04677))</v>
      </c>
    </row>
    <row r="172" spans="1:11" ht="42.75" x14ac:dyDescent="0.45">
      <c r="A172" s="53" t="s">
        <v>7397</v>
      </c>
      <c r="B172" s="54" t="s">
        <v>7398</v>
      </c>
      <c r="C172" t="s">
        <v>1882</v>
      </c>
      <c r="D172" s="12">
        <v>180</v>
      </c>
      <c r="E172" s="12" t="str">
        <f>CONCATENATE("E",C172)</f>
        <v>E2_1_2_9</v>
      </c>
      <c r="F172" s="12" t="s">
        <v>3091</v>
      </c>
      <c r="G172" s="12" t="s">
        <v>1592</v>
      </c>
      <c r="H172" t="s">
        <v>3376</v>
      </c>
      <c r="I172" t="s">
        <v>1593</v>
      </c>
      <c r="J172" s="12" t="str">
        <f>CONCATENATE("(${Variables:",E172,"_kcat","} * ",E172," * ",G172,")","/(${Variables:",E172,"_km","} + (",E172," * ",G172,"))")</f>
        <v>(${Variables:E2_1_2_9_kcat} * E2_1_2_9 * C02430 * C00234)/(${Variables:E2_1_2_9_km} + (E2_1_2_9 * C02430 * C00234))</v>
      </c>
      <c r="K172" s="43" t="str">
        <f>CONCATENATE("r",D172,": ",F172," -&gt; ",H172," | ",J172)</f>
        <v>r180: C02430 + C00234 -&gt; C00101 + C03294 | (${Variables:E2_1_2_9_kcat} * E2_1_2_9 * C02430 * C00234)/(${Variables:E2_1_2_9_km} + (E2_1_2_9 * C02430 * C00234))</v>
      </c>
    </row>
    <row r="173" spans="1:11" ht="42.75" x14ac:dyDescent="0.45">
      <c r="A173" s="53" t="s">
        <v>6480</v>
      </c>
      <c r="B173" s="54" t="s">
        <v>6481</v>
      </c>
      <c r="C173" t="s">
        <v>1845</v>
      </c>
      <c r="D173" s="12">
        <v>181</v>
      </c>
      <c r="E173" s="12" t="str">
        <f>CONCATENATE("E",C173)</f>
        <v>E2_1_3_2</v>
      </c>
      <c r="F173" s="12" t="s">
        <v>3092</v>
      </c>
      <c r="G173" s="12" t="s">
        <v>1434</v>
      </c>
      <c r="H173" t="s">
        <v>3377</v>
      </c>
      <c r="I173" t="s">
        <v>1435</v>
      </c>
      <c r="J173" s="12" t="str">
        <f>CONCATENATE("(${Variables:",E173,"_kcat","} * ",E173," * ",G173,")","/(${Variables:",E173,"_km","} + (",E173," * ",G173,"))")</f>
        <v>(${Variables:E2_1_3_2_kcat} * E2_1_3_2 * C00169 * C00049)/(${Variables:E2_1_3_2_km} + (E2_1_3_2 * C00169 * C00049))</v>
      </c>
      <c r="K173" s="43" t="str">
        <f>CONCATENATE("r",D173,": ",F173," -&gt; ",H173," | ",J173)</f>
        <v>r181: C00169 + C00049 -&gt; C00009 + C00438 | (${Variables:E2_1_3_2_kcat} * E2_1_3_2 * C00169 * C00049)/(${Variables:E2_1_3_2_km} + (E2_1_3_2 * C00169 * C00049))</v>
      </c>
    </row>
    <row r="174" spans="1:11" ht="42.75" x14ac:dyDescent="0.45">
      <c r="A174" s="53" t="s">
        <v>5027</v>
      </c>
      <c r="B174" s="54" t="s">
        <v>5028</v>
      </c>
      <c r="C174" t="s">
        <v>10333</v>
      </c>
      <c r="D174" s="12">
        <v>182</v>
      </c>
      <c r="E174" s="12" t="str">
        <f>CONCATENATE("E",C174)</f>
        <v>E2_1_3_3</v>
      </c>
      <c r="F174" t="s">
        <v>8988</v>
      </c>
      <c r="G174" t="s">
        <v>10498</v>
      </c>
      <c r="H174" t="s">
        <v>8989</v>
      </c>
      <c r="I174" t="s">
        <v>10718</v>
      </c>
      <c r="J174" s="12" t="str">
        <f>CONCATENATE("(${Variables:",E174,"_kcat","} * ",E174," * ",G174,")","/(${Variables:",E174,"_km","} + (",E174," * ",G174,"))")</f>
        <v>(${Variables:E2_1_3_3_kcat} * E2_1_3_3 * C00169 * C00077)/(${Variables:E2_1_3_3_km} + (E2_1_3_3 * C00169 * C00077))</v>
      </c>
      <c r="K174" s="43" t="str">
        <f>CONCATENATE("r",D174,": ",F174," -&gt; ",H174," | ",J174)</f>
        <v>r182: C00169 + C00077 -&gt; C00009 + C00327 | (${Variables:E2_1_3_3_kcat} * E2_1_3_3 * C00169 * C00077)/(${Variables:E2_1_3_3_km} + (E2_1_3_3 * C00169 * C00077))</v>
      </c>
    </row>
    <row r="175" spans="1:11" ht="42.75" x14ac:dyDescent="0.45">
      <c r="A175" s="53" t="s">
        <v>7480</v>
      </c>
      <c r="B175" s="54" t="s">
        <v>7481</v>
      </c>
      <c r="C175" t="s">
        <v>10334</v>
      </c>
      <c r="D175" s="12">
        <v>183</v>
      </c>
      <c r="E175" s="12" t="str">
        <f>CONCATENATE("E",C175)</f>
        <v>E2_2_1_1</v>
      </c>
      <c r="F175" s="12" t="s">
        <v>8511</v>
      </c>
      <c r="G175" s="12" t="s">
        <v>10499</v>
      </c>
      <c r="H175" t="s">
        <v>8512</v>
      </c>
      <c r="I175" t="s">
        <v>10719</v>
      </c>
      <c r="J175" s="12" t="str">
        <f>CONCATENATE("(${Variables:",E175,"_kcat","} * ",E175," * ",G175,")","/(${Variables:",E175,"_km","} + (",E175," * ",G175,"))")</f>
        <v>(${Variables:E2_2_1_1_kcat} * E2_2_1_1 * C05382 * C00118)/(${Variables:E2_2_1_1_km} + (E2_2_1_1 * C05382 * C00118))</v>
      </c>
      <c r="K175" s="43" t="str">
        <f>CONCATENATE("r",D175,": ",F175," -&gt; ",H175," | ",J175)</f>
        <v>r183: C05382 + C00118 -&gt; C00117 + C00231 | (${Variables:E2_2_1_1_kcat} * E2_2_1_1 * C05382 * C00118)/(${Variables:E2_2_1_1_km} + (E2_2_1_1 * C05382 * C00118))</v>
      </c>
    </row>
    <row r="176" spans="1:11" ht="42.75" x14ac:dyDescent="0.45">
      <c r="A176" s="53" t="s">
        <v>7480</v>
      </c>
      <c r="B176" s="54" t="s">
        <v>7481</v>
      </c>
      <c r="C176" t="s">
        <v>10334</v>
      </c>
      <c r="D176" s="12">
        <v>184</v>
      </c>
      <c r="E176" s="12" t="str">
        <f>CONCATENATE("E",C176)</f>
        <v>E2_2_1_1</v>
      </c>
      <c r="F176" s="12" t="s">
        <v>8514</v>
      </c>
      <c r="G176" s="12" t="s">
        <v>10500</v>
      </c>
      <c r="H176" t="s">
        <v>8515</v>
      </c>
      <c r="I176" t="s">
        <v>10720</v>
      </c>
      <c r="J176" s="12" t="str">
        <f>CONCATENATE("(${Variables:",E176,"_kcat","} * ",E176," * ",G176,")","/(${Variables:",E176,"_km","} + (",E176," * ",G176,"))")</f>
        <v>(${Variables:E2_2_1_1_kcat} * E2_2_1_1 * C00085 * C00118)/(${Variables:E2_2_1_1_km} + (E2_2_1_1 * C00085 * C00118))</v>
      </c>
      <c r="K176" s="43" t="str">
        <f>CONCATENATE("r",D176,": ",F176," -&gt; ",H176," | ",J176)</f>
        <v>r184: C00085 + C00118 -&gt; C00279 + C00231 | (${Variables:E2_2_1_1_kcat} * E2_2_1_1 * C00085 * C00118)/(${Variables:E2_2_1_1_km} + (E2_2_1_1 * C00085 * C00118))</v>
      </c>
    </row>
    <row r="177" spans="1:11" ht="42.75" x14ac:dyDescent="0.45">
      <c r="A177" s="53" t="s">
        <v>7480</v>
      </c>
      <c r="B177" s="54" t="s">
        <v>7481</v>
      </c>
      <c r="C177" t="s">
        <v>10334</v>
      </c>
      <c r="D177" s="12">
        <v>186</v>
      </c>
      <c r="E177" s="12" t="str">
        <f>CONCATENATE("E",C177)</f>
        <v>E2_2_1_1</v>
      </c>
      <c r="F177" t="s">
        <v>8517</v>
      </c>
      <c r="G177" t="s">
        <v>10501</v>
      </c>
      <c r="H177" t="s">
        <v>8515</v>
      </c>
      <c r="I177" t="s">
        <v>10720</v>
      </c>
      <c r="J177" s="12" t="str">
        <f>CONCATENATE("(${Variables:",E177,"_kcat","} * ",E177," * ",G177,")","/(${Variables:",E177,"_km","} + (",E177," * ",G177,"))")</f>
        <v>(${Variables:E2_2_1_1_kcat} * E2_2_1_1 * C05345 * C00118)/(${Variables:E2_2_1_1_km} + (E2_2_1_1 * C05345 * C00118))</v>
      </c>
      <c r="K177" s="43" t="str">
        <f>CONCATENATE("r",D177,": ",F177," -&gt; ",H177," | ",J177)</f>
        <v>r186: C05345 + C00118 -&gt; C00279 + C00231 | (${Variables:E2_2_1_1_kcat} * E2_2_1_1 * C05345 * C00118)/(${Variables:E2_2_1_1_km} + (E2_2_1_1 * C05345 * C00118))</v>
      </c>
    </row>
    <row r="178" spans="1:11" ht="42.75" x14ac:dyDescent="0.45">
      <c r="A178" s="53" t="s">
        <v>7480</v>
      </c>
      <c r="B178" s="54" t="s">
        <v>7481</v>
      </c>
      <c r="C178" t="s">
        <v>10334</v>
      </c>
      <c r="D178" s="12">
        <v>187</v>
      </c>
      <c r="E178" s="12" t="str">
        <f>CONCATENATE("E",C178)</f>
        <v>E2_2_1_1</v>
      </c>
      <c r="F178" s="12" t="s">
        <v>8519</v>
      </c>
      <c r="G178" s="12" t="s">
        <v>10502</v>
      </c>
      <c r="H178" t="s">
        <v>8520</v>
      </c>
      <c r="I178" t="s">
        <v>10721</v>
      </c>
      <c r="J178" s="12" t="str">
        <f>CONCATENATE("(${Variables:",E178,"_kcat","} * ",E178," * ",G178,")","/(${Variables:",E178,"_km","} + (",E178," * ",G178,"))")</f>
        <v>(${Variables:E2_2_1_1_kcat} * E2_2_1_1 * C12214 * C00117)/(${Variables:E2_2_1_1_km} + (E2_2_1_1 * C12214 * C00117))</v>
      </c>
      <c r="K178" s="43" t="str">
        <f>CONCATENATE("r",D178,": ",F178," -&gt; ",H178," | ",J178)</f>
        <v>r187: C12214 + C00117 -&gt; C12215 + C05382 | (${Variables:E2_2_1_1_kcat} * E2_2_1_1 * C12214 * C00117)/(${Variables:E2_2_1_1_km} + (E2_2_1_1 * C12214 * C00117))</v>
      </c>
    </row>
    <row r="179" spans="1:11" ht="42.75" x14ac:dyDescent="0.45">
      <c r="A179" s="53" t="s">
        <v>7480</v>
      </c>
      <c r="B179" s="54" t="s">
        <v>7481</v>
      </c>
      <c r="C179" t="s">
        <v>10334</v>
      </c>
      <c r="D179" s="12">
        <v>188</v>
      </c>
      <c r="E179" s="12" t="str">
        <f>CONCATENATE("E",C179)</f>
        <v>E2_2_1_1</v>
      </c>
      <c r="F179" s="12" t="s">
        <v>8522</v>
      </c>
      <c r="G179" s="12" t="s">
        <v>10503</v>
      </c>
      <c r="H179" t="s">
        <v>8523</v>
      </c>
      <c r="I179" t="s">
        <v>10722</v>
      </c>
      <c r="J179" s="12" t="str">
        <f>CONCATENATE("(${Variables:",E179,"_kcat","} * ",E179," * ",G179,")","/(${Variables:",E179,"_km","} + (",E179," * ",G179,"))")</f>
        <v>(${Variables:E2_2_1_1_kcat} * E2_2_1_1 * C00231 * C00068)/(${Variables:E2_2_1_1_km} + (E2_2_1_1 * C00231 * C00068))</v>
      </c>
      <c r="K179" s="43" t="str">
        <f>CONCATENATE("r",D179,": ",F179," -&gt; ",H179," | ",J179)</f>
        <v>r188: C00231 + C00068 -&gt; C13378 + C00118 | (${Variables:E2_2_1_1_kcat} * E2_2_1_1 * C00231 * C00068)/(${Variables:E2_2_1_1_km} + (E2_2_1_1 * C00231 * C00068))</v>
      </c>
    </row>
    <row r="180" spans="1:11" ht="42.75" x14ac:dyDescent="0.45">
      <c r="A180" s="53" t="s">
        <v>7480</v>
      </c>
      <c r="B180" s="54" t="s">
        <v>7481</v>
      </c>
      <c r="C180" t="s">
        <v>10334</v>
      </c>
      <c r="D180" s="12">
        <v>189</v>
      </c>
      <c r="E180" s="12" t="str">
        <f>CONCATENATE("E",C180)</f>
        <v>E2_2_1_1</v>
      </c>
      <c r="F180" s="12" t="s">
        <v>8525</v>
      </c>
      <c r="G180" s="12" t="s">
        <v>10504</v>
      </c>
      <c r="H180" t="s">
        <v>8526</v>
      </c>
      <c r="I180" t="s">
        <v>10723</v>
      </c>
      <c r="J180" s="12" t="str">
        <f>CONCATENATE("(${Variables:",E180,"_kcat","} * ",E180," * ",G180,")","/(${Variables:",E180,"_km","} + (",E180," * ",G180,"))")</f>
        <v>(${Variables:E2_2_1_1_kcat} * E2_2_1_1 * C05382 * C00068)/(${Variables:E2_2_1_1_km} + (E2_2_1_1 * C05382 * C00068))</v>
      </c>
      <c r="K180" s="43" t="str">
        <f>CONCATENATE("r",D180,": ",F180," -&gt; ",H180," | ",J180)</f>
        <v>r189: C05382 + C00068 -&gt; C13378 + C00117 | (${Variables:E2_2_1_1_kcat} * E2_2_1_1 * C05382 * C00068)/(${Variables:E2_2_1_1_km} + (E2_2_1_1 * C05382 * C00068))</v>
      </c>
    </row>
    <row r="181" spans="1:11" ht="42.75" x14ac:dyDescent="0.45">
      <c r="A181" s="53" t="s">
        <v>3934</v>
      </c>
      <c r="B181" s="54" t="s">
        <v>3935</v>
      </c>
      <c r="C181" t="s">
        <v>10334</v>
      </c>
      <c r="D181" s="12">
        <v>190</v>
      </c>
      <c r="E181" s="12" t="str">
        <f>CONCATENATE("E",C181)</f>
        <v>E2_2_1_1</v>
      </c>
      <c r="F181" s="12" t="s">
        <v>8511</v>
      </c>
      <c r="G181" s="12" t="s">
        <v>10499</v>
      </c>
      <c r="H181" t="s">
        <v>8512</v>
      </c>
      <c r="I181" t="s">
        <v>10719</v>
      </c>
      <c r="J181" s="12" t="str">
        <f>CONCATENATE("(${Variables:",E181,"_kcat","} * ",E181," * ",G181,")","/(${Variables:",E181,"_km","} + (",E181," * ",G181,"))")</f>
        <v>(${Variables:E2_2_1_1_kcat} * E2_2_1_1 * C05382 * C00118)/(${Variables:E2_2_1_1_km} + (E2_2_1_1 * C05382 * C00118))</v>
      </c>
      <c r="K181" s="43" t="str">
        <f>CONCATENATE("r",D181,": ",F181," -&gt; ",H181," | ",J181)</f>
        <v>r190: C05382 + C00118 -&gt; C00117 + C00231 | (${Variables:E2_2_1_1_kcat} * E2_2_1_1 * C05382 * C00118)/(${Variables:E2_2_1_1_km} + (E2_2_1_1 * C05382 * C00118))</v>
      </c>
    </row>
    <row r="182" spans="1:11" ht="42.75" x14ac:dyDescent="0.45">
      <c r="A182" s="53" t="s">
        <v>3934</v>
      </c>
      <c r="B182" s="54" t="s">
        <v>3935</v>
      </c>
      <c r="C182" t="s">
        <v>10334</v>
      </c>
      <c r="D182" s="12">
        <v>191</v>
      </c>
      <c r="E182" s="12" t="str">
        <f>CONCATENATE("E",C182)</f>
        <v>E2_2_1_1</v>
      </c>
      <c r="F182" s="12" t="s">
        <v>8514</v>
      </c>
      <c r="G182" s="12" t="s">
        <v>10500</v>
      </c>
      <c r="H182" t="s">
        <v>8515</v>
      </c>
      <c r="I182" t="s">
        <v>10720</v>
      </c>
      <c r="J182" s="12" t="str">
        <f>CONCATENATE("(${Variables:",E182,"_kcat","} * ",E182," * ",G182,")","/(${Variables:",E182,"_km","} + (",E182," * ",G182,"))")</f>
        <v>(${Variables:E2_2_1_1_kcat} * E2_2_1_1 * C00085 * C00118)/(${Variables:E2_2_1_1_km} + (E2_2_1_1 * C00085 * C00118))</v>
      </c>
      <c r="K182" s="43" t="str">
        <f>CONCATENATE("r",D182,": ",F182," -&gt; ",H182," | ",J182)</f>
        <v>r191: C00085 + C00118 -&gt; C00279 + C00231 | (${Variables:E2_2_1_1_kcat} * E2_2_1_1 * C00085 * C00118)/(${Variables:E2_2_1_1_km} + (E2_2_1_1 * C00085 * C00118))</v>
      </c>
    </row>
    <row r="183" spans="1:11" ht="42.75" x14ac:dyDescent="0.45">
      <c r="A183" s="53" t="s">
        <v>3934</v>
      </c>
      <c r="B183" s="54" t="s">
        <v>3935</v>
      </c>
      <c r="C183" t="s">
        <v>10334</v>
      </c>
      <c r="D183" s="12">
        <v>192</v>
      </c>
      <c r="E183" s="12" t="str">
        <f>CONCATENATE("E",C183)</f>
        <v>E2_2_1_1</v>
      </c>
      <c r="F183" t="s">
        <v>8517</v>
      </c>
      <c r="G183" t="s">
        <v>10501</v>
      </c>
      <c r="H183" t="s">
        <v>8515</v>
      </c>
      <c r="I183" t="s">
        <v>10720</v>
      </c>
      <c r="J183" s="12" t="str">
        <f>CONCATENATE("(${Variables:",E183,"_kcat","} * ",E183," * ",G183,")","/(${Variables:",E183,"_km","} + (",E183," * ",G183,"))")</f>
        <v>(${Variables:E2_2_1_1_kcat} * E2_2_1_1 * C05345 * C00118)/(${Variables:E2_2_1_1_km} + (E2_2_1_1 * C05345 * C00118))</v>
      </c>
      <c r="K183" s="43" t="str">
        <f>CONCATENATE("r",D183,": ",F183," -&gt; ",H183," | ",J183)</f>
        <v>r192: C05345 + C00118 -&gt; C00279 + C00231 | (${Variables:E2_2_1_1_kcat} * E2_2_1_1 * C05345 * C00118)/(${Variables:E2_2_1_1_km} + (E2_2_1_1 * C05345 * C00118))</v>
      </c>
    </row>
    <row r="184" spans="1:11" ht="42.75" x14ac:dyDescent="0.45">
      <c r="A184" s="53" t="s">
        <v>3934</v>
      </c>
      <c r="B184" s="54" t="s">
        <v>3935</v>
      </c>
      <c r="C184" t="s">
        <v>10334</v>
      </c>
      <c r="D184" s="12">
        <v>193</v>
      </c>
      <c r="E184" s="12" t="str">
        <f>CONCATENATE("E",C184)</f>
        <v>E2_2_1_1</v>
      </c>
      <c r="F184" s="12" t="s">
        <v>8519</v>
      </c>
      <c r="G184" s="12" t="s">
        <v>10502</v>
      </c>
      <c r="H184" t="s">
        <v>8520</v>
      </c>
      <c r="I184" t="s">
        <v>10721</v>
      </c>
      <c r="J184" s="12" t="str">
        <f>CONCATENATE("(${Variables:",E184,"_kcat","} * ",E184," * ",G184,")","/(${Variables:",E184,"_km","} + (",E184," * ",G184,"))")</f>
        <v>(${Variables:E2_2_1_1_kcat} * E2_2_1_1 * C12214 * C00117)/(${Variables:E2_2_1_1_km} + (E2_2_1_1 * C12214 * C00117))</v>
      </c>
      <c r="K184" s="43" t="str">
        <f>CONCATENATE("r",D184,": ",F184," -&gt; ",H184," | ",J184)</f>
        <v>r193: C12214 + C00117 -&gt; C12215 + C05382 | (${Variables:E2_2_1_1_kcat} * E2_2_1_1 * C12214 * C00117)/(${Variables:E2_2_1_1_km} + (E2_2_1_1 * C12214 * C00117))</v>
      </c>
    </row>
    <row r="185" spans="1:11" ht="42.75" x14ac:dyDescent="0.45">
      <c r="A185" s="53" t="s">
        <v>3934</v>
      </c>
      <c r="B185" s="54" t="s">
        <v>3935</v>
      </c>
      <c r="C185" t="s">
        <v>10334</v>
      </c>
      <c r="D185" s="12">
        <v>194</v>
      </c>
      <c r="E185" s="12" t="str">
        <f>CONCATENATE("E",C185)</f>
        <v>E2_2_1_1</v>
      </c>
      <c r="F185" s="12" t="s">
        <v>8522</v>
      </c>
      <c r="G185" s="12" t="s">
        <v>10503</v>
      </c>
      <c r="H185" t="s">
        <v>8523</v>
      </c>
      <c r="I185" t="s">
        <v>10722</v>
      </c>
      <c r="J185" s="12" t="str">
        <f>CONCATENATE("(${Variables:",E185,"_kcat","} * ",E185," * ",G185,")","/(${Variables:",E185,"_km","} + (",E185," * ",G185,"))")</f>
        <v>(${Variables:E2_2_1_1_kcat} * E2_2_1_1 * C00231 * C00068)/(${Variables:E2_2_1_1_km} + (E2_2_1_1 * C00231 * C00068))</v>
      </c>
      <c r="K185" s="43" t="str">
        <f>CONCATENATE("r",D185,": ",F185," -&gt; ",H185," | ",J185)</f>
        <v>r194: C00231 + C00068 -&gt; C13378 + C00118 | (${Variables:E2_2_1_1_kcat} * E2_2_1_1 * C00231 * C00068)/(${Variables:E2_2_1_1_km} + (E2_2_1_1 * C00231 * C00068))</v>
      </c>
    </row>
    <row r="186" spans="1:11" ht="42.75" x14ac:dyDescent="0.45">
      <c r="A186" s="53" t="s">
        <v>3934</v>
      </c>
      <c r="B186" s="54" t="s">
        <v>3935</v>
      </c>
      <c r="C186" t="s">
        <v>10334</v>
      </c>
      <c r="D186" s="12">
        <v>195</v>
      </c>
      <c r="E186" s="12" t="str">
        <f>CONCATENATE("E",C186)</f>
        <v>E2_2_1_1</v>
      </c>
      <c r="F186" s="12" t="s">
        <v>8525</v>
      </c>
      <c r="G186" s="12" t="s">
        <v>10504</v>
      </c>
      <c r="H186" t="s">
        <v>8526</v>
      </c>
      <c r="I186" t="s">
        <v>10723</v>
      </c>
      <c r="J186" s="12" t="str">
        <f>CONCATENATE("(${Variables:",E186,"_kcat","} * ",E186," * ",G186,")","/(${Variables:",E186,"_km","} + (",E186," * ",G186,"))")</f>
        <v>(${Variables:E2_2_1_1_kcat} * E2_2_1_1 * C05382 * C00068)/(${Variables:E2_2_1_1_km} + (E2_2_1_1 * C05382 * C00068))</v>
      </c>
      <c r="K186" s="43" t="str">
        <f>CONCATENATE("r",D186,": ",F186," -&gt; ",H186," | ",J186)</f>
        <v>r195: C05382 + C00068 -&gt; C13378 + C00117 | (${Variables:E2_2_1_1_kcat} * E2_2_1_1 * C05382 * C00068)/(${Variables:E2_2_1_1_km} + (E2_2_1_1 * C05382 * C00068))</v>
      </c>
    </row>
    <row r="187" spans="1:11" ht="42.75" x14ac:dyDescent="0.45">
      <c r="A187" s="53" t="s">
        <v>6529</v>
      </c>
      <c r="B187" s="54" t="s">
        <v>6530</v>
      </c>
      <c r="C187" t="s">
        <v>1829</v>
      </c>
      <c r="D187" s="12">
        <v>196</v>
      </c>
      <c r="E187" s="12" t="str">
        <f>CONCATENATE("E",C187)</f>
        <v>E2_3_1_15</v>
      </c>
      <c r="F187" s="12" t="s">
        <v>3093</v>
      </c>
      <c r="G187" s="12" t="s">
        <v>1394</v>
      </c>
      <c r="H187" t="s">
        <v>3378</v>
      </c>
      <c r="I187" t="s">
        <v>1395</v>
      </c>
      <c r="J187" s="12" t="str">
        <f>CONCATENATE("(${Variables:",E187,"_kcat","} * ",E187," * ",G187,")","/(${Variables:",E187,"_km","} + (",E187," * ",G187,"))")</f>
        <v>(${Variables:E2_3_1_15_kcat} * E2_3_1_15 * C00093 * C00040)/(${Variables:E2_3_1_15_km} + (E2_3_1_15 * C00093 * C00040))</v>
      </c>
      <c r="K187" s="43" t="str">
        <f>CONCATENATE("r",D187,": ",F187," -&gt; ",H187," | ",J187)</f>
        <v>r196: C00093 + C00040 -&gt; C00681 + C00010 | (${Variables:E2_3_1_15_kcat} * E2_3_1_15 * C00093 * C00040)/(${Variables:E2_3_1_15_km} + (E2_3_1_15 * C00093 * C00040))</v>
      </c>
    </row>
    <row r="188" spans="1:11" ht="42.75" x14ac:dyDescent="0.45">
      <c r="A188" s="53" t="s">
        <v>6529</v>
      </c>
      <c r="B188" s="54" t="s">
        <v>6530</v>
      </c>
      <c r="C188" t="s">
        <v>1829</v>
      </c>
      <c r="D188" s="12">
        <v>197</v>
      </c>
      <c r="E188" s="12" t="str">
        <f>CONCATENATE("E",C188)</f>
        <v>E2_3_1_15</v>
      </c>
      <c r="F188" s="12" t="s">
        <v>3095</v>
      </c>
      <c r="G188" s="12" t="s">
        <v>1526</v>
      </c>
      <c r="H188" t="s">
        <v>3380</v>
      </c>
      <c r="I188" t="s">
        <v>1527</v>
      </c>
      <c r="J188" s="12" t="str">
        <f>CONCATENATE("(${Variables:",E188,"_kcat","} * ",E188," * ",G188,")","/(${Variables:",E188,"_km","} + (",E188," * ",G188,"))")</f>
        <v>(${Variables:E2_3_1_15_kcat} * E2_3_1_15 * C00605 * C00093)/(${Variables:E2_3_1_15_km} + (E2_3_1_15 * C00605 * C00093))</v>
      </c>
      <c r="K188" s="43" t="str">
        <f>CONCATENATE("r",D188,": ",F188," -&gt; ",H188," | ",J188)</f>
        <v>r197: C00605 + C00093 -&gt; C00010 + C00681 | (${Variables:E2_3_1_15_kcat} * E2_3_1_15 * C00605 * C00093)/(${Variables:E2_3_1_15_km} + (E2_3_1_15 * C00605 * C00093))</v>
      </c>
    </row>
    <row r="189" spans="1:11" ht="42.75" x14ac:dyDescent="0.45">
      <c r="A189" s="53" t="s">
        <v>6529</v>
      </c>
      <c r="B189" s="54" t="s">
        <v>6530</v>
      </c>
      <c r="C189" t="s">
        <v>1829</v>
      </c>
      <c r="D189" s="12">
        <v>198</v>
      </c>
      <c r="E189" s="12" t="str">
        <f>CONCATENATE("E",C189)</f>
        <v>E2_3_1_15</v>
      </c>
      <c r="F189" t="s">
        <v>3094</v>
      </c>
      <c r="G189" t="s">
        <v>1440</v>
      </c>
      <c r="H189" t="s">
        <v>3379</v>
      </c>
      <c r="I189" t="s">
        <v>1441</v>
      </c>
      <c r="J189" s="12" t="str">
        <f>CONCATENATE("(${Variables:",E189,"_kcat","} * ",E189," * ",G189,")","/(${Variables:",E189,"_km","} + (",E189," * ",G189,"))")</f>
        <v>(${Variables:E2_3_1_15_kcat} * E2_3_1_15 * C00173 * C00093)/(${Variables:E2_3_1_15_km} + (E2_3_1_15 * C00173 * C00093))</v>
      </c>
      <c r="K189" s="43" t="str">
        <f>CONCATENATE("r",D189,": ",F189," -&gt; ",H189," | ",J189)</f>
        <v>r198: C00173 + C00093 -&gt; C00681 + C00229 | (${Variables:E2_3_1_15_kcat} * E2_3_1_15 * C00173 * C00093)/(${Variables:E2_3_1_15_km} + (E2_3_1_15 * C00173 * C00093))</v>
      </c>
    </row>
    <row r="190" spans="1:11" ht="42.75" x14ac:dyDescent="0.45">
      <c r="A190" s="53" t="s">
        <v>7208</v>
      </c>
      <c r="B190" s="54" t="s">
        <v>7209</v>
      </c>
      <c r="C190" t="s">
        <v>1809</v>
      </c>
      <c r="D190" s="12">
        <v>199</v>
      </c>
      <c r="E190" s="12" t="str">
        <f>CONCATENATE("E",C190)</f>
        <v>E2_3_1_157</v>
      </c>
      <c r="F190" s="12" t="s">
        <v>3096</v>
      </c>
      <c r="G190" s="12" t="s">
        <v>1337</v>
      </c>
      <c r="H190" t="s">
        <v>3381</v>
      </c>
      <c r="I190" t="s">
        <v>1338</v>
      </c>
      <c r="J190" s="12" t="str">
        <f>CONCATENATE("(${Variables:",E190,"_kcat","} * ",E190," * ",G190,")","/(${Variables:",E190,"_km","} + (",E190," * ",G190,"))")</f>
        <v>(${Variables:E2_3_1_157_kcat} * E2_3_1_157 * C00024 * C06156)/(${Variables:E2_3_1_157_km} + (E2_3_1_157 * C00024 * C06156))</v>
      </c>
      <c r="K190" s="43" t="str">
        <f>CONCATENATE("r",D190,": ",F190," -&gt; ",H190," | ",J190)</f>
        <v>r199: C00024 + C06156 -&gt; C00010 + C04501 | (${Variables:E2_3_1_157_kcat} * E2_3_1_157 * C00024 * C06156)/(${Variables:E2_3_1_157_km} + (E2_3_1_157 * C00024 * C06156))</v>
      </c>
    </row>
    <row r="191" spans="1:11" ht="42.75" x14ac:dyDescent="0.45">
      <c r="A191" s="53" t="s">
        <v>4104</v>
      </c>
      <c r="B191" s="54" t="s">
        <v>4105</v>
      </c>
      <c r="C191" t="s">
        <v>1809</v>
      </c>
      <c r="D191" s="12">
        <v>200</v>
      </c>
      <c r="E191" s="12" t="str">
        <f>CONCATENATE("E",C191)</f>
        <v>E2_3_1_157</v>
      </c>
      <c r="F191" s="12" t="s">
        <v>3096</v>
      </c>
      <c r="G191" s="12" t="s">
        <v>1337</v>
      </c>
      <c r="H191" t="s">
        <v>3381</v>
      </c>
      <c r="I191" t="s">
        <v>1338</v>
      </c>
      <c r="J191" s="12" t="str">
        <f>CONCATENATE("(${Variables:",E191,"_kcat","} * ",E191," * ",G191,")","/(${Variables:",E191,"_km","} + (",E191," * ",G191,"))")</f>
        <v>(${Variables:E2_3_1_157_kcat} * E2_3_1_157 * C00024 * C06156)/(${Variables:E2_3_1_157_km} + (E2_3_1_157 * C00024 * C06156))</v>
      </c>
      <c r="K191" s="43" t="str">
        <f>CONCATENATE("r",D191,": ",F191," -&gt; ",H191," | ",J191)</f>
        <v>r200: C00024 + C06156 -&gt; C00010 + C04501 | (${Variables:E2_3_1_157_kcat} * E2_3_1_157 * C00024 * C06156)/(${Variables:E2_3_1_157_km} + (E2_3_1_157 * C00024 * C06156))</v>
      </c>
    </row>
    <row r="192" spans="1:11" ht="42.75" x14ac:dyDescent="0.45">
      <c r="A192" s="53" t="s">
        <v>7022</v>
      </c>
      <c r="B192" s="54" t="s">
        <v>7023</v>
      </c>
      <c r="C192" t="s">
        <v>10335</v>
      </c>
      <c r="D192" s="12">
        <v>201</v>
      </c>
      <c r="E192" s="12" t="str">
        <f>CONCATENATE("E",C192)</f>
        <v>E2_3_1_16</v>
      </c>
      <c r="F192" s="12" t="s">
        <v>9867</v>
      </c>
      <c r="G192" s="12" t="s">
        <v>10505</v>
      </c>
      <c r="H192" t="s">
        <v>9868</v>
      </c>
      <c r="I192" t="s">
        <v>10724</v>
      </c>
      <c r="J192" s="12" t="str">
        <f>CONCATENATE("(${Variables:",E192,"_kcat","} * ",E192," * ",G192,")","/(${Variables:",E192,"_km","} + (",E192," * ",G192,"))")</f>
        <v>(${Variables:E2_3_1_16_kcat} * E2_3_1_16 * C00040 * C00024)/(${Variables:E2_3_1_16_km} + (E2_3_1_16 * C00040 * C00024))</v>
      </c>
      <c r="K192" s="43" t="str">
        <f>CONCATENATE("r",D192,": ",F192," -&gt; ",H192," | ",J192)</f>
        <v>r201: C00040 + C00024 -&gt; C00010 + C00264 | (${Variables:E2_3_1_16_kcat} * E2_3_1_16 * C00040 * C00024)/(${Variables:E2_3_1_16_km} + (E2_3_1_16 * C00040 * C00024))</v>
      </c>
    </row>
    <row r="193" spans="1:11" ht="28.5" x14ac:dyDescent="0.45">
      <c r="A193" s="53" t="s">
        <v>7022</v>
      </c>
      <c r="B193" s="54" t="s">
        <v>7023</v>
      </c>
      <c r="C193" t="s">
        <v>10335</v>
      </c>
      <c r="D193" s="12">
        <v>202</v>
      </c>
      <c r="E193" s="12" t="str">
        <f>CONCATENATE("E",C193)</f>
        <v>E2_3_1_16</v>
      </c>
      <c r="F193" t="s">
        <v>2028</v>
      </c>
      <c r="G193" t="s">
        <v>2028</v>
      </c>
      <c r="H193" t="s">
        <v>9870</v>
      </c>
      <c r="I193" t="s">
        <v>10725</v>
      </c>
      <c r="J193" s="12" t="str">
        <f>CONCATENATE("(${Variables:",E193,"_kcat","} * ",E193," * ",G193,")","/(${Variables:",E193,"_km","} + (",E193," * ",G193,"))")</f>
        <v>(${Variables:E2_3_1_16_kcat} * E2_3_1_16 * C00024)/(${Variables:E2_3_1_16_km} + (E2_3_1_16 * C00024))</v>
      </c>
      <c r="K193" s="43" t="str">
        <f>CONCATENATE("r",D193,": ",F193," -&gt; ",H193," | ",J193)</f>
        <v>r202: C00024 -&gt; C00010 + C00332 | (${Variables:E2_3_1_16_kcat} * E2_3_1_16 * C00024)/(${Variables:E2_3_1_16_km} + (E2_3_1_16 * C00024))</v>
      </c>
    </row>
    <row r="194" spans="1:11" ht="42.75" x14ac:dyDescent="0.45">
      <c r="A194" s="53" t="s">
        <v>7022</v>
      </c>
      <c r="B194" s="54" t="s">
        <v>7023</v>
      </c>
      <c r="C194" t="s">
        <v>10335</v>
      </c>
      <c r="D194" s="12">
        <v>203</v>
      </c>
      <c r="E194" s="12" t="str">
        <f>CONCATENATE("E",C194)</f>
        <v>E2_3_1_16</v>
      </c>
      <c r="F194" s="12" t="s">
        <v>9872</v>
      </c>
      <c r="G194" s="12" t="s">
        <v>10506</v>
      </c>
      <c r="H194" t="s">
        <v>9873</v>
      </c>
      <c r="I194" t="s">
        <v>10726</v>
      </c>
      <c r="J194" s="12" t="str">
        <f>CONCATENATE("(${Variables:",E194,"_kcat","} * ",E194," * ",G194,")","/(${Variables:",E194,"_km","} + (",E194," * ",G194,"))")</f>
        <v>(${Variables:E2_3_1_16_kcat} * E2_3_1_16 * C00091 * C00024)/(${Variables:E2_3_1_16_km} + (E2_3_1_16 * C00091 * C00024))</v>
      </c>
      <c r="K194" s="43" t="str">
        <f>CONCATENATE("r",D194,": ",F194," -&gt; ",H194," | ",J194)</f>
        <v>r203: C00091 + C00024 -&gt; C00010 + C02232 | (${Variables:E2_3_1_16_kcat} * E2_3_1_16 * C00091 * C00024)/(${Variables:E2_3_1_16_km} + (E2_3_1_16 * C00091 * C00024))</v>
      </c>
    </row>
    <row r="195" spans="1:11" ht="42.75" x14ac:dyDescent="0.45">
      <c r="A195" s="53" t="s">
        <v>7022</v>
      </c>
      <c r="B195" s="54" t="s">
        <v>7023</v>
      </c>
      <c r="C195" t="s">
        <v>10335</v>
      </c>
      <c r="D195" s="12">
        <v>204</v>
      </c>
      <c r="E195" s="12" t="str">
        <f>CONCATENATE("E",C195)</f>
        <v>E2_3_1_16</v>
      </c>
      <c r="F195" s="12" t="s">
        <v>9875</v>
      </c>
      <c r="G195" s="12" t="s">
        <v>10507</v>
      </c>
      <c r="H195" t="s">
        <v>9876</v>
      </c>
      <c r="I195" t="s">
        <v>10727</v>
      </c>
      <c r="J195" s="12" t="str">
        <f>CONCATENATE("(${Variables:",E195,"_kcat","} * ",E195," * ",G195,")","/(${Variables:",E195,"_km","} + (",E195," * ",G195,"))")</f>
        <v>(${Variables:E2_3_1_16_kcat} * E2_3_1_16 * C00100 * C00024)/(${Variables:E2_3_1_16_km} + (E2_3_1_16 * C00100 * C00024))</v>
      </c>
      <c r="K195" s="43" t="str">
        <f>CONCATENATE("r",D195,": ",F195," -&gt; ",H195," | ",J195)</f>
        <v>r204: C00100 + C00024 -&gt; C00010 + C03344 | (${Variables:E2_3_1_16_kcat} * E2_3_1_16 * C00100 * C00024)/(${Variables:E2_3_1_16_km} + (E2_3_1_16 * C00100 * C00024))</v>
      </c>
    </row>
    <row r="196" spans="1:11" ht="42.75" x14ac:dyDescent="0.45">
      <c r="A196" s="53" t="s">
        <v>7022</v>
      </c>
      <c r="B196" s="54" t="s">
        <v>7023</v>
      </c>
      <c r="C196" t="s">
        <v>10335</v>
      </c>
      <c r="D196" s="12">
        <v>205</v>
      </c>
      <c r="E196" s="12" t="str">
        <f>CONCATENATE("E",C196)</f>
        <v>E2_3_1_16</v>
      </c>
      <c r="F196" s="12" t="s">
        <v>9878</v>
      </c>
      <c r="G196" s="12" t="s">
        <v>10508</v>
      </c>
      <c r="H196" t="s">
        <v>9879</v>
      </c>
      <c r="I196" t="s">
        <v>10728</v>
      </c>
      <c r="J196" s="12" t="str">
        <f>CONCATENATE("(${Variables:",E196,"_kcat","} * ",E196," * ",G196,")","/(${Variables:",E196,"_km","} + (",E196," * ",G196,"))")</f>
        <v>(${Variables:E2_3_1_16_kcat} * E2_3_1_16 * C00024 * C00136)/(${Variables:E2_3_1_16_km} + (E2_3_1_16 * C00024 * C00136))</v>
      </c>
      <c r="K196" s="43" t="str">
        <f>CONCATENATE("r",D196,": ",F196," -&gt; ",H196," | ",J196)</f>
        <v>r205: C00024 + C00136 -&gt; C00010 + C05269 | (${Variables:E2_3_1_16_kcat} * E2_3_1_16 * C00024 * C00136)/(${Variables:E2_3_1_16_km} + (E2_3_1_16 * C00024 * C00136))</v>
      </c>
    </row>
    <row r="197" spans="1:11" ht="42.75" x14ac:dyDescent="0.45">
      <c r="A197" s="53" t="s">
        <v>7022</v>
      </c>
      <c r="B197" s="54" t="s">
        <v>7023</v>
      </c>
      <c r="C197" t="s">
        <v>10335</v>
      </c>
      <c r="D197" s="12">
        <v>206</v>
      </c>
      <c r="E197" s="12" t="str">
        <f>CONCATENATE("E",C197)</f>
        <v>E2_3_1_16</v>
      </c>
      <c r="F197" s="12" t="s">
        <v>9881</v>
      </c>
      <c r="G197" s="12" t="s">
        <v>10509</v>
      </c>
      <c r="H197" t="s">
        <v>9882</v>
      </c>
      <c r="I197" t="s">
        <v>10729</v>
      </c>
      <c r="J197" s="12" t="str">
        <f>CONCATENATE("(${Variables:",E197,"_kcat","} * ",E197," * ",G197,")","/(${Variables:",E197,"_km","} + (",E197," * ",G197,"))")</f>
        <v>(${Variables:E2_3_1_16_kcat} * E2_3_1_16 * C01944 * C00024)/(${Variables:E2_3_1_16_km} + (E2_3_1_16 * C01944 * C00024))</v>
      </c>
      <c r="K197" s="43" t="str">
        <f>CONCATENATE("r",D197,": ",F197," -&gt; ",H197," | ",J197)</f>
        <v>r206: C01944 + C00024 -&gt; C00010 + C05265 | (${Variables:E2_3_1_16_kcat} * E2_3_1_16 * C01944 * C00024)/(${Variables:E2_3_1_16_km} + (E2_3_1_16 * C01944 * C00024))</v>
      </c>
    </row>
    <row r="198" spans="1:11" ht="42.75" x14ac:dyDescent="0.45">
      <c r="A198" s="53" t="s">
        <v>7022</v>
      </c>
      <c r="B198" s="54" t="s">
        <v>7023</v>
      </c>
      <c r="C198" t="s">
        <v>10335</v>
      </c>
      <c r="D198" s="12">
        <v>207</v>
      </c>
      <c r="E198" s="12" t="str">
        <f>CONCATENATE("E",C198)</f>
        <v>E2_3_1_16</v>
      </c>
      <c r="F198" s="12" t="s">
        <v>9884</v>
      </c>
      <c r="G198" s="12" t="s">
        <v>10510</v>
      </c>
      <c r="H198" t="s">
        <v>9885</v>
      </c>
      <c r="I198" t="s">
        <v>10730</v>
      </c>
      <c r="J198" s="12" t="str">
        <f>CONCATENATE("(${Variables:",E198,"_kcat","} * ",E198," * ",G198,")","/(${Variables:",E198,"_km","} + (",E198," * ",G198,"))")</f>
        <v>(${Variables:E2_3_1_16_kcat} * E2_3_1_16 * C01832 * C00024)/(${Variables:E2_3_1_16_km} + (E2_3_1_16 * C01832 * C00024))</v>
      </c>
      <c r="K198" s="43" t="str">
        <f>CONCATENATE("r",D198,": ",F198," -&gt; ",H198," | ",J198)</f>
        <v>r207: C01832 + C00024 -&gt; C00010 + C05261 | (${Variables:E2_3_1_16_kcat} * E2_3_1_16 * C01832 * C00024)/(${Variables:E2_3_1_16_km} + (E2_3_1_16 * C01832 * C00024))</v>
      </c>
    </row>
    <row r="199" spans="1:11" ht="42.75" x14ac:dyDescent="0.45">
      <c r="A199" s="53" t="s">
        <v>7022</v>
      </c>
      <c r="B199" s="54" t="s">
        <v>7023</v>
      </c>
      <c r="C199" t="s">
        <v>10335</v>
      </c>
      <c r="D199" s="12">
        <v>208</v>
      </c>
      <c r="E199" s="12" t="str">
        <f>CONCATENATE("E",C199)</f>
        <v>E2_3_1_16</v>
      </c>
      <c r="F199" s="12" t="s">
        <v>9887</v>
      </c>
      <c r="G199" s="12" t="s">
        <v>10511</v>
      </c>
      <c r="H199" t="s">
        <v>9888</v>
      </c>
      <c r="I199" t="s">
        <v>10731</v>
      </c>
      <c r="J199" s="12" t="str">
        <f>CONCATENATE("(${Variables:",E199,"_kcat","} * ",E199," * ",G199,")","/(${Variables:",E199,"_km","} + (",E199," * ",G199,"))")</f>
        <v>(${Variables:E2_3_1_16_kcat} * E2_3_1_16 * C02593 * C00024)/(${Variables:E2_3_1_16_km} + (E2_3_1_16 * C02593 * C00024))</v>
      </c>
      <c r="K199" s="43" t="str">
        <f>CONCATENATE("r",D199,": ",F199," -&gt; ",H199," | ",J199)</f>
        <v>r208: C02593 + C00024 -&gt; C00010 + C05259 | (${Variables:E2_3_1_16_kcat} * E2_3_1_16 * C02593 * C00024)/(${Variables:E2_3_1_16_km} + (E2_3_1_16 * C02593 * C00024))</v>
      </c>
    </row>
    <row r="200" spans="1:11" ht="42.75" x14ac:dyDescent="0.45">
      <c r="A200" s="53" t="s">
        <v>7022</v>
      </c>
      <c r="B200" s="54" t="s">
        <v>7023</v>
      </c>
      <c r="C200" t="s">
        <v>10335</v>
      </c>
      <c r="D200" s="12">
        <v>209</v>
      </c>
      <c r="E200" s="12" t="str">
        <f>CONCATENATE("E",C200)</f>
        <v>E2_3_1_16</v>
      </c>
      <c r="F200" s="12" t="s">
        <v>9890</v>
      </c>
      <c r="G200" s="12" t="s">
        <v>10512</v>
      </c>
      <c r="H200" t="s">
        <v>9891</v>
      </c>
      <c r="I200" t="s">
        <v>10732</v>
      </c>
      <c r="J200" s="12" t="str">
        <f>CONCATENATE("(${Variables:",E200,"_kcat","} * ",E200," * ",G200,")","/(${Variables:",E200,"_km","} + (",E200," * ",G200,"))")</f>
        <v>(${Variables:E2_3_1_16_kcat} * E2_3_1_16 * C05274 * C00024)/(${Variables:E2_3_1_16_km} + (E2_3_1_16 * C05274 * C00024))</v>
      </c>
      <c r="K200" s="43" t="str">
        <f>CONCATENATE("r",D200,": ",F200," -&gt; ",H200," | ",J200)</f>
        <v>r209: C05274 + C00024 -&gt; C00010 + C05263 | (${Variables:E2_3_1_16_kcat} * E2_3_1_16 * C05274 * C00024)/(${Variables:E2_3_1_16_km} + (E2_3_1_16 * C05274 * C00024))</v>
      </c>
    </row>
    <row r="201" spans="1:11" ht="42.75" x14ac:dyDescent="0.45">
      <c r="A201" s="53" t="s">
        <v>7022</v>
      </c>
      <c r="B201" s="54" t="s">
        <v>7023</v>
      </c>
      <c r="C201" t="s">
        <v>10335</v>
      </c>
      <c r="D201" s="12">
        <v>210</v>
      </c>
      <c r="E201" s="12" t="str">
        <f>CONCATENATE("E",C201)</f>
        <v>E2_3_1_16</v>
      </c>
      <c r="F201" s="12" t="s">
        <v>9893</v>
      </c>
      <c r="G201" s="12" t="s">
        <v>10513</v>
      </c>
      <c r="H201" t="s">
        <v>9894</v>
      </c>
      <c r="I201" t="s">
        <v>10733</v>
      </c>
      <c r="J201" s="12" t="str">
        <f>CONCATENATE("(${Variables:",E201,"_kcat","} * ",E201," * ",G201,")","/(${Variables:",E201,"_km","} + (",E201," * ",G201,"))")</f>
        <v>(${Variables:E2_3_1_16_kcat} * E2_3_1_16 * C05270 * C00024)/(${Variables:E2_3_1_16_km} + (E2_3_1_16 * C05270 * C00024))</v>
      </c>
      <c r="K201" s="43" t="str">
        <f>CONCATENATE("r",D201,": ",F201," -&gt; ",H201," | ",J201)</f>
        <v>r210: C05270 + C00024 -&gt; C00010 + C05267 | (${Variables:E2_3_1_16_kcat} * E2_3_1_16 * C05270 * C00024)/(${Variables:E2_3_1_16_km} + (E2_3_1_16 * C05270 * C00024))</v>
      </c>
    </row>
    <row r="202" spans="1:11" ht="42.75" x14ac:dyDescent="0.45">
      <c r="A202" s="53" t="s">
        <v>7022</v>
      </c>
      <c r="B202" s="54" t="s">
        <v>7023</v>
      </c>
      <c r="C202" t="s">
        <v>10335</v>
      </c>
      <c r="D202" s="12">
        <v>211</v>
      </c>
      <c r="E202" s="12" t="str">
        <f>CONCATENATE("E",C202)</f>
        <v>E2_3_1_16</v>
      </c>
      <c r="F202" s="12" t="s">
        <v>9896</v>
      </c>
      <c r="G202" s="12" t="s">
        <v>10514</v>
      </c>
      <c r="H202" t="s">
        <v>9897</v>
      </c>
      <c r="I202" t="s">
        <v>10734</v>
      </c>
      <c r="J202" s="12" t="str">
        <f>CONCATENATE("(${Variables:",E202,"_kcat","} * ",E202," * ",G202,")","/(${Variables:",E202,"_km","} + (",E202," * ",G202,"))")</f>
        <v>(${Variables:E2_3_1_16_kcat} * E2_3_1_16 * C07118 * C00010)/(${Variables:E2_3_1_16_km} + (E2_3_1_16 * C07118 * C00010))</v>
      </c>
      <c r="K202" s="43" t="str">
        <f>CONCATENATE("r",D202,": ",F202," -&gt; ",H202," | ",J202)</f>
        <v>r211: C07118 + C00010 -&gt; C00512 + C00024 | (${Variables:E2_3_1_16_kcat} * E2_3_1_16 * C07118 * C00010)/(${Variables:E2_3_1_16_km} + (E2_3_1_16 * C07118 * C00010))</v>
      </c>
    </row>
    <row r="203" spans="1:11" ht="42.75" x14ac:dyDescent="0.45">
      <c r="A203" s="53" t="s">
        <v>7022</v>
      </c>
      <c r="B203" s="54" t="s">
        <v>7023</v>
      </c>
      <c r="C203" t="s">
        <v>10335</v>
      </c>
      <c r="D203" s="12">
        <v>212</v>
      </c>
      <c r="E203" s="12" t="str">
        <f>CONCATENATE("E",C203)</f>
        <v>E2_3_1_16</v>
      </c>
      <c r="F203" s="12" t="s">
        <v>9899</v>
      </c>
      <c r="G203" s="12" t="s">
        <v>10515</v>
      </c>
      <c r="H203" t="s">
        <v>9900</v>
      </c>
      <c r="I203" t="s">
        <v>10735</v>
      </c>
      <c r="J203" s="12" t="str">
        <f>CONCATENATE("(${Variables:",E203,"_kcat","} * ",E203," * ",G203,")","/(${Variables:",E203,"_km","} + (",E203," * ",G203,"))")</f>
        <v>(${Variables:E2_3_1_16_kcat} * E2_3_1_16 * C06715 * C00010)/(${Variables:E2_3_1_16_km} + (E2_3_1_16 * C06715 * C00010))</v>
      </c>
      <c r="K203" s="43" t="str">
        <f>CONCATENATE("r",D203,": ",F203," -&gt; ",H203," | ",J203)</f>
        <v>r212: C06715 + C00010 -&gt; C00527 + C00024 | (${Variables:E2_3_1_16_kcat} * E2_3_1_16 * C06715 * C00010)/(${Variables:E2_3_1_16_km} + (E2_3_1_16 * C06715 * C00010))</v>
      </c>
    </row>
    <row r="204" spans="1:11" ht="42.75" x14ac:dyDescent="0.45">
      <c r="A204" s="53" t="s">
        <v>7022</v>
      </c>
      <c r="B204" s="54" t="s">
        <v>7023</v>
      </c>
      <c r="C204" t="s">
        <v>10335</v>
      </c>
      <c r="D204" s="12">
        <v>213</v>
      </c>
      <c r="E204" s="12" t="str">
        <f>CONCATENATE("E",C204)</f>
        <v>E2_3_1_16</v>
      </c>
      <c r="F204" s="12" t="s">
        <v>9902</v>
      </c>
      <c r="G204" s="12" t="s">
        <v>10516</v>
      </c>
      <c r="H204" t="s">
        <v>9903</v>
      </c>
      <c r="I204" t="s">
        <v>10736</v>
      </c>
      <c r="J204" s="12" t="str">
        <f>CONCATENATE("(${Variables:",E204,"_kcat","} * ",E204," * ",G204,")","/(${Variables:",E204,"_km","} + (",E204," * ",G204,"))")</f>
        <v>(${Variables:E2_3_1_16_kcat} * E2_3_1_16 * C16331 * C00024)/(${Variables:E2_3_1_16_km} + (E2_3_1_16 * C16331 * C00024))</v>
      </c>
      <c r="K204" s="43" t="str">
        <f>CONCATENATE("r",D204,": ",F204," -&gt; ",H204," | ",J204)</f>
        <v>r213: C16331 + C00024 -&gt; C00010 + C16330 | (${Variables:E2_3_1_16_kcat} * E2_3_1_16 * C16331 * C00024)/(${Variables:E2_3_1_16_km} + (E2_3_1_16 * C16331 * C00024))</v>
      </c>
    </row>
    <row r="205" spans="1:11" ht="42.75" x14ac:dyDescent="0.45">
      <c r="A205" s="53" t="s">
        <v>7022</v>
      </c>
      <c r="B205" s="54" t="s">
        <v>7023</v>
      </c>
      <c r="C205" t="s">
        <v>10335</v>
      </c>
      <c r="D205" s="12">
        <v>214</v>
      </c>
      <c r="E205" s="12" t="str">
        <f>CONCATENATE("E",C205)</f>
        <v>E2_3_1_16</v>
      </c>
      <c r="F205" s="12" t="s">
        <v>9905</v>
      </c>
      <c r="G205" s="12" t="s">
        <v>10517</v>
      </c>
      <c r="H205" t="s">
        <v>9906</v>
      </c>
      <c r="I205" t="s">
        <v>10737</v>
      </c>
      <c r="J205" s="12" t="str">
        <f>CONCATENATE("(${Variables:",E205,"_kcat","} * ",E205," * ",G205,")","/(${Variables:",E205,"_km","} + (",E205," * ",G205,"))")</f>
        <v>(${Variables:E2_3_1_16_kcat} * E2_3_1_16 * C16335 * C00024)/(${Variables:E2_3_1_16_km} + (E2_3_1_16 * C16335 * C00024))</v>
      </c>
      <c r="K205" s="43" t="str">
        <f>CONCATENATE("r",D205,": ",F205," -&gt; ",H205," | ",J205)</f>
        <v>r214: C16335 + C00024 -&gt; C00010 + C16334 | (${Variables:E2_3_1_16_kcat} * E2_3_1_16 * C16335 * C00024)/(${Variables:E2_3_1_16_km} + (E2_3_1_16 * C16335 * C00024))</v>
      </c>
    </row>
    <row r="206" spans="1:11" ht="42.75" x14ac:dyDescent="0.45">
      <c r="A206" s="53" t="s">
        <v>7022</v>
      </c>
      <c r="B206" s="54" t="s">
        <v>7023</v>
      </c>
      <c r="C206" t="s">
        <v>10335</v>
      </c>
      <c r="D206" s="12">
        <v>215</v>
      </c>
      <c r="E206" s="12" t="str">
        <f>CONCATENATE("E",C206)</f>
        <v>E2_3_1_16</v>
      </c>
      <c r="F206" s="12" t="s">
        <v>9908</v>
      </c>
      <c r="G206" s="12" t="s">
        <v>10518</v>
      </c>
      <c r="H206" t="s">
        <v>9909</v>
      </c>
      <c r="I206" t="s">
        <v>10738</v>
      </c>
      <c r="J206" s="12" t="str">
        <f>CONCATENATE("(${Variables:",E206,"_kcat","} * ",E206," * ",G206,")","/(${Variables:",E206,"_km","} + (",E206," * ",G206,"))")</f>
        <v>(${Variables:E2_3_1_16_kcat} * E2_3_1_16 * C16339 * C00024)/(${Variables:E2_3_1_16_km} + (E2_3_1_16 * C16339 * C00024))</v>
      </c>
      <c r="K206" s="43" t="str">
        <f>CONCATENATE("r",D206,": ",F206," -&gt; ",H206," | ",J206)</f>
        <v>r215: C16339 + C00024 -&gt; C00010 + C16338 | (${Variables:E2_3_1_16_kcat} * E2_3_1_16 * C16339 * C00024)/(${Variables:E2_3_1_16_km} + (E2_3_1_16 * C16339 * C00024))</v>
      </c>
    </row>
    <row r="207" spans="1:11" ht="42.75" x14ac:dyDescent="0.45">
      <c r="A207" s="53" t="s">
        <v>7022</v>
      </c>
      <c r="B207" s="54" t="s">
        <v>7023</v>
      </c>
      <c r="C207" t="s">
        <v>10335</v>
      </c>
      <c r="D207" s="12">
        <v>216</v>
      </c>
      <c r="E207" s="12" t="str">
        <f>CONCATENATE("E",C207)</f>
        <v>E2_3_1_16</v>
      </c>
      <c r="F207" s="12" t="s">
        <v>9911</v>
      </c>
      <c r="G207" s="12" t="s">
        <v>10519</v>
      </c>
      <c r="H207" t="s">
        <v>9912</v>
      </c>
      <c r="I207" t="s">
        <v>10739</v>
      </c>
      <c r="J207" s="12" t="str">
        <f>CONCATENATE("(${Variables:",E207,"_kcat","} * ",E207," * ",G207,")","/(${Variables:",E207,"_km","} + (",E207," * ",G207,"))")</f>
        <v>(${Variables:E2_3_1_16_kcat} * E2_3_1_16 * C16169 * C00024)/(${Variables:E2_3_1_16_km} + (E2_3_1_16 * C16169 * C00024))</v>
      </c>
      <c r="K207" s="43" t="str">
        <f>CONCATENATE("r",D207,": ",F207," -&gt; ",H207," | ",J207)</f>
        <v>r216: C16169 + C00024 -&gt; C00010 + C16376 | (${Variables:E2_3_1_16_kcat} * E2_3_1_16 * C16169 * C00024)/(${Variables:E2_3_1_16_km} + (E2_3_1_16 * C16169 * C00024))</v>
      </c>
    </row>
    <row r="208" spans="1:11" ht="42.75" x14ac:dyDescent="0.45">
      <c r="A208" s="53" t="s">
        <v>7022</v>
      </c>
      <c r="B208" s="54" t="s">
        <v>7023</v>
      </c>
      <c r="C208" t="s">
        <v>10335</v>
      </c>
      <c r="D208" s="12">
        <v>217</v>
      </c>
      <c r="E208" s="12" t="str">
        <f>CONCATENATE("E",C208)</f>
        <v>E2_3_1_16</v>
      </c>
      <c r="F208" s="12" t="s">
        <v>9914</v>
      </c>
      <c r="G208" s="12" t="s">
        <v>10520</v>
      </c>
      <c r="H208" t="s">
        <v>9915</v>
      </c>
      <c r="I208" t="s">
        <v>10740</v>
      </c>
      <c r="J208" s="12" t="str">
        <f>CONCATENATE("(${Variables:",E208,"_kcat","} * ",E208," * ",G208,")","/(${Variables:",E208,"_km","} + (",E208," * ",G208,"))")</f>
        <v>(${Variables:E2_3_1_16_kcat} * E2_3_1_16 * C16173 * C00024)/(${Variables:E2_3_1_16_km} + (E2_3_1_16 * C16173 * C00024))</v>
      </c>
      <c r="K208" s="43" t="str">
        <f>CONCATENATE("r",D208,": ",F208," -&gt; ",H208," | ",J208)</f>
        <v>r217: C16173 + C00024 -&gt; C00010 + C16389 | (${Variables:E2_3_1_16_kcat} * E2_3_1_16 * C16173 * C00024)/(${Variables:E2_3_1_16_km} + (E2_3_1_16 * C16173 * C00024))</v>
      </c>
    </row>
    <row r="209" spans="1:11" ht="42.75" x14ac:dyDescent="0.45">
      <c r="A209" s="53" t="s">
        <v>7022</v>
      </c>
      <c r="B209" s="54" t="s">
        <v>7023</v>
      </c>
      <c r="C209" t="s">
        <v>10335</v>
      </c>
      <c r="D209" s="12">
        <v>218</v>
      </c>
      <c r="E209" s="12" t="str">
        <f>CONCATENATE("E",C209)</f>
        <v>E2_3_1_16</v>
      </c>
      <c r="F209" s="12" t="s">
        <v>9917</v>
      </c>
      <c r="G209" s="12" t="s">
        <v>10521</v>
      </c>
      <c r="H209" t="s">
        <v>9918</v>
      </c>
      <c r="I209" t="s">
        <v>10741</v>
      </c>
      <c r="J209" s="12" t="str">
        <f>CONCATENATE("(${Variables:",E209,"_kcat","} * ",E209," * ",G209,")","/(${Variables:",E209,"_km","} + (",E209," * ",G209,"))")</f>
        <v>(${Variables:E2_3_1_16_kcat} * E2_3_1_16 * C16466 * C00010)/(${Variables:E2_3_1_16_km} + (E2_3_1_16 * C16466 * C00010))</v>
      </c>
      <c r="K209" s="43" t="str">
        <f>CONCATENATE("r",D209,": ",F209," -&gt; ",H209," | ",J209)</f>
        <v>r218: C16466 + C00010 -&gt; C16470 + C00024 | (${Variables:E2_3_1_16_kcat} * E2_3_1_16 * C16466 * C00010)/(${Variables:E2_3_1_16_km} + (E2_3_1_16 * C16466 * C00010))</v>
      </c>
    </row>
    <row r="210" spans="1:11" ht="42.75" x14ac:dyDescent="0.45">
      <c r="A210" s="53" t="s">
        <v>7022</v>
      </c>
      <c r="B210" s="54" t="s">
        <v>7023</v>
      </c>
      <c r="C210" t="s">
        <v>10335</v>
      </c>
      <c r="D210" s="12">
        <v>219</v>
      </c>
      <c r="E210" s="12" t="str">
        <f>CONCATENATE("E",C210)</f>
        <v>E2_3_1_16</v>
      </c>
      <c r="F210" s="12" t="s">
        <v>9920</v>
      </c>
      <c r="G210" s="12" t="s">
        <v>10522</v>
      </c>
      <c r="H210" t="s">
        <v>9921</v>
      </c>
      <c r="I210" t="s">
        <v>10742</v>
      </c>
      <c r="J210" s="12" t="str">
        <f>CONCATENATE("(${Variables:",E210,"_kcat","} * ",E210," * ",G210,")","/(${Variables:",E210,"_km","} + (",E210," * ",G210,"))")</f>
        <v>(${Variables:E2_3_1_16_kcat} * E2_3_1_16 * C16471 * C00010)/(${Variables:E2_3_1_16_km} + (E2_3_1_16 * C16471 * C00010))</v>
      </c>
      <c r="K210" s="43" t="str">
        <f>CONCATENATE("r",D210,": ",F210," -&gt; ",H210," | ",J210)</f>
        <v>r219: C16471 + C00010 -&gt; C03069 + C00024 | (${Variables:E2_3_1_16_kcat} * E2_3_1_16 * C16471 * C00010)/(${Variables:E2_3_1_16_km} + (E2_3_1_16 * C16471 * C00010))</v>
      </c>
    </row>
    <row r="211" spans="1:11" ht="42.75" x14ac:dyDescent="0.45">
      <c r="A211" s="53" t="s">
        <v>7022</v>
      </c>
      <c r="B211" s="54" t="s">
        <v>7023</v>
      </c>
      <c r="C211" t="s">
        <v>10335</v>
      </c>
      <c r="D211" s="12">
        <v>220</v>
      </c>
      <c r="E211" s="12" t="str">
        <f>CONCATENATE("E",C211)</f>
        <v>E2_3_1_16</v>
      </c>
      <c r="F211" s="12" t="s">
        <v>9923</v>
      </c>
      <c r="G211" s="12" t="s">
        <v>10523</v>
      </c>
      <c r="H211" t="s">
        <v>9924</v>
      </c>
      <c r="I211" t="s">
        <v>10743</v>
      </c>
      <c r="J211" s="12" t="str">
        <f>CONCATENATE("(${Variables:",E211,"_kcat","} * ",E211," * ",G211,")","/(${Variables:",E211,"_km","} + (",E211," * ",G211,"))")</f>
        <v>(${Variables:E2_3_1_16_kcat} * E2_3_1_16 * C23016 * C00010)/(${Variables:E2_3_1_16_km} + (E2_3_1_16 * C23016 * C00010))</v>
      </c>
      <c r="K211" s="43" t="str">
        <f>CONCATENATE("r",D211,": ",F211," -&gt; ",H211," | ",J211)</f>
        <v>r220: C23016 + C00010 -&gt; C23017 + C00024 | (${Variables:E2_3_1_16_kcat} * E2_3_1_16 * C23016 * C00010)/(${Variables:E2_3_1_16_km} + (E2_3_1_16 * C23016 * C00010))</v>
      </c>
    </row>
    <row r="212" spans="1:11" ht="42.75" x14ac:dyDescent="0.45">
      <c r="A212" s="53" t="s">
        <v>7022</v>
      </c>
      <c r="B212" s="54" t="s">
        <v>7023</v>
      </c>
      <c r="C212" t="s">
        <v>10335</v>
      </c>
      <c r="D212" s="12">
        <v>221</v>
      </c>
      <c r="E212" s="12" t="str">
        <f>CONCATENATE("E",C212)</f>
        <v>E2_3_1_16</v>
      </c>
      <c r="F212" s="12" t="s">
        <v>9926</v>
      </c>
      <c r="G212" s="12" t="s">
        <v>10524</v>
      </c>
      <c r="H212" t="s">
        <v>9927</v>
      </c>
      <c r="I212" t="s">
        <v>10744</v>
      </c>
      <c r="J212" s="12" t="str">
        <f>CONCATENATE("(${Variables:",E212,"_kcat","} * ",E212," * ",G212,")","/(${Variables:",E212,"_km","} + (",E212," * ",G212,"))")</f>
        <v>(${Variables:E2_3_1_16_kcat} * E2_3_1_16 * C23006 * C00010)/(${Variables:E2_3_1_16_km} + (E2_3_1_16 * C23006 * C00010))</v>
      </c>
      <c r="K212" s="43" t="str">
        <f>CONCATENATE("r",D212,": ",F212," -&gt; ",H212," | ",J212)</f>
        <v>r221: C23006 + C00010 -&gt; C23007 + C00024 | (${Variables:E2_3_1_16_kcat} * E2_3_1_16 * C23006 * C00010)/(${Variables:E2_3_1_16_km} + (E2_3_1_16 * C23006 * C00010))</v>
      </c>
    </row>
    <row r="213" spans="1:11" ht="42.75" x14ac:dyDescent="0.45">
      <c r="A213" s="53" t="s">
        <v>7022</v>
      </c>
      <c r="B213" s="54" t="s">
        <v>7023</v>
      </c>
      <c r="C213" t="s">
        <v>10335</v>
      </c>
      <c r="D213" s="12">
        <v>222</v>
      </c>
      <c r="E213" s="12" t="str">
        <f>CONCATENATE("E",C213)</f>
        <v>E2_3_1_16</v>
      </c>
      <c r="F213" s="12" t="s">
        <v>9929</v>
      </c>
      <c r="G213" s="12" t="s">
        <v>10525</v>
      </c>
      <c r="H213" t="s">
        <v>9930</v>
      </c>
      <c r="I213" t="s">
        <v>10745</v>
      </c>
      <c r="J213" s="12" t="str">
        <f>CONCATENATE("(${Variables:",E213,"_kcat","} * ",E213," * ",G213,")","/(${Variables:",E213,"_km","} + (",E213," * ",G213,"))")</f>
        <v>(${Variables:E2_3_1_16_kcat} * E2_3_1_16 * C23021 * C00010)/(${Variables:E2_3_1_16_km} + (E2_3_1_16 * C23021 * C00010))</v>
      </c>
      <c r="K213" s="43" t="str">
        <f>CONCATENATE("r",D213,": ",F213," -&gt; ",H213," | ",J213)</f>
        <v>r222: C23021 + C00010 -&gt; C23022 + C00024 | (${Variables:E2_3_1_16_kcat} * E2_3_1_16 * C23021 * C00010)/(${Variables:E2_3_1_16_km} + (E2_3_1_16 * C23021 * C00010))</v>
      </c>
    </row>
    <row r="214" spans="1:11" ht="42.75" x14ac:dyDescent="0.45">
      <c r="A214" s="53" t="s">
        <v>7022</v>
      </c>
      <c r="B214" s="54" t="s">
        <v>7023</v>
      </c>
      <c r="C214" t="s">
        <v>10335</v>
      </c>
      <c r="D214" s="12">
        <v>223</v>
      </c>
      <c r="E214" s="12" t="str">
        <f>CONCATENATE("E",C214)</f>
        <v>E2_3_1_16</v>
      </c>
      <c r="F214" s="12" t="s">
        <v>9932</v>
      </c>
      <c r="G214" s="12" t="s">
        <v>10526</v>
      </c>
      <c r="H214" t="s">
        <v>9933</v>
      </c>
      <c r="I214" t="s">
        <v>10746</v>
      </c>
      <c r="J214" s="12" t="str">
        <f>CONCATENATE("(${Variables:",E214,"_kcat","} * ",E214," * ",G214,")","/(${Variables:",E214,"_km","} + (",E214," * ",G214,"))")</f>
        <v>(${Variables:E2_3_1_16_kcat} * E2_3_1_16 * C23013 * C00010)/(${Variables:E2_3_1_16_km} + (E2_3_1_16 * C23013 * C00010))</v>
      </c>
      <c r="K214" s="43" t="str">
        <f>CONCATENATE("r",D214,": ",F214," -&gt; ",H214," | ",J214)</f>
        <v>r223: C23013 + C00010 -&gt; C21906 + C00100 | (${Variables:E2_3_1_16_kcat} * E2_3_1_16 * C23013 * C00010)/(${Variables:E2_3_1_16_km} + (E2_3_1_16 * C23013 * C00010))</v>
      </c>
    </row>
    <row r="215" spans="1:11" ht="42.75" x14ac:dyDescent="0.45">
      <c r="A215" s="53" t="s">
        <v>4680</v>
      </c>
      <c r="B215" s="54" t="s">
        <v>4681</v>
      </c>
      <c r="C215" t="s">
        <v>10336</v>
      </c>
      <c r="D215" s="12">
        <v>224</v>
      </c>
      <c r="E215" s="12" t="str">
        <f>CONCATENATE("E",C215)</f>
        <v>E2_3_1_179</v>
      </c>
      <c r="F215" t="s">
        <v>8834</v>
      </c>
      <c r="G215" t="s">
        <v>10527</v>
      </c>
      <c r="H215" t="s">
        <v>8835</v>
      </c>
      <c r="I215" t="s">
        <v>10747</v>
      </c>
      <c r="J215" s="12" t="str">
        <f>CONCATENATE("(${Variables:",E215,"_kcat","} * ",E215," * ",G215,")","/(${Variables:",E215,"_km","} + (",E215," * ",G215,"))")</f>
        <v>(${Variables:E2_3_1_179_kcat} * E2_3_1_179 * C00173 * C01209)/(${Variables:E2_3_1_179_km} + (E2_3_1_179 * C00173 * C01209))</v>
      </c>
      <c r="K215" s="43" t="str">
        <f>CONCATENATE("r",D215,": ",F215," -&gt; ",H215," | ",J215)</f>
        <v>r224: C00173 + C01209 -&gt; C00685 + C00011 + C00229 | (${Variables:E2_3_1_179_kcat} * E2_3_1_179 * C00173 * C01209)/(${Variables:E2_3_1_179_km} + (E2_3_1_179 * C00173 * C01209))</v>
      </c>
    </row>
    <row r="216" spans="1:11" ht="42.75" x14ac:dyDescent="0.45">
      <c r="A216" s="53" t="s">
        <v>4680</v>
      </c>
      <c r="B216" s="54" t="s">
        <v>4681</v>
      </c>
      <c r="C216" t="s">
        <v>10336</v>
      </c>
      <c r="D216" s="12">
        <v>225</v>
      </c>
      <c r="E216" s="12" t="str">
        <f>CONCATENATE("E",C216)</f>
        <v>E2_3_1_179</v>
      </c>
      <c r="F216" t="s">
        <v>8837</v>
      </c>
      <c r="G216" t="s">
        <v>10528</v>
      </c>
      <c r="H216" t="s">
        <v>8838</v>
      </c>
      <c r="I216" t="s">
        <v>10748</v>
      </c>
      <c r="J216" s="12" t="str">
        <f>CONCATENATE("(${Variables:",E216,"_kcat","} * ",E216," * ",G216,")","/(${Variables:",E216,"_km","} + (",E216," * ",G216,"))")</f>
        <v>(${Variables:E2_3_1_179_kcat} * E2_3_1_179 * C03939 * C01209)/(${Variables:E2_3_1_179_km} + (E2_3_1_179 * C03939 * C01209))</v>
      </c>
      <c r="K216" s="43" t="str">
        <f>CONCATENATE("r",D216,": ",F216," -&gt; ",H216," | ",J216)</f>
        <v>r225: C03939 + C01209 -&gt; C05744 + C00011 + C00229 | (${Variables:E2_3_1_179_kcat} * E2_3_1_179 * C03939 * C01209)/(${Variables:E2_3_1_179_km} + (E2_3_1_179 * C03939 * C01209))</v>
      </c>
    </row>
    <row r="217" spans="1:11" ht="42.75" x14ac:dyDescent="0.45">
      <c r="A217" s="53" t="s">
        <v>4680</v>
      </c>
      <c r="B217" s="54" t="s">
        <v>4681</v>
      </c>
      <c r="C217" t="s">
        <v>10336</v>
      </c>
      <c r="D217" s="12">
        <v>226</v>
      </c>
      <c r="E217" s="12" t="str">
        <f>CONCATENATE("E",C217)</f>
        <v>E2_3_1_179</v>
      </c>
      <c r="F217" t="s">
        <v>8840</v>
      </c>
      <c r="G217" t="s">
        <v>10529</v>
      </c>
      <c r="H217" t="s">
        <v>8841</v>
      </c>
      <c r="I217" t="s">
        <v>10749</v>
      </c>
      <c r="J217" s="12" t="str">
        <f>CONCATENATE("(${Variables:",E217,"_kcat","} * ",E217," * ",G217,")","/(${Variables:",E217,"_km","} + (",E217," * ",G217,"))")</f>
        <v>(${Variables:E2_3_1_179_kcat} * E2_3_1_179 * C05223 * C01209)/(${Variables:E2_3_1_179_km} + (E2_3_1_179 * C05223 * C01209))</v>
      </c>
      <c r="K217" s="43" t="str">
        <f>CONCATENATE("r",D217,": ",F217," -&gt; ",H217," | ",J217)</f>
        <v>r226: C05223 + C01209 -&gt; C05759 + C00011 + C00229 | (${Variables:E2_3_1_179_kcat} * E2_3_1_179 * C05223 * C01209)/(${Variables:E2_3_1_179_km} + (E2_3_1_179 * C05223 * C01209))</v>
      </c>
    </row>
    <row r="218" spans="1:11" ht="42.75" x14ac:dyDescent="0.45">
      <c r="A218" s="53" t="s">
        <v>4680</v>
      </c>
      <c r="B218" s="54" t="s">
        <v>4681</v>
      </c>
      <c r="C218" t="s">
        <v>10336</v>
      </c>
      <c r="D218" s="12">
        <v>227</v>
      </c>
      <c r="E218" s="12" t="str">
        <f>CONCATENATE("E",C218)</f>
        <v>E2_3_1_179</v>
      </c>
      <c r="F218" t="s">
        <v>8843</v>
      </c>
      <c r="G218" t="s">
        <v>10530</v>
      </c>
      <c r="H218" t="s">
        <v>8844</v>
      </c>
      <c r="I218" t="s">
        <v>10750</v>
      </c>
      <c r="J218" s="12" t="str">
        <f>CONCATENATE("(${Variables:",E218,"_kcat","} * ",E218," * ",G218,")","/(${Variables:",E218,"_km","} + (",E218," * ",G218,"))")</f>
        <v>(${Variables:E2_3_1_179_kcat} * E2_3_1_179 * C05745 * C01209)/(${Variables:E2_3_1_179_km} + (E2_3_1_179 * C05745 * C01209))</v>
      </c>
      <c r="K218" s="43" t="str">
        <f>CONCATENATE("r",D218,": ",F218," -&gt; ",H218," | ",J218)</f>
        <v>r227: C05745 + C01209 -&gt; C05746 + C00011 + C00229 | (${Variables:E2_3_1_179_kcat} * E2_3_1_179 * C05745 * C01209)/(${Variables:E2_3_1_179_km} + (E2_3_1_179 * C05745 * C01209))</v>
      </c>
    </row>
    <row r="219" spans="1:11" ht="42.75" x14ac:dyDescent="0.45">
      <c r="A219" s="53" t="s">
        <v>4680</v>
      </c>
      <c r="B219" s="54" t="s">
        <v>4681</v>
      </c>
      <c r="C219" t="s">
        <v>10336</v>
      </c>
      <c r="D219" s="12">
        <v>228</v>
      </c>
      <c r="E219" s="12" t="str">
        <f>CONCATENATE("E",C219)</f>
        <v>E2_3_1_179</v>
      </c>
      <c r="F219" s="12" t="s">
        <v>8846</v>
      </c>
      <c r="G219" s="12" t="s">
        <v>10531</v>
      </c>
      <c r="H219" t="s">
        <v>8847</v>
      </c>
      <c r="I219" t="s">
        <v>10751</v>
      </c>
      <c r="J219" s="12" t="str">
        <f>CONCATENATE("(${Variables:",E219,"_kcat","} * ",E219," * ",G219,")","/(${Variables:",E219,"_km","} + (",E219," * ",G219,"))")</f>
        <v>(${Variables:E2_3_1_179_kcat} * E2_3_1_179 * C05749 * C01209)/(${Variables:E2_3_1_179_km} + (E2_3_1_179 * C05749 * C01209))</v>
      </c>
      <c r="K219" s="43" t="str">
        <f>CONCATENATE("r",D219,": ",F219," -&gt; ",H219," | ",J219)</f>
        <v>r228: C05749 + C01209 -&gt; C05750 + C00011 + C00229 | (${Variables:E2_3_1_179_kcat} * E2_3_1_179 * C05749 * C01209)/(${Variables:E2_3_1_179_km} + (E2_3_1_179 * C05749 * C01209))</v>
      </c>
    </row>
    <row r="220" spans="1:11" ht="42.75" x14ac:dyDescent="0.45">
      <c r="A220" s="53" t="s">
        <v>4680</v>
      </c>
      <c r="B220" s="54" t="s">
        <v>4681</v>
      </c>
      <c r="C220" t="s">
        <v>10336</v>
      </c>
      <c r="D220" s="12">
        <v>229</v>
      </c>
      <c r="E220" s="12" t="str">
        <f>CONCATENATE("E",C220)</f>
        <v>E2_3_1_179</v>
      </c>
      <c r="F220" t="s">
        <v>8849</v>
      </c>
      <c r="G220" t="s">
        <v>10532</v>
      </c>
      <c r="H220" t="s">
        <v>8850</v>
      </c>
      <c r="I220" t="s">
        <v>10752</v>
      </c>
      <c r="J220" s="12" t="str">
        <f>CONCATENATE("(${Variables:",E220,"_kcat","} * ",E220," * ",G220,")","/(${Variables:",E220,"_km","} + (",E220," * ",G220,"))")</f>
        <v>(${Variables:E2_3_1_179_kcat} * E2_3_1_179 * C05752 * C01209)/(${Variables:E2_3_1_179_km} + (E2_3_1_179 * C05752 * C01209))</v>
      </c>
      <c r="K220" s="43" t="str">
        <f>CONCATENATE("r",D220,": ",F220," -&gt; ",H220," | ",J220)</f>
        <v>r229: C05752 + C01209 -&gt; C05753 + C00011 + C00229 | (${Variables:E2_3_1_179_kcat} * E2_3_1_179 * C05752 * C01209)/(${Variables:E2_3_1_179_km} + (E2_3_1_179 * C05752 * C01209))</v>
      </c>
    </row>
    <row r="221" spans="1:11" ht="42.75" x14ac:dyDescent="0.45">
      <c r="A221" s="53" t="s">
        <v>4680</v>
      </c>
      <c r="B221" s="54" t="s">
        <v>4681</v>
      </c>
      <c r="C221" t="s">
        <v>10336</v>
      </c>
      <c r="D221" s="12">
        <v>230</v>
      </c>
      <c r="E221" s="12" t="str">
        <f>CONCATENATE("E",C221)</f>
        <v>E2_3_1_179</v>
      </c>
      <c r="F221" t="s">
        <v>8852</v>
      </c>
      <c r="G221" t="s">
        <v>10533</v>
      </c>
      <c r="H221" t="s">
        <v>8853</v>
      </c>
      <c r="I221" t="s">
        <v>10753</v>
      </c>
      <c r="J221" s="12" t="str">
        <f>CONCATENATE("(${Variables:",E221,"_kcat","} * ",E221," * ",G221,")","/(${Variables:",E221,"_km","} + (",E221," * ",G221,"))")</f>
        <v>(${Variables:E2_3_1_179_kcat} * E2_3_1_179 * C05755 * C01209)/(${Variables:E2_3_1_179_km} + (E2_3_1_179 * C05755 * C01209))</v>
      </c>
      <c r="K221" s="43" t="str">
        <f>CONCATENATE("r",D221,": ",F221," -&gt; ",H221," | ",J221)</f>
        <v>r230: C05755 + C01209 -&gt; C05756 + C00011 + C00229 | (${Variables:E2_3_1_179_kcat} * E2_3_1_179 * C05755 * C01209)/(${Variables:E2_3_1_179_km} + (E2_3_1_179 * C05755 * C01209))</v>
      </c>
    </row>
    <row r="222" spans="1:11" ht="42.75" x14ac:dyDescent="0.45">
      <c r="A222" s="53" t="s">
        <v>4680</v>
      </c>
      <c r="B222" s="54" t="s">
        <v>4681</v>
      </c>
      <c r="C222" t="s">
        <v>10336</v>
      </c>
      <c r="D222" s="12">
        <v>231</v>
      </c>
      <c r="E222" s="12" t="str">
        <f>CONCATENATE("E",C222)</f>
        <v>E2_3_1_179</v>
      </c>
      <c r="F222" t="s">
        <v>8855</v>
      </c>
      <c r="G222" t="s">
        <v>10534</v>
      </c>
      <c r="H222" t="s">
        <v>8856</v>
      </c>
      <c r="I222" t="s">
        <v>10754</v>
      </c>
      <c r="J222" s="12" t="str">
        <f>CONCATENATE("(${Variables:",E222,"_kcat","} * ",E222," * ",G222,")","/(${Variables:",E222,"_km","} + (",E222," * ",G222,"))")</f>
        <v>(${Variables:E2_3_1_179_kcat} * E2_3_1_179 * C05761 * C01209)/(${Variables:E2_3_1_179_km} + (E2_3_1_179 * C05761 * C01209))</v>
      </c>
      <c r="K222" s="43" t="str">
        <f>CONCATENATE("r",D222,": ",F222," -&gt; ",H222," | ",J222)</f>
        <v>r231: C05761 + C01209 -&gt; C05762 + C00011 + C00229 | (${Variables:E2_3_1_179_kcat} * E2_3_1_179 * C05761 * C01209)/(${Variables:E2_3_1_179_km} + (E2_3_1_179 * C05761 * C01209))</v>
      </c>
    </row>
    <row r="223" spans="1:11" ht="42.75" x14ac:dyDescent="0.45">
      <c r="A223" s="53" t="s">
        <v>4680</v>
      </c>
      <c r="B223" s="54" t="s">
        <v>4681</v>
      </c>
      <c r="C223" t="s">
        <v>10336</v>
      </c>
      <c r="D223" s="12">
        <v>232</v>
      </c>
      <c r="E223" s="12" t="str">
        <f>CONCATENATE("E",C223)</f>
        <v>E2_3_1_179</v>
      </c>
      <c r="F223" t="s">
        <v>8858</v>
      </c>
      <c r="G223" t="s">
        <v>10535</v>
      </c>
      <c r="H223" t="s">
        <v>8859</v>
      </c>
      <c r="I223" t="s">
        <v>10755</v>
      </c>
      <c r="J223" s="12" t="str">
        <f>CONCATENATE("(${Variables:",E223,"_kcat","} * ",E223," * ",G223,")","/(${Variables:",E223,"_km","} + (",E223," * ",G223,"))")</f>
        <v>(${Variables:E2_3_1_179_kcat} * E2_3_1_179 * C05764 * C01209 )/(${Variables:E2_3_1_179_km} + (E2_3_1_179 * C05764 * C01209 ))</v>
      </c>
      <c r="K223" s="43" t="str">
        <f>CONCATENATE("r",D223,": ",F223," -&gt; ",H223," | ",J223)</f>
        <v>r232: C05764 + C01209  -&gt; C16219 + C00229 + C00011 | (${Variables:E2_3_1_179_kcat} * E2_3_1_179 * C05764 * C01209 )/(${Variables:E2_3_1_179_km} + (E2_3_1_179 * C05764 * C01209 ))</v>
      </c>
    </row>
    <row r="224" spans="1:11" ht="42.75" x14ac:dyDescent="0.45">
      <c r="A224" s="53" t="s">
        <v>4680</v>
      </c>
      <c r="B224" s="54" t="s">
        <v>4681</v>
      </c>
      <c r="C224" t="s">
        <v>10336</v>
      </c>
      <c r="D224" s="12">
        <v>233</v>
      </c>
      <c r="E224" s="12" t="str">
        <f>CONCATENATE("E",C224)</f>
        <v>E2_3_1_179</v>
      </c>
      <c r="F224" t="s">
        <v>8861</v>
      </c>
      <c r="G224" t="s">
        <v>10536</v>
      </c>
      <c r="H224" t="s">
        <v>8862</v>
      </c>
      <c r="I224" t="s">
        <v>10756</v>
      </c>
      <c r="J224" s="12" t="str">
        <f>CONCATENATE("(${Variables:",E224,"_kcat","} * ",E224," * ",G224,")","/(${Variables:",E224,"_km","} + (",E224," * ",G224,"))")</f>
        <v>(${Variables:E2_3_1_179_kcat} * E2_3_1_179 * C19673 * C01209)/(${Variables:E2_3_1_179_km} + (E2_3_1_179 * C19673 * C01209))</v>
      </c>
      <c r="K224" s="43" t="str">
        <f>CONCATENATE("r",D224,": ",F224," -&gt; ",H224," | ",J224)</f>
        <v>r233: C19673 + C01209 -&gt; C20372 + C00011 + C00229 | (${Variables:E2_3_1_179_kcat} * E2_3_1_179 * C19673 * C01209)/(${Variables:E2_3_1_179_km} + (E2_3_1_179 * C19673 * C01209))</v>
      </c>
    </row>
    <row r="225" spans="1:11" ht="42.75" x14ac:dyDescent="0.45">
      <c r="A225" s="53" t="s">
        <v>4680</v>
      </c>
      <c r="B225" s="54" t="s">
        <v>4681</v>
      </c>
      <c r="C225" t="s">
        <v>10336</v>
      </c>
      <c r="D225" s="12">
        <v>234</v>
      </c>
      <c r="E225" s="12" t="str">
        <f>CONCATENATE("E",C225)</f>
        <v>E2_3_1_179</v>
      </c>
      <c r="F225" t="s">
        <v>8864</v>
      </c>
      <c r="G225" t="s">
        <v>10537</v>
      </c>
      <c r="H225" t="s">
        <v>8865</v>
      </c>
      <c r="I225" t="s">
        <v>10757</v>
      </c>
      <c r="J225" s="12" t="str">
        <f>CONCATENATE("(${Variables:",E225,"_kcat","} * ",E225," * ",G225,")","/(${Variables:",E225,"_km","} + (",E225," * ",G225,"))")</f>
        <v>(${Variables:E2_3_1_179_kcat} * E2_3_1_179 * C20375 * C01209)/(${Variables:E2_3_1_179_km} + (E2_3_1_179 * C20375 * C01209))</v>
      </c>
      <c r="K225" s="43" t="str">
        <f>CONCATENATE("r",D225,": ",F225," -&gt; ",H225," | ",J225)</f>
        <v>r234: C20375 + C01209 -&gt; C20376 + C00011 + C00229 | (${Variables:E2_3_1_179_kcat} * E2_3_1_179 * C20375 * C01209)/(${Variables:E2_3_1_179_km} + (E2_3_1_179 * C20375 * C01209))</v>
      </c>
    </row>
    <row r="226" spans="1:11" ht="42.75" x14ac:dyDescent="0.45">
      <c r="A226" s="53" t="s">
        <v>4662</v>
      </c>
      <c r="B226" s="54" t="s">
        <v>4663</v>
      </c>
      <c r="C226" t="s">
        <v>10337</v>
      </c>
      <c r="D226" s="12">
        <v>235</v>
      </c>
      <c r="E226" s="12" t="str">
        <f>CONCATENATE("E",C226)</f>
        <v>E2_3_1_180</v>
      </c>
      <c r="F226" t="s">
        <v>8789</v>
      </c>
      <c r="G226" t="s">
        <v>10538</v>
      </c>
      <c r="H226" t="s">
        <v>8790</v>
      </c>
      <c r="I226" t="s">
        <v>10758</v>
      </c>
      <c r="J226" s="12" t="str">
        <f>CONCATENATE("(${Variables:",E226,"_kcat","} * ",E226," * ",G226,")","/(${Variables:",E226,"_km","} + (",E226," * ",G226,"))")</f>
        <v>(${Variables:E2_3_1_180_kcat} * E2_3_1_180 * C00024 * C01209)/(${Variables:E2_3_1_180_km} + (E2_3_1_180 * C00024 * C01209))</v>
      </c>
      <c r="K226" s="43" t="str">
        <f>CONCATENATE("r",D226,": ",F226," -&gt; ",H226," | ",J226)</f>
        <v>r235: C00024 + C01209 -&gt; C05744 + C00010 + C00011 | (${Variables:E2_3_1_180_kcat} * E2_3_1_180 * C00024 * C01209)/(${Variables:E2_3_1_180_km} + (E2_3_1_180 * C00024 * C01209))</v>
      </c>
    </row>
    <row r="227" spans="1:11" ht="42.75" x14ac:dyDescent="0.45">
      <c r="A227" s="53" t="s">
        <v>4414</v>
      </c>
      <c r="B227" s="54" t="s">
        <v>4415</v>
      </c>
      <c r="C227" t="s">
        <v>1903</v>
      </c>
      <c r="D227" s="12">
        <v>236</v>
      </c>
      <c r="E227" s="12" t="str">
        <f>CONCATENATE("E",C227)</f>
        <v>E2_3_1_234</v>
      </c>
      <c r="F227" t="s">
        <v>3097</v>
      </c>
      <c r="G227" t="s">
        <v>1691</v>
      </c>
      <c r="H227" t="s">
        <v>3097</v>
      </c>
      <c r="I227" t="s">
        <v>1691</v>
      </c>
      <c r="J227" s="12" t="str">
        <f>CONCATENATE("(${Variables:",E227,"_kcat","} * ",E227," * ",G227,")","/(${Variables:",E227,"_km","} + (",E227," * ",G227,"))")</f>
        <v>(${Variables:E2_3_1_234_kcat} * E2_3_1_234 * C20641 * C17324)/(${Variables:E2_3_1_234_km} + (E2_3_1_234 * C20641 * C17324))</v>
      </c>
      <c r="K227" s="43" t="str">
        <f>CONCATENATE("r",D227,": ",F227," -&gt; ",H227," | ",J227)</f>
        <v>r236: C20641 + C17324 -&gt; C20641 + C17324 | (${Variables:E2_3_1_234_kcat} * E2_3_1_234 * C20641 * C17324)/(${Variables:E2_3_1_234_km} + (E2_3_1_234 * C20641 * C17324))</v>
      </c>
    </row>
    <row r="228" spans="1:11" ht="42.75" x14ac:dyDescent="0.45">
      <c r="A228" s="53" t="s">
        <v>4410</v>
      </c>
      <c r="B228" s="54" t="s">
        <v>4411</v>
      </c>
      <c r="C228" t="s">
        <v>1903</v>
      </c>
      <c r="D228" s="12">
        <v>237</v>
      </c>
      <c r="E228" s="12" t="str">
        <f>CONCATENATE("E",C228)</f>
        <v>E2_3_1_234</v>
      </c>
      <c r="F228" t="s">
        <v>3097</v>
      </c>
      <c r="G228" t="s">
        <v>1691</v>
      </c>
      <c r="H228" t="s">
        <v>3097</v>
      </c>
      <c r="I228" t="s">
        <v>1691</v>
      </c>
      <c r="J228" s="12" t="str">
        <f>CONCATENATE("(${Variables:",E228,"_kcat","} * ",E228," * ",G228,")","/(${Variables:",E228,"_km","} + (",E228," * ",G228,"))")</f>
        <v>(${Variables:E2_3_1_234_kcat} * E2_3_1_234 * C20641 * C17324)/(${Variables:E2_3_1_234_km} + (E2_3_1_234 * C20641 * C17324))</v>
      </c>
      <c r="K228" s="43" t="str">
        <f>CONCATENATE("r",D228,": ",F228," -&gt; ",H228," | ",J228)</f>
        <v>r237: C20641 + C17324 -&gt; C20641 + C17324 | (${Variables:E2_3_1_234_kcat} * E2_3_1_234 * C20641 * C17324)/(${Variables:E2_3_1_234_km} + (E2_3_1_234 * C20641 * C17324))</v>
      </c>
    </row>
    <row r="229" spans="1:11" ht="42.75" x14ac:dyDescent="0.45">
      <c r="A229" s="53" t="s">
        <v>4412</v>
      </c>
      <c r="B229" s="54" t="s">
        <v>4413</v>
      </c>
      <c r="C229" t="s">
        <v>1808</v>
      </c>
      <c r="D229" s="12">
        <v>238</v>
      </c>
      <c r="E229" s="12" t="str">
        <f>CONCATENATE("E",C229)</f>
        <v>E2_3_1_266</v>
      </c>
      <c r="F229" t="s">
        <v>3098</v>
      </c>
      <c r="G229" t="s">
        <v>1335</v>
      </c>
      <c r="H229" t="s">
        <v>3382</v>
      </c>
      <c r="I229" t="s">
        <v>1336</v>
      </c>
      <c r="J229" s="12" t="str">
        <f>CONCATENATE("(${Variables:",E229,"_kcat","} * ",E229," * ",G229,")","/(${Variables:",E229,"_km","} + (",E229," * ",G229,"))")</f>
        <v>(${Variables:E2_3_1_266_kcat} * E2_3_1_266 * C00024 * C03803)/(${Variables:E2_3_1_266_km} + (E2_3_1_266 * C00024 * C03803))</v>
      </c>
      <c r="K229" s="43" t="str">
        <f>CONCATENATE("r",D229,": ",F229," -&gt; ",H229," | ",J229)</f>
        <v>r238: C00024 + C03803 -&gt; C00010 + C04341 | (${Variables:E2_3_1_266_kcat} * E2_3_1_266 * C00024 * C03803)/(${Variables:E2_3_1_266_km} + (E2_3_1_266 * C00024 * C03803))</v>
      </c>
    </row>
    <row r="230" spans="1:11" ht="42.75" x14ac:dyDescent="0.45">
      <c r="A230" s="53" t="s">
        <v>3669</v>
      </c>
      <c r="B230" s="54" t="s">
        <v>3670</v>
      </c>
      <c r="C230" t="s">
        <v>1846</v>
      </c>
      <c r="D230" s="12">
        <v>239</v>
      </c>
      <c r="E230" s="12" t="str">
        <f>CONCATENATE("E",C230)</f>
        <v>E2_3_1_274</v>
      </c>
      <c r="F230" t="s">
        <v>3099</v>
      </c>
      <c r="G230" t="s">
        <v>1438</v>
      </c>
      <c r="H230" t="s">
        <v>3383</v>
      </c>
      <c r="I230" t="s">
        <v>1439</v>
      </c>
      <c r="J230" s="12" t="str">
        <f>CONCATENATE("(${Variables:",E230,"_kcat","} * ",E230," * ",G230,")","/(${Variables:",E230,"_km","} + (",E230," * ",G230,"))")</f>
        <v>(${Variables:E2_3_1_274_kcat} * E2_3_1_274 * C00173 * C00009)/(${Variables:E2_3_1_274_km} + (E2_3_1_274 * C00173 * C00009))</v>
      </c>
      <c r="K230" s="43" t="str">
        <f>CONCATENATE("r",D230,": ",F230," -&gt; ",H230," | ",J230)</f>
        <v>r239: C00173 + C00009 -&gt; C02133 + C00229 | (${Variables:E2_3_1_274_kcat} * E2_3_1_274 * C00173 * C00009)/(${Variables:E2_3_1_274_km} + (E2_3_1_274 * C00173 * C00009))</v>
      </c>
    </row>
    <row r="231" spans="1:11" ht="42.75" x14ac:dyDescent="0.45">
      <c r="A231" s="53" t="s">
        <v>7920</v>
      </c>
      <c r="B231" s="54" t="s">
        <v>7921</v>
      </c>
      <c r="C231" t="s">
        <v>10338</v>
      </c>
      <c r="D231" s="12">
        <v>240</v>
      </c>
      <c r="E231" s="12" t="str">
        <f>CONCATENATE("E",C231)</f>
        <v>E2_3_1_30</v>
      </c>
      <c r="F231" t="s">
        <v>10180</v>
      </c>
      <c r="G231" t="s">
        <v>10539</v>
      </c>
      <c r="H231" t="s">
        <v>10181</v>
      </c>
      <c r="I231" t="s">
        <v>10759</v>
      </c>
      <c r="J231" s="12" t="str">
        <f>CONCATENATE("(${Variables:",E231,"_kcat","} * ",E231," * ",G231,")","/(${Variables:",E231,"_km","} + (",E231," * ",G231,"))")</f>
        <v>(${Variables:E2_3_1_30_kcat} * E2_3_1_30 * C00065 * C00024)/(${Variables:E2_3_1_30_km} + (E2_3_1_30 * C00065 * C00024))</v>
      </c>
      <c r="K231" s="43" t="str">
        <f>CONCATENATE("r",D231,": ",F231," -&gt; ",H231," | ",J231)</f>
        <v>r240: C00065 + C00024 -&gt; C00979 + C00010 | (${Variables:E2_3_1_30_kcat} * E2_3_1_30 * C00065 * C00024)/(${Variables:E2_3_1_30_km} + (E2_3_1_30 * C00065 * C00024))</v>
      </c>
    </row>
    <row r="232" spans="1:11" ht="42.75" x14ac:dyDescent="0.45">
      <c r="A232" s="53" t="s">
        <v>4672</v>
      </c>
      <c r="B232" s="54" t="s">
        <v>4673</v>
      </c>
      <c r="C232" t="s">
        <v>10339</v>
      </c>
      <c r="D232" s="12">
        <v>241</v>
      </c>
      <c r="E232" s="12" t="str">
        <f>CONCATENATE("E",C232)</f>
        <v>E2_3_1_39</v>
      </c>
      <c r="F232" t="s">
        <v>8793</v>
      </c>
      <c r="G232" t="s">
        <v>10540</v>
      </c>
      <c r="H232" t="s">
        <v>8794</v>
      </c>
      <c r="I232" t="s">
        <v>10760</v>
      </c>
      <c r="J232" s="12" t="str">
        <f>CONCATENATE("(${Variables:",E232,"_kcat","} * ",E232," * ",G232,")","/(${Variables:",E232,"_km","} + (",E232," * ",G232,"))")</f>
        <v>(${Variables:E2_3_1_39_kcat} * E2_3_1_39 * C00083 * C00229)/(${Variables:E2_3_1_39_km} + (E2_3_1_39 * C00083 * C00229))</v>
      </c>
      <c r="K232" s="43" t="str">
        <f>CONCATENATE("r",D232,": ",F232," -&gt; ",H232," | ",J232)</f>
        <v>r241: C00083 + C00229 -&gt; C00010 + C01209 | (${Variables:E2_3_1_39_kcat} * E2_3_1_39 * C00083 * C00229)/(${Variables:E2_3_1_39_km} + (E2_3_1_39 * C00083 * C00229))</v>
      </c>
    </row>
    <row r="233" spans="1:11" ht="42.75" x14ac:dyDescent="0.45">
      <c r="A233" s="53" t="s">
        <v>4475</v>
      </c>
      <c r="B233" s="54" t="s">
        <v>4476</v>
      </c>
      <c r="C233" t="s">
        <v>10340</v>
      </c>
      <c r="D233" s="12">
        <v>242</v>
      </c>
      <c r="E233" s="12" t="str">
        <f>CONCATENATE("E",C233)</f>
        <v>E2_3_1_54</v>
      </c>
      <c r="F233" s="12" t="s">
        <v>8658</v>
      </c>
      <c r="G233" s="12" t="s">
        <v>10541</v>
      </c>
      <c r="H233" t="s">
        <v>8659</v>
      </c>
      <c r="I233" t="s">
        <v>10761</v>
      </c>
      <c r="J233" s="12" t="str">
        <f>CONCATENATE("(${Variables:",E233,"_kcat","} * ",E233," * ",G233,")","/(${Variables:",E233,"_km","} + (",E233," * ",G233,"))")</f>
        <v>(${Variables:E2_3_1_54_kcat} * E2_3_1_54 * C00024 * C00058)/(${Variables:E2_3_1_54_km} + (E2_3_1_54 * C00024 * C00058))</v>
      </c>
      <c r="K233" s="43" t="str">
        <f>CONCATENATE("r",D233,": ",F233," -&gt; ",H233," | ",J233)</f>
        <v>r242: C00024 + C00058 -&gt; C00010 + C00022 | (${Variables:E2_3_1_54_kcat} * E2_3_1_54 * C00024 * C00058)/(${Variables:E2_3_1_54_km} + (E2_3_1_54 * C00024 * C00058))</v>
      </c>
    </row>
    <row r="234" spans="1:11" ht="42.75" x14ac:dyDescent="0.45">
      <c r="A234" s="53" t="s">
        <v>4475</v>
      </c>
      <c r="B234" s="54" t="s">
        <v>4476</v>
      </c>
      <c r="C234" t="s">
        <v>10340</v>
      </c>
      <c r="D234" s="12">
        <v>243</v>
      </c>
      <c r="E234" s="12" t="str">
        <f>CONCATENATE("E",C234)</f>
        <v>E2_3_1_54</v>
      </c>
      <c r="F234" s="12" t="s">
        <v>8661</v>
      </c>
      <c r="G234" s="12" t="s">
        <v>10542</v>
      </c>
      <c r="H234" t="s">
        <v>8662</v>
      </c>
      <c r="I234" t="s">
        <v>10762</v>
      </c>
      <c r="J234" s="12" t="str">
        <f>CONCATENATE("(${Variables:",E234,"_kcat","} * ",E234," * ",G234,")","/(${Variables:",E234,"_km","} + (",E234," * ",G234,"))")</f>
        <v>(${Variables:E2_3_1_54_kcat} * E2_3_1_54 * C00109 * C00010)/(${Variables:E2_3_1_54_km} + (E2_3_1_54 * C00109 * C00010))</v>
      </c>
      <c r="K234" s="43" t="str">
        <f>CONCATENATE("r",D234,": ",F234," -&gt; ",H234," | ",J234)</f>
        <v>r243: C00109 + C00010 -&gt; C00100 + C00058 | (${Variables:E2_3_1_54_kcat} * E2_3_1_54 * C00109 * C00010)/(${Variables:E2_3_1_54_km} + (E2_3_1_54 * C00109 * C00010))</v>
      </c>
    </row>
    <row r="235" spans="1:11" ht="42.75" x14ac:dyDescent="0.45">
      <c r="A235" s="53" t="s">
        <v>6300</v>
      </c>
      <c r="B235" s="54" t="s">
        <v>6301</v>
      </c>
      <c r="C235" t="s">
        <v>1806</v>
      </c>
      <c r="D235" s="12">
        <v>244</v>
      </c>
      <c r="E235" s="12" t="str">
        <f>CONCATENATE("E",C235)</f>
        <v>E2_3_1_8</v>
      </c>
      <c r="F235" t="s">
        <v>3100</v>
      </c>
      <c r="G235" t="s">
        <v>1331</v>
      </c>
      <c r="H235" t="s">
        <v>3384</v>
      </c>
      <c r="I235" t="s">
        <v>1332</v>
      </c>
      <c r="J235" s="12" t="str">
        <f>CONCATENATE("(${Variables:",E235,"_kcat","} * ",E235," * ",G235,")","/(${Variables:",E235,"_km","} + (",E235," * ",G235,"))")</f>
        <v>(${Variables:E2_3_1_8_kcat} * E2_3_1_8 * C00024 * C00009)/(${Variables:E2_3_1_8_km} + (E2_3_1_8 * C00024 * C00009))</v>
      </c>
      <c r="K235" s="43" t="str">
        <f>CONCATENATE("r",D235,": ",F235," -&gt; ",H235," | ",J235)</f>
        <v>r244: C00024 + C00009 -&gt; C00010 + C00227 | (${Variables:E2_3_1_8_kcat} * E2_3_1_8 * C00024 * C00009)/(${Variables:E2_3_1_8_km} + (E2_3_1_8 * C00024 * C00009))</v>
      </c>
    </row>
    <row r="236" spans="1:11" ht="42.75" x14ac:dyDescent="0.45">
      <c r="A236" s="53" t="s">
        <v>6300</v>
      </c>
      <c r="B236" s="54" t="s">
        <v>6301</v>
      </c>
      <c r="C236" t="s">
        <v>1806</v>
      </c>
      <c r="D236" s="12">
        <v>245</v>
      </c>
      <c r="E236" s="12" t="str">
        <f>CONCATENATE("E",C236)</f>
        <v>E2_3_1_8</v>
      </c>
      <c r="F236" s="12" t="s">
        <v>3101</v>
      </c>
      <c r="G236" s="12" t="s">
        <v>1400</v>
      </c>
      <c r="H236" t="s">
        <v>3385</v>
      </c>
      <c r="I236" t="s">
        <v>1401</v>
      </c>
      <c r="J236" s="12" t="str">
        <f>CONCATENATE("(${Variables:",E236,"_kcat","} * ",E236," * ",G236,")","/(${Variables:",E236,"_km","} + (",E236," * ",G236,"))")</f>
        <v>(${Variables:E2_3_1_8_kcat} * E2_3_1_8 * C00100 * C00009)/(${Variables:E2_3_1_8_km} + (E2_3_1_8 * C00100 * C00009))</v>
      </c>
      <c r="K236" s="43" t="str">
        <f>CONCATENATE("r",D236,": ",F236," -&gt; ",H236," | ",J236)</f>
        <v>r245: C00100 + C00009 -&gt; C02876 + C00010 | (${Variables:E2_3_1_8_kcat} * E2_3_1_8 * C00100 * C00009)/(${Variables:E2_3_1_8_km} + (E2_3_1_8 * C00100 * C00009))</v>
      </c>
    </row>
    <row r="237" spans="1:11" ht="28.5" x14ac:dyDescent="0.45">
      <c r="A237" s="53" t="s">
        <v>7130</v>
      </c>
      <c r="B237" s="54" t="s">
        <v>7131</v>
      </c>
      <c r="C237" t="s">
        <v>10341</v>
      </c>
      <c r="D237" s="12">
        <v>246</v>
      </c>
      <c r="E237" s="12" t="str">
        <f>CONCATENATE("E",C237)</f>
        <v>E2_3_1_9</v>
      </c>
      <c r="F237" s="12" t="s">
        <v>2028</v>
      </c>
      <c r="G237" s="12" t="s">
        <v>2028</v>
      </c>
      <c r="H237" t="s">
        <v>9870</v>
      </c>
      <c r="I237" t="s">
        <v>10725</v>
      </c>
      <c r="J237" s="12" t="str">
        <f>CONCATENATE("(${Variables:",E237,"_kcat","} * ",E237," * ",G237,")","/(${Variables:",E237,"_km","} + (",E237," * ",G237,"))")</f>
        <v>(${Variables:E2_3_1_9_kcat} * E2_3_1_9 * C00024)/(${Variables:E2_3_1_9_km} + (E2_3_1_9 * C00024))</v>
      </c>
      <c r="K237" s="43" t="str">
        <f>CONCATENATE("r",D237,": ",F237," -&gt; ",H237," | ",J237)</f>
        <v>r246: C00024 -&gt; C00010 + C00332 | (${Variables:E2_3_1_9_kcat} * E2_3_1_9 * C00024)/(${Variables:E2_3_1_9_km} + (E2_3_1_9 * C00024))</v>
      </c>
    </row>
    <row r="238" spans="1:11" ht="42.75" x14ac:dyDescent="0.45">
      <c r="A238" s="53" t="s">
        <v>7130</v>
      </c>
      <c r="B238" s="54" t="s">
        <v>7131</v>
      </c>
      <c r="C238" t="s">
        <v>10341</v>
      </c>
      <c r="D238" s="12">
        <v>247</v>
      </c>
      <c r="E238" s="12" t="str">
        <f>CONCATENATE("E",C238)</f>
        <v>E2_3_1_9</v>
      </c>
      <c r="F238" s="12" t="s">
        <v>9875</v>
      </c>
      <c r="G238" s="12" t="s">
        <v>10507</v>
      </c>
      <c r="H238" t="s">
        <v>9876</v>
      </c>
      <c r="I238" t="s">
        <v>10727</v>
      </c>
      <c r="J238" s="12" t="str">
        <f>CONCATENATE("(${Variables:",E238,"_kcat","} * ",E238," * ",G238,")","/(${Variables:",E238,"_km","} + (",E238," * ",G238,"))")</f>
        <v>(${Variables:E2_3_1_9_kcat} * E2_3_1_9 * C00100 * C00024)/(${Variables:E2_3_1_9_km} + (E2_3_1_9 * C00100 * C00024))</v>
      </c>
      <c r="K238" s="43" t="str">
        <f>CONCATENATE("r",D238,": ",F238," -&gt; ",H238," | ",J238)</f>
        <v>r247: C00100 + C00024 -&gt; C00010 + C03344 | (${Variables:E2_3_1_9_kcat} * E2_3_1_9 * C00100 * C00024)/(${Variables:E2_3_1_9_km} + (E2_3_1_9 * C00100 * C00024))</v>
      </c>
    </row>
    <row r="239" spans="1:11" ht="42.75" x14ac:dyDescent="0.45">
      <c r="A239" s="53" t="s">
        <v>7130</v>
      </c>
      <c r="B239" s="54" t="s">
        <v>7131</v>
      </c>
      <c r="C239" t="s">
        <v>10341</v>
      </c>
      <c r="D239" s="12">
        <v>248</v>
      </c>
      <c r="E239" s="12" t="str">
        <f>CONCATENATE("E",C239)</f>
        <v>E2_3_1_9</v>
      </c>
      <c r="F239" s="12" t="s">
        <v>9878</v>
      </c>
      <c r="G239" s="12" t="s">
        <v>10508</v>
      </c>
      <c r="H239" t="s">
        <v>9879</v>
      </c>
      <c r="I239" t="s">
        <v>10728</v>
      </c>
      <c r="J239" s="12" t="str">
        <f>CONCATENATE("(${Variables:",E239,"_kcat","} * ",E239," * ",G239,")","/(${Variables:",E239,"_km","} + (",E239," * ",G239,"))")</f>
        <v>(${Variables:E2_3_1_9_kcat} * E2_3_1_9 * C00024 * C00136)/(${Variables:E2_3_1_9_km} + (E2_3_1_9 * C00024 * C00136))</v>
      </c>
      <c r="K239" s="43" t="str">
        <f>CONCATENATE("r",D239,": ",F239," -&gt; ",H239," | ",J239)</f>
        <v>r248: C00024 + C00136 -&gt; C00010 + C05269 | (${Variables:E2_3_1_9_kcat} * E2_3_1_9 * C00024 * C00136)/(${Variables:E2_3_1_9_km} + (E2_3_1_9 * C00024 * C00136))</v>
      </c>
    </row>
    <row r="240" spans="1:11" ht="42.75" x14ac:dyDescent="0.45">
      <c r="A240" s="53" t="s">
        <v>6386</v>
      </c>
      <c r="B240" s="54" t="s">
        <v>6387</v>
      </c>
      <c r="C240" t="s">
        <v>1859</v>
      </c>
      <c r="D240" s="12">
        <v>249</v>
      </c>
      <c r="E240" s="12" t="str">
        <f>CONCATENATE("E",C240)</f>
        <v>E2_3_3_10</v>
      </c>
      <c r="F240" s="12" t="s">
        <v>3102</v>
      </c>
      <c r="G240" s="12" t="s">
        <v>1481</v>
      </c>
      <c r="H240" t="s">
        <v>3386</v>
      </c>
      <c r="I240" t="s">
        <v>1482</v>
      </c>
      <c r="J240" s="12" t="str">
        <f>CONCATENATE("(${Variables:",E240,"_kcat","} * ",E240," * ",G240,")","/(${Variables:",E240,"_km","} + (",E240," * ",G240,"))")</f>
        <v>(${Variables:E2_3_3_10_kcat} * E2_3_3_10 * C00356 * C00010)/(${Variables:E2_3_3_10_km} + (E2_3_3_10 * C00356 * C00010))</v>
      </c>
      <c r="K240" s="43" t="str">
        <f>CONCATENATE("r",D240,": ",F240," -&gt; ",H240," | ",J240)</f>
        <v>r249: C00356 + C00010 -&gt; C00024 + C00001 + C00332 | (${Variables:E2_3_3_10_kcat} * E2_3_3_10 * C00356 * C00010)/(${Variables:E2_3_3_10_km} + (E2_3_3_10 * C00356 * C00010))</v>
      </c>
    </row>
    <row r="241" spans="1:11" ht="42.75" x14ac:dyDescent="0.45">
      <c r="A241" s="53" t="s">
        <v>6739</v>
      </c>
      <c r="B241" s="54" t="s">
        <v>6740</v>
      </c>
      <c r="C241" t="s">
        <v>1862</v>
      </c>
      <c r="D241" s="12">
        <v>250</v>
      </c>
      <c r="E241" s="12" t="str">
        <f>CONCATENATE("E",C241)</f>
        <v>E2_4_1_1</v>
      </c>
      <c r="F241" s="12" t="s">
        <v>3104</v>
      </c>
      <c r="G241" s="12" t="s">
        <v>1541</v>
      </c>
      <c r="H241" t="s">
        <v>3387</v>
      </c>
      <c r="I241" t="s">
        <v>1498</v>
      </c>
      <c r="J241" s="12" t="str">
        <f>CONCATENATE("(${Variables:",E241,"_kcat","} * ",E241," * ",G241,")","/(${Variables:",E241,"_km","} + (",E241," * ",G241,"))")</f>
        <v>(${Variables:E2_4_1_1_kcat} * E2_4_1_1 * C00718 * C00009)/(${Variables:E2_4_1_1_km} + (E2_4_1_1 * C00718 * C00009))</v>
      </c>
      <c r="K241" s="43" t="str">
        <f>CONCATENATE("r",D241,": ",F241," -&gt; ",H241," | ",J241)</f>
        <v>r250: C00718 + C00009 -&gt; C00718 + C00103 | (${Variables:E2_4_1_1_kcat} * E2_4_1_1 * C00718 * C00009)/(${Variables:E2_4_1_1_km} + (E2_4_1_1 * C00718 * C00009))</v>
      </c>
    </row>
    <row r="242" spans="1:11" ht="42.75" x14ac:dyDescent="0.45">
      <c r="A242" s="53" t="s">
        <v>6739</v>
      </c>
      <c r="B242" s="54" t="s">
        <v>6740</v>
      </c>
      <c r="C242" t="s">
        <v>1862</v>
      </c>
      <c r="D242" s="12">
        <v>251</v>
      </c>
      <c r="E242" s="12" t="str">
        <f>CONCATENATE("E",C242)</f>
        <v>E2_4_1_1</v>
      </c>
      <c r="F242" t="s">
        <v>9233</v>
      </c>
      <c r="G242" t="s">
        <v>1702</v>
      </c>
      <c r="H242" t="s">
        <v>9234</v>
      </c>
      <c r="I242" t="s">
        <v>1703</v>
      </c>
      <c r="J242" s="12" t="str">
        <f>CONCATENATE("(${Variables:",E242,"_kcat","} * ",E242," * ",G242,")","/(${Variables:",E242,"_km","} + (",E242," * ",G242,"))")</f>
        <v>(${Variables:E2_4_1_1_kcat} * E2_4_1_1 * G10495 * C00009)/(${Variables:E2_4_1_1_km} + (E2_4_1_1 * G10495 * C00009))</v>
      </c>
      <c r="K242" s="43" t="str">
        <f>CONCATENATE("r",D242,": ",F242," -&gt; ",H242," | ",J242)</f>
        <v>r251: G10495 + C00009 -&gt; G10495 + C00103 | (${Variables:E2_4_1_1_kcat} * E2_4_1_1 * G10495 * C00009)/(${Variables:E2_4_1_1_km} + (E2_4_1_1 * G10495 * C00009))</v>
      </c>
    </row>
    <row r="243" spans="1:11" ht="42.75" x14ac:dyDescent="0.45">
      <c r="A243" s="53" t="s">
        <v>6739</v>
      </c>
      <c r="B243" s="54" t="s">
        <v>6740</v>
      </c>
      <c r="C243" t="s">
        <v>1862</v>
      </c>
      <c r="D243" s="12">
        <v>252</v>
      </c>
      <c r="E243" s="12" t="str">
        <f>CONCATENATE("E",C243)</f>
        <v>E2_4_1_1</v>
      </c>
      <c r="F243" s="12" t="s">
        <v>3103</v>
      </c>
      <c r="G243" s="12" t="s">
        <v>1497</v>
      </c>
      <c r="H243" t="s">
        <v>3387</v>
      </c>
      <c r="I243" t="s">
        <v>1498</v>
      </c>
      <c r="J243" s="12" t="str">
        <f>CONCATENATE("(${Variables:",E243,"_kcat","} * ",E243," * ",G243,")","/(${Variables:",E243,"_km","} + (",E243," * ",G243,"))")</f>
        <v>(${Variables:E2_4_1_1_kcat} * E2_4_1_1 * C00369 * C00009)/(${Variables:E2_4_1_1_km} + (E2_4_1_1 * C00369 * C00009))</v>
      </c>
      <c r="K243" s="43" t="str">
        <f>CONCATENATE("r",D243,": ",F243," -&gt; ",H243," | ",J243)</f>
        <v>r252: C00369 + C00009 -&gt; C00718 + C00103 | (${Variables:E2_4_1_1_kcat} * E2_4_1_1 * C00369 * C00009)/(${Variables:E2_4_1_1_km} + (E2_4_1_1 * C00369 * C00009))</v>
      </c>
    </row>
    <row r="244" spans="1:11" ht="42.75" x14ac:dyDescent="0.45">
      <c r="A244" s="53" t="s">
        <v>6739</v>
      </c>
      <c r="B244" s="54" t="s">
        <v>6740</v>
      </c>
      <c r="C244" t="s">
        <v>1862</v>
      </c>
      <c r="D244" s="12">
        <v>253</v>
      </c>
      <c r="E244" s="12" t="str">
        <f>CONCATENATE("E",C244)</f>
        <v>E2_4_1_1</v>
      </c>
      <c r="F244" t="s">
        <v>9237</v>
      </c>
      <c r="G244" t="s">
        <v>1708</v>
      </c>
      <c r="H244" t="s">
        <v>9234</v>
      </c>
      <c r="I244" t="s">
        <v>1703</v>
      </c>
      <c r="J244" s="12" t="str">
        <f>CONCATENATE("(${Variables:",E244,"_kcat","} * ",E244," * ",G244,")","/(${Variables:",E244,"_km","} + (",E244," * ",G244,"))")</f>
        <v>(${Variables:E2_4_1_1_kcat} * E2_4_1_1 * G10545 * C00009)/(${Variables:E2_4_1_1_km} + (E2_4_1_1 * G10545 * C00009))</v>
      </c>
      <c r="K244" s="43" t="str">
        <f>CONCATENATE("r",D244,": ",F244," -&gt; ",H244," | ",J244)</f>
        <v>r253: G10545 + C00009 -&gt; G10495 + C00103 | (${Variables:E2_4_1_1_kcat} * E2_4_1_1 * G10545 * C00009)/(${Variables:E2_4_1_1_km} + (E2_4_1_1 * G10545 * C00009))</v>
      </c>
    </row>
    <row r="245" spans="1:11" ht="42.75" x14ac:dyDescent="0.45">
      <c r="A245" s="53" t="s">
        <v>5635</v>
      </c>
      <c r="B245" s="54" t="s">
        <v>5636</v>
      </c>
      <c r="C245" t="s">
        <v>1862</v>
      </c>
      <c r="D245" s="12">
        <v>254</v>
      </c>
      <c r="E245" s="12" t="str">
        <f>CONCATENATE("E",C245)</f>
        <v>E2_4_1_1</v>
      </c>
      <c r="F245" s="12" t="s">
        <v>3104</v>
      </c>
      <c r="G245" s="12" t="s">
        <v>1541</v>
      </c>
      <c r="H245" t="s">
        <v>3387</v>
      </c>
      <c r="I245" t="s">
        <v>1498</v>
      </c>
      <c r="J245" s="12" t="str">
        <f>CONCATENATE("(${Variables:",E245,"_kcat","} * ",E245," * ",G245,")","/(${Variables:",E245,"_km","} + (",E245," * ",G245,"))")</f>
        <v>(${Variables:E2_4_1_1_kcat} * E2_4_1_1 * C00718 * C00009)/(${Variables:E2_4_1_1_km} + (E2_4_1_1 * C00718 * C00009))</v>
      </c>
      <c r="K245" s="43" t="str">
        <f>CONCATENATE("r",D245,": ",F245," -&gt; ",H245," | ",J245)</f>
        <v>r254: C00718 + C00009 -&gt; C00718 + C00103 | (${Variables:E2_4_1_1_kcat} * E2_4_1_1 * C00718 * C00009)/(${Variables:E2_4_1_1_km} + (E2_4_1_1 * C00718 * C00009))</v>
      </c>
    </row>
    <row r="246" spans="1:11" ht="42.75" x14ac:dyDescent="0.45">
      <c r="A246" s="53" t="s">
        <v>5635</v>
      </c>
      <c r="B246" s="54" t="s">
        <v>5636</v>
      </c>
      <c r="C246" t="s">
        <v>1862</v>
      </c>
      <c r="D246" s="12">
        <v>255</v>
      </c>
      <c r="E246" s="12" t="str">
        <f>CONCATENATE("E",C246)</f>
        <v>E2_4_1_1</v>
      </c>
      <c r="F246" t="s">
        <v>9233</v>
      </c>
      <c r="G246" t="s">
        <v>1702</v>
      </c>
      <c r="H246" t="s">
        <v>9234</v>
      </c>
      <c r="I246" t="s">
        <v>1703</v>
      </c>
      <c r="J246" s="12" t="str">
        <f>CONCATENATE("(${Variables:",E246,"_kcat","} * ",E246," * ",G246,")","/(${Variables:",E246,"_km","} + (",E246," * ",G246,"))")</f>
        <v>(${Variables:E2_4_1_1_kcat} * E2_4_1_1 * G10495 * C00009)/(${Variables:E2_4_1_1_km} + (E2_4_1_1 * G10495 * C00009))</v>
      </c>
      <c r="K246" s="43" t="str">
        <f>CONCATENATE("r",D246,": ",F246," -&gt; ",H246," | ",J246)</f>
        <v>r255: G10495 + C00009 -&gt; G10495 + C00103 | (${Variables:E2_4_1_1_kcat} * E2_4_1_1 * G10495 * C00009)/(${Variables:E2_4_1_1_km} + (E2_4_1_1 * G10495 * C00009))</v>
      </c>
    </row>
    <row r="247" spans="1:11" ht="42.75" x14ac:dyDescent="0.45">
      <c r="A247" s="53" t="s">
        <v>5635</v>
      </c>
      <c r="B247" s="54" t="s">
        <v>5636</v>
      </c>
      <c r="C247" t="s">
        <v>1862</v>
      </c>
      <c r="D247" s="12">
        <v>256</v>
      </c>
      <c r="E247" s="12" t="str">
        <f>CONCATENATE("E",C247)</f>
        <v>E2_4_1_1</v>
      </c>
      <c r="F247" s="12" t="s">
        <v>3103</v>
      </c>
      <c r="G247" s="12" t="s">
        <v>1497</v>
      </c>
      <c r="H247" t="s">
        <v>3387</v>
      </c>
      <c r="I247" t="s">
        <v>1498</v>
      </c>
      <c r="J247" s="12" t="str">
        <f>CONCATENATE("(${Variables:",E247,"_kcat","} * ",E247," * ",G247,")","/(${Variables:",E247,"_km","} + (",E247," * ",G247,"))")</f>
        <v>(${Variables:E2_4_1_1_kcat} * E2_4_1_1 * C00369 * C00009)/(${Variables:E2_4_1_1_km} + (E2_4_1_1 * C00369 * C00009))</v>
      </c>
      <c r="K247" s="43" t="str">
        <f>CONCATENATE("r",D247,": ",F247," -&gt; ",H247," | ",J247)</f>
        <v>r256: C00369 + C00009 -&gt; C00718 + C00103 | (${Variables:E2_4_1_1_kcat} * E2_4_1_1 * C00369 * C00009)/(${Variables:E2_4_1_1_km} + (E2_4_1_1 * C00369 * C00009))</v>
      </c>
    </row>
    <row r="248" spans="1:11" ht="42.75" x14ac:dyDescent="0.45">
      <c r="A248" s="53" t="s">
        <v>5635</v>
      </c>
      <c r="B248" s="54" t="s">
        <v>5636</v>
      </c>
      <c r="C248" t="s">
        <v>1862</v>
      </c>
      <c r="D248" s="12">
        <v>257</v>
      </c>
      <c r="E248" s="12" t="str">
        <f>CONCATENATE("E",C248)</f>
        <v>E2_4_1_1</v>
      </c>
      <c r="F248" t="s">
        <v>9237</v>
      </c>
      <c r="G248" t="s">
        <v>1708</v>
      </c>
      <c r="H248" t="s">
        <v>9234</v>
      </c>
      <c r="I248" t="s">
        <v>1703</v>
      </c>
      <c r="J248" s="12" t="str">
        <f>CONCATENATE("(${Variables:",E248,"_kcat","} * ",E248," * ",G248,")","/(${Variables:",E248,"_km","} + (",E248," * ",G248,"))")</f>
        <v>(${Variables:E2_4_1_1_kcat} * E2_4_1_1 * G10545 * C00009)/(${Variables:E2_4_1_1_km} + (E2_4_1_1 * G10545 * C00009))</v>
      </c>
      <c r="K248" s="43" t="str">
        <f>CONCATENATE("r",D248,": ",F248," -&gt; ",H248," | ",J248)</f>
        <v>r257: G10545 + C00009 -&gt; G10495 + C00103 | (${Variables:E2_4_1_1_kcat} * E2_4_1_1 * G10545 * C00009)/(${Variables:E2_4_1_1_km} + (E2_4_1_1 * G10545 * C00009))</v>
      </c>
    </row>
    <row r="249" spans="1:11" ht="42.75" x14ac:dyDescent="0.45">
      <c r="A249" s="53" t="s">
        <v>5633</v>
      </c>
      <c r="B249" s="54" t="s">
        <v>5634</v>
      </c>
      <c r="C249" t="s">
        <v>1864</v>
      </c>
      <c r="D249" s="12">
        <v>258</v>
      </c>
      <c r="E249" s="12" t="str">
        <f>CONCATENATE("E",C249)</f>
        <v>E2_4_1_21</v>
      </c>
      <c r="F249" s="12" t="s">
        <v>3105</v>
      </c>
      <c r="G249" s="12" t="s">
        <v>1521</v>
      </c>
      <c r="H249" t="s">
        <v>3388</v>
      </c>
      <c r="I249" t="s">
        <v>1522</v>
      </c>
      <c r="J249" s="12" t="str">
        <f>CONCATENATE("(${Variables:",E249,"_kcat","} * ",E249," * ",G249,")","/(${Variables:",E249,"_km","} + (",E249," * ",G249,"))")</f>
        <v>(${Variables:E2_4_1_21_kcat} * E2_4_1_21 * C00498 * C00718)/(${Variables:E2_4_1_21_km} + (E2_4_1_21 * C00498 * C00718))</v>
      </c>
      <c r="K249" s="43" t="str">
        <f>CONCATENATE("r",D249,": ",F249," -&gt; ",H249," | ",J249)</f>
        <v>r258: C00498 + C00718 -&gt; C00008 + C00718 | (${Variables:E2_4_1_21_kcat} * E2_4_1_21 * C00498 * C00718)/(${Variables:E2_4_1_21_km} + (E2_4_1_21 * C00498 * C00718))</v>
      </c>
    </row>
    <row r="250" spans="1:11" ht="42.75" x14ac:dyDescent="0.45">
      <c r="A250" s="53" t="s">
        <v>5633</v>
      </c>
      <c r="B250" s="54" t="s">
        <v>5634</v>
      </c>
      <c r="C250" t="s">
        <v>1864</v>
      </c>
      <c r="D250" s="12">
        <v>259</v>
      </c>
      <c r="E250" s="12" t="str">
        <f>CONCATENATE("E",C250)</f>
        <v>E2_4_1_21</v>
      </c>
      <c r="F250" t="s">
        <v>9227</v>
      </c>
      <c r="G250" t="s">
        <v>1704</v>
      </c>
      <c r="H250" t="s">
        <v>9228</v>
      </c>
      <c r="I250" t="s">
        <v>1705</v>
      </c>
      <c r="J250" s="12" t="str">
        <f>CONCATENATE("(${Variables:",E250,"_kcat","} * ",E250," * ",G250,")","/(${Variables:",E250,"_km","} + (",E250," * ",G250,"))")</f>
        <v>(${Variables:E2_4_1_21_kcat} * E2_4_1_21 * G10495 * G11109)/(${Variables:E2_4_1_21_km} + (E2_4_1_21 * G10495 * G11109))</v>
      </c>
      <c r="K250" s="43" t="str">
        <f>CONCATENATE("r",D250,": ",F250," -&gt; ",H250," | ",J250)</f>
        <v>r259: G10495 + G11109 -&gt; G10495 + G11113 | (${Variables:E2_4_1_21_kcat} * E2_4_1_21 * G10495 * G11109)/(${Variables:E2_4_1_21_km} + (E2_4_1_21 * G10495 * G11109))</v>
      </c>
    </row>
    <row r="251" spans="1:11" ht="42.75" x14ac:dyDescent="0.45">
      <c r="A251" s="53" t="s">
        <v>5076</v>
      </c>
      <c r="B251" s="54" t="s">
        <v>5077</v>
      </c>
      <c r="C251" t="s">
        <v>1895</v>
      </c>
      <c r="D251" s="12">
        <v>260</v>
      </c>
      <c r="E251" s="12" t="str">
        <f>CONCATENATE("E",C251)</f>
        <v>E2_4_1_227</v>
      </c>
      <c r="F251" s="12" t="s">
        <v>3106</v>
      </c>
      <c r="G251" s="12" t="s">
        <v>1625</v>
      </c>
      <c r="H251" t="s">
        <v>3389</v>
      </c>
      <c r="I251" t="s">
        <v>1626</v>
      </c>
      <c r="J251" s="12" t="str">
        <f>CONCATENATE("(${Variables:",E251,"_kcat","} * ",E251," * ",G251,")","/(${Variables:",E251,"_km","} + (",E251," * ",G251,"))")</f>
        <v>(${Variables:E2_4_1_227_kcat} * E2_4_1_227 * C04851 * C00043)/(${Variables:E2_4_1_227_km} + (E2_4_1_227 * C04851 * C00043))</v>
      </c>
      <c r="K251" s="43" t="str">
        <f>CONCATENATE("r",D251,": ",F251," -&gt; ",H251," | ",J251)</f>
        <v>r260: C04851 + C00043 -&gt; C05893 + C00015 | (${Variables:E2_4_1_227_kcat} * E2_4_1_227 * C04851 * C00043)/(${Variables:E2_4_1_227_km} + (E2_4_1_227 * C04851 * C00043))</v>
      </c>
    </row>
    <row r="252" spans="1:11" ht="42.75" x14ac:dyDescent="0.45">
      <c r="A252" s="53" t="s">
        <v>5076</v>
      </c>
      <c r="B252" s="54" t="s">
        <v>5077</v>
      </c>
      <c r="C252" t="s">
        <v>1895</v>
      </c>
      <c r="D252" s="12">
        <v>261</v>
      </c>
      <c r="E252" s="12" t="str">
        <f>CONCATENATE("E",C252)</f>
        <v>E2_4_1_227</v>
      </c>
      <c r="F252" t="s">
        <v>9028</v>
      </c>
      <c r="G252" t="s">
        <v>1711</v>
      </c>
      <c r="H252" t="s">
        <v>9029</v>
      </c>
      <c r="I252" t="s">
        <v>1712</v>
      </c>
      <c r="J252" s="12" t="str">
        <f>CONCATENATE("(${Variables:",E252,"_kcat","} * ",E252," * ",G252,")","/(${Variables:",E252,"_km","} + (",E252," * ",G252,"))")</f>
        <v>(${Variables:E2_4_1_227_kcat} * E2_4_1_227 * G10552 * G10610)/(${Variables:E2_4_1_227_km} + (E2_4_1_227 * G10552 * G10610))</v>
      </c>
      <c r="K252" s="43" t="str">
        <f>CONCATENATE("r",D252,": ",F252," -&gt; ",H252," | ",J252)</f>
        <v>r261: G10552 + G10610 -&gt; G10553 + G10619 | (${Variables:E2_4_1_227_kcat} * E2_4_1_227 * G10552 * G10610)/(${Variables:E2_4_1_227_km} + (E2_4_1_227 * G10552 * G10610))</v>
      </c>
    </row>
    <row r="253" spans="1:11" ht="42.75" x14ac:dyDescent="0.45">
      <c r="A253" s="53" t="s">
        <v>5076</v>
      </c>
      <c r="B253" s="54" t="s">
        <v>5077</v>
      </c>
      <c r="C253" t="s">
        <v>1895</v>
      </c>
      <c r="D253" s="12">
        <v>262</v>
      </c>
      <c r="E253" s="12" t="str">
        <f>CONCATENATE("E",C253)</f>
        <v>E2_4_1_227</v>
      </c>
      <c r="F253" t="s">
        <v>3107</v>
      </c>
      <c r="G253" t="s">
        <v>1639</v>
      </c>
      <c r="H253" t="s">
        <v>3390</v>
      </c>
      <c r="I253" t="s">
        <v>1640</v>
      </c>
      <c r="J253" s="12" t="str">
        <f>CONCATENATE("(${Variables:",E253,"_kcat","} * ",E253," * ",G253,")","/(${Variables:",E253,"_km","} + (",E253," * ",G253,"))")</f>
        <v>(${Variables:E2_4_1_227_kcat} * E2_4_1_227 * C05897 * C00043)/(${Variables:E2_4_1_227_km} + (E2_4_1_227 * C05897 * C00043))</v>
      </c>
      <c r="K253" s="43" t="str">
        <f>CONCATENATE("r",D253,": ",F253," -&gt; ",H253," | ",J253)</f>
        <v>r262: C05897 + C00043 -&gt; C05898 + C00015 | (${Variables:E2_4_1_227_kcat} * E2_4_1_227 * C05897 * C00043)/(${Variables:E2_4_1_227_km} + (E2_4_1_227 * C05897 * C00043))</v>
      </c>
    </row>
    <row r="254" spans="1:11" ht="42.75" x14ac:dyDescent="0.45">
      <c r="A254" s="53" t="s">
        <v>5076</v>
      </c>
      <c r="B254" s="54" t="s">
        <v>5077</v>
      </c>
      <c r="C254" t="s">
        <v>1895</v>
      </c>
      <c r="D254" s="12">
        <v>263</v>
      </c>
      <c r="E254" s="12" t="str">
        <f>CONCATENATE("E",C254)</f>
        <v>E2_4_1_227</v>
      </c>
      <c r="F254" t="s">
        <v>9032</v>
      </c>
      <c r="G254" t="s">
        <v>1709</v>
      </c>
      <c r="H254" t="s">
        <v>9033</v>
      </c>
      <c r="I254" t="s">
        <v>1710</v>
      </c>
      <c r="J254" s="12" t="str">
        <f>CONCATENATE("(${Variables:",E254,"_kcat","} * ",E254," * ",G254,")","/(${Variables:",E254,"_km","} + (",E254," * ",G254,"))")</f>
        <v>(${Variables:E2_4_1_227_kcat} * E2_4_1_227 * G10551 * G10610)/(${Variables:E2_4_1_227_km} + (E2_4_1_227 * G10551 * G10610))</v>
      </c>
      <c r="K254" s="43" t="str">
        <f>CONCATENATE("r",D254,": ",F254," -&gt; ",H254," | ",J254)</f>
        <v>r263: G10551 + G10610 -&gt; G10550 + G10619 | (${Variables:E2_4_1_227_kcat} * E2_4_1_227 * G10551 * G10610)/(${Variables:E2_4_1_227_km} + (E2_4_1_227 * G10551 * G10610))</v>
      </c>
    </row>
    <row r="255" spans="1:11" ht="42.75" x14ac:dyDescent="0.45">
      <c r="A255" s="53" t="s">
        <v>5076</v>
      </c>
      <c r="B255" s="54" t="s">
        <v>5077</v>
      </c>
      <c r="C255" t="s">
        <v>1895</v>
      </c>
      <c r="D255" s="12">
        <v>264</v>
      </c>
      <c r="E255" s="12" t="str">
        <f>CONCATENATE("E",C255)</f>
        <v>E2_4_1_227</v>
      </c>
      <c r="F255" t="s">
        <v>9035</v>
      </c>
      <c r="G255" t="s">
        <v>1717</v>
      </c>
      <c r="H255" t="s">
        <v>9036</v>
      </c>
      <c r="I255" t="s">
        <v>10763</v>
      </c>
      <c r="J255" s="12" t="str">
        <f>CONCATENATE("(${Variables:",E255,"_kcat","} * ",E255," * ",G255,")","/(${Variables:",E255,"_km","} + (",E255," * ",G255,"))")</f>
        <v>(${Variables:E2_4_1_227_kcat} * E2_4_1_227 * G10556 * G10610)/(${Variables:E2_4_1_227_km} + (E2_4_1_227 * G10556 * G10610))</v>
      </c>
      <c r="K255" s="43" t="str">
        <f>CONCATENATE("r",D255,": ",F255," -&gt; ",H255," | ",J255)</f>
        <v>r264: G10556 + G10610 -&gt; G10555 + G10619 | (${Variables:E2_4_1_227_kcat} * E2_4_1_227 * G10556 * G10610)/(${Variables:E2_4_1_227_km} + (E2_4_1_227 * G10556 * G10610))</v>
      </c>
    </row>
    <row r="256" spans="1:11" ht="42.75" x14ac:dyDescent="0.45">
      <c r="A256" s="53" t="s">
        <v>6556</v>
      </c>
      <c r="B256" s="54" t="s">
        <v>6557</v>
      </c>
      <c r="C256" t="s">
        <v>10342</v>
      </c>
      <c r="D256" s="12">
        <v>265</v>
      </c>
      <c r="E256" s="12" t="str">
        <f>CONCATENATE("E",C256)</f>
        <v>E2_4_2_1</v>
      </c>
      <c r="F256" s="12" t="s">
        <v>9716</v>
      </c>
      <c r="G256" s="12" t="s">
        <v>10543</v>
      </c>
      <c r="H256" t="s">
        <v>9717</v>
      </c>
      <c r="I256" t="s">
        <v>10764</v>
      </c>
      <c r="J256" s="12" t="str">
        <f>CONCATENATE("(${Variables:",E256,"_kcat","} * ",E256," * ",G256,")","/(${Variables:",E256,"_km","} + (",E256," * ",G256,"))")</f>
        <v>(${Variables:E2_4_2_1_kcat} * E2_4_2_1 * C15586 * C00009)/(${Variables:E2_4_2_1_km} + (E2_4_2_1 * C15586 * C00009))</v>
      </c>
      <c r="K256" s="43" t="str">
        <f>CONCATENATE("r",D256,": ",F256," -&gt; ",H256," | ",J256)</f>
        <v>r265: C15586 + C00009 -&gt; C15587 + C00620 | (${Variables:E2_4_2_1_kcat} * E2_4_2_1 * C15586 * C00009)/(${Variables:E2_4_2_1_km} + (E2_4_2_1 * C15586 * C00009))</v>
      </c>
    </row>
    <row r="257" spans="1:11" ht="42.75" x14ac:dyDescent="0.45">
      <c r="A257" s="53" t="s">
        <v>6556</v>
      </c>
      <c r="B257" s="54" t="s">
        <v>6557</v>
      </c>
      <c r="C257" t="s">
        <v>10342</v>
      </c>
      <c r="D257" s="12">
        <v>266</v>
      </c>
      <c r="E257" s="12" t="str">
        <f>CONCATENATE("E",C257)</f>
        <v>E2_4_2_1</v>
      </c>
      <c r="F257" s="12" t="s">
        <v>3498</v>
      </c>
      <c r="G257" s="12" t="s">
        <v>1326</v>
      </c>
      <c r="H257" t="s">
        <v>9719</v>
      </c>
      <c r="I257" t="s">
        <v>10765</v>
      </c>
      <c r="J257" s="12" t="str">
        <f>CONCATENATE("(${Variables:",E257,"_kcat","} * ",E257," * ",G257,")","/(${Variables:",E257,"_km","} + (",E257," * ",G257,"))")</f>
        <v>(${Variables:E2_4_2_1_kcat} * E2_4_2_1 * C00212 * C00009)/(${Variables:E2_4_2_1_km} + (E2_4_2_1 * C00212 * C00009))</v>
      </c>
      <c r="K257" s="43" t="str">
        <f>CONCATENATE("r",D257,": ",F257," -&gt; ",H257," | ",J257)</f>
        <v>r266: C00212 + C00009 -&gt; C00147 + C00620 | (${Variables:E2_4_2_1_kcat} * E2_4_2_1 * C00212 * C00009)/(${Variables:E2_4_2_1_km} + (E2_4_2_1 * C00212 * C00009))</v>
      </c>
    </row>
    <row r="258" spans="1:11" ht="42.75" x14ac:dyDescent="0.45">
      <c r="A258" s="53" t="s">
        <v>6556</v>
      </c>
      <c r="B258" s="54" t="s">
        <v>6557</v>
      </c>
      <c r="C258" t="s">
        <v>10342</v>
      </c>
      <c r="D258" s="12">
        <v>267</v>
      </c>
      <c r="E258" s="12" t="str">
        <f>CONCATENATE("E",C258)</f>
        <v>E2_4_2_1</v>
      </c>
      <c r="F258" s="12" t="s">
        <v>3501</v>
      </c>
      <c r="G258" s="12" t="s">
        <v>1417</v>
      </c>
      <c r="H258" t="s">
        <v>9721</v>
      </c>
      <c r="I258" t="s">
        <v>10766</v>
      </c>
      <c r="J258" s="12" t="str">
        <f>CONCATENATE("(${Variables:",E258,"_kcat","} * ",E258," * ",G258,")","/(${Variables:",E258,"_km","} + (",E258," * ",G258,"))")</f>
        <v>(${Variables:E2_4_2_1_kcat} * E2_4_2_1 * C00294 * C00009)/(${Variables:E2_4_2_1_km} + (E2_4_2_1 * C00294 * C00009))</v>
      </c>
      <c r="K258" s="43" t="str">
        <f>CONCATENATE("r",D258,": ",F258," -&gt; ",H258," | ",J258)</f>
        <v>r267: C00294 + C00009 -&gt; C00262 + C00620 | (${Variables:E2_4_2_1_kcat} * E2_4_2_1 * C00294 * C00009)/(${Variables:E2_4_2_1_km} + (E2_4_2_1 * C00294 * C00009))</v>
      </c>
    </row>
    <row r="259" spans="1:11" ht="42.75" x14ac:dyDescent="0.45">
      <c r="A259" s="53" t="s">
        <v>6556</v>
      </c>
      <c r="B259" s="54" t="s">
        <v>6557</v>
      </c>
      <c r="C259" t="s">
        <v>10342</v>
      </c>
      <c r="D259" s="12">
        <v>268</v>
      </c>
      <c r="E259" s="12" t="str">
        <f>CONCATENATE("E",C259)</f>
        <v>E2_4_2_1</v>
      </c>
      <c r="F259" s="12" t="s">
        <v>3502</v>
      </c>
      <c r="G259" s="12" t="s">
        <v>1430</v>
      </c>
      <c r="H259" t="s">
        <v>9723</v>
      </c>
      <c r="I259" t="s">
        <v>10767</v>
      </c>
      <c r="J259" s="12" t="str">
        <f>CONCATENATE("(${Variables:",E259,"_kcat","} * ",E259," * ",G259,")","/(${Variables:",E259,"_km","} + (",E259," * ",G259,"))")</f>
        <v>(${Variables:E2_4_2_1_kcat} * E2_4_2_1 * C00387 * C00009)/(${Variables:E2_4_2_1_km} + (E2_4_2_1 * C00387 * C00009))</v>
      </c>
      <c r="K259" s="43" t="str">
        <f>CONCATENATE("r",D259,": ",F259," -&gt; ",H259," | ",J259)</f>
        <v>r268: C00387 + C00009 -&gt; C00242 + C00620 | (${Variables:E2_4_2_1_kcat} * E2_4_2_1 * C00387 * C00009)/(${Variables:E2_4_2_1_km} + (E2_4_2_1 * C00387 * C00009))</v>
      </c>
    </row>
    <row r="260" spans="1:11" ht="42.75" x14ac:dyDescent="0.45">
      <c r="A260" s="53" t="s">
        <v>6556</v>
      </c>
      <c r="B260" s="54" t="s">
        <v>6557</v>
      </c>
      <c r="C260" t="s">
        <v>10342</v>
      </c>
      <c r="D260" s="12">
        <v>269</v>
      </c>
      <c r="E260" s="12" t="str">
        <f>CONCATENATE("E",C260)</f>
        <v>E2_4_2_1</v>
      </c>
      <c r="F260" s="12" t="s">
        <v>3509</v>
      </c>
      <c r="G260" s="12" t="s">
        <v>1530</v>
      </c>
      <c r="H260" t="s">
        <v>9725</v>
      </c>
      <c r="I260" t="s">
        <v>10768</v>
      </c>
      <c r="J260" s="12" t="str">
        <f>CONCATENATE("(${Variables:",E260,"_kcat","} * ",E260," * ",G260,")","/(${Variables:",E260,"_km","} + (",E260," * ",G260,"))")</f>
        <v>(${Variables:E2_4_2_1_kcat} * E2_4_2_1 * C01762 * C00009)/(${Variables:E2_4_2_1_km} + (E2_4_2_1 * C01762 * C00009))</v>
      </c>
      <c r="K260" s="43" t="str">
        <f>CONCATENATE("r",D260,": ",F260," -&gt; ",H260," | ",J260)</f>
        <v>r269: C01762 + C00009 -&gt; C00385 + C00620 | (${Variables:E2_4_2_1_kcat} * E2_4_2_1 * C01762 * C00009)/(${Variables:E2_4_2_1_km} + (E2_4_2_1 * C01762 * C00009))</v>
      </c>
    </row>
    <row r="261" spans="1:11" ht="42.75" x14ac:dyDescent="0.45">
      <c r="A261" s="53" t="s">
        <v>6556</v>
      </c>
      <c r="B261" s="54" t="s">
        <v>6557</v>
      </c>
      <c r="C261" t="s">
        <v>10342</v>
      </c>
      <c r="D261" s="12">
        <v>270</v>
      </c>
      <c r="E261" s="12" t="str">
        <f>CONCATENATE("E",C261)</f>
        <v>E2_4_2_1</v>
      </c>
      <c r="F261" s="12" t="s">
        <v>9727</v>
      </c>
      <c r="G261" s="12" t="s">
        <v>10544</v>
      </c>
      <c r="H261" t="s">
        <v>9728</v>
      </c>
      <c r="I261" t="s">
        <v>10769</v>
      </c>
      <c r="J261" s="12" t="str">
        <f>CONCATENATE("(${Variables:",E261,"_kcat","} * ",E261," * ",G261,")","/(${Variables:",E261,"_km","} + (",E261," * ",G261,"))")</f>
        <v>(${Variables:E2_4_2_1_kcat} * E2_4_2_1 * C20463 * C00009)/(${Variables:E2_4_2_1_km} + (E2_4_2_1 * C20463 * C00009))</v>
      </c>
      <c r="K261" s="43" t="str">
        <f>CONCATENATE("r",D261,": ",F261," -&gt; ",H261," | ",J261)</f>
        <v>r270: C20463 + C00009 -&gt; C15587 + C00672 | (${Variables:E2_4_2_1_kcat} * E2_4_2_1 * C20463 * C00009)/(${Variables:E2_4_2_1_km} + (E2_4_2_1 * C20463 * C00009))</v>
      </c>
    </row>
    <row r="262" spans="1:11" ht="42.75" x14ac:dyDescent="0.45">
      <c r="A262" s="53" t="s">
        <v>6556</v>
      </c>
      <c r="B262" s="54" t="s">
        <v>6557</v>
      </c>
      <c r="C262" t="s">
        <v>10342</v>
      </c>
      <c r="D262" s="12">
        <v>271</v>
      </c>
      <c r="E262" s="12" t="str">
        <f>CONCATENATE("E",C262)</f>
        <v>E2_4_2_1</v>
      </c>
      <c r="F262" s="12" t="s">
        <v>3505</v>
      </c>
      <c r="G262" s="12" t="s">
        <v>1490</v>
      </c>
      <c r="H262" t="s">
        <v>9730</v>
      </c>
      <c r="I262" t="s">
        <v>10770</v>
      </c>
      <c r="J262" s="12" t="str">
        <f>CONCATENATE("(${Variables:",E262,"_kcat","} * ",E262," * ",G262,")","/(${Variables:",E262,"_km","} + (",E262," * ",G262,"))")</f>
        <v>(${Variables:E2_4_2_1_kcat} * E2_4_2_1 * C00330 * C00009)/(${Variables:E2_4_2_1_km} + (E2_4_2_1 * C00330 * C00009))</v>
      </c>
      <c r="K262" s="43" t="str">
        <f>CONCATENATE("r",D262,": ",F262," -&gt; ",H262," | ",J262)</f>
        <v>r271: C00330 + C00009 -&gt; C00242 + C00672 | (${Variables:E2_4_2_1_kcat} * E2_4_2_1 * C00330 * C00009)/(${Variables:E2_4_2_1_km} + (E2_4_2_1 * C00330 * C00009))</v>
      </c>
    </row>
    <row r="263" spans="1:11" ht="42.75" x14ac:dyDescent="0.45">
      <c r="A263" s="53" t="s">
        <v>6556</v>
      </c>
      <c r="B263" s="54" t="s">
        <v>6557</v>
      </c>
      <c r="C263" t="s">
        <v>10342</v>
      </c>
      <c r="D263" s="12">
        <v>272</v>
      </c>
      <c r="E263" s="12" t="str">
        <f>CONCATENATE("E",C263)</f>
        <v>E2_4_2_1</v>
      </c>
      <c r="F263" s="12" t="s">
        <v>3504</v>
      </c>
      <c r="G263" s="12" t="s">
        <v>1486</v>
      </c>
      <c r="H263" t="s">
        <v>9732</v>
      </c>
      <c r="I263" t="s">
        <v>10771</v>
      </c>
      <c r="J263" s="12" t="str">
        <f>CONCATENATE("(${Variables:",E263,"_kcat","} * ",E263," * ",G263,")","/(${Variables:",E263,"_km","} + (",E263," * ",G263,"))")</f>
        <v>(${Variables:E2_4_2_1_kcat} * E2_4_2_1 * C00559 * C00009)/(${Variables:E2_4_2_1_km} + (E2_4_2_1 * C00559 * C00009))</v>
      </c>
      <c r="K263" s="43" t="str">
        <f>CONCATENATE("r",D263,": ",F263," -&gt; ",H263," | ",J263)</f>
        <v>r272: C00559 + C00009 -&gt; C00147 + C00672 | (${Variables:E2_4_2_1_kcat} * E2_4_2_1 * C00559 * C00009)/(${Variables:E2_4_2_1_km} + (E2_4_2_1 * C00559 * C00009))</v>
      </c>
    </row>
    <row r="264" spans="1:11" ht="42.75" x14ac:dyDescent="0.45">
      <c r="A264" s="53" t="s">
        <v>6556</v>
      </c>
      <c r="B264" s="54" t="s">
        <v>6557</v>
      </c>
      <c r="C264" t="s">
        <v>10342</v>
      </c>
      <c r="D264" s="12">
        <v>273</v>
      </c>
      <c r="E264" s="12" t="str">
        <f>CONCATENATE("E",C264)</f>
        <v>E2_4_2_1</v>
      </c>
      <c r="F264" s="12" t="s">
        <v>3512</v>
      </c>
      <c r="G264" s="12" t="s">
        <v>1648</v>
      </c>
      <c r="H264" t="s">
        <v>9734</v>
      </c>
      <c r="I264" t="s">
        <v>10772</v>
      </c>
      <c r="J264" s="12" t="str">
        <f>CONCATENATE("(${Variables:",E264,"_kcat","} * ",E264," * ",G264,")","/(${Variables:",E264,"_km","} + (",E264," * ",G264,"))")</f>
        <v>(${Variables:E2_4_2_1_kcat} * E2_4_2_1 * C05512 * C00009)/(${Variables:E2_4_2_1_km} + (E2_4_2_1 * C05512 * C00009))</v>
      </c>
      <c r="K264" s="43" t="str">
        <f>CONCATENATE("r",D264,": ",F264," -&gt; ",H264," | ",J264)</f>
        <v>r273: C05512 + C00009 -&gt; C00262 + C00672 | (${Variables:E2_4_2_1_kcat} * E2_4_2_1 * C05512 * C00009)/(${Variables:E2_4_2_1_km} + (E2_4_2_1 * C05512 * C00009))</v>
      </c>
    </row>
    <row r="265" spans="1:11" ht="42.75" x14ac:dyDescent="0.45">
      <c r="A265" s="53" t="s">
        <v>6556</v>
      </c>
      <c r="B265" s="54" t="s">
        <v>6557</v>
      </c>
      <c r="C265" t="s">
        <v>10342</v>
      </c>
      <c r="D265" s="12">
        <v>274</v>
      </c>
      <c r="E265" s="12" t="str">
        <f>CONCATENATE("E",C265)</f>
        <v>E2_4_2_1</v>
      </c>
      <c r="F265" s="12" t="s">
        <v>3508</v>
      </c>
      <c r="G265" s="12" t="s">
        <v>1508</v>
      </c>
      <c r="H265" t="s">
        <v>9736</v>
      </c>
      <c r="I265" t="s">
        <v>10773</v>
      </c>
      <c r="J265" s="12" t="str">
        <f>CONCATENATE("(${Variables:",E265,"_kcat","} * ",E265," * ",G265,")","/(${Variables:",E265,"_km","} + (",E265," * ",G265,"))")</f>
        <v>(${Variables:E2_4_2_1_kcat} * E2_4_2_1 * C03150 * C00009)/(${Variables:E2_4_2_1_km} + (E2_4_2_1 * C03150 * C00009))</v>
      </c>
      <c r="K265" s="43" t="str">
        <f>CONCATENATE("r",D265,": ",F265," -&gt; ",H265," | ",J265)</f>
        <v>r274: C03150 + C00009 -&gt; C00153 + C00620 | (${Variables:E2_4_2_1_kcat} * E2_4_2_1 * C03150 * C00009)/(${Variables:E2_4_2_1_km} + (E2_4_2_1 * C03150 * C00009))</v>
      </c>
    </row>
    <row r="266" spans="1:11" ht="42.75" x14ac:dyDescent="0.45">
      <c r="A266" s="53" t="s">
        <v>6556</v>
      </c>
      <c r="B266" s="54" t="s">
        <v>6557</v>
      </c>
      <c r="C266" t="s">
        <v>10342</v>
      </c>
      <c r="D266" s="12">
        <v>275</v>
      </c>
      <c r="E266" s="12" t="str">
        <f>CONCATENATE("E",C266)</f>
        <v>E2_4_2_1</v>
      </c>
      <c r="F266" s="12" t="s">
        <v>3510</v>
      </c>
      <c r="G266" s="12" t="s">
        <v>1570</v>
      </c>
      <c r="H266" t="s">
        <v>9738</v>
      </c>
      <c r="I266" t="s">
        <v>10774</v>
      </c>
      <c r="J266" s="12" t="str">
        <f>CONCATENATE("(${Variables:",E266,"_kcat","} * ",E266," * ",G266,")","/(${Variables:",E266,"_km","} + (",E266," * ",G266,"))")</f>
        <v>(${Variables:E2_4_2_1_kcat} * E2_4_2_1 * C05841 * C00009)/(${Variables:E2_4_2_1_km} + (E2_4_2_1 * C05841 * C00009))</v>
      </c>
      <c r="K266" s="43" t="str">
        <f>CONCATENATE("r",D266,": ",F266," -&gt; ",H266," | ",J266)</f>
        <v>r275: C05841 + C00009 -&gt; C00253 + C00620 + C00080 | (${Variables:E2_4_2_1_kcat} * E2_4_2_1 * C05841 * C00009)/(${Variables:E2_4_2_1_km} + (E2_4_2_1 * C05841 * C00009))</v>
      </c>
    </row>
    <row r="267" spans="1:11" ht="42.75" x14ac:dyDescent="0.45">
      <c r="A267" s="53" t="s">
        <v>6546</v>
      </c>
      <c r="B267" s="54" t="s">
        <v>6547</v>
      </c>
      <c r="C267" t="s">
        <v>1875</v>
      </c>
      <c r="D267" s="12">
        <v>276</v>
      </c>
      <c r="E267" s="12" t="str">
        <f>CONCATENATE("E",C267)</f>
        <v>E2_4_2_10</v>
      </c>
      <c r="F267" t="s">
        <v>3108</v>
      </c>
      <c r="G267" t="s">
        <v>1565</v>
      </c>
      <c r="H267" t="s">
        <v>3391</v>
      </c>
      <c r="I267" t="s">
        <v>1566</v>
      </c>
      <c r="J267" s="12" t="str">
        <f>CONCATENATE("(${Variables:",E267,"_kcat","} * ",E267," * ",G267,")","/(${Variables:",E267,"_km","} + (",E267," * ",G267,"))")</f>
        <v>(${Variables:E2_4_2_10_kcat} * E2_4_2_10 * C01103 * C00013)/(${Variables:E2_4_2_10_km} + (E2_4_2_10 * C01103 * C00013))</v>
      </c>
      <c r="K267" s="43" t="str">
        <f>CONCATENATE("r",D267,": ",F267," -&gt; ",H267," | ",J267)</f>
        <v>r276: C01103 + C00013 -&gt; C00295 + C00119 | (${Variables:E2_4_2_10_kcat} * E2_4_2_10 * C01103 * C00013)/(${Variables:E2_4_2_10_km} + (E2_4_2_10 * C01103 * C00013))</v>
      </c>
    </row>
    <row r="268" spans="1:11" ht="42.75" x14ac:dyDescent="0.45">
      <c r="A268" s="53" t="s">
        <v>6546</v>
      </c>
      <c r="B268" s="54" t="s">
        <v>6547</v>
      </c>
      <c r="C268" t="s">
        <v>1875</v>
      </c>
      <c r="D268" s="12">
        <v>277</v>
      </c>
      <c r="E268" s="12" t="str">
        <f>CONCATENATE("E",C268)</f>
        <v>E2_4_2_10</v>
      </c>
      <c r="F268" s="12" t="s">
        <v>3109</v>
      </c>
      <c r="G268" s="12" t="s">
        <v>1659</v>
      </c>
      <c r="H268" t="s">
        <v>3392</v>
      </c>
      <c r="I268" t="s">
        <v>1660</v>
      </c>
      <c r="J268" s="12" t="str">
        <f>CONCATENATE("(${Variables:",E268,"_kcat","} * ",E268," * ",G268,")","/(${Variables:",E268,"_km","} + (",E268," * ",G268,"))")</f>
        <v>(${Variables:E2_4_2_10_kcat} * E2_4_2_10 * C07649 * C00119)/(${Variables:E2_4_2_10_km} + (E2_4_2_10 * C07649 * C00119))</v>
      </c>
      <c r="K268" s="43" t="str">
        <f>CONCATENATE("r",D268,": ",F268," -&gt; ",H268," | ",J268)</f>
        <v>r277: C07649 + C00119 -&gt; C16634 + C00013 | (${Variables:E2_4_2_10_kcat} * E2_4_2_10 * C07649 * C00119)/(${Variables:E2_4_2_10_km} + (E2_4_2_10 * C07649 * C00119))</v>
      </c>
    </row>
    <row r="269" spans="1:11" ht="42.75" x14ac:dyDescent="0.45">
      <c r="A269" s="53" t="s">
        <v>3679</v>
      </c>
      <c r="B269" s="54" t="s">
        <v>3680</v>
      </c>
      <c r="C269" t="s">
        <v>1886</v>
      </c>
      <c r="D269" s="12">
        <v>279</v>
      </c>
      <c r="E269" s="12" t="str">
        <f>CONCATENATE("E",C269)</f>
        <v>E2_4_2_14</v>
      </c>
      <c r="F269" t="s">
        <v>3110</v>
      </c>
      <c r="G269" t="s">
        <v>1603</v>
      </c>
      <c r="H269" t="s">
        <v>3393</v>
      </c>
      <c r="I269" t="s">
        <v>1604</v>
      </c>
      <c r="J269" s="12" t="str">
        <f>CONCATENATE("(${Variables:",E269,"_kcat","} * ",E269," * ",G269,")","/(${Variables:",E269,"_km","} + (",E269," * ",G269,"))")</f>
        <v>(${Variables:E2_4_2_14_kcat} * E2_4_2_14 * C03090 * C00013 * C00025)/(${Variables:E2_4_2_14_km} + (E2_4_2_14 * C03090 * C00013 * C00025))</v>
      </c>
      <c r="K269" s="43" t="str">
        <f>CONCATENATE("r",D269,": ",F269," -&gt; ",H269," | ",J269)</f>
        <v>r279: C03090 + C00013 + C00025 -&gt; C00064 + C00119 + C00001 | (${Variables:E2_4_2_14_kcat} * E2_4_2_14 * C03090 * C00013 * C00025)/(${Variables:E2_4_2_14_km} + (E2_4_2_14 * C03090 * C00013 * C00025))</v>
      </c>
    </row>
    <row r="270" spans="1:11" ht="42.75" x14ac:dyDescent="0.45">
      <c r="A270" s="53" t="s">
        <v>6088</v>
      </c>
      <c r="B270" s="54" t="s">
        <v>6089</v>
      </c>
      <c r="C270" t="s">
        <v>10343</v>
      </c>
      <c r="D270" s="12">
        <v>280</v>
      </c>
      <c r="E270" s="12" t="str">
        <f>CONCATENATE("E",C270)</f>
        <v>E2_4_2_2</v>
      </c>
      <c r="F270" s="12" t="s">
        <v>3506</v>
      </c>
      <c r="G270" s="12" t="s">
        <v>1492</v>
      </c>
      <c r="H270" t="s">
        <v>9335</v>
      </c>
      <c r="I270" t="s">
        <v>10775</v>
      </c>
      <c r="J270" s="12" t="str">
        <f>CONCATENATE("(${Variables:",E270,"_kcat","} * ",E270," * ",G270,")","/(${Variables:",E270,"_km","} + (",E270," * ",G270,"))")</f>
        <v>(${Variables:E2_4_2_2_kcat} * E2_4_2_2 * C00214 * C00009)/(${Variables:E2_4_2_2_km} + (E2_4_2_2 * C00214 * C00009))</v>
      </c>
      <c r="K270" s="43" t="str">
        <f>CONCATENATE("r",D270,": ",F270," -&gt; ",H270," | ",J270)</f>
        <v>r280: C00214 + C00009 -&gt; C00178 + C00672 | (${Variables:E2_4_2_2_kcat} * E2_4_2_2 * C00214 * C00009)/(${Variables:E2_4_2_2_km} + (E2_4_2_2 * C00214 * C00009))</v>
      </c>
    </row>
    <row r="271" spans="1:11" ht="42.75" x14ac:dyDescent="0.45">
      <c r="A271" s="53" t="s">
        <v>6088</v>
      </c>
      <c r="B271" s="54" t="s">
        <v>6089</v>
      </c>
      <c r="C271" t="s">
        <v>10343</v>
      </c>
      <c r="D271" s="12">
        <v>281</v>
      </c>
      <c r="E271" s="12" t="str">
        <f>CONCATENATE("E",C271)</f>
        <v>E2_4_2_2</v>
      </c>
      <c r="F271" s="12" t="s">
        <v>3500</v>
      </c>
      <c r="G271" s="12" t="s">
        <v>1409</v>
      </c>
      <c r="H271" t="s">
        <v>9337</v>
      </c>
      <c r="I271" t="s">
        <v>10776</v>
      </c>
      <c r="J271" s="12" t="str">
        <f>CONCATENATE("(${Variables:",E271,"_kcat","} * ",E271," * ",G271,")","/(${Variables:",E271,"_km","} + (",E271," * ",G271,"))")</f>
        <v>(${Variables:E2_4_2_2_kcat} * E2_4_2_2 * C00299 * C00009)/(${Variables:E2_4_2_2_km} + (E2_4_2_2 * C00299 * C00009))</v>
      </c>
      <c r="K271" s="43" t="str">
        <f>CONCATENATE("r",D271,": ",F271," -&gt; ",H271," | ",J271)</f>
        <v>r281: C00299 + C00009 -&gt; C00106 + C00620 | (${Variables:E2_4_2_2_kcat} * E2_4_2_2 * C00299 * C00009)/(${Variables:E2_4_2_2_km} + (E2_4_2_2 * C00299 * C00009))</v>
      </c>
    </row>
    <row r="272" spans="1:11" ht="42.75" x14ac:dyDescent="0.45">
      <c r="A272" s="53" t="s">
        <v>6088</v>
      </c>
      <c r="B272" s="54" t="s">
        <v>6089</v>
      </c>
      <c r="C272" t="s">
        <v>10343</v>
      </c>
      <c r="D272" s="12">
        <v>282</v>
      </c>
      <c r="E272" s="12" t="str">
        <f>CONCATENATE("E",C272)</f>
        <v>E2_4_2_2</v>
      </c>
      <c r="F272" s="12" t="s">
        <v>3499</v>
      </c>
      <c r="G272" s="12" t="s">
        <v>1351</v>
      </c>
      <c r="H272" t="s">
        <v>9339</v>
      </c>
      <c r="I272" t="s">
        <v>10777</v>
      </c>
      <c r="J272" s="12" t="str">
        <f>CONCATENATE("(${Variables:",E272,"_kcat","} * ",E272," * ",G272,")","/(${Variables:",E272,"_km","} + (",E272," * ",G272,"))")</f>
        <v>(${Variables:E2_4_2_2_kcat} * E2_4_2_2 * C00475 * C00009)/(${Variables:E2_4_2_2_km} + (E2_4_2_2 * C00475 * C00009))</v>
      </c>
      <c r="K272" s="43" t="str">
        <f>CONCATENATE("r",D272,": ",F272," -&gt; ",H272," | ",J272)</f>
        <v>r282: C00475 + C00009 -&gt; C00380 + C00620 | (${Variables:E2_4_2_2_kcat} * E2_4_2_2 * C00475 * C00009)/(${Variables:E2_4_2_2_km} + (E2_4_2_2 * C00475 * C00009))</v>
      </c>
    </row>
    <row r="273" spans="1:11" ht="42.75" x14ac:dyDescent="0.45">
      <c r="A273" s="53" t="s">
        <v>6088</v>
      </c>
      <c r="B273" s="54" t="s">
        <v>6089</v>
      </c>
      <c r="C273" t="s">
        <v>10343</v>
      </c>
      <c r="D273" s="12">
        <v>283</v>
      </c>
      <c r="E273" s="12" t="str">
        <f>CONCATENATE("E",C273)</f>
        <v>E2_4_2_2</v>
      </c>
      <c r="F273" s="12" t="s">
        <v>3507</v>
      </c>
      <c r="G273" s="12" t="s">
        <v>1494</v>
      </c>
      <c r="H273" t="s">
        <v>9341</v>
      </c>
      <c r="I273" t="s">
        <v>10778</v>
      </c>
      <c r="J273" s="12" t="str">
        <f>CONCATENATE("(${Variables:",E273,"_kcat","} * ",E273," * ",G273,")","/(${Variables:",E273,"_km","} + (",E273," * ",G273,"))")</f>
        <v>(${Variables:E2_4_2_2_kcat} * E2_4_2_2 * C00526 * C00009)/(${Variables:E2_4_2_2_km} + (E2_4_2_2 * C00526 * C00009))</v>
      </c>
      <c r="K273" s="43" t="str">
        <f>CONCATENATE("r",D273,": ",F273," -&gt; ",H273," | ",J273)</f>
        <v>r283: C00526 + C00009 -&gt; C00106 + C00672 | (${Variables:E2_4_2_2_kcat} * E2_4_2_2 * C00526 * C00009)/(${Variables:E2_4_2_2_km} + (E2_4_2_2 * C00526 * C00009))</v>
      </c>
    </row>
    <row r="274" spans="1:11" ht="42.75" x14ac:dyDescent="0.45">
      <c r="A274" s="53" t="s">
        <v>6088</v>
      </c>
      <c r="B274" s="54" t="s">
        <v>6089</v>
      </c>
      <c r="C274" t="s">
        <v>10343</v>
      </c>
      <c r="D274" s="12">
        <v>284</v>
      </c>
      <c r="E274" s="12" t="str">
        <f>CONCATENATE("E",C274)</f>
        <v>E2_4_2_2</v>
      </c>
      <c r="F274" s="12" t="s">
        <v>9344</v>
      </c>
      <c r="G274" s="12" t="s">
        <v>10545</v>
      </c>
      <c r="H274" t="s">
        <v>9343</v>
      </c>
      <c r="I274" t="s">
        <v>10779</v>
      </c>
      <c r="J274" s="12" t="str">
        <f>CONCATENATE("(${Variables:",E274,"_kcat","} * ",E274," * ",G274,")","/(${Variables:",E274,"_km","} + (",E274," * ",G274,"))")</f>
        <v>(${Variables:E2_4_2_2_kcat} * E2_4_2_2 * C03169 * C00009)/(${Variables:E2_4_2_2_km} + (E2_4_2_2 * C03169 * C00009))</v>
      </c>
      <c r="K274" s="43" t="str">
        <f>CONCATENATE("r",D274,": ",F274," -&gt; ",H274," | ",J274)</f>
        <v>r284: C03169 + C00009 -&gt; C00396 + C00620 + C00080 | (${Variables:E2_4_2_2_kcat} * E2_4_2_2 * C03169 * C00009)/(${Variables:E2_4_2_2_km} + (E2_4_2_2 * C03169 * C00009))</v>
      </c>
    </row>
    <row r="275" spans="1:11" ht="42.75" x14ac:dyDescent="0.45">
      <c r="A275" s="53" t="s">
        <v>6285</v>
      </c>
      <c r="B275" s="54" t="s">
        <v>6286</v>
      </c>
      <c r="C275" t="s">
        <v>1843</v>
      </c>
      <c r="D275" s="12">
        <v>285</v>
      </c>
      <c r="E275" s="12" t="str">
        <f>CONCATENATE("E",C275)</f>
        <v>E2_4_2_22</v>
      </c>
      <c r="F275" t="s">
        <v>3112</v>
      </c>
      <c r="G275" t="s">
        <v>1531</v>
      </c>
      <c r="H275" t="s">
        <v>3395</v>
      </c>
      <c r="I275" t="s">
        <v>1532</v>
      </c>
      <c r="J275" s="12" t="str">
        <f>CONCATENATE("(${Variables:",E275,"_kcat","} * ",E275," * ",G275,")","/(${Variables:",E275,"_km","} + (",E275," * ",G275,"))")</f>
        <v>(${Variables:E2_4_2_22_kcat} * E2_4_2_22 * C00655 * C00013)/(${Variables:E2_4_2_22_km} + (E2_4_2_22 * C00655 * C00013))</v>
      </c>
      <c r="K275" s="43" t="str">
        <f>CONCATENATE("r",D275,": ",F275," -&gt; ",H275," | ",J275)</f>
        <v>r285: C00655 + C00013 -&gt; C00385 + C00119 | (${Variables:E2_4_2_22_kcat} * E2_4_2_22 * C00655 * C00013)/(${Variables:E2_4_2_22_km} + (E2_4_2_22 * C00655 * C00013))</v>
      </c>
    </row>
    <row r="276" spans="1:11" ht="42.75" x14ac:dyDescent="0.45">
      <c r="A276" s="53" t="s">
        <v>6285</v>
      </c>
      <c r="B276" s="54" t="s">
        <v>6286</v>
      </c>
      <c r="C276" t="s">
        <v>1843</v>
      </c>
      <c r="D276" s="12">
        <v>286</v>
      </c>
      <c r="E276" s="12" t="str">
        <f>CONCATENATE("E",C276)</f>
        <v>E2_4_2_22</v>
      </c>
      <c r="F276" t="s">
        <v>3111</v>
      </c>
      <c r="G276" t="s">
        <v>1431</v>
      </c>
      <c r="H276" t="s">
        <v>3394</v>
      </c>
      <c r="I276" t="s">
        <v>1432</v>
      </c>
      <c r="J276" s="12" t="str">
        <f>CONCATENATE("(${Variables:",E276,"_kcat","} * ",E276," * ",G276,")","/(${Variables:",E276,"_km","} + (",E276," * ",G276,"))")</f>
        <v>(${Variables:E2_4_2_22_kcat} * E2_4_2_22 * C00144 * C00013)/(${Variables:E2_4_2_22_km} + (E2_4_2_22 * C00144 * C00013))</v>
      </c>
      <c r="K276" s="43" t="str">
        <f>CONCATENATE("r",D276,": ",F276," -&gt; ",H276," | ",J276)</f>
        <v>r286: C00144 + C00013 -&gt; C00242 + C00119 | (${Variables:E2_4_2_22_kcat} * E2_4_2_22 * C00144 * C00013)/(${Variables:E2_4_2_22_km} + (E2_4_2_22 * C00144 * C00013))</v>
      </c>
    </row>
    <row r="277" spans="1:11" ht="42.75" x14ac:dyDescent="0.45">
      <c r="A277" s="53" t="s">
        <v>4074</v>
      </c>
      <c r="B277" s="54" t="s">
        <v>4075</v>
      </c>
      <c r="C277" t="s">
        <v>10344</v>
      </c>
      <c r="D277" s="12">
        <v>287</v>
      </c>
      <c r="E277" s="12" t="str">
        <f>CONCATENATE("E",C277)</f>
        <v>E2_4_2_29</v>
      </c>
      <c r="F277" t="s">
        <v>8561</v>
      </c>
      <c r="G277" t="s">
        <v>10546</v>
      </c>
      <c r="H277" t="s">
        <v>8562</v>
      </c>
      <c r="I277" t="s">
        <v>10780</v>
      </c>
      <c r="J277" s="12" t="str">
        <f>CONCATENATE("(${Variables:",E277,"_kcat","} * ",E277," * ",G277,")","/(${Variables:",E277,"_km","} + (",E277," * ",G277,"))")</f>
        <v>(${Variables:E2_4_2_29_kcat} * E2_4_2_29 * C01977 * C16675)/(${Variables:E2_4_2_29_km} + (E2_4_2_29 * C01977 * C16675))</v>
      </c>
      <c r="K277" s="43" t="str">
        <f>CONCATENATE("r",D277,": ",F277," -&gt; ",H277," | ",J277)</f>
        <v>r287: C01977 + C16675 -&gt; C20446 + C00242 | (${Variables:E2_4_2_29_kcat} * E2_4_2_29 * C01977 * C16675)/(${Variables:E2_4_2_29_km} + (E2_4_2_29 * C01977 * C16675))</v>
      </c>
    </row>
    <row r="278" spans="1:11" ht="42.75" x14ac:dyDescent="0.45">
      <c r="A278" s="53" t="s">
        <v>6178</v>
      </c>
      <c r="B278" s="54" t="s">
        <v>6179</v>
      </c>
      <c r="C278" t="s">
        <v>1771</v>
      </c>
      <c r="D278" s="12">
        <v>288</v>
      </c>
      <c r="E278" s="12" t="str">
        <f>CONCATENATE("E",C278)</f>
        <v>E2_4_2_52</v>
      </c>
      <c r="F278" s="12" t="s">
        <v>3113</v>
      </c>
      <c r="G278" s="12" t="s">
        <v>1266</v>
      </c>
      <c r="H278" t="s">
        <v>3396</v>
      </c>
      <c r="I278" t="s">
        <v>1267</v>
      </c>
      <c r="J278" s="12" t="str">
        <f>CONCATENATE("(${Variables:",E278,"_kcat","} * ",E278," * ",G278,")","/(${Variables:",E278,"_km","} + (",E278," * ",G278,"))")</f>
        <v>(${Variables:E2_4_2_52_kcat} * E2_4_2_52 * C00002 * C00882)/(${Variables:E2_4_2_52_km} + (E2_4_2_52 * C00002 * C00882))</v>
      </c>
      <c r="K278" s="43" t="str">
        <f>CONCATENATE("r",D278,": ",F278," -&gt; ",H278," | ",J278)</f>
        <v>r288: C00002 + C00882 -&gt; C19771 + C00147 | (${Variables:E2_4_2_52_kcat} * E2_4_2_52 * C00002 * C00882)/(${Variables:E2_4_2_52_km} + (E2_4_2_52 * C00002 * C00882))</v>
      </c>
    </row>
    <row r="279" spans="1:11" ht="42.75" x14ac:dyDescent="0.45">
      <c r="A279" s="53" t="s">
        <v>6713</v>
      </c>
      <c r="B279" s="54" t="s">
        <v>6714</v>
      </c>
      <c r="C279" t="s">
        <v>1804</v>
      </c>
      <c r="D279" s="12">
        <v>289</v>
      </c>
      <c r="E279" s="12" t="str">
        <f>CONCATENATE("E",C279)</f>
        <v>E2_4_2_7</v>
      </c>
      <c r="F279" t="s">
        <v>3114</v>
      </c>
      <c r="G279" t="s">
        <v>1327</v>
      </c>
      <c r="H279" t="s">
        <v>3397</v>
      </c>
      <c r="I279" t="s">
        <v>1328</v>
      </c>
      <c r="J279" s="12" t="str">
        <f>CONCATENATE("(${Variables:",E279,"_kcat","} * ",E279," * ",G279,")","/(${Variables:",E279,"_km","} + (",E279," * ",G279,"))")</f>
        <v>(${Variables:E2_4_2_7_kcat} * E2_4_2_7 * C00020 * C00013)/(${Variables:E2_4_2_7_km} + (E2_4_2_7 * C00020 * C00013))</v>
      </c>
      <c r="K279" s="43" t="str">
        <f>CONCATENATE("r",D279,": ",F279," -&gt; ",H279," | ",J279)</f>
        <v>r289: C00020 + C00013 -&gt; C00147 + C00119 | (${Variables:E2_4_2_7_kcat} * E2_4_2_7 * C00020 * C00013)/(${Variables:E2_4_2_7_km} + (E2_4_2_7 * C00020 * C00013))</v>
      </c>
    </row>
    <row r="280" spans="1:11" ht="42.75" x14ac:dyDescent="0.45">
      <c r="A280" s="53" t="s">
        <v>6713</v>
      </c>
      <c r="B280" s="54" t="s">
        <v>6714</v>
      </c>
      <c r="C280" t="s">
        <v>1804</v>
      </c>
      <c r="D280" s="12">
        <v>290</v>
      </c>
      <c r="E280" s="12" t="str">
        <f>CONCATENATE("E",C280)</f>
        <v>E2_4_2_7</v>
      </c>
      <c r="F280" s="12" t="s">
        <v>3115</v>
      </c>
      <c r="G280" s="12" t="s">
        <v>1619</v>
      </c>
      <c r="H280" t="s">
        <v>3398</v>
      </c>
      <c r="I280" t="s">
        <v>1620</v>
      </c>
      <c r="J280" s="12" t="str">
        <f>CONCATENATE("(${Variables:",E280,"_kcat","} * ",E280," * ",G280,")","/(${Variables:",E280,"_km","} + (",E280," * ",G280,"))")</f>
        <v>(${Variables:E2_4_2_7_kcat} * E2_4_2_7 * C04677 * C00013)/(${Variables:E2_4_2_7_km} + (E2_4_2_7 * C04677 * C00013))</v>
      </c>
      <c r="K280" s="43" t="str">
        <f>CONCATENATE("r",D280,": ",F280," -&gt; ",H280," | ",J280)</f>
        <v>r290: C04677 + C00013 -&gt; C04051 + C00119 | (${Variables:E2_4_2_7_kcat} * E2_4_2_7 * C04677 * C00013)/(${Variables:E2_4_2_7_km} + (E2_4_2_7 * C04677 * C00013))</v>
      </c>
    </row>
    <row r="281" spans="1:11" ht="42.75" x14ac:dyDescent="0.45">
      <c r="A281" s="53" t="s">
        <v>3630</v>
      </c>
      <c r="B281" s="54" t="s">
        <v>3631</v>
      </c>
      <c r="C281" t="s">
        <v>1839</v>
      </c>
      <c r="D281" s="12">
        <v>291</v>
      </c>
      <c r="E281" s="12" t="str">
        <f>CONCATENATE("E",C281)</f>
        <v>E2_4_2_8</v>
      </c>
      <c r="F281" s="12" t="s">
        <v>8387</v>
      </c>
      <c r="G281" s="12" t="s">
        <v>10547</v>
      </c>
      <c r="H281" t="s">
        <v>3399</v>
      </c>
      <c r="I281" t="s">
        <v>1418</v>
      </c>
      <c r="J281" s="12" t="str">
        <f>CONCATENATE("(${Variables:",E281,"_kcat","} * ",E281," * ",G281,")","/(${Variables:",E281,"_km","} + (",E281," * ",G281,"))")</f>
        <v>(${Variables:E2_4_2_8_kcat} * E2_4_2_8 * C00130 * C00013 )/(${Variables:E2_4_2_8_km} + (E2_4_2_8 * C00130 * C00013 ))</v>
      </c>
      <c r="K281" s="43" t="str">
        <f>CONCATENATE("r",D281,": ",F281," -&gt; ",H281," | ",J281)</f>
        <v>r291: C00130 + C00013  -&gt; C00262 + C00119 | (${Variables:E2_4_2_8_kcat} * E2_4_2_8 * C00130 * C00013 )/(${Variables:E2_4_2_8_km} + (E2_4_2_8 * C00130 * C00013 ))</v>
      </c>
    </row>
    <row r="282" spans="1:11" ht="42.75" x14ac:dyDescent="0.45">
      <c r="A282" s="53" t="s">
        <v>3630</v>
      </c>
      <c r="B282" s="54" t="s">
        <v>3631</v>
      </c>
      <c r="C282" t="s">
        <v>1839</v>
      </c>
      <c r="D282" s="12">
        <v>292</v>
      </c>
      <c r="E282" s="12" t="str">
        <f>CONCATENATE("E",C282)</f>
        <v>E2_4_2_8</v>
      </c>
      <c r="F282" t="s">
        <v>3111</v>
      </c>
      <c r="G282" t="s">
        <v>1431</v>
      </c>
      <c r="H282" t="s">
        <v>3394</v>
      </c>
      <c r="I282" t="s">
        <v>1432</v>
      </c>
      <c r="J282" s="12" t="str">
        <f>CONCATENATE("(${Variables:",E282,"_kcat","} * ",E282," * ",G282,")","/(${Variables:",E282,"_km","} + (",E282," * ",G282,"))")</f>
        <v>(${Variables:E2_4_2_8_kcat} * E2_4_2_8 * C00144 * C00013)/(${Variables:E2_4_2_8_km} + (E2_4_2_8 * C00144 * C00013))</v>
      </c>
      <c r="K282" s="43" t="str">
        <f>CONCATENATE("r",D282,": ",F282," -&gt; ",H282," | ",J282)</f>
        <v>r292: C00144 + C00013 -&gt; C00242 + C00119 | (${Variables:E2_4_2_8_kcat} * E2_4_2_8 * C00144 * C00013)/(${Variables:E2_4_2_8_km} + (E2_4_2_8 * C00144 * C00013))</v>
      </c>
    </row>
    <row r="283" spans="1:11" ht="42.75" x14ac:dyDescent="0.45">
      <c r="A283" s="53" t="s">
        <v>3630</v>
      </c>
      <c r="B283" s="54" t="s">
        <v>3631</v>
      </c>
      <c r="C283" t="s">
        <v>1839</v>
      </c>
      <c r="D283" s="12">
        <v>293</v>
      </c>
      <c r="E283" s="12" t="str">
        <f>CONCATENATE("E",C283)</f>
        <v>E2_4_2_8</v>
      </c>
      <c r="F283" t="s">
        <v>8389</v>
      </c>
      <c r="G283" t="s">
        <v>10548</v>
      </c>
      <c r="H283" t="s">
        <v>3395</v>
      </c>
      <c r="I283" t="s">
        <v>1532</v>
      </c>
      <c r="J283" s="12" t="str">
        <f>CONCATENATE("(${Variables:",E283,"_kcat","} * ",E283," * ",G283,")","/(${Variables:",E283,"_km","} + (",E283," * ",G283,"))")</f>
        <v>(${Variables:E2_4_2_8_kcat} * E2_4_2_8 * C00655 * C00013 )/(${Variables:E2_4_2_8_km} + (E2_4_2_8 * C00655 * C00013 ))</v>
      </c>
      <c r="K283" s="43" t="str">
        <f>CONCATENATE("r",D283,": ",F283," -&gt; ",H283," | ",J283)</f>
        <v>r293: C00655 + C00013  -&gt; C00385 + C00119 | (${Variables:E2_4_2_8_kcat} * E2_4_2_8 * C00655 * C00013 )/(${Variables:E2_4_2_8_km} + (E2_4_2_8 * C00655 * C00013 ))</v>
      </c>
    </row>
    <row r="284" spans="1:11" ht="42.75" x14ac:dyDescent="0.45">
      <c r="A284" s="53" t="s">
        <v>3630</v>
      </c>
      <c r="B284" s="54" t="s">
        <v>3631</v>
      </c>
      <c r="C284" t="s">
        <v>1839</v>
      </c>
      <c r="D284" s="12">
        <v>294</v>
      </c>
      <c r="E284" s="12" t="str">
        <f>CONCATENATE("E",C284)</f>
        <v>E2_4_2_8</v>
      </c>
      <c r="F284" t="s">
        <v>3116</v>
      </c>
      <c r="G284" t="s">
        <v>1590</v>
      </c>
      <c r="H284" t="s">
        <v>3400</v>
      </c>
      <c r="I284" t="s">
        <v>1591</v>
      </c>
      <c r="J284" s="12" t="str">
        <f>CONCATENATE("(${Variables:",E284,"_kcat","} * ",E284," * ",G284,")","/(${Variables:",E284,"_km","} + (",E284," * ",G284,"))")</f>
        <v>(${Variables:E2_4_2_8_kcat} * E2_4_2_8 * C02380 * C00119)/(${Variables:E2_4_2_8_km} + (E2_4_2_8 * C02380 * C00119))</v>
      </c>
      <c r="K284" s="43" t="str">
        <f>CONCATENATE("r",D284,": ",F284," -&gt; ",H284," | ",J284)</f>
        <v>r294: C02380 + C00119 -&gt; C04646 + C00013 | (${Variables:E2_4_2_8_kcat} * E2_4_2_8 * C02380 * C00119)/(${Variables:E2_4_2_8_km} + (E2_4_2_8 * C02380 * C00119))</v>
      </c>
    </row>
    <row r="285" spans="1:11" ht="42.75" x14ac:dyDescent="0.45">
      <c r="A285" s="53" t="s">
        <v>3630</v>
      </c>
      <c r="B285" s="54" t="s">
        <v>3631</v>
      </c>
      <c r="C285" t="s">
        <v>1839</v>
      </c>
      <c r="D285" s="12">
        <v>295</v>
      </c>
      <c r="E285" s="12" t="str">
        <f>CONCATENATE("E",C285)</f>
        <v>E2_4_2_8</v>
      </c>
      <c r="F285" t="s">
        <v>3118</v>
      </c>
      <c r="G285" t="s">
        <v>1675</v>
      </c>
      <c r="H285" t="s">
        <v>3402</v>
      </c>
      <c r="I285" t="s">
        <v>1676</v>
      </c>
      <c r="J285" s="12" t="str">
        <f>CONCATENATE("(${Variables:",E285,"_kcat","} * ",E285," * ",G285,")","/(${Variables:",E285,"_km","} + (",E285," * ",G285,"))")</f>
        <v>(${Variables:E2_4_2_8_kcat} * E2_4_2_8 * C16614 * C00119)/(${Variables:E2_4_2_8_km} + (E2_4_2_8 * C16614 * C00119))</v>
      </c>
      <c r="K285" s="43" t="str">
        <f>CONCATENATE("r",D285,": ",F285," -&gt; ",H285," | ",J285)</f>
        <v>r295: C16614 + C00119 -&gt; C16615 + C00013 | (${Variables:E2_4_2_8_kcat} * E2_4_2_8 * C16614 * C00119)/(${Variables:E2_4_2_8_km} + (E2_4_2_8 * C16614 * C00119))</v>
      </c>
    </row>
    <row r="286" spans="1:11" ht="42.75" x14ac:dyDescent="0.45">
      <c r="A286" s="53" t="s">
        <v>3630</v>
      </c>
      <c r="B286" s="54" t="s">
        <v>3631</v>
      </c>
      <c r="C286" t="s">
        <v>1839</v>
      </c>
      <c r="D286" s="12">
        <v>296</v>
      </c>
      <c r="E286" s="12" t="str">
        <f>CONCATENATE("E",C286)</f>
        <v>E2_4_2_8</v>
      </c>
      <c r="F286" t="s">
        <v>3117</v>
      </c>
      <c r="G286" t="s">
        <v>1657</v>
      </c>
      <c r="H286" t="s">
        <v>3401</v>
      </c>
      <c r="I286" t="s">
        <v>1658</v>
      </c>
      <c r="J286" s="12" t="str">
        <f>CONCATENATE("(${Variables:",E286,"_kcat","} * ",E286," * ",G286,")","/(${Variables:",E286,"_km","} + (",E286," * ",G286,"))")</f>
        <v>(${Variables:E2_4_2_8_kcat} * E2_4_2_8 * C07648 * C00119)/(${Variables:E2_4_2_8_km} + (E2_4_2_8 * C07648 * C00119))</v>
      </c>
      <c r="K286" s="43" t="str">
        <f>CONCATENATE("r",D286,": ",F286," -&gt; ",H286," | ",J286)</f>
        <v>r296: C07648 + C00119 -&gt; C16619 + C00013 | (${Variables:E2_4_2_8_kcat} * E2_4_2_8 * C07648 * C00119)/(${Variables:E2_4_2_8_km} + (E2_4_2_8 * C07648 * C00119))</v>
      </c>
    </row>
    <row r="287" spans="1:11" ht="42.75" x14ac:dyDescent="0.45">
      <c r="A287" s="53" t="s">
        <v>6485</v>
      </c>
      <c r="B287" s="54" t="s">
        <v>6486</v>
      </c>
      <c r="C287" t="s">
        <v>1833</v>
      </c>
      <c r="D287" s="12">
        <v>297</v>
      </c>
      <c r="E287" s="12" t="str">
        <f>CONCATENATE("E",C287)</f>
        <v>E2_4_2_9</v>
      </c>
      <c r="F287" s="12" t="s">
        <v>3119</v>
      </c>
      <c r="G287" s="12" t="s">
        <v>1410</v>
      </c>
      <c r="H287" t="s">
        <v>3403</v>
      </c>
      <c r="I287" t="s">
        <v>1411</v>
      </c>
      <c r="J287" s="12" t="str">
        <f>CONCATENATE("(${Variables:",E287,"_kcat","} * ",E287," * ",G287,")","/(${Variables:",E287,"_km","} + (",E287," * ",G287,"))")</f>
        <v>(${Variables:E2_4_2_9_kcat} * E2_4_2_9 * C00105 * C00013)/(${Variables:E2_4_2_9_km} + (E2_4_2_9 * C00105 * C00013))</v>
      </c>
      <c r="K287" s="43" t="str">
        <f>CONCATENATE("r",D287,": ",F287," -&gt; ",H287," | ",J287)</f>
        <v>r297: C00105 + C00013 -&gt; C00106 + C00119 | (${Variables:E2_4_2_9_kcat} * E2_4_2_9 * C00105 * C00013)/(${Variables:E2_4_2_9_km} + (E2_4_2_9 * C00105 * C00013))</v>
      </c>
    </row>
    <row r="288" spans="1:11" ht="42.75" x14ac:dyDescent="0.45">
      <c r="A288" s="53" t="s">
        <v>7514</v>
      </c>
      <c r="B288" s="54" t="s">
        <v>7515</v>
      </c>
      <c r="C288" t="s">
        <v>1833</v>
      </c>
      <c r="D288" s="12">
        <v>298</v>
      </c>
      <c r="E288" s="12" t="str">
        <f>CONCATENATE("E",C288)</f>
        <v>E2_4_2_9</v>
      </c>
      <c r="F288" s="12" t="s">
        <v>3119</v>
      </c>
      <c r="G288" s="12" t="s">
        <v>1410</v>
      </c>
      <c r="H288" t="s">
        <v>3403</v>
      </c>
      <c r="I288" t="s">
        <v>1411</v>
      </c>
      <c r="J288" s="12" t="str">
        <f>CONCATENATE("(${Variables:",E288,"_kcat","} * ",E288," * ",G288,")","/(${Variables:",E288,"_km","} + (",E288," * ",G288,"))")</f>
        <v>(${Variables:E2_4_2_9_kcat} * E2_4_2_9 * C00105 * C00013)/(${Variables:E2_4_2_9_km} + (E2_4_2_9 * C00105 * C00013))</v>
      </c>
      <c r="K288" s="43" t="str">
        <f>CONCATENATE("r",D288,": ",F288," -&gt; ",H288," | ",J288)</f>
        <v>r298: C00105 + C00013 -&gt; C00106 + C00119 | (${Variables:E2_4_2_9_kcat} * E2_4_2_9 * C00105 * C00013)/(${Variables:E2_4_2_9_km} + (E2_4_2_9 * C00105 * C00013))</v>
      </c>
    </row>
    <row r="289" spans="1:11" ht="42.75" x14ac:dyDescent="0.45">
      <c r="A289" s="53" t="s">
        <v>5215</v>
      </c>
      <c r="B289" s="54" t="s">
        <v>5216</v>
      </c>
      <c r="C289" t="s">
        <v>10345</v>
      </c>
      <c r="D289" s="12">
        <v>299</v>
      </c>
      <c r="E289" s="12" t="str">
        <f>CONCATENATE("E",C289)</f>
        <v>E2_4_99_17</v>
      </c>
      <c r="F289" t="s">
        <v>9071</v>
      </c>
      <c r="G289" t="s">
        <v>10549</v>
      </c>
      <c r="H289" t="s">
        <v>9072</v>
      </c>
      <c r="I289" t="s">
        <v>10781</v>
      </c>
      <c r="J289" s="12" t="str">
        <f>CONCATENATE("(${Variables:",E289,"_kcat","} * ",E289," * ",G289,")","/(${Variables:",E289,"_km","} + (",E289," * ",G289,"))")</f>
        <v>(${Variables:E2_4_99_17_kcat} * E2_4_99_17 * C00019 * C20446)/(${Variables:E2_4_99_17_km} + (E2_4_99_17 * C00019 * C20446))</v>
      </c>
      <c r="K289" s="43" t="str">
        <f>CONCATENATE("r",D289,": ",F289," -&gt; ",H289," | ",J289)</f>
        <v>r299: C00019 + C20446 -&gt; C00073 + C00147 + C19647 | (${Variables:E2_4_99_17_kcat} * E2_4_99_17 * C00019 * C20446)/(${Variables:E2_4_99_17_km} + (E2_4_99_17 * C00019 * C20446))</v>
      </c>
    </row>
    <row r="290" spans="1:11" ht="42.75" x14ac:dyDescent="0.45">
      <c r="A290" s="53" t="s">
        <v>5588</v>
      </c>
      <c r="B290" s="54" t="s">
        <v>5589</v>
      </c>
      <c r="C290" t="s">
        <v>1896</v>
      </c>
      <c r="D290" s="12">
        <v>300</v>
      </c>
      <c r="E290" s="12" t="str">
        <f>CONCATENATE("E",C290)</f>
        <v>E2_4_99_28</v>
      </c>
      <c r="F290" s="12" t="s">
        <v>3120</v>
      </c>
      <c r="G290" s="12" t="s">
        <v>1637</v>
      </c>
      <c r="H290" t="s">
        <v>3404</v>
      </c>
      <c r="I290" t="s">
        <v>1638</v>
      </c>
      <c r="J290" s="12" t="str">
        <f>CONCATENATE("(${Variables:",E290,"_kcat","} * ",E290," * ",G290,")","/(${Variables:",E290,"_km","} + (",E290," * ",G290,"))")</f>
        <v>(${Variables:E2_4_99_28_kcat} * E2_4_99_28 * C05893 * C11826)/(${Variables:E2_4_99_28_km} + (E2_4_99_28 * C05893 * C11826))</v>
      </c>
      <c r="K290" s="43" t="str">
        <f>CONCATENATE("r",D290,": ",F290," -&gt; ",H290," | ",J290)</f>
        <v>r300: C05893 + C11826 -&gt; C04574 + C11826 | (${Variables:E2_4_99_28_kcat} * E2_4_99_28 * C05893 * C11826)/(${Variables:E2_4_99_28_km} + (E2_4_99_28 * C05893 * C11826))</v>
      </c>
    </row>
    <row r="291" spans="1:11" ht="42.75" x14ac:dyDescent="0.45">
      <c r="A291" s="53" t="s">
        <v>5588</v>
      </c>
      <c r="B291" s="54" t="s">
        <v>5589</v>
      </c>
      <c r="C291" t="s">
        <v>1896</v>
      </c>
      <c r="D291" s="12">
        <v>301</v>
      </c>
      <c r="E291" s="12" t="str">
        <f>CONCATENATE("E",C291)</f>
        <v>E2_4_99_28</v>
      </c>
      <c r="F291" t="s">
        <v>9198</v>
      </c>
      <c r="G291" t="s">
        <v>1713</v>
      </c>
      <c r="H291" t="s">
        <v>9199</v>
      </c>
      <c r="I291" t="s">
        <v>1714</v>
      </c>
      <c r="J291" s="12" t="str">
        <f>CONCATENATE("(${Variables:",E291,"_kcat","} * ",E291," * ",G291,")","/(${Variables:",E291,"_km","} + (",E291," * ",G291,"))")</f>
        <v>(${Variables:E2_4_99_28_kcat} * E2_4_99_28 * G10553 * G10554)/(${Variables:E2_4_99_28_km} + (E2_4_99_28 * G10553 * G10554))</v>
      </c>
      <c r="K291" s="43" t="str">
        <f>CONCATENATE("r",D291,": ",F291," -&gt; ",H291," | ",J291)</f>
        <v>r301: G10553 + G10554 -&gt; C04574 + G10554 | (${Variables:E2_4_99_28_kcat} * E2_4_99_28 * G10553 * G10554)/(${Variables:E2_4_99_28_km} + (E2_4_99_28 * G10553 * G10554))</v>
      </c>
    </row>
    <row r="292" spans="1:11" ht="42.75" x14ac:dyDescent="0.45">
      <c r="A292" s="53" t="s">
        <v>5588</v>
      </c>
      <c r="B292" s="54" t="s">
        <v>5589</v>
      </c>
      <c r="C292" t="s">
        <v>1896</v>
      </c>
      <c r="D292" s="12">
        <v>302</v>
      </c>
      <c r="E292" s="12" t="str">
        <f>CONCATENATE("E",C292)</f>
        <v>E2_4_99_28</v>
      </c>
      <c r="F292" s="12" t="s">
        <v>3121</v>
      </c>
      <c r="G292" s="12" t="s">
        <v>1641</v>
      </c>
      <c r="H292" t="s">
        <v>3405</v>
      </c>
      <c r="I292" t="s">
        <v>1642</v>
      </c>
      <c r="J292" s="12" t="str">
        <f>CONCATENATE("(${Variables:",E292,"_kcat","} * ",E292," * ",G292,")","/(${Variables:",E292,"_km","} + (",E292," * ",G292,"))")</f>
        <v>(${Variables:E2_4_99_28_kcat} * E2_4_99_28 * C05898 * C11827)/(${Variables:E2_4_99_28_km} + (E2_4_99_28 * C05898 * C11827))</v>
      </c>
      <c r="K292" s="43" t="str">
        <f>CONCATENATE("r",D292,": ",F292," -&gt; ",H292," | ",J292)</f>
        <v>r302: C05898 + C11827 -&gt; C04574 + C11827 | (${Variables:E2_4_99_28_kcat} * E2_4_99_28 * C05898 * C11827)/(${Variables:E2_4_99_28_km} + (E2_4_99_28 * C05898 * C11827))</v>
      </c>
    </row>
    <row r="293" spans="1:11" ht="42.75" x14ac:dyDescent="0.45">
      <c r="A293" s="53" t="s">
        <v>5588</v>
      </c>
      <c r="B293" s="54" t="s">
        <v>5589</v>
      </c>
      <c r="C293" t="s">
        <v>1896</v>
      </c>
      <c r="D293" s="12">
        <v>303</v>
      </c>
      <c r="E293" s="12" t="str">
        <f>CONCATENATE("E",C293)</f>
        <v>E2_4_99_28</v>
      </c>
      <c r="F293" t="s">
        <v>9202</v>
      </c>
      <c r="G293" t="s">
        <v>1715</v>
      </c>
      <c r="H293" t="s">
        <v>9203</v>
      </c>
      <c r="I293" t="s">
        <v>1716</v>
      </c>
      <c r="J293" s="12" t="str">
        <f>CONCATENATE("(${Variables:",E293,"_kcat","} * ",E293," * ",G293,")","/(${Variables:",E293,"_km","} + (",E293," * ",G293,"))")</f>
        <v>(${Variables:E2_4_99_28_kcat} * E2_4_99_28 * G10555 * G10557)/(${Variables:E2_4_99_28_km} + (E2_4_99_28 * G10555 * G10557))</v>
      </c>
      <c r="K293" s="43" t="str">
        <f>CONCATENATE("r",D293,": ",F293," -&gt; ",H293," | ",J293)</f>
        <v>r303: G10555 + G10557 -&gt; C04574 + G10557 | (${Variables:E2_4_99_28_kcat} * E2_4_99_28 * G10555 * G10557)/(${Variables:E2_4_99_28_km} + (E2_4_99_28 * G10555 * G10557))</v>
      </c>
    </row>
    <row r="294" spans="1:11" ht="42.75" x14ac:dyDescent="0.45">
      <c r="A294" s="53" t="s">
        <v>6349</v>
      </c>
      <c r="B294" s="54" t="s">
        <v>6350</v>
      </c>
      <c r="C294" t="s">
        <v>10347</v>
      </c>
      <c r="D294" s="12">
        <v>304</v>
      </c>
      <c r="E294" s="12" t="str">
        <f>CONCATENATE("E",C294)</f>
        <v>E2_5_1_15</v>
      </c>
      <c r="F294" s="12" t="s">
        <v>9495</v>
      </c>
      <c r="G294" s="12" t="s">
        <v>10550</v>
      </c>
      <c r="H294" t="s">
        <v>9496</v>
      </c>
      <c r="I294" t="s">
        <v>10782</v>
      </c>
      <c r="J294" s="12" t="str">
        <f>CONCATENATE("(${Variables:",E294,"_kcat","} * ",E294," * ",G294,")","/(${Variables:",E294,"_km","} + (",E294," * ",G294,"))")</f>
        <v>(${Variables:E2_5_1_15_kcat} * E2_5_1_15 * C04807 * C00568)/(${Variables:E2_5_1_15_km} + (E2_5_1_15 * C04807 * C00568))</v>
      </c>
      <c r="K294" s="43" t="str">
        <f>CONCATENATE("r",D294,": ",F294," -&gt; ",H294," | ",J294)</f>
        <v>r304: C04807 + C00568 -&gt; C00013 + C00921 | (${Variables:E2_5_1_15_kcat} * E2_5_1_15 * C04807 * C00568)/(${Variables:E2_5_1_15_km} + (E2_5_1_15 * C04807 * C00568))</v>
      </c>
    </row>
    <row r="295" spans="1:11" ht="42.75" x14ac:dyDescent="0.45">
      <c r="A295" s="53" t="s">
        <v>6349</v>
      </c>
      <c r="B295" s="54" t="s">
        <v>6350</v>
      </c>
      <c r="C295" t="s">
        <v>10347</v>
      </c>
      <c r="D295" s="12">
        <v>305</v>
      </c>
      <c r="E295" s="12" t="str">
        <f>CONCATENATE("E",C295)</f>
        <v>E2_5_1_15</v>
      </c>
      <c r="F295" t="s">
        <v>9498</v>
      </c>
      <c r="G295" t="s">
        <v>10551</v>
      </c>
      <c r="H295" t="s">
        <v>9499</v>
      </c>
      <c r="I295" t="s">
        <v>10783</v>
      </c>
      <c r="J295" s="12" t="str">
        <f>CONCATENATE("(${Variables:",E295,"_kcat","} * ",E295," * ",G295,")","/(${Variables:",E295,"_km","} + (",E295," * ",G295,"))")</f>
        <v>(${Variables:E2_5_1_15_kcat} * E2_5_1_15 * C01300 * C00568)/(${Variables:E2_5_1_15_km} + (E2_5_1_15 * C01300 * C00568))</v>
      </c>
      <c r="K295" s="43" t="str">
        <f>CONCATENATE("r",D295,": ",F295," -&gt; ",H295," | ",J295)</f>
        <v>r305: C01300 + C00568 -&gt; C00921 + C00001 | (${Variables:E2_5_1_15_kcat} * E2_5_1_15 * C01300 * C00568)/(${Variables:E2_5_1_15_km} + (E2_5_1_15 * C01300 * C00568))</v>
      </c>
    </row>
    <row r="296" spans="1:11" ht="42.75" x14ac:dyDescent="0.45">
      <c r="A296" s="53" t="s">
        <v>5322</v>
      </c>
      <c r="B296" s="54" t="s">
        <v>5323</v>
      </c>
      <c r="C296" t="s">
        <v>10348</v>
      </c>
      <c r="D296" s="12">
        <v>306</v>
      </c>
      <c r="E296" s="12" t="str">
        <f>CONCATENATE("E",C296)</f>
        <v>E2_5_1_19</v>
      </c>
      <c r="F296" s="12" t="s">
        <v>9159</v>
      </c>
      <c r="G296" s="12" t="s">
        <v>10552</v>
      </c>
      <c r="H296" t="s">
        <v>9160</v>
      </c>
      <c r="I296" t="s">
        <v>10784</v>
      </c>
      <c r="J296" s="12" t="str">
        <f>CONCATENATE("(${Variables:",E296,"_kcat","} * ",E296," * ",G296,")","/(${Variables:",E296,"_km","} + (",E296," * ",G296,"))")</f>
        <v>(${Variables:E2_5_1_19_kcat} * E2_5_1_19 * C00074 * C03175)/(${Variables:E2_5_1_19_km} + (E2_5_1_19 * C00074 * C03175))</v>
      </c>
      <c r="K296" s="43" t="str">
        <f>CONCATENATE("r",D296,": ",F296," -&gt; ",H296," | ",J296)</f>
        <v>r306: C00074 + C03175 -&gt; C00009 + C01269 | (${Variables:E2_5_1_19_kcat} * E2_5_1_19 * C00074 * C03175)/(${Variables:E2_5_1_19_km} + (E2_5_1_19 * C00074 * C03175))</v>
      </c>
    </row>
    <row r="297" spans="1:11" ht="42.75" x14ac:dyDescent="0.45">
      <c r="A297" s="53" t="s">
        <v>7375</v>
      </c>
      <c r="B297" s="54" t="s">
        <v>7376</v>
      </c>
      <c r="C297" t="s">
        <v>1871</v>
      </c>
      <c r="D297" s="12">
        <v>307</v>
      </c>
      <c r="E297" s="12" t="str">
        <f>CONCATENATE("E",C297)</f>
        <v>E2_5_1_47</v>
      </c>
      <c r="F297" t="s">
        <v>3122</v>
      </c>
      <c r="G297" t="s">
        <v>1548</v>
      </c>
      <c r="H297" t="s">
        <v>3406</v>
      </c>
      <c r="I297" t="s">
        <v>1549</v>
      </c>
      <c r="J297" s="12" t="str">
        <f>CONCATENATE("(${Variables:",E297,"_kcat","} * ",E297," * ",G297,")","/(${Variables:",E297,"_km","} + (",E297," * ",G297,"))")</f>
        <v>(${Variables:E2_5_1_47_kcat} * E2_5_1_47 * C00979 * C00283)/(${Variables:E2_5_1_47_km} + (E2_5_1_47 * C00979 * C00283))</v>
      </c>
      <c r="K297" s="43" t="str">
        <f>CONCATENATE("r",D297,": ",F297," -&gt; ",H297," | ",J297)</f>
        <v>r307: C00979 + C00283 -&gt; C00097 + C00033 | (${Variables:E2_5_1_47_kcat} * E2_5_1_47 * C00979 * C00283)/(${Variables:E2_5_1_47_km} + (E2_5_1_47 * C00979 * C00283))</v>
      </c>
    </row>
    <row r="298" spans="1:11" ht="42.75" x14ac:dyDescent="0.45">
      <c r="A298" s="53" t="s">
        <v>7375</v>
      </c>
      <c r="B298" s="54" t="s">
        <v>7376</v>
      </c>
      <c r="C298" t="s">
        <v>1871</v>
      </c>
      <c r="D298" s="12">
        <v>308</v>
      </c>
      <c r="E298" s="12" t="str">
        <f>CONCATENATE("E",C298)</f>
        <v>E2_5_1_47</v>
      </c>
      <c r="F298" s="12" t="s">
        <v>3124</v>
      </c>
      <c r="G298" s="12" t="s">
        <v>1552</v>
      </c>
      <c r="H298" t="s">
        <v>3408</v>
      </c>
      <c r="I298" t="s">
        <v>1553</v>
      </c>
      <c r="J298" s="12" t="str">
        <f>CONCATENATE("(${Variables:",E298,"_kcat","} * ",E298," * ",G298,")","/(${Variables:",E298,"_km","} + (",E298," * ",G298,"))")</f>
        <v>(${Variables:E2_5_1_47_kcat} * E2_5_1_47 * C00979 * C01528)/(${Variables:E2_5_1_47_km} + (E2_5_1_47 * C00979 * C01528))</v>
      </c>
      <c r="K298" s="43" t="str">
        <f>CONCATENATE("r",D298,": ",F298," -&gt; ",H298," | ",J298)</f>
        <v>r308: C00979 + C01528 -&gt; C05688 + C00033 | (${Variables:E2_5_1_47_kcat} * E2_5_1_47 * C00979 * C01528)/(${Variables:E2_5_1_47_km} + (E2_5_1_47 * C00979 * C01528))</v>
      </c>
    </row>
    <row r="299" spans="1:11" ht="57" x14ac:dyDescent="0.45">
      <c r="A299" s="53" t="s">
        <v>7375</v>
      </c>
      <c r="B299" s="54" t="s">
        <v>7376</v>
      </c>
      <c r="C299" t="s">
        <v>1871</v>
      </c>
      <c r="D299" s="12">
        <v>309</v>
      </c>
      <c r="E299" s="12" t="str">
        <f>CONCATENATE("E",C299)</f>
        <v>E2_5_1_47</v>
      </c>
      <c r="F299" t="s">
        <v>3123</v>
      </c>
      <c r="G299" t="s">
        <v>1550</v>
      </c>
      <c r="H299" t="s">
        <v>3407</v>
      </c>
      <c r="I299" t="s">
        <v>1551</v>
      </c>
      <c r="J299" s="12" t="str">
        <f>CONCATENATE("(${Variables:",E299,"_kcat","} * ",E299," * ",G299,")","/(${Variables:",E299,"_km","} + (",E299," * ",G299,"))")</f>
        <v>(${Variables:E2_5_1_47_kcat} * E2_5_1_47 * C00979 * C00320 * C00342 * C00080)/(${Variables:E2_5_1_47_km} + (E2_5_1_47 * C00979 * C00320 * C00342 * C00080))</v>
      </c>
      <c r="K299" s="43" t="str">
        <f>CONCATENATE("r",D299,": ",F299," -&gt; ",H299," | ",J299)</f>
        <v>r309: C00979 + C00320 + C00342 + C00080 -&gt; C00097 + C00094 + C00343 + C00033 | (${Variables:E2_5_1_47_kcat} * E2_5_1_47 * C00979 * C00320 * C00342 * C00080)/(${Variables:E2_5_1_47_km} + (E2_5_1_47 * C00979 * C00320 * C00342 * C00080))</v>
      </c>
    </row>
    <row r="300" spans="1:11" ht="42.75" x14ac:dyDescent="0.45">
      <c r="A300" s="53" t="s">
        <v>7375</v>
      </c>
      <c r="B300" s="54" t="s">
        <v>7376</v>
      </c>
      <c r="C300" t="s">
        <v>1871</v>
      </c>
      <c r="D300" s="12">
        <v>310</v>
      </c>
      <c r="E300" s="12" t="str">
        <f>CONCATENATE("E",C300)</f>
        <v>E2_5_1_47</v>
      </c>
      <c r="F300" s="12" t="s">
        <v>3125</v>
      </c>
      <c r="G300" s="12" t="s">
        <v>1554</v>
      </c>
      <c r="H300" t="s">
        <v>3409</v>
      </c>
      <c r="I300" t="s">
        <v>1555</v>
      </c>
      <c r="J300" s="12" t="str">
        <f>CONCATENATE("(${Variables:",E300,"_kcat","} * ",E300," * ",G300,")","/(${Variables:",E300,"_km","} + (",E300," * ",G300,"))")</f>
        <v>(${Variables:E2_5_1_47_kcat} * E2_5_1_47 * C01005 * C00283)/(${Variables:E2_5_1_47_km} + (E2_5_1_47 * C01005 * C00283))</v>
      </c>
      <c r="K300" s="43" t="str">
        <f>CONCATENATE("r",D300,": ",F300," -&gt; ",H300," | ",J300)</f>
        <v>r310: C01005 + C00283 -&gt; C00097 + C00009 | (${Variables:E2_5_1_47_kcat} * E2_5_1_47 * C01005 * C00283)/(${Variables:E2_5_1_47_km} + (E2_5_1_47 * C01005 * C00283))</v>
      </c>
    </row>
    <row r="301" spans="1:11" ht="42.75" x14ac:dyDescent="0.45">
      <c r="A301" s="53" t="s">
        <v>5273</v>
      </c>
      <c r="B301" s="54" t="s">
        <v>5274</v>
      </c>
      <c r="C301" t="s">
        <v>1789</v>
      </c>
      <c r="D301" s="12">
        <v>311</v>
      </c>
      <c r="E301" s="12" t="str">
        <f>CONCATENATE("E",C301)</f>
        <v>E2_5_1_6</v>
      </c>
      <c r="F301" t="s">
        <v>3127</v>
      </c>
      <c r="G301" t="s">
        <v>1313</v>
      </c>
      <c r="H301" t="s">
        <v>3411</v>
      </c>
      <c r="I301" t="s">
        <v>1314</v>
      </c>
      <c r="J301" s="12" t="str">
        <f>CONCATENATE("(${Variables:",E301,"_kcat","} * ",E301," * ",G301,")","/(${Variables:",E301,"_km","} + (",E301," * ",G301,"))")</f>
        <v>(${Variables:E2_5_1_6_kcat} * E2_5_1_6 * C00009 * C00013 * C00019)/(${Variables:E2_5_1_6_km} + (E2_5_1_6 * C00009 * C00013 * C00019))</v>
      </c>
      <c r="K301" s="43" t="str">
        <f>CONCATENATE("r",D301,": ",F301," -&gt; ",H301," | ",J301)</f>
        <v>r311: C00009 + C00013 + C00019 -&gt; C00002 + C00073 + C00001 | (${Variables:E2_5_1_6_kcat} * E2_5_1_6 * C00009 * C00013 * C00019)/(${Variables:E2_5_1_6_km} + (E2_5_1_6 * C00009 * C00013 * C00019))</v>
      </c>
    </row>
    <row r="302" spans="1:11" ht="42.75" x14ac:dyDescent="0.45">
      <c r="A302" s="53" t="s">
        <v>5273</v>
      </c>
      <c r="B302" s="54" t="s">
        <v>5274</v>
      </c>
      <c r="C302" t="s">
        <v>1789</v>
      </c>
      <c r="D302" s="12">
        <v>312</v>
      </c>
      <c r="E302" s="12" t="str">
        <f>CONCATENATE("E",C302)</f>
        <v>E2_5_1_6</v>
      </c>
      <c r="F302" s="12" t="s">
        <v>3126</v>
      </c>
      <c r="G302" s="12" t="s">
        <v>1306</v>
      </c>
      <c r="H302" t="s">
        <v>3410</v>
      </c>
      <c r="I302" t="s">
        <v>1307</v>
      </c>
      <c r="J302" s="12" t="str">
        <f>CONCATENATE("(${Variables:",E302,"_kcat","} * ",E302," * ",G302,")","/(${Variables:",E302,"_km","} + (",E302," * ",G302,"))")</f>
        <v>(${Variables:E2_5_1_6_kcat} * E2_5_1_6 * C00002 * C05335 * C00001)/(${Variables:E2_5_1_6_km} + (E2_5_1_6 * C00002 * C05335 * C00001))</v>
      </c>
      <c r="K302" s="43" t="str">
        <f>CONCATENATE("r",D302,": ",F302," -&gt; ",H302," | ",J302)</f>
        <v>r312: C00002 + C05335 + C00001 -&gt; C00009 + C00013 + C05691 | (${Variables:E2_5_1_6_kcat} * E2_5_1_6 * C00002 * C05335 * C00001)/(${Variables:E2_5_1_6_km} + (E2_5_1_6 * C00002 * C05335 * C00001))</v>
      </c>
    </row>
    <row r="303" spans="1:11" ht="42.75" x14ac:dyDescent="0.45">
      <c r="A303" s="53" t="s">
        <v>5656</v>
      </c>
      <c r="B303" s="54" t="s">
        <v>5657</v>
      </c>
      <c r="C303" t="s">
        <v>1820</v>
      </c>
      <c r="D303" s="12">
        <v>313</v>
      </c>
      <c r="E303" s="12" t="str">
        <f>CONCATENATE("E",C303)</f>
        <v>E2_5_1_7</v>
      </c>
      <c r="F303" s="12" t="s">
        <v>3128</v>
      </c>
      <c r="G303" s="12" t="s">
        <v>1368</v>
      </c>
      <c r="H303" t="s">
        <v>3412</v>
      </c>
      <c r="I303" t="s">
        <v>1369</v>
      </c>
      <c r="J303" s="12" t="str">
        <f>CONCATENATE("(${Variables:",E303,"_kcat","} * ",E303," * ",G303,")","/(${Variables:",E303,"_km","} + (",E303," * ",G303,"))")</f>
        <v>(${Variables:E2_5_1_7_kcat} * E2_5_1_7 * C00074 * C00043)/(${Variables:E2_5_1_7_km} + (E2_5_1_7 * C00074 * C00043))</v>
      </c>
      <c r="K303" s="43" t="str">
        <f>CONCATENATE("r",D303,": ",F303," -&gt; ",H303," | ",J303)</f>
        <v>r313: C00074 + C00043 -&gt; C04631 + C00009 | (${Variables:E2_5_1_7_kcat} * E2_5_1_7 * C00074 * C00043)/(${Variables:E2_5_1_7_km} + (E2_5_1_7 * C00074 * C00043))</v>
      </c>
    </row>
    <row r="304" spans="1:11" ht="42.75" x14ac:dyDescent="0.45">
      <c r="A304" s="53" t="s">
        <v>5275</v>
      </c>
      <c r="B304" s="54" t="s">
        <v>5276</v>
      </c>
      <c r="C304" t="s">
        <v>1820</v>
      </c>
      <c r="D304" s="12">
        <v>314</v>
      </c>
      <c r="E304" s="12" t="str">
        <f>CONCATENATE("E",C304)</f>
        <v>E2_5_1_7</v>
      </c>
      <c r="F304" s="12" t="s">
        <v>3128</v>
      </c>
      <c r="G304" s="12" t="s">
        <v>1368</v>
      </c>
      <c r="H304" t="s">
        <v>3412</v>
      </c>
      <c r="I304" t="s">
        <v>1369</v>
      </c>
      <c r="J304" s="12" t="str">
        <f>CONCATENATE("(${Variables:",E304,"_kcat","} * ",E304," * ",G304,")","/(${Variables:",E304,"_km","} + (",E304," * ",G304,"))")</f>
        <v>(${Variables:E2_5_1_7_kcat} * E2_5_1_7 * C00074 * C00043)/(${Variables:E2_5_1_7_km} + (E2_5_1_7 * C00074 * C00043))</v>
      </c>
      <c r="K304" s="43" t="str">
        <f>CONCATENATE("r",D304,": ",F304," -&gt; ",H304," | ",J304)</f>
        <v>r314: C00074 + C00043 -&gt; C04631 + C00009 | (${Variables:E2_5_1_7_kcat} * E2_5_1_7 * C00074 * C00043)/(${Variables:E2_5_1_7_km} + (E2_5_1_7 * C00074 * C00043))</v>
      </c>
    </row>
    <row r="305" spans="1:11" ht="42.75" x14ac:dyDescent="0.45">
      <c r="A305" s="53" t="s">
        <v>6729</v>
      </c>
      <c r="B305" s="54" t="s">
        <v>6730</v>
      </c>
      <c r="C305" t="s">
        <v>1854</v>
      </c>
      <c r="D305" s="12">
        <v>315</v>
      </c>
      <c r="E305" s="12" t="str">
        <f>CONCATENATE("E",C305)</f>
        <v>E2_5_1_75</v>
      </c>
      <c r="F305" t="s">
        <v>3129</v>
      </c>
      <c r="G305" t="s">
        <v>1457</v>
      </c>
      <c r="H305" t="s">
        <v>3413</v>
      </c>
      <c r="I305" t="s">
        <v>1458</v>
      </c>
      <c r="J305" s="12" t="str">
        <f>CONCATENATE("(${Variables:",E305,"_kcat","} * ",E305," * ",G305,")","/(${Variables:",E305,"_km","} + (",E305," * ",G305,"))")</f>
        <v>(${Variables:E2_5_1_75_kcat} * E2_5_1_75 * C00235 * C17324)/(${Variables:E2_5_1_75_km} + (E2_5_1_75 * C00235 * C17324))</v>
      </c>
      <c r="K305" s="43" t="str">
        <f>CONCATENATE("r",D305,": ",F305," -&gt; ",H305," | ",J305)</f>
        <v>r315: C00235 + C17324 -&gt; C00013 + C04432 | (${Variables:E2_5_1_75_kcat} * E2_5_1_75 * C00235 * C17324)/(${Variables:E2_5_1_75_km} + (E2_5_1_75 * C00235 * C17324))</v>
      </c>
    </row>
    <row r="306" spans="1:11" ht="42.75" x14ac:dyDescent="0.45">
      <c r="A306" s="53" t="s">
        <v>5977</v>
      </c>
      <c r="B306" s="54" t="s">
        <v>5978</v>
      </c>
      <c r="C306" t="s">
        <v>1817</v>
      </c>
      <c r="D306" s="12">
        <v>316</v>
      </c>
      <c r="E306" s="12" t="str">
        <f>CONCATENATE("E",C306)</f>
        <v>E2_6_1_16</v>
      </c>
      <c r="F306" t="s">
        <v>3130</v>
      </c>
      <c r="G306" t="s">
        <v>1360</v>
      </c>
      <c r="H306" t="s">
        <v>3414</v>
      </c>
      <c r="I306" t="s">
        <v>1361</v>
      </c>
      <c r="J306" s="12" t="str">
        <f>CONCATENATE("(${Variables:",E306,"_kcat","} * ",E306," * ",G306,")","/(${Variables:",E306,"_km","} + (",E306," * ",G306,"))")</f>
        <v>(${Variables:E2_6_1_16_kcat} * E2_6_1_16 * C00064 * C00085)/(${Variables:E2_6_1_16_km} + (E2_6_1_16 * C00064 * C00085))</v>
      </c>
      <c r="K306" s="43" t="str">
        <f>CONCATENATE("r",D306,": ",F306," -&gt; ",H306," | ",J306)</f>
        <v>r316: C00064 + C00085 -&gt; C00025 + C00352 | (${Variables:E2_6_1_16_kcat} * E2_6_1_16 * C00064 * C00085)/(${Variables:E2_6_1_16_km} + (E2_6_1_16 * C00064 * C00085))</v>
      </c>
    </row>
    <row r="307" spans="1:11" ht="42.75" x14ac:dyDescent="0.45">
      <c r="A307" s="53" t="s">
        <v>8009</v>
      </c>
      <c r="B307" s="54" t="s">
        <v>8010</v>
      </c>
      <c r="C307" t="s">
        <v>10349</v>
      </c>
      <c r="D307" s="12">
        <v>317</v>
      </c>
      <c r="E307" s="12" t="str">
        <f>CONCATENATE("E",C307)</f>
        <v>E2_6_1_85</v>
      </c>
      <c r="F307" s="12" t="s">
        <v>3242</v>
      </c>
      <c r="G307" s="12" t="s">
        <v>1358</v>
      </c>
      <c r="H307" t="s">
        <v>3521</v>
      </c>
      <c r="I307" t="s">
        <v>1359</v>
      </c>
      <c r="J307" s="12" t="str">
        <f>CONCATENATE("(${Variables:",E307,"_kcat","} * ",E307," * ",G307,")","/(${Variables:",E307,"_km","} + (",E307," * ",G307,"))")</f>
        <v>(${Variables:E2_6_1_85_kcat} * E2_6_1_85 * C00064 * C00001)/(${Variables:E2_6_1_85_km} + (E2_6_1_85 * C00064 * C00001))</v>
      </c>
      <c r="K307" s="43" t="str">
        <f>CONCATENATE("r",D307,": ",F307," -&gt; ",H307," | ",J307)</f>
        <v>r317: C00064 + C00001 -&gt; C00025 + C00014 | (${Variables:E2_6_1_85_kcat} * E2_6_1_85 * C00064 * C00001)/(${Variables:E2_6_1_85_km} + (E2_6_1_85 * C00064 * C00001))</v>
      </c>
    </row>
    <row r="308" spans="1:11" ht="42.75" x14ac:dyDescent="0.45">
      <c r="A308" s="53" t="s">
        <v>8009</v>
      </c>
      <c r="B308" s="54" t="s">
        <v>8010</v>
      </c>
      <c r="C308" t="s">
        <v>10349</v>
      </c>
      <c r="D308" s="12">
        <v>318</v>
      </c>
      <c r="E308" s="12" t="str">
        <f>CONCATENATE("E",C308)</f>
        <v>E2_6_1_85</v>
      </c>
      <c r="F308" s="12" t="s">
        <v>10211</v>
      </c>
      <c r="G308" s="12" t="s">
        <v>10553</v>
      </c>
      <c r="H308" t="s">
        <v>10212</v>
      </c>
      <c r="I308" t="s">
        <v>10785</v>
      </c>
      <c r="J308" s="12" t="str">
        <f>CONCATENATE("(${Variables:",E308,"_kcat","} * ",E308," * ",G308,")","/(${Variables:",E308,"_km","} + (",E308," * ",G308,"))")</f>
        <v>(${Variables:E2_6_1_85_kcat} * E2_6_1_85 * C00251 * C00064)/(${Variables:E2_6_1_85_km} + (E2_6_1_85 * C00251 * C00064))</v>
      </c>
      <c r="K308" s="43" t="str">
        <f>CONCATENATE("r",D308,": ",F308," -&gt; ",H308," | ",J308)</f>
        <v>r318: C00251 + C00064 -&gt; C11355 + C00025 | (${Variables:E2_6_1_85_kcat} * E2_6_1_85 * C00251 * C00064)/(${Variables:E2_6_1_85_km} + (E2_6_1_85 * C00251 * C00064))</v>
      </c>
    </row>
    <row r="309" spans="1:11" ht="42.75" x14ac:dyDescent="0.45">
      <c r="A309" s="53" t="s">
        <v>8009</v>
      </c>
      <c r="B309" s="54" t="s">
        <v>8010</v>
      </c>
      <c r="C309" t="s">
        <v>10349</v>
      </c>
      <c r="D309" s="12">
        <v>319</v>
      </c>
      <c r="E309" s="12" t="str">
        <f>CONCATENATE("E",C309)</f>
        <v>E2_6_1_85</v>
      </c>
      <c r="F309" t="s">
        <v>10214</v>
      </c>
      <c r="G309" t="s">
        <v>10554</v>
      </c>
      <c r="H309" t="s">
        <v>10215</v>
      </c>
      <c r="I309" t="s">
        <v>10786</v>
      </c>
      <c r="J309" s="12" t="str">
        <f>CONCATENATE("(${Variables:",E309,"_kcat","} * ",E309," * ",G309,")","/(${Variables:",E309,"_km","} + (",E309," * ",G309,"))")</f>
        <v>(${Variables:E2_6_1_85_kcat} * E2_6_1_85 * C00251 * C00014 )/(${Variables:E2_6_1_85_km} + (E2_6_1_85 * C00251 * C00014 ))</v>
      </c>
      <c r="K309" s="43" t="str">
        <f>CONCATENATE("r",D309,": ",F309," -&gt; ",H309," | ",J309)</f>
        <v>r319: C00251 + C00014  -&gt; C11355 + C00001 | (${Variables:E2_6_1_85_kcat} * E2_6_1_85 * C00251 * C00014 )/(${Variables:E2_6_1_85_km} + (E2_6_1_85 * C00251 * C00014 ))</v>
      </c>
    </row>
    <row r="310" spans="1:11" ht="42.75" x14ac:dyDescent="0.45">
      <c r="A310" s="53" t="s">
        <v>5621</v>
      </c>
      <c r="B310" s="54" t="s">
        <v>5622</v>
      </c>
      <c r="C310" t="s">
        <v>10350</v>
      </c>
      <c r="D310" s="12">
        <v>320</v>
      </c>
      <c r="E310" s="12" t="str">
        <f>CONCATENATE("E",C310)</f>
        <v>E2_7_1_107</v>
      </c>
      <c r="F310" s="12" t="s">
        <v>9216</v>
      </c>
      <c r="G310" s="12" t="s">
        <v>10555</v>
      </c>
      <c r="H310" t="s">
        <v>9217</v>
      </c>
      <c r="I310" t="s">
        <v>10787</v>
      </c>
      <c r="J310" s="12" t="str">
        <f>CONCATENATE("(${Variables:",E310,"_kcat","} * ",E310," * ",G310,")","/(${Variables:",E310,"_km","} + (",E310," * ",G310,"))")</f>
        <v>(${Variables:E2_7_1_107_kcat} * E2_7_1_107 * C00002 * C00641)/(${Variables:E2_7_1_107_km} + (E2_7_1_107 * C00002 * C00641))</v>
      </c>
      <c r="K310" s="43" t="str">
        <f>CONCATENATE("r",D310,": ",F310," -&gt; ",H310," | ",J310)</f>
        <v>r320: C00002 + C00641 -&gt; C00008 + C00416 | (${Variables:E2_7_1_107_kcat} * E2_7_1_107 * C00002 * C00641)/(${Variables:E2_7_1_107_km} + (E2_7_1_107 * C00002 * C00641))</v>
      </c>
    </row>
    <row r="311" spans="1:11" ht="42.75" x14ac:dyDescent="0.45">
      <c r="A311" s="53" t="s">
        <v>5971</v>
      </c>
      <c r="B311" s="54" t="s">
        <v>5972</v>
      </c>
      <c r="C311" t="s">
        <v>1745</v>
      </c>
      <c r="D311" s="12">
        <v>321</v>
      </c>
      <c r="E311" s="12" t="str">
        <f>CONCATENATE("E",C311)</f>
        <v>E2_7_1_11</v>
      </c>
      <c r="F311" s="12" t="s">
        <v>9293</v>
      </c>
      <c r="G311" s="12" t="s">
        <v>10556</v>
      </c>
      <c r="H311" t="s">
        <v>3417</v>
      </c>
      <c r="I311" t="s">
        <v>1274</v>
      </c>
      <c r="J311" s="12" t="str">
        <f>CONCATENATE("(${Variables:",E311,"_kcat","} * ",E311," * ",G311,")","/(${Variables:",E311,"_km","} + (",E311," * ",G311,"))")</f>
        <v>(${Variables:E2_7_1_11_kcat} * E2_7_1_11 * C00002 * C05345)/(${Variables:E2_7_1_11_km} + (E2_7_1_11 * C00002 * C05345))</v>
      </c>
      <c r="K311" s="43" t="str">
        <f>CONCATENATE("r",D311,": ",F311," -&gt; ",H311," | ",J311)</f>
        <v>r321: C00002 + C05345 -&gt; C00008 + C05378 | (${Variables:E2_7_1_11_kcat} * E2_7_1_11 * C00002 * C05345)/(${Variables:E2_7_1_11_km} + (E2_7_1_11 * C00002 * C05345))</v>
      </c>
    </row>
    <row r="312" spans="1:11" ht="42.75" x14ac:dyDescent="0.45">
      <c r="A312" s="53" t="s">
        <v>5971</v>
      </c>
      <c r="B312" s="54" t="s">
        <v>5972</v>
      </c>
      <c r="C312" t="s">
        <v>1745</v>
      </c>
      <c r="D312" s="12">
        <v>322</v>
      </c>
      <c r="E312" s="12" t="str">
        <f>CONCATENATE("E",C312)</f>
        <v>E2_7_1_11</v>
      </c>
      <c r="F312" s="12" t="s">
        <v>3131</v>
      </c>
      <c r="G312" s="12" t="s">
        <v>10557</v>
      </c>
      <c r="H312" t="s">
        <v>3415</v>
      </c>
      <c r="I312" t="s">
        <v>1191</v>
      </c>
      <c r="J312" s="12" t="str">
        <f>CONCATENATE("(${Variables:",E312,"_kcat","} * ",E312," * ",G312,")","/(${Variables:",E312,"_km","} + (",E312," * ",G312,"))")</f>
        <v>(${Variables:E2_7_1_11_kcat} * E2_7_1_11 * C00002 * C00085)/(${Variables:E2_7_1_11_km} + (E2_7_1_11 * C00002 * C00085))</v>
      </c>
      <c r="K312" s="43" t="str">
        <f>CONCATENATE("r",D312,": ",F312," -&gt; ",H312," | ",J312)</f>
        <v>r322: C00002 + C00085 -&gt; C00008 + C00354 | (${Variables:E2_7_1_11_kcat} * E2_7_1_11 * C00002 * C00085)/(${Variables:E2_7_1_11_km} + (E2_7_1_11 * C00002 * C00085))</v>
      </c>
    </row>
    <row r="313" spans="1:11" ht="42.75" x14ac:dyDescent="0.45">
      <c r="A313" s="53" t="s">
        <v>5971</v>
      </c>
      <c r="B313" s="54" t="s">
        <v>5972</v>
      </c>
      <c r="C313" t="s">
        <v>1745</v>
      </c>
      <c r="D313" s="12">
        <v>323</v>
      </c>
      <c r="E313" s="12" t="str">
        <f>CONCATENATE("E",C313)</f>
        <v>E2_7_1_11</v>
      </c>
      <c r="F313" s="12" t="s">
        <v>3133</v>
      </c>
      <c r="G313" s="12" t="s">
        <v>10558</v>
      </c>
      <c r="H313" t="s">
        <v>3418</v>
      </c>
      <c r="I313" t="s">
        <v>10788</v>
      </c>
      <c r="J313" s="12" t="str">
        <f>CONCATENATE("(${Variables:",E313,"_kcat","} * ",E313," * ",G313,")","/(${Variables:",E313,"_km","} + (",E313," * ",G313,"))")</f>
        <v>(${Variables:E2_7_1_11_kcat} * E2_7_1_11 * C00063 * C00085)/(${Variables:E2_7_1_11_km} + (E2_7_1_11 * C00063 * C00085))</v>
      </c>
      <c r="K313" s="43" t="str">
        <f>CONCATENATE("r",D313,": ",F313," -&gt; ",H313," | ",J313)</f>
        <v>r323: C00063 + C00085 -&gt; C00112 + C00354 | (${Variables:E2_7_1_11_kcat} * E2_7_1_11 * C00063 * C00085)/(${Variables:E2_7_1_11_km} + (E2_7_1_11 * C00063 * C00085))</v>
      </c>
    </row>
    <row r="314" spans="1:11" ht="42.75" x14ac:dyDescent="0.45">
      <c r="A314" s="53" t="s">
        <v>5971</v>
      </c>
      <c r="B314" s="54" t="s">
        <v>5972</v>
      </c>
      <c r="C314" t="s">
        <v>1745</v>
      </c>
      <c r="D314" s="12">
        <v>324</v>
      </c>
      <c r="E314" s="12" t="str">
        <f>CONCATENATE("E",C314)</f>
        <v>E2_7_1_11</v>
      </c>
      <c r="F314" s="12" t="s">
        <v>3135</v>
      </c>
      <c r="G314" s="12" t="s">
        <v>10559</v>
      </c>
      <c r="H314" t="s">
        <v>3420</v>
      </c>
      <c r="I314" t="s">
        <v>10789</v>
      </c>
      <c r="J314" s="12" t="str">
        <f>CONCATENATE("(${Variables:",E314,"_kcat","} * ",E314," * ",G314,")","/(${Variables:",E314,"_km","} + (",E314," * ",G314,"))")</f>
        <v>(${Variables:E2_7_1_11_kcat} * E2_7_1_11 * C00075 * C00085)/(${Variables:E2_7_1_11_km} + (E2_7_1_11 * C00075 * C00085))</v>
      </c>
      <c r="K314" s="43" t="str">
        <f>CONCATENATE("r",D314,": ",F314," -&gt; ",H314," | ",J314)</f>
        <v>r324: C00075 + C00085 -&gt; C00015 + C00354 | (${Variables:E2_7_1_11_kcat} * E2_7_1_11 * C00075 * C00085)/(${Variables:E2_7_1_11_km} + (E2_7_1_11 * C00075 * C00085))</v>
      </c>
    </row>
    <row r="315" spans="1:11" ht="42.75" x14ac:dyDescent="0.45">
      <c r="A315" s="53" t="s">
        <v>5971</v>
      </c>
      <c r="B315" s="54" t="s">
        <v>5972</v>
      </c>
      <c r="C315" t="s">
        <v>1745</v>
      </c>
      <c r="D315" s="12">
        <v>325</v>
      </c>
      <c r="E315" s="12" t="str">
        <f>CONCATENATE("E",C315)</f>
        <v>E2_7_1_11</v>
      </c>
      <c r="F315" s="12" t="s">
        <v>3137</v>
      </c>
      <c r="G315" s="12" t="s">
        <v>1381</v>
      </c>
      <c r="H315" t="s">
        <v>3422</v>
      </c>
      <c r="I315" t="s">
        <v>1382</v>
      </c>
      <c r="J315" s="12" t="str">
        <f>CONCATENATE("(${Variables:",E315,"_kcat","} * ",E315," * ",G315,")","/(${Variables:",E315,"_km","} + (",E315," * ",G315,"))")</f>
        <v>(${Variables:E2_7_1_11_kcat} * E2_7_1_11 * C00081 * C00085)/(${Variables:E2_7_1_11_km} + (E2_7_1_11 * C00081 * C00085))</v>
      </c>
      <c r="K315" s="43" t="str">
        <f>CONCATENATE("r",D315,": ",F315," -&gt; ",H315," | ",J315)</f>
        <v>r325: C00081 + C00085 -&gt; C00104 + C00354 | (${Variables:E2_7_1_11_kcat} * E2_7_1_11 * C00081 * C00085)/(${Variables:E2_7_1_11_km} + (E2_7_1_11 * C00081 * C00085))</v>
      </c>
    </row>
    <row r="316" spans="1:11" ht="42.75" x14ac:dyDescent="0.45">
      <c r="A316" s="53" t="s">
        <v>5971</v>
      </c>
      <c r="B316" s="54" t="s">
        <v>5972</v>
      </c>
      <c r="C316" t="s">
        <v>1745</v>
      </c>
      <c r="D316" s="12">
        <v>326</v>
      </c>
      <c r="E316" s="12" t="str">
        <f>CONCATENATE("E",C316)</f>
        <v>E2_7_1_11</v>
      </c>
      <c r="F316" s="12" t="s">
        <v>3132</v>
      </c>
      <c r="G316" s="12" t="s">
        <v>10560</v>
      </c>
      <c r="H316" t="s">
        <v>3416</v>
      </c>
      <c r="I316" t="s">
        <v>10790</v>
      </c>
      <c r="J316" s="12" t="str">
        <f>CONCATENATE("(${Variables:",E316,"_kcat","} * ",E316," * ",G316,")","/(${Variables:",E316,"_km","} + (",E316," * ",G316,"))")</f>
        <v>(${Variables:E2_7_1_11_kcat} * E2_7_1_11 * C00002 * C05382)/(${Variables:E2_7_1_11_km} + (E2_7_1_11 * C00002 * C05382))</v>
      </c>
      <c r="K316" s="43" t="str">
        <f>CONCATENATE("r",D316,": ",F316," -&gt; ",H316," | ",J316)</f>
        <v>r326: C00002 + C05382 -&gt; C00008 + C00447 | (${Variables:E2_7_1_11_kcat} * E2_7_1_11 * C00002 * C05382)/(${Variables:E2_7_1_11_km} + (E2_7_1_11 * C00002 * C05382))</v>
      </c>
    </row>
    <row r="317" spans="1:11" ht="42.75" x14ac:dyDescent="0.45">
      <c r="A317" s="53" t="s">
        <v>5971</v>
      </c>
      <c r="B317" s="54" t="s">
        <v>5972</v>
      </c>
      <c r="C317" t="s">
        <v>1745</v>
      </c>
      <c r="D317" s="12">
        <v>327</v>
      </c>
      <c r="E317" s="12" t="str">
        <f>CONCATENATE("E",C317)</f>
        <v>E2_7_1_11</v>
      </c>
      <c r="F317" s="12" t="s">
        <v>3139</v>
      </c>
      <c r="G317" s="12" t="s">
        <v>1560</v>
      </c>
      <c r="H317" t="s">
        <v>3424</v>
      </c>
      <c r="I317" t="s">
        <v>1561</v>
      </c>
      <c r="J317" s="12" t="str">
        <f>CONCATENATE("(${Variables:",E317,"_kcat","} * ",E317," * ",G317,")","/(${Variables:",E317,"_km","} + (",E317," * ",G317,"))")</f>
        <v>(${Variables:E2_7_1_11_kcat} * E2_7_1_11 * C01097 * C00002)/(${Variables:E2_7_1_11_km} + (E2_7_1_11 * C01097 * C00002))</v>
      </c>
      <c r="K317" s="43" t="str">
        <f>CONCATENATE("r",D317,": ",F317," -&gt; ",H317," | ",J317)</f>
        <v>r327: C01097 + C00002 -&gt; C03785 + C00008 | (${Variables:E2_7_1_11_kcat} * E2_7_1_11 * C01097 * C00002)/(${Variables:E2_7_1_11_km} + (E2_7_1_11 * C01097 * C00002))</v>
      </c>
    </row>
    <row r="318" spans="1:11" ht="42.75" x14ac:dyDescent="0.45">
      <c r="A318" s="53" t="s">
        <v>5971</v>
      </c>
      <c r="B318" s="54" t="s">
        <v>5972</v>
      </c>
      <c r="C318" t="s">
        <v>1745</v>
      </c>
      <c r="D318" s="12">
        <v>328</v>
      </c>
      <c r="E318" s="12" t="str">
        <f>CONCATENATE("E",C318)</f>
        <v>E2_7_1_11</v>
      </c>
      <c r="F318" s="12" t="s">
        <v>3134</v>
      </c>
      <c r="G318" s="12" t="s">
        <v>10561</v>
      </c>
      <c r="H318" t="s">
        <v>3419</v>
      </c>
      <c r="I318" t="s">
        <v>10791</v>
      </c>
      <c r="J318" s="12" t="str">
        <f>CONCATENATE("(${Variables:",E318,"_kcat","} * ",E318," * ",G318,")","/(${Variables:",E318,"_km","} + (",E318," * ",G318,"))")</f>
        <v>(${Variables:E2_7_1_11_kcat} * E2_7_1_11 * C00063 * C01097)/(${Variables:E2_7_1_11_km} + (E2_7_1_11 * C00063 * C01097))</v>
      </c>
      <c r="K318" s="43" t="str">
        <f>CONCATENATE("r",D318,": ",F318," -&gt; ",H318," | ",J318)</f>
        <v>r328: C00063 + C01097 -&gt; C00112 + C03785 | (${Variables:E2_7_1_11_kcat} * E2_7_1_11 * C00063 * C01097)/(${Variables:E2_7_1_11_km} + (E2_7_1_11 * C00063 * C01097))</v>
      </c>
    </row>
    <row r="319" spans="1:11" ht="42.75" x14ac:dyDescent="0.45">
      <c r="A319" s="53" t="s">
        <v>5971</v>
      </c>
      <c r="B319" s="54" t="s">
        <v>5972</v>
      </c>
      <c r="C319" t="s">
        <v>1745</v>
      </c>
      <c r="D319" s="12">
        <v>329</v>
      </c>
      <c r="E319" s="12" t="str">
        <f>CONCATENATE("E",C319)</f>
        <v>E2_7_1_11</v>
      </c>
      <c r="F319" s="12" t="s">
        <v>3136</v>
      </c>
      <c r="G319" s="12" t="s">
        <v>10562</v>
      </c>
      <c r="H319" t="s">
        <v>3421</v>
      </c>
      <c r="I319" t="s">
        <v>10792</v>
      </c>
      <c r="J319" s="12" t="str">
        <f>CONCATENATE("(${Variables:",E319,"_kcat","} * ",E319," * ",G319,")","/(${Variables:",E319,"_km","} + (",E319," * ",G319,"))")</f>
        <v>(${Variables:E2_7_1_11_kcat} * E2_7_1_11 * C00075 * C01097)/(${Variables:E2_7_1_11_km} + (E2_7_1_11 * C00075 * C01097))</v>
      </c>
      <c r="K319" s="43" t="str">
        <f>CONCATENATE("r",D319,": ",F319," -&gt; ",H319," | ",J319)</f>
        <v>r329: C00075 + C01097 -&gt; C00015 + C03785 | (${Variables:E2_7_1_11_kcat} * E2_7_1_11 * C00075 * C01097)/(${Variables:E2_7_1_11_km} + (E2_7_1_11 * C00075 * C01097))</v>
      </c>
    </row>
    <row r="320" spans="1:11" ht="42.75" x14ac:dyDescent="0.45">
      <c r="A320" s="53" t="s">
        <v>5971</v>
      </c>
      <c r="B320" s="54" t="s">
        <v>5972</v>
      </c>
      <c r="C320" t="s">
        <v>1745</v>
      </c>
      <c r="D320" s="12">
        <v>330</v>
      </c>
      <c r="E320" s="12" t="str">
        <f>CONCATENATE("E",C320)</f>
        <v>E2_7_1_11</v>
      </c>
      <c r="F320" s="12" t="s">
        <v>3138</v>
      </c>
      <c r="G320" s="12" t="s">
        <v>1383</v>
      </c>
      <c r="H320" t="s">
        <v>3423</v>
      </c>
      <c r="I320" t="s">
        <v>1384</v>
      </c>
      <c r="J320" s="12" t="str">
        <f>CONCATENATE("(${Variables:",E320,"_kcat","} * ",E320," * ",G320,")","/(${Variables:",E320,"_km","} + (",E320," * ",G320,"))")</f>
        <v>(${Variables:E2_7_1_11_kcat} * E2_7_1_11 * C00081 * C01097)/(${Variables:E2_7_1_11_km} + (E2_7_1_11 * C00081 * C01097))</v>
      </c>
      <c r="K320" s="43" t="str">
        <f>CONCATENATE("r",D320,": ",F320," -&gt; ",H320," | ",J320)</f>
        <v>r330: C00081 + C01097 -&gt; C00104 + C03785 | (${Variables:E2_7_1_11_kcat} * E2_7_1_11 * C00081 * C01097)/(${Variables:E2_7_1_11_km} + (E2_7_1_11 * C00081 * C01097))</v>
      </c>
    </row>
    <row r="321" spans="1:11" ht="42.75" x14ac:dyDescent="0.45">
      <c r="A321" s="53" t="s">
        <v>4784</v>
      </c>
      <c r="B321" s="54" t="s">
        <v>4785</v>
      </c>
      <c r="C321" t="s">
        <v>10351</v>
      </c>
      <c r="D321" s="12">
        <v>331</v>
      </c>
      <c r="E321" s="12" t="str">
        <f>CONCATENATE("E",C321)</f>
        <v>E2_7_1_144</v>
      </c>
      <c r="F321" t="s">
        <v>3139</v>
      </c>
      <c r="G321" t="s">
        <v>1560</v>
      </c>
      <c r="H321" t="s">
        <v>3424</v>
      </c>
      <c r="I321" t="s">
        <v>1561</v>
      </c>
      <c r="J321" s="12" t="str">
        <f>CONCATENATE("(${Variables:",E321,"_kcat","} * ",E321," * ",G321,")","/(${Variables:",E321,"_km","} + (",E321," * ",G321,"))")</f>
        <v>(${Variables:E2_7_1_144_kcat} * E2_7_1_144 * C01097 * C00002)/(${Variables:E2_7_1_144_km} + (E2_7_1_144 * C01097 * C00002))</v>
      </c>
      <c r="K321" s="43" t="str">
        <f>CONCATENATE("r",D321,": ",F321," -&gt; ",H321," | ",J321)</f>
        <v>r331: C01097 + C00002 -&gt; C03785 + C00008 | (${Variables:E2_7_1_144_kcat} * E2_7_1_144 * C01097 * C00002)/(${Variables:E2_7_1_144_km} + (E2_7_1_144 * C01097 * C00002))</v>
      </c>
    </row>
    <row r="322" spans="1:11" ht="42.75" x14ac:dyDescent="0.45">
      <c r="A322" s="53" t="s">
        <v>3861</v>
      </c>
      <c r="B322" s="54" t="s">
        <v>3862</v>
      </c>
      <c r="C322" t="s">
        <v>10352</v>
      </c>
      <c r="D322" s="12">
        <v>332</v>
      </c>
      <c r="E322" s="12" t="str">
        <f>CONCATENATE("E",C322)</f>
        <v>E2_7_1_148</v>
      </c>
      <c r="F322" t="s">
        <v>8496</v>
      </c>
      <c r="G322" t="s">
        <v>10563</v>
      </c>
      <c r="H322" t="s">
        <v>8497</v>
      </c>
      <c r="I322" t="s">
        <v>10793</v>
      </c>
      <c r="J322" s="12" t="str">
        <f>CONCATENATE("(${Variables:",E322,"_kcat","} * ",E322," * ",G322,")","/(${Variables:",E322,"_km","} + (",E322," * ",G322,"))")</f>
        <v>(${Variables:E2_7_1_148_kcat} * E2_7_1_148 * C11435 * C00002)/(${Variables:E2_7_1_148_km} + (E2_7_1_148 * C11435 * C00002))</v>
      </c>
      <c r="K322" s="43" t="str">
        <f>CONCATENATE("r",D322,": ",F322," -&gt; ",H322," | ",J322)</f>
        <v>r332: C11435 + C00002 -&gt; C11436 + C00008 | (${Variables:E2_7_1_148_kcat} * E2_7_1_148 * C11435 * C00002)/(${Variables:E2_7_1_148_km} + (E2_7_1_148 * C11435 * C00002))</v>
      </c>
    </row>
    <row r="323" spans="1:11" ht="42.75" x14ac:dyDescent="0.45">
      <c r="A323" s="53" t="s">
        <v>4738</v>
      </c>
      <c r="B323" s="54" t="s">
        <v>4739</v>
      </c>
      <c r="C323" t="s">
        <v>1751</v>
      </c>
      <c r="D323" s="12">
        <v>333</v>
      </c>
      <c r="E323" s="12" t="str">
        <f>CONCATENATE("E",C323)</f>
        <v>E2_7_1_15</v>
      </c>
      <c r="F323" s="12" t="s">
        <v>3140</v>
      </c>
      <c r="G323" s="12" t="s">
        <v>1202</v>
      </c>
      <c r="H323" t="s">
        <v>3425</v>
      </c>
      <c r="I323" t="s">
        <v>1203</v>
      </c>
      <c r="J323" s="12" t="str">
        <f>CONCATENATE("(${Variables:",E323,"_kcat","} * ",E323," * ",G323,")","/(${Variables:",E323,"_km","} + (",E323," * ",G323,"))")</f>
        <v>(${Variables:E2_7_1_15_kcat} * E2_7_1_15 * C00002 * C00121)/(${Variables:E2_7_1_15_km} + (E2_7_1_15 * C00002 * C00121))</v>
      </c>
      <c r="K323" s="43" t="str">
        <f>CONCATENATE("r",D323,": ",F323," -&gt; ",H323," | ",J323)</f>
        <v>r333: C00002 + C00121 -&gt; C00008 + C00117 | (${Variables:E2_7_1_15_kcat} * E2_7_1_15 * C00002 * C00121)/(${Variables:E2_7_1_15_km} + (E2_7_1_15 * C00002 * C00121))</v>
      </c>
    </row>
    <row r="324" spans="1:11" ht="42.75" x14ac:dyDescent="0.45">
      <c r="A324" s="53" t="s">
        <v>4738</v>
      </c>
      <c r="B324" s="54" t="s">
        <v>4739</v>
      </c>
      <c r="C324" t="s">
        <v>1751</v>
      </c>
      <c r="D324" s="12">
        <v>334</v>
      </c>
      <c r="E324" s="12" t="str">
        <f>CONCATENATE("E",C324)</f>
        <v>E2_7_1_15</v>
      </c>
      <c r="F324" s="12" t="s">
        <v>3141</v>
      </c>
      <c r="G324" s="12" t="s">
        <v>1534</v>
      </c>
      <c r="H324" t="s">
        <v>3426</v>
      </c>
      <c r="I324" t="s">
        <v>1535</v>
      </c>
      <c r="J324" s="12" t="str">
        <f>CONCATENATE("(${Variables:",E324,"_kcat","} * ",E324," * ",G324,")","/(${Variables:",E324,"_km","} + (",E324," * ",G324,"))")</f>
        <v>(${Variables:E2_7_1_15_kcat} * E2_7_1_15 * C00673 * C00008)/(${Variables:E2_7_1_15_km} + (E2_7_1_15 * C00673 * C00008))</v>
      </c>
      <c r="K324" s="43" t="str">
        <f>CONCATENATE("r",D324,": ",F324," -&gt; ",H324," | ",J324)</f>
        <v>r334: C00673 + C00008 -&gt; C01801 + C00002 | (${Variables:E2_7_1_15_kcat} * E2_7_1_15 * C00673 * C00008)/(${Variables:E2_7_1_15_km} + (E2_7_1_15 * C00673 * C00008))</v>
      </c>
    </row>
    <row r="325" spans="1:11" ht="42.75" x14ac:dyDescent="0.45">
      <c r="A325" s="53" t="s">
        <v>4817</v>
      </c>
      <c r="B325" s="54" t="s">
        <v>4818</v>
      </c>
      <c r="C325" t="s">
        <v>1751</v>
      </c>
      <c r="D325" s="12">
        <v>335</v>
      </c>
      <c r="E325" s="12" t="str">
        <f>CONCATENATE("E",C325)</f>
        <v>E2_7_1_15</v>
      </c>
      <c r="F325" s="12" t="s">
        <v>3140</v>
      </c>
      <c r="G325" s="12" t="s">
        <v>1202</v>
      </c>
      <c r="H325" t="s">
        <v>3425</v>
      </c>
      <c r="I325" t="s">
        <v>1203</v>
      </c>
      <c r="J325" s="12" t="str">
        <f>CONCATENATE("(${Variables:",E325,"_kcat","} * ",E325," * ",G325,")","/(${Variables:",E325,"_km","} + (",E325," * ",G325,"))")</f>
        <v>(${Variables:E2_7_1_15_kcat} * E2_7_1_15 * C00002 * C00121)/(${Variables:E2_7_1_15_km} + (E2_7_1_15 * C00002 * C00121))</v>
      </c>
      <c r="K325" s="43" t="str">
        <f>CONCATENATE("r",D325,": ",F325," -&gt; ",H325," | ",J325)</f>
        <v>r335: C00002 + C00121 -&gt; C00008 + C00117 | (${Variables:E2_7_1_15_kcat} * E2_7_1_15 * C00002 * C00121)/(${Variables:E2_7_1_15_km} + (E2_7_1_15 * C00002 * C00121))</v>
      </c>
    </row>
    <row r="326" spans="1:11" ht="42.75" x14ac:dyDescent="0.45">
      <c r="A326" s="53" t="s">
        <v>4817</v>
      </c>
      <c r="B326" s="54" t="s">
        <v>4818</v>
      </c>
      <c r="C326" t="s">
        <v>1751</v>
      </c>
      <c r="D326" s="12">
        <v>336</v>
      </c>
      <c r="E326" s="12" t="str">
        <f>CONCATENATE("E",C326)</f>
        <v>E2_7_1_15</v>
      </c>
      <c r="F326" t="s">
        <v>3141</v>
      </c>
      <c r="G326" t="s">
        <v>1534</v>
      </c>
      <c r="H326" s="12" t="s">
        <v>3141</v>
      </c>
      <c r="I326" s="12" t="s">
        <v>1534</v>
      </c>
      <c r="J326" s="12" t="str">
        <f>CONCATENATE("(${Variables:",E326,"_kcat","} * ",E326," * ",G326,")","/(${Variables:",E326,"_km","} + (",E326," * ",G326,"))")</f>
        <v>(${Variables:E2_7_1_15_kcat} * E2_7_1_15 * C00673 * C00008)/(${Variables:E2_7_1_15_km} + (E2_7_1_15 * C00673 * C00008))</v>
      </c>
      <c r="K326" s="43" t="str">
        <f>CONCATENATE("r",D326,": ",F326," -&gt; ",H326," | ",J326)</f>
        <v>r336: C00673 + C00008 -&gt; C00673 + C00008 | (${Variables:E2_7_1_15_kcat} * E2_7_1_15 * C00673 * C00008)/(${Variables:E2_7_1_15_km} + (E2_7_1_15 * C00673 * C00008))</v>
      </c>
    </row>
    <row r="327" spans="1:11" ht="42.75" x14ac:dyDescent="0.45">
      <c r="A327" s="53" t="s">
        <v>6283</v>
      </c>
      <c r="B327" s="54" t="s">
        <v>6284</v>
      </c>
      <c r="C327" t="s">
        <v>10353</v>
      </c>
      <c r="D327" s="12">
        <v>337</v>
      </c>
      <c r="E327" s="12" t="str">
        <f>CONCATENATE("E",C327)</f>
        <v>E2_7_1_180</v>
      </c>
      <c r="F327" s="12" t="s">
        <v>9452</v>
      </c>
      <c r="G327" s="12" t="s">
        <v>10564</v>
      </c>
      <c r="H327" t="s">
        <v>9453</v>
      </c>
      <c r="I327" t="s">
        <v>10794</v>
      </c>
      <c r="J327" s="12" t="str">
        <f>CONCATENATE("(${Variables:",E327,"_kcat","} * ",E327," * ",G327,")","/(${Variables:",E327,"_km","} + (",E327," * ",G327,"))")</f>
        <v>(${Variables:E2_7_1_180_kcat} * E2_7_1_180 * C00016 * C19803)/(${Variables:E2_7_1_180_km} + (E2_7_1_180 * C00016 * C19803))</v>
      </c>
      <c r="K327" s="43" t="str">
        <f>CONCATENATE("r",D327,": ",F327," -&gt; ",H327," | ",J327)</f>
        <v>r337: C00016 + C19803 -&gt; C20730 + C00020 | (${Variables:E2_7_1_180_kcat} * E2_7_1_180 * C00016 * C19803)/(${Variables:E2_7_1_180_km} + (E2_7_1_180 * C00016 * C19803))</v>
      </c>
    </row>
    <row r="328" spans="1:11" ht="42.75" x14ac:dyDescent="0.45">
      <c r="A328" s="53" t="s">
        <v>5064</v>
      </c>
      <c r="B328" s="54" t="s">
        <v>5065</v>
      </c>
      <c r="C328" t="s">
        <v>10354</v>
      </c>
      <c r="D328" s="12">
        <v>338</v>
      </c>
      <c r="E328" s="12" t="str">
        <f>CONCATENATE("E",C328)</f>
        <v>E2_7_1_2</v>
      </c>
      <c r="F328" s="12" t="s">
        <v>9011</v>
      </c>
      <c r="G328" s="12" t="s">
        <v>10565</v>
      </c>
      <c r="H328" t="s">
        <v>9012</v>
      </c>
      <c r="I328" t="s">
        <v>10795</v>
      </c>
      <c r="J328" s="12" t="str">
        <f>CONCATENATE("(${Variables:",E328,"_kcat","} * ",E328," * ",G328,")","/(${Variables:",E328,"_km","} + (",E328," * ",G328,"))")</f>
        <v>(${Variables:E2_7_1_2_kcat} * E2_7_1_2 * C00002 * C00031)/(${Variables:E2_7_1_2_km} + (E2_7_1_2 * C00002 * C00031))</v>
      </c>
      <c r="K328" s="43" t="str">
        <f>CONCATENATE("r",D328,": ",F328," -&gt; ",H328," | ",J328)</f>
        <v>r338: C00002 + C00031 -&gt; C00008 + C00092 | (${Variables:E2_7_1_2_kcat} * E2_7_1_2 * C00002 * C00031)/(${Variables:E2_7_1_2_km} + (E2_7_1_2 * C00002 * C00031))</v>
      </c>
    </row>
    <row r="329" spans="1:11" ht="42.75" x14ac:dyDescent="0.45">
      <c r="A329" s="53" t="s">
        <v>5064</v>
      </c>
      <c r="B329" s="54" t="s">
        <v>5065</v>
      </c>
      <c r="C329" t="s">
        <v>10354</v>
      </c>
      <c r="D329" s="12">
        <v>339</v>
      </c>
      <c r="E329" s="12" t="str">
        <f>CONCATENATE("E",C329)</f>
        <v>E2_7_1_2</v>
      </c>
      <c r="F329" s="12" t="s">
        <v>9016</v>
      </c>
      <c r="G329" s="12" t="s">
        <v>10566</v>
      </c>
      <c r="H329" t="s">
        <v>9017</v>
      </c>
      <c r="I329" t="s">
        <v>10796</v>
      </c>
      <c r="J329" s="12" t="str">
        <f>CONCATENATE("(${Variables:",E329,"_kcat","} * ",E329," * ",G329,")","/(${Variables:",E329,"_km","} + (",E329," * ",G329,"))")</f>
        <v>(${Variables:E2_7_1_2_kcat} * E2_7_1_2 * C00002 * C00221)/(${Variables:E2_7_1_2_km} + (E2_7_1_2 * C00002 * C00221))</v>
      </c>
      <c r="K329" s="43" t="str">
        <f>CONCATENATE("r",D329,": ",F329," -&gt; ",H329," | ",J329)</f>
        <v>r339: C00002 + C00221 -&gt; C00008 + C01172 | (${Variables:E2_7_1_2_kcat} * E2_7_1_2 * C00002 * C00221)/(${Variables:E2_7_1_2_km} + (E2_7_1_2 * C00002 * C00221))</v>
      </c>
    </row>
    <row r="330" spans="1:11" ht="42.75" x14ac:dyDescent="0.45">
      <c r="A330" s="53" t="s">
        <v>5064</v>
      </c>
      <c r="B330" s="54" t="s">
        <v>5065</v>
      </c>
      <c r="C330" t="s">
        <v>10354</v>
      </c>
      <c r="D330" s="12">
        <v>340</v>
      </c>
      <c r="E330" s="12" t="str">
        <f>CONCATENATE("E",C330)</f>
        <v>E2_7_1_2</v>
      </c>
      <c r="F330" t="s">
        <v>9019</v>
      </c>
      <c r="G330" t="s">
        <v>10567</v>
      </c>
      <c r="H330" t="s">
        <v>9020</v>
      </c>
      <c r="I330" t="s">
        <v>10797</v>
      </c>
      <c r="J330" s="12" t="str">
        <f>CONCATENATE("(${Variables:",E330,"_kcat","} * ",E330," * ",G330,")","/(${Variables:",E330,"_km","} + (",E330," * ",G330,"))")</f>
        <v>(${Variables:E2_7_1_2_kcat} * E2_7_1_2 * C00002 * C00267)/(${Variables:E2_7_1_2_km} + (E2_7_1_2 * C00002 * C00267))</v>
      </c>
      <c r="K330" s="43" t="str">
        <f>CONCATENATE("r",D330,": ",F330," -&gt; ",H330," | ",J330)</f>
        <v>r340: C00002 + C00267 -&gt; C00008 + C00668 | (${Variables:E2_7_1_2_kcat} * E2_7_1_2 * C00002 * C00267)/(${Variables:E2_7_1_2_km} + (E2_7_1_2 * C00002 * C00267))</v>
      </c>
    </row>
    <row r="331" spans="1:11" ht="42.75" x14ac:dyDescent="0.45">
      <c r="A331" s="53" t="s">
        <v>6436</v>
      </c>
      <c r="B331" s="54" t="s">
        <v>6437</v>
      </c>
      <c r="C331" t="s">
        <v>10355</v>
      </c>
      <c r="D331" s="12">
        <v>341</v>
      </c>
      <c r="E331" s="12" t="str">
        <f>CONCATENATE("E",C331)</f>
        <v>E2_7_1_202</v>
      </c>
      <c r="F331" s="12" t="s">
        <v>9645</v>
      </c>
      <c r="G331" s="12" t="s">
        <v>10568</v>
      </c>
      <c r="H331" t="s">
        <v>9646</v>
      </c>
      <c r="I331" t="s">
        <v>10798</v>
      </c>
      <c r="J331" s="12" t="str">
        <f>CONCATENATE("(${Variables:",E331,"_kcat","} * ",E331," * ",G331,")","/(${Variables:",E331,"_km","} + (",E331," * ",G331,"))")</f>
        <v>(${Variables:E2_7_1_202_kcat} * E2_7_1_202 * C04261 * C00095)/(${Variables:E2_7_1_202_km} + (E2_7_1_202 * C04261 * C00095))</v>
      </c>
      <c r="K331" s="43" t="str">
        <f>CONCATENATE("r",D331,": ",F331," -&gt; ",H331," | ",J331)</f>
        <v>r341: C04261 + C00095 -&gt; C00615 + C01094 | (${Variables:E2_7_1_202_kcat} * E2_7_1_202 * C04261 * C00095)/(${Variables:E2_7_1_202_km} + (E2_7_1_202 * C04261 * C00095))</v>
      </c>
    </row>
    <row r="332" spans="1:11" ht="42.75" x14ac:dyDescent="0.45">
      <c r="A332" s="53" t="s">
        <v>4794</v>
      </c>
      <c r="B332" s="54" t="s">
        <v>4795</v>
      </c>
      <c r="C332" t="s">
        <v>10356</v>
      </c>
      <c r="D332" s="12">
        <v>342</v>
      </c>
      <c r="E332" s="12" t="str">
        <f>CONCATENATE("E",C332)</f>
        <v>E2_7_1_207</v>
      </c>
      <c r="F332" t="s">
        <v>8929</v>
      </c>
      <c r="G332" t="s">
        <v>10569</v>
      </c>
      <c r="H332" t="s">
        <v>8930</v>
      </c>
      <c r="I332" t="s">
        <v>10799</v>
      </c>
      <c r="J332" s="12" t="str">
        <f>CONCATENATE("(${Variables:",E332,"_kcat","} * ",E332," * ",G332,")","/(${Variables:",E332,"_km","} + (",E332," * ",G332,"))")</f>
        <v>(${Variables:E2_7_1_207_kcat} * E2_7_1_207 * C04261 * C00243)/(${Variables:E2_7_1_207_km} + (E2_7_1_207 * C04261 * C00243))</v>
      </c>
      <c r="K332" s="43" t="str">
        <f>CONCATENATE("r",D332,": ",F332," -&gt; ",H332," | ",J332)</f>
        <v>r342: C04261 + C00243 -&gt; C00615 + C05396 | (${Variables:E2_7_1_207_kcat} * E2_7_1_207 * C04261 * C00243)/(${Variables:E2_7_1_207_km} + (E2_7_1_207 * C04261 * C00243))</v>
      </c>
    </row>
    <row r="333" spans="1:11" ht="42.75" x14ac:dyDescent="0.45">
      <c r="A333" s="53" t="s">
        <v>4794</v>
      </c>
      <c r="B333" s="54" t="s">
        <v>4795</v>
      </c>
      <c r="C333" t="s">
        <v>10356</v>
      </c>
      <c r="D333" s="12">
        <v>343</v>
      </c>
      <c r="E333" s="12" t="str">
        <f>CONCATENATE("E",C333)</f>
        <v>E2_7_1_207</v>
      </c>
      <c r="F333" t="s">
        <v>8932</v>
      </c>
      <c r="G333" t="s">
        <v>10570</v>
      </c>
      <c r="H333" t="s">
        <v>8933</v>
      </c>
      <c r="I333" t="s">
        <v>10800</v>
      </c>
      <c r="J333" s="12" t="str">
        <f>CONCATENATE("(${Variables:",E333,"_kcat","} * ",E333," * ",G333,")","/(${Variables:",E333,"_km","} + (",E333," * ",G333,"))")</f>
        <v>(${Variables:E2_7_1_207_kcat} * E2_7_1_207 * C04261 * G10504)/(${Variables:E2_7_1_207_km} + (E2_7_1_207 * C04261 * G10504))</v>
      </c>
      <c r="K333" s="43" t="str">
        <f>CONCATENATE("r",D333,": ",F333," -&gt; ",H333," | ",J333)</f>
        <v>r343: C04261 + G10504 -&gt; C00615 + G10517 | (${Variables:E2_7_1_207_kcat} * E2_7_1_207 * C04261 * G10504)/(${Variables:E2_7_1_207_km} + (E2_7_1_207 * C04261 * G10504))</v>
      </c>
    </row>
    <row r="334" spans="1:11" ht="42.75" x14ac:dyDescent="0.45">
      <c r="A334" s="53" t="s">
        <v>4797</v>
      </c>
      <c r="B334" s="54" t="s">
        <v>4798</v>
      </c>
      <c r="C334" t="s">
        <v>10356</v>
      </c>
      <c r="D334" s="12">
        <v>344</v>
      </c>
      <c r="E334" s="12" t="str">
        <f>CONCATENATE("E",C334)</f>
        <v>E2_7_1_207</v>
      </c>
      <c r="F334" t="s">
        <v>8929</v>
      </c>
      <c r="G334" t="s">
        <v>10569</v>
      </c>
      <c r="H334" t="s">
        <v>8930</v>
      </c>
      <c r="I334" t="s">
        <v>10799</v>
      </c>
      <c r="J334" s="12" t="str">
        <f>CONCATENATE("(${Variables:",E334,"_kcat","} * ",E334," * ",G334,")","/(${Variables:",E334,"_km","} + (",E334," * ",G334,"))")</f>
        <v>(${Variables:E2_7_1_207_kcat} * E2_7_1_207 * C04261 * C00243)/(${Variables:E2_7_1_207_km} + (E2_7_1_207 * C04261 * C00243))</v>
      </c>
      <c r="K334" s="43" t="str">
        <f>CONCATENATE("r",D334,": ",F334," -&gt; ",H334," | ",J334)</f>
        <v>r344: C04261 + C00243 -&gt; C00615 + C05396 | (${Variables:E2_7_1_207_kcat} * E2_7_1_207 * C04261 * C00243)/(${Variables:E2_7_1_207_km} + (E2_7_1_207 * C04261 * C00243))</v>
      </c>
    </row>
    <row r="335" spans="1:11" ht="42.75" x14ac:dyDescent="0.45">
      <c r="A335" s="53" t="s">
        <v>4797</v>
      </c>
      <c r="B335" s="54" t="s">
        <v>4798</v>
      </c>
      <c r="C335" t="s">
        <v>10356</v>
      </c>
      <c r="D335" s="12">
        <v>345</v>
      </c>
      <c r="E335" s="12" t="str">
        <f>CONCATENATE("E",C335)</f>
        <v>E2_7_1_207</v>
      </c>
      <c r="F335" t="s">
        <v>8932</v>
      </c>
      <c r="G335" t="s">
        <v>10570</v>
      </c>
      <c r="H335" t="s">
        <v>8933</v>
      </c>
      <c r="I335" t="s">
        <v>10800</v>
      </c>
      <c r="J335" s="12" t="str">
        <f>CONCATENATE("(${Variables:",E335,"_kcat","} * ",E335," * ",G335,")","/(${Variables:",E335,"_km","} + (",E335," * ",G335,"))")</f>
        <v>(${Variables:E2_7_1_207_kcat} * E2_7_1_207 * C04261 * G10504)/(${Variables:E2_7_1_207_km} + (E2_7_1_207 * C04261 * G10504))</v>
      </c>
      <c r="K335" s="43" t="str">
        <f>CONCATENATE("r",D335,": ",F335," -&gt; ",H335," | ",J335)</f>
        <v>r345: C04261 + G10504 -&gt; C00615 + G10517 | (${Variables:E2_7_1_207_kcat} * E2_7_1_207 * C04261 * G10504)/(${Variables:E2_7_1_207_km} + (E2_7_1_207 * C04261 * G10504))</v>
      </c>
    </row>
    <row r="336" spans="1:11" ht="42.75" x14ac:dyDescent="0.45">
      <c r="A336" s="53" t="s">
        <v>6278</v>
      </c>
      <c r="B336" s="54" t="s">
        <v>6279</v>
      </c>
      <c r="C336" t="s">
        <v>1759</v>
      </c>
      <c r="D336" s="12">
        <v>346</v>
      </c>
      <c r="E336" s="12" t="str">
        <f>CONCATENATE("E",C336)</f>
        <v>E2_7_1_21</v>
      </c>
      <c r="F336" s="12" t="s">
        <v>3142</v>
      </c>
      <c r="G336" s="12" t="s">
        <v>1232</v>
      </c>
      <c r="H336" t="s">
        <v>3427</v>
      </c>
      <c r="I336" t="s">
        <v>1233</v>
      </c>
      <c r="J336" s="12" t="str">
        <f>CONCATENATE("(${Variables:",E336,"_kcat","} * ",E336," * ",G336,")","/(${Variables:",E336,"_km","} + (",E336," * ",G336,"))")</f>
        <v>(${Variables:E2_7_1_21_kcat} * E2_7_1_21 * C00002 * C00214)/(${Variables:E2_7_1_21_km} + (E2_7_1_21 * C00002 * C00214))</v>
      </c>
      <c r="K336" s="43" t="str">
        <f>CONCATENATE("r",D336,": ",F336," -&gt; ",H336," | ",J336)</f>
        <v>r346: C00002 + C00214 -&gt; C00008 + C00364 | (${Variables:E2_7_1_21_kcat} * E2_7_1_21 * C00002 * C00214)/(${Variables:E2_7_1_21_km} + (E2_7_1_21 * C00002 * C00214))</v>
      </c>
    </row>
    <row r="337" spans="1:11" ht="42.75" x14ac:dyDescent="0.45">
      <c r="A337" s="53" t="s">
        <v>6278</v>
      </c>
      <c r="B337" s="54" t="s">
        <v>6279</v>
      </c>
      <c r="C337" t="s">
        <v>1759</v>
      </c>
      <c r="D337" s="12">
        <v>347</v>
      </c>
      <c r="E337" s="12" t="str">
        <f>CONCATENATE("E",C337)</f>
        <v>E2_7_1_21</v>
      </c>
      <c r="F337" s="12" t="s">
        <v>3143</v>
      </c>
      <c r="G337" s="12" t="s">
        <v>1256</v>
      </c>
      <c r="H337" t="s">
        <v>3428</v>
      </c>
      <c r="I337" t="s">
        <v>1257</v>
      </c>
      <c r="J337" s="12" t="str">
        <f>CONCATENATE("(${Variables:",E337,"_kcat","} * ",E337," * ",G337,")","/(${Variables:",E337,"_km","} + (",E337," * ",G337,"))")</f>
        <v>(${Variables:E2_7_1_21_kcat} * E2_7_1_21 * C00002 * C00526)/(${Variables:E2_7_1_21_km} + (E2_7_1_21 * C00002 * C00526))</v>
      </c>
      <c r="K337" s="43" t="str">
        <f>CONCATENATE("r",D337,": ",F337," -&gt; ",H337," | ",J337)</f>
        <v>r347: C00002 + C00526 -&gt; C00008 + C00365 | (${Variables:E2_7_1_21_kcat} * E2_7_1_21 * C00002 * C00526)/(${Variables:E2_7_1_21_km} + (E2_7_1_21 * C00002 * C00526))</v>
      </c>
    </row>
    <row r="338" spans="1:11" ht="42.75" x14ac:dyDescent="0.45">
      <c r="A338" s="53" t="s">
        <v>6278</v>
      </c>
      <c r="B338" s="54" t="s">
        <v>6279</v>
      </c>
      <c r="C338" t="s">
        <v>1759</v>
      </c>
      <c r="D338" s="12">
        <v>348</v>
      </c>
      <c r="E338" s="12" t="str">
        <f>CONCATENATE("E",C338)</f>
        <v>E2_7_1_21</v>
      </c>
      <c r="F338" s="12" t="s">
        <v>3144</v>
      </c>
      <c r="G338" s="12" t="s">
        <v>1663</v>
      </c>
      <c r="H338" t="s">
        <v>3429</v>
      </c>
      <c r="I338" t="s">
        <v>1664</v>
      </c>
      <c r="J338" s="12" t="str">
        <f>CONCATENATE("(${Variables:",E338,"_kcat","} * ",E338," * ",G338,")","/(${Variables:",E338,"_km","} + (",E338," * ",G338,"))")</f>
        <v>(${Variables:E2_7_1_21_kcat} * E2_7_1_21 * C11736 * C00002)/(${Variables:E2_7_1_21_km} + (E2_7_1_21 * C11736 * C00002))</v>
      </c>
      <c r="K338" s="43" t="str">
        <f>CONCATENATE("r",D338,": ",F338," -&gt; ",H338," | ",J338)</f>
        <v>r348: C11736 + C00002 -&gt; C04242 + C00008 | (${Variables:E2_7_1_21_kcat} * E2_7_1_21 * C11736 * C00002)/(${Variables:E2_7_1_21_km} + (E2_7_1_21 * C11736 * C00002))</v>
      </c>
    </row>
    <row r="339" spans="1:11" ht="42.75" x14ac:dyDescent="0.45">
      <c r="A339" s="53" t="s">
        <v>4554</v>
      </c>
      <c r="B339" s="54" t="s">
        <v>4555</v>
      </c>
      <c r="C339" t="s">
        <v>1826</v>
      </c>
      <c r="D339" s="12">
        <v>349</v>
      </c>
      <c r="E339" s="12" t="str">
        <f>CONCATENATE("E",C339)</f>
        <v>E2_7_1_211</v>
      </c>
      <c r="F339" t="s">
        <v>3145</v>
      </c>
      <c r="G339" t="s">
        <v>10571</v>
      </c>
      <c r="H339" t="s">
        <v>3430</v>
      </c>
      <c r="I339" t="s">
        <v>10801</v>
      </c>
      <c r="J339" s="12" t="str">
        <f>CONCATENATE("(${Variables:",E339,"_kcat","} * ",E339," * ",G339,")","/(${Variables:",E339,"_km","} + (",E339," * ",G339,"))")</f>
        <v>(${Variables:E2_7_1_211_kcat} * E2_7_1_211 * C00089 * C04261)/(${Variables:E2_7_1_211_km} + (E2_7_1_211 * C00089 * C04261))</v>
      </c>
      <c r="K339" s="43" t="str">
        <f>CONCATENATE("r",D339,": ",F339," -&gt; ",H339," | ",J339)</f>
        <v>r349: C00089 + C04261 -&gt; C16688 + C00615 | (${Variables:E2_7_1_211_kcat} * E2_7_1_211 * C00089 * C04261)/(${Variables:E2_7_1_211_km} + (E2_7_1_211 * C00089 * C04261))</v>
      </c>
    </row>
    <row r="340" spans="1:11" ht="42.75" x14ac:dyDescent="0.45">
      <c r="A340" s="53" t="s">
        <v>4738</v>
      </c>
      <c r="B340" s="54" t="s">
        <v>4739</v>
      </c>
      <c r="C340" t="s">
        <v>10357</v>
      </c>
      <c r="D340" s="12">
        <v>350</v>
      </c>
      <c r="E340" s="12" t="str">
        <f>CONCATENATE("E",C340)</f>
        <v>E2_7_1_229</v>
      </c>
      <c r="F340" s="12" t="s">
        <v>3141</v>
      </c>
      <c r="G340" s="12" t="s">
        <v>1534</v>
      </c>
      <c r="H340" t="s">
        <v>3426</v>
      </c>
      <c r="I340" t="s">
        <v>1535</v>
      </c>
      <c r="J340" s="12" t="str">
        <f>CONCATENATE("(${Variables:",E340,"_kcat","} * ",E340," * ",G340,")","/(${Variables:",E340,"_km","} + (",E340," * ",G340,"))")</f>
        <v>(${Variables:E2_7_1_229_kcat} * E2_7_1_229 * C00673 * C00008)/(${Variables:E2_7_1_229_km} + (E2_7_1_229 * C00673 * C00008))</v>
      </c>
      <c r="K340" s="43" t="str">
        <f>CONCATENATE("r",D340,": ",F340," -&gt; ",H340," | ",J340)</f>
        <v>r350: C00673 + C00008 -&gt; C01801 + C00002 | (${Variables:E2_7_1_229_kcat} * E2_7_1_229 * C00673 * C00008)/(${Variables:E2_7_1_229_km} + (E2_7_1_229 * C00673 * C00008))</v>
      </c>
    </row>
    <row r="341" spans="1:11" ht="42.75" x14ac:dyDescent="0.45">
      <c r="A341" s="53" t="s">
        <v>6304</v>
      </c>
      <c r="B341" s="54" t="s">
        <v>6305</v>
      </c>
      <c r="C341" t="s">
        <v>1723</v>
      </c>
      <c r="D341" s="12">
        <v>351</v>
      </c>
      <c r="E341" s="12" t="str">
        <f>CONCATENATE("E",C341)</f>
        <v>E2_7_1_23</v>
      </c>
      <c r="F341" s="12" t="s">
        <v>3146</v>
      </c>
      <c r="G341" s="12" t="s">
        <v>1145</v>
      </c>
      <c r="H341" t="s">
        <v>3431</v>
      </c>
      <c r="I341" t="s">
        <v>1146</v>
      </c>
      <c r="J341" s="12" t="str">
        <f>CONCATENATE("(${Variables:",E341,"_kcat","} * ",E341," * ",G341,")","/(${Variables:",E341,"_km","} + (",E341," * ",G341,"))")</f>
        <v>(${Variables:E2_7_1_23_kcat} * E2_7_1_23 * C00002 * C00003)/(${Variables:E2_7_1_23_km} + (E2_7_1_23 * C00002 * C00003))</v>
      </c>
      <c r="K341" s="43" t="str">
        <f>CONCATENATE("r",D341,": ",F341," -&gt; ",H341," | ",J341)</f>
        <v>r351: C00002 + C00003 -&gt; C00008 + C00006 | (${Variables:E2_7_1_23_kcat} * E2_7_1_23 * C00002 * C00003)/(${Variables:E2_7_1_23_km} + (E2_7_1_23 * C00002 * C00003))</v>
      </c>
    </row>
    <row r="342" spans="1:11" ht="42.75" x14ac:dyDescent="0.45">
      <c r="A342" s="53" t="s">
        <v>7091</v>
      </c>
      <c r="B342" s="54" t="s">
        <v>7092</v>
      </c>
      <c r="C342" t="s">
        <v>1772</v>
      </c>
      <c r="D342" s="12">
        <v>352</v>
      </c>
      <c r="E342" s="12" t="str">
        <f>CONCATENATE("E",C342)</f>
        <v>E2_7_1_24</v>
      </c>
      <c r="F342" s="12" t="s">
        <v>3113</v>
      </c>
      <c r="G342" s="12" t="s">
        <v>1266</v>
      </c>
      <c r="H342" t="s">
        <v>3432</v>
      </c>
      <c r="I342" t="s">
        <v>1268</v>
      </c>
      <c r="J342" s="12" t="str">
        <f>CONCATENATE("(${Variables:",E342,"_kcat","} * ",E342," * ",G342,")","/(${Variables:",E342,"_km","} + (",E342," * ",G342,"))")</f>
        <v>(${Variables:E2_7_1_24_kcat} * E2_7_1_24 * C00002 * C00882)/(${Variables:E2_7_1_24_km} + (E2_7_1_24 * C00002 * C00882))</v>
      </c>
      <c r="K342" s="43" t="str">
        <f>CONCATENATE("r",D342,": ",F342," -&gt; ",H342," | ",J342)</f>
        <v>r352: C00002 + C00882 -&gt; C00008 + C00010 | (${Variables:E2_7_1_24_kcat} * E2_7_1_24 * C00002 * C00882)/(${Variables:E2_7_1_24_km} + (E2_7_1_24 * C00002 * C00882))</v>
      </c>
    </row>
    <row r="343" spans="1:11" ht="42.75" x14ac:dyDescent="0.45">
      <c r="A343" s="53" t="s">
        <v>6034</v>
      </c>
      <c r="B343" s="54" t="s">
        <v>6035</v>
      </c>
      <c r="C343" t="s">
        <v>1760</v>
      </c>
      <c r="D343" s="12">
        <v>353</v>
      </c>
      <c r="E343" s="12" t="str">
        <f>CONCATENATE("E",C343)</f>
        <v>E2_7_1_26</v>
      </c>
      <c r="F343" s="12" t="s">
        <v>3147</v>
      </c>
      <c r="G343" s="12" t="s">
        <v>1236</v>
      </c>
      <c r="H343" t="s">
        <v>3433</v>
      </c>
      <c r="I343" t="s">
        <v>1237</v>
      </c>
      <c r="J343" s="12" t="str">
        <f>CONCATENATE("(${Variables:",E343,"_kcat","} * ",E343," * ",G343,")","/(${Variables:",E343,"_km","} + (",E343," * ",G343,"))")</f>
        <v>(${Variables:E2_7_1_26_kcat} * E2_7_1_26 * C00002 * C00255)/(${Variables:E2_7_1_26_km} + (E2_7_1_26 * C00002 * C00255))</v>
      </c>
      <c r="K343" s="43" t="str">
        <f>CONCATENATE("r",D343,": ",F343," -&gt; ",H343," | ",J343)</f>
        <v>r353: C00002 + C00255 -&gt; C00008 + C00061 | (${Variables:E2_7_1_26_kcat} * E2_7_1_26 * C00002 * C00255)/(${Variables:E2_7_1_26_km} + (E2_7_1_26 * C00002 * C00255))</v>
      </c>
    </row>
    <row r="344" spans="1:11" ht="42.75" x14ac:dyDescent="0.45">
      <c r="A344" s="53" t="s">
        <v>7486</v>
      </c>
      <c r="B344" s="54" t="s">
        <v>7487</v>
      </c>
      <c r="C344" t="s">
        <v>1749</v>
      </c>
      <c r="D344" s="12">
        <v>354</v>
      </c>
      <c r="E344" s="12" t="str">
        <f>CONCATENATE("E",C344)</f>
        <v>E2_7_1_30</v>
      </c>
      <c r="F344" s="12" t="s">
        <v>3148</v>
      </c>
      <c r="G344" s="12" t="s">
        <v>1198</v>
      </c>
      <c r="H344" t="s">
        <v>3434</v>
      </c>
      <c r="I344" t="s">
        <v>1199</v>
      </c>
      <c r="J344" s="12" t="str">
        <f>CONCATENATE("(${Variables:",E344,"_kcat","} * ",E344," * ",G344,")","/(${Variables:",E344,"_km","} + (",E344," * ",G344,"))")</f>
        <v>(${Variables:E2_7_1_30_kcat} * E2_7_1_30 * C00002 * C00116)/(${Variables:E2_7_1_30_km} + (E2_7_1_30 * C00002 * C00116))</v>
      </c>
      <c r="K344" s="43" t="str">
        <f>CONCATENATE("r",D344,": ",F344," -&gt; ",H344," | ",J344)</f>
        <v>r354: C00002 + C00116 -&gt; C00008 + C00093 | (${Variables:E2_7_1_30_kcat} * E2_7_1_30 * C00002 * C00116)/(${Variables:E2_7_1_30_km} + (E2_7_1_30 * C00002 * C00116))</v>
      </c>
    </row>
    <row r="345" spans="1:11" ht="42.75" x14ac:dyDescent="0.45">
      <c r="A345" s="53" t="s">
        <v>6083</v>
      </c>
      <c r="B345" s="54" t="s">
        <v>6084</v>
      </c>
      <c r="C345" t="s">
        <v>1769</v>
      </c>
      <c r="D345" s="12">
        <v>355</v>
      </c>
      <c r="E345" s="12" t="str">
        <f>CONCATENATE("E",C345)</f>
        <v>E2_7_1_33</v>
      </c>
      <c r="F345" s="12" t="s">
        <v>3150</v>
      </c>
      <c r="G345" s="12" t="s">
        <v>1264</v>
      </c>
      <c r="H345" t="s">
        <v>3436</v>
      </c>
      <c r="I345" t="s">
        <v>1265</v>
      </c>
      <c r="J345" s="12" t="str">
        <f>CONCATENATE("(${Variables:",E345,"_kcat","} * ",E345," * ",G345,")","/(${Variables:",E345,"_km","} + (",E345," * ",G345,"))")</f>
        <v>(${Variables:E2_7_1_33_kcat} * E2_7_1_33 * C00002 * C00864)/(${Variables:E2_7_1_33_km} + (E2_7_1_33 * C00002 * C00864))</v>
      </c>
      <c r="K345" s="43" t="str">
        <f>CONCATENATE("r",D345,": ",F345," -&gt; ",H345," | ",J345)</f>
        <v>r355: C00002 + C00864 -&gt; C00008 + C03492 | (${Variables:E2_7_1_33_kcat} * E2_7_1_33 * C00002 * C00864)/(${Variables:E2_7_1_33_km} + (E2_7_1_33 * C00002 * C00864))</v>
      </c>
    </row>
    <row r="346" spans="1:11" ht="42.75" x14ac:dyDescent="0.45">
      <c r="A346" s="53" t="s">
        <v>6083</v>
      </c>
      <c r="B346" s="54" t="s">
        <v>6084</v>
      </c>
      <c r="C346" t="s">
        <v>1769</v>
      </c>
      <c r="D346" s="12">
        <v>356</v>
      </c>
      <c r="E346" s="12" t="str">
        <f>CONCATENATE("E",C346)</f>
        <v>E2_7_1_33</v>
      </c>
      <c r="F346" s="12" t="s">
        <v>3149</v>
      </c>
      <c r="G346" s="12" t="s">
        <v>1260</v>
      </c>
      <c r="H346" t="s">
        <v>3435</v>
      </c>
      <c r="I346" t="s">
        <v>1261</v>
      </c>
      <c r="J346" s="12" t="str">
        <f>CONCATENATE("(${Variables:",E346,"_kcat","} * ",E346," * ",G346,")","/(${Variables:",E346,"_km","} + (",E346," * ",G346,"))")</f>
        <v>(${Variables:E2_7_1_33_kcat} * E2_7_1_33 * C00002 * C00831)/(${Variables:E2_7_1_33_km} + (E2_7_1_33 * C00002 * C00831))</v>
      </c>
      <c r="K346" s="43" t="str">
        <f>CONCATENATE("r",D346,": ",F346," -&gt; ",H346," | ",J346)</f>
        <v>r356: C00002 + C00831 -&gt; C00008 + C01134 | (${Variables:E2_7_1_33_kcat} * E2_7_1_33 * C00002 * C00831)/(${Variables:E2_7_1_33_km} + (E2_7_1_33 * C00002 * C00831))</v>
      </c>
    </row>
    <row r="347" spans="1:11" ht="42.75" x14ac:dyDescent="0.45">
      <c r="A347" s="53" t="s">
        <v>6083</v>
      </c>
      <c r="B347" s="54" t="s">
        <v>6084</v>
      </c>
      <c r="C347" t="s">
        <v>1769</v>
      </c>
      <c r="D347" s="12">
        <v>357</v>
      </c>
      <c r="E347" s="12" t="str">
        <f>CONCATENATE("E",C347)</f>
        <v>E2_7_1_33</v>
      </c>
      <c r="F347" s="12" t="s">
        <v>3151</v>
      </c>
      <c r="G347" s="12" t="s">
        <v>1295</v>
      </c>
      <c r="H347" t="s">
        <v>3437</v>
      </c>
      <c r="I347" t="s">
        <v>1296</v>
      </c>
      <c r="J347" s="12" t="str">
        <f>CONCATENATE("(${Variables:",E347,"_kcat","} * ",E347," * ",G347,")","/(${Variables:",E347,"_km","} + (",E347," * ",G347,"))")</f>
        <v>(${Variables:E2_7_1_33_kcat} * E2_7_1_33 * C00002 * C04079)/(${Variables:E2_7_1_33_km} + (E2_7_1_33 * C00002 * C04079))</v>
      </c>
      <c r="K347" s="43" t="str">
        <f>CONCATENATE("r",D347,": ",F347," -&gt; ",H347," | ",J347)</f>
        <v>r357: C00002 + C04079 -&gt; C00008 + C04352 | (${Variables:E2_7_1_33_kcat} * E2_7_1_33 * C00002 * C04079)/(${Variables:E2_7_1_33_km} + (E2_7_1_33 * C00002 * C04079))</v>
      </c>
    </row>
    <row r="348" spans="1:11" ht="42.75" x14ac:dyDescent="0.45">
      <c r="A348" s="53" t="s">
        <v>6130</v>
      </c>
      <c r="B348" s="54" t="s">
        <v>6131</v>
      </c>
      <c r="C348" t="s">
        <v>10358</v>
      </c>
      <c r="D348" s="12">
        <v>358</v>
      </c>
      <c r="E348" s="12" t="str">
        <f>CONCATENATE("E",C348)</f>
        <v>E2_7_1_35</v>
      </c>
      <c r="F348" t="s">
        <v>9374</v>
      </c>
      <c r="G348" t="s">
        <v>10572</v>
      </c>
      <c r="H348" t="s">
        <v>9375</v>
      </c>
      <c r="I348" t="s">
        <v>10802</v>
      </c>
      <c r="J348" s="12" t="str">
        <f>CONCATENATE("(${Variables:",E348,"_kcat","} * ",E348," * ",G348,")","/(${Variables:",E348,"_km","} + (",E348," * ",G348,"))")</f>
        <v>(${Variables:E2_7_1_35_kcat} * E2_7_1_35 * C00002 * C00250)/(${Variables:E2_7_1_35_km} + (E2_7_1_35 * C00002 * C00250))</v>
      </c>
      <c r="K348" s="43" t="str">
        <f>CONCATENATE("r",D348,": ",F348," -&gt; ",H348," | ",J348)</f>
        <v>r358: C00002 + C00250 -&gt; C00008 + C00018 | (${Variables:E2_7_1_35_kcat} * E2_7_1_35 * C00002 * C00250)/(${Variables:E2_7_1_35_km} + (E2_7_1_35 * C00002 * C00250))</v>
      </c>
    </row>
    <row r="349" spans="1:11" ht="42.75" x14ac:dyDescent="0.45">
      <c r="A349" s="53" t="s">
        <v>6130</v>
      </c>
      <c r="B349" s="54" t="s">
        <v>6131</v>
      </c>
      <c r="C349" t="s">
        <v>10358</v>
      </c>
      <c r="D349" s="12">
        <v>359</v>
      </c>
      <c r="E349" s="12" t="str">
        <f>CONCATENATE("E",C349)</f>
        <v>E2_7_1_35</v>
      </c>
      <c r="F349" s="12" t="s">
        <v>9377</v>
      </c>
      <c r="G349" s="12" t="s">
        <v>10573</v>
      </c>
      <c r="H349" t="s">
        <v>9378</v>
      </c>
      <c r="I349" t="s">
        <v>10803</v>
      </c>
      <c r="J349" s="12" t="str">
        <f>CONCATENATE("(${Variables:",E349,"_kcat","} * ",E349," * ",G349,")","/(${Variables:",E349,"_km","} + (",E349," * ",G349,"))")</f>
        <v>(${Variables:E2_7_1_35_kcat} * E2_7_1_35 * C00002 * C00314)/(${Variables:E2_7_1_35_km} + (E2_7_1_35 * C00002 * C00314))</v>
      </c>
      <c r="K349" s="43" t="str">
        <f>CONCATENATE("r",D349,": ",F349," -&gt; ",H349," | ",J349)</f>
        <v>r359: C00002 + C00314 -&gt; C00008 + C00627 | (${Variables:E2_7_1_35_kcat} * E2_7_1_35 * C00002 * C00314)/(${Variables:E2_7_1_35_km} + (E2_7_1_35 * C00002 * C00314))</v>
      </c>
    </row>
    <row r="350" spans="1:11" ht="42.75" x14ac:dyDescent="0.45">
      <c r="A350" s="53" t="s">
        <v>6130</v>
      </c>
      <c r="B350" s="54" t="s">
        <v>6131</v>
      </c>
      <c r="C350" t="s">
        <v>10358</v>
      </c>
      <c r="D350" s="12">
        <v>360</v>
      </c>
      <c r="E350" s="12" t="str">
        <f>CONCATENATE("E",C350)</f>
        <v>E2_7_1_35</v>
      </c>
      <c r="F350" s="12" t="s">
        <v>9380</v>
      </c>
      <c r="G350" s="12" t="s">
        <v>10574</v>
      </c>
      <c r="H350" t="s">
        <v>9381</v>
      </c>
      <c r="I350" t="s">
        <v>10804</v>
      </c>
      <c r="J350" s="12" t="str">
        <f>CONCATENATE("(${Variables:",E350,"_kcat","} * ",E350," * ",G350,")","/(${Variables:",E350,"_km","} + (",E350," * ",G350,"))")</f>
        <v>(${Variables:E2_7_1_35_kcat} * E2_7_1_35 * C00002 * C00534)/(${Variables:E2_7_1_35_km} + (E2_7_1_35 * C00002 * C00534))</v>
      </c>
      <c r="K350" s="43" t="str">
        <f>CONCATENATE("r",D350,": ",F350," -&gt; ",H350," | ",J350)</f>
        <v>r360: C00002 + C00534 -&gt; C00008 + C00647 | (${Variables:E2_7_1_35_kcat} * E2_7_1_35 * C00002 * C00534)/(${Variables:E2_7_1_35_km} + (E2_7_1_35 * C00002 * C00534))</v>
      </c>
    </row>
    <row r="351" spans="1:11" ht="42.75" x14ac:dyDescent="0.45">
      <c r="A351" s="53" t="s">
        <v>6397</v>
      </c>
      <c r="B351" s="54" t="s">
        <v>6398</v>
      </c>
      <c r="C351" t="s">
        <v>1765</v>
      </c>
      <c r="D351" s="12">
        <v>361</v>
      </c>
      <c r="E351" s="12" t="str">
        <f>CONCATENATE("E",C351)</f>
        <v>E2_7_1_36</v>
      </c>
      <c r="F351" s="12" t="s">
        <v>3152</v>
      </c>
      <c r="G351" s="12" t="s">
        <v>1250</v>
      </c>
      <c r="H351" t="s">
        <v>3438</v>
      </c>
      <c r="I351" t="s">
        <v>1251</v>
      </c>
      <c r="J351" s="12" t="str">
        <f>CONCATENATE("(${Variables:",E351,"_kcat","} * ",E351," * ",G351,")","/(${Variables:",E351,"_km","} + (",E351," * ",G351,"))")</f>
        <v>(${Variables:E2_7_1_36_kcat} * E2_7_1_36 * C00002 * C00418)/(${Variables:E2_7_1_36_km} + (E2_7_1_36 * C00002 * C00418))</v>
      </c>
      <c r="K351" s="43" t="str">
        <f>CONCATENATE("r",D351,": ",F351," -&gt; ",H351," | ",J351)</f>
        <v>r361: C00002 + C00418 -&gt; C00008 + C01107 | (${Variables:E2_7_1_36_kcat} * E2_7_1_36 * C00002 * C00418)/(${Variables:E2_7_1_36_km} + (E2_7_1_36 * C00002 * C00418))</v>
      </c>
    </row>
    <row r="352" spans="1:11" ht="42.75" x14ac:dyDescent="0.45">
      <c r="A352" s="53" t="s">
        <v>6358</v>
      </c>
      <c r="B352" s="54" t="s">
        <v>6359</v>
      </c>
      <c r="C352" t="s">
        <v>1761</v>
      </c>
      <c r="D352" s="12">
        <v>362</v>
      </c>
      <c r="E352" s="12" t="str">
        <f>CONCATENATE("E",C352)</f>
        <v>E2_7_1_39</v>
      </c>
      <c r="F352" s="12" t="s">
        <v>3153</v>
      </c>
      <c r="G352" s="12" t="s">
        <v>1238</v>
      </c>
      <c r="H352" t="s">
        <v>3439</v>
      </c>
      <c r="I352" t="s">
        <v>1239</v>
      </c>
      <c r="J352" s="12" t="str">
        <f>CONCATENATE("(${Variables:",E352,"_kcat","} * ",E352," * ",G352,")","/(${Variables:",E352,"_km","} + (",E352," * ",G352,"))")</f>
        <v>(${Variables:E2_7_1_39_kcat} * E2_7_1_39 * C00002 * C00263)/(${Variables:E2_7_1_39_km} + (E2_7_1_39 * C00002 * C00263))</v>
      </c>
      <c r="K352" s="43" t="str">
        <f>CONCATENATE("r",D352,": ",F352," -&gt; ",H352," | ",J352)</f>
        <v>r362: C00002 + C00263 -&gt; C00008 + C01102 | (${Variables:E2_7_1_39_kcat} * E2_7_1_39 * C00002 * C00263)/(${Variables:E2_7_1_39_km} + (E2_7_1_39 * C00002 * C00263))</v>
      </c>
    </row>
    <row r="353" spans="1:11" ht="42.75" x14ac:dyDescent="0.45">
      <c r="A353" s="53" t="s">
        <v>4561</v>
      </c>
      <c r="B353" s="54" t="s">
        <v>4562</v>
      </c>
      <c r="C353" t="s">
        <v>10359</v>
      </c>
      <c r="D353" s="12">
        <v>363</v>
      </c>
      <c r="E353" s="12" t="str">
        <f>CONCATENATE("E",C353)</f>
        <v>E2_7_1_4</v>
      </c>
      <c r="F353" s="12" t="s">
        <v>8698</v>
      </c>
      <c r="G353" s="12" t="s">
        <v>10575</v>
      </c>
      <c r="H353" t="s">
        <v>8699</v>
      </c>
      <c r="I353" t="s">
        <v>10805</v>
      </c>
      <c r="J353" s="12" t="str">
        <f>CONCATENATE("(${Variables:",E353,"_kcat","} * ",E353," * ",G353,")","/(${Variables:",E353,"_km","} + (",E353," * ",G353,"))")</f>
        <v>(${Variables:E2_7_1_4_kcat} * E2_7_1_4 * C00002 * C00095)/(${Variables:E2_7_1_4_km} + (E2_7_1_4 * C00002 * C00095))</v>
      </c>
      <c r="K353" s="43" t="str">
        <f>CONCATENATE("r",D353,": ",F353," -&gt; ",H353," | ",J353)</f>
        <v>r363: C00002 + C00095 -&gt; C00008 + C00085 | (${Variables:E2_7_1_4_kcat} * E2_7_1_4 * C00002 * C00095)/(${Variables:E2_7_1_4_km} + (E2_7_1_4 * C00002 * C00095))</v>
      </c>
    </row>
    <row r="354" spans="1:11" ht="42.75" x14ac:dyDescent="0.45">
      <c r="A354" s="53" t="s">
        <v>4561</v>
      </c>
      <c r="B354" s="54" t="s">
        <v>4562</v>
      </c>
      <c r="C354" t="s">
        <v>10359</v>
      </c>
      <c r="D354" s="12">
        <v>364</v>
      </c>
      <c r="E354" s="12" t="str">
        <f>CONCATENATE("E",C354)</f>
        <v>E2_7_1_4</v>
      </c>
      <c r="F354" s="12" t="s">
        <v>8698</v>
      </c>
      <c r="G354" s="12" t="s">
        <v>10575</v>
      </c>
      <c r="H354" t="s">
        <v>8701</v>
      </c>
      <c r="I354" t="s">
        <v>10806</v>
      </c>
      <c r="J354" s="12" t="str">
        <f>CONCATENATE("(${Variables:",E354,"_kcat","} * ",E354," * ",G354,")","/(${Variables:",E354,"_km","} + (",E354," * ",G354,"))")</f>
        <v>(${Variables:E2_7_1_4_kcat} * E2_7_1_4 * C00002 * C00095)/(${Variables:E2_7_1_4_km} + (E2_7_1_4 * C00002 * C00095))</v>
      </c>
      <c r="K354" s="43" t="str">
        <f>CONCATENATE("r",D354,": ",F354," -&gt; ",H354," | ",J354)</f>
        <v>r364: C00002 + C00095 -&gt; C00008 + C05345 | (${Variables:E2_7_1_4_kcat} * E2_7_1_4 * C00002 * C00095)/(${Variables:E2_7_1_4_km} + (E2_7_1_4 * C00002 * C00095))</v>
      </c>
    </row>
    <row r="355" spans="1:11" ht="42.75" x14ac:dyDescent="0.45">
      <c r="A355" s="53" t="s">
        <v>4561</v>
      </c>
      <c r="B355" s="54" t="s">
        <v>4562</v>
      </c>
      <c r="C355" t="s">
        <v>10359</v>
      </c>
      <c r="D355" s="12">
        <v>365</v>
      </c>
      <c r="E355" s="12" t="str">
        <f>CONCATENATE("E",C355)</f>
        <v>E2_7_1_4</v>
      </c>
      <c r="F355" s="12" t="s">
        <v>8702</v>
      </c>
      <c r="G355" s="12" t="s">
        <v>10576</v>
      </c>
      <c r="H355" t="s">
        <v>8701</v>
      </c>
      <c r="I355" t="s">
        <v>10806</v>
      </c>
      <c r="J355" s="12" t="str">
        <f>CONCATENATE("(${Variables:",E355,"_kcat","} * ",E355," * ",G355,")","/(${Variables:",E355,"_km","} + (",E355," * ",G355,"))")</f>
        <v>(${Variables:E2_7_1_4_kcat} * E2_7_1_4 * C00002 * C02336)/(${Variables:E2_7_1_4_km} + (E2_7_1_4 * C00002 * C02336))</v>
      </c>
      <c r="K355" s="43" t="str">
        <f>CONCATENATE("r",D355,": ",F355," -&gt; ",H355," | ",J355)</f>
        <v>r365: C00002 + C02336 -&gt; C00008 + C05345 | (${Variables:E2_7_1_4_kcat} * E2_7_1_4 * C00002 * C02336)/(${Variables:E2_7_1_4_km} + (E2_7_1_4 * C00002 * C02336))</v>
      </c>
    </row>
    <row r="356" spans="1:11" ht="42.75" x14ac:dyDescent="0.45">
      <c r="A356" s="53" t="s">
        <v>5973</v>
      </c>
      <c r="B356" s="54" t="s">
        <v>5974</v>
      </c>
      <c r="C356" t="s">
        <v>1725</v>
      </c>
      <c r="D356" s="12">
        <v>366</v>
      </c>
      <c r="E356" s="12" t="str">
        <f>CONCATENATE("E",C356)</f>
        <v>E2_7_1_40</v>
      </c>
      <c r="F356" s="12" t="s">
        <v>3154</v>
      </c>
      <c r="G356" s="12" t="s">
        <v>1149</v>
      </c>
      <c r="H356" t="s">
        <v>3440</v>
      </c>
      <c r="I356" t="s">
        <v>1150</v>
      </c>
      <c r="J356" s="12" t="str">
        <f>CONCATENATE("(${Variables:",E356,"_kcat","} * ",E356," * ",G356,")","/(${Variables:",E356,"_km","} + (",E356," * ",G356,"))")</f>
        <v>(${Variables:E2_7_1_40_kcat} * E2_7_1_40 * C00002 * C00022)/(${Variables:E2_7_1_40_km} + (E2_7_1_40 * C00002 * C00022))</v>
      </c>
      <c r="K356" s="43" t="str">
        <f>CONCATENATE("r",D356,": ",F356," -&gt; ",H356," | ",J356)</f>
        <v>r366: C00002 + C00022 -&gt; C00008 + C00074 | (${Variables:E2_7_1_40_kcat} * E2_7_1_40 * C00002 * C00022)/(${Variables:E2_7_1_40_km} + (E2_7_1_40 * C00002 * C00022))</v>
      </c>
    </row>
    <row r="357" spans="1:11" ht="42.75" x14ac:dyDescent="0.45">
      <c r="A357" s="53" t="s">
        <v>5973</v>
      </c>
      <c r="B357" s="54" t="s">
        <v>5974</v>
      </c>
      <c r="C357" t="s">
        <v>1725</v>
      </c>
      <c r="D357" s="12">
        <v>367</v>
      </c>
      <c r="E357" s="12" t="str">
        <f>CONCATENATE("E",C357)</f>
        <v>E2_7_1_40</v>
      </c>
      <c r="F357" s="12" t="s">
        <v>3155</v>
      </c>
      <c r="G357" s="12" t="s">
        <v>1341</v>
      </c>
      <c r="H357" t="s">
        <v>3441</v>
      </c>
      <c r="I357" t="s">
        <v>1342</v>
      </c>
      <c r="J357" s="12" t="str">
        <f>CONCATENATE("(${Variables:",E357,"_kcat","} * ",E357," * ",G357,")","/(${Variables:",E357,"_km","} + (",E357," * ",G357,"))")</f>
        <v>(${Variables:E2_7_1_40_kcat} * E2_7_1_40 * C00044 * C00022)/(${Variables:E2_7_1_40_km} + (E2_7_1_40 * C00044 * C00022))</v>
      </c>
      <c r="K357" s="43" t="str">
        <f>CONCATENATE("r",D357,": ",F357," -&gt; ",H357," | ",J357)</f>
        <v>r367: C00044 + C00022 -&gt; C00035 + C00074 | (${Variables:E2_7_1_40_kcat} * E2_7_1_40 * C00044 * C00022)/(${Variables:E2_7_1_40_km} + (E2_7_1_40 * C00044 * C00022))</v>
      </c>
    </row>
    <row r="358" spans="1:11" ht="42.75" x14ac:dyDescent="0.45">
      <c r="A358" s="53" t="s">
        <v>5973</v>
      </c>
      <c r="B358" s="54" t="s">
        <v>5974</v>
      </c>
      <c r="C358" t="s">
        <v>1725</v>
      </c>
      <c r="D358" s="12">
        <v>368</v>
      </c>
      <c r="E358" s="12" t="str">
        <f>CONCATENATE("E",C358)</f>
        <v>E2_7_1_40</v>
      </c>
      <c r="F358" s="12" t="s">
        <v>3156</v>
      </c>
      <c r="G358" s="12" t="s">
        <v>1352</v>
      </c>
      <c r="H358" t="s">
        <v>3442</v>
      </c>
      <c r="I358" t="s">
        <v>1353</v>
      </c>
      <c r="J358" s="12" t="str">
        <f>CONCATENATE("(${Variables:",E358,"_kcat","} * ",E358," * ",G358,")","/(${Variables:",E358,"_km","} + (",E358," * ",G358,"))")</f>
        <v>(${Variables:E2_7_1_40_kcat} * E2_7_1_40 * C00063 * C00022)/(${Variables:E2_7_1_40_km} + (E2_7_1_40 * C00063 * C00022))</v>
      </c>
      <c r="K358" s="43" t="str">
        <f>CONCATENATE("r",D358,": ",F358," -&gt; ",H358," | ",J358)</f>
        <v>r368: C00063 + C00022 -&gt; C00112 + C00074 | (${Variables:E2_7_1_40_kcat} * E2_7_1_40 * C00063 * C00022)/(${Variables:E2_7_1_40_km} + (E2_7_1_40 * C00063 * C00022))</v>
      </c>
    </row>
    <row r="359" spans="1:11" ht="42.75" x14ac:dyDescent="0.45">
      <c r="A359" s="53" t="s">
        <v>5973</v>
      </c>
      <c r="B359" s="54" t="s">
        <v>5974</v>
      </c>
      <c r="C359" t="s">
        <v>1725</v>
      </c>
      <c r="D359" s="12">
        <v>369</v>
      </c>
      <c r="E359" s="12" t="str">
        <f>CONCATENATE("E",C359)</f>
        <v>E2_7_1_40</v>
      </c>
      <c r="F359" s="12" t="s">
        <v>3157</v>
      </c>
      <c r="G359" s="12" t="s">
        <v>1372</v>
      </c>
      <c r="H359" t="s">
        <v>3443</v>
      </c>
      <c r="I359" t="s">
        <v>1373</v>
      </c>
      <c r="J359" s="12" t="str">
        <f>CONCATENATE("(${Variables:",E359,"_kcat","} * ",E359," * ",G359,")","/(${Variables:",E359,"_km","} + (",E359," * ",G359,"))")</f>
        <v>(${Variables:E2_7_1_40_kcat} * E2_7_1_40 * C00075 * C00022)/(${Variables:E2_7_1_40_km} + (E2_7_1_40 * C00075 * C00022))</v>
      </c>
      <c r="K359" s="43" t="str">
        <f>CONCATENATE("r",D359,": ",F359," -&gt; ",H359," | ",J359)</f>
        <v>r369: C00075 + C00022 -&gt; C00015 + C00074 | (${Variables:E2_7_1_40_kcat} * E2_7_1_40 * C00075 * C00022)/(${Variables:E2_7_1_40_km} + (E2_7_1_40 * C00075 * C00022))</v>
      </c>
    </row>
    <row r="360" spans="1:11" ht="42.75" x14ac:dyDescent="0.45">
      <c r="A360" s="53" t="s">
        <v>5973</v>
      </c>
      <c r="B360" s="54" t="s">
        <v>5974</v>
      </c>
      <c r="C360" t="s">
        <v>1725</v>
      </c>
      <c r="D360" s="12">
        <v>370</v>
      </c>
      <c r="E360" s="12" t="str">
        <f>CONCATENATE("E",C360)</f>
        <v>E2_7_1_40</v>
      </c>
      <c r="F360" s="12" t="s">
        <v>3158</v>
      </c>
      <c r="G360" s="12" t="s">
        <v>1379</v>
      </c>
      <c r="H360" t="s">
        <v>3444</v>
      </c>
      <c r="I360" t="s">
        <v>1380</v>
      </c>
      <c r="J360" s="12" t="str">
        <f>CONCATENATE("(${Variables:",E360,"_kcat","} * ",E360," * ",G360,")","/(${Variables:",E360,"_km","} + (",E360," * ",G360,"))")</f>
        <v>(${Variables:E2_7_1_40_kcat} * E2_7_1_40 * C00081 * C00022)/(${Variables:E2_7_1_40_km} + (E2_7_1_40 * C00081 * C00022))</v>
      </c>
      <c r="K360" s="43" t="str">
        <f>CONCATENATE("r",D360,": ",F360," -&gt; ",H360," | ",J360)</f>
        <v>r370: C00081 + C00022 -&gt; C00104 + C00074 | (${Variables:E2_7_1_40_kcat} * E2_7_1_40 * C00081 * C00022)/(${Variables:E2_7_1_40_km} + (E2_7_1_40 * C00081 * C00022))</v>
      </c>
    </row>
    <row r="361" spans="1:11" ht="42.75" x14ac:dyDescent="0.45">
      <c r="A361" s="53" t="s">
        <v>5973</v>
      </c>
      <c r="B361" s="54" t="s">
        <v>5974</v>
      </c>
      <c r="C361" t="s">
        <v>1725</v>
      </c>
      <c r="D361" s="12">
        <v>371</v>
      </c>
      <c r="E361" s="12" t="str">
        <f>CONCATENATE("E",C361)</f>
        <v>E2_7_1_40</v>
      </c>
      <c r="F361" s="12" t="s">
        <v>3159</v>
      </c>
      <c r="G361" s="12" t="s">
        <v>1421</v>
      </c>
      <c r="H361" t="s">
        <v>3445</v>
      </c>
      <c r="I361" t="s">
        <v>1422</v>
      </c>
      <c r="J361" s="12" t="str">
        <f>CONCATENATE("(${Variables:",E361,"_kcat","} * ",E361," * ",G361,")","/(${Variables:",E361,"_km","} + (",E361," * ",G361,"))")</f>
        <v>(${Variables:E2_7_1_40_kcat} * E2_7_1_40 * C00131 * C00022)/(${Variables:E2_7_1_40_km} + (E2_7_1_40 * C00131 * C00022))</v>
      </c>
      <c r="K361" s="43" t="str">
        <f>CONCATENATE("r",D361,": ",F361," -&gt; ",H361," | ",J361)</f>
        <v>r371: C00131 + C00022 -&gt; C00206 + C00074 | (${Variables:E2_7_1_40_kcat} * E2_7_1_40 * C00131 * C00022)/(${Variables:E2_7_1_40_km} + (E2_7_1_40 * C00131 * C00022))</v>
      </c>
    </row>
    <row r="362" spans="1:11" ht="42.75" x14ac:dyDescent="0.45">
      <c r="A362" s="53" t="s">
        <v>5973</v>
      </c>
      <c r="B362" s="54" t="s">
        <v>5974</v>
      </c>
      <c r="C362" t="s">
        <v>1725</v>
      </c>
      <c r="D362" s="12">
        <v>372</v>
      </c>
      <c r="E362" s="12" t="str">
        <f>CONCATENATE("E",C362)</f>
        <v>E2_7_1_40</v>
      </c>
      <c r="F362" s="12" t="s">
        <v>3161</v>
      </c>
      <c r="G362" s="12" t="s">
        <v>1471</v>
      </c>
      <c r="H362" t="s">
        <v>3446</v>
      </c>
      <c r="I362" t="s">
        <v>1472</v>
      </c>
      <c r="J362" s="12" t="str">
        <f>CONCATENATE("(${Variables:",E362,"_kcat","} * ",E362," * ",G362,")","/(${Variables:",E362,"_km","} + (",E362," * ",G362,"))")</f>
        <v>(${Variables:E2_7_1_40_kcat} * E2_7_1_40 * C00286 * C00022)/(${Variables:E2_7_1_40_km} + (E2_7_1_40 * C00286 * C00022))</v>
      </c>
      <c r="K362" s="43" t="str">
        <f>CONCATENATE("r",D362,": ",F362," -&gt; ",H362," | ",J362)</f>
        <v>r372: C00286 + C00022 -&gt; C00361 + C00074 | (${Variables:E2_7_1_40_kcat} * E2_7_1_40 * C00286 * C00022)/(${Variables:E2_7_1_40_km} + (E2_7_1_40 * C00286 * C00022))</v>
      </c>
    </row>
    <row r="363" spans="1:11" ht="42.75" x14ac:dyDescent="0.45">
      <c r="A363" s="53" t="s">
        <v>5973</v>
      </c>
      <c r="B363" s="54" t="s">
        <v>5974</v>
      </c>
      <c r="C363" t="s">
        <v>1725</v>
      </c>
      <c r="D363" s="12">
        <v>373</v>
      </c>
      <c r="E363" s="12" t="str">
        <f>CONCATENATE("E",C363)</f>
        <v>E2_7_1_40</v>
      </c>
      <c r="F363" s="12" t="s">
        <v>3160</v>
      </c>
      <c r="G363" s="12" t="s">
        <v>1445</v>
      </c>
      <c r="H363" s="12" t="s">
        <v>3160</v>
      </c>
      <c r="I363" s="12" t="s">
        <v>1445</v>
      </c>
      <c r="J363" s="12" t="str">
        <f>CONCATENATE("(${Variables:",E363,"_kcat","} * ",E363," * ",G363,")","/(${Variables:",E363,"_km","} + (",E363," * ",G363,"))")</f>
        <v>(${Variables:E2_7_1_40_kcat} * E2_7_1_40 * C00201 * C00022)/(${Variables:E2_7_1_40_km} + (E2_7_1_40 * C00201 * C00022))</v>
      </c>
      <c r="K363" s="43" t="str">
        <f>CONCATENATE("r",D363,": ",F363," -&gt; ",H363," | ",J363)</f>
        <v>r373: C00201 + C00022 -&gt; C00201 + C00022 | (${Variables:E2_7_1_40_kcat} * E2_7_1_40 * C00201 * C00022)/(${Variables:E2_7_1_40_km} + (E2_7_1_40 * C00201 * C00022))</v>
      </c>
    </row>
    <row r="364" spans="1:11" ht="42.75" x14ac:dyDescent="0.45">
      <c r="A364" s="53" t="s">
        <v>5248</v>
      </c>
      <c r="B364" s="54" t="s">
        <v>5249</v>
      </c>
      <c r="C364" t="s">
        <v>1762</v>
      </c>
      <c r="D364" s="12">
        <v>374</v>
      </c>
      <c r="E364" s="12" t="str">
        <f>CONCATENATE("E",C364)</f>
        <v>E2_7_1_48</v>
      </c>
      <c r="F364" t="s">
        <v>3163</v>
      </c>
      <c r="G364" t="s">
        <v>1254</v>
      </c>
      <c r="H364" t="s">
        <v>3448</v>
      </c>
      <c r="I364" t="s">
        <v>1255</v>
      </c>
      <c r="J364" s="12" t="str">
        <f>CONCATENATE("(${Variables:",E364,"_kcat","} * ",E364," * ",G364,")","/(${Variables:",E364,"_km","} + (",E364," * ",G364,"))")</f>
        <v>(${Variables:E2_7_1_48_kcat} * E2_7_1_48 * C00002 * C00475)/(${Variables:E2_7_1_48_km} + (E2_7_1_48 * C00002 * C00475))</v>
      </c>
      <c r="K364" s="43" t="str">
        <f>CONCATENATE("r",D364,": ",F364," -&gt; ",H364," | ",J364)</f>
        <v>r374: C00002 + C00475 -&gt; C00008 + C00055 | (${Variables:E2_7_1_48_kcat} * E2_7_1_48 * C00002 * C00475)/(${Variables:E2_7_1_48_km} + (E2_7_1_48 * C00002 * C00475))</v>
      </c>
    </row>
    <row r="365" spans="1:11" ht="42.75" x14ac:dyDescent="0.45">
      <c r="A365" s="53" t="s">
        <v>5248</v>
      </c>
      <c r="B365" s="54" t="s">
        <v>5249</v>
      </c>
      <c r="C365" t="s">
        <v>1762</v>
      </c>
      <c r="D365" s="12">
        <v>375</v>
      </c>
      <c r="E365" s="12" t="str">
        <f>CONCATENATE("E",C365)</f>
        <v>E2_7_1_48</v>
      </c>
      <c r="F365" t="s">
        <v>3162</v>
      </c>
      <c r="G365" t="s">
        <v>1242</v>
      </c>
      <c r="H365" t="s">
        <v>3447</v>
      </c>
      <c r="I365" t="s">
        <v>1243</v>
      </c>
      <c r="J365" s="12" t="str">
        <f>CONCATENATE("(${Variables:",E365,"_kcat","} * ",E365," * ",G365,")","/(${Variables:",E365,"_km","} + (",E365," * ",G365,"))")</f>
        <v>(${Variables:E2_7_1_48_kcat} * E2_7_1_48 * C00002 * C00299)/(${Variables:E2_7_1_48_km} + (E2_7_1_48 * C00002 * C00299))</v>
      </c>
      <c r="K365" s="43" t="str">
        <f>CONCATENATE("r",D365,": ",F365," -&gt; ",H365," | ",J365)</f>
        <v>r375: C00002 + C00299 -&gt; C00008 + C00105 | (${Variables:E2_7_1_48_kcat} * E2_7_1_48 * C00002 * C00299)/(${Variables:E2_7_1_48_km} + (E2_7_1_48 * C00002 * C00299))</v>
      </c>
    </row>
    <row r="366" spans="1:11" ht="42.75" x14ac:dyDescent="0.45">
      <c r="A366" s="53" t="s">
        <v>5248</v>
      </c>
      <c r="B366" s="54" t="s">
        <v>5249</v>
      </c>
      <c r="C366" t="s">
        <v>1762</v>
      </c>
      <c r="D366" s="12">
        <v>376</v>
      </c>
      <c r="E366" s="12" t="str">
        <f>CONCATENATE("E",C366)</f>
        <v>E2_7_1_48</v>
      </c>
      <c r="F366" t="s">
        <v>3165</v>
      </c>
      <c r="G366" t="s">
        <v>1348</v>
      </c>
      <c r="H366" t="s">
        <v>3450</v>
      </c>
      <c r="I366" t="s">
        <v>1349</v>
      </c>
      <c r="J366" s="12" t="str">
        <f>CONCATENATE("(${Variables:",E366,"_kcat","} * ",E366," * ",G366,")","/(${Variables:",E366,"_km","} + (",E366," * ",G366,"))")</f>
        <v>(${Variables:E2_7_1_48_kcat} * E2_7_1_48 * C00044 * C00475)/(${Variables:E2_7_1_48_km} + (E2_7_1_48 * C00044 * C00475))</v>
      </c>
      <c r="K366" s="43" t="str">
        <f>CONCATENATE("r",D366,": ",F366," -&gt; ",H366," | ",J366)</f>
        <v>r376: C00044 + C00475 -&gt; C00035 + C00055 | (${Variables:E2_7_1_48_kcat} * E2_7_1_48 * C00044 * C00475)/(${Variables:E2_7_1_48_km} + (E2_7_1_48 * C00044 * C00475))</v>
      </c>
    </row>
    <row r="367" spans="1:11" ht="42.75" x14ac:dyDescent="0.45">
      <c r="A367" s="53" t="s">
        <v>5248</v>
      </c>
      <c r="B367" s="54" t="s">
        <v>5249</v>
      </c>
      <c r="C367" t="s">
        <v>1762</v>
      </c>
      <c r="D367" s="12">
        <v>377</v>
      </c>
      <c r="E367" s="12" t="str">
        <f>CONCATENATE("E",C367)</f>
        <v>E2_7_1_48</v>
      </c>
      <c r="F367" t="s">
        <v>3164</v>
      </c>
      <c r="G367" t="s">
        <v>1346</v>
      </c>
      <c r="H367" t="s">
        <v>3449</v>
      </c>
      <c r="I367" t="s">
        <v>1347</v>
      </c>
      <c r="J367" s="12" t="str">
        <f>CONCATENATE("(${Variables:",E367,"_kcat","} * ",E367," * ",G367,")","/(${Variables:",E367,"_km","} + (",E367," * ",G367,"))")</f>
        <v>(${Variables:E2_7_1_48_kcat} * E2_7_1_48 * C00044 * C00299)/(${Variables:E2_7_1_48_km} + (E2_7_1_48 * C00044 * C00299))</v>
      </c>
      <c r="K367" s="43" t="str">
        <f>CONCATENATE("r",D367,": ",F367," -&gt; ",H367," | ",J367)</f>
        <v>r377: C00044 + C00299 -&gt; C00035 + C00105 | (${Variables:E2_7_1_48_kcat} * E2_7_1_48 * C00044 * C00299)/(${Variables:E2_7_1_48_km} + (E2_7_1_48 * C00044 * C00299))</v>
      </c>
    </row>
    <row r="368" spans="1:11" ht="42.75" x14ac:dyDescent="0.45">
      <c r="A368" s="53" t="s">
        <v>5248</v>
      </c>
      <c r="B368" s="54" t="s">
        <v>5249</v>
      </c>
      <c r="C368" t="s">
        <v>1762</v>
      </c>
      <c r="D368" s="12">
        <v>378</v>
      </c>
      <c r="E368" s="12" t="str">
        <f>CONCATENATE("E",C368)</f>
        <v>E2_7_1_48</v>
      </c>
      <c r="F368" t="s">
        <v>3166</v>
      </c>
      <c r="G368" t="s">
        <v>1678</v>
      </c>
      <c r="H368" t="s">
        <v>3451</v>
      </c>
      <c r="I368" t="s">
        <v>1679</v>
      </c>
      <c r="J368" s="12" t="str">
        <f>CONCATENATE("(${Variables:",E368,"_kcat","} * ",E368," * ",G368,")","/(${Variables:",E368,"_km","} + (",E368," * ",G368,"))")</f>
        <v>(${Variables:E2_7_1_48_kcat} * E2_7_1_48 * C16633 * C00002)/(${Variables:E2_7_1_48_km} + (E2_7_1_48 * C16633 * C00002))</v>
      </c>
      <c r="K368" s="43" t="str">
        <f>CONCATENATE("r",D368,": ",F368," -&gt; ",H368," | ",J368)</f>
        <v>r378: C16633 + C00002 -&gt; C16634 + C00008 | (${Variables:E2_7_1_48_kcat} * E2_7_1_48 * C16633 * C00002)/(${Variables:E2_7_1_48_km} + (E2_7_1_48 * C16633 * C00002))</v>
      </c>
    </row>
    <row r="369" spans="1:11" ht="42.75" x14ac:dyDescent="0.45">
      <c r="A369" s="53" t="s">
        <v>6735</v>
      </c>
      <c r="B369" s="54" t="s">
        <v>6736</v>
      </c>
      <c r="C369" t="s">
        <v>1762</v>
      </c>
      <c r="D369" s="12">
        <v>379</v>
      </c>
      <c r="E369" s="12" t="str">
        <f>CONCATENATE("E",C369)</f>
        <v>E2_7_1_48</v>
      </c>
      <c r="F369" t="s">
        <v>3163</v>
      </c>
      <c r="G369" t="s">
        <v>1254</v>
      </c>
      <c r="H369" t="s">
        <v>3448</v>
      </c>
      <c r="I369" t="s">
        <v>1255</v>
      </c>
      <c r="J369" s="12" t="str">
        <f>CONCATENATE("(${Variables:",E369,"_kcat","} * ",E369," * ",G369,")","/(${Variables:",E369,"_km","} + (",E369," * ",G369,"))")</f>
        <v>(${Variables:E2_7_1_48_kcat} * E2_7_1_48 * C00002 * C00475)/(${Variables:E2_7_1_48_km} + (E2_7_1_48 * C00002 * C00475))</v>
      </c>
      <c r="K369" s="43" t="str">
        <f>CONCATENATE("r",D369,": ",F369," -&gt; ",H369," | ",J369)</f>
        <v>r379: C00002 + C00475 -&gt; C00008 + C00055 | (${Variables:E2_7_1_48_kcat} * E2_7_1_48 * C00002 * C00475)/(${Variables:E2_7_1_48_km} + (E2_7_1_48 * C00002 * C00475))</v>
      </c>
    </row>
    <row r="370" spans="1:11" ht="42.75" x14ac:dyDescent="0.45">
      <c r="A370" s="53" t="s">
        <v>6735</v>
      </c>
      <c r="B370" s="54" t="s">
        <v>6736</v>
      </c>
      <c r="C370" t="s">
        <v>1762</v>
      </c>
      <c r="D370" s="12">
        <v>380</v>
      </c>
      <c r="E370" s="12" t="str">
        <f>CONCATENATE("E",C370)</f>
        <v>E2_7_1_48</v>
      </c>
      <c r="F370" t="s">
        <v>3162</v>
      </c>
      <c r="G370" t="s">
        <v>1242</v>
      </c>
      <c r="H370" t="s">
        <v>3447</v>
      </c>
      <c r="I370" t="s">
        <v>1243</v>
      </c>
      <c r="J370" s="12" t="str">
        <f>CONCATENATE("(${Variables:",E370,"_kcat","} * ",E370," * ",G370,")","/(${Variables:",E370,"_km","} + (",E370," * ",G370,"))")</f>
        <v>(${Variables:E2_7_1_48_kcat} * E2_7_1_48 * C00002 * C00299)/(${Variables:E2_7_1_48_km} + (E2_7_1_48 * C00002 * C00299))</v>
      </c>
      <c r="K370" s="43" t="str">
        <f>CONCATENATE("r",D370,": ",F370," -&gt; ",H370," | ",J370)</f>
        <v>r380: C00002 + C00299 -&gt; C00008 + C00105 | (${Variables:E2_7_1_48_kcat} * E2_7_1_48 * C00002 * C00299)/(${Variables:E2_7_1_48_km} + (E2_7_1_48 * C00002 * C00299))</v>
      </c>
    </row>
    <row r="371" spans="1:11" ht="42.75" x14ac:dyDescent="0.45">
      <c r="A371" s="53" t="s">
        <v>6735</v>
      </c>
      <c r="B371" s="54" t="s">
        <v>6736</v>
      </c>
      <c r="C371" t="s">
        <v>1762</v>
      </c>
      <c r="D371" s="12">
        <v>381</v>
      </c>
      <c r="E371" s="12" t="str">
        <f>CONCATENATE("E",C371)</f>
        <v>E2_7_1_48</v>
      </c>
      <c r="F371" t="s">
        <v>3165</v>
      </c>
      <c r="G371" t="s">
        <v>1348</v>
      </c>
      <c r="H371" t="s">
        <v>3450</v>
      </c>
      <c r="I371" t="s">
        <v>1349</v>
      </c>
      <c r="J371" s="12" t="str">
        <f>CONCATENATE("(${Variables:",E371,"_kcat","} * ",E371," * ",G371,")","/(${Variables:",E371,"_km","} + (",E371," * ",G371,"))")</f>
        <v>(${Variables:E2_7_1_48_kcat} * E2_7_1_48 * C00044 * C00475)/(${Variables:E2_7_1_48_km} + (E2_7_1_48 * C00044 * C00475))</v>
      </c>
      <c r="K371" s="43" t="str">
        <f>CONCATENATE("r",D371,": ",F371," -&gt; ",H371," | ",J371)</f>
        <v>r381: C00044 + C00475 -&gt; C00035 + C00055 | (${Variables:E2_7_1_48_kcat} * E2_7_1_48 * C00044 * C00475)/(${Variables:E2_7_1_48_km} + (E2_7_1_48 * C00044 * C00475))</v>
      </c>
    </row>
    <row r="372" spans="1:11" ht="42.75" x14ac:dyDescent="0.45">
      <c r="A372" s="53" t="s">
        <v>6735</v>
      </c>
      <c r="B372" s="54" t="s">
        <v>6736</v>
      </c>
      <c r="C372" t="s">
        <v>1762</v>
      </c>
      <c r="D372" s="12">
        <v>382</v>
      </c>
      <c r="E372" s="12" t="str">
        <f>CONCATENATE("E",C372)</f>
        <v>E2_7_1_48</v>
      </c>
      <c r="F372" t="s">
        <v>3164</v>
      </c>
      <c r="G372" t="s">
        <v>1346</v>
      </c>
      <c r="H372" t="s">
        <v>3449</v>
      </c>
      <c r="I372" t="s">
        <v>1347</v>
      </c>
      <c r="J372" s="12" t="str">
        <f>CONCATENATE("(${Variables:",E372,"_kcat","} * ",E372," * ",G372,")","/(${Variables:",E372,"_km","} + (",E372," * ",G372,"))")</f>
        <v>(${Variables:E2_7_1_48_kcat} * E2_7_1_48 * C00044 * C00299)/(${Variables:E2_7_1_48_km} + (E2_7_1_48 * C00044 * C00299))</v>
      </c>
      <c r="K372" s="43" t="str">
        <f>CONCATENATE("r",D372,": ",F372," -&gt; ",H372," | ",J372)</f>
        <v>r382: C00044 + C00299 -&gt; C00035 + C00105 | (${Variables:E2_7_1_48_kcat} * E2_7_1_48 * C00044 * C00299)/(${Variables:E2_7_1_48_km} + (E2_7_1_48 * C00044 * C00299))</v>
      </c>
    </row>
    <row r="373" spans="1:11" ht="42.75" x14ac:dyDescent="0.45">
      <c r="A373" s="53" t="s">
        <v>6735</v>
      </c>
      <c r="B373" s="54" t="s">
        <v>6736</v>
      </c>
      <c r="C373" t="s">
        <v>1762</v>
      </c>
      <c r="D373" s="12">
        <v>383</v>
      </c>
      <c r="E373" s="12" t="str">
        <f>CONCATENATE("E",C373)</f>
        <v>E2_7_1_48</v>
      </c>
      <c r="F373" t="s">
        <v>3166</v>
      </c>
      <c r="G373" t="s">
        <v>1678</v>
      </c>
      <c r="H373" t="s">
        <v>3451</v>
      </c>
      <c r="I373" t="s">
        <v>1679</v>
      </c>
      <c r="J373" s="12" t="str">
        <f>CONCATENATE("(${Variables:",E373,"_kcat","} * ",E373," * ",G373,")","/(${Variables:",E373,"_km","} + (",E373," * ",G373,"))")</f>
        <v>(${Variables:E2_7_1_48_kcat} * E2_7_1_48 * C16633 * C00002)/(${Variables:E2_7_1_48_km} + (E2_7_1_48 * C16633 * C00002))</v>
      </c>
      <c r="K373" s="43" t="str">
        <f>CONCATENATE("r",D373,": ",F373," -&gt; ",H373," | ",J373)</f>
        <v>r383: C16633 + C00002 -&gt; C16634 + C00008 | (${Variables:E2_7_1_48_kcat} * E2_7_1_48 * C16633 * C00002)/(${Variables:E2_7_1_48_km} + (E2_7_1_48 * C16633 * C00002))</v>
      </c>
    </row>
    <row r="374" spans="1:11" ht="42.75" x14ac:dyDescent="0.45">
      <c r="A374" s="53" t="s">
        <v>7785</v>
      </c>
      <c r="B374" s="54" t="s">
        <v>7786</v>
      </c>
      <c r="C374" t="s">
        <v>1780</v>
      </c>
      <c r="D374" s="12">
        <v>384</v>
      </c>
      <c r="E374" s="12" t="str">
        <f>CONCATENATE("E",C374)</f>
        <v>E2_7_1_49</v>
      </c>
      <c r="F374" s="12" t="s">
        <v>3167</v>
      </c>
      <c r="G374" s="12" t="s">
        <v>1285</v>
      </c>
      <c r="H374" t="s">
        <v>3452</v>
      </c>
      <c r="I374" t="s">
        <v>1286</v>
      </c>
      <c r="J374" s="12" t="str">
        <f>CONCATENATE("(${Variables:",E374,"_kcat","} * ",E374," * ",G374,")","/(${Variables:",E374,"_km","} + (",E374," * ",G374,"))")</f>
        <v>(${Variables:E2_7_1_49_kcat} * E2_7_1_49 * C00002 * C01279)/(${Variables:E2_7_1_49_km} + (E2_7_1_49 * C00002 * C01279))</v>
      </c>
      <c r="K374" s="43" t="str">
        <f>CONCATENATE("r",D374,": ",F374," -&gt; ",H374," | ",J374)</f>
        <v>r384: C00002 + C01279 -&gt; C00008 + C04556 | (${Variables:E2_7_1_49_kcat} * E2_7_1_49 * C00002 * C01279)/(${Variables:E2_7_1_49_km} + (E2_7_1_49 * C00002 * C01279))</v>
      </c>
    </row>
    <row r="375" spans="1:11" ht="42.75" x14ac:dyDescent="0.45">
      <c r="A375" s="53" t="s">
        <v>6438</v>
      </c>
      <c r="B375" s="54" t="s">
        <v>6439</v>
      </c>
      <c r="C375" t="s">
        <v>1775</v>
      </c>
      <c r="D375" s="12">
        <v>385</v>
      </c>
      <c r="E375" s="12" t="str">
        <f>CONCATENATE("E",C375)</f>
        <v>E2_7_1_56</v>
      </c>
      <c r="F375" t="s">
        <v>3168</v>
      </c>
      <c r="G375" t="s">
        <v>1273</v>
      </c>
      <c r="H375" t="s">
        <v>3415</v>
      </c>
      <c r="I375" t="s">
        <v>1191</v>
      </c>
      <c r="J375" s="12" t="str">
        <f>CONCATENATE("(${Variables:",E375,"_kcat","} * ",E375," * ",G375,")","/(${Variables:",E375,"_km","} + (",E375," * ",G375,"))")</f>
        <v>(${Variables:E2_7_1_56_kcat} * E2_7_1_56 * C00002 * C01094)/(${Variables:E2_7_1_56_km} + (E2_7_1_56 * C00002 * C01094))</v>
      </c>
      <c r="K375" s="43" t="str">
        <f>CONCATENATE("r",D375,": ",F375," -&gt; ",H375," | ",J375)</f>
        <v>r385: C00002 + C01094 -&gt; C00008 + C00354 | (${Variables:E2_7_1_56_kcat} * E2_7_1_56 * C00002 * C01094)/(${Variables:E2_7_1_56_km} + (E2_7_1_56 * C00002 * C01094))</v>
      </c>
    </row>
    <row r="376" spans="1:11" ht="42.75" x14ac:dyDescent="0.45">
      <c r="A376" s="53" t="s">
        <v>6438</v>
      </c>
      <c r="B376" s="54" t="s">
        <v>6439</v>
      </c>
      <c r="C376" t="s">
        <v>1775</v>
      </c>
      <c r="D376" s="12">
        <v>386</v>
      </c>
      <c r="E376" s="12" t="str">
        <f>CONCATENATE("E",C376)</f>
        <v>E2_7_1_56</v>
      </c>
      <c r="F376" t="s">
        <v>3168</v>
      </c>
      <c r="G376" t="s">
        <v>1273</v>
      </c>
      <c r="H376" t="s">
        <v>3417</v>
      </c>
      <c r="I376" t="s">
        <v>1274</v>
      </c>
      <c r="J376" s="12" t="str">
        <f>CONCATENATE("(${Variables:",E376,"_kcat","} * ",E376," * ",G376,")","/(${Variables:",E376,"_km","} + (",E376," * ",G376,"))")</f>
        <v>(${Variables:E2_7_1_56_kcat} * E2_7_1_56 * C00002 * C01094)/(${Variables:E2_7_1_56_km} + (E2_7_1_56 * C00002 * C01094))</v>
      </c>
      <c r="K376" s="43" t="str">
        <f>CONCATENATE("r",D376,": ",F376," -&gt; ",H376," | ",J376)</f>
        <v>r386: C00002 + C01094 -&gt; C00008 + C05378 | (${Variables:E2_7_1_56_kcat} * E2_7_1_56 * C00002 * C01094)/(${Variables:E2_7_1_56_km} + (E2_7_1_56 * C00002 * C01094))</v>
      </c>
    </row>
    <row r="377" spans="1:11" ht="42.75" x14ac:dyDescent="0.45">
      <c r="A377" s="53" t="s">
        <v>6438</v>
      </c>
      <c r="B377" s="54" t="s">
        <v>6439</v>
      </c>
      <c r="C377" t="s">
        <v>1775</v>
      </c>
      <c r="D377" s="12">
        <v>387</v>
      </c>
      <c r="E377" s="12" t="str">
        <f>CONCATENATE("E",C377)</f>
        <v>E2_7_1_56</v>
      </c>
      <c r="F377" s="12" t="s">
        <v>3139</v>
      </c>
      <c r="G377" s="12" t="s">
        <v>1560</v>
      </c>
      <c r="H377" t="s">
        <v>3424</v>
      </c>
      <c r="I377" t="s">
        <v>1561</v>
      </c>
      <c r="J377" s="12" t="str">
        <f>CONCATENATE("(${Variables:",E377,"_kcat","} * ",E377," * ",G377,")","/(${Variables:",E377,"_km","} + (",E377," * ",G377,"))")</f>
        <v>(${Variables:E2_7_1_56_kcat} * E2_7_1_56 * C01097 * C00002)/(${Variables:E2_7_1_56_km} + (E2_7_1_56 * C01097 * C00002))</v>
      </c>
      <c r="K377" s="43" t="str">
        <f>CONCATENATE("r",D377,": ",F377," -&gt; ",H377," | ",J377)</f>
        <v>r387: C01097 + C00002 -&gt; C03785 + C00008 | (${Variables:E2_7_1_56_kcat} * E2_7_1_56 * C01097 * C00002)/(${Variables:E2_7_1_56_km} + (E2_7_1_56 * C01097 * C00002))</v>
      </c>
    </row>
    <row r="378" spans="1:11" ht="42.75" x14ac:dyDescent="0.45">
      <c r="A378" s="53" t="s">
        <v>7825</v>
      </c>
      <c r="B378" s="54" t="s">
        <v>7826</v>
      </c>
      <c r="C378" t="s">
        <v>1773</v>
      </c>
      <c r="D378" s="12">
        <v>388</v>
      </c>
      <c r="E378" s="12" t="str">
        <f>CONCATENATE("E",C378)</f>
        <v>E2_7_1_6</v>
      </c>
      <c r="F378" s="12" t="s">
        <v>3169</v>
      </c>
      <c r="G378" s="12" t="s">
        <v>1269</v>
      </c>
      <c r="H378" t="s">
        <v>3453</v>
      </c>
      <c r="I378" t="s">
        <v>1270</v>
      </c>
      <c r="J378" s="12" t="str">
        <f>CONCATENATE("(${Variables:",E378,"_kcat","} * ",E378," * ",G378,")","/(${Variables:",E378,"_km","} + (",E378," * ",G378,"))")</f>
        <v>(${Variables:E2_7_1_6_kcat} * E2_7_1_6 * C00002 * C00984)/(${Variables:E2_7_1_6_km} + (E2_7_1_6 * C00002 * C00984))</v>
      </c>
      <c r="K378" s="43" t="str">
        <f>CONCATENATE("r",D378,": ",F378," -&gt; ",H378," | ",J378)</f>
        <v>r388: C00002 + C00984 -&gt; C00008 + C00446 | (${Variables:E2_7_1_6_kcat} * E2_7_1_6 * C00002 * C00984)/(${Variables:E2_7_1_6_km} + (E2_7_1_6 * C00002 * C00984))</v>
      </c>
    </row>
    <row r="379" spans="1:11" ht="42.75" x14ac:dyDescent="0.45">
      <c r="A379" s="53" t="s">
        <v>5325</v>
      </c>
      <c r="B379" s="54" t="s">
        <v>5326</v>
      </c>
      <c r="C379" t="s">
        <v>10360</v>
      </c>
      <c r="D379" s="12">
        <v>389</v>
      </c>
      <c r="E379" s="12" t="str">
        <f>CONCATENATE("E",C379)</f>
        <v>E2_7_1_71</v>
      </c>
      <c r="F379" t="s">
        <v>9164</v>
      </c>
      <c r="G379" t="s">
        <v>10577</v>
      </c>
      <c r="H379" t="s">
        <v>9165</v>
      </c>
      <c r="I379" t="s">
        <v>10807</v>
      </c>
      <c r="J379" s="12" t="str">
        <f>CONCATENATE("(${Variables:",E379,"_kcat","} * ",E379," * ",G379,")","/(${Variables:",E379,"_km","} + (",E379," * ",G379,"))")</f>
        <v>(${Variables:E2_7_1_71_kcat} * E2_7_1_71 * C00002 * C00493)/(${Variables:E2_7_1_71_km} + (E2_7_1_71 * C00002 * C00493))</v>
      </c>
      <c r="K379" s="43" t="str">
        <f>CONCATENATE("r",D379,": ",F379," -&gt; ",H379," | ",J379)</f>
        <v>r389: C00002 + C00493 -&gt; C00008 + C03175 | (${Variables:E2_7_1_71_kcat} * E2_7_1_71 * C00002 * C00493)/(${Variables:E2_7_1_71_km} + (E2_7_1_71 * C00002 * C00493))</v>
      </c>
    </row>
    <row r="380" spans="1:11" ht="28.5" x14ac:dyDescent="0.45">
      <c r="A380" s="53" t="s">
        <v>6593</v>
      </c>
      <c r="B380" s="54" t="s">
        <v>6594</v>
      </c>
      <c r="C380" t="s">
        <v>1767</v>
      </c>
      <c r="D380" s="12">
        <v>390</v>
      </c>
      <c r="E380" s="12" t="str">
        <f>CONCATENATE("E",C380)</f>
        <v>E2_7_13_3</v>
      </c>
      <c r="F380" t="s">
        <v>1121</v>
      </c>
      <c r="G380" t="s">
        <v>1121</v>
      </c>
      <c r="H380" t="s">
        <v>1108</v>
      </c>
      <c r="I380" t="s">
        <v>1108</v>
      </c>
      <c r="J380" s="12" t="str">
        <f>CONCATENATE("(${Variables:",E380,"_kcat","} * ",E380," * ",G380,")","/(${Variables:",E380,"_km","} + (",E380," * ",G380,"))")</f>
        <v>(${Variables:E2_7_13_3_kcat} * E2_7_13_3 * C00117)/(${Variables:E2_7_13_3_km} + (E2_7_13_3 * C00117))</v>
      </c>
      <c r="K380" s="43" t="str">
        <f>CONCATENATE("r",D380,": ",F380," -&gt; ",H380," | ",J380)</f>
        <v>r390: C00117 -&gt; C00199 | (${Variables:E2_7_13_3_kcat} * E2_7_13_3 * C00117)/(${Variables:E2_7_13_3_km} + (E2_7_13_3 * C00117))</v>
      </c>
    </row>
    <row r="381" spans="1:11" ht="28.5" x14ac:dyDescent="0.45">
      <c r="A381" s="53" t="s">
        <v>6593</v>
      </c>
      <c r="B381" s="54" t="s">
        <v>6594</v>
      </c>
      <c r="C381" t="s">
        <v>1767</v>
      </c>
      <c r="D381" s="12">
        <v>391</v>
      </c>
      <c r="E381" s="12" t="str">
        <f>CONCATENATE("E",C381)</f>
        <v>E2_7_13_3</v>
      </c>
      <c r="F381" t="s">
        <v>1122</v>
      </c>
      <c r="G381" t="s">
        <v>1122</v>
      </c>
      <c r="H381" t="s">
        <v>1123</v>
      </c>
      <c r="I381" t="s">
        <v>1123</v>
      </c>
      <c r="J381" s="12" t="str">
        <f>CONCATENATE("(${Variables:",E381,"_kcat","} * ",E381," * ",G381,")","/(${Variables:",E381,"_km","} + (",E381," * ",G381,"))")</f>
        <v>(${Variables:E2_7_13_3_kcat} * E2_7_13_3 * C02962)/(${Variables:E2_7_13_3_km} + (E2_7_13_3 * C02962))</v>
      </c>
      <c r="K381" s="43" t="str">
        <f>CONCATENATE("r",D381,": ",F381," -&gt; ",H381," | ",J381)</f>
        <v>r391: C02962 -&gt; C18096 | (${Variables:E2_7_13_3_kcat} * E2_7_13_3 * C02962)/(${Variables:E2_7_13_3_km} + (E2_7_13_3 * C02962))</v>
      </c>
    </row>
    <row r="382" spans="1:11" ht="42.75" x14ac:dyDescent="0.45">
      <c r="A382" s="53" t="s">
        <v>3919</v>
      </c>
      <c r="B382" s="54" t="s">
        <v>3920</v>
      </c>
      <c r="C382" t="s">
        <v>1727</v>
      </c>
      <c r="D382" s="12">
        <v>392</v>
      </c>
      <c r="E382" s="12" t="str">
        <f>CONCATENATE("E",C382)</f>
        <v>E2_7_2_1</v>
      </c>
      <c r="F382" t="s">
        <v>3170</v>
      </c>
      <c r="G382" t="s">
        <v>1153</v>
      </c>
      <c r="H382" t="s">
        <v>3454</v>
      </c>
      <c r="I382" t="s">
        <v>1154</v>
      </c>
      <c r="J382" s="12" t="str">
        <f>CONCATENATE("(${Variables:",E382,"_kcat","} * ",E382," * ",G382,")","/(${Variables:",E382,"_km","} + (",E382," * ",G382,"))")</f>
        <v>(${Variables:E2_7_2_1_kcat} * E2_7_2_1 * C00002 * C00033)/(${Variables:E2_7_2_1_km} + (E2_7_2_1 * C00002 * C00033))</v>
      </c>
      <c r="K382" s="43" t="str">
        <f>CONCATENATE("r",D382,": ",F382," -&gt; ",H382," | ",J382)</f>
        <v>r392: C00002 + C00033 -&gt; C00008 + C00227 | (${Variables:E2_7_2_1_kcat} * E2_7_2_1 * C00002 * C00033)/(${Variables:E2_7_2_1_km} + (E2_7_2_1 * C00002 * C00033))</v>
      </c>
    </row>
    <row r="383" spans="1:11" ht="42.75" x14ac:dyDescent="0.45">
      <c r="A383" s="53" t="s">
        <v>3919</v>
      </c>
      <c r="B383" s="54" t="s">
        <v>3920</v>
      </c>
      <c r="C383" t="s">
        <v>1727</v>
      </c>
      <c r="D383" s="12">
        <v>393</v>
      </c>
      <c r="E383" s="12" t="str">
        <f>CONCATENATE("E",C383)</f>
        <v>E2_7_2_1</v>
      </c>
      <c r="F383" t="s">
        <v>8506</v>
      </c>
      <c r="G383" t="s">
        <v>10578</v>
      </c>
      <c r="H383" t="s">
        <v>3455</v>
      </c>
      <c r="I383" t="s">
        <v>1225</v>
      </c>
      <c r="J383" s="12" t="str">
        <f>CONCATENATE("(${Variables:",E383,"_kcat","} * ",E383," * ",G383,")","/(${Variables:",E383,"_km","} + (",E383," * ",G383,"))")</f>
        <v>(${Variables:E2_7_2_1_kcat} * E2_7_2_1 * C00002 * C00163 )/(${Variables:E2_7_2_1_km} + (E2_7_2_1 * C00002 * C00163 ))</v>
      </c>
      <c r="K383" s="43" t="str">
        <f>CONCATENATE("r",D383,": ",F383," -&gt; ",H383," | ",J383)</f>
        <v>r393: C00002 + C00163  -&gt; C00008 + C02876 | (${Variables:E2_7_2_1_kcat} * E2_7_2_1 * C00002 * C00163 )/(${Variables:E2_7_2_1_km} + (E2_7_2_1 * C00002 * C00163 ))</v>
      </c>
    </row>
    <row r="384" spans="1:11" ht="42.75" x14ac:dyDescent="0.45">
      <c r="A384" s="53" t="s">
        <v>7467</v>
      </c>
      <c r="B384" s="54" t="s">
        <v>7468</v>
      </c>
      <c r="C384" t="s">
        <v>10361</v>
      </c>
      <c r="D384" s="12">
        <v>394</v>
      </c>
      <c r="E384" s="12" t="str">
        <f>CONCATENATE("E",C384)</f>
        <v>E2_7_2_11</v>
      </c>
      <c r="F384" s="12" t="s">
        <v>10078</v>
      </c>
      <c r="G384" s="12" t="s">
        <v>10579</v>
      </c>
      <c r="H384" t="s">
        <v>10079</v>
      </c>
      <c r="I384" t="s">
        <v>10808</v>
      </c>
      <c r="J384" s="12" t="str">
        <f>CONCATENATE("(${Variables:",E384,"_kcat","} * ",E384," * ",G384,")","/(${Variables:",E384,"_km","} + (",E384," * ",G384,"))")</f>
        <v>(${Variables:E2_7_2_11_kcat} * E2_7_2_11 * C00002 * C00025)/(${Variables:E2_7_2_11_km} + (E2_7_2_11 * C00002 * C00025))</v>
      </c>
      <c r="K384" s="43" t="str">
        <f>CONCATENATE("r",D384,": ",F384," -&gt; ",H384," | ",J384)</f>
        <v>r394: C00002 + C00025 -&gt; C00008 + C03287 | (${Variables:E2_7_2_11_kcat} * E2_7_2_11 * C00002 * C00025)/(${Variables:E2_7_2_11_km} + (E2_7_2_11 * C00002 * C00025))</v>
      </c>
    </row>
    <row r="385" spans="1:11" ht="42.75" x14ac:dyDescent="0.45">
      <c r="A385" s="53" t="s">
        <v>5037</v>
      </c>
      <c r="B385" s="54" t="s">
        <v>5038</v>
      </c>
      <c r="C385" t="s">
        <v>10362</v>
      </c>
      <c r="D385" s="12">
        <v>395</v>
      </c>
      <c r="E385" s="12" t="str">
        <f>CONCATENATE("E",C385)</f>
        <v>E2_7_2_2</v>
      </c>
      <c r="F385" t="s">
        <v>8993</v>
      </c>
      <c r="G385" t="s">
        <v>10580</v>
      </c>
      <c r="H385" t="s">
        <v>8994</v>
      </c>
      <c r="I385" t="s">
        <v>10809</v>
      </c>
      <c r="J385" s="12" t="str">
        <f>CONCATENATE("(${Variables:",E385,"_kcat","} * ",E385," * ",G385,")","/(${Variables:",E385,"_km","} + (",E385," * ",G385,"))")</f>
        <v>(${Variables:E2_7_2_2_kcat} * E2_7_2_2 * C00002 * C00014 * C00288)/(${Variables:E2_7_2_2_km} + (E2_7_2_2 * C00002 * C00014 * C00288))</v>
      </c>
      <c r="K385" s="43" t="str">
        <f>CONCATENATE("r",D385,": ",F385," -&gt; ",H385," | ",J385)</f>
        <v>r395: C00002 + C00014 + C00288 -&gt; C00008 + C00169 + C00001 | (${Variables:E2_7_2_2_kcat} * E2_7_2_2 * C00002 * C00014 * C00288)/(${Variables:E2_7_2_2_km} + (E2_7_2_2 * C00002 * C00014 * C00288))</v>
      </c>
    </row>
    <row r="386" spans="1:11" ht="42.75" x14ac:dyDescent="0.45">
      <c r="A386" s="53" t="s">
        <v>5037</v>
      </c>
      <c r="B386" s="54" t="s">
        <v>5038</v>
      </c>
      <c r="C386" t="s">
        <v>10362</v>
      </c>
      <c r="D386" s="12">
        <v>396</v>
      </c>
      <c r="E386" s="12" t="str">
        <f>CONCATENATE("E",C386)</f>
        <v>E2_7_2_2</v>
      </c>
      <c r="F386" t="s">
        <v>3303</v>
      </c>
      <c r="G386" t="s">
        <v>1287</v>
      </c>
      <c r="H386" t="s">
        <v>3590</v>
      </c>
      <c r="I386" t="s">
        <v>1288</v>
      </c>
      <c r="J386" s="12" t="str">
        <f>CONCATENATE("(${Variables:",E386,"_kcat","} * ",E386," * ",G386,")","/(${Variables:",E386,"_km","} + (",E386," * ",G386,"))")</f>
        <v>(${Variables:E2_7_2_2_kcat} * E2_7_2_2 * C00002 * C01563)/(${Variables:E2_7_2_2_km} + (E2_7_2_2 * C00002 * C01563))</v>
      </c>
      <c r="K386" s="43" t="str">
        <f>CONCATENATE("r",D386,": ",F386," -&gt; ",H386," | ",J386)</f>
        <v>r396: C00002 + C01563 -&gt; C00008 + C00169 | (${Variables:E2_7_2_2_kcat} * E2_7_2_2 * C00002 * C01563)/(${Variables:E2_7_2_2_km} + (E2_7_2_2 * C00002 * C01563))</v>
      </c>
    </row>
    <row r="387" spans="1:11" ht="42.75" x14ac:dyDescent="0.45">
      <c r="A387" s="53" t="s">
        <v>5037</v>
      </c>
      <c r="B387" s="54" t="s">
        <v>5038</v>
      </c>
      <c r="C387" t="s">
        <v>10362</v>
      </c>
      <c r="D387" s="12">
        <v>397</v>
      </c>
      <c r="E387" s="12" t="str">
        <f>CONCATENATE("E",C387)</f>
        <v>E2_7_2_2</v>
      </c>
      <c r="F387" s="12" t="s">
        <v>8997</v>
      </c>
      <c r="G387" s="12" t="s">
        <v>10581</v>
      </c>
      <c r="H387" s="12" t="s">
        <v>8997</v>
      </c>
      <c r="I387" s="12" t="s">
        <v>10581</v>
      </c>
      <c r="J387" s="12" t="str">
        <f>CONCATENATE("(${Variables:",E387,"_kcat","} * ",E387," * ",G387,")","/(${Variables:",E387,"_km","} + (",E387," * ",G387,"))")</f>
        <v>(${Variables:E2_7_2_2_kcat} * E2_7_2_2 * C00014 * C00288)/(${Variables:E2_7_2_2_km} + (E2_7_2_2 * C00014 * C00288))</v>
      </c>
      <c r="K387" s="43" t="str">
        <f>CONCATENATE("r",D387,": ",F387," -&gt; ",H387," | ",J387)</f>
        <v>r397: C00014 + C00288 -&gt; C00014 + C00288 | (${Variables:E2_7_2_2_kcat} * E2_7_2_2 * C00014 * C00288)/(${Variables:E2_7_2_2_km} + (E2_7_2_2 * C00014 * C00288))</v>
      </c>
    </row>
    <row r="388" spans="1:11" ht="42.75" x14ac:dyDescent="0.45">
      <c r="A388" s="53" t="s">
        <v>4385</v>
      </c>
      <c r="B388" s="54" t="s">
        <v>4386</v>
      </c>
      <c r="C388" t="s">
        <v>1758</v>
      </c>
      <c r="D388" s="12">
        <v>398</v>
      </c>
      <c r="E388" s="12" t="str">
        <f>CONCATENATE("E",C388)</f>
        <v>E2_7_2_3</v>
      </c>
      <c r="F388" t="s">
        <v>3171</v>
      </c>
      <c r="G388" t="s">
        <v>1230</v>
      </c>
      <c r="H388" t="s">
        <v>3456</v>
      </c>
      <c r="I388" t="s">
        <v>1231</v>
      </c>
      <c r="J388" s="12" t="str">
        <f>CONCATENATE("(${Variables:",E388,"_kcat","} * ",E388," * ",G388,")","/(${Variables:",E388,"_km","} + (",E388," * ",G388,"))")</f>
        <v>(${Variables:E2_7_2_3_kcat} * E2_7_2_3 * C00002 * C00197)/(${Variables:E2_7_2_3_km} + (E2_7_2_3 * C00002 * C00197))</v>
      </c>
      <c r="K388" s="43" t="str">
        <f>CONCATENATE("r",D388,": ",F388," -&gt; ",H388," | ",J388)</f>
        <v>r398: C00002 + C00197 -&gt; C00008 + C00236 | (${Variables:E2_7_2_3_kcat} * E2_7_2_3 * C00002 * C00197)/(${Variables:E2_7_2_3_km} + (E2_7_2_3 * C00002 * C00197))</v>
      </c>
    </row>
    <row r="389" spans="1:11" ht="42.75" x14ac:dyDescent="0.45">
      <c r="A389" s="53" t="s">
        <v>7789</v>
      </c>
      <c r="B389" s="54" t="s">
        <v>7790</v>
      </c>
      <c r="C389" t="s">
        <v>1733</v>
      </c>
      <c r="D389" s="12">
        <v>399</v>
      </c>
      <c r="E389" s="12" t="str">
        <f>CONCATENATE("E",C389)</f>
        <v>E2_7_2_4</v>
      </c>
      <c r="F389" s="12" t="s">
        <v>3172</v>
      </c>
      <c r="G389" s="12" t="s">
        <v>1165</v>
      </c>
      <c r="H389" t="s">
        <v>3457</v>
      </c>
      <c r="I389" t="s">
        <v>1166</v>
      </c>
      <c r="J389" s="12" t="str">
        <f>CONCATENATE("(${Variables:",E389,"_kcat","} * ",E389," * ",G389,")","/(${Variables:",E389,"_km","} + (",E389," * ",G389,"))")</f>
        <v>(${Variables:E2_7_2_4_kcat} * E2_7_2_4 * C00002 * C00049)/(${Variables:E2_7_2_4_km} + (E2_7_2_4 * C00002 * C00049))</v>
      </c>
      <c r="K389" s="43" t="str">
        <f>CONCATENATE("r",D389,": ",F389," -&gt; ",H389," | ",J389)</f>
        <v>r399: C00002 + C00049 -&gt; C00008 + C03082 | (${Variables:E2_7_2_4_kcat} * E2_7_2_4 * C00002 * C00049)/(${Variables:E2_7_2_4_km} + (E2_7_2_4 * C00002 * C00049))</v>
      </c>
    </row>
    <row r="390" spans="1:11" ht="42.75" x14ac:dyDescent="0.45">
      <c r="A390" s="53" t="s">
        <v>5583</v>
      </c>
      <c r="B390" s="54" t="s">
        <v>5584</v>
      </c>
      <c r="C390" t="s">
        <v>1821</v>
      </c>
      <c r="D390" s="12">
        <v>400</v>
      </c>
      <c r="E390" s="12" t="str">
        <f>CONCATENATE("E",C390)</f>
        <v>E2_7_3_9</v>
      </c>
      <c r="F390" s="12" t="s">
        <v>3173</v>
      </c>
      <c r="G390" s="12" t="s">
        <v>1370</v>
      </c>
      <c r="H390" t="s">
        <v>3458</v>
      </c>
      <c r="I390" t="s">
        <v>1371</v>
      </c>
      <c r="J390" s="12" t="str">
        <f>CONCATENATE("(${Variables:",E390,"_kcat","} * ",E390," * ",G390,")","/(${Variables:",E390,"_km","} + (",E390," * ",G390,"))")</f>
        <v>(${Variables:E2_7_3_9_kcat} * E2_7_3_9 * C00074 * C00615)/(${Variables:E2_7_3_9_km} + (E2_7_3_9 * C00074 * C00615))</v>
      </c>
      <c r="K390" s="43" t="str">
        <f>CONCATENATE("r",D390,": ",F390," -&gt; ",H390," | ",J390)</f>
        <v>r400: C00074 + C00615 -&gt; C00022 + C04261 | (${Variables:E2_7_3_9_kcat} * E2_7_3_9 * C00074 * C00615)/(${Variables:E2_7_3_9_km} + (E2_7_3_9 * C00074 * C00615))</v>
      </c>
    </row>
    <row r="391" spans="1:11" ht="42.75" x14ac:dyDescent="0.45">
      <c r="A391" s="53" t="s">
        <v>6393</v>
      </c>
      <c r="B391" s="54" t="s">
        <v>6394</v>
      </c>
      <c r="C391" t="s">
        <v>1776</v>
      </c>
      <c r="D391" s="12">
        <v>401</v>
      </c>
      <c r="E391" s="12" t="str">
        <f>CONCATENATE("E",C391)</f>
        <v>E2_7_4_2</v>
      </c>
      <c r="F391" t="s">
        <v>3174</v>
      </c>
      <c r="G391" t="s">
        <v>1275</v>
      </c>
      <c r="H391" t="s">
        <v>3459</v>
      </c>
      <c r="I391" t="s">
        <v>1276</v>
      </c>
      <c r="J391" s="12" t="str">
        <f>CONCATENATE("(${Variables:",E391,"_kcat","} * ",E391," * ",G391,")","/(${Variables:",E391,"_km","} + (",E391," * ",G391,"))")</f>
        <v>(${Variables:E2_7_4_2_kcat} * E2_7_4_2 * C00002 * C01107)/(${Variables:E2_7_4_2_km} + (E2_7_4_2 * C00002 * C01107))</v>
      </c>
      <c r="K391" s="43" t="str">
        <f>CONCATENATE("r",D391,": ",F391," -&gt; ",H391," | ",J391)</f>
        <v>r401: C00002 + C01107 -&gt; C00008 + C01143 | (${Variables:E2_7_4_2_kcat} * E2_7_4_2 * C00002 * C01107)/(${Variables:E2_7_4_2_km} + (E2_7_4_2 * C00002 * C01107))</v>
      </c>
    </row>
    <row r="392" spans="1:11" ht="42.75" x14ac:dyDescent="0.45">
      <c r="A392" s="53" t="s">
        <v>7159</v>
      </c>
      <c r="B392" s="54" t="s">
        <v>7160</v>
      </c>
      <c r="C392" t="s">
        <v>1748</v>
      </c>
      <c r="D392" s="12">
        <v>402</v>
      </c>
      <c r="E392" s="12" t="str">
        <f>CONCATENATE("E",C392)</f>
        <v>E2_7_4_22</v>
      </c>
      <c r="F392" s="12" t="s">
        <v>3175</v>
      </c>
      <c r="G392" s="12" t="s">
        <v>1196</v>
      </c>
      <c r="H392" t="s">
        <v>3460</v>
      </c>
      <c r="I392" t="s">
        <v>1197</v>
      </c>
      <c r="J392" s="12" t="str">
        <f>CONCATENATE("(${Variables:",E392,"_kcat","} * ",E392," * ",G392,")","/(${Variables:",E392,"_km","} + (",E392," * ",G392,"))")</f>
        <v>(${Variables:E2_7_4_22_kcat} * E2_7_4_22 * C00002 * C00105)/(${Variables:E2_7_4_22_km} + (E2_7_4_22 * C00002 * C00105))</v>
      </c>
      <c r="K392" s="43" t="str">
        <f>CONCATENATE("r",D392,": ",F392," -&gt; ",H392," | ",J392)</f>
        <v>r402: C00002 + C00105 -&gt; C00008 + C00015 | (${Variables:E2_7_4_22_kcat} * E2_7_4_22 * C00002 * C00105)/(${Variables:E2_7_4_22_km} + (E2_7_4_22 * C00002 * C00105))</v>
      </c>
    </row>
    <row r="393" spans="1:11" ht="42.75" x14ac:dyDescent="0.45">
      <c r="A393" s="53" t="s">
        <v>5785</v>
      </c>
      <c r="B393" s="54" t="s">
        <v>5786</v>
      </c>
      <c r="C393" t="s">
        <v>1735</v>
      </c>
      <c r="D393" s="12">
        <v>403</v>
      </c>
      <c r="E393" s="12" t="str">
        <f>CONCATENATE("E",C393)</f>
        <v>E2_7_4_25</v>
      </c>
      <c r="F393" s="12" t="s">
        <v>3176</v>
      </c>
      <c r="G393" s="12" t="s">
        <v>1169</v>
      </c>
      <c r="H393" t="s">
        <v>3461</v>
      </c>
      <c r="I393" t="s">
        <v>1170</v>
      </c>
      <c r="J393" s="12" t="str">
        <f>CONCATENATE("(${Variables:",E393,"_kcat","} * ",E393," * ",G393,")","/(${Variables:",E393,"_km","} + (",E393," * ",G393,"))")</f>
        <v>(${Variables:E2_7_4_25_kcat} * E2_7_4_25 * C00002 * C00055)/(${Variables:E2_7_4_25_km} + (E2_7_4_25 * C00002 * C00055))</v>
      </c>
      <c r="K393" s="43" t="str">
        <f>CONCATENATE("r",D393,": ",F393," -&gt; ",H393," | ",J393)</f>
        <v>r403: C00002 + C00055 -&gt; C00008 + C00112 | (${Variables:E2_7_4_25_kcat} * E2_7_4_25 * C00002 * C00055)/(${Variables:E2_7_4_25_km} + (E2_7_4_25 * C00002 * C00055))</v>
      </c>
    </row>
    <row r="394" spans="1:11" ht="42.75" x14ac:dyDescent="0.45">
      <c r="A394" s="53" t="s">
        <v>5785</v>
      </c>
      <c r="B394" s="54" t="s">
        <v>5786</v>
      </c>
      <c r="C394" t="s">
        <v>1735</v>
      </c>
      <c r="D394" s="12">
        <v>404</v>
      </c>
      <c r="E394" s="12" t="str">
        <f>CONCATENATE("E",C394)</f>
        <v>E2_7_4_25</v>
      </c>
      <c r="F394" s="12" t="s">
        <v>3177</v>
      </c>
      <c r="G394" s="12" t="s">
        <v>1234</v>
      </c>
      <c r="H394" t="s">
        <v>3462</v>
      </c>
      <c r="I394" t="s">
        <v>1235</v>
      </c>
      <c r="J394" s="12" t="str">
        <f>CONCATENATE("(${Variables:",E394,"_kcat","} * ",E394," * ",G394,")","/(${Variables:",E394,"_km","} + (",E394," * ",G394,"))")</f>
        <v>(${Variables:E2_7_4_25_kcat} * E2_7_4_25 * C00002 * C00239)/(${Variables:E2_7_4_25_km} + (E2_7_4_25 * C00002 * C00239))</v>
      </c>
      <c r="K394" s="43" t="str">
        <f>CONCATENATE("r",D394,": ",F394," -&gt; ",H394," | ",J394)</f>
        <v>r404: C00002 + C00239 -&gt; C00008 + C00705 | (${Variables:E2_7_4_25_kcat} * E2_7_4_25 * C00002 * C00239)/(${Variables:E2_7_4_25_km} + (E2_7_4_25 * C00002 * C00239))</v>
      </c>
    </row>
    <row r="395" spans="1:11" ht="42.75" x14ac:dyDescent="0.45">
      <c r="A395" s="53" t="s">
        <v>3787</v>
      </c>
      <c r="B395" s="54" t="s">
        <v>3788</v>
      </c>
      <c r="C395" t="s">
        <v>1724</v>
      </c>
      <c r="D395" s="12">
        <v>405</v>
      </c>
      <c r="E395" s="12" t="str">
        <f>CONCATENATE("E",C395)</f>
        <v>E2_7_4_3</v>
      </c>
      <c r="F395" t="s">
        <v>3178</v>
      </c>
      <c r="G395" t="s">
        <v>1147</v>
      </c>
      <c r="H395" t="s">
        <v>1073</v>
      </c>
      <c r="I395" t="s">
        <v>1073</v>
      </c>
      <c r="J395" s="12" t="str">
        <f>CONCATENATE("(${Variables:",E395,"_kcat","} * ",E395," * ",G395,")","/(${Variables:",E395,"_km","} + (",E395," * ",G395,"))")</f>
        <v>(${Variables:E2_7_4_3_kcat} * E2_7_4_3 * C00002 * C00020)/(${Variables:E2_7_4_3_km} + (E2_7_4_3 * C00002 * C00020))</v>
      </c>
      <c r="K395" s="43" t="str">
        <f>CONCATENATE("r",D395,": ",F395," -&gt; ",H395," | ",J395)</f>
        <v>r405: C00002 + C00020 -&gt; C00008 | (${Variables:E2_7_4_3_kcat} * E2_7_4_3 * C00002 * C00020)/(${Variables:E2_7_4_3_km} + (E2_7_4_3 * C00002 * C00020))</v>
      </c>
    </row>
    <row r="396" spans="1:11" ht="42.75" x14ac:dyDescent="0.45">
      <c r="A396" s="53" t="s">
        <v>3787</v>
      </c>
      <c r="B396" s="54" t="s">
        <v>3788</v>
      </c>
      <c r="C396" t="s">
        <v>1724</v>
      </c>
      <c r="D396" s="12">
        <v>406</v>
      </c>
      <c r="E396" s="12" t="str">
        <f>CONCATENATE("E",C396)</f>
        <v>E2_7_4_3</v>
      </c>
      <c r="F396" t="s">
        <v>8482</v>
      </c>
      <c r="G396" t="s">
        <v>10582</v>
      </c>
      <c r="H396" t="s">
        <v>3463</v>
      </c>
      <c r="I396" t="s">
        <v>1148</v>
      </c>
      <c r="J396" s="12" t="str">
        <f>CONCATENATE("(${Variables:",E396,"_kcat","} * ",E396," * ",G396,")","/(${Variables:",E396,"_km","} + (",E396," * ",G396,"))")</f>
        <v>(${Variables:E2_7_4_3_kcat} * E2_7_4_3 * C00002 * C00360)/(${Variables:E2_7_4_3_km} + (E2_7_4_3 * C00002 * C00360))</v>
      </c>
      <c r="K396" s="43" t="str">
        <f>CONCATENATE("r",D396,": ",F396," -&gt; ",H396," | ",J396)</f>
        <v>r406: C00002 + C00360 -&gt; C00008 + C00206 | (${Variables:E2_7_4_3_kcat} * E2_7_4_3 * C00002 * C00360)/(${Variables:E2_7_4_3_km} + (E2_7_4_3 * C00002 * C00360))</v>
      </c>
    </row>
    <row r="397" spans="1:11" ht="42.75" x14ac:dyDescent="0.45">
      <c r="A397" s="53" t="s">
        <v>3787</v>
      </c>
      <c r="B397" s="54" t="s">
        <v>3788</v>
      </c>
      <c r="C397" t="s">
        <v>1724</v>
      </c>
      <c r="D397" s="12">
        <v>407</v>
      </c>
      <c r="E397" s="12" t="str">
        <f>CONCATENATE("E",C397)</f>
        <v>E2_7_4_3</v>
      </c>
      <c r="F397" t="s">
        <v>3179</v>
      </c>
      <c r="G397" t="s">
        <v>1364</v>
      </c>
      <c r="H397" t="s">
        <v>3464</v>
      </c>
      <c r="I397" t="s">
        <v>1365</v>
      </c>
      <c r="J397" s="12" t="str">
        <f>CONCATENATE("(${Variables:",E397,"_kcat","} * ",E397," * ",G397,")","/(${Variables:",E397,"_km","} + (",E397," * ",G397,"))")</f>
        <v>(${Variables:E2_7_4_3_kcat} * E2_7_4_3 * C00068 * C00008)/(${Variables:E2_7_4_3_km} + (E2_7_4_3 * C00068 * C00008))</v>
      </c>
      <c r="K397" s="43" t="str">
        <f>CONCATENATE("r",D397,": ",F397," -&gt; ",H397," | ",J397)</f>
        <v>r407: C00068 + C00008 -&gt; C03028 + C00020 | (${Variables:E2_7_4_3_kcat} * E2_7_4_3 * C00068 * C00008)/(${Variables:E2_7_4_3_km} + (E2_7_4_3 * C00068 * C00008))</v>
      </c>
    </row>
    <row r="398" spans="1:11" ht="42.75" x14ac:dyDescent="0.45">
      <c r="A398" s="53" t="s">
        <v>6368</v>
      </c>
      <c r="B398" s="54" t="s">
        <v>6369</v>
      </c>
      <c r="C398" t="s">
        <v>10363</v>
      </c>
      <c r="D398" s="12">
        <v>408</v>
      </c>
      <c r="E398" s="12" t="str">
        <f>CONCATENATE("E",C398)</f>
        <v>E2_7_4_6</v>
      </c>
      <c r="F398" t="s">
        <v>9526</v>
      </c>
      <c r="G398" t="s">
        <v>10583</v>
      </c>
      <c r="H398" t="s">
        <v>9527</v>
      </c>
      <c r="I398" t="s">
        <v>10810</v>
      </c>
      <c r="J398" s="12" t="str">
        <f>CONCATENATE("(${Variables:",E398,"_kcat","} * ",E398," * ",G398,")","/(${Variables:",E398,"_km","} + (",E398," * ",G398,"))")</f>
        <v>(${Variables:E2_7_4_6_kcat} * E2_7_4_6 * C00002 * C00454)/(${Variables:E2_7_4_6_km} + (E2_7_4_6 * C00002 * C00454))</v>
      </c>
      <c r="K398" s="43" t="str">
        <f>CONCATENATE("r",D398,": ",F398," -&gt; ",H398," | ",J398)</f>
        <v>r408: C00002 + C00454 -&gt; C00008 + C00201 | (${Variables:E2_7_4_6_kcat} * E2_7_4_6 * C00002 * C00454)/(${Variables:E2_7_4_6_km} + (E2_7_4_6 * C00002 * C00454))</v>
      </c>
    </row>
    <row r="399" spans="1:11" ht="42.75" x14ac:dyDescent="0.45">
      <c r="A399" s="53" t="s">
        <v>6368</v>
      </c>
      <c r="B399" s="54" t="s">
        <v>6369</v>
      </c>
      <c r="C399" t="s">
        <v>10363</v>
      </c>
      <c r="D399" s="12">
        <v>409</v>
      </c>
      <c r="E399" s="12" t="str">
        <f>CONCATENATE("E",C399)</f>
        <v>E2_7_4_6</v>
      </c>
      <c r="F399" s="12" t="s">
        <v>9529</v>
      </c>
      <c r="G399" s="12" t="s">
        <v>10584</v>
      </c>
      <c r="H399" t="s">
        <v>9530</v>
      </c>
      <c r="I399" t="s">
        <v>10811</v>
      </c>
      <c r="J399" s="12" t="str">
        <f>CONCATENATE("(${Variables:",E399,"_kcat","} * ",E399," * ",G399,")","/(${Variables:",E399,"_km","} + (",E399," * ",G399,"))")</f>
        <v>(${Variables:E2_7_4_6_kcat} * E2_7_4_6 * C00002 * C00008)/(${Variables:E2_7_4_6_km} + (E2_7_4_6 * C00002 * C00008))</v>
      </c>
      <c r="K399" s="43" t="str">
        <f>CONCATENATE("r",D399,": ",F399," -&gt; ",H399," | ",J399)</f>
        <v>r409: C00002 + C00008 -&gt; C00008 + C00002 | (${Variables:E2_7_4_6_kcat} * E2_7_4_6 * C00002 * C00008)/(${Variables:E2_7_4_6_km} + (E2_7_4_6 * C00002 * C00008))</v>
      </c>
    </row>
    <row r="400" spans="1:11" ht="42.75" x14ac:dyDescent="0.45">
      <c r="A400" s="53" t="s">
        <v>6368</v>
      </c>
      <c r="B400" s="54" t="s">
        <v>6369</v>
      </c>
      <c r="C400" t="s">
        <v>10363</v>
      </c>
      <c r="D400" s="12">
        <v>410</v>
      </c>
      <c r="E400" s="12" t="str">
        <f>CONCATENATE("E",C400)</f>
        <v>E2_7_4_6</v>
      </c>
      <c r="F400" t="s">
        <v>9532</v>
      </c>
      <c r="G400" t="s">
        <v>10585</v>
      </c>
      <c r="H400" t="s">
        <v>9533</v>
      </c>
      <c r="I400" t="s">
        <v>10812</v>
      </c>
      <c r="J400" s="12" t="str">
        <f>CONCATENATE("(${Variables:",E400,"_kcat","} * ",E400," * ",G400,")","/(${Variables:",E400,"_km","} + (",E400," * ",G400,"))")</f>
        <v>(${Variables:E2_7_4_6_kcat} * E2_7_4_6 * C11038 * C00002)/(${Variables:E2_7_4_6_km} + (E2_7_4_6 * C11038 * C00002))</v>
      </c>
      <c r="K400" s="43" t="str">
        <f>CONCATENATE("r",D400,": ",F400," -&gt; ",H400," | ",J400)</f>
        <v>r410: C11038 + C00002 -&gt; C11039 + C00008 | (${Variables:E2_7_4_6_kcat} * E2_7_4_6 * C11038 * C00002)/(${Variables:E2_7_4_6_km} + (E2_7_4_6 * C11038 * C00002))</v>
      </c>
    </row>
    <row r="401" spans="1:11" ht="42.75" x14ac:dyDescent="0.45">
      <c r="A401" s="53" t="s">
        <v>6368</v>
      </c>
      <c r="B401" s="54" t="s">
        <v>6369</v>
      </c>
      <c r="C401" t="s">
        <v>10363</v>
      </c>
      <c r="D401" s="12">
        <v>411</v>
      </c>
      <c r="E401" s="12" t="str">
        <f>CONCATENATE("E",C401)</f>
        <v>E2_7_4_6</v>
      </c>
      <c r="F401" s="12" t="s">
        <v>9535</v>
      </c>
      <c r="G401" s="12" t="s">
        <v>10586</v>
      </c>
      <c r="H401" t="s">
        <v>9536</v>
      </c>
      <c r="I401" t="s">
        <v>10813</v>
      </c>
      <c r="J401" s="12" t="str">
        <f>CONCATENATE("(${Variables:",E401,"_kcat","} * ",E401," * ",G401,")","/(${Variables:",E401,"_km","} + (",E401," * ",G401,"))")</f>
        <v>(${Variables:E2_7_4_6_kcat} * E2_7_4_6 * C00002 * C00015)/(${Variables:E2_7_4_6_km} + (E2_7_4_6 * C00002 * C00015))</v>
      </c>
      <c r="K401" s="43" t="str">
        <f>CONCATENATE("r",D401,": ",F401," -&gt; ",H401," | ",J401)</f>
        <v>r411: C00002 + C00015 -&gt; C00008 + C00075 | (${Variables:E2_7_4_6_kcat} * E2_7_4_6 * C00002 * C00015)/(${Variables:E2_7_4_6_km} + (E2_7_4_6 * C00002 * C00015))</v>
      </c>
    </row>
    <row r="402" spans="1:11" ht="42.75" x14ac:dyDescent="0.45">
      <c r="A402" s="53" t="s">
        <v>6368</v>
      </c>
      <c r="B402" s="54" t="s">
        <v>6369</v>
      </c>
      <c r="C402" t="s">
        <v>10363</v>
      </c>
      <c r="D402" s="12">
        <v>412</v>
      </c>
      <c r="E402" s="12" t="str">
        <f>CONCATENATE("E",C402)</f>
        <v>E2_7_4_6</v>
      </c>
      <c r="F402" t="s">
        <v>9538</v>
      </c>
      <c r="G402" t="s">
        <v>10587</v>
      </c>
      <c r="H402" t="s">
        <v>9539</v>
      </c>
      <c r="I402" t="s">
        <v>10814</v>
      </c>
      <c r="J402" s="12" t="str">
        <f>CONCATENATE("(${Variables:",E402,"_kcat","} * ",E402," * ",G402,")","/(${Variables:",E402,"_km","} + (",E402," * ",G402,"))")</f>
        <v>(${Variables:E2_7_4_6_kcat} * E2_7_4_6 * C00002 * C00035)/(${Variables:E2_7_4_6_km} + (E2_7_4_6 * C00002 * C00035))</v>
      </c>
      <c r="K402" s="43" t="str">
        <f>CONCATENATE("r",D402,": ",F402," -&gt; ",H402," | ",J402)</f>
        <v>r412: C00002 + C00035 -&gt; C00008 + C00044 | (${Variables:E2_7_4_6_kcat} * E2_7_4_6 * C00002 * C00035)/(${Variables:E2_7_4_6_km} + (E2_7_4_6 * C00002 * C00035))</v>
      </c>
    </row>
    <row r="403" spans="1:11" ht="42.75" x14ac:dyDescent="0.45">
      <c r="A403" s="53" t="s">
        <v>6368</v>
      </c>
      <c r="B403" s="54" t="s">
        <v>6369</v>
      </c>
      <c r="C403" t="s">
        <v>10363</v>
      </c>
      <c r="D403" s="12">
        <v>413</v>
      </c>
      <c r="E403" s="12" t="str">
        <f>CONCATENATE("E",C403)</f>
        <v>E2_7_4_6</v>
      </c>
      <c r="F403" s="12" t="s">
        <v>9541</v>
      </c>
      <c r="G403" s="12" t="s">
        <v>10588</v>
      </c>
      <c r="H403" t="s">
        <v>9542</v>
      </c>
      <c r="I403" t="s">
        <v>10815</v>
      </c>
      <c r="J403" s="12" t="str">
        <f>CONCATENATE("(${Variables:",E403,"_kcat","} * ",E403," * ",G403,")","/(${Variables:",E403,"_km","} + (",E403," * ",G403,"))")</f>
        <v>(${Variables:E2_7_4_6_kcat} * E2_7_4_6 * C00002 * C00112)/(${Variables:E2_7_4_6_km} + (E2_7_4_6 * C00002 * C00112))</v>
      </c>
      <c r="K403" s="43" t="str">
        <f>CONCATENATE("r",D403,": ",F403," -&gt; ",H403," | ",J403)</f>
        <v>r413: C00002 + C00112 -&gt; C00008 + C00063 | (${Variables:E2_7_4_6_kcat} * E2_7_4_6 * C00002 * C00112)/(${Variables:E2_7_4_6_km} + (E2_7_4_6 * C00002 * C00112))</v>
      </c>
    </row>
    <row r="404" spans="1:11" ht="42.75" x14ac:dyDescent="0.45">
      <c r="A404" s="53" t="s">
        <v>6368</v>
      </c>
      <c r="B404" s="54" t="s">
        <v>6369</v>
      </c>
      <c r="C404" t="s">
        <v>10363</v>
      </c>
      <c r="D404" s="12">
        <v>414</v>
      </c>
      <c r="E404" s="12" t="str">
        <f>CONCATENATE("E",C404)</f>
        <v>E2_7_4_6</v>
      </c>
      <c r="F404" s="12" t="s">
        <v>9544</v>
      </c>
      <c r="G404" s="12" t="s">
        <v>10589</v>
      </c>
      <c r="H404" t="s">
        <v>9545</v>
      </c>
      <c r="I404" t="s">
        <v>10816</v>
      </c>
      <c r="J404" s="12" t="str">
        <f>CONCATENATE("(${Variables:",E404,"_kcat","} * ",E404," * ",G404,")","/(${Variables:",E404,"_km","} + (",E404," * ",G404,"))")</f>
        <v>(${Variables:E2_7_4_6_kcat} * E2_7_4_6 * C00002 * C00104)/(${Variables:E2_7_4_6_km} + (E2_7_4_6 * C00002 * C00104))</v>
      </c>
      <c r="K404" s="43" t="str">
        <f>CONCATENATE("r",D404,": ",F404," -&gt; ",H404," | ",J404)</f>
        <v>r414: C00002 + C00104 -&gt; C00008 + C00081 | (${Variables:E2_7_4_6_kcat} * E2_7_4_6 * C00002 * C00104)/(${Variables:E2_7_4_6_km} + (E2_7_4_6 * C00002 * C00104))</v>
      </c>
    </row>
    <row r="405" spans="1:11" ht="42.75" x14ac:dyDescent="0.45">
      <c r="A405" s="53" t="s">
        <v>6368</v>
      </c>
      <c r="B405" s="54" t="s">
        <v>6369</v>
      </c>
      <c r="C405" t="s">
        <v>10363</v>
      </c>
      <c r="D405" s="12">
        <v>415</v>
      </c>
      <c r="E405" s="12" t="str">
        <f>CONCATENATE("E",C405)</f>
        <v>E2_7_4_6</v>
      </c>
      <c r="F405" s="12" t="s">
        <v>9547</v>
      </c>
      <c r="G405" s="12" t="s">
        <v>10590</v>
      </c>
      <c r="H405" t="s">
        <v>9548</v>
      </c>
      <c r="I405" t="s">
        <v>10817</v>
      </c>
      <c r="J405" s="12" t="str">
        <f>CONCATENATE("(${Variables:",E405,"_kcat","} * ",E405," * ",G405,")","/(${Variables:",E405,"_km","} + (",E405," * ",G405,"))")</f>
        <v>(${Variables:E2_7_4_6_kcat} * E2_7_4_6 * C00002 * C00206)/(${Variables:E2_7_4_6_km} + (E2_7_4_6 * C00002 * C00206))</v>
      </c>
      <c r="K405" s="43" t="str">
        <f>CONCATENATE("r",D405,": ",F405," -&gt; ",H405," | ",J405)</f>
        <v>r415: C00002 + C00206 -&gt; C00008 + C00131 | (${Variables:E2_7_4_6_kcat} * E2_7_4_6 * C00002 * C00206)/(${Variables:E2_7_4_6_km} + (E2_7_4_6 * C00002 * C00206))</v>
      </c>
    </row>
    <row r="406" spans="1:11" ht="42.75" x14ac:dyDescent="0.45">
      <c r="A406" s="53" t="s">
        <v>6368</v>
      </c>
      <c r="B406" s="54" t="s">
        <v>6369</v>
      </c>
      <c r="C406" t="s">
        <v>10363</v>
      </c>
      <c r="D406" s="12">
        <v>416</v>
      </c>
      <c r="E406" s="12" t="str">
        <f>CONCATENATE("E",C406)</f>
        <v>E2_7_4_6</v>
      </c>
      <c r="F406" s="12" t="s">
        <v>9550</v>
      </c>
      <c r="G406" s="12" t="s">
        <v>10591</v>
      </c>
      <c r="H406" t="s">
        <v>9551</v>
      </c>
      <c r="I406" t="s">
        <v>10818</v>
      </c>
      <c r="J406" s="12" t="str">
        <f>CONCATENATE("(${Variables:",E406,"_kcat","} * ",E406," * ",G406,")","/(${Variables:",E406,"_km","} + (",E406," * ",G406,"))")</f>
        <v>(${Variables:E2_7_4_6_kcat} * E2_7_4_6 * C00002 * C00361)/(${Variables:E2_7_4_6_km} + (E2_7_4_6 * C00002 * C00361))</v>
      </c>
      <c r="K406" s="43" t="str">
        <f>CONCATENATE("r",D406,": ",F406," -&gt; ",H406," | ",J406)</f>
        <v>r416: C00002 + C00361 -&gt; C00008 + C00286 | (${Variables:E2_7_4_6_kcat} * E2_7_4_6 * C00002 * C00361)/(${Variables:E2_7_4_6_km} + (E2_7_4_6 * C00002 * C00361))</v>
      </c>
    </row>
    <row r="407" spans="1:11" ht="42.75" x14ac:dyDescent="0.45">
      <c r="A407" s="53" t="s">
        <v>6368</v>
      </c>
      <c r="B407" s="54" t="s">
        <v>6369</v>
      </c>
      <c r="C407" t="s">
        <v>10363</v>
      </c>
      <c r="D407" s="12">
        <v>417</v>
      </c>
      <c r="E407" s="12" t="str">
        <f>CONCATENATE("E",C407)</f>
        <v>E2_7_4_6</v>
      </c>
      <c r="F407" s="12" t="s">
        <v>9553</v>
      </c>
      <c r="G407" s="12" t="s">
        <v>10592</v>
      </c>
      <c r="H407" t="s">
        <v>9554</v>
      </c>
      <c r="I407" t="s">
        <v>10819</v>
      </c>
      <c r="J407" s="12" t="str">
        <f>CONCATENATE("(${Variables:",E407,"_kcat","} * ",E407," * ",G407,")","/(${Variables:",E407,"_km","} + (",E407," * ",G407,"))")</f>
        <v>(${Variables:E2_7_4_6_kcat} * E2_7_4_6 * C00002 * C00363)/(${Variables:E2_7_4_6_km} + (E2_7_4_6 * C00002 * C00363))</v>
      </c>
      <c r="K407" s="43" t="str">
        <f>CONCATENATE("r",D407,": ",F407," -&gt; ",H407," | ",J407)</f>
        <v>r417: C00002 + C00363 -&gt; C00008 + C00459 | (${Variables:E2_7_4_6_kcat} * E2_7_4_6 * C00002 * C00363)/(${Variables:E2_7_4_6_km} + (E2_7_4_6 * C00002 * C00363))</v>
      </c>
    </row>
    <row r="408" spans="1:11" ht="42.75" x14ac:dyDescent="0.45">
      <c r="A408" s="53" t="s">
        <v>6368</v>
      </c>
      <c r="B408" s="54" t="s">
        <v>6369</v>
      </c>
      <c r="C408" t="s">
        <v>10363</v>
      </c>
      <c r="D408" s="12">
        <v>418</v>
      </c>
      <c r="E408" s="12" t="str">
        <f>CONCATENATE("E",C408)</f>
        <v>E2_7_4_6</v>
      </c>
      <c r="F408" s="12" t="s">
        <v>9556</v>
      </c>
      <c r="G408" s="12" t="s">
        <v>10593</v>
      </c>
      <c r="H408" t="s">
        <v>9557</v>
      </c>
      <c r="I408" t="s">
        <v>10820</v>
      </c>
      <c r="J408" s="12" t="str">
        <f>CONCATENATE("(${Variables:",E408,"_kcat","} * ",E408," * ",G408,")","/(${Variables:",E408,"_km","} + (",E408," * ",G408,"))")</f>
        <v>(${Variables:E2_7_4_6_kcat} * E2_7_4_6 * C00002 * C00705)/(${Variables:E2_7_4_6_km} + (E2_7_4_6 * C00002 * C00705))</v>
      </c>
      <c r="K408" s="43" t="str">
        <f>CONCATENATE("r",D408,": ",F408," -&gt; ",H408," | ",J408)</f>
        <v>r418: C00002 + C00705 -&gt; C00008 + C00458 | (${Variables:E2_7_4_6_kcat} * E2_7_4_6 * C00002 * C00705)/(${Variables:E2_7_4_6_km} + (E2_7_4_6 * C00002 * C00705))</v>
      </c>
    </row>
    <row r="409" spans="1:11" ht="42.75" x14ac:dyDescent="0.45">
      <c r="A409" s="53" t="s">
        <v>6368</v>
      </c>
      <c r="B409" s="54" t="s">
        <v>6369</v>
      </c>
      <c r="C409" t="s">
        <v>10363</v>
      </c>
      <c r="D409" s="12">
        <v>419</v>
      </c>
      <c r="E409" s="12" t="str">
        <f>CONCATENATE("E",C409)</f>
        <v>E2_7_4_6</v>
      </c>
      <c r="F409" s="12" t="s">
        <v>9559</v>
      </c>
      <c r="G409" s="12" t="s">
        <v>10594</v>
      </c>
      <c r="H409" t="s">
        <v>9560</v>
      </c>
      <c r="I409" t="s">
        <v>10821</v>
      </c>
      <c r="J409" s="12" t="str">
        <f>CONCATENATE("(${Variables:",E409,"_kcat","} * ",E409," * ",G409,")","/(${Variables:",E409,"_km","} + (",E409," * ",G409,"))")</f>
        <v>(${Variables:E2_7_4_6_kcat} * E2_7_4_6 * C00002 * C01346)/(${Variables:E2_7_4_6_km} + (E2_7_4_6 * C00002 * C01346))</v>
      </c>
      <c r="K409" s="43" t="str">
        <f>CONCATENATE("r",D409,": ",F409," -&gt; ",H409," | ",J409)</f>
        <v>r419: C00002 + C01346 -&gt; C00008 + C00460 | (${Variables:E2_7_4_6_kcat} * E2_7_4_6 * C00002 * C01346)/(${Variables:E2_7_4_6_km} + (E2_7_4_6 * C00002 * C01346))</v>
      </c>
    </row>
    <row r="410" spans="1:11" ht="42.75" x14ac:dyDescent="0.45">
      <c r="A410" s="53" t="s">
        <v>6368</v>
      </c>
      <c r="B410" s="54" t="s">
        <v>6369</v>
      </c>
      <c r="C410" t="s">
        <v>10363</v>
      </c>
      <c r="D410" s="12">
        <v>420</v>
      </c>
      <c r="E410" s="12" t="str">
        <f>CONCATENATE("E",C410)</f>
        <v>E2_7_4_6</v>
      </c>
      <c r="F410" s="12" t="s">
        <v>9562</v>
      </c>
      <c r="G410" s="12" t="s">
        <v>10595</v>
      </c>
      <c r="H410" t="s">
        <v>9563</v>
      </c>
      <c r="I410" t="s">
        <v>10822</v>
      </c>
      <c r="J410" s="12" t="str">
        <f>CONCATENATE("(${Variables:",E410,"_kcat","} * ",E410," * ",G410,")","/(${Variables:",E410,"_km","} + (",E410," * ",G410,"))")</f>
        <v>(${Variables:E2_7_4_6_kcat} * E2_7_4_6 * C00002 * C01344)/(${Variables:E2_7_4_6_km} + (E2_7_4_6 * C00002 * C01344))</v>
      </c>
      <c r="K410" s="43" t="str">
        <f>CONCATENATE("r",D410,": ",F410," -&gt; ",H410," | ",J410)</f>
        <v>r420: C00002 + C01344 -&gt; C00008 + C01345 | (${Variables:E2_7_4_6_kcat} * E2_7_4_6 * C00002 * C01344)/(${Variables:E2_7_4_6_km} + (E2_7_4_6 * C00002 * C01344))</v>
      </c>
    </row>
    <row r="411" spans="1:11" ht="42.75" x14ac:dyDescent="0.45">
      <c r="A411" s="53" t="s">
        <v>6368</v>
      </c>
      <c r="B411" s="54" t="s">
        <v>6369</v>
      </c>
      <c r="C411" t="s">
        <v>10363</v>
      </c>
      <c r="D411" s="12">
        <v>421</v>
      </c>
      <c r="E411" s="12" t="str">
        <f>CONCATENATE("E",C411)</f>
        <v>E2_7_4_6</v>
      </c>
      <c r="F411" s="12" t="s">
        <v>9565</v>
      </c>
      <c r="G411" s="12" t="s">
        <v>10596</v>
      </c>
      <c r="H411" t="s">
        <v>9566</v>
      </c>
      <c r="I411" t="s">
        <v>10823</v>
      </c>
      <c r="J411" s="12" t="str">
        <f>CONCATENATE("(${Variables:",E411,"_kcat","} * ",E411," * ",G411,")","/(${Variables:",E411,"_km","} + (",E411," * ",G411,"))")</f>
        <v>(${Variables:E2_7_4_6_kcat} * E2_7_4_6 * C22442 * C00002)/(${Variables:E2_7_4_6_km} + (E2_7_4_6 * C22442 * C00002))</v>
      </c>
      <c r="K411" s="43" t="str">
        <f>CONCATENATE("r",D411,": ",F411," -&gt; ",H411," | ",J411)</f>
        <v>r421: C22442 + C00002 -&gt; C22443 + C00008 | (${Variables:E2_7_4_6_kcat} * E2_7_4_6 * C22442 * C00002)/(${Variables:E2_7_4_6_km} + (E2_7_4_6 * C22442 * C00002))</v>
      </c>
    </row>
    <row r="412" spans="1:11" ht="42.75" x14ac:dyDescent="0.45">
      <c r="A412" s="53" t="s">
        <v>6368</v>
      </c>
      <c r="B412" s="54" t="s">
        <v>6369</v>
      </c>
      <c r="C412" t="s">
        <v>10363</v>
      </c>
      <c r="D412" s="12">
        <v>422</v>
      </c>
      <c r="E412" s="12" t="str">
        <f>CONCATENATE("E",C412)</f>
        <v>E2_7_4_6</v>
      </c>
      <c r="F412" s="12" t="s">
        <v>9568</v>
      </c>
      <c r="G412" s="12" t="s">
        <v>10597</v>
      </c>
      <c r="H412" t="s">
        <v>9569</v>
      </c>
      <c r="I412" t="s">
        <v>10824</v>
      </c>
      <c r="J412" s="12" t="str">
        <f>CONCATENATE("(${Variables:",E412,"_kcat","} * ",E412," * ",G412,")","/(${Variables:",E412,"_km","} + (",E412," * ",G412,"))")</f>
        <v>(${Variables:E2_7_4_6_kcat} * E2_7_4_6 * C00002 * C21748)/(${Variables:E2_7_4_6_km} + (E2_7_4_6 * C00002 * C21748))</v>
      </c>
      <c r="K412" s="43" t="str">
        <f>CONCATENATE("r",D412,": ",F412," -&gt; ",H412," | ",J412)</f>
        <v>r422: C00002 + C21748 -&gt; C00008 + C21749 | (${Variables:E2_7_4_6_kcat} * E2_7_4_6 * C00002 * C21748)/(${Variables:E2_7_4_6_km} + (E2_7_4_6 * C00002 * C21748))</v>
      </c>
    </row>
    <row r="413" spans="1:11" ht="42.75" x14ac:dyDescent="0.45">
      <c r="A413" s="53" t="s">
        <v>6368</v>
      </c>
      <c r="B413" s="54" t="s">
        <v>6369</v>
      </c>
      <c r="C413" t="s">
        <v>10363</v>
      </c>
      <c r="D413" s="12">
        <v>423</v>
      </c>
      <c r="E413" s="12" t="str">
        <f>CONCATENATE("E",C413)</f>
        <v>E2_7_4_6</v>
      </c>
      <c r="F413" s="12" t="s">
        <v>9571</v>
      </c>
      <c r="G413" s="12" t="s">
        <v>10598</v>
      </c>
      <c r="H413" t="s">
        <v>9572</v>
      </c>
      <c r="I413" t="s">
        <v>10825</v>
      </c>
      <c r="J413" s="12" t="str">
        <f>CONCATENATE("(${Variables:",E413,"_kcat","} * ",E413," * ",G413,")","/(${Variables:",E413,"_km","} + (",E413," * ",G413,"))")</f>
        <v>(${Variables:E2_7_4_6_kcat} * E2_7_4_6 * C00002 * C21750)/(${Variables:E2_7_4_6_km} + (E2_7_4_6 * C00002 * C21750))</v>
      </c>
      <c r="K413" s="43" t="str">
        <f>CONCATENATE("r",D413,": ",F413," -&gt; ",H413," | ",J413)</f>
        <v>r423: C00002 + C21750 -&gt; C00008 + C21751 | (${Variables:E2_7_4_6_kcat} * E2_7_4_6 * C00002 * C21750)/(${Variables:E2_7_4_6_km} + (E2_7_4_6 * C00002 * C21750))</v>
      </c>
    </row>
    <row r="414" spans="1:11" ht="42.75" x14ac:dyDescent="0.45">
      <c r="A414" s="53" t="s">
        <v>7785</v>
      </c>
      <c r="B414" s="54" t="s">
        <v>7786</v>
      </c>
      <c r="C414" t="s">
        <v>1785</v>
      </c>
      <c r="D414" s="12">
        <v>424</v>
      </c>
      <c r="E414" s="12" t="str">
        <f>CONCATENATE("E",C414)</f>
        <v>E2_7_4_7</v>
      </c>
      <c r="F414" s="12" t="s">
        <v>3180</v>
      </c>
      <c r="G414" s="12" t="s">
        <v>1298</v>
      </c>
      <c r="H414" t="s">
        <v>3465</v>
      </c>
      <c r="I414" t="s">
        <v>1299</v>
      </c>
      <c r="J414" s="12" t="str">
        <f>CONCATENATE("(${Variables:",E414,"_kcat","} * ",E414," * ",G414,")","/(${Variables:",E414,"_km","} + (",E414," * ",G414,"))")</f>
        <v>(${Variables:E2_7_4_7_kcat} * E2_7_4_7 * C00002 * C04556)/(${Variables:E2_7_4_7_km} + (E2_7_4_7 * C00002 * C04556))</v>
      </c>
      <c r="K414" s="43" t="str">
        <f>CONCATENATE("r",D414,": ",F414," -&gt; ",H414," | ",J414)</f>
        <v>r424: C00002 + C04556 -&gt; C00008 + C04752 | (${Variables:E2_7_4_7_kcat} * E2_7_4_7 * C00002 * C04556)/(${Variables:E2_7_4_7_km} + (E2_7_4_7 * C00002 * C04556))</v>
      </c>
    </row>
    <row r="415" spans="1:11" ht="42.75" x14ac:dyDescent="0.45">
      <c r="A415" s="53" t="s">
        <v>7403</v>
      </c>
      <c r="B415" s="54" t="s">
        <v>7404</v>
      </c>
      <c r="C415" t="s">
        <v>1754</v>
      </c>
      <c r="D415" s="12">
        <v>425</v>
      </c>
      <c r="E415" s="12" t="str">
        <f>CONCATENATE("E",C415)</f>
        <v>E2_7_4_8</v>
      </c>
      <c r="F415" t="s">
        <v>3181</v>
      </c>
      <c r="G415" t="s">
        <v>1221</v>
      </c>
      <c r="H415" t="s">
        <v>3466</v>
      </c>
      <c r="I415" t="s">
        <v>1222</v>
      </c>
      <c r="J415" s="12" t="str">
        <f>CONCATENATE("(${Variables:",E415,"_kcat","} * ",E415," * ",G415,")","/(${Variables:",E415,"_km","} + (",E415," * ",G415,"))")</f>
        <v>(${Variables:E2_7_4_8_kcat} * E2_7_4_8 * C00002 * C00144)/(${Variables:E2_7_4_8_km} + (E2_7_4_8 * C00002 * C00144))</v>
      </c>
      <c r="K415" s="43" t="str">
        <f>CONCATENATE("r",D415,": ",F415," -&gt; ",H415," | ",J415)</f>
        <v>r425: C00002 + C00144 -&gt; C00008 + C00035 | (${Variables:E2_7_4_8_kcat} * E2_7_4_8 * C00002 * C00144)/(${Variables:E2_7_4_8_km} + (E2_7_4_8 * C00002 * C00144))</v>
      </c>
    </row>
    <row r="416" spans="1:11" ht="42.75" x14ac:dyDescent="0.45">
      <c r="A416" s="53" t="s">
        <v>7403</v>
      </c>
      <c r="B416" s="54" t="s">
        <v>7404</v>
      </c>
      <c r="C416" t="s">
        <v>1754</v>
      </c>
      <c r="D416" s="12">
        <v>426</v>
      </c>
      <c r="E416" s="12" t="str">
        <f>CONCATENATE("E",C416)</f>
        <v>E2_7_4_8</v>
      </c>
      <c r="F416" s="12" t="s">
        <v>3182</v>
      </c>
      <c r="G416" s="12" t="s">
        <v>1244</v>
      </c>
      <c r="H416" t="s">
        <v>3467</v>
      </c>
      <c r="I416" t="s">
        <v>1245</v>
      </c>
      <c r="J416" s="12" t="str">
        <f>CONCATENATE("(${Variables:",E416,"_kcat","} * ",E416," * ",G416,")","/(${Variables:",E416,"_km","} + (",E416," * ",G416,"))")</f>
        <v>(${Variables:E2_7_4_8_kcat} * E2_7_4_8 * C00002 * C00362)/(${Variables:E2_7_4_8_km} + (E2_7_4_8 * C00002 * C00362))</v>
      </c>
      <c r="K416" s="43" t="str">
        <f>CONCATENATE("r",D416,": ",F416," -&gt; ",H416," | ",J416)</f>
        <v>r426: C00002 + C00362 -&gt; C00008 + C00361 | (${Variables:E2_7_4_8_kcat} * E2_7_4_8 * C00002 * C00362)/(${Variables:E2_7_4_8_km} + (E2_7_4_8 * C00002 * C00362))</v>
      </c>
    </row>
    <row r="417" spans="1:11" ht="42.75" x14ac:dyDescent="0.45">
      <c r="A417" s="53" t="s">
        <v>7403</v>
      </c>
      <c r="B417" s="54" t="s">
        <v>7404</v>
      </c>
      <c r="C417" t="s">
        <v>1754</v>
      </c>
      <c r="D417" s="12">
        <v>427</v>
      </c>
      <c r="E417" s="12" t="str">
        <f>CONCATENATE("E",C417)</f>
        <v>E2_7_4_8</v>
      </c>
      <c r="F417" s="12" t="s">
        <v>3183</v>
      </c>
      <c r="G417" s="12" t="s">
        <v>1695</v>
      </c>
      <c r="H417" t="s">
        <v>3468</v>
      </c>
      <c r="I417" t="s">
        <v>1696</v>
      </c>
      <c r="J417" s="12" t="str">
        <f>CONCATENATE("(${Variables:",E417,"_kcat","} * ",E417," * ",G417,")","/(${Variables:",E417,"_km","} + (",E417," * ",G417,"))")</f>
        <v>(${Variables:E2_7_4_8_kcat} * E2_7_4_8 * C22441 * C00002)/(${Variables:E2_7_4_8_km} + (E2_7_4_8 * C22441 * C00002))</v>
      </c>
      <c r="K417" s="43" t="str">
        <f>CONCATENATE("r",D417,": ",F417," -&gt; ",H417," | ",J417)</f>
        <v>r427: C22441 + C00002 -&gt; C22442 + C00008 | (${Variables:E2_7_4_8_kcat} * E2_7_4_8 * C22441 * C00002)/(${Variables:E2_7_4_8_km} + (E2_7_4_8 * C22441 * C00002))</v>
      </c>
    </row>
    <row r="418" spans="1:11" ht="42.75" x14ac:dyDescent="0.45">
      <c r="A418" s="53" t="s">
        <v>7505</v>
      </c>
      <c r="B418" s="54" t="s">
        <v>7506</v>
      </c>
      <c r="C418" t="s">
        <v>10364</v>
      </c>
      <c r="D418" s="12">
        <v>428</v>
      </c>
      <c r="E418" s="12" t="str">
        <f>CONCATENATE("E",C418)</f>
        <v>E2_7_4_9</v>
      </c>
      <c r="F418" t="s">
        <v>10086</v>
      </c>
      <c r="G418" t="s">
        <v>10599</v>
      </c>
      <c r="H418" t="s">
        <v>10087</v>
      </c>
      <c r="I418" t="s">
        <v>10826</v>
      </c>
      <c r="J418" s="12" t="str">
        <f>CONCATENATE("(${Variables:",E418,"_kcat","} * ",E418," * ",G418,")","/(${Variables:",E418,"_km","} + (",E418," * ",G418,"))")</f>
        <v>(${Variables:E2_7_4_9_kcat} * E2_7_4_9 * C00002 * C00364)/(${Variables:E2_7_4_9_km} + (E2_7_4_9 * C00002 * C00364))</v>
      </c>
      <c r="K418" s="43" t="str">
        <f>CONCATENATE("r",D418,": ",F418," -&gt; ",H418," | ",J418)</f>
        <v>r428: C00002 + C00364 -&gt; C00008 + C00363 | (${Variables:E2_7_4_9_kcat} * E2_7_4_9 * C00002 * C00364)/(${Variables:E2_7_4_9_km} + (E2_7_4_9 * C00002 * C00364))</v>
      </c>
    </row>
    <row r="419" spans="1:11" ht="42.75" x14ac:dyDescent="0.45">
      <c r="A419" s="53" t="s">
        <v>7505</v>
      </c>
      <c r="B419" s="54" t="s">
        <v>7506</v>
      </c>
      <c r="C419" t="s">
        <v>10364</v>
      </c>
      <c r="D419" s="12">
        <v>429</v>
      </c>
      <c r="E419" s="12" t="str">
        <f>CONCATENATE("E",C419)</f>
        <v>E2_7_4_9</v>
      </c>
      <c r="F419" s="12" t="s">
        <v>10089</v>
      </c>
      <c r="G419" s="12" t="s">
        <v>10600</v>
      </c>
      <c r="H419" s="12" t="s">
        <v>10089</v>
      </c>
      <c r="I419" s="12" t="s">
        <v>10600</v>
      </c>
      <c r="J419" s="12" t="str">
        <f>CONCATENATE("(${Variables:",E419,"_kcat","} * ",E419," * ",G419,")","/(${Variables:",E419,"_km","} + (",E419," * ",G419,"))")</f>
        <v>(${Variables:E2_7_4_9_kcat} * E2_7_4_9 * C00002 * C00365)/(${Variables:E2_7_4_9_km} + (E2_7_4_9 * C00002 * C00365))</v>
      </c>
      <c r="K419" s="43" t="str">
        <f>CONCATENATE("r",D419,": ",F419," -&gt; ",H419," | ",J419)</f>
        <v>r429: C00002 + C00365 -&gt; C00002 + C00365 | (${Variables:E2_7_4_9_kcat} * E2_7_4_9 * C00002 * C00365)/(${Variables:E2_7_4_9_km} + (E2_7_4_9 * C00002 * C00365))</v>
      </c>
    </row>
    <row r="420" spans="1:11" ht="42.75" x14ac:dyDescent="0.45">
      <c r="A420" s="53" t="s">
        <v>6310</v>
      </c>
      <c r="B420" s="54" t="s">
        <v>6311</v>
      </c>
      <c r="C420" t="s">
        <v>1750</v>
      </c>
      <c r="D420" s="12">
        <v>430</v>
      </c>
      <c r="E420" s="12" t="str">
        <f>CONCATENATE("E",C420)</f>
        <v>E2_7_6_1</v>
      </c>
      <c r="F420" s="12" t="s">
        <v>3184</v>
      </c>
      <c r="G420" s="12" t="s">
        <v>1200</v>
      </c>
      <c r="H420" t="s">
        <v>3469</v>
      </c>
      <c r="I420" t="s">
        <v>1201</v>
      </c>
      <c r="J420" s="12" t="str">
        <f>CONCATENATE("(${Variables:",E420,"_kcat","} * ",E420," * ",G420,")","/(${Variables:",E420,"_km","} + (",E420," * ",G420,"))")</f>
        <v>(${Variables:E2_7_6_1_kcat} * E2_7_6_1 * C00002 * C00117)/(${Variables:E2_7_6_1_km} + (E2_7_6_1 * C00002 * C00117))</v>
      </c>
      <c r="K420" s="43" t="str">
        <f>CONCATENATE("r",D420,": ",F420," -&gt; ",H420," | ",J420)</f>
        <v>r430: C00002 + C00117 -&gt; C00020 + C00119 | (${Variables:E2_7_6_1_kcat} * E2_7_6_1 * C00002 * C00117)/(${Variables:E2_7_6_1_km} + (E2_7_6_1 * C00002 * C00117))</v>
      </c>
    </row>
    <row r="421" spans="1:11" ht="42.75" x14ac:dyDescent="0.45">
      <c r="A421" s="53" t="s">
        <v>3665</v>
      </c>
      <c r="B421" s="54" t="s">
        <v>3666</v>
      </c>
      <c r="C421" t="s">
        <v>1750</v>
      </c>
      <c r="D421" s="12">
        <v>431</v>
      </c>
      <c r="E421" s="12" t="str">
        <f>CONCATENATE("E",C421)</f>
        <v>E2_7_6_1</v>
      </c>
      <c r="F421" s="12" t="s">
        <v>3184</v>
      </c>
      <c r="G421" s="12" t="s">
        <v>1200</v>
      </c>
      <c r="H421" t="s">
        <v>3469</v>
      </c>
      <c r="I421" t="s">
        <v>1201</v>
      </c>
      <c r="J421" s="12" t="str">
        <f>CONCATENATE("(${Variables:",E421,"_kcat","} * ",E421," * ",G421,")","/(${Variables:",E421,"_km","} + (",E421," * ",G421,"))")</f>
        <v>(${Variables:E2_7_6_1_kcat} * E2_7_6_1 * C00002 * C00117)/(${Variables:E2_7_6_1_km} + (E2_7_6_1 * C00002 * C00117))</v>
      </c>
      <c r="K421" s="43" t="str">
        <f>CONCATENATE("r",D421,": ",F421," -&gt; ",H421," | ",J421)</f>
        <v>r431: C00002 + C00117 -&gt; C00020 + C00119 | (${Variables:E2_7_6_1_kcat} * E2_7_6_1 * C00002 * C00117)/(${Variables:E2_7_6_1_km} + (E2_7_6_1 * C00002 * C00117))</v>
      </c>
    </row>
    <row r="422" spans="1:11" ht="42.75" x14ac:dyDescent="0.45">
      <c r="A422" s="53" t="s">
        <v>4361</v>
      </c>
      <c r="B422" s="54" t="s">
        <v>4362</v>
      </c>
      <c r="C422" t="s">
        <v>1763</v>
      </c>
      <c r="D422" s="12">
        <v>432</v>
      </c>
      <c r="E422" s="12" t="str">
        <f>CONCATENATE("E",C422)</f>
        <v>E2_7_6_2</v>
      </c>
      <c r="F422" s="12" t="s">
        <v>3185</v>
      </c>
      <c r="G422" s="12" t="s">
        <v>1246</v>
      </c>
      <c r="H422" t="s">
        <v>3470</v>
      </c>
      <c r="I422" t="s">
        <v>1247</v>
      </c>
      <c r="J422" s="12" t="str">
        <f>CONCATENATE("(${Variables:",E422,"_kcat","} * ",E422," * ",G422,")","/(${Variables:",E422,"_km","} + (",E422," * ",G422,"))")</f>
        <v>(${Variables:E2_7_6_2_kcat} * E2_7_6_2 * C00002 * C00378)/(${Variables:E2_7_6_2_km} + (E2_7_6_2 * C00002 * C00378))</v>
      </c>
      <c r="K422" s="43" t="str">
        <f>CONCATENATE("r",D422,": ",F422," -&gt; ",H422," | ",J422)</f>
        <v>r432: C00002 + C00378 -&gt; C00020 + C00068 | (${Variables:E2_7_6_2_kcat} * E2_7_6_2 * C00002 * C00378)/(${Variables:E2_7_6_2_km} + (E2_7_6_2 * C00002 * C00378))</v>
      </c>
    </row>
    <row r="423" spans="1:11" ht="42.75" x14ac:dyDescent="0.45">
      <c r="A423" s="53" t="s">
        <v>6341</v>
      </c>
      <c r="B423" s="54" t="s">
        <v>6342</v>
      </c>
      <c r="C423" t="s">
        <v>10365</v>
      </c>
      <c r="D423" s="12">
        <v>433</v>
      </c>
      <c r="E423" s="12" t="str">
        <f>CONCATENATE("E",C423)</f>
        <v>E2_7_6_3</v>
      </c>
      <c r="F423" s="12" t="s">
        <v>9485</v>
      </c>
      <c r="G423" s="12" t="s">
        <v>10601</v>
      </c>
      <c r="H423" t="s">
        <v>9486</v>
      </c>
      <c r="I423" t="s">
        <v>10827</v>
      </c>
      <c r="J423" s="12" t="str">
        <f>CONCATENATE("(${Variables:",E423,"_kcat","} * ",E423," * ",G423,")","/(${Variables:",E423,"_km","} + (",E423," * ",G423,"))")</f>
        <v>(${Variables:E2_7_6_3_kcat} * E2_7_6_3 * C00002 * C01300)/(${Variables:E2_7_6_3_km} + (E2_7_6_3 * C00002 * C01300))</v>
      </c>
      <c r="K423" s="43" t="str">
        <f>CONCATENATE("r",D423,": ",F423," -&gt; ",H423," | ",J423)</f>
        <v>r433: C00002 + C01300 -&gt; C00020 + C04807 | (${Variables:E2_7_6_3_kcat} * E2_7_6_3 * C00002 * C01300)/(${Variables:E2_7_6_3_km} + (E2_7_6_3 * C00002 * C01300))</v>
      </c>
    </row>
    <row r="424" spans="1:11" ht="42.75" x14ac:dyDescent="0.45">
      <c r="A424" s="53" t="s">
        <v>6306</v>
      </c>
      <c r="B424" s="54" t="s">
        <v>6307</v>
      </c>
      <c r="C424" t="s">
        <v>10366</v>
      </c>
      <c r="D424" s="12">
        <v>434</v>
      </c>
      <c r="E424" s="12" t="str">
        <f>CONCATENATE("E",C424)</f>
        <v>E2_7_6_5</v>
      </c>
      <c r="F424" s="12" t="s">
        <v>9471</v>
      </c>
      <c r="G424" s="12" t="s">
        <v>10602</v>
      </c>
      <c r="H424" t="s">
        <v>9472</v>
      </c>
      <c r="I424" t="s">
        <v>10828</v>
      </c>
      <c r="J424" s="12" t="str">
        <f>CONCATENATE("(${Variables:",E424,"_kcat","} * ",E424," * ",G424,")","/(${Variables:",E424,"_km","} + (",E424," * ",G424,"))")</f>
        <v>(${Variables:E2_7_6_5_kcat} * E2_7_6_5 * C00002 * C00044)/(${Variables:E2_7_6_5_km} + (E2_7_6_5 * C00002 * C00044))</v>
      </c>
      <c r="K424" s="43" t="str">
        <f>CONCATENATE("r",D424,": ",F424," -&gt; ",H424," | ",J424)</f>
        <v>r434: C00002 + C00044 -&gt; C00020 + C04494 | (${Variables:E2_7_6_5_kcat} * E2_7_6_5 * C00002 * C00044)/(${Variables:E2_7_6_5_km} + (E2_7_6_5 * C00002 * C00044))</v>
      </c>
    </row>
    <row r="425" spans="1:11" ht="42.75" x14ac:dyDescent="0.45">
      <c r="A425" s="53" t="s">
        <v>7974</v>
      </c>
      <c r="B425" s="54" t="s">
        <v>7975</v>
      </c>
      <c r="C425" t="s">
        <v>10366</v>
      </c>
      <c r="D425" s="12">
        <v>435</v>
      </c>
      <c r="E425" s="12" t="str">
        <f>CONCATENATE("E",C425)</f>
        <v>E2_7_6_5</v>
      </c>
      <c r="F425" s="12" t="s">
        <v>9471</v>
      </c>
      <c r="G425" s="12" t="s">
        <v>10602</v>
      </c>
      <c r="H425" t="s">
        <v>9472</v>
      </c>
      <c r="I425" t="s">
        <v>10828</v>
      </c>
      <c r="J425" s="12" t="str">
        <f>CONCATENATE("(${Variables:",E425,"_kcat","} * ",E425," * ",G425,")","/(${Variables:",E425,"_km","} + (",E425," * ",G425,"))")</f>
        <v>(${Variables:E2_7_6_5_kcat} * E2_7_6_5 * C00002 * C00044)/(${Variables:E2_7_6_5_km} + (E2_7_6_5 * C00002 * C00044))</v>
      </c>
      <c r="K425" s="43" t="str">
        <f>CONCATENATE("r",D425,": ",F425," -&gt; ",H425," | ",J425)</f>
        <v>r435: C00002 + C00044 -&gt; C00020 + C04494 | (${Variables:E2_7_6_5_kcat} * E2_7_6_5 * C00002 * C00044)/(${Variables:E2_7_6_5_km} + (E2_7_6_5 * C00002 * C00044))</v>
      </c>
    </row>
    <row r="426" spans="1:11" ht="42.75" x14ac:dyDescent="0.45">
      <c r="A426" s="53" t="s">
        <v>7828</v>
      </c>
      <c r="B426" s="54" t="s">
        <v>7829</v>
      </c>
      <c r="C426" t="s">
        <v>1812</v>
      </c>
      <c r="D426" s="12">
        <v>436</v>
      </c>
      <c r="E426" s="12" t="str">
        <f>CONCATENATE("E",C426)</f>
        <v>E2_7_7_12</v>
      </c>
      <c r="F426" s="12" t="s">
        <v>3186</v>
      </c>
      <c r="G426" s="12" t="s">
        <v>1339</v>
      </c>
      <c r="H426" t="s">
        <v>3471</v>
      </c>
      <c r="I426" t="s">
        <v>1340</v>
      </c>
      <c r="J426" s="12" t="str">
        <f>CONCATENATE("(${Variables:",E426,"_kcat","} * ",E426," * ",G426,")","/(${Variables:",E426,"_km","} + (",E426," * ",G426,"))")</f>
        <v>(${Variables:E2_7_7_12_kcat} * E2_7_7_12 * C00029 * C00446)/(${Variables:E2_7_7_12_km} + (E2_7_7_12 * C00029 * C00446))</v>
      </c>
      <c r="K426" s="43" t="str">
        <f>CONCATENATE("r",D426,": ",F426," -&gt; ",H426," | ",J426)</f>
        <v>r436: C00029 + C00446 -&gt; C00103 + C00052 | (${Variables:E2_7_7_12_kcat} * E2_7_7_12 * C00029 * C00446)/(${Variables:E2_7_7_12_km} + (E2_7_7_12 * C00029 * C00446))</v>
      </c>
    </row>
    <row r="427" spans="1:11" ht="42.75" x14ac:dyDescent="0.45">
      <c r="A427" s="53" t="s">
        <v>7678</v>
      </c>
      <c r="B427" s="54" t="s">
        <v>7679</v>
      </c>
      <c r="C427" t="s">
        <v>1766</v>
      </c>
      <c r="D427" s="12">
        <v>437</v>
      </c>
      <c r="E427" s="12" t="str">
        <f>CONCATENATE("E",C427)</f>
        <v>E2_7_7_18</v>
      </c>
      <c r="F427" s="12" t="s">
        <v>3188</v>
      </c>
      <c r="G427" s="12" t="s">
        <v>1281</v>
      </c>
      <c r="H427" t="s">
        <v>3473</v>
      </c>
      <c r="I427" t="s">
        <v>1282</v>
      </c>
      <c r="J427" s="12" t="str">
        <f>CONCATENATE("(${Variables:",E427,"_kcat","} * ",E427," * ",G427,")","/(${Variables:",E427,"_km","} + (",E427," * ",G427,"))")</f>
        <v>(${Variables:E2_7_7_18_kcat} * E2_7_7_18 * C00002 * C01185)/(${Variables:E2_7_7_18_km} + (E2_7_7_18 * C00002 * C01185))</v>
      </c>
      <c r="K427" s="43" t="str">
        <f>CONCATENATE("r",D427,": ",F427," -&gt; ",H427," | ",J427)</f>
        <v>r437: C00002 + C01185 -&gt; C00013 + C00857 | (${Variables:E2_7_7_18_kcat} * E2_7_7_18 * C00002 * C01185)/(${Variables:E2_7_7_18_km} + (E2_7_7_18 * C00002 * C01185))</v>
      </c>
    </row>
    <row r="428" spans="1:11" ht="42.75" x14ac:dyDescent="0.45">
      <c r="A428" s="53" t="s">
        <v>7678</v>
      </c>
      <c r="B428" s="54" t="s">
        <v>7679</v>
      </c>
      <c r="C428" t="s">
        <v>1766</v>
      </c>
      <c r="D428" s="12">
        <v>438</v>
      </c>
      <c r="E428" s="12" t="str">
        <f>CONCATENATE("E",C428)</f>
        <v>E2_7_7_18</v>
      </c>
      <c r="F428" s="12" t="s">
        <v>3187</v>
      </c>
      <c r="G428" s="12" t="s">
        <v>1252</v>
      </c>
      <c r="H428" t="s">
        <v>3472</v>
      </c>
      <c r="I428" t="s">
        <v>1253</v>
      </c>
      <c r="J428" s="12" t="str">
        <f>CONCATENATE("(${Variables:",E428,"_kcat","} * ",E428," * ",G428,")","/(${Variables:",E428,"_km","} + (",E428," * ",G428,"))")</f>
        <v>(${Variables:E2_7_7_18_kcat} * E2_7_7_18 * C00002 * C00455)/(${Variables:E2_7_7_18_km} + (E2_7_7_18 * C00002 * C00455))</v>
      </c>
      <c r="K428" s="43" t="str">
        <f>CONCATENATE("r",D428,": ",F428," -&gt; ",H428," | ",J428)</f>
        <v>r438: C00002 + C00455 -&gt; C00013 + C00003 | (${Variables:E2_7_7_18_kcat} * E2_7_7_18 * C00002 * C00455)/(${Variables:E2_7_7_18_km} + (E2_7_7_18 * C00002 * C00455))</v>
      </c>
    </row>
    <row r="429" spans="1:11" ht="42.75" x14ac:dyDescent="0.45">
      <c r="A429" s="53" t="s">
        <v>6034</v>
      </c>
      <c r="B429" s="54" t="s">
        <v>6035</v>
      </c>
      <c r="C429" t="s">
        <v>1736</v>
      </c>
      <c r="D429" s="12">
        <v>439</v>
      </c>
      <c r="E429" s="12" t="str">
        <f>CONCATENATE("E",C429)</f>
        <v>E2_7_7_2</v>
      </c>
      <c r="F429" t="s">
        <v>3189</v>
      </c>
      <c r="G429" t="s">
        <v>1171</v>
      </c>
      <c r="H429" t="s">
        <v>3474</v>
      </c>
      <c r="I429" t="s">
        <v>1172</v>
      </c>
      <c r="J429" s="12" t="str">
        <f>CONCATENATE("(${Variables:",E429,"_kcat","} * ",E429," * ",G429,")","/(${Variables:",E429,"_km","} + (",E429," * ",G429,"))")</f>
        <v>(${Variables:E2_7_7_2_kcat} * E2_7_7_2 * C00002 * C00061)/(${Variables:E2_7_7_2_km} + (E2_7_7_2 * C00002 * C00061))</v>
      </c>
      <c r="K429" s="43" t="str">
        <f>CONCATENATE("r",D429,": ",F429," -&gt; ",H429," | ",J429)</f>
        <v>r439: C00002 + C00061 -&gt; C00013 + C00016 | (${Variables:E2_7_7_2_kcat} * E2_7_7_2 * C00002 * C00061)/(${Variables:E2_7_7_2_km} + (E2_7_7_2 * C00002 * C00061))</v>
      </c>
    </row>
    <row r="430" spans="1:11" ht="42.75" x14ac:dyDescent="0.45">
      <c r="A430" s="53" t="s">
        <v>7208</v>
      </c>
      <c r="B430" s="54" t="s">
        <v>7209</v>
      </c>
      <c r="C430" t="s">
        <v>1823</v>
      </c>
      <c r="D430" s="12">
        <v>440</v>
      </c>
      <c r="E430" s="12" t="str">
        <f>CONCATENATE("E",C430)</f>
        <v>E2_7_7_23</v>
      </c>
      <c r="F430" s="12" t="s">
        <v>3190</v>
      </c>
      <c r="G430" s="12" t="s">
        <v>1377</v>
      </c>
      <c r="H430" t="s">
        <v>3475</v>
      </c>
      <c r="I430" t="s">
        <v>1378</v>
      </c>
      <c r="J430" s="12" t="str">
        <f>CONCATENATE("(${Variables:",E430,"_kcat","} * ",E430," * ",G430,")","/(${Variables:",E430,"_km","} + (",E430," * ",G430,"))")</f>
        <v>(${Variables:E2_7_7_23_kcat} * E2_7_7_23 * C00075 * C04501)/(${Variables:E2_7_7_23_km} + (E2_7_7_23 * C00075 * C04501))</v>
      </c>
      <c r="K430" s="43" t="str">
        <f>CONCATENATE("r",D430,": ",F430," -&gt; ",H430," | ",J430)</f>
        <v>r440: C00075 + C04501 -&gt; C00013 + C00043 | (${Variables:E2_7_7_23_kcat} * E2_7_7_23 * C00075 * C04501)/(${Variables:E2_7_7_23_km} + (E2_7_7_23 * C00075 * C04501))</v>
      </c>
    </row>
    <row r="431" spans="1:11" ht="42.75" x14ac:dyDescent="0.45">
      <c r="A431" s="53" t="s">
        <v>4104</v>
      </c>
      <c r="B431" s="54" t="s">
        <v>4105</v>
      </c>
      <c r="C431" t="s">
        <v>1823</v>
      </c>
      <c r="D431" s="12">
        <v>441</v>
      </c>
      <c r="E431" s="12" t="str">
        <f>CONCATENATE("E",C431)</f>
        <v>E2_7_7_23</v>
      </c>
      <c r="F431" s="12" t="s">
        <v>3190</v>
      </c>
      <c r="G431" s="12" t="s">
        <v>1377</v>
      </c>
      <c r="H431" t="s">
        <v>3475</v>
      </c>
      <c r="I431" t="s">
        <v>1378</v>
      </c>
      <c r="J431" s="12" t="str">
        <f>CONCATENATE("(${Variables:",E431,"_kcat","} * ",E431," * ",G431,")","/(${Variables:",E431,"_km","} + (",E431," * ",G431,"))")</f>
        <v>(${Variables:E2_7_7_23_kcat} * E2_7_7_23 * C00075 * C04501)/(${Variables:E2_7_7_23_km} + (E2_7_7_23 * C00075 * C04501))</v>
      </c>
      <c r="K431" s="43" t="str">
        <f>CONCATENATE("r",D431,": ",F431," -&gt; ",H431," | ",J431)</f>
        <v>r441: C00075 + C04501 -&gt; C00013 + C00043 | (${Variables:E2_7_7_23_kcat} * E2_7_7_23 * C00075 * C04501)/(${Variables:E2_7_7_23_km} + (E2_7_7_23 * C00075 * C04501))</v>
      </c>
    </row>
    <row r="432" spans="1:11" ht="42.75" x14ac:dyDescent="0.45">
      <c r="A432" s="53" t="s">
        <v>6700</v>
      </c>
      <c r="B432" s="54" t="s">
        <v>6701</v>
      </c>
      <c r="C432" t="s">
        <v>10367</v>
      </c>
      <c r="D432" s="12">
        <v>442</v>
      </c>
      <c r="E432" s="12" t="str">
        <f>CONCATENATE("E",C432)</f>
        <v>E2_7_7_24</v>
      </c>
      <c r="F432" s="12" t="s">
        <v>9791</v>
      </c>
      <c r="G432" s="12" t="s">
        <v>10603</v>
      </c>
      <c r="H432" t="s">
        <v>9792</v>
      </c>
      <c r="I432" t="s">
        <v>10829</v>
      </c>
      <c r="J432" s="12" t="str">
        <f>CONCATENATE("(${Variables:",E432,"_kcat","} * ",E432," * ",G432,")","/(${Variables:",E432,"_km","} + (",E432," * ",G432,"))")</f>
        <v>(${Variables:E2_7_7_24_kcat} * E2_7_7_24 * C00459 * C00103)/(${Variables:E2_7_7_24_km} + (E2_7_7_24 * C00459 * C00103))</v>
      </c>
      <c r="K432" s="43" t="str">
        <f>CONCATENATE("r",D432,": ",F432," -&gt; ",H432," | ",J432)</f>
        <v>r442: C00459 + C00103 -&gt; C00013 + C00842 | (${Variables:E2_7_7_24_kcat} * E2_7_7_24 * C00459 * C00103)/(${Variables:E2_7_7_24_km} + (E2_7_7_24 * C00459 * C00103))</v>
      </c>
    </row>
    <row r="433" spans="1:11" ht="42.75" x14ac:dyDescent="0.45">
      <c r="A433" s="53" t="s">
        <v>5629</v>
      </c>
      <c r="B433" s="54" t="s">
        <v>5630</v>
      </c>
      <c r="C433" t="s">
        <v>1747</v>
      </c>
      <c r="D433" s="12">
        <v>443</v>
      </c>
      <c r="E433" s="12" t="str">
        <f>CONCATENATE("E",C433)</f>
        <v>E2_7_7_27</v>
      </c>
      <c r="F433" s="12" t="s">
        <v>3191</v>
      </c>
      <c r="G433" s="12" t="s">
        <v>1194</v>
      </c>
      <c r="H433" t="s">
        <v>3476</v>
      </c>
      <c r="I433" t="s">
        <v>1195</v>
      </c>
      <c r="J433" s="12" t="str">
        <f>CONCATENATE("(${Variables:",E433,"_kcat","} * ",E433," * ",G433,")","/(${Variables:",E433,"_km","} + (",E433," * ",G433,"))")</f>
        <v>(${Variables:E2_7_7_27_kcat} * E2_7_7_27 * C00002 * C00103)/(${Variables:E2_7_7_27_km} + (E2_7_7_27 * C00002 * C00103))</v>
      </c>
      <c r="K433" s="43" t="str">
        <f>CONCATENATE("r",D433,": ",F433," -&gt; ",H433," | ",J433)</f>
        <v>r443: C00002 + C00103 -&gt; C00013 + C00498 | (${Variables:E2_7_7_27_kcat} * E2_7_7_27 * C00002 * C00103)/(${Variables:E2_7_7_27_km} + (E2_7_7_27 * C00002 * C00103))</v>
      </c>
    </row>
    <row r="434" spans="1:11" ht="42.75" x14ac:dyDescent="0.45">
      <c r="A434" s="53" t="s">
        <v>5631</v>
      </c>
      <c r="B434" s="54" t="s">
        <v>5632</v>
      </c>
      <c r="C434" t="s">
        <v>1747</v>
      </c>
      <c r="D434" s="12">
        <v>444</v>
      </c>
      <c r="E434" s="12" t="str">
        <f>CONCATENATE("E",C434)</f>
        <v>E2_7_7_27</v>
      </c>
      <c r="F434" s="12" t="s">
        <v>3191</v>
      </c>
      <c r="G434" s="12" t="s">
        <v>1194</v>
      </c>
      <c r="H434" t="s">
        <v>3476</v>
      </c>
      <c r="I434" t="s">
        <v>1195</v>
      </c>
      <c r="J434" s="12" t="str">
        <f>CONCATENATE("(${Variables:",E434,"_kcat","} * ",E434," * ",G434,")","/(${Variables:",E434,"_km","} + (",E434," * ",G434,"))")</f>
        <v>(${Variables:E2_7_7_27_kcat} * E2_7_7_27 * C00002 * C00103)/(${Variables:E2_7_7_27_km} + (E2_7_7_27 * C00002 * C00103))</v>
      </c>
      <c r="K434" s="43" t="str">
        <f>CONCATENATE("r",D434,": ",F434," -&gt; ",H434," | ",J434)</f>
        <v>r444: C00002 + C00103 -&gt; C00013 + C00498 | (${Variables:E2_7_7_27_kcat} * E2_7_7_27 * C00002 * C00103)/(${Variables:E2_7_7_27_km} + (E2_7_7_27 * C00002 * C00103))</v>
      </c>
    </row>
    <row r="435" spans="1:11" ht="42.75" x14ac:dyDescent="0.45">
      <c r="A435" s="53" t="s">
        <v>5043</v>
      </c>
      <c r="B435" s="54" t="s">
        <v>5044</v>
      </c>
      <c r="C435" t="s">
        <v>1777</v>
      </c>
      <c r="D435" s="12">
        <v>445</v>
      </c>
      <c r="E435" s="12" t="str">
        <f>CONCATENATE("E",C435)</f>
        <v>E2_7_7_3</v>
      </c>
      <c r="F435" s="12" t="s">
        <v>3192</v>
      </c>
      <c r="G435" s="12" t="s">
        <v>1277</v>
      </c>
      <c r="H435" t="s">
        <v>3477</v>
      </c>
      <c r="I435" t="s">
        <v>1278</v>
      </c>
      <c r="J435" s="12" t="str">
        <f>CONCATENATE("(${Variables:",E435,"_kcat","} * ",E435," * ",G435,")","/(${Variables:",E435,"_km","} + (",E435," * ",G435,"))")</f>
        <v>(${Variables:E2_7_7_3_kcat} * E2_7_7_3 * C00002 * C01134)/(${Variables:E2_7_7_3_km} + (E2_7_7_3 * C00002 * C01134))</v>
      </c>
      <c r="K435" s="43" t="str">
        <f>CONCATENATE("r",D435,": ",F435," -&gt; ",H435," | ",J435)</f>
        <v>r445: C00002 + C01134 -&gt; C00013 + C00882 | (${Variables:E2_7_7_3_kcat} * E2_7_7_3 * C00002 * C01134)/(${Variables:E2_7_7_3_km} + (E2_7_7_3 * C00002 * C01134))</v>
      </c>
    </row>
    <row r="436" spans="1:11" ht="42.75" x14ac:dyDescent="0.45">
      <c r="A436" s="53" t="s">
        <v>7950</v>
      </c>
      <c r="B436" s="54" t="s">
        <v>7951</v>
      </c>
      <c r="C436" t="s">
        <v>1815</v>
      </c>
      <c r="D436" s="12">
        <v>446</v>
      </c>
      <c r="E436" s="12" t="str">
        <f>CONCATENATE("E",C436)</f>
        <v>E2_7_7_41</v>
      </c>
      <c r="F436" s="12" t="s">
        <v>10201</v>
      </c>
      <c r="G436" s="12" t="s">
        <v>10604</v>
      </c>
      <c r="H436" t="s">
        <v>3478</v>
      </c>
      <c r="I436" t="s">
        <v>1355</v>
      </c>
      <c r="J436" s="12" t="str">
        <f>CONCATENATE("(${Variables:",E436,"_kcat","} * ",E436," * ",G436,")","/(${Variables:",E436,"_km","} + (",E436," * ",G436,"))")</f>
        <v>(${Variables:E2_7_7_41_kcat} * E2_7_7_41 * C00063 * C00416 )/(${Variables:E2_7_7_41_km} + (E2_7_7_41 * C00063 * C00416 ))</v>
      </c>
      <c r="K436" s="43" t="str">
        <f>CONCATENATE("r",D436,": ",F436," -&gt; ",H436," | ",J436)</f>
        <v>r446: C00063 + C00416  -&gt; C00013 + C00269 | (${Variables:E2_7_7_41_kcat} * E2_7_7_41 * C00063 * C00416 )/(${Variables:E2_7_7_41_km} + (E2_7_7_41 * C00063 * C00416 ))</v>
      </c>
    </row>
    <row r="437" spans="1:11" ht="42.75" x14ac:dyDescent="0.45">
      <c r="A437" s="53" t="s">
        <v>5345</v>
      </c>
      <c r="B437" s="54" t="s">
        <v>5346</v>
      </c>
      <c r="C437" t="s">
        <v>10368</v>
      </c>
      <c r="D437" s="12">
        <v>447</v>
      </c>
      <c r="E437" s="12" t="str">
        <f>CONCATENATE("E",C437)</f>
        <v>E2_7_7_49</v>
      </c>
      <c r="F437" t="s">
        <v>3203</v>
      </c>
      <c r="G437" t="s">
        <v>1536</v>
      </c>
      <c r="H437" t="s">
        <v>3481</v>
      </c>
      <c r="I437" t="s">
        <v>1424</v>
      </c>
      <c r="J437" s="12" t="str">
        <f>CONCATENATE("(${Variables:",E437,"_kcat","} * ",E437," * ",G437,")","/(${Variables:",E437,"_km","} + (",E437," * ",G437,"))")</f>
        <v>(${Variables:E2_7_7_49_kcat} * E2_7_7_49 * C00677 * C00039)/(${Variables:E2_7_7_49_km} + (E2_7_7_49 * C00677 * C00039))</v>
      </c>
      <c r="K437" s="43" t="str">
        <f>CONCATENATE("r",D437,": ",F437," -&gt; ",H437," | ",J437)</f>
        <v>r447: C00677 + C00039 -&gt; C00013 + C00039 | (${Variables:E2_7_7_49_kcat} * E2_7_7_49 * C00677 * C00039)/(${Variables:E2_7_7_49_km} + (E2_7_7_49 * C00677 * C00039))</v>
      </c>
    </row>
    <row r="438" spans="1:11" ht="42.75" x14ac:dyDescent="0.45">
      <c r="A438" s="53" t="s">
        <v>5416</v>
      </c>
      <c r="B438" s="54" t="s">
        <v>5417</v>
      </c>
      <c r="C438" t="s">
        <v>10368</v>
      </c>
      <c r="D438" s="12">
        <v>448</v>
      </c>
      <c r="E438" s="12" t="str">
        <f>CONCATENATE("E",C438)</f>
        <v>E2_7_7_49</v>
      </c>
      <c r="F438" t="s">
        <v>3203</v>
      </c>
      <c r="G438" t="s">
        <v>1536</v>
      </c>
      <c r="H438" t="s">
        <v>3481</v>
      </c>
      <c r="I438" t="s">
        <v>1424</v>
      </c>
      <c r="J438" s="12" t="str">
        <f>CONCATENATE("(${Variables:",E438,"_kcat","} * ",E438," * ",G438,")","/(${Variables:",E438,"_km","} + (",E438," * ",G438,"))")</f>
        <v>(${Variables:E2_7_7_49_kcat} * E2_7_7_49 * C00677 * C00039)/(${Variables:E2_7_7_49_km} + (E2_7_7_49 * C00677 * C00039))</v>
      </c>
      <c r="K438" s="43" t="str">
        <f>CONCATENATE("r",D438,": ",F438," -&gt; ",H438," | ",J438)</f>
        <v>r448: C00677 + C00039 -&gt; C00013 + C00039 | (${Variables:E2_7_7_49_kcat} * E2_7_7_49 * C00677 * C00039)/(${Variables:E2_7_7_49_km} + (E2_7_7_49 * C00677 * C00039))</v>
      </c>
    </row>
    <row r="439" spans="1:11" ht="42.75" x14ac:dyDescent="0.45">
      <c r="A439" s="53" t="s">
        <v>7401</v>
      </c>
      <c r="B439" s="54" t="s">
        <v>7402</v>
      </c>
      <c r="C439" t="s">
        <v>1731</v>
      </c>
      <c r="D439" s="12">
        <v>449</v>
      </c>
      <c r="E439" s="12" t="str">
        <f>CONCATENATE("E",C439)</f>
        <v>E2_7_7_6</v>
      </c>
      <c r="F439" t="s">
        <v>3197</v>
      </c>
      <c r="G439" t="s">
        <v>1446</v>
      </c>
      <c r="H439" t="s">
        <v>3479</v>
      </c>
      <c r="I439" t="s">
        <v>1162</v>
      </c>
      <c r="J439" s="12" t="str">
        <f>CONCATENATE("(${Variables:",E439,"_kcat","} * ",E439," * ",G439,")","/(${Variables:",E439,"_km","} + (",E439," * ",G439,"))")</f>
        <v>(${Variables:E2_7_7_6_kcat} * E2_7_7_6 * C00201 * C00046)/(${Variables:E2_7_7_6_km} + (E2_7_7_6 * C00201 * C00046))</v>
      </c>
      <c r="K439" s="43" t="str">
        <f>CONCATENATE("r",D439,": ",F439," -&gt; ",H439," | ",J439)</f>
        <v>r449: C00201 + C00046 -&gt; C00013 + C00046 | (${Variables:E2_7_7_6_kcat} * E2_7_7_6 * C00201 * C00046)/(${Variables:E2_7_7_6_km} + (E2_7_7_6 * C00201 * C00046))</v>
      </c>
    </row>
    <row r="440" spans="1:11" ht="42.75" x14ac:dyDescent="0.45">
      <c r="A440" s="53" t="s">
        <v>7401</v>
      </c>
      <c r="B440" s="54" t="s">
        <v>7402</v>
      </c>
      <c r="C440" t="s">
        <v>1731</v>
      </c>
      <c r="D440" s="12">
        <v>450</v>
      </c>
      <c r="E440" s="12" t="str">
        <f>CONCATENATE("E",C440)</f>
        <v>E2_7_7_6</v>
      </c>
      <c r="F440" t="s">
        <v>3193</v>
      </c>
      <c r="G440" t="s">
        <v>1161</v>
      </c>
      <c r="H440" t="s">
        <v>3479</v>
      </c>
      <c r="I440" t="s">
        <v>1162</v>
      </c>
      <c r="J440" s="12" t="str">
        <f>CONCATENATE("(${Variables:",E440,"_kcat","} * ",E440," * ",G440,")","/(${Variables:",E440,"_km","} + (",E440," * ",G440,"))")</f>
        <v>(${Variables:E2_7_7_6_kcat} * E2_7_7_6 * C00002 * C00046)/(${Variables:E2_7_7_6_km} + (E2_7_7_6 * C00002 * C00046))</v>
      </c>
      <c r="K440" s="43" t="str">
        <f>CONCATENATE("r",D440,": ",F440," -&gt; ",H440," | ",J440)</f>
        <v>r450: C00002 + C00046 -&gt; C00013 + C00046 | (${Variables:E2_7_7_6_kcat} * E2_7_7_6 * C00002 * C00046)/(${Variables:E2_7_7_6_km} + (E2_7_7_6 * C00002 * C00046))</v>
      </c>
    </row>
    <row r="441" spans="1:11" ht="42.75" x14ac:dyDescent="0.45">
      <c r="A441" s="53" t="s">
        <v>7401</v>
      </c>
      <c r="B441" s="54" t="s">
        <v>7402</v>
      </c>
      <c r="C441" t="s">
        <v>1731</v>
      </c>
      <c r="D441" s="12">
        <v>451</v>
      </c>
      <c r="E441" s="12" t="str">
        <f>CONCATENATE("E",C441)</f>
        <v>E2_7_7_6</v>
      </c>
      <c r="F441" t="s">
        <v>8501</v>
      </c>
      <c r="G441" t="s">
        <v>10605</v>
      </c>
      <c r="H441" t="s">
        <v>3479</v>
      </c>
      <c r="I441" t="s">
        <v>1162</v>
      </c>
      <c r="J441" s="12" t="str">
        <f>CONCATENATE("(${Variables:",E441,"_kcat","} * ",E441," * ",G441,")","/(${Variables:",E441,"_km","} + (",E441," * ",G441,"))")</f>
        <v>(${Variables:E2_7_7_6_kcat} * E2_7_7_6 * C00044 * C00046 )/(${Variables:E2_7_7_6_km} + (E2_7_7_6 * C00044 * C00046 ))</v>
      </c>
      <c r="K441" s="43" t="str">
        <f>CONCATENATE("r",D441,": ",F441," -&gt; ",H441," | ",J441)</f>
        <v>r451: C00044 + C00046  -&gt; C00013 + C00046 | (${Variables:E2_7_7_6_kcat} * E2_7_7_6 * C00044 * C00046 )/(${Variables:E2_7_7_6_km} + (E2_7_7_6 * C00044 * C00046 ))</v>
      </c>
    </row>
    <row r="442" spans="1:11" ht="42.75" x14ac:dyDescent="0.45">
      <c r="A442" s="53" t="s">
        <v>7401</v>
      </c>
      <c r="B442" s="54" t="s">
        <v>7402</v>
      </c>
      <c r="C442" t="s">
        <v>1731</v>
      </c>
      <c r="D442" s="12">
        <v>452</v>
      </c>
      <c r="E442" s="12" t="str">
        <f>CONCATENATE("E",C442)</f>
        <v>E2_7_7_6</v>
      </c>
      <c r="F442" t="s">
        <v>3195</v>
      </c>
      <c r="G442" t="s">
        <v>1354</v>
      </c>
      <c r="H442" t="s">
        <v>3479</v>
      </c>
      <c r="I442" t="s">
        <v>1162</v>
      </c>
      <c r="J442" s="12" t="str">
        <f>CONCATENATE("(${Variables:",E442,"_kcat","} * ",E442," * ",G442,")","/(${Variables:",E442,"_km","} + (",E442," * ",G442,"))")</f>
        <v>(${Variables:E2_7_7_6_kcat} * E2_7_7_6 * C00063 * C00046)/(${Variables:E2_7_7_6_km} + (E2_7_7_6 * C00063 * C00046))</v>
      </c>
      <c r="K442" s="43" t="str">
        <f>CONCATENATE("r",D442,": ",F442," -&gt; ",H442," | ",J442)</f>
        <v>r452: C00063 + C00046 -&gt; C00013 + C00046 | (${Variables:E2_7_7_6_kcat} * E2_7_7_6 * C00063 * C00046)/(${Variables:E2_7_7_6_km} + (E2_7_7_6 * C00063 * C00046))</v>
      </c>
    </row>
    <row r="443" spans="1:11" ht="42.75" x14ac:dyDescent="0.45">
      <c r="A443" s="53" t="s">
        <v>7401</v>
      </c>
      <c r="B443" s="54" t="s">
        <v>7402</v>
      </c>
      <c r="C443" t="s">
        <v>1731</v>
      </c>
      <c r="D443" s="12">
        <v>453</v>
      </c>
      <c r="E443" s="12" t="str">
        <f>CONCATENATE("E",C443)</f>
        <v>E2_7_7_6</v>
      </c>
      <c r="F443" t="s">
        <v>3196</v>
      </c>
      <c r="G443" t="s">
        <v>1374</v>
      </c>
      <c r="H443" t="s">
        <v>3479</v>
      </c>
      <c r="I443" t="s">
        <v>1162</v>
      </c>
      <c r="J443" s="12" t="str">
        <f>CONCATENATE("(${Variables:",E443,"_kcat","} * ",E443," * ",G443,")","/(${Variables:",E443,"_km","} + (",E443," * ",G443,"))")</f>
        <v>(${Variables:E2_7_7_6_kcat} * E2_7_7_6 * C00075 * C00046)/(${Variables:E2_7_7_6_km} + (E2_7_7_6 * C00075 * C00046))</v>
      </c>
      <c r="K443" s="43" t="str">
        <f>CONCATENATE("r",D443,": ",F443," -&gt; ",H443," | ",J443)</f>
        <v>r453: C00075 + C00046 -&gt; C00013 + C00046 | (${Variables:E2_7_7_6_kcat} * E2_7_7_6 * C00075 * C00046)/(${Variables:E2_7_7_6_km} + (E2_7_7_6 * C00075 * C00046))</v>
      </c>
    </row>
    <row r="444" spans="1:11" ht="28.5" x14ac:dyDescent="0.45">
      <c r="A444" s="53" t="s">
        <v>7401</v>
      </c>
      <c r="B444" s="54" t="s">
        <v>7402</v>
      </c>
      <c r="C444" t="s">
        <v>1731</v>
      </c>
      <c r="D444" s="12">
        <v>454</v>
      </c>
      <c r="E444" s="12" t="str">
        <f>CONCATENATE("E",C444)</f>
        <v>E2_7_7_6</v>
      </c>
      <c r="F444" t="s">
        <v>1936</v>
      </c>
      <c r="G444" t="s">
        <v>1936</v>
      </c>
      <c r="H444" t="s">
        <v>8492</v>
      </c>
      <c r="I444" t="s">
        <v>10830</v>
      </c>
      <c r="J444" s="12" t="str">
        <f>CONCATENATE("(${Variables:",E444,"_kcat","} * ",E444," * ",G444,")","/(${Variables:",E444,"_km","} + (",E444," * ",G444,"))")</f>
        <v>(${Variables:E2_7_7_6_kcat} * E2_7_7_6 * C00201)/(${Variables:E2_7_7_6_km} + (E2_7_7_6 * C00201))</v>
      </c>
      <c r="K444" s="43" t="str">
        <f>CONCATENATE("r",D444,": ",F444," -&gt; ",H444," | ",J444)</f>
        <v>r454: C00201 -&gt; C20864 + C00013 | (${Variables:E2_7_7_6_kcat} * E2_7_7_6 * C00201)/(${Variables:E2_7_7_6_km} + (E2_7_7_6 * C00201))</v>
      </c>
    </row>
    <row r="445" spans="1:11" ht="42.75" x14ac:dyDescent="0.45">
      <c r="A445" s="53" t="s">
        <v>7770</v>
      </c>
      <c r="B445" s="54" t="s">
        <v>7771</v>
      </c>
      <c r="C445" t="s">
        <v>1731</v>
      </c>
      <c r="D445" s="12">
        <v>455</v>
      </c>
      <c r="E445" s="12" t="str">
        <f>CONCATENATE("E",C445)</f>
        <v>E2_7_7_6</v>
      </c>
      <c r="F445" t="s">
        <v>3197</v>
      </c>
      <c r="G445" t="s">
        <v>1446</v>
      </c>
      <c r="H445" t="s">
        <v>3479</v>
      </c>
      <c r="I445" t="s">
        <v>1162</v>
      </c>
      <c r="J445" s="12" t="str">
        <f>CONCATENATE("(${Variables:",E445,"_kcat","} * ",E445," * ",G445,")","/(${Variables:",E445,"_km","} + (",E445," * ",G445,"))")</f>
        <v>(${Variables:E2_7_7_6_kcat} * E2_7_7_6 * C00201 * C00046)/(${Variables:E2_7_7_6_km} + (E2_7_7_6 * C00201 * C00046))</v>
      </c>
      <c r="K445" s="43" t="str">
        <f>CONCATENATE("r",D445,": ",F445," -&gt; ",H445," | ",J445)</f>
        <v>r455: C00201 + C00046 -&gt; C00013 + C00046 | (${Variables:E2_7_7_6_kcat} * E2_7_7_6 * C00201 * C00046)/(${Variables:E2_7_7_6_km} + (E2_7_7_6 * C00201 * C00046))</v>
      </c>
    </row>
    <row r="446" spans="1:11" ht="42.75" x14ac:dyDescent="0.45">
      <c r="A446" s="53" t="s">
        <v>7770</v>
      </c>
      <c r="B446" s="54" t="s">
        <v>7771</v>
      </c>
      <c r="C446" t="s">
        <v>1731</v>
      </c>
      <c r="D446" s="12">
        <v>456</v>
      </c>
      <c r="E446" s="12" t="str">
        <f>CONCATENATE("E",C446)</f>
        <v>E2_7_7_6</v>
      </c>
      <c r="F446" t="s">
        <v>3193</v>
      </c>
      <c r="G446" t="s">
        <v>1161</v>
      </c>
      <c r="H446" t="s">
        <v>3479</v>
      </c>
      <c r="I446" t="s">
        <v>1162</v>
      </c>
      <c r="J446" s="12" t="str">
        <f>CONCATENATE("(${Variables:",E446,"_kcat","} * ",E446," * ",G446,")","/(${Variables:",E446,"_km","} + (",E446," * ",G446,"))")</f>
        <v>(${Variables:E2_7_7_6_kcat} * E2_7_7_6 * C00002 * C00046)/(${Variables:E2_7_7_6_km} + (E2_7_7_6 * C00002 * C00046))</v>
      </c>
      <c r="K446" s="43" t="str">
        <f>CONCATENATE("r",D446,": ",F446," -&gt; ",H446," | ",J446)</f>
        <v>r456: C00002 + C00046 -&gt; C00013 + C00046 | (${Variables:E2_7_7_6_kcat} * E2_7_7_6 * C00002 * C00046)/(${Variables:E2_7_7_6_km} + (E2_7_7_6 * C00002 * C00046))</v>
      </c>
    </row>
    <row r="447" spans="1:11" ht="42.75" x14ac:dyDescent="0.45">
      <c r="A447" s="53" t="s">
        <v>7770</v>
      </c>
      <c r="B447" s="54" t="s">
        <v>7771</v>
      </c>
      <c r="C447" t="s">
        <v>1731</v>
      </c>
      <c r="D447" s="12">
        <v>457</v>
      </c>
      <c r="E447" s="12" t="str">
        <f>CONCATENATE("E",C447)</f>
        <v>E2_7_7_6</v>
      </c>
      <c r="F447" t="s">
        <v>8501</v>
      </c>
      <c r="G447" t="s">
        <v>10605</v>
      </c>
      <c r="H447" t="s">
        <v>3479</v>
      </c>
      <c r="I447" t="s">
        <v>1162</v>
      </c>
      <c r="J447" s="12" t="str">
        <f>CONCATENATE("(${Variables:",E447,"_kcat","} * ",E447," * ",G447,")","/(${Variables:",E447,"_km","} + (",E447," * ",G447,"))")</f>
        <v>(${Variables:E2_7_7_6_kcat} * E2_7_7_6 * C00044 * C00046 )/(${Variables:E2_7_7_6_km} + (E2_7_7_6 * C00044 * C00046 ))</v>
      </c>
      <c r="K447" s="43" t="str">
        <f>CONCATENATE("r",D447,": ",F447," -&gt; ",H447," | ",J447)</f>
        <v>r457: C00044 + C00046  -&gt; C00013 + C00046 | (${Variables:E2_7_7_6_kcat} * E2_7_7_6 * C00044 * C00046 )/(${Variables:E2_7_7_6_km} + (E2_7_7_6 * C00044 * C00046 ))</v>
      </c>
    </row>
    <row r="448" spans="1:11" ht="42.75" x14ac:dyDescent="0.45">
      <c r="A448" s="53" t="s">
        <v>7770</v>
      </c>
      <c r="B448" s="54" t="s">
        <v>7771</v>
      </c>
      <c r="C448" t="s">
        <v>1731</v>
      </c>
      <c r="D448" s="12">
        <v>458</v>
      </c>
      <c r="E448" s="12" t="str">
        <f>CONCATENATE("E",C448)</f>
        <v>E2_7_7_6</v>
      </c>
      <c r="F448" t="s">
        <v>3195</v>
      </c>
      <c r="G448" t="s">
        <v>1354</v>
      </c>
      <c r="H448" t="s">
        <v>3479</v>
      </c>
      <c r="I448" t="s">
        <v>1162</v>
      </c>
      <c r="J448" s="12" t="str">
        <f>CONCATENATE("(${Variables:",E448,"_kcat","} * ",E448," * ",G448,")","/(${Variables:",E448,"_km","} + (",E448," * ",G448,"))")</f>
        <v>(${Variables:E2_7_7_6_kcat} * E2_7_7_6 * C00063 * C00046)/(${Variables:E2_7_7_6_km} + (E2_7_7_6 * C00063 * C00046))</v>
      </c>
      <c r="K448" s="43" t="str">
        <f>CONCATENATE("r",D448,": ",F448," -&gt; ",H448," | ",J448)</f>
        <v>r458: C00063 + C00046 -&gt; C00013 + C00046 | (${Variables:E2_7_7_6_kcat} * E2_7_7_6 * C00063 * C00046)/(${Variables:E2_7_7_6_km} + (E2_7_7_6 * C00063 * C00046))</v>
      </c>
    </row>
    <row r="449" spans="1:11" ht="42.75" x14ac:dyDescent="0.45">
      <c r="A449" s="53" t="s">
        <v>7770</v>
      </c>
      <c r="B449" s="54" t="s">
        <v>7771</v>
      </c>
      <c r="C449" t="s">
        <v>1731</v>
      </c>
      <c r="D449" s="12">
        <v>459</v>
      </c>
      <c r="E449" s="12" t="str">
        <f>CONCATENATE("E",C449)</f>
        <v>E2_7_7_6</v>
      </c>
      <c r="F449" t="s">
        <v>3196</v>
      </c>
      <c r="G449" t="s">
        <v>1374</v>
      </c>
      <c r="H449" t="s">
        <v>3479</v>
      </c>
      <c r="I449" t="s">
        <v>1162</v>
      </c>
      <c r="J449" s="12" t="str">
        <f>CONCATENATE("(${Variables:",E449,"_kcat","} * ",E449," * ",G449,")","/(${Variables:",E449,"_km","} + (",E449," * ",G449,"))")</f>
        <v>(${Variables:E2_7_7_6_kcat} * E2_7_7_6 * C00075 * C00046)/(${Variables:E2_7_7_6_km} + (E2_7_7_6 * C00075 * C00046))</v>
      </c>
      <c r="K449" s="43" t="str">
        <f>CONCATENATE("r",D449,": ",F449," -&gt; ",H449," | ",J449)</f>
        <v>r459: C00075 + C00046 -&gt; C00013 + C00046 | (${Variables:E2_7_7_6_kcat} * E2_7_7_6 * C00075 * C00046)/(${Variables:E2_7_7_6_km} + (E2_7_7_6 * C00075 * C00046))</v>
      </c>
    </row>
    <row r="450" spans="1:11" ht="28.5" x14ac:dyDescent="0.45">
      <c r="A450" s="53" t="s">
        <v>7770</v>
      </c>
      <c r="B450" s="54" t="s">
        <v>7771</v>
      </c>
      <c r="C450" t="s">
        <v>1731</v>
      </c>
      <c r="D450" s="12">
        <v>460</v>
      </c>
      <c r="E450" s="12" t="str">
        <f>CONCATENATE("E",C450)</f>
        <v>E2_7_7_6</v>
      </c>
      <c r="F450" t="s">
        <v>1936</v>
      </c>
      <c r="G450" t="s">
        <v>1936</v>
      </c>
      <c r="H450" t="s">
        <v>8492</v>
      </c>
      <c r="I450" t="s">
        <v>10830</v>
      </c>
      <c r="J450" s="12" t="str">
        <f>CONCATENATE("(${Variables:",E450,"_kcat","} * ",E450," * ",G450,")","/(${Variables:",E450,"_km","} + (",E450," * ",G450,"))")</f>
        <v>(${Variables:E2_7_7_6_kcat} * E2_7_7_6 * C00201)/(${Variables:E2_7_7_6_km} + (E2_7_7_6 * C00201))</v>
      </c>
      <c r="K450" s="43" t="str">
        <f>CONCATENATE("r",D450,": ",F450," -&gt; ",H450," | ",J450)</f>
        <v>r460: C00201 -&gt; C20864 + C00013 | (${Variables:E2_7_7_6_kcat} * E2_7_7_6 * C00201)/(${Variables:E2_7_7_6_km} + (E2_7_7_6 * C00201))</v>
      </c>
    </row>
    <row r="451" spans="1:11" ht="42.75" x14ac:dyDescent="0.45">
      <c r="A451" s="53" t="s">
        <v>4408</v>
      </c>
      <c r="B451" s="54" t="s">
        <v>4409</v>
      </c>
      <c r="C451" t="s">
        <v>1731</v>
      </c>
      <c r="D451" s="12">
        <v>461</v>
      </c>
      <c r="E451" s="12" t="str">
        <f>CONCATENATE("E",C451)</f>
        <v>E2_7_7_6</v>
      </c>
      <c r="F451" t="s">
        <v>3197</v>
      </c>
      <c r="G451" t="s">
        <v>1446</v>
      </c>
      <c r="H451" t="s">
        <v>3479</v>
      </c>
      <c r="I451" t="s">
        <v>1162</v>
      </c>
      <c r="J451" s="12" t="str">
        <f>CONCATENATE("(${Variables:",E451,"_kcat","} * ",E451," * ",G451,")","/(${Variables:",E451,"_km","} + (",E451," * ",G451,"))")</f>
        <v>(${Variables:E2_7_7_6_kcat} * E2_7_7_6 * C00201 * C00046)/(${Variables:E2_7_7_6_km} + (E2_7_7_6 * C00201 * C00046))</v>
      </c>
      <c r="K451" s="43" t="str">
        <f>CONCATENATE("r",D451,": ",F451," -&gt; ",H451," | ",J451)</f>
        <v>r461: C00201 + C00046 -&gt; C00013 + C00046 | (${Variables:E2_7_7_6_kcat} * E2_7_7_6 * C00201 * C00046)/(${Variables:E2_7_7_6_km} + (E2_7_7_6 * C00201 * C00046))</v>
      </c>
    </row>
    <row r="452" spans="1:11" ht="42.75" x14ac:dyDescent="0.45">
      <c r="A452" s="53" t="s">
        <v>4408</v>
      </c>
      <c r="B452" s="54" t="s">
        <v>4409</v>
      </c>
      <c r="C452" t="s">
        <v>1731</v>
      </c>
      <c r="D452" s="12">
        <v>462</v>
      </c>
      <c r="E452" s="12" t="str">
        <f>CONCATENATE("E",C452)</f>
        <v>E2_7_7_6</v>
      </c>
      <c r="F452" t="s">
        <v>3193</v>
      </c>
      <c r="G452" t="s">
        <v>1161</v>
      </c>
      <c r="H452" t="s">
        <v>3479</v>
      </c>
      <c r="I452" t="s">
        <v>1162</v>
      </c>
      <c r="J452" s="12" t="str">
        <f>CONCATENATE("(${Variables:",E452,"_kcat","} * ",E452," * ",G452,")","/(${Variables:",E452,"_km","} + (",E452," * ",G452,"))")</f>
        <v>(${Variables:E2_7_7_6_kcat} * E2_7_7_6 * C00002 * C00046)/(${Variables:E2_7_7_6_km} + (E2_7_7_6 * C00002 * C00046))</v>
      </c>
      <c r="K452" s="43" t="str">
        <f>CONCATENATE("r",D452,": ",F452," -&gt; ",H452," | ",J452)</f>
        <v>r462: C00002 + C00046 -&gt; C00013 + C00046 | (${Variables:E2_7_7_6_kcat} * E2_7_7_6 * C00002 * C00046)/(${Variables:E2_7_7_6_km} + (E2_7_7_6 * C00002 * C00046))</v>
      </c>
    </row>
    <row r="453" spans="1:11" ht="28.5" x14ac:dyDescent="0.45">
      <c r="A453" s="53" t="s">
        <v>4408</v>
      </c>
      <c r="B453" s="54" t="s">
        <v>4409</v>
      </c>
      <c r="C453" t="s">
        <v>1731</v>
      </c>
      <c r="D453" s="12">
        <v>463</v>
      </c>
      <c r="E453" s="12" t="str">
        <f>CONCATENATE("E",C453)</f>
        <v>E2_7_7_6</v>
      </c>
      <c r="F453" t="s">
        <v>8501</v>
      </c>
      <c r="G453" t="s">
        <v>10605</v>
      </c>
      <c r="H453" t="s">
        <v>3479</v>
      </c>
      <c r="I453" t="s">
        <v>1162</v>
      </c>
      <c r="J453" s="12" t="str">
        <f>CONCATENATE("(${Variables:",E453,"_kcat","} * ",E453," * ",G453,")","/(${Variables:",E453,"_km","} + (",E453," * ",G453,"))")</f>
        <v>(${Variables:E2_7_7_6_kcat} * E2_7_7_6 * C00044 * C00046 )/(${Variables:E2_7_7_6_km} + (E2_7_7_6 * C00044 * C00046 ))</v>
      </c>
      <c r="K453" s="43" t="str">
        <f>CONCATENATE("r",D453,": ",F453," -&gt; ",H453," | ",J453)</f>
        <v>r463: C00044 + C00046  -&gt; C00013 + C00046 | (${Variables:E2_7_7_6_kcat} * E2_7_7_6 * C00044 * C00046 )/(${Variables:E2_7_7_6_km} + (E2_7_7_6 * C00044 * C00046 ))</v>
      </c>
    </row>
    <row r="454" spans="1:11" ht="42.75" x14ac:dyDescent="0.45">
      <c r="A454" s="53" t="s">
        <v>4408</v>
      </c>
      <c r="B454" s="54" t="s">
        <v>4409</v>
      </c>
      <c r="C454" t="s">
        <v>1731</v>
      </c>
      <c r="D454" s="12">
        <v>464</v>
      </c>
      <c r="E454" s="12" t="str">
        <f>CONCATENATE("E",C454)</f>
        <v>E2_7_7_6</v>
      </c>
      <c r="F454" t="s">
        <v>3195</v>
      </c>
      <c r="G454" t="s">
        <v>1354</v>
      </c>
      <c r="H454" t="s">
        <v>3479</v>
      </c>
      <c r="I454" t="s">
        <v>1162</v>
      </c>
      <c r="J454" s="12" t="str">
        <f>CONCATENATE("(${Variables:",E454,"_kcat","} * ",E454," * ",G454,")","/(${Variables:",E454,"_km","} + (",E454," * ",G454,"))")</f>
        <v>(${Variables:E2_7_7_6_kcat} * E2_7_7_6 * C00063 * C00046)/(${Variables:E2_7_7_6_km} + (E2_7_7_6 * C00063 * C00046))</v>
      </c>
      <c r="K454" s="43" t="str">
        <f>CONCATENATE("r",D454,": ",F454," -&gt; ",H454," | ",J454)</f>
        <v>r464: C00063 + C00046 -&gt; C00013 + C00046 | (${Variables:E2_7_7_6_kcat} * E2_7_7_6 * C00063 * C00046)/(${Variables:E2_7_7_6_km} + (E2_7_7_6 * C00063 * C00046))</v>
      </c>
    </row>
    <row r="455" spans="1:11" ht="42.75" x14ac:dyDescent="0.45">
      <c r="A455" s="53" t="s">
        <v>4408</v>
      </c>
      <c r="B455" s="54" t="s">
        <v>4409</v>
      </c>
      <c r="C455" t="s">
        <v>1731</v>
      </c>
      <c r="D455" s="12">
        <v>465</v>
      </c>
      <c r="E455" s="12" t="str">
        <f>CONCATENATE("E",C455)</f>
        <v>E2_7_7_6</v>
      </c>
      <c r="F455" t="s">
        <v>3196</v>
      </c>
      <c r="G455" t="s">
        <v>1374</v>
      </c>
      <c r="H455" t="s">
        <v>3479</v>
      </c>
      <c r="I455" t="s">
        <v>1162</v>
      </c>
      <c r="J455" s="12" t="str">
        <f>CONCATENATE("(${Variables:",E455,"_kcat","} * ",E455," * ",G455,")","/(${Variables:",E455,"_km","} + (",E455," * ",G455,"))")</f>
        <v>(${Variables:E2_7_7_6_kcat} * E2_7_7_6 * C00075 * C00046)/(${Variables:E2_7_7_6_km} + (E2_7_7_6 * C00075 * C00046))</v>
      </c>
      <c r="K455" s="43" t="str">
        <f>CONCATENATE("r",D455,": ",F455," -&gt; ",H455," | ",J455)</f>
        <v>r465: C00075 + C00046 -&gt; C00013 + C00046 | (${Variables:E2_7_7_6_kcat} * E2_7_7_6 * C00075 * C00046)/(${Variables:E2_7_7_6_km} + (E2_7_7_6 * C00075 * C00046))</v>
      </c>
    </row>
    <row r="456" spans="1:11" ht="28.5" x14ac:dyDescent="0.45">
      <c r="A456" s="53" t="s">
        <v>4408</v>
      </c>
      <c r="B456" s="54" t="s">
        <v>4409</v>
      </c>
      <c r="C456" t="s">
        <v>1731</v>
      </c>
      <c r="D456" s="12">
        <v>466</v>
      </c>
      <c r="E456" s="12" t="str">
        <f>CONCATENATE("E",C456)</f>
        <v>E2_7_7_6</v>
      </c>
      <c r="F456" t="s">
        <v>1936</v>
      </c>
      <c r="G456" t="s">
        <v>1936</v>
      </c>
      <c r="H456" t="s">
        <v>8492</v>
      </c>
      <c r="I456" t="s">
        <v>10830</v>
      </c>
      <c r="J456" s="12" t="str">
        <f>CONCATENATE("(${Variables:",E456,"_kcat","} * ",E456," * ",G456,")","/(${Variables:",E456,"_km","} + (",E456," * ",G456,"))")</f>
        <v>(${Variables:E2_7_7_6_kcat} * E2_7_7_6 * C00201)/(${Variables:E2_7_7_6_km} + (E2_7_7_6 * C00201))</v>
      </c>
      <c r="K456" s="43" t="str">
        <f>CONCATENATE("r",D456,": ",F456," -&gt; ",H456," | ",J456)</f>
        <v>r466: C00201 -&gt; C20864 + C00013 | (${Variables:E2_7_7_6_kcat} * E2_7_7_6 * C00201)/(${Variables:E2_7_7_6_km} + (E2_7_7_6 * C00201))</v>
      </c>
    </row>
    <row r="457" spans="1:11" ht="42.75" x14ac:dyDescent="0.45">
      <c r="A457" s="53" t="s">
        <v>3878</v>
      </c>
      <c r="B457" s="54" t="s">
        <v>3879</v>
      </c>
      <c r="C457" t="s">
        <v>1731</v>
      </c>
      <c r="D457" s="12">
        <v>467</v>
      </c>
      <c r="E457" s="12" t="str">
        <f>CONCATENATE("E",C457)</f>
        <v>E2_7_7_6</v>
      </c>
      <c r="F457" t="s">
        <v>3197</v>
      </c>
      <c r="G457" t="s">
        <v>1446</v>
      </c>
      <c r="H457" t="s">
        <v>3479</v>
      </c>
      <c r="I457" t="s">
        <v>1162</v>
      </c>
      <c r="J457" s="12" t="str">
        <f>CONCATENATE("(${Variables:",E457,"_kcat","} * ",E457," * ",G457,")","/(${Variables:",E457,"_km","} + (",E457," * ",G457,"))")</f>
        <v>(${Variables:E2_7_7_6_kcat} * E2_7_7_6 * C00201 * C00046)/(${Variables:E2_7_7_6_km} + (E2_7_7_6 * C00201 * C00046))</v>
      </c>
      <c r="K457" s="43" t="str">
        <f>CONCATENATE("r",D457,": ",F457," -&gt; ",H457," | ",J457)</f>
        <v>r467: C00201 + C00046 -&gt; C00013 + C00046 | (${Variables:E2_7_7_6_kcat} * E2_7_7_6 * C00201 * C00046)/(${Variables:E2_7_7_6_km} + (E2_7_7_6 * C00201 * C00046))</v>
      </c>
    </row>
    <row r="458" spans="1:11" ht="42.75" x14ac:dyDescent="0.45">
      <c r="A458" s="53" t="s">
        <v>3878</v>
      </c>
      <c r="B458" s="54" t="s">
        <v>3879</v>
      </c>
      <c r="C458" t="s">
        <v>1731</v>
      </c>
      <c r="D458" s="12">
        <v>468</v>
      </c>
      <c r="E458" s="12" t="str">
        <f>CONCATENATE("E",C458)</f>
        <v>E2_7_7_6</v>
      </c>
      <c r="F458" t="s">
        <v>3193</v>
      </c>
      <c r="G458" t="s">
        <v>1161</v>
      </c>
      <c r="H458" t="s">
        <v>3479</v>
      </c>
      <c r="I458" t="s">
        <v>1162</v>
      </c>
      <c r="J458" s="12" t="str">
        <f>CONCATENATE("(${Variables:",E458,"_kcat","} * ",E458," * ",G458,")","/(${Variables:",E458,"_km","} + (",E458," * ",G458,"))")</f>
        <v>(${Variables:E2_7_7_6_kcat} * E2_7_7_6 * C00002 * C00046)/(${Variables:E2_7_7_6_km} + (E2_7_7_6 * C00002 * C00046))</v>
      </c>
      <c r="K458" s="43" t="str">
        <f>CONCATENATE("r",D458,": ",F458," -&gt; ",H458," | ",J458)</f>
        <v>r468: C00002 + C00046 -&gt; C00013 + C00046 | (${Variables:E2_7_7_6_kcat} * E2_7_7_6 * C00002 * C00046)/(${Variables:E2_7_7_6_km} + (E2_7_7_6 * C00002 * C00046))</v>
      </c>
    </row>
    <row r="459" spans="1:11" ht="28.5" x14ac:dyDescent="0.45">
      <c r="A459" s="53" t="s">
        <v>3878</v>
      </c>
      <c r="B459" s="54" t="s">
        <v>3879</v>
      </c>
      <c r="C459" t="s">
        <v>1731</v>
      </c>
      <c r="D459" s="12">
        <v>469</v>
      </c>
      <c r="E459" s="12" t="str">
        <f>CONCATENATE("E",C459)</f>
        <v>E2_7_7_6</v>
      </c>
      <c r="F459" t="s">
        <v>8501</v>
      </c>
      <c r="G459" t="s">
        <v>10605</v>
      </c>
      <c r="H459" t="s">
        <v>3479</v>
      </c>
      <c r="I459" t="s">
        <v>1162</v>
      </c>
      <c r="J459" s="12" t="str">
        <f>CONCATENATE("(${Variables:",E459,"_kcat","} * ",E459," * ",G459,")","/(${Variables:",E459,"_km","} + (",E459," * ",G459,"))")</f>
        <v>(${Variables:E2_7_7_6_kcat} * E2_7_7_6 * C00044 * C00046 )/(${Variables:E2_7_7_6_km} + (E2_7_7_6 * C00044 * C00046 ))</v>
      </c>
      <c r="K459" s="43" t="str">
        <f>CONCATENATE("r",D459,": ",F459," -&gt; ",H459," | ",J459)</f>
        <v>r469: C00044 + C00046  -&gt; C00013 + C00046 | (${Variables:E2_7_7_6_kcat} * E2_7_7_6 * C00044 * C00046 )/(${Variables:E2_7_7_6_km} + (E2_7_7_6 * C00044 * C00046 ))</v>
      </c>
    </row>
    <row r="460" spans="1:11" ht="42.75" x14ac:dyDescent="0.45">
      <c r="A460" s="53" t="s">
        <v>3878</v>
      </c>
      <c r="B460" s="54" t="s">
        <v>3879</v>
      </c>
      <c r="C460" t="s">
        <v>1731</v>
      </c>
      <c r="D460" s="12">
        <v>470</v>
      </c>
      <c r="E460" s="12" t="str">
        <f>CONCATENATE("E",C460)</f>
        <v>E2_7_7_6</v>
      </c>
      <c r="F460" t="s">
        <v>3195</v>
      </c>
      <c r="G460" t="s">
        <v>1354</v>
      </c>
      <c r="H460" t="s">
        <v>3479</v>
      </c>
      <c r="I460" t="s">
        <v>1162</v>
      </c>
      <c r="J460" s="12" t="str">
        <f>CONCATENATE("(${Variables:",E460,"_kcat","} * ",E460," * ",G460,")","/(${Variables:",E460,"_km","} + (",E460," * ",G460,"))")</f>
        <v>(${Variables:E2_7_7_6_kcat} * E2_7_7_6 * C00063 * C00046)/(${Variables:E2_7_7_6_km} + (E2_7_7_6 * C00063 * C00046))</v>
      </c>
      <c r="K460" s="43" t="str">
        <f>CONCATENATE("r",D460,": ",F460," -&gt; ",H460," | ",J460)</f>
        <v>r470: C00063 + C00046 -&gt; C00013 + C00046 | (${Variables:E2_7_7_6_kcat} * E2_7_7_6 * C00063 * C00046)/(${Variables:E2_7_7_6_km} + (E2_7_7_6 * C00063 * C00046))</v>
      </c>
    </row>
    <row r="461" spans="1:11" ht="42.75" x14ac:dyDescent="0.45">
      <c r="A461" s="53" t="s">
        <v>3878</v>
      </c>
      <c r="B461" s="54" t="s">
        <v>3879</v>
      </c>
      <c r="C461" t="s">
        <v>1731</v>
      </c>
      <c r="D461" s="12">
        <v>471</v>
      </c>
      <c r="E461" s="12" t="str">
        <f>CONCATENATE("E",C461)</f>
        <v>E2_7_7_6</v>
      </c>
      <c r="F461" t="s">
        <v>3196</v>
      </c>
      <c r="G461" t="s">
        <v>1374</v>
      </c>
      <c r="H461" t="s">
        <v>3479</v>
      </c>
      <c r="I461" t="s">
        <v>1162</v>
      </c>
      <c r="J461" s="12" t="str">
        <f>CONCATENATE("(${Variables:",E461,"_kcat","} * ",E461," * ",G461,")","/(${Variables:",E461,"_km","} + (",E461," * ",G461,"))")</f>
        <v>(${Variables:E2_7_7_6_kcat} * E2_7_7_6 * C00075 * C00046)/(${Variables:E2_7_7_6_km} + (E2_7_7_6 * C00075 * C00046))</v>
      </c>
      <c r="K461" s="43" t="str">
        <f>CONCATENATE("r",D461,": ",F461," -&gt; ",H461," | ",J461)</f>
        <v>r471: C00075 + C00046 -&gt; C00013 + C00046 | (${Variables:E2_7_7_6_kcat} * E2_7_7_6 * C00075 * C00046)/(${Variables:E2_7_7_6_km} + (E2_7_7_6 * C00075 * C00046))</v>
      </c>
    </row>
    <row r="462" spans="1:11" ht="28.5" x14ac:dyDescent="0.45">
      <c r="A462" s="53" t="s">
        <v>3878</v>
      </c>
      <c r="B462" s="54" t="s">
        <v>3879</v>
      </c>
      <c r="C462" t="s">
        <v>1731</v>
      </c>
      <c r="D462" s="12">
        <v>472</v>
      </c>
      <c r="E462" s="12" t="str">
        <f>CONCATENATE("E",C462)</f>
        <v>E2_7_7_6</v>
      </c>
      <c r="F462" t="s">
        <v>1936</v>
      </c>
      <c r="G462" t="s">
        <v>1936</v>
      </c>
      <c r="H462" t="s">
        <v>8492</v>
      </c>
      <c r="I462" t="s">
        <v>10830</v>
      </c>
      <c r="J462" s="12" t="str">
        <f>CONCATENATE("(${Variables:",E462,"_kcat","} * ",E462," * ",G462,")","/(${Variables:",E462,"_km","} + (",E462," * ",G462,"))")</f>
        <v>(${Variables:E2_7_7_6_kcat} * E2_7_7_6 * C00201)/(${Variables:E2_7_7_6_km} + (E2_7_7_6 * C00201))</v>
      </c>
      <c r="K462" s="43" t="str">
        <f>CONCATENATE("r",D462,": ",F462," -&gt; ",H462," | ",J462)</f>
        <v>r472: C00201 -&gt; C20864 + C00013 | (${Variables:E2_7_7_6_kcat} * E2_7_7_6 * C00201)/(${Variables:E2_7_7_6_km} + (E2_7_7_6 * C00201))</v>
      </c>
    </row>
    <row r="463" spans="1:11" ht="42.75" x14ac:dyDescent="0.45">
      <c r="A463" s="53" t="s">
        <v>3797</v>
      </c>
      <c r="B463" s="54" t="s">
        <v>3798</v>
      </c>
      <c r="C463" t="s">
        <v>1731</v>
      </c>
      <c r="D463" s="12">
        <v>473</v>
      </c>
      <c r="E463" s="12" t="str">
        <f>CONCATENATE("E",C463)</f>
        <v>E2_7_7_6</v>
      </c>
      <c r="F463" t="s">
        <v>3197</v>
      </c>
      <c r="G463" t="s">
        <v>1446</v>
      </c>
      <c r="H463" t="s">
        <v>3479</v>
      </c>
      <c r="I463" t="s">
        <v>1162</v>
      </c>
      <c r="J463" s="12" t="str">
        <f>CONCATENATE("(${Variables:",E463,"_kcat","} * ",E463," * ",G463,")","/(${Variables:",E463,"_km","} + (",E463," * ",G463,"))")</f>
        <v>(${Variables:E2_7_7_6_kcat} * E2_7_7_6 * C00201 * C00046)/(${Variables:E2_7_7_6_km} + (E2_7_7_6 * C00201 * C00046))</v>
      </c>
      <c r="K463" s="43" t="str">
        <f>CONCATENATE("r",D463,": ",F463," -&gt; ",H463," | ",J463)</f>
        <v>r473: C00201 + C00046 -&gt; C00013 + C00046 | (${Variables:E2_7_7_6_kcat} * E2_7_7_6 * C00201 * C00046)/(${Variables:E2_7_7_6_km} + (E2_7_7_6 * C00201 * C00046))</v>
      </c>
    </row>
    <row r="464" spans="1:11" ht="42.75" x14ac:dyDescent="0.45">
      <c r="A464" s="53" t="s">
        <v>3797</v>
      </c>
      <c r="B464" s="54" t="s">
        <v>3798</v>
      </c>
      <c r="C464" t="s">
        <v>1731</v>
      </c>
      <c r="D464" s="12">
        <v>474</v>
      </c>
      <c r="E464" s="12" t="str">
        <f>CONCATENATE("E",C464)</f>
        <v>E2_7_7_6</v>
      </c>
      <c r="F464" t="s">
        <v>3193</v>
      </c>
      <c r="G464" t="s">
        <v>1161</v>
      </c>
      <c r="H464" t="s">
        <v>3479</v>
      </c>
      <c r="I464" t="s">
        <v>1162</v>
      </c>
      <c r="J464" s="12" t="str">
        <f>CONCATENATE("(${Variables:",E464,"_kcat","} * ",E464," * ",G464,")","/(${Variables:",E464,"_km","} + (",E464," * ",G464,"))")</f>
        <v>(${Variables:E2_7_7_6_kcat} * E2_7_7_6 * C00002 * C00046)/(${Variables:E2_7_7_6_km} + (E2_7_7_6 * C00002 * C00046))</v>
      </c>
      <c r="K464" s="43" t="str">
        <f>CONCATENATE("r",D464,": ",F464," -&gt; ",H464," | ",J464)</f>
        <v>r474: C00002 + C00046 -&gt; C00013 + C00046 | (${Variables:E2_7_7_6_kcat} * E2_7_7_6 * C00002 * C00046)/(${Variables:E2_7_7_6_km} + (E2_7_7_6 * C00002 * C00046))</v>
      </c>
    </row>
    <row r="465" spans="1:11" ht="42.75" x14ac:dyDescent="0.45">
      <c r="A465" s="53" t="s">
        <v>3797</v>
      </c>
      <c r="B465" s="54" t="s">
        <v>3798</v>
      </c>
      <c r="C465" t="s">
        <v>1731</v>
      </c>
      <c r="D465" s="12">
        <v>475</v>
      </c>
      <c r="E465" s="12" t="str">
        <f>CONCATENATE("E",C465)</f>
        <v>E2_7_7_6</v>
      </c>
      <c r="F465" s="12" t="s">
        <v>3194</v>
      </c>
      <c r="G465" s="12" t="s">
        <v>1343</v>
      </c>
      <c r="H465" t="s">
        <v>3479</v>
      </c>
      <c r="I465" t="s">
        <v>1162</v>
      </c>
      <c r="J465" s="12" t="str">
        <f>CONCATENATE("(${Variables:",E465,"_kcat","} * ",E465," * ",G465,")","/(${Variables:",E465,"_km","} + (",E465," * ",G465,"))")</f>
        <v>(${Variables:E2_7_7_6_kcat} * E2_7_7_6 * C00044 * C00046)/(${Variables:E2_7_7_6_km} + (E2_7_7_6 * C00044 * C00046))</v>
      </c>
      <c r="K465" s="43" t="str">
        <f>CONCATENATE("r",D465,": ",F465," -&gt; ",H465," | ",J465)</f>
        <v>r475: C00044 + C00046 -&gt; C00013 + C00046 | (${Variables:E2_7_7_6_kcat} * E2_7_7_6 * C00044 * C00046)/(${Variables:E2_7_7_6_km} + (E2_7_7_6 * C00044 * C00046))</v>
      </c>
    </row>
    <row r="466" spans="1:11" ht="42.75" x14ac:dyDescent="0.45">
      <c r="A466" s="53" t="s">
        <v>3797</v>
      </c>
      <c r="B466" s="54" t="s">
        <v>3798</v>
      </c>
      <c r="C466" t="s">
        <v>1731</v>
      </c>
      <c r="D466" s="12">
        <v>476</v>
      </c>
      <c r="E466" s="12" t="str">
        <f>CONCATENATE("E",C466)</f>
        <v>E2_7_7_6</v>
      </c>
      <c r="F466" t="s">
        <v>3195</v>
      </c>
      <c r="G466" t="s">
        <v>1354</v>
      </c>
      <c r="H466" t="s">
        <v>3479</v>
      </c>
      <c r="I466" t="s">
        <v>1162</v>
      </c>
      <c r="J466" s="12" t="str">
        <f>CONCATENATE("(${Variables:",E466,"_kcat","} * ",E466," * ",G466,")","/(${Variables:",E466,"_km","} + (",E466," * ",G466,"))")</f>
        <v>(${Variables:E2_7_7_6_kcat} * E2_7_7_6 * C00063 * C00046)/(${Variables:E2_7_7_6_km} + (E2_7_7_6 * C00063 * C00046))</v>
      </c>
      <c r="K466" s="43" t="str">
        <f>CONCATENATE("r",D466,": ",F466," -&gt; ",H466," | ",J466)</f>
        <v>r476: C00063 + C00046 -&gt; C00013 + C00046 | (${Variables:E2_7_7_6_kcat} * E2_7_7_6 * C00063 * C00046)/(${Variables:E2_7_7_6_km} + (E2_7_7_6 * C00063 * C00046))</v>
      </c>
    </row>
    <row r="467" spans="1:11" ht="42.75" x14ac:dyDescent="0.45">
      <c r="A467" s="53" t="s">
        <v>3797</v>
      </c>
      <c r="B467" s="54" t="s">
        <v>3798</v>
      </c>
      <c r="C467" t="s">
        <v>1731</v>
      </c>
      <c r="D467" s="12">
        <v>477</v>
      </c>
      <c r="E467" s="12" t="str">
        <f>CONCATENATE("E",C467)</f>
        <v>E2_7_7_6</v>
      </c>
      <c r="F467" t="s">
        <v>3196</v>
      </c>
      <c r="G467" t="s">
        <v>1374</v>
      </c>
      <c r="H467" t="s">
        <v>3479</v>
      </c>
      <c r="I467" t="s">
        <v>1162</v>
      </c>
      <c r="J467" s="12" t="str">
        <f>CONCATENATE("(${Variables:",E467,"_kcat","} * ",E467," * ",G467,")","/(${Variables:",E467,"_km","} + (",E467," * ",G467,"))")</f>
        <v>(${Variables:E2_7_7_6_kcat} * E2_7_7_6 * C00075 * C00046)/(${Variables:E2_7_7_6_km} + (E2_7_7_6 * C00075 * C00046))</v>
      </c>
      <c r="K467" s="43" t="str">
        <f>CONCATENATE("r",D467,": ",F467," -&gt; ",H467," | ",J467)</f>
        <v>r477: C00075 + C00046 -&gt; C00013 + C00046 | (${Variables:E2_7_7_6_kcat} * E2_7_7_6 * C00075 * C00046)/(${Variables:E2_7_7_6_km} + (E2_7_7_6 * C00075 * C00046))</v>
      </c>
    </row>
    <row r="468" spans="1:11" ht="28.5" x14ac:dyDescent="0.45">
      <c r="A468" s="53" t="s">
        <v>3797</v>
      </c>
      <c r="B468" s="54" t="s">
        <v>3798</v>
      </c>
      <c r="C468" t="s">
        <v>1731</v>
      </c>
      <c r="D468" s="12">
        <v>478</v>
      </c>
      <c r="E468" s="12" t="str">
        <f>CONCATENATE("E",C468)</f>
        <v>E2_7_7_6</v>
      </c>
      <c r="F468" t="s">
        <v>1936</v>
      </c>
      <c r="G468" t="s">
        <v>1936</v>
      </c>
      <c r="H468" t="s">
        <v>8492</v>
      </c>
      <c r="I468" t="s">
        <v>10830</v>
      </c>
      <c r="J468" s="12" t="str">
        <f>CONCATENATE("(${Variables:",E468,"_kcat","} * ",E468," * ",G468,")","/(${Variables:",E468,"_km","} + (",E468," * ",G468,"))")</f>
        <v>(${Variables:E2_7_7_6_kcat} * E2_7_7_6 * C00201)/(${Variables:E2_7_7_6_km} + (E2_7_7_6 * C00201))</v>
      </c>
      <c r="K468" s="43" t="str">
        <f>CONCATENATE("r",D468,": ",F468," -&gt; ",H468," | ",J468)</f>
        <v>r478: C00201 -&gt; C20864 + C00013 | (${Variables:E2_7_7_6_kcat} * E2_7_7_6 * C00201)/(${Variables:E2_7_7_6_km} + (E2_7_7_6 * C00201))</v>
      </c>
    </row>
    <row r="469" spans="1:11" ht="42.75" x14ac:dyDescent="0.45">
      <c r="A469" s="53" t="s">
        <v>3880</v>
      </c>
      <c r="B469" s="54" t="s">
        <v>3881</v>
      </c>
      <c r="C469" t="s">
        <v>1731</v>
      </c>
      <c r="D469" s="12">
        <v>479</v>
      </c>
      <c r="E469" s="12" t="str">
        <f>CONCATENATE("E",C469)</f>
        <v>E2_7_7_6</v>
      </c>
      <c r="F469" t="s">
        <v>3197</v>
      </c>
      <c r="G469" t="s">
        <v>1446</v>
      </c>
      <c r="H469" t="s">
        <v>3479</v>
      </c>
      <c r="I469" t="s">
        <v>1162</v>
      </c>
      <c r="J469" s="12" t="str">
        <f>CONCATENATE("(${Variables:",E469,"_kcat","} * ",E469," * ",G469,")","/(${Variables:",E469,"_km","} + (",E469," * ",G469,"))")</f>
        <v>(${Variables:E2_7_7_6_kcat} * E2_7_7_6 * C00201 * C00046)/(${Variables:E2_7_7_6_km} + (E2_7_7_6 * C00201 * C00046))</v>
      </c>
      <c r="K469" s="43" t="str">
        <f>CONCATENATE("r",D469,": ",F469," -&gt; ",H469," | ",J469)</f>
        <v>r479: C00201 + C00046 -&gt; C00013 + C00046 | (${Variables:E2_7_7_6_kcat} * E2_7_7_6 * C00201 * C00046)/(${Variables:E2_7_7_6_km} + (E2_7_7_6 * C00201 * C00046))</v>
      </c>
    </row>
    <row r="470" spans="1:11" ht="42.75" x14ac:dyDescent="0.45">
      <c r="A470" s="53" t="s">
        <v>3880</v>
      </c>
      <c r="B470" s="54" t="s">
        <v>3881</v>
      </c>
      <c r="C470" t="s">
        <v>1731</v>
      </c>
      <c r="D470" s="12">
        <v>480</v>
      </c>
      <c r="E470" s="12" t="str">
        <f>CONCATENATE("E",C470)</f>
        <v>E2_7_7_6</v>
      </c>
      <c r="F470" t="s">
        <v>3193</v>
      </c>
      <c r="G470" t="s">
        <v>1161</v>
      </c>
      <c r="H470" t="s">
        <v>3479</v>
      </c>
      <c r="I470" t="s">
        <v>1162</v>
      </c>
      <c r="J470" s="12" t="str">
        <f>CONCATENATE("(${Variables:",E470,"_kcat","} * ",E470," * ",G470,")","/(${Variables:",E470,"_km","} + (",E470," * ",G470,"))")</f>
        <v>(${Variables:E2_7_7_6_kcat} * E2_7_7_6 * C00002 * C00046)/(${Variables:E2_7_7_6_km} + (E2_7_7_6 * C00002 * C00046))</v>
      </c>
      <c r="K470" s="43" t="str">
        <f>CONCATENATE("r",D470,": ",F470," -&gt; ",H470," | ",J470)</f>
        <v>r480: C00002 + C00046 -&gt; C00013 + C00046 | (${Variables:E2_7_7_6_kcat} * E2_7_7_6 * C00002 * C00046)/(${Variables:E2_7_7_6_km} + (E2_7_7_6 * C00002 * C00046))</v>
      </c>
    </row>
    <row r="471" spans="1:11" ht="42.75" x14ac:dyDescent="0.45">
      <c r="A471" s="53" t="s">
        <v>3880</v>
      </c>
      <c r="B471" s="54" t="s">
        <v>3881</v>
      </c>
      <c r="C471" t="s">
        <v>1731</v>
      </c>
      <c r="D471" s="12">
        <v>481</v>
      </c>
      <c r="E471" s="12" t="str">
        <f>CONCATENATE("E",C471)</f>
        <v>E2_7_7_6</v>
      </c>
      <c r="F471" s="12" t="s">
        <v>3194</v>
      </c>
      <c r="G471" s="12" t="s">
        <v>1343</v>
      </c>
      <c r="H471" t="s">
        <v>3479</v>
      </c>
      <c r="I471" t="s">
        <v>1162</v>
      </c>
      <c r="J471" s="12" t="str">
        <f>CONCATENATE("(${Variables:",E471,"_kcat","} * ",E471," * ",G471,")","/(${Variables:",E471,"_km","} + (",E471," * ",G471,"))")</f>
        <v>(${Variables:E2_7_7_6_kcat} * E2_7_7_6 * C00044 * C00046)/(${Variables:E2_7_7_6_km} + (E2_7_7_6 * C00044 * C00046))</v>
      </c>
      <c r="K471" s="43" t="str">
        <f>CONCATENATE("r",D471,": ",F471," -&gt; ",H471," | ",J471)</f>
        <v>r481: C00044 + C00046 -&gt; C00013 + C00046 | (${Variables:E2_7_7_6_kcat} * E2_7_7_6 * C00044 * C00046)/(${Variables:E2_7_7_6_km} + (E2_7_7_6 * C00044 * C00046))</v>
      </c>
    </row>
    <row r="472" spans="1:11" ht="42.75" x14ac:dyDescent="0.45">
      <c r="A472" s="53" t="s">
        <v>3880</v>
      </c>
      <c r="B472" s="54" t="s">
        <v>3881</v>
      </c>
      <c r="C472" t="s">
        <v>1731</v>
      </c>
      <c r="D472" s="12">
        <v>482</v>
      </c>
      <c r="E472" s="12" t="str">
        <f>CONCATENATE("E",C472)</f>
        <v>E2_7_7_6</v>
      </c>
      <c r="F472" t="s">
        <v>3195</v>
      </c>
      <c r="G472" t="s">
        <v>1354</v>
      </c>
      <c r="H472" t="s">
        <v>3479</v>
      </c>
      <c r="I472" t="s">
        <v>1162</v>
      </c>
      <c r="J472" s="12" t="str">
        <f>CONCATENATE("(${Variables:",E472,"_kcat","} * ",E472," * ",G472,")","/(${Variables:",E472,"_km","} + (",E472," * ",G472,"))")</f>
        <v>(${Variables:E2_7_7_6_kcat} * E2_7_7_6 * C00063 * C00046)/(${Variables:E2_7_7_6_km} + (E2_7_7_6 * C00063 * C00046))</v>
      </c>
      <c r="K472" s="43" t="str">
        <f>CONCATENATE("r",D472,": ",F472," -&gt; ",H472," | ",J472)</f>
        <v>r482: C00063 + C00046 -&gt; C00013 + C00046 | (${Variables:E2_7_7_6_kcat} * E2_7_7_6 * C00063 * C00046)/(${Variables:E2_7_7_6_km} + (E2_7_7_6 * C00063 * C00046))</v>
      </c>
    </row>
    <row r="473" spans="1:11" ht="42.75" x14ac:dyDescent="0.45">
      <c r="A473" s="53" t="s">
        <v>3880</v>
      </c>
      <c r="B473" s="54" t="s">
        <v>3881</v>
      </c>
      <c r="C473" t="s">
        <v>1731</v>
      </c>
      <c r="D473" s="12">
        <v>483</v>
      </c>
      <c r="E473" s="12" t="str">
        <f>CONCATENATE("E",C473)</f>
        <v>E2_7_7_6</v>
      </c>
      <c r="F473" t="s">
        <v>3196</v>
      </c>
      <c r="G473" t="s">
        <v>1374</v>
      </c>
      <c r="H473" t="s">
        <v>3479</v>
      </c>
      <c r="I473" t="s">
        <v>1162</v>
      </c>
      <c r="J473" s="12" t="str">
        <f>CONCATENATE("(${Variables:",E473,"_kcat","} * ",E473," * ",G473,")","/(${Variables:",E473,"_km","} + (",E473," * ",G473,"))")</f>
        <v>(${Variables:E2_7_7_6_kcat} * E2_7_7_6 * C00075 * C00046)/(${Variables:E2_7_7_6_km} + (E2_7_7_6 * C00075 * C00046))</v>
      </c>
      <c r="K473" s="43" t="str">
        <f>CONCATENATE("r",D473,": ",F473," -&gt; ",H473," | ",J473)</f>
        <v>r483: C00075 + C00046 -&gt; C00013 + C00046 | (${Variables:E2_7_7_6_kcat} * E2_7_7_6 * C00075 * C00046)/(${Variables:E2_7_7_6_km} + (E2_7_7_6 * C00075 * C00046))</v>
      </c>
    </row>
    <row r="474" spans="1:11" ht="28.5" x14ac:dyDescent="0.45">
      <c r="A474" s="53" t="s">
        <v>3880</v>
      </c>
      <c r="B474" s="54" t="s">
        <v>3881</v>
      </c>
      <c r="C474" t="s">
        <v>1731</v>
      </c>
      <c r="D474" s="12">
        <v>484</v>
      </c>
      <c r="E474" s="12" t="str">
        <f>CONCATENATE("E",C474)</f>
        <v>E2_7_7_6</v>
      </c>
      <c r="F474" t="s">
        <v>1936</v>
      </c>
      <c r="G474" t="s">
        <v>1936</v>
      </c>
      <c r="H474" t="s">
        <v>8492</v>
      </c>
      <c r="I474" t="s">
        <v>10830</v>
      </c>
      <c r="J474" s="12" t="str">
        <f>CONCATENATE("(${Variables:",E474,"_kcat","} * ",E474," * ",G474,")","/(${Variables:",E474,"_km","} + (",E474," * ",G474,"))")</f>
        <v>(${Variables:E2_7_7_6_kcat} * E2_7_7_6 * C00201)/(${Variables:E2_7_7_6_km} + (E2_7_7_6 * C00201))</v>
      </c>
      <c r="K474" s="43" t="str">
        <f>CONCATENATE("r",D474,": ",F474," -&gt; ",H474," | ",J474)</f>
        <v>r484: C00201 -&gt; C20864 + C00013 | (${Variables:E2_7_7_6_kcat} * E2_7_7_6 * C00201)/(${Variables:E2_7_7_6_km} + (E2_7_7_6 * C00201))</v>
      </c>
    </row>
    <row r="475" spans="1:11" ht="42.75" x14ac:dyDescent="0.45">
      <c r="A475" s="53" t="s">
        <v>6202</v>
      </c>
      <c r="B475" s="54" t="s">
        <v>6203</v>
      </c>
      <c r="C475" t="s">
        <v>1902</v>
      </c>
      <c r="D475" s="12">
        <v>485</v>
      </c>
      <c r="E475" s="12" t="str">
        <f>CONCATENATE("E",C475)</f>
        <v>E2_7_7_61</v>
      </c>
      <c r="F475" s="12" t="s">
        <v>3198</v>
      </c>
      <c r="G475" s="12" t="s">
        <v>1689</v>
      </c>
      <c r="H475" t="s">
        <v>3480</v>
      </c>
      <c r="I475" t="s">
        <v>1690</v>
      </c>
      <c r="J475" s="12" t="str">
        <f>CONCATENATE("(${Variables:",E475,"_kcat","} * ",E475," * ",G475,")","/(${Variables:",E475,"_km","} + (",E475," * ",G475,"))")</f>
        <v>(${Variables:E2_7_7_61_kcat} * E2_7_7_61 * C19771 * C03688)/(${Variables:E2_7_7_61_km} + (E2_7_7_61 * C19771 * C03688))</v>
      </c>
      <c r="K475" s="43" t="str">
        <f>CONCATENATE("r",D475,": ",F475," -&gt; ",H475," | ",J475)</f>
        <v>r485: C19771 + C03688 -&gt; C00229 + C00013 | (${Variables:E2_7_7_61_kcat} * E2_7_7_61 * C19771 * C03688)/(${Variables:E2_7_7_61_km} + (E2_7_7_61 * C19771 * C03688))</v>
      </c>
    </row>
    <row r="476" spans="1:11" ht="42.75" x14ac:dyDescent="0.45">
      <c r="A476" s="53" t="s">
        <v>3604</v>
      </c>
      <c r="B476" s="54" t="s">
        <v>3605</v>
      </c>
      <c r="C476" t="s">
        <v>1841</v>
      </c>
      <c r="D476" s="12">
        <v>486</v>
      </c>
      <c r="E476" s="12" t="str">
        <f>CONCATENATE("E",C476)</f>
        <v>E2_7_7_7</v>
      </c>
      <c r="F476" s="55" t="s">
        <v>10939</v>
      </c>
      <c r="G476" s="55" t="s">
        <v>10606</v>
      </c>
      <c r="H476" s="55" t="s">
        <v>8971</v>
      </c>
      <c r="I476" s="55" t="s">
        <v>10831</v>
      </c>
      <c r="J476" s="12" t="str">
        <f>CONCATENATE("(${Variables:",E476,"_kcat","} * ",E476," * ",G476,")","/(${Variables:",E476,"_km","} + (",E476," * ",G476,"))")</f>
        <v>(${Variables:E2_7_7_7_kcat} * E2_7_7_7 * C00677 * C00039)/(${Variables:E2_7_7_7_km} + (E2_7_7_7 * C00677 * C00039))</v>
      </c>
      <c r="K476" s="43" t="str">
        <f>CONCATENATE("r",D476,": ",F476," -&gt; ",H476," | ",J476)</f>
        <v>r486: C00677 + C00039 -&gt; C00013 + C00039 | (${Variables:E2_7_7_7_kcat} * E2_7_7_7 * C00677 * C00039)/(${Variables:E2_7_7_7_km} + (E2_7_7_7 * C00677 * C00039))</v>
      </c>
    </row>
    <row r="477" spans="1:11" ht="42.75" x14ac:dyDescent="0.45">
      <c r="A477" s="53" t="s">
        <v>3604</v>
      </c>
      <c r="B477" s="54" t="s">
        <v>3605</v>
      </c>
      <c r="C477" t="s">
        <v>1841</v>
      </c>
      <c r="D477" s="12">
        <v>487</v>
      </c>
      <c r="E477" s="12" t="str">
        <f>CONCATENATE("E",C477)</f>
        <v>E2_7_7_7</v>
      </c>
      <c r="F477" s="55" t="s">
        <v>3199</v>
      </c>
      <c r="G477" s="55" t="s">
        <v>1423</v>
      </c>
      <c r="H477" s="55" t="s">
        <v>3481</v>
      </c>
      <c r="I477" s="55" t="s">
        <v>1424</v>
      </c>
      <c r="J477" s="12" t="str">
        <f>CONCATENATE("(${Variables:",E477,"_kcat","} * ",E477," * ",G477,")","/(${Variables:",E477,"_km","} + (",E477," * ",G477,"))")</f>
        <v>(${Variables:E2_7_7_7_kcat} * E2_7_7_7 * C00131 * C00039)/(${Variables:E2_7_7_7_km} + (E2_7_7_7 * C00131 * C00039))</v>
      </c>
      <c r="K477" s="43" t="str">
        <f>CONCATENATE("r",D477,": ",F477," -&gt; ",H477," | ",J477)</f>
        <v>r487: C00131 + C00039 -&gt; C00013 + C00039 | (${Variables:E2_7_7_7_kcat} * E2_7_7_7 * C00131 * C00039)/(${Variables:E2_7_7_7_km} + (E2_7_7_7 * C00131 * C00039))</v>
      </c>
    </row>
    <row r="478" spans="1:11" ht="42.75" x14ac:dyDescent="0.45">
      <c r="A478" s="53" t="s">
        <v>3604</v>
      </c>
      <c r="B478" s="54" t="s">
        <v>3605</v>
      </c>
      <c r="C478" t="s">
        <v>1841</v>
      </c>
      <c r="D478" s="12">
        <v>488</v>
      </c>
      <c r="E478" s="12" t="str">
        <f>CONCATENATE("E",C478)</f>
        <v>E2_7_7_7</v>
      </c>
      <c r="F478" s="55" t="s">
        <v>8972</v>
      </c>
      <c r="G478" s="55" t="s">
        <v>10607</v>
      </c>
      <c r="H478" s="55" t="s">
        <v>8971</v>
      </c>
      <c r="I478" s="55" t="s">
        <v>10831</v>
      </c>
      <c r="J478" s="12" t="str">
        <f>CONCATENATE("(${Variables:",E478,"_kcat","} * ",E478," * ",G478,")","/(${Variables:",E478,"_km","} + (",E478," * ",G478,"))")</f>
        <v>(${Variables:E2_7_7_7_kcat} * E2_7_7_7 * C00286 * C00039)/(${Variables:E2_7_7_7_km} + (E2_7_7_7 * C00286 * C00039))</v>
      </c>
      <c r="K478" s="43" t="str">
        <f>CONCATENATE("r",D478,": ",F478," -&gt; ",H478," | ",J478)</f>
        <v>r488: C00286 + C00039 -&gt; C00013 + C00039 | (${Variables:E2_7_7_7_kcat} * E2_7_7_7 * C00286 * C00039)/(${Variables:E2_7_7_7_km} + (E2_7_7_7 * C00286 * C00039))</v>
      </c>
    </row>
    <row r="479" spans="1:11" ht="42.75" x14ac:dyDescent="0.45">
      <c r="A479" s="53" t="s">
        <v>3604</v>
      </c>
      <c r="B479" s="54" t="s">
        <v>3605</v>
      </c>
      <c r="C479" t="s">
        <v>1841</v>
      </c>
      <c r="D479" s="12">
        <v>489</v>
      </c>
      <c r="E479" s="12" t="str">
        <f>CONCATENATE("E",C479)</f>
        <v>E2_7_7_7</v>
      </c>
      <c r="F479" s="56" t="s">
        <v>3201</v>
      </c>
      <c r="G479" s="56" t="s">
        <v>1509</v>
      </c>
      <c r="H479" s="55" t="s">
        <v>3481</v>
      </c>
      <c r="I479" s="55" t="s">
        <v>1424</v>
      </c>
      <c r="J479" s="12" t="str">
        <f>CONCATENATE("(${Variables:",E479,"_kcat","} * ",E479," * ",G479,")","/(${Variables:",E479,"_km","} + (",E479," * ",G479,"))")</f>
        <v>(${Variables:E2_7_7_7_kcat} * E2_7_7_7 * C00458 * C00039)/(${Variables:E2_7_7_7_km} + (E2_7_7_7 * C00458 * C00039))</v>
      </c>
      <c r="K479" s="43" t="str">
        <f>CONCATENATE("r",D479,": ",F479," -&gt; ",H479," | ",J479)</f>
        <v>r489: C00458 + C00039 -&gt; C00013 + C00039 | (${Variables:E2_7_7_7_kcat} * E2_7_7_7 * C00458 * C00039)/(${Variables:E2_7_7_7_km} + (E2_7_7_7 * C00458 * C00039))</v>
      </c>
    </row>
    <row r="480" spans="1:11" ht="42.75" x14ac:dyDescent="0.45">
      <c r="A480" s="53" t="s">
        <v>3604</v>
      </c>
      <c r="B480" s="54" t="s">
        <v>3605</v>
      </c>
      <c r="C480" t="s">
        <v>1841</v>
      </c>
      <c r="D480" s="12">
        <v>490</v>
      </c>
      <c r="E480" s="12" t="str">
        <f>CONCATENATE("E",C480)</f>
        <v>E2_7_7_7</v>
      </c>
      <c r="F480" s="55" t="s">
        <v>3202</v>
      </c>
      <c r="G480" s="55" t="s">
        <v>1512</v>
      </c>
      <c r="H480" s="55" t="s">
        <v>3481</v>
      </c>
      <c r="I480" s="55" t="s">
        <v>1424</v>
      </c>
      <c r="J480" s="12" t="str">
        <f>CONCATENATE("(${Variables:",E480,"_kcat","} * ",E480," * ",G480,")","/(${Variables:",E480,"_km","} + (",E480," * ",G480,"))")</f>
        <v>(${Variables:E2_7_7_7_kcat} * E2_7_7_7 * C00459 * C00039)/(${Variables:E2_7_7_7_km} + (E2_7_7_7 * C00459 * C00039))</v>
      </c>
      <c r="K480" s="43" t="str">
        <f>CONCATENATE("r",D480,": ",F480," -&gt; ",H480," | ",J480)</f>
        <v>r490: C00459 + C00039 -&gt; C00013 + C00039 | (${Variables:E2_7_7_7_kcat} * E2_7_7_7 * C00459 * C00039)/(${Variables:E2_7_7_7_km} + (E2_7_7_7 * C00459 * C00039))</v>
      </c>
    </row>
    <row r="481" spans="1:11" ht="28.5" x14ac:dyDescent="0.45">
      <c r="A481" s="53" t="s">
        <v>3604</v>
      </c>
      <c r="B481" s="54" t="s">
        <v>3605</v>
      </c>
      <c r="C481" t="s">
        <v>1841</v>
      </c>
      <c r="D481" s="12">
        <v>491</v>
      </c>
      <c r="E481" s="12" t="str">
        <f>CONCATENATE("E",C481)</f>
        <v>E2_7_7_7</v>
      </c>
      <c r="F481" s="56" t="s">
        <v>1078</v>
      </c>
      <c r="G481" s="56" t="s">
        <v>1078</v>
      </c>
      <c r="H481" s="55" t="s">
        <v>1079</v>
      </c>
      <c r="I481" s="55" t="s">
        <v>1079</v>
      </c>
      <c r="J481" s="12" t="str">
        <f>CONCATENATE("(${Variables:",E481,"_kcat","} * ",E481," * ",G481,")","/(${Variables:",E481,"_km","} + (",E481," * ",G481,"))")</f>
        <v>(${Variables:E2_7_7_7_kcat} * E2_7_7_7 * C11039)/(${Variables:E2_7_7_7_km} + (E2_7_7_7 * C11039))</v>
      </c>
      <c r="K481" s="43" t="str">
        <f>CONCATENATE("r",D481,": ",F481," -&gt; ",H481," | ",J481)</f>
        <v>r491: C11039 -&gt; C21031 | (${Variables:E2_7_7_7_kcat} * E2_7_7_7 * C11039)/(${Variables:E2_7_7_7_km} + (E2_7_7_7 * C11039))</v>
      </c>
    </row>
    <row r="482" spans="1:11" ht="42.75" x14ac:dyDescent="0.45">
      <c r="A482" s="53" t="s">
        <v>4477</v>
      </c>
      <c r="B482" s="54" t="s">
        <v>4478</v>
      </c>
      <c r="C482" t="s">
        <v>1841</v>
      </c>
      <c r="D482" s="12">
        <v>492</v>
      </c>
      <c r="E482" s="12" t="str">
        <f>CONCATENATE("E",C482)</f>
        <v>E2_7_7_7</v>
      </c>
      <c r="F482" t="s">
        <v>3203</v>
      </c>
      <c r="G482" t="s">
        <v>1536</v>
      </c>
      <c r="H482" t="s">
        <v>3481</v>
      </c>
      <c r="I482" t="s">
        <v>1424</v>
      </c>
      <c r="J482" s="12" t="str">
        <f>CONCATENATE("(${Variables:",E482,"_kcat","} * ",E482," * ",G482,")","/(${Variables:",E482,"_km","} + (",E482," * ",G482,"))")</f>
        <v>(${Variables:E2_7_7_7_kcat} * E2_7_7_7 * C00677 * C00039)/(${Variables:E2_7_7_7_km} + (E2_7_7_7 * C00677 * C00039))</v>
      </c>
      <c r="K482" s="43" t="str">
        <f>CONCATENATE("r",D482,": ",F482," -&gt; ",H482," | ",J482)</f>
        <v>r492: C00677 + C00039 -&gt; C00013 + C00039 | (${Variables:E2_7_7_7_kcat} * E2_7_7_7 * C00677 * C00039)/(${Variables:E2_7_7_7_km} + (E2_7_7_7 * C00677 * C00039))</v>
      </c>
    </row>
    <row r="483" spans="1:11" ht="42.75" x14ac:dyDescent="0.45">
      <c r="A483" s="53" t="s">
        <v>4477</v>
      </c>
      <c r="B483" s="54" t="s">
        <v>4478</v>
      </c>
      <c r="C483" t="s">
        <v>1841</v>
      </c>
      <c r="D483" s="12">
        <v>493</v>
      </c>
      <c r="E483" s="12" t="str">
        <f>CONCATENATE("E",C483)</f>
        <v>E2_7_7_7</v>
      </c>
      <c r="F483" t="s">
        <v>3199</v>
      </c>
      <c r="G483" t="s">
        <v>1423</v>
      </c>
      <c r="H483" t="s">
        <v>3481</v>
      </c>
      <c r="I483" t="s">
        <v>1424</v>
      </c>
      <c r="J483" s="12" t="str">
        <f>CONCATENATE("(${Variables:",E483,"_kcat","} * ",E483," * ",G483,")","/(${Variables:",E483,"_km","} + (",E483," * ",G483,"))")</f>
        <v>(${Variables:E2_7_7_7_kcat} * E2_7_7_7 * C00131 * C00039)/(${Variables:E2_7_7_7_km} + (E2_7_7_7 * C00131 * C00039))</v>
      </c>
      <c r="K483" s="43" t="str">
        <f>CONCATENATE("r",D483,": ",F483," -&gt; ",H483," | ",J483)</f>
        <v>r493: C00131 + C00039 -&gt; C00013 + C00039 | (${Variables:E2_7_7_7_kcat} * E2_7_7_7 * C00131 * C00039)/(${Variables:E2_7_7_7_km} + (E2_7_7_7 * C00131 * C00039))</v>
      </c>
    </row>
    <row r="484" spans="1:11" ht="42.75" x14ac:dyDescent="0.45">
      <c r="A484" s="53" t="s">
        <v>4477</v>
      </c>
      <c r="B484" s="54" t="s">
        <v>4478</v>
      </c>
      <c r="C484" t="s">
        <v>1841</v>
      </c>
      <c r="D484" s="12">
        <v>494</v>
      </c>
      <c r="E484" s="12" t="str">
        <f>CONCATENATE("E",C484)</f>
        <v>E2_7_7_7</v>
      </c>
      <c r="F484" t="s">
        <v>3200</v>
      </c>
      <c r="G484" t="s">
        <v>1473</v>
      </c>
      <c r="H484" t="s">
        <v>3481</v>
      </c>
      <c r="I484" t="s">
        <v>1424</v>
      </c>
      <c r="J484" s="12" t="str">
        <f>CONCATENATE("(${Variables:",E484,"_kcat","} * ",E484," * ",G484,")","/(${Variables:",E484,"_km","} + (",E484," * ",G484,"))")</f>
        <v>(${Variables:E2_7_7_7_kcat} * E2_7_7_7 * C00286 * C00039)/(${Variables:E2_7_7_7_km} + (E2_7_7_7 * C00286 * C00039))</v>
      </c>
      <c r="K484" s="43" t="str">
        <f>CONCATENATE("r",D484,": ",F484," -&gt; ",H484," | ",J484)</f>
        <v>r494: C00286 + C00039 -&gt; C00013 + C00039 | (${Variables:E2_7_7_7_kcat} * E2_7_7_7 * C00286 * C00039)/(${Variables:E2_7_7_7_km} + (E2_7_7_7 * C00286 * C00039))</v>
      </c>
    </row>
    <row r="485" spans="1:11" ht="42.75" x14ac:dyDescent="0.45">
      <c r="A485" s="53" t="s">
        <v>4477</v>
      </c>
      <c r="B485" s="54" t="s">
        <v>4478</v>
      </c>
      <c r="C485" t="s">
        <v>1841</v>
      </c>
      <c r="D485" s="12">
        <v>495</v>
      </c>
      <c r="E485" s="12" t="str">
        <f>CONCATENATE("E",C485)</f>
        <v>E2_7_7_7</v>
      </c>
      <c r="F485" t="s">
        <v>3201</v>
      </c>
      <c r="G485" t="s">
        <v>1509</v>
      </c>
      <c r="H485" t="s">
        <v>3481</v>
      </c>
      <c r="I485" t="s">
        <v>1424</v>
      </c>
      <c r="J485" s="12" t="str">
        <f>CONCATENATE("(${Variables:",E485,"_kcat","} * ",E485," * ",G485,")","/(${Variables:",E485,"_km","} + (",E485," * ",G485,"))")</f>
        <v>(${Variables:E2_7_7_7_kcat} * E2_7_7_7 * C00458 * C00039)/(${Variables:E2_7_7_7_km} + (E2_7_7_7 * C00458 * C00039))</v>
      </c>
      <c r="K485" s="43" t="str">
        <f>CONCATENATE("r",D485,": ",F485," -&gt; ",H485," | ",J485)</f>
        <v>r495: C00458 + C00039 -&gt; C00013 + C00039 | (${Variables:E2_7_7_7_kcat} * E2_7_7_7 * C00458 * C00039)/(${Variables:E2_7_7_7_km} + (E2_7_7_7 * C00458 * C00039))</v>
      </c>
    </row>
    <row r="486" spans="1:11" ht="42.75" x14ac:dyDescent="0.45">
      <c r="A486" s="53" t="s">
        <v>4477</v>
      </c>
      <c r="B486" s="54" t="s">
        <v>4478</v>
      </c>
      <c r="C486" t="s">
        <v>1841</v>
      </c>
      <c r="D486" s="12">
        <v>496</v>
      </c>
      <c r="E486" s="12" t="str">
        <f>CONCATENATE("E",C486)</f>
        <v>E2_7_7_7</v>
      </c>
      <c r="F486" t="s">
        <v>3202</v>
      </c>
      <c r="G486" t="s">
        <v>1512</v>
      </c>
      <c r="H486" t="s">
        <v>3481</v>
      </c>
      <c r="I486" t="s">
        <v>1424</v>
      </c>
      <c r="J486" s="12" t="str">
        <f>CONCATENATE("(${Variables:",E486,"_kcat","} * ",E486," * ",G486,")","/(${Variables:",E486,"_km","} + (",E486," * ",G486,"))")</f>
        <v>(${Variables:E2_7_7_7_kcat} * E2_7_7_7 * C00459 * C00039)/(${Variables:E2_7_7_7_km} + (E2_7_7_7 * C00459 * C00039))</v>
      </c>
      <c r="K486" s="43" t="str">
        <f>CONCATENATE("r",D486,": ",F486," -&gt; ",H486," | ",J486)</f>
        <v>r496: C00459 + C00039 -&gt; C00013 + C00039 | (${Variables:E2_7_7_7_kcat} * E2_7_7_7 * C00459 * C00039)/(${Variables:E2_7_7_7_km} + (E2_7_7_7 * C00459 * C00039))</v>
      </c>
    </row>
    <row r="487" spans="1:11" ht="28.5" x14ac:dyDescent="0.45">
      <c r="A487" s="53" t="s">
        <v>4477</v>
      </c>
      <c r="B487" s="54" t="s">
        <v>4478</v>
      </c>
      <c r="C487" t="s">
        <v>1841</v>
      </c>
      <c r="D487" s="12">
        <v>497</v>
      </c>
      <c r="E487" s="12" t="str">
        <f>CONCATENATE("E",C487)</f>
        <v>E2_7_7_7</v>
      </c>
      <c r="F487" t="s">
        <v>8557</v>
      </c>
      <c r="G487" t="s">
        <v>8557</v>
      </c>
      <c r="H487" t="s">
        <v>1079</v>
      </c>
      <c r="I487" t="s">
        <v>1079</v>
      </c>
      <c r="J487" s="12" t="str">
        <f>CONCATENATE("(${Variables:",E487,"_kcat","} * ",E487," * ",G487,")","/(${Variables:",E487,"_km","} + (",E487," * ",G487,"))")</f>
        <v>(${Variables:E2_7_7_7_kcat} * E2_7_7_7 * C11039 )/(${Variables:E2_7_7_7_km} + (E2_7_7_7 * C11039 ))</v>
      </c>
      <c r="K487" s="43" t="str">
        <f>CONCATENATE("r",D487,": ",F487," -&gt; ",H487," | ",J487)</f>
        <v>r497: C11039  -&gt; C21031 | (${Variables:E2_7_7_7_kcat} * E2_7_7_7 * C11039 )/(${Variables:E2_7_7_7_km} + (E2_7_7_7 * C11039 ))</v>
      </c>
    </row>
    <row r="488" spans="1:11" ht="42.75" x14ac:dyDescent="0.45">
      <c r="A488" s="53" t="s">
        <v>7503</v>
      </c>
      <c r="B488" s="54" t="s">
        <v>7504</v>
      </c>
      <c r="C488" t="s">
        <v>1841</v>
      </c>
      <c r="D488" s="12">
        <v>498</v>
      </c>
      <c r="E488" s="12" t="str">
        <f>CONCATENATE("E",C488)</f>
        <v>E2_7_7_7</v>
      </c>
      <c r="F488" t="s">
        <v>3203</v>
      </c>
      <c r="G488" t="s">
        <v>1536</v>
      </c>
      <c r="H488" t="s">
        <v>3481</v>
      </c>
      <c r="I488" t="s">
        <v>1424</v>
      </c>
      <c r="J488" s="12" t="str">
        <f>CONCATENATE("(${Variables:",E488,"_kcat","} * ",E488," * ",G488,")","/(${Variables:",E488,"_km","} + (",E488," * ",G488,"))")</f>
        <v>(${Variables:E2_7_7_7_kcat} * E2_7_7_7 * C00677 * C00039)/(${Variables:E2_7_7_7_km} + (E2_7_7_7 * C00677 * C00039))</v>
      </c>
      <c r="K488" s="43" t="str">
        <f>CONCATENATE("r",D488,": ",F488," -&gt; ",H488," | ",J488)</f>
        <v>r498: C00677 + C00039 -&gt; C00013 + C00039 | (${Variables:E2_7_7_7_kcat} * E2_7_7_7 * C00677 * C00039)/(${Variables:E2_7_7_7_km} + (E2_7_7_7 * C00677 * C00039))</v>
      </c>
    </row>
    <row r="489" spans="1:11" ht="42.75" x14ac:dyDescent="0.45">
      <c r="A489" s="53" t="s">
        <v>7503</v>
      </c>
      <c r="B489" s="54" t="s">
        <v>7504</v>
      </c>
      <c r="C489" t="s">
        <v>1841</v>
      </c>
      <c r="D489" s="12">
        <v>499</v>
      </c>
      <c r="E489" s="12" t="str">
        <f>CONCATENATE("E",C489)</f>
        <v>E2_7_7_7</v>
      </c>
      <c r="F489" t="s">
        <v>3199</v>
      </c>
      <c r="G489" t="s">
        <v>1423</v>
      </c>
      <c r="H489" t="s">
        <v>3481</v>
      </c>
      <c r="I489" t="s">
        <v>1424</v>
      </c>
      <c r="J489" s="12" t="str">
        <f>CONCATENATE("(${Variables:",E489,"_kcat","} * ",E489," * ",G489,")","/(${Variables:",E489,"_km","} + (",E489," * ",G489,"))")</f>
        <v>(${Variables:E2_7_7_7_kcat} * E2_7_7_7 * C00131 * C00039)/(${Variables:E2_7_7_7_km} + (E2_7_7_7 * C00131 * C00039))</v>
      </c>
      <c r="K489" s="43" t="str">
        <f>CONCATENATE("r",D489,": ",F489," -&gt; ",H489," | ",J489)</f>
        <v>r499: C00131 + C00039 -&gt; C00013 + C00039 | (${Variables:E2_7_7_7_kcat} * E2_7_7_7 * C00131 * C00039)/(${Variables:E2_7_7_7_km} + (E2_7_7_7 * C00131 * C00039))</v>
      </c>
    </row>
    <row r="490" spans="1:11" ht="42.75" x14ac:dyDescent="0.45">
      <c r="A490" s="53" t="s">
        <v>7503</v>
      </c>
      <c r="B490" s="54" t="s">
        <v>7504</v>
      </c>
      <c r="C490" t="s">
        <v>1841</v>
      </c>
      <c r="D490" s="12">
        <v>500</v>
      </c>
      <c r="E490" s="12" t="str">
        <f>CONCATENATE("E",C490)</f>
        <v>E2_7_7_7</v>
      </c>
      <c r="F490" t="s">
        <v>3200</v>
      </c>
      <c r="G490" t="s">
        <v>1473</v>
      </c>
      <c r="H490" t="s">
        <v>3481</v>
      </c>
      <c r="I490" t="s">
        <v>1424</v>
      </c>
      <c r="J490" s="12" t="str">
        <f>CONCATENATE("(${Variables:",E490,"_kcat","} * ",E490," * ",G490,")","/(${Variables:",E490,"_km","} + (",E490," * ",G490,"))")</f>
        <v>(${Variables:E2_7_7_7_kcat} * E2_7_7_7 * C00286 * C00039)/(${Variables:E2_7_7_7_km} + (E2_7_7_7 * C00286 * C00039))</v>
      </c>
      <c r="K490" s="43" t="str">
        <f>CONCATENATE("r",D490,": ",F490," -&gt; ",H490," | ",J490)</f>
        <v>r500: C00286 + C00039 -&gt; C00013 + C00039 | (${Variables:E2_7_7_7_kcat} * E2_7_7_7 * C00286 * C00039)/(${Variables:E2_7_7_7_km} + (E2_7_7_7 * C00286 * C00039))</v>
      </c>
    </row>
    <row r="491" spans="1:11" ht="42.75" x14ac:dyDescent="0.45">
      <c r="A491" s="53" t="s">
        <v>7503</v>
      </c>
      <c r="B491" s="54" t="s">
        <v>7504</v>
      </c>
      <c r="C491" t="s">
        <v>1841</v>
      </c>
      <c r="D491" s="12">
        <v>501</v>
      </c>
      <c r="E491" s="12" t="str">
        <f>CONCATENATE("E",C491)</f>
        <v>E2_7_7_7</v>
      </c>
      <c r="F491" t="s">
        <v>3201</v>
      </c>
      <c r="G491" t="s">
        <v>1509</v>
      </c>
      <c r="H491" t="s">
        <v>3481</v>
      </c>
      <c r="I491" t="s">
        <v>1424</v>
      </c>
      <c r="J491" s="12" t="str">
        <f>CONCATENATE("(${Variables:",E491,"_kcat","} * ",E491," * ",G491,")","/(${Variables:",E491,"_km","} + (",E491," * ",G491,"))")</f>
        <v>(${Variables:E2_7_7_7_kcat} * E2_7_7_7 * C00458 * C00039)/(${Variables:E2_7_7_7_km} + (E2_7_7_7 * C00458 * C00039))</v>
      </c>
      <c r="K491" s="43" t="str">
        <f>CONCATENATE("r",D491,": ",F491," -&gt; ",H491," | ",J491)</f>
        <v>r501: C00458 + C00039 -&gt; C00013 + C00039 | (${Variables:E2_7_7_7_kcat} * E2_7_7_7 * C00458 * C00039)/(${Variables:E2_7_7_7_km} + (E2_7_7_7 * C00458 * C00039))</v>
      </c>
    </row>
    <row r="492" spans="1:11" ht="42.75" x14ac:dyDescent="0.45">
      <c r="A492" s="53" t="s">
        <v>7503</v>
      </c>
      <c r="B492" s="54" t="s">
        <v>7504</v>
      </c>
      <c r="C492" t="s">
        <v>1841</v>
      </c>
      <c r="D492" s="12">
        <v>502</v>
      </c>
      <c r="E492" s="12" t="str">
        <f>CONCATENATE("E",C492)</f>
        <v>E2_7_7_7</v>
      </c>
      <c r="F492" t="s">
        <v>3202</v>
      </c>
      <c r="G492" t="s">
        <v>1512</v>
      </c>
      <c r="H492" t="s">
        <v>3481</v>
      </c>
      <c r="I492" t="s">
        <v>1424</v>
      </c>
      <c r="J492" s="12" t="str">
        <f>CONCATENATE("(${Variables:",E492,"_kcat","} * ",E492," * ",G492,")","/(${Variables:",E492,"_km","} + (",E492," * ",G492,"))")</f>
        <v>(${Variables:E2_7_7_7_kcat} * E2_7_7_7 * C00459 * C00039)/(${Variables:E2_7_7_7_km} + (E2_7_7_7 * C00459 * C00039))</v>
      </c>
      <c r="K492" s="43" t="str">
        <f>CONCATENATE("r",D492,": ",F492," -&gt; ",H492," | ",J492)</f>
        <v>r502: C00459 + C00039 -&gt; C00013 + C00039 | (${Variables:E2_7_7_7_kcat} * E2_7_7_7 * C00459 * C00039)/(${Variables:E2_7_7_7_km} + (E2_7_7_7 * C00459 * C00039))</v>
      </c>
    </row>
    <row r="493" spans="1:11" ht="28.5" x14ac:dyDescent="0.45">
      <c r="A493" s="53" t="s">
        <v>7503</v>
      </c>
      <c r="B493" s="54" t="s">
        <v>7504</v>
      </c>
      <c r="C493" t="s">
        <v>1841</v>
      </c>
      <c r="D493" s="12">
        <v>503</v>
      </c>
      <c r="E493" s="12" t="str">
        <f>CONCATENATE("E",C493)</f>
        <v>E2_7_7_7</v>
      </c>
      <c r="F493" t="s">
        <v>8557</v>
      </c>
      <c r="G493" t="s">
        <v>8557</v>
      </c>
      <c r="H493" t="s">
        <v>1079</v>
      </c>
      <c r="I493" t="s">
        <v>1079</v>
      </c>
      <c r="J493" s="12" t="str">
        <f>CONCATENATE("(${Variables:",E493,"_kcat","} * ",E493," * ",G493,")","/(${Variables:",E493,"_km","} + (",E493," * ",G493,"))")</f>
        <v>(${Variables:E2_7_7_7_kcat} * E2_7_7_7 * C11039 )/(${Variables:E2_7_7_7_km} + (E2_7_7_7 * C11039 ))</v>
      </c>
      <c r="K493" s="43" t="str">
        <f>CONCATENATE("r",D493,": ",F493," -&gt; ",H493," | ",J493)</f>
        <v>r503: C11039  -&gt; C21031 | (${Variables:E2_7_7_7_kcat} * E2_7_7_7 * C11039 )/(${Variables:E2_7_7_7_km} + (E2_7_7_7 * C11039 ))</v>
      </c>
    </row>
    <row r="494" spans="1:11" ht="42.75" x14ac:dyDescent="0.45">
      <c r="A494" s="53" t="s">
        <v>5969</v>
      </c>
      <c r="B494" s="54" t="s">
        <v>5970</v>
      </c>
      <c r="C494" t="s">
        <v>1841</v>
      </c>
      <c r="D494" s="12">
        <v>504</v>
      </c>
      <c r="E494" s="12" t="str">
        <f>CONCATENATE("E",C494)</f>
        <v>E2_7_7_7</v>
      </c>
      <c r="F494" t="s">
        <v>3203</v>
      </c>
      <c r="G494" t="s">
        <v>1536</v>
      </c>
      <c r="H494" t="s">
        <v>3481</v>
      </c>
      <c r="I494" t="s">
        <v>1424</v>
      </c>
      <c r="J494" s="12" t="str">
        <f>CONCATENATE("(${Variables:",E494,"_kcat","} * ",E494," * ",G494,")","/(${Variables:",E494,"_km","} + (",E494," * ",G494,"))")</f>
        <v>(${Variables:E2_7_7_7_kcat} * E2_7_7_7 * C00677 * C00039)/(${Variables:E2_7_7_7_km} + (E2_7_7_7 * C00677 * C00039))</v>
      </c>
      <c r="K494" s="43" t="str">
        <f>CONCATENATE("r",D494,": ",F494," -&gt; ",H494," | ",J494)</f>
        <v>r504: C00677 + C00039 -&gt; C00013 + C00039 | (${Variables:E2_7_7_7_kcat} * E2_7_7_7 * C00677 * C00039)/(${Variables:E2_7_7_7_km} + (E2_7_7_7 * C00677 * C00039))</v>
      </c>
    </row>
    <row r="495" spans="1:11" ht="42.75" x14ac:dyDescent="0.45">
      <c r="A495" s="53" t="s">
        <v>5969</v>
      </c>
      <c r="B495" s="54" t="s">
        <v>5970</v>
      </c>
      <c r="C495" t="s">
        <v>1841</v>
      </c>
      <c r="D495" s="12">
        <v>505</v>
      </c>
      <c r="E495" s="12" t="str">
        <f>CONCATENATE("E",C495)</f>
        <v>E2_7_7_7</v>
      </c>
      <c r="F495" t="s">
        <v>3199</v>
      </c>
      <c r="G495" t="s">
        <v>1423</v>
      </c>
      <c r="H495" t="s">
        <v>3481</v>
      </c>
      <c r="I495" t="s">
        <v>1424</v>
      </c>
      <c r="J495" s="12" t="str">
        <f>CONCATENATE("(${Variables:",E495,"_kcat","} * ",E495," * ",G495,")","/(${Variables:",E495,"_km","} + (",E495," * ",G495,"))")</f>
        <v>(${Variables:E2_7_7_7_kcat} * E2_7_7_7 * C00131 * C00039)/(${Variables:E2_7_7_7_km} + (E2_7_7_7 * C00131 * C00039))</v>
      </c>
      <c r="K495" s="43" t="str">
        <f>CONCATENATE("r",D495,": ",F495," -&gt; ",H495," | ",J495)</f>
        <v>r505: C00131 + C00039 -&gt; C00013 + C00039 | (${Variables:E2_7_7_7_kcat} * E2_7_7_7 * C00131 * C00039)/(${Variables:E2_7_7_7_km} + (E2_7_7_7 * C00131 * C00039))</v>
      </c>
    </row>
    <row r="496" spans="1:11" ht="42.75" x14ac:dyDescent="0.45">
      <c r="A496" s="53" t="s">
        <v>5969</v>
      </c>
      <c r="B496" s="54" t="s">
        <v>5970</v>
      </c>
      <c r="C496" t="s">
        <v>1841</v>
      </c>
      <c r="D496" s="12">
        <v>506</v>
      </c>
      <c r="E496" s="12" t="str">
        <f>CONCATENATE("E",C496)</f>
        <v>E2_7_7_7</v>
      </c>
      <c r="F496" t="s">
        <v>3200</v>
      </c>
      <c r="G496" t="s">
        <v>1473</v>
      </c>
      <c r="H496" t="s">
        <v>3481</v>
      </c>
      <c r="I496" t="s">
        <v>1424</v>
      </c>
      <c r="J496" s="12" t="str">
        <f>CONCATENATE("(${Variables:",E496,"_kcat","} * ",E496," * ",G496,")","/(${Variables:",E496,"_km","} + (",E496," * ",G496,"))")</f>
        <v>(${Variables:E2_7_7_7_kcat} * E2_7_7_7 * C00286 * C00039)/(${Variables:E2_7_7_7_km} + (E2_7_7_7 * C00286 * C00039))</v>
      </c>
      <c r="K496" s="43" t="str">
        <f>CONCATENATE("r",D496,": ",F496," -&gt; ",H496," | ",J496)</f>
        <v>r506: C00286 + C00039 -&gt; C00013 + C00039 | (${Variables:E2_7_7_7_kcat} * E2_7_7_7 * C00286 * C00039)/(${Variables:E2_7_7_7_km} + (E2_7_7_7 * C00286 * C00039))</v>
      </c>
    </row>
    <row r="497" spans="1:11" ht="42.75" x14ac:dyDescent="0.45">
      <c r="A497" s="53" t="s">
        <v>5969</v>
      </c>
      <c r="B497" s="54" t="s">
        <v>5970</v>
      </c>
      <c r="C497" t="s">
        <v>1841</v>
      </c>
      <c r="D497" s="12">
        <v>507</v>
      </c>
      <c r="E497" s="12" t="str">
        <f>CONCATENATE("E",C497)</f>
        <v>E2_7_7_7</v>
      </c>
      <c r="F497" t="s">
        <v>3201</v>
      </c>
      <c r="G497" t="s">
        <v>1509</v>
      </c>
      <c r="H497" t="s">
        <v>3481</v>
      </c>
      <c r="I497" t="s">
        <v>1424</v>
      </c>
      <c r="J497" s="12" t="str">
        <f>CONCATENATE("(${Variables:",E497,"_kcat","} * ",E497," * ",G497,")","/(${Variables:",E497,"_km","} + (",E497," * ",G497,"))")</f>
        <v>(${Variables:E2_7_7_7_kcat} * E2_7_7_7 * C00458 * C00039)/(${Variables:E2_7_7_7_km} + (E2_7_7_7 * C00458 * C00039))</v>
      </c>
      <c r="K497" s="43" t="str">
        <f>CONCATENATE("r",D497,": ",F497," -&gt; ",H497," | ",J497)</f>
        <v>r507: C00458 + C00039 -&gt; C00013 + C00039 | (${Variables:E2_7_7_7_kcat} * E2_7_7_7 * C00458 * C00039)/(${Variables:E2_7_7_7_km} + (E2_7_7_7 * C00458 * C00039))</v>
      </c>
    </row>
    <row r="498" spans="1:11" ht="42.75" x14ac:dyDescent="0.45">
      <c r="A498" s="53" t="s">
        <v>5969</v>
      </c>
      <c r="B498" s="54" t="s">
        <v>5970</v>
      </c>
      <c r="C498" t="s">
        <v>1841</v>
      </c>
      <c r="D498" s="12">
        <v>508</v>
      </c>
      <c r="E498" s="12" t="str">
        <f>CONCATENATE("E",C498)</f>
        <v>E2_7_7_7</v>
      </c>
      <c r="F498" t="s">
        <v>3202</v>
      </c>
      <c r="G498" t="s">
        <v>1512</v>
      </c>
      <c r="H498" t="s">
        <v>3481</v>
      </c>
      <c r="I498" t="s">
        <v>1424</v>
      </c>
      <c r="J498" s="12" t="str">
        <f>CONCATENATE("(${Variables:",E498,"_kcat","} * ",E498," * ",G498,")","/(${Variables:",E498,"_km","} + (",E498," * ",G498,"))")</f>
        <v>(${Variables:E2_7_7_7_kcat} * E2_7_7_7 * C00459 * C00039)/(${Variables:E2_7_7_7_km} + (E2_7_7_7 * C00459 * C00039))</v>
      </c>
      <c r="K498" s="43" t="str">
        <f>CONCATENATE("r",D498,": ",F498," -&gt; ",H498," | ",J498)</f>
        <v>r508: C00459 + C00039 -&gt; C00013 + C00039 | (${Variables:E2_7_7_7_kcat} * E2_7_7_7 * C00459 * C00039)/(${Variables:E2_7_7_7_km} + (E2_7_7_7 * C00459 * C00039))</v>
      </c>
    </row>
    <row r="499" spans="1:11" ht="28.5" x14ac:dyDescent="0.45">
      <c r="A499" s="53" t="s">
        <v>5969</v>
      </c>
      <c r="B499" s="54" t="s">
        <v>5970</v>
      </c>
      <c r="C499" t="s">
        <v>1841</v>
      </c>
      <c r="D499" s="12">
        <v>509</v>
      </c>
      <c r="E499" s="12" t="str">
        <f>CONCATENATE("E",C499)</f>
        <v>E2_7_7_7</v>
      </c>
      <c r="F499" t="s">
        <v>8557</v>
      </c>
      <c r="G499" t="s">
        <v>8557</v>
      </c>
      <c r="H499" t="s">
        <v>1079</v>
      </c>
      <c r="I499" t="s">
        <v>1079</v>
      </c>
      <c r="J499" s="12" t="str">
        <f>CONCATENATE("(${Variables:",E499,"_kcat","} * ",E499," * ",G499,")","/(${Variables:",E499,"_km","} + (",E499," * ",G499,"))")</f>
        <v>(${Variables:E2_7_7_7_kcat} * E2_7_7_7 * C11039 )/(${Variables:E2_7_7_7_km} + (E2_7_7_7 * C11039 ))</v>
      </c>
      <c r="K499" s="43" t="str">
        <f>CONCATENATE("r",D499,": ",F499," -&gt; ",H499," | ",J499)</f>
        <v>r509: C11039  -&gt; C21031 | (${Variables:E2_7_7_7_kcat} * E2_7_7_7 * C11039 )/(${Variables:E2_7_7_7_km} + (E2_7_7_7 * C11039 ))</v>
      </c>
    </row>
    <row r="500" spans="1:11" ht="42.75" x14ac:dyDescent="0.45">
      <c r="A500" s="53" t="s">
        <v>5204</v>
      </c>
      <c r="B500" s="54" t="s">
        <v>5205</v>
      </c>
      <c r="C500" t="s">
        <v>1841</v>
      </c>
      <c r="D500" s="12">
        <v>510</v>
      </c>
      <c r="E500" s="12" t="str">
        <f>CONCATENATE("E",C500)</f>
        <v>E2_7_7_7</v>
      </c>
      <c r="F500" t="s">
        <v>3203</v>
      </c>
      <c r="G500" t="s">
        <v>1536</v>
      </c>
      <c r="H500" t="s">
        <v>3481</v>
      </c>
      <c r="I500" t="s">
        <v>1424</v>
      </c>
      <c r="J500" s="12" t="str">
        <f>CONCATENATE("(${Variables:",E500,"_kcat","} * ",E500," * ",G500,")","/(${Variables:",E500,"_km","} + (",E500," * ",G500,"))")</f>
        <v>(${Variables:E2_7_7_7_kcat} * E2_7_7_7 * C00677 * C00039)/(${Variables:E2_7_7_7_km} + (E2_7_7_7 * C00677 * C00039))</v>
      </c>
      <c r="K500" s="43" t="str">
        <f>CONCATENATE("r",D500,": ",F500," -&gt; ",H500," | ",J500)</f>
        <v>r510: C00677 + C00039 -&gt; C00013 + C00039 | (${Variables:E2_7_7_7_kcat} * E2_7_7_7 * C00677 * C00039)/(${Variables:E2_7_7_7_km} + (E2_7_7_7 * C00677 * C00039))</v>
      </c>
    </row>
    <row r="501" spans="1:11" ht="42.75" x14ac:dyDescent="0.45">
      <c r="A501" s="53" t="s">
        <v>5204</v>
      </c>
      <c r="B501" s="54" t="s">
        <v>5205</v>
      </c>
      <c r="C501" t="s">
        <v>1841</v>
      </c>
      <c r="D501" s="12">
        <v>511</v>
      </c>
      <c r="E501" s="12" t="str">
        <f>CONCATENATE("E",C501)</f>
        <v>E2_7_7_7</v>
      </c>
      <c r="F501" t="s">
        <v>3199</v>
      </c>
      <c r="G501" t="s">
        <v>1423</v>
      </c>
      <c r="H501" t="s">
        <v>3481</v>
      </c>
      <c r="I501" t="s">
        <v>1424</v>
      </c>
      <c r="J501" s="12" t="str">
        <f>CONCATENATE("(${Variables:",E501,"_kcat","} * ",E501," * ",G501,")","/(${Variables:",E501,"_km","} + (",E501," * ",G501,"))")</f>
        <v>(${Variables:E2_7_7_7_kcat} * E2_7_7_7 * C00131 * C00039)/(${Variables:E2_7_7_7_km} + (E2_7_7_7 * C00131 * C00039))</v>
      </c>
      <c r="K501" s="43" t="str">
        <f>CONCATENATE("r",D501,": ",F501," -&gt; ",H501," | ",J501)</f>
        <v>r511: C00131 + C00039 -&gt; C00013 + C00039 | (${Variables:E2_7_7_7_kcat} * E2_7_7_7 * C00131 * C00039)/(${Variables:E2_7_7_7_km} + (E2_7_7_7 * C00131 * C00039))</v>
      </c>
    </row>
    <row r="502" spans="1:11" ht="42.75" x14ac:dyDescent="0.45">
      <c r="A502" s="53" t="s">
        <v>5204</v>
      </c>
      <c r="B502" s="54" t="s">
        <v>5205</v>
      </c>
      <c r="C502" t="s">
        <v>1841</v>
      </c>
      <c r="D502" s="12">
        <v>512</v>
      </c>
      <c r="E502" s="12" t="str">
        <f>CONCATENATE("E",C502)</f>
        <v>E2_7_7_7</v>
      </c>
      <c r="F502" t="s">
        <v>3200</v>
      </c>
      <c r="G502" t="s">
        <v>1473</v>
      </c>
      <c r="H502" t="s">
        <v>3481</v>
      </c>
      <c r="I502" t="s">
        <v>1424</v>
      </c>
      <c r="J502" s="12" t="str">
        <f>CONCATENATE("(${Variables:",E502,"_kcat","} * ",E502," * ",G502,")","/(${Variables:",E502,"_km","} + (",E502," * ",G502,"))")</f>
        <v>(${Variables:E2_7_7_7_kcat} * E2_7_7_7 * C00286 * C00039)/(${Variables:E2_7_7_7_km} + (E2_7_7_7 * C00286 * C00039))</v>
      </c>
      <c r="K502" s="43" t="str">
        <f>CONCATENATE("r",D502,": ",F502," -&gt; ",H502," | ",J502)</f>
        <v>r512: C00286 + C00039 -&gt; C00013 + C00039 | (${Variables:E2_7_7_7_kcat} * E2_7_7_7 * C00286 * C00039)/(${Variables:E2_7_7_7_km} + (E2_7_7_7 * C00286 * C00039))</v>
      </c>
    </row>
    <row r="503" spans="1:11" ht="42.75" x14ac:dyDescent="0.45">
      <c r="A503" s="53" t="s">
        <v>5204</v>
      </c>
      <c r="B503" s="54" t="s">
        <v>5205</v>
      </c>
      <c r="C503" t="s">
        <v>1841</v>
      </c>
      <c r="D503" s="12">
        <v>513</v>
      </c>
      <c r="E503" s="12" t="str">
        <f>CONCATENATE("E",C503)</f>
        <v>E2_7_7_7</v>
      </c>
      <c r="F503" t="s">
        <v>3201</v>
      </c>
      <c r="G503" t="s">
        <v>1509</v>
      </c>
      <c r="H503" t="s">
        <v>3481</v>
      </c>
      <c r="I503" t="s">
        <v>1424</v>
      </c>
      <c r="J503" s="12" t="str">
        <f>CONCATENATE("(${Variables:",E503,"_kcat","} * ",E503," * ",G503,")","/(${Variables:",E503,"_km","} + (",E503," * ",G503,"))")</f>
        <v>(${Variables:E2_7_7_7_kcat} * E2_7_7_7 * C00458 * C00039)/(${Variables:E2_7_7_7_km} + (E2_7_7_7 * C00458 * C00039))</v>
      </c>
      <c r="K503" s="43" t="str">
        <f>CONCATENATE("r",D503,": ",F503," -&gt; ",H503," | ",J503)</f>
        <v>r513: C00458 + C00039 -&gt; C00013 + C00039 | (${Variables:E2_7_7_7_kcat} * E2_7_7_7 * C00458 * C00039)/(${Variables:E2_7_7_7_km} + (E2_7_7_7 * C00458 * C00039))</v>
      </c>
    </row>
    <row r="504" spans="1:11" ht="42.75" x14ac:dyDescent="0.45">
      <c r="A504" s="53" t="s">
        <v>5204</v>
      </c>
      <c r="B504" s="54" t="s">
        <v>5205</v>
      </c>
      <c r="C504" t="s">
        <v>1841</v>
      </c>
      <c r="D504" s="12">
        <v>514</v>
      </c>
      <c r="E504" s="12" t="str">
        <f>CONCATENATE("E",C504)</f>
        <v>E2_7_7_7</v>
      </c>
      <c r="F504" t="s">
        <v>3202</v>
      </c>
      <c r="G504" t="s">
        <v>1512</v>
      </c>
      <c r="H504" t="s">
        <v>3481</v>
      </c>
      <c r="I504" t="s">
        <v>1424</v>
      </c>
      <c r="J504" s="12" t="str">
        <f>CONCATENATE("(${Variables:",E504,"_kcat","} * ",E504," * ",G504,")","/(${Variables:",E504,"_km","} + (",E504," * ",G504,"))")</f>
        <v>(${Variables:E2_7_7_7_kcat} * E2_7_7_7 * C00459 * C00039)/(${Variables:E2_7_7_7_km} + (E2_7_7_7 * C00459 * C00039))</v>
      </c>
      <c r="K504" s="43" t="str">
        <f>CONCATENATE("r",D504,": ",F504," -&gt; ",H504," | ",J504)</f>
        <v>r514: C00459 + C00039 -&gt; C00013 + C00039 | (${Variables:E2_7_7_7_kcat} * E2_7_7_7 * C00459 * C00039)/(${Variables:E2_7_7_7_km} + (E2_7_7_7 * C00459 * C00039))</v>
      </c>
    </row>
    <row r="505" spans="1:11" ht="28.5" x14ac:dyDescent="0.45">
      <c r="A505" s="53" t="s">
        <v>5204</v>
      </c>
      <c r="B505" s="54" t="s">
        <v>5205</v>
      </c>
      <c r="C505" t="s">
        <v>1841</v>
      </c>
      <c r="D505" s="12">
        <v>515</v>
      </c>
      <c r="E505" s="12" t="str">
        <f>CONCATENATE("E",C505)</f>
        <v>E2_7_7_7</v>
      </c>
      <c r="F505" t="s">
        <v>8557</v>
      </c>
      <c r="G505" t="s">
        <v>8557</v>
      </c>
      <c r="H505" t="s">
        <v>1079</v>
      </c>
      <c r="I505" t="s">
        <v>1079</v>
      </c>
      <c r="J505" s="12" t="str">
        <f>CONCATENATE("(${Variables:",E505,"_kcat","} * ",E505," * ",G505,")","/(${Variables:",E505,"_km","} + (",E505," * ",G505,"))")</f>
        <v>(${Variables:E2_7_7_7_kcat} * E2_7_7_7 * C11039 )/(${Variables:E2_7_7_7_km} + (E2_7_7_7 * C11039 ))</v>
      </c>
      <c r="K505" s="43" t="str">
        <f>CONCATENATE("r",D505,": ",F505," -&gt; ",H505," | ",J505)</f>
        <v>r515: C11039  -&gt; C21031 | (${Variables:E2_7_7_7_kcat} * E2_7_7_7 * C11039 )/(${Variables:E2_7_7_7_km} + (E2_7_7_7 * C11039 ))</v>
      </c>
    </row>
    <row r="506" spans="1:11" ht="42.75" x14ac:dyDescent="0.45">
      <c r="A506" s="53" t="s">
        <v>7941</v>
      </c>
      <c r="B506" s="54" t="s">
        <v>7942</v>
      </c>
      <c r="C506" t="s">
        <v>1841</v>
      </c>
      <c r="D506" s="12">
        <v>516</v>
      </c>
      <c r="E506" s="12" t="str">
        <f>CONCATENATE("E",C506)</f>
        <v>E2_7_7_7</v>
      </c>
      <c r="F506" t="s">
        <v>3203</v>
      </c>
      <c r="G506" t="s">
        <v>1536</v>
      </c>
      <c r="H506" t="s">
        <v>3481</v>
      </c>
      <c r="I506" t="s">
        <v>1424</v>
      </c>
      <c r="J506" s="12" t="str">
        <f>CONCATENATE("(${Variables:",E506,"_kcat","} * ",E506," * ",G506,")","/(${Variables:",E506,"_km","} + (",E506," * ",G506,"))")</f>
        <v>(${Variables:E2_7_7_7_kcat} * E2_7_7_7 * C00677 * C00039)/(${Variables:E2_7_7_7_km} + (E2_7_7_7 * C00677 * C00039))</v>
      </c>
      <c r="K506" s="43" t="str">
        <f>CONCATENATE("r",D506,": ",F506," -&gt; ",H506," | ",J506)</f>
        <v>r516: C00677 + C00039 -&gt; C00013 + C00039 | (${Variables:E2_7_7_7_kcat} * E2_7_7_7 * C00677 * C00039)/(${Variables:E2_7_7_7_km} + (E2_7_7_7 * C00677 * C00039))</v>
      </c>
    </row>
    <row r="507" spans="1:11" ht="42.75" x14ac:dyDescent="0.45">
      <c r="A507" s="53" t="s">
        <v>7941</v>
      </c>
      <c r="B507" s="54" t="s">
        <v>7942</v>
      </c>
      <c r="C507" t="s">
        <v>1841</v>
      </c>
      <c r="D507" s="12">
        <v>517</v>
      </c>
      <c r="E507" s="12" t="str">
        <f>CONCATENATE("E",C507)</f>
        <v>E2_7_7_7</v>
      </c>
      <c r="F507" t="s">
        <v>3199</v>
      </c>
      <c r="G507" t="s">
        <v>1423</v>
      </c>
      <c r="H507" t="s">
        <v>3481</v>
      </c>
      <c r="I507" t="s">
        <v>1424</v>
      </c>
      <c r="J507" s="12" t="str">
        <f>CONCATENATE("(${Variables:",E507,"_kcat","} * ",E507," * ",G507,")","/(${Variables:",E507,"_km","} + (",E507," * ",G507,"))")</f>
        <v>(${Variables:E2_7_7_7_kcat} * E2_7_7_7 * C00131 * C00039)/(${Variables:E2_7_7_7_km} + (E2_7_7_7 * C00131 * C00039))</v>
      </c>
      <c r="K507" s="43" t="str">
        <f>CONCATENATE("r",D507,": ",F507," -&gt; ",H507," | ",J507)</f>
        <v>r517: C00131 + C00039 -&gt; C00013 + C00039 | (${Variables:E2_7_7_7_kcat} * E2_7_7_7 * C00131 * C00039)/(${Variables:E2_7_7_7_km} + (E2_7_7_7 * C00131 * C00039))</v>
      </c>
    </row>
    <row r="508" spans="1:11" ht="42.75" x14ac:dyDescent="0.45">
      <c r="A508" s="53" t="s">
        <v>7941</v>
      </c>
      <c r="B508" s="54" t="s">
        <v>7942</v>
      </c>
      <c r="C508" t="s">
        <v>1841</v>
      </c>
      <c r="D508" s="12">
        <v>518</v>
      </c>
      <c r="E508" s="12" t="str">
        <f>CONCATENATE("E",C508)</f>
        <v>E2_7_7_7</v>
      </c>
      <c r="F508" t="s">
        <v>3200</v>
      </c>
      <c r="G508" t="s">
        <v>1473</v>
      </c>
      <c r="H508" t="s">
        <v>3481</v>
      </c>
      <c r="I508" t="s">
        <v>1424</v>
      </c>
      <c r="J508" s="12" t="str">
        <f>CONCATENATE("(${Variables:",E508,"_kcat","} * ",E508," * ",G508,")","/(${Variables:",E508,"_km","} + (",E508," * ",G508,"))")</f>
        <v>(${Variables:E2_7_7_7_kcat} * E2_7_7_7 * C00286 * C00039)/(${Variables:E2_7_7_7_km} + (E2_7_7_7 * C00286 * C00039))</v>
      </c>
      <c r="K508" s="43" t="str">
        <f>CONCATENATE("r",D508,": ",F508," -&gt; ",H508," | ",J508)</f>
        <v>r518: C00286 + C00039 -&gt; C00013 + C00039 | (${Variables:E2_7_7_7_kcat} * E2_7_7_7 * C00286 * C00039)/(${Variables:E2_7_7_7_km} + (E2_7_7_7 * C00286 * C00039))</v>
      </c>
    </row>
    <row r="509" spans="1:11" ht="42.75" x14ac:dyDescent="0.45">
      <c r="A509" s="53" t="s">
        <v>7941</v>
      </c>
      <c r="B509" s="54" t="s">
        <v>7942</v>
      </c>
      <c r="C509" t="s">
        <v>1841</v>
      </c>
      <c r="D509" s="12">
        <v>519</v>
      </c>
      <c r="E509" s="12" t="str">
        <f>CONCATENATE("E",C509)</f>
        <v>E2_7_7_7</v>
      </c>
      <c r="F509" t="s">
        <v>3201</v>
      </c>
      <c r="G509" t="s">
        <v>1509</v>
      </c>
      <c r="H509" t="s">
        <v>3481</v>
      </c>
      <c r="I509" t="s">
        <v>1424</v>
      </c>
      <c r="J509" s="12" t="str">
        <f>CONCATENATE("(${Variables:",E509,"_kcat","} * ",E509," * ",G509,")","/(${Variables:",E509,"_km","} + (",E509," * ",G509,"))")</f>
        <v>(${Variables:E2_7_7_7_kcat} * E2_7_7_7 * C00458 * C00039)/(${Variables:E2_7_7_7_km} + (E2_7_7_7 * C00458 * C00039))</v>
      </c>
      <c r="K509" s="43" t="str">
        <f>CONCATENATE("r",D509,": ",F509," -&gt; ",H509," | ",J509)</f>
        <v>r519: C00458 + C00039 -&gt; C00013 + C00039 | (${Variables:E2_7_7_7_kcat} * E2_7_7_7 * C00458 * C00039)/(${Variables:E2_7_7_7_km} + (E2_7_7_7 * C00458 * C00039))</v>
      </c>
    </row>
    <row r="510" spans="1:11" ht="42.75" x14ac:dyDescent="0.45">
      <c r="A510" s="53" t="s">
        <v>7941</v>
      </c>
      <c r="B510" s="54" t="s">
        <v>7942</v>
      </c>
      <c r="C510" t="s">
        <v>1841</v>
      </c>
      <c r="D510" s="12">
        <v>520</v>
      </c>
      <c r="E510" s="12" t="str">
        <f>CONCATENATE("E",C510)</f>
        <v>E2_7_7_7</v>
      </c>
      <c r="F510" t="s">
        <v>3202</v>
      </c>
      <c r="G510" t="s">
        <v>1512</v>
      </c>
      <c r="H510" t="s">
        <v>3481</v>
      </c>
      <c r="I510" t="s">
        <v>1424</v>
      </c>
      <c r="J510" s="12" t="str">
        <f>CONCATENATE("(${Variables:",E510,"_kcat","} * ",E510," * ",G510,")","/(${Variables:",E510,"_km","} + (",E510," * ",G510,"))")</f>
        <v>(${Variables:E2_7_7_7_kcat} * E2_7_7_7 * C00459 * C00039)/(${Variables:E2_7_7_7_km} + (E2_7_7_7 * C00459 * C00039))</v>
      </c>
      <c r="K510" s="43" t="str">
        <f>CONCATENATE("r",D510,": ",F510," -&gt; ",H510," | ",J510)</f>
        <v>r520: C00459 + C00039 -&gt; C00013 + C00039 | (${Variables:E2_7_7_7_kcat} * E2_7_7_7 * C00459 * C00039)/(${Variables:E2_7_7_7_km} + (E2_7_7_7 * C00459 * C00039))</v>
      </c>
    </row>
    <row r="511" spans="1:11" ht="28.5" x14ac:dyDescent="0.45">
      <c r="A511" s="53" t="s">
        <v>7941</v>
      </c>
      <c r="B511" s="54" t="s">
        <v>7942</v>
      </c>
      <c r="C511" t="s">
        <v>1841</v>
      </c>
      <c r="D511" s="12">
        <v>521</v>
      </c>
      <c r="E511" s="12" t="str">
        <f>CONCATENATE("E",C511)</f>
        <v>E2_7_7_7</v>
      </c>
      <c r="F511" t="s">
        <v>8557</v>
      </c>
      <c r="G511" t="s">
        <v>8557</v>
      </c>
      <c r="H511" t="s">
        <v>1079</v>
      </c>
      <c r="I511" t="s">
        <v>1079</v>
      </c>
      <c r="J511" s="12" t="str">
        <f>CONCATENATE("(${Variables:",E511,"_kcat","} * ",E511," * ",G511,")","/(${Variables:",E511,"_km","} + (",E511," * ",G511,"))")</f>
        <v>(${Variables:E2_7_7_7_kcat} * E2_7_7_7 * C11039 )/(${Variables:E2_7_7_7_km} + (E2_7_7_7 * C11039 ))</v>
      </c>
      <c r="K511" s="43" t="str">
        <f>CONCATENATE("r",D511,": ",F511," -&gt; ",H511," | ",J511)</f>
        <v>r521: C11039  -&gt; C21031 | (${Variables:E2_7_7_7_kcat} * E2_7_7_7 * C11039 )/(${Variables:E2_7_7_7_km} + (E2_7_7_7 * C11039 ))</v>
      </c>
    </row>
    <row r="512" spans="1:11" ht="42.75" x14ac:dyDescent="0.45">
      <c r="A512" s="53" t="s">
        <v>4055</v>
      </c>
      <c r="B512" s="54" t="s">
        <v>4056</v>
      </c>
      <c r="C512" t="s">
        <v>1841</v>
      </c>
      <c r="D512" s="12">
        <v>522</v>
      </c>
      <c r="E512" s="12" t="str">
        <f>CONCATENATE("E",C512)</f>
        <v>E2_7_7_7</v>
      </c>
      <c r="F512" t="s">
        <v>3203</v>
      </c>
      <c r="G512" t="s">
        <v>1536</v>
      </c>
      <c r="H512" t="s">
        <v>3481</v>
      </c>
      <c r="I512" t="s">
        <v>1424</v>
      </c>
      <c r="J512" s="12" t="str">
        <f>CONCATENATE("(${Variables:",E512,"_kcat","} * ",E512," * ",G512,")","/(${Variables:",E512,"_km","} + (",E512," * ",G512,"))")</f>
        <v>(${Variables:E2_7_7_7_kcat} * E2_7_7_7 * C00677 * C00039)/(${Variables:E2_7_7_7_km} + (E2_7_7_7 * C00677 * C00039))</v>
      </c>
      <c r="K512" s="43" t="str">
        <f>CONCATENATE("r",D512,": ",F512," -&gt; ",H512," | ",J512)</f>
        <v>r522: C00677 + C00039 -&gt; C00013 + C00039 | (${Variables:E2_7_7_7_kcat} * E2_7_7_7 * C00677 * C00039)/(${Variables:E2_7_7_7_km} + (E2_7_7_7 * C00677 * C00039))</v>
      </c>
    </row>
    <row r="513" spans="1:11" ht="42.75" x14ac:dyDescent="0.45">
      <c r="A513" s="53" t="s">
        <v>4055</v>
      </c>
      <c r="B513" s="54" t="s">
        <v>4056</v>
      </c>
      <c r="C513" t="s">
        <v>1841</v>
      </c>
      <c r="D513" s="12">
        <v>523</v>
      </c>
      <c r="E513" s="12" t="str">
        <f>CONCATENATE("E",C513)</f>
        <v>E2_7_7_7</v>
      </c>
      <c r="F513" t="s">
        <v>3199</v>
      </c>
      <c r="G513" t="s">
        <v>1423</v>
      </c>
      <c r="H513" t="s">
        <v>3481</v>
      </c>
      <c r="I513" t="s">
        <v>1424</v>
      </c>
      <c r="J513" s="12" t="str">
        <f>CONCATENATE("(${Variables:",E513,"_kcat","} * ",E513," * ",G513,")","/(${Variables:",E513,"_km","} + (",E513," * ",G513,"))")</f>
        <v>(${Variables:E2_7_7_7_kcat} * E2_7_7_7 * C00131 * C00039)/(${Variables:E2_7_7_7_km} + (E2_7_7_7 * C00131 * C00039))</v>
      </c>
      <c r="K513" s="43" t="str">
        <f>CONCATENATE("r",D513,": ",F513," -&gt; ",H513," | ",J513)</f>
        <v>r523: C00131 + C00039 -&gt; C00013 + C00039 | (${Variables:E2_7_7_7_kcat} * E2_7_7_7 * C00131 * C00039)/(${Variables:E2_7_7_7_km} + (E2_7_7_7 * C00131 * C00039))</v>
      </c>
    </row>
    <row r="514" spans="1:11" ht="42.75" x14ac:dyDescent="0.45">
      <c r="A514" s="53" t="s">
        <v>4055</v>
      </c>
      <c r="B514" s="54" t="s">
        <v>4056</v>
      </c>
      <c r="C514" t="s">
        <v>1841</v>
      </c>
      <c r="D514" s="12">
        <v>524</v>
      </c>
      <c r="E514" s="12" t="str">
        <f>CONCATENATE("E",C514)</f>
        <v>E2_7_7_7</v>
      </c>
      <c r="F514" t="s">
        <v>3200</v>
      </c>
      <c r="G514" t="s">
        <v>1473</v>
      </c>
      <c r="H514" t="s">
        <v>3481</v>
      </c>
      <c r="I514" t="s">
        <v>1424</v>
      </c>
      <c r="J514" s="12" t="str">
        <f>CONCATENATE("(${Variables:",E514,"_kcat","} * ",E514," * ",G514,")","/(${Variables:",E514,"_km","} + (",E514," * ",G514,"))")</f>
        <v>(${Variables:E2_7_7_7_kcat} * E2_7_7_7 * C00286 * C00039)/(${Variables:E2_7_7_7_km} + (E2_7_7_7 * C00286 * C00039))</v>
      </c>
      <c r="K514" s="43" t="str">
        <f>CONCATENATE("r",D514,": ",F514," -&gt; ",H514," | ",J514)</f>
        <v>r524: C00286 + C00039 -&gt; C00013 + C00039 | (${Variables:E2_7_7_7_kcat} * E2_7_7_7 * C00286 * C00039)/(${Variables:E2_7_7_7_km} + (E2_7_7_7 * C00286 * C00039))</v>
      </c>
    </row>
    <row r="515" spans="1:11" ht="42.75" x14ac:dyDescent="0.45">
      <c r="A515" s="53" t="s">
        <v>4055</v>
      </c>
      <c r="B515" s="54" t="s">
        <v>4056</v>
      </c>
      <c r="C515" t="s">
        <v>1841</v>
      </c>
      <c r="D515" s="12">
        <v>525</v>
      </c>
      <c r="E515" s="12" t="str">
        <f>CONCATENATE("E",C515)</f>
        <v>E2_7_7_7</v>
      </c>
      <c r="F515" t="s">
        <v>3201</v>
      </c>
      <c r="G515" t="s">
        <v>1509</v>
      </c>
      <c r="H515" t="s">
        <v>3481</v>
      </c>
      <c r="I515" t="s">
        <v>1424</v>
      </c>
      <c r="J515" s="12" t="str">
        <f>CONCATENATE("(${Variables:",E515,"_kcat","} * ",E515," * ",G515,")","/(${Variables:",E515,"_km","} + (",E515," * ",G515,"))")</f>
        <v>(${Variables:E2_7_7_7_kcat} * E2_7_7_7 * C00458 * C00039)/(${Variables:E2_7_7_7_km} + (E2_7_7_7 * C00458 * C00039))</v>
      </c>
      <c r="K515" s="43" t="str">
        <f>CONCATENATE("r",D515,": ",F515," -&gt; ",H515," | ",J515)</f>
        <v>r525: C00458 + C00039 -&gt; C00013 + C00039 | (${Variables:E2_7_7_7_kcat} * E2_7_7_7 * C00458 * C00039)/(${Variables:E2_7_7_7_km} + (E2_7_7_7 * C00458 * C00039))</v>
      </c>
    </row>
    <row r="516" spans="1:11" ht="42.75" x14ac:dyDescent="0.45">
      <c r="A516" s="53" t="s">
        <v>4055</v>
      </c>
      <c r="B516" s="54" t="s">
        <v>4056</v>
      </c>
      <c r="C516" t="s">
        <v>1841</v>
      </c>
      <c r="D516" s="12">
        <v>526</v>
      </c>
      <c r="E516" s="12" t="str">
        <f>CONCATENATE("E",C516)</f>
        <v>E2_7_7_7</v>
      </c>
      <c r="F516" t="s">
        <v>3202</v>
      </c>
      <c r="G516" t="s">
        <v>1512</v>
      </c>
      <c r="H516" t="s">
        <v>3481</v>
      </c>
      <c r="I516" t="s">
        <v>1424</v>
      </c>
      <c r="J516" s="12" t="str">
        <f>CONCATENATE("(${Variables:",E516,"_kcat","} * ",E516," * ",G516,")","/(${Variables:",E516,"_km","} + (",E516," * ",G516,"))")</f>
        <v>(${Variables:E2_7_7_7_kcat} * E2_7_7_7 * C00459 * C00039)/(${Variables:E2_7_7_7_km} + (E2_7_7_7 * C00459 * C00039))</v>
      </c>
      <c r="K516" s="43" t="str">
        <f>CONCATENATE("r",D516,": ",F516," -&gt; ",H516," | ",J516)</f>
        <v>r526: C00459 + C00039 -&gt; C00013 + C00039 | (${Variables:E2_7_7_7_kcat} * E2_7_7_7 * C00459 * C00039)/(${Variables:E2_7_7_7_km} + (E2_7_7_7 * C00459 * C00039))</v>
      </c>
    </row>
    <row r="517" spans="1:11" ht="28.5" x14ac:dyDescent="0.45">
      <c r="A517" s="53" t="s">
        <v>4055</v>
      </c>
      <c r="B517" s="54" t="s">
        <v>4056</v>
      </c>
      <c r="C517" t="s">
        <v>1841</v>
      </c>
      <c r="D517" s="12">
        <v>527</v>
      </c>
      <c r="E517" s="12" t="str">
        <f>CONCATENATE("E",C517)</f>
        <v>E2_7_7_7</v>
      </c>
      <c r="F517" t="s">
        <v>8557</v>
      </c>
      <c r="G517" t="s">
        <v>8557</v>
      </c>
      <c r="H517" t="s">
        <v>1079</v>
      </c>
      <c r="I517" t="s">
        <v>1079</v>
      </c>
      <c r="J517" s="12" t="str">
        <f>CONCATENATE("(${Variables:",E517,"_kcat","} * ",E517," * ",G517,")","/(${Variables:",E517,"_km","} + (",E517," * ",G517,"))")</f>
        <v>(${Variables:E2_7_7_7_kcat} * E2_7_7_7 * C11039 )/(${Variables:E2_7_7_7_km} + (E2_7_7_7 * C11039 ))</v>
      </c>
      <c r="K517" s="43" t="str">
        <f>CONCATENATE("r",D517,": ",F517," -&gt; ",H517," | ",J517)</f>
        <v>r527: C11039  -&gt; C21031 | (${Variables:E2_7_7_7_kcat} * E2_7_7_7 * C11039 )/(${Variables:E2_7_7_7_km} + (E2_7_7_7 * C11039 ))</v>
      </c>
    </row>
    <row r="518" spans="1:11" ht="42.75" x14ac:dyDescent="0.45">
      <c r="A518" s="53" t="s">
        <v>5258</v>
      </c>
      <c r="B518" s="54" t="s">
        <v>5259</v>
      </c>
      <c r="C518" t="s">
        <v>1841</v>
      </c>
      <c r="D518" s="12">
        <v>528</v>
      </c>
      <c r="E518" s="12" t="str">
        <f>CONCATENATE("E",C518)</f>
        <v>E2_7_7_7</v>
      </c>
      <c r="F518" s="55" t="s">
        <v>10939</v>
      </c>
      <c r="G518" s="55" t="s">
        <v>10606</v>
      </c>
      <c r="H518" s="55" t="s">
        <v>8971</v>
      </c>
      <c r="I518" s="55" t="s">
        <v>10831</v>
      </c>
      <c r="J518" s="12" t="str">
        <f>CONCATENATE("(${Variables:",E518,"_kcat","} * ",E518," * ",G518,")","/(${Variables:",E518,"_km","} + (",E518," * ",G518,"))")</f>
        <v>(${Variables:E2_7_7_7_kcat} * E2_7_7_7 * C00677 * C00039)/(${Variables:E2_7_7_7_km} + (E2_7_7_7 * C00677 * C00039))</v>
      </c>
      <c r="K518" s="43" t="str">
        <f>CONCATENATE("r",D518,": ",F518," -&gt; ",H518," | ",J518)</f>
        <v>r528: C00677 + C00039 -&gt; C00013 + C00039 | (${Variables:E2_7_7_7_kcat} * E2_7_7_7 * C00677 * C00039)/(${Variables:E2_7_7_7_km} + (E2_7_7_7 * C00677 * C00039))</v>
      </c>
    </row>
    <row r="519" spans="1:11" ht="42.75" x14ac:dyDescent="0.45">
      <c r="A519" s="53" t="s">
        <v>5258</v>
      </c>
      <c r="B519" s="54" t="s">
        <v>5259</v>
      </c>
      <c r="C519" t="s">
        <v>1841</v>
      </c>
      <c r="D519" s="12">
        <v>529</v>
      </c>
      <c r="E519" s="12" t="str">
        <f>CONCATENATE("E",C519)</f>
        <v>E2_7_7_7</v>
      </c>
      <c r="F519" s="55" t="s">
        <v>3199</v>
      </c>
      <c r="G519" s="55" t="s">
        <v>1423</v>
      </c>
      <c r="H519" s="55" t="s">
        <v>3481</v>
      </c>
      <c r="I519" s="55" t="s">
        <v>1424</v>
      </c>
      <c r="J519" s="12" t="str">
        <f>CONCATENATE("(${Variables:",E519,"_kcat","} * ",E519," * ",G519,")","/(${Variables:",E519,"_km","} + (",E519," * ",G519,"))")</f>
        <v>(${Variables:E2_7_7_7_kcat} * E2_7_7_7 * C00131 * C00039)/(${Variables:E2_7_7_7_km} + (E2_7_7_7 * C00131 * C00039))</v>
      </c>
      <c r="K519" s="43" t="str">
        <f>CONCATENATE("r",D519,": ",F519," -&gt; ",H519," | ",J519)</f>
        <v>r529: C00131 + C00039 -&gt; C00013 + C00039 | (${Variables:E2_7_7_7_kcat} * E2_7_7_7 * C00131 * C00039)/(${Variables:E2_7_7_7_km} + (E2_7_7_7 * C00131 * C00039))</v>
      </c>
    </row>
    <row r="520" spans="1:11" ht="42.75" x14ac:dyDescent="0.45">
      <c r="A520" s="53" t="s">
        <v>5258</v>
      </c>
      <c r="B520" s="54" t="s">
        <v>5259</v>
      </c>
      <c r="C520" t="s">
        <v>1841</v>
      </c>
      <c r="D520" s="12">
        <v>530</v>
      </c>
      <c r="E520" s="12" t="str">
        <f>CONCATENATE("E",C520)</f>
        <v>E2_7_7_7</v>
      </c>
      <c r="F520" s="55" t="s">
        <v>8972</v>
      </c>
      <c r="G520" s="55" t="s">
        <v>10607</v>
      </c>
      <c r="H520" s="55" t="s">
        <v>8971</v>
      </c>
      <c r="I520" s="55" t="s">
        <v>10831</v>
      </c>
      <c r="J520" s="12" t="str">
        <f>CONCATENATE("(${Variables:",E520,"_kcat","} * ",E520," * ",G520,")","/(${Variables:",E520,"_km","} + (",E520," * ",G520,"))")</f>
        <v>(${Variables:E2_7_7_7_kcat} * E2_7_7_7 * C00286 * C00039)/(${Variables:E2_7_7_7_km} + (E2_7_7_7 * C00286 * C00039))</v>
      </c>
      <c r="K520" s="43" t="str">
        <f>CONCATENATE("r",D520,": ",F520," -&gt; ",H520," | ",J520)</f>
        <v>r530: C00286 + C00039 -&gt; C00013 + C00039 | (${Variables:E2_7_7_7_kcat} * E2_7_7_7 * C00286 * C00039)/(${Variables:E2_7_7_7_km} + (E2_7_7_7 * C00286 * C00039))</v>
      </c>
    </row>
    <row r="521" spans="1:11" ht="42.75" x14ac:dyDescent="0.45">
      <c r="A521" s="53" t="s">
        <v>5258</v>
      </c>
      <c r="B521" s="54" t="s">
        <v>5259</v>
      </c>
      <c r="C521" t="s">
        <v>1841</v>
      </c>
      <c r="D521" s="12">
        <v>531</v>
      </c>
      <c r="E521" s="12" t="str">
        <f>CONCATENATE("E",C521)</f>
        <v>E2_7_7_7</v>
      </c>
      <c r="F521" s="56" t="s">
        <v>3201</v>
      </c>
      <c r="G521" s="56" t="s">
        <v>1509</v>
      </c>
      <c r="H521" s="55" t="s">
        <v>3481</v>
      </c>
      <c r="I521" s="55" t="s">
        <v>1424</v>
      </c>
      <c r="J521" s="12" t="str">
        <f>CONCATENATE("(${Variables:",E521,"_kcat","} * ",E521," * ",G521,")","/(${Variables:",E521,"_km","} + (",E521," * ",G521,"))")</f>
        <v>(${Variables:E2_7_7_7_kcat} * E2_7_7_7 * C00458 * C00039)/(${Variables:E2_7_7_7_km} + (E2_7_7_7 * C00458 * C00039))</v>
      </c>
      <c r="K521" s="43" t="str">
        <f>CONCATENATE("r",D521,": ",F521," -&gt; ",H521," | ",J521)</f>
        <v>r531: C00458 + C00039 -&gt; C00013 + C00039 | (${Variables:E2_7_7_7_kcat} * E2_7_7_7 * C00458 * C00039)/(${Variables:E2_7_7_7_km} + (E2_7_7_7 * C00458 * C00039))</v>
      </c>
    </row>
    <row r="522" spans="1:11" ht="42.75" x14ac:dyDescent="0.45">
      <c r="A522" s="53" t="s">
        <v>5258</v>
      </c>
      <c r="B522" s="54" t="s">
        <v>5259</v>
      </c>
      <c r="C522" t="s">
        <v>1841</v>
      </c>
      <c r="D522" s="12">
        <v>532</v>
      </c>
      <c r="E522" s="12" t="str">
        <f>CONCATENATE("E",C522)</f>
        <v>E2_7_7_7</v>
      </c>
      <c r="F522" s="55" t="s">
        <v>3202</v>
      </c>
      <c r="G522" s="55" t="s">
        <v>1512</v>
      </c>
      <c r="H522" s="55" t="s">
        <v>3481</v>
      </c>
      <c r="I522" s="55" t="s">
        <v>1424</v>
      </c>
      <c r="J522" s="12" t="str">
        <f>CONCATENATE("(${Variables:",E522,"_kcat","} * ",E522," * ",G522,")","/(${Variables:",E522,"_km","} + (",E522," * ",G522,"))")</f>
        <v>(${Variables:E2_7_7_7_kcat} * E2_7_7_7 * C00459 * C00039)/(${Variables:E2_7_7_7_km} + (E2_7_7_7 * C00459 * C00039))</v>
      </c>
      <c r="K522" s="43" t="str">
        <f>CONCATENATE("r",D522,": ",F522," -&gt; ",H522," | ",J522)</f>
        <v>r532: C00459 + C00039 -&gt; C00013 + C00039 | (${Variables:E2_7_7_7_kcat} * E2_7_7_7 * C00459 * C00039)/(${Variables:E2_7_7_7_km} + (E2_7_7_7 * C00459 * C00039))</v>
      </c>
    </row>
    <row r="523" spans="1:11" ht="28.5" x14ac:dyDescent="0.45">
      <c r="A523" s="53" t="s">
        <v>5258</v>
      </c>
      <c r="B523" s="54" t="s">
        <v>5259</v>
      </c>
      <c r="C523" t="s">
        <v>1841</v>
      </c>
      <c r="D523" s="12">
        <v>533</v>
      </c>
      <c r="E523" s="12" t="str">
        <f>CONCATENATE("E",C523)</f>
        <v>E2_7_7_7</v>
      </c>
      <c r="F523" s="56" t="s">
        <v>1078</v>
      </c>
      <c r="G523" s="56" t="s">
        <v>1078</v>
      </c>
      <c r="H523" s="55" t="s">
        <v>1079</v>
      </c>
      <c r="I523" s="55" t="s">
        <v>1079</v>
      </c>
      <c r="J523" s="12" t="str">
        <f>CONCATENATE("(${Variables:",E523,"_kcat","} * ",E523," * ",G523,")","/(${Variables:",E523,"_km","} + (",E523," * ",G523,"))")</f>
        <v>(${Variables:E2_7_7_7_kcat} * E2_7_7_7 * C11039)/(${Variables:E2_7_7_7_km} + (E2_7_7_7 * C11039))</v>
      </c>
      <c r="K523" s="43" t="str">
        <f>CONCATENATE("r",D523,": ",F523," -&gt; ",H523," | ",J523)</f>
        <v>r533: C11039 -&gt; C21031 | (${Variables:E2_7_7_7_kcat} * E2_7_7_7 * C11039)/(${Variables:E2_7_7_7_km} + (E2_7_7_7 * C11039))</v>
      </c>
    </row>
    <row r="524" spans="1:11" ht="42.75" x14ac:dyDescent="0.45">
      <c r="A524" s="53" t="s">
        <v>6418</v>
      </c>
      <c r="B524" s="54" t="s">
        <v>6419</v>
      </c>
      <c r="C524" t="s">
        <v>1881</v>
      </c>
      <c r="D524" s="12">
        <v>534</v>
      </c>
      <c r="E524" s="12" t="str">
        <f>CONCATENATE("E",C524)</f>
        <v>E2_7_7_72</v>
      </c>
      <c r="F524" t="s">
        <v>3205</v>
      </c>
      <c r="G524" t="s">
        <v>1588</v>
      </c>
      <c r="H524" t="s">
        <v>3483</v>
      </c>
      <c r="I524" t="s">
        <v>1589</v>
      </c>
      <c r="J524" s="12" t="str">
        <f>CONCATENATE("(${Variables:",E524,"_kcat","} * ",E524," * ",G524,")","/(${Variables:",E524,"_km","} + (",E524," * ",G524,"))")</f>
        <v>(${Variables:E2_7_7_72_kcat} * E2_7_7_72 * C02211 * C00063 * C00002)/(${Variables:E2_7_7_72_km} + (E2_7_7_72 * C02211 * C00063 * C00002))</v>
      </c>
      <c r="K524" s="43" t="str">
        <f>CONCATENATE("r",D524,": ",F524," -&gt; ",H524," | ",J524)</f>
        <v>r534: C02211 + C00063 + C00002 -&gt; C19085 + C00013 | (${Variables:E2_7_7_72_kcat} * E2_7_7_72 * C02211 * C00063 * C00002)/(${Variables:E2_7_7_72_km} + (E2_7_7_72 * C02211 * C00063 * C00002))</v>
      </c>
    </row>
    <row r="525" spans="1:11" ht="42.75" x14ac:dyDescent="0.45">
      <c r="A525" s="53" t="s">
        <v>6418</v>
      </c>
      <c r="B525" s="54" t="s">
        <v>6419</v>
      </c>
      <c r="C525" t="s">
        <v>1881</v>
      </c>
      <c r="D525" s="12">
        <v>535</v>
      </c>
      <c r="E525" s="12" t="str">
        <f>CONCATENATE("E",C525)</f>
        <v>E2_7_7_72</v>
      </c>
      <c r="F525" t="s">
        <v>3204</v>
      </c>
      <c r="G525" t="s">
        <v>1586</v>
      </c>
      <c r="H525" t="s">
        <v>3482</v>
      </c>
      <c r="I525" t="s">
        <v>1587</v>
      </c>
      <c r="J525" s="12" t="str">
        <f>CONCATENATE("(${Variables:",E525,"_kcat","} * ",E525," * ",G525,")","/(${Variables:",E525,"_km","} + (",E525," * ",G525,"))")</f>
        <v>(${Variables:E2_7_7_72_kcat} * E2_7_7_72 * C02211 * C00063)/(${Variables:E2_7_7_72_km} + (E2_7_7_72 * C02211 * C00063))</v>
      </c>
      <c r="K525" s="43" t="str">
        <f>CONCATENATE("r",D525,": ",F525," -&gt; ",H525," | ",J525)</f>
        <v>r535: C02211 + C00063 -&gt; C19078 + C00013 | (${Variables:E2_7_7_72_kcat} * E2_7_7_72 * C02211 * C00063)/(${Variables:E2_7_7_72_km} + (E2_7_7_72 * C02211 * C00063))</v>
      </c>
    </row>
    <row r="526" spans="1:11" ht="42.75" x14ac:dyDescent="0.45">
      <c r="A526" s="53" t="s">
        <v>6418</v>
      </c>
      <c r="B526" s="54" t="s">
        <v>6419</v>
      </c>
      <c r="C526" t="s">
        <v>1881</v>
      </c>
      <c r="D526" s="12">
        <v>536</v>
      </c>
      <c r="E526" s="12" t="str">
        <f>CONCATENATE("E",C526)</f>
        <v>E2_7_7_72</v>
      </c>
      <c r="F526" t="s">
        <v>3206</v>
      </c>
      <c r="G526" t="s">
        <v>1684</v>
      </c>
      <c r="H526" t="s">
        <v>3484</v>
      </c>
      <c r="I526" t="s">
        <v>1685</v>
      </c>
      <c r="J526" s="12" t="str">
        <f>CONCATENATE("(${Variables:",E526,"_kcat","} * ",E526," * ",G526,")","/(${Variables:",E526,"_km","} + (",E526," * ",G526,"))")</f>
        <v>(${Variables:E2_7_7_72_kcat} * E2_7_7_72 * C19078 * C00063)/(${Variables:E2_7_7_72_km} + (E2_7_7_72 * C19078 * C00063))</v>
      </c>
      <c r="K526" s="43" t="str">
        <f>CONCATENATE("r",D526,": ",F526," -&gt; ",H526," | ",J526)</f>
        <v>r536: C19078 + C00063 -&gt; C19080 + C00013 | (${Variables:E2_7_7_72_kcat} * E2_7_7_72 * C19078 * C00063)/(${Variables:E2_7_7_72_km} + (E2_7_7_72 * C19078 * C00063))</v>
      </c>
    </row>
    <row r="527" spans="1:11" ht="42.75" x14ac:dyDescent="0.45">
      <c r="A527" s="53" t="s">
        <v>6418</v>
      </c>
      <c r="B527" s="54" t="s">
        <v>6419</v>
      </c>
      <c r="C527" t="s">
        <v>1881</v>
      </c>
      <c r="D527" s="12">
        <v>537</v>
      </c>
      <c r="E527" s="12" t="str">
        <f>CONCATENATE("E",C527)</f>
        <v>E2_7_7_72</v>
      </c>
      <c r="F527" t="s">
        <v>3207</v>
      </c>
      <c r="G527" t="s">
        <v>1686</v>
      </c>
      <c r="H527" t="s">
        <v>3483</v>
      </c>
      <c r="I527" t="s">
        <v>1589</v>
      </c>
      <c r="J527" s="12" t="str">
        <f>CONCATENATE("(${Variables:",E527,"_kcat","} * ",E527," * ",G527,")","/(${Variables:",E527,"_km","} + (",E527," * ",G527,"))")</f>
        <v>(${Variables:E2_7_7_72_kcat} * E2_7_7_72 * C19080 * C00002)/(${Variables:E2_7_7_72_km} + (E2_7_7_72 * C19080 * C00002))</v>
      </c>
      <c r="K527" s="43" t="str">
        <f>CONCATENATE("r",D527,": ",F527," -&gt; ",H527," | ",J527)</f>
        <v>r537: C19080 + C00002 -&gt; C19085 + C00013 | (${Variables:E2_7_7_72_kcat} * E2_7_7_72 * C19080 * C00002)/(${Variables:E2_7_7_72_km} + (E2_7_7_72 * C19080 * C00002))</v>
      </c>
    </row>
    <row r="528" spans="1:11" ht="42.75" x14ac:dyDescent="0.45">
      <c r="A528" s="53" t="s">
        <v>7927</v>
      </c>
      <c r="B528" s="54" t="s">
        <v>7928</v>
      </c>
      <c r="C528" t="s">
        <v>10369</v>
      </c>
      <c r="D528" s="12">
        <v>538</v>
      </c>
      <c r="E528" s="12" t="str">
        <f>CONCATENATE("E",C528)</f>
        <v>E2_7_7_8</v>
      </c>
      <c r="F528" t="s">
        <v>10185</v>
      </c>
      <c r="G528" t="s">
        <v>10608</v>
      </c>
      <c r="H528" t="s">
        <v>10186</v>
      </c>
      <c r="I528" t="s">
        <v>10832</v>
      </c>
      <c r="J528" s="12" t="str">
        <f>CONCATENATE("(${Variables:",E528,"_kcat","} * ",E528," * ",G528,")","/(${Variables:",E528,"_km","} + (",E528," * ",G528,"))")</f>
        <v>(${Variables:E2_7_7_8_kcat} * E2_7_7_8 * C00046 * C00009)/(${Variables:E2_7_7_8_km} + (E2_7_7_8 * C00046 * C00009))</v>
      </c>
      <c r="K528" s="43" t="str">
        <f>CONCATENATE("r",D528,": ",F528," -&gt; ",H528," | ",J528)</f>
        <v>r538: C00046 + C00009 -&gt; C00046 + C00454 | (${Variables:E2_7_7_8_kcat} * E2_7_7_8 * C00046 * C00009)/(${Variables:E2_7_7_8_km} + (E2_7_7_8 * C00046 * C00009))</v>
      </c>
    </row>
    <row r="529" spans="1:11" ht="42.75" x14ac:dyDescent="0.45">
      <c r="A529" s="53" t="s">
        <v>7927</v>
      </c>
      <c r="B529" s="54" t="s">
        <v>7928</v>
      </c>
      <c r="C529" t="s">
        <v>10369</v>
      </c>
      <c r="D529" s="12">
        <v>539</v>
      </c>
      <c r="E529" s="12" t="str">
        <f>CONCATENATE("E",C529)</f>
        <v>E2_7_7_8</v>
      </c>
      <c r="F529" s="12" t="s">
        <v>10185</v>
      </c>
      <c r="G529" s="12" t="s">
        <v>10608</v>
      </c>
      <c r="H529" t="s">
        <v>10188</v>
      </c>
      <c r="I529" t="s">
        <v>10833</v>
      </c>
      <c r="J529" s="12" t="str">
        <f>CONCATENATE("(${Variables:",E529,"_kcat","} * ",E529," * ",G529,")","/(${Variables:",E529,"_km","} + (",E529," * ",G529,"))")</f>
        <v>(${Variables:E2_7_7_8_kcat} * E2_7_7_8 * C00046 * C00009)/(${Variables:E2_7_7_8_km} + (E2_7_7_8 * C00046 * C00009))</v>
      </c>
      <c r="K529" s="43" t="str">
        <f>CONCATENATE("r",D529,": ",F529," -&gt; ",H529," | ",J529)</f>
        <v>r539: C00046 + C00009 -&gt; C00046 + C00008 | (${Variables:E2_7_7_8_kcat} * E2_7_7_8 * C00046 * C00009)/(${Variables:E2_7_7_8_km} + (E2_7_7_8 * C00046 * C00009))</v>
      </c>
    </row>
    <row r="530" spans="1:11" ht="42.75" x14ac:dyDescent="0.45">
      <c r="A530" s="53" t="s">
        <v>7927</v>
      </c>
      <c r="B530" s="54" t="s">
        <v>7928</v>
      </c>
      <c r="C530" t="s">
        <v>10369</v>
      </c>
      <c r="D530" s="12">
        <v>540</v>
      </c>
      <c r="E530" s="12" t="str">
        <f>CONCATENATE("E",C530)</f>
        <v>E2_7_7_8</v>
      </c>
      <c r="F530" s="12" t="s">
        <v>10185</v>
      </c>
      <c r="G530" s="12" t="s">
        <v>10608</v>
      </c>
      <c r="H530" t="s">
        <v>10190</v>
      </c>
      <c r="I530" t="s">
        <v>10834</v>
      </c>
      <c r="J530" s="12" t="str">
        <f>CONCATENATE("(${Variables:",E530,"_kcat","} * ",E530," * ",G530,")","/(${Variables:",E530,"_km","} + (",E530," * ",G530,"))")</f>
        <v>(${Variables:E2_7_7_8_kcat} * E2_7_7_8 * C00046 * C00009)/(${Variables:E2_7_7_8_km} + (E2_7_7_8 * C00046 * C00009))</v>
      </c>
      <c r="K530" s="43" t="str">
        <f>CONCATENATE("r",D530,": ",F530," -&gt; ",H530," | ",J530)</f>
        <v>r540: C00046 + C00009 -&gt; C00046 + C00015 | (${Variables:E2_7_7_8_kcat} * E2_7_7_8 * C00046 * C00009)/(${Variables:E2_7_7_8_km} + (E2_7_7_8 * C00046 * C00009))</v>
      </c>
    </row>
    <row r="531" spans="1:11" ht="42.75" x14ac:dyDescent="0.45">
      <c r="A531" s="53" t="s">
        <v>7927</v>
      </c>
      <c r="B531" s="54" t="s">
        <v>7928</v>
      </c>
      <c r="C531" t="s">
        <v>10369</v>
      </c>
      <c r="D531" s="12">
        <v>541</v>
      </c>
      <c r="E531" s="12" t="str">
        <f>CONCATENATE("E",C531)</f>
        <v>E2_7_7_8</v>
      </c>
      <c r="F531" s="12" t="s">
        <v>10185</v>
      </c>
      <c r="G531" s="12" t="s">
        <v>10608</v>
      </c>
      <c r="H531" t="s">
        <v>10192</v>
      </c>
      <c r="I531" t="s">
        <v>10835</v>
      </c>
      <c r="J531" s="12" t="str">
        <f>CONCATENATE("(${Variables:",E531,"_kcat","} * ",E531," * ",G531,")","/(${Variables:",E531,"_km","} + (",E531," * ",G531,"))")</f>
        <v>(${Variables:E2_7_7_8_kcat} * E2_7_7_8 * C00046 * C00009)/(${Variables:E2_7_7_8_km} + (E2_7_7_8 * C00046 * C00009))</v>
      </c>
      <c r="K531" s="43" t="str">
        <f>CONCATENATE("r",D531,": ",F531," -&gt; ",H531," | ",J531)</f>
        <v>r541: C00046 + C00009 -&gt; C00046 + C00035 | (${Variables:E2_7_7_8_kcat} * E2_7_7_8 * C00046 * C00009)/(${Variables:E2_7_7_8_km} + (E2_7_7_8 * C00046 * C00009))</v>
      </c>
    </row>
    <row r="532" spans="1:11" ht="42.75" x14ac:dyDescent="0.45">
      <c r="A532" s="53" t="s">
        <v>7927</v>
      </c>
      <c r="B532" s="54" t="s">
        <v>7928</v>
      </c>
      <c r="C532" t="s">
        <v>10369</v>
      </c>
      <c r="D532" s="12">
        <v>542</v>
      </c>
      <c r="E532" s="12" t="str">
        <f>CONCATENATE("E",C532)</f>
        <v>E2_7_7_8</v>
      </c>
      <c r="F532" s="12" t="s">
        <v>10185</v>
      </c>
      <c r="G532" s="12" t="s">
        <v>10608</v>
      </c>
      <c r="H532" t="s">
        <v>10194</v>
      </c>
      <c r="I532" t="s">
        <v>10836</v>
      </c>
      <c r="J532" s="12" t="str">
        <f>CONCATENATE("(${Variables:",E532,"_kcat","} * ",E532," * ",G532,")","/(${Variables:",E532,"_km","} + (",E532," * ",G532,"))")</f>
        <v>(${Variables:E2_7_7_8_kcat} * E2_7_7_8 * C00046 * C00009)/(${Variables:E2_7_7_8_km} + (E2_7_7_8 * C00046 * C00009))</v>
      </c>
      <c r="K532" s="43" t="str">
        <f>CONCATENATE("r",D532,": ",F532," -&gt; ",H532," | ",J532)</f>
        <v>r542: C00046 + C00009 -&gt; C00046 + C00112 | (${Variables:E2_7_7_8_kcat} * E2_7_7_8 * C00046 * C00009)/(${Variables:E2_7_7_8_km} + (E2_7_7_8 * C00046 * C00009))</v>
      </c>
    </row>
    <row r="533" spans="1:11" ht="42.75" x14ac:dyDescent="0.45">
      <c r="A533" s="53" t="s">
        <v>6642</v>
      </c>
      <c r="B533" s="54" t="s">
        <v>6643</v>
      </c>
      <c r="C533" t="s">
        <v>1721</v>
      </c>
      <c r="D533" s="12">
        <v>543</v>
      </c>
      <c r="E533" s="12" t="str">
        <f>CONCATENATE("E",C533)</f>
        <v>E2_7_7_85</v>
      </c>
      <c r="F533" t="s">
        <v>1080</v>
      </c>
      <c r="G533" t="s">
        <v>1080</v>
      </c>
      <c r="H533" t="s">
        <v>3485</v>
      </c>
      <c r="I533" t="s">
        <v>1143</v>
      </c>
      <c r="J533" s="12" t="str">
        <f>CONCATENATE("(${Variables:",E533,"_kcat","} * ",E533," * ",G533,")","/(${Variables:",E533,"_km","} + (",E533," * ",G533,"))")</f>
        <v>(${Variables:E2_7_7_85_kcat} * E2_7_7_85 * C00002)/(${Variables:E2_7_7_85_km} + (E2_7_7_85 * C00002))</v>
      </c>
      <c r="K533" s="43" t="str">
        <f>CONCATENATE("r",D533,": ",F533," -&gt; ",H533," | ",J533)</f>
        <v>r543: C00002 -&gt; C00013 + C20565 | (${Variables:E2_7_7_85_kcat} * E2_7_7_85 * C00002)/(${Variables:E2_7_7_85_km} + (E2_7_7_85 * C00002))</v>
      </c>
    </row>
    <row r="534" spans="1:11" ht="57" x14ac:dyDescent="0.45">
      <c r="A534" s="53" t="s">
        <v>6272</v>
      </c>
      <c r="B534" s="54" t="s">
        <v>6273</v>
      </c>
      <c r="C534" t="s">
        <v>1848</v>
      </c>
      <c r="D534" s="12">
        <v>544</v>
      </c>
      <c r="E534" s="12" t="str">
        <f>CONCATENATE("E",C534)</f>
        <v>E2_7_7_87</v>
      </c>
      <c r="F534" s="12" t="s">
        <v>3208</v>
      </c>
      <c r="G534" s="12" t="s">
        <v>1443</v>
      </c>
      <c r="H534" t="s">
        <v>3486</v>
      </c>
      <c r="I534" t="s">
        <v>1444</v>
      </c>
      <c r="J534" s="12" t="str">
        <f>CONCATENATE("(${Variables:",E534,"_kcat","} * ",E534," * ",G534,")","/(${Variables:",E534,"_km","} + (",E534," * ",G534,"))")</f>
        <v>(${Variables:E2_7_7_87_kcat} * E2_7_7_87 * C00188 * C00002 * C00288 * C00080)/(${Variables:E2_7_7_87_km} + (E2_7_7_87 * C00188 * C00002 * C00288 * C00080))</v>
      </c>
      <c r="K534" s="43" t="str">
        <f>CONCATENATE("r",D534,": ",F534," -&gt; ",H534," | ",J534)</f>
        <v>r544: C00188 + C00002 + C00288 + C00080 -&gt; C20641 + C00013 + C00001 | (${Variables:E2_7_7_87_kcat} * E2_7_7_87 * C00188 * C00002 * C00288 * C00080)/(${Variables:E2_7_7_87_km} + (E2_7_7_87 * C00188 * C00002 * C00288 * C00080))</v>
      </c>
    </row>
    <row r="535" spans="1:11" ht="42.75" x14ac:dyDescent="0.45">
      <c r="A535" s="53" t="s">
        <v>4138</v>
      </c>
      <c r="B535" s="54" t="s">
        <v>4139</v>
      </c>
      <c r="C535" t="s">
        <v>1822</v>
      </c>
      <c r="D535" s="12">
        <v>545</v>
      </c>
      <c r="E535" s="12" t="str">
        <f>CONCATENATE("E",C535)</f>
        <v>E2_7_7_9</v>
      </c>
      <c r="F535" t="s">
        <v>3209</v>
      </c>
      <c r="G535" t="s">
        <v>1375</v>
      </c>
      <c r="H535" t="s">
        <v>3487</v>
      </c>
      <c r="I535" t="s">
        <v>1376</v>
      </c>
      <c r="J535" s="12" t="str">
        <f>CONCATENATE("(${Variables:",E535,"_kcat","} * ",E535," * ",G535,")","/(${Variables:",E535,"_km","} + (",E535," * ",G535,"))")</f>
        <v>(${Variables:E2_7_7_9_kcat} * E2_7_7_9 * C00075 * C00103)/(${Variables:E2_7_7_9_km} + (E2_7_7_9 * C00075 * C00103))</v>
      </c>
      <c r="K535" s="43" t="str">
        <f>CONCATENATE("r",D535,": ",F535," -&gt; ",H535," | ",J535)</f>
        <v>r545: C00075 + C00103 -&gt; C00013 + C00029 | (${Variables:E2_7_7_9_kcat} * E2_7_7_9 * C00075 * C00103)/(${Variables:E2_7_7_9_km} + (E2_7_7_9 * C00075 * C00103))</v>
      </c>
    </row>
    <row r="536" spans="1:11" ht="42.75" x14ac:dyDescent="0.45">
      <c r="A536" s="53" t="s">
        <v>4102</v>
      </c>
      <c r="B536" s="54" t="s">
        <v>4103</v>
      </c>
      <c r="C536" t="s">
        <v>1822</v>
      </c>
      <c r="D536" s="12">
        <v>546</v>
      </c>
      <c r="E536" s="12" t="str">
        <f>CONCATENATE("E",C536)</f>
        <v>E2_7_7_9</v>
      </c>
      <c r="F536" s="12" t="s">
        <v>3209</v>
      </c>
      <c r="G536" s="12" t="s">
        <v>1375</v>
      </c>
      <c r="H536" t="s">
        <v>3487</v>
      </c>
      <c r="I536" t="s">
        <v>1376</v>
      </c>
      <c r="J536" s="12" t="str">
        <f>CONCATENATE("(${Variables:",E536,"_kcat","} * ",E536," * ",G536,")","/(${Variables:",E536,"_km","} + (",E536," * ",G536,"))")</f>
        <v>(${Variables:E2_7_7_9_kcat} * E2_7_7_9 * C00075 * C00103)/(${Variables:E2_7_7_9_km} + (E2_7_7_9 * C00075 * C00103))</v>
      </c>
      <c r="K536" s="43" t="str">
        <f>CONCATENATE("r",D536,": ",F536," -&gt; ",H536," | ",J536)</f>
        <v>r546: C00075 + C00103 -&gt; C00013 + C00029 | (${Variables:E2_7_7_9_kcat} * E2_7_7_9 * C00075 * C00103)/(${Variables:E2_7_7_9_km} + (E2_7_7_9 * C00075 * C00103))</v>
      </c>
    </row>
    <row r="537" spans="1:11" ht="42.75" x14ac:dyDescent="0.45">
      <c r="A537" s="53" t="s">
        <v>7450</v>
      </c>
      <c r="B537" s="54" t="s">
        <v>7451</v>
      </c>
      <c r="C537" t="s">
        <v>1893</v>
      </c>
      <c r="D537" s="12">
        <v>547</v>
      </c>
      <c r="E537" s="12" t="str">
        <f>CONCATENATE("E",C537)</f>
        <v>E2_7_8_13</v>
      </c>
      <c r="F537" t="s">
        <v>3210</v>
      </c>
      <c r="G537" t="s">
        <v>1621</v>
      </c>
      <c r="H537" t="s">
        <v>3488</v>
      </c>
      <c r="I537" t="s">
        <v>1622</v>
      </c>
      <c r="J537" s="12" t="str">
        <f>CONCATENATE("(${Variables:",E537,"_kcat","} * ",E537," * ",G537,")","/(${Variables:",E537,"_km","} + (",E537," * ",G537,"))")</f>
        <v>(${Variables:E2_7_8_13_kcat} * E2_7_8_13 * C04702 * C17556)/(${Variables:E2_7_8_13_km} + (E2_7_8_13 * C04702 * C17556))</v>
      </c>
      <c r="K537" s="43" t="str">
        <f>CONCATENATE("r",D537,": ",F537," -&gt; ",H537," | ",J537)</f>
        <v>r547: C04702 + C17556 -&gt; C00105 + C04851 | (${Variables:E2_7_8_13_kcat} * E2_7_8_13 * C04702 * C17556)/(${Variables:E2_7_8_13_km} + (E2_7_8_13 * C04702 * C17556))</v>
      </c>
    </row>
    <row r="538" spans="1:11" ht="42.75" x14ac:dyDescent="0.45">
      <c r="A538" s="53" t="s">
        <v>7450</v>
      </c>
      <c r="B538" s="54" t="s">
        <v>7451</v>
      </c>
      <c r="C538" t="s">
        <v>1893</v>
      </c>
      <c r="D538" s="12">
        <v>548</v>
      </c>
      <c r="E538" s="12" t="str">
        <f>CONCATENATE("E",C538)</f>
        <v>E2_7_8_13</v>
      </c>
      <c r="F538" t="s">
        <v>3211</v>
      </c>
      <c r="G538" t="s">
        <v>1627</v>
      </c>
      <c r="H538" t="s">
        <v>3489</v>
      </c>
      <c r="I538" t="s">
        <v>1628</v>
      </c>
      <c r="J538" s="12" t="str">
        <f>CONCATENATE("(${Variables:",E538,"_kcat","} * ",E538," * ",G538,")","/(${Variables:",E538,"_km","} + (",E538," * ",G538,"))")</f>
        <v>(${Variables:E2_7_8_13_kcat} * E2_7_8_13 * C04882 * C17556)/(${Variables:E2_7_8_13_km} + (E2_7_8_13 * C04882 * C17556))</v>
      </c>
      <c r="K538" s="43" t="str">
        <f>CONCATENATE("r",D538,": ",F538," -&gt; ",H538," | ",J538)</f>
        <v>r548: C04882 + C17556 -&gt; C00105 + C05897 | (${Variables:E2_7_8_13_kcat} * E2_7_8_13 * C04882 * C17556)/(${Variables:E2_7_8_13_km} + (E2_7_8_13 * C04882 * C17556))</v>
      </c>
    </row>
    <row r="539" spans="1:11" ht="42.75" x14ac:dyDescent="0.45">
      <c r="A539" s="53" t="s">
        <v>8310</v>
      </c>
      <c r="B539" s="54" t="s">
        <v>8311</v>
      </c>
      <c r="C539" t="s">
        <v>1856</v>
      </c>
      <c r="D539" s="12">
        <v>549</v>
      </c>
      <c r="E539" s="12" t="str">
        <f>CONCATENATE("E",C539)</f>
        <v>E2_7_8_5</v>
      </c>
      <c r="F539" s="12" t="s">
        <v>3212</v>
      </c>
      <c r="G539" s="12" t="s">
        <v>1467</v>
      </c>
      <c r="H539" t="s">
        <v>3490</v>
      </c>
      <c r="I539" t="s">
        <v>1468</v>
      </c>
      <c r="J539" s="12" t="str">
        <f>CONCATENATE("(${Variables:",E539,"_kcat","} * ",E539," * ",G539,")","/(${Variables:",E539,"_km","} + (",E539," * ",G539,"))")</f>
        <v>(${Variables:E2_7_8_5_kcat} * E2_7_8_5 * C00269 * C00093)/(${Variables:E2_7_8_5_km} + (E2_7_8_5 * C00269 * C00093))</v>
      </c>
      <c r="K539" s="43" t="str">
        <f>CONCATENATE("r",D539,": ",F539," -&gt; ",H539," | ",J539)</f>
        <v>r549: C00269 + C00093 -&gt; C00055 + C03892 | (${Variables:E2_7_8_5_kcat} * E2_7_8_5 * C00269 * C00093)/(${Variables:E2_7_8_5_km} + (E2_7_8_5 * C00269 * C00093))</v>
      </c>
    </row>
    <row r="540" spans="1:11" ht="42.75" x14ac:dyDescent="0.45">
      <c r="A540" s="53" t="s">
        <v>4569</v>
      </c>
      <c r="B540" s="54" t="s">
        <v>4570</v>
      </c>
      <c r="C540" t="s">
        <v>1792</v>
      </c>
      <c r="D540" s="12">
        <v>550</v>
      </c>
      <c r="E540" s="12" t="str">
        <f>CONCATENATE("E",C540)</f>
        <v>E2_7_8_7</v>
      </c>
      <c r="F540" s="12" t="s">
        <v>3213</v>
      </c>
      <c r="G540" s="12" t="s">
        <v>1316</v>
      </c>
      <c r="H540" t="s">
        <v>3491</v>
      </c>
      <c r="I540" t="s">
        <v>1317</v>
      </c>
      <c r="J540" s="12" t="str">
        <f>CONCATENATE("(${Variables:",E540,"_kcat","} * ",E540," * ",G540,")","/(${Variables:",E540,"_km","} + (",E540," * ",G540,"))")</f>
        <v>(${Variables:E2_7_8_7_kcat} * E2_7_8_7 * C00010 * C03688)/(${Variables:E2_7_8_7_km} + (E2_7_8_7 * C00010 * C03688))</v>
      </c>
      <c r="K540" s="43" t="str">
        <f>CONCATENATE("r",D540,": ",F540," -&gt; ",H540," | ",J540)</f>
        <v>r550: C00010 + C03688 -&gt; C00054 + C00229 | (${Variables:E2_7_8_7_kcat} * E2_7_8_7 * C00010 * C03688)/(${Variables:E2_7_8_7_km} + (E2_7_8_7 * C00010 * C03688))</v>
      </c>
    </row>
    <row r="541" spans="1:11" ht="42.75" x14ac:dyDescent="0.45">
      <c r="A541" s="53" t="s">
        <v>8287</v>
      </c>
      <c r="B541" s="54" t="s">
        <v>8288</v>
      </c>
      <c r="C541" t="s">
        <v>1869</v>
      </c>
      <c r="D541" s="12">
        <v>551</v>
      </c>
      <c r="E541" s="12" t="str">
        <f>CONCATENATE("E",C541)</f>
        <v>E2_8_1_13</v>
      </c>
      <c r="F541" t="s">
        <v>3214</v>
      </c>
      <c r="G541" t="s">
        <v>1544</v>
      </c>
      <c r="H541" t="s">
        <v>3492</v>
      </c>
      <c r="I541" t="s">
        <v>1545</v>
      </c>
      <c r="J541" s="12" t="str">
        <f>CONCATENATE("(${Variables:",E541,"_kcat","} * ",E541," * ",G541,")","/(${Variables:",E541,"_km","} + (",E541," * ",G541,"))")</f>
        <v>(${Variables:E2_8_1_13_kcat} * E2_8_1_13 * C00868 * C15812 * C00002)/(${Variables:E2_8_1_13_km} + (E2_8_1_13 * C00868 * C15812 * C00002))</v>
      </c>
      <c r="K541" s="43" t="str">
        <f>CONCATENATE("r",D541,": ",F541," -&gt; ",H541," | ",J541)</f>
        <v>r551: C00868 + C15812 + C00002 -&gt; C17322 + C15811 + C00020 + C00013 | (${Variables:E2_8_1_13_kcat} * E2_8_1_13 * C00868 * C15812 * C00002)/(${Variables:E2_8_1_13_km} + (E2_8_1_13 * C00868 * C15812 * C00002))</v>
      </c>
    </row>
    <row r="542" spans="1:11" ht="42.75" x14ac:dyDescent="0.45">
      <c r="A542" s="53" t="s">
        <v>5820</v>
      </c>
      <c r="B542" s="54" t="s">
        <v>5821</v>
      </c>
      <c r="C542" t="s">
        <v>1830</v>
      </c>
      <c r="D542" s="12">
        <v>552</v>
      </c>
      <c r="E542" s="12" t="str">
        <f>CONCATENATE("E",C542)</f>
        <v>E2_8_1_4</v>
      </c>
      <c r="F542" s="12" t="s">
        <v>3215</v>
      </c>
      <c r="G542" s="12" t="s">
        <v>1398</v>
      </c>
      <c r="H542" t="s">
        <v>3493</v>
      </c>
      <c r="I542" t="s">
        <v>1399</v>
      </c>
      <c r="J542" s="12" t="str">
        <f>CONCATENATE("(${Variables:",E542,"_kcat","} * ",E542," * ",G542,")","/(${Variables:",E542,"_km","} + (",E542," * ",G542,"))")</f>
        <v>(${Variables:E2_8_1_4_kcat} * E2_8_1_4 * C00097 * C02342)/(${Variables:E2_8_1_4_km} + (E2_8_1_4 * C00097 * C02342))</v>
      </c>
      <c r="K542" s="43" t="str">
        <f>CONCATENATE("r",D542,": ",F542," -&gt; ",H542," | ",J542)</f>
        <v>r552: C00097 + C02342 -&gt; C00065 + C04161 | (${Variables:E2_8_1_4_kcat} * E2_8_1_4 * C00097 * C02342)/(${Variables:E2_8_1_4_km} + (E2_8_1_4 * C00097 * C02342))</v>
      </c>
    </row>
    <row r="543" spans="1:11" ht="42.75" x14ac:dyDescent="0.45">
      <c r="A543" s="53" t="s">
        <v>5820</v>
      </c>
      <c r="B543" s="54" t="s">
        <v>5821</v>
      </c>
      <c r="C543" t="s">
        <v>1830</v>
      </c>
      <c r="D543" s="12">
        <v>553</v>
      </c>
      <c r="E543" s="12" t="str">
        <f>CONCATENATE("E",C543)</f>
        <v>E2_8_1_4</v>
      </c>
      <c r="F543" s="12" t="s">
        <v>3216</v>
      </c>
      <c r="G543" s="12" t="s">
        <v>1667</v>
      </c>
      <c r="H543" t="s">
        <v>3494</v>
      </c>
      <c r="I543" t="s">
        <v>1668</v>
      </c>
      <c r="J543" s="12" t="str">
        <f>CONCATENATE("(${Variables:",E543,"_kcat","} * ",E543," * ",G543,")","/(${Variables:",E543,"_km","} + (",E543," * ",G543,"))")</f>
        <v>(${Variables:E2_8_1_4_kcat} * E2_8_1_4 * C15812 * C15813 * C00030)/(${Variables:E2_8_1_4_km} + (E2_8_1_4 * C15812 * C15813 * C00030))</v>
      </c>
      <c r="K543" s="43" t="str">
        <f>CONCATENATE("r",D543,": ",F543," -&gt; ",H543," | ",J543)</f>
        <v>r553: C15812 + C15813 + C00030 -&gt; C00020 + C15814 + C15811 + C00028 | (${Variables:E2_8_1_4_kcat} * E2_8_1_4 * C15812 * C15813 * C00030)/(${Variables:E2_8_1_4_km} + (E2_8_1_4 * C15812 * C15813 * C00030))</v>
      </c>
    </row>
    <row r="544" spans="1:11" ht="42.75" x14ac:dyDescent="0.45">
      <c r="A544" s="53" t="s">
        <v>7727</v>
      </c>
      <c r="B544" s="54" t="s">
        <v>7728</v>
      </c>
      <c r="C544" t="s">
        <v>10370</v>
      </c>
      <c r="D544" s="12">
        <v>554</v>
      </c>
      <c r="E544" s="12" t="str">
        <f>CONCATENATE("E",C544)</f>
        <v>E2_8_1_7</v>
      </c>
      <c r="F544" t="s">
        <v>10126</v>
      </c>
      <c r="G544" t="s">
        <v>10609</v>
      </c>
      <c r="H544" t="s">
        <v>10127</v>
      </c>
      <c r="I544" t="s">
        <v>10837</v>
      </c>
      <c r="J544" s="12" t="str">
        <f>CONCATENATE("(${Variables:",E544,"_kcat","} * ",E544," * ",G544,")","/(${Variables:",E544,"_km","} + (",E544," * ",G544,"))")</f>
        <v>(${Variables:E2_8_1_7_kcat} * E2_8_1_7 * C15811 * C00097)/(${Variables:E2_8_1_7_km} + (E2_8_1_7 * C15811 * C00097))</v>
      </c>
      <c r="K544" s="43" t="str">
        <f>CONCATENATE("r",D544,": ",F544," -&gt; ",H544," | ",J544)</f>
        <v>r554: C15811 + C00097 -&gt; C15812 + C00041 | (${Variables:E2_8_1_7_kcat} * E2_8_1_7 * C15811 * C00097)/(${Variables:E2_8_1_7_km} + (E2_8_1_7 * C15811 * C00097))</v>
      </c>
    </row>
    <row r="545" spans="1:11" ht="42.75" x14ac:dyDescent="0.45">
      <c r="A545" s="53" t="s">
        <v>7727</v>
      </c>
      <c r="B545" s="54" t="s">
        <v>7728</v>
      </c>
      <c r="C545" t="s">
        <v>10370</v>
      </c>
      <c r="D545" s="12">
        <v>555</v>
      </c>
      <c r="E545" s="12" t="str">
        <f>CONCATENATE("E",C545)</f>
        <v>E2_8_1_7</v>
      </c>
      <c r="F545" s="12" t="s">
        <v>10130</v>
      </c>
      <c r="G545" s="12" t="s">
        <v>10610</v>
      </c>
      <c r="H545" t="s">
        <v>10131</v>
      </c>
      <c r="I545" t="s">
        <v>10838</v>
      </c>
      <c r="J545" s="12" t="str">
        <f>CONCATENATE("(${Variables:",E545,"_kcat","} * ",E545," * ",G545,")","/(${Variables:",E545,"_km","} + (",E545," * ",G545,"))")</f>
        <v>(${Variables:E2_8_1_7_kcat} * E2_8_1_7 * C00097 * C02743)/(${Variables:E2_8_1_7_km} + (E2_8_1_7 * C00097 * C02743))</v>
      </c>
      <c r="K545" s="43" t="str">
        <f>CONCATENATE("r",D545,": ",F545," -&gt; ",H545," | ",J545)</f>
        <v>r555: C00097 + C02743 -&gt; C00041 + C21440 | (${Variables:E2_8_1_7_kcat} * E2_8_1_7 * C00097 * C02743)/(${Variables:E2_8_1_7_km} + (E2_8_1_7 * C00097 * C02743))</v>
      </c>
    </row>
    <row r="546" spans="1:11" ht="42.75" x14ac:dyDescent="0.45">
      <c r="A546" s="53" t="s">
        <v>7727</v>
      </c>
      <c r="B546" s="54" t="s">
        <v>7728</v>
      </c>
      <c r="C546" t="s">
        <v>10370</v>
      </c>
      <c r="D546" s="12">
        <v>556</v>
      </c>
      <c r="E546" s="12" t="str">
        <f>CONCATENATE("E",C546)</f>
        <v>E2_8_1_7</v>
      </c>
      <c r="F546" s="12" t="s">
        <v>10133</v>
      </c>
      <c r="G546" s="12" t="s">
        <v>10611</v>
      </c>
      <c r="H546" t="s">
        <v>10134</v>
      </c>
      <c r="I546" t="s">
        <v>10839</v>
      </c>
      <c r="J546" s="12" t="str">
        <f>CONCATENATE("(${Variables:",E546,"_kcat","} * ",E546," * ",G546,")","/(${Variables:",E546,"_km","} + (",E546," * ",G546,"))")</f>
        <v>(${Variables:E2_8_1_7_kcat} * E2_8_1_7 * C15812 * C02743)/(${Variables:E2_8_1_7_km} + (E2_8_1_7 * C15812 * C02743))</v>
      </c>
      <c r="K546" s="43" t="str">
        <f>CONCATENATE("r",D546,": ",F546," -&gt; ",H546," | ",J546)</f>
        <v>r556: C15812 + C02743 -&gt; C15811 + C21440 | (${Variables:E2_8_1_7_kcat} * E2_8_1_7 * C15812 * C02743)/(${Variables:E2_8_1_7_km} + (E2_8_1_7 * C15812 * C02743))</v>
      </c>
    </row>
    <row r="547" spans="1:11" ht="42.75" x14ac:dyDescent="0.45">
      <c r="A547" s="53" t="s">
        <v>6200</v>
      </c>
      <c r="B547" s="54" t="s">
        <v>6201</v>
      </c>
      <c r="C547" t="s">
        <v>1807</v>
      </c>
      <c r="D547" s="12">
        <v>557</v>
      </c>
      <c r="E547" s="12" t="str">
        <f>CONCATENATE("E",C547)</f>
        <v>E2_8_3_10</v>
      </c>
      <c r="F547" s="12" t="s">
        <v>3217</v>
      </c>
      <c r="G547" s="12" t="s">
        <v>1333</v>
      </c>
      <c r="H547" t="s">
        <v>3495</v>
      </c>
      <c r="I547" t="s">
        <v>1334</v>
      </c>
      <c r="J547" s="12" t="str">
        <f>CONCATENATE("(${Variables:",E547,"_kcat","} * ",E547," * ",G547,")","/(${Variables:",E547,"_km","} + (",E547," * ",G547,"))")</f>
        <v>(${Variables:E2_8_3_10_kcat} * E2_8_3_10 * C00024 * C00158)/(${Variables:E2_8_3_10_km} + (E2_8_3_10 * C00024 * C00158))</v>
      </c>
      <c r="K547" s="43" t="str">
        <f>CONCATENATE("r",D547,": ",F547," -&gt; ",H547," | ",J547)</f>
        <v>r557: C00024 + C00158 -&gt; C00033 + C00566 | (${Variables:E2_8_3_10_kcat} * E2_8_3_10 * C00024 * C00158)/(${Variables:E2_8_3_10_km} + (E2_8_3_10 * C00024 * C00158))</v>
      </c>
    </row>
    <row r="548" spans="1:11" ht="42.75" x14ac:dyDescent="0.45">
      <c r="A548" s="53" t="s">
        <v>3612</v>
      </c>
      <c r="B548" s="54" t="s">
        <v>3613</v>
      </c>
      <c r="C548" t="s">
        <v>1890</v>
      </c>
      <c r="D548" s="12">
        <v>558</v>
      </c>
      <c r="E548" s="12" t="str">
        <f>CONCATENATE("E",C548)</f>
        <v>E3_1_1_29</v>
      </c>
      <c r="F548" s="58" t="s">
        <v>9758</v>
      </c>
      <c r="G548" s="58" t="s">
        <v>10612</v>
      </c>
      <c r="H548" s="58" t="s">
        <v>9759</v>
      </c>
      <c r="I548" s="58" t="s">
        <v>10840</v>
      </c>
      <c r="J548" s="12" t="str">
        <f>CONCATENATE("(${Variables:",E548,"_kcat","} * ",E548," * ",G548,")","/(${Variables:",E548,"_km","} + (",E548," * ",G548,"))")</f>
        <v>(${Variables:E3_1_1_29_kcat} * E3_1_1_29 * C03880 * C00001)/(${Variables:E3_1_1_29_km} + (E3_1_1_29 * C03880 * C00001))</v>
      </c>
      <c r="K548" s="43" t="str">
        <f>CONCATENATE("r",D548,": ",F548," -&gt; ",H548," | ",J548)</f>
        <v>r558: C03880 + C00001 -&gt; C03523 + C00066 | (${Variables:E3_1_1_29_kcat} * E3_1_1_29 * C03880 * C00001)/(${Variables:E3_1_1_29_km} + (E3_1_1_29 * C03880 * C00001))</v>
      </c>
    </row>
    <row r="549" spans="1:11" ht="42.75" x14ac:dyDescent="0.45">
      <c r="A549" s="53" t="s">
        <v>6871</v>
      </c>
      <c r="B549" s="54" t="s">
        <v>6872</v>
      </c>
      <c r="C549" t="s">
        <v>1870</v>
      </c>
      <c r="D549" s="12">
        <v>559</v>
      </c>
      <c r="E549" s="12" t="str">
        <f>CONCATENATE("E",C549)</f>
        <v>E3_1_3_23</v>
      </c>
      <c r="F549" s="12" t="s">
        <v>3218</v>
      </c>
      <c r="G549" s="12" t="s">
        <v>1546</v>
      </c>
      <c r="H549" t="s">
        <v>3496</v>
      </c>
      <c r="I549" t="s">
        <v>1547</v>
      </c>
      <c r="J549" s="12" t="str">
        <f>CONCATENATE("(${Variables:",E549,"_kcat","} * ",E549," * ",G549,")","/(${Variables:",E549,"_km","} + (",E549," * ",G549,"))")</f>
        <v>(${Variables:E3_1_3_23_kcat} * E3_1_3_23 * C00934 * C00001)/(${Variables:E3_1_3_23_km} + (E3_1_3_23 * C00934 * C00001))</v>
      </c>
      <c r="K549" s="43" t="str">
        <f>CONCATENATE("r",D549,": ",F549," -&gt; ",H549," | ",J549)</f>
        <v>r559: C00934 + C00001 -&gt; C11477 + C00009 | (${Variables:E3_1_3_23_kcat} * E3_1_3_23 * C00934 * C00001)/(${Variables:E3_1_3_23_km} + (E3_1_3_23 * C00934 * C00001))</v>
      </c>
    </row>
    <row r="550" spans="1:11" ht="42.75" x14ac:dyDescent="0.45">
      <c r="A550" s="53" t="s">
        <v>3711</v>
      </c>
      <c r="B550" s="54" t="s">
        <v>3712</v>
      </c>
      <c r="C550" t="s">
        <v>1876</v>
      </c>
      <c r="D550" s="12">
        <v>560</v>
      </c>
      <c r="E550" s="12" t="str">
        <f>CONCATENATE("E",C550)</f>
        <v>E3_1_3_48</v>
      </c>
      <c r="F550" t="s">
        <v>3219</v>
      </c>
      <c r="G550" t="s">
        <v>1567</v>
      </c>
      <c r="H550" t="s">
        <v>3497</v>
      </c>
      <c r="I550" t="s">
        <v>1568</v>
      </c>
      <c r="J550" s="12" t="str">
        <f>CONCATENATE("(${Variables:",E550,"_kcat","} * ",E550," * ",G550,")","/(${Variables:",E550,"_km","} + (",E550," * ",G550,"))")</f>
        <v>(${Variables:E3_1_3_48_kcat} * E3_1_3_48 * C01167 * C00001)/(${Variables:E3_1_3_48_km} + (E3_1_3_48 * C01167 * C00001))</v>
      </c>
      <c r="K550" s="43" t="str">
        <f>CONCATENATE("r",D550,": ",F550," -&gt; ",H550," | ",J550)</f>
        <v>r560: C01167 + C00001 -&gt; C00585 + C00009 | (${Variables:E3_1_3_48_kcat} * E3_1_3_48 * C01167 * C00001)/(${Variables:E3_1_3_48_km} + (E3_1_3_48 * C01167 * C00001))</v>
      </c>
    </row>
    <row r="551" spans="1:11" ht="42.75" x14ac:dyDescent="0.45">
      <c r="A551" s="53" t="s">
        <v>6404</v>
      </c>
      <c r="B551" s="54" t="s">
        <v>6405</v>
      </c>
      <c r="C551" t="s">
        <v>1803</v>
      </c>
      <c r="D551" s="12">
        <v>561</v>
      </c>
      <c r="E551" s="12" t="str">
        <f>CONCATENATE("E",C551)</f>
        <v>E3_1_3_5</v>
      </c>
      <c r="F551" s="12" t="s">
        <v>3233</v>
      </c>
      <c r="G551" s="12" t="s">
        <v>1594</v>
      </c>
      <c r="H551" t="s">
        <v>3511</v>
      </c>
      <c r="I551" t="s">
        <v>1595</v>
      </c>
      <c r="J551" s="12" t="str">
        <f>CONCATENATE("(${Variables:",E551,"_kcat","} * ",E551," * ",G551,")","/(${Variables:",E551,"_km","} + (",E551," * ",G551,"))")</f>
        <v>(${Variables:E3_1_3_5_kcat} * E3_1_3_5 * C02520 * C00001)/(${Variables:E3_1_3_5_km} + (E3_1_3_5 * C02520 * C00001))</v>
      </c>
      <c r="K551" s="43" t="str">
        <f>CONCATENATE("r",D551,": ",F551," -&gt; ",H551," | ",J551)</f>
        <v>r561: C02520 + C00001 -&gt; C00911 + C00009 | (${Variables:E3_1_3_5_kcat} * E3_1_3_5 * C02520 * C00001)/(${Variables:E3_1_3_5_km} + (E3_1_3_5 * C02520 * C00001))</v>
      </c>
    </row>
    <row r="552" spans="1:11" ht="42.75" x14ac:dyDescent="0.45">
      <c r="A552" s="53" t="s">
        <v>6404</v>
      </c>
      <c r="B552" s="54" t="s">
        <v>6405</v>
      </c>
      <c r="C552" t="s">
        <v>1803</v>
      </c>
      <c r="D552" s="12">
        <v>562</v>
      </c>
      <c r="E552" s="12" t="str">
        <f>CONCATENATE("E",C552)</f>
        <v>E3_1_3_5</v>
      </c>
      <c r="F552" s="12" t="s">
        <v>3220</v>
      </c>
      <c r="G552" s="12" t="s">
        <v>1325</v>
      </c>
      <c r="H552" t="s">
        <v>3498</v>
      </c>
      <c r="I552" t="s">
        <v>1326</v>
      </c>
      <c r="J552" s="12" t="str">
        <f>CONCATENATE("(${Variables:",E552,"_kcat","} * ",E552," * ",G552,")","/(${Variables:",E552,"_km","} + (",E552," * ",G552,"))")</f>
        <v>(${Variables:E3_1_3_5_kcat} * E3_1_3_5 * C00020 * C00001)/(${Variables:E3_1_3_5_km} + (E3_1_3_5 * C00020 * C00001))</v>
      </c>
      <c r="K552" s="43" t="str">
        <f>CONCATENATE("r",D552,": ",F552," -&gt; ",H552," | ",J552)</f>
        <v>r562: C00020 + C00001 -&gt; C00212 + C00009 | (${Variables:E3_1_3_5_kcat} * E3_1_3_5 * C00020 * C00001)/(${Variables:E3_1_3_5_km} + (E3_1_3_5 * C00020 * C00001))</v>
      </c>
    </row>
    <row r="553" spans="1:11" ht="42.75" x14ac:dyDescent="0.45">
      <c r="A553" s="53" t="s">
        <v>6404</v>
      </c>
      <c r="B553" s="54" t="s">
        <v>6405</v>
      </c>
      <c r="C553" t="s">
        <v>1803</v>
      </c>
      <c r="D553" s="12">
        <v>563</v>
      </c>
      <c r="E553" s="12" t="str">
        <f>CONCATENATE("E",C553)</f>
        <v>E3_1_3_5</v>
      </c>
      <c r="F553" s="12" t="s">
        <v>3221</v>
      </c>
      <c r="G553" s="12" t="s">
        <v>1350</v>
      </c>
      <c r="H553" t="s">
        <v>3499</v>
      </c>
      <c r="I553" t="s">
        <v>1351</v>
      </c>
      <c r="J553" s="12" t="str">
        <f>CONCATENATE("(${Variables:",E553,"_kcat","} * ",E553," * ",G553,")","/(${Variables:",E553,"_km","} + (",E553," * ",G553,"))")</f>
        <v>(${Variables:E3_1_3_5_kcat} * E3_1_3_5 * C00055 * C00001)/(${Variables:E3_1_3_5_km} + (E3_1_3_5 * C00055 * C00001))</v>
      </c>
      <c r="K553" s="43" t="str">
        <f>CONCATENATE("r",D553,": ",F553," -&gt; ",H553," | ",J553)</f>
        <v>r563: C00055 + C00001 -&gt; C00475 + C00009 | (${Variables:E3_1_3_5_kcat} * E3_1_3_5 * C00055 * C00001)/(${Variables:E3_1_3_5_km} + (E3_1_3_5 * C00055 * C00001))</v>
      </c>
    </row>
    <row r="554" spans="1:11" ht="42.75" x14ac:dyDescent="0.45">
      <c r="A554" s="53" t="s">
        <v>6404</v>
      </c>
      <c r="B554" s="54" t="s">
        <v>6405</v>
      </c>
      <c r="C554" t="s">
        <v>1803</v>
      </c>
      <c r="D554" s="12">
        <v>564</v>
      </c>
      <c r="E554" s="12" t="str">
        <f>CONCATENATE("E",C554)</f>
        <v>E3_1_3_5</v>
      </c>
      <c r="F554" s="12" t="s">
        <v>3222</v>
      </c>
      <c r="G554" s="12" t="s">
        <v>1408</v>
      </c>
      <c r="H554" t="s">
        <v>3500</v>
      </c>
      <c r="I554" t="s">
        <v>1409</v>
      </c>
      <c r="J554" s="12" t="str">
        <f>CONCATENATE("(${Variables:",E554,"_kcat","} * ",E554," * ",G554,")","/(${Variables:",E554,"_km","} + (",E554," * ",G554,"))")</f>
        <v>(${Variables:E3_1_3_5_kcat} * E3_1_3_5 * C00105 * C00001)/(${Variables:E3_1_3_5_km} + (E3_1_3_5 * C00105 * C00001))</v>
      </c>
      <c r="K554" s="43" t="str">
        <f>CONCATENATE("r",D554,": ",F554," -&gt; ",H554," | ",J554)</f>
        <v>r564: C00105 + C00001 -&gt; C00299 + C00009 | (${Variables:E3_1_3_5_kcat} * E3_1_3_5 * C00105 * C00001)/(${Variables:E3_1_3_5_km} + (E3_1_3_5 * C00105 * C00001))</v>
      </c>
    </row>
    <row r="555" spans="1:11" ht="42.75" x14ac:dyDescent="0.45">
      <c r="A555" s="53" t="s">
        <v>6404</v>
      </c>
      <c r="B555" s="54" t="s">
        <v>6405</v>
      </c>
      <c r="C555" t="s">
        <v>1803</v>
      </c>
      <c r="D555" s="12">
        <v>565</v>
      </c>
      <c r="E555" s="12" t="str">
        <f>CONCATENATE("E",C555)</f>
        <v>E3_1_3_5</v>
      </c>
      <c r="F555" s="12" t="s">
        <v>3223</v>
      </c>
      <c r="G555" s="12" t="s">
        <v>1416</v>
      </c>
      <c r="H555" t="s">
        <v>3501</v>
      </c>
      <c r="I555" t="s">
        <v>1417</v>
      </c>
      <c r="J555" s="12" t="str">
        <f>CONCATENATE("(${Variables:",E555,"_kcat","} * ",E555," * ",G555,")","/(${Variables:",E555,"_km","} + (",E555," * ",G555,"))")</f>
        <v>(${Variables:E3_1_3_5_kcat} * E3_1_3_5 * C00130 * C00001)/(${Variables:E3_1_3_5_km} + (E3_1_3_5 * C00130 * C00001))</v>
      </c>
      <c r="K555" s="43" t="str">
        <f>CONCATENATE("r",D555,": ",F555," -&gt; ",H555," | ",J555)</f>
        <v>r565: C00130 + C00001 -&gt; C00294 + C00009 | (${Variables:E3_1_3_5_kcat} * E3_1_3_5 * C00130 * C00001)/(${Variables:E3_1_3_5_km} + (E3_1_3_5 * C00130 * C00001))</v>
      </c>
    </row>
    <row r="556" spans="1:11" ht="42.75" x14ac:dyDescent="0.45">
      <c r="A556" s="53" t="s">
        <v>6404</v>
      </c>
      <c r="B556" s="54" t="s">
        <v>6405</v>
      </c>
      <c r="C556" t="s">
        <v>1803</v>
      </c>
      <c r="D556" s="12">
        <v>566</v>
      </c>
      <c r="E556" s="12" t="str">
        <f>CONCATENATE("E",C556)</f>
        <v>E3_1_3_5</v>
      </c>
      <c r="F556" s="12" t="s">
        <v>3224</v>
      </c>
      <c r="G556" s="12" t="s">
        <v>1429</v>
      </c>
      <c r="H556" t="s">
        <v>3502</v>
      </c>
      <c r="I556" t="s">
        <v>1430</v>
      </c>
      <c r="J556" s="12" t="str">
        <f>CONCATENATE("(${Variables:",E556,"_kcat","} * ",E556," * ",G556,")","/(${Variables:",E556,"_km","} + (",E556," * ",G556,"))")</f>
        <v>(${Variables:E3_1_3_5_kcat} * E3_1_3_5 * C00144 * C00001)/(${Variables:E3_1_3_5_km} + (E3_1_3_5 * C00144 * C00001))</v>
      </c>
      <c r="K556" s="43" t="str">
        <f>CONCATENATE("r",D556,": ",F556," -&gt; ",H556," | ",J556)</f>
        <v>r566: C00144 + C00001 -&gt; C00387 + C00009 | (${Variables:E3_1_3_5_kcat} * E3_1_3_5 * C00144 * C00001)/(${Variables:E3_1_3_5_km} + (E3_1_3_5 * C00144 * C00001))</v>
      </c>
    </row>
    <row r="557" spans="1:11" ht="42.75" x14ac:dyDescent="0.45">
      <c r="A557" s="53" t="s">
        <v>6404</v>
      </c>
      <c r="B557" s="54" t="s">
        <v>6405</v>
      </c>
      <c r="C557" t="s">
        <v>1803</v>
      </c>
      <c r="D557" s="12">
        <v>567</v>
      </c>
      <c r="E557" s="12" t="str">
        <f>CONCATENATE("E",C557)</f>
        <v>E3_1_3_5</v>
      </c>
      <c r="F557" s="12" t="s">
        <v>3230</v>
      </c>
      <c r="G557" s="12" t="s">
        <v>1507</v>
      </c>
      <c r="H557" t="s">
        <v>3508</v>
      </c>
      <c r="I557" t="s">
        <v>1508</v>
      </c>
      <c r="J557" s="12" t="str">
        <f>CONCATENATE("(${Variables:",E557,"_kcat","} * ",E557," * ",G557,")","/(${Variables:",E557,"_km","} + (",E557," * ",G557,"))")</f>
        <v>(${Variables:E3_1_3_5_kcat} * E3_1_3_5 * C00455 * C00001)/(${Variables:E3_1_3_5_km} + (E3_1_3_5 * C00455 * C00001))</v>
      </c>
      <c r="K557" s="43" t="str">
        <f>CONCATENATE("r",D557,": ",F557," -&gt; ",H557," | ",J557)</f>
        <v>r567: C00455 + C00001 -&gt; C03150 + C00009 | (${Variables:E3_1_3_5_kcat} * E3_1_3_5 * C00455 * C00001)/(${Variables:E3_1_3_5_km} + (E3_1_3_5 * C00455 * C00001))</v>
      </c>
    </row>
    <row r="558" spans="1:11" ht="42.75" x14ac:dyDescent="0.45">
      <c r="A558" s="53" t="s">
        <v>6404</v>
      </c>
      <c r="B558" s="54" t="s">
        <v>6405</v>
      </c>
      <c r="C558" t="s">
        <v>1803</v>
      </c>
      <c r="D558" s="12">
        <v>568</v>
      </c>
      <c r="E558" s="12" t="str">
        <f>CONCATENATE("E",C558)</f>
        <v>E3_1_3_5</v>
      </c>
      <c r="F558" s="12" t="s">
        <v>3231</v>
      </c>
      <c r="G558" s="12" t="s">
        <v>1529</v>
      </c>
      <c r="H558" t="s">
        <v>3509</v>
      </c>
      <c r="I558" t="s">
        <v>1530</v>
      </c>
      <c r="J558" s="12" t="str">
        <f>CONCATENATE("(${Variables:",E558,"_kcat","} * ",E558," * ",G558,")","/(${Variables:",E558,"_km","} + (",E558," * ",G558,"))")</f>
        <v>(${Variables:E3_1_3_5_kcat} * E3_1_3_5 * C00655 * C00001)/(${Variables:E3_1_3_5_km} + (E3_1_3_5 * C00655 * C00001))</v>
      </c>
      <c r="K558" s="43" t="str">
        <f>CONCATENATE("r",D558,": ",F558," -&gt; ",H558," | ",J558)</f>
        <v>r568: C00655 + C00001 -&gt; C01762 + C00009 | (${Variables:E3_1_3_5_kcat} * E3_1_3_5 * C00655 * C00001)/(${Variables:E3_1_3_5_km} + (E3_1_3_5 * C00655 * C00001))</v>
      </c>
    </row>
    <row r="559" spans="1:11" ht="42.75" x14ac:dyDescent="0.45">
      <c r="A559" s="53" t="s">
        <v>6404</v>
      </c>
      <c r="B559" s="54" t="s">
        <v>6405</v>
      </c>
      <c r="C559" t="s">
        <v>1803</v>
      </c>
      <c r="D559" s="12">
        <v>569</v>
      </c>
      <c r="E559" s="12" t="str">
        <f>CONCATENATE("E",C559)</f>
        <v>E3_1_3_5</v>
      </c>
      <c r="F559" s="12" t="s">
        <v>3232</v>
      </c>
      <c r="G559" s="12" t="s">
        <v>1569</v>
      </c>
      <c r="H559" t="s">
        <v>3510</v>
      </c>
      <c r="I559" t="s">
        <v>1570</v>
      </c>
      <c r="J559" s="12" t="str">
        <f>CONCATENATE("(${Variables:",E559,"_kcat","} * ",E559," * ",G559,")","/(${Variables:",E559,"_km","} + (",E559," * ",G559,"))")</f>
        <v>(${Variables:E3_1_3_5_kcat} * E3_1_3_5 * C01185 * C00001)/(${Variables:E3_1_3_5_km} + (E3_1_3_5 * C01185 * C00001))</v>
      </c>
      <c r="K559" s="43" t="str">
        <f>CONCATENATE("r",D559,": ",F559," -&gt; ",H559," | ",J559)</f>
        <v>r569: C01185 + C00001 -&gt; C05841 + C00009 | (${Variables:E3_1_3_5_kcat} * E3_1_3_5 * C01185 * C00001)/(${Variables:E3_1_3_5_km} + (E3_1_3_5 * C01185 * C00001))</v>
      </c>
    </row>
    <row r="560" spans="1:11" ht="42.75" x14ac:dyDescent="0.45">
      <c r="A560" s="53" t="s">
        <v>6404</v>
      </c>
      <c r="B560" s="54" t="s">
        <v>6405</v>
      </c>
      <c r="C560" t="s">
        <v>1803</v>
      </c>
      <c r="D560" s="12">
        <v>570</v>
      </c>
      <c r="E560" s="12" t="str">
        <f>CONCATENATE("E",C560)</f>
        <v>E3_1_3_5</v>
      </c>
      <c r="F560" s="12" t="s">
        <v>3228</v>
      </c>
      <c r="G560" s="12" t="s">
        <v>1491</v>
      </c>
      <c r="H560" t="s">
        <v>3506</v>
      </c>
      <c r="I560" t="s">
        <v>1492</v>
      </c>
      <c r="J560" s="12" t="str">
        <f>CONCATENATE("(${Variables:",E560,"_kcat","} * ",E560," * ",G560,")","/(${Variables:",E560,"_km","} + (",E560," * ",G560,"))")</f>
        <v>(${Variables:E3_1_3_5_kcat} * E3_1_3_5 * C00364 * C00001)/(${Variables:E3_1_3_5_km} + (E3_1_3_5 * C00364 * C00001))</v>
      </c>
      <c r="K560" s="43" t="str">
        <f>CONCATENATE("r",D560,": ",F560," -&gt; ",H560," | ",J560)</f>
        <v>r570: C00364 + C00001 -&gt; C00214 + C00009 | (${Variables:E3_1_3_5_kcat} * E3_1_3_5 * C00364 * C00001)/(${Variables:E3_1_3_5_km} + (E3_1_3_5 * C00364 * C00001))</v>
      </c>
    </row>
    <row r="561" spans="1:11" ht="42.75" x14ac:dyDescent="0.45">
      <c r="A561" s="53" t="s">
        <v>6404</v>
      </c>
      <c r="B561" s="54" t="s">
        <v>6405</v>
      </c>
      <c r="C561" t="s">
        <v>1803</v>
      </c>
      <c r="D561" s="12">
        <v>571</v>
      </c>
      <c r="E561" s="12" t="str">
        <f>CONCATENATE("E",C561)</f>
        <v>E3_1_3_5</v>
      </c>
      <c r="F561" s="12" t="s">
        <v>3225</v>
      </c>
      <c r="G561" s="12" t="s">
        <v>1459</v>
      </c>
      <c r="H561" t="s">
        <v>3503</v>
      </c>
      <c r="I561" t="s">
        <v>1460</v>
      </c>
      <c r="J561" s="12" t="str">
        <f>CONCATENATE("(${Variables:",E561,"_kcat","} * ",E561," * ",G561,")","/(${Variables:",E561,"_km","} + (",E561," * ",G561,"))")</f>
        <v>(${Variables:E3_1_3_5_kcat} * E3_1_3_5 * C00239 * C00001)/(${Variables:E3_1_3_5_km} + (E3_1_3_5 * C00239 * C00001))</v>
      </c>
      <c r="K561" s="43" t="str">
        <f>CONCATENATE("r",D561,": ",F561," -&gt; ",H561," | ",J561)</f>
        <v>r571: C00239 + C00001 -&gt; C00881 + C00009 | (${Variables:E3_1_3_5_kcat} * E3_1_3_5 * C00239 * C00001)/(${Variables:E3_1_3_5_km} + (E3_1_3_5 * C00239 * C00001))</v>
      </c>
    </row>
    <row r="562" spans="1:11" ht="42.75" x14ac:dyDescent="0.45">
      <c r="A562" s="53" t="s">
        <v>6404</v>
      </c>
      <c r="B562" s="54" t="s">
        <v>6405</v>
      </c>
      <c r="C562" t="s">
        <v>1803</v>
      </c>
      <c r="D562" s="12">
        <v>572</v>
      </c>
      <c r="E562" s="12" t="str">
        <f>CONCATENATE("E",C562)</f>
        <v>E3_1_3_5</v>
      </c>
      <c r="F562" s="12" t="s">
        <v>3227</v>
      </c>
      <c r="G562" s="12" t="s">
        <v>1489</v>
      </c>
      <c r="H562" t="s">
        <v>3505</v>
      </c>
      <c r="I562" t="s">
        <v>1490</v>
      </c>
      <c r="J562" s="12" t="str">
        <f>CONCATENATE("(${Variables:",E562,"_kcat","} * ",E562," * ",G562,")","/(${Variables:",E562,"_km","} + (",E562," * ",G562,"))")</f>
        <v>(${Variables:E3_1_3_5_kcat} * E3_1_3_5 * C00362 * C00001)/(${Variables:E3_1_3_5_km} + (E3_1_3_5 * C00362 * C00001))</v>
      </c>
      <c r="K562" s="43" t="str">
        <f>CONCATENATE("r",D562,": ",F562," -&gt; ",H562," | ",J562)</f>
        <v>r572: C00362 + C00001 -&gt; C00330 + C00009 | (${Variables:E3_1_3_5_kcat} * E3_1_3_5 * C00362 * C00001)/(${Variables:E3_1_3_5_km} + (E3_1_3_5 * C00362 * C00001))</v>
      </c>
    </row>
    <row r="563" spans="1:11" ht="42.75" x14ac:dyDescent="0.45">
      <c r="A563" s="53" t="s">
        <v>6404</v>
      </c>
      <c r="B563" s="54" t="s">
        <v>6405</v>
      </c>
      <c r="C563" t="s">
        <v>1803</v>
      </c>
      <c r="D563" s="12">
        <v>573</v>
      </c>
      <c r="E563" s="12" t="str">
        <f>CONCATENATE("E",C563)</f>
        <v>E3_1_3_5</v>
      </c>
      <c r="F563" s="12" t="s">
        <v>3226</v>
      </c>
      <c r="G563" s="12" t="s">
        <v>1485</v>
      </c>
      <c r="H563" t="s">
        <v>3504</v>
      </c>
      <c r="I563" t="s">
        <v>1486</v>
      </c>
      <c r="J563" s="12" t="str">
        <f>CONCATENATE("(${Variables:",E563,"_kcat","} * ",E563," * ",G563,")","/(${Variables:",E563,"_km","} + (",E563," * ",G563,"))")</f>
        <v>(${Variables:E3_1_3_5_kcat} * E3_1_3_5 * C00360 * C00001)/(${Variables:E3_1_3_5_km} + (E3_1_3_5 * C00360 * C00001))</v>
      </c>
      <c r="K563" s="43" t="str">
        <f>CONCATENATE("r",D563,": ",F563," -&gt; ",H563," | ",J563)</f>
        <v>r573: C00360 + C00001 -&gt; C00559 + C00009 | (${Variables:E3_1_3_5_kcat} * E3_1_3_5 * C00360 * C00001)/(${Variables:E3_1_3_5_km} + (E3_1_3_5 * C00360 * C00001))</v>
      </c>
    </row>
    <row r="564" spans="1:11" ht="42.75" x14ac:dyDescent="0.45">
      <c r="A564" s="53" t="s">
        <v>6404</v>
      </c>
      <c r="B564" s="54" t="s">
        <v>6405</v>
      </c>
      <c r="C564" t="s">
        <v>1803</v>
      </c>
      <c r="D564" s="12">
        <v>574</v>
      </c>
      <c r="E564" s="12" t="str">
        <f>CONCATENATE("E",C564)</f>
        <v>E3_1_3_5</v>
      </c>
      <c r="F564" s="12" t="s">
        <v>3229</v>
      </c>
      <c r="G564" s="12" t="s">
        <v>1493</v>
      </c>
      <c r="H564" t="s">
        <v>3507</v>
      </c>
      <c r="I564" t="s">
        <v>1494</v>
      </c>
      <c r="J564" s="12" t="str">
        <f>CONCATENATE("(${Variables:",E564,"_kcat","} * ",E564," * ",G564,")","/(${Variables:",E564,"_km","} + (",E564," * ",G564,"))")</f>
        <v>(${Variables:E3_1_3_5_kcat} * E3_1_3_5 * C00365 * C00001)/(${Variables:E3_1_3_5_km} + (E3_1_3_5 * C00365 * C00001))</v>
      </c>
      <c r="K564" s="43" t="str">
        <f>CONCATENATE("r",D564,": ",F564," -&gt; ",H564," | ",J564)</f>
        <v>r574: C00365 + C00001 -&gt; C00526 + C00009 | (${Variables:E3_1_3_5_kcat} * E3_1_3_5 * C00365 * C00001)/(${Variables:E3_1_3_5_km} + (E3_1_3_5 * C00365 * C00001))</v>
      </c>
    </row>
    <row r="565" spans="1:11" ht="42.75" x14ac:dyDescent="0.45">
      <c r="A565" s="53" t="s">
        <v>6404</v>
      </c>
      <c r="B565" s="54" t="s">
        <v>6405</v>
      </c>
      <c r="C565" t="s">
        <v>1803</v>
      </c>
      <c r="D565" s="12">
        <v>575</v>
      </c>
      <c r="E565" s="12" t="str">
        <f>CONCATENATE("E",C565)</f>
        <v>E3_1_3_5</v>
      </c>
      <c r="F565" s="12" t="s">
        <v>3234</v>
      </c>
      <c r="G565" s="12" t="s">
        <v>1647</v>
      </c>
      <c r="H565" t="s">
        <v>3512</v>
      </c>
      <c r="I565" t="s">
        <v>1648</v>
      </c>
      <c r="J565" s="12" t="str">
        <f>CONCATENATE("(${Variables:",E565,"_kcat","} * ",E565," * ",G565,")","/(${Variables:",E565,"_km","} + (",E565," * ",G565,"))")</f>
        <v>(${Variables:E3_1_3_5_kcat} * E3_1_3_5 * C06196 * C00001)/(${Variables:E3_1_3_5_km} + (E3_1_3_5 * C06196 * C00001))</v>
      </c>
      <c r="K565" s="43" t="str">
        <f>CONCATENATE("r",D565,": ",F565," -&gt; ",H565," | ",J565)</f>
        <v>r575: C06196 + C00001 -&gt; C05512 + C00009 | (${Variables:E3_1_3_5_kcat} * E3_1_3_5 * C06196 * C00001)/(${Variables:E3_1_3_5_km} + (E3_1_3_5 * C06196 * C00001))</v>
      </c>
    </row>
    <row r="566" spans="1:11" ht="42.75" x14ac:dyDescent="0.45">
      <c r="A566" s="53" t="s">
        <v>7058</v>
      </c>
      <c r="B566" s="54" t="s">
        <v>7059</v>
      </c>
      <c r="C566" t="s">
        <v>10381</v>
      </c>
      <c r="D566" s="12">
        <v>576</v>
      </c>
      <c r="E566" s="12" t="str">
        <f>CONCATENATE("E",C566)</f>
        <v>E3_2_1_1</v>
      </c>
      <c r="F566" s="12" t="s">
        <v>9939</v>
      </c>
      <c r="G566" s="12" t="s">
        <v>10613</v>
      </c>
      <c r="H566" t="s">
        <v>9940</v>
      </c>
      <c r="I566" t="s">
        <v>10841</v>
      </c>
      <c r="J566" s="12" t="str">
        <f>CONCATENATE("(${Variables:",E566,"_kcat","} * ",E566," * ",G566,")","/(${Variables:",E566,"_km","} + (",E566," * ",G566,"))")</f>
        <v>(${Variables:E3_2_1_1_kcat} * E3_2_1_1 * C00369 * C00001)/(${Variables:E3_2_1_1_km} + (E3_2_1_1 * C00369 * C00001))</v>
      </c>
      <c r="K566" s="43" t="str">
        <f>CONCATENATE("r",D566,": ",F566," -&gt; ",H566," | ",J566)</f>
        <v>r576: C00369 + C00001 -&gt; C00721 + C00369 | (${Variables:E3_2_1_1_kcat} * E3_2_1_1 * C00369 * C00001)/(${Variables:E3_2_1_1_km} + (E3_2_1_1 * C00369 * C00001))</v>
      </c>
    </row>
    <row r="567" spans="1:11" ht="28.5" x14ac:dyDescent="0.45">
      <c r="A567" s="53" t="s">
        <v>7058</v>
      </c>
      <c r="B567" s="54" t="s">
        <v>7059</v>
      </c>
      <c r="C567" t="s">
        <v>10381</v>
      </c>
      <c r="D567" s="12">
        <v>577</v>
      </c>
      <c r="E567" s="12" t="str">
        <f>CONCATENATE("E",C567)</f>
        <v>E3_2_1_1</v>
      </c>
      <c r="F567" s="12" t="s">
        <v>2098</v>
      </c>
      <c r="G567" s="12" t="s">
        <v>2098</v>
      </c>
      <c r="H567" t="s">
        <v>9943</v>
      </c>
      <c r="I567" t="s">
        <v>10842</v>
      </c>
      <c r="J567" s="12" t="str">
        <f>CONCATENATE("(${Variables:",E567,"_kcat","} * ",E567," * ",G567,")","/(${Variables:",E567,"_km","} + (",E567," * ",G567,"))")</f>
        <v>(${Variables:E3_2_1_1_kcat} * E3_2_1_1 * C00369)/(${Variables:E3_2_1_1_km} + (E3_2_1_1 * C00369))</v>
      </c>
      <c r="K567" s="43" t="str">
        <f>CONCATENATE("r",D567,": ",F567," -&gt; ",H567," | ",J567)</f>
        <v>r577: C00369 -&gt; C00721 + C00208 | (${Variables:E3_2_1_1_kcat} * E3_2_1_1 * C00369)/(${Variables:E3_2_1_1_km} + (E3_2_1_1 * C00369))</v>
      </c>
    </row>
    <row r="568" spans="1:11" ht="42.75" x14ac:dyDescent="0.45">
      <c r="A568" s="53" t="s">
        <v>7058</v>
      </c>
      <c r="B568" s="54" t="s">
        <v>7059</v>
      </c>
      <c r="C568" t="s">
        <v>10381</v>
      </c>
      <c r="D568" s="12">
        <v>578</v>
      </c>
      <c r="E568" s="12" t="str">
        <f>CONCATENATE("E",C568)</f>
        <v>E3_2_1_1</v>
      </c>
      <c r="F568" s="12" t="s">
        <v>9945</v>
      </c>
      <c r="G568" s="12" t="s">
        <v>10614</v>
      </c>
      <c r="H568" t="s">
        <v>9946</v>
      </c>
      <c r="I568" t="s">
        <v>10843</v>
      </c>
      <c r="J568" s="12" t="str">
        <f>CONCATENATE("(${Variables:",E568,"_kcat","} * ",E568," * ",G568,")","/(${Variables:",E568,"_km","} + (",E568," * ",G568,"))")</f>
        <v>(${Variables:E3_2_1_1_kcat} * E3_2_1_1 * G10545 * C00001)/(${Variables:E3_2_1_1_km} + (E3_2_1_1 * G10545 * C00001))</v>
      </c>
      <c r="K568" s="43" t="str">
        <f>CONCATENATE("r",D568,": ",F568," -&gt; ",H568," | ",J568)</f>
        <v>r578: G10545 + C00001 -&gt; G10545 + G10545 | (${Variables:E3_2_1_1_kcat} * E3_2_1_1 * G10545 * C00001)/(${Variables:E3_2_1_1_km} + (E3_2_1_1 * G10545 * C00001))</v>
      </c>
    </row>
    <row r="569" spans="1:11" ht="42.75" x14ac:dyDescent="0.45">
      <c r="A569" s="53" t="s">
        <v>7058</v>
      </c>
      <c r="B569" s="54" t="s">
        <v>7059</v>
      </c>
      <c r="C569" t="s">
        <v>10381</v>
      </c>
      <c r="D569" s="12">
        <v>579</v>
      </c>
      <c r="E569" s="12" t="str">
        <f>CONCATENATE("E",C569)</f>
        <v>E3_2_1_1</v>
      </c>
      <c r="F569" s="12" t="s">
        <v>9948</v>
      </c>
      <c r="G569" s="12" t="s">
        <v>10615</v>
      </c>
      <c r="H569" t="s">
        <v>9949</v>
      </c>
      <c r="I569" t="s">
        <v>9949</v>
      </c>
      <c r="J569" s="12" t="str">
        <f>CONCATENATE("(${Variables:",E569,"_kcat","} * ",E569," * ",G569,")","/(${Variables:",E569,"_km","} + (",E569," * ",G569,"))")</f>
        <v>(${Variables:E3_2_1_1_kcat} * E3_2_1_1 * C01935 * C00001)/(${Variables:E3_2_1_1_km} + (E3_2_1_1 * C01935 * C00001))</v>
      </c>
      <c r="K569" s="43" t="str">
        <f>CONCATENATE("r",D569,": ",F569," -&gt; ",H569," | ",J569)</f>
        <v>r579: C01935 + C00001 -&gt; C00208 | (${Variables:E3_2_1_1_kcat} * E3_2_1_1 * C01935 * C00001)/(${Variables:E3_2_1_1_km} + (E3_2_1_1 * C01935 * C00001))</v>
      </c>
    </row>
    <row r="570" spans="1:11" ht="42.75" x14ac:dyDescent="0.45">
      <c r="A570" s="53" t="s">
        <v>7281</v>
      </c>
      <c r="B570" s="54" t="s">
        <v>7282</v>
      </c>
      <c r="C570" t="s">
        <v>10382</v>
      </c>
      <c r="D570" s="12">
        <v>580</v>
      </c>
      <c r="E570" s="12" t="str">
        <f>CONCATENATE("E",C570)</f>
        <v>E3_2_1_163</v>
      </c>
      <c r="F570" s="12" t="s">
        <v>10029</v>
      </c>
      <c r="G570" s="12" t="s">
        <v>10616</v>
      </c>
      <c r="H570" t="s">
        <v>10030</v>
      </c>
      <c r="I570" t="s">
        <v>10030</v>
      </c>
      <c r="J570" s="12" t="str">
        <f>CONCATENATE("(${Variables:",E570,"_kcat","} * ",E570," * ",G570,")","/(${Variables:",E570,"_km","} + (",E570," * ",G570,"))")</f>
        <v>(${Variables:E3_2_1_163_kcat} * E3_2_1_163 * C01728 * C00001)/(${Variables:E3_2_1_163_km} + (E3_2_1_163 * C01728 * C00001))</v>
      </c>
      <c r="K570" s="43" t="str">
        <f>CONCATENATE("r",D570,": ",F570," -&gt; ",H570," | ",J570)</f>
        <v>r580: C01728 + C00001 -&gt; C00159 | (${Variables:E3_2_1_163_kcat} * E3_2_1_163 * C01728 * C00001)/(${Variables:E3_2_1_163_km} + (E3_2_1_163 * C01728 * C00001))</v>
      </c>
    </row>
    <row r="571" spans="1:11" ht="42.75" x14ac:dyDescent="0.45">
      <c r="A571" s="53" t="s">
        <v>7099</v>
      </c>
      <c r="B571" s="54" t="s">
        <v>7100</v>
      </c>
      <c r="C571" t="s">
        <v>10383</v>
      </c>
      <c r="D571" s="12">
        <v>581</v>
      </c>
      <c r="E571" s="12" t="str">
        <f>CONCATENATE("E",C571)</f>
        <v>E3_2_1_18</v>
      </c>
      <c r="F571" s="12" t="s">
        <v>9960</v>
      </c>
      <c r="G571" s="12" t="s">
        <v>10617</v>
      </c>
      <c r="H571" t="s">
        <v>9961</v>
      </c>
      <c r="I571" t="s">
        <v>10844</v>
      </c>
      <c r="J571" s="12" t="str">
        <f>CONCATENATE("(${Variables:",E571,"_kcat","} * ",E571," * ",G571,")","/(${Variables:",E571,"_km","} + (",E571," * ",G571,"))")</f>
        <v>(${Variables:E3_2_1_18_kcat} * E3_2_1_18 * C01290 * C00270 )/(${Variables:E3_2_1_18_km} + (E3_2_1_18 * C01290 * C00270 ))</v>
      </c>
      <c r="K571" s="43" t="str">
        <f>CONCATENATE("r",D571,": ",F571," -&gt; ",H571," | ",J571)</f>
        <v>r581: C01290 + C00270  -&gt; C04730 + C00001 | (${Variables:E3_2_1_18_kcat} * E3_2_1_18 * C01290 * C00270 )/(${Variables:E3_2_1_18_km} + (E3_2_1_18 * C01290 * C00270 ))</v>
      </c>
    </row>
    <row r="572" spans="1:11" ht="42.75" x14ac:dyDescent="0.45">
      <c r="A572" s="53" t="s">
        <v>7099</v>
      </c>
      <c r="B572" s="54" t="s">
        <v>7100</v>
      </c>
      <c r="C572" t="s">
        <v>10383</v>
      </c>
      <c r="D572" s="12">
        <v>582</v>
      </c>
      <c r="E572" s="12" t="str">
        <f>CONCATENATE("E",C572)</f>
        <v>E3_2_1_18</v>
      </c>
      <c r="F572" s="12" t="s">
        <v>9963</v>
      </c>
      <c r="G572" s="12" t="s">
        <v>10618</v>
      </c>
      <c r="H572" t="s">
        <v>9964</v>
      </c>
      <c r="I572" t="s">
        <v>10845</v>
      </c>
      <c r="J572" s="12" t="str">
        <f>CONCATENATE("(${Variables:",E572,"_kcat","} * ",E572," * ",G572,")","/(${Variables:",E572,"_km","} + (",E572," * ",G572,"))")</f>
        <v>(${Variables:E3_2_1_18_kcat} * E3_2_1_18 * C02686 * C00270)/(${Variables:E3_2_1_18_km} + (E3_2_1_18 * C02686 * C00270))</v>
      </c>
      <c r="K572" s="43" t="str">
        <f>CONCATENATE("r",D572,": ",F572," -&gt; ",H572," | ",J572)</f>
        <v>r582: C02686 + C00270 -&gt; C06128 + C00001 | (${Variables:E3_2_1_18_kcat} * E3_2_1_18 * C02686 * C00270)/(${Variables:E3_2_1_18_km} + (E3_2_1_18 * C02686 * C00270))</v>
      </c>
    </row>
    <row r="573" spans="1:11" ht="42.75" x14ac:dyDescent="0.45">
      <c r="A573" s="53" t="s">
        <v>7099</v>
      </c>
      <c r="B573" s="54" t="s">
        <v>7100</v>
      </c>
      <c r="C573" t="s">
        <v>10383</v>
      </c>
      <c r="D573" s="12">
        <v>583</v>
      </c>
      <c r="E573" s="12" t="str">
        <f>CONCATENATE("E",C573)</f>
        <v>E3_2_1_18</v>
      </c>
      <c r="F573" s="12" t="s">
        <v>9966</v>
      </c>
      <c r="G573" s="12" t="s">
        <v>10619</v>
      </c>
      <c r="H573" t="s">
        <v>9967</v>
      </c>
      <c r="I573" t="s">
        <v>10846</v>
      </c>
      <c r="J573" s="12" t="str">
        <f>CONCATENATE("(${Variables:",E573,"_kcat","} * ",E573," * ",G573,")","/(${Variables:",E573,"_km","} + (",E573," * ",G573,"))")</f>
        <v>(${Variables:E3_2_1_18_kcat} * E3_2_1_18 * C04884 * C00001)/(${Variables:E3_2_1_18_km} + (E3_2_1_18 * C04884 * C00001))</v>
      </c>
      <c r="K573" s="43" t="str">
        <f>CONCATENATE("r",D573,": ",F573," -&gt; ",H573," | ",J573)</f>
        <v>r583: C04884 + C00001 -&gt; C06135 + C00270 | (${Variables:E3_2_1_18_kcat} * E3_2_1_18 * C04884 * C00001)/(${Variables:E3_2_1_18_km} + (E3_2_1_18 * C04884 * C00001))</v>
      </c>
    </row>
    <row r="574" spans="1:11" ht="42.75" x14ac:dyDescent="0.45">
      <c r="A574" s="53" t="s">
        <v>7099</v>
      </c>
      <c r="B574" s="54" t="s">
        <v>7100</v>
      </c>
      <c r="C574" t="s">
        <v>10383</v>
      </c>
      <c r="D574" s="12">
        <v>584</v>
      </c>
      <c r="E574" s="12" t="str">
        <f>CONCATENATE("E",C574)</f>
        <v>E3_2_1_18</v>
      </c>
      <c r="F574" s="12" t="s">
        <v>9969</v>
      </c>
      <c r="G574" s="12" t="s">
        <v>10620</v>
      </c>
      <c r="H574" t="s">
        <v>9970</v>
      </c>
      <c r="I574" t="s">
        <v>10847</v>
      </c>
      <c r="J574" s="12" t="str">
        <f>CONCATENATE("(${Variables:",E574,"_kcat","} * ",E574," * ",G574,")","/(${Variables:",E574,"_km","} + (",E574," * ",G574,"))")</f>
        <v>(${Variables:E3_2_1_18_kcat} * E3_2_1_18 * C04911 * C00270)/(${Variables:E3_2_1_18_km} + (E3_2_1_18 * C04911 * C00270))</v>
      </c>
      <c r="K574" s="43" t="str">
        <f>CONCATENATE("r",D574,": ",F574," -&gt; ",H574," | ",J574)</f>
        <v>r584: C04911 + C00270 -&gt; C04927 + C00001 | (${Variables:E3_2_1_18_kcat} * E3_2_1_18 * C04911 * C00270)/(${Variables:E3_2_1_18_km} + (E3_2_1_18 * C04911 * C00270))</v>
      </c>
    </row>
    <row r="575" spans="1:11" ht="42.75" x14ac:dyDescent="0.45">
      <c r="A575" s="53" t="s">
        <v>7099</v>
      </c>
      <c r="B575" s="54" t="s">
        <v>7100</v>
      </c>
      <c r="C575" t="s">
        <v>10383</v>
      </c>
      <c r="D575" s="12">
        <v>585</v>
      </c>
      <c r="E575" s="12" t="str">
        <f>CONCATENATE("E",C575)</f>
        <v>E3_2_1_18</v>
      </c>
      <c r="F575" s="12" t="s">
        <v>9972</v>
      </c>
      <c r="G575" s="12" t="s">
        <v>10621</v>
      </c>
      <c r="H575" t="s">
        <v>9973</v>
      </c>
      <c r="I575" t="s">
        <v>10848</v>
      </c>
      <c r="J575" s="12" t="str">
        <f>CONCATENATE("(${Variables:",E575,"_kcat","} * ",E575," * ",G575,")","/(${Variables:",E575,"_km","} + (",E575," * ",G575,"))")</f>
        <v>(${Variables:E3_2_1_18_kcat} * E3_2_1_18 * C06140 * C00270)/(${Variables:E3_2_1_18_km} + (E3_2_1_18 * C06140 * C00270))</v>
      </c>
      <c r="K575" s="43" t="str">
        <f>CONCATENATE("r",D575,": ",F575," -&gt; ",H575," | ",J575)</f>
        <v>r585: C06140 + C00270 -&gt; C06139 + C00001 | (${Variables:E3_2_1_18_kcat} * E3_2_1_18 * C06140 * C00270)/(${Variables:E3_2_1_18_km} + (E3_2_1_18 * C06140 * C00270))</v>
      </c>
    </row>
    <row r="576" spans="1:11" ht="42.75" x14ac:dyDescent="0.45">
      <c r="A576" s="53" t="s">
        <v>7099</v>
      </c>
      <c r="B576" s="54" t="s">
        <v>7100</v>
      </c>
      <c r="C576" t="s">
        <v>10383</v>
      </c>
      <c r="D576" s="12">
        <v>586</v>
      </c>
      <c r="E576" s="12" t="str">
        <f>CONCATENATE("E",C576)</f>
        <v>E3_2_1_18</v>
      </c>
      <c r="F576" s="12" t="s">
        <v>9975</v>
      </c>
      <c r="G576" s="12" t="s">
        <v>10622</v>
      </c>
      <c r="H576" t="s">
        <v>9976</v>
      </c>
      <c r="I576" t="s">
        <v>10849</v>
      </c>
      <c r="J576" s="12" t="str">
        <f>CONCATENATE("(${Variables:",E576,"_kcat","} * ",E576," * ",G576,")","/(${Variables:",E576,"_km","} + (",E576," * ",G576,"))")</f>
        <v>(${Variables:E3_2_1_18_kcat} * E3_2_1_18 * C06140 * C00001)/(${Variables:E3_2_1_18_km} + (E3_2_1_18 * C06140 * C00001))</v>
      </c>
      <c r="K576" s="43" t="str">
        <f>CONCATENATE("r",D576,": ",F576," -&gt; ",H576," | ",J576)</f>
        <v>r586: C06140 + C00001 -&gt; C06141 + C00270 | (${Variables:E3_2_1_18_kcat} * E3_2_1_18 * C06140 * C00001)/(${Variables:E3_2_1_18_km} + (E3_2_1_18 * C06140 * C00001))</v>
      </c>
    </row>
    <row r="577" spans="1:11" ht="42.75" x14ac:dyDescent="0.45">
      <c r="A577" s="53" t="s">
        <v>7099</v>
      </c>
      <c r="B577" s="54" t="s">
        <v>7100</v>
      </c>
      <c r="C577" t="s">
        <v>10383</v>
      </c>
      <c r="D577" s="12">
        <v>587</v>
      </c>
      <c r="E577" s="12" t="str">
        <f>CONCATENATE("E",C577)</f>
        <v>E3_2_1_18</v>
      </c>
      <c r="F577" s="12" t="s">
        <v>9978</v>
      </c>
      <c r="G577" s="12" t="s">
        <v>10623</v>
      </c>
      <c r="H577" t="s">
        <v>9979</v>
      </c>
      <c r="I577" t="s">
        <v>10850</v>
      </c>
      <c r="J577" s="12" t="str">
        <f>CONCATENATE("(${Variables:",E577,"_kcat","} * ",E577," * ",G577,")","/(${Variables:",E577,"_km","} + (",E577," * ",G577,"))")</f>
        <v>(${Variables:E3_2_1_18_kcat} * E3_2_1_18 * G00116 * C00270)/(${Variables:E3_2_1_18_km} + (E3_2_1_18 * G00116 * C00270))</v>
      </c>
      <c r="K577" s="43" t="str">
        <f>CONCATENATE("r",D577,": ",F577," -&gt; ",H577," | ",J577)</f>
        <v>r587: G00116 + C00270 -&gt; G00117 + C00001 | (${Variables:E3_2_1_18_kcat} * E3_2_1_18 * G00116 * C00270)/(${Variables:E3_2_1_18_km} + (E3_2_1_18 * G00116 * C00270))</v>
      </c>
    </row>
    <row r="578" spans="1:11" ht="42.75" x14ac:dyDescent="0.45">
      <c r="A578" s="53" t="s">
        <v>7099</v>
      </c>
      <c r="B578" s="54" t="s">
        <v>7100</v>
      </c>
      <c r="C578" t="s">
        <v>10383</v>
      </c>
      <c r="D578" s="12">
        <v>588</v>
      </c>
      <c r="E578" s="12" t="str">
        <f>CONCATENATE("E",C578)</f>
        <v>E3_2_1_18</v>
      </c>
      <c r="F578" s="12" t="s">
        <v>9981</v>
      </c>
      <c r="G578" s="12" t="s">
        <v>10624</v>
      </c>
      <c r="H578" t="s">
        <v>9982</v>
      </c>
      <c r="I578" t="s">
        <v>10851</v>
      </c>
      <c r="J578" s="12" t="str">
        <f>CONCATENATE("(${Variables:",E578,"_kcat","} * ",E578," * ",G578,")","/(${Variables:",E578,"_km","} + (",E578," * ",G578,"))")</f>
        <v>(${Variables:E3_2_1_18_kcat} * E3_2_1_18 * G00116 * C00001)/(${Variables:E3_2_1_18_km} + (E3_2_1_18 * G00116 * C00001))</v>
      </c>
      <c r="K578" s="43" t="str">
        <f>CONCATENATE("r",D578,": ",F578," -&gt; ",H578," | ",J578)</f>
        <v>r588: G00116 + C00001 -&gt; G00115 + C00270 | (${Variables:E3_2_1_18_kcat} * E3_2_1_18 * G00116 * C00001)/(${Variables:E3_2_1_18_km} + (E3_2_1_18 * G00116 * C00001))</v>
      </c>
    </row>
    <row r="579" spans="1:11" ht="42.75" x14ac:dyDescent="0.45">
      <c r="A579" s="53" t="s">
        <v>7099</v>
      </c>
      <c r="B579" s="54" t="s">
        <v>7100</v>
      </c>
      <c r="C579" t="s">
        <v>10383</v>
      </c>
      <c r="D579" s="12">
        <v>589</v>
      </c>
      <c r="E579" s="12" t="str">
        <f>CONCATENATE("E",C579)</f>
        <v>E3_2_1_18</v>
      </c>
      <c r="F579" s="12" t="s">
        <v>9984</v>
      </c>
      <c r="G579" s="12" t="s">
        <v>10625</v>
      </c>
      <c r="H579" t="s">
        <v>9985</v>
      </c>
      <c r="I579" t="s">
        <v>10852</v>
      </c>
      <c r="J579" s="12" t="str">
        <f>CONCATENATE("(${Variables:",E579,"_kcat","} * ",E579," * ",G579,")","/(${Variables:",E579,"_km","} + (",E579," * ",G579,"))")</f>
        <v>(${Variables:E3_2_1_18_kcat} * E3_2_1_18 * G00092 * C00270)/(${Variables:E3_2_1_18_km} + (E3_2_1_18 * G00092 * C00270))</v>
      </c>
      <c r="K579" s="43" t="str">
        <f>CONCATENATE("r",D579,": ",F579," -&gt; ",H579," | ",J579)</f>
        <v>r589: G00092 + C00270 -&gt; G00108 + C00001 | (${Variables:E3_2_1_18_kcat} * E3_2_1_18 * G00092 * C00270)/(${Variables:E3_2_1_18_km} + (E3_2_1_18 * G00092 * C00270))</v>
      </c>
    </row>
    <row r="580" spans="1:11" ht="42.75" x14ac:dyDescent="0.45">
      <c r="A580" s="53" t="s">
        <v>7099</v>
      </c>
      <c r="B580" s="54" t="s">
        <v>7100</v>
      </c>
      <c r="C580" t="s">
        <v>10383</v>
      </c>
      <c r="D580" s="12">
        <v>590</v>
      </c>
      <c r="E580" s="12" t="str">
        <f>CONCATENATE("E",C580)</f>
        <v>E3_2_1_18</v>
      </c>
      <c r="F580" s="12" t="s">
        <v>9987</v>
      </c>
      <c r="G580" s="12" t="s">
        <v>10626</v>
      </c>
      <c r="H580" t="s">
        <v>9988</v>
      </c>
      <c r="I580" t="s">
        <v>10853</v>
      </c>
      <c r="J580" s="12" t="str">
        <f>CONCATENATE("(${Variables:",E580,"_kcat","} * ",E580," * ",G580,")","/(${Variables:",E580,"_km","} + (",E580," * ",G580,"))")</f>
        <v>(${Variables:E3_2_1_18_kcat} * E3_2_1_18 * G00109 * C00001)/(${Variables:E3_2_1_18_km} + (E3_2_1_18 * G00109 * C00001))</v>
      </c>
      <c r="K580" s="43" t="str">
        <f>CONCATENATE("r",D580,": ",F580," -&gt; ",H580," | ",J580)</f>
        <v>r590: G00109 + C00001 -&gt; G00123 + C00270 | (${Variables:E3_2_1_18_kcat} * E3_2_1_18 * G00109 * C00001)/(${Variables:E3_2_1_18_km} + (E3_2_1_18 * G00109 * C00001))</v>
      </c>
    </row>
    <row r="581" spans="1:11" ht="42.75" x14ac:dyDescent="0.45">
      <c r="A581" s="53" t="s">
        <v>7099</v>
      </c>
      <c r="B581" s="54" t="s">
        <v>7100</v>
      </c>
      <c r="C581" t="s">
        <v>10383</v>
      </c>
      <c r="D581" s="12">
        <v>591</v>
      </c>
      <c r="E581" s="12" t="str">
        <f>CONCATENATE("E",C581)</f>
        <v>E3_2_1_18</v>
      </c>
      <c r="F581" s="12" t="s">
        <v>9990</v>
      </c>
      <c r="G581" s="12" t="s">
        <v>10627</v>
      </c>
      <c r="H581" t="s">
        <v>9991</v>
      </c>
      <c r="I581" t="s">
        <v>10854</v>
      </c>
      <c r="J581" s="12" t="str">
        <f>CONCATENATE("(${Variables:",E581,"_kcat","} * ",E581," * ",G581,")","/(${Variables:",E581,"_km","} + (",E581," * ",G581,"))")</f>
        <v>(${Variables:E3_2_1_18_kcat} * E3_2_1_18 * G11121 * C00270)/(${Variables:E3_2_1_18_km} + (E3_2_1_18 * G11121 * C00270))</v>
      </c>
      <c r="K581" s="43" t="str">
        <f>CONCATENATE("r",D581,": ",F581," -&gt; ",H581," | ",J581)</f>
        <v>r591: G11121 + C00270 -&gt; G00317 + C00001 | (${Variables:E3_2_1_18_kcat} * E3_2_1_18 * G11121 * C00270)/(${Variables:E3_2_1_18_km} + (E3_2_1_18 * G11121 * C00270))</v>
      </c>
    </row>
    <row r="582" spans="1:11" ht="42.75" x14ac:dyDescent="0.45">
      <c r="A582" s="53" t="s">
        <v>7099</v>
      </c>
      <c r="B582" s="54" t="s">
        <v>7100</v>
      </c>
      <c r="C582" t="s">
        <v>10383</v>
      </c>
      <c r="D582" s="12">
        <v>592</v>
      </c>
      <c r="E582" s="12" t="str">
        <f>CONCATENATE("E",C582)</f>
        <v>E3_2_1_18</v>
      </c>
      <c r="F582" s="12" t="s">
        <v>9993</v>
      </c>
      <c r="G582" s="12" t="s">
        <v>10628</v>
      </c>
      <c r="H582" t="s">
        <v>9994</v>
      </c>
      <c r="I582" t="s">
        <v>10855</v>
      </c>
      <c r="J582" s="12" t="str">
        <f>CONCATENATE("(${Variables:",E582,"_kcat","} * ",E582," * ",G582,")","/(${Variables:",E582,"_km","} + (",E582," * ",G582,"))")</f>
        <v>(${Variables:E3_2_1_18_kcat} * E3_2_1_18 * G00110 * C00270)/(${Variables:E3_2_1_18_km} + (E3_2_1_18 * G00110 * C00270))</v>
      </c>
      <c r="K582" s="43" t="str">
        <f>CONCATENATE("r",D582,": ",F582," -&gt; ",H582," | ",J582)</f>
        <v>r592: G00110 + C00270 -&gt; G00111 + C00001 | (${Variables:E3_2_1_18_kcat} * E3_2_1_18 * G00110 * C00270)/(${Variables:E3_2_1_18_km} + (E3_2_1_18 * G00110 * C00270))</v>
      </c>
    </row>
    <row r="583" spans="1:11" ht="42.75" x14ac:dyDescent="0.45">
      <c r="A583" s="53" t="s">
        <v>4552</v>
      </c>
      <c r="B583" s="54" t="s">
        <v>4553</v>
      </c>
      <c r="C583" t="s">
        <v>1825</v>
      </c>
      <c r="D583" s="12">
        <v>593</v>
      </c>
      <c r="E583" s="12" t="str">
        <f>CONCATENATE("E",C583)</f>
        <v>E3_2_1_26</v>
      </c>
      <c r="F583" s="12" t="s">
        <v>3235</v>
      </c>
      <c r="G583" s="12" t="s">
        <v>1387</v>
      </c>
      <c r="H583" t="s">
        <v>3513</v>
      </c>
      <c r="I583" t="s">
        <v>1388</v>
      </c>
      <c r="J583" s="12" t="str">
        <f>CONCATENATE("(${Variables:",E583,"_kcat","} * ",E583," * ",G583,")","/(${Variables:",E583,"_km","} + (",E583," * ",G583,"))")</f>
        <v>(${Variables:E3_2_1_26_kcat} * E3_2_1_26 * C00089 * C00001)/(${Variables:E3_2_1_26_km} + (E3_2_1_26 * C00089 * C00001))</v>
      </c>
      <c r="K583" s="43" t="str">
        <f>CONCATENATE("r",D583,": ",F583," -&gt; ",H583," | ",J583)</f>
        <v>r593: C00089 + C00001 -&gt; C00095 + C00031 | (${Variables:E3_2_1_26_kcat} * E3_2_1_26 * C00089 * C00001)/(${Variables:E3_2_1_26_km} + (E3_2_1_26 * C00089 * C00001))</v>
      </c>
    </row>
    <row r="584" spans="1:11" ht="42.75" x14ac:dyDescent="0.45">
      <c r="A584" s="53" t="s">
        <v>4552</v>
      </c>
      <c r="B584" s="54" t="s">
        <v>4553</v>
      </c>
      <c r="C584" t="s">
        <v>1825</v>
      </c>
      <c r="D584" s="12">
        <v>594</v>
      </c>
      <c r="E584" s="12" t="str">
        <f>CONCATENATE("E",C584)</f>
        <v>E3_2_1_26</v>
      </c>
      <c r="F584" s="12" t="s">
        <v>3235</v>
      </c>
      <c r="G584" s="12" t="s">
        <v>1387</v>
      </c>
      <c r="H584" t="s">
        <v>3514</v>
      </c>
      <c r="I584" t="s">
        <v>1389</v>
      </c>
      <c r="J584" s="12" t="str">
        <f>CONCATENATE("(${Variables:",E584,"_kcat","} * ",E584," * ",G584,")","/(${Variables:",E584,"_km","} + (",E584," * ",G584,"))")</f>
        <v>(${Variables:E3_2_1_26_kcat} * E3_2_1_26 * C00089 * C00001)/(${Variables:E3_2_1_26_km} + (E3_2_1_26 * C00089 * C00001))</v>
      </c>
      <c r="K584" s="43" t="str">
        <f>CONCATENATE("r",D584,": ",F584," -&gt; ",H584," | ",J584)</f>
        <v>r594: C00089 + C00001 -&gt; C02336 + C00267 | (${Variables:E3_2_1_26_kcat} * E3_2_1_26 * C00089 * C00001)/(${Variables:E3_2_1_26_km} + (E3_2_1_26 * C00089 * C00001))</v>
      </c>
    </row>
    <row r="585" spans="1:11" ht="42.75" x14ac:dyDescent="0.45">
      <c r="A585" s="53" t="s">
        <v>4552</v>
      </c>
      <c r="B585" s="54" t="s">
        <v>4553</v>
      </c>
      <c r="C585" t="s">
        <v>1825</v>
      </c>
      <c r="D585" s="12">
        <v>595</v>
      </c>
      <c r="E585" s="12" t="str">
        <f>CONCATENATE("E",C585)</f>
        <v>E3_2_1_26</v>
      </c>
      <c r="F585" t="s">
        <v>3236</v>
      </c>
      <c r="G585" t="s">
        <v>1519</v>
      </c>
      <c r="H585" t="s">
        <v>3515</v>
      </c>
      <c r="I585" t="s">
        <v>1520</v>
      </c>
      <c r="J585" s="12" t="str">
        <f>CONCATENATE("(${Variables:",E585,"_kcat","} * ",E585," * ",G585,")","/(${Variables:",E585,"_km","} + (",E585," * ",G585,"))")</f>
        <v>(${Variables:E3_2_1_26_kcat} * E3_2_1_26 * C00492 * C00001)/(${Variables:E3_2_1_26_km} + (E3_2_1_26 * C00492 * C00001))</v>
      </c>
      <c r="K585" s="43" t="str">
        <f>CONCATENATE("r",D585,": ",F585," -&gt; ",H585," | ",J585)</f>
        <v>r595: C00492 + C00001 -&gt; C05402 + C00095 | (${Variables:E3_2_1_26_kcat} * E3_2_1_26 * C00492 * C00001)/(${Variables:E3_2_1_26_km} + (E3_2_1_26 * C00492 * C00001))</v>
      </c>
    </row>
    <row r="586" spans="1:11" ht="42.75" x14ac:dyDescent="0.45">
      <c r="A586" s="53" t="s">
        <v>4552</v>
      </c>
      <c r="B586" s="54" t="s">
        <v>4553</v>
      </c>
      <c r="C586" t="s">
        <v>1825</v>
      </c>
      <c r="D586" s="12">
        <v>596</v>
      </c>
      <c r="E586" s="12" t="str">
        <f>CONCATENATE("E",C586)</f>
        <v>E3_2_1_26</v>
      </c>
      <c r="F586" s="12" t="s">
        <v>3237</v>
      </c>
      <c r="G586" s="12" t="s">
        <v>1580</v>
      </c>
      <c r="H586" t="s">
        <v>3516</v>
      </c>
      <c r="I586" t="s">
        <v>1581</v>
      </c>
      <c r="J586" s="12" t="str">
        <f>CONCATENATE("(${Variables:",E586,"_kcat","} * ",E586," * ",G586,")","/(${Variables:",E586,"_km","} + (",E586," * ",G586,"))")</f>
        <v>(${Variables:E3_2_1_26_kcat} * E3_2_1_26 * C01613 * C00001)/(${Variables:E3_2_1_26_km} + (E3_2_1_26 * C01613 * C00001))</v>
      </c>
      <c r="K586" s="43" t="str">
        <f>CONCATENATE("r",D586,": ",F586," -&gt; ",H586," | ",J586)</f>
        <v>r596: C01613 + C00001 -&gt; C05404 + C00095 | (${Variables:E3_2_1_26_kcat} * E3_2_1_26 * C01613 * C00001)/(${Variables:E3_2_1_26_km} + (E3_2_1_26 * C01613 * C00001))</v>
      </c>
    </row>
    <row r="587" spans="1:11" ht="42.75" x14ac:dyDescent="0.45">
      <c r="A587" s="53" t="s">
        <v>4552</v>
      </c>
      <c r="B587" s="54" t="s">
        <v>4553</v>
      </c>
      <c r="C587" t="s">
        <v>1825</v>
      </c>
      <c r="D587" s="12">
        <v>597</v>
      </c>
      <c r="E587" s="12" t="str">
        <f>CONCATENATE("E",C587)</f>
        <v>E3_2_1_26</v>
      </c>
      <c r="F587" s="12" t="s">
        <v>3238</v>
      </c>
      <c r="G587" s="12" t="s">
        <v>1680</v>
      </c>
      <c r="H587" t="s">
        <v>3517</v>
      </c>
      <c r="I587" t="s">
        <v>1681</v>
      </c>
      <c r="J587" s="12" t="str">
        <f>CONCATENATE("(${Variables:",E587,"_kcat","} * ",E587," * ",G587,")","/(${Variables:",E587,"_km","} + (",E587," * ",G587,"))")</f>
        <v>(${Variables:E3_2_1_26_kcat} * E3_2_1_26 * C16688 * C00001)/(${Variables:E3_2_1_26_km} + (E3_2_1_26 * C16688 * C00001))</v>
      </c>
      <c r="K587" s="43" t="str">
        <f>CONCATENATE("r",D587,": ",F587," -&gt; ",H587," | ",J587)</f>
        <v>r597: C16688 + C00001 -&gt; C00095 + C00092 | (${Variables:E3_2_1_26_kcat} * E3_2_1_26 * C16688 * C00001)/(${Variables:E3_2_1_26_km} + (E3_2_1_26 * C16688 * C00001))</v>
      </c>
    </row>
    <row r="588" spans="1:11" ht="42.75" x14ac:dyDescent="0.45">
      <c r="A588" s="53" t="s">
        <v>4552</v>
      </c>
      <c r="B588" s="54" t="s">
        <v>4553</v>
      </c>
      <c r="C588" t="s">
        <v>1825</v>
      </c>
      <c r="D588" s="12">
        <v>598</v>
      </c>
      <c r="E588" s="12" t="str">
        <f>CONCATENATE("E",C588)</f>
        <v>E3_2_1_26</v>
      </c>
      <c r="F588" s="12" t="s">
        <v>8681</v>
      </c>
      <c r="G588" s="12" t="s">
        <v>1701</v>
      </c>
      <c r="H588" t="s">
        <v>3513</v>
      </c>
      <c r="I588" t="s">
        <v>1388</v>
      </c>
      <c r="J588" s="12" t="str">
        <f>CONCATENATE("(${Variables:",E588,"_kcat","} * ",E588," * ",G588,")","/(${Variables:",E588,"_km","} + (",E588," * ",G588,"))")</f>
        <v>(${Variables:E3_2_1_26_kcat} * E3_2_1_26 * G00370 * C00001)/(${Variables:E3_2_1_26_km} + (E3_2_1_26 * G00370 * C00001))</v>
      </c>
      <c r="K588" s="43" t="str">
        <f>CONCATENATE("r",D588,": ",F588," -&gt; ",H588," | ",J588)</f>
        <v>r598: G00370 + C00001 -&gt; C00095 + C00031 | (${Variables:E3_2_1_26_kcat} * E3_2_1_26 * G00370 * C00001)/(${Variables:E3_2_1_26_km} + (E3_2_1_26 * G00370 * C00001))</v>
      </c>
    </row>
    <row r="589" spans="1:11" ht="42.75" x14ac:dyDescent="0.45">
      <c r="A589" s="53" t="s">
        <v>4552</v>
      </c>
      <c r="B589" s="54" t="s">
        <v>4553</v>
      </c>
      <c r="C589" t="s">
        <v>1825</v>
      </c>
      <c r="D589" s="12">
        <v>599</v>
      </c>
      <c r="E589" s="12" t="str">
        <f>CONCATENATE("E",C589)</f>
        <v>E3_2_1_26</v>
      </c>
      <c r="F589" s="12" t="s">
        <v>8681</v>
      </c>
      <c r="G589" s="12" t="s">
        <v>1701</v>
      </c>
      <c r="H589" t="s">
        <v>3514</v>
      </c>
      <c r="I589" t="s">
        <v>1389</v>
      </c>
      <c r="J589" s="12" t="str">
        <f>CONCATENATE("(${Variables:",E589,"_kcat","} * ",E589," * ",G589,")","/(${Variables:",E589,"_km","} + (",E589," * ",G589,"))")</f>
        <v>(${Variables:E3_2_1_26_kcat} * E3_2_1_26 * G00370 * C00001)/(${Variables:E3_2_1_26_km} + (E3_2_1_26 * G00370 * C00001))</v>
      </c>
      <c r="K589" s="43" t="str">
        <f>CONCATENATE("r",D589,": ",F589," -&gt; ",H589," | ",J589)</f>
        <v>r599: G00370 + C00001 -&gt; C02336 + C00267 | (${Variables:E3_2_1_26_kcat} * E3_2_1_26 * G00370 * C00001)/(${Variables:E3_2_1_26_km} + (E3_2_1_26 * G00370 * C00001))</v>
      </c>
    </row>
    <row r="590" spans="1:11" ht="42.75" x14ac:dyDescent="0.45">
      <c r="A590" s="53" t="s">
        <v>4552</v>
      </c>
      <c r="B590" s="54" t="s">
        <v>4553</v>
      </c>
      <c r="C590" t="s">
        <v>1825</v>
      </c>
      <c r="D590" s="12">
        <v>600</v>
      </c>
      <c r="E590" s="12" t="str">
        <f>CONCATENATE("E",C590)</f>
        <v>E3_2_1_26</v>
      </c>
      <c r="F590" s="12" t="s">
        <v>8684</v>
      </c>
      <c r="G590" s="12" t="s">
        <v>1697</v>
      </c>
      <c r="H590" t="s">
        <v>8685</v>
      </c>
      <c r="I590" t="s">
        <v>1698</v>
      </c>
      <c r="J590" s="12" t="str">
        <f>CONCATENATE("(${Variables:",E590,"_kcat","} * ",E590," * ",G590,")","/(${Variables:",E590,"_km","} + (",E590," * ",G590,"))")</f>
        <v>(${Variables:E3_2_1_26_kcat} * E3_2_1_26 * G00249 * C00001)/(${Variables:E3_2_1_26_km} + (E3_2_1_26 * G00249 * C00001))</v>
      </c>
      <c r="K590" s="43" t="str">
        <f>CONCATENATE("r",D590,": ",F590," -&gt; ",H590," | ",J590)</f>
        <v>r600: G00249 + C00001 -&gt; G01275 + C00095 | (${Variables:E3_2_1_26_kcat} * E3_2_1_26 * G00249 * C00001)/(${Variables:E3_2_1_26_km} + (E3_2_1_26 * G00249 * C00001))</v>
      </c>
    </row>
    <row r="591" spans="1:11" ht="42.75" x14ac:dyDescent="0.45">
      <c r="A591" s="53" t="s">
        <v>4552</v>
      </c>
      <c r="B591" s="54" t="s">
        <v>4553</v>
      </c>
      <c r="C591" t="s">
        <v>1825</v>
      </c>
      <c r="D591" s="12">
        <v>601</v>
      </c>
      <c r="E591" s="12" t="str">
        <f>CONCATENATE("E",C591)</f>
        <v>E3_2_1_26</v>
      </c>
      <c r="F591" s="12" t="s">
        <v>8687</v>
      </c>
      <c r="G591" s="12" t="s">
        <v>1699</v>
      </c>
      <c r="H591" t="s">
        <v>8688</v>
      </c>
      <c r="I591" t="s">
        <v>1700</v>
      </c>
      <c r="J591" s="12" t="str">
        <f>CONCATENATE("(${Variables:",E591,"_kcat","} * ",E591," * ",G591,")","/(${Variables:",E591,"_km","} + (",E591," * ",G591,"))")</f>
        <v>(${Variables:E3_2_1_26_kcat} * E3_2_1_26 * G00278 * C00001)/(${Variables:E3_2_1_26_km} + (E3_2_1_26 * G00278 * C00001))</v>
      </c>
      <c r="K591" s="43" t="str">
        <f>CONCATENATE("r",D591,": ",F591," -&gt; ",H591," | ",J591)</f>
        <v>r601: G00278 + C00001 -&gt; G00501 + C00095 | (${Variables:E3_2_1_26_kcat} * E3_2_1_26 * G00278 * C00001)/(${Variables:E3_2_1_26_km} + (E3_2_1_26 * G00278 * C00001))</v>
      </c>
    </row>
    <row r="592" spans="1:11" ht="42.75" x14ac:dyDescent="0.45">
      <c r="A592" s="53" t="s">
        <v>4552</v>
      </c>
      <c r="B592" s="54" t="s">
        <v>4553</v>
      </c>
      <c r="C592" t="s">
        <v>1825</v>
      </c>
      <c r="D592" s="12">
        <v>602</v>
      </c>
      <c r="E592" s="12" t="str">
        <f>CONCATENATE("E",C592)</f>
        <v>E3_2_1_26</v>
      </c>
      <c r="F592" s="12" t="s">
        <v>8690</v>
      </c>
      <c r="G592" s="12" t="s">
        <v>1706</v>
      </c>
      <c r="H592" t="s">
        <v>8691</v>
      </c>
      <c r="I592" t="s">
        <v>1707</v>
      </c>
      <c r="J592" s="12" t="str">
        <f>CONCATENATE("(${Variables:",E592,"_kcat","} * ",E592," * ",G592,")","/(${Variables:",E592,"_km","} + (",E592," * ",G592,"))")</f>
        <v>(${Variables:E3_2_1_26_kcat} * E3_2_1_26 * G10508 * C00001)/(${Variables:E3_2_1_26_km} + (E3_2_1_26 * G10508 * C00001))</v>
      </c>
      <c r="K592" s="43" t="str">
        <f>CONCATENATE("r",D592,": ",F592," -&gt; ",H592," | ",J592)</f>
        <v>r602: G10508 + C00001 -&gt; C02336 + C00668 | (${Variables:E3_2_1_26_kcat} * E3_2_1_26 * G10508 * C00001)/(${Variables:E3_2_1_26_km} + (E3_2_1_26 * G10508 * C00001))</v>
      </c>
    </row>
    <row r="593" spans="1:11" ht="42.75" x14ac:dyDescent="0.45">
      <c r="A593" s="53" t="s">
        <v>5284</v>
      </c>
      <c r="B593" s="54" t="s">
        <v>5285</v>
      </c>
      <c r="C593" t="s">
        <v>10384</v>
      </c>
      <c r="D593" s="12">
        <v>603</v>
      </c>
      <c r="E593" s="12" t="str">
        <f>CONCATENATE("E",C593)</f>
        <v>E3_2_1_31</v>
      </c>
      <c r="F593" t="s">
        <v>9113</v>
      </c>
      <c r="G593" t="s">
        <v>10629</v>
      </c>
      <c r="H593" t="s">
        <v>9114</v>
      </c>
      <c r="I593" t="s">
        <v>10856</v>
      </c>
      <c r="J593" s="12" t="str">
        <f>CONCATENATE("(${Variables:",E593,"_kcat","} * ",E593," * ",G593,")","/(${Variables:",E593,"_km","} + (",E593," * ",G593,"))")</f>
        <v>(${Variables:E3_2_1_31_kcat} * E3_2_1_31 * C00001 * C03033)/(${Variables:E3_2_1_31_km} + (E3_2_1_31 * C00001 * C03033))</v>
      </c>
      <c r="K593" s="43" t="str">
        <f>CONCATENATE("r",D593,": ",F593," -&gt; ",H593," | ",J593)</f>
        <v>r603: C00001 + C03033 -&gt; C00191 + C00069 | (${Variables:E3_2_1_31_kcat} * E3_2_1_31 * C00001 * C03033)/(${Variables:E3_2_1_31_km} + (E3_2_1_31 * C00001 * C03033))</v>
      </c>
    </row>
    <row r="594" spans="1:11" ht="42.75" x14ac:dyDescent="0.45">
      <c r="A594" s="53" t="s">
        <v>5284</v>
      </c>
      <c r="B594" s="54" t="s">
        <v>5285</v>
      </c>
      <c r="C594" t="s">
        <v>10384</v>
      </c>
      <c r="D594" s="12">
        <v>604</v>
      </c>
      <c r="E594" s="12" t="str">
        <f>CONCATENATE("E",C594)</f>
        <v>E3_2_1_31</v>
      </c>
      <c r="F594" t="s">
        <v>9116</v>
      </c>
      <c r="G594" t="s">
        <v>10630</v>
      </c>
      <c r="H594" t="s">
        <v>9117</v>
      </c>
      <c r="I594" t="s">
        <v>10857</v>
      </c>
      <c r="J594" s="12" t="str">
        <f>CONCATENATE("(${Variables:",E594,"_kcat","} * ",E594," * ",G594,")","/(${Variables:",E594,"_km","} + (",E594," * ",G594,"))")</f>
        <v>(${Variables:E3_2_1_31_kcat} * E3_2_1_31 * G13040 * C00001)/(${Variables:E3_2_1_31_km} + (E3_2_1_31 * G13040 * C00001))</v>
      </c>
      <c r="K594" s="43" t="str">
        <f>CONCATENATE("r",D594,": ",F594," -&gt; ",H594," | ",J594)</f>
        <v>r604: G13040 + C00001 -&gt; G09660 + C00191 | (${Variables:E3_2_1_31_kcat} * E3_2_1_31 * G13040 * C00001)/(${Variables:E3_2_1_31_km} + (E3_2_1_31 * G13040 * C00001))</v>
      </c>
    </row>
    <row r="595" spans="1:11" ht="42.75" x14ac:dyDescent="0.45">
      <c r="A595" s="53" t="s">
        <v>5284</v>
      </c>
      <c r="B595" s="54" t="s">
        <v>5285</v>
      </c>
      <c r="C595" t="s">
        <v>10384</v>
      </c>
      <c r="D595" s="12">
        <v>605</v>
      </c>
      <c r="E595" s="12" t="str">
        <f>CONCATENATE("E",C595)</f>
        <v>E3_2_1_31</v>
      </c>
      <c r="F595" t="s">
        <v>9118</v>
      </c>
      <c r="G595" t="s">
        <v>10631</v>
      </c>
      <c r="H595" t="s">
        <v>9119</v>
      </c>
      <c r="I595" t="s">
        <v>10858</v>
      </c>
      <c r="J595" s="12" t="str">
        <f>CONCATENATE("(${Variables:",E595,"_kcat","} * ",E595," * ",G595,")","/(${Variables:",E595,"_km","} + (",E595," * ",G595,"))")</f>
        <v>(${Variables:E3_2_1_31_kcat} * E3_2_1_31 * C11376 * C00001)/(${Variables:E3_2_1_31_km} + (E3_2_1_31 * C11376 * C00001))</v>
      </c>
      <c r="K595" s="43" t="str">
        <f>CONCATENATE("r",D595,": ",F595," -&gt; ",H595," | ",J595)</f>
        <v>r605: C11376 + C00001 -&gt; C11173 + C00191 | (${Variables:E3_2_1_31_kcat} * E3_2_1_31 * C11376 * C00001)/(${Variables:E3_2_1_31_km} + (E3_2_1_31 * C11376 * C00001))</v>
      </c>
    </row>
    <row r="596" spans="1:11" ht="42.75" x14ac:dyDescent="0.45">
      <c r="A596" s="53" t="s">
        <v>5284</v>
      </c>
      <c r="B596" s="54" t="s">
        <v>5285</v>
      </c>
      <c r="C596" t="s">
        <v>10384</v>
      </c>
      <c r="D596" s="12">
        <v>606</v>
      </c>
      <c r="E596" s="12" t="str">
        <f>CONCATENATE("E",C596)</f>
        <v>E3_2_1_31</v>
      </c>
      <c r="F596" t="s">
        <v>9122</v>
      </c>
      <c r="G596" t="s">
        <v>10632</v>
      </c>
      <c r="H596" t="s">
        <v>9123</v>
      </c>
      <c r="I596" t="s">
        <v>10859</v>
      </c>
      <c r="J596" s="12" t="str">
        <f>CONCATENATE("(${Variables:",E596,"_kcat","} * ",E596," * ",G596,")","/(${Variables:",E596,"_km","} + (",E596," * ",G596,"))")</f>
        <v>(${Variables:E3_2_1_31_kcat} * E3_2_1_31 * G00526 * C00001)/(${Variables:E3_2_1_31_km} + (E3_2_1_31 * G00526 * C00001))</v>
      </c>
      <c r="K596" s="43" t="str">
        <f>CONCATENATE("r",D596,": ",F596," -&gt; ",H596," | ",J596)</f>
        <v>r606: G00526 + C00001 -&gt; G00711 + C00191 | (${Variables:E3_2_1_31_kcat} * E3_2_1_31 * G00526 * C00001)/(${Variables:E3_2_1_31_km} + (E3_2_1_31 * G00526 * C00001))</v>
      </c>
    </row>
    <row r="597" spans="1:11" ht="42.75" x14ac:dyDescent="0.45">
      <c r="A597" s="53" t="s">
        <v>5284</v>
      </c>
      <c r="B597" s="54" t="s">
        <v>5285</v>
      </c>
      <c r="C597" t="s">
        <v>10384</v>
      </c>
      <c r="D597" s="12">
        <v>607</v>
      </c>
      <c r="E597" s="12" t="str">
        <f>CONCATENATE("E",C597)</f>
        <v>E3_2_1_31</v>
      </c>
      <c r="F597" t="s">
        <v>9125</v>
      </c>
      <c r="G597" t="s">
        <v>10633</v>
      </c>
      <c r="H597" t="s">
        <v>9126</v>
      </c>
      <c r="I597" t="s">
        <v>10860</v>
      </c>
      <c r="J597" s="12" t="str">
        <f>CONCATENATE("(${Variables:",E597,"_kcat","} * ",E597," * ",G597,")","/(${Variables:",E597,"_km","} + (",E597," * ",G597,"))")</f>
        <v>(${Variables:E3_2_1_31_kcat} * E3_2_1_31 * C05787 * C00001 * C00030 )/(${Variables:E3_2_1_31_km} + (E3_2_1_31 * C05787 * C00001 * C00030 ))</v>
      </c>
      <c r="K597" s="43" t="str">
        <f>CONCATENATE("r",D597,": ",F597," -&gt; ",H597," | ",J597)</f>
        <v>r607: C05787 + C00001 + C00030  -&gt; C05791 + C00191 + C00028 | (${Variables:E3_2_1_31_kcat} * E3_2_1_31 * C05787 * C00001 * C00030 )/(${Variables:E3_2_1_31_km} + (E3_2_1_31 * C05787 * C00001 * C00030 ))</v>
      </c>
    </row>
    <row r="598" spans="1:11" ht="42.75" x14ac:dyDescent="0.45">
      <c r="A598" s="53" t="s">
        <v>5284</v>
      </c>
      <c r="B598" s="54" t="s">
        <v>5285</v>
      </c>
      <c r="C598" t="s">
        <v>10384</v>
      </c>
      <c r="D598" s="12">
        <v>608</v>
      </c>
      <c r="E598" s="12" t="str">
        <f>CONCATENATE("E",C598)</f>
        <v>E3_2_1_31</v>
      </c>
      <c r="F598" t="s">
        <v>9128</v>
      </c>
      <c r="G598" t="s">
        <v>10634</v>
      </c>
      <c r="H598" t="s">
        <v>9129</v>
      </c>
      <c r="I598" t="s">
        <v>10861</v>
      </c>
      <c r="J598" s="12" t="str">
        <f>CONCATENATE("(${Variables:",E598,"_kcat","} * ",E598," * ",G598,")","/(${Variables:",E598,"_km","} + (",E598," * ",G598,"))")</f>
        <v>(${Variables:E3_2_1_31_kcat} * E3_2_1_31 * C04900 * C00001)/(${Variables:E3_2_1_31_km} + (E3_2_1_31 * C04900 * C00001))</v>
      </c>
      <c r="K598" s="43" t="str">
        <f>CONCATENATE("r",D598,": ",F598," -&gt; ",H598," | ",J598)</f>
        <v>r608: C04900 + C00001 -&gt; C12632 + C00191 | (${Variables:E3_2_1_31_kcat} * E3_2_1_31 * C04900 * C00001)/(${Variables:E3_2_1_31_km} + (E3_2_1_31 * C04900 * C00001))</v>
      </c>
    </row>
    <row r="599" spans="1:11" ht="42.75" x14ac:dyDescent="0.45">
      <c r="A599" s="53" t="s">
        <v>4801</v>
      </c>
      <c r="B599" s="54" t="s">
        <v>4802</v>
      </c>
      <c r="C599" t="s">
        <v>10387</v>
      </c>
      <c r="D599" s="12">
        <v>609</v>
      </c>
      <c r="E599" s="12" t="str">
        <f>CONCATENATE("E",C599)</f>
        <v>E3_2_1_85</v>
      </c>
      <c r="F599" s="12" t="s">
        <v>8937</v>
      </c>
      <c r="G599" s="12" t="s">
        <v>10635</v>
      </c>
      <c r="H599" t="s">
        <v>8938</v>
      </c>
      <c r="I599" t="s">
        <v>10862</v>
      </c>
      <c r="J599" s="12" t="str">
        <f>CONCATENATE("(${Variables:",E599,"_kcat","} * ",E599," * ",G599,")","/(${Variables:",E599,"_km","} + (",E599," * ",G599,"))")</f>
        <v>(${Variables:E3_2_1_85_kcat} * E3_2_1_85 * C03847 * C00001)/(${Variables:E3_2_1_85_km} + (E3_2_1_85 * C03847 * C00001))</v>
      </c>
      <c r="K599" s="43" t="str">
        <f>CONCATENATE("r",D599,": ",F599," -&gt; ",H599," | ",J599)</f>
        <v>r609: C03847 + C00001 -&gt; C00069 + C01113 | (${Variables:E3_2_1_85_kcat} * E3_2_1_85 * C03847 * C00001)/(${Variables:E3_2_1_85_km} + (E3_2_1_85 * C03847 * C00001))</v>
      </c>
    </row>
    <row r="600" spans="1:11" ht="42.75" x14ac:dyDescent="0.45">
      <c r="A600" s="53" t="s">
        <v>4801</v>
      </c>
      <c r="B600" s="54" t="s">
        <v>4802</v>
      </c>
      <c r="C600" t="s">
        <v>10387</v>
      </c>
      <c r="D600" s="12">
        <v>610</v>
      </c>
      <c r="E600" s="12" t="str">
        <f>CONCATENATE("E",C600)</f>
        <v>E3_2_1_85</v>
      </c>
      <c r="F600" s="12" t="s">
        <v>8940</v>
      </c>
      <c r="G600" s="12" t="s">
        <v>10636</v>
      </c>
      <c r="H600" t="s">
        <v>8941</v>
      </c>
      <c r="I600" t="s">
        <v>10863</v>
      </c>
      <c r="J600" s="12" t="str">
        <f>CONCATENATE("(${Variables:",E600,"_kcat","} * ",E600," * ",G600,")","/(${Variables:",E600,"_km","} + (",E600," * ",G600,"))")</f>
        <v>(${Variables:E3_2_1_85_kcat} * E3_2_1_85 * C05396 * C00001)/(${Variables:E3_2_1_85_km} + (E3_2_1_85 * C05396 * C00001))</v>
      </c>
      <c r="K600" s="43" t="str">
        <f>CONCATENATE("r",D600,": ",F600," -&gt; ",H600," | ",J600)</f>
        <v>r610: C05396 + C00001 -&gt; C00221 + C01113 | (${Variables:E3_2_1_85_kcat} * E3_2_1_85 * C05396 * C00001)/(${Variables:E3_2_1_85_km} + (E3_2_1_85 * C05396 * C00001))</v>
      </c>
    </row>
    <row r="601" spans="1:11" ht="42.75" x14ac:dyDescent="0.45">
      <c r="A601" s="53" t="s">
        <v>4801</v>
      </c>
      <c r="B601" s="54" t="s">
        <v>4802</v>
      </c>
      <c r="C601" t="s">
        <v>10387</v>
      </c>
      <c r="D601" s="12">
        <v>611</v>
      </c>
      <c r="E601" s="12" t="str">
        <f>CONCATENATE("E",C601)</f>
        <v>E3_2_1_85</v>
      </c>
      <c r="F601" t="s">
        <v>8942</v>
      </c>
      <c r="G601" t="s">
        <v>10637</v>
      </c>
      <c r="H601" t="s">
        <v>8941</v>
      </c>
      <c r="I601" t="s">
        <v>10863</v>
      </c>
      <c r="J601" s="12" t="str">
        <f>CONCATENATE("(${Variables:",E601,"_kcat","} * ",E601," * ",G601,")","/(${Variables:",E601,"_km","} + (",E601," * ",G601,"))")</f>
        <v>(${Variables:E3_2_1_85_kcat} * E3_2_1_85 * G10517 * C00001)/(${Variables:E3_2_1_85_km} + (E3_2_1_85 * G10517 * C00001))</v>
      </c>
      <c r="K601" s="43" t="str">
        <f>CONCATENATE("r",D601,": ",F601," -&gt; ",H601," | ",J601)</f>
        <v>r611: G10517 + C00001 -&gt; C00221 + C01113 | (${Variables:E3_2_1_85_kcat} * E3_2_1_85 * G10517 * C00001)/(${Variables:E3_2_1_85_km} + (E3_2_1_85 * G10517 * C00001))</v>
      </c>
    </row>
    <row r="602" spans="1:11" ht="42.75" x14ac:dyDescent="0.45">
      <c r="A602" s="53" t="s">
        <v>7199</v>
      </c>
      <c r="B602" s="54" t="s">
        <v>7200</v>
      </c>
      <c r="C602" t="s">
        <v>1805</v>
      </c>
      <c r="D602" s="12">
        <v>612</v>
      </c>
      <c r="E602" s="12" t="str">
        <f>CONCATENATE("E",C602)</f>
        <v>E3_2_2_9</v>
      </c>
      <c r="F602" s="12" t="s">
        <v>3239</v>
      </c>
      <c r="G602" s="12" t="s">
        <v>1329</v>
      </c>
      <c r="H602" t="s">
        <v>3518</v>
      </c>
      <c r="I602" t="s">
        <v>1330</v>
      </c>
      <c r="J602" s="12" t="str">
        <f>CONCATENATE("(${Variables:",E602,"_kcat","} * ",E602," * ",G602,")","/(${Variables:",E602,"_km","} + (",E602," * ",G602,"))")</f>
        <v>(${Variables:E3_2_2_9_kcat} * E3_2_2_9 * C00021 * C00001)/(${Variables:E3_2_2_9_km} + (E3_2_2_9 * C00021 * C00001))</v>
      </c>
      <c r="K602" s="43" t="str">
        <f>CONCATENATE("r",D602,": ",F602," -&gt; ",H602," | ",J602)</f>
        <v>r612: C00021 + C00001 -&gt; C03539 + C00147 | (${Variables:E3_2_2_9_kcat} * E3_2_2_9 * C00021 * C00001)/(${Variables:E3_2_2_9_km} + (E3_2_2_9 * C00021 * C00001))</v>
      </c>
    </row>
    <row r="603" spans="1:11" ht="42.75" x14ac:dyDescent="0.45">
      <c r="A603" s="53" t="s">
        <v>7199</v>
      </c>
      <c r="B603" s="54" t="s">
        <v>7200</v>
      </c>
      <c r="C603" t="s">
        <v>1805</v>
      </c>
      <c r="D603" s="12">
        <v>613</v>
      </c>
      <c r="E603" s="12" t="str">
        <f>CONCATENATE("E",C603)</f>
        <v>E3_2_2_9</v>
      </c>
      <c r="F603" s="12" t="s">
        <v>3240</v>
      </c>
      <c r="G603" s="12" t="s">
        <v>1436</v>
      </c>
      <c r="H603" t="s">
        <v>3519</v>
      </c>
      <c r="I603" t="s">
        <v>1437</v>
      </c>
      <c r="J603" s="12" t="str">
        <f>CONCATENATE("(${Variables:",E603,"_kcat","} * ",E603," * ",G603,")","/(${Variables:",E603,"_km","} + (",E603," * ",G603,"))")</f>
        <v>(${Variables:E3_2_2_9_kcat} * E3_2_2_9 * C00170 * C00001)/(${Variables:E3_2_2_9_km} + (E3_2_2_9 * C00170 * C00001))</v>
      </c>
      <c r="K603" s="43" t="str">
        <f>CONCATENATE("r",D603,": ",F603," -&gt; ",H603," | ",J603)</f>
        <v>r613: C00170 + C00001 -&gt; C00147 + C03089 | (${Variables:E3_2_2_9_kcat} * E3_2_2_9 * C00170 * C00001)/(${Variables:E3_2_2_9_km} + (E3_2_2_9 * C00170 * C00001))</v>
      </c>
    </row>
    <row r="604" spans="1:11" ht="42.75" x14ac:dyDescent="0.45">
      <c r="A604" s="53" t="s">
        <v>7199</v>
      </c>
      <c r="B604" s="54" t="s">
        <v>7200</v>
      </c>
      <c r="C604" t="s">
        <v>1805</v>
      </c>
      <c r="D604" s="12">
        <v>614</v>
      </c>
      <c r="E604" s="12" t="str">
        <f>CONCATENATE("E",C604)</f>
        <v>E3_2_2_9</v>
      </c>
      <c r="F604" t="s">
        <v>3241</v>
      </c>
      <c r="G604" t="s">
        <v>1629</v>
      </c>
      <c r="H604" t="s">
        <v>3520</v>
      </c>
      <c r="I604" t="s">
        <v>1630</v>
      </c>
      <c r="J604" s="12" t="str">
        <f>CONCATENATE("(${Variables:",E604,"_kcat","} * ",E604," * ",G604,")","/(${Variables:",E604,"_km","} + (",E604," * ",G604,"))")</f>
        <v>(${Variables:E3_2_2_9_kcat} * E3_2_2_9 * C05198 * C00001)/(${Variables:E3_2_2_9_km} + (E3_2_2_9 * C05198 * C00001))</v>
      </c>
      <c r="K604" s="43" t="str">
        <f>CONCATENATE("r",D604,": ",F604," -&gt; ",H604," | ",J604)</f>
        <v>r614: C05198 + C00001 -&gt; C22288 + C00147 | (${Variables:E3_2_2_9_kcat} * E3_2_2_9 * C05198 * C00001)/(${Variables:E3_2_2_9_km} + (E3_2_2_9 * C05198 * C00001))</v>
      </c>
    </row>
    <row r="605" spans="1:11" ht="42.75" x14ac:dyDescent="0.45">
      <c r="A605" s="53" t="s">
        <v>4835</v>
      </c>
      <c r="B605" s="54" t="s">
        <v>4836</v>
      </c>
      <c r="C605" t="s">
        <v>1860</v>
      </c>
      <c r="D605" s="12">
        <v>615</v>
      </c>
      <c r="E605" s="12" t="str">
        <f>CONCATENATE("E",C605)</f>
        <v>E3_5_1_25</v>
      </c>
      <c r="F605" s="12" t="s">
        <v>3244</v>
      </c>
      <c r="G605" s="12" t="s">
        <v>1483</v>
      </c>
      <c r="H605" t="s">
        <v>3523</v>
      </c>
      <c r="I605" t="s">
        <v>1484</v>
      </c>
      <c r="J605" s="12" t="str">
        <f>CONCATENATE("(${Variables:",E605,"_kcat","} * ",E605," * ",G605,")","/(${Variables:",E605,"_km","} + (",E605," * ",G605,"))")</f>
        <v>(${Variables:E3_5_1_25_kcat} * E3_5_1_25 * C00357 * C00001)/(${Variables:E3_5_1_25_km} + (E3_5_1_25 * C00357 * C00001))</v>
      </c>
      <c r="K605" s="43" t="str">
        <f>CONCATENATE("r",D605,": ",F605," -&gt; ",H605," | ",J605)</f>
        <v>r615: C00357 + C00001 -&gt; C00352 + C00033 | (${Variables:E3_5_1_25_kcat} * E3_5_1_25 * C00357 * C00001)/(${Variables:E3_5_1_25_km} + (E3_5_1_25 * C00357 * C00001))</v>
      </c>
    </row>
    <row r="606" spans="1:11" ht="42.75" x14ac:dyDescent="0.45">
      <c r="A606" s="53" t="s">
        <v>6542</v>
      </c>
      <c r="B606" s="54" t="s">
        <v>6543</v>
      </c>
      <c r="C606" t="s">
        <v>10400</v>
      </c>
      <c r="D606" s="12">
        <v>616</v>
      </c>
      <c r="E606" s="12" t="str">
        <f>CONCATENATE("E",C606)</f>
        <v>E3_5_1_4</v>
      </c>
      <c r="F606" s="12" t="s">
        <v>9686</v>
      </c>
      <c r="G606" s="12" t="s">
        <v>10638</v>
      </c>
      <c r="H606" t="s">
        <v>3522</v>
      </c>
      <c r="I606" t="s">
        <v>1462</v>
      </c>
      <c r="J606" s="12" t="str">
        <f>CONCATENATE("(${Variables:",E606,"_kcat","} * ",E606," * ",G606,")","/(${Variables:",E606,"_km","} + (",E606," * ",G606,"))")</f>
        <v>(${Variables:E3_5_1_4_kcat} * E3_5_1_4 * C03620 * C00001)/(${Variables:E3_5_1_4_km} + (E3_5_1_4 * C03620 * C00001))</v>
      </c>
      <c r="K606" s="43" t="str">
        <f>CONCATENATE("r",D606,": ",F606," -&gt; ",H606," | ",J606)</f>
        <v>r616: C03620 + C00001 -&gt; C00060 + C00014 | (${Variables:E3_5_1_4_kcat} * E3_5_1_4 * C03620 * C00001)/(${Variables:E3_5_1_4_km} + (E3_5_1_4 * C03620 * C00001))</v>
      </c>
    </row>
    <row r="607" spans="1:11" ht="42.75" x14ac:dyDescent="0.45">
      <c r="A607" s="53" t="s">
        <v>6542</v>
      </c>
      <c r="B607" s="54" t="s">
        <v>6543</v>
      </c>
      <c r="C607" t="s">
        <v>10400</v>
      </c>
      <c r="D607" s="12">
        <v>617</v>
      </c>
      <c r="E607" s="12" t="str">
        <f>CONCATENATE("E",C607)</f>
        <v>E3_5_1_4</v>
      </c>
      <c r="F607" t="s">
        <v>9688</v>
      </c>
      <c r="G607" t="s">
        <v>10639</v>
      </c>
      <c r="H607" t="s">
        <v>9689</v>
      </c>
      <c r="I607" t="s">
        <v>10864</v>
      </c>
      <c r="J607" s="12" t="str">
        <f>CONCATENATE("(${Variables:",E607,"_kcat","} * ",E607," * ",G607,")","/(${Variables:",E607,"_km","} + (",E607," * ",G607,"))")</f>
        <v>(${Variables:E3_5_1_4_kcat} * E3_5_1_4 * C06244 * C00001)/(${Variables:E3_5_1_4_km} + (E3_5_1_4 * C06244 * C00001))</v>
      </c>
      <c r="K607" s="43" t="str">
        <f>CONCATENATE("r",D607,": ",F607," -&gt; ",H607," | ",J607)</f>
        <v>r617: C06244 + C00001 -&gt; C00033 + C00014 | (${Variables:E3_5_1_4_kcat} * E3_5_1_4 * C06244 * C00001)/(${Variables:E3_5_1_4_km} + (E3_5_1_4 * C06244 * C00001))</v>
      </c>
    </row>
    <row r="608" spans="1:11" ht="42.75" x14ac:dyDescent="0.45">
      <c r="A608" s="53" t="s">
        <v>6542</v>
      </c>
      <c r="B608" s="54" t="s">
        <v>6543</v>
      </c>
      <c r="C608" t="s">
        <v>10400</v>
      </c>
      <c r="D608" s="12">
        <v>618</v>
      </c>
      <c r="E608" s="12" t="str">
        <f>CONCATENATE("E",C608)</f>
        <v>E3_5_1_4</v>
      </c>
      <c r="F608" s="12" t="s">
        <v>9691</v>
      </c>
      <c r="G608" s="12" t="s">
        <v>10640</v>
      </c>
      <c r="H608" t="s">
        <v>9692</v>
      </c>
      <c r="I608" t="s">
        <v>10865</v>
      </c>
      <c r="J608" s="12" t="str">
        <f>CONCATENATE("(${Variables:",E608,"_kcat","} * ",E608," * ",G608,")","/(${Variables:",E608,"_km","} + (",E608," * ",G608,"))")</f>
        <v>(${Variables:E3_5_1_4_kcat} * E3_5_1_4 * C02505 * C00001)/(${Variables:E3_5_1_4_km} + (E3_5_1_4 * C02505 * C00001))</v>
      </c>
      <c r="K608" s="43" t="str">
        <f>CONCATENATE("r",D608,": ",F608," -&gt; ",H608," | ",J608)</f>
        <v>r618: C02505 + C00001 -&gt; C07086 + C00014 | (${Variables:E3_5_1_4_kcat} * E3_5_1_4 * C02505 * C00001)/(${Variables:E3_5_1_4_km} + (E3_5_1_4 * C02505 * C00001))</v>
      </c>
    </row>
    <row r="609" spans="1:11" ht="42.75" x14ac:dyDescent="0.45">
      <c r="A609" s="53" t="s">
        <v>6542</v>
      </c>
      <c r="B609" s="54" t="s">
        <v>6543</v>
      </c>
      <c r="C609" t="s">
        <v>10400</v>
      </c>
      <c r="D609" s="12">
        <v>619</v>
      </c>
      <c r="E609" s="12" t="str">
        <f>CONCATENATE("E",C609)</f>
        <v>E3_5_1_4</v>
      </c>
      <c r="F609" s="12" t="s">
        <v>9694</v>
      </c>
      <c r="G609" s="12" t="s">
        <v>10641</v>
      </c>
      <c r="H609" t="s">
        <v>9695</v>
      </c>
      <c r="I609" t="s">
        <v>10866</v>
      </c>
      <c r="J609" s="12" t="str">
        <f>CONCATENATE("(${Variables:",E609,"_kcat","} * ",E609," * ",G609,")","/(${Variables:",E609,"_km","} + (",E609," * ",G609,"))")</f>
        <v>(${Variables:E3_5_1_4_kcat} * E3_5_1_4 * C02693 * C00001)/(${Variables:E3_5_1_4_km} + (E3_5_1_4 * C02693 * C00001))</v>
      </c>
      <c r="K609" s="43" t="str">
        <f>CONCATENATE("r",D609,": ",F609," -&gt; ",H609," | ",J609)</f>
        <v>r619: C02693 + C00001 -&gt; C00954 + C00014 | (${Variables:E3_5_1_4_kcat} * E3_5_1_4 * C02693 * C00001)/(${Variables:E3_5_1_4_km} + (E3_5_1_4 * C02693 * C00001))</v>
      </c>
    </row>
    <row r="610" spans="1:11" ht="42.75" x14ac:dyDescent="0.45">
      <c r="A610" s="53" t="s">
        <v>6542</v>
      </c>
      <c r="B610" s="54" t="s">
        <v>6543</v>
      </c>
      <c r="C610" t="s">
        <v>10400</v>
      </c>
      <c r="D610" s="12">
        <v>620</v>
      </c>
      <c r="E610" s="12" t="str">
        <f>CONCATENATE("E",C610)</f>
        <v>E3_5_1_4</v>
      </c>
      <c r="F610" s="12" t="s">
        <v>9697</v>
      </c>
      <c r="G610" s="12" t="s">
        <v>10642</v>
      </c>
      <c r="H610" t="s">
        <v>9698</v>
      </c>
      <c r="I610" t="s">
        <v>10867</v>
      </c>
      <c r="J610" s="12" t="str">
        <f>CONCATENATE("(${Variables:",E610,"_kcat","} * ",E610," * ",G610,")","/(${Variables:",E610,"_km","} + (",E610," * ",G610,"))")</f>
        <v>(${Variables:E3_5_1_4_kcat} * E3_5_1_4 * C03078 * C00001)/(${Variables:E3_5_1_4_km} + (E3_5_1_4 * C03078 * C00001))</v>
      </c>
      <c r="K610" s="43" t="str">
        <f>CONCATENATE("r",D610,": ",F610," -&gt; ",H610," | ",J610)</f>
        <v>r620: C03078 + C00001 -&gt; C01035 + C00014 | (${Variables:E3_5_1_4_kcat} * E3_5_1_4 * C03078 * C00001)/(${Variables:E3_5_1_4_km} + (E3_5_1_4 * C03078 * C00001))</v>
      </c>
    </row>
    <row r="611" spans="1:11" ht="42.75" x14ac:dyDescent="0.45">
      <c r="A611" s="53" t="s">
        <v>6542</v>
      </c>
      <c r="B611" s="54" t="s">
        <v>6543</v>
      </c>
      <c r="C611" t="s">
        <v>10400</v>
      </c>
      <c r="D611" s="12">
        <v>621</v>
      </c>
      <c r="E611" s="12" t="str">
        <f>CONCATENATE("E",C611)</f>
        <v>E3_5_1_4</v>
      </c>
      <c r="F611" s="12" t="s">
        <v>9700</v>
      </c>
      <c r="G611" s="12" t="s">
        <v>10643</v>
      </c>
      <c r="H611" t="s">
        <v>9701</v>
      </c>
      <c r="I611" t="s">
        <v>10868</v>
      </c>
      <c r="J611" s="12" t="str">
        <f>CONCATENATE("(${Variables:",E611,"_kcat","} * ",E611," * ",G611,")","/(${Variables:",E611,"_km","} + (",E611," * ",G611,"))")</f>
        <v>(${Variables:E3_5_1_4_kcat} * E3_5_1_4 * C00511 * C00014)/(${Variables:E3_5_1_4_km} + (E3_5_1_4 * C00511 * C00014))</v>
      </c>
      <c r="K611" s="43" t="str">
        <f>CONCATENATE("r",D611,": ",F611," -&gt; ",H611," | ",J611)</f>
        <v>r621: C00511 + C00014 -&gt; C01659 + C00001 | (${Variables:E3_5_1_4_kcat} * E3_5_1_4 * C00511 * C00014)/(${Variables:E3_5_1_4_km} + (E3_5_1_4 * C00511 * C00014))</v>
      </c>
    </row>
    <row r="612" spans="1:11" ht="42.75" x14ac:dyDescent="0.45">
      <c r="A612" s="53" t="s">
        <v>6542</v>
      </c>
      <c r="B612" s="54" t="s">
        <v>6543</v>
      </c>
      <c r="C612" t="s">
        <v>10400</v>
      </c>
      <c r="D612" s="12">
        <v>622</v>
      </c>
      <c r="E612" s="12" t="str">
        <f>CONCATENATE("E",C612)</f>
        <v>E3_5_1_4</v>
      </c>
      <c r="F612" s="12" t="s">
        <v>9703</v>
      </c>
      <c r="G612" s="12" t="s">
        <v>10644</v>
      </c>
      <c r="H612" t="s">
        <v>9704</v>
      </c>
      <c r="I612" t="s">
        <v>10869</v>
      </c>
      <c r="J612" s="12" t="str">
        <f>CONCATENATE("(${Variables:",E612,"_kcat","} * ",E612," * ",G612,")","/(${Variables:",E612,"_km","} + (",E612," * ",G612,"))")</f>
        <v>(${Variables:E3_5_1_4_kcat} * E3_5_1_4 * C09815 * C00001)/(${Variables:E3_5_1_4_km} + (E3_5_1_4 * C09815 * C00001))</v>
      </c>
      <c r="K612" s="43" t="str">
        <f>CONCATENATE("r",D612,": ",F612," -&gt; ",H612," | ",J612)</f>
        <v>r622: C09815 + C00001 -&gt; C00180 + C00014 | (${Variables:E3_5_1_4_kcat} * E3_5_1_4 * C09815 * C00001)/(${Variables:E3_5_1_4_km} + (E3_5_1_4 * C09815 * C00001))</v>
      </c>
    </row>
    <row r="613" spans="1:11" ht="42.75" x14ac:dyDescent="0.45">
      <c r="A613" s="53" t="s">
        <v>6542</v>
      </c>
      <c r="B613" s="54" t="s">
        <v>6543</v>
      </c>
      <c r="C613" t="s">
        <v>10400</v>
      </c>
      <c r="D613" s="12">
        <v>623</v>
      </c>
      <c r="E613" s="12" t="str">
        <f>CONCATENATE("E",C613)</f>
        <v>E3_5_1_4</v>
      </c>
      <c r="F613" s="12" t="s">
        <v>3243</v>
      </c>
      <c r="G613" s="12" t="s">
        <v>1461</v>
      </c>
      <c r="H613" t="s">
        <v>3522</v>
      </c>
      <c r="I613" t="s">
        <v>1462</v>
      </c>
      <c r="J613" s="12" t="str">
        <f>CONCATENATE("(${Variables:",E613,"_kcat","} * ",E613," * ",G613,")","/(${Variables:",E613,"_km","} + (",E613," * ",G613,"))")</f>
        <v>(${Variables:E3_5_1_4_kcat} * E3_5_1_4 * C00241 * C00001)/(${Variables:E3_5_1_4_km} + (E3_5_1_4 * C00241 * C00001))</v>
      </c>
      <c r="K613" s="43" t="str">
        <f>CONCATENATE("r",D613,": ",F613," -&gt; ",H613," | ",J613)</f>
        <v>r623: C00241 + C00001 -&gt; C00060 + C00014 | (${Variables:E3_5_1_4_kcat} * E3_5_1_4 * C00241 * C00001)/(${Variables:E3_5_1_4_km} + (E3_5_1_4 * C00241 * C00001))</v>
      </c>
    </row>
    <row r="614" spans="1:11" ht="42.75" x14ac:dyDescent="0.45">
      <c r="A614" s="53" t="s">
        <v>6406</v>
      </c>
      <c r="B614" s="54" t="s">
        <v>6407</v>
      </c>
      <c r="C614" t="s">
        <v>1891</v>
      </c>
      <c r="D614" s="12">
        <v>624</v>
      </c>
      <c r="E614" s="12" t="str">
        <f>CONCATENATE("E",C614)</f>
        <v>E3_5_1_88</v>
      </c>
      <c r="F614" s="12" t="s">
        <v>3246</v>
      </c>
      <c r="G614" s="12" t="s">
        <v>1661</v>
      </c>
      <c r="H614" t="s">
        <v>3525</v>
      </c>
      <c r="I614" t="s">
        <v>1662</v>
      </c>
      <c r="J614" s="12" t="str">
        <f>CONCATENATE("(${Variables:",E614,"_kcat","} * ",E614," * ",G614,")","/(${Variables:",E614,"_km","} + (",E614," * ",G614,"))")</f>
        <v>(${Variables:E3_5_1_88_kcat} * E3_5_1_88 * C11439 * C00001)/(${Variables:E3_5_1_88_km} + (E3_5_1_88 * C11439 * C00001))</v>
      </c>
      <c r="K614" s="43" t="str">
        <f>CONCATENATE("r",D614,": ",F614," -&gt; ",H614," | ",J614)</f>
        <v>r624: C11439 + C00001 -&gt; C11440 + C00058 | (${Variables:E3_5_1_88_kcat} * E3_5_1_88 * C11439 * C00001)/(${Variables:E3_5_1_88_km} + (E3_5_1_88 * C11439 * C00001))</v>
      </c>
    </row>
    <row r="615" spans="1:11" ht="42.75" x14ac:dyDescent="0.45">
      <c r="A615" s="53" t="s">
        <v>6406</v>
      </c>
      <c r="B615" s="54" t="s">
        <v>6407</v>
      </c>
      <c r="C615" t="s">
        <v>1891</v>
      </c>
      <c r="D615" s="12">
        <v>625</v>
      </c>
      <c r="E615" s="12" t="str">
        <f>CONCATENATE("E",C615)</f>
        <v>E3_5_1_88</v>
      </c>
      <c r="F615" s="12" t="s">
        <v>3245</v>
      </c>
      <c r="G615" s="12" t="s">
        <v>1616</v>
      </c>
      <c r="H615" t="s">
        <v>3524</v>
      </c>
      <c r="I615" t="s">
        <v>1617</v>
      </c>
      <c r="J615" s="12" t="str">
        <f>CONCATENATE("(${Variables:",E615,"_kcat","} * ",E615," * ",G615,")","/(${Variables:",E615,"_km","} + (",E615," * ",G615,"))")</f>
        <v>(${Variables:E3_5_1_88_kcat} * E3_5_1_88 * C04258 * C00001)/(${Variables:E3_5_1_88_km} + (E3_5_1_88 * C04258 * C00001))</v>
      </c>
      <c r="K615" s="43" t="str">
        <f>CONCATENATE("r",D615,": ",F615," -&gt; ",H615," | ",J615)</f>
        <v>r625: C04258 + C00001 -&gt; C00058 + C03617 | (${Variables:E3_5_1_88_kcat} * E3_5_1_88 * C04258 * C00001)/(${Variables:E3_5_1_88_km} + (E3_5_1_88 * C04258 * C00001))</v>
      </c>
    </row>
    <row r="616" spans="1:11" ht="42.75" x14ac:dyDescent="0.45">
      <c r="A616" s="53" t="s">
        <v>7934</v>
      </c>
      <c r="B616" s="54" t="s">
        <v>7935</v>
      </c>
      <c r="C616" t="s">
        <v>1891</v>
      </c>
      <c r="D616" s="12">
        <v>626</v>
      </c>
      <c r="E616" s="12" t="str">
        <f>CONCATENATE("E",C616)</f>
        <v>E3_5_1_88</v>
      </c>
      <c r="F616" s="12" t="s">
        <v>3246</v>
      </c>
      <c r="G616" s="12" t="s">
        <v>1661</v>
      </c>
      <c r="H616" t="s">
        <v>3525</v>
      </c>
      <c r="I616" t="s">
        <v>1662</v>
      </c>
      <c r="J616" s="12" t="str">
        <f>CONCATENATE("(${Variables:",E616,"_kcat","} * ",E616," * ",G616,")","/(${Variables:",E616,"_km","} + (",E616," * ",G616,"))")</f>
        <v>(${Variables:E3_5_1_88_kcat} * E3_5_1_88 * C11439 * C00001)/(${Variables:E3_5_1_88_km} + (E3_5_1_88 * C11439 * C00001))</v>
      </c>
      <c r="K616" s="43" t="str">
        <f>CONCATENATE("r",D616,": ",F616," -&gt; ",H616," | ",J616)</f>
        <v>r626: C11439 + C00001 -&gt; C11440 + C00058 | (${Variables:E3_5_1_88_kcat} * E3_5_1_88 * C11439 * C00001)/(${Variables:E3_5_1_88_km} + (E3_5_1_88 * C11439 * C00001))</v>
      </c>
    </row>
    <row r="617" spans="1:11" ht="42.75" x14ac:dyDescent="0.45">
      <c r="A617" s="53" t="s">
        <v>7934</v>
      </c>
      <c r="B617" s="54" t="s">
        <v>7935</v>
      </c>
      <c r="C617" t="s">
        <v>1891</v>
      </c>
      <c r="D617" s="12">
        <v>627</v>
      </c>
      <c r="E617" s="12" t="str">
        <f>CONCATENATE("E",C617)</f>
        <v>E3_5_1_88</v>
      </c>
      <c r="F617" t="s">
        <v>3245</v>
      </c>
      <c r="G617" t="s">
        <v>1616</v>
      </c>
      <c r="H617" t="s">
        <v>3524</v>
      </c>
      <c r="I617" t="s">
        <v>1617</v>
      </c>
      <c r="J617" s="12" t="str">
        <f>CONCATENATE("(${Variables:",E617,"_kcat","} * ",E617," * ",G617,")","/(${Variables:",E617,"_km","} + (",E617," * ",G617,"))")</f>
        <v>(${Variables:E3_5_1_88_kcat} * E3_5_1_88 * C04258 * C00001)/(${Variables:E3_5_1_88_km} + (E3_5_1_88 * C04258 * C00001))</v>
      </c>
      <c r="K617" s="43" t="str">
        <f>CONCATENATE("r",D617,": ",F617," -&gt; ",H617," | ",J617)</f>
        <v>r627: C04258 + C00001 -&gt; C00058 + C03617 | (${Variables:E3_5_1_88_kcat} * E3_5_1_88 * C04258 * C00001)/(${Variables:E3_5_1_88_km} + (E3_5_1_88 * C04258 * C00001))</v>
      </c>
    </row>
    <row r="618" spans="1:11" ht="42.75" x14ac:dyDescent="0.45">
      <c r="A618" s="53" t="s">
        <v>6531</v>
      </c>
      <c r="B618" s="54" t="s">
        <v>6532</v>
      </c>
      <c r="C618" t="s">
        <v>1857</v>
      </c>
      <c r="D618" s="12">
        <v>628</v>
      </c>
      <c r="E618" s="12" t="str">
        <f>CONCATENATE("E",C618)</f>
        <v>E3_5_2_3</v>
      </c>
      <c r="F618" s="12" t="s">
        <v>3247</v>
      </c>
      <c r="G618" s="12" t="s">
        <v>1476</v>
      </c>
      <c r="H618" t="s">
        <v>1085</v>
      </c>
      <c r="I618" t="s">
        <v>1085</v>
      </c>
      <c r="J618" s="12" t="str">
        <f>CONCATENATE("(${Variables:",E618,"_kcat","} * ",E618," * ",G618,")","/(${Variables:",E618,"_km","} + (",E618," * ",G618,"))")</f>
        <v>(${Variables:E3_5_2_3_kcat} * E3_5_2_3 * C00337 * C00001)/(${Variables:E3_5_2_3_km} + (E3_5_2_3 * C00337 * C00001))</v>
      </c>
      <c r="K618" s="43" t="str">
        <f>CONCATENATE("r",D618,": ",F618," -&gt; ",H618," | ",J618)</f>
        <v>r628: C00337 + C00001 -&gt; C00438 | (${Variables:E3_5_2_3_kcat} * E3_5_2_3 * C00337 * C00001)/(${Variables:E3_5_2_3_km} + (E3_5_2_3 * C00337 * C00001))</v>
      </c>
    </row>
    <row r="619" spans="1:11" ht="42.75" x14ac:dyDescent="0.45">
      <c r="A619" s="53" t="s">
        <v>5021</v>
      </c>
      <c r="B619" s="54" t="s">
        <v>5022</v>
      </c>
      <c r="C619" t="s">
        <v>10401</v>
      </c>
      <c r="D619" s="12">
        <v>629</v>
      </c>
      <c r="E619" s="12" t="str">
        <f>CONCATENATE("E",C619)</f>
        <v>E3_5_3_6</v>
      </c>
      <c r="F619" t="s">
        <v>8981</v>
      </c>
      <c r="G619" t="s">
        <v>10645</v>
      </c>
      <c r="H619" t="s">
        <v>8982</v>
      </c>
      <c r="I619" t="s">
        <v>10870</v>
      </c>
      <c r="J619" s="12" t="str">
        <f>CONCATENATE("(${Variables:",E619,"_kcat","} * ",E619," * ",G619,")","/(${Variables:",E619,"_km","} + (",E619," * ",G619,"))")</f>
        <v>(${Variables:E3_5_3_6_kcat} * E3_5_3_6 * C00062 * C00001)/(${Variables:E3_5_3_6_km} + (E3_5_3_6 * C00062 * C00001))</v>
      </c>
      <c r="K619" s="43" t="str">
        <f>CONCATENATE("r",D619,": ",F619," -&gt; ",H619," | ",J619)</f>
        <v>r629: C00062 + C00001 -&gt; C00327 + C00014 | (${Variables:E3_5_3_6_kcat} * E3_5_3_6 * C00062 * C00001)/(${Variables:E3_5_3_6_km} + (E3_5_3_6 * C00062 * C00001))</v>
      </c>
    </row>
    <row r="620" spans="1:11" ht="42.75" x14ac:dyDescent="0.45">
      <c r="A620" s="53" t="s">
        <v>5021</v>
      </c>
      <c r="B620" s="54" t="s">
        <v>5022</v>
      </c>
      <c r="C620" t="s">
        <v>10401</v>
      </c>
      <c r="D620" s="12">
        <v>630</v>
      </c>
      <c r="E620" s="12" t="str">
        <f>CONCATENATE("E",C620)</f>
        <v>E3_5_3_6</v>
      </c>
      <c r="F620" t="s">
        <v>8984</v>
      </c>
      <c r="G620" t="s">
        <v>10646</v>
      </c>
      <c r="H620" t="s">
        <v>8984</v>
      </c>
      <c r="I620" t="s">
        <v>10646</v>
      </c>
      <c r="J620" s="12" t="str">
        <f>CONCATENATE("(${Variables:",E620,"_kcat","} * ",E620," * ",G620,")","/(${Variables:",E620,"_km","} + (",E620," * ",G620,"))")</f>
        <v>(${Variables:E3_5_3_6_kcat} * E3_5_3_6 * C06060 * C00001)/(${Variables:E3_5_3_6_km} + (E3_5_3_6 * C06060 * C00001))</v>
      </c>
      <c r="K620" s="43" t="str">
        <f>CONCATENATE("r",D620,": ",F620," -&gt; ",H620," | ",J620)</f>
        <v>r630: C06060 + C00001 -&gt; C06060 + C00001 | (${Variables:E3_5_3_6_kcat} * E3_5_3_6 * C06060 * C00001)/(${Variables:E3_5_3_6_km} + (E3_5_3_6 * C06060 * C00001))</v>
      </c>
    </row>
    <row r="621" spans="1:11" ht="42.75" x14ac:dyDescent="0.45">
      <c r="A621" s="53" t="s">
        <v>3685</v>
      </c>
      <c r="B621" s="54" t="s">
        <v>3686</v>
      </c>
      <c r="C621" t="s">
        <v>1838</v>
      </c>
      <c r="D621" s="12">
        <v>631</v>
      </c>
      <c r="E621" s="12" t="str">
        <f>CONCATENATE("E",C621)</f>
        <v>E3_5_4_10</v>
      </c>
      <c r="F621" s="12" t="s">
        <v>3223</v>
      </c>
      <c r="G621" s="12" t="s">
        <v>1416</v>
      </c>
      <c r="H621" t="s">
        <v>1071</v>
      </c>
      <c r="I621" t="s">
        <v>1071</v>
      </c>
      <c r="J621" s="12" t="str">
        <f>CONCATENATE("(${Variables:",E621,"_kcat","} * ",E621," * ",G621,")","/(${Variables:",E621,"_km","} + (",E621," * ",G621,"))")</f>
        <v>(${Variables:E3_5_4_10_kcat} * E3_5_4_10 * C00130 * C00001)/(${Variables:E3_5_4_10_km} + (E3_5_4_10 * C00130 * C00001))</v>
      </c>
      <c r="K621" s="43" t="str">
        <f>CONCATENATE("r",D621,": ",F621," -&gt; ",H621," | ",J621)</f>
        <v>r631: C00130 + C00001 -&gt; C04734 | (${Variables:E3_5_4_10_kcat} * E3_5_4_10 * C00130 * C00001)/(${Variables:E3_5_4_10_km} + (E3_5_4_10 * C00130 * C00001))</v>
      </c>
    </row>
    <row r="622" spans="1:11" ht="42.75" x14ac:dyDescent="0.45">
      <c r="A622" s="53" t="s">
        <v>4530</v>
      </c>
      <c r="B622" s="54" t="s">
        <v>4531</v>
      </c>
      <c r="C622" t="s">
        <v>10402</v>
      </c>
      <c r="D622" s="12">
        <v>632</v>
      </c>
      <c r="E622" s="12" t="str">
        <f>CONCATENATE("E",C622)</f>
        <v>E3_5_4_12</v>
      </c>
      <c r="F622" s="12" t="s">
        <v>3225</v>
      </c>
      <c r="G622" s="12" t="s">
        <v>1459</v>
      </c>
      <c r="H622" t="s">
        <v>8672</v>
      </c>
      <c r="I622" t="s">
        <v>10871</v>
      </c>
      <c r="J622" s="12" t="str">
        <f>CONCATENATE("(${Variables:",E622,"_kcat","} * ",E622," * ",G622,")","/(${Variables:",E622,"_km","} + (",E622," * ",G622,"))")</f>
        <v>(${Variables:E3_5_4_12_kcat} * E3_5_4_12 * C00239 * C00001)/(${Variables:E3_5_4_12_km} + (E3_5_4_12 * C00239 * C00001))</v>
      </c>
      <c r="K622" s="43" t="str">
        <f>CONCATENATE("r",D622,": ",F622," -&gt; ",H622," | ",J622)</f>
        <v>r632: C00239 + C00001 -&gt; C00365 + C00014 | (${Variables:E3_5_4_12_kcat} * E3_5_4_12 * C00239 * C00001)/(${Variables:E3_5_4_12_km} + (E3_5_4_12 * C00239 * C00001))</v>
      </c>
    </row>
    <row r="623" spans="1:11" ht="42.75" x14ac:dyDescent="0.45">
      <c r="A623" s="53" t="s">
        <v>6353</v>
      </c>
      <c r="B623" s="54" t="s">
        <v>6354</v>
      </c>
      <c r="C623" t="s">
        <v>10403</v>
      </c>
      <c r="D623" s="12">
        <v>633</v>
      </c>
      <c r="E623" s="12" t="str">
        <f>CONCATENATE("E",C623)</f>
        <v>E3_5_4_16</v>
      </c>
      <c r="F623" s="12" t="s">
        <v>9503</v>
      </c>
      <c r="G623" s="12" t="s">
        <v>10647</v>
      </c>
      <c r="H623" t="s">
        <v>9504</v>
      </c>
      <c r="I623" t="s">
        <v>10872</v>
      </c>
      <c r="J623" s="12" t="str">
        <f>CONCATENATE("(${Variables:",E623,"_kcat","} * ",E623," * ",G623,")","/(${Variables:",E623,"_km","} + (",E623," * ",G623,"))")</f>
        <v>(${Variables:E3_5_4_16_kcat} * E3_5_4_16 * C00044 * C00001)/(${Variables:E3_5_4_16_km} + (E3_5_4_16 * C00044 * C00001))</v>
      </c>
      <c r="K623" s="43" t="str">
        <f>CONCATENATE("r",D623,": ",F623," -&gt; ",H623," | ",J623)</f>
        <v>r633: C00044 + C00001 -&gt; C04895 + C00058 | (${Variables:E3_5_4_16_kcat} * E3_5_4_16 * C00044 * C00001)/(${Variables:E3_5_4_16_km} + (E3_5_4_16 * C00044 * C00001))</v>
      </c>
    </row>
    <row r="624" spans="1:11" ht="42.75" x14ac:dyDescent="0.45">
      <c r="A624" s="53" t="s">
        <v>6353</v>
      </c>
      <c r="B624" s="54" t="s">
        <v>6354</v>
      </c>
      <c r="C624" t="s">
        <v>10403</v>
      </c>
      <c r="D624" s="12">
        <v>634</v>
      </c>
      <c r="E624" s="12" t="str">
        <f>CONCATENATE("E",C624)</f>
        <v>E3_5_4_16</v>
      </c>
      <c r="F624" s="12" t="s">
        <v>9503</v>
      </c>
      <c r="G624" s="12" t="s">
        <v>10647</v>
      </c>
      <c r="H624" t="s">
        <v>9506</v>
      </c>
      <c r="I624" t="s">
        <v>9506</v>
      </c>
      <c r="J624" s="12" t="str">
        <f>CONCATENATE("(${Variables:",E624,"_kcat","} * ",E624," * ",G624,")","/(${Variables:",E624,"_km","} + (",E624," * ",G624,"))")</f>
        <v>(${Variables:E3_5_4_16_kcat} * E3_5_4_16 * C00044 * C00001)/(${Variables:E3_5_4_16_km} + (E3_5_4_16 * C00044 * C00001))</v>
      </c>
      <c r="K624" s="43" t="str">
        <f>CONCATENATE("r",D624,": ",F624," -&gt; ",H624," | ",J624)</f>
        <v>r634: C00044 + C00001 -&gt; C05922 | (${Variables:E3_5_4_16_kcat} * E3_5_4_16 * C00044 * C00001)/(${Variables:E3_5_4_16_km} + (E3_5_4_16 * C00044 * C00001))</v>
      </c>
    </row>
    <row r="625" spans="1:11" ht="42.75" x14ac:dyDescent="0.45">
      <c r="A625" s="53" t="s">
        <v>6353</v>
      </c>
      <c r="B625" s="54" t="s">
        <v>6354</v>
      </c>
      <c r="C625" t="s">
        <v>10403</v>
      </c>
      <c r="D625" s="12">
        <v>635</v>
      </c>
      <c r="E625" s="12" t="str">
        <f>CONCATENATE("E",C625)</f>
        <v>E3_5_4_16</v>
      </c>
      <c r="F625" s="12" t="s">
        <v>9508</v>
      </c>
      <c r="G625" s="12" t="s">
        <v>10648</v>
      </c>
      <c r="H625" t="s">
        <v>9509</v>
      </c>
      <c r="I625" t="s">
        <v>9509</v>
      </c>
      <c r="J625" s="12" t="str">
        <f>CONCATENATE("(${Variables:",E625,"_kcat","} * ",E625," * ",G625,")","/(${Variables:",E625,"_km","} + (",E625," * ",G625,"))")</f>
        <v>(${Variables:E3_5_4_16_kcat} * E3_5_4_16 * C04895 * C00001)/(${Variables:E3_5_4_16_km} + (E3_5_4_16 * C04895 * C00001))</v>
      </c>
      <c r="K625" s="43" t="str">
        <f>CONCATENATE("r",D625,": ",F625," -&gt; ",H625," | ",J625)</f>
        <v>r635: C04895 + C00001 -&gt; C06148 | (${Variables:E3_5_4_16_kcat} * E3_5_4_16 * C04895 * C00001)/(${Variables:E3_5_4_16_km} + (E3_5_4_16 * C04895 * C00001))</v>
      </c>
    </row>
    <row r="626" spans="1:11" ht="42.75" x14ac:dyDescent="0.45">
      <c r="A626" s="53" t="s">
        <v>6353</v>
      </c>
      <c r="B626" s="54" t="s">
        <v>6354</v>
      </c>
      <c r="C626" t="s">
        <v>10403</v>
      </c>
      <c r="D626" s="12">
        <v>636</v>
      </c>
      <c r="E626" s="12" t="str">
        <f>CONCATENATE("E",C626)</f>
        <v>E3_5_4_16</v>
      </c>
      <c r="F626" s="12" t="s">
        <v>9511</v>
      </c>
      <c r="G626" s="12" t="s">
        <v>10649</v>
      </c>
      <c r="H626" t="s">
        <v>9512</v>
      </c>
      <c r="I626" t="s">
        <v>10873</v>
      </c>
      <c r="J626" s="12" t="str">
        <f>CONCATENATE("(${Variables:",E626,"_kcat","} * ",E626," * ",G626,")","/(${Variables:",E626,"_km","} + (",E626," * ",G626,"))")</f>
        <v>(${Variables:E3_5_4_16_kcat} * E3_5_4_16 * C05922 * C00001)/(${Variables:E3_5_4_16_km} + (E3_5_4_16 * C05922 * C00001))</v>
      </c>
      <c r="K626" s="43" t="str">
        <f>CONCATENATE("r",D626,": ",F626," -&gt; ",H626," | ",J626)</f>
        <v>r636: C05922 + C00001 -&gt; C05923 + C00058 | (${Variables:E3_5_4_16_kcat} * E3_5_4_16 * C05922 * C00001)/(${Variables:E3_5_4_16_km} + (E3_5_4_16 * C05922 * C00001))</v>
      </c>
    </row>
    <row r="627" spans="1:11" ht="28.5" x14ac:dyDescent="0.45">
      <c r="A627" s="53" t="s">
        <v>6353</v>
      </c>
      <c r="B627" s="54" t="s">
        <v>6354</v>
      </c>
      <c r="C627" t="s">
        <v>10403</v>
      </c>
      <c r="D627" s="12">
        <v>637</v>
      </c>
      <c r="E627" s="12" t="str">
        <f>CONCATENATE("E",C627)</f>
        <v>E3_5_4_16</v>
      </c>
      <c r="F627" s="12" t="s">
        <v>9514</v>
      </c>
      <c r="G627" s="12" t="s">
        <v>9514</v>
      </c>
      <c r="H627" t="s">
        <v>9509</v>
      </c>
      <c r="I627" t="s">
        <v>9509</v>
      </c>
      <c r="J627" s="12" t="str">
        <f>CONCATENATE("(${Variables:",E627,"_kcat","} * ",E627," * ",G627,")","/(${Variables:",E627,"_km","} + (",E627," * ",G627,"))")</f>
        <v>(${Variables:E3_5_4_16_kcat} * E3_5_4_16 * C05923)/(${Variables:E3_5_4_16_km} + (E3_5_4_16 * C05923))</v>
      </c>
      <c r="K627" s="43" t="str">
        <f>CONCATENATE("r",D627,": ",F627," -&gt; ",H627," | ",J627)</f>
        <v>r637: C05923 -&gt; C06148 | (${Variables:E3_5_4_16_kcat} * E3_5_4_16 * C05923)/(${Variables:E3_5_4_16_km} + (E3_5_4_16 * C05923))</v>
      </c>
    </row>
    <row r="628" spans="1:11" ht="42.75" x14ac:dyDescent="0.45">
      <c r="A628" s="53" t="s">
        <v>4090</v>
      </c>
      <c r="B628" s="54" t="s">
        <v>4091</v>
      </c>
      <c r="C628" t="s">
        <v>1900</v>
      </c>
      <c r="D628" s="12">
        <v>638</v>
      </c>
      <c r="E628" s="12" t="str">
        <f>CONCATENATE("E",C628)</f>
        <v>E3_5_4_33</v>
      </c>
      <c r="F628" s="12" t="s">
        <v>3248</v>
      </c>
      <c r="G628" s="12" t="s">
        <v>1682</v>
      </c>
      <c r="H628" t="s">
        <v>3526</v>
      </c>
      <c r="I628" t="s">
        <v>1683</v>
      </c>
      <c r="J628" s="12" t="str">
        <f>CONCATENATE("(${Variables:",E628,"_kcat","} * ",E628," * ",G628,")","/(${Variables:",E628,"_km","} + (",E628," * ",G628,"))")</f>
        <v>(${Variables:E3_5_4_33_kcat} * E3_5_4_33 * C17324 * C00001)/(${Variables:E3_5_4_33_km} + (E3_5_4_33 * C17324 * C00001))</v>
      </c>
      <c r="K628" s="43" t="str">
        <f>CONCATENATE("r",D628,": ",F628," -&gt; ",H628," | ",J628)</f>
        <v>r638: C17324 + C00001 -&gt; C20451 + C00014 | (${Variables:E3_5_4_33_kcat} * E3_5_4_33 * C17324 * C00001)/(${Variables:E3_5_4_33_km} + (E3_5_4_33 * C17324 * C00001))</v>
      </c>
    </row>
    <row r="629" spans="1:11" ht="42.75" x14ac:dyDescent="0.45">
      <c r="A629" s="53" t="s">
        <v>5548</v>
      </c>
      <c r="B629" s="54" t="s">
        <v>5549</v>
      </c>
      <c r="C629" t="s">
        <v>1851</v>
      </c>
      <c r="D629" s="12">
        <v>639</v>
      </c>
      <c r="E629" s="12" t="str">
        <f>CONCATENATE("E",C629)</f>
        <v>E3_5_4_4</v>
      </c>
      <c r="F629" s="12" t="s">
        <v>3249</v>
      </c>
      <c r="G629" s="12" t="s">
        <v>1449</v>
      </c>
      <c r="H629" t="s">
        <v>3527</v>
      </c>
      <c r="I629" t="s">
        <v>1450</v>
      </c>
      <c r="J629" s="12" t="str">
        <f>CONCATENATE("(${Variables:",E629,"_kcat","} * ",E629," * ",G629,")","/(${Variables:",E629,"_km","} + (",E629," * ",G629,"))")</f>
        <v>(${Variables:E3_5_4_4_kcat} * E3_5_4_4 * C00212 * C00001)/(${Variables:E3_5_4_4_km} + (E3_5_4_4 * C00212 * C00001))</v>
      </c>
      <c r="K629" s="43" t="str">
        <f>CONCATENATE("r",D629,": ",F629," -&gt; ",H629," | ",J629)</f>
        <v>r639: C00212 + C00001 -&gt; C00294 + C00014 | (${Variables:E3_5_4_4_kcat} * E3_5_4_4 * C00212 * C00001)/(${Variables:E3_5_4_4_km} + (E3_5_4_4 * C00212 * C00001))</v>
      </c>
    </row>
    <row r="630" spans="1:11" ht="42.75" x14ac:dyDescent="0.45">
      <c r="A630" s="53" t="s">
        <v>5548</v>
      </c>
      <c r="B630" s="54" t="s">
        <v>5549</v>
      </c>
      <c r="C630" t="s">
        <v>1851</v>
      </c>
      <c r="D630" s="12">
        <v>640</v>
      </c>
      <c r="E630" s="12" t="str">
        <f>CONCATENATE("E",C630)</f>
        <v>E3_5_4_4</v>
      </c>
      <c r="F630" t="s">
        <v>3250</v>
      </c>
      <c r="G630" t="s">
        <v>1523</v>
      </c>
      <c r="H630" t="s">
        <v>3528</v>
      </c>
      <c r="I630" t="s">
        <v>1524</v>
      </c>
      <c r="J630" s="12" t="str">
        <f>CONCATENATE("(${Variables:",E630,"_kcat","} * ",E630," * ",G630,")","/(${Variables:",E630,"_km","} + (",E630," * ",G630,"))")</f>
        <v>(${Variables:E3_5_4_4_kcat} * E3_5_4_4 * C00559 * C00001)/(${Variables:E3_5_4_4_km} + (E3_5_4_4 * C00559 * C00001))</v>
      </c>
      <c r="K630" s="43" t="str">
        <f>CONCATENATE("r",D630,": ",F630," -&gt; ",H630," | ",J630)</f>
        <v>r640: C00559 + C00001 -&gt; C05512 + C00014 | (${Variables:E3_5_4_4_kcat} * E3_5_4_4 * C00559 * C00001)/(${Variables:E3_5_4_4_km} + (E3_5_4_4 * C00559 * C00001))</v>
      </c>
    </row>
    <row r="631" spans="1:11" ht="42.75" x14ac:dyDescent="0.45">
      <c r="A631" s="53" t="s">
        <v>6093</v>
      </c>
      <c r="B631" s="54" t="s">
        <v>6094</v>
      </c>
      <c r="C631" t="s">
        <v>10404</v>
      </c>
      <c r="D631" s="12">
        <v>641</v>
      </c>
      <c r="E631" s="12" t="str">
        <f>CONCATENATE("E",C631)</f>
        <v>E3_5_4_5</v>
      </c>
      <c r="F631" s="12" t="s">
        <v>9351</v>
      </c>
      <c r="G631" s="12" t="s">
        <v>10650</v>
      </c>
      <c r="H631" t="s">
        <v>9352</v>
      </c>
      <c r="I631" t="s">
        <v>10874</v>
      </c>
      <c r="J631" s="12" t="str">
        <f>CONCATENATE("(${Variables:",E631,"_kcat","} * ",E631," * ",G631,")","/(${Variables:",E631,"_km","} + (",E631," * ",G631,"))")</f>
        <v>(${Variables:E3_5_4_5_kcat} * E3_5_4_5 * C00475 * C00001)/(${Variables:E3_5_4_5_km} + (E3_5_4_5 * C00475 * C00001))</v>
      </c>
      <c r="K631" s="43" t="str">
        <f>CONCATENATE("r",D631,": ",F631," -&gt; ",H631," | ",J631)</f>
        <v>r641: C00475 + C00001 -&gt; C00299 + C00014 | (${Variables:E3_5_4_5_kcat} * E3_5_4_5 * C00475 * C00001)/(${Variables:E3_5_4_5_km} + (E3_5_4_5 * C00475 * C00001))</v>
      </c>
    </row>
    <row r="632" spans="1:11" ht="42.75" x14ac:dyDescent="0.45">
      <c r="A632" s="53" t="s">
        <v>6093</v>
      </c>
      <c r="B632" s="54" t="s">
        <v>6094</v>
      </c>
      <c r="C632" t="s">
        <v>10404</v>
      </c>
      <c r="D632" s="12">
        <v>642</v>
      </c>
      <c r="E632" s="12" t="str">
        <f>CONCATENATE("E",C632)</f>
        <v>E3_5_4_5</v>
      </c>
      <c r="F632" s="12" t="s">
        <v>9354</v>
      </c>
      <c r="G632" s="12" t="s">
        <v>10651</v>
      </c>
      <c r="H632" t="s">
        <v>9355</v>
      </c>
      <c r="I632" t="s">
        <v>10875</v>
      </c>
      <c r="J632" s="12" t="str">
        <f>CONCATENATE("(${Variables:",E632,"_kcat","} * ",E632," * ",G632,")","/(${Variables:",E632,"_km","} + (",E632," * ",G632,"))")</f>
        <v>(${Variables:E3_5_4_5_kcat} * E3_5_4_5 * C00881 * C00001)/(${Variables:E3_5_4_5_km} + (E3_5_4_5 * C00881 * C00001))</v>
      </c>
      <c r="K632" s="43" t="str">
        <f>CONCATENATE("r",D632,": ",F632," -&gt; ",H632," | ",J632)</f>
        <v>r642: C00881 + C00001 -&gt; C00526 + C00014 | (${Variables:E3_5_4_5_kcat} * E3_5_4_5 * C00881 * C00001)/(${Variables:E3_5_4_5_km} + (E3_5_4_5 * C00881 * C00001))</v>
      </c>
    </row>
    <row r="633" spans="1:11" ht="42.75" x14ac:dyDescent="0.45">
      <c r="A633" s="53" t="s">
        <v>6093</v>
      </c>
      <c r="B633" s="54" t="s">
        <v>6094</v>
      </c>
      <c r="C633" t="s">
        <v>10404</v>
      </c>
      <c r="D633" s="12">
        <v>643</v>
      </c>
      <c r="E633" s="12" t="str">
        <f>CONCATENATE("E",C633)</f>
        <v>E3_5_4_5</v>
      </c>
      <c r="F633" s="12" t="s">
        <v>9357</v>
      </c>
      <c r="G633" s="12" t="s">
        <v>10652</v>
      </c>
      <c r="H633" t="s">
        <v>9358</v>
      </c>
      <c r="I633" t="s">
        <v>10876</v>
      </c>
      <c r="J633" s="12" t="str">
        <f>CONCATENATE("(${Variables:",E633,"_kcat","} * ",E633," * ",G633,")","/(${Variables:",E633,"_km","} + (",E633," * ",G633,"))")</f>
        <v>(${Variables:E3_5_4_5_kcat} * E3_5_4_5 * C16635 * C00001)/(${Variables:E3_5_4_5_km} + (E3_5_4_5 * C16635 * C00001))</v>
      </c>
      <c r="K633" s="43" t="str">
        <f>CONCATENATE("r",D633,": ",F633," -&gt; ",H633," | ",J633)</f>
        <v>r643: C16635 + C00001 -&gt; C12739 + C00014 | (${Variables:E3_5_4_5_kcat} * E3_5_4_5 * C16635 * C00001)/(${Variables:E3_5_4_5_km} + (E3_5_4_5 * C16635 * C00001))</v>
      </c>
    </row>
    <row r="634" spans="1:11" ht="42.75" x14ac:dyDescent="0.45">
      <c r="A634" s="53" t="s">
        <v>5217</v>
      </c>
      <c r="B634" s="54" t="s">
        <v>5218</v>
      </c>
      <c r="C634" t="s">
        <v>1858</v>
      </c>
      <c r="D634" s="12">
        <v>644</v>
      </c>
      <c r="E634" s="12" t="str">
        <f>CONCATENATE("E",C634)</f>
        <v>E3_5_99_6</v>
      </c>
      <c r="F634" t="s">
        <v>3251</v>
      </c>
      <c r="G634" t="s">
        <v>1479</v>
      </c>
      <c r="H634" t="s">
        <v>3529</v>
      </c>
      <c r="I634" t="s">
        <v>1480</v>
      </c>
      <c r="J634" s="12" t="str">
        <f>CONCATENATE("(${Variables:",E634,"_kcat","} * ",E634," * ",G634,")","/(${Variables:",E634,"_km","} + (",E634," * ",G634,"))")</f>
        <v>(${Variables:E3_5_99_6_kcat} * E3_5_99_6 * C00352 * C00001)/(${Variables:E3_5_99_6_km} + (E3_5_99_6 * C00352 * C00001))</v>
      </c>
      <c r="K634" s="43" t="str">
        <f>CONCATENATE("r",D634,": ",F634," -&gt; ",H634," | ",J634)</f>
        <v>r644: C00352 + C00001 -&gt; C00085 + C00014 | (${Variables:E3_5_99_6_kcat} * E3_5_99_6 * C00352 * C00001)/(${Variables:E3_5_99_6_km} + (E3_5_99_6 * C00352 * C00001))</v>
      </c>
    </row>
    <row r="635" spans="1:11" ht="42.75" x14ac:dyDescent="0.45">
      <c r="A635" s="53" t="s">
        <v>7534</v>
      </c>
      <c r="B635" s="54" t="s">
        <v>7535</v>
      </c>
      <c r="C635" t="s">
        <v>1793</v>
      </c>
      <c r="D635" s="12">
        <v>645</v>
      </c>
      <c r="E635" s="12" t="str">
        <f>CONCATENATE("E",C635)</f>
        <v>E3_6_1_1</v>
      </c>
      <c r="F635" s="12" t="s">
        <v>3252</v>
      </c>
      <c r="G635" s="12" t="s">
        <v>1318</v>
      </c>
      <c r="H635" t="s">
        <v>1086</v>
      </c>
      <c r="I635" t="s">
        <v>1086</v>
      </c>
      <c r="J635" s="12" t="str">
        <f>CONCATENATE("(${Variables:",E635,"_kcat","} * ",E635," * ",G635,")","/(${Variables:",E635,"_km","} + (",E635," * ",G635,"))")</f>
        <v>(${Variables:E3_6_1_1_kcat} * E3_6_1_1 * C00013 * C00001)/(${Variables:E3_6_1_1_km} + (E3_6_1_1 * C00013 * C00001))</v>
      </c>
      <c r="K635" s="43" t="str">
        <f>CONCATENATE("r",D635,": ",F635," -&gt; ",H635," | ",J635)</f>
        <v>r645: C00013 + C00001 -&gt; C00009 | (${Variables:E3_6_1_1_kcat} * E3_6_1_1 * C00013 * C00001)/(${Variables:E3_6_1_1_km} + (E3_6_1_1 * C00013 * C00001))</v>
      </c>
    </row>
    <row r="636" spans="1:11" ht="42.75" x14ac:dyDescent="0.45">
      <c r="A636" s="53" t="s">
        <v>4151</v>
      </c>
      <c r="B636" s="54" t="s">
        <v>4152</v>
      </c>
      <c r="C636" t="s">
        <v>10405</v>
      </c>
      <c r="D636" s="12">
        <v>646</v>
      </c>
      <c r="E636" s="12" t="str">
        <f>CONCATENATE("E",C636)</f>
        <v>E3_6_1_23</v>
      </c>
      <c r="F636" s="12" t="s">
        <v>8604</v>
      </c>
      <c r="G636" s="12" t="s">
        <v>10653</v>
      </c>
      <c r="H636" t="s">
        <v>8605</v>
      </c>
      <c r="I636" t="s">
        <v>10877</v>
      </c>
      <c r="J636" s="12" t="str">
        <f>CONCATENATE("(${Variables:",E636,"_kcat","} * ",E636," * ",G636,")","/(${Variables:",E636,"_km","} + (",E636," * ",G636,"))")</f>
        <v>(${Variables:E3_6_1_23_kcat} * E3_6_1_23 * C00460 * C00001)/(${Variables:E3_6_1_23_km} + (E3_6_1_23 * C00460 * C00001))</v>
      </c>
      <c r="K636" s="43" t="str">
        <f>CONCATENATE("r",D636,": ",F636," -&gt; ",H636," | ",J636)</f>
        <v>r646: C00460 + C00001 -&gt; C00365 + C00013 | (${Variables:E3_6_1_23_kcat} * E3_6_1_23 * C00460 * C00001)/(${Variables:E3_6_1_23_km} + (E3_6_1_23 * C00460 * C00001))</v>
      </c>
    </row>
    <row r="637" spans="1:11" ht="42.75" x14ac:dyDescent="0.45">
      <c r="A637" s="53" t="s">
        <v>4151</v>
      </c>
      <c r="B637" s="54" t="s">
        <v>4152</v>
      </c>
      <c r="C637" t="s">
        <v>10405</v>
      </c>
      <c r="D637" s="12">
        <v>647</v>
      </c>
      <c r="E637" s="12" t="str">
        <f>CONCATENATE("E",C637)</f>
        <v>E3_6_1_23</v>
      </c>
      <c r="F637" s="12" t="s">
        <v>8607</v>
      </c>
      <c r="G637" s="12" t="s">
        <v>10654</v>
      </c>
      <c r="H637" t="s">
        <v>8608</v>
      </c>
      <c r="I637" t="s">
        <v>10878</v>
      </c>
      <c r="J637" s="12" t="str">
        <f>CONCATENATE("(${Variables:",E637,"_kcat","} * ",E637," * ",G637,")","/(${Variables:",E637,"_km","} + (",E637," * ",G637,"))")</f>
        <v>(${Variables:E3_6_1_23_kcat} * E3_6_1_23 * C21751 * C00001)/(${Variables:E3_6_1_23_km} + (E3_6_1_23 * C21751 * C00001))</v>
      </c>
      <c r="K637" s="43" t="str">
        <f>CONCATENATE("r",D637,": ",F637," -&gt; ",H637," | ",J637)</f>
        <v>r647: C21751 + C00001 -&gt; C04242 + C00013 | (${Variables:E3_6_1_23_kcat} * E3_6_1_23 * C21751 * C00001)/(${Variables:E3_6_1_23_km} + (E3_6_1_23 * C21751 * C00001))</v>
      </c>
    </row>
    <row r="638" spans="1:11" ht="42.75" x14ac:dyDescent="0.45">
      <c r="A638" s="53" t="s">
        <v>6308</v>
      </c>
      <c r="B638" s="54" t="s">
        <v>6309</v>
      </c>
      <c r="C638" t="s">
        <v>10406</v>
      </c>
      <c r="D638" s="12">
        <v>648</v>
      </c>
      <c r="E638" s="12" t="str">
        <f>CONCATENATE("E",C638)</f>
        <v>E3_6_1_25</v>
      </c>
      <c r="F638" s="12" t="s">
        <v>9476</v>
      </c>
      <c r="G638" s="12" t="s">
        <v>10655</v>
      </c>
      <c r="H638" t="s">
        <v>9477</v>
      </c>
      <c r="I638" t="s">
        <v>10879</v>
      </c>
      <c r="J638" s="12" t="str">
        <f>CONCATENATE("(${Variables:",E638,"_kcat","} * ",E638," * ",G638,")","/(${Variables:",E638,"_km","} + (",E638," * ",G638,"))")</f>
        <v>(${Variables:E3_6_1_25_kcat} * E3_6_1_25 * C00536 * C00001)/(${Variables:E3_6_1_25_km} + (E3_6_1_25 * C00536 * C00001))</v>
      </c>
      <c r="K638" s="43" t="str">
        <f>CONCATENATE("r",D638,": ",F638," -&gt; ",H638," | ",J638)</f>
        <v>r648: C00536 + C00001 -&gt; C00013 + C00009 | (${Variables:E3_6_1_25_kcat} * E3_6_1_25 * C00536 * C00001)/(${Variables:E3_6_1_25_km} + (E3_6_1_25 * C00536 * C00001))</v>
      </c>
    </row>
    <row r="639" spans="1:11" ht="42.75" x14ac:dyDescent="0.45">
      <c r="A639" s="53" t="s">
        <v>7743</v>
      </c>
      <c r="B639" s="54" t="s">
        <v>7744</v>
      </c>
      <c r="C639" t="s">
        <v>10407</v>
      </c>
      <c r="D639" s="12">
        <v>649</v>
      </c>
      <c r="E639" s="12" t="str">
        <f>CONCATENATE("E",C639)</f>
        <v>E3_6_1_27</v>
      </c>
      <c r="F639" t="s">
        <v>10138</v>
      </c>
      <c r="G639" t="s">
        <v>10656</v>
      </c>
      <c r="H639" t="s">
        <v>10139</v>
      </c>
      <c r="I639" t="s">
        <v>10880</v>
      </c>
      <c r="J639" s="12" t="str">
        <f>CONCATENATE("(${Variables:",E639,"_kcat","} * ",E639," * ",G639,")","/(${Variables:",E639,"_km","} + (",E639," * ",G639,"))")</f>
        <v>(${Variables:E3_6_1_27_kcat} * E3_6_1_27 * C04574 * C00001)/(${Variables:E3_6_1_27_km} + (E3_6_1_27 * C04574 * C00001))</v>
      </c>
      <c r="K639" s="43" t="str">
        <f>CONCATENATE("r",D639,": ",F639," -&gt; ",H639," | ",J639)</f>
        <v>r649: C04574 + C00001 -&gt; C17556 + C00009 | (${Variables:E3_6_1_27_kcat} * E3_6_1_27 * C04574 * C00001)/(${Variables:E3_6_1_27_km} + (E3_6_1_27 * C04574 * C00001))</v>
      </c>
    </row>
    <row r="640" spans="1:11" ht="42.75" x14ac:dyDescent="0.45">
      <c r="A640" s="53" t="s">
        <v>7676</v>
      </c>
      <c r="B640" s="54" t="s">
        <v>7677</v>
      </c>
      <c r="C640" t="s">
        <v>1878</v>
      </c>
      <c r="D640" s="12">
        <v>650</v>
      </c>
      <c r="E640" s="12" t="str">
        <f>CONCATENATE("E",C640)</f>
        <v>E3_6_1_41</v>
      </c>
      <c r="F640" t="s">
        <v>3253</v>
      </c>
      <c r="G640" t="s">
        <v>1573</v>
      </c>
      <c r="H640" t="s">
        <v>1073</v>
      </c>
      <c r="I640" t="s">
        <v>1073</v>
      </c>
      <c r="J640" s="12" t="str">
        <f>CONCATENATE("(${Variables:",E640,"_kcat","} * ",E640," * ",G640,")","/(${Variables:",E640,"_km","} + (",E640," * ",G640,"))")</f>
        <v>(${Variables:E3_6_1_41_kcat} * E3_6_1_41 * C01260 * C00001)/(${Variables:E3_6_1_41_km} + (E3_6_1_41 * C01260 * C00001))</v>
      </c>
      <c r="K640" s="43" t="str">
        <f>CONCATENATE("r",D640,": ",F640," -&gt; ",H640," | ",J640)</f>
        <v>r650: C01260 + C00001 -&gt; C00008 | (${Variables:E3_6_1_41_kcat} * E3_6_1_41 * C01260 * C00001)/(${Variables:E3_6_1_41_km} + (E3_6_1_41 * C01260 * C00001))</v>
      </c>
    </row>
    <row r="641" spans="1:11" ht="42.75" x14ac:dyDescent="0.45">
      <c r="A641" s="53" t="s">
        <v>6205</v>
      </c>
      <c r="B641" s="54" t="s">
        <v>6206</v>
      </c>
      <c r="C641" t="s">
        <v>10410</v>
      </c>
      <c r="D641" s="12">
        <v>651</v>
      </c>
      <c r="E641" s="12" t="str">
        <f>CONCATENATE("E",C641)</f>
        <v>E4_1_1_112</v>
      </c>
      <c r="F641" s="12" t="s">
        <v>2205</v>
      </c>
      <c r="G641" s="12" t="s">
        <v>2205</v>
      </c>
      <c r="H641" t="s">
        <v>9406</v>
      </c>
      <c r="I641" t="s">
        <v>10881</v>
      </c>
      <c r="J641" s="12" t="str">
        <f>CONCATENATE("(${Variables:",E641,"_kcat","} * ",E641," * ",G641,")","/(${Variables:",E641,"_km","} + (",E641," * ",G641,"))")</f>
        <v>(${Variables:E4_1_1_112_kcat} * E4_1_1_112 * C00036)/(${Variables:E4_1_1_112_km} + (E4_1_1_112 * C00036))</v>
      </c>
      <c r="K641" s="43" t="str">
        <f>CONCATENATE("r",D641,": ",F641," -&gt; ",H641," | ",J641)</f>
        <v>r651: C00036 -&gt; C00022 + C00011 | (${Variables:E4_1_1_112_kcat} * E4_1_1_112 * C00036)/(${Variables:E4_1_1_112_km} + (E4_1_1_112 * C00036))</v>
      </c>
    </row>
    <row r="642" spans="1:11" ht="42.75" x14ac:dyDescent="0.45">
      <c r="A642" s="53" t="s">
        <v>6205</v>
      </c>
      <c r="B642" s="54" t="s">
        <v>6206</v>
      </c>
      <c r="C642" t="s">
        <v>10410</v>
      </c>
      <c r="D642" s="12">
        <v>652</v>
      </c>
      <c r="E642" s="12" t="str">
        <f>CONCATENATE("E",C642)</f>
        <v>E4_1_1_112</v>
      </c>
      <c r="F642" s="12" t="s">
        <v>9408</v>
      </c>
      <c r="G642" s="12" t="s">
        <v>9408</v>
      </c>
      <c r="H642" t="s">
        <v>9409</v>
      </c>
      <c r="I642" t="s">
        <v>10882</v>
      </c>
      <c r="J642" s="12" t="str">
        <f>CONCATENATE("(${Variables:",E642,"_kcat","} * ",E642," * ",G642,")","/(${Variables:",E642,"_km","} + (",E642," * ",G642,"))")</f>
        <v>(${Variables:E4_1_1_112_kcat} * E4_1_1_112 * C06030)/(${Variables:E4_1_1_112_km} + (E4_1_1_112 * C06030))</v>
      </c>
      <c r="K642" s="43" t="str">
        <f>CONCATENATE("r",D642,": ",F642," -&gt; ",H642," | ",J642)</f>
        <v>r652: C06030 -&gt; C00109 + C00011 | (${Variables:E4_1_1_112_kcat} * E4_1_1_112 * C06030)/(${Variables:E4_1_1_112_km} + (E4_1_1_112 * C06030))</v>
      </c>
    </row>
    <row r="643" spans="1:11" ht="28.5" x14ac:dyDescent="0.45">
      <c r="A643" s="53" t="s">
        <v>3694</v>
      </c>
      <c r="B643" s="54" t="s">
        <v>3695</v>
      </c>
      <c r="C643" t="s">
        <v>1894</v>
      </c>
      <c r="D643" s="12">
        <v>653</v>
      </c>
      <c r="E643" s="12" t="str">
        <f>CONCATENATE("E",C643)</f>
        <v>E4_1_1_21</v>
      </c>
      <c r="F643" t="s">
        <v>1089</v>
      </c>
      <c r="G643" t="s">
        <v>1089</v>
      </c>
      <c r="H643" t="s">
        <v>3530</v>
      </c>
      <c r="I643" t="s">
        <v>1623</v>
      </c>
      <c r="J643" s="12" t="str">
        <f>CONCATENATE("(${Variables:",E643,"_kcat","} * ",E643," * ",G643,")","/(${Variables:",E643,"_km","} + (",E643," * ",G643,"))")</f>
        <v>(${Variables:E4_1_1_21_kcat} * E4_1_1_21 * C04751)/(${Variables:E4_1_1_21_km} + (E4_1_1_21 * C04751))</v>
      </c>
      <c r="K643" s="43" t="str">
        <f>CONCATENATE("r",D643,": ",F643," -&gt; ",H643," | ",J643)</f>
        <v>r653: C04751 -&gt; C03373 + C00011 | (${Variables:E4_1_1_21_kcat} * E4_1_1_21 * C04751)/(${Variables:E4_1_1_21_km} + (E4_1_1_21 * C04751))</v>
      </c>
    </row>
    <row r="644" spans="1:11" ht="28.5" x14ac:dyDescent="0.45">
      <c r="A644" s="53" t="s">
        <v>6548</v>
      </c>
      <c r="B644" s="54" t="s">
        <v>6549</v>
      </c>
      <c r="C644" t="s">
        <v>1874</v>
      </c>
      <c r="D644" s="12">
        <v>654</v>
      </c>
      <c r="E644" s="12" t="str">
        <f>CONCATENATE("E",C644)</f>
        <v>E4_1_1_23</v>
      </c>
      <c r="F644" t="s">
        <v>1091</v>
      </c>
      <c r="G644" t="s">
        <v>1091</v>
      </c>
      <c r="H644" t="s">
        <v>3531</v>
      </c>
      <c r="I644" t="s">
        <v>1564</v>
      </c>
      <c r="J644" s="12" t="str">
        <f>CONCATENATE("(${Variables:",E644,"_kcat","} * ",E644," * ",G644,")","/(${Variables:",E644,"_km","} + (",E644," * ",G644,"))")</f>
        <v>(${Variables:E4_1_1_23_kcat} * E4_1_1_23 * C01103)/(${Variables:E4_1_1_23_km} + (E4_1_1_23 * C01103))</v>
      </c>
      <c r="K644" s="43" t="str">
        <f>CONCATENATE("r",D644,": ",F644," -&gt; ",H644," | ",J644)</f>
        <v>r654: C01103 -&gt; C00105 + C00011 | (${Variables:E4_1_1_23_kcat} * E4_1_1_23 * C01103)/(${Variables:E4_1_1_23_km} + (E4_1_1_23 * C01103))</v>
      </c>
    </row>
    <row r="645" spans="1:11" ht="42.75" x14ac:dyDescent="0.45">
      <c r="A645" s="53" t="s">
        <v>5454</v>
      </c>
      <c r="B645" s="54" t="s">
        <v>5455</v>
      </c>
      <c r="C645" t="s">
        <v>1791</v>
      </c>
      <c r="D645" s="12">
        <v>655</v>
      </c>
      <c r="E645" s="12" t="str">
        <f>CONCATENATE("E",C645)</f>
        <v>E4_1_1_31</v>
      </c>
      <c r="F645" s="12" t="s">
        <v>3254</v>
      </c>
      <c r="G645" s="12" t="s">
        <v>1315</v>
      </c>
      <c r="H645" t="s">
        <v>9174</v>
      </c>
      <c r="I645" t="s">
        <v>10883</v>
      </c>
      <c r="J645" s="12" t="str">
        <f>CONCATENATE("(${Variables:",E645,"_kcat","} * ",E645," * ",G645,")","/(${Variables:",E645,"_km","} + (",E645," * ",G645,"))")</f>
        <v>(${Variables:E4_1_1_31_kcat} * E4_1_1_31 * C00009 * C00036)/(${Variables:E4_1_1_31_km} + (E4_1_1_31 * C00009 * C00036))</v>
      </c>
      <c r="K645" s="43" t="str">
        <f>CONCATENATE("r",D645,": ",F645," -&gt; ",H645," | ",J645)</f>
        <v>r655: C00009 + C00036 -&gt; C00001 + C00074 + C00011 | (${Variables:E4_1_1_31_kcat} * E4_1_1_31 * C00009 * C00036)/(${Variables:E4_1_1_31_km} + (E4_1_1_31 * C00009 * C00036))</v>
      </c>
    </row>
    <row r="646" spans="1:11" ht="42.75" x14ac:dyDescent="0.45">
      <c r="A646" s="53" t="s">
        <v>6395</v>
      </c>
      <c r="B646" s="54" t="s">
        <v>6396</v>
      </c>
      <c r="C646" t="s">
        <v>1778</v>
      </c>
      <c r="D646" s="12">
        <v>656</v>
      </c>
      <c r="E646" s="12" t="str">
        <f>CONCATENATE("E",C646)</f>
        <v>E4_1_1_33</v>
      </c>
      <c r="F646" t="s">
        <v>3255</v>
      </c>
      <c r="G646" t="s">
        <v>1279</v>
      </c>
      <c r="H646" t="s">
        <v>3532</v>
      </c>
      <c r="I646" t="s">
        <v>1280</v>
      </c>
      <c r="J646" s="12" t="str">
        <f>CONCATENATE("(${Variables:",E646,"_kcat","} * ",E646," * ",G646,")","/(${Variables:",E646,"_km","} + (",E646," * ",G646,"))")</f>
        <v>(${Variables:E4_1_1_33_kcat} * E4_1_1_33 * C00002 * C01143)/(${Variables:E4_1_1_33_km} + (E4_1_1_33 * C00002 * C01143))</v>
      </c>
      <c r="K646" s="43" t="str">
        <f>CONCATENATE("r",D646,": ",F646," -&gt; ",H646," | ",J646)</f>
        <v>r656: C00002 + C01143 -&gt; C00008 + C00009 + C00129 + C00011 | (${Variables:E4_1_1_33_kcat} * E4_1_1_33 * C00002 * C01143)/(${Variables:E4_1_1_33_km} + (E4_1_1_33 * C00002 * C01143))</v>
      </c>
    </row>
    <row r="647" spans="1:11" ht="28.5" x14ac:dyDescent="0.45">
      <c r="A647" s="53" t="s">
        <v>6110</v>
      </c>
      <c r="B647" s="54" t="s">
        <v>6111</v>
      </c>
      <c r="C647" t="s">
        <v>1892</v>
      </c>
      <c r="D647" s="12">
        <v>657</v>
      </c>
      <c r="E647" s="12" t="str">
        <f>CONCATENATE("E",C647)</f>
        <v>E4_1_1_36</v>
      </c>
      <c r="F647" t="s">
        <v>1092</v>
      </c>
      <c r="G647" t="s">
        <v>1092</v>
      </c>
      <c r="H647" t="s">
        <v>3533</v>
      </c>
      <c r="I647" t="s">
        <v>1618</v>
      </c>
      <c r="J647" s="12" t="str">
        <f>CONCATENATE("(${Variables:",E647,"_kcat","} * ",E647," * ",G647,")","/(${Variables:",E647,"_km","} + (",E647," * ",G647,"))")</f>
        <v>(${Variables:E4_1_1_36_kcat} * E4_1_1_36 * C04352)/(${Variables:E4_1_1_36_km} + (E4_1_1_36 * C04352))</v>
      </c>
      <c r="K647" s="43" t="str">
        <f>CONCATENATE("r",D647,": ",F647," -&gt; ",H647," | ",J647)</f>
        <v>r657: C04352 -&gt; C01134 + C00011 | (${Variables:E4_1_1_36_kcat} * E4_1_1_36 * C04352)/(${Variables:E4_1_1_36_km} + (E4_1_1_36 * C04352))</v>
      </c>
    </row>
    <row r="648" spans="1:11" ht="42.75" x14ac:dyDescent="0.45">
      <c r="A648" s="53" t="s">
        <v>4033</v>
      </c>
      <c r="B648" s="54" t="s">
        <v>4034</v>
      </c>
      <c r="C648" t="s">
        <v>10411</v>
      </c>
      <c r="D648" s="12">
        <v>658</v>
      </c>
      <c r="E648" s="12" t="str">
        <f>CONCATENATE("E",C648)</f>
        <v>E4_1_1_85</v>
      </c>
      <c r="F648" s="12" t="s">
        <v>8543</v>
      </c>
      <c r="G648" s="12" t="s">
        <v>10657</v>
      </c>
      <c r="H648" t="s">
        <v>8544</v>
      </c>
      <c r="I648" t="s">
        <v>10884</v>
      </c>
      <c r="J648" s="12" t="str">
        <f>CONCATENATE("(${Variables:",E648,"_kcat","} * ",E648," * ",G648,")","/(${Variables:",E648,"_km","} + (",E648," * ",G648,"))")</f>
        <v>(${Variables:E4_1_1_85_kcat} * E4_1_1_85 * C14899 * C00080)/(${Variables:E4_1_1_85_km} + (E4_1_1_85 * C14899 * C00080))</v>
      </c>
      <c r="K648" s="43" t="str">
        <f>CONCATENATE("r",D648,": ",F648," -&gt; ",H648," | ",J648)</f>
        <v>r658: C14899 + C00080 -&gt; C03291 + C00011 | (${Variables:E4_1_1_85_kcat} * E4_1_1_85 * C14899 * C00080)/(${Variables:E4_1_1_85_km} + (E4_1_1_85 * C14899 * C00080))</v>
      </c>
    </row>
    <row r="649" spans="1:11" ht="28.5" x14ac:dyDescent="0.45">
      <c r="A649" s="53" t="s">
        <v>7763</v>
      </c>
      <c r="B649" s="54" t="s">
        <v>7764</v>
      </c>
      <c r="C649" t="s">
        <v>10412</v>
      </c>
      <c r="D649" s="12">
        <v>659</v>
      </c>
      <c r="E649" s="12" t="str">
        <f>CONCATENATE("E",C649)</f>
        <v>E4_1_2_13</v>
      </c>
      <c r="F649" s="12" t="s">
        <v>2296</v>
      </c>
      <c r="G649" s="12" t="s">
        <v>2296</v>
      </c>
      <c r="H649" t="s">
        <v>8925</v>
      </c>
      <c r="I649" t="s">
        <v>10885</v>
      </c>
      <c r="J649" s="12" t="str">
        <f>CONCATENATE("(${Variables:",E649,"_kcat","} * ",E649," * ",G649,")","/(${Variables:",E649,"_km","} + (",E649," * ",G649,"))")</f>
        <v>(${Variables:E4_1_2_13_kcat} * E4_1_2_13 * C00354)/(${Variables:E4_1_2_13_km} + (E4_1_2_13 * C00354))</v>
      </c>
      <c r="K649" s="43" t="str">
        <f>CONCATENATE("r",D649,": ",F649," -&gt; ",H649," | ",J649)</f>
        <v>r659: C00354 -&gt; C00111 + C00118 | (${Variables:E4_1_2_13_kcat} * E4_1_2_13 * C00354)/(${Variables:E4_1_2_13_km} + (E4_1_2_13 * C00354))</v>
      </c>
    </row>
    <row r="650" spans="1:11" ht="28.5" x14ac:dyDescent="0.45">
      <c r="A650" s="53" t="s">
        <v>7763</v>
      </c>
      <c r="B650" s="54" t="s">
        <v>7764</v>
      </c>
      <c r="C650" t="s">
        <v>10412</v>
      </c>
      <c r="D650" s="12">
        <v>660</v>
      </c>
      <c r="E650" s="12" t="str">
        <f>CONCATENATE("E",C650)</f>
        <v>E4_1_2_13</v>
      </c>
      <c r="F650" s="12" t="s">
        <v>2343</v>
      </c>
      <c r="G650" s="12" t="s">
        <v>2343</v>
      </c>
      <c r="H650" t="s">
        <v>8925</v>
      </c>
      <c r="I650" t="s">
        <v>10885</v>
      </c>
      <c r="J650" s="12" t="str">
        <f>CONCATENATE("(${Variables:",E650,"_kcat","} * ",E650," * ",G650,")","/(${Variables:",E650,"_km","} + (",E650," * ",G650,"))")</f>
        <v>(${Variables:E4_1_2_13_kcat} * E4_1_2_13 * C05378)/(${Variables:E4_1_2_13_km} + (E4_1_2_13 * C05378))</v>
      </c>
      <c r="K650" s="43" t="str">
        <f>CONCATENATE("r",D650,": ",F650," -&gt; ",H650," | ",J650)</f>
        <v>r660: C05378 -&gt; C00111 + C00118 | (${Variables:E4_1_2_13_kcat} * E4_1_2_13 * C05378)/(${Variables:E4_1_2_13_km} + (E4_1_2_13 * C05378))</v>
      </c>
    </row>
    <row r="651" spans="1:11" ht="28.5" x14ac:dyDescent="0.45">
      <c r="A651" s="53" t="s">
        <v>7763</v>
      </c>
      <c r="B651" s="54" t="s">
        <v>7764</v>
      </c>
      <c r="C651" t="s">
        <v>10412</v>
      </c>
      <c r="D651" s="12">
        <v>661</v>
      </c>
      <c r="E651" s="12" t="str">
        <f>CONCATENATE("E",C651)</f>
        <v>E4_1_2_13</v>
      </c>
      <c r="F651" s="12" t="s">
        <v>2300</v>
      </c>
      <c r="G651" s="12" t="s">
        <v>2300</v>
      </c>
      <c r="H651" t="s">
        <v>10145</v>
      </c>
      <c r="I651" t="s">
        <v>10886</v>
      </c>
      <c r="J651" s="12" t="str">
        <f>CONCATENATE("(${Variables:",E651,"_kcat","} * ",E651," * ",G651,")","/(${Variables:",E651,"_km","} + (",E651," * ",G651,"))")</f>
        <v>(${Variables:E4_1_2_13_kcat} * E4_1_2_13 * C00447)/(${Variables:E4_1_2_13_km} + (E4_1_2_13 * C00447))</v>
      </c>
      <c r="K651" s="43" t="str">
        <f>CONCATENATE("r",D651,": ",F651," -&gt; ",H651," | ",J651)</f>
        <v>r661: C00447 -&gt; C00111 + C00279 | (${Variables:E4_1_2_13_kcat} * E4_1_2_13 * C00447)/(${Variables:E4_1_2_13_km} + (E4_1_2_13 * C00447))</v>
      </c>
    </row>
    <row r="652" spans="1:11" ht="28.5" x14ac:dyDescent="0.45">
      <c r="A652" s="53" t="s">
        <v>7763</v>
      </c>
      <c r="B652" s="54" t="s">
        <v>7764</v>
      </c>
      <c r="C652" t="s">
        <v>10412</v>
      </c>
      <c r="D652" s="12">
        <v>662</v>
      </c>
      <c r="E652" s="12" t="str">
        <f>CONCATENATE("E",C652)</f>
        <v>E4_1_2_13</v>
      </c>
      <c r="F652" s="12" t="s">
        <v>2308</v>
      </c>
      <c r="G652" s="12" t="s">
        <v>2308</v>
      </c>
      <c r="H652" t="s">
        <v>10147</v>
      </c>
      <c r="I652" t="s">
        <v>10887</v>
      </c>
      <c r="J652" s="12" t="str">
        <f>CONCATENATE("(${Variables:",E652,"_kcat","} * ",E652," * ",G652,")","/(${Variables:",E652,"_km","} + (",E652," * ",G652,"))")</f>
        <v>(${Variables:E4_1_2_13_kcat} * E4_1_2_13 * C01094)/(${Variables:E4_1_2_13_km} + (E4_1_2_13 * C01094))</v>
      </c>
      <c r="K652" s="43" t="str">
        <f>CONCATENATE("r",D652,": ",F652," -&gt; ",H652," | ",J652)</f>
        <v>r662: C01094 -&gt; C00111 + C00577 | (${Variables:E4_1_2_13_kcat} * E4_1_2_13 * C01094)/(${Variables:E4_1_2_13_km} + (E4_1_2_13 * C01094))</v>
      </c>
    </row>
    <row r="653" spans="1:11" ht="28.5" x14ac:dyDescent="0.45">
      <c r="A653" s="53" t="s">
        <v>5290</v>
      </c>
      <c r="B653" s="54" t="s">
        <v>5291</v>
      </c>
      <c r="C653" t="s">
        <v>10413</v>
      </c>
      <c r="D653" s="12">
        <v>663</v>
      </c>
      <c r="E653" s="12" t="str">
        <f>CONCATENATE("E",C653)</f>
        <v>E4_1_2_14</v>
      </c>
      <c r="F653" t="s">
        <v>9133</v>
      </c>
      <c r="G653" t="s">
        <v>9133</v>
      </c>
      <c r="H653" t="s">
        <v>9134</v>
      </c>
      <c r="I653" t="s">
        <v>10888</v>
      </c>
      <c r="J653" s="12" t="str">
        <f>CONCATENATE("(${Variables:",E653,"_kcat","} * ",E653," * ",G653,")","/(${Variables:",E653,"_km","} + (",E653," * ",G653,"))")</f>
        <v>(${Variables:E4_1_2_14_kcat} * E4_1_2_14 * C04442)/(${Variables:E4_1_2_14_km} + (E4_1_2_14 * C04442))</v>
      </c>
      <c r="K653" s="43" t="str">
        <f>CONCATENATE("r",D653,": ",F653," -&gt; ",H653," | ",J653)</f>
        <v>r663: C04442 -&gt; C00118 + C00022 | (${Variables:E4_1_2_14_kcat} * E4_1_2_14 * C04442)/(${Variables:E4_1_2_14_km} + (E4_1_2_14 * C04442))</v>
      </c>
    </row>
    <row r="654" spans="1:11" ht="28.5" x14ac:dyDescent="0.45">
      <c r="A654" s="53" t="s">
        <v>6345</v>
      </c>
      <c r="B654" s="54" t="s">
        <v>6346</v>
      </c>
      <c r="C654" t="s">
        <v>10414</v>
      </c>
      <c r="D654" s="12">
        <v>664</v>
      </c>
      <c r="E654" s="12" t="str">
        <f>CONCATENATE("E",C654)</f>
        <v>E4_1_2_25</v>
      </c>
      <c r="F654" s="12" t="s">
        <v>9490</v>
      </c>
      <c r="G654" s="12" t="s">
        <v>9490</v>
      </c>
      <c r="H654" t="s">
        <v>9491</v>
      </c>
      <c r="I654" t="s">
        <v>10889</v>
      </c>
      <c r="J654" s="12" t="str">
        <f>CONCATENATE("(${Variables:",E654,"_kcat","} * ",E654," * ",G654,")","/(${Variables:",E654,"_km","} + (",E654," * ",G654,"))")</f>
        <v>(${Variables:E4_1_2_25_kcat} * E4_1_2_25 * C04874)/(${Variables:E4_1_2_25_km} + (E4_1_2_25 * C04874))</v>
      </c>
      <c r="K654" s="43" t="str">
        <f>CONCATENATE("r",D654,": ",F654," -&gt; ",H654," | ",J654)</f>
        <v>r664: C04874 -&gt; C00266 + C01300 | (${Variables:E4_1_2_25_kcat} * E4_1_2_25 * C04874)/(${Variables:E4_1_2_25_km} + (E4_1_2_25 * C04874))</v>
      </c>
    </row>
    <row r="655" spans="1:11" ht="28.5" x14ac:dyDescent="0.45">
      <c r="A655" s="53" t="s">
        <v>6090</v>
      </c>
      <c r="B655" s="54" t="s">
        <v>6091</v>
      </c>
      <c r="C655" t="s">
        <v>1867</v>
      </c>
      <c r="D655" s="12">
        <v>665</v>
      </c>
      <c r="E655" s="12" t="str">
        <f>CONCATENATE("E",C655)</f>
        <v>E4_1_2_4</v>
      </c>
      <c r="F655" s="12" t="s">
        <v>1094</v>
      </c>
      <c r="G655" s="12" t="s">
        <v>1094</v>
      </c>
      <c r="H655" t="s">
        <v>3534</v>
      </c>
      <c r="I655" t="s">
        <v>1533</v>
      </c>
      <c r="J655" s="12" t="str">
        <f>CONCATENATE("(${Variables:",E655,"_kcat","} * ",E655," * ",G655,")","/(${Variables:",E655,"_km","} + (",E655," * ",G655,"))")</f>
        <v>(${Variables:E4_1_2_4_kcat} * E4_1_2_4 * C00673)/(${Variables:E4_1_2_4_km} + (E4_1_2_4 * C00673))</v>
      </c>
      <c r="K655" s="43" t="str">
        <f>CONCATENATE("r",D655,": ",F655," -&gt; ",H655," | ",J655)</f>
        <v>r665: C00673 -&gt; C00118 + C00084 | (${Variables:E4_1_2_4_kcat} * E4_1_2_4 * C00673)/(${Variables:E4_1_2_4_km} + (E4_1_2_4 * C00673))</v>
      </c>
    </row>
    <row r="656" spans="1:11" ht="28.5" x14ac:dyDescent="0.45">
      <c r="A656" s="53" t="s">
        <v>5525</v>
      </c>
      <c r="B656" s="54" t="s">
        <v>5526</v>
      </c>
      <c r="C656" t="s">
        <v>10415</v>
      </c>
      <c r="D656" s="12">
        <v>666</v>
      </c>
      <c r="E656" s="12" t="str">
        <f>CONCATENATE("E",C656)</f>
        <v>E4_1_2_40</v>
      </c>
      <c r="F656" t="s">
        <v>2033</v>
      </c>
      <c r="G656" t="s">
        <v>2033</v>
      </c>
      <c r="H656" t="s">
        <v>8925</v>
      </c>
      <c r="I656" t="s">
        <v>10885</v>
      </c>
      <c r="J656" s="12" t="str">
        <f>CONCATENATE("(${Variables:",E656,"_kcat","} * ",E656," * ",G656,")","/(${Variables:",E656,"_km","} + (",E656," * ",G656,"))")</f>
        <v>(${Variables:E4_1_2_40_kcat} * E4_1_2_40 * C03785)/(${Variables:E4_1_2_40_km} + (E4_1_2_40 * C03785))</v>
      </c>
      <c r="K656" s="43" t="str">
        <f>CONCATENATE("r",D656,": ",F656," -&gt; ",H656," | ",J656)</f>
        <v>r666: C03785 -&gt; C00111 + C00118 | (${Variables:E4_1_2_40_kcat} * E4_1_2_40 * C03785)/(${Variables:E4_1_2_40_km} + (E4_1_2_40 * C03785))</v>
      </c>
    </row>
    <row r="657" spans="1:11" ht="28.5" x14ac:dyDescent="0.45">
      <c r="A657" s="53" t="s">
        <v>4788</v>
      </c>
      <c r="B657" s="54" t="s">
        <v>4789</v>
      </c>
      <c r="C657" t="s">
        <v>10415</v>
      </c>
      <c r="D657" s="12">
        <v>667</v>
      </c>
      <c r="E657" s="12" t="str">
        <f>CONCATENATE("E",C657)</f>
        <v>E4_1_2_40</v>
      </c>
      <c r="F657" t="s">
        <v>2033</v>
      </c>
      <c r="G657" t="s">
        <v>2033</v>
      </c>
      <c r="H657" t="s">
        <v>8925</v>
      </c>
      <c r="I657" t="s">
        <v>10885</v>
      </c>
      <c r="J657" s="12" t="str">
        <f>CONCATENATE("(${Variables:",E657,"_kcat","} * ",E657," * ",G657,")","/(${Variables:",E657,"_km","} + (",E657," * ",G657,"))")</f>
        <v>(${Variables:E4_1_2_40_kcat} * E4_1_2_40 * C03785)/(${Variables:E4_1_2_40_km} + (E4_1_2_40 * C03785))</v>
      </c>
      <c r="K657" s="43" t="str">
        <f>CONCATENATE("r",D657,": ",F657," -&gt; ",H657," | ",J657)</f>
        <v>r667: C03785 -&gt; C00111 + C00118 | (${Variables:E4_1_2_40_kcat} * E4_1_2_40 * C03785)/(${Variables:E4_1_2_40_km} + (E4_1_2_40 * C03785))</v>
      </c>
    </row>
    <row r="658" spans="1:11" ht="28.5" x14ac:dyDescent="0.45">
      <c r="A658" s="53" t="s">
        <v>5290</v>
      </c>
      <c r="B658" s="54" t="s">
        <v>5291</v>
      </c>
      <c r="C658" t="s">
        <v>10416</v>
      </c>
      <c r="D658" s="12">
        <v>668</v>
      </c>
      <c r="E658" s="12" t="str">
        <f>CONCATENATE("E",C658)</f>
        <v>E4_1_3_16</v>
      </c>
      <c r="F658" s="12" t="s">
        <v>9138</v>
      </c>
      <c r="G658" s="12" t="s">
        <v>9138</v>
      </c>
      <c r="H658" t="s">
        <v>9139</v>
      </c>
      <c r="I658" t="s">
        <v>10890</v>
      </c>
      <c r="J658" s="12" t="str">
        <f>CONCATENATE("(${Variables:",E658,"_kcat","} * ",E658," * ",G658,")","/(${Variables:",E658,"_km","} + (",E658," * ",G658,"))")</f>
        <v>(${Variables:E4_1_3_16_kcat} * E4_1_3_16 * C01127)/(${Variables:E4_1_3_16_km} + (E4_1_3_16 * C01127))</v>
      </c>
      <c r="K658" s="43" t="str">
        <f>CONCATENATE("r",D658,": ",F658," -&gt; ",H658," | ",J658)</f>
        <v>r668: C01127 -&gt; C00022 + C00048 | (${Variables:E4_1_3_16_kcat} * E4_1_3_16 * C01127)/(${Variables:E4_1_3_16_km} + (E4_1_3_16 * C01127))</v>
      </c>
    </row>
    <row r="659" spans="1:11" ht="28.5" x14ac:dyDescent="0.45">
      <c r="A659" s="53" t="s">
        <v>5290</v>
      </c>
      <c r="B659" s="54" t="s">
        <v>5291</v>
      </c>
      <c r="C659" t="s">
        <v>10416</v>
      </c>
      <c r="D659" s="12">
        <v>669</v>
      </c>
      <c r="E659" s="12" t="str">
        <f>CONCATENATE("E",C659)</f>
        <v>E4_1_3_16</v>
      </c>
      <c r="F659" s="12" t="s">
        <v>2210</v>
      </c>
      <c r="G659" s="12" t="s">
        <v>2210</v>
      </c>
      <c r="H659" t="s">
        <v>9139</v>
      </c>
      <c r="I659" t="s">
        <v>10890</v>
      </c>
      <c r="J659" s="12" t="str">
        <f>CONCATENATE("(${Variables:",E659,"_kcat","} * ",E659," * ",G659,")","/(${Variables:",E659,"_km","} + (",E659," * ",G659,"))")</f>
        <v>(${Variables:E4_1_3_16_kcat} * E4_1_3_16 * C05946)/(${Variables:E4_1_3_16_km} + (E4_1_3_16 * C05946))</v>
      </c>
      <c r="K659" s="43" t="str">
        <f>CONCATENATE("r",D659,": ",F659," -&gt; ",H659," | ",J659)</f>
        <v>r669: C05946 -&gt; C00022 + C00048 | (${Variables:E4_1_3_16_kcat} * E4_1_3_16 * C05946)/(${Variables:E4_1_3_16_km} + (E4_1_3_16 * C05946))</v>
      </c>
    </row>
    <row r="660" spans="1:11" ht="28.5" x14ac:dyDescent="0.45">
      <c r="A660" s="53" t="s">
        <v>5290</v>
      </c>
      <c r="B660" s="54" t="s">
        <v>5291</v>
      </c>
      <c r="C660" t="s">
        <v>10416</v>
      </c>
      <c r="D660" s="12">
        <v>670</v>
      </c>
      <c r="E660" s="12" t="str">
        <f>CONCATENATE("E",C660)</f>
        <v>E4_1_3_16</v>
      </c>
      <c r="F660" s="12" t="s">
        <v>9142</v>
      </c>
      <c r="G660" s="12" t="s">
        <v>9142</v>
      </c>
      <c r="H660" t="s">
        <v>9139</v>
      </c>
      <c r="I660" t="s">
        <v>10890</v>
      </c>
      <c r="J660" s="12" t="str">
        <f>CONCATENATE("(${Variables:",E660,"_kcat","} * ",E660," * ",G660,")","/(${Variables:",E660,"_km","} + (",E660," * ",G660,"))")</f>
        <v>(${Variables:E4_1_3_16_kcat} * E4_1_3_16 * C20485)/(${Variables:E4_1_3_16_km} + (E4_1_3_16 * C20485))</v>
      </c>
      <c r="K660" s="43" t="str">
        <f>CONCATENATE("r",D660,": ",F660," -&gt; ",H660," | ",J660)</f>
        <v>r670: C20485 -&gt; C00022 + C00048 | (${Variables:E4_1_3_16_kcat} * E4_1_3_16 * C20485)/(${Variables:E4_1_3_16_km} + (E4_1_3_16 * C20485))</v>
      </c>
    </row>
    <row r="661" spans="1:11" ht="42.75" x14ac:dyDescent="0.45">
      <c r="A661" s="53" t="s">
        <v>8012</v>
      </c>
      <c r="B661" s="54" t="s">
        <v>8013</v>
      </c>
      <c r="C661" t="s">
        <v>10417</v>
      </c>
      <c r="D661" s="12">
        <v>671</v>
      </c>
      <c r="E661" s="12" t="str">
        <f>CONCATENATE("E",C661)</f>
        <v>E4_1_3_27</v>
      </c>
      <c r="F661" s="12" t="s">
        <v>10211</v>
      </c>
      <c r="G661" s="12" t="s">
        <v>10553</v>
      </c>
      <c r="H661" t="s">
        <v>10219</v>
      </c>
      <c r="I661" t="s">
        <v>10891</v>
      </c>
      <c r="J661" s="12" t="str">
        <f>CONCATENATE("(${Variables:",E661,"_kcat","} * ",E661," * ",G661,")","/(${Variables:",E661,"_km","} + (",E661," * ",G661,"))")</f>
        <v>(${Variables:E4_1_3_27_kcat} * E4_1_3_27 * C00251 * C00064)/(${Variables:E4_1_3_27_km} + (E4_1_3_27 * C00251 * C00064))</v>
      </c>
      <c r="K661" s="43" t="str">
        <f>CONCATENATE("r",D661,": ",F661," -&gt; ",H661," | ",J661)</f>
        <v>r671: C00251 + C00064 -&gt; C00108 + C00022 + C00025 | (${Variables:E4_1_3_27_kcat} * E4_1_3_27 * C00251 * C00064)/(${Variables:E4_1_3_27_km} + (E4_1_3_27 * C00251 * C00064))</v>
      </c>
    </row>
    <row r="662" spans="1:11" ht="42.75" x14ac:dyDescent="0.45">
      <c r="A662" s="53" t="s">
        <v>8012</v>
      </c>
      <c r="B662" s="54" t="s">
        <v>8013</v>
      </c>
      <c r="C662" t="s">
        <v>10417</v>
      </c>
      <c r="D662" s="12">
        <v>672</v>
      </c>
      <c r="E662" s="12" t="str">
        <f>CONCATENATE("E",C662)</f>
        <v>E4_1_3_27</v>
      </c>
      <c r="F662" s="12" t="s">
        <v>10221</v>
      </c>
      <c r="G662" s="12" t="s">
        <v>10658</v>
      </c>
      <c r="H662" t="s">
        <v>10222</v>
      </c>
      <c r="I662" t="s">
        <v>10892</v>
      </c>
      <c r="J662" s="12" t="str">
        <f>CONCATENATE("(${Variables:",E662,"_kcat","} * ",E662," * ",G662,")","/(${Variables:",E662,"_km","} + (",E662," * ",G662,"))")</f>
        <v>(${Variables:E4_1_3_27_kcat} * E4_1_3_27 * C00251 * C00014)/(${Variables:E4_1_3_27_km} + (E4_1_3_27 * C00251 * C00014))</v>
      </c>
      <c r="K662" s="43" t="str">
        <f>CONCATENATE("r",D662,": ",F662," -&gt; ",H662," | ",J662)</f>
        <v>r672: C00251 + C00014 -&gt; C00108 + C00022 + C00001 | (${Variables:E4_1_3_27_kcat} * E4_1_3_27 * C00251 * C00014)/(${Variables:E4_1_3_27_km} + (E4_1_3_27 * C00251 * C00014))</v>
      </c>
    </row>
    <row r="663" spans="1:11" ht="28.5" x14ac:dyDescent="0.45">
      <c r="A663" s="53" t="s">
        <v>6198</v>
      </c>
      <c r="B663" s="54" t="s">
        <v>6199</v>
      </c>
      <c r="C663" t="s">
        <v>1865</v>
      </c>
      <c r="D663" s="12">
        <v>673</v>
      </c>
      <c r="E663" s="12" t="str">
        <f>CONCATENATE("E",C663)</f>
        <v>E4_1_3_34</v>
      </c>
      <c r="F663" t="s">
        <v>1095</v>
      </c>
      <c r="G663" t="s">
        <v>1095</v>
      </c>
      <c r="H663" t="s">
        <v>3535</v>
      </c>
      <c r="I663" t="s">
        <v>1525</v>
      </c>
      <c r="J663" s="12" t="str">
        <f>CONCATENATE("(${Variables:",E663,"_kcat","} * ",E663," * ",G663,")","/(${Variables:",E663,"_km","} + (",E663," * ",G663,"))")</f>
        <v>(${Variables:E4_1_3_34_kcat} * E4_1_3_34 * C00566)/(${Variables:E4_1_3_34_km} + (E4_1_3_34 * C00566))</v>
      </c>
      <c r="K663" s="43" t="str">
        <f>CONCATENATE("r",D663,": ",F663," -&gt; ",H663," | ",J663)</f>
        <v>r673: C00566 -&gt; C00024 + C00036 | (${Variables:E4_1_3_34_kcat} * E4_1_3_34 * C00566)/(${Variables:E4_1_3_34_km} + (E4_1_3_34 * C00566))</v>
      </c>
    </row>
    <row r="664" spans="1:11" ht="28.5" x14ac:dyDescent="0.45">
      <c r="A664" s="53" t="s">
        <v>6198</v>
      </c>
      <c r="B664" s="54" t="s">
        <v>6199</v>
      </c>
      <c r="C664" t="s">
        <v>1844</v>
      </c>
      <c r="D664" s="12">
        <v>674</v>
      </c>
      <c r="E664" s="12" t="str">
        <f>CONCATENATE("E",C664)</f>
        <v>E4_1_3_6</v>
      </c>
      <c r="F664" s="12" t="s">
        <v>1081</v>
      </c>
      <c r="G664" s="12" t="s">
        <v>1081</v>
      </c>
      <c r="H664" t="s">
        <v>3536</v>
      </c>
      <c r="I664" t="s">
        <v>1433</v>
      </c>
      <c r="J664" s="12" t="str">
        <f>CONCATENATE("(${Variables:",E664,"_kcat","} * ",E664," * ",G664,")","/(${Variables:",E664,"_km","} + (",E664," * ",G664,"))")</f>
        <v>(${Variables:E4_1_3_6_kcat} * E4_1_3_6 * C00158)/(${Variables:E4_1_3_6_km} + (E4_1_3_6 * C00158))</v>
      </c>
      <c r="K664" s="43" t="str">
        <f>CONCATENATE("r",D664,": ",F664," -&gt; ",H664," | ",J664)</f>
        <v>r674: C00158 -&gt; C00033 + C00036 | (${Variables:E4_1_3_6_kcat} * E4_1_3_6 * C00158)/(${Variables:E4_1_3_6_km} + (E4_1_3_6 * C00158))</v>
      </c>
    </row>
    <row r="665" spans="1:11" ht="28.5" x14ac:dyDescent="0.45">
      <c r="A665" s="53" t="s">
        <v>6196</v>
      </c>
      <c r="B665" s="54" t="s">
        <v>6197</v>
      </c>
      <c r="C665" t="s">
        <v>1844</v>
      </c>
      <c r="D665" s="12">
        <v>675</v>
      </c>
      <c r="E665" s="12" t="str">
        <f>CONCATENATE("E",C665)</f>
        <v>E4_1_3_6</v>
      </c>
      <c r="F665" s="12" t="s">
        <v>1081</v>
      </c>
      <c r="G665" s="12" t="s">
        <v>1081</v>
      </c>
      <c r="H665" t="s">
        <v>3536</v>
      </c>
      <c r="I665" t="s">
        <v>1433</v>
      </c>
      <c r="J665" s="12" t="str">
        <f>CONCATENATE("(${Variables:",E665,"_kcat","} * ",E665," * ",G665,")","/(${Variables:",E665,"_km","} + (",E665," * ",G665,"))")</f>
        <v>(${Variables:E4_1_3_6_kcat} * E4_1_3_6 * C00158)/(${Variables:E4_1_3_6_km} + (E4_1_3_6 * C00158))</v>
      </c>
      <c r="K665" s="43" t="str">
        <f>CONCATENATE("r",D665,": ",F665," -&gt; ",H665," | ",J665)</f>
        <v>r675: C00158 -&gt; C00033 + C00036 | (${Variables:E4_1_3_6_kcat} * E4_1_3_6 * C00158)/(${Variables:E4_1_3_6_km} + (E4_1_3_6 * C00158))</v>
      </c>
    </row>
    <row r="666" spans="1:11" ht="28.5" x14ac:dyDescent="0.45">
      <c r="A666" s="53" t="s">
        <v>6200</v>
      </c>
      <c r="B666" s="54" t="s">
        <v>6201</v>
      </c>
      <c r="C666" t="s">
        <v>1844</v>
      </c>
      <c r="D666" s="12">
        <v>676</v>
      </c>
      <c r="E666" s="12" t="str">
        <f>CONCATENATE("E",C666)</f>
        <v>E4_1_3_6</v>
      </c>
      <c r="F666" s="12" t="s">
        <v>1081</v>
      </c>
      <c r="G666" s="12" t="s">
        <v>1081</v>
      </c>
      <c r="H666" t="s">
        <v>3536</v>
      </c>
      <c r="I666" t="s">
        <v>1433</v>
      </c>
      <c r="J666" s="12" t="str">
        <f>CONCATENATE("(${Variables:",E666,"_kcat","} * ",E666," * ",G666,")","/(${Variables:",E666,"_km","} + (",E666," * ",G666,"))")</f>
        <v>(${Variables:E4_1_3_6_kcat} * E4_1_3_6 * C00158)/(${Variables:E4_1_3_6_km} + (E4_1_3_6 * C00158))</v>
      </c>
      <c r="K666" s="43" t="str">
        <f>CONCATENATE("r",D666,": ",F666," -&gt; ",H666," | ",J666)</f>
        <v>r676: C00158 -&gt; C00033 + C00036 | (${Variables:E4_1_3_6_kcat} * E4_1_3_6 * C00158)/(${Variables:E4_1_3_6_km} + (E4_1_3_6 * C00158))</v>
      </c>
    </row>
    <row r="667" spans="1:11" ht="28.5" x14ac:dyDescent="0.45">
      <c r="A667" s="53" t="s">
        <v>5802</v>
      </c>
      <c r="B667" s="54" t="s">
        <v>5803</v>
      </c>
      <c r="C667" t="s">
        <v>10418</v>
      </c>
      <c r="D667" s="12">
        <v>677</v>
      </c>
      <c r="E667" s="12" t="str">
        <f>CONCATENATE("E",C667)</f>
        <v>E4_2_1_10</v>
      </c>
      <c r="F667" t="s">
        <v>9264</v>
      </c>
      <c r="G667" t="s">
        <v>9264</v>
      </c>
      <c r="H667" t="s">
        <v>9265</v>
      </c>
      <c r="I667" t="s">
        <v>10893</v>
      </c>
      <c r="J667" s="12" t="str">
        <f>CONCATENATE("(${Variables:",E667,"_kcat","} * ",E667," * ",G667,")","/(${Variables:",E667,"_km","} + (",E667," * ",G667,"))")</f>
        <v>(${Variables:E4_2_1_10_kcat} * E4_2_1_10 * C00944)/(${Variables:E4_2_1_10_km} + (E4_2_1_10 * C00944))</v>
      </c>
      <c r="K667" s="43" t="str">
        <f>CONCATENATE("r",D667,": ",F667," -&gt; ",H667," | ",J667)</f>
        <v>r677: C00944 -&gt; C02637 + C00001 | (${Variables:E4_2_1_10_kcat} * E4_2_1_10 * C00944)/(${Variables:E4_2_1_10_km} + (E4_2_1_10 * C00944))</v>
      </c>
    </row>
    <row r="668" spans="1:11" ht="28.5" x14ac:dyDescent="0.45">
      <c r="A668" s="53" t="s">
        <v>5602</v>
      </c>
      <c r="B668" s="54" t="s">
        <v>5603</v>
      </c>
      <c r="C668" t="s">
        <v>1866</v>
      </c>
      <c r="D668" s="12">
        <v>678</v>
      </c>
      <c r="E668" s="12" t="str">
        <f>CONCATENATE("E",C668)</f>
        <v>E4_2_1_11</v>
      </c>
      <c r="F668" s="12" t="s">
        <v>1096</v>
      </c>
      <c r="G668" s="12" t="s">
        <v>1096</v>
      </c>
      <c r="H668" t="s">
        <v>3537</v>
      </c>
      <c r="I668" t="s">
        <v>1528</v>
      </c>
      <c r="J668" s="12" t="str">
        <f>CONCATENATE("(${Variables:",E668,"_kcat","} * ",E668," * ",G668,")","/(${Variables:",E668,"_km","} + (",E668," * ",G668,"))")</f>
        <v>(${Variables:E4_2_1_11_kcat} * E4_2_1_11 * C00631)/(${Variables:E4_2_1_11_km} + (E4_2_1_11 * C00631))</v>
      </c>
      <c r="K668" s="43" t="str">
        <f>CONCATENATE("r",D668,": ",F668," -&gt; ",H668," | ",J668)</f>
        <v>r678: C00631 -&gt; C00074 + C00001 | (${Variables:E4_2_1_11_kcat} * E4_2_1_11 * C00631)/(${Variables:E4_2_1_11_km} + (E4_2_1_11 * C00631))</v>
      </c>
    </row>
    <row r="669" spans="1:11" ht="28.5" x14ac:dyDescent="0.45">
      <c r="A669" s="53" t="s">
        <v>5602</v>
      </c>
      <c r="B669" s="54" t="s">
        <v>5603</v>
      </c>
      <c r="C669" t="s">
        <v>1866</v>
      </c>
      <c r="D669" s="12">
        <v>679</v>
      </c>
      <c r="E669" s="12" t="str">
        <f>CONCATENATE("E",C669)</f>
        <v>E4_2_1_11</v>
      </c>
      <c r="F669" s="12" t="s">
        <v>1097</v>
      </c>
      <c r="G669" s="12" t="s">
        <v>1097</v>
      </c>
      <c r="H669" t="s">
        <v>3538</v>
      </c>
      <c r="I669" t="s">
        <v>1605</v>
      </c>
      <c r="J669" s="12" t="str">
        <f>CONCATENATE("(${Variables:",E669,"_kcat","} * ",E669," * ",G669,")","/(${Variables:",E669,"_km","} + (",E669," * ",G669,"))")</f>
        <v>(${Variables:E4_2_1_11_kcat} * E4_2_1_11 * C03356)/(${Variables:E4_2_1_11_km} + (E4_2_1_11 * C03356))</v>
      </c>
      <c r="K669" s="43" t="str">
        <f>CONCATENATE("r",D669,": ",F669," -&gt; ",H669," | ",J669)</f>
        <v>r679: C03356 -&gt; C04309 + C00001 | (${Variables:E4_2_1_11_kcat} * E4_2_1_11 * C03356)/(${Variables:E4_2_1_11_km} + (E4_2_1_11 * C03356))</v>
      </c>
    </row>
    <row r="670" spans="1:11" ht="28.5" x14ac:dyDescent="0.45">
      <c r="A670" s="53" t="s">
        <v>4655</v>
      </c>
      <c r="B670" s="54" t="s">
        <v>4656</v>
      </c>
      <c r="C670" t="s">
        <v>10419</v>
      </c>
      <c r="D670" s="12">
        <v>680</v>
      </c>
      <c r="E670" s="12" t="str">
        <f>CONCATENATE("E",C670)</f>
        <v>E4_2_1_17</v>
      </c>
      <c r="F670" s="12" t="s">
        <v>8723</v>
      </c>
      <c r="G670" s="12" t="s">
        <v>8723</v>
      </c>
      <c r="H670" t="s">
        <v>8724</v>
      </c>
      <c r="I670" t="s">
        <v>10894</v>
      </c>
      <c r="J670" s="12" t="str">
        <f>CONCATENATE("(${Variables:",E670,"_kcat","} * ",E670," * ",G670,")","/(${Variables:",E670,"_km","} + (",E670," * ",G670,"))")</f>
        <v>(${Variables:E4_2_1_17_kcat} * E4_2_1_17 * C00640 )/(${Variables:E4_2_1_17_km} + (E4_2_1_17 * C00640 ))</v>
      </c>
      <c r="K670" s="43" t="str">
        <f>CONCATENATE("r",D670,": ",F670," -&gt; ",H670," | ",J670)</f>
        <v>r680: C00640  -&gt; C00658 + C00001 | (${Variables:E4_2_1_17_kcat} * E4_2_1_17 * C00640 )/(${Variables:E4_2_1_17_km} + (E4_2_1_17 * C00640 ))</v>
      </c>
    </row>
    <row r="671" spans="1:11" ht="28.5" x14ac:dyDescent="0.45">
      <c r="A671" s="53" t="s">
        <v>4655</v>
      </c>
      <c r="B671" s="54" t="s">
        <v>4656</v>
      </c>
      <c r="C671" t="s">
        <v>10419</v>
      </c>
      <c r="D671" s="12">
        <v>681</v>
      </c>
      <c r="E671" s="12" t="str">
        <f>CONCATENATE("E",C671)</f>
        <v>E4_2_1_17</v>
      </c>
      <c r="F671" t="s">
        <v>8726</v>
      </c>
      <c r="G671" t="s">
        <v>8726</v>
      </c>
      <c r="H671" t="s">
        <v>8727</v>
      </c>
      <c r="I671" t="s">
        <v>10660</v>
      </c>
      <c r="J671" s="12" t="str">
        <f>CONCATENATE("(${Variables:",E671,"_kcat","} * ",E671," * ",G671,")","/(${Variables:",E671,"_km","} + (",E671," * ",G671,"))")</f>
        <v>(${Variables:E4_2_1_17_kcat} * E4_2_1_17 * C01144)/(${Variables:E4_2_1_17_km} + (E4_2_1_17 * C01144))</v>
      </c>
      <c r="K671" s="43" t="str">
        <f>CONCATENATE("r",D671,": ",F671," -&gt; ",H671," | ",J671)</f>
        <v>r681: C01144 -&gt; C00877 + C00001 | (${Variables:E4_2_1_17_kcat} * E4_2_1_17 * C01144)/(${Variables:E4_2_1_17_km} + (E4_2_1_17 * C01144))</v>
      </c>
    </row>
    <row r="672" spans="1:11" ht="28.5" x14ac:dyDescent="0.45">
      <c r="A672" s="53" t="s">
        <v>4655</v>
      </c>
      <c r="B672" s="54" t="s">
        <v>4656</v>
      </c>
      <c r="C672" t="s">
        <v>10419</v>
      </c>
      <c r="D672" s="12">
        <v>682</v>
      </c>
      <c r="E672" s="12" t="str">
        <f>CONCATENATE("E",C672)</f>
        <v>E4_2_1_17</v>
      </c>
      <c r="F672" s="12" t="s">
        <v>8729</v>
      </c>
      <c r="G672" s="12" t="s">
        <v>8729</v>
      </c>
      <c r="H672" t="s">
        <v>8730</v>
      </c>
      <c r="I672" t="s">
        <v>10895</v>
      </c>
      <c r="J672" s="12" t="str">
        <f>CONCATENATE("(${Variables:",E672,"_kcat","} * ",E672," * ",G672,")","/(${Variables:",E672,"_km","} + (",E672," * ",G672,"))")</f>
        <v>(${Variables:E4_2_1_17_kcat} * E4_2_1_17 * C05668)/(${Variables:E4_2_1_17_km} + (E4_2_1_17 * C05668))</v>
      </c>
      <c r="K672" s="43" t="str">
        <f>CONCATENATE("r",D672,": ",F672," -&gt; ",H672," | ",J672)</f>
        <v>r682: C05668 -&gt; C00894 + C00001 | (${Variables:E4_2_1_17_kcat} * E4_2_1_17 * C05668)/(${Variables:E4_2_1_17_km} + (E4_2_1_17 * C05668))</v>
      </c>
    </row>
    <row r="673" spans="1:11" ht="28.5" x14ac:dyDescent="0.45">
      <c r="A673" s="53" t="s">
        <v>4655</v>
      </c>
      <c r="B673" s="54" t="s">
        <v>4656</v>
      </c>
      <c r="C673" t="s">
        <v>10419</v>
      </c>
      <c r="D673" s="12">
        <v>683</v>
      </c>
      <c r="E673" s="12" t="str">
        <f>CONCATENATE("E",C673)</f>
        <v>E4_2_1_17</v>
      </c>
      <c r="F673" t="s">
        <v>8732</v>
      </c>
      <c r="G673" t="s">
        <v>8732</v>
      </c>
      <c r="H673" t="s">
        <v>8733</v>
      </c>
      <c r="I673" t="s">
        <v>10896</v>
      </c>
      <c r="J673" s="12" t="str">
        <f>CONCATENATE("(${Variables:",E673,"_kcat","} * ",E673," * ",G673,")","/(${Variables:",E673,"_km","} + (",E673," * ",G673,"))")</f>
        <v>(${Variables:E4_2_1_17_kcat} * E4_2_1_17 * C05262)/(${Variables:E4_2_1_17_km} + (E4_2_1_17 * C05262))</v>
      </c>
      <c r="K673" s="43" t="str">
        <f>CONCATENATE("r",D673,": ",F673," -&gt; ",H673," | ",J673)</f>
        <v>r683: C05262 -&gt; C03221 + C00001 | (${Variables:E4_2_1_17_kcat} * E4_2_1_17 * C05262)/(${Variables:E4_2_1_17_km} + (E4_2_1_17 * C05262))</v>
      </c>
    </row>
    <row r="674" spans="1:11" ht="28.5" x14ac:dyDescent="0.45">
      <c r="A674" s="53" t="s">
        <v>4655</v>
      </c>
      <c r="B674" s="54" t="s">
        <v>4656</v>
      </c>
      <c r="C674" t="s">
        <v>10419</v>
      </c>
      <c r="D674" s="12">
        <v>684</v>
      </c>
      <c r="E674" s="12" t="str">
        <f>CONCATENATE("E",C674)</f>
        <v>E4_2_1_17</v>
      </c>
      <c r="F674" s="12" t="s">
        <v>8735</v>
      </c>
      <c r="G674" s="12" t="s">
        <v>8735</v>
      </c>
      <c r="H674" t="s">
        <v>8736</v>
      </c>
      <c r="I674" t="s">
        <v>10897</v>
      </c>
      <c r="J674" s="12" t="str">
        <f>CONCATENATE("(${Variables:",E674,"_kcat","} * ",E674," * ",G674,")","/(${Variables:",E674,"_km","} + (",E674," * ",G674,"))")</f>
        <v>(${Variables:E4_2_1_17_kcat} * E4_2_1_17 * C04405)/(${Variables:E4_2_1_17_km} + (E4_2_1_17 * C04405))</v>
      </c>
      <c r="K674" s="43" t="str">
        <f>CONCATENATE("r",D674,": ",F674," -&gt; ",H674," | ",J674)</f>
        <v>r684: C04405 -&gt; C03345 + C00001 | (${Variables:E4_2_1_17_kcat} * E4_2_1_17 * C04405)/(${Variables:E4_2_1_17_km} + (E4_2_1_17 * C04405))</v>
      </c>
    </row>
    <row r="675" spans="1:11" ht="42.75" x14ac:dyDescent="0.45">
      <c r="A675" s="53" t="s">
        <v>4655</v>
      </c>
      <c r="B675" s="54" t="s">
        <v>4656</v>
      </c>
      <c r="C675" t="s">
        <v>10419</v>
      </c>
      <c r="D675" s="12">
        <v>685</v>
      </c>
      <c r="E675" s="12" t="str">
        <f>CONCATENATE("E",C675)</f>
        <v>E4_2_1_17</v>
      </c>
      <c r="F675" s="12" t="s">
        <v>8738</v>
      </c>
      <c r="G675" s="12" t="s">
        <v>10659</v>
      </c>
      <c r="H675" s="55" t="s">
        <v>8739</v>
      </c>
      <c r="I675" s="55" t="s">
        <v>8739</v>
      </c>
      <c r="J675" s="12" t="str">
        <f>CONCATENATE("(${Variables:",E675,"_kcat","} * ",E675," * ",G675,")","/(${Variables:",E675,"_km","} + (",E675," * ",G675,"))")</f>
        <v>(${Variables:E4_2_1_17_kcat} * E4_2_1_17 * C03460 * C00001)/(${Variables:E4_2_1_17_km} + (E4_2_1_17 * C03460 * C00001))</v>
      </c>
      <c r="K675" s="43" t="str">
        <f>CONCATENATE("r",D675,": ",F675," -&gt; ",H675," | ",J675)</f>
        <v>r685: C03460 + C00001 -&gt; C06000 | (${Variables:E4_2_1_17_kcat} * E4_2_1_17 * C03460 * C00001)/(${Variables:E4_2_1_17_km} + (E4_2_1_17 * C03460 * C00001))</v>
      </c>
    </row>
    <row r="676" spans="1:11" ht="28.5" x14ac:dyDescent="0.45">
      <c r="A676" s="53" t="s">
        <v>4655</v>
      </c>
      <c r="B676" s="54" t="s">
        <v>4656</v>
      </c>
      <c r="C676" t="s">
        <v>10419</v>
      </c>
      <c r="D676" s="12">
        <v>686</v>
      </c>
      <c r="E676" s="12" t="str">
        <f>CONCATENATE("E",C676)</f>
        <v>E4_2_1_17</v>
      </c>
      <c r="F676" s="12" t="s">
        <v>8741</v>
      </c>
      <c r="G676" s="12" t="s">
        <v>8741</v>
      </c>
      <c r="H676" s="55" t="s">
        <v>8742</v>
      </c>
      <c r="I676" s="55" t="s">
        <v>10898</v>
      </c>
      <c r="J676" s="12" t="str">
        <f>CONCATENATE("(${Variables:",E676,"_kcat","} * ",E676," * ",G676,")","/(${Variables:",E676,"_km","} + (",E676," * ",G676,"))")</f>
        <v>(${Variables:E4_2_1_17_kcat} * E4_2_1_17 * C05258)/(${Variables:E4_2_1_17_km} + (E4_2_1_17 * C05258))</v>
      </c>
      <c r="K676" s="43" t="str">
        <f>CONCATENATE("r",D676,": ",F676," -&gt; ",H676," | ",J676)</f>
        <v>r686: C05258 -&gt; C05272 + C00001 | (${Variables:E4_2_1_17_kcat} * E4_2_1_17 * C05258)/(${Variables:E4_2_1_17_km} + (E4_2_1_17 * C05258))</v>
      </c>
    </row>
    <row r="677" spans="1:11" ht="28.5" x14ac:dyDescent="0.45">
      <c r="A677" s="53" t="s">
        <v>4655</v>
      </c>
      <c r="B677" s="54" t="s">
        <v>4656</v>
      </c>
      <c r="C677" t="s">
        <v>10419</v>
      </c>
      <c r="D677" s="12">
        <v>687</v>
      </c>
      <c r="E677" s="12" t="str">
        <f>CONCATENATE("E",C677)</f>
        <v>E4_2_1_17</v>
      </c>
      <c r="F677" s="12" t="s">
        <v>8744</v>
      </c>
      <c r="G677" s="12" t="s">
        <v>8744</v>
      </c>
      <c r="H677" s="55" t="s">
        <v>8745</v>
      </c>
      <c r="I677" s="55" t="s">
        <v>10899</v>
      </c>
      <c r="J677" s="12" t="str">
        <f>CONCATENATE("(${Variables:",E677,"_kcat","} * ",E677," * ",G677,")","/(${Variables:",E677,"_km","} + (",E677," * ",G677,"))")</f>
        <v>(${Variables:E4_2_1_17_kcat} * E4_2_1_17 * C05260)/(${Variables:E4_2_1_17_km} + (E4_2_1_17 * C05260))</v>
      </c>
      <c r="K677" s="43" t="str">
        <f>CONCATENATE("r",D677,": ",F677," -&gt; ",H677," | ",J677)</f>
        <v>r687: C05260 -&gt; C05273 + C00001 | (${Variables:E4_2_1_17_kcat} * E4_2_1_17 * C05260)/(${Variables:E4_2_1_17_km} + (E4_2_1_17 * C05260))</v>
      </c>
    </row>
    <row r="678" spans="1:11" ht="28.5" x14ac:dyDescent="0.45">
      <c r="A678" s="53" t="s">
        <v>4655</v>
      </c>
      <c r="B678" s="54" t="s">
        <v>4656</v>
      </c>
      <c r="C678" t="s">
        <v>10419</v>
      </c>
      <c r="D678" s="12">
        <v>688</v>
      </c>
      <c r="E678" s="12" t="str">
        <f>CONCATENATE("E",C678)</f>
        <v>E4_2_1_17</v>
      </c>
      <c r="F678" s="12" t="s">
        <v>8748</v>
      </c>
      <c r="G678" s="12" t="s">
        <v>8748</v>
      </c>
      <c r="H678" s="55" t="s">
        <v>8747</v>
      </c>
      <c r="I678" s="55" t="s">
        <v>10900</v>
      </c>
      <c r="J678" s="12" t="str">
        <f>CONCATENATE("(${Variables:",E678,"_kcat","} * ",E678," * ",G678,")","/(${Variables:",E678,"_km","} + (",E678," * ",G678,"))")</f>
        <v>(${Variables:E4_2_1_17_kcat} * E4_2_1_17 * C05264)/(${Variables:E4_2_1_17_km} + (E4_2_1_17 * C05264))</v>
      </c>
      <c r="K678" s="43" t="str">
        <f>CONCATENATE("r",D678,": ",F678," -&gt; ",H678," | ",J678)</f>
        <v>r688: C05264 -&gt; C05275 + C00001 | (${Variables:E4_2_1_17_kcat} * E4_2_1_17 * C05264)/(${Variables:E4_2_1_17_km} + (E4_2_1_17 * C05264))</v>
      </c>
    </row>
    <row r="679" spans="1:11" ht="28.5" x14ac:dyDescent="0.45">
      <c r="A679" s="53" t="s">
        <v>4655</v>
      </c>
      <c r="B679" s="54" t="s">
        <v>4656</v>
      </c>
      <c r="C679" t="s">
        <v>10419</v>
      </c>
      <c r="D679" s="12">
        <v>689</v>
      </c>
      <c r="E679" s="12" t="str">
        <f>CONCATENATE("E",C679)</f>
        <v>E4_2_1_17</v>
      </c>
      <c r="F679" s="12" t="s">
        <v>8750</v>
      </c>
      <c r="G679" s="12" t="s">
        <v>8750</v>
      </c>
      <c r="H679" s="55" t="s">
        <v>8751</v>
      </c>
      <c r="I679" s="55" t="s">
        <v>10901</v>
      </c>
      <c r="J679" s="12" t="str">
        <f>CONCATENATE("(${Variables:",E679,"_kcat","} * ",E679," * ",G679,")","/(${Variables:",E679,"_km","} + (",E679," * ",G679,"))")</f>
        <v>(${Variables:E4_2_1_17_kcat} * E4_2_1_17 * C05266)/(${Variables:E4_2_1_17_km} + (E4_2_1_17 * C05266))</v>
      </c>
      <c r="K679" s="43" t="str">
        <f>CONCATENATE("r",D679,": ",F679," -&gt; ",H679," | ",J679)</f>
        <v>r689: C05266 -&gt; C05276 + C00001 | (${Variables:E4_2_1_17_kcat} * E4_2_1_17 * C05266)/(${Variables:E4_2_1_17_km} + (E4_2_1_17 * C05266))</v>
      </c>
    </row>
    <row r="680" spans="1:11" ht="28.5" x14ac:dyDescent="0.45">
      <c r="A680" s="53" t="s">
        <v>4655</v>
      </c>
      <c r="B680" s="54" t="s">
        <v>4656</v>
      </c>
      <c r="C680" t="s">
        <v>10419</v>
      </c>
      <c r="D680" s="12">
        <v>690</v>
      </c>
      <c r="E680" s="12" t="str">
        <f>CONCATENATE("E",C680)</f>
        <v>E4_2_1_17</v>
      </c>
      <c r="F680" s="12" t="s">
        <v>8753</v>
      </c>
      <c r="G680" s="12" t="s">
        <v>8753</v>
      </c>
      <c r="H680" s="55" t="s">
        <v>8754</v>
      </c>
      <c r="I680" s="55" t="s">
        <v>10902</v>
      </c>
      <c r="J680" s="12" t="str">
        <f>CONCATENATE("(${Variables:",E680,"_kcat","} * ",E680," * ",G680,")","/(${Variables:",E680,"_km","} + (",E680," * ",G680,"))")</f>
        <v>(${Variables:E4_2_1_17_kcat} * E4_2_1_17 * C05268)/(${Variables:E4_2_1_17_km} + (E4_2_1_17 * C05268))</v>
      </c>
      <c r="K680" s="43" t="str">
        <f>CONCATENATE("r",D680,": ",F680," -&gt; ",H680," | ",J680)</f>
        <v>r690: C05268 -&gt; C05271 + C00001 | (${Variables:E4_2_1_17_kcat} * E4_2_1_17 * C05268)/(${Variables:E4_2_1_17_km} + (E4_2_1_17 * C05268))</v>
      </c>
    </row>
    <row r="681" spans="1:11" ht="28.5" x14ac:dyDescent="0.45">
      <c r="A681" s="53" t="s">
        <v>4655</v>
      </c>
      <c r="B681" s="54" t="s">
        <v>4656</v>
      </c>
      <c r="C681" t="s">
        <v>10419</v>
      </c>
      <c r="D681" s="12">
        <v>691</v>
      </c>
      <c r="E681" s="12" t="str">
        <f>CONCATENATE("E",C681)</f>
        <v>E4_2_1_17</v>
      </c>
      <c r="F681" s="12" t="s">
        <v>8756</v>
      </c>
      <c r="G681" s="12" t="s">
        <v>8756</v>
      </c>
      <c r="H681" s="55" t="s">
        <v>8757</v>
      </c>
      <c r="I681" s="55" t="s">
        <v>10903</v>
      </c>
      <c r="J681" s="12" t="str">
        <f>CONCATENATE("(${Variables:",E681,"_kcat","} * ",E681," * ",G681,")","/(${Variables:",E681,"_km","} + (",E681," * ",G681,"))")</f>
        <v>(${Variables:E4_2_1_17_kcat} * E4_2_1_17 * C16329)/(${Variables:E4_2_1_17_km} + (E4_2_1_17 * C16329))</v>
      </c>
      <c r="K681" s="43" t="str">
        <f>CONCATENATE("r",D681,": ",F681," -&gt; ",H681," | ",J681)</f>
        <v>r691: C16329 -&gt; C16328 + C00001 | (${Variables:E4_2_1_17_kcat} * E4_2_1_17 * C16329)/(${Variables:E4_2_1_17_km} + (E4_2_1_17 * C16329))</v>
      </c>
    </row>
    <row r="682" spans="1:11" ht="28.5" x14ac:dyDescent="0.45">
      <c r="A682" s="53" t="s">
        <v>4655</v>
      </c>
      <c r="B682" s="54" t="s">
        <v>4656</v>
      </c>
      <c r="C682" t="s">
        <v>10419</v>
      </c>
      <c r="D682" s="12">
        <v>692</v>
      </c>
      <c r="E682" s="12" t="str">
        <f>CONCATENATE("E",C682)</f>
        <v>E4_2_1_17</v>
      </c>
      <c r="F682" s="12" t="s">
        <v>8759</v>
      </c>
      <c r="G682" s="12" t="s">
        <v>8759</v>
      </c>
      <c r="H682" s="55" t="s">
        <v>8760</v>
      </c>
      <c r="I682" s="55" t="s">
        <v>10904</v>
      </c>
      <c r="J682" s="12" t="str">
        <f>CONCATENATE("(${Variables:",E682,"_kcat","} * ",E682," * ",G682,")","/(${Variables:",E682,"_km","} + (",E682," * ",G682,"))")</f>
        <v>(${Variables:E4_2_1_17_kcat} * E4_2_1_17 * C16333)/(${Variables:E4_2_1_17_km} + (E4_2_1_17 * C16333))</v>
      </c>
      <c r="K682" s="43" t="str">
        <f>CONCATENATE("r",D682,": ",F682," -&gt; ",H682," | ",J682)</f>
        <v>r692: C16333 -&gt; C16332 + C00001 | (${Variables:E4_2_1_17_kcat} * E4_2_1_17 * C16333)/(${Variables:E4_2_1_17_km} + (E4_2_1_17 * C16333))</v>
      </c>
    </row>
    <row r="683" spans="1:11" ht="28.5" x14ac:dyDescent="0.45">
      <c r="A683" s="53" t="s">
        <v>4655</v>
      </c>
      <c r="B683" s="54" t="s">
        <v>4656</v>
      </c>
      <c r="C683" t="s">
        <v>10419</v>
      </c>
      <c r="D683" s="12">
        <v>693</v>
      </c>
      <c r="E683" s="12" t="str">
        <f>CONCATENATE("E",C683)</f>
        <v>E4_2_1_17</v>
      </c>
      <c r="F683" s="12" t="s">
        <v>8762</v>
      </c>
      <c r="G683" s="12" t="s">
        <v>8762</v>
      </c>
      <c r="H683" s="55" t="s">
        <v>8763</v>
      </c>
      <c r="I683" s="55" t="s">
        <v>10905</v>
      </c>
      <c r="J683" s="12" t="str">
        <f>CONCATENATE("(${Variables:",E683,"_kcat","} * ",E683," * ",G683,")","/(${Variables:",E683,"_km","} + (",E683," * ",G683,"))")</f>
        <v>(${Variables:E4_2_1_17_kcat} * E4_2_1_17 * C16337)/(${Variables:E4_2_1_17_km} + (E4_2_1_17 * C16337))</v>
      </c>
      <c r="K683" s="43" t="str">
        <f>CONCATENATE("r",D683,": ",F683," -&gt; ",H683," | ",J683)</f>
        <v>r693: C16337 -&gt; C16336 + C00001 | (${Variables:E4_2_1_17_kcat} * E4_2_1_17 * C16337)/(${Variables:E4_2_1_17_km} + (E4_2_1_17 * C16337))</v>
      </c>
    </row>
    <row r="684" spans="1:11" ht="28.5" x14ac:dyDescent="0.45">
      <c r="A684" s="53" t="s">
        <v>4655</v>
      </c>
      <c r="B684" s="54" t="s">
        <v>4656</v>
      </c>
      <c r="C684" t="s">
        <v>10419</v>
      </c>
      <c r="D684" s="12">
        <v>694</v>
      </c>
      <c r="E684" s="12" t="str">
        <f>CONCATENATE("E",C684)</f>
        <v>E4_2_1_17</v>
      </c>
      <c r="F684" s="12" t="s">
        <v>8766</v>
      </c>
      <c r="G684" s="12" t="s">
        <v>8766</v>
      </c>
      <c r="H684" s="55" t="s">
        <v>8767</v>
      </c>
      <c r="I684" s="55" t="s">
        <v>10906</v>
      </c>
      <c r="J684" s="12" t="str">
        <f>CONCATENATE("(${Variables:",E684,"_kcat","} * ",E684," * ",G684,")","/(${Variables:",E684,"_km","} + (",E684," * ",G684,"))")</f>
        <v>(${Variables:E4_2_1_17_kcat} * E4_2_1_17 * C00640)/(${Variables:E4_2_1_17_km} + (E4_2_1_17 * C00640))</v>
      </c>
      <c r="K684" s="43" t="str">
        <f>CONCATENATE("r",D684,": ",F684," -&gt; ",H684," | ",J684)</f>
        <v>r694: C00640 -&gt; C05067 + C00001 | (${Variables:E4_2_1_17_kcat} * E4_2_1_17 * C00640)/(${Variables:E4_2_1_17_km} + (E4_2_1_17 * C00640))</v>
      </c>
    </row>
    <row r="685" spans="1:11" ht="28.5" x14ac:dyDescent="0.45">
      <c r="A685" s="53" t="s">
        <v>4655</v>
      </c>
      <c r="B685" s="54" t="s">
        <v>4656</v>
      </c>
      <c r="C685" t="s">
        <v>10419</v>
      </c>
      <c r="D685" s="12">
        <v>695</v>
      </c>
      <c r="E685" s="12" t="str">
        <f>CONCATENATE("E",C685)</f>
        <v>E4_2_1_17</v>
      </c>
      <c r="F685" s="12" t="s">
        <v>8768</v>
      </c>
      <c r="G685" s="12" t="s">
        <v>8768</v>
      </c>
      <c r="H685" s="55" t="s">
        <v>8769</v>
      </c>
      <c r="I685" s="55" t="s">
        <v>10907</v>
      </c>
      <c r="J685" s="12" t="str">
        <f>CONCATENATE("(${Variables:",E685,"_kcat","} * ",E685," * ",G685,")","/(${Variables:",E685,"_km","} + (",E685," * ",G685,"))")</f>
        <v>(${Variables:E4_2_1_17_kcat} * E4_2_1_17 * C01086)/(${Variables:E4_2_1_17_km} + (E4_2_1_17 * C01086))</v>
      </c>
      <c r="K685" s="43" t="str">
        <f>CONCATENATE("r",D685,": ",F685," -&gt; ",H685," | ",J685)</f>
        <v>r695: C01086 -&gt; C01122 + C00001 | (${Variables:E4_2_1_17_kcat} * E4_2_1_17 * C01086)/(${Variables:E4_2_1_17_km} + (E4_2_1_17 * C01086))</v>
      </c>
    </row>
    <row r="686" spans="1:11" ht="28.5" x14ac:dyDescent="0.45">
      <c r="A686" s="53" t="s">
        <v>4655</v>
      </c>
      <c r="B686" s="54" t="s">
        <v>4656</v>
      </c>
      <c r="C686" t="s">
        <v>10419</v>
      </c>
      <c r="D686" s="12">
        <v>696</v>
      </c>
      <c r="E686" s="12" t="str">
        <f>CONCATENATE("E",C686)</f>
        <v>E4_2_1_17</v>
      </c>
      <c r="F686" s="12" t="s">
        <v>8771</v>
      </c>
      <c r="G686" s="12" t="s">
        <v>8771</v>
      </c>
      <c r="H686" s="55" t="s">
        <v>8772</v>
      </c>
      <c r="I686" s="55" t="s">
        <v>10908</v>
      </c>
      <c r="J686" s="12" t="str">
        <f>CONCATENATE("(${Variables:",E686,"_kcat","} * ",E686," * ",G686,")","/(${Variables:",E686,"_km","} + (",E686," * ",G686,"))")</f>
        <v>(${Variables:E4_2_1_17_kcat} * E4_2_1_17 * C05998)/(${Variables:E4_2_1_17_km} + (E4_2_1_17 * C05998))</v>
      </c>
      <c r="K686" s="43" t="str">
        <f>CONCATENATE("r",D686,": ",F686," -&gt; ",H686," | ",J686)</f>
        <v>r696: C05998 -&gt; C03069 + C00001 | (${Variables:E4_2_1_17_kcat} * E4_2_1_17 * C05998)/(${Variables:E4_2_1_17_km} + (E4_2_1_17 * C05998))</v>
      </c>
    </row>
    <row r="687" spans="1:11" ht="42.75" x14ac:dyDescent="0.45">
      <c r="A687" s="53" t="s">
        <v>4655</v>
      </c>
      <c r="B687" s="54" t="s">
        <v>4656</v>
      </c>
      <c r="C687" t="s">
        <v>10419</v>
      </c>
      <c r="D687" s="12">
        <v>697</v>
      </c>
      <c r="E687" s="12" t="str">
        <f>CONCATENATE("E",C687)</f>
        <v>E4_2_1_17</v>
      </c>
      <c r="F687" s="12" t="s">
        <v>8727</v>
      </c>
      <c r="G687" s="12" t="s">
        <v>10660</v>
      </c>
      <c r="H687" s="55" t="s">
        <v>8774</v>
      </c>
      <c r="I687" s="55" t="s">
        <v>8774</v>
      </c>
      <c r="J687" s="12" t="str">
        <f>CONCATENATE("(${Variables:",E687,"_kcat","} * ",E687," * ",G687,")","/(${Variables:",E687,"_km","} + (",E687," * ",G687,"))")</f>
        <v>(${Variables:E4_2_1_17_kcat} * E4_2_1_17 * C00877 * C00001)/(${Variables:E4_2_1_17_km} + (E4_2_1_17 * C00877 * C00001))</v>
      </c>
      <c r="K687" s="43" t="str">
        <f>CONCATENATE("r",D687,": ",F687," -&gt; ",H687," | ",J687)</f>
        <v>r697: C00877 + C00001 -&gt; C05116 | (${Variables:E4_2_1_17_kcat} * E4_2_1_17 * C00877 * C00001)/(${Variables:E4_2_1_17_km} + (E4_2_1_17 * C00877 * C00001))</v>
      </c>
    </row>
    <row r="688" spans="1:11" ht="42.75" x14ac:dyDescent="0.45">
      <c r="A688" s="53" t="s">
        <v>4655</v>
      </c>
      <c r="B688" s="54" t="s">
        <v>4656</v>
      </c>
      <c r="C688" t="s">
        <v>10419</v>
      </c>
      <c r="D688" s="12">
        <v>698</v>
      </c>
      <c r="E688" s="12" t="str">
        <f>CONCATENATE("E",C688)</f>
        <v>E4_2_1_17</v>
      </c>
      <c r="F688" s="12" t="s">
        <v>8776</v>
      </c>
      <c r="G688" s="12" t="s">
        <v>10661</v>
      </c>
      <c r="H688" s="55" t="s">
        <v>8777</v>
      </c>
      <c r="I688" s="55" t="s">
        <v>8777</v>
      </c>
      <c r="J688" s="12" t="str">
        <f>CONCATENATE("(${Variables:",E688,"_kcat","} * ",E688," * ",G688,")","/(${Variables:",E688,"_km","} + (",E688," * ",G688,"))")</f>
        <v>(${Variables:E4_2_1_17_kcat} * E4_2_1_17 * C11946 * C00001)/(${Variables:E4_2_1_17_km} + (E4_2_1_17 * C11946 * C00001))</v>
      </c>
      <c r="K688" s="43" t="str">
        <f>CONCATENATE("r",D688,": ",F688," -&gt; ",H688," | ",J688)</f>
        <v>r698: C11946 + C00001 -&gt; C11947 | (${Variables:E4_2_1_17_kcat} * E4_2_1_17 * C11946 * C00001)/(${Variables:E4_2_1_17_km} + (E4_2_1_17 * C11946 * C00001))</v>
      </c>
    </row>
    <row r="689" spans="1:11" ht="42.75" x14ac:dyDescent="0.45">
      <c r="A689" s="53" t="s">
        <v>4655</v>
      </c>
      <c r="B689" s="54" t="s">
        <v>4656</v>
      </c>
      <c r="C689" t="s">
        <v>10419</v>
      </c>
      <c r="D689" s="12">
        <v>699</v>
      </c>
      <c r="E689" s="12" t="str">
        <f>CONCATENATE("E",C689)</f>
        <v>E4_2_1_17</v>
      </c>
      <c r="F689" s="12" t="s">
        <v>8779</v>
      </c>
      <c r="G689" s="12" t="s">
        <v>10662</v>
      </c>
      <c r="H689" s="55" t="s">
        <v>8777</v>
      </c>
      <c r="I689" s="55" t="s">
        <v>8777</v>
      </c>
      <c r="J689" s="12" t="str">
        <f>CONCATENATE("(${Variables:",E689,"_kcat","} * ",E689," * ",G689,")","/(${Variables:",E689,"_km","} + (",E689," * ",G689,"))")</f>
        <v>(${Variables:E4_2_1_17_kcat} * E4_2_1_17 * C11945 * C00001)/(${Variables:E4_2_1_17_km} + (E4_2_1_17 * C11945 * C00001))</v>
      </c>
      <c r="K689" s="43" t="str">
        <f>CONCATENATE("r",D689,": ",F689," -&gt; ",H689," | ",J689)</f>
        <v>r699: C11945 + C00001 -&gt; C11947 | (${Variables:E4_2_1_17_kcat} * E4_2_1_17 * C11945 * C00001)/(${Variables:E4_2_1_17_km} + (E4_2_1_17 * C11945 * C00001))</v>
      </c>
    </row>
    <row r="690" spans="1:11" ht="42.75" x14ac:dyDescent="0.45">
      <c r="A690" s="53" t="s">
        <v>4655</v>
      </c>
      <c r="B690" s="54" t="s">
        <v>4656</v>
      </c>
      <c r="C690" t="s">
        <v>10419</v>
      </c>
      <c r="D690" s="12">
        <v>700</v>
      </c>
      <c r="E690" s="12" t="str">
        <f>CONCATENATE("E",C690)</f>
        <v>E4_2_1_17</v>
      </c>
      <c r="F690" s="12" t="s">
        <v>8781</v>
      </c>
      <c r="G690" s="12" t="s">
        <v>10663</v>
      </c>
      <c r="H690" s="55" t="s">
        <v>8782</v>
      </c>
      <c r="I690" s="55" t="s">
        <v>8782</v>
      </c>
      <c r="J690" s="12" t="str">
        <f>CONCATENATE("(${Variables:",E690,"_kcat","} * ",E690," * ",G690,")","/(${Variables:",E690,"_km","} + (",E690," * ",G690,"))")</f>
        <v>(${Variables:E4_2_1_17_kcat} * E4_2_1_17 * C14144 * C00001)/(${Variables:E4_2_1_17_km} + (E4_2_1_17 * C14144 * C00001))</v>
      </c>
      <c r="K690" s="43" t="str">
        <f>CONCATENATE("r",D690,": ",F690," -&gt; ",H690," | ",J690)</f>
        <v>r700: C14144 + C00001 -&gt; C14145 | (${Variables:E4_2_1_17_kcat} * E4_2_1_17 * C14144 * C00001)/(${Variables:E4_2_1_17_km} + (E4_2_1_17 * C14144 * C00001))</v>
      </c>
    </row>
    <row r="691" spans="1:11" ht="42.75" x14ac:dyDescent="0.45">
      <c r="A691" s="53" t="s">
        <v>4655</v>
      </c>
      <c r="B691" s="54" t="s">
        <v>4656</v>
      </c>
      <c r="C691" t="s">
        <v>10419</v>
      </c>
      <c r="D691" s="12">
        <v>701</v>
      </c>
      <c r="E691" s="12" t="str">
        <f>CONCATENATE("E",C691)</f>
        <v>E4_2_1_17</v>
      </c>
      <c r="F691" s="12" t="s">
        <v>8784</v>
      </c>
      <c r="G691" s="12" t="s">
        <v>10664</v>
      </c>
      <c r="H691" s="55" t="s">
        <v>8785</v>
      </c>
      <c r="I691" s="55" t="s">
        <v>8785</v>
      </c>
      <c r="J691" s="12" t="str">
        <f>CONCATENATE("(${Variables:",E691,"_kcat","} * ",E691," * ",G691,")","/(${Variables:",E691,"_km","} + (",E691," * ",G691,"))")</f>
        <v>(${Variables:E4_2_1_17_kcat} * E4_2_1_17 * C16468 * C00001)/(${Variables:E4_2_1_17_km} + (E4_2_1_17 * C16468 * C00001))</v>
      </c>
      <c r="K691" s="43" t="str">
        <f>CONCATENATE("r",D691,": ",F691," -&gt; ",H691," | ",J691)</f>
        <v>r701: C16468 + C00001 -&gt; C16469 | (${Variables:E4_2_1_17_kcat} * E4_2_1_17 * C16468 * C00001)/(${Variables:E4_2_1_17_km} + (E4_2_1_17 * C16468 * C00001))</v>
      </c>
    </row>
    <row r="692" spans="1:11" ht="28.5" x14ac:dyDescent="0.45">
      <c r="A692" s="53" t="s">
        <v>6693</v>
      </c>
      <c r="B692" s="54" t="s">
        <v>6694</v>
      </c>
      <c r="C692" t="s">
        <v>10420</v>
      </c>
      <c r="D692" s="12">
        <v>702</v>
      </c>
      <c r="E692" s="12" t="str">
        <f>CONCATENATE("E",C692)</f>
        <v>E4_2_1_46</v>
      </c>
      <c r="F692" s="12" t="s">
        <v>1115</v>
      </c>
      <c r="G692" s="12" t="s">
        <v>1115</v>
      </c>
      <c r="H692" t="s">
        <v>9787</v>
      </c>
      <c r="I692" t="s">
        <v>10909</v>
      </c>
      <c r="J692" s="12" t="str">
        <f>CONCATENATE("(${Variables:",E692,"_kcat","} * ",E692," * ",G692,")","/(${Variables:",E692,"_km","} + (",E692," * ",G692,"))")</f>
        <v>(${Variables:E4_2_1_46_kcat} * E4_2_1_46 * C00842)/(${Variables:E4_2_1_46_km} + (E4_2_1_46 * C00842))</v>
      </c>
      <c r="K692" s="43" t="str">
        <f>CONCATENATE("r",D692,": ",F692," -&gt; ",H692," | ",J692)</f>
        <v>r702: C00842 -&gt; C11907 + C00001 | (${Variables:E4_2_1_46_kcat} * E4_2_1_46 * C00842)/(${Variables:E4_2_1_46_km} + (E4_2_1_46 * C00842))</v>
      </c>
    </row>
    <row r="693" spans="1:11" ht="28.5" x14ac:dyDescent="0.45">
      <c r="A693" s="53" t="s">
        <v>4688</v>
      </c>
      <c r="B693" s="54" t="s">
        <v>4689</v>
      </c>
      <c r="C693" t="s">
        <v>10421</v>
      </c>
      <c r="D693" s="12">
        <v>703</v>
      </c>
      <c r="E693" s="12" t="str">
        <f>CONCATENATE("E",C693)</f>
        <v>E4_2_1_59</v>
      </c>
      <c r="F693" s="12" t="s">
        <v>8874</v>
      </c>
      <c r="G693" s="12" t="s">
        <v>8874</v>
      </c>
      <c r="H693" t="s">
        <v>8875</v>
      </c>
      <c r="I693" t="s">
        <v>10910</v>
      </c>
      <c r="J693" s="12" t="str">
        <f>CONCATENATE("(${Variables:",E693,"_kcat","} * ",E693," * ",G693,")","/(${Variables:",E693,"_km","} + (",E693," * ",G693,"))")</f>
        <v>(${Variables:E4_2_1_59_kcat} * E4_2_1_59 * C01271)/(${Variables:E4_2_1_59_km} + (E4_2_1_59 * C01271))</v>
      </c>
      <c r="K693" s="43" t="str">
        <f>CONCATENATE("r",D693,": ",F693," -&gt; ",H693," | ",J693)</f>
        <v>r703: C01271 -&gt; C00693 + C00001 | (${Variables:E4_2_1_59_kcat} * E4_2_1_59 * C01271)/(${Variables:E4_2_1_59_km} + (E4_2_1_59 * C01271))</v>
      </c>
    </row>
    <row r="694" spans="1:11" ht="28.5" x14ac:dyDescent="0.45">
      <c r="A694" s="53" t="s">
        <v>4688</v>
      </c>
      <c r="B694" s="54" t="s">
        <v>4689</v>
      </c>
      <c r="C694" t="s">
        <v>10421</v>
      </c>
      <c r="D694" s="12">
        <v>704</v>
      </c>
      <c r="E694" s="12" t="str">
        <f>CONCATENATE("E",C694)</f>
        <v>E4_2_1_59</v>
      </c>
      <c r="F694" t="s">
        <v>8877</v>
      </c>
      <c r="G694" t="s">
        <v>8877</v>
      </c>
      <c r="H694" t="s">
        <v>8878</v>
      </c>
      <c r="I694" t="s">
        <v>10911</v>
      </c>
      <c r="J694" s="12" t="str">
        <f>CONCATENATE("(${Variables:",E694,"_kcat","} * ",E694," * ",G694,")","/(${Variables:",E694,"_km","} + (",E694," * ",G694,"))")</f>
        <v>(${Variables:E4_2_1_59_kcat} * E4_2_1_59 * C04618)/(${Variables:E4_2_1_59_km} + (E4_2_1_59 * C04618))</v>
      </c>
      <c r="K694" s="43" t="str">
        <f>CONCATENATE("r",D694,": ",F694," -&gt; ",H694," | ",J694)</f>
        <v>r704: C04618 -&gt; C04246 + C00001 | (${Variables:E4_2_1_59_kcat} * E4_2_1_59 * C04618)/(${Variables:E4_2_1_59_km} + (E4_2_1_59 * C04618))</v>
      </c>
    </row>
    <row r="695" spans="1:11" ht="28.5" x14ac:dyDescent="0.45">
      <c r="A695" s="53" t="s">
        <v>4688</v>
      </c>
      <c r="B695" s="54" t="s">
        <v>4689</v>
      </c>
      <c r="C695" t="s">
        <v>10421</v>
      </c>
      <c r="D695" s="12">
        <v>705</v>
      </c>
      <c r="E695" s="12" t="str">
        <f>CONCATENATE("E",C695)</f>
        <v>E4_2_1_59</v>
      </c>
      <c r="F695" t="s">
        <v>8880</v>
      </c>
      <c r="G695" t="s">
        <v>8880</v>
      </c>
      <c r="H695" t="s">
        <v>8881</v>
      </c>
      <c r="I695" t="s">
        <v>10912</v>
      </c>
      <c r="J695" s="12" t="str">
        <f>CONCATENATE("(${Variables:",E695,"_kcat","} * ",E695," * ",G695,")","/(${Variables:",E695,"_km","} + (",E695," * ",G695,"))")</f>
        <v>(${Variables:E4_2_1_59_kcat} * E4_2_1_59 * C04619)/(${Variables:E4_2_1_59_km} + (E4_2_1_59 * C04619))</v>
      </c>
      <c r="K695" s="43" t="str">
        <f>CONCATENATE("r",D695,": ",F695," -&gt; ",H695," | ",J695)</f>
        <v>r705: C04619 -&gt; C05754 + C00001 | (${Variables:E4_2_1_59_kcat} * E4_2_1_59 * C04619)/(${Variables:E4_2_1_59_km} + (E4_2_1_59 * C04619))</v>
      </c>
    </row>
    <row r="696" spans="1:11" ht="28.5" x14ac:dyDescent="0.45">
      <c r="A696" s="53" t="s">
        <v>4688</v>
      </c>
      <c r="B696" s="54" t="s">
        <v>4689</v>
      </c>
      <c r="C696" t="s">
        <v>10421</v>
      </c>
      <c r="D696" s="12">
        <v>706</v>
      </c>
      <c r="E696" s="12" t="str">
        <f>CONCATENATE("E",C696)</f>
        <v>E4_2_1_59</v>
      </c>
      <c r="F696" t="s">
        <v>8883</v>
      </c>
      <c r="G696" t="s">
        <v>8883</v>
      </c>
      <c r="H696" t="s">
        <v>8884</v>
      </c>
      <c r="I696" t="s">
        <v>10913</v>
      </c>
      <c r="J696" s="12" t="str">
        <f>CONCATENATE("(${Variables:",E696,"_kcat","} * ",E696," * ",G696,")","/(${Variables:",E696,"_km","} + (",E696," * ",G696,"))")</f>
        <v>(${Variables:E4_2_1_59_kcat} * E4_2_1_59 * C04620)/(${Variables:E4_2_1_59_km} + (E4_2_1_59 * C04620))</v>
      </c>
      <c r="K696" s="43" t="str">
        <f>CONCATENATE("r",D696,": ",F696," -&gt; ",H696," | ",J696)</f>
        <v>r706: C04620 -&gt; C05751 + C00001 | (${Variables:E4_2_1_59_kcat} * E4_2_1_59 * C04620)/(${Variables:E4_2_1_59_km} + (E4_2_1_59 * C04620))</v>
      </c>
    </row>
    <row r="697" spans="1:11" ht="28.5" x14ac:dyDescent="0.45">
      <c r="A697" s="53" t="s">
        <v>4688</v>
      </c>
      <c r="B697" s="54" t="s">
        <v>4689</v>
      </c>
      <c r="C697" t="s">
        <v>10421</v>
      </c>
      <c r="D697" s="12">
        <v>707</v>
      </c>
      <c r="E697" s="12" t="str">
        <f>CONCATENATE("E",C697)</f>
        <v>E4_2_1_59</v>
      </c>
      <c r="F697" t="s">
        <v>8886</v>
      </c>
      <c r="G697" t="s">
        <v>8886</v>
      </c>
      <c r="H697" t="s">
        <v>8887</v>
      </c>
      <c r="I697" t="s">
        <v>10914</v>
      </c>
      <c r="J697" s="12" t="str">
        <f>CONCATENATE("(${Variables:",E697,"_kcat","} * ",E697," * ",G697,")","/(${Variables:",E697,"_km","} + (",E697," * ",G697,"))")</f>
        <v>(${Variables:E4_2_1_59_kcat} * E4_2_1_59 * C04633)/(${Variables:E4_2_1_59_km} + (E4_2_1_59 * C04633))</v>
      </c>
      <c r="K697" s="43" t="str">
        <f>CONCATENATE("r",D697,": ",F697," -&gt; ",H697," | ",J697)</f>
        <v>r707: C04633 -&gt; C05763 + C00001 | (${Variables:E4_2_1_59_kcat} * E4_2_1_59 * C04633)/(${Variables:E4_2_1_59_km} + (E4_2_1_59 * C04633))</v>
      </c>
    </row>
    <row r="698" spans="1:11" ht="28.5" x14ac:dyDescent="0.45">
      <c r="A698" s="53" t="s">
        <v>4688</v>
      </c>
      <c r="B698" s="54" t="s">
        <v>4689</v>
      </c>
      <c r="C698" t="s">
        <v>10421</v>
      </c>
      <c r="D698" s="12">
        <v>708</v>
      </c>
      <c r="E698" s="12" t="str">
        <f>CONCATENATE("E",C698)</f>
        <v>E4_2_1_59</v>
      </c>
      <c r="F698" t="s">
        <v>8889</v>
      </c>
      <c r="G698" t="s">
        <v>8889</v>
      </c>
      <c r="H698" t="s">
        <v>8890</v>
      </c>
      <c r="I698" t="s">
        <v>10915</v>
      </c>
      <c r="J698" s="12" t="str">
        <f>CONCATENATE("(${Variables:",E698,"_kcat","} * ",E698," * ",G698,")","/(${Variables:",E698,"_km","} + (",E698," * ",G698,"))")</f>
        <v>(${Variables:E4_2_1_59_kcat} * E4_2_1_59 * C04688)/(${Variables:E4_2_1_59_km} + (E4_2_1_59 * C04688))</v>
      </c>
      <c r="K698" s="43" t="str">
        <f>CONCATENATE("r",D698,": ",F698," -&gt; ",H698," | ",J698)</f>
        <v>r708: C04688 -&gt; C05760 + C00001 | (${Variables:E4_2_1_59_kcat} * E4_2_1_59 * C04688)/(${Variables:E4_2_1_59_km} + (E4_2_1_59 * C04688))</v>
      </c>
    </row>
    <row r="699" spans="1:11" ht="28.5" x14ac:dyDescent="0.45">
      <c r="A699" s="53" t="s">
        <v>4688</v>
      </c>
      <c r="B699" s="54" t="s">
        <v>4689</v>
      </c>
      <c r="C699" t="s">
        <v>10421</v>
      </c>
      <c r="D699" s="12">
        <v>709</v>
      </c>
      <c r="E699" s="12" t="str">
        <f>CONCATENATE("E",C699)</f>
        <v>E4_2_1_59</v>
      </c>
      <c r="F699" t="s">
        <v>8892</v>
      </c>
      <c r="G699" t="s">
        <v>8892</v>
      </c>
      <c r="H699" t="s">
        <v>8893</v>
      </c>
      <c r="I699" t="s">
        <v>10916</v>
      </c>
      <c r="J699" s="12" t="str">
        <f>CONCATENATE("(${Variables:",E699,"_kcat","} * ",E699," * ",G699,")","/(${Variables:",E699,"_km","} + (",E699," * ",G699,"))")</f>
        <v>(${Variables:E4_2_1_59_kcat} * E4_2_1_59 * C05747)/(${Variables:E4_2_1_59_km} + (E4_2_1_59 * C05747))</v>
      </c>
      <c r="K699" s="43" t="str">
        <f>CONCATENATE("r",D699,": ",F699," -&gt; ",H699," | ",J699)</f>
        <v>r709: C05747 -&gt; C05748 + C00001 | (${Variables:E4_2_1_59_kcat} * E4_2_1_59 * C05747)/(${Variables:E4_2_1_59_km} + (E4_2_1_59 * C05747))</v>
      </c>
    </row>
    <row r="700" spans="1:11" ht="28.5" x14ac:dyDescent="0.45">
      <c r="A700" s="53" t="s">
        <v>4688</v>
      </c>
      <c r="B700" s="54" t="s">
        <v>4689</v>
      </c>
      <c r="C700" t="s">
        <v>10421</v>
      </c>
      <c r="D700" s="12">
        <v>710</v>
      </c>
      <c r="E700" s="12" t="str">
        <f>CONCATENATE("E",C700)</f>
        <v>E4_2_1_59</v>
      </c>
      <c r="F700" t="s">
        <v>8895</v>
      </c>
      <c r="G700" t="s">
        <v>8895</v>
      </c>
      <c r="H700" t="s">
        <v>8896</v>
      </c>
      <c r="I700" t="s">
        <v>10917</v>
      </c>
      <c r="J700" s="12" t="str">
        <f>CONCATENATE("(${Variables:",E700,"_kcat","} * ",E700," * ",G700,")","/(${Variables:",E700,"_km","} + (",E700," * ",G700,"))")</f>
        <v>(${Variables:E4_2_1_59_kcat} * E4_2_1_59 * C05757)/(${Variables:E4_2_1_59_km} + (E4_2_1_59 * C05757))</v>
      </c>
      <c r="K700" s="43" t="str">
        <f>CONCATENATE("r",D700,": ",F700," -&gt; ",H700," | ",J700)</f>
        <v>r710: C05757 -&gt; C05758 + C00001 | (${Variables:E4_2_1_59_kcat} * E4_2_1_59 * C05757)/(${Variables:E4_2_1_59_km} + (E4_2_1_59 * C05757))</v>
      </c>
    </row>
    <row r="701" spans="1:11" ht="28.5" x14ac:dyDescent="0.45">
      <c r="A701" s="53" t="s">
        <v>4688</v>
      </c>
      <c r="B701" s="54" t="s">
        <v>4689</v>
      </c>
      <c r="C701" t="s">
        <v>10421</v>
      </c>
      <c r="D701" s="12">
        <v>711</v>
      </c>
      <c r="E701" s="12" t="str">
        <f>CONCATENATE("E",C701)</f>
        <v>E4_2_1_59</v>
      </c>
      <c r="F701" t="s">
        <v>8898</v>
      </c>
      <c r="G701" t="s">
        <v>8898</v>
      </c>
      <c r="H701" t="s">
        <v>8899</v>
      </c>
      <c r="I701" t="s">
        <v>10918</v>
      </c>
      <c r="J701" s="12" t="str">
        <f>CONCATENATE("(${Variables:",E701,"_kcat","} * ",E701," * ",G701,")","/(${Variables:",E701,"_km","} + (",E701," * ",G701,"))")</f>
        <v>(${Variables:E4_2_1_59_kcat} * E4_2_1_59 * C20373)/(${Variables:E4_2_1_59_km} + (E4_2_1_59 * C20373))</v>
      </c>
      <c r="K701" s="43" t="str">
        <f>CONCATENATE("r",D701,": ",F701," -&gt; ",H701," | ",J701)</f>
        <v>r711: C20373 -&gt; C20374 + C00001 | (${Variables:E4_2_1_59_kcat} * E4_2_1_59 * C20373)/(${Variables:E4_2_1_59_km} + (E4_2_1_59 * C20373))</v>
      </c>
    </row>
    <row r="702" spans="1:11" ht="28.5" x14ac:dyDescent="0.45">
      <c r="A702" s="53" t="s">
        <v>4688</v>
      </c>
      <c r="B702" s="54" t="s">
        <v>4689</v>
      </c>
      <c r="C702" t="s">
        <v>10421</v>
      </c>
      <c r="D702" s="12">
        <v>712</v>
      </c>
      <c r="E702" s="12" t="str">
        <f>CONCATENATE("E",C702)</f>
        <v>E4_2_1_59</v>
      </c>
      <c r="F702" t="s">
        <v>8901</v>
      </c>
      <c r="G702" t="s">
        <v>8901</v>
      </c>
      <c r="H702" t="s">
        <v>8902</v>
      </c>
      <c r="I702" t="s">
        <v>10919</v>
      </c>
      <c r="J702" s="12" t="str">
        <f>CONCATENATE("(${Variables:",E702,"_kcat","} * ",E702," * ",G702,")","/(${Variables:",E702,"_km","} + (",E702," * ",G702,"))")</f>
        <v>(${Variables:E4_2_1_59_kcat} * E4_2_1_59 * C20377)/(${Variables:E4_2_1_59_km} + (E4_2_1_59 * C20377))</v>
      </c>
      <c r="K702" s="43" t="str">
        <f>CONCATENATE("r",D702,": ",F702," -&gt; ",H702," | ",J702)</f>
        <v>r712: C20377 -&gt; C20378 + C00001 | (${Variables:E4_2_1_59_kcat} * E4_2_1_59 * C20377)/(${Variables:E4_2_1_59_km} + (E4_2_1_59 * C20377))</v>
      </c>
    </row>
    <row r="703" spans="1:11" ht="28.5" x14ac:dyDescent="0.45">
      <c r="A703" s="53" t="s">
        <v>5297</v>
      </c>
      <c r="B703" s="54" t="s">
        <v>5298</v>
      </c>
      <c r="C703" t="s">
        <v>10422</v>
      </c>
      <c r="D703" s="12">
        <v>713</v>
      </c>
      <c r="E703" s="12" t="str">
        <f>CONCATENATE("E",C703)</f>
        <v>E4_2_1_8</v>
      </c>
      <c r="F703" t="s">
        <v>9154</v>
      </c>
      <c r="G703" t="s">
        <v>9154</v>
      </c>
      <c r="H703" t="s">
        <v>9155</v>
      </c>
      <c r="I703" t="s">
        <v>10920</v>
      </c>
      <c r="J703" s="12" t="str">
        <f>CONCATENATE("(${Variables:",E703,"_kcat","} * ",E703," * ",G703,")","/(${Variables:",E703,"_km","} + (",E703," * ",G703,"))")</f>
        <v>(${Variables:E4_2_1_8_kcat} * E4_2_1_8 * C00514)/(${Variables:E4_2_1_8_km} + (E4_2_1_8 * C00514))</v>
      </c>
      <c r="K703" s="43" t="str">
        <f>CONCATENATE("r",D703,": ",F703," -&gt; ",H703," | ",J703)</f>
        <v>r713: C00514 -&gt; C00204 + C00001 | (${Variables:E4_2_1_8_kcat} * E4_2_1_8 * C00514)/(${Variables:E4_2_1_8_km} + (E4_2_1_8 * C00514))</v>
      </c>
    </row>
    <row r="704" spans="1:11" ht="28.5" x14ac:dyDescent="0.45">
      <c r="A704" s="53" t="s">
        <v>6832</v>
      </c>
      <c r="B704" s="54" t="s">
        <v>6833</v>
      </c>
      <c r="C704" t="s">
        <v>10423</v>
      </c>
      <c r="D704" s="12">
        <v>714</v>
      </c>
      <c r="E704" s="12" t="str">
        <f>CONCATENATE("E",C704)</f>
        <v>E4_2_2_1</v>
      </c>
      <c r="F704" s="12" t="s">
        <v>9837</v>
      </c>
      <c r="G704" s="12" t="s">
        <v>9837</v>
      </c>
      <c r="H704" t="s">
        <v>9838</v>
      </c>
      <c r="I704" t="s">
        <v>9838</v>
      </c>
      <c r="J704" s="12" t="str">
        <f>CONCATENATE("(${Variables:",E704,"_kcat","} * ",E704," * ",G704,")","/(${Variables:",E704,"_km","} + (",E704," * ",G704,"))")</f>
        <v>(${Variables:E4_2_2_1_kcat} * E4_2_2_1 * C00518)/(${Variables:E4_2_2_1_km} + (E4_2_2_1 * C00518))</v>
      </c>
      <c r="K704" s="43" t="str">
        <f>CONCATENATE("r",D704,": ",F704," -&gt; ",H704," | ",J704)</f>
        <v>r714: C00518 -&gt; C04794 | (${Variables:E4_2_2_1_kcat} * E4_2_2_1 * C00518)/(${Variables:E4_2_2_1_km} + (E4_2_2_1 * C00518))</v>
      </c>
    </row>
    <row r="705" spans="1:11" ht="28.5" x14ac:dyDescent="0.45">
      <c r="A705" s="53" t="s">
        <v>6832</v>
      </c>
      <c r="B705" s="54" t="s">
        <v>6833</v>
      </c>
      <c r="C705" t="s">
        <v>10423</v>
      </c>
      <c r="D705" s="12">
        <v>715</v>
      </c>
      <c r="E705" s="12" t="str">
        <f>CONCATENATE("E",C705)</f>
        <v>E4_2_2_1</v>
      </c>
      <c r="F705" t="s">
        <v>9840</v>
      </c>
      <c r="G705" t="s">
        <v>9840</v>
      </c>
      <c r="H705" t="s">
        <v>9841</v>
      </c>
      <c r="I705" t="s">
        <v>9841</v>
      </c>
      <c r="J705" s="12" t="str">
        <f>CONCATENATE("(${Variables:",E705,"_kcat","} * ",E705," * ",G705,")","/(${Variables:",E705,"_km","} + (",E705," * ",G705,"))")</f>
        <v>(${Variables:E4_2_2_1_kcat} * E4_2_2_1 * G10505)/(${Variables:E4_2_2_1_km} + (E4_2_2_1 * G10505))</v>
      </c>
      <c r="K705" s="43" t="str">
        <f>CONCATENATE("r",D705,": ",F705," -&gt; ",H705," | ",J705)</f>
        <v>r715: G10505 -&gt; G02170 | (${Variables:E4_2_2_1_kcat} * E4_2_2_1 * G10505)/(${Variables:E4_2_2_1_km} + (E4_2_2_1 * G10505))</v>
      </c>
    </row>
    <row r="706" spans="1:11" ht="42.75" x14ac:dyDescent="0.45">
      <c r="A706" s="53" t="s">
        <v>3735</v>
      </c>
      <c r="B706" s="54" t="s">
        <v>3736</v>
      </c>
      <c r="C706" t="s">
        <v>1873</v>
      </c>
      <c r="D706" s="12">
        <v>716</v>
      </c>
      <c r="E706" s="12" t="str">
        <f>CONCATENATE("E",C706)</f>
        <v>E4_2_3_1</v>
      </c>
      <c r="F706" t="s">
        <v>3256</v>
      </c>
      <c r="G706" t="s">
        <v>1562</v>
      </c>
      <c r="H706" t="s">
        <v>3539</v>
      </c>
      <c r="I706" t="s">
        <v>1563</v>
      </c>
      <c r="J706" s="12" t="str">
        <f>CONCATENATE("(${Variables:",E706,"_kcat","} * ",E706," * ",G706,")","/(${Variables:",E706,"_km","} + (",E706," * ",G706,"))")</f>
        <v>(${Variables:E4_2_3_1_kcat} * E4_2_3_1 * C01102 * C00001)/(${Variables:E4_2_3_1_km} + (E4_2_3_1 * C01102 * C00001))</v>
      </c>
      <c r="K706" s="43" t="str">
        <f>CONCATENATE("r",D706,": ",F706," -&gt; ",H706," | ",J706)</f>
        <v>r716: C01102 + C00001 -&gt; C00188 + C00009 | (${Variables:E4_2_3_1_kcat} * E4_2_3_1 * C01102 * C00001)/(${Variables:E4_2_3_1_km} + (E4_2_3_1 * C01102 * C00001))</v>
      </c>
    </row>
    <row r="707" spans="1:11" ht="42.75" x14ac:dyDescent="0.45">
      <c r="A707" s="53" t="s">
        <v>3735</v>
      </c>
      <c r="B707" s="54" t="s">
        <v>3736</v>
      </c>
      <c r="C707" t="s">
        <v>1873</v>
      </c>
      <c r="D707" s="12">
        <v>717</v>
      </c>
      <c r="E707" s="12" t="str">
        <f>CONCATENATE("E",C707)</f>
        <v>E4_2_3_1</v>
      </c>
      <c r="F707" t="s">
        <v>3257</v>
      </c>
      <c r="G707" t="s">
        <v>1645</v>
      </c>
      <c r="H707" t="s">
        <v>3540</v>
      </c>
      <c r="I707" t="s">
        <v>1646</v>
      </c>
      <c r="J707" s="12" t="str">
        <f>CONCATENATE("(${Variables:",E707,"_kcat","} * ",E707," * ",G707,")","/(${Variables:",E707,"_km","} + (",E707," * ",G707,"))")</f>
        <v>(${Variables:E4_2_3_1_kcat} * E4_2_3_1 * C06055 * C00001)/(${Variables:E4_2_3_1_km} + (E4_2_3_1 * C06055 * C00001))</v>
      </c>
      <c r="K707" s="43" t="str">
        <f>CONCATENATE("r",D707,": ",F707," -&gt; ",H707," | ",J707)</f>
        <v>r717: C06055 + C00001 -&gt; C06056 + C00009 | (${Variables:E4_2_3_1_kcat} * E4_2_3_1 * C06055 * C00001)/(${Variables:E4_2_3_1_km} + (E4_2_3_1 * C06055 * C00001))</v>
      </c>
    </row>
    <row r="708" spans="1:11" ht="28.5" x14ac:dyDescent="0.45">
      <c r="A708" s="53" t="s">
        <v>7247</v>
      </c>
      <c r="B708" s="54" t="s">
        <v>7248</v>
      </c>
      <c r="C708" t="s">
        <v>10424</v>
      </c>
      <c r="D708" s="12">
        <v>718</v>
      </c>
      <c r="E708" s="12" t="str">
        <f>CONCATENATE("E",C708)</f>
        <v>E4_2_3_4</v>
      </c>
      <c r="F708" t="s">
        <v>10016</v>
      </c>
      <c r="G708" t="s">
        <v>10016</v>
      </c>
      <c r="H708" t="s">
        <v>10017</v>
      </c>
      <c r="I708" t="s">
        <v>10921</v>
      </c>
      <c r="J708" s="12" t="str">
        <f>CONCATENATE("(${Variables:",E708,"_kcat","} * ",E708," * ",G708,")","/(${Variables:",E708,"_km","} + (",E708," * ",G708,"))")</f>
        <v>(${Variables:E4_2_3_4_kcat} * E4_2_3_4 * C04691)/(${Variables:E4_2_3_4_km} + (E4_2_3_4 * C04691))</v>
      </c>
      <c r="K708" s="43" t="str">
        <f>CONCATENATE("r",D708,": ",F708," -&gt; ",H708," | ",J708)</f>
        <v>r718: C04691 -&gt; C00944 + C00009 | (${Variables:E4_2_3_4_kcat} * E4_2_3_4 * C04691)/(${Variables:E4_2_3_4_km} + (E4_2_3_4 * C04691))</v>
      </c>
    </row>
    <row r="709" spans="1:11" ht="28.5" x14ac:dyDescent="0.45">
      <c r="A709" s="53" t="s">
        <v>5806</v>
      </c>
      <c r="B709" s="54" t="s">
        <v>5807</v>
      </c>
      <c r="C709" t="s">
        <v>10425</v>
      </c>
      <c r="D709" s="12">
        <v>719</v>
      </c>
      <c r="E709" s="12" t="str">
        <f>CONCATENATE("E",C709)</f>
        <v>E4_2_3_5</v>
      </c>
      <c r="F709" s="12" t="s">
        <v>9270</v>
      </c>
      <c r="G709" s="12" t="s">
        <v>9270</v>
      </c>
      <c r="H709" t="s">
        <v>9271</v>
      </c>
      <c r="I709" t="s">
        <v>10922</v>
      </c>
      <c r="J709" s="12" t="str">
        <f>CONCATENATE("(${Variables:",E709,"_kcat","} * ",E709," * ",G709,")","/(${Variables:",E709,"_km","} + (",E709," * ",G709,"))")</f>
        <v>(${Variables:E4_2_3_5_kcat} * E4_2_3_5 * C01269)/(${Variables:E4_2_3_5_km} + (E4_2_3_5 * C01269))</v>
      </c>
      <c r="K709" s="43" t="str">
        <f>CONCATENATE("r",D709,": ",F709," -&gt; ",H709," | ",J709)</f>
        <v>r719: C01269 -&gt; C00251 + C00009 | (${Variables:E4_2_3_5_kcat} * E4_2_3_5 * C01269)/(${Variables:E4_2_3_5_km} + (E4_2_3_5 * C01269))</v>
      </c>
    </row>
    <row r="710" spans="1:11" ht="28.5" x14ac:dyDescent="0.45">
      <c r="A710" s="53" t="s">
        <v>8295</v>
      </c>
      <c r="B710" s="54" t="s">
        <v>8296</v>
      </c>
      <c r="C710" t="s">
        <v>10427</v>
      </c>
      <c r="D710" s="12">
        <v>720</v>
      </c>
      <c r="E710" s="12" t="str">
        <f>CONCATENATE("E",C710)</f>
        <v>E4_3_1_17</v>
      </c>
      <c r="F710" s="12" t="s">
        <v>2086</v>
      </c>
      <c r="G710" s="12" t="s">
        <v>2086</v>
      </c>
      <c r="H710" t="s">
        <v>10282</v>
      </c>
      <c r="I710" t="s">
        <v>10923</v>
      </c>
      <c r="J710" s="12" t="str">
        <f>CONCATENATE("(${Variables:",E710,"_kcat","} * ",E710," * ",G710,")","/(${Variables:",E710,"_km","} + (",E710," * ",G710,"))")</f>
        <v>(${Variables:E4_3_1_17_kcat} * E4_3_1_17 * C00065)/(${Variables:E4_3_1_17_km} + (E4_3_1_17 * C00065))</v>
      </c>
      <c r="K710" s="43" t="str">
        <f>CONCATENATE("r",D710,": ",F710," -&gt; ",H710," | ",J710)</f>
        <v>r720: C00065 -&gt; C00022 + C00014 | (${Variables:E4_3_1_17_kcat} * E4_3_1_17 * C00065)/(${Variables:E4_3_1_17_km} + (E4_3_1_17 * C00065))</v>
      </c>
    </row>
    <row r="711" spans="1:11" ht="28.5" x14ac:dyDescent="0.45">
      <c r="A711" s="53" t="s">
        <v>8295</v>
      </c>
      <c r="B711" s="54" t="s">
        <v>8296</v>
      </c>
      <c r="C711" t="s">
        <v>10427</v>
      </c>
      <c r="D711" s="12">
        <v>721</v>
      </c>
      <c r="E711" s="12" t="str">
        <f>CONCATENATE("E",C711)</f>
        <v>E4_3_1_17</v>
      </c>
      <c r="F711" s="12" t="s">
        <v>2086</v>
      </c>
      <c r="G711" s="12" t="s">
        <v>2086</v>
      </c>
      <c r="H711" t="s">
        <v>10284</v>
      </c>
      <c r="I711" t="s">
        <v>10924</v>
      </c>
      <c r="J711" s="12" t="str">
        <f>CONCATENATE("(${Variables:",E711,"_kcat","} * ",E711," * ",G711,")","/(${Variables:",E711,"_km","} + (",E711," * ",G711,"))")</f>
        <v>(${Variables:E4_3_1_17_kcat} * E4_3_1_17 * C00065)/(${Variables:E4_3_1_17_km} + (E4_3_1_17 * C00065))</v>
      </c>
      <c r="K711" s="43" t="str">
        <f>CONCATENATE("r",D711,": ",F711," -&gt; ",H711," | ",J711)</f>
        <v>r721: C00065 -&gt; C02218 + C00001 | (${Variables:E4_3_1_17_kcat} * E4_3_1_17 * C00065)/(${Variables:E4_3_1_17_km} + (E4_3_1_17 * C00065))</v>
      </c>
    </row>
    <row r="712" spans="1:11" ht="42.75" x14ac:dyDescent="0.45">
      <c r="A712" s="53" t="s">
        <v>8295</v>
      </c>
      <c r="B712" s="54" t="s">
        <v>8296</v>
      </c>
      <c r="C712" t="s">
        <v>10427</v>
      </c>
      <c r="D712" s="12">
        <v>722</v>
      </c>
      <c r="E712" s="12" t="str">
        <f>CONCATENATE("E",C712)</f>
        <v>E4_3_1_17</v>
      </c>
      <c r="F712" s="12" t="s">
        <v>10286</v>
      </c>
      <c r="G712" s="12" t="s">
        <v>10665</v>
      </c>
      <c r="H712" t="s">
        <v>10282</v>
      </c>
      <c r="I712" t="s">
        <v>10923</v>
      </c>
      <c r="J712" s="12" t="str">
        <f>CONCATENATE("(${Variables:",E712,"_kcat","} * ",E712," * ",G712,")","/(${Variables:",E712,"_km","} + (",E712," * ",G712,"))")</f>
        <v>(${Variables:E4_3_1_17_kcat} * E4_3_1_17 * C20904 * C00001)/(${Variables:E4_3_1_17_km} + (E4_3_1_17 * C20904 * C00001))</v>
      </c>
      <c r="K712" s="43" t="str">
        <f>CONCATENATE("r",D712,": ",F712," -&gt; ",H712," | ",J712)</f>
        <v>r722: C20904 + C00001 -&gt; C00022 + C00014 | (${Variables:E4_3_1_17_kcat} * E4_3_1_17 * C20904 * C00001)/(${Variables:E4_3_1_17_km} + (E4_3_1_17 * C20904 * C00001))</v>
      </c>
    </row>
    <row r="713" spans="1:11" ht="28.5" x14ac:dyDescent="0.45">
      <c r="A713" s="53" t="s">
        <v>8295</v>
      </c>
      <c r="B713" s="54" t="s">
        <v>8296</v>
      </c>
      <c r="C713" t="s">
        <v>10427</v>
      </c>
      <c r="D713" s="12">
        <v>723</v>
      </c>
      <c r="E713" s="12" t="str">
        <f>CONCATENATE("E",C713)</f>
        <v>E4_3_1_17</v>
      </c>
      <c r="F713" s="12" t="s">
        <v>10288</v>
      </c>
      <c r="G713" s="12" t="s">
        <v>10288</v>
      </c>
      <c r="H713" t="s">
        <v>10289</v>
      </c>
      <c r="I713" t="s">
        <v>10289</v>
      </c>
      <c r="J713" s="12" t="str">
        <f>CONCATENATE("(${Variables:",E713,"_kcat","} * ",E713," * ",G713,")","/(${Variables:",E713,"_km","} + (",E713," * ",G713,"))")</f>
        <v>(${Variables:E4_3_1_17_kcat} * E4_3_1_17 * C02218)/(${Variables:E4_3_1_17_km} + (E4_3_1_17 * C02218))</v>
      </c>
      <c r="K713" s="43" t="str">
        <f>CONCATENATE("r",D713,": ",F713," -&gt; ",H713," | ",J713)</f>
        <v>r723: C02218 -&gt; C20904 | (${Variables:E4_3_1_17_kcat} * E4_3_1_17 * C02218)/(${Variables:E4_3_1_17_km} + (E4_3_1_17 * C02218))</v>
      </c>
    </row>
    <row r="714" spans="1:11" ht="28.5" x14ac:dyDescent="0.45">
      <c r="A714" s="53" t="s">
        <v>8295</v>
      </c>
      <c r="B714" s="54" t="s">
        <v>8296</v>
      </c>
      <c r="C714" t="s">
        <v>10427</v>
      </c>
      <c r="D714" s="12">
        <v>724</v>
      </c>
      <c r="E714" s="12" t="str">
        <f>CONCATENATE("E",C714)</f>
        <v>E4_3_1_17</v>
      </c>
      <c r="F714" s="12" t="s">
        <v>10291</v>
      </c>
      <c r="G714" s="12" t="s">
        <v>10291</v>
      </c>
      <c r="H714" t="s">
        <v>10292</v>
      </c>
      <c r="I714" t="s">
        <v>10925</v>
      </c>
      <c r="J714" s="12" t="str">
        <f>CONCATENATE("(${Variables:",E714,"_kcat","} * ",E714," * ",G714,")","/(${Variables:",E714,"_km","} + (",E714," * ",G714,"))")</f>
        <v>(${Variables:E4_3_1_17_kcat} * E4_3_1_17 * C05167)/(${Variables:E4_3_1_17_km} + (E4_3_1_17 * C05167))</v>
      </c>
      <c r="K714" s="43" t="str">
        <f>CONCATENATE("r",D714,": ",F714," -&gt; ",H714," | ",J714)</f>
        <v>r724: C05167 -&gt; C00161 + C00014 | (${Variables:E4_3_1_17_kcat} * E4_3_1_17 * C05167)/(${Variables:E4_3_1_17_km} + (E4_3_1_17 * C05167))</v>
      </c>
    </row>
    <row r="715" spans="1:11" ht="28.5" x14ac:dyDescent="0.45">
      <c r="A715" s="53" t="s">
        <v>8291</v>
      </c>
      <c r="B715" s="54" t="s">
        <v>8292</v>
      </c>
      <c r="C715" t="s">
        <v>10427</v>
      </c>
      <c r="D715" s="12">
        <v>725</v>
      </c>
      <c r="E715" s="12" t="str">
        <f>CONCATENATE("E",C715)</f>
        <v>E4_3_1_17</v>
      </c>
      <c r="F715" s="12" t="s">
        <v>2086</v>
      </c>
      <c r="G715" s="12" t="s">
        <v>2086</v>
      </c>
      <c r="H715" t="s">
        <v>10282</v>
      </c>
      <c r="I715" t="s">
        <v>10923</v>
      </c>
      <c r="J715" s="12" t="str">
        <f>CONCATENATE("(${Variables:",E715,"_kcat","} * ",E715," * ",G715,")","/(${Variables:",E715,"_km","} + (",E715," * ",G715,"))")</f>
        <v>(${Variables:E4_3_1_17_kcat} * E4_3_1_17 * C00065)/(${Variables:E4_3_1_17_km} + (E4_3_1_17 * C00065))</v>
      </c>
      <c r="K715" s="43" t="str">
        <f>CONCATENATE("r",D715,": ",F715," -&gt; ",H715," | ",J715)</f>
        <v>r725: C00065 -&gt; C00022 + C00014 | (${Variables:E4_3_1_17_kcat} * E4_3_1_17 * C00065)/(${Variables:E4_3_1_17_km} + (E4_3_1_17 * C00065))</v>
      </c>
    </row>
    <row r="716" spans="1:11" ht="28.5" x14ac:dyDescent="0.45">
      <c r="A716" s="53" t="s">
        <v>8291</v>
      </c>
      <c r="B716" s="54" t="s">
        <v>8292</v>
      </c>
      <c r="C716" t="s">
        <v>10427</v>
      </c>
      <c r="D716" s="12">
        <v>726</v>
      </c>
      <c r="E716" s="12" t="str">
        <f>CONCATENATE("E",C716)</f>
        <v>E4_3_1_17</v>
      </c>
      <c r="F716" s="12" t="s">
        <v>2086</v>
      </c>
      <c r="G716" s="12" t="s">
        <v>2086</v>
      </c>
      <c r="H716" t="s">
        <v>10284</v>
      </c>
      <c r="I716" t="s">
        <v>10924</v>
      </c>
      <c r="J716" s="12" t="str">
        <f>CONCATENATE("(${Variables:",E716,"_kcat","} * ",E716," * ",G716,")","/(${Variables:",E716,"_km","} + (",E716," * ",G716,"))")</f>
        <v>(${Variables:E4_3_1_17_kcat} * E4_3_1_17 * C00065)/(${Variables:E4_3_1_17_km} + (E4_3_1_17 * C00065))</v>
      </c>
      <c r="K716" s="43" t="str">
        <f>CONCATENATE("r",D716,": ",F716," -&gt; ",H716," | ",J716)</f>
        <v>r726: C00065 -&gt; C02218 + C00001 | (${Variables:E4_3_1_17_kcat} * E4_3_1_17 * C00065)/(${Variables:E4_3_1_17_km} + (E4_3_1_17 * C00065))</v>
      </c>
    </row>
    <row r="717" spans="1:11" ht="42.75" x14ac:dyDescent="0.45">
      <c r="A717" s="53" t="s">
        <v>8291</v>
      </c>
      <c r="B717" s="54" t="s">
        <v>8292</v>
      </c>
      <c r="C717" t="s">
        <v>10427</v>
      </c>
      <c r="D717" s="12">
        <v>727</v>
      </c>
      <c r="E717" s="12" t="str">
        <f>CONCATENATE("E",C717)</f>
        <v>E4_3_1_17</v>
      </c>
      <c r="F717" s="12" t="s">
        <v>10286</v>
      </c>
      <c r="G717" s="12" t="s">
        <v>10665</v>
      </c>
      <c r="H717" t="s">
        <v>10282</v>
      </c>
      <c r="I717" t="s">
        <v>10923</v>
      </c>
      <c r="J717" s="12" t="str">
        <f>CONCATENATE("(${Variables:",E717,"_kcat","} * ",E717," * ",G717,")","/(${Variables:",E717,"_km","} + (",E717," * ",G717,"))")</f>
        <v>(${Variables:E4_3_1_17_kcat} * E4_3_1_17 * C20904 * C00001)/(${Variables:E4_3_1_17_km} + (E4_3_1_17 * C20904 * C00001))</v>
      </c>
      <c r="K717" s="43" t="str">
        <f>CONCATENATE("r",D717,": ",F717," -&gt; ",H717," | ",J717)</f>
        <v>r727: C20904 + C00001 -&gt; C00022 + C00014 | (${Variables:E4_3_1_17_kcat} * E4_3_1_17 * C20904 * C00001)/(${Variables:E4_3_1_17_km} + (E4_3_1_17 * C20904 * C00001))</v>
      </c>
    </row>
    <row r="718" spans="1:11" ht="28.5" x14ac:dyDescent="0.45">
      <c r="A718" s="53" t="s">
        <v>8291</v>
      </c>
      <c r="B718" s="54" t="s">
        <v>8292</v>
      </c>
      <c r="C718" t="s">
        <v>10427</v>
      </c>
      <c r="D718" s="12">
        <v>728</v>
      </c>
      <c r="E718" s="12" t="str">
        <f>CONCATENATE("E",C718)</f>
        <v>E4_3_1_17</v>
      </c>
      <c r="F718" s="12" t="s">
        <v>10288</v>
      </c>
      <c r="G718" s="12" t="s">
        <v>10288</v>
      </c>
      <c r="H718" t="s">
        <v>10289</v>
      </c>
      <c r="I718" t="s">
        <v>10289</v>
      </c>
      <c r="J718" s="12" t="str">
        <f>CONCATENATE("(${Variables:",E718,"_kcat","} * ",E718," * ",G718,")","/(${Variables:",E718,"_km","} + (",E718," * ",G718,"))")</f>
        <v>(${Variables:E4_3_1_17_kcat} * E4_3_1_17 * C02218)/(${Variables:E4_3_1_17_km} + (E4_3_1_17 * C02218))</v>
      </c>
      <c r="K718" s="43" t="str">
        <f>CONCATENATE("r",D718,": ",F718," -&gt; ",H718," | ",J718)</f>
        <v>r728: C02218 -&gt; C20904 | (${Variables:E4_3_1_17_kcat} * E4_3_1_17 * C02218)/(${Variables:E4_3_1_17_km} + (E4_3_1_17 * C02218))</v>
      </c>
    </row>
    <row r="719" spans="1:11" ht="28.5" x14ac:dyDescent="0.45">
      <c r="A719" s="53" t="s">
        <v>8291</v>
      </c>
      <c r="B719" s="54" t="s">
        <v>8292</v>
      </c>
      <c r="C719" t="s">
        <v>10427</v>
      </c>
      <c r="D719" s="12">
        <v>729</v>
      </c>
      <c r="E719" s="12" t="str">
        <f>CONCATENATE("E",C719)</f>
        <v>E4_3_1_17</v>
      </c>
      <c r="F719" s="12" t="s">
        <v>10291</v>
      </c>
      <c r="G719" s="12" t="s">
        <v>10291</v>
      </c>
      <c r="H719" t="s">
        <v>10292</v>
      </c>
      <c r="I719" t="s">
        <v>10925</v>
      </c>
      <c r="J719" s="12" t="str">
        <f>CONCATENATE("(${Variables:",E719,"_kcat","} * ",E719," * ",G719,")","/(${Variables:",E719,"_km","} + (",E719," * ",G719,"))")</f>
        <v>(${Variables:E4_3_1_17_kcat} * E4_3_1_17 * C05167)/(${Variables:E4_3_1_17_km} + (E4_3_1_17 * C05167))</v>
      </c>
      <c r="K719" s="43" t="str">
        <f>CONCATENATE("r",D719,": ",F719," -&gt; ",H719," | ",J719)</f>
        <v>r729: C05167 -&gt; C00161 + C00014 | (${Variables:E4_3_1_17_kcat} * E4_3_1_17 * C05167)/(${Variables:E4_3_1_17_km} + (E4_3_1_17 * C05167))</v>
      </c>
    </row>
    <row r="720" spans="1:11" ht="28.5" x14ac:dyDescent="0.45">
      <c r="A720" s="53" t="s">
        <v>3702</v>
      </c>
      <c r="B720" s="54" t="s">
        <v>3703</v>
      </c>
      <c r="C720" t="s">
        <v>1888</v>
      </c>
      <c r="D720" s="12">
        <v>730</v>
      </c>
      <c r="E720" s="12" t="str">
        <f>CONCATENATE("E",C720)</f>
        <v>E4_3_2_2</v>
      </c>
      <c r="F720" t="s">
        <v>1099</v>
      </c>
      <c r="G720" t="s">
        <v>1099</v>
      </c>
      <c r="H720" t="s">
        <v>3541</v>
      </c>
      <c r="I720" t="s">
        <v>1607</v>
      </c>
      <c r="J720" s="12" t="str">
        <f>CONCATENATE("(${Variables:",E720,"_kcat","} * ",E720," * ",G720,")","/(${Variables:",E720,"_km","} + (",E720," * ",G720,"))")</f>
        <v>(${Variables:E4_3_2_2_kcat} * E4_3_2_2 * C03794)/(${Variables:E4_3_2_2_km} + (E4_3_2_2 * C03794))</v>
      </c>
      <c r="K720" s="43" t="str">
        <f>CONCATENATE("r",D720,": ",F720," -&gt; ",H720," | ",J720)</f>
        <v>r730: C03794 -&gt; C00122 + C00020 | (${Variables:E4_3_2_2_kcat} * E4_3_2_2 * C03794)/(${Variables:E4_3_2_2_km} + (E4_3_2_2 * C03794))</v>
      </c>
    </row>
    <row r="721" spans="1:11" ht="28.5" x14ac:dyDescent="0.45">
      <c r="A721" s="53" t="s">
        <v>3702</v>
      </c>
      <c r="B721" s="54" t="s">
        <v>3703</v>
      </c>
      <c r="C721" t="s">
        <v>1888</v>
      </c>
      <c r="D721" s="12">
        <v>731</v>
      </c>
      <c r="E721" s="12" t="str">
        <f>CONCATENATE("E",C721)</f>
        <v>E4_3_2_2</v>
      </c>
      <c r="F721" t="s">
        <v>1100</v>
      </c>
      <c r="G721" t="s">
        <v>1100</v>
      </c>
      <c r="H721" t="s">
        <v>3542</v>
      </c>
      <c r="I721" t="s">
        <v>1624</v>
      </c>
      <c r="J721" s="12" t="str">
        <f>CONCATENATE("(${Variables:",E721,"_kcat","} * ",E721," * ",G721,")","/(${Variables:",E721,"_km","} + (",E721," * ",G721,"))")</f>
        <v>(${Variables:E4_3_2_2_kcat} * E4_3_2_2 * C04823)/(${Variables:E4_3_2_2_km} + (E4_3_2_2 * C04823))</v>
      </c>
      <c r="K721" s="43" t="str">
        <f>CONCATENATE("r",D721,": ",F721," -&gt; ",H721," | ",J721)</f>
        <v>r731: C04823 -&gt; C00122 + C04677 | (${Variables:E4_3_2_2_kcat} * E4_3_2_2 * C04823)/(${Variables:E4_3_2_2_km} + (E4_3_2_2 * C04823))</v>
      </c>
    </row>
    <row r="722" spans="1:11" ht="28.5" x14ac:dyDescent="0.45">
      <c r="A722" s="53" t="s">
        <v>3702</v>
      </c>
      <c r="B722" s="54" t="s">
        <v>3703</v>
      </c>
      <c r="C722" t="s">
        <v>1888</v>
      </c>
      <c r="D722" s="12">
        <v>732</v>
      </c>
      <c r="E722" s="12" t="str">
        <f>CONCATENATE("E",C722)</f>
        <v>E4_3_2_2</v>
      </c>
      <c r="F722" t="s">
        <v>1101</v>
      </c>
      <c r="G722" t="s">
        <v>1101</v>
      </c>
      <c r="H722" t="s">
        <v>3543</v>
      </c>
      <c r="I722" t="s">
        <v>1694</v>
      </c>
      <c r="J722" s="12" t="str">
        <f>CONCATENATE("(${Variables:",E722,"_kcat","} * ",E722," * ",G722,")","/(${Variables:",E722,"_km","} + (",E722," * ",G722,"))")</f>
        <v>(${Variables:E4_3_2_2_kcat} * E4_3_2_2 * C22395)/(${Variables:E4_3_2_2_km} + (E4_3_2_2 * C22395))</v>
      </c>
      <c r="K722" s="43" t="str">
        <f>CONCATENATE("r",D722,": ",F722," -&gt; ",H722," | ",J722)</f>
        <v>r732: C22395 -&gt; C22441 + C00122 | (${Variables:E4_3_2_2_kcat} * E4_3_2_2 * C22395)/(${Variables:E4_3_2_2_km} + (E4_3_2_2 * C22395))</v>
      </c>
    </row>
    <row r="723" spans="1:11" ht="28.5" x14ac:dyDescent="0.45">
      <c r="A723" s="53" t="s">
        <v>7407</v>
      </c>
      <c r="B723" s="54" t="s">
        <v>7408</v>
      </c>
      <c r="C723" t="s">
        <v>1887</v>
      </c>
      <c r="D723" s="12">
        <v>733</v>
      </c>
      <c r="E723" s="12" t="str">
        <f>CONCATENATE("E",C723)</f>
        <v>E4_4_1_21</v>
      </c>
      <c r="F723" s="12" t="s">
        <v>1102</v>
      </c>
      <c r="G723" s="12" t="s">
        <v>1102</v>
      </c>
      <c r="H723" t="s">
        <v>3544</v>
      </c>
      <c r="I723" t="s">
        <v>1606</v>
      </c>
      <c r="J723" s="12" t="str">
        <f>CONCATENATE("(${Variables:",E723,"_kcat","} * ",E723," * ",G723,")","/(${Variables:",E723,"_km","} + (",E723," * ",G723,"))")</f>
        <v>(${Variables:E4_4_1_21_kcat} * E4_4_1_21 * C03539)/(${Variables:E4_4_1_21_km} + (E4_4_1_21 * C03539))</v>
      </c>
      <c r="K723" s="43" t="str">
        <f>CONCATENATE("r",D723,": ",F723," -&gt; ",H723," | ",J723)</f>
        <v>r733: C03539 -&gt; C11838 + C00155 | (${Variables:E4_4_1_21_kcat} * E4_4_1_21 * C03539)/(${Variables:E4_4_1_21_km} + (E4_4_1_21 * C03539))</v>
      </c>
    </row>
    <row r="724" spans="1:11" ht="28.5" x14ac:dyDescent="0.45">
      <c r="A724" s="53" t="s">
        <v>4571</v>
      </c>
      <c r="B724" s="54" t="s">
        <v>4572</v>
      </c>
      <c r="C724" t="s">
        <v>1813</v>
      </c>
      <c r="D724" s="12">
        <v>734</v>
      </c>
      <c r="E724" s="12" t="str">
        <f>CONCATENATE("E",C724)</f>
        <v>E5_1_1_1</v>
      </c>
      <c r="F724" s="12" t="s">
        <v>1103</v>
      </c>
      <c r="G724" s="12" t="s">
        <v>1103</v>
      </c>
      <c r="H724" t="s">
        <v>1104</v>
      </c>
      <c r="I724" t="s">
        <v>1104</v>
      </c>
      <c r="J724" s="12" t="str">
        <f>CONCATENATE("(${Variables:",E724,"_kcat","} * ",E724," * ",G724,")","/(${Variables:",E724,"_km","} + (",E724," * ",G724,"))")</f>
        <v>(${Variables:E5_1_1_1_kcat} * E5_1_1_1 * C00041)/(${Variables:E5_1_1_1_km} + (E5_1_1_1 * C00041))</v>
      </c>
      <c r="K724" s="43" t="str">
        <f>CONCATENATE("r",D724,": ",F724," -&gt; ",H724," | ",J724)</f>
        <v>r734: C00041 -&gt; C00133 | (${Variables:E5_1_1_1_kcat} * E5_1_1_1 * C00041)/(${Variables:E5_1_1_1_km} + (E5_1_1_1 * C00041))</v>
      </c>
    </row>
    <row r="725" spans="1:11" ht="28.5" x14ac:dyDescent="0.45">
      <c r="A725" s="53" t="s">
        <v>7587</v>
      </c>
      <c r="B725" s="54" t="s">
        <v>7588</v>
      </c>
      <c r="C725" t="s">
        <v>1810</v>
      </c>
      <c r="D725" s="12">
        <v>735</v>
      </c>
      <c r="E725" s="12" t="str">
        <f>CONCATENATE("E",C725)</f>
        <v>E5_1_1_3</v>
      </c>
      <c r="F725" s="12" t="s">
        <v>1105</v>
      </c>
      <c r="G725" s="12" t="s">
        <v>1105</v>
      </c>
      <c r="H725" t="s">
        <v>1106</v>
      </c>
      <c r="I725" t="s">
        <v>1106</v>
      </c>
      <c r="J725" s="12" t="str">
        <f>CONCATENATE("(${Variables:",E725,"_kcat","} * ",E725," * ",G725,")","/(${Variables:",E725,"_km","} + (",E725," * ",G725,"))")</f>
        <v>(${Variables:E5_1_1_3_kcat} * E5_1_1_3 * C00025)/(${Variables:E5_1_1_3_km} + (E5_1_1_3 * C00025))</v>
      </c>
      <c r="K725" s="43" t="str">
        <f>CONCATENATE("r",D725,": ",F725," -&gt; ",H725," | ",J725)</f>
        <v>r735: C00025 -&gt; C00217 | (${Variables:E5_1_1_3_kcat} * E5_1_1_3 * C00025)/(${Variables:E5_1_1_3_km} + (E5_1_1_3 * C00025))</v>
      </c>
    </row>
    <row r="726" spans="1:11" ht="28.5" x14ac:dyDescent="0.45">
      <c r="A726" s="53" t="s">
        <v>4359</v>
      </c>
      <c r="B726" s="54" t="s">
        <v>4360</v>
      </c>
      <c r="C726" t="s">
        <v>1849</v>
      </c>
      <c r="D726" s="12">
        <v>736</v>
      </c>
      <c r="E726" s="12" t="str">
        <f>CONCATENATE("E",C726)</f>
        <v>E5_1_3_1</v>
      </c>
      <c r="F726" s="12" t="s">
        <v>1108</v>
      </c>
      <c r="G726" s="12" t="s">
        <v>1108</v>
      </c>
      <c r="H726" t="s">
        <v>1109</v>
      </c>
      <c r="I726" t="s">
        <v>1109</v>
      </c>
      <c r="J726" s="12" t="str">
        <f>CONCATENATE("(${Variables:",E726,"_kcat","} * ",E726," * ",G726,")","/(${Variables:",E726,"_km","} + (",E726," * ",G726,"))")</f>
        <v>(${Variables:E5_1_3_1_kcat} * E5_1_3_1 * C00199)/(${Variables:E5_1_3_1_km} + (E5_1_3_1 * C00199))</v>
      </c>
      <c r="K726" s="43" t="str">
        <f>CONCATENATE("r",D726,": ",F726," -&gt; ",H726," | ",J726)</f>
        <v>r736: C00199 -&gt; C00231 | (${Variables:E5_1_3_1_kcat} * E5_1_3_1 * C00199)/(${Variables:E5_1_3_1_km} + (E5_1_3_1 * C00199))</v>
      </c>
    </row>
    <row r="727" spans="1:11" ht="28.5" x14ac:dyDescent="0.45">
      <c r="A727" s="53" t="s">
        <v>7830</v>
      </c>
      <c r="B727" s="54" t="s">
        <v>7831</v>
      </c>
      <c r="C727" t="s">
        <v>1811</v>
      </c>
      <c r="D727" s="12">
        <v>737</v>
      </c>
      <c r="E727" s="12" t="str">
        <f>CONCATENATE("E",C727)</f>
        <v>E5_1_3_2</v>
      </c>
      <c r="F727" s="12" t="s">
        <v>1112</v>
      </c>
      <c r="G727" s="12" t="s">
        <v>1112</v>
      </c>
      <c r="H727" t="s">
        <v>1113</v>
      </c>
      <c r="I727" t="s">
        <v>1113</v>
      </c>
      <c r="J727" s="12" t="str">
        <f>CONCATENATE("(${Variables:",E727,"_kcat","} * ",E727," * ",G727,")","/(${Variables:",E727,"_km","} + (",E727," * ",G727,"))")</f>
        <v>(${Variables:E5_1_3_2_kcat} * E5_1_3_2 * C00029)/(${Variables:E5_1_3_2_km} + (E5_1_3_2 * C00029))</v>
      </c>
      <c r="K727" s="43" t="str">
        <f>CONCATENATE("r",D727,": ",F727," -&gt; ",H727," | ",J727)</f>
        <v>r737: C00029 -&gt; C00052 | (${Variables:E5_1_3_2_kcat} * E5_1_3_2 * C00029)/(${Variables:E5_1_3_2_km} + (E5_1_3_2 * C00029))</v>
      </c>
    </row>
    <row r="728" spans="1:11" ht="28.5" x14ac:dyDescent="0.45">
      <c r="A728" s="53" t="s">
        <v>7830</v>
      </c>
      <c r="B728" s="54" t="s">
        <v>7831</v>
      </c>
      <c r="C728" t="s">
        <v>1811</v>
      </c>
      <c r="D728" s="12">
        <v>738</v>
      </c>
      <c r="E728" s="12" t="str">
        <f>CONCATENATE("E",C728)</f>
        <v>E5_1_3_2</v>
      </c>
      <c r="F728" t="s">
        <v>1110</v>
      </c>
      <c r="G728" t="s">
        <v>1110</v>
      </c>
      <c r="H728" t="s">
        <v>1114</v>
      </c>
      <c r="I728" t="s">
        <v>1114</v>
      </c>
      <c r="J728" s="12" t="str">
        <f>CONCATENATE("(${Variables:",E728,"_kcat","} * ",E728," * ",G728,")","/(${Variables:",E728,"_km","} + (",E728," * ",G728,"))")</f>
        <v>(${Variables:E5_1_3_2_kcat} * E5_1_3_2 * C00043)/(${Variables:E5_1_3_2_km} + (E5_1_3_2 * C00043))</v>
      </c>
      <c r="K728" s="43" t="str">
        <f>CONCATENATE("r",D728,": ",F728," -&gt; ",H728," | ",J728)</f>
        <v>r738: C00043 -&gt; C00203 | (${Variables:E5_1_3_2_kcat} * E5_1_3_2 * C00043)/(${Variables:E5_1_3_2_km} + (E5_1_3_2 * C00043))</v>
      </c>
    </row>
    <row r="729" spans="1:11" ht="28.5" x14ac:dyDescent="0.45">
      <c r="A729" s="53" t="s">
        <v>7830</v>
      </c>
      <c r="B729" s="54" t="s">
        <v>7831</v>
      </c>
      <c r="C729" t="s">
        <v>1811</v>
      </c>
      <c r="D729" s="12">
        <v>739</v>
      </c>
      <c r="E729" s="12" t="str">
        <f>CONCATENATE("E",C729)</f>
        <v>E5_1_3_2</v>
      </c>
      <c r="F729" s="12" t="s">
        <v>1115</v>
      </c>
      <c r="G729" s="12" t="s">
        <v>1115</v>
      </c>
      <c r="H729" t="s">
        <v>1116</v>
      </c>
      <c r="I729" t="s">
        <v>1116</v>
      </c>
      <c r="J729" s="12" t="str">
        <f>CONCATENATE("(${Variables:",E729,"_kcat","} * ",E729," * ",G729,")","/(${Variables:",E729,"_km","} + (",E729," * ",G729,"))")</f>
        <v>(${Variables:E5_1_3_2_kcat} * E5_1_3_2 * C00842)/(${Variables:E5_1_3_2_km} + (E5_1_3_2 * C00842))</v>
      </c>
      <c r="K729" s="43" t="str">
        <f>CONCATENATE("r",D729,": ",F729," -&gt; ",H729," | ",J729)</f>
        <v>r739: C00842 -&gt; C02097 | (${Variables:E5_1_3_2_kcat} * E5_1_3_2 * C00842)/(${Variables:E5_1_3_2_km} + (E5_1_3_2 * C00842))</v>
      </c>
    </row>
    <row r="730" spans="1:11" ht="28.5" x14ac:dyDescent="0.45">
      <c r="A730" s="53" t="s">
        <v>5773</v>
      </c>
      <c r="B730" s="54" t="s">
        <v>5774</v>
      </c>
      <c r="C730" t="s">
        <v>1811</v>
      </c>
      <c r="D730" s="12">
        <v>740</v>
      </c>
      <c r="E730" s="12" t="str">
        <f>CONCATENATE("E",C730)</f>
        <v>E5_1_3_2</v>
      </c>
      <c r="F730" s="12" t="s">
        <v>1112</v>
      </c>
      <c r="G730" s="12" t="s">
        <v>1112</v>
      </c>
      <c r="H730" t="s">
        <v>1113</v>
      </c>
      <c r="I730" t="s">
        <v>1113</v>
      </c>
      <c r="J730" s="12" t="str">
        <f>CONCATENATE("(${Variables:",E730,"_kcat","} * ",E730," * ",G730,")","/(${Variables:",E730,"_km","} + (",E730," * ",G730,"))")</f>
        <v>(${Variables:E5_1_3_2_kcat} * E5_1_3_2 * C00029)/(${Variables:E5_1_3_2_km} + (E5_1_3_2 * C00029))</v>
      </c>
      <c r="K730" s="43" t="str">
        <f>CONCATENATE("r",D730,": ",F730," -&gt; ",H730," | ",J730)</f>
        <v>r740: C00029 -&gt; C00052 | (${Variables:E5_1_3_2_kcat} * E5_1_3_2 * C00029)/(${Variables:E5_1_3_2_km} + (E5_1_3_2 * C00029))</v>
      </c>
    </row>
    <row r="731" spans="1:11" ht="28.5" x14ac:dyDescent="0.45">
      <c r="A731" s="53" t="s">
        <v>5773</v>
      </c>
      <c r="B731" s="54" t="s">
        <v>5774</v>
      </c>
      <c r="C731" t="s">
        <v>1811</v>
      </c>
      <c r="D731" s="12">
        <v>741</v>
      </c>
      <c r="E731" s="12" t="str">
        <f>CONCATENATE("E",C731)</f>
        <v>E5_1_3_2</v>
      </c>
      <c r="F731" t="s">
        <v>1110</v>
      </c>
      <c r="G731" t="s">
        <v>1110</v>
      </c>
      <c r="H731" t="s">
        <v>1114</v>
      </c>
      <c r="I731" t="s">
        <v>1114</v>
      </c>
      <c r="J731" s="12" t="str">
        <f>CONCATENATE("(${Variables:",E731,"_kcat","} * ",E731," * ",G731,")","/(${Variables:",E731,"_km","} + (",E731," * ",G731,"))")</f>
        <v>(${Variables:E5_1_3_2_kcat} * E5_1_3_2 * C00043)/(${Variables:E5_1_3_2_km} + (E5_1_3_2 * C00043))</v>
      </c>
      <c r="K731" s="43" t="str">
        <f>CONCATENATE("r",D731,": ",F731," -&gt; ",H731," | ",J731)</f>
        <v>r741: C00043 -&gt; C00203 | (${Variables:E5_1_3_2_kcat} * E5_1_3_2 * C00043)/(${Variables:E5_1_3_2_km} + (E5_1_3_2 * C00043))</v>
      </c>
    </row>
    <row r="732" spans="1:11" ht="28.5" x14ac:dyDescent="0.45">
      <c r="A732" s="53" t="s">
        <v>5773</v>
      </c>
      <c r="B732" s="54" t="s">
        <v>5774</v>
      </c>
      <c r="C732" t="s">
        <v>1811</v>
      </c>
      <c r="D732" s="12">
        <v>742</v>
      </c>
      <c r="E732" s="12" t="str">
        <f>CONCATENATE("E",C732)</f>
        <v>E5_1_3_2</v>
      </c>
      <c r="F732" s="12" t="s">
        <v>1115</v>
      </c>
      <c r="G732" s="12" t="s">
        <v>1115</v>
      </c>
      <c r="H732" t="s">
        <v>1116</v>
      </c>
      <c r="I732" t="s">
        <v>1116</v>
      </c>
      <c r="J732" s="12" t="str">
        <f>CONCATENATE("(${Variables:",E732,"_kcat","} * ",E732," * ",G732,")","/(${Variables:",E732,"_km","} + (",E732," * ",G732,"))")</f>
        <v>(${Variables:E5_1_3_2_kcat} * E5_1_3_2 * C00842)/(${Variables:E5_1_3_2_km} + (E5_1_3_2 * C00842))</v>
      </c>
      <c r="K732" s="43" t="str">
        <f>CONCATENATE("r",D732,": ",F732," -&gt; ",H732," | ",J732)</f>
        <v>r742: C00842 -&gt; C02097 | (${Variables:E5_1_3_2_kcat} * E5_1_3_2 * C00842)/(${Variables:E5_1_3_2_km} + (E5_1_3_2 * C00842))</v>
      </c>
    </row>
    <row r="733" spans="1:11" ht="28.5" x14ac:dyDescent="0.45">
      <c r="A733" s="53" t="s">
        <v>4039</v>
      </c>
      <c r="B733" s="54" t="s">
        <v>4040</v>
      </c>
      <c r="C733" t="s">
        <v>10428</v>
      </c>
      <c r="D733" s="12">
        <v>743</v>
      </c>
      <c r="E733" s="12" t="str">
        <f>CONCATENATE("E",C733)</f>
        <v>E5_1_3_4</v>
      </c>
      <c r="F733" s="12" t="s">
        <v>8548</v>
      </c>
      <c r="G733" s="12" t="s">
        <v>8548</v>
      </c>
      <c r="H733" t="s">
        <v>1109</v>
      </c>
      <c r="I733" t="s">
        <v>1109</v>
      </c>
      <c r="J733" s="12" t="str">
        <f>CONCATENATE("(${Variables:",E733,"_kcat","} * ",E733," * ",G733,")","/(${Variables:",E733,"_km","} + (",E733," * ",G733,"))")</f>
        <v>(${Variables:E5_1_3_4_kcat} * E5_1_3_4 * C01101)/(${Variables:E5_1_3_4_km} + (E5_1_3_4 * C01101))</v>
      </c>
      <c r="K733" s="43" t="str">
        <f>CONCATENATE("r",D733,": ",F733," -&gt; ",H733," | ",J733)</f>
        <v>r743: C01101 -&gt; C00231 | (${Variables:E5_1_3_4_kcat} * E5_1_3_4 * C01101)/(${Variables:E5_1_3_4_km} + (E5_1_3_4 * C01101))</v>
      </c>
    </row>
    <row r="734" spans="1:11" ht="28.5" x14ac:dyDescent="0.45">
      <c r="A734" s="53" t="s">
        <v>4214</v>
      </c>
      <c r="B734" s="54" t="s">
        <v>4215</v>
      </c>
      <c r="C734" t="s">
        <v>10429</v>
      </c>
      <c r="D734" s="12">
        <v>744</v>
      </c>
      <c r="E734" s="12" t="str">
        <f>CONCATENATE("E",C734)</f>
        <v>E5_1_3_9</v>
      </c>
      <c r="F734" s="12" t="s">
        <v>8617</v>
      </c>
      <c r="G734" s="12" t="s">
        <v>8617</v>
      </c>
      <c r="H734" t="s">
        <v>8618</v>
      </c>
      <c r="I734" t="s">
        <v>8618</v>
      </c>
      <c r="J734" s="12" t="str">
        <f>CONCATENATE("(${Variables:",E734,"_kcat","} * ",E734," * ",G734,")","/(${Variables:",E734,"_km","} + (",E734," * ",G734,"))")</f>
        <v>(${Variables:E5_1_3_9_kcat} * E5_1_3_9 * C00686)/(${Variables:E5_1_3_9_km} + (E5_1_3_9 * C00686))</v>
      </c>
      <c r="K734" s="43" t="str">
        <f>CONCATENATE("r",D734,": ",F734," -&gt; ",H734," | ",J734)</f>
        <v>r744: C00686 -&gt; C04136 | (${Variables:E5_1_3_9_kcat} * E5_1_3_9 * C00686)/(${Variables:E5_1_3_9_km} + (E5_1_3_9 * C00686))</v>
      </c>
    </row>
    <row r="735" spans="1:11" ht="28.5" x14ac:dyDescent="0.45">
      <c r="A735" s="53" t="s">
        <v>4214</v>
      </c>
      <c r="B735" s="54" t="s">
        <v>4215</v>
      </c>
      <c r="C735" t="s">
        <v>10429</v>
      </c>
      <c r="D735" s="12">
        <v>745</v>
      </c>
      <c r="E735" s="12" t="str">
        <f>CONCATENATE("E",C735)</f>
        <v>E5_1_3_9</v>
      </c>
      <c r="F735" t="s">
        <v>2140</v>
      </c>
      <c r="G735" t="s">
        <v>2140</v>
      </c>
      <c r="H735" t="s">
        <v>8620</v>
      </c>
      <c r="I735" t="s">
        <v>8620</v>
      </c>
      <c r="J735" s="12" t="str">
        <f>CONCATENATE("(${Variables:",E735,"_kcat","} * ",E735," * ",G735,")","/(${Variables:",E735,"_km","} + (",E735," * ",G735,"))")</f>
        <v>(${Variables:E5_1_3_9_kcat} * E5_1_3_9 * C00357)/(${Variables:E5_1_3_9_km} + (E5_1_3_9 * C00357))</v>
      </c>
      <c r="K735" s="43" t="str">
        <f>CONCATENATE("r",D735,": ",F735," -&gt; ",H735," | ",J735)</f>
        <v>r745: C00357 -&gt; C04257 | (${Variables:E5_1_3_9_kcat} * E5_1_3_9 * C00357)/(${Variables:E5_1_3_9_km} + (E5_1_3_9 * C00357))</v>
      </c>
    </row>
    <row r="736" spans="1:11" ht="28.5" x14ac:dyDescent="0.45">
      <c r="A736" s="53" t="s">
        <v>4324</v>
      </c>
      <c r="B736" s="54" t="s">
        <v>4325</v>
      </c>
      <c r="C736" t="s">
        <v>10429</v>
      </c>
      <c r="D736" s="12">
        <v>746</v>
      </c>
      <c r="E736" s="12" t="str">
        <f>CONCATENATE("E",C736)</f>
        <v>E5_1_3_9</v>
      </c>
      <c r="F736" t="s">
        <v>8617</v>
      </c>
      <c r="G736" t="s">
        <v>8617</v>
      </c>
      <c r="H736" t="s">
        <v>8618</v>
      </c>
      <c r="I736" t="s">
        <v>8618</v>
      </c>
      <c r="J736" s="12" t="str">
        <f>CONCATENATE("(${Variables:",E736,"_kcat","} * ",E736," * ",G736,")","/(${Variables:",E736,"_km","} + (",E736," * ",G736,"))")</f>
        <v>(${Variables:E5_1_3_9_kcat} * E5_1_3_9 * C00686)/(${Variables:E5_1_3_9_km} + (E5_1_3_9 * C00686))</v>
      </c>
      <c r="K736" s="43" t="str">
        <f>CONCATENATE("r",D736,": ",F736," -&gt; ",H736," | ",J736)</f>
        <v>r746: C00686 -&gt; C04136 | (${Variables:E5_1_3_9_kcat} * E5_1_3_9 * C00686)/(${Variables:E5_1_3_9_km} + (E5_1_3_9 * C00686))</v>
      </c>
    </row>
    <row r="737" spans="1:11" ht="28.5" x14ac:dyDescent="0.45">
      <c r="A737" s="53" t="s">
        <v>4324</v>
      </c>
      <c r="B737" s="54" t="s">
        <v>4325</v>
      </c>
      <c r="C737" t="s">
        <v>10429</v>
      </c>
      <c r="D737" s="12">
        <v>747</v>
      </c>
      <c r="E737" s="12" t="str">
        <f>CONCATENATE("E",C737)</f>
        <v>E5_1_3_9</v>
      </c>
      <c r="F737" s="12" t="s">
        <v>2140</v>
      </c>
      <c r="G737" s="12" t="s">
        <v>2140</v>
      </c>
      <c r="H737" t="s">
        <v>8620</v>
      </c>
      <c r="I737" t="s">
        <v>8620</v>
      </c>
      <c r="J737" s="12" t="str">
        <f>CONCATENATE("(${Variables:",E737,"_kcat","} * ",E737," * ",G737,")","/(${Variables:",E737,"_km","} + (",E737," * ",G737,"))")</f>
        <v>(${Variables:E5_1_3_9_kcat} * E5_1_3_9 * C00357)/(${Variables:E5_1_3_9_km} + (E5_1_3_9 * C00357))</v>
      </c>
      <c r="K737" s="43" t="str">
        <f>CONCATENATE("r",D737,": ",F737," -&gt; ",H737," | ",J737)</f>
        <v>r747: C00357 -&gt; C04257 | (${Variables:E5_1_3_9_kcat} * E5_1_3_9 * C00357)/(${Variables:E5_1_3_9_km} + (E5_1_3_9 * C00357))</v>
      </c>
    </row>
    <row r="738" spans="1:11" ht="28.5" x14ac:dyDescent="0.45">
      <c r="A738" s="53" t="s">
        <v>7772</v>
      </c>
      <c r="B738" s="54" t="s">
        <v>7773</v>
      </c>
      <c r="C738" t="s">
        <v>1889</v>
      </c>
      <c r="D738" s="12">
        <v>748</v>
      </c>
      <c r="E738" s="12" t="str">
        <f>CONCATENATE("E",C738)</f>
        <v>E5_2_1_8</v>
      </c>
      <c r="F738" s="12" t="s">
        <v>1117</v>
      </c>
      <c r="G738" s="12" t="s">
        <v>1117</v>
      </c>
      <c r="H738" t="s">
        <v>1118</v>
      </c>
      <c r="I738" t="s">
        <v>1118</v>
      </c>
      <c r="J738" s="12" t="str">
        <f>CONCATENATE("(${Variables:",E738,"_kcat","} * ",E738," * ",G738,")","/(${Variables:",E738,"_km","} + (",E738," * ",G738,"))")</f>
        <v>(${Variables:E5_2_1_8_kcat} * E5_2_1_8 * C03798)/(${Variables:E5_2_1_8_km} + (E5_2_1_8 * C03798))</v>
      </c>
      <c r="K738" s="43" t="str">
        <f>CONCATENATE("r",D738,": ",F738," -&gt; ",H738," | ",J738)</f>
        <v>r748: C03798 -&gt; C03633 | (${Variables:E5_2_1_8_kcat} * E5_2_1_8 * C03798)/(${Variables:E5_2_1_8_km} + (E5_2_1_8 * C03798))</v>
      </c>
    </row>
    <row r="739" spans="1:11" ht="28.5" x14ac:dyDescent="0.45">
      <c r="A739" s="53" t="s">
        <v>7380</v>
      </c>
      <c r="B739" s="54" t="s">
        <v>7381</v>
      </c>
      <c r="C739" t="s">
        <v>1889</v>
      </c>
      <c r="D739" s="12">
        <v>749</v>
      </c>
      <c r="E739" s="12" t="str">
        <f>CONCATENATE("E",C739)</f>
        <v>E5_2_1_8</v>
      </c>
      <c r="F739" s="12" t="s">
        <v>1117</v>
      </c>
      <c r="G739" s="12" t="s">
        <v>1117</v>
      </c>
      <c r="H739" t="s">
        <v>1118</v>
      </c>
      <c r="I739" t="s">
        <v>1118</v>
      </c>
      <c r="J739" s="12" t="str">
        <f>CONCATENATE("(${Variables:",E739,"_kcat","} * ",E739," * ",G739,")","/(${Variables:",E739,"_km","} + (",E739," * ",G739,"))")</f>
        <v>(${Variables:E5_2_1_8_kcat} * E5_2_1_8 * C03798)/(${Variables:E5_2_1_8_km} + (E5_2_1_8 * C03798))</v>
      </c>
      <c r="K739" s="43" t="str">
        <f>CONCATENATE("r",D739,": ",F739," -&gt; ",H739," | ",J739)</f>
        <v>r749: C03798 -&gt; C03633 | (${Variables:E5_2_1_8_kcat} * E5_2_1_8 * C03798)/(${Variables:E5_2_1_8_km} + (E5_2_1_8 * C03798))</v>
      </c>
    </row>
    <row r="740" spans="1:11" ht="28.5" x14ac:dyDescent="0.45">
      <c r="A740" s="53" t="s">
        <v>5237</v>
      </c>
      <c r="B740" s="54" t="s">
        <v>5238</v>
      </c>
      <c r="C740" t="s">
        <v>1889</v>
      </c>
      <c r="D740" s="12">
        <v>750</v>
      </c>
      <c r="E740" s="12" t="str">
        <f>CONCATENATE("E",C740)</f>
        <v>E5_2_1_8</v>
      </c>
      <c r="F740" t="s">
        <v>9080</v>
      </c>
      <c r="G740" t="s">
        <v>9080</v>
      </c>
      <c r="H740" t="s">
        <v>1118</v>
      </c>
      <c r="I740" t="s">
        <v>1118</v>
      </c>
      <c r="J740" s="12" t="str">
        <f>CONCATENATE("(${Variables:",E740,"_kcat","} * ",E740," * ",G740,")","/(${Variables:",E740,"_km","} + (",E740," * ",G740,"))")</f>
        <v>(${Variables:E5_2_1_8_kcat} * E5_2_1_8 * C03798 )/(${Variables:E5_2_1_8_km} + (E5_2_1_8 * C03798 ))</v>
      </c>
      <c r="K740" s="43" t="str">
        <f>CONCATENATE("r",D740,": ",F740," -&gt; ",H740," | ",J740)</f>
        <v>r750: C03798  -&gt; C03633 | (${Variables:E5_2_1_8_kcat} * E5_2_1_8 * C03798 )/(${Variables:E5_2_1_8_km} + (E5_2_1_8 * C03798 ))</v>
      </c>
    </row>
    <row r="741" spans="1:11" ht="28.5" x14ac:dyDescent="0.45">
      <c r="A741" s="53" t="s">
        <v>7187</v>
      </c>
      <c r="B741" s="54" t="s">
        <v>7188</v>
      </c>
      <c r="C741" t="s">
        <v>1889</v>
      </c>
      <c r="D741" s="12">
        <v>751</v>
      </c>
      <c r="E741" s="12" t="str">
        <f>CONCATENATE("E",C741)</f>
        <v>E5_2_1_8</v>
      </c>
      <c r="F741" s="12" t="s">
        <v>1117</v>
      </c>
      <c r="G741" s="12" t="s">
        <v>1117</v>
      </c>
      <c r="H741" t="s">
        <v>1118</v>
      </c>
      <c r="I741" t="s">
        <v>1118</v>
      </c>
      <c r="J741" s="12" t="str">
        <f>CONCATENATE("(${Variables:",E741,"_kcat","} * ",E741," * ",G741,")","/(${Variables:",E741,"_km","} + (",E741," * ",G741,"))")</f>
        <v>(${Variables:E5_2_1_8_kcat} * E5_2_1_8 * C03798)/(${Variables:E5_2_1_8_km} + (E5_2_1_8 * C03798))</v>
      </c>
      <c r="K741" s="43" t="str">
        <f>CONCATENATE("r",D741,": ",F741," -&gt; ",H741," | ",J741)</f>
        <v>r751: C03798 -&gt; C03633 | (${Variables:E5_2_1_8_kcat} * E5_2_1_8 * C03798)/(${Variables:E5_2_1_8_km} + (E5_2_1_8 * C03798))</v>
      </c>
    </row>
    <row r="742" spans="1:11" ht="28.5" x14ac:dyDescent="0.45">
      <c r="A742" s="53" t="s">
        <v>6877</v>
      </c>
      <c r="B742" s="54" t="s">
        <v>6878</v>
      </c>
      <c r="C742" t="s">
        <v>1836</v>
      </c>
      <c r="D742" s="12">
        <v>752</v>
      </c>
      <c r="E742" s="12" t="str">
        <f>CONCATENATE("E",C742)</f>
        <v>E5_3_1_1</v>
      </c>
      <c r="F742" s="12" t="s">
        <v>1119</v>
      </c>
      <c r="G742" s="12" t="s">
        <v>1119</v>
      </c>
      <c r="H742" t="s">
        <v>1120</v>
      </c>
      <c r="I742" t="s">
        <v>1120</v>
      </c>
      <c r="J742" s="12" t="str">
        <f>CONCATENATE("(${Variables:",E742,"_kcat","} * ",E742," * ",G742,")","/(${Variables:",E742,"_km","} + (",E742," * ",G742,"))")</f>
        <v>(${Variables:E5_3_1_1_kcat} * E5_3_1_1 * C00118)/(${Variables:E5_3_1_1_km} + (E5_3_1_1 * C00118))</v>
      </c>
      <c r="K742" s="43" t="str">
        <f>CONCATENATE("r",D742,": ",F742," -&gt; ",H742," | ",J742)</f>
        <v>r752: C00118 -&gt; C00111 | (${Variables:E5_3_1_1_kcat} * E5_3_1_1 * C00118)/(${Variables:E5_3_1_1_km} + (E5_3_1_1 * C00118))</v>
      </c>
    </row>
    <row r="743" spans="1:11" ht="28.5" x14ac:dyDescent="0.45">
      <c r="A743" s="53" t="s">
        <v>5294</v>
      </c>
      <c r="B743" s="54" t="s">
        <v>5295</v>
      </c>
      <c r="C743" t="s">
        <v>10430</v>
      </c>
      <c r="D743" s="12">
        <v>753</v>
      </c>
      <c r="E743" s="12" t="str">
        <f>CONCATENATE("E",C743)</f>
        <v>E5_3_1_12</v>
      </c>
      <c r="F743" s="12" t="s">
        <v>9147</v>
      </c>
      <c r="G743" s="12" t="s">
        <v>9147</v>
      </c>
      <c r="H743" t="s">
        <v>9146</v>
      </c>
      <c r="I743" t="s">
        <v>9146</v>
      </c>
      <c r="J743" s="12" t="str">
        <f>CONCATENATE("(${Variables:",E743,"_kcat","} * ",E743," * ",G743,")","/(${Variables:",E743,"_km","} + (",E743," * ",G743,"))")</f>
        <v>(${Variables:E5_3_1_12_kcat} * E5_3_1_12 * C00191)/(${Variables:E5_3_1_12_km} + (E5_3_1_12 * C00191))</v>
      </c>
      <c r="K743" s="43" t="str">
        <f>CONCATENATE("r",D743,": ",F743," -&gt; ",H743," | ",J743)</f>
        <v>r753: C00191 -&gt; C00905 | (${Variables:E5_3_1_12_kcat} * E5_3_1_12 * C00191)/(${Variables:E5_3_1_12_km} + (E5_3_1_12 * C00191))</v>
      </c>
    </row>
    <row r="744" spans="1:11" ht="28.5" x14ac:dyDescent="0.45">
      <c r="A744" s="53" t="s">
        <v>5294</v>
      </c>
      <c r="B744" s="54" t="s">
        <v>5295</v>
      </c>
      <c r="C744" t="s">
        <v>10430</v>
      </c>
      <c r="D744" s="12">
        <v>754</v>
      </c>
      <c r="E744" s="12" t="str">
        <f>CONCATENATE("E",C744)</f>
        <v>E5_3_1_12</v>
      </c>
      <c r="F744" t="s">
        <v>9149</v>
      </c>
      <c r="G744" t="s">
        <v>9149</v>
      </c>
      <c r="H744" t="s">
        <v>9150</v>
      </c>
      <c r="I744" t="s">
        <v>9150</v>
      </c>
      <c r="J744" s="12" t="str">
        <f>CONCATENATE("(${Variables:",E744,"_kcat","} * ",E744," * ",G744,")","/(${Variables:",E744,"_km","} + (",E744," * ",G744,"))")</f>
        <v>(${Variables:E5_3_1_12_kcat} * E5_3_1_12 * C00333)/(${Variables:E5_3_1_12_km} + (E5_3_1_12 * C00333))</v>
      </c>
      <c r="K744" s="43" t="str">
        <f>CONCATENATE("r",D744,": ",F744," -&gt; ",H744," | ",J744)</f>
        <v>r754: C00333 -&gt; C00558 | (${Variables:E5_3_1_12_kcat} * E5_3_1_12 * C00333)/(${Variables:E5_3_1_12_km} + (E5_3_1_12 * C00333))</v>
      </c>
    </row>
    <row r="745" spans="1:11" ht="28.5" x14ac:dyDescent="0.45">
      <c r="A745" s="53" t="s">
        <v>6561</v>
      </c>
      <c r="B745" s="54" t="s">
        <v>6562</v>
      </c>
      <c r="C745" t="s">
        <v>1835</v>
      </c>
      <c r="D745" s="12">
        <v>755</v>
      </c>
      <c r="E745" s="12" t="str">
        <f>CONCATENATE("E",C745)</f>
        <v>E5_3_1_6</v>
      </c>
      <c r="F745" s="12" t="s">
        <v>1121</v>
      </c>
      <c r="G745" s="12" t="s">
        <v>1121</v>
      </c>
      <c r="H745" t="s">
        <v>1108</v>
      </c>
      <c r="I745" t="s">
        <v>1108</v>
      </c>
      <c r="J745" s="12" t="str">
        <f>CONCATENATE("(${Variables:",E745,"_kcat","} * ",E745," * ",G745,")","/(${Variables:",E745,"_km","} + (",E745," * ",G745,"))")</f>
        <v>(${Variables:E5_3_1_6_kcat} * E5_3_1_6 * C00117)/(${Variables:E5_3_1_6_km} + (E5_3_1_6 * C00117))</v>
      </c>
      <c r="K745" s="43" t="str">
        <f>CONCATENATE("r",D745,": ",F745," -&gt; ",H745," | ",J745)</f>
        <v>r755: C00117 -&gt; C00199 | (${Variables:E5_3_1_6_kcat} * E5_3_1_6 * C00117)/(${Variables:E5_3_1_6_km} + (E5_3_1_6 * C00117))</v>
      </c>
    </row>
    <row r="746" spans="1:11" ht="28.5" x14ac:dyDescent="0.45">
      <c r="A746" s="53" t="s">
        <v>6561</v>
      </c>
      <c r="B746" s="54" t="s">
        <v>6562</v>
      </c>
      <c r="C746" t="s">
        <v>1835</v>
      </c>
      <c r="D746" s="12">
        <v>756</v>
      </c>
      <c r="E746" s="12" t="str">
        <f>CONCATENATE("E",C746)</f>
        <v>E5_3_1_6</v>
      </c>
      <c r="F746" s="12" t="s">
        <v>1122</v>
      </c>
      <c r="G746" s="12" t="s">
        <v>1122</v>
      </c>
      <c r="H746" t="s">
        <v>1123</v>
      </c>
      <c r="I746" t="s">
        <v>1123</v>
      </c>
      <c r="J746" s="12" t="str">
        <f>CONCATENATE("(${Variables:",E746,"_kcat","} * ",E746," * ",G746,")","/(${Variables:",E746,"_km","} + (",E746," * ",G746,"))")</f>
        <v>(${Variables:E5_3_1_6_kcat} * E5_3_1_6 * C02962)/(${Variables:E5_3_1_6_km} + (E5_3_1_6 * C02962))</v>
      </c>
      <c r="K746" s="43" t="str">
        <f>CONCATENATE("r",D746,": ",F746," -&gt; ",H746," | ",J746)</f>
        <v>r756: C02962 -&gt; C18096 | (${Variables:E5_3_1_6_kcat} * E5_3_1_6 * C02962)/(${Variables:E5_3_1_6_km} + (E5_3_1_6 * C02962))</v>
      </c>
    </row>
    <row r="747" spans="1:11" ht="28.5" x14ac:dyDescent="0.45">
      <c r="A747" s="53" t="s">
        <v>4565</v>
      </c>
      <c r="B747" s="54" t="s">
        <v>4566</v>
      </c>
      <c r="C747" t="s">
        <v>10431</v>
      </c>
      <c r="D747" s="12">
        <v>757</v>
      </c>
      <c r="E747" s="12" t="str">
        <f>CONCATENATE("E",C747)</f>
        <v>E5_3_1_8</v>
      </c>
      <c r="F747" s="12" t="s">
        <v>8707</v>
      </c>
      <c r="G747" s="12" t="s">
        <v>8707</v>
      </c>
      <c r="H747" t="s">
        <v>1127</v>
      </c>
      <c r="I747" t="s">
        <v>1127</v>
      </c>
      <c r="J747" s="12" t="str">
        <f>CONCATENATE("(${Variables:",E747,"_kcat","} * ",E747," * ",G747,")","/(${Variables:",E747,"_km","} + (",E747," * ",G747,"))")</f>
        <v>(${Variables:E5_3_1_8_kcat} * E5_3_1_8 * C00275)/(${Variables:E5_3_1_8_km} + (E5_3_1_8 * C00275))</v>
      </c>
      <c r="K747" s="43" t="str">
        <f>CONCATENATE("r",D747,": ",F747," -&gt; ",H747," | ",J747)</f>
        <v>r757: C00275 -&gt; C00085 | (${Variables:E5_3_1_8_kcat} * E5_3_1_8 * C00275)/(${Variables:E5_3_1_8_km} + (E5_3_1_8 * C00275))</v>
      </c>
    </row>
    <row r="748" spans="1:11" ht="28.5" x14ac:dyDescent="0.45">
      <c r="A748" s="53" t="s">
        <v>4565</v>
      </c>
      <c r="B748" s="54" t="s">
        <v>4566</v>
      </c>
      <c r="C748" t="s">
        <v>10431</v>
      </c>
      <c r="D748" s="12">
        <v>758</v>
      </c>
      <c r="E748" s="12" t="str">
        <f>CONCATENATE("E",C748)</f>
        <v>E5_3_1_8</v>
      </c>
      <c r="F748" s="12" t="s">
        <v>8707</v>
      </c>
      <c r="G748" s="12" t="s">
        <v>8707</v>
      </c>
      <c r="H748" t="s">
        <v>1125</v>
      </c>
      <c r="I748" t="s">
        <v>1125</v>
      </c>
      <c r="J748" s="12" t="str">
        <f>CONCATENATE("(${Variables:",E748,"_kcat","} * ",E748," * ",G748,")","/(${Variables:",E748,"_km","} + (",E748," * ",G748,"))")</f>
        <v>(${Variables:E5_3_1_8_kcat} * E5_3_1_8 * C00275)/(${Variables:E5_3_1_8_km} + (E5_3_1_8 * C00275))</v>
      </c>
      <c r="K748" s="43" t="str">
        <f>CONCATENATE("r",D748,": ",F748," -&gt; ",H748," | ",J748)</f>
        <v>r758: C00275 -&gt; C05345 | (${Variables:E5_3_1_8_kcat} * E5_3_1_8 * C00275)/(${Variables:E5_3_1_8_km} + (E5_3_1_8 * C00275))</v>
      </c>
    </row>
    <row r="749" spans="1:11" ht="28.5" x14ac:dyDescent="0.45">
      <c r="A749" s="53" t="s">
        <v>4106</v>
      </c>
      <c r="B749" s="54" t="s">
        <v>4107</v>
      </c>
      <c r="C749" t="s">
        <v>1827</v>
      </c>
      <c r="D749" s="12">
        <v>759</v>
      </c>
      <c r="E749" s="12" t="str">
        <f>CONCATENATE("E",C749)</f>
        <v>E5_3_1_9</v>
      </c>
      <c r="F749" s="12" t="s">
        <v>1124</v>
      </c>
      <c r="G749" s="12" t="s">
        <v>1124</v>
      </c>
      <c r="H749" t="s">
        <v>1125</v>
      </c>
      <c r="I749" t="s">
        <v>1125</v>
      </c>
      <c r="J749" s="12" t="str">
        <f>CONCATENATE("(${Variables:",E749,"_kcat","} * ",E749," * ",G749,")","/(${Variables:",E749,"_km","} + (",E749," * ",G749,"))")</f>
        <v>(${Variables:E5_3_1_9_kcat} * E5_3_1_9 * C00668)/(${Variables:E5_3_1_9_km} + (E5_3_1_9 * C00668))</v>
      </c>
      <c r="K749" s="43" t="str">
        <f>CONCATENATE("r",D749,": ",F749," -&gt; ",H749," | ",J749)</f>
        <v>r759: C00668 -&gt; C05345 | (${Variables:E5_3_1_9_kcat} * E5_3_1_9 * C00668)/(${Variables:E5_3_1_9_km} + (E5_3_1_9 * C00668))</v>
      </c>
    </row>
    <row r="750" spans="1:11" ht="28.5" x14ac:dyDescent="0.45">
      <c r="A750" s="53" t="s">
        <v>4106</v>
      </c>
      <c r="B750" s="54" t="s">
        <v>4107</v>
      </c>
      <c r="C750" t="s">
        <v>1827</v>
      </c>
      <c r="D750" s="12">
        <v>760</v>
      </c>
      <c r="E750" s="12" t="str">
        <f>CONCATENATE("E",C750)</f>
        <v>E5_3_1_9</v>
      </c>
      <c r="F750" t="s">
        <v>1126</v>
      </c>
      <c r="G750" t="s">
        <v>1126</v>
      </c>
      <c r="H750" t="s">
        <v>1127</v>
      </c>
      <c r="I750" t="s">
        <v>1127</v>
      </c>
      <c r="J750" s="12" t="str">
        <f>CONCATENATE("(${Variables:",E750,"_kcat","} * ",E750," * ",G750,")","/(${Variables:",E750,"_km","} + (",E750," * ",G750,"))")</f>
        <v>(${Variables:E5_3_1_9_kcat} * E5_3_1_9 * C00092)/(${Variables:E5_3_1_9_km} + (E5_3_1_9 * C00092))</v>
      </c>
      <c r="K750" s="43" t="str">
        <f>CONCATENATE("r",D750,": ",F750," -&gt; ",H750," | ",J750)</f>
        <v>r760: C00092 -&gt; C00085 | (${Variables:E5_3_1_9_kcat} * E5_3_1_9 * C00092)/(${Variables:E5_3_1_9_km} + (E5_3_1_9 * C00092))</v>
      </c>
    </row>
    <row r="751" spans="1:11" ht="28.5" x14ac:dyDescent="0.45">
      <c r="A751" s="53" t="s">
        <v>4106</v>
      </c>
      <c r="B751" s="54" t="s">
        <v>4107</v>
      </c>
      <c r="C751" t="s">
        <v>1827</v>
      </c>
      <c r="D751" s="12">
        <v>761</v>
      </c>
      <c r="E751" s="12" t="str">
        <f>CONCATENATE("E",C751)</f>
        <v>E5_3_1_9</v>
      </c>
      <c r="F751" t="s">
        <v>1124</v>
      </c>
      <c r="G751" t="s">
        <v>1124</v>
      </c>
      <c r="H751" t="s">
        <v>1128</v>
      </c>
      <c r="I751" t="s">
        <v>1128</v>
      </c>
      <c r="J751" s="12" t="str">
        <f>CONCATENATE("(${Variables:",E751,"_kcat","} * ",E751," * ",G751,")","/(${Variables:",E751,"_km","} + (",E751," * ",G751,"))")</f>
        <v>(${Variables:E5_3_1_9_kcat} * E5_3_1_9 * C00668)/(${Variables:E5_3_1_9_km} + (E5_3_1_9 * C00668))</v>
      </c>
      <c r="K751" s="43" t="str">
        <f>CONCATENATE("r",D751,": ",F751," -&gt; ",H751," | ",J751)</f>
        <v>r761: C00668 -&gt; C01172 | (${Variables:E5_3_1_9_kcat} * E5_3_1_9 * C00668)/(${Variables:E5_3_1_9_km} + (E5_3_1_9 * C00668))</v>
      </c>
    </row>
    <row r="752" spans="1:11" ht="28.5" x14ac:dyDescent="0.45">
      <c r="A752" s="53" t="s">
        <v>4106</v>
      </c>
      <c r="B752" s="54" t="s">
        <v>4107</v>
      </c>
      <c r="C752" t="s">
        <v>1827</v>
      </c>
      <c r="D752" s="12">
        <v>762</v>
      </c>
      <c r="E752" s="12" t="str">
        <f>CONCATENATE("E",C752)</f>
        <v>E5_3_1_9</v>
      </c>
      <c r="F752" s="12" t="s">
        <v>1128</v>
      </c>
      <c r="G752" s="12" t="s">
        <v>1128</v>
      </c>
      <c r="H752" t="s">
        <v>1125</v>
      </c>
      <c r="I752" t="s">
        <v>1125</v>
      </c>
      <c r="J752" s="12" t="str">
        <f>CONCATENATE("(${Variables:",E752,"_kcat","} * ",E752," * ",G752,")","/(${Variables:",E752,"_km","} + (",E752," * ",G752,"))")</f>
        <v>(${Variables:E5_3_1_9_kcat} * E5_3_1_9 * C01172)/(${Variables:E5_3_1_9_km} + (E5_3_1_9 * C01172))</v>
      </c>
      <c r="K752" s="43" t="str">
        <f>CONCATENATE("r",D752,": ",F752," -&gt; ",H752," | ",J752)</f>
        <v>r762: C01172 -&gt; C05345 | (${Variables:E5_3_1_9_kcat} * E5_3_1_9 * C01172)/(${Variables:E5_3_1_9_km} + (E5_3_1_9 * C01172))</v>
      </c>
    </row>
    <row r="753" spans="1:11" ht="28.5" x14ac:dyDescent="0.45">
      <c r="A753" s="53" t="s">
        <v>4106</v>
      </c>
      <c r="B753" s="54" t="s">
        <v>4107</v>
      </c>
      <c r="C753" t="s">
        <v>1827</v>
      </c>
      <c r="D753" s="12">
        <v>763</v>
      </c>
      <c r="E753" s="12" t="str">
        <f>CONCATENATE("E",C753)</f>
        <v>E5_3_1_9</v>
      </c>
      <c r="F753" t="s">
        <v>8584</v>
      </c>
      <c r="G753" t="s">
        <v>8584</v>
      </c>
      <c r="H753" t="s">
        <v>1127</v>
      </c>
      <c r="I753" t="s">
        <v>1127</v>
      </c>
      <c r="J753" s="12" t="str">
        <f>CONCATENATE("(${Variables:",E753,"_kcat","} * ",E753," * ",G753,")","/(${Variables:",E753,"_km","} + (",E753," * ",G753,"))")</f>
        <v>(${Variables:E5_3_1_9_kcat} * E5_3_1_9 * C00668 )/(${Variables:E5_3_1_9_km} + (E5_3_1_9 * C00668 ))</v>
      </c>
      <c r="K753" s="43" t="str">
        <f>CONCATENATE("r",D753,": ",F753," -&gt; ",H753," | ",J753)</f>
        <v>r763: C00668  -&gt; C00085 | (${Variables:E5_3_1_9_kcat} * E5_3_1_9 * C00668 )/(${Variables:E5_3_1_9_km} + (E5_3_1_9 * C00668 ))</v>
      </c>
    </row>
    <row r="754" spans="1:11" ht="28.5" x14ac:dyDescent="0.45">
      <c r="A754" s="53" t="s">
        <v>6281</v>
      </c>
      <c r="B754" s="54" t="s">
        <v>6282</v>
      </c>
      <c r="C754" t="s">
        <v>1883</v>
      </c>
      <c r="D754" s="12">
        <v>764</v>
      </c>
      <c r="E754" s="12" t="str">
        <f>CONCATENATE("E",C754)</f>
        <v>E5_3_2_6</v>
      </c>
      <c r="F754" s="12" t="s">
        <v>1129</v>
      </c>
      <c r="G754" s="12" t="s">
        <v>1129</v>
      </c>
      <c r="H754" t="s">
        <v>1130</v>
      </c>
      <c r="I754" t="s">
        <v>1130</v>
      </c>
      <c r="J754" s="12" t="str">
        <f>CONCATENATE("(${Variables:",E754,"_kcat","} * ",E754," * ",G754,")","/(${Variables:",E754,"_km","} + (",E754," * ",G754,"))")</f>
        <v>(${Variables:E5_3_2_6_kcat} * E5_3_2_6 * C02501)/(${Variables:E5_3_2_6_km} + (E5_3_2_6 * C02501))</v>
      </c>
      <c r="K754" s="43" t="str">
        <f>CONCATENATE("r",D754,": ",F754," -&gt; ",H754," | ",J754)</f>
        <v>r764: C02501 -&gt; C03453 | (${Variables:E5_3_2_6_kcat} * E5_3_2_6 * C02501)/(${Variables:E5_3_2_6_km} + (E5_3_2_6 * C02501))</v>
      </c>
    </row>
    <row r="755" spans="1:11" ht="28.5" x14ac:dyDescent="0.45">
      <c r="A755" s="53" t="s">
        <v>6281</v>
      </c>
      <c r="B755" s="54" t="s">
        <v>6282</v>
      </c>
      <c r="C755" t="s">
        <v>1883</v>
      </c>
      <c r="D755" s="12">
        <v>765</v>
      </c>
      <c r="E755" s="12" t="str">
        <f>CONCATENATE("E",C755)</f>
        <v>E5_3_2_6</v>
      </c>
      <c r="F755" s="12" t="s">
        <v>1131</v>
      </c>
      <c r="G755" s="12" t="s">
        <v>1131</v>
      </c>
      <c r="H755" t="s">
        <v>1132</v>
      </c>
      <c r="I755" t="s">
        <v>1132</v>
      </c>
      <c r="J755" s="12" t="str">
        <f>CONCATENATE("(${Variables:",E755,"_kcat","} * ",E755," * ",G755,")","/(${Variables:",E755,"_km","} + (",E755," * ",G755,"))")</f>
        <v>(${Variables:E5_3_2_6_kcat} * E5_3_2_6 * C07478)/(${Variables:E5_3_2_6_km} + (E5_3_2_6 * C07478))</v>
      </c>
      <c r="K755" s="43" t="str">
        <f>CONCATENATE("r",D755,": ",F755," -&gt; ",H755," | ",J755)</f>
        <v>r765: C07478 -&gt; C07479 | (${Variables:E5_3_2_6_kcat} * E5_3_2_6 * C07478)/(${Variables:E5_3_2_6_km} + (E5_3_2_6 * C07478))</v>
      </c>
    </row>
    <row r="756" spans="1:11" ht="28.5" x14ac:dyDescent="0.45">
      <c r="A756" s="53" t="s">
        <v>6391</v>
      </c>
      <c r="B756" s="54" t="s">
        <v>6392</v>
      </c>
      <c r="C756" t="s">
        <v>1837</v>
      </c>
      <c r="D756" s="12">
        <v>766</v>
      </c>
      <c r="E756" s="12" t="str">
        <f>CONCATENATE("E",C756)</f>
        <v>E5_3_3_2</v>
      </c>
      <c r="F756" s="12" t="s">
        <v>1133</v>
      </c>
      <c r="G756" s="12" t="s">
        <v>1133</v>
      </c>
      <c r="H756" t="s">
        <v>1134</v>
      </c>
      <c r="I756" t="s">
        <v>1134</v>
      </c>
      <c r="J756" s="12" t="str">
        <f>CONCATENATE("(${Variables:",E756,"_kcat","} * ",E756," * ",G756,")","/(${Variables:",E756,"_km","} + (",E756," * ",G756,"))")</f>
        <v>(${Variables:E5_3_3_2_kcat} * E5_3_3_2 * C00129)/(${Variables:E5_3_3_2_km} + (E5_3_3_2 * C00129))</v>
      </c>
      <c r="K756" s="43" t="str">
        <f>CONCATENATE("r",D756,": ",F756," -&gt; ",H756," | ",J756)</f>
        <v>r766: C00129 -&gt; C00235 | (${Variables:E5_3_3_2_kcat} * E5_3_3_2 * C00129)/(${Variables:E5_3_3_2_km} + (E5_3_3_2 * C00129))</v>
      </c>
    </row>
    <row r="757" spans="1:11" ht="28.5" x14ac:dyDescent="0.45">
      <c r="A757" s="53" t="s">
        <v>6638</v>
      </c>
      <c r="B757" s="54" t="s">
        <v>6639</v>
      </c>
      <c r="C757" t="s">
        <v>1897</v>
      </c>
      <c r="D757" s="12">
        <v>767</v>
      </c>
      <c r="E757" s="12" t="str">
        <f>CONCATENATE("E",C757)</f>
        <v>E5_4_2_10</v>
      </c>
      <c r="F757" s="12" t="s">
        <v>1135</v>
      </c>
      <c r="G757" s="12" t="s">
        <v>1135</v>
      </c>
      <c r="H757" t="s">
        <v>1136</v>
      </c>
      <c r="I757" t="s">
        <v>1136</v>
      </c>
      <c r="J757" s="12" t="str">
        <f>CONCATENATE("(${Variables:",E757,"_kcat","} * ",E757," * ",G757,")","/(${Variables:",E757,"_km","} + (",E757," * ",G757,"))")</f>
        <v>(${Variables:E5_4_2_10_kcat} * E5_4_2_10 * C06156)/(${Variables:E5_4_2_10_km} + (E5_4_2_10 * C06156))</v>
      </c>
      <c r="K757" s="43" t="str">
        <f>CONCATENATE("r",D757,": ",F757," -&gt; ",H757," | ",J757)</f>
        <v>r767: C06156 -&gt; C00352 | (${Variables:E5_4_2_10_kcat} * E5_4_2_10 * C06156)/(${Variables:E5_4_2_10_km} + (E5_4_2_10 * C06156))</v>
      </c>
    </row>
    <row r="758" spans="1:11" ht="28.5" x14ac:dyDescent="0.45">
      <c r="A758" s="53" t="s">
        <v>5158</v>
      </c>
      <c r="B758" s="54" t="s">
        <v>5159</v>
      </c>
      <c r="C758" t="s">
        <v>10432</v>
      </c>
      <c r="D758" s="12">
        <v>768</v>
      </c>
      <c r="E758" s="12" t="str">
        <f>CONCATENATE("E",C758)</f>
        <v>E5_4_2_12</v>
      </c>
      <c r="F758" t="s">
        <v>1096</v>
      </c>
      <c r="G758" t="s">
        <v>1096</v>
      </c>
      <c r="H758" t="s">
        <v>2283</v>
      </c>
      <c r="I758" t="s">
        <v>2283</v>
      </c>
      <c r="J758" s="12" t="str">
        <f>CONCATENATE("(${Variables:",E758,"_kcat","} * ",E758," * ",G758,")","/(${Variables:",E758,"_km","} + (",E758," * ",G758,"))")</f>
        <v>(${Variables:E5_4_2_12_kcat} * E5_4_2_12 * C00631)/(${Variables:E5_4_2_12_km} + (E5_4_2_12 * C00631))</v>
      </c>
      <c r="K758" s="43" t="str">
        <f>CONCATENATE("r",D758,": ",F758," -&gt; ",H758," | ",J758)</f>
        <v>r768: C00631 -&gt; C00197 | (${Variables:E5_4_2_12_kcat} * E5_4_2_12 * C00631)/(${Variables:E5_4_2_12_km} + (E5_4_2_12 * C00631))</v>
      </c>
    </row>
    <row r="759" spans="1:11" ht="28.5" x14ac:dyDescent="0.45">
      <c r="A759" s="53" t="s">
        <v>6559</v>
      </c>
      <c r="B759" s="54" t="s">
        <v>6560</v>
      </c>
      <c r="C759" t="s">
        <v>10433</v>
      </c>
      <c r="D759" s="12">
        <v>769</v>
      </c>
      <c r="E759" s="12" t="str">
        <f>CONCATENATE("E",C759)</f>
        <v>E5_4_2_7</v>
      </c>
      <c r="F759" s="12" t="s">
        <v>9742</v>
      </c>
      <c r="G759" s="12" t="s">
        <v>9742</v>
      </c>
      <c r="H759" t="s">
        <v>1121</v>
      </c>
      <c r="I759" t="s">
        <v>1121</v>
      </c>
      <c r="J759" s="12" t="str">
        <f>CONCATENATE("(${Variables:",E759,"_kcat","} * ",E759," * ",G759,")","/(${Variables:",E759,"_km","} + (",E759," * ",G759,"))")</f>
        <v>(${Variables:E5_4_2_7_kcat} * E5_4_2_7 * C00620)/(${Variables:E5_4_2_7_km} + (E5_4_2_7 * C00620))</v>
      </c>
      <c r="K759" s="43" t="str">
        <f>CONCATENATE("r",D759,": ",F759," -&gt; ",H759," | ",J759)</f>
        <v>r769: C00620 -&gt; C00117 | (${Variables:E5_4_2_7_kcat} * E5_4_2_7 * C00620)/(${Variables:E5_4_2_7_km} + (E5_4_2_7 * C00620))</v>
      </c>
    </row>
    <row r="760" spans="1:11" ht="28.5" x14ac:dyDescent="0.45">
      <c r="A760" s="53" t="s">
        <v>6559</v>
      </c>
      <c r="B760" s="54" t="s">
        <v>6560</v>
      </c>
      <c r="C760" t="s">
        <v>10433</v>
      </c>
      <c r="D760" s="12">
        <v>770</v>
      </c>
      <c r="E760" s="12" t="str">
        <f>CONCATENATE("E",C760)</f>
        <v>E5_4_2_7</v>
      </c>
      <c r="F760" s="12" t="s">
        <v>9744</v>
      </c>
      <c r="G760" s="12" t="s">
        <v>9744</v>
      </c>
      <c r="H760" t="s">
        <v>1094</v>
      </c>
      <c r="I760" t="s">
        <v>1094</v>
      </c>
      <c r="J760" s="12" t="str">
        <f>CONCATENATE("(${Variables:",E760,"_kcat","} * ",E760," * ",G760,")","/(${Variables:",E760,"_km","} + (",E760," * ",G760,"))")</f>
        <v>(${Variables:E5_4_2_7_kcat} * E5_4_2_7 * C00672)/(${Variables:E5_4_2_7_km} + (E5_4_2_7 * C00672))</v>
      </c>
      <c r="K760" s="43" t="str">
        <f>CONCATENATE("r",D760,": ",F760," -&gt; ",H760," | ",J760)</f>
        <v>r770: C00672 -&gt; C00673 | (${Variables:E5_4_2_7_kcat} * E5_4_2_7 * C00672)/(${Variables:E5_4_2_7_km} + (E5_4_2_7 * C00672))</v>
      </c>
    </row>
    <row r="761" spans="1:11" ht="42.75" x14ac:dyDescent="0.45">
      <c r="A761" s="53" t="s">
        <v>7787</v>
      </c>
      <c r="B761" s="54" t="s">
        <v>7788</v>
      </c>
      <c r="C761" t="s">
        <v>1868</v>
      </c>
      <c r="D761" s="12">
        <v>771</v>
      </c>
      <c r="E761" s="12" t="str">
        <f>CONCATENATE("E",C761)</f>
        <v>E5_4_99_12</v>
      </c>
      <c r="F761" s="12" t="s">
        <v>1138</v>
      </c>
      <c r="G761" s="12" t="s">
        <v>1138</v>
      </c>
      <c r="H761" t="s">
        <v>1139</v>
      </c>
      <c r="I761" t="s">
        <v>1139</v>
      </c>
      <c r="J761" s="12" t="str">
        <f>CONCATENATE("(${Variables:",E761,"_kcat","} * ",E761," * ",G761,")","/(${Variables:",E761,"_km","} + (",E761," * ",G761,"))")</f>
        <v>(${Variables:E5_4_99_12_kcat} * E5_4_99_12 * C00868)/(${Variables:E5_4_99_12_km} + (E5_4_99_12 * C00868))</v>
      </c>
      <c r="K761" s="43" t="str">
        <f>CONCATENATE("r",D761,": ",F761," -&gt; ",H761," | ",J761)</f>
        <v>r771: C00868 -&gt; C02764 | (${Variables:E5_4_99_12_kcat} * E5_4_99_12 * C00868)/(${Variables:E5_4_99_12_km} + (E5_4_99_12 * C00868))</v>
      </c>
    </row>
    <row r="762" spans="1:11" ht="42.75" x14ac:dyDescent="0.45">
      <c r="A762" s="53" t="s">
        <v>3694</v>
      </c>
      <c r="B762" s="54" t="s">
        <v>3695</v>
      </c>
      <c r="C762" t="s">
        <v>1899</v>
      </c>
      <c r="D762" s="12">
        <v>772</v>
      </c>
      <c r="E762" s="12" t="str">
        <f>CONCATENATE("E",C762)</f>
        <v>E5_4_99_18</v>
      </c>
      <c r="F762" s="12" t="s">
        <v>1090</v>
      </c>
      <c r="G762" s="12" t="s">
        <v>1090</v>
      </c>
      <c r="H762" t="s">
        <v>1089</v>
      </c>
      <c r="I762" t="s">
        <v>1089</v>
      </c>
      <c r="J762" s="12" t="str">
        <f>CONCATENATE("(${Variables:",E762,"_kcat","} * ",E762," * ",G762,")","/(${Variables:",E762,"_km","} + (",E762," * ",G762,"))")</f>
        <v>(${Variables:E5_4_99_18_kcat} * E5_4_99_18 * C15667)/(${Variables:E5_4_99_18_km} + (E5_4_99_18 * C15667))</v>
      </c>
      <c r="K762" s="43" t="str">
        <f>CONCATENATE("r",D762,": ",F762," -&gt; ",H762," | ",J762)</f>
        <v>r772: C15667 -&gt; C04751 | (${Variables:E5_4_99_18_kcat} * E5_4_99_18 * C15667)/(${Variables:E5_4_99_18_km} + (E5_4_99_18 * C15667))</v>
      </c>
    </row>
    <row r="763" spans="1:11" ht="28.5" x14ac:dyDescent="0.45">
      <c r="A763" s="53" t="s">
        <v>5553</v>
      </c>
      <c r="B763" s="54" t="s">
        <v>5554</v>
      </c>
      <c r="C763" t="s">
        <v>10435</v>
      </c>
      <c r="D763" s="12">
        <v>773</v>
      </c>
      <c r="E763" s="12" t="str">
        <f>CONCATENATE("E",C763)</f>
        <v>E5_4_99_5</v>
      </c>
      <c r="F763" s="12" t="s">
        <v>9188</v>
      </c>
      <c r="G763" s="12" t="s">
        <v>9188</v>
      </c>
      <c r="H763" t="s">
        <v>9189</v>
      </c>
      <c r="I763" t="s">
        <v>9189</v>
      </c>
      <c r="J763" s="12" t="str">
        <f>CONCATENATE("(${Variables:",E763,"_kcat","} * ",E763," * ",G763,")","/(${Variables:",E763,"_km","} + (",E763," * ",G763,"))")</f>
        <v>(${Variables:E5_4_99_5_kcat} * E5_4_99_5 * C00251)/(${Variables:E5_4_99_5_km} + (E5_4_99_5 * C00251))</v>
      </c>
      <c r="K763" s="43" t="str">
        <f>CONCATENATE("r",D763,": ",F763," -&gt; ",H763," | ",J763)</f>
        <v>r773: C00251 -&gt; C00254 | (${Variables:E5_4_99_5_kcat} * E5_4_99_5 * C00251)/(${Variables:E5_4_99_5_km} + (E5_4_99_5 * C00251))</v>
      </c>
    </row>
    <row r="764" spans="1:11" ht="42.75" x14ac:dyDescent="0.45">
      <c r="A764" s="53" t="s">
        <v>4819</v>
      </c>
      <c r="B764" s="54" t="s">
        <v>4820</v>
      </c>
      <c r="C764" t="s">
        <v>1898</v>
      </c>
      <c r="D764" s="12">
        <v>774</v>
      </c>
      <c r="E764" s="12" t="str">
        <f>CONCATENATE("E",C764)</f>
        <v>E5_4_99_62</v>
      </c>
      <c r="F764" s="12" t="s">
        <v>1140</v>
      </c>
      <c r="G764" s="12" t="s">
        <v>1140</v>
      </c>
      <c r="H764" t="s">
        <v>1141</v>
      </c>
      <c r="I764" t="s">
        <v>1141</v>
      </c>
      <c r="J764" s="12" t="str">
        <f>CONCATENATE("(${Variables:",E764,"_kcat","} * ",E764," * ",G764,")","/(${Variables:",E764,"_km","} + (",E764," * ",G764,"))")</f>
        <v>(${Variables:E5_4_99_62_kcat} * E5_4_99_62 * C08353)/(${Variables:E5_4_99_62_km} + (E5_4_99_62 * C08353))</v>
      </c>
      <c r="K764" s="43" t="str">
        <f>CONCATENATE("r",D764,": ",F764," -&gt; ",H764," | ",J764)</f>
        <v>r774: C08353 -&gt; C16639 | (${Variables:E5_4_99_62_kcat} * E5_4_99_62 * C08353)/(${Variables:E5_4_99_62_km} + (E5_4_99_62 * C08353))</v>
      </c>
    </row>
    <row r="765" spans="1:11" ht="42.75" x14ac:dyDescent="0.45">
      <c r="A765" s="53" t="s">
        <v>5592</v>
      </c>
      <c r="B765" s="54" t="s">
        <v>5593</v>
      </c>
      <c r="C765" t="s">
        <v>10437</v>
      </c>
      <c r="D765" s="12">
        <v>775</v>
      </c>
      <c r="E765" s="12" t="str">
        <f>CONCATENATE("E",C765)</f>
        <v>E5_6_2_2</v>
      </c>
      <c r="F765" s="12" t="s">
        <v>3120</v>
      </c>
      <c r="G765" s="12" t="s">
        <v>1637</v>
      </c>
      <c r="H765" t="s">
        <v>3404</v>
      </c>
      <c r="I765" t="s">
        <v>1638</v>
      </c>
      <c r="J765" s="12" t="str">
        <f>CONCATENATE("(${Variables:",E765,"_kcat","} * ",E765," * ",G765,")","/(${Variables:",E765,"_km","} + (",E765," * ",G765,"))")</f>
        <v>(${Variables:E5_6_2_2_kcat} * E5_6_2_2 * C05893 * C11826)/(${Variables:E5_6_2_2_km} + (E5_6_2_2 * C05893 * C11826))</v>
      </c>
      <c r="K765" s="43" t="str">
        <f>CONCATENATE("r",D765,": ",F765," -&gt; ",H765," | ",J765)</f>
        <v>r775: C05893 + C11826 -&gt; C04574 + C11826 | (${Variables:E5_6_2_2_kcat} * E5_6_2_2 * C05893 * C11826)/(${Variables:E5_6_2_2_km} + (E5_6_2_2 * C05893 * C11826))</v>
      </c>
    </row>
    <row r="766" spans="1:11" ht="42.75" x14ac:dyDescent="0.45">
      <c r="A766" s="53" t="s">
        <v>5592</v>
      </c>
      <c r="B766" s="54" t="s">
        <v>5593</v>
      </c>
      <c r="C766" t="s">
        <v>10437</v>
      </c>
      <c r="D766" s="12">
        <v>776</v>
      </c>
      <c r="E766" s="12" t="str">
        <f>CONCATENATE("E",C766)</f>
        <v>E5_6_2_2</v>
      </c>
      <c r="F766" t="s">
        <v>3121</v>
      </c>
      <c r="G766" t="s">
        <v>1641</v>
      </c>
      <c r="H766" t="s">
        <v>3405</v>
      </c>
      <c r="I766" t="s">
        <v>1642</v>
      </c>
      <c r="J766" s="12" t="str">
        <f>CONCATENATE("(${Variables:",E766,"_kcat","} * ",E766," * ",G766,")","/(${Variables:",E766,"_km","} + (",E766," * ",G766,"))")</f>
        <v>(${Variables:E5_6_2_2_kcat} * E5_6_2_2 * C05898 * C11827)/(${Variables:E5_6_2_2_km} + (E5_6_2_2 * C05898 * C11827))</v>
      </c>
      <c r="K766" s="43" t="str">
        <f>CONCATENATE("r",D766,": ",F766," -&gt; ",H766," | ",J766)</f>
        <v>r776: C05898 + C11827 -&gt; C04574 + C11827 | (${Variables:E5_6_2_2_kcat} * E5_6_2_2 * C05898 * C11827)/(${Variables:E5_6_2_2_km} + (E5_6_2_2 * C05898 * C11827))</v>
      </c>
    </row>
    <row r="767" spans="1:11" ht="42.75" x14ac:dyDescent="0.45">
      <c r="A767" s="53" t="s">
        <v>5592</v>
      </c>
      <c r="B767" s="54" t="s">
        <v>5593</v>
      </c>
      <c r="C767" t="s">
        <v>10437</v>
      </c>
      <c r="D767" s="12">
        <v>777</v>
      </c>
      <c r="E767" s="12" t="str">
        <f>CONCATENATE("E",C767)</f>
        <v>E5_6_2_2</v>
      </c>
      <c r="F767" t="s">
        <v>9198</v>
      </c>
      <c r="G767" t="s">
        <v>1713</v>
      </c>
      <c r="H767" t="s">
        <v>9199</v>
      </c>
      <c r="I767" t="s">
        <v>1714</v>
      </c>
      <c r="J767" s="12" t="str">
        <f>CONCATENATE("(${Variables:",E767,"_kcat","} * ",E767," * ",G767,")","/(${Variables:",E767,"_km","} + (",E767," * ",G767,"))")</f>
        <v>(${Variables:E5_6_2_2_kcat} * E5_6_2_2 * G10553 * G10554)/(${Variables:E5_6_2_2_km} + (E5_6_2_2 * G10553 * G10554))</v>
      </c>
      <c r="K767" s="43" t="str">
        <f>CONCATENATE("r",D767,": ",F767," -&gt; ",H767," | ",J767)</f>
        <v>r777: G10553 + G10554 -&gt; C04574 + G10554 | (${Variables:E5_6_2_2_kcat} * E5_6_2_2 * G10553 * G10554)/(${Variables:E5_6_2_2_km} + (E5_6_2_2 * G10553 * G10554))</v>
      </c>
    </row>
    <row r="768" spans="1:11" ht="42.75" x14ac:dyDescent="0.45">
      <c r="A768" s="53" t="s">
        <v>5592</v>
      </c>
      <c r="B768" s="54" t="s">
        <v>5593</v>
      </c>
      <c r="C768" t="s">
        <v>10437</v>
      </c>
      <c r="D768" s="12">
        <v>778</v>
      </c>
      <c r="E768" s="12" t="str">
        <f>CONCATENATE("E",C768)</f>
        <v>E5_6_2_2</v>
      </c>
      <c r="F768" s="12" t="s">
        <v>9202</v>
      </c>
      <c r="G768" s="12" t="s">
        <v>1715</v>
      </c>
      <c r="H768" t="s">
        <v>9203</v>
      </c>
      <c r="I768" t="s">
        <v>1716</v>
      </c>
      <c r="J768" s="12" t="str">
        <f>CONCATENATE("(${Variables:",E768,"_kcat","} * ",E768," * ",G768,")","/(${Variables:",E768,"_km","} + (",E768," * ",G768,"))")</f>
        <v>(${Variables:E5_6_2_2_kcat} * E5_6_2_2 * G10555 * G10557)/(${Variables:E5_6_2_2_km} + (E5_6_2_2 * G10555 * G10557))</v>
      </c>
      <c r="K768" s="43" t="str">
        <f>CONCATENATE("r",D768,": ",F768," -&gt; ",H768," | ",J768)</f>
        <v>r778: G10555 + G10557 -&gt; C04574 + G10557 | (${Variables:E5_6_2_2_kcat} * E5_6_2_2 * G10555 * G10557)/(${Variables:E5_6_2_2_km} + (E5_6_2_2 * G10555 * G10557))</v>
      </c>
    </row>
    <row r="769" spans="1:11" ht="42.75" x14ac:dyDescent="0.45">
      <c r="A769" s="53" t="s">
        <v>3871</v>
      </c>
      <c r="B769" s="54" t="s">
        <v>3872</v>
      </c>
      <c r="C769" t="s">
        <v>1744</v>
      </c>
      <c r="D769" s="12">
        <v>779</v>
      </c>
      <c r="E769" s="12" t="str">
        <f>CONCATENATE("E",C769)</f>
        <v>E6_1_1_1</v>
      </c>
      <c r="F769" t="s">
        <v>3258</v>
      </c>
      <c r="G769" t="s">
        <v>1189</v>
      </c>
      <c r="H769" t="s">
        <v>3545</v>
      </c>
      <c r="I769" t="s">
        <v>1190</v>
      </c>
      <c r="J769" s="12" t="str">
        <f>CONCATENATE("(${Variables:",E769,"_kcat","} * ",E769," * ",G769,")","/(${Variables:",E769,"_km","} + (",E769," * ",G769,"))")</f>
        <v>(${Variables:E6_1_1_1_kcat} * E6_1_1_1 * C00002 * C00082 * C00787)/(${Variables:E6_1_1_1_km} + (E6_1_1_1 * C00002 * C00082 * C00787))</v>
      </c>
      <c r="K769" s="43" t="str">
        <f>CONCATENATE("r",D769,": ",F769," -&gt; ",H769," | ",J769)</f>
        <v>r779: C00002 + C00082 + C00787 -&gt; C00020 + C00013 + C02839 | (${Variables:E6_1_1_1_kcat} * E6_1_1_1 * C00002 * C00082 * C00787)/(${Variables:E6_1_1_1_km} + (E6_1_1_1 * C00002 * C00082 * C00787))</v>
      </c>
    </row>
    <row r="770" spans="1:11" ht="42.75" x14ac:dyDescent="0.45">
      <c r="A770" s="53" t="s">
        <v>4901</v>
      </c>
      <c r="B770" s="54" t="s">
        <v>4902</v>
      </c>
      <c r="C770" t="s">
        <v>1740</v>
      </c>
      <c r="D770" s="12">
        <v>780</v>
      </c>
      <c r="E770" s="12" t="str">
        <f>CONCATENATE("E",C770)</f>
        <v>E6_1_1_10</v>
      </c>
      <c r="F770" s="12" t="s">
        <v>3259</v>
      </c>
      <c r="G770" s="12" t="s">
        <v>1180</v>
      </c>
      <c r="H770" t="s">
        <v>3546</v>
      </c>
      <c r="I770" t="s">
        <v>1181</v>
      </c>
      <c r="J770" s="12" t="str">
        <f>CONCATENATE("(${Variables:",E770,"_kcat","} * ",E770," * ",G770,")","/(${Variables:",E770,"_km","} + (",E770," * ",G770,"))")</f>
        <v>(${Variables:E6_1_1_10_kcat} * E6_1_1_10 * C00002 * C00073 * C01647)/(${Variables:E6_1_1_10_km} + (E6_1_1_10 * C00002 * C00073 * C01647))</v>
      </c>
      <c r="K770" s="43" t="str">
        <f>CONCATENATE("r",D770,": ",F770," -&gt; ",H770," | ",J770)</f>
        <v>r780: C00002 + C00073 + C01647 -&gt; C00020 + C00013 + C02430 | (${Variables:E6_1_1_10_kcat} * E6_1_1_10 * C00002 * C00073 * C01647)/(${Variables:E6_1_1_10_km} + (E6_1_1_10 * C00002 * C00073 * C01647))</v>
      </c>
    </row>
    <row r="771" spans="1:11" ht="42.75" x14ac:dyDescent="0.45">
      <c r="A771" s="53" t="s">
        <v>4901</v>
      </c>
      <c r="B771" s="54" t="s">
        <v>4902</v>
      </c>
      <c r="C771" t="s">
        <v>1740</v>
      </c>
      <c r="D771" s="12">
        <v>781</v>
      </c>
      <c r="E771" s="12" t="str">
        <f>CONCATENATE("E",C771)</f>
        <v>E6_1_1_10</v>
      </c>
      <c r="F771" s="12" t="s">
        <v>3260</v>
      </c>
      <c r="G771" s="12" t="s">
        <v>1308</v>
      </c>
      <c r="H771" t="s">
        <v>3547</v>
      </c>
      <c r="I771" t="s">
        <v>1309</v>
      </c>
      <c r="J771" s="12" t="str">
        <f>CONCATENATE("(${Variables:",E771,"_kcat","} * ",E771," * ",G771,")","/(${Variables:",E771,"_km","} + (",E771," * ",G771,"))")</f>
        <v>(${Variables:E6_1_1_10_kcat} * E6_1_1_10 * C00002 * C05335 * C01647)/(${Variables:E6_1_1_10_km} + (E6_1_1_10 * C00002 * C05335 * C01647))</v>
      </c>
      <c r="K771" s="43" t="str">
        <f>CONCATENATE("r",D771,": ",F771," -&gt; ",H771," | ",J771)</f>
        <v>r781: C00002 + C05335 + C01647 -&gt; C00020 + C00013 + C05336 | (${Variables:E6_1_1_10_kcat} * E6_1_1_10 * C00002 * C05335 * C01647)/(${Variables:E6_1_1_10_km} + (E6_1_1_10 * C00002 * C05335 * C01647))</v>
      </c>
    </row>
    <row r="772" spans="1:11" ht="42.75" x14ac:dyDescent="0.45">
      <c r="A772" s="53" t="s">
        <v>4700</v>
      </c>
      <c r="B772" s="54" t="s">
        <v>4701</v>
      </c>
      <c r="C772" t="s">
        <v>1739</v>
      </c>
      <c r="D772" s="12">
        <v>782</v>
      </c>
      <c r="E772" s="12" t="str">
        <f>CONCATENATE("E",C772)</f>
        <v>E6_1_1_11</v>
      </c>
      <c r="F772" t="s">
        <v>3261</v>
      </c>
      <c r="G772" t="s">
        <v>1176</v>
      </c>
      <c r="H772" t="s">
        <v>3548</v>
      </c>
      <c r="I772" t="s">
        <v>1177</v>
      </c>
      <c r="J772" s="12" t="str">
        <f>CONCATENATE("(${Variables:",E772,"_kcat","} * ",E772," * ",G772,")","/(${Variables:",E772,"_km","} + (",E772," * ",G772,"))")</f>
        <v>(${Variables:E6_1_1_11_kcat} * E6_1_1_11 * C00002 * C00065 * C01650)/(${Variables:E6_1_1_11_km} + (E6_1_1_11 * C00002 * C00065 * C01650))</v>
      </c>
      <c r="K772" s="43" t="str">
        <f>CONCATENATE("r",D772,": ",F772," -&gt; ",H772," | ",J772)</f>
        <v>r782: C00002 + C00065 + C01650 -&gt; C00020 + C00013 + C02553 | (${Variables:E6_1_1_11_kcat} * E6_1_1_11 * C00002 * C00065 * C01650)/(${Variables:E6_1_1_11_km} + (E6_1_1_11 * C00002 * C00065 * C01650))</v>
      </c>
    </row>
    <row r="773" spans="1:11" ht="42.75" x14ac:dyDescent="0.45">
      <c r="A773" s="53" t="s">
        <v>4700</v>
      </c>
      <c r="B773" s="54" t="s">
        <v>4701</v>
      </c>
      <c r="C773" t="s">
        <v>1739</v>
      </c>
      <c r="D773" s="12">
        <v>783</v>
      </c>
      <c r="E773" s="12" t="str">
        <f>CONCATENATE("E",C773)</f>
        <v>E6_1_1_11</v>
      </c>
      <c r="F773" t="s">
        <v>3262</v>
      </c>
      <c r="G773" t="s">
        <v>1178</v>
      </c>
      <c r="H773" t="s">
        <v>3549</v>
      </c>
      <c r="I773" t="s">
        <v>1179</v>
      </c>
      <c r="J773" s="12" t="str">
        <f>CONCATENATE("(${Variables:",E773,"_kcat","} * ",E773," * ",G773,")","/(${Variables:",E773,"_km","} + (",E773," * ",G773,"))")</f>
        <v>(${Variables:E6_1_1_11_kcat} * E6_1_1_11 * C00002 * C00065 * C16636)/(${Variables:E6_1_1_11_km} + (E6_1_1_11 * C00002 * C00065 * C16636))</v>
      </c>
      <c r="K773" s="43" t="str">
        <f>CONCATENATE("r",D773,": ",F773," -&gt; ",H773," | ",J773)</f>
        <v>r783: C00002 + C00065 + C16636 -&gt; C00020 + C00013 + C06481 | (${Variables:E6_1_1_11_kcat} * E6_1_1_11 * C00002 * C00065 * C16636)/(${Variables:E6_1_1_11_km} + (E6_1_1_11 * C00002 * C00065 * C16636))</v>
      </c>
    </row>
    <row r="774" spans="1:11" ht="42.75" x14ac:dyDescent="0.45">
      <c r="A774" s="53" t="s">
        <v>8205</v>
      </c>
      <c r="B774" s="54" t="s">
        <v>8206</v>
      </c>
      <c r="C774" t="s">
        <v>1879</v>
      </c>
      <c r="D774" s="12">
        <v>784</v>
      </c>
      <c r="E774" s="12" t="str">
        <f>CONCATENATE("E",C774)</f>
        <v>E6_1_1_12</v>
      </c>
      <c r="F774" s="12" t="s">
        <v>3263</v>
      </c>
      <c r="G774" s="12" t="s">
        <v>1582</v>
      </c>
      <c r="H774" t="s">
        <v>3550</v>
      </c>
      <c r="I774" t="s">
        <v>1583</v>
      </c>
      <c r="J774" s="12" t="str">
        <f>CONCATENATE("(${Variables:",E774,"_kcat","} * ",E774," * ",G774,")","/(${Variables:",E774,"_km","} + (",E774," * ",G774,"))")</f>
        <v>(${Variables:E6_1_1_12_kcat} * E6_1_1_12 * C01638 * C00049 * C00002)/(${Variables:E6_1_1_12_km} + (E6_1_1_12 * C01638 * C00049 * C00002))</v>
      </c>
      <c r="K774" s="43" t="str">
        <f>CONCATENATE("r",D774,": ",F774," -&gt; ",H774," | ",J774)</f>
        <v>r784: C01638 + C00049 + C00002 -&gt; C02984 + C00013 + C00020 | (${Variables:E6_1_1_12_kcat} * E6_1_1_12 * C01638 * C00049 * C00002)/(${Variables:E6_1_1_12_km} + (E6_1_1_12 * C01638 * C00049 * C00002))</v>
      </c>
    </row>
    <row r="775" spans="1:11" ht="42.75" x14ac:dyDescent="0.45">
      <c r="A775" s="53" t="s">
        <v>6769</v>
      </c>
      <c r="B775" s="54" t="s">
        <v>6770</v>
      </c>
      <c r="C775" t="s">
        <v>1753</v>
      </c>
      <c r="D775" s="12">
        <v>785</v>
      </c>
      <c r="E775" s="12" t="str">
        <f>CONCATENATE("E",C775)</f>
        <v>E6_1_1_13</v>
      </c>
      <c r="F775" s="12" t="s">
        <v>9810</v>
      </c>
      <c r="G775" s="12" t="s">
        <v>1206</v>
      </c>
      <c r="H775" t="s">
        <v>9811</v>
      </c>
      <c r="I775" t="s">
        <v>1207</v>
      </c>
      <c r="J775" s="12" t="str">
        <f>CONCATENATE("(${Variables:",E775,"_kcat","} * ",E775," * ",G775,")","/(${Variables:",E775,"_km","} + (",E775," * ",G775,"))")</f>
        <v>(${Variables:E6_1_1_13_kcat} * E6_1_1_13 * C00002 * C00133 * C00653)/(${Variables:E6_1_1_13_km} + (E6_1_1_13 * C00002 * C00133 * C00653))</v>
      </c>
      <c r="K775" s="43" t="str">
        <f>CONCATENATE("r",D775,": ",F775," -&gt; ",H775," | ",J775)</f>
        <v>r785: C00002 + C00133 + C00653 -&gt; C00020 + C00013 + C04260 | (${Variables:E6_1_1_13_kcat} * E6_1_1_13 * C00002 * C00133 * C00653)/(${Variables:E6_1_1_13_km} + (E6_1_1_13 * C00002 * C00133 * C00653))</v>
      </c>
    </row>
    <row r="776" spans="1:11" ht="57" x14ac:dyDescent="0.45">
      <c r="A776" s="53" t="s">
        <v>6769</v>
      </c>
      <c r="B776" s="54" t="s">
        <v>6770</v>
      </c>
      <c r="C776" t="s">
        <v>1753</v>
      </c>
      <c r="D776" s="12">
        <v>786</v>
      </c>
      <c r="E776" s="12" t="str">
        <f>CONCATENATE("E",C776)</f>
        <v>E6_1_1_13</v>
      </c>
      <c r="F776" s="12" t="s">
        <v>9813</v>
      </c>
      <c r="G776" s="12" t="s">
        <v>1217</v>
      </c>
      <c r="H776" t="s">
        <v>9814</v>
      </c>
      <c r="I776" t="s">
        <v>1218</v>
      </c>
      <c r="J776" s="12" t="str">
        <f>CONCATENATE("(${Variables:",E776,"_kcat","} * ",E776," * ",G776,")","/(${Variables:",E776,"_km","} + (",E776," * ",G776,"))")</f>
        <v>(${Variables:E6_1_1_13_kcat} * E6_1_1_13 * C00002 * C00133 * G13185)/(${Variables:E6_1_1_13_km} + (E6_1_1_13 * C00002 * C00133 * G13185))</v>
      </c>
      <c r="K776" s="43" t="str">
        <f>CONCATENATE("r",D776,": ",F776," -&gt; ",H776," | ",J776)</f>
        <v>r786: C00002 + C00133 + G13185 -&gt; C00020 + C00013 + G13186 | (${Variables:E6_1_1_13_kcat} * E6_1_1_13 * C00002 * C00133 * G13185)/(${Variables:E6_1_1_13_km} + (E6_1_1_13 * C00002 * C00133 * G13185))</v>
      </c>
    </row>
    <row r="777" spans="1:11" ht="57" x14ac:dyDescent="0.45">
      <c r="A777" s="53" t="s">
        <v>6769</v>
      </c>
      <c r="B777" s="54" t="s">
        <v>6770</v>
      </c>
      <c r="C777" t="s">
        <v>1753</v>
      </c>
      <c r="D777" s="12">
        <v>787</v>
      </c>
      <c r="E777" s="12" t="str">
        <f>CONCATENATE("E",C777)</f>
        <v>E6_1_1_13</v>
      </c>
      <c r="F777" s="12" t="s">
        <v>9816</v>
      </c>
      <c r="G777" s="12" t="s">
        <v>1208</v>
      </c>
      <c r="H777" t="s">
        <v>9817</v>
      </c>
      <c r="I777" t="s">
        <v>1209</v>
      </c>
      <c r="J777" s="12" t="str">
        <f>CONCATENATE("(${Variables:",E777,"_kcat","} * ",E777," * ",G777,")","/(${Variables:",E777,"_km","} + (",E777," * ",G777,"))")</f>
        <v>(${Variables:E6_1_1_13_kcat} * E6_1_1_13 * C00002 * C00133 * G13167)/(${Variables:E6_1_1_13_km} + (E6_1_1_13 * C00002 * C00133 * G13167))</v>
      </c>
      <c r="K777" s="43" t="str">
        <f>CONCATENATE("r",D777,": ",F777," -&gt; ",H777," | ",J777)</f>
        <v>r787: C00002 + C00133 + G13167 -&gt; C00020 + C00013 + G13180 | (${Variables:E6_1_1_13_kcat} * E6_1_1_13 * C00002 * C00133 * G13167)/(${Variables:E6_1_1_13_km} + (E6_1_1_13 * C00002 * C00133 * G13167))</v>
      </c>
    </row>
    <row r="778" spans="1:11" ht="57" x14ac:dyDescent="0.45">
      <c r="A778" s="53" t="s">
        <v>6769</v>
      </c>
      <c r="B778" s="54" t="s">
        <v>6770</v>
      </c>
      <c r="C778" t="s">
        <v>1753</v>
      </c>
      <c r="D778" s="12">
        <v>788</v>
      </c>
      <c r="E778" s="12" t="str">
        <f>CONCATENATE("E",C778)</f>
        <v>E6_1_1_13</v>
      </c>
      <c r="F778" s="12" t="s">
        <v>9819</v>
      </c>
      <c r="G778" s="12" t="s">
        <v>1210</v>
      </c>
      <c r="H778" t="s">
        <v>9820</v>
      </c>
      <c r="I778" t="s">
        <v>1211</v>
      </c>
      <c r="J778" s="12" t="str">
        <f>CONCATENATE("(${Variables:",E778,"_kcat","} * ",E778," * ",G778,")","/(${Variables:",E778,"_km","} + (",E778," * ",G778,"))")</f>
        <v>(${Variables:E6_1_1_13_kcat} * E6_1_1_13 * C00002 * C00133 * G13170)/(${Variables:E6_1_1_13_km} + (E6_1_1_13 * C00002 * C00133 * G13170))</v>
      </c>
      <c r="K778" s="43" t="str">
        <f>CONCATENATE("r",D778,": ",F778," -&gt; ",H778," | ",J778)</f>
        <v>r788: C00002 + C00133 + G13170 -&gt; C00020 + C00013 + G13171 | (${Variables:E6_1_1_13_kcat} * E6_1_1_13 * C00002 * C00133 * G13170)/(${Variables:E6_1_1_13_km} + (E6_1_1_13 * C00002 * C00133 * G13170))</v>
      </c>
    </row>
    <row r="779" spans="1:11" ht="57" x14ac:dyDescent="0.45">
      <c r="A779" s="53" t="s">
        <v>6769</v>
      </c>
      <c r="B779" s="54" t="s">
        <v>6770</v>
      </c>
      <c r="C779" t="s">
        <v>1753</v>
      </c>
      <c r="D779" s="12">
        <v>789</v>
      </c>
      <c r="E779" s="12" t="str">
        <f>CONCATENATE("E",C779)</f>
        <v>E6_1_1_13</v>
      </c>
      <c r="F779" s="12" t="s">
        <v>9822</v>
      </c>
      <c r="G779" s="12" t="s">
        <v>1212</v>
      </c>
      <c r="H779" t="s">
        <v>9823</v>
      </c>
      <c r="I779" t="s">
        <v>1213</v>
      </c>
      <c r="J779" s="12" t="str">
        <f>CONCATENATE("(${Variables:",E779,"_kcat","} * ",E779," * ",G779,")","/(${Variables:",E779,"_km","} + (",E779," * ",G779,"))")</f>
        <v>(${Variables:E6_1_1_13_kcat} * E6_1_1_13 * C00002 * C00133 * G13174)/(${Variables:E6_1_1_13_km} + (E6_1_1_13 * C00002 * C00133 * G13174))</v>
      </c>
      <c r="K779" s="43" t="str">
        <f>CONCATENATE("r",D779,": ",F779," -&gt; ",H779," | ",J779)</f>
        <v>r789: C00002 + C00133 + G13174 -&gt; C00020 + C00013 + G13175 | (${Variables:E6_1_1_13_kcat} * E6_1_1_13 * C00002 * C00133 * G13174)/(${Variables:E6_1_1_13_km} + (E6_1_1_13 * C00002 * C00133 * G13174))</v>
      </c>
    </row>
    <row r="780" spans="1:11" ht="57" x14ac:dyDescent="0.45">
      <c r="A780" s="53" t="s">
        <v>6769</v>
      </c>
      <c r="B780" s="54" t="s">
        <v>6770</v>
      </c>
      <c r="C780" t="s">
        <v>1753</v>
      </c>
      <c r="D780" s="12">
        <v>790</v>
      </c>
      <c r="E780" s="12" t="str">
        <f>CONCATENATE("E",C780)</f>
        <v>E6_1_1_13</v>
      </c>
      <c r="F780" s="12" t="s">
        <v>9825</v>
      </c>
      <c r="G780" s="12" t="s">
        <v>1214</v>
      </c>
      <c r="H780" t="s">
        <v>9826</v>
      </c>
      <c r="I780" t="s">
        <v>1215</v>
      </c>
      <c r="J780" s="12" t="str">
        <f>CONCATENATE("(${Variables:",E780,"_kcat","} * ",E780," * ",G780,")","/(${Variables:",E780,"_km","} + (",E780," * ",G780,"))")</f>
        <v>(${Variables:E6_1_1_13_kcat} * E6_1_1_13 * C00002 * C00133 * G13176)/(${Variables:E6_1_1_13_km} + (E6_1_1_13 * C00002 * C00133 * G13176))</v>
      </c>
      <c r="K780" s="43" t="str">
        <f>CONCATENATE("r",D780,": ",F780," -&gt; ",H780," | ",J780)</f>
        <v>r790: C00002 + C00133 + G13176 -&gt; C00020 + C00013 + G13177 | (${Variables:E6_1_1_13_kcat} * E6_1_1_13 * C00002 * C00133 * G13176)/(${Variables:E6_1_1_13_km} + (E6_1_1_13 * C00002 * C00133 * G13176))</v>
      </c>
    </row>
    <row r="781" spans="1:11" ht="57" x14ac:dyDescent="0.45">
      <c r="A781" s="53" t="s">
        <v>6769</v>
      </c>
      <c r="B781" s="54" t="s">
        <v>6770</v>
      </c>
      <c r="C781" t="s">
        <v>1753</v>
      </c>
      <c r="D781" s="12">
        <v>791</v>
      </c>
      <c r="E781" s="12" t="str">
        <f>CONCATENATE("E",C781)</f>
        <v>E6_1_1_13</v>
      </c>
      <c r="F781" s="12" t="s">
        <v>9828</v>
      </c>
      <c r="G781" s="12" t="s">
        <v>1216</v>
      </c>
      <c r="H781" t="s">
        <v>9829</v>
      </c>
      <c r="I781" t="s">
        <v>10926</v>
      </c>
      <c r="J781" s="12" t="str">
        <f>CONCATENATE("(${Variables:",E781,"_kcat","} * ",E781," * ",G781,")","/(${Variables:",E781,"_km","} + (",E781," * ",G781,"))")</f>
        <v>(${Variables:E6_1_1_13_kcat} * E6_1_1_13 * C00002 * C00133 * G13178)/(${Variables:E6_1_1_13_km} + (E6_1_1_13 * C00002 * C00133 * G13178))</v>
      </c>
      <c r="K781" s="43" t="str">
        <f>CONCATENATE("r",D781,": ",F781," -&gt; ",H781," | ",J781)</f>
        <v>r791: C00002 + C00133 + G13178 -&gt; C00020 + C00013 + G13179 | (${Variables:E6_1_1_13_kcat} * E6_1_1_13 * C00002 * C00133 * G13178)/(${Variables:E6_1_1_13_km} + (E6_1_1_13 * C00002 * C00133 * G13178))</v>
      </c>
    </row>
    <row r="782" spans="1:11" ht="57" x14ac:dyDescent="0.45">
      <c r="A782" s="53" t="s">
        <v>6769</v>
      </c>
      <c r="B782" s="54" t="s">
        <v>6770</v>
      </c>
      <c r="C782" t="s">
        <v>1753</v>
      </c>
      <c r="D782" s="12">
        <v>792</v>
      </c>
      <c r="E782" s="12" t="str">
        <f>CONCATENATE("E",C782)</f>
        <v>E6_1_1_13</v>
      </c>
      <c r="F782" s="12" t="s">
        <v>9831</v>
      </c>
      <c r="G782" s="12" t="s">
        <v>1219</v>
      </c>
      <c r="H782" t="s">
        <v>9832</v>
      </c>
      <c r="I782" t="s">
        <v>1220</v>
      </c>
      <c r="J782" s="12" t="str">
        <f>CONCATENATE("(${Variables:",E782,"_kcat","} * ",E782," * ",G782,")","/(${Variables:",E782,"_km","} + (",E782," * ",G782,"))")</f>
        <v>(${Variables:E6_1_1_13_kcat} * E6_1_1_13 * C00002 * C00133 * G13192)/(${Variables:E6_1_1_13_km} + (E6_1_1_13 * C00002 * C00133 * G13192))</v>
      </c>
      <c r="K782" s="43" t="str">
        <f>CONCATENATE("r",D782,": ",F782," -&gt; ",H782," | ",J782)</f>
        <v>r792: C00002 + C00133 + G13192 -&gt; C00020 + C00013 + G13193 | (${Variables:E6_1_1_13_kcat} * E6_1_1_13 * C00002 * C00133 * G13192)/(${Variables:E6_1_1_13_km} + (E6_1_1_13 * C00002 * C00133 * G13192))</v>
      </c>
    </row>
    <row r="783" spans="1:11" ht="42.75" x14ac:dyDescent="0.45">
      <c r="A783" s="53" t="s">
        <v>6773</v>
      </c>
      <c r="B783" s="54" t="s">
        <v>6774</v>
      </c>
      <c r="C783" t="s">
        <v>1753</v>
      </c>
      <c r="D783" s="12">
        <v>793</v>
      </c>
      <c r="E783" s="12" t="str">
        <f>CONCATENATE("E",C783)</f>
        <v>E6_1_1_13</v>
      </c>
      <c r="F783" s="12" t="s">
        <v>9810</v>
      </c>
      <c r="G783" s="12" t="s">
        <v>1206</v>
      </c>
      <c r="H783" t="s">
        <v>9811</v>
      </c>
      <c r="I783" t="s">
        <v>1207</v>
      </c>
      <c r="J783" s="12" t="str">
        <f>CONCATENATE("(${Variables:",E783,"_kcat","} * ",E783," * ",G783,")","/(${Variables:",E783,"_km","} + (",E783," * ",G783,"))")</f>
        <v>(${Variables:E6_1_1_13_kcat} * E6_1_1_13 * C00002 * C00133 * C00653)/(${Variables:E6_1_1_13_km} + (E6_1_1_13 * C00002 * C00133 * C00653))</v>
      </c>
      <c r="K783" s="43" t="str">
        <f>CONCATENATE("r",D783,": ",F783," -&gt; ",H783," | ",J783)</f>
        <v>r793: C00002 + C00133 + C00653 -&gt; C00020 + C00013 + C04260 | (${Variables:E6_1_1_13_kcat} * E6_1_1_13 * C00002 * C00133 * C00653)/(${Variables:E6_1_1_13_km} + (E6_1_1_13 * C00002 * C00133 * C00653))</v>
      </c>
    </row>
    <row r="784" spans="1:11" ht="57" x14ac:dyDescent="0.45">
      <c r="A784" s="53" t="s">
        <v>6773</v>
      </c>
      <c r="B784" s="54" t="s">
        <v>6774</v>
      </c>
      <c r="C784" t="s">
        <v>1753</v>
      </c>
      <c r="D784" s="12">
        <v>794</v>
      </c>
      <c r="E784" s="12" t="str">
        <f>CONCATENATE("E",C784)</f>
        <v>E6_1_1_13</v>
      </c>
      <c r="F784" s="12" t="s">
        <v>9813</v>
      </c>
      <c r="G784" s="12" t="s">
        <v>1217</v>
      </c>
      <c r="H784" t="s">
        <v>9814</v>
      </c>
      <c r="I784" t="s">
        <v>1218</v>
      </c>
      <c r="J784" s="12" t="str">
        <f>CONCATENATE("(${Variables:",E784,"_kcat","} * ",E784," * ",G784,")","/(${Variables:",E784,"_km","} + (",E784," * ",G784,"))")</f>
        <v>(${Variables:E6_1_1_13_kcat} * E6_1_1_13 * C00002 * C00133 * G13185)/(${Variables:E6_1_1_13_km} + (E6_1_1_13 * C00002 * C00133 * G13185))</v>
      </c>
      <c r="K784" s="43" t="str">
        <f>CONCATENATE("r",D784,": ",F784," -&gt; ",H784," | ",J784)</f>
        <v>r794: C00002 + C00133 + G13185 -&gt; C00020 + C00013 + G13186 | (${Variables:E6_1_1_13_kcat} * E6_1_1_13 * C00002 * C00133 * G13185)/(${Variables:E6_1_1_13_km} + (E6_1_1_13 * C00002 * C00133 * G13185))</v>
      </c>
    </row>
    <row r="785" spans="1:11" ht="57" x14ac:dyDescent="0.45">
      <c r="A785" s="53" t="s">
        <v>6773</v>
      </c>
      <c r="B785" s="54" t="s">
        <v>6774</v>
      </c>
      <c r="C785" t="s">
        <v>1753</v>
      </c>
      <c r="D785" s="12">
        <v>795</v>
      </c>
      <c r="E785" s="12" t="str">
        <f>CONCATENATE("E",C785)</f>
        <v>E6_1_1_13</v>
      </c>
      <c r="F785" s="12" t="s">
        <v>9816</v>
      </c>
      <c r="G785" s="12" t="s">
        <v>1208</v>
      </c>
      <c r="H785" t="s">
        <v>9817</v>
      </c>
      <c r="I785" t="s">
        <v>1209</v>
      </c>
      <c r="J785" s="12" t="str">
        <f>CONCATENATE("(${Variables:",E785,"_kcat","} * ",E785," * ",G785,")","/(${Variables:",E785,"_km","} + (",E785," * ",G785,"))")</f>
        <v>(${Variables:E6_1_1_13_kcat} * E6_1_1_13 * C00002 * C00133 * G13167)/(${Variables:E6_1_1_13_km} + (E6_1_1_13 * C00002 * C00133 * G13167))</v>
      </c>
      <c r="K785" s="43" t="str">
        <f>CONCATENATE("r",D785,": ",F785," -&gt; ",H785," | ",J785)</f>
        <v>r795: C00002 + C00133 + G13167 -&gt; C00020 + C00013 + G13180 | (${Variables:E6_1_1_13_kcat} * E6_1_1_13 * C00002 * C00133 * G13167)/(${Variables:E6_1_1_13_km} + (E6_1_1_13 * C00002 * C00133 * G13167))</v>
      </c>
    </row>
    <row r="786" spans="1:11" ht="57" x14ac:dyDescent="0.45">
      <c r="A786" s="53" t="s">
        <v>6773</v>
      </c>
      <c r="B786" s="54" t="s">
        <v>6774</v>
      </c>
      <c r="C786" t="s">
        <v>1753</v>
      </c>
      <c r="D786" s="12">
        <v>796</v>
      </c>
      <c r="E786" s="12" t="str">
        <f>CONCATENATE("E",C786)</f>
        <v>E6_1_1_13</v>
      </c>
      <c r="F786" s="12" t="s">
        <v>9819</v>
      </c>
      <c r="G786" s="12" t="s">
        <v>1210</v>
      </c>
      <c r="H786" t="s">
        <v>9820</v>
      </c>
      <c r="I786" t="s">
        <v>1211</v>
      </c>
      <c r="J786" s="12" t="str">
        <f>CONCATENATE("(${Variables:",E786,"_kcat","} * ",E786," * ",G786,")","/(${Variables:",E786,"_km","} + (",E786," * ",G786,"))")</f>
        <v>(${Variables:E6_1_1_13_kcat} * E6_1_1_13 * C00002 * C00133 * G13170)/(${Variables:E6_1_1_13_km} + (E6_1_1_13 * C00002 * C00133 * G13170))</v>
      </c>
      <c r="K786" s="43" t="str">
        <f>CONCATENATE("r",D786,": ",F786," -&gt; ",H786," | ",J786)</f>
        <v>r796: C00002 + C00133 + G13170 -&gt; C00020 + C00013 + G13171 | (${Variables:E6_1_1_13_kcat} * E6_1_1_13 * C00002 * C00133 * G13170)/(${Variables:E6_1_1_13_km} + (E6_1_1_13 * C00002 * C00133 * G13170))</v>
      </c>
    </row>
    <row r="787" spans="1:11" ht="57" x14ac:dyDescent="0.45">
      <c r="A787" s="53" t="s">
        <v>6773</v>
      </c>
      <c r="B787" s="54" t="s">
        <v>6774</v>
      </c>
      <c r="C787" t="s">
        <v>1753</v>
      </c>
      <c r="D787" s="12">
        <v>797</v>
      </c>
      <c r="E787" s="12" t="str">
        <f>CONCATENATE("E",C787)</f>
        <v>E6_1_1_13</v>
      </c>
      <c r="F787" s="12" t="s">
        <v>9822</v>
      </c>
      <c r="G787" s="12" t="s">
        <v>1212</v>
      </c>
      <c r="H787" t="s">
        <v>9823</v>
      </c>
      <c r="I787" t="s">
        <v>1213</v>
      </c>
      <c r="J787" s="12" t="str">
        <f>CONCATENATE("(${Variables:",E787,"_kcat","} * ",E787," * ",G787,")","/(${Variables:",E787,"_km","} + (",E787," * ",G787,"))")</f>
        <v>(${Variables:E6_1_1_13_kcat} * E6_1_1_13 * C00002 * C00133 * G13174)/(${Variables:E6_1_1_13_km} + (E6_1_1_13 * C00002 * C00133 * G13174))</v>
      </c>
      <c r="K787" s="43" t="str">
        <f>CONCATENATE("r",D787,": ",F787," -&gt; ",H787," | ",J787)</f>
        <v>r797: C00002 + C00133 + G13174 -&gt; C00020 + C00013 + G13175 | (${Variables:E6_1_1_13_kcat} * E6_1_1_13 * C00002 * C00133 * G13174)/(${Variables:E6_1_1_13_km} + (E6_1_1_13 * C00002 * C00133 * G13174))</v>
      </c>
    </row>
    <row r="788" spans="1:11" ht="57" x14ac:dyDescent="0.45">
      <c r="A788" s="53" t="s">
        <v>6773</v>
      </c>
      <c r="B788" s="54" t="s">
        <v>6774</v>
      </c>
      <c r="C788" t="s">
        <v>1753</v>
      </c>
      <c r="D788" s="12">
        <v>798</v>
      </c>
      <c r="E788" s="12" t="str">
        <f>CONCATENATE("E",C788)</f>
        <v>E6_1_1_13</v>
      </c>
      <c r="F788" s="12" t="s">
        <v>9825</v>
      </c>
      <c r="G788" s="12" t="s">
        <v>1214</v>
      </c>
      <c r="H788" t="s">
        <v>9826</v>
      </c>
      <c r="I788" t="s">
        <v>1215</v>
      </c>
      <c r="J788" s="12" t="str">
        <f>CONCATENATE("(${Variables:",E788,"_kcat","} * ",E788," * ",G788,")","/(${Variables:",E788,"_km","} + (",E788," * ",G788,"))")</f>
        <v>(${Variables:E6_1_1_13_kcat} * E6_1_1_13 * C00002 * C00133 * G13176)/(${Variables:E6_1_1_13_km} + (E6_1_1_13 * C00002 * C00133 * G13176))</v>
      </c>
      <c r="K788" s="43" t="str">
        <f>CONCATENATE("r",D788,": ",F788," -&gt; ",H788," | ",J788)</f>
        <v>r798: C00002 + C00133 + G13176 -&gt; C00020 + C00013 + G13177 | (${Variables:E6_1_1_13_kcat} * E6_1_1_13 * C00002 * C00133 * G13176)/(${Variables:E6_1_1_13_km} + (E6_1_1_13 * C00002 * C00133 * G13176))</v>
      </c>
    </row>
    <row r="789" spans="1:11" ht="57" x14ac:dyDescent="0.45">
      <c r="A789" s="53" t="s">
        <v>6773</v>
      </c>
      <c r="B789" s="54" t="s">
        <v>6774</v>
      </c>
      <c r="C789" t="s">
        <v>1753</v>
      </c>
      <c r="D789" s="12">
        <v>799</v>
      </c>
      <c r="E789" s="12" t="str">
        <f>CONCATENATE("E",C789)</f>
        <v>E6_1_1_13</v>
      </c>
      <c r="F789" s="12" t="s">
        <v>9828</v>
      </c>
      <c r="G789" s="12" t="s">
        <v>1216</v>
      </c>
      <c r="H789" t="s">
        <v>9829</v>
      </c>
      <c r="I789" t="s">
        <v>10926</v>
      </c>
      <c r="J789" s="12" t="str">
        <f>CONCATENATE("(${Variables:",E789,"_kcat","} * ",E789," * ",G789,")","/(${Variables:",E789,"_km","} + (",E789," * ",G789,"))")</f>
        <v>(${Variables:E6_1_1_13_kcat} * E6_1_1_13 * C00002 * C00133 * G13178)/(${Variables:E6_1_1_13_km} + (E6_1_1_13 * C00002 * C00133 * G13178))</v>
      </c>
      <c r="K789" s="43" t="str">
        <f>CONCATENATE("r",D789,": ",F789," -&gt; ",H789," | ",J789)</f>
        <v>r799: C00002 + C00133 + G13178 -&gt; C00020 + C00013 + G13179 | (${Variables:E6_1_1_13_kcat} * E6_1_1_13 * C00002 * C00133 * G13178)/(${Variables:E6_1_1_13_km} + (E6_1_1_13 * C00002 * C00133 * G13178))</v>
      </c>
    </row>
    <row r="790" spans="1:11" ht="57" x14ac:dyDescent="0.45">
      <c r="A790" s="53" t="s">
        <v>6773</v>
      </c>
      <c r="B790" s="54" t="s">
        <v>6774</v>
      </c>
      <c r="C790" t="s">
        <v>1753</v>
      </c>
      <c r="D790" s="12">
        <v>800</v>
      </c>
      <c r="E790" s="12" t="str">
        <f>CONCATENATE("E",C790)</f>
        <v>E6_1_1_13</v>
      </c>
      <c r="F790" s="12" t="s">
        <v>9831</v>
      </c>
      <c r="G790" s="12" t="s">
        <v>1219</v>
      </c>
      <c r="H790" t="s">
        <v>9832</v>
      </c>
      <c r="I790" t="s">
        <v>1220</v>
      </c>
      <c r="J790" s="12" t="str">
        <f>CONCATENATE("(${Variables:",E790,"_kcat","} * ",E790," * ",G790,")","/(${Variables:",E790,"_km","} + (",E790," * ",G790,"))")</f>
        <v>(${Variables:E6_1_1_13_kcat} * E6_1_1_13 * C00002 * C00133 * G13192)/(${Variables:E6_1_1_13_km} + (E6_1_1_13 * C00002 * C00133 * G13192))</v>
      </c>
      <c r="K790" s="43" t="str">
        <f>CONCATENATE("r",D790,": ",F790," -&gt; ",H790," | ",J790)</f>
        <v>r800: C00002 + C00133 + G13192 -&gt; C00020 + C00013 + G13193 | (${Variables:E6_1_1_13_kcat} * E6_1_1_13 * C00002 * C00133 * G13192)/(${Variables:E6_1_1_13_km} + (E6_1_1_13 * C00002 * C00133 * G13192))</v>
      </c>
    </row>
    <row r="791" spans="1:11" ht="42.75" x14ac:dyDescent="0.45">
      <c r="A791" s="53" t="s">
        <v>4844</v>
      </c>
      <c r="B791" s="54" t="s">
        <v>4845</v>
      </c>
      <c r="C791" t="s">
        <v>1729</v>
      </c>
      <c r="D791" s="12">
        <v>801</v>
      </c>
      <c r="E791" s="12" t="str">
        <f>CONCATENATE("E",C791)</f>
        <v>E6_1_1_14</v>
      </c>
      <c r="F791" t="s">
        <v>3264</v>
      </c>
      <c r="G791" t="s">
        <v>1157</v>
      </c>
      <c r="H791" t="s">
        <v>3551</v>
      </c>
      <c r="I791" t="s">
        <v>1158</v>
      </c>
      <c r="J791" s="12" t="str">
        <f>CONCATENATE("(${Variables:",E791,"_kcat","} * ",E791," * ",G791,")","/(${Variables:",E791,"_km","} + (",E791," * ",G791,"))")</f>
        <v>(${Variables:E6_1_1_14_kcat} * E6_1_1_14 * C00002 * C00037 * C01642)/(${Variables:E6_1_1_14_km} + (E6_1_1_14 * C00002 * C00037 * C01642))</v>
      </c>
      <c r="K791" s="43" t="str">
        <f>CONCATENATE("r",D791,": ",F791," -&gt; ",H791," | ",J791)</f>
        <v>r801: C00002 + C00037 + C01642 -&gt; C00020 + C00013 + C02412 | (${Variables:E6_1_1_14_kcat} * E6_1_1_14 * C00002 * C00037 * C01642)/(${Variables:E6_1_1_14_km} + (E6_1_1_14 * C00002 * C00037 * C01642))</v>
      </c>
    </row>
    <row r="792" spans="1:11" ht="42.75" x14ac:dyDescent="0.45">
      <c r="A792" s="53" t="s">
        <v>4846</v>
      </c>
      <c r="B792" s="54" t="s">
        <v>4847</v>
      </c>
      <c r="C792" t="s">
        <v>1729</v>
      </c>
      <c r="D792" s="12">
        <v>802</v>
      </c>
      <c r="E792" s="12" t="str">
        <f>CONCATENATE("E",C792)</f>
        <v>E6_1_1_14</v>
      </c>
      <c r="F792" t="s">
        <v>3264</v>
      </c>
      <c r="G792" t="s">
        <v>1157</v>
      </c>
      <c r="H792" t="s">
        <v>3551</v>
      </c>
      <c r="I792" t="s">
        <v>1158</v>
      </c>
      <c r="J792" s="12" t="str">
        <f>CONCATENATE("(${Variables:",E792,"_kcat","} * ",E792," * ",G792,")","/(${Variables:",E792,"_km","} + (",E792," * ",G792,"))")</f>
        <v>(${Variables:E6_1_1_14_kcat} * E6_1_1_14 * C00002 * C00037 * C01642)/(${Variables:E6_1_1_14_km} + (E6_1_1_14 * C00002 * C00037 * C01642))</v>
      </c>
      <c r="K792" s="43" t="str">
        <f>CONCATENATE("r",D792,": ",F792," -&gt; ",H792," | ",J792)</f>
        <v>r802: C00002 + C00037 + C01642 -&gt; C00020 + C00013 + C02412 | (${Variables:E6_1_1_14_kcat} * E6_1_1_14 * C00002 * C00037 * C01642)/(${Variables:E6_1_1_14_km} + (E6_1_1_14 * C00002 * C00037 * C01642))</v>
      </c>
    </row>
    <row r="793" spans="1:11" ht="42.75" x14ac:dyDescent="0.45">
      <c r="A793" s="53" t="s">
        <v>7946</v>
      </c>
      <c r="B793" s="54" t="s">
        <v>7947</v>
      </c>
      <c r="C793" t="s">
        <v>1755</v>
      </c>
      <c r="D793" s="12">
        <v>803</v>
      </c>
      <c r="E793" s="12" t="str">
        <f>CONCATENATE("E",C793)</f>
        <v>E6_1_1_15</v>
      </c>
      <c r="F793" s="12" t="s">
        <v>3265</v>
      </c>
      <c r="G793" s="12" t="s">
        <v>1223</v>
      </c>
      <c r="H793" t="s">
        <v>3552</v>
      </c>
      <c r="I793" t="s">
        <v>1224</v>
      </c>
      <c r="J793" s="12" t="str">
        <f>CONCATENATE("(${Variables:",E793,"_kcat","} * ",E793," * ",G793,")","/(${Variables:",E793,"_km","} + (",E793," * ",G793,"))")</f>
        <v>(${Variables:E6_1_1_15_kcat} * E6_1_1_15 * C00002 * C00148 * C01649)/(${Variables:E6_1_1_15_km} + (E6_1_1_15 * C00002 * C00148 * C01649))</v>
      </c>
      <c r="K793" s="43" t="str">
        <f>CONCATENATE("r",D793,": ",F793," -&gt; ",H793," | ",J793)</f>
        <v>r803: C00002 + C00148 + C01649 -&gt; C00020 + C00013 + C02702 | (${Variables:E6_1_1_15_kcat} * E6_1_1_15 * C00002 * C00148 * C01649)/(${Variables:E6_1_1_15_km} + (E6_1_1_15 * C00002 * C00148 * C01649))</v>
      </c>
    </row>
    <row r="794" spans="1:11" ht="42.75" x14ac:dyDescent="0.45">
      <c r="A794" s="53" t="s">
        <v>7916</v>
      </c>
      <c r="B794" s="54" t="s">
        <v>7917</v>
      </c>
      <c r="C794" t="s">
        <v>1746</v>
      </c>
      <c r="D794" s="12">
        <v>804</v>
      </c>
      <c r="E794" s="12" t="str">
        <f>CONCATENATE("E",C794)</f>
        <v>E6_1_1_16</v>
      </c>
      <c r="F794" s="12" t="s">
        <v>3266</v>
      </c>
      <c r="G794" s="12" t="s">
        <v>1192</v>
      </c>
      <c r="H794" t="s">
        <v>3553</v>
      </c>
      <c r="I794" t="s">
        <v>1193</v>
      </c>
      <c r="J794" s="12" t="str">
        <f>CONCATENATE("(${Variables:",E794,"_kcat","} * ",E794," * ",G794,")","/(${Variables:",E794,"_km","} + (",E794," * ",G794,"))")</f>
        <v>(${Variables:E6_1_1_16_kcat} * E6_1_1_16 * C00002 * C00097 * C01639)/(${Variables:E6_1_1_16_km} + (E6_1_1_16 * C00002 * C00097 * C01639))</v>
      </c>
      <c r="K794" s="43" t="str">
        <f>CONCATENATE("r",D794,": ",F794," -&gt; ",H794," | ",J794)</f>
        <v>r804: C00002 + C00097 + C01639 -&gt; C00020 + C00013 + C03125 | (${Variables:E6_1_1_16_kcat} * E6_1_1_16 * C00002 * C00097 * C01639)/(${Variables:E6_1_1_16_km} + (E6_1_1_16 * C00002 * C00097 * C01639))</v>
      </c>
    </row>
    <row r="795" spans="1:11" ht="42.75" x14ac:dyDescent="0.45">
      <c r="A795" s="53" t="s">
        <v>4162</v>
      </c>
      <c r="B795" s="54" t="s">
        <v>4163</v>
      </c>
      <c r="C795" t="s">
        <v>1880</v>
      </c>
      <c r="D795" s="12">
        <v>805</v>
      </c>
      <c r="E795" s="12" t="str">
        <f>CONCATENATE("E",C795)</f>
        <v>E6_1_1_17</v>
      </c>
      <c r="F795" t="s">
        <v>3267</v>
      </c>
      <c r="G795" t="s">
        <v>1584</v>
      </c>
      <c r="H795" t="s">
        <v>3554</v>
      </c>
      <c r="I795" t="s">
        <v>1585</v>
      </c>
      <c r="J795" s="12" t="str">
        <f>CONCATENATE("(${Variables:",E795,"_kcat","} * ",E795," * ",G795,")","/(${Variables:",E795,"_km","} + (",E795," * ",G795,"))")</f>
        <v>(${Variables:E6_1_1_17_kcat} * E6_1_1_17 * C01641 * C00025 * C00002)/(${Variables:E6_1_1_17_km} + (E6_1_1_17 * C01641 * C00025 * C00002))</v>
      </c>
      <c r="K795" s="43" t="str">
        <f>CONCATENATE("r",D795,": ",F795," -&gt; ",H795," | ",J795)</f>
        <v>r805: C01641 + C00025 + C00002 -&gt; C02987 + C00013 + C00020 | (${Variables:E6_1_1_17_kcat} * E6_1_1_17 * C01641 * C00025 * C00002)/(${Variables:E6_1_1_17_km} + (E6_1_1_17 * C01641 * C00025 * C00002))</v>
      </c>
    </row>
    <row r="796" spans="1:11" ht="42.75" x14ac:dyDescent="0.45">
      <c r="A796" s="53" t="s">
        <v>8195</v>
      </c>
      <c r="B796" s="54" t="s">
        <v>8196</v>
      </c>
      <c r="C796" t="s">
        <v>1737</v>
      </c>
      <c r="D796" s="12">
        <v>806</v>
      </c>
      <c r="E796" s="12" t="str">
        <f>CONCATENATE("E",C796)</f>
        <v>E6_1_1_19</v>
      </c>
      <c r="F796" s="12" t="s">
        <v>3268</v>
      </c>
      <c r="G796" s="12" t="s">
        <v>1173</v>
      </c>
      <c r="H796" t="s">
        <v>3555</v>
      </c>
      <c r="I796" t="s">
        <v>1174</v>
      </c>
      <c r="J796" s="12" t="str">
        <f>CONCATENATE("(${Variables:",E796,"_kcat","} * ",E796," * ",G796,")","/(${Variables:",E796,"_km","} + (",E796," * ",G796,"))")</f>
        <v>(${Variables:E6_1_1_19_kcat} * E6_1_1_19 * C00002 * C00062 * C01636)/(${Variables:E6_1_1_19_km} + (E6_1_1_19 * C00002 * C00062 * C01636))</v>
      </c>
      <c r="K796" s="43" t="str">
        <f>CONCATENATE("r",D796,": ",F796," -&gt; ",H796," | ",J796)</f>
        <v>r806: C00002 + C00062 + C01636 -&gt; C00020 + C00013 + C02163 | (${Variables:E6_1_1_19_kcat} * E6_1_1_19 * C00002 * C00062 * C01636)/(${Variables:E6_1_1_19_km} + (E6_1_1_19 * C00002 * C00062 * C01636))</v>
      </c>
    </row>
    <row r="797" spans="1:11" ht="42.75" x14ac:dyDescent="0.45">
      <c r="A797" s="53" t="s">
        <v>8339</v>
      </c>
      <c r="B797" s="54" t="s">
        <v>8340</v>
      </c>
      <c r="C797" t="s">
        <v>1742</v>
      </c>
      <c r="D797" s="12">
        <v>807</v>
      </c>
      <c r="E797" s="12" t="str">
        <f>CONCATENATE("E",C797)</f>
        <v>E6_1_1_2</v>
      </c>
      <c r="F797" s="59" t="s">
        <v>3269</v>
      </c>
      <c r="G797" s="59" t="s">
        <v>1185</v>
      </c>
      <c r="H797" s="12" t="s">
        <v>3556</v>
      </c>
      <c r="I797" s="12" t="s">
        <v>1186</v>
      </c>
      <c r="J797" s="12" t="str">
        <f>CONCATENATE("(${Variables:",E797,"_kcat","} * ",E797," * ",G797,")","/(${Variables:",E797,"_km","} + (",E797," * ",G797,"))")</f>
        <v>(${Variables:E6_1_1_2_kcat} * E6_1_1_2 * C00002 * C00078 * C01652)/(${Variables:E6_1_1_2_km} + (E6_1_1_2 * C00002 * C00078 * C01652))</v>
      </c>
      <c r="K797" s="43" t="str">
        <f>CONCATENATE("r",D797,": ",F797," -&gt; ",H797," | ",J797)</f>
        <v>r807: C00002 + C00078 + C01652 -&gt; C00020 + C00013 + C03512 | (${Variables:E6_1_1_2_kcat} * E6_1_1_2 * C00002 * C00078 * C01652)/(${Variables:E6_1_1_2_km} + (E6_1_1_2 * C00002 * C00078 * C01652))</v>
      </c>
    </row>
    <row r="798" spans="1:11" ht="42.75" x14ac:dyDescent="0.45">
      <c r="A798" s="53" t="s">
        <v>5664</v>
      </c>
      <c r="B798" s="54" t="s">
        <v>5665</v>
      </c>
      <c r="C798" t="s">
        <v>1743</v>
      </c>
      <c r="D798" s="12">
        <v>808</v>
      </c>
      <c r="E798" s="12" t="str">
        <f>CONCATENATE("E",C798)</f>
        <v>E6_1_1_20</v>
      </c>
      <c r="F798" s="12" t="s">
        <v>3270</v>
      </c>
      <c r="G798" s="12" t="s">
        <v>1187</v>
      </c>
      <c r="H798" t="s">
        <v>3557</v>
      </c>
      <c r="I798" t="s">
        <v>1188</v>
      </c>
      <c r="J798" s="12" t="str">
        <f>CONCATENATE("(${Variables:",E798,"_kcat","} * ",E798," * ",G798,")","/(${Variables:",E798,"_km","} + (",E798," * ",G798,"))")</f>
        <v>(${Variables:E6_1_1_20_kcat} * E6_1_1_20 * C00002 * C00079 * C01648)/(${Variables:E6_1_1_20_km} + (E6_1_1_20 * C00002 * C00079 * C01648))</v>
      </c>
      <c r="K798" s="43" t="str">
        <f>CONCATENATE("r",D798,": ",F798," -&gt; ",H798," | ",J798)</f>
        <v>r808: C00002 + C00079 + C01648 -&gt; C00020 + C00013 + C03511 | (${Variables:E6_1_1_20_kcat} * E6_1_1_20 * C00002 * C00079 * C01648)/(${Variables:E6_1_1_20_km} + (E6_1_1_20 * C00002 * C00079 * C01648))</v>
      </c>
    </row>
    <row r="799" spans="1:11" ht="42.75" x14ac:dyDescent="0.45">
      <c r="A799" s="53" t="s">
        <v>5668</v>
      </c>
      <c r="B799" s="54" t="s">
        <v>5669</v>
      </c>
      <c r="C799" t="s">
        <v>1743</v>
      </c>
      <c r="D799" s="12">
        <v>809</v>
      </c>
      <c r="E799" s="12" t="str">
        <f>CONCATENATE("E",C799)</f>
        <v>E6_1_1_20</v>
      </c>
      <c r="F799" t="s">
        <v>3270</v>
      </c>
      <c r="G799" t="s">
        <v>1187</v>
      </c>
      <c r="H799" t="s">
        <v>3557</v>
      </c>
      <c r="I799" t="s">
        <v>1188</v>
      </c>
      <c r="J799" s="12" t="str">
        <f>CONCATENATE("(${Variables:",E799,"_kcat","} * ",E799," * ",G799,")","/(${Variables:",E799,"_km","} + (",E799," * ",G799,"))")</f>
        <v>(${Variables:E6_1_1_20_kcat} * E6_1_1_20 * C00002 * C00079 * C01648)/(${Variables:E6_1_1_20_km} + (E6_1_1_20 * C00002 * C00079 * C01648))</v>
      </c>
      <c r="K799" s="43" t="str">
        <f>CONCATENATE("r",D799,": ",F799," -&gt; ",H799," | ",J799)</f>
        <v>r809: C00002 + C00079 + C01648 -&gt; C00020 + C00013 + C03511 | (${Variables:E6_1_1_20_kcat} * E6_1_1_20 * C00002 * C00079 * C01648)/(${Variables:E6_1_1_20_km} + (E6_1_1_20 * C00002 * C00079 * C01648))</v>
      </c>
    </row>
    <row r="800" spans="1:11" ht="42.75" x14ac:dyDescent="0.45">
      <c r="A800" s="53" t="s">
        <v>8218</v>
      </c>
      <c r="B800" s="54" t="s">
        <v>8219</v>
      </c>
      <c r="C800" t="s">
        <v>10438</v>
      </c>
      <c r="D800" s="12">
        <v>810</v>
      </c>
      <c r="E800" s="12" t="str">
        <f>CONCATENATE("E",C800)</f>
        <v>E6_1_1_21</v>
      </c>
      <c r="F800" s="12" t="s">
        <v>10273</v>
      </c>
      <c r="G800" s="12" t="s">
        <v>10666</v>
      </c>
      <c r="H800" t="s">
        <v>10274</v>
      </c>
      <c r="I800" t="s">
        <v>10927</v>
      </c>
      <c r="J800" s="12" t="str">
        <f>CONCATENATE("(${Variables:",E800,"_kcat","} * ",E800," * ",G800,")","/(${Variables:",E800,"_km","} + (",E800," * ",G800,"))")</f>
        <v>(${Variables:E6_1_1_21_kcat} * E6_1_1_21 * C00002 * C00135 * C01643)/(${Variables:E6_1_1_21_km} + (E6_1_1_21 * C00002 * C00135 * C01643))</v>
      </c>
      <c r="K800" s="43" t="str">
        <f>CONCATENATE("r",D800,": ",F800," -&gt; ",H800," | ",J800)</f>
        <v>r810: C00002 + C00135 + C01643 -&gt; C00020 + C00013 + C02988 | (${Variables:E6_1_1_21_kcat} * E6_1_1_21 * C00002 * C00135 * C01643)/(${Variables:E6_1_1_21_km} + (E6_1_1_21 * C00002 * C00135 * C01643))</v>
      </c>
    </row>
    <row r="801" spans="1:11" ht="42.75" x14ac:dyDescent="0.45">
      <c r="A801" s="53" t="s">
        <v>5504</v>
      </c>
      <c r="B801" s="54" t="s">
        <v>5505</v>
      </c>
      <c r="C801" t="s">
        <v>10439</v>
      </c>
      <c r="D801" s="12">
        <v>811</v>
      </c>
      <c r="E801" s="12" t="str">
        <f>CONCATENATE("E",C801)</f>
        <v>E6_1_1_22</v>
      </c>
      <c r="F801" t="s">
        <v>9178</v>
      </c>
      <c r="G801" t="s">
        <v>10667</v>
      </c>
      <c r="H801" t="s">
        <v>9179</v>
      </c>
      <c r="I801" t="s">
        <v>10928</v>
      </c>
      <c r="J801" s="12" t="str">
        <f>CONCATENATE("(${Variables:",E801,"_kcat","} * ",E801," * ",G801,")","/(${Variables:",E801,"_km","} + (",E801," * ",G801,"))")</f>
        <v>(${Variables:E6_1_1_22_kcat} * E6_1_1_22 * C00002 * C00152 * C01637)/(${Variables:E6_1_1_22_km} + (E6_1_1_22 * C00002 * C00152 * C01637))</v>
      </c>
      <c r="K801" s="43" t="str">
        <f>CONCATENATE("r",D801,": ",F801," -&gt; ",H801," | ",J801)</f>
        <v>r811: C00002 + C00152 + C01637 -&gt; C00020 + C00013 + C03402 | (${Variables:E6_1_1_22_kcat} * E6_1_1_22 * C00002 * C00152 * C01637)/(${Variables:E6_1_1_22_km} + (E6_1_1_22 * C00002 * C00152 * C01637))</v>
      </c>
    </row>
    <row r="802" spans="1:11" ht="42.75" x14ac:dyDescent="0.45">
      <c r="A802" s="53" t="s">
        <v>7051</v>
      </c>
      <c r="B802" s="54" t="s">
        <v>7052</v>
      </c>
      <c r="C802" t="s">
        <v>1757</v>
      </c>
      <c r="D802" s="12">
        <v>812</v>
      </c>
      <c r="E802" s="12" t="str">
        <f>CONCATENATE("E",C802)</f>
        <v>E6_1_1_3</v>
      </c>
      <c r="F802" s="12" t="s">
        <v>3271</v>
      </c>
      <c r="G802" s="12" t="s">
        <v>1228</v>
      </c>
      <c r="H802" t="s">
        <v>3558</v>
      </c>
      <c r="I802" t="s">
        <v>1229</v>
      </c>
      <c r="J802" s="12" t="str">
        <f>CONCATENATE("(${Variables:",E802,"_kcat","} * ",E802," * ",G802,")","/(${Variables:",E802,"_km","} + (",E802," * ",G802,"))")</f>
        <v>(${Variables:E6_1_1_3_kcat} * E6_1_1_3 * C00002 * C00188 * C01651)/(${Variables:E6_1_1_3_km} + (E6_1_1_3 * C00002 * C00188 * C01651))</v>
      </c>
      <c r="K802" s="43" t="str">
        <f>CONCATENATE("r",D802,": ",F802," -&gt; ",H802," | ",J802)</f>
        <v>r812: C00002 + C00188 + C01651 -&gt; C00020 + C00013 + C02992 | (${Variables:E6_1_1_3_kcat} * E6_1_1_3 * C00002 * C00188 * C01651)/(${Variables:E6_1_1_3_km} + (E6_1_1_3 * C00002 * C00188 * C01651))</v>
      </c>
    </row>
    <row r="803" spans="1:11" ht="42.75" x14ac:dyDescent="0.45">
      <c r="A803" s="53" t="s">
        <v>4022</v>
      </c>
      <c r="B803" s="54" t="s">
        <v>4023</v>
      </c>
      <c r="C803" t="s">
        <v>1752</v>
      </c>
      <c r="D803" s="12">
        <v>813</v>
      </c>
      <c r="E803" s="12" t="str">
        <f>CONCATENATE("E",C803)</f>
        <v>E6_1_1_4</v>
      </c>
      <c r="F803" t="s">
        <v>3272</v>
      </c>
      <c r="G803" t="s">
        <v>1204</v>
      </c>
      <c r="H803" t="s">
        <v>3559</v>
      </c>
      <c r="I803" t="s">
        <v>1205</v>
      </c>
      <c r="J803" s="12" t="str">
        <f>CONCATENATE("(${Variables:",E803,"_kcat","} * ",E803," * ",G803,")","/(${Variables:",E803,"_km","} + (",E803," * ",G803,"))")</f>
        <v>(${Variables:E6_1_1_4_kcat} * E6_1_1_4 * C00002 * C00123 * C01645)/(${Variables:E6_1_1_4_km} + (E6_1_1_4 * C00002 * C00123 * C01645))</v>
      </c>
      <c r="K803" s="43" t="str">
        <f>CONCATENATE("r",D803,": ",F803," -&gt; ",H803," | ",J803)</f>
        <v>r813: C00002 + C00123 + C01645 -&gt; C00020 + C00013 + C02047 | (${Variables:E6_1_1_4_kcat} * E6_1_1_4 * C00002 * C00123 * C01645)/(${Variables:E6_1_1_4_km} + (E6_1_1_4 * C00002 * C00123 * C01645))</v>
      </c>
    </row>
    <row r="804" spans="1:11" ht="42.75" x14ac:dyDescent="0.45">
      <c r="A804" s="53" t="s">
        <v>5098</v>
      </c>
      <c r="B804" s="54" t="s">
        <v>5099</v>
      </c>
      <c r="C804" t="s">
        <v>1764</v>
      </c>
      <c r="D804" s="12">
        <v>814</v>
      </c>
      <c r="E804" s="12" t="str">
        <f>CONCATENATE("E",C804)</f>
        <v>E6_1_1_5</v>
      </c>
      <c r="F804" t="s">
        <v>3273</v>
      </c>
      <c r="G804" t="s">
        <v>1248</v>
      </c>
      <c r="H804" t="s">
        <v>3560</v>
      </c>
      <c r="I804" t="s">
        <v>1249</v>
      </c>
      <c r="J804" s="12" t="str">
        <f>CONCATENATE("(${Variables:",E804,"_kcat","} * ",E804," * ",G804,")","/(${Variables:",E804,"_km","} + (",E804," * ",G804,"))")</f>
        <v>(${Variables:E6_1_1_5_kcat} * E6_1_1_5 * C00002 * C00407 * C01644)/(${Variables:E6_1_1_5_km} + (E6_1_1_5 * C00002 * C00407 * C01644))</v>
      </c>
      <c r="K804" s="43" t="str">
        <f>CONCATENATE("r",D804,": ",F804," -&gt; ",H804," | ",J804)</f>
        <v>r814: C00002 + C00407 + C01644 -&gt; C00020 + C00013 + C03127 | (${Variables:E6_1_1_5_kcat} * E6_1_1_5 * C00002 * C00407 * C01644)/(${Variables:E6_1_1_5_km} + (E6_1_1_5 * C00002 * C00407 * C01644))</v>
      </c>
    </row>
    <row r="805" spans="1:11" ht="42.75" x14ac:dyDescent="0.45">
      <c r="A805" s="53" t="s">
        <v>6910</v>
      </c>
      <c r="B805" s="54" t="s">
        <v>6911</v>
      </c>
      <c r="C805" t="s">
        <v>1732</v>
      </c>
      <c r="D805" s="12">
        <v>815</v>
      </c>
      <c r="E805" s="12" t="str">
        <f>CONCATENATE("E",C805)</f>
        <v>E6_1_1_6</v>
      </c>
      <c r="F805" s="12" t="s">
        <v>3274</v>
      </c>
      <c r="G805" s="12" t="s">
        <v>1163</v>
      </c>
      <c r="H805" t="s">
        <v>3561</v>
      </c>
      <c r="I805" t="s">
        <v>1164</v>
      </c>
      <c r="J805" s="12" t="str">
        <f>CONCATENATE("(${Variables:",E805,"_kcat","} * ",E805," * ",G805,")","/(${Variables:",E805,"_km","} + (",E805," * ",G805,"))")</f>
        <v>(${Variables:E6_1_1_6_kcat} * E6_1_1_6 * C00002 * C00047 * C01646)/(${Variables:E6_1_1_6_km} + (E6_1_1_6 * C00002 * C00047 * C01646))</v>
      </c>
      <c r="K805" s="43" t="str">
        <f>CONCATENATE("r",D805,": ",F805," -&gt; ",H805," | ",J805)</f>
        <v>r815: C00002 + C00047 + C01646 -&gt; C00020 + C00013 + C01931 | (${Variables:E6_1_1_6_kcat} * E6_1_1_6 * C00002 * C00047 * C01646)/(${Variables:E6_1_1_6_km} + (E6_1_1_6 * C00002 * C00047 * C01646))</v>
      </c>
    </row>
    <row r="806" spans="1:11" ht="42.75" x14ac:dyDescent="0.45">
      <c r="A806" s="53" t="s">
        <v>5239</v>
      </c>
      <c r="B806" s="54" t="s">
        <v>5240</v>
      </c>
      <c r="C806" t="s">
        <v>1730</v>
      </c>
      <c r="D806" s="12">
        <v>816</v>
      </c>
      <c r="E806" s="12" t="str">
        <f>CONCATENATE("E",C806)</f>
        <v>E6_1_1_7</v>
      </c>
      <c r="F806" t="s">
        <v>3275</v>
      </c>
      <c r="G806" t="s">
        <v>1159</v>
      </c>
      <c r="H806" t="s">
        <v>3562</v>
      </c>
      <c r="I806" t="s">
        <v>1160</v>
      </c>
      <c r="J806" s="12" t="str">
        <f>CONCATENATE("(${Variables:",E806,"_kcat","} * ",E806," * ",G806,")","/(${Variables:",E806,"_km","} + (",E806," * ",G806,"))")</f>
        <v>(${Variables:E6_1_1_7_kcat} * E6_1_1_7 * C00002 * C00041 * C01635)/(${Variables:E6_1_1_7_km} + (E6_1_1_7 * C00002 * C00041 * C01635))</v>
      </c>
      <c r="K806" s="43" t="str">
        <f>CONCATENATE("r",D806,": ",F806," -&gt; ",H806," | ",J806)</f>
        <v>r816: C00002 + C00041 + C01635 -&gt; C00020 + C00013 + C00886 | (${Variables:E6_1_1_7_kcat} * E6_1_1_7 * C00002 * C00041 * C01635)/(${Variables:E6_1_1_7_km} + (E6_1_1_7 * C00002 * C00041 * C01635))</v>
      </c>
    </row>
    <row r="807" spans="1:11" ht="42.75" x14ac:dyDescent="0.45">
      <c r="A807" s="53" t="s">
        <v>7226</v>
      </c>
      <c r="B807" s="54" t="s">
        <v>7227</v>
      </c>
      <c r="C807" t="s">
        <v>1756</v>
      </c>
      <c r="D807" s="12">
        <v>817</v>
      </c>
      <c r="E807" s="12" t="str">
        <f>CONCATENATE("E",C807)</f>
        <v>E6_1_1_9</v>
      </c>
      <c r="F807" t="s">
        <v>3276</v>
      </c>
      <c r="G807" t="s">
        <v>1226</v>
      </c>
      <c r="H807" t="s">
        <v>3563</v>
      </c>
      <c r="I807" t="s">
        <v>1227</v>
      </c>
      <c r="J807" s="12" t="str">
        <f>CONCATENATE("(${Variables:",E807,"_kcat","} * ",E807," * ",G807,")","/(${Variables:",E807,"_km","} + (",E807," * ",G807,"))")</f>
        <v>(${Variables:E6_1_1_9_kcat} * E6_1_1_9 * C00002 * C00183 * C01653)/(${Variables:E6_1_1_9_km} + (E6_1_1_9 * C00002 * C00183 * C01653))</v>
      </c>
      <c r="K807" s="43" t="str">
        <f>CONCATENATE("r",D807,": ",F807," -&gt; ",H807," | ",J807)</f>
        <v>r817: C00002 + C00183 + C01653 -&gt; C00020 + C00013 + C02554 | (${Variables:E6_1_1_9_kcat} * E6_1_1_9 * C00002 * C00183 * C01653)/(${Variables:E6_1_1_9_km} + (E6_1_1_9 * C00002 * C00183 * C01653))</v>
      </c>
    </row>
    <row r="808" spans="1:11" ht="42.75" x14ac:dyDescent="0.45">
      <c r="A808" s="53" t="s">
        <v>6173</v>
      </c>
      <c r="B808" s="54" t="s">
        <v>6174</v>
      </c>
      <c r="C808" t="s">
        <v>1728</v>
      </c>
      <c r="D808" s="12">
        <v>818</v>
      </c>
      <c r="E808" s="12" t="str">
        <f>CONCATENATE("E",C808)</f>
        <v>E6_2_1_22</v>
      </c>
      <c r="F808" s="12" t="s">
        <v>3277</v>
      </c>
      <c r="G808" s="12" t="s">
        <v>1155</v>
      </c>
      <c r="H808" t="s">
        <v>3564</v>
      </c>
      <c r="I808" t="s">
        <v>1156</v>
      </c>
      <c r="J808" s="12" t="str">
        <f>CONCATENATE("(${Variables:",E808,"_kcat","} * ",E808," * ",G808,")","/(${Variables:",E808,"_km","} + (",E808," * ",G808,"))")</f>
        <v>(${Variables:E6_2_1_22_kcat} * E6_2_1_22 * C00002 * C00033 * C04298)/(${Variables:E6_2_1_22_km} + (E6_2_1_22 * C00002 * C00033 * C04298))</v>
      </c>
      <c r="K808" s="43" t="str">
        <f>CONCATENATE("r",D808,": ",F808," -&gt; ",H808," | ",J808)</f>
        <v>r818: C00002 + C00033 + C04298 -&gt; C00020 + C00013 + C04334 | (${Variables:E6_2_1_22_kcat} * E6_2_1_22 * C00002 * C00033 * C04298)/(${Variables:E6_2_1_22_km} + (E6_2_1_22 * C00002 * C00033 * C04298))</v>
      </c>
    </row>
    <row r="809" spans="1:11" ht="42.75" x14ac:dyDescent="0.45">
      <c r="A809" s="53" t="s">
        <v>5039</v>
      </c>
      <c r="B809" s="54" t="s">
        <v>5040</v>
      </c>
      <c r="C809" t="s">
        <v>1734</v>
      </c>
      <c r="D809" s="12">
        <v>819</v>
      </c>
      <c r="E809" s="12" t="str">
        <f>CONCATENATE("E",C809)</f>
        <v>E6_3_1_1</v>
      </c>
      <c r="F809" t="s">
        <v>3278</v>
      </c>
      <c r="G809" t="s">
        <v>1167</v>
      </c>
      <c r="H809" t="s">
        <v>3565</v>
      </c>
      <c r="I809" t="s">
        <v>1168</v>
      </c>
      <c r="J809" s="12" t="str">
        <f>CONCATENATE("(${Variables:",E809,"_kcat","} * ",E809," * ",G809,")","/(${Variables:",E809,"_km","} + (",E809," * ",G809,"))")</f>
        <v>(${Variables:E6_3_1_1_kcat} * E6_3_1_1 * C00002 * C00049 * C00014)/(${Variables:E6_3_1_1_km} + (E6_3_1_1 * C00002 * C00049 * C00014))</v>
      </c>
      <c r="K809" s="43" t="str">
        <f>CONCATENATE("r",D809,": ",F809," -&gt; ",H809," | ",J809)</f>
        <v>r819: C00002 + C00049 + C00014 -&gt; C00020 + C00013 + C00152 | (${Variables:E6_3_1_1_kcat} * E6_3_1_1 * C00002 * C00049 * C00014)/(${Variables:E6_3_1_1_km} + (E6_3_1_1 * C00002 * C00049 * C00014))</v>
      </c>
    </row>
    <row r="810" spans="1:11" ht="42.75" x14ac:dyDescent="0.45">
      <c r="A810" s="53" t="s">
        <v>4392</v>
      </c>
      <c r="B810" s="54" t="s">
        <v>4393</v>
      </c>
      <c r="C810" t="s">
        <v>1726</v>
      </c>
      <c r="D810" s="12">
        <v>820</v>
      </c>
      <c r="E810" s="12" t="str">
        <f>CONCATENATE("E",C810)</f>
        <v>E6_3_1_2</v>
      </c>
      <c r="F810" s="12" t="s">
        <v>3279</v>
      </c>
      <c r="G810" s="12" t="s">
        <v>1151</v>
      </c>
      <c r="H810" t="s">
        <v>3566</v>
      </c>
      <c r="I810" t="s">
        <v>1152</v>
      </c>
      <c r="J810" s="12" t="str">
        <f>CONCATENATE("(${Variables:",E810,"_kcat","} * ",E810," * ",G810,")","/(${Variables:",E810,"_km","} + (",E810," * ",G810,"))")</f>
        <v>(${Variables:E6_3_1_2_kcat} * E6_3_1_2 * C00002 * C00025 * C00014)/(${Variables:E6_3_1_2_km} + (E6_3_1_2 * C00002 * C00025 * C00014))</v>
      </c>
      <c r="K810" s="43" t="str">
        <f>CONCATENATE("r",D810,": ",F810," -&gt; ",H810," | ",J810)</f>
        <v>r820: C00002 + C00025 + C00014 -&gt; C00008 + C00009 + C00064 | (${Variables:E6_3_1_2_kcat} * E6_3_1_2 * C00002 * C00025 * C00014)/(${Variables:E6_3_1_2_km} + (E6_3_1_2 * C00002 * C00025 * C00014))</v>
      </c>
    </row>
    <row r="811" spans="1:11" ht="42.75" x14ac:dyDescent="0.45">
      <c r="A811" s="53" t="s">
        <v>7429</v>
      </c>
      <c r="B811" s="54" t="s">
        <v>7430</v>
      </c>
      <c r="C811" t="s">
        <v>1770</v>
      </c>
      <c r="D811" s="12">
        <v>821</v>
      </c>
      <c r="E811" s="12" t="str">
        <f>CONCATENATE("E",C811)</f>
        <v>E6_3_1_5</v>
      </c>
      <c r="F811" s="12" t="s">
        <v>3280</v>
      </c>
      <c r="G811" s="12" t="s">
        <v>1262</v>
      </c>
      <c r="H811" t="s">
        <v>3567</v>
      </c>
      <c r="I811" t="s">
        <v>1263</v>
      </c>
      <c r="J811" s="12" t="str">
        <f>CONCATENATE("(${Variables:",E811,"_kcat","} * ",E811," * ",G811,")","/(${Variables:",E811,"_km","} + (",E811," * ",G811,"))")</f>
        <v>(${Variables:E6_3_1_5_kcat} * E6_3_1_5 * C00002 * C00857 * C00014)/(${Variables:E6_3_1_5_km} + (E6_3_1_5 * C00002 * C00857 * C00014))</v>
      </c>
      <c r="K811" s="43" t="str">
        <f>CONCATENATE("r",D811,": ",F811," -&gt; ",H811," | ",J811)</f>
        <v>r821: C00002 + C00857 + C00014 -&gt; C00020 + C00013 + C00003 | (${Variables:E6_3_1_5_kcat} * E6_3_1_5 * C00002 * C00857 * C00014)/(${Variables:E6_3_1_5_km} + (E6_3_1_5 * C00002 * C00857 * C00014))</v>
      </c>
    </row>
    <row r="812" spans="1:11" ht="42.75" x14ac:dyDescent="0.45">
      <c r="A812" s="53" t="s">
        <v>5180</v>
      </c>
      <c r="B812" s="54" t="s">
        <v>5181</v>
      </c>
      <c r="C812" t="s">
        <v>1788</v>
      </c>
      <c r="D812" s="12">
        <v>822</v>
      </c>
      <c r="E812" s="12" t="str">
        <f>CONCATENATE("E",C812)</f>
        <v>E6_3_2_10</v>
      </c>
      <c r="F812" t="s">
        <v>3282</v>
      </c>
      <c r="G812" t="s">
        <v>1310</v>
      </c>
      <c r="H812" t="s">
        <v>3569</v>
      </c>
      <c r="I812" t="s">
        <v>1311</v>
      </c>
      <c r="J812" s="12" t="str">
        <f>CONCATENATE("(${Variables:",E812,"_kcat","} * ",E812," * ",G812,")","/(${Variables:",E812,"_km","} + (",E812," * ",G812,"))")</f>
        <v>(${Variables:E6_3_2_10_kcat} * E6_3_2_10 * C00002 * C05892 * C00993)/(${Variables:E6_3_2_10_km} + (E6_3_2_10 * C00002 * C05892 * C00993))</v>
      </c>
      <c r="K812" s="43" t="str">
        <f>CONCATENATE("r",D812,": ",F812," -&gt; ",H812," | ",J812)</f>
        <v>r822: C00002 + C05892 + C00993 -&gt; C00008 + C00009 + C04702 | (${Variables:E6_3_2_10_kcat} * E6_3_2_10 * C00002 * C05892 * C00993)/(${Variables:E6_3_2_10_km} + (E6_3_2_10 * C00002 * C05892 * C00993))</v>
      </c>
    </row>
    <row r="813" spans="1:11" ht="42.75" x14ac:dyDescent="0.45">
      <c r="A813" s="53" t="s">
        <v>5180</v>
      </c>
      <c r="B813" s="54" t="s">
        <v>5181</v>
      </c>
      <c r="C813" t="s">
        <v>1788</v>
      </c>
      <c r="D813" s="12">
        <v>823</v>
      </c>
      <c r="E813" s="12" t="str">
        <f>CONCATENATE("E",C813)</f>
        <v>E6_3_2_10</v>
      </c>
      <c r="F813" t="s">
        <v>3281</v>
      </c>
      <c r="G813" t="s">
        <v>1304</v>
      </c>
      <c r="H813" t="s">
        <v>3568</v>
      </c>
      <c r="I813" t="s">
        <v>1305</v>
      </c>
      <c r="J813" s="12" t="str">
        <f>CONCATENATE("(${Variables:",E813,"_kcat","} * ",E813," * ",G813,")","/(${Variables:",E813,"_km","} + (",E813," * ",G813,"))")</f>
        <v>(${Variables:E6_3_2_10_kcat} * E6_3_2_10 * C00002 * C04877 * C00993)/(${Variables:E6_3_2_10_km} + (E6_3_2_10 * C00002 * C04877 * C00993))</v>
      </c>
      <c r="K813" s="43" t="str">
        <f>CONCATENATE("r",D813,": ",F813," -&gt; ",H813," | ",J813)</f>
        <v>r823: C00002 + C04877 + C00993 -&gt; C00008 + C00009 + C04882 | (${Variables:E6_3_2_10_kcat} * E6_3_2_10 * C00002 * C04877 * C00993)/(${Variables:E6_3_2_10_km} + (E6_3_2_10 * C00002 * C04877 * C00993))</v>
      </c>
    </row>
    <row r="814" spans="1:11" ht="42.75" x14ac:dyDescent="0.45">
      <c r="A814" s="53" t="s">
        <v>5178</v>
      </c>
      <c r="B814" s="54" t="s">
        <v>5179</v>
      </c>
      <c r="C814" t="s">
        <v>10440</v>
      </c>
      <c r="D814" s="12">
        <v>824</v>
      </c>
      <c r="E814" s="12" t="str">
        <f>CONCATENATE("E",C814)</f>
        <v>E6_3_2_4</v>
      </c>
      <c r="F814" t="s">
        <v>9055</v>
      </c>
      <c r="G814" t="s">
        <v>10668</v>
      </c>
      <c r="H814" t="s">
        <v>9056</v>
      </c>
      <c r="I814" t="s">
        <v>10929</v>
      </c>
      <c r="J814" s="12" t="str">
        <f>CONCATENATE("(${Variables:",E814,"_kcat","} * ",E814," * ",G814,")","/(${Variables:",E814,"_km","} + (",E814," * ",G814,"))")</f>
        <v>(${Variables:E6_3_2_4_kcat} * E6_3_2_4 * C00002 * C00133)/(${Variables:E6_3_2_4_km} + (E6_3_2_4 * C00002 * C00133))</v>
      </c>
      <c r="K814" s="43" t="str">
        <f>CONCATENATE("r",D814,": ",F814," -&gt; ",H814," | ",J814)</f>
        <v>r824: C00002 + C00133 -&gt; C00008 + C00009 + C00993 | (${Variables:E6_3_2_4_kcat} * E6_3_2_4 * C00002 * C00133)/(${Variables:E6_3_2_4_km} + (E6_3_2_4 * C00002 * C00133))</v>
      </c>
    </row>
    <row r="815" spans="1:11" ht="42.75" x14ac:dyDescent="0.45">
      <c r="A815" s="53" t="s">
        <v>6113</v>
      </c>
      <c r="B815" s="54" t="s">
        <v>6114</v>
      </c>
      <c r="C815" t="s">
        <v>1816</v>
      </c>
      <c r="D815" s="12">
        <v>825</v>
      </c>
      <c r="E815" s="12" t="str">
        <f>CONCATENATE("E",C815)</f>
        <v>E6_3_2_5</v>
      </c>
      <c r="F815" t="s">
        <v>3283</v>
      </c>
      <c r="G815" t="s">
        <v>1356</v>
      </c>
      <c r="H815" t="s">
        <v>3570</v>
      </c>
      <c r="I815" t="s">
        <v>1357</v>
      </c>
      <c r="J815" s="12" t="str">
        <f>CONCATENATE("(${Variables:",E815,"_kcat","} * ",E815," * ",G815,")","/(${Variables:",E815,"_km","} + (",E815," * ",G815,"))")</f>
        <v>(${Variables:E6_3_2_5_kcat} * E6_3_2_5 * C00063 * C03492 * C00097)/(${Variables:E6_3_2_5_km} + (E6_3_2_5 * C00063 * C03492 * C00097))</v>
      </c>
      <c r="K815" s="43" t="str">
        <f>CONCATENATE("r",D815,": ",F815," -&gt; ",H815," | ",J815)</f>
        <v>r825: C00063 + C03492 + C00097 -&gt; C00055 + C00013 + C04352 | (${Variables:E6_3_2_5_kcat} * E6_3_2_5 * C00063 * C03492 * C00097)/(${Variables:E6_3_2_5_km} + (E6_3_2_5 * C00063 * C03492 * C00097))</v>
      </c>
    </row>
    <row r="816" spans="1:11" ht="42.75" x14ac:dyDescent="0.45">
      <c r="A816" s="53" t="s">
        <v>3674</v>
      </c>
      <c r="B816" s="54" t="s">
        <v>3675</v>
      </c>
      <c r="C816" t="s">
        <v>1787</v>
      </c>
      <c r="D816" s="12">
        <v>826</v>
      </c>
      <c r="E816" s="12" t="str">
        <f>CONCATENATE("E",C816)</f>
        <v>E6_3_2_6</v>
      </c>
      <c r="F816" t="s">
        <v>3284</v>
      </c>
      <c r="G816" t="s">
        <v>1302</v>
      </c>
      <c r="H816" t="s">
        <v>3571</v>
      </c>
      <c r="I816" t="s">
        <v>1303</v>
      </c>
      <c r="J816" s="12" t="str">
        <f>CONCATENATE("(${Variables:",E816,"_kcat","} * ",E816," * ",G816,")","/(${Variables:",E816,"_km","} + (",E816," * ",G816,"))")</f>
        <v>(${Variables:E6_3_2_6_kcat} * E6_3_2_6 * C00002 * C04751 * C00049)/(${Variables:E6_3_2_6_km} + (E6_3_2_6 * C00002 * C04751 * C00049))</v>
      </c>
      <c r="K816" s="43" t="str">
        <f>CONCATENATE("r",D816,": ",F816," -&gt; ",H816," | ",J816)</f>
        <v>r826: C00002 + C04751 + C00049 -&gt; C00008 + C00009 + C04823 | (${Variables:E6_3_2_6_kcat} * E6_3_2_6 * C00002 * C04751 * C00049)/(${Variables:E6_3_2_6_km} + (E6_3_2_6 * C00002 * C04751 * C00049))</v>
      </c>
    </row>
    <row r="817" spans="1:11" ht="42.75" x14ac:dyDescent="0.45">
      <c r="A817" s="53" t="s">
        <v>7520</v>
      </c>
      <c r="B817" s="54" t="s">
        <v>7521</v>
      </c>
      <c r="C817" t="s">
        <v>10441</v>
      </c>
      <c r="D817" s="12">
        <v>827</v>
      </c>
      <c r="E817" s="12" t="str">
        <f>CONCATENATE("E",C817)</f>
        <v>E6_3_2_7</v>
      </c>
      <c r="F817" s="12" t="s">
        <v>10093</v>
      </c>
      <c r="G817" s="12" t="s">
        <v>10669</v>
      </c>
      <c r="H817" t="s">
        <v>10094</v>
      </c>
      <c r="I817" t="s">
        <v>10930</v>
      </c>
      <c r="J817" s="12" t="str">
        <f>CONCATENATE("(${Variables:",E817,"_kcat","} * ",E817," * ",G817,")","/(${Variables:",E817,"_km","} + (",E817," * ",G817,"))")</f>
        <v>(${Variables:E6_3_2_7_kcat} * E6_3_2_7 * C00002 * C00692 * C00047)/(${Variables:E6_3_2_7_km} + (E6_3_2_7 * C00002 * C00692 * C00047))</v>
      </c>
      <c r="K817" s="43" t="str">
        <f>CONCATENATE("r",D817,": ",F817," -&gt; ",H817," | ",J817)</f>
        <v>r827: C00002 + C00692 + C00047 -&gt; C00008 + C00009 + C05892 | (${Variables:E6_3_2_7_kcat} * E6_3_2_7 * C00002 * C00692 * C00047)/(${Variables:E6_3_2_7_km} + (E6_3_2_7 * C00002 * C00692 * C00047))</v>
      </c>
    </row>
    <row r="818" spans="1:11" ht="42.75" x14ac:dyDescent="0.45">
      <c r="A818" s="53" t="s">
        <v>7611</v>
      </c>
      <c r="B818" s="54" t="s">
        <v>7612</v>
      </c>
      <c r="C818" t="s">
        <v>1774</v>
      </c>
      <c r="D818" s="12">
        <v>828</v>
      </c>
      <c r="E818" s="12" t="str">
        <f>CONCATENATE("E",C818)</f>
        <v>E6_3_2_8</v>
      </c>
      <c r="F818" s="12" t="s">
        <v>3285</v>
      </c>
      <c r="G818" s="12" t="s">
        <v>1271</v>
      </c>
      <c r="H818" t="s">
        <v>3572</v>
      </c>
      <c r="I818" t="s">
        <v>1272</v>
      </c>
      <c r="J818" s="12" t="str">
        <f>CONCATENATE("(${Variables:",E818,"_kcat","} * ",E818," * ",G818,")","/(${Variables:",E818,"_km","} + (",E818," * ",G818,"))")</f>
        <v>(${Variables:E6_3_2_8_kcat} * E6_3_2_8 * C00002 * C01050 * C00041)/(${Variables:E6_3_2_8_km} + (E6_3_2_8 * C00002 * C01050 * C00041))</v>
      </c>
      <c r="K818" s="43" t="str">
        <f>CONCATENATE("r",D818,": ",F818," -&gt; ",H818," | ",J818)</f>
        <v>r828: C00002 + C01050 + C00041 -&gt; C00008 + C00009 + C01212 | (${Variables:E6_3_2_8_kcat} * E6_3_2_8 * C00002 * C01050 * C00041)/(${Variables:E6_3_2_8_km} + (E6_3_2_8 * C00002 * C01050 * C00041))</v>
      </c>
    </row>
    <row r="819" spans="1:11" ht="42.75" x14ac:dyDescent="0.45">
      <c r="A819" s="53" t="s">
        <v>5073</v>
      </c>
      <c r="B819" s="54" t="s">
        <v>5074</v>
      </c>
      <c r="C819" t="s">
        <v>1779</v>
      </c>
      <c r="D819" s="12">
        <v>829</v>
      </c>
      <c r="E819" s="12" t="str">
        <f>CONCATENATE("E",C819)</f>
        <v>E6_3_2_9</v>
      </c>
      <c r="F819" t="s">
        <v>3286</v>
      </c>
      <c r="G819" t="s">
        <v>1283</v>
      </c>
      <c r="H819" t="s">
        <v>3573</v>
      </c>
      <c r="I819" t="s">
        <v>1284</v>
      </c>
      <c r="J819" s="12" t="str">
        <f>CONCATENATE("(${Variables:",E819,"_kcat","} * ",E819," * ",G819,")","/(${Variables:",E819,"_km","} + (",E819," * ",G819,"))")</f>
        <v>(${Variables:E6_3_2_9_kcat} * E6_3_2_9 * C00002 * C01212 * C00217)/(${Variables:E6_3_2_9_km} + (E6_3_2_9 * C00002 * C01212 * C00217))</v>
      </c>
      <c r="K819" s="43" t="str">
        <f>CONCATENATE("r",D819,": ",F819," -&gt; ",H819," | ",J819)</f>
        <v>r829: C00002 + C01212 + C00217 -&gt; C00008 + C00009 + C00692 | (${Variables:E6_3_2_9_kcat} * E6_3_2_9 * C00002 * C01212 * C00217)/(${Variables:E6_3_2_9_km} + (E6_3_2_9 * C00002 * C01212 * C00217))</v>
      </c>
    </row>
    <row r="820" spans="1:11" ht="42.75" x14ac:dyDescent="0.45">
      <c r="A820" s="53" t="s">
        <v>3681</v>
      </c>
      <c r="B820" s="54" t="s">
        <v>3682</v>
      </c>
      <c r="C820" t="s">
        <v>1786</v>
      </c>
      <c r="D820" s="12">
        <v>830</v>
      </c>
      <c r="E820" s="12" t="str">
        <f>CONCATENATE("E",C820)</f>
        <v>E6_3_3_1</v>
      </c>
      <c r="F820" t="s">
        <v>3287</v>
      </c>
      <c r="G820" t="s">
        <v>1300</v>
      </c>
      <c r="H820" t="s">
        <v>3574</v>
      </c>
      <c r="I820" t="s">
        <v>1301</v>
      </c>
      <c r="J820" s="12" t="str">
        <f>CONCATENATE("(${Variables:",E820,"_kcat","} * ",E820," * ",G820,")","/(${Variables:",E820,"_km","} + (",E820," * ",G820,"))")</f>
        <v>(${Variables:E6_3_3_1_kcat} * E6_3_3_1 * C00002 * C04640)/(${Variables:E6_3_3_1_km} + (E6_3_3_1 * C00002 * C04640))</v>
      </c>
      <c r="K820" s="43" t="str">
        <f>CONCATENATE("r",D820,": ",F820," -&gt; ",H820," | ",J820)</f>
        <v>r830: C00002 + C04640 -&gt; C00008 + C00009 + C03373 | (${Variables:E6_3_3_1_kcat} * E6_3_3_1 * C00002 * C04640)/(${Variables:E6_3_3_1_km} + (E6_3_3_1 * C00002 * C04640))</v>
      </c>
    </row>
    <row r="821" spans="1:11" ht="42.75" x14ac:dyDescent="0.45">
      <c r="A821" s="53" t="s">
        <v>4134</v>
      </c>
      <c r="B821" s="54" t="s">
        <v>4135</v>
      </c>
      <c r="C821" t="s">
        <v>1783</v>
      </c>
      <c r="D821" s="12">
        <v>831</v>
      </c>
      <c r="E821" s="12" t="str">
        <f>CONCATENATE("E",C821)</f>
        <v>E6_3_3_2</v>
      </c>
      <c r="F821" s="12" t="s">
        <v>3288</v>
      </c>
      <c r="G821" s="12" t="s">
        <v>1293</v>
      </c>
      <c r="H821" t="s">
        <v>3575</v>
      </c>
      <c r="I821" t="s">
        <v>1294</v>
      </c>
      <c r="J821" s="12" t="str">
        <f>CONCATENATE("(${Variables:",E821,"_kcat","} * ",E821," * ",G821,")","/(${Variables:",E821,"_km","} + (",E821," * ",G821,"))")</f>
        <v>(${Variables:E6_3_3_2_kcat} * E6_3_3_2 * C00002 * C03479 * C00080)/(${Variables:E6_3_3_2_km} + (E6_3_3_2 * C00002 * C03479 * C00080))</v>
      </c>
      <c r="K821" s="43" t="str">
        <f>CONCATENATE("r",D821,": ",F821," -&gt; ",H821," | ",J821)</f>
        <v>r831: C00002 + C03479 + C00080 -&gt; C00008 + C00009 + C00445 | (${Variables:E6_3_3_2_kcat} * E6_3_3_2 * C00002 * C03479 * C00080)/(${Variables:E6_3_3_2_km} + (E6_3_3_2 * C00002 * C03479 * C00080))</v>
      </c>
    </row>
    <row r="822" spans="1:11" ht="42.75" x14ac:dyDescent="0.45">
      <c r="A822" s="53" t="s">
        <v>3692</v>
      </c>
      <c r="B822" s="54" t="s">
        <v>3693</v>
      </c>
      <c r="C822" t="s">
        <v>1781</v>
      </c>
      <c r="D822" s="12">
        <v>832</v>
      </c>
      <c r="E822" s="12" t="str">
        <f>CONCATENATE("E",C822)</f>
        <v>E6_3_4_13</v>
      </c>
      <c r="F822" t="s">
        <v>3289</v>
      </c>
      <c r="G822" t="s">
        <v>1289</v>
      </c>
      <c r="H822" t="s">
        <v>3576</v>
      </c>
      <c r="I822" t="s">
        <v>1290</v>
      </c>
      <c r="J822" s="12" t="str">
        <f>CONCATENATE("(${Variables:",E822,"_kcat","} * ",E822," * ",G822,")","/(${Variables:",E822,"_km","} + (",E822," * ",G822,"))")</f>
        <v>(${Variables:E6_3_4_13_kcat} * E6_3_4_13 * C00002 * C03090 * C00037)/(${Variables:E6_3_4_13_km} + (E6_3_4_13 * C00002 * C03090 * C00037))</v>
      </c>
      <c r="K822" s="43" t="str">
        <f>CONCATENATE("r",D822,": ",F822," -&gt; ",H822," | ",J822)</f>
        <v>r832: C00002 + C03090 + C00037 -&gt; C00008 + C00009 + C03838 | (${Variables:E6_3_4_13_kcat} * E6_3_4_13 * C00002 * C03090 * C00037)/(${Variables:E6_3_4_13_km} + (E6_3_4_13 * C00002 * C03090 * C00037))</v>
      </c>
    </row>
    <row r="823" spans="1:11" ht="42.75" x14ac:dyDescent="0.45">
      <c r="A823" s="53" t="s">
        <v>5265</v>
      </c>
      <c r="B823" s="54" t="s">
        <v>5266</v>
      </c>
      <c r="C823" t="s">
        <v>10442</v>
      </c>
      <c r="D823" s="12">
        <v>833</v>
      </c>
      <c r="E823" s="12" t="str">
        <f>CONCATENATE("E",C823)</f>
        <v>E6_3_4_15</v>
      </c>
      <c r="F823" s="12" t="s">
        <v>9095</v>
      </c>
      <c r="G823" s="12" t="s">
        <v>10670</v>
      </c>
      <c r="H823" t="s">
        <v>9096</v>
      </c>
      <c r="I823" t="s">
        <v>10931</v>
      </c>
      <c r="J823" s="12" t="str">
        <f>CONCATENATE("(${Variables:",E823,"_kcat","} * ",E823," * ",G823,")","/(${Variables:",E823,"_km","} + (",E823," * ",G823,"))")</f>
        <v>(${Variables:E6_3_4_15_kcat} * E6_3_4_15 * C00002 * C00120 * C04735)/(${Variables:E6_3_4_15_km} + (E6_3_4_15 * C00002 * C00120 * C04735))</v>
      </c>
      <c r="K823" s="43" t="str">
        <f>CONCATENATE("r",D823,": ",F823," -&gt; ",H823," | ",J823)</f>
        <v>r833: C00002 + C00120 + C04735 -&gt; C00020 + C00013 + C04681 | (${Variables:E6_3_4_15_kcat} * E6_3_4_15 * C00002 * C00120 * C04735)/(${Variables:E6_3_4_15_km} + (E6_3_4_15 * C00002 * C00120 * C04735))</v>
      </c>
    </row>
    <row r="824" spans="1:11" ht="42.75" x14ac:dyDescent="0.45">
      <c r="A824" s="53" t="s">
        <v>5265</v>
      </c>
      <c r="B824" s="54" t="s">
        <v>5266</v>
      </c>
      <c r="C824" t="s">
        <v>10442</v>
      </c>
      <c r="D824" s="12">
        <v>834</v>
      </c>
      <c r="E824" s="12" t="str">
        <f>CONCATENATE("E",C824)</f>
        <v>E6_3_4_15</v>
      </c>
      <c r="F824" t="s">
        <v>9097</v>
      </c>
      <c r="G824" t="s">
        <v>10671</v>
      </c>
      <c r="H824" t="s">
        <v>9098</v>
      </c>
      <c r="I824" t="s">
        <v>10932</v>
      </c>
      <c r="J824" s="12" t="str">
        <f>CONCATENATE("(${Variables:",E824,"_kcat","} * ",E824," * ",G824,")","/(${Variables:",E824,"_km","} + (",E824," * ",G824,"))")</f>
        <v>(${Variables:E6_3_4_15_kcat} * E6_3_4_15 * C00002 * C00120)/(${Variables:E6_3_4_15_km} + (E6_3_4_15 * C00002 * C00120))</v>
      </c>
      <c r="K824" s="43" t="str">
        <f>CONCATENATE("r",D824,": ",F824," -&gt; ",H824," | ",J824)</f>
        <v>r834: C00002 + C00120 -&gt; C00013 + C05921 | (${Variables:E6_3_4_15_kcat} * E6_3_4_15 * C00002 * C00120)/(${Variables:E6_3_4_15_km} + (E6_3_4_15 * C00002 * C00120))</v>
      </c>
    </row>
    <row r="825" spans="1:11" ht="42.75" x14ac:dyDescent="0.45">
      <c r="A825" s="53" t="s">
        <v>5265</v>
      </c>
      <c r="B825" s="54" t="s">
        <v>5266</v>
      </c>
      <c r="C825" t="s">
        <v>10442</v>
      </c>
      <c r="D825" s="12">
        <v>835</v>
      </c>
      <c r="E825" s="12" t="str">
        <f>CONCATENATE("E",C825)</f>
        <v>E6_3_4_15</v>
      </c>
      <c r="F825" t="s">
        <v>9101</v>
      </c>
      <c r="G825" t="s">
        <v>10672</v>
      </c>
      <c r="H825" t="s">
        <v>9102</v>
      </c>
      <c r="I825" t="s">
        <v>10933</v>
      </c>
      <c r="J825" s="12" t="str">
        <f>CONCATENATE("(${Variables:",E825,"_kcat","} * ",E825," * ",G825,")","/(${Variables:",E825,"_km","} + (",E825," * ",G825,"))")</f>
        <v>(${Variables:E6_3_4_15_kcat} * E6_3_4_15 * C05921 * C06249)/(${Variables:E6_3_4_15_km} + (E6_3_4_15 * C05921 * C06249))</v>
      </c>
      <c r="K825" s="43" t="str">
        <f>CONCATENATE("r",D825,": ",F825," -&gt; ",H825," | ",J825)</f>
        <v>r835: C05921 + C06249 -&gt; C00020 + C06250 | (${Variables:E6_3_4_15_kcat} * E6_3_4_15 * C05921 * C06249)/(${Variables:E6_3_4_15_km} + (E6_3_4_15 * C05921 * C06249))</v>
      </c>
    </row>
    <row r="826" spans="1:11" ht="42.75" x14ac:dyDescent="0.45">
      <c r="A826" s="53" t="s">
        <v>3696</v>
      </c>
      <c r="B826" s="54" t="s">
        <v>3697</v>
      </c>
      <c r="C826" t="s">
        <v>1782</v>
      </c>
      <c r="D826" s="12">
        <v>836</v>
      </c>
      <c r="E826" s="12" t="str">
        <f>CONCATENATE("E",C826)</f>
        <v>E6_3_4_18</v>
      </c>
      <c r="F826" s="12" t="s">
        <v>3290</v>
      </c>
      <c r="G826" s="12" t="s">
        <v>1291</v>
      </c>
      <c r="H826" t="s">
        <v>3577</v>
      </c>
      <c r="I826" t="s">
        <v>1292</v>
      </c>
      <c r="J826" s="12" t="str">
        <f>CONCATENATE("(${Variables:",E826,"_kcat","} * ",E826," * ",G826,")","/(${Variables:",E826,"_km","} + (",E826," * ",G826,"))")</f>
        <v>(${Variables:E6_3_4_18_kcat} * E6_3_4_18 * C00002 * C03373 * C00288)/(${Variables:E6_3_4_18_km} + (E6_3_4_18 * C00002 * C03373 * C00288))</v>
      </c>
      <c r="K826" s="43" t="str">
        <f>CONCATENATE("r",D826,": ",F826," -&gt; ",H826," | ",J826)</f>
        <v>r836: C00002 + C03373 + C00288 -&gt; C00008 + C00009 + C15667 | (${Variables:E6_3_4_18_kcat} * E6_3_4_18 * C00002 * C03373 * C00288)/(${Variables:E6_3_4_18_km} + (E6_3_4_18 * C00002 * C03373 * C00288))</v>
      </c>
    </row>
    <row r="827" spans="1:11" ht="42.75" x14ac:dyDescent="0.45">
      <c r="A827" s="53" t="s">
        <v>3628</v>
      </c>
      <c r="B827" s="54" t="s">
        <v>3629</v>
      </c>
      <c r="C827" t="s">
        <v>1901</v>
      </c>
      <c r="D827" s="12">
        <v>837</v>
      </c>
      <c r="E827" s="12" t="str">
        <f>CONCATENATE("E",C827)</f>
        <v>E6_3_4_19</v>
      </c>
      <c r="F827" t="s">
        <v>3291</v>
      </c>
      <c r="G827" t="s">
        <v>1687</v>
      </c>
      <c r="H827" t="s">
        <v>3578</v>
      </c>
      <c r="I827" t="s">
        <v>1688</v>
      </c>
      <c r="J827" s="12" t="str">
        <f>CONCATENATE("(${Variables:",E827,"_kcat","} * ",E827," * ",G827,")","/(${Variables:",E827,"_km","} + (",E827," * ",G827,"))")</f>
        <v>(${Variables:E6_3_4_19_kcat} * E6_3_4_19 * C19722 * C00047 * C00002)/(${Variables:E6_3_4_19_km} + (E6_3_4_19 * C19722 * C00047 * C00002))</v>
      </c>
      <c r="K827" s="43" t="str">
        <f>CONCATENATE("r",D827,": ",F827," -&gt; ",H827," | ",J827)</f>
        <v>r837: C19722 + C00047 + C00002 -&gt; C19723 + C00020 + C00013 + C00001 | (${Variables:E6_3_4_19_kcat} * E6_3_4_19 * C19722 * C00047 * C00002)/(${Variables:E6_3_4_19_km} + (E6_3_4_19 * C19722 * C00047 * C00002))</v>
      </c>
    </row>
    <row r="828" spans="1:11" ht="42.75" x14ac:dyDescent="0.45">
      <c r="A828" s="53" t="s">
        <v>7768</v>
      </c>
      <c r="B828" s="54" t="s">
        <v>7769</v>
      </c>
      <c r="C828" t="s">
        <v>1741</v>
      </c>
      <c r="D828" s="12">
        <v>838</v>
      </c>
      <c r="E828" s="12" t="str">
        <f>CONCATENATE("E",C828)</f>
        <v>E6_3_4_2</v>
      </c>
      <c r="F828" s="12" t="s">
        <v>3242</v>
      </c>
      <c r="G828" s="12" t="s">
        <v>1358</v>
      </c>
      <c r="H828" t="s">
        <v>3521</v>
      </c>
      <c r="I828" t="s">
        <v>1359</v>
      </c>
      <c r="J828" s="12" t="str">
        <f>CONCATENATE("(${Variables:",E828,"_kcat","} * ",E828," * ",G828,")","/(${Variables:",E828,"_km","} + (",E828," * ",G828,"))")</f>
        <v>(${Variables:E6_3_4_2_kcat} * E6_3_4_2 * C00064 * C00001)/(${Variables:E6_3_4_2_km} + (E6_3_4_2 * C00064 * C00001))</v>
      </c>
      <c r="K828" s="43" t="str">
        <f>CONCATENATE("r",D828,": ",F828," -&gt; ",H828," | ",J828)</f>
        <v>r838: C00064 + C00001 -&gt; C00025 + C00014 | (${Variables:E6_3_4_2_kcat} * E6_3_4_2 * C00064 * C00001)/(${Variables:E6_3_4_2_km} + (E6_3_4_2 * C00064 * C00001))</v>
      </c>
    </row>
    <row r="829" spans="1:11" ht="42.75" x14ac:dyDescent="0.45">
      <c r="A829" s="53" t="s">
        <v>7768</v>
      </c>
      <c r="B829" s="54" t="s">
        <v>7769</v>
      </c>
      <c r="C829" t="s">
        <v>1741</v>
      </c>
      <c r="D829" s="12">
        <v>839</v>
      </c>
      <c r="E829" s="12" t="str">
        <f>CONCATENATE("E",C829)</f>
        <v>E6_3_4_2</v>
      </c>
      <c r="F829" t="s">
        <v>3292</v>
      </c>
      <c r="G829" t="s">
        <v>1182</v>
      </c>
      <c r="H829" t="s">
        <v>3579</v>
      </c>
      <c r="I829" t="s">
        <v>1183</v>
      </c>
      <c r="J829" s="12" t="str">
        <f>CONCATENATE("(${Variables:",E829,"_kcat","} * ",E829," * ",G829,")","/(${Variables:",E829,"_km","} + (",E829," * ",G829,"))")</f>
        <v>(${Variables:E6_3_4_2_kcat} * E6_3_4_2 * C00002 * C00075 * C00014)/(${Variables:E6_3_4_2_km} + (E6_3_4_2 * C00002 * C00075 * C00014))</v>
      </c>
      <c r="K829" s="43" t="str">
        <f>CONCATENATE("r",D829,": ",F829," -&gt; ",H829," | ",J829)</f>
        <v>r839: C00002 + C00075 + C00014 -&gt; C00008 + C00009 + C00063 | (${Variables:E6_3_4_2_kcat} * E6_3_4_2 * C00002 * C00075 * C00014)/(${Variables:E6_3_4_2_km} + (E6_3_4_2 * C00002 * C00075 * C00014))</v>
      </c>
    </row>
    <row r="830" spans="1:11" ht="57" x14ac:dyDescent="0.45">
      <c r="A830" s="53" t="s">
        <v>7768</v>
      </c>
      <c r="B830" s="54" t="s">
        <v>7769</v>
      </c>
      <c r="C830" t="s">
        <v>1741</v>
      </c>
      <c r="D830" s="12">
        <v>840</v>
      </c>
      <c r="E830" s="12" t="str">
        <f>CONCATENATE("E",C830)</f>
        <v>E6_3_4_2</v>
      </c>
      <c r="F830" s="12" t="s">
        <v>3293</v>
      </c>
      <c r="G830" s="12" t="s">
        <v>1184</v>
      </c>
      <c r="H830" t="s">
        <v>10152</v>
      </c>
      <c r="I830" t="s">
        <v>10934</v>
      </c>
      <c r="J830" s="12" t="str">
        <f>CONCATENATE("(${Variables:",E830,"_kcat","} * ",E830," * ",G830,")","/(${Variables:",E830,"_km","} + (",E830," * ",G830,"))")</f>
        <v>(${Variables:E6_3_4_2_kcat} * E6_3_4_2 * C00002 * C00075 * C00064 * C00001)/(${Variables:E6_3_4_2_km} + (E6_3_4_2 * C00002 * C00075 * C00064 * C00001))</v>
      </c>
      <c r="K830" s="43" t="str">
        <f>CONCATENATE("r",D830,": ",F830," -&gt; ",H830," | ",J830)</f>
        <v>r840: C00002 + C00075 + C00064 + C00001 -&gt; C00008 + C00009 + C00063 + C00025 | (${Variables:E6_3_4_2_kcat} * E6_3_4_2 * C00002 * C00075 * C00064 * C00001)/(${Variables:E6_3_4_2_km} + (E6_3_4_2 * C00002 * C00075 * C00064 * C00001))</v>
      </c>
    </row>
    <row r="831" spans="1:11" ht="57" x14ac:dyDescent="0.45">
      <c r="A831" s="53" t="s">
        <v>7431</v>
      </c>
      <c r="B831" s="54" t="s">
        <v>7432</v>
      </c>
      <c r="C831" t="s">
        <v>1877</v>
      </c>
      <c r="D831" s="12">
        <v>841</v>
      </c>
      <c r="E831" s="12" t="str">
        <f>CONCATENATE("E",C831)</f>
        <v>E6_3_4_21</v>
      </c>
      <c r="F831" s="12" t="s">
        <v>3294</v>
      </c>
      <c r="G831" s="12" t="s">
        <v>1571</v>
      </c>
      <c r="H831" t="s">
        <v>3580</v>
      </c>
      <c r="I831" t="s">
        <v>1572</v>
      </c>
      <c r="J831" s="12" t="str">
        <f>CONCATENATE("(${Variables:",E831,"_kcat","} * ",E831," * ",G831,")","/(${Variables:",E831,"_km","} + (",E831," * ",G831,"))")</f>
        <v>(${Variables:E6_3_4_21_kcat} * E6_3_4_21 * C01185 * C00013 * C00008 * C00009)/(${Variables:E6_3_4_21_km} + (E6_3_4_21 * C01185 * C00013 * C00008 * C00009))</v>
      </c>
      <c r="K831" s="43" t="str">
        <f>CONCATENATE("r",D831,": ",F831," -&gt; ",H831," | ",J831)</f>
        <v>r841: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832" spans="1:11" ht="42.75" x14ac:dyDescent="0.45">
      <c r="A832" s="53" t="s">
        <v>6115</v>
      </c>
      <c r="B832" s="54" t="s">
        <v>6116</v>
      </c>
      <c r="C832" t="s">
        <v>1832</v>
      </c>
      <c r="D832" s="12">
        <v>842</v>
      </c>
      <c r="E832" s="12" t="str">
        <f>CONCATENATE("E",C832)</f>
        <v>E6_3_4_3</v>
      </c>
      <c r="F832" s="12" t="s">
        <v>3295</v>
      </c>
      <c r="G832" s="12" t="s">
        <v>1406</v>
      </c>
      <c r="H832" t="s">
        <v>3581</v>
      </c>
      <c r="I832" t="s">
        <v>1407</v>
      </c>
      <c r="J832" s="12" t="str">
        <f>CONCATENATE("(${Variables:",E832,"_kcat","} * ",E832," * ",G832,")","/(${Variables:",E832,"_km","} + (",E832," * ",G832,"))")</f>
        <v>(${Variables:E6_3_4_3_kcat} * E6_3_4_3 * C00101 * C00058 * C00002)/(${Variables:E6_3_4_3_km} + (E6_3_4_3 * C00101 * C00058 * C00002))</v>
      </c>
      <c r="K832" s="43" t="str">
        <f>CONCATENATE("r",D832,": ",F832," -&gt; ",H832," | ",J832)</f>
        <v>r842: C00101 + C00058 + C00002 -&gt; C00008 + C00009 + C00234 | (${Variables:E6_3_4_3_kcat} * E6_3_4_3 * C00101 * C00058 * C00002)/(${Variables:E6_3_4_3_km} + (E6_3_4_3 * C00101 * C00058 * C00002))</v>
      </c>
    </row>
    <row r="833" spans="1:11" ht="42.75" x14ac:dyDescent="0.45">
      <c r="A833" s="53" t="s">
        <v>8072</v>
      </c>
      <c r="B833" s="54" t="s">
        <v>8073</v>
      </c>
      <c r="C833" t="s">
        <v>1814</v>
      </c>
      <c r="D833" s="12">
        <v>843</v>
      </c>
      <c r="E833" s="12" t="str">
        <f>CONCATENATE("E",C833)</f>
        <v>E6_3_4_4</v>
      </c>
      <c r="F833" s="12" t="s">
        <v>3296</v>
      </c>
      <c r="G833" s="12" t="s">
        <v>1344</v>
      </c>
      <c r="H833" t="s">
        <v>3582</v>
      </c>
      <c r="I833" t="s">
        <v>1345</v>
      </c>
      <c r="J833" s="12" t="str">
        <f>CONCATENATE("(${Variables:",E833,"_kcat","} * ",E833," * ",G833,")","/(${Variables:",E833,"_km","} + (",E833," * ",G833,"))")</f>
        <v>(${Variables:E6_3_4_4_kcat} * E6_3_4_4 * C00044 * C00130 * C00049)/(${Variables:E6_3_4_4_km} + (E6_3_4_4 * C00044 * C00130 * C00049))</v>
      </c>
      <c r="K833" s="43" t="str">
        <f>CONCATENATE("r",D833,": ",F833," -&gt; ",H833," | ",J833)</f>
        <v>r843: C00044 + C00130 + C00049 -&gt; C00035 + C00009 + C03794 | (${Variables:E6_3_4_4_kcat} * E6_3_4_4 * C00044 * C00130 * C00049)/(${Variables:E6_3_4_4_km} + (E6_3_4_4 * C00044 * C00130 * C00049))</v>
      </c>
    </row>
    <row r="834" spans="1:11" ht="42.75" x14ac:dyDescent="0.45">
      <c r="A834" s="53" t="s">
        <v>5639</v>
      </c>
      <c r="B834" s="54" t="s">
        <v>5640</v>
      </c>
      <c r="C834" t="s">
        <v>1722</v>
      </c>
      <c r="D834" s="12">
        <v>844</v>
      </c>
      <c r="E834" s="12" t="str">
        <f>CONCATENATE("E",C834)</f>
        <v>E7_1_2_2</v>
      </c>
      <c r="F834" s="12" t="s">
        <v>3306</v>
      </c>
      <c r="G834" s="12" t="s">
        <v>3306</v>
      </c>
      <c r="H834" t="s">
        <v>3593</v>
      </c>
      <c r="I834" t="s">
        <v>1144</v>
      </c>
      <c r="J834" s="12" t="str">
        <f>CONCATENATE("(${Variables:",E834,"_kcat","} * ",E834," * ",G834,")","/(${Variables:",E834,"_km","} + (",E834," * ",G834,"))")</f>
        <v>(${Variables:E7_1_2_2_kcat} * E7_1_2_2 * C00002 + C00001)/(${Variables:E7_1_2_2_km} + (E7_1_2_2 * C00002 + C00001))</v>
      </c>
      <c r="K834" s="43" t="str">
        <f>CONCATENATE("r",D834,": ",F834," -&gt; ",H834," | ",J834)</f>
        <v>r844: C00002 + C00001 -&gt; C00008 + C00009 | (${Variables:E7_1_2_2_kcat} * E7_1_2_2 * C00002 + C00001)/(${Variables:E7_1_2_2_km} + (E7_1_2_2 * C00002 + C00001))</v>
      </c>
    </row>
    <row r="835" spans="1:11" ht="42.75" x14ac:dyDescent="0.45">
      <c r="A835" s="53" t="s">
        <v>6646</v>
      </c>
      <c r="B835" s="54" t="s">
        <v>6647</v>
      </c>
      <c r="C835" t="s">
        <v>10443</v>
      </c>
      <c r="D835" s="12">
        <v>845</v>
      </c>
      <c r="E835" s="12" t="str">
        <f>CONCATENATE("E",C835)</f>
        <v>E6_3_5_13</v>
      </c>
      <c r="F835" s="12" t="s">
        <v>3242</v>
      </c>
      <c r="G835" s="12" t="s">
        <v>3242</v>
      </c>
      <c r="H835" t="s">
        <v>3521</v>
      </c>
      <c r="I835" t="s">
        <v>1359</v>
      </c>
      <c r="J835" s="12" t="str">
        <f>CONCATENATE("(${Variables:",E835,"_kcat","} * ",E835," * ",G835,")","/(${Variables:",E835,"_km","} + (",E835," * ",G835,"))")</f>
        <v>(${Variables:E6_3_5_13_kcat} * E6_3_5_13 * C00064 + C00001)/(${Variables:E6_3_5_13_km} + (E6_3_5_13 * C00064 + C00001))</v>
      </c>
      <c r="K835" s="43" t="str">
        <f>CONCATENATE("r",D835,": ",F835," -&gt; ",H835," | ",J835)</f>
        <v>r845: C00064 + C00001 -&gt; C00025 + C00014 | (${Variables:E6_3_5_13_kcat} * E6_3_5_13 * C00064 + C00001)/(${Variables:E6_3_5_13_km} + (E6_3_5_13 * C00064 + C00001))</v>
      </c>
    </row>
    <row r="836" spans="1:11" ht="42.75" x14ac:dyDescent="0.45">
      <c r="A836" s="53" t="s">
        <v>6646</v>
      </c>
      <c r="B836" s="54" t="s">
        <v>6647</v>
      </c>
      <c r="C836" t="s">
        <v>10443</v>
      </c>
      <c r="D836" s="12">
        <v>846</v>
      </c>
      <c r="E836" s="12" t="str">
        <f>CONCATENATE("E",C836)</f>
        <v>E6_3_5_13</v>
      </c>
      <c r="F836" s="12" t="s">
        <v>9761</v>
      </c>
      <c r="G836" s="12" t="s">
        <v>9761</v>
      </c>
      <c r="H836" t="s">
        <v>9762</v>
      </c>
      <c r="I836" t="s">
        <v>10935</v>
      </c>
      <c r="J836" s="12" t="str">
        <f>CONCATENATE("(${Variables:",E836,"_kcat","} * ",E836," * ",G836,")","/(${Variables:",E836,"_km","} + (",E836," * ",G836,"))")</f>
        <v>(${Variables:E6_3_5_13_kcat} * E6_3_5_13 * C00002 + C05893 + C00014)/(${Variables:E6_3_5_13_km} + (E6_3_5_13 * C00002 + C05893 + C00014))</v>
      </c>
      <c r="K836" s="43" t="str">
        <f>CONCATENATE("r",D836,": ",F836," -&gt; ",H836," | ",J836)</f>
        <v>r846: C00002 + C05893 + C00014 -&gt; C00008 + C00009 + C05894 | (${Variables:E6_3_5_13_kcat} * E6_3_5_13 * C00002 + C05893 + C00014)/(${Variables:E6_3_5_13_km} + (E6_3_5_13 * C00002 + C05893 + C00014))</v>
      </c>
    </row>
    <row r="837" spans="1:11" ht="42.75" x14ac:dyDescent="0.45">
      <c r="A837" s="53" t="s">
        <v>6646</v>
      </c>
      <c r="B837" s="54" t="s">
        <v>6647</v>
      </c>
      <c r="C837" t="s">
        <v>10443</v>
      </c>
      <c r="D837" s="12">
        <v>847</v>
      </c>
      <c r="E837" s="12" t="str">
        <f>CONCATENATE("E",C837)</f>
        <v>E6_3_5_13</v>
      </c>
      <c r="F837" s="12" t="s">
        <v>9764</v>
      </c>
      <c r="G837" s="12" t="s">
        <v>9764</v>
      </c>
      <c r="H837" t="s">
        <v>9765</v>
      </c>
      <c r="I837" t="s">
        <v>10936</v>
      </c>
      <c r="J837" s="12" t="str">
        <f>CONCATENATE("(${Variables:",E837,"_kcat","} * ",E837," * ",G837,")","/(${Variables:",E837,"_km","} + (",E837," * ",G837,"))")</f>
        <v>(${Variables:E6_3_5_13_kcat} * E6_3_5_13 * C00002 + C05893)/(${Variables:E6_3_5_13_km} + (E6_3_5_13 * C00002 + C05893))</v>
      </c>
      <c r="K837" s="43" t="str">
        <f>CONCATENATE("r",D837,": ",F837," -&gt; ",H837," | ",J837)</f>
        <v>r847: C00002 + C05893 -&gt; C00008 + C22083 | (${Variables:E6_3_5_13_kcat} * E6_3_5_13 * C00002 + C05893)/(${Variables:E6_3_5_13_km} + (E6_3_5_13 * C00002 + C05893))</v>
      </c>
    </row>
    <row r="838" spans="1:11" ht="42.75" x14ac:dyDescent="0.45">
      <c r="A838" s="53" t="s">
        <v>6646</v>
      </c>
      <c r="B838" s="54" t="s">
        <v>6647</v>
      </c>
      <c r="C838" t="s">
        <v>10443</v>
      </c>
      <c r="D838" s="12">
        <v>848</v>
      </c>
      <c r="E838" s="12" t="str">
        <f>CONCATENATE("E",C838)</f>
        <v>E6_3_5_13</v>
      </c>
      <c r="F838" s="12" t="s">
        <v>9767</v>
      </c>
      <c r="G838" s="12" t="s">
        <v>9767</v>
      </c>
      <c r="H838" t="s">
        <v>9768</v>
      </c>
      <c r="I838" t="s">
        <v>10937</v>
      </c>
      <c r="J838" s="12" t="str">
        <f>CONCATENATE("(${Variables:",E838,"_kcat","} * ",E838," * ",G838,")","/(${Variables:",E838,"_km","} + (",E838," * ",G838,"))")</f>
        <v>(${Variables:E6_3_5_13_kcat} * E6_3_5_13 * C22083 + C00014)/(${Variables:E6_3_5_13_km} + (E6_3_5_13 * C22083 + C00014))</v>
      </c>
      <c r="K838" s="43" t="str">
        <f>CONCATENATE("r",D838,": ",F838," -&gt; ",H838," | ",J838)</f>
        <v>r848: C22083 + C00014 -&gt; C05894 + C00009 | (${Variables:E6_3_5_13_kcat} * E6_3_5_13 * C22083 + C00014)/(${Variables:E6_3_5_13_km} + (E6_3_5_13 * C22083 + C00014))</v>
      </c>
    </row>
    <row r="839" spans="1:11" ht="42.75" x14ac:dyDescent="0.45">
      <c r="A839" s="53" t="s">
        <v>6650</v>
      </c>
      <c r="B839" s="54" t="s">
        <v>6651</v>
      </c>
      <c r="C839" t="s">
        <v>10443</v>
      </c>
      <c r="D839" s="12">
        <v>849</v>
      </c>
      <c r="E839" s="12" t="str">
        <f>CONCATENATE("E",C839)</f>
        <v>E6_3_5_13</v>
      </c>
      <c r="F839" s="12" t="s">
        <v>3242</v>
      </c>
      <c r="G839" s="12" t="s">
        <v>3242</v>
      </c>
      <c r="H839" t="s">
        <v>3521</v>
      </c>
      <c r="I839" t="s">
        <v>1359</v>
      </c>
      <c r="J839" s="12" t="str">
        <f>CONCATENATE("(${Variables:",E839,"_kcat","} * ",E839," * ",G839,")","/(${Variables:",E839,"_km","} + (",E839," * ",G839,"))")</f>
        <v>(${Variables:E6_3_5_13_kcat} * E6_3_5_13 * C00064 + C00001)/(${Variables:E6_3_5_13_km} + (E6_3_5_13 * C00064 + C00001))</v>
      </c>
      <c r="K839" s="43" t="str">
        <f>CONCATENATE("r",D839,": ",F839," -&gt; ",H839," | ",J839)</f>
        <v>r849: C00064 + C00001 -&gt; C00025 + C00014 | (${Variables:E6_3_5_13_kcat} * E6_3_5_13 * C00064 + C00001)/(${Variables:E6_3_5_13_km} + (E6_3_5_13 * C00064 + C00001))</v>
      </c>
    </row>
    <row r="840" spans="1:11" ht="42.75" x14ac:dyDescent="0.45">
      <c r="A840" s="53" t="s">
        <v>6650</v>
      </c>
      <c r="B840" s="54" t="s">
        <v>6651</v>
      </c>
      <c r="C840" t="s">
        <v>10443</v>
      </c>
      <c r="D840" s="12">
        <v>850</v>
      </c>
      <c r="E840" s="12" t="str">
        <f>CONCATENATE("E",C840)</f>
        <v>E6_3_5_13</v>
      </c>
      <c r="F840" s="12" t="s">
        <v>9761</v>
      </c>
      <c r="G840" s="12" t="s">
        <v>9761</v>
      </c>
      <c r="H840" t="s">
        <v>9762</v>
      </c>
      <c r="I840" t="s">
        <v>10935</v>
      </c>
      <c r="J840" s="12" t="str">
        <f>CONCATENATE("(${Variables:",E840,"_kcat","} * ",E840," * ",G840,")","/(${Variables:",E840,"_km","} + (",E840," * ",G840,"))")</f>
        <v>(${Variables:E6_3_5_13_kcat} * E6_3_5_13 * C00002 + C05893 + C00014)/(${Variables:E6_3_5_13_km} + (E6_3_5_13 * C00002 + C05893 + C00014))</v>
      </c>
      <c r="K840" s="43" t="str">
        <f>CONCATENATE("r",D840,": ",F840," -&gt; ",H840," | ",J840)</f>
        <v>r850: C00002 + C05893 + C00014 -&gt; C00008 + C00009 + C05894 | (${Variables:E6_3_5_13_kcat} * E6_3_5_13 * C00002 + C05893 + C00014)/(${Variables:E6_3_5_13_km} + (E6_3_5_13 * C00002 + C05893 + C00014))</v>
      </c>
    </row>
    <row r="841" spans="1:11" ht="42.75" x14ac:dyDescent="0.45">
      <c r="A841" s="53" t="s">
        <v>6650</v>
      </c>
      <c r="B841" s="54" t="s">
        <v>6651</v>
      </c>
      <c r="C841" t="s">
        <v>10443</v>
      </c>
      <c r="D841" s="12">
        <v>851</v>
      </c>
      <c r="E841" s="12" t="str">
        <f>CONCATENATE("E",C841)</f>
        <v>E6_3_5_13</v>
      </c>
      <c r="F841" s="12" t="s">
        <v>9764</v>
      </c>
      <c r="G841" s="12" t="s">
        <v>9764</v>
      </c>
      <c r="H841" t="s">
        <v>9765</v>
      </c>
      <c r="I841" t="s">
        <v>10936</v>
      </c>
      <c r="J841" s="12" t="str">
        <f>CONCATENATE("(${Variables:",E841,"_kcat","} * ",E841," * ",G841,")","/(${Variables:",E841,"_km","} + (",E841," * ",G841,"))")</f>
        <v>(${Variables:E6_3_5_13_kcat} * E6_3_5_13 * C00002 + C05893)/(${Variables:E6_3_5_13_km} + (E6_3_5_13 * C00002 + C05893))</v>
      </c>
      <c r="K841" s="43" t="str">
        <f>CONCATENATE("r",D841,": ",F841," -&gt; ",H841," | ",J841)</f>
        <v>r851: C00002 + C05893 -&gt; C00008 + C22083 | (${Variables:E6_3_5_13_kcat} * E6_3_5_13 * C00002 + C05893)/(${Variables:E6_3_5_13_km} + (E6_3_5_13 * C00002 + C05893))</v>
      </c>
    </row>
    <row r="842" spans="1:11" ht="42.75" x14ac:dyDescent="0.45">
      <c r="A842" s="53" t="s">
        <v>6650</v>
      </c>
      <c r="B842" s="54" t="s">
        <v>6651</v>
      </c>
      <c r="C842" t="s">
        <v>10443</v>
      </c>
      <c r="D842" s="12">
        <v>852</v>
      </c>
      <c r="E842" s="12" t="str">
        <f>CONCATENATE("E",C842)</f>
        <v>E6_3_5_13</v>
      </c>
      <c r="F842" s="12" t="s">
        <v>9767</v>
      </c>
      <c r="G842" s="12" t="s">
        <v>9767</v>
      </c>
      <c r="H842" t="s">
        <v>9768</v>
      </c>
      <c r="I842" t="s">
        <v>10937</v>
      </c>
      <c r="J842" s="12" t="str">
        <f>CONCATENATE("(${Variables:",E842,"_kcat","} * ",E842," * ",G842,")","/(${Variables:",E842,"_km","} + (",E842," * ",G842,"))")</f>
        <v>(${Variables:E6_3_5_13_kcat} * E6_3_5_13 * C22083 + C00014)/(${Variables:E6_3_5_13_km} + (E6_3_5_13 * C22083 + C00014))</v>
      </c>
      <c r="K842" s="43" t="str">
        <f>CONCATENATE("r",D842,": ",F842," -&gt; ",H842," | ",J842)</f>
        <v>r852: C22083 + C00014 -&gt; C05894 + C00009 | (${Variables:E6_3_5_13_kcat} * E6_3_5_13 * C22083 + C00014)/(${Variables:E6_3_5_13_km} + (E6_3_5_13 * C22083 + C00014))</v>
      </c>
    </row>
    <row r="843" spans="1:11" ht="42.75" x14ac:dyDescent="0.45">
      <c r="A843" s="53" t="s">
        <v>6226</v>
      </c>
      <c r="B843" s="54" t="s">
        <v>6227</v>
      </c>
      <c r="C843" t="s">
        <v>1768</v>
      </c>
      <c r="D843" s="12">
        <v>853</v>
      </c>
      <c r="E843" s="12" t="str">
        <f>CONCATENATE("E",C843)</f>
        <v>E6_3_5_2</v>
      </c>
      <c r="F843" s="12" t="s">
        <v>3242</v>
      </c>
      <c r="G843" s="12" t="s">
        <v>3242</v>
      </c>
      <c r="H843" t="s">
        <v>3521</v>
      </c>
      <c r="I843" t="s">
        <v>1359</v>
      </c>
      <c r="J843" s="12" t="str">
        <f>CONCATENATE("(${Variables:",E843,"_kcat","} * ",E843," * ",G843,")","/(${Variables:",E843,"_km","} + (",E843," * ",G843,"))")</f>
        <v>(${Variables:E6_3_5_2_kcat} * E6_3_5_2 * C00064 + C00001)/(${Variables:E6_3_5_2_km} + (E6_3_5_2 * C00064 + C00001))</v>
      </c>
      <c r="K843" s="43" t="str">
        <f>CONCATENATE("r",D843,": ",F843," -&gt; ",H843," | ",J843)</f>
        <v>r853: C00064 + C00001 -&gt; C00025 + C00014 | (${Variables:E6_3_5_2_kcat} * E6_3_5_2 * C00064 + C00001)/(${Variables:E6_3_5_2_km} + (E6_3_5_2 * C00064 + C00001))</v>
      </c>
    </row>
    <row r="844" spans="1:11" ht="42.75" x14ac:dyDescent="0.45">
      <c r="A844" s="53" t="s">
        <v>6226</v>
      </c>
      <c r="B844" s="54" t="s">
        <v>6227</v>
      </c>
      <c r="C844" t="s">
        <v>1768</v>
      </c>
      <c r="D844" s="12">
        <v>854</v>
      </c>
      <c r="E844" s="12" t="str">
        <f>CONCATENATE("E",C844)</f>
        <v>E6_3_5_2</v>
      </c>
      <c r="F844" s="12" t="s">
        <v>3297</v>
      </c>
      <c r="G844" s="12" t="s">
        <v>3297</v>
      </c>
      <c r="H844" t="s">
        <v>3583</v>
      </c>
      <c r="I844" t="s">
        <v>1258</v>
      </c>
      <c r="J844" s="12" t="str">
        <f>CONCATENATE("(${Variables:",E844,"_kcat","} * ",E844," * ",G844,")","/(${Variables:",E844,"_km","} + (",E844," * ",G844,"))")</f>
        <v>(${Variables:E6_3_5_2_kcat} * E6_3_5_2 * C00002 + C00655 + C00014)/(${Variables:E6_3_5_2_km} + (E6_3_5_2 * C00002 + C00655 + C00014))</v>
      </c>
      <c r="K844" s="43" t="str">
        <f>CONCATENATE("r",D844,": ",F844," -&gt; ",H844," | ",J844)</f>
        <v>r854: C00002 + C00655 + C00014 -&gt; C00020 + C00013 + C00144 | (${Variables:E6_3_5_2_kcat} * E6_3_5_2 * C00002 + C00655 + C00014)/(${Variables:E6_3_5_2_km} + (E6_3_5_2 * C00002 + C00655 + C00014))</v>
      </c>
    </row>
    <row r="845" spans="1:11" ht="57" x14ac:dyDescent="0.45">
      <c r="A845" s="53" t="s">
        <v>6226</v>
      </c>
      <c r="B845" s="54" t="s">
        <v>6227</v>
      </c>
      <c r="C845" t="s">
        <v>1768</v>
      </c>
      <c r="D845" s="12">
        <v>855</v>
      </c>
      <c r="E845" s="12" t="str">
        <f>CONCATENATE("E",C845)</f>
        <v>E6_3_5_2</v>
      </c>
      <c r="F845" s="12" t="s">
        <v>3298</v>
      </c>
      <c r="G845" s="12" t="s">
        <v>3298</v>
      </c>
      <c r="H845" t="s">
        <v>3584</v>
      </c>
      <c r="I845" t="s">
        <v>1259</v>
      </c>
      <c r="J845" s="12" t="str">
        <f>CONCATENATE("(${Variables:",E845,"_kcat","} * ",E845," * ",G845,")","/(${Variables:",E845,"_km","} + (",E845," * ",G845,"))")</f>
        <v>(${Variables:E6_3_5_2_kcat} * E6_3_5_2 * C00002 + C00655 + C00064 + C00001)/(${Variables:E6_3_5_2_km} + (E6_3_5_2 * C00002 + C00655 + C00064 + C00001))</v>
      </c>
      <c r="K845" s="43" t="str">
        <f>CONCATENATE("r",D845,": ",F845," -&gt; ",H845," | ",J845)</f>
        <v>r855: C00002 + C00655 + C00064 + C00001 -&gt; C00020 + C00013 + C00144 + C00025 | (${Variables:E6_3_5_2_kcat} * E6_3_5_2 * C00002 + C00655 + C00064 + C00001)/(${Variables:E6_3_5_2_km} + (E6_3_5_2 * C00002 + C00655 + C00064 + C00001))</v>
      </c>
    </row>
    <row r="846" spans="1:11" ht="57" x14ac:dyDescent="0.45">
      <c r="A846" s="53" t="s">
        <v>6226</v>
      </c>
      <c r="B846" s="54" t="s">
        <v>6227</v>
      </c>
      <c r="C846" t="s">
        <v>1768</v>
      </c>
      <c r="D846" s="12">
        <v>856</v>
      </c>
      <c r="E846" s="12" t="str">
        <f>CONCATENATE("E",C846)</f>
        <v>E6_3_5_2</v>
      </c>
      <c r="F846" s="12" t="s">
        <v>3299</v>
      </c>
      <c r="G846" s="12" t="s">
        <v>3299</v>
      </c>
      <c r="H846" t="s">
        <v>3585</v>
      </c>
      <c r="I846" t="s">
        <v>1677</v>
      </c>
      <c r="J846" s="12" t="str">
        <f>CONCATENATE("(${Variables:",E846,"_kcat","} * ",E846," * ",G846,")","/(${Variables:",E846,"_km","} + (",E846," * ",G846,"))")</f>
        <v>(${Variables:E6_3_5_2_kcat} * E6_3_5_2 * C16618 + C00002 + C00064 + C00001)/(${Variables:E6_3_5_2_km} + (E6_3_5_2 * C16618 + C00002 + C00064 + C00001))</v>
      </c>
      <c r="K846" s="43" t="str">
        <f>CONCATENATE("r",D846,": ",F846," -&gt; ",H846," | ",J846)</f>
        <v>r856: C16618 + C00002 + C00064 + C00001 -&gt; C16619 + C00020 + C00013 + C00025 | (${Variables:E6_3_5_2_kcat} * E6_3_5_2 * C16618 + C00002 + C00064 + C00001)/(${Variables:E6_3_5_2_km} + (E6_3_5_2 * C16618 + C00002 + C00064 + C00001))</v>
      </c>
    </row>
    <row r="847" spans="1:11" ht="57" x14ac:dyDescent="0.45">
      <c r="A847" s="53" t="s">
        <v>3677</v>
      </c>
      <c r="B847" s="54" t="s">
        <v>3678</v>
      </c>
      <c r="C847" t="s">
        <v>1784</v>
      </c>
      <c r="D847" s="12">
        <v>857</v>
      </c>
      <c r="E847" s="12" t="str">
        <f>CONCATENATE("E",C847)</f>
        <v>E6_3_5_3</v>
      </c>
      <c r="F847" t="s">
        <v>8405</v>
      </c>
      <c r="G847" t="s">
        <v>8405</v>
      </c>
      <c r="H847" t="s">
        <v>3586</v>
      </c>
      <c r="I847" t="s">
        <v>1297</v>
      </c>
      <c r="J847" s="12" t="str">
        <f>CONCATENATE("(${Variables:",E847,"_kcat","} * ",E847," * ",G847,")","/(${Variables:",E847,"_km","} + (",E847," * ",G847,"))")</f>
        <v>(${Variables:E6_3_5_3_kcat} * E6_3_5_3 * C00002 + C04376 + C00064 + C00001 )/(${Variables:E6_3_5_3_km} + (E6_3_5_3 * C00002 + C04376 + C00064 + C00001 ))</v>
      </c>
      <c r="K847" s="43" t="str">
        <f>CONCATENATE("r",D847,": ",F847," -&gt; ",H847," | ",J847)</f>
        <v>r857: C00002 + C04376 + C00064 + C00001  -&gt; C00008 + C00009 + C04640 + C00025 | (${Variables:E6_3_5_3_kcat} * E6_3_5_3 * C00002 + C04376 + C00064 + C00001 )/(${Variables:E6_3_5_3_km} + (E6_3_5_3 * C00002 + C04376 + C00064 + C00001 ))</v>
      </c>
    </row>
    <row r="848" spans="1:11" ht="42.75" x14ac:dyDescent="0.45">
      <c r="A848" s="53" t="s">
        <v>6476</v>
      </c>
      <c r="B848" s="54" t="s">
        <v>6477</v>
      </c>
      <c r="C848" t="s">
        <v>1738</v>
      </c>
      <c r="D848" s="12">
        <v>858</v>
      </c>
      <c r="E848" s="12" t="str">
        <f>CONCATENATE("E",C848)</f>
        <v>E6_3_5_5</v>
      </c>
      <c r="F848" s="12" t="s">
        <v>3242</v>
      </c>
      <c r="G848" s="12" t="s">
        <v>3242</v>
      </c>
      <c r="H848" t="s">
        <v>3521</v>
      </c>
      <c r="I848" t="s">
        <v>1359</v>
      </c>
      <c r="J848" s="12" t="str">
        <f>CONCATENATE("(${Variables:",E848,"_kcat","} * ",E848," * ",G848,")","/(${Variables:",E848,"_km","} + (",E848," * ",G848,"))")</f>
        <v>(${Variables:E6_3_5_5_kcat} * E6_3_5_5 * C00064 + C00001)/(${Variables:E6_3_5_5_km} + (E6_3_5_5 * C00064 + C00001))</v>
      </c>
      <c r="K848" s="43" t="str">
        <f>CONCATENATE("r",D848,": ",F848," -&gt; ",H848," | ",J848)</f>
        <v>r858: C00064 + C00001 -&gt; C00025 + C00014 | (${Variables:E6_3_5_5_kcat} * E6_3_5_5 * C00064 + C00001)/(${Variables:E6_3_5_5_km} + (E6_3_5_5 * C00064 + C00001))</v>
      </c>
    </row>
    <row r="849" spans="1:11" ht="57" x14ac:dyDescent="0.45">
      <c r="A849" s="53" t="s">
        <v>6476</v>
      </c>
      <c r="B849" s="54" t="s">
        <v>6477</v>
      </c>
      <c r="C849" t="s">
        <v>1738</v>
      </c>
      <c r="D849" s="12">
        <v>859</v>
      </c>
      <c r="E849" s="12" t="str">
        <f>CONCATENATE("E",C849)</f>
        <v>E6_3_5_5</v>
      </c>
      <c r="F849" t="s">
        <v>3300</v>
      </c>
      <c r="G849" t="s">
        <v>3300</v>
      </c>
      <c r="H849" t="s">
        <v>3587</v>
      </c>
      <c r="I849" t="s">
        <v>1175</v>
      </c>
      <c r="J849" s="12" t="str">
        <f>CONCATENATE("(${Variables:",E849,"_kcat","} * ",E849," * ",G849,")","/(${Variables:",E849,"_km","} + (",E849," * ",G849,"))")</f>
        <v>(${Variables:E6_3_5_5_kcat} * E6_3_5_5 * C00002 + C00064 + C00288 + C00001)/(${Variables:E6_3_5_5_km} + (E6_3_5_5 * C00002 + C00064 + C00288 + C00001))</v>
      </c>
      <c r="K849" s="43" t="str">
        <f>CONCATENATE("r",D849,": ",F849," -&gt; ",H849," | ",J849)</f>
        <v>r859: C00002 + C00064 + C00288 + C00001 -&gt; C00008 + C00009 + C00025 + C00169 | (${Variables:E6_3_5_5_kcat} * E6_3_5_5 * C00002 + C00064 + C00288 + C00001)/(${Variables:E6_3_5_5_km} + (E6_3_5_5 * C00002 + C00064 + C00288 + C00001))</v>
      </c>
    </row>
    <row r="850" spans="1:11" ht="42.75" x14ac:dyDescent="0.45">
      <c r="A850" s="53" t="s">
        <v>6476</v>
      </c>
      <c r="B850" s="54" t="s">
        <v>6477</v>
      </c>
      <c r="C850" t="s">
        <v>1738</v>
      </c>
      <c r="D850" s="12">
        <v>860</v>
      </c>
      <c r="E850" s="12" t="str">
        <f>CONCATENATE("E",C850)</f>
        <v>E6_3_5_5</v>
      </c>
      <c r="F850" t="s">
        <v>3303</v>
      </c>
      <c r="G850" t="s">
        <v>3303</v>
      </c>
      <c r="H850" t="s">
        <v>3590</v>
      </c>
      <c r="I850" t="s">
        <v>1288</v>
      </c>
      <c r="J850" s="12" t="str">
        <f>CONCATENATE("(${Variables:",E850,"_kcat","} * ",E850," * ",G850,")","/(${Variables:",E850,"_km","} + (",E850," * ",G850,"))")</f>
        <v>(${Variables:E6_3_5_5_kcat} * E6_3_5_5 * C00002 + C01563)/(${Variables:E6_3_5_5_km} + (E6_3_5_5 * C00002 + C01563))</v>
      </c>
      <c r="K850" s="43" t="str">
        <f>CONCATENATE("r",D850,": ",F850," -&gt; ",H850," | ",J850)</f>
        <v>r860: C00002 + C01563 -&gt; C00008 + C00169 | (${Variables:E6_3_5_5_kcat} * E6_3_5_5 * C00002 + C01563)/(${Variables:E6_3_5_5_km} + (E6_3_5_5 * C00002 + C01563))</v>
      </c>
    </row>
    <row r="851" spans="1:11" ht="42.75" x14ac:dyDescent="0.45">
      <c r="A851" s="53" t="s">
        <v>6476</v>
      </c>
      <c r="B851" s="54" t="s">
        <v>6477</v>
      </c>
      <c r="C851" t="s">
        <v>1738</v>
      </c>
      <c r="D851" s="12">
        <v>861</v>
      </c>
      <c r="E851" s="12" t="str">
        <f>CONCATENATE("E",C851)</f>
        <v>E6_3_5_5</v>
      </c>
      <c r="F851" s="12" t="s">
        <v>3301</v>
      </c>
      <c r="G851" s="12" t="s">
        <v>3301</v>
      </c>
      <c r="H851" t="s">
        <v>3588</v>
      </c>
      <c r="I851" t="s">
        <v>1240</v>
      </c>
      <c r="J851" s="12" t="str">
        <f>CONCATENATE("(${Variables:",E851,"_kcat","} * ",E851," * ",G851,")","/(${Variables:",E851,"_km","} + (",E851," * ",G851,"))")</f>
        <v>(${Variables:E6_3_5_5_kcat} * E6_3_5_5 * C00002 + C00288)/(${Variables:E6_3_5_5_km} + (E6_3_5_5 * C00002 + C00288))</v>
      </c>
      <c r="K851" s="43" t="str">
        <f>CONCATENATE("r",D851,": ",F851," -&gt; ",H851," | ",J851)</f>
        <v>r861: C00002 + C00288 -&gt; C00008 + C20969 | (${Variables:E6_3_5_5_kcat} * E6_3_5_5 * C00002 + C00288)/(${Variables:E6_3_5_5_km} + (E6_3_5_5 * C00002 + C00288))</v>
      </c>
    </row>
    <row r="852" spans="1:11" ht="42.75" x14ac:dyDescent="0.45">
      <c r="A852" s="53" t="s">
        <v>6476</v>
      </c>
      <c r="B852" s="54" t="s">
        <v>6477</v>
      </c>
      <c r="C852" t="s">
        <v>1738</v>
      </c>
      <c r="D852" s="12">
        <v>862</v>
      </c>
      <c r="E852" s="12" t="str">
        <f>CONCATENATE("E",C852)</f>
        <v>E6_3_5_5</v>
      </c>
      <c r="F852" t="s">
        <v>3304</v>
      </c>
      <c r="G852" t="s">
        <v>3304</v>
      </c>
      <c r="H852" t="s">
        <v>3591</v>
      </c>
      <c r="I852" t="s">
        <v>1319</v>
      </c>
      <c r="J852" s="12" t="str">
        <f>CONCATENATE("(${Variables:",E852,"_kcat","} * ",E852," * ",G852,")","/(${Variables:",E852,"_km","} + (",E852," * ",G852,"))")</f>
        <v>(${Variables:E6_3_5_5_kcat} * E6_3_5_5 * C00014 + C20969)/(${Variables:E6_3_5_5_km} + (E6_3_5_5 * C00014 + C20969))</v>
      </c>
      <c r="K852" s="43" t="str">
        <f>CONCATENATE("r",D852,": ",F852," -&gt; ",H852," | ",J852)</f>
        <v>r862: C00014 + C20969 -&gt; C01563 + C00009 | (${Variables:E6_3_5_5_kcat} * E6_3_5_5 * C00014 + C20969)/(${Variables:E6_3_5_5_km} + (E6_3_5_5 * C00014 + C20969))</v>
      </c>
    </row>
    <row r="853" spans="1:11" ht="42.75" x14ac:dyDescent="0.45">
      <c r="A853" s="53" t="s">
        <v>6476</v>
      </c>
      <c r="B853" s="54" t="s">
        <v>6477</v>
      </c>
      <c r="C853" t="s">
        <v>1738</v>
      </c>
      <c r="D853" s="12">
        <v>863</v>
      </c>
      <c r="E853" s="12" t="str">
        <f>CONCATENATE("E",C853)</f>
        <v>E6_3_5_5</v>
      </c>
      <c r="F853" t="s">
        <v>3302</v>
      </c>
      <c r="G853" t="s">
        <v>3302</v>
      </c>
      <c r="H853" t="s">
        <v>3589</v>
      </c>
      <c r="I853" t="s">
        <v>1241</v>
      </c>
      <c r="J853" s="12" t="str">
        <f>CONCATENATE("(${Variables:",E853,"_kcat","} * ",E853," * ",G853,")","/(${Variables:",E853,"_km","} + (",E853," * ",G853,"))")</f>
        <v>(${Variables:E6_3_5_5_kcat} * E6_3_5_5 * C00002 + C00288 + C00014)/(${Variables:E6_3_5_5_km} + (E6_3_5_5 * C00002 + C00288 + C00014))</v>
      </c>
      <c r="K853" s="43" t="str">
        <f>CONCATENATE("r",D853,": ",F853," -&gt; ",H853," | ",J853)</f>
        <v>r863: C00002 + C00288 + C00014 -&gt; C00008 + C00009 + C00169 | (${Variables:E6_3_5_5_kcat} * E6_3_5_5 * C00002 + C00288 + C00014)/(${Variables:E6_3_5_5_km} + (E6_3_5_5 * C00002 + C00288 + C00014))</v>
      </c>
    </row>
    <row r="854" spans="1:11" ht="42.75" x14ac:dyDescent="0.45">
      <c r="A854" s="53" t="s">
        <v>4684</v>
      </c>
      <c r="B854" s="54" t="s">
        <v>4685</v>
      </c>
      <c r="C854" t="s">
        <v>10444</v>
      </c>
      <c r="D854" s="12">
        <v>864</v>
      </c>
      <c r="E854" s="12" t="str">
        <f>CONCATENATE("E",C854)</f>
        <v>E6_4_1_2</v>
      </c>
      <c r="F854" t="s">
        <v>8869</v>
      </c>
      <c r="G854" t="s">
        <v>8869</v>
      </c>
      <c r="H854" t="s">
        <v>8870</v>
      </c>
      <c r="I854" t="s">
        <v>10938</v>
      </c>
      <c r="J854" s="12" t="str">
        <f>CONCATENATE("(${Variables:",E854,"_kcat","} * ",E854," * ",G854,")","/(${Variables:",E854,"_km","} + (",E854," * ",G854,"))")</f>
        <v>(${Variables:E6_4_1_2_kcat} * E6_4_1_2 * C00002 + C00024 + C00288)/(${Variables:E6_4_1_2_km} + (E6_4_1_2 * C00002 + C00024 + C00288))</v>
      </c>
      <c r="K854" s="43" t="str">
        <f>CONCATENATE("r",D854,": ",F854," -&gt; ",H854," | ",J854)</f>
        <v>r864: C00002 + C00024 + C00288 -&gt; C00008 + C00009 + C00083 | (${Variables:E6_4_1_2_kcat} * E6_4_1_2 * C00002 + C00024 + C00288)/(${Variables:E6_4_1_2_km} + (E6_4_1_2 * C00002 + C00024 + C00288))</v>
      </c>
    </row>
    <row r="855" spans="1:11" ht="42.75" x14ac:dyDescent="0.45">
      <c r="A855" s="53" t="s">
        <v>4695</v>
      </c>
      <c r="B855" s="54" t="s">
        <v>4696</v>
      </c>
      <c r="C855" t="s">
        <v>10444</v>
      </c>
      <c r="D855" s="12">
        <v>865</v>
      </c>
      <c r="E855" s="12" t="str">
        <f>CONCATENATE("E",C855)</f>
        <v>E6_4_1_2</v>
      </c>
      <c r="F855" t="s">
        <v>8869</v>
      </c>
      <c r="G855" t="s">
        <v>8869</v>
      </c>
      <c r="H855" t="s">
        <v>8870</v>
      </c>
      <c r="I855" t="s">
        <v>10938</v>
      </c>
      <c r="J855" s="12" t="str">
        <f>CONCATENATE("(${Variables:",E855,"_kcat","} * ",E855," * ",G855,")","/(${Variables:",E855,"_km","} + (",E855," * ",G855,"))")</f>
        <v>(${Variables:E6_4_1_2_kcat} * E6_4_1_2 * C00002 + C00024 + C00288)/(${Variables:E6_4_1_2_km} + (E6_4_1_2 * C00002 + C00024 + C00288))</v>
      </c>
      <c r="K855" s="43" t="str">
        <f>CONCATENATE("r",D855,": ",F855," -&gt; ",H855," | ",J855)</f>
        <v>r865: C00002 + C00024 + C00288 -&gt; C00008 + C00009 + C00083 | (${Variables:E6_4_1_2_kcat} * E6_4_1_2 * C00002 + C00024 + C00288)/(${Variables:E6_4_1_2_km} + (E6_4_1_2 * C00002 + C00024 + C00288))</v>
      </c>
    </row>
    <row r="856" spans="1:11" ht="42.75" x14ac:dyDescent="0.45">
      <c r="A856" s="53" t="s">
        <v>5618</v>
      </c>
      <c r="B856" s="54" t="s">
        <v>5619</v>
      </c>
      <c r="C856" t="s">
        <v>1790</v>
      </c>
      <c r="D856" s="12">
        <v>866</v>
      </c>
      <c r="E856" s="12" t="str">
        <f>CONCATENATE("E",C856)</f>
        <v>E6_5_1_2</v>
      </c>
      <c r="F856" s="12" t="s">
        <v>3305</v>
      </c>
      <c r="G856" s="12" t="s">
        <v>3305</v>
      </c>
      <c r="H856" t="s">
        <v>3592</v>
      </c>
      <c r="I856" t="s">
        <v>1312</v>
      </c>
      <c r="J856" s="12" t="str">
        <f>CONCATENATE("(${Variables:",E856,"_kcat","} * ",E856," * ",G856,")","/(${Variables:",E856,"_km","} + (",E856," * ",G856,"))")</f>
        <v>(${Variables:E6_5_1_2_kcat} * E6_5_1_2 * C00003 + C00039 + C02128)/(${Variables:E6_5_1_2_km} + (E6_5_1_2 * C00003 + C00039 + C02128))</v>
      </c>
      <c r="K856" s="43" t="str">
        <f>CONCATENATE("r",D856,": ",F856," -&gt; ",H856," | ",J856)</f>
        <v>r866: C00003 + C00039 + C02128 -&gt; C00020 + C00455 + C00039 | (${Variables:E6_5_1_2_kcat} * E6_5_1_2 * C00003 + C00039 + C02128)/(${Variables:E6_5_1_2_km} + (E6_5_1_2 * C00003 + C00039 + C02128))</v>
      </c>
    </row>
    <row r="857" spans="1:11" ht="42.75" x14ac:dyDescent="0.45">
      <c r="A857" s="53" t="s">
        <v>5637</v>
      </c>
      <c r="B857" s="54" t="s">
        <v>5638</v>
      </c>
      <c r="C857" t="s">
        <v>1722</v>
      </c>
      <c r="D857" s="12">
        <v>867</v>
      </c>
      <c r="E857" s="12" t="str">
        <f>CONCATENATE("E",C857)</f>
        <v>E7_1_2_2</v>
      </c>
      <c r="F857" t="s">
        <v>3306</v>
      </c>
      <c r="G857" t="s">
        <v>3306</v>
      </c>
      <c r="H857" t="s">
        <v>3593</v>
      </c>
      <c r="I857" t="s">
        <v>1144</v>
      </c>
      <c r="J857" s="12" t="str">
        <f>CONCATENATE("(${Variables:",E857,"_kcat","} * ",E857," * ",G857,")","/(${Variables:",E857,"_km","} + (",E857," * ",G857,"))")</f>
        <v>(${Variables:E7_1_2_2_kcat} * E7_1_2_2 * C00002 + C00001)/(${Variables:E7_1_2_2_km} + (E7_1_2_2 * C00002 + C00001))</v>
      </c>
      <c r="K857" s="43" t="str">
        <f>CONCATENATE("r",D857,": ",F857," -&gt; ",H857," | ",J857)</f>
        <v>r867: C00002 + C00001 -&gt; C00008 + C00009 | (${Variables:E7_1_2_2_kcat} * E7_1_2_2 * C00002 + C00001)/(${Variables:E7_1_2_2_km} + (E7_1_2_2 * C00002 + C00001))</v>
      </c>
    </row>
    <row r="858" spans="1:11" ht="42.75" x14ac:dyDescent="0.45">
      <c r="A858" s="53" t="s">
        <v>5645</v>
      </c>
      <c r="B858" s="54" t="s">
        <v>5646</v>
      </c>
      <c r="C858" t="s">
        <v>1722</v>
      </c>
      <c r="D858" s="12">
        <v>868</v>
      </c>
      <c r="E858" s="12" t="str">
        <f>CONCATENATE("E",C858)</f>
        <v>E7_1_2_2</v>
      </c>
      <c r="F858" s="12" t="s">
        <v>3306</v>
      </c>
      <c r="G858" s="12" t="s">
        <v>3306</v>
      </c>
      <c r="H858" t="s">
        <v>3593</v>
      </c>
      <c r="I858" t="s">
        <v>1144</v>
      </c>
      <c r="J858" s="12" t="str">
        <f>CONCATENATE("(${Variables:",E858,"_kcat","} * ",E858," * ",G858,")","/(${Variables:",E858,"_km","} + (",E858," * ",G858,"))")</f>
        <v>(${Variables:E7_1_2_2_kcat} * E7_1_2_2 * C00002 + C00001)/(${Variables:E7_1_2_2_km} + (E7_1_2_2 * C00002 + C00001))</v>
      </c>
      <c r="K858" s="43" t="str">
        <f>CONCATENATE("r",D858,": ",F858," -&gt; ",H858," | ",J858)</f>
        <v>r868: C00002 + C00001 -&gt; C00008 + C00009 | (${Variables:E7_1_2_2_kcat} * E7_1_2_2 * C00002 + C00001)/(${Variables:E7_1_2_2_km} + (E7_1_2_2 * C00002 + C00001))</v>
      </c>
    </row>
    <row r="859" spans="1:11" ht="42.75" x14ac:dyDescent="0.45">
      <c r="A859" s="53" t="s">
        <v>5647</v>
      </c>
      <c r="B859" s="54" t="s">
        <v>5648</v>
      </c>
      <c r="C859" t="s">
        <v>1722</v>
      </c>
      <c r="D859" s="12">
        <v>869</v>
      </c>
      <c r="E859" s="12" t="str">
        <f>CONCATENATE("E",C859)</f>
        <v>E7_1_2_2</v>
      </c>
      <c r="F859" s="12" t="s">
        <v>3306</v>
      </c>
      <c r="G859" s="12" t="s">
        <v>3306</v>
      </c>
      <c r="H859" t="s">
        <v>3593</v>
      </c>
      <c r="I859" t="s">
        <v>1144</v>
      </c>
      <c r="J859" s="12" t="str">
        <f>CONCATENATE("(${Variables:",E859,"_kcat","} * ",E859," * ",G859,")","/(${Variables:",E859,"_km","} + (",E859," * ",G859,"))")</f>
        <v>(${Variables:E7_1_2_2_kcat} * E7_1_2_2 * C00002 + C00001)/(${Variables:E7_1_2_2_km} + (E7_1_2_2 * C00002 + C00001))</v>
      </c>
      <c r="K859" s="43" t="str">
        <f>CONCATENATE("r",D859,": ",F859," -&gt; ",H859," | ",J859)</f>
        <v>r869: C00002 + C00001 -&gt; C00008 + C00009 | (${Variables:E7_1_2_2_kcat} * E7_1_2_2 * C00002 + C00001)/(${Variables:E7_1_2_2_km} + (E7_1_2_2 * C00002 + C00001))</v>
      </c>
    </row>
    <row r="860" spans="1:11" ht="42.75" x14ac:dyDescent="0.45">
      <c r="A860" s="53" t="s">
        <v>5651</v>
      </c>
      <c r="B860" s="54" t="s">
        <v>5652</v>
      </c>
      <c r="C860" t="s">
        <v>1722</v>
      </c>
      <c r="D860" s="12">
        <v>870</v>
      </c>
      <c r="E860" s="12" t="str">
        <f>CONCATENATE("E",C860)</f>
        <v>E7_1_2_2</v>
      </c>
      <c r="F860" s="12" t="s">
        <v>3306</v>
      </c>
      <c r="G860" s="12" t="s">
        <v>3306</v>
      </c>
      <c r="H860" t="s">
        <v>3593</v>
      </c>
      <c r="I860" t="s">
        <v>1144</v>
      </c>
      <c r="J860" s="12" t="str">
        <f>CONCATENATE("(${Variables:",E860,"_kcat","} * ",E860," * ",G860,")","/(${Variables:",E860,"_km","} + (",E860," * ",G860,"))")</f>
        <v>(${Variables:E7_1_2_2_kcat} * E7_1_2_2 * C00002 + C00001)/(${Variables:E7_1_2_2_km} + (E7_1_2_2 * C00002 + C00001))</v>
      </c>
      <c r="K860" s="43" t="str">
        <f>CONCATENATE("r",D860,": ",F860," -&gt; ",H860," | ",J860)</f>
        <v>r870: C00002 + C00001 -&gt; C00008 + C00009 | (${Variables:E7_1_2_2_kcat} * E7_1_2_2 * C00002 + C00001)/(${Variables:E7_1_2_2_km} + (E7_1_2_2 * C00002 + C00001))</v>
      </c>
    </row>
    <row r="861" spans="1:11" ht="42.75" x14ac:dyDescent="0.45">
      <c r="A861" s="53" t="s">
        <v>5641</v>
      </c>
      <c r="B861" s="54" t="s">
        <v>5642</v>
      </c>
      <c r="C861" t="s">
        <v>1722</v>
      </c>
      <c r="D861" s="12">
        <v>871</v>
      </c>
      <c r="E861" s="12" t="str">
        <f>CONCATENATE("E",C861)</f>
        <v>E7_1_2_2</v>
      </c>
      <c r="F861" s="12" t="s">
        <v>3306</v>
      </c>
      <c r="G861" s="12" t="s">
        <v>3306</v>
      </c>
      <c r="H861" t="s">
        <v>3593</v>
      </c>
      <c r="I861" t="s">
        <v>1144</v>
      </c>
      <c r="J861" s="12" t="str">
        <f>CONCATENATE("(${Variables:",E861,"_kcat","} * ",E861," * ",G861,")","/(${Variables:",E861,"_km","} + (",E861," * ",G861,"))")</f>
        <v>(${Variables:E7_1_2_2_kcat} * E7_1_2_2 * C00002 + C00001)/(${Variables:E7_1_2_2_km} + (E7_1_2_2 * C00002 + C00001))</v>
      </c>
      <c r="K861" s="43" t="str">
        <f>CONCATENATE("r",D861,": ",F861," -&gt; ",H861," | ",J861)</f>
        <v>r871: C00002 + C00001 -&gt; C00008 + C00009 | (${Variables:E7_1_2_2_kcat} * E7_1_2_2 * C00002 + C00001)/(${Variables:E7_1_2_2_km} + (E7_1_2_2 * C00002 + C00001))</v>
      </c>
    </row>
    <row r="862" spans="1:11" ht="42.75" x14ac:dyDescent="0.45">
      <c r="A862" s="53" t="s">
        <v>5649</v>
      </c>
      <c r="B862" s="54" t="s">
        <v>5650</v>
      </c>
      <c r="C862" t="s">
        <v>1722</v>
      </c>
      <c r="D862" s="12">
        <v>872</v>
      </c>
      <c r="E862" s="12" t="str">
        <f>CONCATENATE("E",C862)</f>
        <v>E7_1_2_2</v>
      </c>
      <c r="F862" s="12" t="s">
        <v>3306</v>
      </c>
      <c r="G862" s="12" t="s">
        <v>3306</v>
      </c>
      <c r="H862" t="s">
        <v>3593</v>
      </c>
      <c r="I862" t="s">
        <v>1144</v>
      </c>
      <c r="J862" s="12" t="str">
        <f>CONCATENATE("(${Variables:",E862,"_kcat","} * ",E862," * ",G862,")","/(${Variables:",E862,"_km","} + (",E862," * ",G862,"))")</f>
        <v>(${Variables:E7_1_2_2_kcat} * E7_1_2_2 * C00002 + C00001)/(${Variables:E7_1_2_2_km} + (E7_1_2_2 * C00002 + C00001))</v>
      </c>
      <c r="K862" s="43" t="str">
        <f>CONCATENATE("r",D862,": ",F862," -&gt; ",H862," | ",J862)</f>
        <v>r872: C00002 + C00001 -&gt; C00008 + C00009 | (${Variables:E7_1_2_2_kcat} * E7_1_2_2 * C00002 + C00001)/(${Variables:E7_1_2_2_km} + (E7_1_2_2 * C00002 + C00001))</v>
      </c>
    </row>
    <row r="1701" spans="2:2" x14ac:dyDescent="0.45">
      <c r="B1701" s="44"/>
    </row>
    <row r="1702" spans="2:2" x14ac:dyDescent="0.45">
      <c r="B1702" s="44"/>
    </row>
    <row r="1839" spans="2:2" x14ac:dyDescent="0.45">
      <c r="B1839" s="44"/>
    </row>
    <row r="1913" spans="2:2" x14ac:dyDescent="0.45">
      <c r="B1913" s="44"/>
    </row>
    <row r="1914" spans="2:2" x14ac:dyDescent="0.45">
      <c r="B1914" s="44"/>
    </row>
    <row r="2019" spans="2:2" x14ac:dyDescent="0.45">
      <c r="B2019" s="44"/>
    </row>
  </sheetData>
  <sortState ref="A2:K862">
    <sortCondition ref="D2:D86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Ashmitha Senthilkumar</dc:creator>
  <cp:lastModifiedBy>Shamsia Binte Ali</cp:lastModifiedBy>
  <cp:lastPrinted>2024-10-29T05:18:35Z</cp:lastPrinted>
  <dcterms:created xsi:type="dcterms:W3CDTF">2024-05-21T03:57:22Z</dcterms:created>
  <dcterms:modified xsi:type="dcterms:W3CDTF">2026-01-09T12:57:57Z</dcterms:modified>
</cp:coreProperties>
</file>